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green\Desktop\Work stuff\"/>
    </mc:Choice>
  </mc:AlternateContent>
  <bookViews>
    <workbookView xWindow="-120" yWindow="-120" windowWidth="29040" windowHeight="15720"/>
  </bookViews>
  <sheets>
    <sheet name="AIT Target" sheetId="1" r:id="rId1"/>
  </sheets>
  <definedNames>
    <definedName name="_xlnm._FilterDatabase" localSheetId="0" hidden="1">'AIT Target'!$A$2:$AO$26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Z3" i="1"/>
  <c r="Z4" i="1"/>
  <c r="Z5" i="1"/>
  <c r="Y5" i="1" s="1"/>
  <c r="Z6" i="1"/>
  <c r="Z7" i="1"/>
  <c r="Z8" i="1"/>
  <c r="Z9" i="1"/>
  <c r="Z10" i="1"/>
  <c r="Z11" i="1"/>
  <c r="Z12" i="1"/>
  <c r="Z13" i="1"/>
  <c r="Y13" i="1" s="1"/>
  <c r="Z14" i="1"/>
  <c r="Y14" i="1" s="1"/>
  <c r="Z15" i="1"/>
  <c r="Z16" i="1"/>
  <c r="Z17" i="1"/>
  <c r="Z18" i="1"/>
  <c r="Z19" i="1"/>
  <c r="Z20" i="1"/>
  <c r="Z21" i="1"/>
  <c r="Y21" i="1" s="1"/>
  <c r="Z22" i="1"/>
  <c r="Z23" i="1"/>
  <c r="Z24" i="1"/>
  <c r="Z25" i="1"/>
  <c r="Z26" i="1"/>
  <c r="Y26" i="1" s="1"/>
  <c r="Y10" i="1" l="1"/>
  <c r="Y18" i="1"/>
  <c r="Y22" i="1"/>
  <c r="Y12" i="1"/>
  <c r="Y4" i="1"/>
  <c r="Y6" i="1"/>
  <c r="Y25" i="1"/>
  <c r="Y17" i="1"/>
  <c r="Y20" i="1"/>
  <c r="Y9" i="1"/>
  <c r="Y3" i="1"/>
  <c r="Y24" i="1"/>
  <c r="Y8" i="1"/>
  <c r="Y23" i="1"/>
  <c r="Y7" i="1"/>
  <c r="Y19" i="1"/>
  <c r="Y16" i="1"/>
  <c r="Y11" i="1"/>
  <c r="Y15" i="1"/>
  <c r="Q26" i="1"/>
  <c r="S26" i="1" s="1"/>
  <c r="U26" i="1" s="1"/>
  <c r="V26" i="1" s="1"/>
  <c r="W26" i="1" s="1"/>
  <c r="X26" i="1" s="1"/>
  <c r="Q25" i="1"/>
  <c r="S25" i="1" s="1"/>
  <c r="U25" i="1" s="1"/>
  <c r="Q24" i="1"/>
  <c r="S24" i="1" s="1"/>
  <c r="U24" i="1" s="1"/>
  <c r="Q23" i="1"/>
  <c r="S23" i="1" s="1"/>
  <c r="U23" i="1" s="1"/>
  <c r="Q22" i="1"/>
  <c r="S22" i="1" s="1"/>
  <c r="U22" i="1" s="1"/>
  <c r="Q21" i="1"/>
  <c r="S21" i="1" s="1"/>
  <c r="U21" i="1" s="1"/>
  <c r="V21" i="1" s="1"/>
  <c r="W21" i="1" s="1"/>
  <c r="X21" i="1" s="1"/>
  <c r="Q20" i="1"/>
  <c r="S20" i="1" s="1"/>
  <c r="U20" i="1" s="1"/>
  <c r="Q19" i="1"/>
  <c r="S19" i="1" s="1"/>
  <c r="U19" i="1" s="1"/>
  <c r="Q18" i="1"/>
  <c r="S18" i="1" s="1"/>
  <c r="U18" i="1" s="1"/>
  <c r="Q17" i="1"/>
  <c r="S17" i="1" s="1"/>
  <c r="U17" i="1" s="1"/>
  <c r="Q16" i="1"/>
  <c r="S16" i="1" s="1"/>
  <c r="U16" i="1" s="1"/>
  <c r="Q15" i="1"/>
  <c r="S15" i="1" s="1"/>
  <c r="U15" i="1" s="1"/>
  <c r="Q14" i="1"/>
  <c r="S14" i="1" s="1"/>
  <c r="U14" i="1" s="1"/>
  <c r="V14" i="1" s="1"/>
  <c r="W14" i="1" s="1"/>
  <c r="X14" i="1" s="1"/>
  <c r="Q13" i="1"/>
  <c r="S13" i="1" s="1"/>
  <c r="U13" i="1" s="1"/>
  <c r="V13" i="1" s="1"/>
  <c r="W13" i="1" s="1"/>
  <c r="X13" i="1" s="1"/>
  <c r="Q12" i="1"/>
  <c r="S12" i="1" s="1"/>
  <c r="U12" i="1" s="1"/>
  <c r="Q11" i="1"/>
  <c r="S11" i="1" s="1"/>
  <c r="U11" i="1" s="1"/>
  <c r="Q10" i="1"/>
  <c r="S10" i="1" s="1"/>
  <c r="U10" i="1" s="1"/>
  <c r="V10" i="1" s="1"/>
  <c r="W10" i="1" s="1"/>
  <c r="X10" i="1" s="1"/>
  <c r="Q9" i="1"/>
  <c r="S9" i="1" s="1"/>
  <c r="U9" i="1" s="1"/>
  <c r="Q8" i="1"/>
  <c r="S8" i="1" s="1"/>
  <c r="U8" i="1" s="1"/>
  <c r="Q7" i="1"/>
  <c r="S7" i="1" s="1"/>
  <c r="U7" i="1" s="1"/>
  <c r="Q6" i="1"/>
  <c r="S6" i="1" s="1"/>
  <c r="U6" i="1" s="1"/>
  <c r="Q5" i="1"/>
  <c r="S5" i="1" s="1"/>
  <c r="U5" i="1" s="1"/>
  <c r="V5" i="1" s="1"/>
  <c r="W5" i="1" s="1"/>
  <c r="X5" i="1" s="1"/>
  <c r="Q4" i="1"/>
  <c r="S4" i="1" s="1"/>
  <c r="U4" i="1" s="1"/>
  <c r="Q3" i="1"/>
  <c r="S3" i="1" s="1"/>
  <c r="U3" i="1" s="1"/>
  <c r="T1" i="1"/>
  <c r="V12" i="1" l="1"/>
  <c r="W12" i="1" s="1"/>
  <c r="X12" i="1" s="1"/>
  <c r="V18" i="1"/>
  <c r="W18" i="1" s="1"/>
  <c r="X18" i="1" s="1"/>
  <c r="V4" i="1"/>
  <c r="W4" i="1" s="1"/>
  <c r="X4" i="1" s="1"/>
  <c r="V22" i="1"/>
  <c r="W22" i="1" s="1"/>
  <c r="X22" i="1" s="1"/>
  <c r="V11" i="1"/>
  <c r="W11" i="1" s="1"/>
  <c r="X11" i="1" s="1"/>
  <c r="V16" i="1"/>
  <c r="W16" i="1" s="1"/>
  <c r="X16" i="1" s="1"/>
  <c r="V25" i="1"/>
  <c r="W25" i="1" s="1"/>
  <c r="X25" i="1" s="1"/>
  <c r="V6" i="1"/>
  <c r="W6" i="1" s="1"/>
  <c r="X6" i="1" s="1"/>
  <c r="U1" i="1"/>
  <c r="V19" i="1"/>
  <c r="W19" i="1" s="1"/>
  <c r="X19" i="1" s="1"/>
  <c r="V9" i="1"/>
  <c r="W9" i="1" s="1"/>
  <c r="X9" i="1" s="1"/>
  <c r="V23" i="1"/>
  <c r="W23" i="1" s="1"/>
  <c r="X23" i="1" s="1"/>
  <c r="V8" i="1"/>
  <c r="W8" i="1" s="1"/>
  <c r="X8" i="1" s="1"/>
  <c r="V20" i="1"/>
  <c r="W20" i="1" s="1"/>
  <c r="X20" i="1" s="1"/>
  <c r="V24" i="1"/>
  <c r="W24" i="1" s="1"/>
  <c r="X24" i="1" s="1"/>
  <c r="V15" i="1"/>
  <c r="W15" i="1" s="1"/>
  <c r="X15" i="1" s="1"/>
  <c r="V7" i="1"/>
  <c r="W7" i="1" s="1"/>
  <c r="X7" i="1" s="1"/>
  <c r="V3" i="1"/>
  <c r="W3" i="1" s="1"/>
  <c r="X3" i="1" s="1"/>
  <c r="V17" i="1"/>
  <c r="W17" i="1" s="1"/>
  <c r="X17" i="1" s="1"/>
</calcChain>
</file>

<file path=xl/sharedStrings.xml><?xml version="1.0" encoding="utf-8"?>
<sst xmlns="http://schemas.openxmlformats.org/spreadsheetml/2006/main" count="255" uniqueCount="122">
  <si>
    <t>Project Name</t>
  </si>
  <si>
    <t>Sequence Number</t>
  </si>
  <si>
    <t>Location</t>
  </si>
  <si>
    <t>Customer Internal Part Number</t>
  </si>
  <si>
    <t>Transaction Date</t>
  </si>
  <si>
    <t>Distributor Name</t>
  </si>
  <si>
    <t>Distributor Part Number</t>
  </si>
  <si>
    <t>Item Description</t>
  </si>
  <si>
    <t>Manufacturer</t>
  </si>
  <si>
    <t>Manufacturer Part Number</t>
  </si>
  <si>
    <t>Other Notes 1</t>
  </si>
  <si>
    <t>Other Notes 2</t>
  </si>
  <si>
    <t>Other Notes 3</t>
  </si>
  <si>
    <t>UOM</t>
  </si>
  <si>
    <t>UOM Qty</t>
  </si>
  <si>
    <t>Pack Price</t>
  </si>
  <si>
    <t>Normalized Price</t>
  </si>
  <si>
    <t>Qty</t>
  </si>
  <si>
    <t>Unit Price</t>
  </si>
  <si>
    <t>Total Baseline Units</t>
  </si>
  <si>
    <t>Extended Price</t>
  </si>
  <si>
    <t>Savings $</t>
  </si>
  <si>
    <t>Savings %</t>
  </si>
  <si>
    <t>Savings Cat.</t>
  </si>
  <si>
    <t>PA Extended</t>
  </si>
  <si>
    <t>PA Price</t>
  </si>
  <si>
    <t>AIT Units/Pack</t>
  </si>
  <si>
    <t>Notes</t>
  </si>
  <si>
    <t>1ST SAP MFR</t>
  </si>
  <si>
    <t>1ST SAP PN</t>
  </si>
  <si>
    <t>1ST SAP MATERIAL#</t>
  </si>
  <si>
    <t>CATEGORY</t>
  </si>
  <si>
    <t>1ST SAP DESCRIPTION</t>
  </si>
  <si>
    <t>1ST SAP UOM</t>
  </si>
  <si>
    <t>1ST SAP MATERIAL STATUS</t>
  </si>
  <si>
    <t>1ST SAP MATCH TYPE</t>
  </si>
  <si>
    <t>CSPL</t>
  </si>
  <si>
    <t>CODE</t>
  </si>
  <si>
    <t>PA NOTES</t>
  </si>
  <si>
    <t>BENCHMARK LOCATION</t>
  </si>
  <si>
    <t>EA</t>
  </si>
  <si>
    <t>WATTS</t>
  </si>
  <si>
    <t>VALVE, REDUCING, WATER PRESSURE, W/GUAGE</t>
  </si>
  <si>
    <t>1/2 LF25AUB-GG-Z3</t>
  </si>
  <si>
    <t>DRUM,55 GAL W/CLAMP RING LID</t>
  </si>
  <si>
    <t>STOLNIK</t>
  </si>
  <si>
    <t>DRUM, 55 GAL, CLOSED HEAD, STEEL  (ENVIRO)</t>
  </si>
  <si>
    <t>1656MB</t>
  </si>
  <si>
    <t>DRUM, PLASTIC, 55 GAL, OPEN END TRANSPORT, BLUE POLYETHLENE</t>
  </si>
  <si>
    <t>AKCON</t>
  </si>
  <si>
    <t>OS55BP</t>
  </si>
  <si>
    <t>LIGHT,RED FLASHING,LED,HAZARD WARNING FOR DOOR MACHINE AND HOT CAR</t>
  </si>
  <si>
    <t>191XL-120-240R</t>
  </si>
  <si>
    <t>LIDS 55GAL DRUM  CLAMP ON</t>
  </si>
  <si>
    <t>HEATER,OVERLOAD,48-65,MANUAL RESET</t>
  </si>
  <si>
    <t>TELEMECANIQU</t>
  </si>
  <si>
    <t>SR2B</t>
  </si>
  <si>
    <t>RELAY,CONTROL,SMART, COMPACT, 20 I/O,100-240 VAC,WITH CLOCK DISPLAY</t>
  </si>
  <si>
    <t>SCHNIEDER</t>
  </si>
  <si>
    <t>SR2B201FU</t>
  </si>
  <si>
    <t>MOTOR BASE, ADJUSTABLE, NEMA STEEL, FOR 405T MOTOR FRAME</t>
  </si>
  <si>
    <t>SG1626ZC2P1S</t>
  </si>
  <si>
    <t>GATE, SAFETY, ADJUSTABLE, 16" TO 26" OPENING, SELF-CLOSING, SAFETY YELLOW</t>
  </si>
  <si>
    <t>COTTERMAN</t>
  </si>
  <si>
    <t>AG1626ZC2</t>
  </si>
  <si>
    <t>MIRROR,SS,10 X 14,SAFETY SECURITY</t>
  </si>
  <si>
    <t>RFI 1"</t>
  </si>
  <si>
    <t>INDICATOR,FLOW,8-60 GPM LQD,1" FNPT INLET/OUTLET,BR CS,RTR,60 GPM MAX,212 F MAX,200 PSI MAX</t>
  </si>
  <si>
    <t>GEMS SENSORS</t>
  </si>
  <si>
    <t>WHEEL CHOCK, DOUBLE, GENERAL PURPOSE, W ROPE OR CHAIN</t>
  </si>
  <si>
    <t>MONSTER MOTI</t>
  </si>
  <si>
    <t>LIGHT,EMERGENCY,12 VT,REMOTE HEAD, HALOGEN</t>
  </si>
  <si>
    <t>UTILITY PUMP,1/12 HP,120V</t>
  </si>
  <si>
    <t>HAMMER SLEDGE BRASS,1.5 LB</t>
  </si>
  <si>
    <t>NUPLA</t>
  </si>
  <si>
    <t>GAUGE,VACUUM,30 IN HG,4 1/2" DIAL</t>
  </si>
  <si>
    <t>ASHCROFT</t>
  </si>
  <si>
    <t>FILTER, PLEATED AIR, 18" X 22" X 1", 12/BOX</t>
  </si>
  <si>
    <t>AMERICAN AIR FILTERS</t>
  </si>
  <si>
    <t>173-11-18ANNA</t>
  </si>
  <si>
    <t>LIGHT,EMERGENCY,6 VT,REMOTE HEAD, INDCAND</t>
  </si>
  <si>
    <t>ELA NX H0806</t>
  </si>
  <si>
    <t>LAMP,EMERGANCY BUIDING LIGHTS (7613)</t>
  </si>
  <si>
    <t>MIRROR,INSPECTION,4 " DIA</t>
  </si>
  <si>
    <t>FUEL CAP, BREATHER</t>
  </si>
  <si>
    <t>LDI-VESCOR</t>
  </si>
  <si>
    <t>FITTING ,6MM X 1/8 MALE NPT, TUBE ELBOW,</t>
  </si>
  <si>
    <t>LEGRIS</t>
  </si>
  <si>
    <t>3109 06</t>
  </si>
  <si>
    <t>SRPE150A125</t>
  </si>
  <si>
    <t>RATING PLUG, CIRCUIT BREAKER, 150 AMP, 125 AMP PLUG RATING</t>
  </si>
  <si>
    <t>GE</t>
  </si>
  <si>
    <t>Suncoke_Multiple Suppliers CRF</t>
  </si>
  <si>
    <t>WATT</t>
  </si>
  <si>
    <t>SG1626ZCP1S</t>
  </si>
  <si>
    <t>LF25AUB-GG-Z3</t>
  </si>
  <si>
    <t>EGMF</t>
  </si>
  <si>
    <t>MELP</t>
  </si>
  <si>
    <t>MISC</t>
  </si>
  <si>
    <t>FLUID POWER</t>
  </si>
  <si>
    <t>E</t>
  </si>
  <si>
    <t>FPA/POR</t>
  </si>
  <si>
    <t>ELECTRICAL POWER TRANSMISSION</t>
  </si>
  <si>
    <t>GENERAL INDUSTRIAL SUPPLY</t>
  </si>
  <si>
    <t>SAFETY PRODUCTS</t>
  </si>
  <si>
    <t>NO PART #</t>
  </si>
  <si>
    <t>AAF</t>
  </si>
  <si>
    <t>173-11-18A22A</t>
  </si>
  <si>
    <t>45-1259SD-04L-100</t>
  </si>
  <si>
    <t>ASHN</t>
  </si>
  <si>
    <t>TOOLS</t>
  </si>
  <si>
    <t>NUPL</t>
  </si>
  <si>
    <t>GT5563</t>
  </si>
  <si>
    <t>VES</t>
  </si>
  <si>
    <t>3609 56 11 96</t>
  </si>
  <si>
    <t>LEGR</t>
  </si>
  <si>
    <t>MSP</t>
  </si>
  <si>
    <t>NO</t>
  </si>
  <si>
    <t>YES</t>
  </si>
  <si>
    <t>NMI</t>
  </si>
  <si>
    <t>ELECTRICAL</t>
  </si>
  <si>
    <t>GRAINGER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</si>
</sst>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A8CC9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44" fontId="5" fillId="5" borderId="0" xfId="1" applyFont="1" applyFill="1" applyAlignment="1">
      <alignment horizontal="center" vertical="center"/>
    </xf>
    <xf numFmtId="9" fontId="5" fillId="5" borderId="0" xfId="2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2" fillId="4" borderId="0" xfId="0" applyNumberFormat="1" applyFont="1" applyFill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6"/>
  <sheetViews>
    <sheetView tabSelected="1" workbookViewId="0">
      <selection activeCell="B2" sqref="B2"/>
    </sheetView>
  </sheetViews>
  <sheetFormatPr defaultRowHeight="15" x14ac:dyDescent="0.25"/>
  <cols>
    <col min="1" max="1" width="30.140625" bestFit="1" customWidth="1"/>
    <col min="2" max="2" width="14.28515625" bestFit="1" customWidth="1"/>
    <col min="3" max="3" width="13" bestFit="1" customWidth="1"/>
    <col min="4" max="4" width="16.5703125" bestFit="1" customWidth="1"/>
    <col min="5" max="5" width="14.5703125" bestFit="1" customWidth="1"/>
    <col min="6" max="6" width="15.140625" bestFit="1" customWidth="1"/>
    <col min="7" max="7" width="19.28515625" bestFit="1" customWidth="1"/>
    <col min="8" max="8" width="94.28515625" bestFit="1" customWidth="1"/>
    <col min="9" max="9" width="21.42578125" bestFit="1" customWidth="1"/>
    <col min="10" max="10" width="22" bestFit="1" customWidth="1"/>
    <col min="11" max="13" width="16.42578125" bestFit="1" customWidth="1"/>
    <col min="14" max="14" width="10.28515625" bestFit="1" customWidth="1"/>
    <col min="15" max="15" width="13.85546875" bestFit="1" customWidth="1"/>
    <col min="16" max="16" width="14.42578125" bestFit="1" customWidth="1"/>
    <col min="17" max="17" width="15.85546875" bestFit="1" customWidth="1"/>
    <col min="18" max="18" width="8.7109375" bestFit="1" customWidth="1"/>
    <col min="19" max="19" width="14.28515625" bestFit="1" customWidth="1"/>
    <col min="20" max="20" width="13.140625" bestFit="1" customWidth="1"/>
    <col min="21" max="21" width="14" bestFit="1" customWidth="1"/>
    <col min="22" max="22" width="13.5703125" bestFit="1" customWidth="1"/>
    <col min="23" max="23" width="14.140625" bestFit="1" customWidth="1"/>
    <col min="24" max="24" width="16" bestFit="1" customWidth="1"/>
    <col min="25" max="25" width="16.85546875" bestFit="1" customWidth="1"/>
    <col min="26" max="26" width="14.28515625" bestFit="1" customWidth="1"/>
    <col min="27" max="27" width="12.85546875" style="12" bestFit="1" customWidth="1"/>
    <col min="28" max="28" width="14.140625" bestFit="1" customWidth="1"/>
    <col min="29" max="29" width="11" bestFit="1" customWidth="1"/>
    <col min="30" max="30" width="16.85546875" bestFit="1" customWidth="1"/>
    <col min="31" max="31" width="17.5703125" bestFit="1" customWidth="1"/>
    <col min="32" max="32" width="15.5703125" bestFit="1" customWidth="1"/>
    <col min="33" max="33" width="32.7109375" bestFit="1" customWidth="1"/>
    <col min="34" max="34" width="15.85546875" bestFit="1" customWidth="1"/>
    <col min="35" max="35" width="12.42578125" bestFit="1" customWidth="1"/>
    <col min="36" max="36" width="14.5703125" bestFit="1" customWidth="1"/>
    <col min="37" max="37" width="16.85546875" bestFit="1" customWidth="1"/>
    <col min="38" max="38" width="9.7109375" bestFit="1" customWidth="1"/>
    <col min="39" max="39" width="10.42578125" bestFit="1" customWidth="1"/>
    <col min="40" max="40" width="11.42578125" bestFit="1" customWidth="1"/>
    <col min="41" max="41" width="17" bestFit="1" customWidth="1"/>
  </cols>
  <sheetData>
    <row r="1" spans="1:41" x14ac:dyDescent="0.25">
      <c r="T1" s="1">
        <f>SUBTOTAL(2,R3:R20000)</f>
        <v>24</v>
      </c>
      <c r="U1" s="2">
        <f>SUBTOTAL(9,U3:U20000)</f>
        <v>0</v>
      </c>
    </row>
    <row r="2" spans="1:41" s="6" customFormat="1" ht="45.75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4" t="s">
        <v>21</v>
      </c>
      <c r="W2" s="4" t="s">
        <v>22</v>
      </c>
      <c r="X2" s="4" t="s">
        <v>23</v>
      </c>
      <c r="Y2" s="5" t="s">
        <v>24</v>
      </c>
      <c r="Z2" s="5" t="s">
        <v>18</v>
      </c>
      <c r="AA2" s="13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</row>
    <row r="3" spans="1:41" x14ac:dyDescent="0.25">
      <c r="A3" t="s">
        <v>92</v>
      </c>
      <c r="B3" s="10">
        <v>1</v>
      </c>
      <c r="D3">
        <v>64817</v>
      </c>
      <c r="H3" t="s">
        <v>42</v>
      </c>
      <c r="I3" t="s">
        <v>41</v>
      </c>
      <c r="J3" t="s">
        <v>43</v>
      </c>
      <c r="N3" s="10" t="s">
        <v>40</v>
      </c>
      <c r="O3" s="10">
        <v>1</v>
      </c>
      <c r="P3" s="11"/>
      <c r="Q3" s="11">
        <f>P3</f>
        <v>0</v>
      </c>
      <c r="R3" s="10">
        <v>1</v>
      </c>
      <c r="S3" s="8">
        <f>Q3/O3</f>
        <v>0</v>
      </c>
      <c r="T3" s="7">
        <f>O3*R3</f>
        <v>1</v>
      </c>
      <c r="U3" s="8">
        <f>T3*S3</f>
        <v>0</v>
      </c>
      <c r="V3" s="8">
        <f>U3-Y3</f>
        <v>-353.67</v>
      </c>
      <c r="W3" s="9">
        <f>IFERROR(V3/U3,0)</f>
        <v>0</v>
      </c>
      <c r="X3" s="7" t="str">
        <f>IF(B3="","",(IF(W3&lt;0,"Negative",IF(W3=0,"Same",IF(W3&gt;0.3,"30+%",IF(W3&gt;0.2,"20-30%",IF(W3&gt;0.1,"10-20%",IF(W3&lt;=0.1,"0-10%"))))))))</f>
        <v>Same</v>
      </c>
      <c r="Y3" s="8">
        <f>Z3*T3</f>
        <v>353.67</v>
      </c>
      <c r="Z3" s="8">
        <f>AA3/AB3</f>
        <v>353.67</v>
      </c>
      <c r="AA3" s="12">
        <v>353.67</v>
      </c>
      <c r="AB3">
        <v>1</v>
      </c>
      <c r="AD3" t="s">
        <v>93</v>
      </c>
      <c r="AE3" t="s">
        <v>95</v>
      </c>
      <c r="AF3">
        <v>118128159</v>
      </c>
      <c r="AG3" t="s">
        <v>99</v>
      </c>
      <c r="AI3" t="s">
        <v>40</v>
      </c>
      <c r="AJ3" t="s">
        <v>101</v>
      </c>
      <c r="AK3" t="s">
        <v>100</v>
      </c>
      <c r="AL3" t="s">
        <v>117</v>
      </c>
    </row>
    <row r="4" spans="1:41" x14ac:dyDescent="0.25">
      <c r="A4" t="s">
        <v>92</v>
      </c>
      <c r="B4" s="10">
        <v>2</v>
      </c>
      <c r="D4">
        <v>32114</v>
      </c>
      <c r="H4" t="s">
        <v>44</v>
      </c>
      <c r="I4" t="s">
        <v>45</v>
      </c>
      <c r="N4" s="10" t="s">
        <v>40</v>
      </c>
      <c r="O4" s="10">
        <v>1</v>
      </c>
      <c r="P4" s="11"/>
      <c r="Q4" s="11">
        <f>P4</f>
        <v>0</v>
      </c>
      <c r="R4" s="10">
        <v>10</v>
      </c>
      <c r="S4" s="8">
        <f>Q4/O4</f>
        <v>0</v>
      </c>
      <c r="T4" s="7">
        <f>O4*R4</f>
        <v>10</v>
      </c>
      <c r="U4" s="8">
        <f>T4*S4</f>
        <v>0</v>
      </c>
      <c r="V4" s="8" t="e">
        <f>U4-Y4</f>
        <v>#DIV/0!</v>
      </c>
      <c r="W4" s="9">
        <f>IFERROR(V4/U4,0)</f>
        <v>0</v>
      </c>
      <c r="X4" s="7" t="str">
        <f>IF(B4="","",(IF(W4&lt;0,"Negative",IF(W4=0,"Same",IF(W4&gt;0.3,"30+%",IF(W4&gt;0.2,"20-30%",IF(W4&gt;0.1,"10-20%",IF(W4&lt;=0.1,"0-10%"))))))))</f>
        <v>Same</v>
      </c>
      <c r="Y4" s="8" t="e">
        <f>Z4*T4</f>
        <v>#DIV/0!</v>
      </c>
      <c r="Z4" s="8" t="e">
        <f>AA4/AB4</f>
        <v>#DIV/0!</v>
      </c>
      <c r="AA4"/>
      <c r="AC4" t="s">
        <v>105</v>
      </c>
      <c r="AM4" t="s">
        <v>119</v>
      </c>
    </row>
    <row r="5" spans="1:41" x14ac:dyDescent="0.25">
      <c r="A5" t="s">
        <v>92</v>
      </c>
      <c r="B5" s="10">
        <v>4</v>
      </c>
      <c r="D5">
        <v>35581</v>
      </c>
      <c r="H5" t="s">
        <v>46</v>
      </c>
      <c r="N5" s="10" t="s">
        <v>40</v>
      </c>
      <c r="O5" s="10">
        <v>1</v>
      </c>
      <c r="P5" s="11"/>
      <c r="Q5" s="11">
        <f>P5</f>
        <v>0</v>
      </c>
      <c r="R5" s="10">
        <v>8</v>
      </c>
      <c r="S5" s="8">
        <f>Q5/O5</f>
        <v>0</v>
      </c>
      <c r="T5" s="7">
        <f>O5*R5</f>
        <v>8</v>
      </c>
      <c r="U5" s="8">
        <f>T5*S5</f>
        <v>0</v>
      </c>
      <c r="V5" s="8" t="e">
        <f>U5-Y5</f>
        <v>#DIV/0!</v>
      </c>
      <c r="W5" s="9">
        <f>IFERROR(V5/U5,0)</f>
        <v>0</v>
      </c>
      <c r="X5" s="7" t="str">
        <f>IF(B5="","",(IF(W5&lt;0,"Negative",IF(W5=0,"Same",IF(W5&gt;0.3,"30+%",IF(W5&gt;0.2,"20-30%",IF(W5&gt;0.1,"10-20%",IF(W5&lt;=0.1,"0-10%"))))))))</f>
        <v>Same</v>
      </c>
      <c r="Y5" s="8" t="e">
        <f>Z5*T5</f>
        <v>#DIV/0!</v>
      </c>
      <c r="Z5" s="8" t="e">
        <f>AA5/AB5</f>
        <v>#DIV/0!</v>
      </c>
      <c r="AA5"/>
      <c r="AC5" t="s">
        <v>105</v>
      </c>
      <c r="AM5" t="s">
        <v>119</v>
      </c>
    </row>
    <row r="6" spans="1:41" x14ac:dyDescent="0.25">
      <c r="A6" t="s">
        <v>92</v>
      </c>
      <c r="B6" s="10">
        <v>5</v>
      </c>
      <c r="D6">
        <v>44223</v>
      </c>
      <c r="G6" t="s">
        <v>47</v>
      </c>
      <c r="H6" t="s">
        <v>48</v>
      </c>
      <c r="I6" t="s">
        <v>49</v>
      </c>
      <c r="J6" t="s">
        <v>50</v>
      </c>
      <c r="N6" s="10" t="s">
        <v>40</v>
      </c>
      <c r="O6" s="10">
        <v>1</v>
      </c>
      <c r="P6" s="11"/>
      <c r="Q6" s="11">
        <f>P6</f>
        <v>0</v>
      </c>
      <c r="R6" s="10">
        <v>4</v>
      </c>
      <c r="S6" s="8">
        <f>Q6/O6</f>
        <v>0</v>
      </c>
      <c r="T6" s="7">
        <f>O6*R6</f>
        <v>4</v>
      </c>
      <c r="U6" s="8">
        <f>T6*S6</f>
        <v>0</v>
      </c>
      <c r="V6" s="8">
        <f>U6-Y6</f>
        <v>-467.88</v>
      </c>
      <c r="W6" s="9">
        <f>IFERROR(V6/U6,0)</f>
        <v>0</v>
      </c>
      <c r="X6" s="7" t="str">
        <f>IF(B6="","",(IF(W6&lt;0,"Negative",IF(W6=0,"Same",IF(W6&gt;0.3,"30+%",IF(W6&gt;0.2,"20-30%",IF(W6&gt;0.1,"10-20%",IF(W6&lt;=0.1,"0-10%"))))))))</f>
        <v>Same</v>
      </c>
      <c r="Y6" s="8">
        <f>Z6*T6</f>
        <v>467.88</v>
      </c>
      <c r="Z6" s="8">
        <f>AA6/AB6</f>
        <v>116.97</v>
      </c>
      <c r="AA6" s="12">
        <v>116.97</v>
      </c>
      <c r="AB6">
        <v>1</v>
      </c>
      <c r="AD6" t="s">
        <v>96</v>
      </c>
      <c r="AE6" t="s">
        <v>47</v>
      </c>
      <c r="AF6">
        <v>113459124</v>
      </c>
      <c r="AG6" t="s">
        <v>104</v>
      </c>
      <c r="AI6" t="s">
        <v>40</v>
      </c>
      <c r="AJ6" t="s">
        <v>101</v>
      </c>
      <c r="AK6" t="s">
        <v>100</v>
      </c>
      <c r="AL6" t="s">
        <v>117</v>
      </c>
    </row>
    <row r="7" spans="1:41" x14ac:dyDescent="0.25">
      <c r="A7" t="s">
        <v>92</v>
      </c>
      <c r="B7" s="10">
        <v>6</v>
      </c>
      <c r="D7">
        <v>4400</v>
      </c>
      <c r="H7" t="s">
        <v>51</v>
      </c>
      <c r="J7" t="s">
        <v>52</v>
      </c>
      <c r="N7" s="10" t="s">
        <v>40</v>
      </c>
      <c r="O7" s="10">
        <v>1</v>
      </c>
      <c r="P7" s="11"/>
      <c r="Q7" s="11">
        <f>P7</f>
        <v>0</v>
      </c>
      <c r="R7" s="10">
        <v>2</v>
      </c>
      <c r="S7" s="8">
        <f>Q7/O7</f>
        <v>0</v>
      </c>
      <c r="T7" s="7">
        <f>O7*R7</f>
        <v>2</v>
      </c>
      <c r="U7" s="8">
        <f>T7*S7</f>
        <v>0</v>
      </c>
      <c r="V7" s="8">
        <f>U7-Y7</f>
        <v>-1362.68</v>
      </c>
      <c r="W7" s="9">
        <f>IFERROR(V7/U7,0)</f>
        <v>0</v>
      </c>
      <c r="X7" s="7" t="str">
        <f>IF(B7="","",(IF(W7&lt;0,"Negative",IF(W7=0,"Same",IF(W7&gt;0.3,"30+%",IF(W7&gt;0.2,"20-30%",IF(W7&gt;0.1,"10-20%",IF(W7&lt;=0.1,"0-10%"))))))))</f>
        <v>Same</v>
      </c>
      <c r="Y7" s="8">
        <f>Z7*T7</f>
        <v>1362.68</v>
      </c>
      <c r="Z7" s="8">
        <f>AA7/AB7</f>
        <v>681.34</v>
      </c>
      <c r="AA7" s="12">
        <v>681.34</v>
      </c>
      <c r="AB7">
        <v>1</v>
      </c>
      <c r="AC7" t="s">
        <v>120</v>
      </c>
      <c r="AD7" t="s">
        <v>97</v>
      </c>
      <c r="AE7" t="s">
        <v>52</v>
      </c>
      <c r="AF7">
        <v>113934918</v>
      </c>
      <c r="AG7" t="s">
        <v>102</v>
      </c>
      <c r="AI7" t="s">
        <v>40</v>
      </c>
      <c r="AJ7" t="s">
        <v>101</v>
      </c>
      <c r="AK7" t="s">
        <v>100</v>
      </c>
      <c r="AL7" t="s">
        <v>117</v>
      </c>
    </row>
    <row r="8" spans="1:41" x14ac:dyDescent="0.25">
      <c r="A8" t="s">
        <v>92</v>
      </c>
      <c r="B8" s="10">
        <v>7</v>
      </c>
      <c r="D8">
        <v>32115</v>
      </c>
      <c r="H8" t="s">
        <v>53</v>
      </c>
      <c r="I8" t="s">
        <v>45</v>
      </c>
      <c r="N8" s="10" t="s">
        <v>40</v>
      </c>
      <c r="O8" s="10">
        <v>1</v>
      </c>
      <c r="P8" s="11"/>
      <c r="Q8" s="11">
        <f>P8</f>
        <v>0</v>
      </c>
      <c r="R8" s="10">
        <v>12</v>
      </c>
      <c r="S8" s="8">
        <f>Q8/O8</f>
        <v>0</v>
      </c>
      <c r="T8" s="7">
        <f>O8*R8</f>
        <v>12</v>
      </c>
      <c r="U8" s="8">
        <f>T8*S8</f>
        <v>0</v>
      </c>
      <c r="V8" s="8" t="e">
        <f>U8-Y8</f>
        <v>#DIV/0!</v>
      </c>
      <c r="W8" s="9">
        <f>IFERROR(V8/U8,0)</f>
        <v>0</v>
      </c>
      <c r="X8" s="7" t="str">
        <f>IF(B8="","",(IF(W8&lt;0,"Negative",IF(W8=0,"Same",IF(W8&gt;0.3,"30+%",IF(W8&gt;0.2,"20-30%",IF(W8&gt;0.1,"10-20%",IF(W8&lt;=0.1,"0-10%"))))))))</f>
        <v>Same</v>
      </c>
      <c r="Y8" s="8" t="e">
        <f>Z8*T8</f>
        <v>#DIV/0!</v>
      </c>
      <c r="Z8" s="8" t="e">
        <f>AA8/AB8</f>
        <v>#DIV/0!</v>
      </c>
      <c r="AA8"/>
      <c r="AC8" t="s">
        <v>105</v>
      </c>
      <c r="AM8" t="s">
        <v>119</v>
      </c>
    </row>
    <row r="9" spans="1:41" x14ac:dyDescent="0.25">
      <c r="A9" t="s">
        <v>92</v>
      </c>
      <c r="B9" s="10">
        <v>10</v>
      </c>
      <c r="D9">
        <v>5129</v>
      </c>
      <c r="H9" t="s">
        <v>54</v>
      </c>
      <c r="I9" t="s">
        <v>55</v>
      </c>
      <c r="N9" s="10" t="s">
        <v>40</v>
      </c>
      <c r="O9" s="10">
        <v>1</v>
      </c>
      <c r="P9" s="11"/>
      <c r="Q9" s="11">
        <f>P9</f>
        <v>0</v>
      </c>
      <c r="R9" s="10">
        <v>1</v>
      </c>
      <c r="S9" s="8">
        <f>Q9/O9</f>
        <v>0</v>
      </c>
      <c r="T9" s="7">
        <f>O9*R9</f>
        <v>1</v>
      </c>
      <c r="U9" s="8">
        <f>T9*S9</f>
        <v>0</v>
      </c>
      <c r="V9" s="8" t="e">
        <f>U9-Y9</f>
        <v>#DIV/0!</v>
      </c>
      <c r="W9" s="9">
        <f>IFERROR(V9/U9,0)</f>
        <v>0</v>
      </c>
      <c r="X9" s="7" t="str">
        <f>IF(B9="","",(IF(W9&lt;0,"Negative",IF(W9=0,"Same",IF(W9&gt;0.3,"30+%",IF(W9&gt;0.2,"20-30%",IF(W9&gt;0.1,"10-20%",IF(W9&lt;=0.1,"0-10%"))))))))</f>
        <v>Same</v>
      </c>
      <c r="Y9" s="8" t="e">
        <f>Z9*T9</f>
        <v>#DIV/0!</v>
      </c>
      <c r="Z9" s="8" t="e">
        <f>AA9/AB9</f>
        <v>#DIV/0!</v>
      </c>
      <c r="AA9"/>
      <c r="AC9" t="s">
        <v>105</v>
      </c>
      <c r="AM9" t="s">
        <v>119</v>
      </c>
    </row>
    <row r="10" spans="1:41" x14ac:dyDescent="0.25">
      <c r="A10" t="s">
        <v>92</v>
      </c>
      <c r="B10" s="10">
        <v>11</v>
      </c>
      <c r="D10">
        <v>38046</v>
      </c>
      <c r="G10" t="s">
        <v>56</v>
      </c>
      <c r="H10" t="s">
        <v>57</v>
      </c>
      <c r="I10" t="s">
        <v>58</v>
      </c>
      <c r="J10" t="s">
        <v>59</v>
      </c>
      <c r="N10" s="10" t="s">
        <v>40</v>
      </c>
      <c r="O10" s="10">
        <v>1</v>
      </c>
      <c r="P10" s="11"/>
      <c r="Q10" s="11">
        <f>P10</f>
        <v>0</v>
      </c>
      <c r="R10" s="10">
        <v>1</v>
      </c>
      <c r="S10" s="8">
        <f>Q10/O10</f>
        <v>0</v>
      </c>
      <c r="T10" s="7">
        <f>O10*R10</f>
        <v>1</v>
      </c>
      <c r="U10" s="8">
        <f>T10*S10</f>
        <v>0</v>
      </c>
      <c r="V10" s="8">
        <f>U10-Y10</f>
        <v>-278.97000000000003</v>
      </c>
      <c r="W10" s="9">
        <f>IFERROR(V10/U10,0)</f>
        <v>0</v>
      </c>
      <c r="X10" s="7" t="str">
        <f>IF(B10="","",(IF(W10&lt;0,"Negative",IF(W10=0,"Same",IF(W10&gt;0.3,"30+%",IF(W10&gt;0.2,"20-30%",IF(W10&gt;0.1,"10-20%",IF(W10&lt;=0.1,"0-10%"))))))))</f>
        <v>Same</v>
      </c>
      <c r="Y10" s="8">
        <f>Z10*T10</f>
        <v>278.97000000000003</v>
      </c>
      <c r="Z10" s="8">
        <f>AA10/AB10</f>
        <v>278.97000000000003</v>
      </c>
      <c r="AA10" s="12">
        <v>278.97000000000003</v>
      </c>
      <c r="AB10">
        <v>1</v>
      </c>
      <c r="AC10" t="s">
        <v>120</v>
      </c>
      <c r="AD10" t="s">
        <v>97</v>
      </c>
      <c r="AE10" t="s">
        <v>59</v>
      </c>
      <c r="AF10">
        <v>116651201</v>
      </c>
      <c r="AG10" t="s">
        <v>102</v>
      </c>
      <c r="AI10" t="s">
        <v>40</v>
      </c>
      <c r="AJ10" t="s">
        <v>101</v>
      </c>
      <c r="AK10" t="s">
        <v>100</v>
      </c>
      <c r="AL10" t="s">
        <v>117</v>
      </c>
    </row>
    <row r="11" spans="1:41" x14ac:dyDescent="0.25">
      <c r="A11" t="s">
        <v>92</v>
      </c>
      <c r="B11" s="10">
        <v>12</v>
      </c>
      <c r="D11">
        <v>65210</v>
      </c>
      <c r="H11" t="s">
        <v>60</v>
      </c>
      <c r="N11" s="10" t="s">
        <v>40</v>
      </c>
      <c r="O11" s="10">
        <v>1</v>
      </c>
      <c r="P11" s="11"/>
      <c r="Q11" s="11">
        <f>P11</f>
        <v>0</v>
      </c>
      <c r="R11" s="10">
        <v>1</v>
      </c>
      <c r="S11" s="8">
        <f>Q11/O11</f>
        <v>0</v>
      </c>
      <c r="T11" s="7">
        <f>O11*R11</f>
        <v>1</v>
      </c>
      <c r="U11" s="8">
        <f>T11*S11</f>
        <v>0</v>
      </c>
      <c r="V11" s="8" t="e">
        <f>U11-Y11</f>
        <v>#DIV/0!</v>
      </c>
      <c r="W11" s="9">
        <f>IFERROR(V11/U11,0)</f>
        <v>0</v>
      </c>
      <c r="X11" s="7" t="str">
        <f>IF(B11="","",(IF(W11&lt;0,"Negative",IF(W11=0,"Same",IF(W11&gt;0.3,"30+%",IF(W11&gt;0.2,"20-30%",IF(W11&gt;0.1,"10-20%",IF(W11&lt;=0.1,"0-10%"))))))))</f>
        <v>Same</v>
      </c>
      <c r="Y11" s="8" t="e">
        <f>Z11*T11</f>
        <v>#DIV/0!</v>
      </c>
      <c r="Z11" s="8" t="e">
        <f>AA11/AB11</f>
        <v>#DIV/0!</v>
      </c>
      <c r="AA11"/>
      <c r="AC11" t="s">
        <v>105</v>
      </c>
      <c r="AM11" t="s">
        <v>119</v>
      </c>
    </row>
    <row r="12" spans="1:41" x14ac:dyDescent="0.25">
      <c r="A12" t="s">
        <v>92</v>
      </c>
      <c r="B12" s="10">
        <v>13</v>
      </c>
      <c r="D12">
        <v>5281</v>
      </c>
      <c r="G12" t="s">
        <v>61</v>
      </c>
      <c r="H12" t="s">
        <v>62</v>
      </c>
      <c r="I12" t="s">
        <v>63</v>
      </c>
      <c r="J12" t="s">
        <v>64</v>
      </c>
      <c r="N12" s="10" t="s">
        <v>40</v>
      </c>
      <c r="O12" s="10">
        <v>1</v>
      </c>
      <c r="P12" s="11"/>
      <c r="Q12" s="11">
        <f>P12</f>
        <v>0</v>
      </c>
      <c r="R12" s="10">
        <v>2</v>
      </c>
      <c r="S12" s="8">
        <f>Q12/O12</f>
        <v>0</v>
      </c>
      <c r="T12" s="7">
        <f>O12*R12</f>
        <v>2</v>
      </c>
      <c r="U12" s="8">
        <f>T12*S12</f>
        <v>0</v>
      </c>
      <c r="V12" s="8">
        <f>U12-Y12</f>
        <v>-652.79999999999995</v>
      </c>
      <c r="W12" s="9">
        <f>IFERROR(V12/U12,0)</f>
        <v>0</v>
      </c>
      <c r="X12" s="7" t="str">
        <f>IF(B12="","",(IF(W12&lt;0,"Negative",IF(W12=0,"Same",IF(W12&gt;0.3,"30+%",IF(W12&gt;0.2,"20-30%",IF(W12&gt;0.1,"10-20%",IF(W12&lt;=0.1,"0-10%"))))))))</f>
        <v>Same</v>
      </c>
      <c r="Y12" s="8">
        <f>Z12*T12</f>
        <v>652.79999999999995</v>
      </c>
      <c r="Z12" s="8">
        <f>AA12/AB12</f>
        <v>326.39999999999998</v>
      </c>
      <c r="AA12" s="12">
        <v>326.39999999999998</v>
      </c>
      <c r="AB12">
        <v>1</v>
      </c>
      <c r="AD12" t="s">
        <v>98</v>
      </c>
      <c r="AE12" t="s">
        <v>94</v>
      </c>
      <c r="AF12">
        <v>115125218</v>
      </c>
      <c r="AG12" t="s">
        <v>103</v>
      </c>
      <c r="AI12" t="s">
        <v>40</v>
      </c>
      <c r="AJ12" t="s">
        <v>101</v>
      </c>
      <c r="AK12" t="s">
        <v>100</v>
      </c>
      <c r="AL12" t="s">
        <v>117</v>
      </c>
    </row>
    <row r="13" spans="1:41" x14ac:dyDescent="0.25">
      <c r="A13" t="s">
        <v>92</v>
      </c>
      <c r="B13" s="10">
        <v>15</v>
      </c>
      <c r="D13">
        <v>4607</v>
      </c>
      <c r="H13" t="s">
        <v>65</v>
      </c>
      <c r="N13" s="10" t="s">
        <v>40</v>
      </c>
      <c r="O13" s="10">
        <v>1</v>
      </c>
      <c r="P13" s="11"/>
      <c r="Q13" s="11">
        <f>P13</f>
        <v>0</v>
      </c>
      <c r="R13" s="10">
        <v>2</v>
      </c>
      <c r="S13" s="8">
        <f>Q13/O13</f>
        <v>0</v>
      </c>
      <c r="T13" s="7">
        <f>O13*R13</f>
        <v>2</v>
      </c>
      <c r="U13" s="8">
        <f>T13*S13</f>
        <v>0</v>
      </c>
      <c r="V13" s="8" t="e">
        <f>U13-Y13</f>
        <v>#DIV/0!</v>
      </c>
      <c r="W13" s="9">
        <f>IFERROR(V13/U13,0)</f>
        <v>0</v>
      </c>
      <c r="X13" s="7" t="str">
        <f>IF(B13="","",(IF(W13&lt;0,"Negative",IF(W13=0,"Same",IF(W13&gt;0.3,"30+%",IF(W13&gt;0.2,"20-30%",IF(W13&gt;0.1,"10-20%",IF(W13&lt;=0.1,"0-10%"))))))))</f>
        <v>Same</v>
      </c>
      <c r="Y13" s="8" t="e">
        <f>Z13*T13</f>
        <v>#DIV/0!</v>
      </c>
      <c r="Z13" s="8" t="e">
        <f>AA13/AB13</f>
        <v>#DIV/0!</v>
      </c>
      <c r="AA13"/>
      <c r="AC13" t="s">
        <v>105</v>
      </c>
      <c r="AM13" t="s">
        <v>119</v>
      </c>
    </row>
    <row r="14" spans="1:41" x14ac:dyDescent="0.25">
      <c r="A14" t="s">
        <v>92</v>
      </c>
      <c r="B14" s="10">
        <v>16</v>
      </c>
      <c r="D14">
        <v>4399</v>
      </c>
      <c r="G14" t="s">
        <v>66</v>
      </c>
      <c r="H14" t="s">
        <v>67</v>
      </c>
      <c r="I14" t="s">
        <v>68</v>
      </c>
      <c r="N14" s="10" t="s">
        <v>40</v>
      </c>
      <c r="O14" s="10">
        <v>1</v>
      </c>
      <c r="P14" s="11"/>
      <c r="Q14" s="11">
        <f>P14</f>
        <v>0</v>
      </c>
      <c r="R14" s="10">
        <v>1</v>
      </c>
      <c r="S14" s="8">
        <f>Q14/O14</f>
        <v>0</v>
      </c>
      <c r="T14" s="7">
        <f>O14*R14</f>
        <v>1</v>
      </c>
      <c r="U14" s="8">
        <f>T14*S14</f>
        <v>0</v>
      </c>
      <c r="V14" s="8" t="e">
        <f>U14-Y14</f>
        <v>#DIV/0!</v>
      </c>
      <c r="W14" s="9">
        <f>IFERROR(V14/U14,0)</f>
        <v>0</v>
      </c>
      <c r="X14" s="7" t="str">
        <f>IF(B14="","",(IF(W14&lt;0,"Negative",IF(W14=0,"Same",IF(W14&gt;0.3,"30+%",IF(W14&gt;0.2,"20-30%",IF(W14&gt;0.1,"10-20%",IF(W14&lt;=0.1,"0-10%"))))))))</f>
        <v>Same</v>
      </c>
      <c r="Y14" s="8" t="e">
        <f>Z14*T14</f>
        <v>#DIV/0!</v>
      </c>
      <c r="Z14" s="8" t="e">
        <f>AA14/AB14</f>
        <v>#DIV/0!</v>
      </c>
      <c r="AC14" t="s">
        <v>105</v>
      </c>
      <c r="AM14" t="s">
        <v>119</v>
      </c>
    </row>
    <row r="15" spans="1:41" x14ac:dyDescent="0.25">
      <c r="A15" t="s">
        <v>92</v>
      </c>
      <c r="B15" s="10">
        <v>17</v>
      </c>
      <c r="D15">
        <v>63685</v>
      </c>
      <c r="H15" t="s">
        <v>69</v>
      </c>
      <c r="I15" t="s">
        <v>70</v>
      </c>
      <c r="N15" s="10" t="s">
        <v>40</v>
      </c>
      <c r="O15" s="10">
        <v>1</v>
      </c>
      <c r="P15" s="11"/>
      <c r="Q15" s="11">
        <f>P15</f>
        <v>0</v>
      </c>
      <c r="R15" s="10">
        <v>2</v>
      </c>
      <c r="S15" s="8">
        <f>Q15/O15</f>
        <v>0</v>
      </c>
      <c r="T15" s="7">
        <f>O15*R15</f>
        <v>2</v>
      </c>
      <c r="U15" s="8">
        <f>T15*S15</f>
        <v>0</v>
      </c>
      <c r="V15" s="8" t="e">
        <f>U15-Y15</f>
        <v>#DIV/0!</v>
      </c>
      <c r="W15" s="9">
        <f>IFERROR(V15/U15,0)</f>
        <v>0</v>
      </c>
      <c r="X15" s="7" t="str">
        <f>IF(B15="","",(IF(W15&lt;0,"Negative",IF(W15=0,"Same",IF(W15&gt;0.3,"30+%",IF(W15&gt;0.2,"20-30%",IF(W15&gt;0.1,"10-20%",IF(W15&lt;=0.1,"0-10%"))))))))</f>
        <v>Same</v>
      </c>
      <c r="Y15" s="8" t="e">
        <f>Z15*T15</f>
        <v>#DIV/0!</v>
      </c>
      <c r="Z15" s="8" t="e">
        <f>AA15/AB15</f>
        <v>#DIV/0!</v>
      </c>
      <c r="AC15" t="s">
        <v>105</v>
      </c>
      <c r="AM15" t="s">
        <v>119</v>
      </c>
    </row>
    <row r="16" spans="1:41" x14ac:dyDescent="0.25">
      <c r="A16" t="s">
        <v>92</v>
      </c>
      <c r="B16" s="10">
        <v>18</v>
      </c>
      <c r="D16">
        <v>5271</v>
      </c>
      <c r="H16" t="s">
        <v>71</v>
      </c>
      <c r="N16" s="10" t="s">
        <v>40</v>
      </c>
      <c r="O16" s="10">
        <v>1</v>
      </c>
      <c r="P16" s="11"/>
      <c r="Q16" s="11">
        <f>P16</f>
        <v>0</v>
      </c>
      <c r="R16" s="10">
        <v>2</v>
      </c>
      <c r="S16" s="8">
        <f>Q16/O16</f>
        <v>0</v>
      </c>
      <c r="T16" s="7">
        <f>O16*R16</f>
        <v>2</v>
      </c>
      <c r="U16" s="8">
        <f>T16*S16</f>
        <v>0</v>
      </c>
      <c r="V16" s="8" t="e">
        <f>U16-Y16</f>
        <v>#DIV/0!</v>
      </c>
      <c r="W16" s="9">
        <f>IFERROR(V16/U16,0)</f>
        <v>0</v>
      </c>
      <c r="X16" s="7" t="str">
        <f>IF(B16="","",(IF(W16&lt;0,"Negative",IF(W16=0,"Same",IF(W16&gt;0.3,"30+%",IF(W16&gt;0.2,"20-30%",IF(W16&gt;0.1,"10-20%",IF(W16&lt;=0.1,"0-10%"))))))))</f>
        <v>Same</v>
      </c>
      <c r="Y16" s="8" t="e">
        <f>Z16*T16</f>
        <v>#DIV/0!</v>
      </c>
      <c r="Z16" s="8" t="e">
        <f>AA16/AB16</f>
        <v>#DIV/0!</v>
      </c>
      <c r="AA16"/>
      <c r="AC16" t="s">
        <v>105</v>
      </c>
      <c r="AM16" t="s">
        <v>119</v>
      </c>
    </row>
    <row r="17" spans="1:39" x14ac:dyDescent="0.25">
      <c r="A17" t="s">
        <v>92</v>
      </c>
      <c r="B17" s="10">
        <v>20</v>
      </c>
      <c r="D17">
        <v>31373</v>
      </c>
      <c r="H17" t="s">
        <v>72</v>
      </c>
      <c r="N17" s="10" t="s">
        <v>40</v>
      </c>
      <c r="O17" s="10">
        <v>1</v>
      </c>
      <c r="P17" s="11"/>
      <c r="Q17" s="11">
        <f>P17</f>
        <v>0</v>
      </c>
      <c r="R17" s="10">
        <v>1</v>
      </c>
      <c r="S17" s="8">
        <f>Q17/O17</f>
        <v>0</v>
      </c>
      <c r="T17" s="7">
        <f>O17*R17</f>
        <v>1</v>
      </c>
      <c r="U17" s="8">
        <f>T17*S17</f>
        <v>0</v>
      </c>
      <c r="V17" s="8" t="e">
        <f>U17-Y17</f>
        <v>#DIV/0!</v>
      </c>
      <c r="W17" s="9">
        <f>IFERROR(V17/U17,0)</f>
        <v>0</v>
      </c>
      <c r="X17" s="7" t="str">
        <f>IF(B17="","",(IF(W17&lt;0,"Negative",IF(W17=0,"Same",IF(W17&gt;0.3,"30+%",IF(W17&gt;0.2,"20-30%",IF(W17&gt;0.1,"10-20%",IF(W17&lt;=0.1,"0-10%"))))))))</f>
        <v>Same</v>
      </c>
      <c r="Y17" s="8" t="e">
        <f>Z17*T17</f>
        <v>#DIV/0!</v>
      </c>
      <c r="Z17" s="8" t="e">
        <f>AA17/AB17</f>
        <v>#DIV/0!</v>
      </c>
      <c r="AA17"/>
      <c r="AC17" t="s">
        <v>105</v>
      </c>
      <c r="AM17" t="s">
        <v>119</v>
      </c>
    </row>
    <row r="18" spans="1:39" x14ac:dyDescent="0.25">
      <c r="A18" t="s">
        <v>92</v>
      </c>
      <c r="B18" s="10">
        <v>27</v>
      </c>
      <c r="D18">
        <v>31042</v>
      </c>
      <c r="H18" t="s">
        <v>73</v>
      </c>
      <c r="I18" t="s">
        <v>74</v>
      </c>
      <c r="J18">
        <v>30015</v>
      </c>
      <c r="N18" s="10" t="s">
        <v>40</v>
      </c>
      <c r="O18" s="10">
        <v>1</v>
      </c>
      <c r="P18" s="11"/>
      <c r="Q18" s="11">
        <f>P18</f>
        <v>0</v>
      </c>
      <c r="R18" s="10">
        <v>2</v>
      </c>
      <c r="S18" s="8">
        <f>Q18/O18</f>
        <v>0</v>
      </c>
      <c r="T18" s="7">
        <f>O18*R18</f>
        <v>2</v>
      </c>
      <c r="U18" s="8">
        <f>T18*S18</f>
        <v>0</v>
      </c>
      <c r="V18" s="8">
        <f>U18-Y18</f>
        <v>-84.22</v>
      </c>
      <c r="W18" s="9">
        <f>IFERROR(V18/U18,0)</f>
        <v>0</v>
      </c>
      <c r="X18" s="7" t="str">
        <f>IF(B18="","",(IF(W18&lt;0,"Negative",IF(W18=0,"Same",IF(W18&gt;0.3,"30+%",IF(W18&gt;0.2,"20-30%",IF(W18&gt;0.1,"10-20%",IF(W18&lt;=0.1,"0-10%"))))))))</f>
        <v>Same</v>
      </c>
      <c r="Y18" s="8">
        <f>Z18*T18</f>
        <v>84.22</v>
      </c>
      <c r="Z18" s="8">
        <f>AA18/AB18</f>
        <v>42.11</v>
      </c>
      <c r="AA18" s="12">
        <v>42.11</v>
      </c>
      <c r="AB18">
        <v>1</v>
      </c>
      <c r="AC18" t="s">
        <v>121</v>
      </c>
      <c r="AD18" t="s">
        <v>111</v>
      </c>
      <c r="AE18">
        <v>30015</v>
      </c>
      <c r="AF18">
        <v>119171339</v>
      </c>
      <c r="AG18" t="s">
        <v>110</v>
      </c>
      <c r="AI18" t="s">
        <v>40</v>
      </c>
      <c r="AJ18" t="s">
        <v>101</v>
      </c>
      <c r="AK18" t="s">
        <v>100</v>
      </c>
      <c r="AL18" t="s">
        <v>117</v>
      </c>
    </row>
    <row r="19" spans="1:39" x14ac:dyDescent="0.25">
      <c r="A19" t="s">
        <v>92</v>
      </c>
      <c r="B19" s="10">
        <v>28</v>
      </c>
      <c r="D19">
        <v>31540</v>
      </c>
      <c r="H19" t="s">
        <v>75</v>
      </c>
      <c r="I19" t="s">
        <v>76</v>
      </c>
      <c r="J19">
        <v>451259</v>
      </c>
      <c r="N19" s="10" t="s">
        <v>40</v>
      </c>
      <c r="O19" s="10">
        <v>1</v>
      </c>
      <c r="P19" s="11"/>
      <c r="Q19" s="11">
        <f>P19</f>
        <v>0</v>
      </c>
      <c r="R19" s="10">
        <v>1</v>
      </c>
      <c r="S19" s="8">
        <f>Q19/O19</f>
        <v>0</v>
      </c>
      <c r="T19" s="7">
        <f>O19*R19</f>
        <v>1</v>
      </c>
      <c r="U19" s="8">
        <f>T19*S19</f>
        <v>0</v>
      </c>
      <c r="V19" s="8">
        <f>U19-Y19</f>
        <v>-119.57</v>
      </c>
      <c r="W19" s="9">
        <f>IFERROR(V19/U19,0)</f>
        <v>0</v>
      </c>
      <c r="X19" s="7" t="str">
        <f>IF(B19="","",(IF(W19&lt;0,"Negative",IF(W19=0,"Same",IF(W19&gt;0.3,"30+%",IF(W19&gt;0.2,"20-30%",IF(W19&gt;0.1,"10-20%",IF(W19&lt;=0.1,"0-10%"))))))))</f>
        <v>Same</v>
      </c>
      <c r="Y19" s="8">
        <f>Z19*T19</f>
        <v>119.57</v>
      </c>
      <c r="Z19" s="8">
        <f>AA19/AB19</f>
        <v>119.57</v>
      </c>
      <c r="AA19" s="12">
        <v>119.57</v>
      </c>
      <c r="AB19">
        <v>1</v>
      </c>
      <c r="AD19" t="s">
        <v>109</v>
      </c>
      <c r="AE19" t="s">
        <v>108</v>
      </c>
      <c r="AF19">
        <v>105467943</v>
      </c>
      <c r="AG19" t="s">
        <v>99</v>
      </c>
      <c r="AI19" t="s">
        <v>40</v>
      </c>
      <c r="AK19" t="s">
        <v>100</v>
      </c>
      <c r="AL19" t="s">
        <v>117</v>
      </c>
    </row>
    <row r="20" spans="1:39" x14ac:dyDescent="0.25">
      <c r="A20" t="s">
        <v>92</v>
      </c>
      <c r="B20" s="10">
        <v>30</v>
      </c>
      <c r="D20">
        <v>64446</v>
      </c>
      <c r="H20" t="s">
        <v>77</v>
      </c>
      <c r="I20" t="s">
        <v>78</v>
      </c>
      <c r="J20" t="s">
        <v>79</v>
      </c>
      <c r="N20" s="10" t="s">
        <v>40</v>
      </c>
      <c r="O20" s="10">
        <v>1</v>
      </c>
      <c r="P20" s="11"/>
      <c r="Q20" s="11">
        <f>P20</f>
        <v>0</v>
      </c>
      <c r="R20" s="10">
        <v>12</v>
      </c>
      <c r="S20" s="8">
        <f>Q20/O20</f>
        <v>0</v>
      </c>
      <c r="T20" s="7">
        <f>O20*R20</f>
        <v>12</v>
      </c>
      <c r="U20" s="8">
        <f>T20*S20</f>
        <v>0</v>
      </c>
      <c r="V20" s="8">
        <f>U20-Y20</f>
        <v>-128.04</v>
      </c>
      <c r="W20" s="9">
        <f>IFERROR(V20/U20,0)</f>
        <v>0</v>
      </c>
      <c r="X20" s="7" t="str">
        <f>IF(B20="","",(IF(W20&lt;0,"Negative",IF(W20=0,"Same",IF(W20&gt;0.3,"30+%",IF(W20&gt;0.2,"20-30%",IF(W20&gt;0.1,"10-20%",IF(W20&lt;=0.1,"0-10%"))))))))</f>
        <v>Same</v>
      </c>
      <c r="Y20" s="8">
        <f>Z20*T20</f>
        <v>128.04</v>
      </c>
      <c r="Z20" s="8">
        <f>AA20/AB20</f>
        <v>10.67</v>
      </c>
      <c r="AA20" s="12">
        <v>10.67</v>
      </c>
      <c r="AB20">
        <v>1</v>
      </c>
      <c r="AD20" t="s">
        <v>106</v>
      </c>
      <c r="AE20" t="s">
        <v>107</v>
      </c>
      <c r="AF20">
        <v>102962207</v>
      </c>
      <c r="AG20" t="s">
        <v>103</v>
      </c>
      <c r="AI20" t="s">
        <v>40</v>
      </c>
      <c r="AK20" t="s">
        <v>100</v>
      </c>
      <c r="AL20" t="s">
        <v>118</v>
      </c>
    </row>
    <row r="21" spans="1:39" x14ac:dyDescent="0.25">
      <c r="A21" t="s">
        <v>92</v>
      </c>
      <c r="B21" s="10">
        <v>31</v>
      </c>
      <c r="D21">
        <v>5272</v>
      </c>
      <c r="H21" t="s">
        <v>80</v>
      </c>
      <c r="J21" t="s">
        <v>81</v>
      </c>
      <c r="N21" s="10" t="s">
        <v>40</v>
      </c>
      <c r="O21" s="10">
        <v>1</v>
      </c>
      <c r="P21" s="11"/>
      <c r="Q21" s="11">
        <f>P21</f>
        <v>0</v>
      </c>
      <c r="R21" s="10">
        <v>2</v>
      </c>
      <c r="S21" s="8">
        <f>Q21/O21</f>
        <v>0</v>
      </c>
      <c r="T21" s="7">
        <f>O21*R21</f>
        <v>2</v>
      </c>
      <c r="U21" s="8">
        <f>T21*S21</f>
        <v>0</v>
      </c>
      <c r="V21" s="8">
        <f>U21-Y21</f>
        <v>-282.94</v>
      </c>
      <c r="W21" s="9">
        <f>IFERROR(V21/U21,0)</f>
        <v>0</v>
      </c>
      <c r="X21" s="7" t="str">
        <f>IF(B21="","",(IF(W21&lt;0,"Negative",IF(W21=0,"Same",IF(W21&gt;0.3,"30+%",IF(W21&gt;0.2,"20-30%",IF(W21&gt;0.1,"10-20%",IF(W21&lt;=0.1,"0-10%"))))))))</f>
        <v>Same</v>
      </c>
      <c r="Y21" s="8">
        <f>Z21*T21</f>
        <v>282.94</v>
      </c>
      <c r="Z21" s="8">
        <f>AA21/AB21</f>
        <v>141.47</v>
      </c>
      <c r="AA21" s="12">
        <v>141.47</v>
      </c>
      <c r="AB21">
        <v>1</v>
      </c>
      <c r="AC21" t="s">
        <v>120</v>
      </c>
      <c r="AD21" t="s">
        <v>98</v>
      </c>
      <c r="AE21">
        <v>136510</v>
      </c>
      <c r="AF21">
        <v>119171251</v>
      </c>
      <c r="AG21" t="s">
        <v>104</v>
      </c>
      <c r="AI21" t="s">
        <v>40</v>
      </c>
      <c r="AJ21" t="s">
        <v>101</v>
      </c>
      <c r="AK21" t="s">
        <v>100</v>
      </c>
      <c r="AL21" t="s">
        <v>117</v>
      </c>
    </row>
    <row r="22" spans="1:39" x14ac:dyDescent="0.25">
      <c r="A22" t="s">
        <v>92</v>
      </c>
      <c r="B22" s="10">
        <v>34</v>
      </c>
      <c r="D22">
        <v>5273</v>
      </c>
      <c r="H22" t="s">
        <v>82</v>
      </c>
      <c r="N22" s="10" t="s">
        <v>40</v>
      </c>
      <c r="O22" s="10">
        <v>1</v>
      </c>
      <c r="P22" s="11"/>
      <c r="Q22" s="11">
        <f>P22</f>
        <v>0</v>
      </c>
      <c r="R22" s="10">
        <v>4</v>
      </c>
      <c r="S22" s="8">
        <f>Q22/O22</f>
        <v>0</v>
      </c>
      <c r="T22" s="7">
        <f>O22*R22</f>
        <v>4</v>
      </c>
      <c r="U22" s="8">
        <f>T22*S22</f>
        <v>0</v>
      </c>
      <c r="V22" s="8" t="e">
        <f>U22-Y22</f>
        <v>#DIV/0!</v>
      </c>
      <c r="W22" s="9">
        <f>IFERROR(V22/U22,0)</f>
        <v>0</v>
      </c>
      <c r="X22" s="7" t="str">
        <f>IF(B22="","",(IF(W22&lt;0,"Negative",IF(W22=0,"Same",IF(W22&gt;0.3,"30+%",IF(W22&gt;0.2,"20-30%",IF(W22&gt;0.1,"10-20%",IF(W22&lt;=0.1,"0-10%"))))))))</f>
        <v>Same</v>
      </c>
      <c r="Y22" s="8" t="e">
        <f>Z22*T22</f>
        <v>#DIV/0!</v>
      </c>
      <c r="Z22" s="8" t="e">
        <f>AA22/AB22</f>
        <v>#DIV/0!</v>
      </c>
      <c r="AA22"/>
      <c r="AC22" t="s">
        <v>105</v>
      </c>
      <c r="AM22" t="s">
        <v>119</v>
      </c>
    </row>
    <row r="23" spans="1:39" x14ac:dyDescent="0.25">
      <c r="A23" t="s">
        <v>92</v>
      </c>
      <c r="B23" s="10">
        <v>38</v>
      </c>
      <c r="D23">
        <v>5210</v>
      </c>
      <c r="H23" t="s">
        <v>83</v>
      </c>
      <c r="J23">
        <v>5563</v>
      </c>
      <c r="N23" s="10" t="s">
        <v>40</v>
      </c>
      <c r="O23" s="10">
        <v>1</v>
      </c>
      <c r="P23" s="11"/>
      <c r="Q23" s="11">
        <f>P23</f>
        <v>0</v>
      </c>
      <c r="R23" s="10">
        <v>2</v>
      </c>
      <c r="S23" s="8">
        <f>Q23/O23</f>
        <v>0</v>
      </c>
      <c r="T23" s="7">
        <f>O23*R23</f>
        <v>2</v>
      </c>
      <c r="U23" s="8">
        <f>T23*S23</f>
        <v>0</v>
      </c>
      <c r="V23" s="8">
        <f>U23-Y23</f>
        <v>-51.68</v>
      </c>
      <c r="W23" s="9">
        <f>IFERROR(V23/U23,0)</f>
        <v>0</v>
      </c>
      <c r="X23" s="7" t="str">
        <f>IF(B23="","",(IF(W23&lt;0,"Negative",IF(W23=0,"Same",IF(W23&gt;0.3,"30+%",IF(W23&gt;0.2,"20-30%",IF(W23&gt;0.1,"10-20%",IF(W23&lt;=0.1,"0-10%"))))))))</f>
        <v>Same</v>
      </c>
      <c r="Y23" s="8">
        <f>Z23*T23</f>
        <v>51.68</v>
      </c>
      <c r="Z23" s="8">
        <f>AA23/AB23</f>
        <v>25.84</v>
      </c>
      <c r="AA23" s="12">
        <v>25.84</v>
      </c>
      <c r="AB23">
        <v>1</v>
      </c>
      <c r="AC23" t="s">
        <v>121</v>
      </c>
      <c r="AD23" t="s">
        <v>98</v>
      </c>
      <c r="AE23" t="s">
        <v>112</v>
      </c>
      <c r="AF23">
        <v>110841833</v>
      </c>
      <c r="AG23" t="s">
        <v>110</v>
      </c>
      <c r="AI23" t="s">
        <v>40</v>
      </c>
      <c r="AJ23" t="s">
        <v>101</v>
      </c>
      <c r="AK23" t="s">
        <v>100</v>
      </c>
      <c r="AL23" t="s">
        <v>117</v>
      </c>
    </row>
    <row r="24" spans="1:39" x14ac:dyDescent="0.25">
      <c r="A24" t="s">
        <v>92</v>
      </c>
      <c r="B24" s="10">
        <v>42</v>
      </c>
      <c r="D24">
        <v>36786</v>
      </c>
      <c r="H24" t="s">
        <v>84</v>
      </c>
      <c r="I24" t="s">
        <v>85</v>
      </c>
      <c r="J24">
        <v>5201</v>
      </c>
      <c r="N24" s="10" t="s">
        <v>40</v>
      </c>
      <c r="O24" s="10">
        <v>1</v>
      </c>
      <c r="P24" s="11"/>
      <c r="Q24" s="11">
        <f>P24</f>
        <v>0</v>
      </c>
      <c r="R24" s="10">
        <v>1</v>
      </c>
      <c r="S24" s="8">
        <f>Q24/O24</f>
        <v>0</v>
      </c>
      <c r="T24" s="7">
        <f>O24*R24</f>
        <v>1</v>
      </c>
      <c r="U24" s="8">
        <f>T24*S24</f>
        <v>0</v>
      </c>
      <c r="V24" s="8">
        <f>U24-Y24</f>
        <v>-16.86</v>
      </c>
      <c r="W24" s="9">
        <f>IFERROR(V24/U24,0)</f>
        <v>0</v>
      </c>
      <c r="X24" s="7" t="str">
        <f>IF(B24="","",(IF(W24&lt;0,"Negative",IF(W24=0,"Same",IF(W24&gt;0.3,"30+%",IF(W24&gt;0.2,"20-30%",IF(W24&gt;0.1,"10-20%",IF(W24&lt;=0.1,"0-10%"))))))))</f>
        <v>Same</v>
      </c>
      <c r="Y24" s="8">
        <f>Z24*T24</f>
        <v>16.86</v>
      </c>
      <c r="Z24" s="8">
        <f>AA24/AB24</f>
        <v>16.86</v>
      </c>
      <c r="AA24" s="12">
        <v>16.86</v>
      </c>
      <c r="AB24">
        <v>1</v>
      </c>
      <c r="AD24" t="s">
        <v>113</v>
      </c>
      <c r="AE24">
        <v>5201</v>
      </c>
      <c r="AF24">
        <v>100714343</v>
      </c>
      <c r="AG24" t="s">
        <v>99</v>
      </c>
      <c r="AI24" t="s">
        <v>40</v>
      </c>
      <c r="AJ24" t="s">
        <v>101</v>
      </c>
      <c r="AK24" t="s">
        <v>100</v>
      </c>
      <c r="AL24" t="s">
        <v>117</v>
      </c>
    </row>
    <row r="25" spans="1:39" x14ac:dyDescent="0.25">
      <c r="A25" t="s">
        <v>92</v>
      </c>
      <c r="B25" s="10">
        <v>43</v>
      </c>
      <c r="D25">
        <v>31179</v>
      </c>
      <c r="H25" t="s">
        <v>86</v>
      </c>
      <c r="I25" t="s">
        <v>87</v>
      </c>
      <c r="J25" t="s">
        <v>88</v>
      </c>
      <c r="N25" s="10" t="s">
        <v>40</v>
      </c>
      <c r="O25" s="10">
        <v>1</v>
      </c>
      <c r="P25" s="11"/>
      <c r="Q25" s="11">
        <f>P25</f>
        <v>0</v>
      </c>
      <c r="R25" s="10">
        <v>2</v>
      </c>
      <c r="S25" s="8">
        <f>Q25/O25</f>
        <v>0</v>
      </c>
      <c r="T25" s="7">
        <f>O25*R25</f>
        <v>2</v>
      </c>
      <c r="U25" s="8">
        <f>T25*S25</f>
        <v>0</v>
      </c>
      <c r="V25" s="8">
        <f>U25-Y25</f>
        <v>-9.3000000000000007</v>
      </c>
      <c r="W25" s="9">
        <f>IFERROR(V25/U25,0)</f>
        <v>0</v>
      </c>
      <c r="X25" s="7" t="str">
        <f>IF(B25="","",(IF(W25&lt;0,"Negative",IF(W25=0,"Same",IF(W25&gt;0.3,"30+%",IF(W25&gt;0.2,"20-30%",IF(W25&gt;0.1,"10-20%",IF(W25&lt;=0.1,"0-10%"))))))))</f>
        <v>Same</v>
      </c>
      <c r="Y25" s="8">
        <f>Z25*T25</f>
        <v>9.3000000000000007</v>
      </c>
      <c r="Z25" s="8">
        <f>AA25/AB25</f>
        <v>4.6500000000000004</v>
      </c>
      <c r="AA25" s="12">
        <v>4.6500000000000004</v>
      </c>
      <c r="AB25">
        <v>1</v>
      </c>
      <c r="AD25" t="s">
        <v>115</v>
      </c>
      <c r="AE25" t="s">
        <v>114</v>
      </c>
      <c r="AF25">
        <v>112667072</v>
      </c>
      <c r="AG25" t="s">
        <v>99</v>
      </c>
      <c r="AI25" t="s">
        <v>40</v>
      </c>
      <c r="AK25" t="s">
        <v>100</v>
      </c>
      <c r="AL25" t="s">
        <v>117</v>
      </c>
    </row>
    <row r="26" spans="1:39" x14ac:dyDescent="0.25">
      <c r="A26" t="s">
        <v>92</v>
      </c>
      <c r="B26" s="10">
        <v>46</v>
      </c>
      <c r="D26">
        <v>11994</v>
      </c>
      <c r="G26" t="s">
        <v>89</v>
      </c>
      <c r="H26" t="s">
        <v>90</v>
      </c>
      <c r="I26" t="s">
        <v>91</v>
      </c>
      <c r="J26" t="s">
        <v>89</v>
      </c>
      <c r="N26" s="10" t="s">
        <v>40</v>
      </c>
      <c r="O26" s="10">
        <v>1</v>
      </c>
      <c r="P26" s="11"/>
      <c r="Q26" s="11">
        <f>P26</f>
        <v>0</v>
      </c>
      <c r="R26" s="10">
        <v>1</v>
      </c>
      <c r="S26" s="8">
        <f>Q26/O26</f>
        <v>0</v>
      </c>
      <c r="T26" s="7">
        <f>O26*R26</f>
        <v>1</v>
      </c>
      <c r="U26" s="8">
        <f>T26*S26</f>
        <v>0</v>
      </c>
      <c r="V26" s="8">
        <f>U26-Y26</f>
        <v>-112.37</v>
      </c>
      <c r="W26" s="9">
        <f>IFERROR(V26/U26,0)</f>
        <v>0</v>
      </c>
      <c r="X26" s="7" t="str">
        <f>IF(B26="","",(IF(W26&lt;0,"Negative",IF(W26=0,"Same",IF(W26&gt;0.3,"30+%",IF(W26&gt;0.2,"20-30%",IF(W26&gt;0.1,"10-20%",IF(W26&lt;=0.1,"0-10%"))))))))</f>
        <v>Same</v>
      </c>
      <c r="Y26" s="8">
        <f>Z26*T26</f>
        <v>112.37</v>
      </c>
      <c r="Z26" s="8">
        <f>AA26/AB26</f>
        <v>112.37</v>
      </c>
      <c r="AA26" s="12">
        <v>112.37</v>
      </c>
      <c r="AB26">
        <v>1</v>
      </c>
      <c r="AC26" t="s">
        <v>120</v>
      </c>
      <c r="AD26" t="s">
        <v>116</v>
      </c>
      <c r="AE26" t="s">
        <v>89</v>
      </c>
      <c r="AF26">
        <v>106077708</v>
      </c>
      <c r="AG26" t="s">
        <v>104</v>
      </c>
      <c r="AI26" t="s">
        <v>40</v>
      </c>
      <c r="AJ26" t="s">
        <v>101</v>
      </c>
      <c r="AK26" t="s">
        <v>100</v>
      </c>
      <c r="AL26" t="s">
        <v>117</v>
      </c>
    </row>
  </sheetData>
  <autoFilter ref="A2:AO26">
    <sortState ref="A3:AO26">
      <sortCondition ref="B2:B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AIT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Skyler Sorini</dc:creator>
  <cp:lastModifiedBy>Green, Elizabeth</cp:lastModifiedBy>
  <dcterms:created xsi:type="dcterms:W3CDTF">2022-03-08T16:54:37Z</dcterms:created>
  <dcterms:modified xsi:type="dcterms:W3CDTF">2022-03-18T14:37:09Z</dcterms:modified>
</cp:coreProperties>
</file>