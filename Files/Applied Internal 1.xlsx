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.sridhar\AppData\Local\Microsoft\Windows\INetCache\Content.Outlook\7FC2JH99\"/>
    </mc:Choice>
  </mc:AlternateContent>
  <xr:revisionPtr revIDLastSave="0" documentId="8_{05544C90-BD5F-427C-8A31-65DB458D1CA6}" xr6:coauthVersionLast="47" xr6:coauthVersionMax="47" xr10:uidLastSave="{00000000-0000-0000-0000-000000000000}"/>
  <bookViews>
    <workbookView xWindow="-120" yWindow="-120" windowWidth="29040" windowHeight="15720" tabRatio="672" xr2:uid="{00000000-000D-0000-FFFF-FFFF00000000}"/>
  </bookViews>
  <sheets>
    <sheet name="SUMMARY" sheetId="4" r:id="rId1"/>
    <sheet name="Transaction Details" sheetId="1" r:id="rId2"/>
  </sheets>
  <definedNames>
    <definedName name="_xlnm._FilterDatabase" localSheetId="1" hidden="1">'Transaction Details'!$A$2:$AK$278</definedName>
    <definedName name="Ext._Landed_COGS">#REF!</definedName>
    <definedName name="Ext._Proposed_Price">#REF!</definedName>
    <definedName name="Ext_Landed_Rebate_COGS">#REF!</definedName>
    <definedName name="Ext_Landed_Rebate_Value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39982.0054050926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Multiplier_from_Dashboard">#REF!</definedName>
    <definedName name="SAPBEXrevision" hidden="1">0</definedName>
    <definedName name="SAPBEXsysID" hidden="1">"TPB"</definedName>
    <definedName name="SAPBEXwbID" hidden="1">"3Z57712L63VAYYSE3C0K7D17M"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92" i="1" l="1"/>
  <c r="AC92" i="1"/>
  <c r="AD108" i="1"/>
  <c r="AC108" i="1"/>
  <c r="AD214" i="1"/>
  <c r="AC214" i="1"/>
  <c r="AD34" i="1"/>
  <c r="AC34" i="1"/>
  <c r="AD136" i="1"/>
  <c r="AC136" i="1"/>
  <c r="AD271" i="1"/>
  <c r="AC271" i="1"/>
  <c r="AD270" i="1"/>
  <c r="AC270" i="1"/>
  <c r="AD8" i="1"/>
  <c r="AC8" i="1"/>
  <c r="AD25" i="1"/>
  <c r="AC25" i="1"/>
  <c r="AD155" i="1"/>
  <c r="AC155" i="1"/>
  <c r="AD45" i="1"/>
  <c r="AC45" i="1"/>
  <c r="AD182" i="1"/>
  <c r="AC182" i="1"/>
  <c r="AD109" i="1"/>
  <c r="AC109" i="1"/>
  <c r="AD134" i="1"/>
  <c r="AC134" i="1"/>
  <c r="AD211" i="1"/>
  <c r="AC211" i="1"/>
  <c r="AD268" i="1"/>
  <c r="AC268" i="1"/>
  <c r="AD6" i="1"/>
  <c r="AC6" i="1"/>
  <c r="AD23" i="1"/>
  <c r="AC23" i="1"/>
  <c r="AD153" i="1"/>
  <c r="AC153" i="1"/>
  <c r="AD135" i="1"/>
  <c r="AC135" i="1"/>
  <c r="AD269" i="1"/>
  <c r="AC269" i="1"/>
  <c r="AD7" i="1"/>
  <c r="AC7" i="1"/>
  <c r="AD24" i="1"/>
  <c r="AC24" i="1"/>
  <c r="AD107" i="1"/>
  <c r="AC107" i="1"/>
  <c r="AD154" i="1"/>
  <c r="AC154" i="1"/>
  <c r="AD197" i="1"/>
  <c r="AC197" i="1"/>
  <c r="AD213" i="1"/>
  <c r="AC213" i="1"/>
  <c r="AD103" i="1"/>
  <c r="AC103" i="1"/>
  <c r="AD212" i="1"/>
  <c r="AC212" i="1"/>
  <c r="AD104" i="1"/>
  <c r="AC104" i="1"/>
  <c r="AD133" i="1"/>
  <c r="AC133" i="1"/>
  <c r="AD210" i="1"/>
  <c r="AC210" i="1"/>
  <c r="AD267" i="1"/>
  <c r="AC267" i="1"/>
  <c r="AD5" i="1"/>
  <c r="AC5" i="1"/>
  <c r="AD22" i="1"/>
  <c r="AC22" i="1"/>
  <c r="AD152" i="1"/>
  <c r="AC152" i="1"/>
  <c r="AD139" i="1"/>
  <c r="AC139" i="1"/>
  <c r="AD168" i="1"/>
  <c r="AC168" i="1"/>
  <c r="AD44" i="1"/>
  <c r="AC44" i="1"/>
  <c r="AD78" i="1"/>
  <c r="AC78" i="1"/>
  <c r="AD105" i="1"/>
  <c r="AC105" i="1"/>
  <c r="AD181" i="1"/>
  <c r="AC181" i="1"/>
  <c r="AD106" i="1"/>
  <c r="AC106" i="1"/>
  <c r="AD219" i="1"/>
  <c r="AC219" i="1"/>
  <c r="AD248" i="1"/>
  <c r="AC248" i="1"/>
  <c r="AD232" i="1"/>
  <c r="AC232" i="1"/>
  <c r="AD42" i="1"/>
  <c r="AC42" i="1"/>
  <c r="AD140" i="1"/>
  <c r="AC140" i="1"/>
  <c r="AD217" i="1"/>
  <c r="AC217" i="1"/>
  <c r="AD220" i="1"/>
  <c r="AC220" i="1"/>
  <c r="AD249" i="1"/>
  <c r="AC249" i="1"/>
  <c r="AD233" i="1"/>
  <c r="AC233" i="1"/>
  <c r="AD143" i="1"/>
  <c r="AC143" i="1"/>
  <c r="AD149" i="1"/>
  <c r="AC149" i="1"/>
  <c r="AD162" i="1"/>
  <c r="AC162" i="1"/>
  <c r="AD164" i="1"/>
  <c r="AC164" i="1"/>
  <c r="AD169" i="1"/>
  <c r="AC169" i="1"/>
  <c r="AD175" i="1"/>
  <c r="AC175" i="1"/>
  <c r="AD238" i="1"/>
  <c r="AC238" i="1"/>
  <c r="AD237" i="1"/>
  <c r="AC237" i="1"/>
  <c r="AD236" i="1"/>
  <c r="AC236" i="1"/>
  <c r="AD110" i="1"/>
  <c r="AC110" i="1"/>
  <c r="AD111" i="1"/>
  <c r="AC111" i="1"/>
  <c r="AD124" i="1"/>
  <c r="AC124" i="1"/>
  <c r="AD163" i="1"/>
  <c r="AC163" i="1"/>
  <c r="AD226" i="1"/>
  <c r="AC226" i="1"/>
  <c r="AD77" i="1"/>
  <c r="AC77" i="1"/>
  <c r="AD243" i="1"/>
  <c r="AC243" i="1"/>
  <c r="AD46" i="1"/>
  <c r="AC46" i="1"/>
  <c r="AD137" i="1"/>
  <c r="AC137" i="1"/>
  <c r="AD244" i="1"/>
  <c r="AC244" i="1"/>
  <c r="AD40" i="1"/>
  <c r="AC40" i="1"/>
  <c r="AD138" i="1"/>
  <c r="AC138" i="1"/>
  <c r="AD216" i="1"/>
  <c r="AC216" i="1"/>
  <c r="AD245" i="1"/>
  <c r="AC245" i="1"/>
  <c r="AD41" i="1"/>
  <c r="AC41" i="1"/>
  <c r="AD246" i="1"/>
  <c r="AC246" i="1"/>
  <c r="AD276" i="1"/>
  <c r="AC276" i="1"/>
  <c r="AD215" i="1"/>
  <c r="AC215" i="1"/>
  <c r="AD97" i="1"/>
  <c r="AC97" i="1"/>
  <c r="AD4" i="1"/>
  <c r="AC4" i="1"/>
  <c r="AD14" i="1"/>
  <c r="AC14" i="1"/>
  <c r="AD33" i="1"/>
  <c r="AC33" i="1"/>
  <c r="AD58" i="1"/>
  <c r="AC58" i="1"/>
  <c r="AD67" i="1"/>
  <c r="AC67" i="1"/>
  <c r="AD76" i="1"/>
  <c r="AC76" i="1"/>
  <c r="AD102" i="1"/>
  <c r="AC102" i="1"/>
  <c r="AD32" i="1"/>
  <c r="AC32" i="1"/>
  <c r="AE33" i="1" l="1"/>
  <c r="AF33" i="1" s="1"/>
  <c r="AG33" i="1" s="1"/>
  <c r="AE215" i="1"/>
  <c r="AF215" i="1" s="1"/>
  <c r="AG215" i="1" s="1"/>
  <c r="AE77" i="1"/>
  <c r="AF77" i="1" s="1"/>
  <c r="AG77" i="1" s="1"/>
  <c r="AE111" i="1"/>
  <c r="AF111" i="1" s="1"/>
  <c r="AG111" i="1" s="1"/>
  <c r="AE22" i="1"/>
  <c r="AF22" i="1" s="1"/>
  <c r="AG22" i="1" s="1"/>
  <c r="AE133" i="1"/>
  <c r="AF133" i="1" s="1"/>
  <c r="AG133" i="1" s="1"/>
  <c r="AE153" i="1"/>
  <c r="AF153" i="1" s="1"/>
  <c r="AG153" i="1" s="1"/>
  <c r="AE211" i="1"/>
  <c r="AF211" i="1" s="1"/>
  <c r="AG211" i="1" s="1"/>
  <c r="AE175" i="1"/>
  <c r="AF175" i="1" s="1"/>
  <c r="AG175" i="1" s="1"/>
  <c r="AE149" i="1"/>
  <c r="AF149" i="1" s="1"/>
  <c r="AG149" i="1" s="1"/>
  <c r="AE155" i="1"/>
  <c r="AF155" i="1" s="1"/>
  <c r="AG155" i="1" s="1"/>
  <c r="AE271" i="1"/>
  <c r="AF271" i="1" s="1"/>
  <c r="AG271" i="1" s="1"/>
  <c r="AE97" i="1"/>
  <c r="AF97" i="1" s="1"/>
  <c r="AG97" i="1" s="1"/>
  <c r="AE268" i="1"/>
  <c r="AF268" i="1" s="1"/>
  <c r="AG268" i="1" s="1"/>
  <c r="AE67" i="1"/>
  <c r="AF67" i="1" s="1"/>
  <c r="AG67" i="1" s="1"/>
  <c r="AE4" i="1"/>
  <c r="AF4" i="1" s="1"/>
  <c r="AG4" i="1" s="1"/>
  <c r="AE246" i="1"/>
  <c r="AF246" i="1" s="1"/>
  <c r="AG246" i="1" s="1"/>
  <c r="AE236" i="1"/>
  <c r="AF236" i="1" s="1"/>
  <c r="AG236" i="1" s="1"/>
  <c r="AE139" i="1"/>
  <c r="AF139" i="1" s="1"/>
  <c r="AG139" i="1" s="1"/>
  <c r="AE267" i="1"/>
  <c r="AF267" i="1" s="1"/>
  <c r="AG267" i="1" s="1"/>
  <c r="AE212" i="1"/>
  <c r="AF212" i="1" s="1"/>
  <c r="AG212" i="1" s="1"/>
  <c r="AE269" i="1"/>
  <c r="AF269" i="1" s="1"/>
  <c r="AG269" i="1" s="1"/>
  <c r="AE6" i="1"/>
  <c r="AF6" i="1" s="1"/>
  <c r="AG6" i="1" s="1"/>
  <c r="AE109" i="1"/>
  <c r="AF109" i="1" s="1"/>
  <c r="AG109" i="1" s="1"/>
  <c r="AE136" i="1"/>
  <c r="AF136" i="1" s="1"/>
  <c r="AG136" i="1" s="1"/>
  <c r="AE92" i="1"/>
  <c r="AF92" i="1" s="1"/>
  <c r="AG92" i="1" s="1"/>
  <c r="AE276" i="1"/>
  <c r="AF276" i="1" s="1"/>
  <c r="AG276" i="1" s="1"/>
  <c r="AE41" i="1"/>
  <c r="AF41" i="1" s="1"/>
  <c r="AG41" i="1" s="1"/>
  <c r="AE248" i="1"/>
  <c r="AF248" i="1" s="1"/>
  <c r="AG248" i="1" s="1"/>
  <c r="AE237" i="1"/>
  <c r="AF237" i="1" s="1"/>
  <c r="AG237" i="1" s="1"/>
  <c r="AE219" i="1"/>
  <c r="AF219" i="1" s="1"/>
  <c r="AG219" i="1" s="1"/>
  <c r="AE182" i="1"/>
  <c r="AF182" i="1" s="1"/>
  <c r="AG182" i="1" s="1"/>
  <c r="AE216" i="1"/>
  <c r="AF216" i="1" s="1"/>
  <c r="AG216" i="1" s="1"/>
  <c r="AE137" i="1"/>
  <c r="AF137" i="1" s="1"/>
  <c r="AG137" i="1" s="1"/>
  <c r="AE104" i="1"/>
  <c r="AF104" i="1" s="1"/>
  <c r="AG104" i="1" s="1"/>
  <c r="AE134" i="1"/>
  <c r="AF134" i="1" s="1"/>
  <c r="AG134" i="1" s="1"/>
  <c r="AE140" i="1"/>
  <c r="AF140" i="1" s="1"/>
  <c r="AG140" i="1" s="1"/>
  <c r="AE124" i="1"/>
  <c r="AF124" i="1" s="1"/>
  <c r="AG124" i="1" s="1"/>
  <c r="AE76" i="1"/>
  <c r="AF76" i="1" s="1"/>
  <c r="AG76" i="1" s="1"/>
  <c r="AE249" i="1"/>
  <c r="AF249" i="1" s="1"/>
  <c r="AG249" i="1" s="1"/>
  <c r="AE42" i="1"/>
  <c r="AF42" i="1" s="1"/>
  <c r="AG42" i="1" s="1"/>
  <c r="AE210" i="1"/>
  <c r="AF210" i="1" s="1"/>
  <c r="AG210" i="1" s="1"/>
  <c r="AE103" i="1"/>
  <c r="AF103" i="1" s="1"/>
  <c r="AG103" i="1" s="1"/>
  <c r="AE46" i="1"/>
  <c r="AF46" i="1" s="1"/>
  <c r="AG46" i="1" s="1"/>
  <c r="AE163" i="1"/>
  <c r="AF163" i="1" s="1"/>
  <c r="AG163" i="1" s="1"/>
  <c r="AE232" i="1"/>
  <c r="AF232" i="1" s="1"/>
  <c r="AG232" i="1" s="1"/>
  <c r="AE181" i="1"/>
  <c r="AF181" i="1" s="1"/>
  <c r="AG181" i="1" s="1"/>
  <c r="AE168" i="1"/>
  <c r="AF168" i="1" s="1"/>
  <c r="AG168" i="1" s="1"/>
  <c r="AE214" i="1"/>
  <c r="AF214" i="1" s="1"/>
  <c r="AG214" i="1" s="1"/>
  <c r="AE110" i="1"/>
  <c r="AF110" i="1" s="1"/>
  <c r="AG110" i="1" s="1"/>
  <c r="AE143" i="1"/>
  <c r="AF143" i="1" s="1"/>
  <c r="AG143" i="1" s="1"/>
  <c r="AE217" i="1"/>
  <c r="AF217" i="1" s="1"/>
  <c r="AG217" i="1" s="1"/>
  <c r="AE197" i="1"/>
  <c r="AF197" i="1" s="1"/>
  <c r="AG197" i="1" s="1"/>
  <c r="AE7" i="1"/>
  <c r="AF7" i="1" s="1"/>
  <c r="AG7" i="1" s="1"/>
  <c r="AE40" i="1"/>
  <c r="AF40" i="1" s="1"/>
  <c r="AG40" i="1" s="1"/>
  <c r="AE78" i="1"/>
  <c r="AF78" i="1" s="1"/>
  <c r="AG78" i="1" s="1"/>
  <c r="AE8" i="1"/>
  <c r="AF8" i="1" s="1"/>
  <c r="AG8" i="1" s="1"/>
  <c r="AE14" i="1"/>
  <c r="AF14" i="1" s="1"/>
  <c r="AG14" i="1" s="1"/>
  <c r="AE245" i="1"/>
  <c r="AF245" i="1" s="1"/>
  <c r="AG245" i="1" s="1"/>
  <c r="AE244" i="1"/>
  <c r="AF244" i="1" s="1"/>
  <c r="AG244" i="1" s="1"/>
  <c r="AE243" i="1"/>
  <c r="AF243" i="1" s="1"/>
  <c r="AG243" i="1" s="1"/>
  <c r="AE169" i="1"/>
  <c r="AF169" i="1" s="1"/>
  <c r="AG169" i="1" s="1"/>
  <c r="AE220" i="1"/>
  <c r="AF220" i="1" s="1"/>
  <c r="AG220" i="1" s="1"/>
  <c r="AE106" i="1"/>
  <c r="AF106" i="1" s="1"/>
  <c r="AG106" i="1" s="1"/>
  <c r="AE44" i="1"/>
  <c r="AF44" i="1" s="1"/>
  <c r="AG44" i="1" s="1"/>
  <c r="AE152" i="1"/>
  <c r="AF152" i="1" s="1"/>
  <c r="AG152" i="1" s="1"/>
  <c r="AE154" i="1"/>
  <c r="AF154" i="1" s="1"/>
  <c r="AG154" i="1" s="1"/>
  <c r="AE23" i="1"/>
  <c r="AF23" i="1" s="1"/>
  <c r="AG23" i="1" s="1"/>
  <c r="AE45" i="1"/>
  <c r="AF45" i="1" s="1"/>
  <c r="AG45" i="1" s="1"/>
  <c r="AE270" i="1"/>
  <c r="AF270" i="1" s="1"/>
  <c r="AG270" i="1" s="1"/>
  <c r="AE34" i="1"/>
  <c r="AF34" i="1" s="1"/>
  <c r="AG34" i="1" s="1"/>
  <c r="AE32" i="1"/>
  <c r="AF32" i="1" s="1"/>
  <c r="AG32" i="1" s="1"/>
  <c r="AE164" i="1"/>
  <c r="AF164" i="1" s="1"/>
  <c r="AG164" i="1" s="1"/>
  <c r="AE107" i="1"/>
  <c r="AF107" i="1" s="1"/>
  <c r="AG107" i="1" s="1"/>
  <c r="AE102" i="1"/>
  <c r="AF102" i="1" s="1"/>
  <c r="AG102" i="1" s="1"/>
  <c r="AE58" i="1"/>
  <c r="AF58" i="1" s="1"/>
  <c r="AG58" i="1" s="1"/>
  <c r="AE138" i="1"/>
  <c r="AF138" i="1" s="1"/>
  <c r="AG138" i="1" s="1"/>
  <c r="AE226" i="1"/>
  <c r="AF226" i="1" s="1"/>
  <c r="AG226" i="1" s="1"/>
  <c r="AE238" i="1"/>
  <c r="AF238" i="1" s="1"/>
  <c r="AG238" i="1" s="1"/>
  <c r="AE162" i="1"/>
  <c r="AF162" i="1" s="1"/>
  <c r="AG162" i="1" s="1"/>
  <c r="AE233" i="1"/>
  <c r="AF233" i="1" s="1"/>
  <c r="AG233" i="1" s="1"/>
  <c r="AE105" i="1"/>
  <c r="AF105" i="1" s="1"/>
  <c r="AG105" i="1" s="1"/>
  <c r="AE5" i="1"/>
  <c r="AF5" i="1" s="1"/>
  <c r="AG5" i="1" s="1"/>
  <c r="AE213" i="1"/>
  <c r="AF213" i="1" s="1"/>
  <c r="AG213" i="1" s="1"/>
  <c r="AE24" i="1"/>
  <c r="AF24" i="1" s="1"/>
  <c r="AG24" i="1" s="1"/>
  <c r="AE135" i="1"/>
  <c r="AF135" i="1" s="1"/>
  <c r="AG135" i="1" s="1"/>
  <c r="AE25" i="1"/>
  <c r="AF25" i="1" s="1"/>
  <c r="AG25" i="1" s="1"/>
  <c r="AE108" i="1"/>
  <c r="AF108" i="1" s="1"/>
  <c r="AG108" i="1" s="1"/>
  <c r="B2" i="4" l="1"/>
  <c r="AC64" i="1" l="1"/>
  <c r="AC183" i="1"/>
  <c r="AC130" i="1"/>
  <c r="AC242" i="1"/>
  <c r="AD199" i="1"/>
  <c r="AC173" i="1"/>
  <c r="AD173" i="1"/>
  <c r="AC195" i="1"/>
  <c r="AD195" i="1"/>
  <c r="AC253" i="1"/>
  <c r="AD253" i="1"/>
  <c r="AC21" i="1"/>
  <c r="AD21" i="1"/>
  <c r="AD64" i="1"/>
  <c r="AD183" i="1"/>
  <c r="AC142" i="1"/>
  <c r="AD142" i="1"/>
  <c r="AC144" i="1"/>
  <c r="AD144" i="1"/>
  <c r="AC145" i="1"/>
  <c r="AD145" i="1"/>
  <c r="AC71" i="1"/>
  <c r="AD71" i="1"/>
  <c r="AC80" i="1"/>
  <c r="AD80" i="1"/>
  <c r="AC147" i="1"/>
  <c r="AD147" i="1"/>
  <c r="AC148" i="1"/>
  <c r="AD148" i="1"/>
  <c r="AC27" i="1"/>
  <c r="AD27" i="1"/>
  <c r="AC170" i="1"/>
  <c r="AD170" i="1"/>
  <c r="AC191" i="1"/>
  <c r="AD191" i="1"/>
  <c r="AC235" i="1"/>
  <c r="AD235" i="1"/>
  <c r="AC234" i="1"/>
  <c r="AD234" i="1"/>
  <c r="AC171" i="1"/>
  <c r="AD171" i="1"/>
  <c r="AC186" i="1"/>
  <c r="AD186" i="1"/>
  <c r="AC187" i="1"/>
  <c r="AD187" i="1"/>
  <c r="AC200" i="1"/>
  <c r="AD200" i="1"/>
  <c r="AC20" i="1"/>
  <c r="AD20" i="1"/>
  <c r="AC272" i="1"/>
  <c r="AD272" i="1"/>
  <c r="AC190" i="1"/>
  <c r="AD190" i="1"/>
  <c r="AC194" i="1"/>
  <c r="AD194" i="1"/>
  <c r="AC184" i="1"/>
  <c r="AD184" i="1"/>
  <c r="AC185" i="1"/>
  <c r="AD185" i="1"/>
  <c r="AC62" i="1"/>
  <c r="AD62" i="1"/>
  <c r="AC63" i="1"/>
  <c r="AD63" i="1"/>
  <c r="AC203" i="1"/>
  <c r="AD203" i="1"/>
  <c r="AC52" i="1"/>
  <c r="AD52" i="1"/>
  <c r="AC98" i="1"/>
  <c r="AD98" i="1"/>
  <c r="AC99" i="1"/>
  <c r="AD99" i="1"/>
  <c r="AC100" i="1"/>
  <c r="AD100" i="1"/>
  <c r="AC188" i="1"/>
  <c r="AD188" i="1"/>
  <c r="AC75" i="1"/>
  <c r="AD75" i="1"/>
  <c r="AC189" i="1"/>
  <c r="AD189" i="1"/>
  <c r="AC16" i="1"/>
  <c r="AD16" i="1"/>
  <c r="AC70" i="1"/>
  <c r="AD70" i="1"/>
  <c r="AC35" i="1"/>
  <c r="AC56" i="1"/>
  <c r="AD56" i="1"/>
  <c r="AC131" i="1"/>
  <c r="AD131" i="1"/>
  <c r="AC13" i="1"/>
  <c r="AD13" i="1"/>
  <c r="AC174" i="1"/>
  <c r="AD174" i="1"/>
  <c r="AC180" i="1"/>
  <c r="AD180" i="1"/>
  <c r="AC49" i="1"/>
  <c r="AD49" i="1"/>
  <c r="AC73" i="1"/>
  <c r="AD73" i="1"/>
  <c r="AC119" i="1"/>
  <c r="AD119" i="1"/>
  <c r="AC26" i="1"/>
  <c r="AD26" i="1"/>
  <c r="AC192" i="1"/>
  <c r="AD192" i="1"/>
  <c r="AC221" i="1"/>
  <c r="AD221" i="1"/>
  <c r="AC10" i="1"/>
  <c r="AD10" i="1"/>
  <c r="AC61" i="1"/>
  <c r="AD61" i="1"/>
  <c r="AC60" i="1"/>
  <c r="AD60" i="1"/>
  <c r="AC93" i="1"/>
  <c r="AD93" i="1"/>
  <c r="AC81" i="1"/>
  <c r="AD81" i="1"/>
  <c r="AC227" i="1"/>
  <c r="AD227" i="1"/>
  <c r="AC161" i="1"/>
  <c r="AD161" i="1"/>
  <c r="AC84" i="1"/>
  <c r="AD84" i="1"/>
  <c r="AC83" i="1"/>
  <c r="AD83" i="1"/>
  <c r="AC208" i="1"/>
  <c r="AD208" i="1"/>
  <c r="AC209" i="1"/>
  <c r="AD209" i="1"/>
  <c r="AC9" i="1"/>
  <c r="AD9" i="1"/>
  <c r="AC121" i="1"/>
  <c r="AD121" i="1"/>
  <c r="AC96" i="1"/>
  <c r="AD96" i="1"/>
  <c r="AC239" i="1"/>
  <c r="AD239" i="1"/>
  <c r="AC259" i="1"/>
  <c r="AD259" i="1"/>
  <c r="AC54" i="1"/>
  <c r="AD54" i="1"/>
  <c r="AC50" i="1"/>
  <c r="AD50" i="1"/>
  <c r="AC117" i="1"/>
  <c r="AD117" i="1"/>
  <c r="AC37" i="1"/>
  <c r="AD37" i="1"/>
  <c r="AC178" i="1"/>
  <c r="AD178" i="1"/>
  <c r="AC115" i="1"/>
  <c r="AD115" i="1"/>
  <c r="AC3" i="1"/>
  <c r="AD3" i="1"/>
  <c r="AC118" i="1"/>
  <c r="AD118" i="1"/>
  <c r="AC159" i="1"/>
  <c r="AD159" i="1"/>
  <c r="AC158" i="1"/>
  <c r="AD158" i="1"/>
  <c r="AC112" i="1"/>
  <c r="AD112" i="1"/>
  <c r="AC172" i="1"/>
  <c r="AD172" i="1"/>
  <c r="AC85" i="1"/>
  <c r="AD85" i="1"/>
  <c r="AC160" i="1"/>
  <c r="AD160" i="1"/>
  <c r="AC113" i="1"/>
  <c r="AD113" i="1"/>
  <c r="AC222" i="1"/>
  <c r="AD222" i="1"/>
  <c r="AC223" i="1"/>
  <c r="AD223" i="1"/>
  <c r="AC122" i="1"/>
  <c r="AD122" i="1"/>
  <c r="AC53" i="1"/>
  <c r="AD53" i="1"/>
  <c r="AC69" i="1"/>
  <c r="AD69" i="1"/>
  <c r="AC204" i="1"/>
  <c r="AD204" i="1"/>
  <c r="AC205" i="1"/>
  <c r="AD205" i="1"/>
  <c r="AC198" i="1"/>
  <c r="AD198" i="1"/>
  <c r="AC90" i="1"/>
  <c r="AD90" i="1"/>
  <c r="AC91" i="1"/>
  <c r="AD91" i="1"/>
  <c r="AC65" i="1"/>
  <c r="AD65" i="1"/>
  <c r="AC88" i="1"/>
  <c r="AD88" i="1"/>
  <c r="AC38" i="1"/>
  <c r="AD38" i="1"/>
  <c r="AC258" i="1"/>
  <c r="AD258" i="1"/>
  <c r="AC196" i="1"/>
  <c r="AD196" i="1"/>
  <c r="AC241" i="1"/>
  <c r="AC132" i="1"/>
  <c r="AD132" i="1"/>
  <c r="AC278" i="1"/>
  <c r="AD278" i="1"/>
  <c r="AC15" i="1"/>
  <c r="AD15" i="1"/>
  <c r="AC39" i="1"/>
  <c r="AD39" i="1"/>
  <c r="AD130" i="1"/>
  <c r="AC228" i="1"/>
  <c r="AD228" i="1"/>
  <c r="AC252" i="1"/>
  <c r="AD252" i="1"/>
  <c r="AC273" i="1"/>
  <c r="AD273" i="1"/>
  <c r="AC202" i="1"/>
  <c r="AD202" i="1"/>
  <c r="AC277" i="1"/>
  <c r="AD277" i="1"/>
  <c r="AC68" i="1"/>
  <c r="AD68" i="1"/>
  <c r="AC43" i="1"/>
  <c r="AD43" i="1"/>
  <c r="AC18" i="1"/>
  <c r="AD18" i="1"/>
  <c r="AC28" i="1"/>
  <c r="AD28" i="1"/>
  <c r="AC36" i="1"/>
  <c r="AD36" i="1"/>
  <c r="AC72" i="1"/>
  <c r="AD72" i="1"/>
  <c r="AC82" i="1"/>
  <c r="AD82" i="1"/>
  <c r="AD242" i="1"/>
  <c r="AC17" i="1"/>
  <c r="AD17" i="1"/>
  <c r="AC179" i="1"/>
  <c r="AD179" i="1"/>
  <c r="AC95" i="1"/>
  <c r="AD95" i="1"/>
  <c r="AC123" i="1"/>
  <c r="AD123" i="1"/>
  <c r="AC66" i="1"/>
  <c r="AD66" i="1"/>
  <c r="AC59" i="1"/>
  <c r="AD59" i="1"/>
  <c r="AC19" i="1"/>
  <c r="AD19" i="1"/>
  <c r="AC51" i="1"/>
  <c r="AD51" i="1"/>
  <c r="AC57" i="1"/>
  <c r="AD57" i="1"/>
  <c r="AC86" i="1"/>
  <c r="AD86" i="1"/>
  <c r="AC12" i="1"/>
  <c r="AD12" i="1"/>
  <c r="AC114" i="1"/>
  <c r="AD114" i="1"/>
  <c r="AC94" i="1"/>
  <c r="AD94" i="1"/>
  <c r="AC224" i="1"/>
  <c r="AD224" i="1"/>
  <c r="AC274" i="1"/>
  <c r="AD274" i="1"/>
  <c r="AC116" i="1"/>
  <c r="AD116" i="1"/>
  <c r="AC275" i="1"/>
  <c r="AD275" i="1"/>
  <c r="AC87" i="1"/>
  <c r="AD87" i="1"/>
  <c r="AC146" i="1"/>
  <c r="AD146" i="1"/>
  <c r="AC177" i="1"/>
  <c r="AD177" i="1"/>
  <c r="AC165" i="1"/>
  <c r="AD165" i="1"/>
  <c r="AC218" i="1"/>
  <c r="AD218" i="1"/>
  <c r="AC29" i="1"/>
  <c r="AD29" i="1"/>
  <c r="AC30" i="1"/>
  <c r="AD30" i="1"/>
  <c r="AC156" i="1"/>
  <c r="AD156" i="1"/>
  <c r="AC47" i="1"/>
  <c r="AD47" i="1"/>
  <c r="AC48" i="1"/>
  <c r="AD48" i="1"/>
  <c r="AC256" i="1"/>
  <c r="AD256" i="1"/>
  <c r="AC257" i="1"/>
  <c r="AD257" i="1"/>
  <c r="AC229" i="1"/>
  <c r="AD229" i="1"/>
  <c r="AC79" i="1"/>
  <c r="AD79" i="1"/>
  <c r="AC151" i="1"/>
  <c r="AD151" i="1"/>
  <c r="AC230" i="1"/>
  <c r="AD230" i="1"/>
  <c r="AC225" i="1"/>
  <c r="AD225" i="1"/>
  <c r="AC127" i="1"/>
  <c r="AD127" i="1"/>
  <c r="AC126" i="1"/>
  <c r="AD126" i="1"/>
  <c r="AC89" i="1"/>
  <c r="AD89" i="1"/>
  <c r="AC141" i="1"/>
  <c r="AD141" i="1"/>
  <c r="AC266" i="1"/>
  <c r="AD266" i="1"/>
  <c r="AC264" i="1"/>
  <c r="AD264" i="1"/>
  <c r="AC263" i="1"/>
  <c r="AD263" i="1"/>
  <c r="AC125" i="1"/>
  <c r="AD125" i="1"/>
  <c r="AC101" i="1"/>
  <c r="AD101" i="1"/>
  <c r="AC157" i="1"/>
  <c r="AD157" i="1"/>
  <c r="AC265" i="1"/>
  <c r="AD265" i="1"/>
  <c r="AC260" i="1"/>
  <c r="AD260" i="1"/>
  <c r="AC261" i="1"/>
  <c r="AD261" i="1"/>
  <c r="AC120" i="1"/>
  <c r="AD120" i="1"/>
  <c r="AC262" i="1"/>
  <c r="AD262" i="1"/>
  <c r="AC250" i="1"/>
  <c r="AD250" i="1"/>
  <c r="AC251" i="1"/>
  <c r="AD251" i="1"/>
  <c r="AC255" i="1"/>
  <c r="AD255" i="1"/>
  <c r="AC166" i="1"/>
  <c r="AD166" i="1"/>
  <c r="AC167" i="1"/>
  <c r="AD167" i="1"/>
  <c r="AC199" i="1"/>
  <c r="AC176" i="1"/>
  <c r="AD176" i="1"/>
  <c r="AC74" i="1"/>
  <c r="AD74" i="1"/>
  <c r="AC193" i="1"/>
  <c r="AD193" i="1"/>
  <c r="AC206" i="1"/>
  <c r="AD206" i="1"/>
  <c r="AC150" i="1"/>
  <c r="AD150" i="1"/>
  <c r="AC207" i="1"/>
  <c r="AD207" i="1"/>
  <c r="AC247" i="1"/>
  <c r="AD247" i="1"/>
  <c r="AC55" i="1"/>
  <c r="AD55" i="1"/>
  <c r="AC240" i="1"/>
  <c r="AD240" i="1"/>
  <c r="AC128" i="1"/>
  <c r="AD128" i="1"/>
  <c r="AC129" i="1"/>
  <c r="AD129" i="1"/>
  <c r="AC201" i="1"/>
  <c r="AD201" i="1"/>
  <c r="AC231" i="1"/>
  <c r="AD231" i="1"/>
  <c r="AC254" i="1"/>
  <c r="AD254" i="1"/>
  <c r="AC31" i="1"/>
  <c r="AD31" i="1"/>
  <c r="AE18" i="1" l="1"/>
  <c r="AF18" i="1" s="1"/>
  <c r="AG18" i="1" s="1"/>
  <c r="AE37" i="1"/>
  <c r="AF37" i="1" s="1"/>
  <c r="AG37" i="1" s="1"/>
  <c r="AE53" i="1"/>
  <c r="AF53" i="1" s="1"/>
  <c r="AG53" i="1" s="1"/>
  <c r="AE239" i="1"/>
  <c r="AF239" i="1" s="1"/>
  <c r="AG239" i="1" s="1"/>
  <c r="AE274" i="1"/>
  <c r="AF274" i="1" s="1"/>
  <c r="AG274" i="1" s="1"/>
  <c r="AE224" i="1"/>
  <c r="AF224" i="1" s="1"/>
  <c r="AG224" i="1" s="1"/>
  <c r="AE204" i="1"/>
  <c r="AF204" i="1" s="1"/>
  <c r="AG204" i="1" s="1"/>
  <c r="AE174" i="1"/>
  <c r="AF174" i="1" s="1"/>
  <c r="AG174" i="1" s="1"/>
  <c r="AE73" i="1"/>
  <c r="AF73" i="1" s="1"/>
  <c r="AG73" i="1" s="1"/>
  <c r="AE230" i="1"/>
  <c r="AF230" i="1" s="1"/>
  <c r="AG230" i="1" s="1"/>
  <c r="AE273" i="1"/>
  <c r="AF273" i="1" s="1"/>
  <c r="AG273" i="1" s="1"/>
  <c r="AE223" i="1"/>
  <c r="AF223" i="1" s="1"/>
  <c r="AG223" i="1" s="1"/>
  <c r="AE158" i="1"/>
  <c r="AF158" i="1" s="1"/>
  <c r="AG158" i="1" s="1"/>
  <c r="AE115" i="1"/>
  <c r="AF115" i="1" s="1"/>
  <c r="AG115" i="1" s="1"/>
  <c r="AE60" i="1"/>
  <c r="AF60" i="1" s="1"/>
  <c r="AG60" i="1" s="1"/>
  <c r="AE127" i="1"/>
  <c r="AF127" i="1" s="1"/>
  <c r="AG127" i="1" s="1"/>
  <c r="AE81" i="1"/>
  <c r="AF81" i="1" s="1"/>
  <c r="AG81" i="1" s="1"/>
  <c r="AE91" i="1"/>
  <c r="AF91" i="1" s="1"/>
  <c r="AG91" i="1" s="1"/>
  <c r="AE61" i="1"/>
  <c r="AF61" i="1" s="1"/>
  <c r="AG61" i="1" s="1"/>
  <c r="AE257" i="1"/>
  <c r="AF257" i="1" s="1"/>
  <c r="AG257" i="1" s="1"/>
  <c r="AE54" i="1"/>
  <c r="AF54" i="1" s="1"/>
  <c r="AG54" i="1" s="1"/>
  <c r="AE192" i="1"/>
  <c r="AF192" i="1" s="1"/>
  <c r="AG192" i="1" s="1"/>
  <c r="AE101" i="1"/>
  <c r="AF101" i="1" s="1"/>
  <c r="AG101" i="1" s="1"/>
  <c r="AE260" i="1"/>
  <c r="AF260" i="1" s="1"/>
  <c r="AG260" i="1" s="1"/>
  <c r="AE209" i="1"/>
  <c r="AF209" i="1" s="1"/>
  <c r="AG209" i="1" s="1"/>
  <c r="AE93" i="1"/>
  <c r="AF93" i="1" s="1"/>
  <c r="AG93" i="1" s="1"/>
  <c r="AE221" i="1"/>
  <c r="AF221" i="1" s="1"/>
  <c r="AG221" i="1" s="1"/>
  <c r="AE250" i="1"/>
  <c r="AF250" i="1" s="1"/>
  <c r="AG250" i="1" s="1"/>
  <c r="AE228" i="1"/>
  <c r="AF228" i="1" s="1"/>
  <c r="AG228" i="1" s="1"/>
  <c r="AE141" i="1"/>
  <c r="AF141" i="1" s="1"/>
  <c r="AG141" i="1" s="1"/>
  <c r="AE19" i="1"/>
  <c r="AF19" i="1" s="1"/>
  <c r="AG19" i="1" s="1"/>
  <c r="AE198" i="1"/>
  <c r="AF198" i="1" s="1"/>
  <c r="AG198" i="1" s="1"/>
  <c r="AE186" i="1"/>
  <c r="AF186" i="1" s="1"/>
  <c r="AG186" i="1" s="1"/>
  <c r="AE3" i="1"/>
  <c r="AF3" i="1" s="1"/>
  <c r="AG3" i="1" s="1"/>
  <c r="AE263" i="1"/>
  <c r="AF263" i="1" s="1"/>
  <c r="AG263" i="1" s="1"/>
  <c r="AE28" i="1"/>
  <c r="AF28" i="1" s="1"/>
  <c r="AG28" i="1" s="1"/>
  <c r="AE202" i="1"/>
  <c r="AF202" i="1" s="1"/>
  <c r="AG202" i="1" s="1"/>
  <c r="AE132" i="1"/>
  <c r="AF132" i="1" s="1"/>
  <c r="AG132" i="1" s="1"/>
  <c r="AE258" i="1"/>
  <c r="AF258" i="1" s="1"/>
  <c r="AG258" i="1" s="1"/>
  <c r="AE113" i="1"/>
  <c r="AF113" i="1" s="1"/>
  <c r="AG113" i="1" s="1"/>
  <c r="AE172" i="1"/>
  <c r="AF172" i="1" s="1"/>
  <c r="AG172" i="1" s="1"/>
  <c r="AE118" i="1"/>
  <c r="AF118" i="1" s="1"/>
  <c r="AG118" i="1" s="1"/>
  <c r="AE112" i="1"/>
  <c r="AF112" i="1" s="1"/>
  <c r="AG112" i="1" s="1"/>
  <c r="AE265" i="1"/>
  <c r="AF265" i="1" s="1"/>
  <c r="AG265" i="1" s="1"/>
  <c r="AE160" i="1"/>
  <c r="AF160" i="1" s="1"/>
  <c r="AG160" i="1" s="1"/>
  <c r="AE38" i="1"/>
  <c r="AF38" i="1" s="1"/>
  <c r="AG38" i="1" s="1"/>
  <c r="AE69" i="1"/>
  <c r="AF69" i="1" s="1"/>
  <c r="AG69" i="1" s="1"/>
  <c r="AE117" i="1"/>
  <c r="AF117" i="1" s="1"/>
  <c r="AG117" i="1" s="1"/>
  <c r="AE225" i="1"/>
  <c r="AF225" i="1" s="1"/>
  <c r="AG225" i="1" s="1"/>
  <c r="AE88" i="1"/>
  <c r="AF88" i="1" s="1"/>
  <c r="AG88" i="1" s="1"/>
  <c r="AE259" i="1"/>
  <c r="AF259" i="1" s="1"/>
  <c r="AG259" i="1" s="1"/>
  <c r="AE229" i="1"/>
  <c r="AF229" i="1" s="1"/>
  <c r="AG229" i="1" s="1"/>
  <c r="AE72" i="1"/>
  <c r="AF72" i="1" s="1"/>
  <c r="AG72" i="1" s="1"/>
  <c r="AE277" i="1"/>
  <c r="AF277" i="1" s="1"/>
  <c r="AG277" i="1" s="1"/>
  <c r="AE159" i="1"/>
  <c r="AF159" i="1" s="1"/>
  <c r="AG159" i="1" s="1"/>
  <c r="AE178" i="1"/>
  <c r="AF178" i="1" s="1"/>
  <c r="AG178" i="1" s="1"/>
  <c r="AE10" i="1"/>
  <c r="AF10" i="1" s="1"/>
  <c r="AG10" i="1" s="1"/>
  <c r="AE119" i="1"/>
  <c r="AF119" i="1" s="1"/>
  <c r="AG119" i="1" s="1"/>
  <c r="AE126" i="1"/>
  <c r="AF126" i="1" s="1"/>
  <c r="AG126" i="1" s="1"/>
  <c r="AE79" i="1"/>
  <c r="AF79" i="1" s="1"/>
  <c r="AG79" i="1" s="1"/>
  <c r="AE82" i="1"/>
  <c r="AF82" i="1" s="1"/>
  <c r="AG82" i="1" s="1"/>
  <c r="AE26" i="1"/>
  <c r="AF26" i="1" s="1"/>
  <c r="AG26" i="1" s="1"/>
  <c r="AE207" i="1"/>
  <c r="AF207" i="1" s="1"/>
  <c r="AG207" i="1" s="1"/>
  <c r="AE251" i="1"/>
  <c r="AF251" i="1" s="1"/>
  <c r="AG251" i="1" s="1"/>
  <c r="AE261" i="1"/>
  <c r="AF261" i="1" s="1"/>
  <c r="AG261" i="1" s="1"/>
  <c r="AE146" i="1"/>
  <c r="AF146" i="1" s="1"/>
  <c r="AG146" i="1" s="1"/>
  <c r="AE114" i="1"/>
  <c r="AF114" i="1" s="1"/>
  <c r="AG114" i="1" s="1"/>
  <c r="AE98" i="1"/>
  <c r="AF98" i="1" s="1"/>
  <c r="AG98" i="1" s="1"/>
  <c r="AE64" i="1"/>
  <c r="AF64" i="1" s="1"/>
  <c r="AG64" i="1" s="1"/>
  <c r="AE55" i="1"/>
  <c r="AF55" i="1" s="1"/>
  <c r="AG55" i="1" s="1"/>
  <c r="AE116" i="1"/>
  <c r="AF116" i="1" s="1"/>
  <c r="AG116" i="1" s="1"/>
  <c r="AE94" i="1"/>
  <c r="AF94" i="1" s="1"/>
  <c r="AG94" i="1" s="1"/>
  <c r="AE57" i="1"/>
  <c r="AF57" i="1" s="1"/>
  <c r="AG57" i="1" s="1"/>
  <c r="AE205" i="1"/>
  <c r="AF205" i="1" s="1"/>
  <c r="AG205" i="1" s="1"/>
  <c r="AE9" i="1"/>
  <c r="AF9" i="1" s="1"/>
  <c r="AG9" i="1" s="1"/>
  <c r="AE148" i="1"/>
  <c r="AF148" i="1" s="1"/>
  <c r="AG148" i="1" s="1"/>
  <c r="AE165" i="1"/>
  <c r="AF165" i="1" s="1"/>
  <c r="AG165" i="1" s="1"/>
  <c r="AE86" i="1"/>
  <c r="AF86" i="1" s="1"/>
  <c r="AG86" i="1" s="1"/>
  <c r="AE59" i="1"/>
  <c r="AF59" i="1" s="1"/>
  <c r="AG59" i="1" s="1"/>
  <c r="AE196" i="1"/>
  <c r="AF196" i="1" s="1"/>
  <c r="AG196" i="1" s="1"/>
  <c r="AE222" i="1"/>
  <c r="AF222" i="1" s="1"/>
  <c r="AG222" i="1" s="1"/>
  <c r="AE240" i="1"/>
  <c r="AF240" i="1" s="1"/>
  <c r="AG240" i="1" s="1"/>
  <c r="AE254" i="1"/>
  <c r="AF254" i="1" s="1"/>
  <c r="AG254" i="1" s="1"/>
  <c r="AE176" i="1"/>
  <c r="AF176" i="1" s="1"/>
  <c r="AG176" i="1" s="1"/>
  <c r="AE252" i="1"/>
  <c r="AF252" i="1" s="1"/>
  <c r="AG252" i="1" s="1"/>
  <c r="AE65" i="1"/>
  <c r="AF65" i="1" s="1"/>
  <c r="AG65" i="1" s="1"/>
  <c r="AE90" i="1"/>
  <c r="AF90" i="1" s="1"/>
  <c r="AG90" i="1" s="1"/>
  <c r="AE129" i="1"/>
  <c r="AF129" i="1" s="1"/>
  <c r="AG129" i="1" s="1"/>
  <c r="AE89" i="1"/>
  <c r="AF89" i="1" s="1"/>
  <c r="AG89" i="1" s="1"/>
  <c r="AE43" i="1"/>
  <c r="AF43" i="1" s="1"/>
  <c r="AG43" i="1" s="1"/>
  <c r="AE39" i="1"/>
  <c r="AF39" i="1" s="1"/>
  <c r="AG39" i="1" s="1"/>
  <c r="AE161" i="1"/>
  <c r="AF161" i="1" s="1"/>
  <c r="AG161" i="1" s="1"/>
  <c r="AE185" i="1"/>
  <c r="AF185" i="1" s="1"/>
  <c r="AG185" i="1" s="1"/>
  <c r="AE199" i="1"/>
  <c r="AF199" i="1" s="1"/>
  <c r="AG199" i="1" s="1"/>
  <c r="AE177" i="1"/>
  <c r="AF177" i="1" s="1"/>
  <c r="AG177" i="1" s="1"/>
  <c r="AD35" i="1"/>
  <c r="AE35" i="1" s="1"/>
  <c r="AF35" i="1" s="1"/>
  <c r="AG35" i="1" s="1"/>
  <c r="AE128" i="1"/>
  <c r="AF128" i="1" s="1"/>
  <c r="AG128" i="1" s="1"/>
  <c r="AE74" i="1"/>
  <c r="AF74" i="1" s="1"/>
  <c r="AG74" i="1" s="1"/>
  <c r="AE264" i="1"/>
  <c r="AF264" i="1" s="1"/>
  <c r="AG264" i="1" s="1"/>
  <c r="AE51" i="1"/>
  <c r="AF51" i="1" s="1"/>
  <c r="AG51" i="1" s="1"/>
  <c r="AE157" i="1"/>
  <c r="AF157" i="1" s="1"/>
  <c r="AG157" i="1" s="1"/>
  <c r="AE125" i="1"/>
  <c r="AF125" i="1" s="1"/>
  <c r="AG125" i="1" s="1"/>
  <c r="AE266" i="1"/>
  <c r="AF266" i="1" s="1"/>
  <c r="AG266" i="1" s="1"/>
  <c r="AE151" i="1"/>
  <c r="AF151" i="1" s="1"/>
  <c r="AG151" i="1" s="1"/>
  <c r="AE201" i="1"/>
  <c r="AF201" i="1" s="1"/>
  <c r="AG201" i="1" s="1"/>
  <c r="AE56" i="1"/>
  <c r="AF56" i="1" s="1"/>
  <c r="AG56" i="1" s="1"/>
  <c r="AE231" i="1"/>
  <c r="AF231" i="1" s="1"/>
  <c r="AG231" i="1" s="1"/>
  <c r="AE150" i="1"/>
  <c r="AF150" i="1" s="1"/>
  <c r="AG150" i="1" s="1"/>
  <c r="AE255" i="1"/>
  <c r="AF255" i="1" s="1"/>
  <c r="AG255" i="1" s="1"/>
  <c r="AE120" i="1"/>
  <c r="AF120" i="1" s="1"/>
  <c r="AG120" i="1" s="1"/>
  <c r="AE87" i="1"/>
  <c r="AF87" i="1" s="1"/>
  <c r="AG87" i="1" s="1"/>
  <c r="AE275" i="1"/>
  <c r="AF275" i="1" s="1"/>
  <c r="AG275" i="1" s="1"/>
  <c r="AE12" i="1"/>
  <c r="AF12" i="1" s="1"/>
  <c r="AG12" i="1" s="1"/>
  <c r="AD241" i="1"/>
  <c r="AE241" i="1" s="1"/>
  <c r="AF241" i="1" s="1"/>
  <c r="AG241" i="1" s="1"/>
  <c r="AE31" i="1"/>
  <c r="AF31" i="1" s="1"/>
  <c r="AG31" i="1" s="1"/>
  <c r="AE247" i="1"/>
  <c r="AF247" i="1" s="1"/>
  <c r="AG247" i="1" s="1"/>
  <c r="AE167" i="1"/>
  <c r="AF167" i="1" s="1"/>
  <c r="AG167" i="1" s="1"/>
  <c r="AE122" i="1"/>
  <c r="AF122" i="1" s="1"/>
  <c r="AG122" i="1" s="1"/>
  <c r="AE96" i="1"/>
  <c r="AF96" i="1" s="1"/>
  <c r="AG96" i="1" s="1"/>
  <c r="AE121" i="1"/>
  <c r="AF121" i="1" s="1"/>
  <c r="AG121" i="1" s="1"/>
  <c r="AE83" i="1"/>
  <c r="AF83" i="1" s="1"/>
  <c r="AG83" i="1" s="1"/>
  <c r="AE180" i="1"/>
  <c r="AF180" i="1" s="1"/>
  <c r="AG180" i="1" s="1"/>
  <c r="AE13" i="1"/>
  <c r="AF13" i="1" s="1"/>
  <c r="AG13" i="1" s="1"/>
  <c r="AE131" i="1"/>
  <c r="AF131" i="1" s="1"/>
  <c r="AG131" i="1" s="1"/>
  <c r="AE190" i="1"/>
  <c r="AF190" i="1" s="1"/>
  <c r="AG190" i="1" s="1"/>
  <c r="AE191" i="1"/>
  <c r="AF191" i="1" s="1"/>
  <c r="AG191" i="1" s="1"/>
  <c r="AE278" i="1"/>
  <c r="AF278" i="1" s="1"/>
  <c r="AG278" i="1" s="1"/>
  <c r="AE50" i="1"/>
  <c r="AF50" i="1" s="1"/>
  <c r="AG50" i="1" s="1"/>
  <c r="AE49" i="1"/>
  <c r="AF49" i="1" s="1"/>
  <c r="AG49" i="1" s="1"/>
  <c r="AE235" i="1"/>
  <c r="AF235" i="1" s="1"/>
  <c r="AG235" i="1" s="1"/>
  <c r="AE253" i="1"/>
  <c r="AF253" i="1" s="1"/>
  <c r="AG253" i="1" s="1"/>
  <c r="AE195" i="1"/>
  <c r="AF195" i="1" s="1"/>
  <c r="AG195" i="1" s="1"/>
  <c r="AE15" i="1"/>
  <c r="AF15" i="1" s="1"/>
  <c r="AG15" i="1" s="1"/>
  <c r="AE189" i="1"/>
  <c r="AF189" i="1" s="1"/>
  <c r="AG189" i="1" s="1"/>
  <c r="AE142" i="1"/>
  <c r="AF142" i="1" s="1"/>
  <c r="AG142" i="1" s="1"/>
  <c r="AE75" i="1"/>
  <c r="AF75" i="1" s="1"/>
  <c r="AG75" i="1" s="1"/>
  <c r="AE63" i="1"/>
  <c r="AF63" i="1" s="1"/>
  <c r="AG63" i="1" s="1"/>
  <c r="AE62" i="1"/>
  <c r="AF62" i="1" s="1"/>
  <c r="AG62" i="1" s="1"/>
  <c r="AE187" i="1"/>
  <c r="AF187" i="1" s="1"/>
  <c r="AG187" i="1" s="1"/>
  <c r="AE85" i="1"/>
  <c r="AF85" i="1" s="1"/>
  <c r="AG85" i="1" s="1"/>
  <c r="AE84" i="1"/>
  <c r="AF84" i="1" s="1"/>
  <c r="AG84" i="1" s="1"/>
  <c r="AE70" i="1"/>
  <c r="AF70" i="1" s="1"/>
  <c r="AG70" i="1" s="1"/>
  <c r="AE272" i="1"/>
  <c r="AF272" i="1" s="1"/>
  <c r="AG272" i="1" s="1"/>
  <c r="AE80" i="1"/>
  <c r="AF80" i="1" s="1"/>
  <c r="AG80" i="1" s="1"/>
  <c r="AE145" i="1"/>
  <c r="AF145" i="1" s="1"/>
  <c r="AG145" i="1" s="1"/>
  <c r="AE130" i="1"/>
  <c r="AF130" i="1" s="1"/>
  <c r="AG130" i="1" s="1"/>
  <c r="AE206" i="1"/>
  <c r="AF206" i="1" s="1"/>
  <c r="AG206" i="1" s="1"/>
  <c r="AE193" i="1"/>
  <c r="AF193" i="1" s="1"/>
  <c r="AG193" i="1" s="1"/>
  <c r="AE166" i="1"/>
  <c r="AF166" i="1" s="1"/>
  <c r="AG166" i="1" s="1"/>
  <c r="AE262" i="1"/>
  <c r="AF262" i="1" s="1"/>
  <c r="AG262" i="1" s="1"/>
  <c r="AE256" i="1"/>
  <c r="AF256" i="1" s="1"/>
  <c r="AG256" i="1" s="1"/>
  <c r="AE47" i="1"/>
  <c r="AF47" i="1" s="1"/>
  <c r="AG47" i="1" s="1"/>
  <c r="AE30" i="1"/>
  <c r="AF30" i="1" s="1"/>
  <c r="AG30" i="1" s="1"/>
  <c r="AE218" i="1"/>
  <c r="AF218" i="1" s="1"/>
  <c r="AG218" i="1" s="1"/>
  <c r="AE48" i="1"/>
  <c r="AF48" i="1" s="1"/>
  <c r="AG48" i="1" s="1"/>
  <c r="AE29" i="1"/>
  <c r="AF29" i="1" s="1"/>
  <c r="AG29" i="1" s="1"/>
  <c r="AE242" i="1"/>
  <c r="AF242" i="1" s="1"/>
  <c r="AG242" i="1" s="1"/>
  <c r="AE95" i="1"/>
  <c r="AF95" i="1" s="1"/>
  <c r="AG95" i="1" s="1"/>
  <c r="AE68" i="1"/>
  <c r="AF68" i="1" s="1"/>
  <c r="AG68" i="1" s="1"/>
  <c r="AE156" i="1"/>
  <c r="AF156" i="1" s="1"/>
  <c r="AG156" i="1" s="1"/>
  <c r="AE66" i="1"/>
  <c r="AF66" i="1" s="1"/>
  <c r="AG66" i="1" s="1"/>
  <c r="AE179" i="1"/>
  <c r="AF179" i="1" s="1"/>
  <c r="AG179" i="1" s="1"/>
  <c r="AE123" i="1"/>
  <c r="AF123" i="1" s="1"/>
  <c r="AG123" i="1" s="1"/>
  <c r="AE17" i="1"/>
  <c r="AF17" i="1" s="1"/>
  <c r="AG17" i="1" s="1"/>
  <c r="AE36" i="1"/>
  <c r="AF36" i="1" s="1"/>
  <c r="AG36" i="1" s="1"/>
  <c r="AE208" i="1"/>
  <c r="AF208" i="1" s="1"/>
  <c r="AG208" i="1" s="1"/>
  <c r="AE100" i="1"/>
  <c r="AF100" i="1" s="1"/>
  <c r="AG100" i="1" s="1"/>
  <c r="AE144" i="1"/>
  <c r="AF144" i="1" s="1"/>
  <c r="AG144" i="1" s="1"/>
  <c r="AE147" i="1"/>
  <c r="AF147" i="1" s="1"/>
  <c r="AG147" i="1" s="1"/>
  <c r="AE184" i="1"/>
  <c r="AF184" i="1" s="1"/>
  <c r="AG184" i="1" s="1"/>
  <c r="AE227" i="1"/>
  <c r="AF227" i="1" s="1"/>
  <c r="AG227" i="1" s="1"/>
  <c r="AE52" i="1"/>
  <c r="AF52" i="1" s="1"/>
  <c r="AG52" i="1" s="1"/>
  <c r="AE188" i="1"/>
  <c r="AF188" i="1" s="1"/>
  <c r="AG188" i="1" s="1"/>
  <c r="AE171" i="1"/>
  <c r="AF171" i="1" s="1"/>
  <c r="AG171" i="1" s="1"/>
  <c r="AE99" i="1"/>
  <c r="AF99" i="1" s="1"/>
  <c r="AG99" i="1" s="1"/>
  <c r="AE194" i="1"/>
  <c r="AF194" i="1" s="1"/>
  <c r="AG194" i="1" s="1"/>
  <c r="AE234" i="1"/>
  <c r="AF234" i="1" s="1"/>
  <c r="AG234" i="1" s="1"/>
  <c r="AE16" i="1"/>
  <c r="AF16" i="1" s="1"/>
  <c r="AG16" i="1" s="1"/>
  <c r="AE203" i="1"/>
  <c r="AF203" i="1" s="1"/>
  <c r="AG203" i="1" s="1"/>
  <c r="AE20" i="1"/>
  <c r="AF20" i="1" s="1"/>
  <c r="AG20" i="1" s="1"/>
  <c r="AE170" i="1"/>
  <c r="AF170" i="1" s="1"/>
  <c r="AG170" i="1" s="1"/>
  <c r="AE200" i="1"/>
  <c r="AF200" i="1" s="1"/>
  <c r="AG200" i="1" s="1"/>
  <c r="AE27" i="1"/>
  <c r="AF27" i="1" s="1"/>
  <c r="AG27" i="1" s="1"/>
  <c r="AE21" i="1"/>
  <c r="AF21" i="1" s="1"/>
  <c r="AG21" i="1" s="1"/>
  <c r="AE71" i="1"/>
  <c r="AF71" i="1" s="1"/>
  <c r="AG71" i="1" s="1"/>
  <c r="AE183" i="1"/>
  <c r="AF183" i="1" s="1"/>
  <c r="AG183" i="1" s="1"/>
  <c r="AE173" i="1"/>
  <c r="AF173" i="1" s="1"/>
  <c r="AG173" i="1" s="1"/>
  <c r="S1" i="1" l="1"/>
  <c r="AC11" i="1"/>
  <c r="AC1" i="1" s="1"/>
  <c r="AD11" i="1"/>
  <c r="AD1" i="1" s="1"/>
  <c r="AE11" i="1" l="1"/>
  <c r="AF11" i="1" l="1"/>
  <c r="AG11" i="1" s="1"/>
  <c r="AE1" i="1"/>
  <c r="B12" i="4" l="1"/>
  <c r="B11" i="4"/>
  <c r="B10" i="4"/>
  <c r="B9" i="4"/>
  <c r="B8" i="4"/>
  <c r="B7" i="4"/>
  <c r="B6" i="4"/>
  <c r="B5" i="4"/>
  <c r="B4" i="4"/>
  <c r="B3" i="4"/>
  <c r="B13" i="4" l="1"/>
  <c r="AF1" i="1" l="1"/>
  <c r="D11" i="4" l="1"/>
  <c r="D12" i="4"/>
  <c r="D6" i="4"/>
  <c r="D7" i="4"/>
  <c r="D8" i="4"/>
  <c r="D4" i="4"/>
  <c r="D9" i="4"/>
  <c r="D10" i="4"/>
  <c r="D5" i="4"/>
  <c r="D3" i="4"/>
  <c r="C10" i="4"/>
  <c r="C5" i="4"/>
  <c r="C11" i="4"/>
  <c r="C12" i="4"/>
  <c r="C6" i="4"/>
  <c r="C4" i="4"/>
  <c r="C7" i="4"/>
  <c r="C8" i="4"/>
  <c r="C3" i="4"/>
  <c r="C9" i="4"/>
  <c r="C2" i="4"/>
  <c r="C13" i="4" l="1"/>
  <c r="E12" i="4"/>
  <c r="F12" i="4" s="1"/>
  <c r="E4" i="4"/>
  <c r="F4" i="4" s="1"/>
  <c r="E6" i="4"/>
  <c r="F6" i="4" s="1"/>
  <c r="E7" i="4"/>
  <c r="F7" i="4" s="1"/>
  <c r="E8" i="4"/>
  <c r="F8" i="4" s="1"/>
  <c r="E9" i="4"/>
  <c r="F9" i="4" s="1"/>
  <c r="E3" i="4"/>
  <c r="F3" i="4" s="1"/>
  <c r="E10" i="4"/>
  <c r="F10" i="4" s="1"/>
  <c r="E5" i="4"/>
  <c r="F5" i="4" s="1"/>
  <c r="E11" i="4"/>
  <c r="F11" i="4" s="1"/>
  <c r="D2" i="4" l="1"/>
  <c r="D13" i="4" s="1"/>
  <c r="E2" i="4"/>
  <c r="E13" i="4" l="1"/>
  <c r="F13" i="4" s="1"/>
  <c r="F2" i="4"/>
</calcChain>
</file>

<file path=xl/sharedStrings.xml><?xml version="1.0" encoding="utf-8"?>
<sst xmlns="http://schemas.openxmlformats.org/spreadsheetml/2006/main" count="6427" uniqueCount="922">
  <si>
    <t>Manufacturer Part Number</t>
  </si>
  <si>
    <t>UOM</t>
  </si>
  <si>
    <t>INA</t>
  </si>
  <si>
    <t>MSP</t>
  </si>
  <si>
    <t>ASCO</t>
  </si>
  <si>
    <t>THK</t>
  </si>
  <si>
    <t>NORD</t>
  </si>
  <si>
    <t>UST</t>
  </si>
  <si>
    <t>SKF</t>
  </si>
  <si>
    <t>1ST SAP MFR</t>
  </si>
  <si>
    <t>1ST SAP PN</t>
  </si>
  <si>
    <t>1ST SAP MATERIAL#</t>
  </si>
  <si>
    <t>1ST SAP DESCRIPTION</t>
  </si>
  <si>
    <t>1ST SAP UOM</t>
  </si>
  <si>
    <t>1ST SAP MATERIAL STATUS</t>
  </si>
  <si>
    <t>NUMA</t>
  </si>
  <si>
    <t>DONA</t>
  </si>
  <si>
    <t>CONT</t>
  </si>
  <si>
    <t>MART</t>
  </si>
  <si>
    <t>BALD</t>
  </si>
  <si>
    <t>PARK</t>
  </si>
  <si>
    <t>EURO</t>
  </si>
  <si>
    <t>DODG</t>
  </si>
  <si>
    <t>HABA</t>
  </si>
  <si>
    <t>HYDR</t>
  </si>
  <si>
    <t>FEST</t>
  </si>
  <si>
    <t>BODI</t>
  </si>
  <si>
    <t>BROW</t>
  </si>
  <si>
    <t>LUBR</t>
  </si>
  <si>
    <t>MACV</t>
  </si>
  <si>
    <t>GOLD</t>
  </si>
  <si>
    <t>LOVJ</t>
  </si>
  <si>
    <t>PA PRICE</t>
  </si>
  <si>
    <t>PA EXT</t>
  </si>
  <si>
    <t>DIFF $</t>
  </si>
  <si>
    <t>DIFF %</t>
  </si>
  <si>
    <t>SAVINGS CATEGORY</t>
  </si>
  <si>
    <t>AIT NOTES</t>
  </si>
  <si>
    <t>CSPL</t>
  </si>
  <si>
    <t xml:space="preserve">ROLLING 12 </t>
  </si>
  <si>
    <t>CODE</t>
  </si>
  <si>
    <t>CATEGORY</t>
  </si>
  <si>
    <t>YES</t>
  </si>
  <si>
    <t>NO</t>
  </si>
  <si>
    <t>SKU COUNT</t>
  </si>
  <si>
    <t>TOTAL</t>
  </si>
  <si>
    <t>SC</t>
  </si>
  <si>
    <t>Billing Document Number</t>
  </si>
  <si>
    <t>Billing Date</t>
  </si>
  <si>
    <t>Master Customer (Heading)</t>
  </si>
  <si>
    <t>Master Customer Division (Heading)</t>
  </si>
  <si>
    <t xml:space="preserve">Sold-To-Party </t>
  </si>
  <si>
    <t>Ship-To Party</t>
  </si>
  <si>
    <t>Ship-To Party (Heading)</t>
  </si>
  <si>
    <t xml:space="preserve">Street Address </t>
  </si>
  <si>
    <t>City</t>
  </si>
  <si>
    <t>State</t>
  </si>
  <si>
    <t>Postal Code</t>
  </si>
  <si>
    <t>Customer Material Number</t>
  </si>
  <si>
    <t>Customer Purchase Order Number</t>
  </si>
  <si>
    <t>MFG Code</t>
  </si>
  <si>
    <t>Material</t>
  </si>
  <si>
    <t xml:space="preserve">Billing Quantity </t>
  </si>
  <si>
    <t>MATH</t>
  </si>
  <si>
    <t>SLMS</t>
  </si>
  <si>
    <t>BOST</t>
  </si>
  <si>
    <t>REX</t>
  </si>
  <si>
    <t>MPLA</t>
  </si>
  <si>
    <t>GENE</t>
  </si>
  <si>
    <t>WEG</t>
  </si>
  <si>
    <t>MELP</t>
  </si>
  <si>
    <t>MISC</t>
  </si>
  <si>
    <t>MCS</t>
  </si>
  <si>
    <t>MSEA</t>
  </si>
  <si>
    <t>STLY</t>
  </si>
  <si>
    <t>KLUB</t>
  </si>
  <si>
    <t>AVEN</t>
  </si>
  <si>
    <t>BKT</t>
  </si>
  <si>
    <t>REXR</t>
  </si>
  <si>
    <t>CONR</t>
  </si>
  <si>
    <t>MANH</t>
  </si>
  <si>
    <t>INT</t>
  </si>
  <si>
    <t>CHPN</t>
  </si>
  <si>
    <t>INTR</t>
  </si>
  <si>
    <t>SICK</t>
  </si>
  <si>
    <t>L0931-063</t>
  </si>
  <si>
    <t>LUBR_L0931-063</t>
  </si>
  <si>
    <t>EA</t>
  </si>
  <si>
    <t xml:space="preserve"> </t>
  </si>
  <si>
    <t>7JEM</t>
  </si>
  <si>
    <t>MART_7JEM</t>
  </si>
  <si>
    <t>7S 28MM</t>
  </si>
  <si>
    <t>MART_7S 28MM</t>
  </si>
  <si>
    <t>7S 38MM</t>
  </si>
  <si>
    <t>MART_7S 38MM</t>
  </si>
  <si>
    <t>TA-4 RUBBER BLOCK SET #848001</t>
  </si>
  <si>
    <t>MISC_TA-4 RUBBER BLOCK SET #848001</t>
  </si>
  <si>
    <t>FPA/POR</t>
  </si>
  <si>
    <t>MAGT</t>
  </si>
  <si>
    <t>SI-N3/V</t>
  </si>
  <si>
    <t>MAGT_SI-N3/V</t>
  </si>
  <si>
    <t>CIMR-VU4A0007FAA</t>
  </si>
  <si>
    <t>MAGT_CIMR-VU4A0007FAA</t>
  </si>
  <si>
    <t>21BQ30R56</t>
  </si>
  <si>
    <t>DODG_21BQ30R56</t>
  </si>
  <si>
    <t>11-911A</t>
  </si>
  <si>
    <t>STLY_11-911A</t>
  </si>
  <si>
    <t>696688</t>
  </si>
  <si>
    <t>MSP_696688</t>
  </si>
  <si>
    <t>AEN</t>
  </si>
  <si>
    <t>855T-L10 120V</t>
  </si>
  <si>
    <t>AEN_855T-L10 120V</t>
  </si>
  <si>
    <t>LC-14-20-C</t>
  </si>
  <si>
    <t>MELP_LC-14-20-C</t>
  </si>
  <si>
    <t>U-3/8-B</t>
  </si>
  <si>
    <t>FEST_U-3/8-B</t>
  </si>
  <si>
    <t>510CC0/W1C1P000</t>
  </si>
  <si>
    <t>MISC_510CC0/W1C1P000</t>
  </si>
  <si>
    <t>MIS</t>
  </si>
  <si>
    <t>02-9804-55-203</t>
  </si>
  <si>
    <t>MIS_02-9804-55-203</t>
  </si>
  <si>
    <t>2310 10"10"X1" FILTER BLUE&amp;WHITE</t>
  </si>
  <si>
    <t>MIS_2310 10"10"X1" FILTER BLUE&amp;WHITE</t>
  </si>
  <si>
    <t>61804</t>
  </si>
  <si>
    <t>SKF_61804</t>
  </si>
  <si>
    <t>9488-1265 BALL FOOT PROBE ASSY</t>
  </si>
  <si>
    <t>MSP_9488-1265 BALL FOOT PROBE ASSY</t>
  </si>
  <si>
    <t>PR-7</t>
  </si>
  <si>
    <t>MELP_PR-7</t>
  </si>
  <si>
    <t>P2-SSPPP-TSU-TF-STF-0070</t>
  </si>
  <si>
    <t>MISC_P2-SSPPP-TSU-TF-STF-0070</t>
  </si>
  <si>
    <t>VS-116</t>
  </si>
  <si>
    <t>BROW_VS-116</t>
  </si>
  <si>
    <t>1016ST ULTRAVIOLET BULB</t>
  </si>
  <si>
    <t>MISC_1016ST ULTRAVIOLET BULB</t>
  </si>
  <si>
    <t>317989</t>
  </si>
  <si>
    <t>BKT_317989</t>
  </si>
  <si>
    <t>T3033 ELECTRONIC BALLAST</t>
  </si>
  <si>
    <t>MISC_T3033 ELECTRONIC BALLAST</t>
  </si>
  <si>
    <t>L0305-035</t>
  </si>
  <si>
    <t>LUBR_L0305-035</t>
  </si>
  <si>
    <t>L0305-098</t>
  </si>
  <si>
    <t>LUBR_L0305-098</t>
  </si>
  <si>
    <t>L0198-098</t>
  </si>
  <si>
    <t>LUBR_L0198-098</t>
  </si>
  <si>
    <t>L0231-098</t>
  </si>
  <si>
    <t>LUBR_L0231-098</t>
  </si>
  <si>
    <t>L0232-098</t>
  </si>
  <si>
    <t>LUBR_L0232-098</t>
  </si>
  <si>
    <t>L0985-231</t>
  </si>
  <si>
    <t>LUBR_L0985-231</t>
  </si>
  <si>
    <t>100400</t>
  </si>
  <si>
    <t>MISC_100400</t>
  </si>
  <si>
    <t>100402 BLUE LID</t>
  </si>
  <si>
    <t>MISC_100402 BLUE LID</t>
  </si>
  <si>
    <t>100404</t>
  </si>
  <si>
    <t>MISC_100404</t>
  </si>
  <si>
    <t>100406</t>
  </si>
  <si>
    <t>MISC_100406</t>
  </si>
  <si>
    <t>100407</t>
  </si>
  <si>
    <t>MISC_100407</t>
  </si>
  <si>
    <t>100408</t>
  </si>
  <si>
    <t>MISC_100408</t>
  </si>
  <si>
    <t>101003</t>
  </si>
  <si>
    <t>MISC_101003</t>
  </si>
  <si>
    <t>RADC</t>
  </si>
  <si>
    <t>C09-0F</t>
  </si>
  <si>
    <t>RADC_C09-0F</t>
  </si>
  <si>
    <t>571111ALL-LN-1-1/2SQ</t>
  </si>
  <si>
    <t>HABA_571111ALL-LN-1-1/2SQ</t>
  </si>
  <si>
    <t>1C121364</t>
  </si>
  <si>
    <t>DONA_1C121364</t>
  </si>
  <si>
    <t>1C121764</t>
  </si>
  <si>
    <t>DONA_1C121764</t>
  </si>
  <si>
    <t>1C122164</t>
  </si>
  <si>
    <t>DONA_1C122164</t>
  </si>
  <si>
    <t>1C124364</t>
  </si>
  <si>
    <t>DONA_1C124364</t>
  </si>
  <si>
    <t>1C125164</t>
  </si>
  <si>
    <t>DONA_1C125164</t>
  </si>
  <si>
    <t>1C125764</t>
  </si>
  <si>
    <t>DONA_1C125764</t>
  </si>
  <si>
    <t>1C220048-25</t>
  </si>
  <si>
    <t>DONA_1C220048-25</t>
  </si>
  <si>
    <t>1C120032-25</t>
  </si>
  <si>
    <t>DONA_1C120032-25</t>
  </si>
  <si>
    <t>1C122132</t>
  </si>
  <si>
    <t>DONA_1C122132</t>
  </si>
  <si>
    <t>1C224332</t>
  </si>
  <si>
    <t>DONA_1C224332</t>
  </si>
  <si>
    <t>1C121732</t>
  </si>
  <si>
    <t>DONA_1C121732</t>
  </si>
  <si>
    <t>1C124356</t>
  </si>
  <si>
    <t>DONA_1C124356</t>
  </si>
  <si>
    <t>1C122156</t>
  </si>
  <si>
    <t>DONA_1C122156</t>
  </si>
  <si>
    <t>1C120056-05</t>
  </si>
  <si>
    <t>DONA_1C120056-05</t>
  </si>
  <si>
    <t>1C121756</t>
  </si>
  <si>
    <t>DONA_1C121756</t>
  </si>
  <si>
    <t>1C123388</t>
  </si>
  <si>
    <t>DONA_1C123388</t>
  </si>
  <si>
    <t>1C120064-05</t>
  </si>
  <si>
    <t>DONA_1C120064-05</t>
  </si>
  <si>
    <t>1C224356</t>
  </si>
  <si>
    <t>DONA_1C224356</t>
  </si>
  <si>
    <t>1C221248</t>
  </si>
  <si>
    <t>DONA_1C221248</t>
  </si>
  <si>
    <t>P181015</t>
  </si>
  <si>
    <t>DONA_P181015</t>
  </si>
  <si>
    <t>1C121724</t>
  </si>
  <si>
    <t>DONA_1C121724</t>
  </si>
  <si>
    <t>1C224324</t>
  </si>
  <si>
    <t>DONA_1C224324</t>
  </si>
  <si>
    <t>1C122124</t>
  </si>
  <si>
    <t>DONA_1C122124</t>
  </si>
  <si>
    <t>L0945-057</t>
  </si>
  <si>
    <t>LUBR_L0945-057</t>
  </si>
  <si>
    <t>L0879-057</t>
  </si>
  <si>
    <t>LUBR_L0879-057</t>
  </si>
  <si>
    <t>CFK1-7/16X48</t>
  </si>
  <si>
    <t>GOLD_CFK1-7/16X48</t>
  </si>
  <si>
    <t>L0311-098</t>
  </si>
  <si>
    <t>LUBR_L0311-098</t>
  </si>
  <si>
    <t>L0917-057</t>
  </si>
  <si>
    <t>LUBR_L0917-057</t>
  </si>
  <si>
    <t>VM3538</t>
  </si>
  <si>
    <t>BALD_VM3538</t>
  </si>
  <si>
    <t>HF724-50-B5-H-P23</t>
  </si>
  <si>
    <t>BOST_HF724-50-B5-H-P23</t>
  </si>
  <si>
    <t>L2K-3648</t>
  </si>
  <si>
    <t>HYDR_L2K-3648</t>
  </si>
  <si>
    <t>50 2RIV</t>
  </si>
  <si>
    <t>UST_50 2RIV</t>
  </si>
  <si>
    <t>FT</t>
  </si>
  <si>
    <t>06R218AC</t>
  </si>
  <si>
    <t>PARK_06R218AC</t>
  </si>
  <si>
    <t>L0815-057</t>
  </si>
  <si>
    <t>LUBR_L0815-057</t>
  </si>
  <si>
    <t>2/B173</t>
  </si>
  <si>
    <t>CONT_2/B173</t>
  </si>
  <si>
    <t>FA47 DRN90S4/BE2HR</t>
  </si>
  <si>
    <t>EURO_FA47 DRN90S4/BE2HR</t>
  </si>
  <si>
    <t>D50B15H/1 3/4"BORE</t>
  </si>
  <si>
    <t>MART_D50B15H/1 3/4"BORE</t>
  </si>
  <si>
    <t>D50B18HX1 3/4W/KW</t>
  </si>
  <si>
    <t>MART_D50B18HX1 3/4W/KW</t>
  </si>
  <si>
    <t>LAPT 1000SW</t>
  </si>
  <si>
    <t>SKF_LAPT 1000SW</t>
  </si>
  <si>
    <t>LAPF M1/8</t>
  </si>
  <si>
    <t>SKF_LAPF M1/8</t>
  </si>
  <si>
    <t>LAPP 4</t>
  </si>
  <si>
    <t>SKF_LAPP 4</t>
  </si>
  <si>
    <t>99R10</t>
  </si>
  <si>
    <t>GENE_99R10</t>
  </si>
  <si>
    <t>2PLY BLK R/T 12" WIDE</t>
  </si>
  <si>
    <t>CHPN_2PLY BLK R/T 12" WIDE</t>
  </si>
  <si>
    <t>SAF57 DRN80M4/DH</t>
  </si>
  <si>
    <t>EURO_SAF57 DRN80M4/DH</t>
  </si>
  <si>
    <t>MCPL</t>
  </si>
  <si>
    <t>L099/L100U</t>
  </si>
  <si>
    <t>MCPL_L099/L100U</t>
  </si>
  <si>
    <t>L100X7/8</t>
  </si>
  <si>
    <t>MCPL_L100X7/8</t>
  </si>
  <si>
    <t>00536ET3E184T-W22</t>
  </si>
  <si>
    <t>WEG_00536ET3E184T-W22</t>
  </si>
  <si>
    <t>NATV6-PP-A</t>
  </si>
  <si>
    <t>INA_NATV6-PP-A</t>
  </si>
  <si>
    <t>81T-1"</t>
  </si>
  <si>
    <t>HYDR_81T-1"</t>
  </si>
  <si>
    <t>L099/L100HYT OCT</t>
  </si>
  <si>
    <t>LOVJ_L099/L100HYT OCT</t>
  </si>
  <si>
    <t>ML100 1 1/8</t>
  </si>
  <si>
    <t>MART_ML100 1 1/8</t>
  </si>
  <si>
    <t>32610012</t>
  </si>
  <si>
    <t>NORD_32610012</t>
  </si>
  <si>
    <t>LAPF M1/4</t>
  </si>
  <si>
    <t>SKF_LAPF M1/4</t>
  </si>
  <si>
    <t>76-ARS-64</t>
  </si>
  <si>
    <t>HYDR_76-ARS-64</t>
  </si>
  <si>
    <t>SDC-25-4025</t>
  </si>
  <si>
    <t>HYDR_SDC-25-4025</t>
  </si>
  <si>
    <t>SSK1-1/2X48</t>
  </si>
  <si>
    <t>GOLD_SSK1-1/2X48</t>
  </si>
  <si>
    <t>F2BSC100</t>
  </si>
  <si>
    <t>DODG_F2BSC100</t>
  </si>
  <si>
    <t>CFK1X48</t>
  </si>
  <si>
    <t>GOLD_CFK1X48</t>
  </si>
  <si>
    <t>50BS12 1</t>
  </si>
  <si>
    <t>MART_50BS12 1</t>
  </si>
  <si>
    <t>50BS13 1</t>
  </si>
  <si>
    <t>MART_50BS13 1</t>
  </si>
  <si>
    <t>272612-132-*</t>
  </si>
  <si>
    <t>ASCO_272612-132-*</t>
  </si>
  <si>
    <t>LX-PU</t>
  </si>
  <si>
    <t>HYDR_LX-PU</t>
  </si>
  <si>
    <t>CEWDM3546</t>
  </si>
  <si>
    <t>BALD_CEWDM3546</t>
  </si>
  <si>
    <t>B158</t>
  </si>
  <si>
    <t>CONT_B158</t>
  </si>
  <si>
    <t>L090/L095SOX</t>
  </si>
  <si>
    <t>LOVJ_L090/L095SOX</t>
  </si>
  <si>
    <t>RS12B SS CONN LK</t>
  </si>
  <si>
    <t>UST_RS12B SS CONN LK</t>
  </si>
  <si>
    <t>B180</t>
  </si>
  <si>
    <t>CONT_B180</t>
  </si>
  <si>
    <t>LF879TK3 1/4</t>
  </si>
  <si>
    <t>REX_LF879TK3 1/4</t>
  </si>
  <si>
    <t>FA47/G DRN80MK4/BE1HF</t>
  </si>
  <si>
    <t>EURO_FA47/G DRN80MK4/BE1HF</t>
  </si>
  <si>
    <t>0820024996</t>
  </si>
  <si>
    <t>AVEN_0820024996</t>
  </si>
  <si>
    <t>0822334202</t>
  </si>
  <si>
    <t>AVEN_0822334202</t>
  </si>
  <si>
    <t>L0230-035</t>
  </si>
  <si>
    <t>LUBR_L0230-035</t>
  </si>
  <si>
    <t>HO3A3X21/2A-25-400-C1-1MX-3TRI-X</t>
  </si>
  <si>
    <t>HYDR_HO3A3X21/2A-25-400-C1-1MX-3TRI-X</t>
  </si>
  <si>
    <t>BKCF715-10KP-B5-GS1</t>
  </si>
  <si>
    <t>BOST_BKCF715-10KP-B5-GS1</t>
  </si>
  <si>
    <t>130B-501JJ=5168</t>
  </si>
  <si>
    <t>MACV_130B-501JJ=5168</t>
  </si>
  <si>
    <t>0468</t>
  </si>
  <si>
    <t>BODI_0468</t>
  </si>
  <si>
    <t>S49401054</t>
  </si>
  <si>
    <t>BODI_S49401054</t>
  </si>
  <si>
    <t>SHS20C1SS</t>
  </si>
  <si>
    <t>THK_SHS20C1SS</t>
  </si>
  <si>
    <t>7736505867</t>
  </si>
  <si>
    <t>HYDR_7736505867</t>
  </si>
  <si>
    <t>HUBC</t>
  </si>
  <si>
    <t>0230-14797</t>
  </si>
  <si>
    <t>HUBC_0230-14797</t>
  </si>
  <si>
    <t>L0962-057</t>
  </si>
  <si>
    <t>LUBR_L0962-057</t>
  </si>
  <si>
    <t>L0138-039</t>
  </si>
  <si>
    <t>LUBR_L0138-039</t>
  </si>
  <si>
    <t>L0232-035</t>
  </si>
  <si>
    <t>LUBR_L0232-035</t>
  </si>
  <si>
    <t>L0305-063</t>
  </si>
  <si>
    <t>LUBR_L0305-063</t>
  </si>
  <si>
    <t>L0983-057</t>
  </si>
  <si>
    <t>LUBR_L0983-057</t>
  </si>
  <si>
    <t>L0306-098</t>
  </si>
  <si>
    <t>LUBR_L0306-098</t>
  </si>
  <si>
    <t>OMNI</t>
  </si>
  <si>
    <t>GRAVITY-ROLLER</t>
  </si>
  <si>
    <t>OMNI_GRAVITY-ROLLER</t>
  </si>
  <si>
    <t>TAPERED GRAVITY ROLLER</t>
  </si>
  <si>
    <t>OMNI_TAPERED GRAVITY ROLLER</t>
  </si>
  <si>
    <t>TR12</t>
  </si>
  <si>
    <t>SLMS_TR12</t>
  </si>
  <si>
    <t>2203 E-2RS1TN9</t>
  </si>
  <si>
    <t>SKF_2203 E-2RS1TN9</t>
  </si>
  <si>
    <t>R6POLYCORD-660MM</t>
  </si>
  <si>
    <t>HABA_R6POLYCORD-660MM</t>
  </si>
  <si>
    <t>B315</t>
  </si>
  <si>
    <t>CONT_B315</t>
  </si>
  <si>
    <t>17220706 (OLD #B1160-2)</t>
  </si>
  <si>
    <t>MATH_17220706 (OLD #B1160-2)</t>
  </si>
  <si>
    <t>L0880-060</t>
  </si>
  <si>
    <t>LUBR_L0880-060</t>
  </si>
  <si>
    <t>L0885-060</t>
  </si>
  <si>
    <t>LUBR_L0885-060</t>
  </si>
  <si>
    <t>L0886-060</t>
  </si>
  <si>
    <t>LUBR_L0886-060</t>
  </si>
  <si>
    <t>F738-50E-B7-J</t>
  </si>
  <si>
    <t>BOST_F738-50E-B7-J</t>
  </si>
  <si>
    <t>GL261</t>
  </si>
  <si>
    <t>KLUB_GL261</t>
  </si>
  <si>
    <t>SPARE O-RING 7.10"ID/7.25"OD G4</t>
  </si>
  <si>
    <t>MSEA_SPARE O-RING 7.10"ID/7.25"OD G4</t>
  </si>
  <si>
    <t>SPARE,GASKET,12.16"IDX13.75"BC X006</t>
  </si>
  <si>
    <t>MSEA_SPARE,GASKET,12.16"IDX13.75"BC X006</t>
  </si>
  <si>
    <t>420H150</t>
  </si>
  <si>
    <t>CONT_420H150</t>
  </si>
  <si>
    <t>1610 30MM</t>
  </si>
  <si>
    <t>MART_1610 30MM</t>
  </si>
  <si>
    <t>L0983-060</t>
  </si>
  <si>
    <t>LUBR_L0983-060</t>
  </si>
  <si>
    <t>RCI 215</t>
  </si>
  <si>
    <t>SLMS_RCI 215</t>
  </si>
  <si>
    <t>05018ET3E326T-W22</t>
  </si>
  <si>
    <t>WEG_05018ET3E326T-W22</t>
  </si>
  <si>
    <t>I4050556</t>
  </si>
  <si>
    <t>MELP_I4050556</t>
  </si>
  <si>
    <t>60 2CONN LK CP</t>
  </si>
  <si>
    <t>UST_60 2CONN LK CP</t>
  </si>
  <si>
    <t>DRIV</t>
  </si>
  <si>
    <t>60-2CONN LK SC</t>
  </si>
  <si>
    <t>DRIV_60-2CONN LK SC</t>
  </si>
  <si>
    <t>SFT-23</t>
  </si>
  <si>
    <t>SLMS_SFT-23</t>
  </si>
  <si>
    <t>2012 1 7/16</t>
  </si>
  <si>
    <t>MART_2012 1 7/16</t>
  </si>
  <si>
    <t>2012 7/8</t>
  </si>
  <si>
    <t>MART_2012 7/8</t>
  </si>
  <si>
    <t>60BTB21</t>
  </si>
  <si>
    <t>MART_60BTB21</t>
  </si>
  <si>
    <t>60BTB30</t>
  </si>
  <si>
    <t>MART_60BTB30</t>
  </si>
  <si>
    <t>APCB</t>
  </si>
  <si>
    <t>3610-12"XPER FOOT</t>
  </si>
  <si>
    <t>APCB_3610-12"XPER FOOT</t>
  </si>
  <si>
    <t>1210X1KW</t>
  </si>
  <si>
    <t>DODG_1210X1KW</t>
  </si>
  <si>
    <t>50BTB15</t>
  </si>
  <si>
    <t>MART_50BTB15</t>
  </si>
  <si>
    <t>06E22A18AC</t>
  </si>
  <si>
    <t>PARK_06E22A18AC</t>
  </si>
  <si>
    <t>50JA15H</t>
  </si>
  <si>
    <t>MART_50JA15H</t>
  </si>
  <si>
    <t>JA 1</t>
  </si>
  <si>
    <t>MART_JA 1</t>
  </si>
  <si>
    <t>B0311-57524</t>
  </si>
  <si>
    <t>CONR_B0311-57524</t>
  </si>
  <si>
    <t>35RIV</t>
  </si>
  <si>
    <t>UST_35RIV</t>
  </si>
  <si>
    <t>R166681420</t>
  </si>
  <si>
    <t>REXR_R166681420</t>
  </si>
  <si>
    <t>35BS10HT 5/8</t>
  </si>
  <si>
    <t>UST_35BS10HT 5/8</t>
  </si>
  <si>
    <t>L110X1 1/8HUB1/4</t>
  </si>
  <si>
    <t>LOVJ_L110X1 1/8HUB1/4</t>
  </si>
  <si>
    <t>L110SOX</t>
  </si>
  <si>
    <t>LOVJ_L110SOX</t>
  </si>
  <si>
    <t>L110X1 5/8HUB3/8</t>
  </si>
  <si>
    <t>LOVJ_L110X1 5/8HUB3/8</t>
  </si>
  <si>
    <t>F2W0-0E-1.5AD</t>
  </si>
  <si>
    <t>MANH_F2W0-0E-1.5AD</t>
  </si>
  <si>
    <t>ARV050EPT-PV</t>
  </si>
  <si>
    <t>HYDR_ARV050EPT-PV</t>
  </si>
  <si>
    <t>RAD02321</t>
  </si>
  <si>
    <t>MELP_RAD02321</t>
  </si>
  <si>
    <t>614-73-1</t>
  </si>
  <si>
    <t>REX_614-73-1</t>
  </si>
  <si>
    <t>871TM-DH8NP18-D4</t>
  </si>
  <si>
    <t>MELP_871TM-DH8NP18-D4</t>
  </si>
  <si>
    <t>IN40-D0303K</t>
  </si>
  <si>
    <t>MELP_IN40-D0303K</t>
  </si>
  <si>
    <t>SDIV</t>
  </si>
  <si>
    <t>871TM-BH15N30-R3</t>
  </si>
  <si>
    <t>SDIV_871TM-BH15N30-R3</t>
  </si>
  <si>
    <t>1008 7/8</t>
  </si>
  <si>
    <t>MART_1008 7/8</t>
  </si>
  <si>
    <t>1008 1</t>
  </si>
  <si>
    <t>MART_1008 1</t>
  </si>
  <si>
    <t>SK1SI50-71L/4 CUS 56C</t>
  </si>
  <si>
    <t>NORD_SK1SI50-71L/4 CUS 56C</t>
  </si>
  <si>
    <t>HP8505-24</t>
  </si>
  <si>
    <t>REX_HP8505-24</t>
  </si>
  <si>
    <t>NPR012</t>
  </si>
  <si>
    <t>MPLA_NPR012</t>
  </si>
  <si>
    <t>UHNS019C</t>
  </si>
  <si>
    <t>MPLA_UHNS019C</t>
  </si>
  <si>
    <t>L01SA4594G00061</t>
  </si>
  <si>
    <t>NUMA_L01SA4594G00061</t>
  </si>
  <si>
    <t>WL18-3P430</t>
  </si>
  <si>
    <t>SICK_WL18-3P430</t>
  </si>
  <si>
    <t>60BTB35</t>
  </si>
  <si>
    <t>MCS_60BTB35</t>
  </si>
  <si>
    <t>MSB</t>
  </si>
  <si>
    <t>2012X1 7/16</t>
  </si>
  <si>
    <t>MSB_2012X1 7/16</t>
  </si>
  <si>
    <t>EVT224</t>
  </si>
  <si>
    <t>MELP_EVT224</t>
  </si>
  <si>
    <t>MN1H-2-1/4-MS</t>
  </si>
  <si>
    <t>FEST_MN1H-2-1/4-MS</t>
  </si>
  <si>
    <t>RS10B OFFSET LK</t>
  </si>
  <si>
    <t>UST_RS10B OFFSET LK</t>
  </si>
  <si>
    <t>S3D4XXCYE7 NG</t>
  </si>
  <si>
    <t>INT_S3D4XXCYE7 NG</t>
  </si>
  <si>
    <t>BELT SERIES 400 FLUSH GRID POLYPROPYLENE</t>
  </si>
  <si>
    <t>INTR_BELT SERIES 400 FLUSH GRID POLYPROPYLENE</t>
  </si>
  <si>
    <t>PVC120 BLK FBS  6" WIDE</t>
  </si>
  <si>
    <t>CONT_PVC120 BLK FBS  6" WIDE</t>
  </si>
  <si>
    <t>STOCK FONTANA</t>
  </si>
  <si>
    <t>91761-3672</t>
  </si>
  <si>
    <t>CA</t>
  </si>
  <si>
    <t>ONTARIO</t>
  </si>
  <si>
    <t>5772 JURUPA ST</t>
  </si>
  <si>
    <t>NESTLE WATERS NORTH AMERICA</t>
  </si>
  <si>
    <t>0001622857</t>
  </si>
  <si>
    <t>0001522689</t>
  </si>
  <si>
    <t>NESTLE - BOTTLED WATER</t>
  </si>
  <si>
    <t>NESTLE</t>
  </si>
  <si>
    <t>2842</t>
  </si>
  <si>
    <t>.</t>
  </si>
  <si>
    <t>4568881005</t>
  </si>
  <si>
    <t>92230-4444</t>
  </si>
  <si>
    <t>CABAZON</t>
  </si>
  <si>
    <t>14020 ELM ST</t>
  </si>
  <si>
    <t>0001622894</t>
  </si>
  <si>
    <t>7023650166</t>
  </si>
  <si>
    <t>4568841971 WO#1206234011</t>
  </si>
  <si>
    <t>7023644723</t>
  </si>
  <si>
    <t>7023609895</t>
  </si>
  <si>
    <t>4568846181</t>
  </si>
  <si>
    <t>STOCK SPARKS NV.</t>
  </si>
  <si>
    <t>7023593141</t>
  </si>
  <si>
    <t>4568764331</t>
  </si>
  <si>
    <t>7023592879</t>
  </si>
  <si>
    <t>4568741147</t>
  </si>
  <si>
    <t>7023592877</t>
  </si>
  <si>
    <t>4568806678</t>
  </si>
  <si>
    <t>7023592851</t>
  </si>
  <si>
    <t>4568738487</t>
  </si>
  <si>
    <t>7023592608</t>
  </si>
  <si>
    <t>4568817262</t>
  </si>
  <si>
    <t>7023583373</t>
  </si>
  <si>
    <t>4568802961</t>
  </si>
  <si>
    <t>7023548540</t>
  </si>
  <si>
    <t>4568771715</t>
  </si>
  <si>
    <t>7023470079</t>
  </si>
  <si>
    <t>4568509882</t>
  </si>
  <si>
    <t>3-4 WEEKS ARO</t>
  </si>
  <si>
    <t>7023469668</t>
  </si>
  <si>
    <t>4568780971</t>
  </si>
  <si>
    <t>7023463890</t>
  </si>
  <si>
    <t>4568717461</t>
  </si>
  <si>
    <t>7023433238</t>
  </si>
  <si>
    <t>100801057</t>
  </si>
  <si>
    <t>7023433096</t>
  </si>
  <si>
    <t>4568628516</t>
  </si>
  <si>
    <t>7023412589</t>
  </si>
  <si>
    <t>4568696668</t>
  </si>
  <si>
    <t>OLD#114-683</t>
  </si>
  <si>
    <t>7023405125</t>
  </si>
  <si>
    <t>7023389779</t>
  </si>
  <si>
    <t>4567924355</t>
  </si>
  <si>
    <t>7023388331</t>
  </si>
  <si>
    <t>4567947697</t>
  </si>
  <si>
    <t>5 WEEKS ARO</t>
  </si>
  <si>
    <t>7023313528</t>
  </si>
  <si>
    <t>4568443943</t>
  </si>
  <si>
    <t>101527851</t>
  </si>
  <si>
    <t>7023261661</t>
  </si>
  <si>
    <t>100944727</t>
  </si>
  <si>
    <t>4568396227</t>
  </si>
  <si>
    <t>7023206869</t>
  </si>
  <si>
    <t>4567978642</t>
  </si>
  <si>
    <t>7023206378</t>
  </si>
  <si>
    <t>7023194049</t>
  </si>
  <si>
    <t>4567608448</t>
  </si>
  <si>
    <t>7023154826</t>
  </si>
  <si>
    <t>4567578979</t>
  </si>
  <si>
    <t>7023048550</t>
  </si>
  <si>
    <t>4567924354</t>
  </si>
  <si>
    <t>7023048546</t>
  </si>
  <si>
    <t>4568206681</t>
  </si>
  <si>
    <t>7023037371</t>
  </si>
  <si>
    <t>100790317</t>
  </si>
  <si>
    <t>7023028363</t>
  </si>
  <si>
    <t>4567563518</t>
  </si>
  <si>
    <t>7022967537</t>
  </si>
  <si>
    <t>4568034089</t>
  </si>
  <si>
    <t>7022945772</t>
  </si>
  <si>
    <t>7022928901</t>
  </si>
  <si>
    <t>4567913053</t>
  </si>
  <si>
    <t>7022887394</t>
  </si>
  <si>
    <t>4567948575</t>
  </si>
  <si>
    <t>7022886456</t>
  </si>
  <si>
    <t>7022877486</t>
  </si>
  <si>
    <t>4567823518</t>
  </si>
  <si>
    <t>104235760</t>
  </si>
  <si>
    <t>7022825458</t>
  </si>
  <si>
    <t>4567593108</t>
  </si>
  <si>
    <t>7022808753</t>
  </si>
  <si>
    <t>4567823445</t>
  </si>
  <si>
    <t>7022756590</t>
  </si>
  <si>
    <t>4567649049</t>
  </si>
  <si>
    <t>1PC STOCK FONTANA</t>
  </si>
  <si>
    <t>7022756588</t>
  </si>
  <si>
    <t>4567720961</t>
  </si>
  <si>
    <t>7022704928</t>
  </si>
  <si>
    <t>7022683847</t>
  </si>
  <si>
    <t>4567748052</t>
  </si>
  <si>
    <t>7022677677</t>
  </si>
  <si>
    <t>4567276409</t>
  </si>
  <si>
    <t>VOLUTE GASKET</t>
  </si>
  <si>
    <t>7022651658</t>
  </si>
  <si>
    <t>BACKPLATE GASKET</t>
  </si>
  <si>
    <t>4567494771</t>
  </si>
  <si>
    <t>7022591731</t>
  </si>
  <si>
    <t>4567266194</t>
  </si>
  <si>
    <t>4-5 WEEKS ARO</t>
  </si>
  <si>
    <t>7022540057</t>
  </si>
  <si>
    <t>4559249513</t>
  </si>
  <si>
    <t>7022504340</t>
  </si>
  <si>
    <t>4567264412</t>
  </si>
  <si>
    <t>7022483102</t>
  </si>
  <si>
    <t>4567388687</t>
  </si>
  <si>
    <t>7022398155</t>
  </si>
  <si>
    <t>4567328020</t>
  </si>
  <si>
    <t>100830081</t>
  </si>
  <si>
    <t>7022391539</t>
  </si>
  <si>
    <t>7022389881</t>
  </si>
  <si>
    <t>4567338747</t>
  </si>
  <si>
    <t>7022371147</t>
  </si>
  <si>
    <t>7022363099</t>
  </si>
  <si>
    <t>4566835726</t>
  </si>
  <si>
    <t>7022135286</t>
  </si>
  <si>
    <t>4566829508</t>
  </si>
  <si>
    <t>7022086944</t>
  </si>
  <si>
    <t>4566087542</t>
  </si>
  <si>
    <t>7022049703</t>
  </si>
  <si>
    <t>455924513</t>
  </si>
  <si>
    <t>100801408</t>
  </si>
  <si>
    <t>7021915835</t>
  </si>
  <si>
    <t>100838188</t>
  </si>
  <si>
    <t>7021915475</t>
  </si>
  <si>
    <t>7021915423</t>
  </si>
  <si>
    <t>4566146758</t>
  </si>
  <si>
    <t>STOCK TENNESSEE</t>
  </si>
  <si>
    <t>7021848027</t>
  </si>
  <si>
    <t>4566468515</t>
  </si>
  <si>
    <t>7021838363</t>
  </si>
  <si>
    <t>4566176019</t>
  </si>
  <si>
    <t>7021831473</t>
  </si>
  <si>
    <t>4566649635</t>
  </si>
  <si>
    <t>STOCK KENTUCKY</t>
  </si>
  <si>
    <t>7021820488</t>
  </si>
  <si>
    <t>4566376447</t>
  </si>
  <si>
    <t>7021816464</t>
  </si>
  <si>
    <t>7021816463</t>
  </si>
  <si>
    <t>7021815868</t>
  </si>
  <si>
    <t>4566399759</t>
  </si>
  <si>
    <t>7021806509</t>
  </si>
  <si>
    <t>7021806425</t>
  </si>
  <si>
    <t>4566485746</t>
  </si>
  <si>
    <t>7021769164</t>
  </si>
  <si>
    <t>4566411612</t>
  </si>
  <si>
    <t>7021769097</t>
  </si>
  <si>
    <t>4565675876</t>
  </si>
  <si>
    <t>6-8 WEEKS ARO</t>
  </si>
  <si>
    <t>7021741225</t>
  </si>
  <si>
    <t>4566419773</t>
  </si>
  <si>
    <t>7021691854</t>
  </si>
  <si>
    <t>4566411584</t>
  </si>
  <si>
    <t>7021683368</t>
  </si>
  <si>
    <t>4566059936</t>
  </si>
  <si>
    <t>1 DAY ARO</t>
  </si>
  <si>
    <t>7021532544</t>
  </si>
  <si>
    <t>7021527710</t>
  </si>
  <si>
    <t>456567876</t>
  </si>
  <si>
    <t>7021462399</t>
  </si>
  <si>
    <t>4565882360</t>
  </si>
  <si>
    <t>2-3 WEEKS ARO</t>
  </si>
  <si>
    <t>7021444504</t>
  </si>
  <si>
    <t>4566190137</t>
  </si>
  <si>
    <t>7021427041</t>
  </si>
  <si>
    <t>4566013381</t>
  </si>
  <si>
    <t>7021413888</t>
  </si>
  <si>
    <t>7021413496</t>
  </si>
  <si>
    <t>4565950099</t>
  </si>
  <si>
    <t>STOCK NORTH CAROLINA</t>
  </si>
  <si>
    <t>7021393630</t>
  </si>
  <si>
    <t>4565472905</t>
  </si>
  <si>
    <t>7021393627</t>
  </si>
  <si>
    <t>4566150796</t>
  </si>
  <si>
    <t>7021393615</t>
  </si>
  <si>
    <t>7021393613</t>
  </si>
  <si>
    <t>4565881892</t>
  </si>
  <si>
    <t>7021388437</t>
  </si>
  <si>
    <t>STOCK LOS ANGELES</t>
  </si>
  <si>
    <t>7021374507</t>
  </si>
  <si>
    <t>7021374483</t>
  </si>
  <si>
    <t>7021369509</t>
  </si>
  <si>
    <t>7021349731</t>
  </si>
  <si>
    <t>4565806896</t>
  </si>
  <si>
    <t>7021295753</t>
  </si>
  <si>
    <t>4566035007</t>
  </si>
  <si>
    <t>7021278120</t>
  </si>
  <si>
    <t>7021181565</t>
  </si>
  <si>
    <t>7021181450</t>
  </si>
  <si>
    <t>7021158052</t>
  </si>
  <si>
    <t>4565788529</t>
  </si>
  <si>
    <t>7021134683</t>
  </si>
  <si>
    <t>4565338850</t>
  </si>
  <si>
    <t>7021112301</t>
  </si>
  <si>
    <t>7021112279</t>
  </si>
  <si>
    <t>7021092278</t>
  </si>
  <si>
    <t>4565702409</t>
  </si>
  <si>
    <t>SUB FOR 4ZM15</t>
  </si>
  <si>
    <t>7021084502</t>
  </si>
  <si>
    <t>7021084449</t>
  </si>
  <si>
    <t>4565641034</t>
  </si>
  <si>
    <t>7-10 DAYS ARO</t>
  </si>
  <si>
    <t>7021067060</t>
  </si>
  <si>
    <t>4565728191</t>
  </si>
  <si>
    <t>7021055909</t>
  </si>
  <si>
    <t>102020187</t>
  </si>
  <si>
    <t>7021036374</t>
  </si>
  <si>
    <t>7020989500</t>
  </si>
  <si>
    <t>7020984018</t>
  </si>
  <si>
    <t>4565538859</t>
  </si>
  <si>
    <t>7020983939</t>
  </si>
  <si>
    <t>7020983873</t>
  </si>
  <si>
    <t>7020969688</t>
  </si>
  <si>
    <t>49346-8806</t>
  </si>
  <si>
    <t>MI</t>
  </si>
  <si>
    <t>STANWOOD</t>
  </si>
  <si>
    <t>19275 8 MILE RD US PL NW</t>
  </si>
  <si>
    <t>NESTLE WATERS / ICE MTN</t>
  </si>
  <si>
    <t>0001621275</t>
  </si>
  <si>
    <t>2756</t>
  </si>
  <si>
    <t>4568744449</t>
  </si>
  <si>
    <t>101165555</t>
  </si>
  <si>
    <t>7023646434</t>
  </si>
  <si>
    <t>4568950617</t>
  </si>
  <si>
    <t>101163015</t>
  </si>
  <si>
    <t>7023606764</t>
  </si>
  <si>
    <t>4568855385</t>
  </si>
  <si>
    <t>104333951</t>
  </si>
  <si>
    <t>7023606038</t>
  </si>
  <si>
    <t>101980156</t>
  </si>
  <si>
    <t>101131844</t>
  </si>
  <si>
    <t>7023473156</t>
  </si>
  <si>
    <t>4568627339</t>
  </si>
  <si>
    <t>103601153</t>
  </si>
  <si>
    <t>7023473153</t>
  </si>
  <si>
    <t>102020558</t>
  </si>
  <si>
    <t>101163045</t>
  </si>
  <si>
    <t>4568465732</t>
  </si>
  <si>
    <t>104450558</t>
  </si>
  <si>
    <t>7023456335</t>
  </si>
  <si>
    <t>4568522053</t>
  </si>
  <si>
    <t>7023456332</t>
  </si>
  <si>
    <t>4568372247</t>
  </si>
  <si>
    <t>7023456264</t>
  </si>
  <si>
    <t>4568206811</t>
  </si>
  <si>
    <t>7023398196</t>
  </si>
  <si>
    <t>4568481213</t>
  </si>
  <si>
    <t>101163044</t>
  </si>
  <si>
    <t>7023297217</t>
  </si>
  <si>
    <t>101163042</t>
  </si>
  <si>
    <t>100827109</t>
  </si>
  <si>
    <t>7023296940</t>
  </si>
  <si>
    <t>4568465733</t>
  </si>
  <si>
    <t>101163043</t>
  </si>
  <si>
    <t>7023286682</t>
  </si>
  <si>
    <t>7023286653</t>
  </si>
  <si>
    <t>4568153692</t>
  </si>
  <si>
    <t>7023049946</t>
  </si>
  <si>
    <t>4567896577</t>
  </si>
  <si>
    <t>101165521</t>
  </si>
  <si>
    <t>7022902533</t>
  </si>
  <si>
    <t>101164917</t>
  </si>
  <si>
    <t>4567209543</t>
  </si>
  <si>
    <t>7022796351</t>
  </si>
  <si>
    <t>4567593203</t>
  </si>
  <si>
    <t>7022671063</t>
  </si>
  <si>
    <t>7022578546</t>
  </si>
  <si>
    <t>4567207480</t>
  </si>
  <si>
    <t>7022578545</t>
  </si>
  <si>
    <t>4567155035</t>
  </si>
  <si>
    <t>7022568031</t>
  </si>
  <si>
    <t>4567373868</t>
  </si>
  <si>
    <t>7022457829</t>
  </si>
  <si>
    <t>7022404564</t>
  </si>
  <si>
    <t>4567058881</t>
  </si>
  <si>
    <t>7022368415</t>
  </si>
  <si>
    <t>4567016122</t>
  </si>
  <si>
    <t>7022259044</t>
  </si>
  <si>
    <t>101163041</t>
  </si>
  <si>
    <t>7022245711</t>
  </si>
  <si>
    <t>4566818210</t>
  </si>
  <si>
    <t>7021999484</t>
  </si>
  <si>
    <t>4566664324</t>
  </si>
  <si>
    <t>7021907385</t>
  </si>
  <si>
    <t>4566672993</t>
  </si>
  <si>
    <t>104450558.</t>
  </si>
  <si>
    <t>7021882941</t>
  </si>
  <si>
    <t>4566544196</t>
  </si>
  <si>
    <t>7021882937</t>
  </si>
  <si>
    <t>7021871936</t>
  </si>
  <si>
    <t>101163014</t>
  </si>
  <si>
    <t>101131846</t>
  </si>
  <si>
    <t>4566554277</t>
  </si>
  <si>
    <t>7021850576</t>
  </si>
  <si>
    <t>4566583682</t>
  </si>
  <si>
    <t>103560989</t>
  </si>
  <si>
    <t>7021819446</t>
  </si>
  <si>
    <t>4566342937</t>
  </si>
  <si>
    <t>7021598599</t>
  </si>
  <si>
    <t>4566306982</t>
  </si>
  <si>
    <t>7021587900</t>
  </si>
  <si>
    <t>4566175258</t>
  </si>
  <si>
    <t>7021479353</t>
  </si>
  <si>
    <t>4566084285</t>
  </si>
  <si>
    <t>7021409906</t>
  </si>
  <si>
    <t>4566032940</t>
  </si>
  <si>
    <t>7021308331</t>
  </si>
  <si>
    <t>7021296445</t>
  </si>
  <si>
    <t>4565933404</t>
  </si>
  <si>
    <t>7021285567</t>
  </si>
  <si>
    <t>101080668</t>
  </si>
  <si>
    <t>4565799568</t>
  </si>
  <si>
    <t>7021170281</t>
  </si>
  <si>
    <t>4565832251</t>
  </si>
  <si>
    <t>101163040</t>
  </si>
  <si>
    <t>7021158877</t>
  </si>
  <si>
    <t>4565764009</t>
  </si>
  <si>
    <t>7021090480</t>
  </si>
  <si>
    <t>4565700572</t>
  </si>
  <si>
    <t>7021021723</t>
  </si>
  <si>
    <t>4565658877</t>
  </si>
  <si>
    <t>7020980859</t>
  </si>
  <si>
    <t>4568620929</t>
  </si>
  <si>
    <t>101210862</t>
  </si>
  <si>
    <t>33542-6797</t>
  </si>
  <si>
    <t>FL</t>
  </si>
  <si>
    <t>ZEPHYRHILLS</t>
  </si>
  <si>
    <t>4330 20TH ST</t>
  </si>
  <si>
    <t>ZEPHYRHILLS BOTTLED WATER</t>
  </si>
  <si>
    <t>0001505447</t>
  </si>
  <si>
    <t>7023537430</t>
  </si>
  <si>
    <t>2258</t>
  </si>
  <si>
    <t>100802675</t>
  </si>
  <si>
    <t>4568728498</t>
  </si>
  <si>
    <t>7023423566</t>
  </si>
  <si>
    <t>4568405016</t>
  </si>
  <si>
    <t>7023315909</t>
  </si>
  <si>
    <t>4566636694</t>
  </si>
  <si>
    <t>7021957483</t>
  </si>
  <si>
    <t>4565319604</t>
  </si>
  <si>
    <t>7021060498</t>
  </si>
  <si>
    <t>46143-9802</t>
  </si>
  <si>
    <t>IN</t>
  </si>
  <si>
    <t>GREENWOOD</t>
  </si>
  <si>
    <t>900 COMMERCE PARKWAY WEST DR</t>
  </si>
  <si>
    <t>NESTLE WATERS NORTH AMERICA INC</t>
  </si>
  <si>
    <t>0001347536</t>
  </si>
  <si>
    <t>2183</t>
  </si>
  <si>
    <t>4568912296</t>
  </si>
  <si>
    <t>7023605056</t>
  </si>
  <si>
    <t>4568652645</t>
  </si>
  <si>
    <t>7023476796</t>
  </si>
  <si>
    <t>4568578084</t>
  </si>
  <si>
    <t>7023470604</t>
  </si>
  <si>
    <t>7023350674</t>
  </si>
  <si>
    <t>4568414259</t>
  </si>
  <si>
    <t>7023271785</t>
  </si>
  <si>
    <t>7023266665</t>
  </si>
  <si>
    <t>7023264356</t>
  </si>
  <si>
    <t>4568236919</t>
  </si>
  <si>
    <t>7023154721</t>
  </si>
  <si>
    <t>4568154018</t>
  </si>
  <si>
    <t>7023046283</t>
  </si>
  <si>
    <t>4567194667</t>
  </si>
  <si>
    <t>7022947299</t>
  </si>
  <si>
    <t>4566894205</t>
  </si>
  <si>
    <t>..</t>
  </si>
  <si>
    <t>7022488843</t>
  </si>
  <si>
    <t>KEVIN SANCHEZ</t>
  </si>
  <si>
    <t>POWER SUPPLY</t>
  </si>
  <si>
    <t>7022437491</t>
  </si>
  <si>
    <t>4567156113</t>
  </si>
  <si>
    <t>7022407515</t>
  </si>
  <si>
    <t>4567262148</t>
  </si>
  <si>
    <t>7022371847</t>
  </si>
  <si>
    <t>7022354932</t>
  </si>
  <si>
    <t>4566926538</t>
  </si>
  <si>
    <t>7022083032</t>
  </si>
  <si>
    <t>4566648725</t>
  </si>
  <si>
    <t>7022028015</t>
  </si>
  <si>
    <t>KEVIN SANDCHEZ</t>
  </si>
  <si>
    <t>6843</t>
  </si>
  <si>
    <t>7021808208</t>
  </si>
  <si>
    <t>7021663345</t>
  </si>
  <si>
    <t>7021568236</t>
  </si>
  <si>
    <t>7021563069</t>
  </si>
  <si>
    <t>7021531636</t>
  </si>
  <si>
    <t>4566205495</t>
  </si>
  <si>
    <t>7021503997</t>
  </si>
  <si>
    <t>4568697810</t>
  </si>
  <si>
    <t>101164401</t>
  </si>
  <si>
    <t>18031-1422</t>
  </si>
  <si>
    <t>PA</t>
  </si>
  <si>
    <t>BREINIGSVILLE</t>
  </si>
  <si>
    <t>305 NESTLE WAY</t>
  </si>
  <si>
    <t>0001602753</t>
  </si>
  <si>
    <t>7023663246</t>
  </si>
  <si>
    <t>2154</t>
  </si>
  <si>
    <t>4568669766</t>
  </si>
  <si>
    <t>103268278</t>
  </si>
  <si>
    <t>7023640139</t>
  </si>
  <si>
    <t>4568220293</t>
  </si>
  <si>
    <t>7023570397</t>
  </si>
  <si>
    <t>4568349224</t>
  </si>
  <si>
    <t>7023410975</t>
  </si>
  <si>
    <t>4566498041</t>
  </si>
  <si>
    <t>7022165047</t>
  </si>
  <si>
    <t>4566443511</t>
  </si>
  <si>
    <t>7022089554</t>
  </si>
  <si>
    <t>4565894673</t>
  </si>
  <si>
    <t>7021283977</t>
  </si>
  <si>
    <t>4565334831</t>
  </si>
  <si>
    <t>7021031552</t>
  </si>
  <si>
    <t>4566643244</t>
  </si>
  <si>
    <t>75236-4604</t>
  </si>
  <si>
    <t>TX</t>
  </si>
  <si>
    <t>DALLAS</t>
  </si>
  <si>
    <t>4718 MOUNTAIN CREEK PKWY</t>
  </si>
  <si>
    <t>0001601037</t>
  </si>
  <si>
    <t>7021851656</t>
  </si>
  <si>
    <t>2011</t>
  </si>
  <si>
    <t>L0912-063</t>
  </si>
  <si>
    <t>BLUE TRITON  Price</t>
  </si>
  <si>
    <t>BLUE TRITON  EXT</t>
  </si>
  <si>
    <t>LUBRICANT PRODUCTS</t>
  </si>
  <si>
    <t>BEARINGS</t>
  </si>
  <si>
    <t>MECHANICAL POWER TRANSMISSION</t>
  </si>
  <si>
    <t>FLUID POWER</t>
  </si>
  <si>
    <t>SAFETY PRODUCTS</t>
  </si>
  <si>
    <t>MATERIAL HANDLING</t>
  </si>
  <si>
    <t>ELECTRICAL POWER TRANSMISSION</t>
  </si>
  <si>
    <t>LINEAR MOTION PRODUCTS</t>
  </si>
  <si>
    <t>TOOLS</t>
  </si>
  <si>
    <t>GENERAL INDUSTRIAL SUPPLY</t>
  </si>
  <si>
    <t>SEALS PACKING ORINGS</t>
  </si>
  <si>
    <t>SPECIAL PRICING. WILL NEED TO CONFIRM MFR WILL EXTEND.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</si>
</sst>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\/d\/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rgb="FF333333"/>
      <name val="Arial"/>
      <family val="2"/>
    </font>
    <font>
      <sz val="9"/>
      <color theme="1"/>
      <name val="Arial"/>
      <family val="2"/>
    </font>
    <font>
      <sz val="1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B64A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11" fillId="0" borderId="0" applyFont="0" applyFill="0" applyBorder="0" applyAlignment="0" applyProtection="0"/>
    <xf numFmtId="0" fontId="12" fillId="0" borderId="0"/>
  </cellStyleXfs>
  <cellXfs count="33">
    <xf numFmtId="0" fontId="0" fillId="0" borderId="0" xfId="0"/>
    <xf numFmtId="0" fontId="5" fillId="0" borderId="0" xfId="0" applyFont="1"/>
    <xf numFmtId="44" fontId="6" fillId="0" borderId="0" xfId="1" applyFont="1"/>
    <xf numFmtId="49" fontId="7" fillId="2" borderId="1" xfId="0" applyNumberFormat="1" applyFont="1" applyFill="1" applyBorder="1" applyAlignment="1">
      <alignment vertical="center" wrapText="1"/>
    </xf>
    <xf numFmtId="164" fontId="7" fillId="0" borderId="1" xfId="0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164" fontId="8" fillId="0" borderId="1" xfId="0" applyNumberFormat="1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horizontal="left" vertical="center" wrapText="1"/>
    </xf>
    <xf numFmtId="49" fontId="4" fillId="6" borderId="4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4" fontId="8" fillId="0" borderId="2" xfId="0" applyNumberFormat="1" applyFont="1" applyFill="1" applyBorder="1" applyAlignment="1">
      <alignment vertical="center" wrapText="1"/>
    </xf>
    <xf numFmtId="10" fontId="8" fillId="0" borderId="2" xfId="0" applyNumberFormat="1" applyFont="1" applyFill="1" applyBorder="1" applyAlignment="1">
      <alignment vertical="center" wrapText="1"/>
    </xf>
    <xf numFmtId="10" fontId="5" fillId="0" borderId="3" xfId="0" applyNumberFormat="1" applyFont="1" applyBorder="1"/>
    <xf numFmtId="164" fontId="5" fillId="0" borderId="1" xfId="0" applyNumberFormat="1" applyFont="1" applyFill="1" applyBorder="1"/>
    <xf numFmtId="10" fontId="5" fillId="0" borderId="1" xfId="0" applyNumberFormat="1" applyFont="1" applyFill="1" applyBorder="1"/>
    <xf numFmtId="10" fontId="5" fillId="0" borderId="0" xfId="0" applyNumberFormat="1" applyFont="1"/>
    <xf numFmtId="164" fontId="7" fillId="5" borderId="1" xfId="0" applyNumberFormat="1" applyFont="1" applyFill="1" applyBorder="1" applyAlignment="1">
      <alignment vertical="center" wrapText="1"/>
    </xf>
    <xf numFmtId="10" fontId="7" fillId="5" borderId="1" xfId="0" applyNumberFormat="1" applyFont="1" applyFill="1" applyBorder="1" applyAlignment="1">
      <alignment vertical="center" wrapText="1"/>
    </xf>
    <xf numFmtId="0" fontId="5" fillId="0" borderId="1" xfId="0" applyFont="1" applyFill="1" applyBorder="1"/>
    <xf numFmtId="164" fontId="3" fillId="4" borderId="1" xfId="0" applyNumberFormat="1" applyFont="1" applyFill="1" applyBorder="1" applyAlignment="1">
      <alignment horizontal="left" vertical="center" wrapText="1"/>
    </xf>
    <xf numFmtId="49" fontId="10" fillId="0" borderId="5" xfId="0" applyNumberFormat="1" applyFont="1" applyFill="1" applyBorder="1" applyAlignment="1">
      <alignment horizontal="left"/>
    </xf>
    <xf numFmtId="165" fontId="10" fillId="0" borderId="5" xfId="0" applyNumberFormat="1" applyFont="1" applyFill="1" applyBorder="1" applyAlignment="1">
      <alignment horizontal="left"/>
    </xf>
    <xf numFmtId="0" fontId="10" fillId="0" borderId="5" xfId="0" applyFont="1" applyFill="1" applyBorder="1" applyAlignment="1">
      <alignment horizontal="right"/>
    </xf>
    <xf numFmtId="49" fontId="5" fillId="0" borderId="1" xfId="0" applyNumberFormat="1" applyFont="1" applyFill="1" applyBorder="1"/>
    <xf numFmtId="0" fontId="8" fillId="0" borderId="1" xfId="0" applyFont="1" applyFill="1" applyBorder="1"/>
    <xf numFmtId="0" fontId="5" fillId="0" borderId="0" xfId="0" applyFont="1" applyFill="1"/>
    <xf numFmtId="0" fontId="6" fillId="0" borderId="1" xfId="0" applyFont="1" applyFill="1" applyBorder="1"/>
    <xf numFmtId="164" fontId="6" fillId="0" borderId="1" xfId="0" applyNumberFormat="1" applyFont="1" applyFill="1" applyBorder="1"/>
    <xf numFmtId="10" fontId="6" fillId="0" borderId="1" xfId="0" applyNumberFormat="1" applyFont="1" applyFill="1" applyBorder="1"/>
    <xf numFmtId="0" fontId="6" fillId="0" borderId="0" xfId="0" applyFont="1" applyFill="1"/>
    <xf numFmtId="10" fontId="5" fillId="0" borderId="0" xfId="0" applyNumberFormat="1" applyFont="1" applyFill="1"/>
  </cellXfs>
  <cellStyles count="9">
    <cellStyle name="Comma 2" xfId="5" xr:uid="{00000000-0005-0000-0000-000000000000}"/>
    <cellStyle name="Comma 3" xfId="7" xr:uid="{00000000-0005-0000-0000-000001000000}"/>
    <cellStyle name="Currency" xfId="1" builtinId="4"/>
    <cellStyle name="Currency 2" xfId="4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3" xfId="6" xr:uid="{00000000-0005-0000-0000-000007000000}"/>
    <cellStyle name="Percent 3" xfId="3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L34" sqref="L34"/>
    </sheetView>
  </sheetViews>
  <sheetFormatPr defaultColWidth="9.140625" defaultRowHeight="12" x14ac:dyDescent="0.2"/>
  <cols>
    <col min="1" max="1" width="34.42578125" style="1" customWidth="1"/>
    <col min="2" max="2" width="9.28515625" style="1" bestFit="1" customWidth="1"/>
    <col min="3" max="3" width="11.28515625" style="1" bestFit="1" customWidth="1"/>
    <col min="4" max="4" width="12.85546875" style="1" bestFit="1" customWidth="1"/>
    <col min="5" max="5" width="17.85546875" style="1" customWidth="1"/>
    <col min="6" max="6" width="9.5703125" style="17" bestFit="1" customWidth="1"/>
    <col min="7" max="16384" width="9.140625" style="1"/>
  </cols>
  <sheetData>
    <row r="1" spans="1:6" ht="33.75" customHeight="1" x14ac:dyDescent="0.2">
      <c r="A1" s="3" t="s">
        <v>41</v>
      </c>
      <c r="B1" s="4" t="s">
        <v>44</v>
      </c>
      <c r="C1" s="4" t="s">
        <v>909</v>
      </c>
      <c r="D1" s="18" t="s">
        <v>33</v>
      </c>
      <c r="E1" s="18" t="s">
        <v>34</v>
      </c>
      <c r="F1" s="19" t="s">
        <v>35</v>
      </c>
    </row>
    <row r="2" spans="1:6" s="27" customFormat="1" x14ac:dyDescent="0.2">
      <c r="A2" s="25" t="s">
        <v>911</v>
      </c>
      <c r="B2" s="20">
        <f>COUNTIF('Transaction Details'!W:W,A2)</f>
        <v>19</v>
      </c>
      <c r="C2" s="15">
        <f>SUMPRODUCT( --($A2='Transaction Details'!$W:$W),'Transaction Details'!AC:AC)</f>
        <v>6757.9877200084866</v>
      </c>
      <c r="D2" s="15">
        <f>SUMPRODUCT( --($A2='Transaction Details'!$W:$W),'Transaction Details'!AD:AD)</f>
        <v>4460.5801283566707</v>
      </c>
      <c r="E2" s="15">
        <f>SUMPRODUCT( --($A2='Transaction Details'!$W:$W),'Transaction Details'!AE:AE)</f>
        <v>2297.4075916518168</v>
      </c>
      <c r="F2" s="16">
        <f>E2/C2</f>
        <v>0.33995438980302434</v>
      </c>
    </row>
    <row r="3" spans="1:6" s="27" customFormat="1" x14ac:dyDescent="0.2">
      <c r="A3" s="25" t="s">
        <v>916</v>
      </c>
      <c r="B3" s="20">
        <f>COUNTIF('Transaction Details'!W:W,A3)</f>
        <v>28</v>
      </c>
      <c r="C3" s="15">
        <f>SUMPRODUCT( --($A3='Transaction Details'!$W:$W),'Transaction Details'!AC:AC)</f>
        <v>18514.594893315163</v>
      </c>
      <c r="D3" s="15">
        <f>SUMPRODUCT( --($A3='Transaction Details'!$W:$W),'Transaction Details'!AD:AD)</f>
        <v>17339.094734493072</v>
      </c>
      <c r="E3" s="15">
        <f>SUMPRODUCT( --($A3='Transaction Details'!$W:$W),'Transaction Details'!AE:AE)</f>
        <v>1175.500158822091</v>
      </c>
      <c r="F3" s="16">
        <f t="shared" ref="F3:F5" si="0">E3/C3</f>
        <v>6.3490460666061579E-2</v>
      </c>
    </row>
    <row r="4" spans="1:6" s="27" customFormat="1" x14ac:dyDescent="0.2">
      <c r="A4" s="25" t="s">
        <v>913</v>
      </c>
      <c r="B4" s="20">
        <f>COUNTIF('Transaction Details'!W:W,A4)</f>
        <v>106</v>
      </c>
      <c r="C4" s="15">
        <f>SUMPRODUCT( --($A4='Transaction Details'!$W:$W),'Transaction Details'!AC:AC)</f>
        <v>93319.778617886142</v>
      </c>
      <c r="D4" s="15">
        <f>SUMPRODUCT( --($A4='Transaction Details'!$W:$W),'Transaction Details'!AD:AD)</f>
        <v>90936.940577506277</v>
      </c>
      <c r="E4" s="15">
        <f>SUMPRODUCT( --($A4='Transaction Details'!$W:$W),'Transaction Details'!AE:AE)</f>
        <v>2382.8380403799638</v>
      </c>
      <c r="F4" s="16">
        <f t="shared" si="0"/>
        <v>2.5534115872015765E-2</v>
      </c>
    </row>
    <row r="5" spans="1:6" s="27" customFormat="1" x14ac:dyDescent="0.2">
      <c r="A5" s="25" t="s">
        <v>919</v>
      </c>
      <c r="B5" s="20">
        <f>COUNTIF('Transaction Details'!W:W,A5)</f>
        <v>3</v>
      </c>
      <c r="C5" s="15">
        <f>SUMPRODUCT( --($A5='Transaction Details'!$W:$W),'Transaction Details'!AC:AC)</f>
        <v>929.07000000000016</v>
      </c>
      <c r="D5" s="15">
        <f>SUMPRODUCT( --($A5='Transaction Details'!$W:$W),'Transaction Details'!AD:AD)</f>
        <v>711.89999999999986</v>
      </c>
      <c r="E5" s="15">
        <f>SUMPRODUCT( --($A5='Transaction Details'!$W:$W),'Transaction Details'!AE:AE)</f>
        <v>217.1700000000001</v>
      </c>
      <c r="F5" s="16">
        <f t="shared" si="0"/>
        <v>0.2337498789111693</v>
      </c>
    </row>
    <row r="6" spans="1:6" s="27" customFormat="1" x14ac:dyDescent="0.2">
      <c r="A6" s="25" t="s">
        <v>917</v>
      </c>
      <c r="B6" s="20">
        <f>COUNTIF('Transaction Details'!W:W,A6)</f>
        <v>5</v>
      </c>
      <c r="C6" s="15">
        <f>SUMPRODUCT( --($A6='Transaction Details'!$W:$W),'Transaction Details'!AC:AC)</f>
        <v>846.31632236572227</v>
      </c>
      <c r="D6" s="15">
        <f>SUMPRODUCT( --($A6='Transaction Details'!$W:$W),'Transaction Details'!AD:AD)</f>
        <v>956.08521736721764</v>
      </c>
      <c r="E6" s="15">
        <f>SUMPRODUCT( --($A6='Transaction Details'!$W:$W),'Transaction Details'!AE:AE)</f>
        <v>-109.76889500149545</v>
      </c>
      <c r="F6" s="16">
        <f t="shared" ref="F6:F12" si="1">E6/C6</f>
        <v>-0.12970197088324684</v>
      </c>
    </row>
    <row r="7" spans="1:6" s="27" customFormat="1" x14ac:dyDescent="0.2">
      <c r="A7" s="25" t="s">
        <v>910</v>
      </c>
      <c r="B7" s="20">
        <f>COUNTIF('Transaction Details'!W:W,A7)</f>
        <v>35</v>
      </c>
      <c r="C7" s="15">
        <f>SUMPRODUCT( --($A7='Transaction Details'!$W:$W),'Transaction Details'!AC:AC)</f>
        <v>9480.1464172734359</v>
      </c>
      <c r="D7" s="15">
        <f>SUMPRODUCT( --($A7='Transaction Details'!$W:$W),'Transaction Details'!AD:AD)</f>
        <v>9691.9065499764711</v>
      </c>
      <c r="E7" s="15">
        <f>SUMPRODUCT( --($A7='Transaction Details'!$W:$W),'Transaction Details'!AE:AE)</f>
        <v>-211.76013270303446</v>
      </c>
      <c r="F7" s="16">
        <f t="shared" si="1"/>
        <v>-2.2337221745562272E-2</v>
      </c>
    </row>
    <row r="8" spans="1:6" s="27" customFormat="1" x14ac:dyDescent="0.2">
      <c r="A8" s="25" t="s">
        <v>915</v>
      </c>
      <c r="B8" s="20">
        <f>COUNTIF('Transaction Details'!W:W,A8)</f>
        <v>8</v>
      </c>
      <c r="C8" s="15">
        <f>SUMPRODUCT( --($A8='Transaction Details'!$W:$W),'Transaction Details'!AC:AC)</f>
        <v>12323.849999999999</v>
      </c>
      <c r="D8" s="15">
        <f>SUMPRODUCT( --($A8='Transaction Details'!$W:$W),'Transaction Details'!AD:AD)</f>
        <v>11506.812121212122</v>
      </c>
      <c r="E8" s="15">
        <f>SUMPRODUCT( --($A8='Transaction Details'!$W:$W),'Transaction Details'!AE:AE)</f>
        <v>817.03787878787682</v>
      </c>
      <c r="F8" s="16">
        <f t="shared" si="1"/>
        <v>6.6297291738204936E-2</v>
      </c>
    </row>
    <row r="9" spans="1:6" s="27" customFormat="1" x14ac:dyDescent="0.2">
      <c r="A9" s="25" t="s">
        <v>912</v>
      </c>
      <c r="B9" s="20">
        <f>COUNTIF('Transaction Details'!W:W,A9)</f>
        <v>61</v>
      </c>
      <c r="C9" s="15">
        <f>SUMPRODUCT( --($A9='Transaction Details'!$W:$W),'Transaction Details'!AC:AC)</f>
        <v>20458.095591872672</v>
      </c>
      <c r="D9" s="15">
        <f>SUMPRODUCT( --($A9='Transaction Details'!$W:$W),'Transaction Details'!AD:AD)</f>
        <v>18950.913848763499</v>
      </c>
      <c r="E9" s="15">
        <f>SUMPRODUCT( --($A9='Transaction Details'!$W:$W),'Transaction Details'!AE:AE)</f>
        <v>1507.1817431091899</v>
      </c>
      <c r="F9" s="16">
        <f t="shared" si="1"/>
        <v>7.3671654154746621E-2</v>
      </c>
    </row>
    <row r="10" spans="1:6" s="27" customFormat="1" x14ac:dyDescent="0.2">
      <c r="A10" s="25" t="s">
        <v>914</v>
      </c>
      <c r="B10" s="20">
        <f>COUNTIF('Transaction Details'!W:W,A10)</f>
        <v>3</v>
      </c>
      <c r="C10" s="15">
        <f>SUMPRODUCT( --($A10='Transaction Details'!$W:$W),'Transaction Details'!AC:AC)</f>
        <v>760.36000000000013</v>
      </c>
      <c r="D10" s="15">
        <f>SUMPRODUCT( --($A10='Transaction Details'!$W:$W),'Transaction Details'!AD:AD)</f>
        <v>570.48</v>
      </c>
      <c r="E10" s="15">
        <f>SUMPRODUCT( --($A10='Transaction Details'!$W:$W),'Transaction Details'!AE:AE)</f>
        <v>189.88000000000005</v>
      </c>
      <c r="F10" s="16">
        <f t="shared" si="1"/>
        <v>0.24972381503498345</v>
      </c>
    </row>
    <row r="11" spans="1:6" s="27" customFormat="1" x14ac:dyDescent="0.2">
      <c r="A11" s="25" t="s">
        <v>920</v>
      </c>
      <c r="B11" s="20">
        <f>COUNTIF('Transaction Details'!W:W,A11)</f>
        <v>2</v>
      </c>
      <c r="C11" s="15">
        <f>SUMPRODUCT( --($A11='Transaction Details'!$W:$W),'Transaction Details'!AC:AC)</f>
        <v>289.86</v>
      </c>
      <c r="D11" s="15">
        <f>SUMPRODUCT( --($A11='Transaction Details'!$W:$W),'Transaction Details'!AD:AD)</f>
        <v>152.85</v>
      </c>
      <c r="E11" s="15">
        <f>SUMPRODUCT( --($A11='Transaction Details'!$W:$W),'Transaction Details'!AE:AE)</f>
        <v>137.01</v>
      </c>
      <c r="F11" s="16">
        <f t="shared" si="1"/>
        <v>0.47267646450010342</v>
      </c>
    </row>
    <row r="12" spans="1:6" s="27" customFormat="1" x14ac:dyDescent="0.2">
      <c r="A12" s="25" t="s">
        <v>918</v>
      </c>
      <c r="B12" s="20">
        <f>COUNTIF('Transaction Details'!W:W,A12)</f>
        <v>6</v>
      </c>
      <c r="C12" s="15">
        <f>SUMPRODUCT( --($A12='Transaction Details'!$W:$W),'Transaction Details'!AC:AC)</f>
        <v>3795.4123616845582</v>
      </c>
      <c r="D12" s="15">
        <f>SUMPRODUCT( --($A12='Transaction Details'!$W:$W),'Transaction Details'!AD:AD)</f>
        <v>3561.73197912867</v>
      </c>
      <c r="E12" s="15">
        <f>SUMPRODUCT( --($A12='Transaction Details'!$W:$W),'Transaction Details'!AE:AE)</f>
        <v>233.68038255588868</v>
      </c>
      <c r="F12" s="16">
        <f t="shared" si="1"/>
        <v>6.1569168324090047E-2</v>
      </c>
    </row>
    <row r="13" spans="1:6" s="31" customFormat="1" x14ac:dyDescent="0.2">
      <c r="A13" s="28" t="s">
        <v>45</v>
      </c>
      <c r="B13" s="28">
        <f>SUM(B2:B12)</f>
        <v>276</v>
      </c>
      <c r="C13" s="29">
        <f>SUM(C2:C12)</f>
        <v>167475.47192440616</v>
      </c>
      <c r="D13" s="29">
        <f>SUM(D2:D12)</f>
        <v>158839.29515680403</v>
      </c>
      <c r="E13" s="29">
        <f>SUM(E2:E12)</f>
        <v>8636.1767676022973</v>
      </c>
      <c r="F13" s="30">
        <f t="shared" ref="F13" si="2">E13/C13</f>
        <v>5.1566815536429306E-2</v>
      </c>
    </row>
    <row r="14" spans="1:6" s="27" customFormat="1" x14ac:dyDescent="0.2">
      <c r="F14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78"/>
  <sheetViews>
    <sheetView zoomScaleNormal="100" workbookViewId="0">
      <pane ySplit="2" topLeftCell="A240" activePane="bottomLeft" state="frozen"/>
      <selection pane="bottomLeft" activeCell="E266" sqref="E266"/>
    </sheetView>
  </sheetViews>
  <sheetFormatPr defaultColWidth="9.42578125" defaultRowHeight="12" x14ac:dyDescent="0.2"/>
  <cols>
    <col min="1" max="1" width="5" style="1" bestFit="1" customWidth="1"/>
    <col min="2" max="2" width="11" style="1" bestFit="1" customWidth="1"/>
    <col min="3" max="3" width="7.85546875" style="1" bestFit="1" customWidth="1"/>
    <col min="4" max="4" width="10" style="1" bestFit="1" customWidth="1"/>
    <col min="5" max="5" width="23.85546875" style="1" bestFit="1" customWidth="1"/>
    <col min="6" max="7" width="11" style="1" bestFit="1" customWidth="1"/>
    <col min="8" max="8" width="34" style="1" bestFit="1" customWidth="1"/>
    <col min="9" max="9" width="32" style="1" bestFit="1" customWidth="1"/>
    <col min="10" max="10" width="13.85546875" style="1" bestFit="1" customWidth="1"/>
    <col min="11" max="11" width="4.7109375" style="1" bestFit="1" customWidth="1"/>
    <col min="12" max="12" width="10.5703125" style="1" bestFit="1" customWidth="1"/>
    <col min="13" max="13" width="22.85546875" style="1" bestFit="1" customWidth="1"/>
    <col min="14" max="14" width="25.85546875" style="1" bestFit="1" customWidth="1"/>
    <col min="15" max="15" width="6.28515625" style="1" bestFit="1" customWidth="1"/>
    <col min="16" max="16" width="42.7109375" style="1" bestFit="1" customWidth="1"/>
    <col min="17" max="17" width="10" style="1" bestFit="1" customWidth="1"/>
    <col min="18" max="18" width="5.5703125" style="1" bestFit="1" customWidth="1"/>
    <col min="19" max="19" width="11.7109375" style="1" bestFit="1" customWidth="1"/>
    <col min="20" max="20" width="9" style="1" bestFit="1" customWidth="1"/>
    <col min="21" max="21" width="35.42578125" style="1" bestFit="1" customWidth="1"/>
    <col min="22" max="22" width="11.5703125" style="1" bestFit="1" customWidth="1"/>
    <col min="23" max="23" width="28.85546875" style="1" bestFit="1" customWidth="1"/>
    <col min="24" max="24" width="40" style="1" bestFit="1" customWidth="1"/>
    <col min="25" max="25" width="6" style="1" bestFit="1" customWidth="1"/>
    <col min="26" max="26" width="9" style="1" bestFit="1" customWidth="1"/>
    <col min="27" max="27" width="9.7109375" style="1" bestFit="1" customWidth="1"/>
    <col min="28" max="28" width="8.85546875" style="1" bestFit="1" customWidth="1"/>
    <col min="29" max="30" width="9.85546875" style="1" bestFit="1" customWidth="1"/>
    <col min="31" max="31" width="8.42578125" style="1" bestFit="1" customWidth="1"/>
    <col min="32" max="32" width="6.7109375" style="1" bestFit="1" customWidth="1"/>
    <col min="33" max="33" width="11" style="1" bestFit="1" customWidth="1"/>
    <col min="34" max="34" width="47.5703125" style="1" bestFit="1" customWidth="1"/>
    <col min="35" max="35" width="6.5703125" style="1" bestFit="1" customWidth="1"/>
    <col min="36" max="36" width="9.7109375" style="1" bestFit="1" customWidth="1"/>
    <col min="37" max="37" width="3.28515625" style="1" bestFit="1" customWidth="1"/>
    <col min="38" max="16384" width="9.42578125" style="1"/>
  </cols>
  <sheetData>
    <row r="1" spans="1:37" x14ac:dyDescent="0.2">
      <c r="R1" s="2"/>
      <c r="S1" s="1">
        <f>COUNT(S3:S29891)</f>
        <v>276</v>
      </c>
      <c r="AC1" s="2">
        <f>SUBTOTAL(9,AC3:AC39910)</f>
        <v>167475.47192440645</v>
      </c>
      <c r="AD1" s="2">
        <f>SUBTOTAL(9,AD3:AD39910)</f>
        <v>158839.29515680418</v>
      </c>
      <c r="AE1" s="2">
        <f>SUBTOTAL(9,AE3:AE39910)</f>
        <v>8636.1767676022937</v>
      </c>
      <c r="AF1" s="14">
        <f t="shared" ref="AF1" si="0">AE1/AC1</f>
        <v>5.1566815536429195E-2</v>
      </c>
    </row>
    <row r="2" spans="1:37" s="11" customFormat="1" ht="48" customHeight="1" x14ac:dyDescent="0.25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9" t="s">
        <v>58</v>
      </c>
      <c r="N2" s="9" t="s">
        <v>59</v>
      </c>
      <c r="O2" s="8" t="s">
        <v>60</v>
      </c>
      <c r="P2" s="8" t="s">
        <v>0</v>
      </c>
      <c r="Q2" s="9" t="s">
        <v>61</v>
      </c>
      <c r="R2" s="9" t="s">
        <v>1</v>
      </c>
      <c r="S2" s="9" t="s">
        <v>62</v>
      </c>
      <c r="T2" s="5" t="s">
        <v>9</v>
      </c>
      <c r="U2" s="5" t="s">
        <v>10</v>
      </c>
      <c r="V2" s="5" t="s">
        <v>11</v>
      </c>
      <c r="W2" s="5" t="s">
        <v>41</v>
      </c>
      <c r="X2" s="5" t="s">
        <v>12</v>
      </c>
      <c r="Y2" s="5" t="s">
        <v>13</v>
      </c>
      <c r="Z2" s="5" t="s">
        <v>14</v>
      </c>
      <c r="AA2" s="10" t="s">
        <v>32</v>
      </c>
      <c r="AB2" s="21" t="s">
        <v>908</v>
      </c>
      <c r="AC2" s="6" t="s">
        <v>909</v>
      </c>
      <c r="AD2" s="6" t="s">
        <v>33</v>
      </c>
      <c r="AE2" s="12" t="s">
        <v>34</v>
      </c>
      <c r="AF2" s="13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</row>
    <row r="3" spans="1:37" s="27" customFormat="1" ht="12.75" customHeight="1" x14ac:dyDescent="0.2">
      <c r="A3" s="22" t="s">
        <v>486</v>
      </c>
      <c r="B3" s="22" t="s">
        <v>698</v>
      </c>
      <c r="C3" s="23">
        <v>44257</v>
      </c>
      <c r="D3" s="22" t="s">
        <v>485</v>
      </c>
      <c r="E3" s="22" t="s">
        <v>484</v>
      </c>
      <c r="F3" s="22" t="s">
        <v>483</v>
      </c>
      <c r="G3" s="22" t="s">
        <v>482</v>
      </c>
      <c r="H3" s="22" t="s">
        <v>481</v>
      </c>
      <c r="I3" s="22" t="s">
        <v>480</v>
      </c>
      <c r="J3" s="22" t="s">
        <v>479</v>
      </c>
      <c r="K3" s="22" t="s">
        <v>478</v>
      </c>
      <c r="L3" s="22" t="s">
        <v>477</v>
      </c>
      <c r="M3" s="22" t="s">
        <v>487</v>
      </c>
      <c r="N3" s="22" t="s">
        <v>587</v>
      </c>
      <c r="O3" s="22" t="s">
        <v>28</v>
      </c>
      <c r="P3" s="22" t="s">
        <v>216</v>
      </c>
      <c r="Q3" s="22">
        <v>102070387</v>
      </c>
      <c r="R3" s="22" t="s">
        <v>87</v>
      </c>
      <c r="S3" s="24">
        <v>1</v>
      </c>
      <c r="T3" s="20" t="s">
        <v>28</v>
      </c>
      <c r="U3" s="25" t="s">
        <v>216</v>
      </c>
      <c r="V3" s="20">
        <v>102070387</v>
      </c>
      <c r="W3" s="25" t="s">
        <v>910</v>
      </c>
      <c r="X3" s="20" t="s">
        <v>217</v>
      </c>
      <c r="Y3" s="20" t="s">
        <v>87</v>
      </c>
      <c r="Z3" s="20" t="s">
        <v>88</v>
      </c>
      <c r="AA3" s="15">
        <v>26.585249628399055</v>
      </c>
      <c r="AB3" s="15">
        <v>25.25</v>
      </c>
      <c r="AC3" s="15">
        <f t="shared" ref="AC3:AC66" si="1">AB3*S3</f>
        <v>25.25</v>
      </c>
      <c r="AD3" s="15">
        <f t="shared" ref="AD3:AD66" si="2">AA3*S3</f>
        <v>26.585249628399055</v>
      </c>
      <c r="AE3" s="15">
        <f t="shared" ref="AE3:AE66" si="3">AC3-AD3</f>
        <v>-1.3352496283990547</v>
      </c>
      <c r="AF3" s="16">
        <f t="shared" ref="AF3:AF66" si="4">AE3/AC3</f>
        <v>-5.288117340194276E-2</v>
      </c>
      <c r="AG3" s="26" t="str">
        <f t="shared" ref="AG3:AG66" si="5">IF(AF3&lt;0,"Negative",IF(AF3=0,"Same",IF(AF3&gt;0.3,"30+%",IF(AF3&gt;0.2,"20-30%",IF(AF3&gt;0.1,"10-20%",IF(AF3&lt;=0.1,"0-10%"))))))</f>
        <v>Negative</v>
      </c>
      <c r="AH3" s="20"/>
      <c r="AI3" s="20" t="s">
        <v>43</v>
      </c>
      <c r="AJ3" s="20">
        <v>0</v>
      </c>
      <c r="AK3" s="20"/>
    </row>
    <row r="4" spans="1:37" s="27" customFormat="1" ht="12.75" customHeight="1" x14ac:dyDescent="0.2">
      <c r="A4" s="22" t="s">
        <v>705</v>
      </c>
      <c r="B4" s="22" t="s">
        <v>807</v>
      </c>
      <c r="C4" s="23">
        <v>44258</v>
      </c>
      <c r="D4" s="22" t="s">
        <v>485</v>
      </c>
      <c r="E4" s="22" t="s">
        <v>484</v>
      </c>
      <c r="F4" s="22" t="s">
        <v>483</v>
      </c>
      <c r="G4" s="22" t="s">
        <v>704</v>
      </c>
      <c r="H4" s="22" t="s">
        <v>703</v>
      </c>
      <c r="I4" s="22" t="s">
        <v>702</v>
      </c>
      <c r="J4" s="22" t="s">
        <v>701</v>
      </c>
      <c r="K4" s="22" t="s">
        <v>700</v>
      </c>
      <c r="L4" s="22" t="s">
        <v>699</v>
      </c>
      <c r="M4" s="22" t="s">
        <v>724</v>
      </c>
      <c r="N4" s="22" t="s">
        <v>806</v>
      </c>
      <c r="O4" s="22" t="s">
        <v>16</v>
      </c>
      <c r="P4" s="22" t="s">
        <v>182</v>
      </c>
      <c r="Q4" s="22">
        <v>110988151</v>
      </c>
      <c r="R4" s="22" t="s">
        <v>87</v>
      </c>
      <c r="S4" s="24">
        <v>2</v>
      </c>
      <c r="T4" s="20" t="s">
        <v>16</v>
      </c>
      <c r="U4" s="25" t="s">
        <v>182</v>
      </c>
      <c r="V4" s="20">
        <v>110988151</v>
      </c>
      <c r="W4" s="25" t="s">
        <v>913</v>
      </c>
      <c r="X4" s="20" t="s">
        <v>183</v>
      </c>
      <c r="Y4" s="20" t="s">
        <v>87</v>
      </c>
      <c r="Z4" s="20" t="s">
        <v>88</v>
      </c>
      <c r="AA4" s="15">
        <v>243.49</v>
      </c>
      <c r="AB4" s="15">
        <v>237.11</v>
      </c>
      <c r="AC4" s="15">
        <f t="shared" si="1"/>
        <v>474.22</v>
      </c>
      <c r="AD4" s="15">
        <f t="shared" si="2"/>
        <v>486.98</v>
      </c>
      <c r="AE4" s="15">
        <f t="shared" si="3"/>
        <v>-12.759999999999991</v>
      </c>
      <c r="AF4" s="16">
        <f t="shared" si="4"/>
        <v>-2.6907342583610962E-2</v>
      </c>
      <c r="AG4" s="26" t="str">
        <f t="shared" si="5"/>
        <v>Negative</v>
      </c>
      <c r="AH4" s="20" t="s">
        <v>921</v>
      </c>
      <c r="AI4" s="20" t="s">
        <v>43</v>
      </c>
      <c r="AJ4" s="20">
        <v>0</v>
      </c>
      <c r="AK4" s="20"/>
    </row>
    <row r="5" spans="1:37" s="27" customFormat="1" ht="12.75" customHeight="1" x14ac:dyDescent="0.2">
      <c r="A5" s="22" t="s">
        <v>705</v>
      </c>
      <c r="B5" s="22" t="s">
        <v>807</v>
      </c>
      <c r="C5" s="23">
        <v>44258</v>
      </c>
      <c r="D5" s="22" t="s">
        <v>485</v>
      </c>
      <c r="E5" s="22" t="s">
        <v>484</v>
      </c>
      <c r="F5" s="22" t="s">
        <v>483</v>
      </c>
      <c r="G5" s="22" t="s">
        <v>704</v>
      </c>
      <c r="H5" s="22" t="s">
        <v>703</v>
      </c>
      <c r="I5" s="22" t="s">
        <v>702</v>
      </c>
      <c r="J5" s="22" t="s">
        <v>701</v>
      </c>
      <c r="K5" s="22" t="s">
        <v>700</v>
      </c>
      <c r="L5" s="22" t="s">
        <v>699</v>
      </c>
      <c r="M5" s="22" t="s">
        <v>715</v>
      </c>
      <c r="N5" s="22" t="s">
        <v>806</v>
      </c>
      <c r="O5" s="22" t="s">
        <v>16</v>
      </c>
      <c r="P5" s="22" t="s">
        <v>178</v>
      </c>
      <c r="Q5" s="22">
        <v>110223931</v>
      </c>
      <c r="R5" s="22" t="s">
        <v>87</v>
      </c>
      <c r="S5" s="24">
        <v>2</v>
      </c>
      <c r="T5" s="20" t="s">
        <v>16</v>
      </c>
      <c r="U5" s="25" t="s">
        <v>178</v>
      </c>
      <c r="V5" s="20">
        <v>110223931</v>
      </c>
      <c r="W5" s="25" t="s">
        <v>913</v>
      </c>
      <c r="X5" s="20" t="s">
        <v>179</v>
      </c>
      <c r="Y5" s="20" t="s">
        <v>87</v>
      </c>
      <c r="Z5" s="20" t="s">
        <v>88</v>
      </c>
      <c r="AA5" s="15">
        <v>337.03773584905656</v>
      </c>
      <c r="AB5" s="15">
        <v>359.33333333333331</v>
      </c>
      <c r="AC5" s="15">
        <f t="shared" si="1"/>
        <v>718.66666666666663</v>
      </c>
      <c r="AD5" s="15">
        <f t="shared" si="2"/>
        <v>674.07547169811312</v>
      </c>
      <c r="AE5" s="15">
        <f t="shared" si="3"/>
        <v>44.591194968553509</v>
      </c>
      <c r="AF5" s="16">
        <f t="shared" si="4"/>
        <v>6.2047117303182069E-2</v>
      </c>
      <c r="AG5" s="26" t="str">
        <f t="shared" si="5"/>
        <v>0-10%</v>
      </c>
      <c r="AH5" s="20" t="s">
        <v>921</v>
      </c>
      <c r="AI5" s="20" t="s">
        <v>43</v>
      </c>
      <c r="AJ5" s="20">
        <v>0</v>
      </c>
      <c r="AK5" s="20"/>
    </row>
    <row r="6" spans="1:37" s="27" customFormat="1" ht="12.75" customHeight="1" x14ac:dyDescent="0.2">
      <c r="A6" s="22" t="s">
        <v>705</v>
      </c>
      <c r="B6" s="22" t="s">
        <v>807</v>
      </c>
      <c r="C6" s="23">
        <v>44258</v>
      </c>
      <c r="D6" s="22" t="s">
        <v>485</v>
      </c>
      <c r="E6" s="22" t="s">
        <v>484</v>
      </c>
      <c r="F6" s="22" t="s">
        <v>483</v>
      </c>
      <c r="G6" s="22" t="s">
        <v>704</v>
      </c>
      <c r="H6" s="22" t="s">
        <v>703</v>
      </c>
      <c r="I6" s="22" t="s">
        <v>702</v>
      </c>
      <c r="J6" s="22" t="s">
        <v>701</v>
      </c>
      <c r="K6" s="22" t="s">
        <v>700</v>
      </c>
      <c r="L6" s="22" t="s">
        <v>699</v>
      </c>
      <c r="M6" s="22" t="s">
        <v>713</v>
      </c>
      <c r="N6" s="22" t="s">
        <v>806</v>
      </c>
      <c r="O6" s="22" t="s">
        <v>16</v>
      </c>
      <c r="P6" s="22" t="s">
        <v>180</v>
      </c>
      <c r="Q6" s="22">
        <v>110224139</v>
      </c>
      <c r="R6" s="22" t="s">
        <v>87</v>
      </c>
      <c r="S6" s="24">
        <v>2</v>
      </c>
      <c r="T6" s="20" t="s">
        <v>16</v>
      </c>
      <c r="U6" s="25" t="s">
        <v>180</v>
      </c>
      <c r="V6" s="20">
        <v>110224139</v>
      </c>
      <c r="W6" s="25" t="s">
        <v>913</v>
      </c>
      <c r="X6" s="20" t="s">
        <v>181</v>
      </c>
      <c r="Y6" s="20" t="s">
        <v>87</v>
      </c>
      <c r="Z6" s="20" t="s">
        <v>88</v>
      </c>
      <c r="AA6" s="15">
        <v>381.77358490566036</v>
      </c>
      <c r="AB6" s="15">
        <v>407</v>
      </c>
      <c r="AC6" s="15">
        <f t="shared" si="1"/>
        <v>814</v>
      </c>
      <c r="AD6" s="15">
        <f t="shared" si="2"/>
        <v>763.54716981132071</v>
      </c>
      <c r="AE6" s="15">
        <f t="shared" si="3"/>
        <v>50.452830188679286</v>
      </c>
      <c r="AF6" s="16">
        <f t="shared" si="4"/>
        <v>6.1981363868156371E-2</v>
      </c>
      <c r="AG6" s="26" t="str">
        <f t="shared" si="5"/>
        <v>0-10%</v>
      </c>
      <c r="AH6" s="20" t="s">
        <v>921</v>
      </c>
      <c r="AI6" s="20" t="s">
        <v>42</v>
      </c>
      <c r="AJ6" s="20">
        <v>4</v>
      </c>
      <c r="AK6" s="20"/>
    </row>
    <row r="7" spans="1:37" s="27" customFormat="1" ht="12.75" customHeight="1" x14ac:dyDescent="0.2">
      <c r="A7" s="22" t="s">
        <v>705</v>
      </c>
      <c r="B7" s="22" t="s">
        <v>807</v>
      </c>
      <c r="C7" s="23">
        <v>44258</v>
      </c>
      <c r="D7" s="22" t="s">
        <v>485</v>
      </c>
      <c r="E7" s="22" t="s">
        <v>484</v>
      </c>
      <c r="F7" s="22" t="s">
        <v>483</v>
      </c>
      <c r="G7" s="22" t="s">
        <v>704</v>
      </c>
      <c r="H7" s="22" t="s">
        <v>703</v>
      </c>
      <c r="I7" s="22" t="s">
        <v>702</v>
      </c>
      <c r="J7" s="22" t="s">
        <v>701</v>
      </c>
      <c r="K7" s="22" t="s">
        <v>700</v>
      </c>
      <c r="L7" s="22" t="s">
        <v>699</v>
      </c>
      <c r="M7" s="22" t="s">
        <v>716</v>
      </c>
      <c r="N7" s="22" t="s">
        <v>806</v>
      </c>
      <c r="O7" s="22" t="s">
        <v>16</v>
      </c>
      <c r="P7" s="22" t="s">
        <v>174</v>
      </c>
      <c r="Q7" s="22">
        <v>103674709</v>
      </c>
      <c r="R7" s="22" t="s">
        <v>87</v>
      </c>
      <c r="S7" s="24">
        <v>2</v>
      </c>
      <c r="T7" s="20" t="s">
        <v>16</v>
      </c>
      <c r="U7" s="25" t="s">
        <v>174</v>
      </c>
      <c r="V7" s="20">
        <v>103674709</v>
      </c>
      <c r="W7" s="25" t="s">
        <v>913</v>
      </c>
      <c r="X7" s="20" t="s">
        <v>175</v>
      </c>
      <c r="Y7" s="20" t="s">
        <v>87</v>
      </c>
      <c r="Z7" s="20" t="s">
        <v>88</v>
      </c>
      <c r="AA7" s="15">
        <v>378.88679245283015</v>
      </c>
      <c r="AB7" s="15">
        <v>404.06666666666666</v>
      </c>
      <c r="AC7" s="15">
        <f t="shared" si="1"/>
        <v>808.13333333333333</v>
      </c>
      <c r="AD7" s="15">
        <f t="shared" si="2"/>
        <v>757.7735849056603</v>
      </c>
      <c r="AE7" s="15">
        <f t="shared" si="3"/>
        <v>50.359748427673026</v>
      </c>
      <c r="AF7" s="16">
        <f t="shared" si="4"/>
        <v>6.2316138130266902E-2</v>
      </c>
      <c r="AG7" s="26" t="str">
        <f t="shared" si="5"/>
        <v>0-10%</v>
      </c>
      <c r="AH7" s="20" t="s">
        <v>921</v>
      </c>
      <c r="AI7" s="20" t="s">
        <v>43</v>
      </c>
      <c r="AJ7" s="20">
        <v>0</v>
      </c>
      <c r="AK7" s="20"/>
    </row>
    <row r="8" spans="1:37" s="27" customFormat="1" ht="12.75" customHeight="1" x14ac:dyDescent="0.2">
      <c r="A8" s="22" t="s">
        <v>705</v>
      </c>
      <c r="B8" s="22" t="s">
        <v>807</v>
      </c>
      <c r="C8" s="23">
        <v>44258</v>
      </c>
      <c r="D8" s="22" t="s">
        <v>485</v>
      </c>
      <c r="E8" s="22" t="s">
        <v>484</v>
      </c>
      <c r="F8" s="22" t="s">
        <v>483</v>
      </c>
      <c r="G8" s="22" t="s">
        <v>704</v>
      </c>
      <c r="H8" s="22" t="s">
        <v>703</v>
      </c>
      <c r="I8" s="22" t="s">
        <v>702</v>
      </c>
      <c r="J8" s="22" t="s">
        <v>701</v>
      </c>
      <c r="K8" s="22" t="s">
        <v>700</v>
      </c>
      <c r="L8" s="22" t="s">
        <v>699</v>
      </c>
      <c r="M8" s="22" t="s">
        <v>710</v>
      </c>
      <c r="N8" s="22" t="s">
        <v>806</v>
      </c>
      <c r="O8" s="22" t="s">
        <v>16</v>
      </c>
      <c r="P8" s="22" t="s">
        <v>176</v>
      </c>
      <c r="Q8" s="22">
        <v>103720400</v>
      </c>
      <c r="R8" s="22" t="s">
        <v>87</v>
      </c>
      <c r="S8" s="24">
        <v>4</v>
      </c>
      <c r="T8" s="20" t="s">
        <v>16</v>
      </c>
      <c r="U8" s="25" t="s">
        <v>176</v>
      </c>
      <c r="V8" s="20">
        <v>103720400</v>
      </c>
      <c r="W8" s="25" t="s">
        <v>913</v>
      </c>
      <c r="X8" s="20" t="s">
        <v>177</v>
      </c>
      <c r="Y8" s="20" t="s">
        <v>87</v>
      </c>
      <c r="Z8" s="20" t="s">
        <v>88</v>
      </c>
      <c r="AA8" s="15">
        <v>461.16981132075466</v>
      </c>
      <c r="AB8" s="15">
        <v>489.86666666666673</v>
      </c>
      <c r="AC8" s="15">
        <f t="shared" si="1"/>
        <v>1959.4666666666669</v>
      </c>
      <c r="AD8" s="15">
        <f t="shared" si="2"/>
        <v>1844.6792452830186</v>
      </c>
      <c r="AE8" s="15">
        <f t="shared" si="3"/>
        <v>114.78742138364828</v>
      </c>
      <c r="AF8" s="16">
        <f t="shared" si="4"/>
        <v>5.8580951304937533E-2</v>
      </c>
      <c r="AG8" s="26" t="str">
        <f t="shared" si="5"/>
        <v>0-10%</v>
      </c>
      <c r="AH8" s="20" t="s">
        <v>921</v>
      </c>
      <c r="AI8" s="20" t="s">
        <v>43</v>
      </c>
      <c r="AJ8" s="20">
        <v>0</v>
      </c>
      <c r="AK8" s="20"/>
    </row>
    <row r="9" spans="1:37" s="27" customFormat="1" ht="12.75" customHeight="1" x14ac:dyDescent="0.2">
      <c r="A9" s="22" t="s">
        <v>486</v>
      </c>
      <c r="B9" s="22" t="s">
        <v>697</v>
      </c>
      <c r="C9" s="23">
        <v>44258</v>
      </c>
      <c r="D9" s="22" t="s">
        <v>485</v>
      </c>
      <c r="E9" s="22" t="s">
        <v>484</v>
      </c>
      <c r="F9" s="22" t="s">
        <v>483</v>
      </c>
      <c r="G9" s="22" t="s">
        <v>482</v>
      </c>
      <c r="H9" s="22" t="s">
        <v>481</v>
      </c>
      <c r="I9" s="22" t="s">
        <v>480</v>
      </c>
      <c r="J9" s="22" t="s">
        <v>479</v>
      </c>
      <c r="K9" s="22" t="s">
        <v>478</v>
      </c>
      <c r="L9" s="22" t="s">
        <v>477</v>
      </c>
      <c r="M9" s="22" t="s">
        <v>487</v>
      </c>
      <c r="N9" s="22" t="s">
        <v>587</v>
      </c>
      <c r="O9" s="22" t="s">
        <v>28</v>
      </c>
      <c r="P9" s="22" t="s">
        <v>218</v>
      </c>
      <c r="Q9" s="22">
        <v>101936230</v>
      </c>
      <c r="R9" s="22" t="s">
        <v>87</v>
      </c>
      <c r="S9" s="24">
        <v>2</v>
      </c>
      <c r="T9" s="20" t="s">
        <v>28</v>
      </c>
      <c r="U9" s="25" t="s">
        <v>218</v>
      </c>
      <c r="V9" s="20">
        <v>101936230</v>
      </c>
      <c r="W9" s="25" t="s">
        <v>910</v>
      </c>
      <c r="X9" s="20" t="s">
        <v>219</v>
      </c>
      <c r="Y9" s="20" t="s">
        <v>87</v>
      </c>
      <c r="Z9" s="20" t="s">
        <v>88</v>
      </c>
      <c r="AA9" s="15">
        <v>37.99</v>
      </c>
      <c r="AB9" s="15">
        <v>37.94</v>
      </c>
      <c r="AC9" s="15">
        <f t="shared" si="1"/>
        <v>75.88</v>
      </c>
      <c r="AD9" s="15">
        <f t="shared" si="2"/>
        <v>75.98</v>
      </c>
      <c r="AE9" s="15">
        <f t="shared" si="3"/>
        <v>-0.10000000000000853</v>
      </c>
      <c r="AF9" s="16">
        <f t="shared" si="4"/>
        <v>-1.3178703215604708E-3</v>
      </c>
      <c r="AG9" s="26" t="str">
        <f t="shared" si="5"/>
        <v>Negative</v>
      </c>
      <c r="AH9" s="20"/>
      <c r="AI9" s="20" t="s">
        <v>42</v>
      </c>
      <c r="AJ9" s="20">
        <v>24</v>
      </c>
      <c r="AK9" s="20"/>
    </row>
    <row r="10" spans="1:37" s="27" customFormat="1" ht="12.75" customHeight="1" x14ac:dyDescent="0.2">
      <c r="A10" s="22" t="s">
        <v>486</v>
      </c>
      <c r="B10" s="22" t="s">
        <v>696</v>
      </c>
      <c r="C10" s="23">
        <v>44258</v>
      </c>
      <c r="D10" s="22" t="s">
        <v>485</v>
      </c>
      <c r="E10" s="22" t="s">
        <v>484</v>
      </c>
      <c r="F10" s="22" t="s">
        <v>483</v>
      </c>
      <c r="G10" s="22" t="s">
        <v>482</v>
      </c>
      <c r="H10" s="22" t="s">
        <v>481</v>
      </c>
      <c r="I10" s="22" t="s">
        <v>480</v>
      </c>
      <c r="J10" s="22" t="s">
        <v>479</v>
      </c>
      <c r="K10" s="22" t="s">
        <v>478</v>
      </c>
      <c r="L10" s="22" t="s">
        <v>477</v>
      </c>
      <c r="M10" s="22" t="s">
        <v>476</v>
      </c>
      <c r="N10" s="22" t="s">
        <v>695</v>
      </c>
      <c r="O10" s="22" t="s">
        <v>30</v>
      </c>
      <c r="P10" s="22" t="s">
        <v>220</v>
      </c>
      <c r="Q10" s="22">
        <v>101718970</v>
      </c>
      <c r="R10" s="22" t="s">
        <v>87</v>
      </c>
      <c r="S10" s="24">
        <v>1</v>
      </c>
      <c r="T10" s="20" t="s">
        <v>30</v>
      </c>
      <c r="U10" s="25" t="s">
        <v>220</v>
      </c>
      <c r="V10" s="20">
        <v>101718970</v>
      </c>
      <c r="W10" s="25" t="s">
        <v>917</v>
      </c>
      <c r="X10" s="20" t="s">
        <v>221</v>
      </c>
      <c r="Y10" s="20" t="s">
        <v>87</v>
      </c>
      <c r="Z10" s="20" t="s">
        <v>88</v>
      </c>
      <c r="AA10" s="15">
        <v>76.025038363171362</v>
      </c>
      <c r="AB10" s="15">
        <v>67.290000000000006</v>
      </c>
      <c r="AC10" s="15">
        <f t="shared" si="1"/>
        <v>67.290000000000006</v>
      </c>
      <c r="AD10" s="15">
        <f t="shared" si="2"/>
        <v>76.025038363171362</v>
      </c>
      <c r="AE10" s="15">
        <f t="shared" si="3"/>
        <v>-8.7350383631713555</v>
      </c>
      <c r="AF10" s="16">
        <f t="shared" si="4"/>
        <v>-0.12981183479226266</v>
      </c>
      <c r="AG10" s="26" t="str">
        <f t="shared" si="5"/>
        <v>Negative</v>
      </c>
      <c r="AH10" s="20"/>
      <c r="AI10" s="20" t="s">
        <v>43</v>
      </c>
      <c r="AJ10" s="20">
        <v>8</v>
      </c>
      <c r="AK10" s="20"/>
    </row>
    <row r="11" spans="1:37" s="27" customFormat="1" ht="12.75" customHeight="1" x14ac:dyDescent="0.2">
      <c r="A11" s="22" t="s">
        <v>486</v>
      </c>
      <c r="B11" s="22" t="s">
        <v>694</v>
      </c>
      <c r="C11" s="23">
        <v>44258</v>
      </c>
      <c r="D11" s="22" t="s">
        <v>485</v>
      </c>
      <c r="E11" s="22" t="s">
        <v>484</v>
      </c>
      <c r="F11" s="22" t="s">
        <v>483</v>
      </c>
      <c r="G11" s="22" t="s">
        <v>482</v>
      </c>
      <c r="H11" s="22" t="s">
        <v>481</v>
      </c>
      <c r="I11" s="22" t="s">
        <v>480</v>
      </c>
      <c r="J11" s="22" t="s">
        <v>479</v>
      </c>
      <c r="K11" s="22" t="s">
        <v>478</v>
      </c>
      <c r="L11" s="22" t="s">
        <v>477</v>
      </c>
      <c r="M11" s="22" t="s">
        <v>487</v>
      </c>
      <c r="N11" s="22" t="s">
        <v>587</v>
      </c>
      <c r="O11" s="22" t="s">
        <v>28</v>
      </c>
      <c r="P11" s="22" t="s">
        <v>907</v>
      </c>
      <c r="Q11" s="22">
        <v>102070819</v>
      </c>
      <c r="R11" s="22" t="s">
        <v>87</v>
      </c>
      <c r="S11" s="24">
        <v>12</v>
      </c>
      <c r="T11" s="20" t="s">
        <v>28</v>
      </c>
      <c r="U11" s="25" t="s">
        <v>85</v>
      </c>
      <c r="V11" s="20">
        <v>118643487</v>
      </c>
      <c r="W11" s="25" t="s">
        <v>910</v>
      </c>
      <c r="X11" s="20" t="s">
        <v>86</v>
      </c>
      <c r="Y11" s="20" t="s">
        <v>87</v>
      </c>
      <c r="Z11" s="20" t="s">
        <v>88</v>
      </c>
      <c r="AA11" s="15">
        <v>14.829004338636112</v>
      </c>
      <c r="AB11" s="15">
        <v>14.09</v>
      </c>
      <c r="AC11" s="15">
        <f t="shared" si="1"/>
        <v>169.07999999999998</v>
      </c>
      <c r="AD11" s="15">
        <f t="shared" si="2"/>
        <v>177.94805206363336</v>
      </c>
      <c r="AE11" s="15">
        <f t="shared" si="3"/>
        <v>-8.8680520636333711</v>
      </c>
      <c r="AF11" s="16">
        <f t="shared" si="4"/>
        <v>-5.244885299049782E-2</v>
      </c>
      <c r="AG11" s="26" t="str">
        <f t="shared" si="5"/>
        <v>Negative</v>
      </c>
      <c r="AH11" s="20"/>
      <c r="AI11" s="20" t="s">
        <v>43</v>
      </c>
      <c r="AJ11" s="20">
        <v>48</v>
      </c>
      <c r="AK11" s="20"/>
    </row>
    <row r="12" spans="1:37" s="27" customFormat="1" ht="12.75" customHeight="1" x14ac:dyDescent="0.2">
      <c r="A12" s="22" t="s">
        <v>486</v>
      </c>
      <c r="B12" s="22" t="s">
        <v>694</v>
      </c>
      <c r="C12" s="23">
        <v>44258</v>
      </c>
      <c r="D12" s="22" t="s">
        <v>485</v>
      </c>
      <c r="E12" s="22" t="s">
        <v>484</v>
      </c>
      <c r="F12" s="22" t="s">
        <v>483</v>
      </c>
      <c r="G12" s="22" t="s">
        <v>482</v>
      </c>
      <c r="H12" s="22" t="s">
        <v>481</v>
      </c>
      <c r="I12" s="22" t="s">
        <v>480</v>
      </c>
      <c r="J12" s="22" t="s">
        <v>479</v>
      </c>
      <c r="K12" s="22" t="s">
        <v>478</v>
      </c>
      <c r="L12" s="22" t="s">
        <v>477</v>
      </c>
      <c r="M12" s="22" t="s">
        <v>487</v>
      </c>
      <c r="N12" s="22" t="s">
        <v>587</v>
      </c>
      <c r="O12" s="22" t="s">
        <v>28</v>
      </c>
      <c r="P12" s="22" t="s">
        <v>222</v>
      </c>
      <c r="Q12" s="22">
        <v>112510875</v>
      </c>
      <c r="R12" s="22" t="s">
        <v>87</v>
      </c>
      <c r="S12" s="24">
        <v>4</v>
      </c>
      <c r="T12" s="20" t="s">
        <v>28</v>
      </c>
      <c r="U12" s="25" t="s">
        <v>222</v>
      </c>
      <c r="V12" s="20">
        <v>112510875</v>
      </c>
      <c r="W12" s="25" t="s">
        <v>910</v>
      </c>
      <c r="X12" s="20" t="s">
        <v>223</v>
      </c>
      <c r="Y12" s="20" t="s">
        <v>87</v>
      </c>
      <c r="Z12" s="20" t="s">
        <v>88</v>
      </c>
      <c r="AA12" s="15">
        <v>16.804578929803093</v>
      </c>
      <c r="AB12" s="15">
        <v>15.97</v>
      </c>
      <c r="AC12" s="15">
        <f t="shared" si="1"/>
        <v>63.88</v>
      </c>
      <c r="AD12" s="15">
        <f t="shared" si="2"/>
        <v>67.21831571921237</v>
      </c>
      <c r="AE12" s="15">
        <f t="shared" si="3"/>
        <v>-3.3383157192123676</v>
      </c>
      <c r="AF12" s="16">
        <f t="shared" si="4"/>
        <v>-5.2259169054670748E-2</v>
      </c>
      <c r="AG12" s="26" t="str">
        <f t="shared" si="5"/>
        <v>Negative</v>
      </c>
      <c r="AH12" s="20"/>
      <c r="AI12" s="20" t="s">
        <v>43</v>
      </c>
      <c r="AJ12" s="20">
        <v>0</v>
      </c>
      <c r="AK12" s="20"/>
    </row>
    <row r="13" spans="1:37" s="27" customFormat="1" ht="12.75" customHeight="1" x14ac:dyDescent="0.2">
      <c r="A13" s="22" t="s">
        <v>486</v>
      </c>
      <c r="B13" s="22" t="s">
        <v>693</v>
      </c>
      <c r="C13" s="23">
        <v>44259</v>
      </c>
      <c r="D13" s="22" t="s">
        <v>485</v>
      </c>
      <c r="E13" s="22" t="s">
        <v>484</v>
      </c>
      <c r="F13" s="22" t="s">
        <v>483</v>
      </c>
      <c r="G13" s="22" t="s">
        <v>482</v>
      </c>
      <c r="H13" s="22" t="s">
        <v>481</v>
      </c>
      <c r="I13" s="22" t="s">
        <v>480</v>
      </c>
      <c r="J13" s="22" t="s">
        <v>479</v>
      </c>
      <c r="K13" s="22" t="s">
        <v>478</v>
      </c>
      <c r="L13" s="22" t="s">
        <v>477</v>
      </c>
      <c r="M13" s="22" t="s">
        <v>487</v>
      </c>
      <c r="N13" s="22" t="s">
        <v>587</v>
      </c>
      <c r="O13" s="22" t="s">
        <v>28</v>
      </c>
      <c r="P13" s="22" t="s">
        <v>224</v>
      </c>
      <c r="Q13" s="22">
        <v>101352292</v>
      </c>
      <c r="R13" s="22" t="s">
        <v>87</v>
      </c>
      <c r="S13" s="24">
        <v>1</v>
      </c>
      <c r="T13" s="20" t="s">
        <v>28</v>
      </c>
      <c r="U13" s="25" t="s">
        <v>224</v>
      </c>
      <c r="V13" s="20">
        <v>101352292</v>
      </c>
      <c r="W13" s="25" t="s">
        <v>910</v>
      </c>
      <c r="X13" s="20" t="s">
        <v>225</v>
      </c>
      <c r="Y13" s="20" t="s">
        <v>87</v>
      </c>
      <c r="Z13" s="20" t="s">
        <v>88</v>
      </c>
      <c r="AA13" s="15">
        <v>59.81</v>
      </c>
      <c r="AB13" s="15">
        <v>62.08</v>
      </c>
      <c r="AC13" s="15">
        <f t="shared" si="1"/>
        <v>62.08</v>
      </c>
      <c r="AD13" s="15">
        <f t="shared" si="2"/>
        <v>59.81</v>
      </c>
      <c r="AE13" s="15">
        <f t="shared" si="3"/>
        <v>2.269999999999996</v>
      </c>
      <c r="AF13" s="16">
        <f t="shared" si="4"/>
        <v>3.6565721649484476E-2</v>
      </c>
      <c r="AG13" s="26" t="str">
        <f t="shared" si="5"/>
        <v>0-10%</v>
      </c>
      <c r="AH13" s="20"/>
      <c r="AI13" s="20" t="s">
        <v>42</v>
      </c>
      <c r="AJ13" s="20">
        <v>24</v>
      </c>
      <c r="AK13" s="20"/>
    </row>
    <row r="14" spans="1:37" s="27" customFormat="1" ht="12.75" customHeight="1" x14ac:dyDescent="0.2">
      <c r="A14" s="22" t="s">
        <v>705</v>
      </c>
      <c r="B14" s="22" t="s">
        <v>805</v>
      </c>
      <c r="C14" s="23">
        <v>44264</v>
      </c>
      <c r="D14" s="22" t="s">
        <v>485</v>
      </c>
      <c r="E14" s="22" t="s">
        <v>484</v>
      </c>
      <c r="F14" s="22" t="s">
        <v>483</v>
      </c>
      <c r="G14" s="22" t="s">
        <v>704</v>
      </c>
      <c r="H14" s="22" t="s">
        <v>703</v>
      </c>
      <c r="I14" s="22" t="s">
        <v>702</v>
      </c>
      <c r="J14" s="22" t="s">
        <v>701</v>
      </c>
      <c r="K14" s="22" t="s">
        <v>700</v>
      </c>
      <c r="L14" s="22" t="s">
        <v>699</v>
      </c>
      <c r="M14" s="22" t="s">
        <v>724</v>
      </c>
      <c r="N14" s="22" t="s">
        <v>804</v>
      </c>
      <c r="O14" s="22" t="s">
        <v>16</v>
      </c>
      <c r="P14" s="22" t="s">
        <v>182</v>
      </c>
      <c r="Q14" s="22">
        <v>110988151</v>
      </c>
      <c r="R14" s="22" t="s">
        <v>87</v>
      </c>
      <c r="S14" s="24">
        <v>2</v>
      </c>
      <c r="T14" s="20" t="s">
        <v>16</v>
      </c>
      <c r="U14" s="25" t="s">
        <v>182</v>
      </c>
      <c r="V14" s="20">
        <v>110988151</v>
      </c>
      <c r="W14" s="25" t="s">
        <v>913</v>
      </c>
      <c r="X14" s="20" t="s">
        <v>183</v>
      </c>
      <c r="Y14" s="20" t="s">
        <v>87</v>
      </c>
      <c r="Z14" s="20" t="s">
        <v>88</v>
      </c>
      <c r="AA14" s="15">
        <v>243.49</v>
      </c>
      <c r="AB14" s="15">
        <v>237.11</v>
      </c>
      <c r="AC14" s="15">
        <f t="shared" si="1"/>
        <v>474.22</v>
      </c>
      <c r="AD14" s="15">
        <f t="shared" si="2"/>
        <v>486.98</v>
      </c>
      <c r="AE14" s="15">
        <f t="shared" si="3"/>
        <v>-12.759999999999991</v>
      </c>
      <c r="AF14" s="16">
        <f t="shared" si="4"/>
        <v>-2.6907342583610962E-2</v>
      </c>
      <c r="AG14" s="26" t="str">
        <f t="shared" si="5"/>
        <v>Negative</v>
      </c>
      <c r="AH14" s="20" t="s">
        <v>921</v>
      </c>
      <c r="AI14" s="20" t="s">
        <v>43</v>
      </c>
      <c r="AJ14" s="20">
        <v>0</v>
      </c>
      <c r="AK14" s="20"/>
    </row>
    <row r="15" spans="1:37" s="27" customFormat="1" ht="12.75" customHeight="1" x14ac:dyDescent="0.2">
      <c r="A15" s="22" t="s">
        <v>883</v>
      </c>
      <c r="B15" s="22" t="s">
        <v>898</v>
      </c>
      <c r="C15" s="23">
        <v>44265</v>
      </c>
      <c r="D15" s="22" t="s">
        <v>485</v>
      </c>
      <c r="E15" s="22" t="s">
        <v>484</v>
      </c>
      <c r="F15" s="22" t="s">
        <v>483</v>
      </c>
      <c r="G15" s="22" t="s">
        <v>881</v>
      </c>
      <c r="H15" s="22" t="s">
        <v>481</v>
      </c>
      <c r="I15" s="22" t="s">
        <v>880</v>
      </c>
      <c r="J15" s="22" t="s">
        <v>879</v>
      </c>
      <c r="K15" s="22" t="s">
        <v>878</v>
      </c>
      <c r="L15" s="22" t="s">
        <v>877</v>
      </c>
      <c r="M15" s="22" t="s">
        <v>885</v>
      </c>
      <c r="N15" s="22" t="s">
        <v>897</v>
      </c>
      <c r="O15" s="22" t="s">
        <v>98</v>
      </c>
      <c r="P15" s="22" t="s">
        <v>99</v>
      </c>
      <c r="Q15" s="22">
        <v>105081744</v>
      </c>
      <c r="R15" s="22" t="s">
        <v>87</v>
      </c>
      <c r="S15" s="24">
        <v>1</v>
      </c>
      <c r="T15" s="20" t="s">
        <v>98</v>
      </c>
      <c r="U15" s="25" t="s">
        <v>99</v>
      </c>
      <c r="V15" s="20">
        <v>105081744</v>
      </c>
      <c r="W15" s="25" t="s">
        <v>916</v>
      </c>
      <c r="X15" s="20" t="s">
        <v>100</v>
      </c>
      <c r="Y15" s="20" t="s">
        <v>87</v>
      </c>
      <c r="Z15" s="20" t="s">
        <v>97</v>
      </c>
      <c r="AA15" s="15">
        <v>150.5</v>
      </c>
      <c r="AB15" s="15">
        <v>150.28757923453421</v>
      </c>
      <c r="AC15" s="15">
        <f t="shared" si="1"/>
        <v>150.28757923453421</v>
      </c>
      <c r="AD15" s="15">
        <f t="shared" si="2"/>
        <v>150.5</v>
      </c>
      <c r="AE15" s="15">
        <f t="shared" si="3"/>
        <v>-0.21242076546579369</v>
      </c>
      <c r="AF15" s="16">
        <f t="shared" si="4"/>
        <v>-1.4134286183044864E-3</v>
      </c>
      <c r="AG15" s="26" t="str">
        <f t="shared" si="5"/>
        <v>Negative</v>
      </c>
      <c r="AH15" s="20"/>
      <c r="AI15" s="20" t="s">
        <v>43</v>
      </c>
      <c r="AJ15" s="20">
        <v>0</v>
      </c>
      <c r="AK15" s="20"/>
    </row>
    <row r="16" spans="1:37" s="27" customFormat="1" ht="12.75" customHeight="1" x14ac:dyDescent="0.2">
      <c r="A16" s="22" t="s">
        <v>486</v>
      </c>
      <c r="B16" s="22" t="s">
        <v>692</v>
      </c>
      <c r="C16" s="23">
        <v>44265</v>
      </c>
      <c r="D16" s="22" t="s">
        <v>485</v>
      </c>
      <c r="E16" s="22" t="s">
        <v>484</v>
      </c>
      <c r="F16" s="22" t="s">
        <v>483</v>
      </c>
      <c r="G16" s="22" t="s">
        <v>482</v>
      </c>
      <c r="H16" s="22" t="s">
        <v>481</v>
      </c>
      <c r="I16" s="22" t="s">
        <v>480</v>
      </c>
      <c r="J16" s="22" t="s">
        <v>479</v>
      </c>
      <c r="K16" s="22" t="s">
        <v>478</v>
      </c>
      <c r="L16" s="22" t="s">
        <v>477</v>
      </c>
      <c r="M16" s="22" t="s">
        <v>691</v>
      </c>
      <c r="N16" s="22" t="s">
        <v>689</v>
      </c>
      <c r="O16" s="22" t="s">
        <v>19</v>
      </c>
      <c r="P16" s="22" t="s">
        <v>226</v>
      </c>
      <c r="Q16" s="22">
        <v>101002986</v>
      </c>
      <c r="R16" s="22" t="s">
        <v>87</v>
      </c>
      <c r="S16" s="24">
        <v>1</v>
      </c>
      <c r="T16" s="20" t="s">
        <v>19</v>
      </c>
      <c r="U16" s="25" t="s">
        <v>226</v>
      </c>
      <c r="V16" s="20">
        <v>101002986</v>
      </c>
      <c r="W16" s="25" t="s">
        <v>916</v>
      </c>
      <c r="X16" s="20" t="s">
        <v>227</v>
      </c>
      <c r="Y16" s="20" t="s">
        <v>87</v>
      </c>
      <c r="Z16" s="20" t="s">
        <v>88</v>
      </c>
      <c r="AA16" s="15">
        <v>276.83999999999997</v>
      </c>
      <c r="AB16" s="15">
        <v>309.08</v>
      </c>
      <c r="AC16" s="15">
        <f t="shared" si="1"/>
        <v>309.08</v>
      </c>
      <c r="AD16" s="15">
        <f t="shared" si="2"/>
        <v>276.83999999999997</v>
      </c>
      <c r="AE16" s="15">
        <f t="shared" si="3"/>
        <v>32.240000000000009</v>
      </c>
      <c r="AF16" s="16">
        <f t="shared" si="4"/>
        <v>0.10430956386696004</v>
      </c>
      <c r="AG16" s="26" t="str">
        <f t="shared" si="5"/>
        <v>10-20%</v>
      </c>
      <c r="AH16" s="20"/>
      <c r="AI16" s="20" t="s">
        <v>42</v>
      </c>
      <c r="AJ16" s="20">
        <v>161</v>
      </c>
      <c r="AK16" s="20"/>
    </row>
    <row r="17" spans="1:37" s="27" customFormat="1" ht="12.75" customHeight="1" x14ac:dyDescent="0.2">
      <c r="A17" s="22" t="s">
        <v>486</v>
      </c>
      <c r="B17" s="22" t="s">
        <v>690</v>
      </c>
      <c r="C17" s="23">
        <v>44267</v>
      </c>
      <c r="D17" s="22" t="s">
        <v>485</v>
      </c>
      <c r="E17" s="22" t="s">
        <v>484</v>
      </c>
      <c r="F17" s="22" t="s">
        <v>483</v>
      </c>
      <c r="G17" s="22" t="s">
        <v>482</v>
      </c>
      <c r="H17" s="22" t="s">
        <v>481</v>
      </c>
      <c r="I17" s="22" t="s">
        <v>480</v>
      </c>
      <c r="J17" s="22" t="s">
        <v>479</v>
      </c>
      <c r="K17" s="22" t="s">
        <v>478</v>
      </c>
      <c r="L17" s="22" t="s">
        <v>477</v>
      </c>
      <c r="M17" s="22" t="s">
        <v>487</v>
      </c>
      <c r="N17" s="22" t="s">
        <v>689</v>
      </c>
      <c r="O17" s="22" t="s">
        <v>65</v>
      </c>
      <c r="P17" s="22" t="s">
        <v>228</v>
      </c>
      <c r="Q17" s="22">
        <v>110277525</v>
      </c>
      <c r="R17" s="22" t="s">
        <v>87</v>
      </c>
      <c r="S17" s="24">
        <v>1</v>
      </c>
      <c r="T17" s="20" t="s">
        <v>65</v>
      </c>
      <c r="U17" s="25" t="s">
        <v>228</v>
      </c>
      <c r="V17" s="20">
        <v>110277525</v>
      </c>
      <c r="W17" s="25" t="s">
        <v>912</v>
      </c>
      <c r="X17" s="20" t="s">
        <v>229</v>
      </c>
      <c r="Y17" s="20" t="s">
        <v>87</v>
      </c>
      <c r="Z17" s="20" t="s">
        <v>88</v>
      </c>
      <c r="AA17" s="15">
        <v>862.98</v>
      </c>
      <c r="AB17" s="15">
        <v>1044.78</v>
      </c>
      <c r="AC17" s="15">
        <f t="shared" si="1"/>
        <v>1044.78</v>
      </c>
      <c r="AD17" s="15">
        <f t="shared" si="2"/>
        <v>862.98</v>
      </c>
      <c r="AE17" s="15">
        <f t="shared" si="3"/>
        <v>181.79999999999995</v>
      </c>
      <c r="AF17" s="16">
        <f t="shared" si="4"/>
        <v>0.17400792511342097</v>
      </c>
      <c r="AG17" s="26" t="str">
        <f t="shared" si="5"/>
        <v>10-20%</v>
      </c>
      <c r="AH17" s="20"/>
      <c r="AI17" s="20" t="s">
        <v>43</v>
      </c>
      <c r="AJ17" s="20">
        <v>0</v>
      </c>
      <c r="AK17" s="20"/>
    </row>
    <row r="18" spans="1:37" s="27" customFormat="1" ht="12.75" customHeight="1" x14ac:dyDescent="0.2">
      <c r="A18" s="22" t="s">
        <v>817</v>
      </c>
      <c r="B18" s="22" t="s">
        <v>826</v>
      </c>
      <c r="C18" s="23">
        <v>44267</v>
      </c>
      <c r="D18" s="22" t="s">
        <v>485</v>
      </c>
      <c r="E18" s="22" t="s">
        <v>484</v>
      </c>
      <c r="F18" s="22" t="s">
        <v>815</v>
      </c>
      <c r="G18" s="22" t="s">
        <v>815</v>
      </c>
      <c r="H18" s="22" t="s">
        <v>814</v>
      </c>
      <c r="I18" s="22" t="s">
        <v>813</v>
      </c>
      <c r="J18" s="22" t="s">
        <v>812</v>
      </c>
      <c r="K18" s="22" t="s">
        <v>811</v>
      </c>
      <c r="L18" s="22" t="s">
        <v>810</v>
      </c>
      <c r="M18" s="22" t="s">
        <v>487</v>
      </c>
      <c r="N18" s="22" t="s">
        <v>825</v>
      </c>
      <c r="O18" s="22" t="s">
        <v>165</v>
      </c>
      <c r="P18" s="22" t="s">
        <v>166</v>
      </c>
      <c r="Q18" s="22">
        <v>105797530</v>
      </c>
      <c r="R18" s="22" t="s">
        <v>87</v>
      </c>
      <c r="S18" s="24">
        <v>1</v>
      </c>
      <c r="T18" s="20" t="s">
        <v>165</v>
      </c>
      <c r="U18" s="25" t="s">
        <v>166</v>
      </c>
      <c r="V18" s="20">
        <v>105797530</v>
      </c>
      <c r="W18" s="25" t="s">
        <v>912</v>
      </c>
      <c r="X18" s="20" t="s">
        <v>167</v>
      </c>
      <c r="Y18" s="20" t="s">
        <v>87</v>
      </c>
      <c r="Z18" s="20" t="s">
        <v>88</v>
      </c>
      <c r="AA18" s="15">
        <v>447.85</v>
      </c>
      <c r="AB18" s="15">
        <v>608.00551501078121</v>
      </c>
      <c r="AC18" s="15">
        <f t="shared" si="1"/>
        <v>608.00551501078121</v>
      </c>
      <c r="AD18" s="15">
        <f t="shared" si="2"/>
        <v>447.85</v>
      </c>
      <c r="AE18" s="15">
        <f t="shared" si="3"/>
        <v>160.15551501078119</v>
      </c>
      <c r="AF18" s="16">
        <f t="shared" si="4"/>
        <v>0.26341128666890679</v>
      </c>
      <c r="AG18" s="26" t="str">
        <f t="shared" si="5"/>
        <v>20-30%</v>
      </c>
      <c r="AH18" s="20"/>
      <c r="AI18" s="20" t="s">
        <v>43</v>
      </c>
      <c r="AJ18" s="20">
        <v>0</v>
      </c>
      <c r="AK18" s="20"/>
    </row>
    <row r="19" spans="1:37" s="27" customFormat="1" ht="12.75" customHeight="1" x14ac:dyDescent="0.2">
      <c r="A19" s="22" t="s">
        <v>486</v>
      </c>
      <c r="B19" s="22" t="s">
        <v>688</v>
      </c>
      <c r="C19" s="23">
        <v>44270</v>
      </c>
      <c r="D19" s="22" t="s">
        <v>485</v>
      </c>
      <c r="E19" s="22" t="s">
        <v>484</v>
      </c>
      <c r="F19" s="22" t="s">
        <v>483</v>
      </c>
      <c r="G19" s="22" t="s">
        <v>482</v>
      </c>
      <c r="H19" s="22" t="s">
        <v>481</v>
      </c>
      <c r="I19" s="22" t="s">
        <v>480</v>
      </c>
      <c r="J19" s="22" t="s">
        <v>479</v>
      </c>
      <c r="K19" s="22" t="s">
        <v>478</v>
      </c>
      <c r="L19" s="22" t="s">
        <v>477</v>
      </c>
      <c r="M19" s="22" t="s">
        <v>687</v>
      </c>
      <c r="N19" s="22" t="s">
        <v>686</v>
      </c>
      <c r="O19" s="22" t="s">
        <v>24</v>
      </c>
      <c r="P19" s="22" t="s">
        <v>230</v>
      </c>
      <c r="Q19" s="22">
        <v>118062645</v>
      </c>
      <c r="R19" s="22" t="s">
        <v>87</v>
      </c>
      <c r="S19" s="24">
        <v>1</v>
      </c>
      <c r="T19" s="20" t="s">
        <v>24</v>
      </c>
      <c r="U19" s="25" t="s">
        <v>230</v>
      </c>
      <c r="V19" s="20">
        <v>118062645</v>
      </c>
      <c r="W19" s="25" t="s">
        <v>918</v>
      </c>
      <c r="X19" s="20" t="s">
        <v>231</v>
      </c>
      <c r="Y19" s="20" t="s">
        <v>87</v>
      </c>
      <c r="Z19" s="20" t="s">
        <v>97</v>
      </c>
      <c r="AA19" s="15">
        <v>2204.7149979965943</v>
      </c>
      <c r="AB19" s="15">
        <v>2325.3000000000002</v>
      </c>
      <c r="AC19" s="15">
        <f t="shared" si="1"/>
        <v>2325.3000000000002</v>
      </c>
      <c r="AD19" s="15">
        <f t="shared" si="2"/>
        <v>2204.7149979965943</v>
      </c>
      <c r="AE19" s="15">
        <f t="shared" si="3"/>
        <v>120.58500200340586</v>
      </c>
      <c r="AF19" s="16">
        <f t="shared" si="4"/>
        <v>5.1857825658369182E-2</v>
      </c>
      <c r="AG19" s="26" t="str">
        <f t="shared" si="5"/>
        <v>0-10%</v>
      </c>
      <c r="AH19" s="20"/>
      <c r="AI19" s="20" t="s">
        <v>43</v>
      </c>
      <c r="AJ19" s="20">
        <v>0</v>
      </c>
      <c r="AK19" s="20"/>
    </row>
    <row r="20" spans="1:37" s="27" customFormat="1" ht="12.75" customHeight="1" x14ac:dyDescent="0.2">
      <c r="A20" s="22" t="s">
        <v>486</v>
      </c>
      <c r="B20" s="22" t="s">
        <v>685</v>
      </c>
      <c r="C20" s="23">
        <v>44271</v>
      </c>
      <c r="D20" s="22" t="s">
        <v>485</v>
      </c>
      <c r="E20" s="22" t="s">
        <v>484</v>
      </c>
      <c r="F20" s="22" t="s">
        <v>483</v>
      </c>
      <c r="G20" s="22" t="s">
        <v>482</v>
      </c>
      <c r="H20" s="22" t="s">
        <v>481</v>
      </c>
      <c r="I20" s="22" t="s">
        <v>480</v>
      </c>
      <c r="J20" s="22" t="s">
        <v>479</v>
      </c>
      <c r="K20" s="22" t="s">
        <v>478</v>
      </c>
      <c r="L20" s="22" t="s">
        <v>477</v>
      </c>
      <c r="M20" s="22" t="s">
        <v>487</v>
      </c>
      <c r="N20" s="22" t="s">
        <v>676</v>
      </c>
      <c r="O20" s="22" t="s">
        <v>7</v>
      </c>
      <c r="P20" s="22" t="s">
        <v>232</v>
      </c>
      <c r="Q20" s="22">
        <v>100800671</v>
      </c>
      <c r="R20" s="22" t="s">
        <v>234</v>
      </c>
      <c r="S20" s="24">
        <v>120</v>
      </c>
      <c r="T20" s="20" t="s">
        <v>7</v>
      </c>
      <c r="U20" s="25" t="s">
        <v>232</v>
      </c>
      <c r="V20" s="20">
        <v>100800671</v>
      </c>
      <c r="W20" s="25" t="s">
        <v>912</v>
      </c>
      <c r="X20" s="20" t="s">
        <v>233</v>
      </c>
      <c r="Y20" s="20" t="s">
        <v>234</v>
      </c>
      <c r="Z20" s="20" t="s">
        <v>88</v>
      </c>
      <c r="AA20" s="15">
        <v>20.059999999999999</v>
      </c>
      <c r="AB20" s="15">
        <v>19.670000000000002</v>
      </c>
      <c r="AC20" s="15">
        <f t="shared" si="1"/>
        <v>2360.4</v>
      </c>
      <c r="AD20" s="15">
        <f t="shared" si="2"/>
        <v>2407.1999999999998</v>
      </c>
      <c r="AE20" s="15">
        <f t="shared" si="3"/>
        <v>-46.799999999999727</v>
      </c>
      <c r="AF20" s="16">
        <f t="shared" si="4"/>
        <v>-1.9827147941026829E-2</v>
      </c>
      <c r="AG20" s="26" t="str">
        <f t="shared" si="5"/>
        <v>Negative</v>
      </c>
      <c r="AH20" s="20"/>
      <c r="AI20" s="20" t="s">
        <v>42</v>
      </c>
      <c r="AJ20" s="20">
        <v>570</v>
      </c>
      <c r="AK20" s="20"/>
    </row>
    <row r="21" spans="1:37" s="27" customFormat="1" ht="12.75" customHeight="1" x14ac:dyDescent="0.2">
      <c r="A21" s="22" t="s">
        <v>486</v>
      </c>
      <c r="B21" s="22" t="s">
        <v>684</v>
      </c>
      <c r="C21" s="23">
        <v>44271</v>
      </c>
      <c r="D21" s="22" t="s">
        <v>485</v>
      </c>
      <c r="E21" s="22" t="s">
        <v>484</v>
      </c>
      <c r="F21" s="22" t="s">
        <v>483</v>
      </c>
      <c r="G21" s="22" t="s">
        <v>482</v>
      </c>
      <c r="H21" s="22" t="s">
        <v>481</v>
      </c>
      <c r="I21" s="22" t="s">
        <v>480</v>
      </c>
      <c r="J21" s="22" t="s">
        <v>479</v>
      </c>
      <c r="K21" s="22" t="s">
        <v>478</v>
      </c>
      <c r="L21" s="22" t="s">
        <v>477</v>
      </c>
      <c r="M21" s="22" t="s">
        <v>683</v>
      </c>
      <c r="N21" s="22" t="s">
        <v>682</v>
      </c>
      <c r="O21" s="22" t="s">
        <v>20</v>
      </c>
      <c r="P21" s="22" t="s">
        <v>235</v>
      </c>
      <c r="Q21" s="22">
        <v>100493731</v>
      </c>
      <c r="R21" s="22" t="s">
        <v>87</v>
      </c>
      <c r="S21" s="24">
        <v>2</v>
      </c>
      <c r="T21" s="20" t="s">
        <v>20</v>
      </c>
      <c r="U21" s="25" t="s">
        <v>235</v>
      </c>
      <c r="V21" s="20">
        <v>100493731</v>
      </c>
      <c r="W21" s="25" t="s">
        <v>913</v>
      </c>
      <c r="X21" s="20" t="s">
        <v>236</v>
      </c>
      <c r="Y21" s="20" t="s">
        <v>87</v>
      </c>
      <c r="Z21" s="20" t="s">
        <v>88</v>
      </c>
      <c r="AA21" s="15">
        <v>62.389966393199558</v>
      </c>
      <c r="AB21" s="15">
        <v>60.75</v>
      </c>
      <c r="AC21" s="15">
        <f t="shared" si="1"/>
        <v>121.5</v>
      </c>
      <c r="AD21" s="15">
        <f t="shared" si="2"/>
        <v>124.77993278639912</v>
      </c>
      <c r="AE21" s="15">
        <f t="shared" si="3"/>
        <v>-3.2799327863991152</v>
      </c>
      <c r="AF21" s="16">
        <f t="shared" si="4"/>
        <v>-2.699533157530136E-2</v>
      </c>
      <c r="AG21" s="26" t="str">
        <f t="shared" si="5"/>
        <v>Negative</v>
      </c>
      <c r="AH21" s="20"/>
      <c r="AI21" s="20" t="s">
        <v>42</v>
      </c>
      <c r="AJ21" s="20">
        <v>11</v>
      </c>
      <c r="AK21" s="20"/>
    </row>
    <row r="22" spans="1:37" s="27" customFormat="1" ht="12.75" customHeight="1" x14ac:dyDescent="0.2">
      <c r="A22" s="22" t="s">
        <v>705</v>
      </c>
      <c r="B22" s="22" t="s">
        <v>803</v>
      </c>
      <c r="C22" s="23">
        <v>44272</v>
      </c>
      <c r="D22" s="22" t="s">
        <v>485</v>
      </c>
      <c r="E22" s="22" t="s">
        <v>484</v>
      </c>
      <c r="F22" s="22" t="s">
        <v>483</v>
      </c>
      <c r="G22" s="22" t="s">
        <v>704</v>
      </c>
      <c r="H22" s="22" t="s">
        <v>703</v>
      </c>
      <c r="I22" s="22" t="s">
        <v>702</v>
      </c>
      <c r="J22" s="22" t="s">
        <v>701</v>
      </c>
      <c r="K22" s="22" t="s">
        <v>700</v>
      </c>
      <c r="L22" s="22" t="s">
        <v>699</v>
      </c>
      <c r="M22" s="22" t="s">
        <v>715</v>
      </c>
      <c r="N22" s="22" t="s">
        <v>802</v>
      </c>
      <c r="O22" s="22" t="s">
        <v>16</v>
      </c>
      <c r="P22" s="22" t="s">
        <v>178</v>
      </c>
      <c r="Q22" s="22">
        <v>110223931</v>
      </c>
      <c r="R22" s="22" t="s">
        <v>87</v>
      </c>
      <c r="S22" s="24">
        <v>2</v>
      </c>
      <c r="T22" s="20" t="s">
        <v>16</v>
      </c>
      <c r="U22" s="25" t="s">
        <v>178</v>
      </c>
      <c r="V22" s="20">
        <v>110223931</v>
      </c>
      <c r="W22" s="25" t="s">
        <v>913</v>
      </c>
      <c r="X22" s="20" t="s">
        <v>179</v>
      </c>
      <c r="Y22" s="20" t="s">
        <v>87</v>
      </c>
      <c r="Z22" s="20" t="s">
        <v>88</v>
      </c>
      <c r="AA22" s="15">
        <v>337.03773584905656</v>
      </c>
      <c r="AB22" s="15">
        <v>359.33333333333331</v>
      </c>
      <c r="AC22" s="15">
        <f t="shared" si="1"/>
        <v>718.66666666666663</v>
      </c>
      <c r="AD22" s="15">
        <f t="shared" si="2"/>
        <v>674.07547169811312</v>
      </c>
      <c r="AE22" s="15">
        <f t="shared" si="3"/>
        <v>44.591194968553509</v>
      </c>
      <c r="AF22" s="16">
        <f t="shared" si="4"/>
        <v>6.2047117303182069E-2</v>
      </c>
      <c r="AG22" s="26" t="str">
        <f t="shared" si="5"/>
        <v>0-10%</v>
      </c>
      <c r="AH22" s="20" t="s">
        <v>921</v>
      </c>
      <c r="AI22" s="20" t="s">
        <v>43</v>
      </c>
      <c r="AJ22" s="20">
        <v>0</v>
      </c>
      <c r="AK22" s="20"/>
    </row>
    <row r="23" spans="1:37" s="27" customFormat="1" ht="12.75" customHeight="1" x14ac:dyDescent="0.2">
      <c r="A23" s="22" t="s">
        <v>705</v>
      </c>
      <c r="B23" s="22" t="s">
        <v>803</v>
      </c>
      <c r="C23" s="23">
        <v>44272</v>
      </c>
      <c r="D23" s="22" t="s">
        <v>485</v>
      </c>
      <c r="E23" s="22" t="s">
        <v>484</v>
      </c>
      <c r="F23" s="22" t="s">
        <v>483</v>
      </c>
      <c r="G23" s="22" t="s">
        <v>704</v>
      </c>
      <c r="H23" s="22" t="s">
        <v>703</v>
      </c>
      <c r="I23" s="22" t="s">
        <v>702</v>
      </c>
      <c r="J23" s="22" t="s">
        <v>701</v>
      </c>
      <c r="K23" s="22" t="s">
        <v>700</v>
      </c>
      <c r="L23" s="22" t="s">
        <v>699</v>
      </c>
      <c r="M23" s="22" t="s">
        <v>713</v>
      </c>
      <c r="N23" s="22" t="s">
        <v>802</v>
      </c>
      <c r="O23" s="22" t="s">
        <v>16</v>
      </c>
      <c r="P23" s="22" t="s">
        <v>180</v>
      </c>
      <c r="Q23" s="22">
        <v>110224139</v>
      </c>
      <c r="R23" s="22" t="s">
        <v>87</v>
      </c>
      <c r="S23" s="24">
        <v>2</v>
      </c>
      <c r="T23" s="20" t="s">
        <v>16</v>
      </c>
      <c r="U23" s="25" t="s">
        <v>180</v>
      </c>
      <c r="V23" s="20">
        <v>110224139</v>
      </c>
      <c r="W23" s="25" t="s">
        <v>913</v>
      </c>
      <c r="X23" s="20" t="s">
        <v>181</v>
      </c>
      <c r="Y23" s="20" t="s">
        <v>87</v>
      </c>
      <c r="Z23" s="20" t="s">
        <v>88</v>
      </c>
      <c r="AA23" s="15">
        <v>381.77358490566036</v>
      </c>
      <c r="AB23" s="15">
        <v>407</v>
      </c>
      <c r="AC23" s="15">
        <f t="shared" si="1"/>
        <v>814</v>
      </c>
      <c r="AD23" s="15">
        <f t="shared" si="2"/>
        <v>763.54716981132071</v>
      </c>
      <c r="AE23" s="15">
        <f t="shared" si="3"/>
        <v>50.452830188679286</v>
      </c>
      <c r="AF23" s="16">
        <f t="shared" si="4"/>
        <v>6.1981363868156371E-2</v>
      </c>
      <c r="AG23" s="26" t="str">
        <f t="shared" si="5"/>
        <v>0-10%</v>
      </c>
      <c r="AH23" s="20" t="s">
        <v>921</v>
      </c>
      <c r="AI23" s="20" t="s">
        <v>42</v>
      </c>
      <c r="AJ23" s="20">
        <v>4</v>
      </c>
      <c r="AK23" s="20"/>
    </row>
    <row r="24" spans="1:37" s="27" customFormat="1" ht="12.75" customHeight="1" x14ac:dyDescent="0.2">
      <c r="A24" s="22" t="s">
        <v>705</v>
      </c>
      <c r="B24" s="22" t="s">
        <v>803</v>
      </c>
      <c r="C24" s="23">
        <v>44272</v>
      </c>
      <c r="D24" s="22" t="s">
        <v>485</v>
      </c>
      <c r="E24" s="22" t="s">
        <v>484</v>
      </c>
      <c r="F24" s="22" t="s">
        <v>483</v>
      </c>
      <c r="G24" s="22" t="s">
        <v>704</v>
      </c>
      <c r="H24" s="22" t="s">
        <v>703</v>
      </c>
      <c r="I24" s="22" t="s">
        <v>702</v>
      </c>
      <c r="J24" s="22" t="s">
        <v>701</v>
      </c>
      <c r="K24" s="22" t="s">
        <v>700</v>
      </c>
      <c r="L24" s="22" t="s">
        <v>699</v>
      </c>
      <c r="M24" s="22" t="s">
        <v>716</v>
      </c>
      <c r="N24" s="22" t="s">
        <v>802</v>
      </c>
      <c r="O24" s="22" t="s">
        <v>16</v>
      </c>
      <c r="P24" s="22" t="s">
        <v>174</v>
      </c>
      <c r="Q24" s="22">
        <v>103674709</v>
      </c>
      <c r="R24" s="22" t="s">
        <v>87</v>
      </c>
      <c r="S24" s="24">
        <v>2</v>
      </c>
      <c r="T24" s="20" t="s">
        <v>16</v>
      </c>
      <c r="U24" s="25" t="s">
        <v>174</v>
      </c>
      <c r="V24" s="20">
        <v>103674709</v>
      </c>
      <c r="W24" s="25" t="s">
        <v>913</v>
      </c>
      <c r="X24" s="20" t="s">
        <v>175</v>
      </c>
      <c r="Y24" s="20" t="s">
        <v>87</v>
      </c>
      <c r="Z24" s="20" t="s">
        <v>88</v>
      </c>
      <c r="AA24" s="15">
        <v>378.88679245283015</v>
      </c>
      <c r="AB24" s="15">
        <v>404.06666666666666</v>
      </c>
      <c r="AC24" s="15">
        <f t="shared" si="1"/>
        <v>808.13333333333333</v>
      </c>
      <c r="AD24" s="15">
        <f t="shared" si="2"/>
        <v>757.7735849056603</v>
      </c>
      <c r="AE24" s="15">
        <f t="shared" si="3"/>
        <v>50.359748427673026</v>
      </c>
      <c r="AF24" s="16">
        <f t="shared" si="4"/>
        <v>6.2316138130266902E-2</v>
      </c>
      <c r="AG24" s="26" t="str">
        <f t="shared" si="5"/>
        <v>0-10%</v>
      </c>
      <c r="AH24" s="20" t="s">
        <v>921</v>
      </c>
      <c r="AI24" s="20" t="s">
        <v>43</v>
      </c>
      <c r="AJ24" s="20">
        <v>0</v>
      </c>
      <c r="AK24" s="20"/>
    </row>
    <row r="25" spans="1:37" s="27" customFormat="1" ht="12.75" customHeight="1" x14ac:dyDescent="0.2">
      <c r="A25" s="22" t="s">
        <v>705</v>
      </c>
      <c r="B25" s="22" t="s">
        <v>803</v>
      </c>
      <c r="C25" s="23">
        <v>44272</v>
      </c>
      <c r="D25" s="22" t="s">
        <v>485</v>
      </c>
      <c r="E25" s="22" t="s">
        <v>484</v>
      </c>
      <c r="F25" s="22" t="s">
        <v>483</v>
      </c>
      <c r="G25" s="22" t="s">
        <v>704</v>
      </c>
      <c r="H25" s="22" t="s">
        <v>703</v>
      </c>
      <c r="I25" s="22" t="s">
        <v>702</v>
      </c>
      <c r="J25" s="22" t="s">
        <v>701</v>
      </c>
      <c r="K25" s="22" t="s">
        <v>700</v>
      </c>
      <c r="L25" s="22" t="s">
        <v>699</v>
      </c>
      <c r="M25" s="22" t="s">
        <v>710</v>
      </c>
      <c r="N25" s="22" t="s">
        <v>802</v>
      </c>
      <c r="O25" s="22" t="s">
        <v>16</v>
      </c>
      <c r="P25" s="22" t="s">
        <v>176</v>
      </c>
      <c r="Q25" s="22">
        <v>103720400</v>
      </c>
      <c r="R25" s="22" t="s">
        <v>87</v>
      </c>
      <c r="S25" s="24">
        <v>4</v>
      </c>
      <c r="T25" s="20" t="s">
        <v>16</v>
      </c>
      <c r="U25" s="25" t="s">
        <v>176</v>
      </c>
      <c r="V25" s="20">
        <v>103720400</v>
      </c>
      <c r="W25" s="25" t="s">
        <v>913</v>
      </c>
      <c r="X25" s="20" t="s">
        <v>177</v>
      </c>
      <c r="Y25" s="20" t="s">
        <v>87</v>
      </c>
      <c r="Z25" s="20" t="s">
        <v>88</v>
      </c>
      <c r="AA25" s="15">
        <v>461.16981132075466</v>
      </c>
      <c r="AB25" s="15">
        <v>489.86666666666673</v>
      </c>
      <c r="AC25" s="15">
        <f t="shared" si="1"/>
        <v>1959.4666666666669</v>
      </c>
      <c r="AD25" s="15">
        <f t="shared" si="2"/>
        <v>1844.6792452830186</v>
      </c>
      <c r="AE25" s="15">
        <f t="shared" si="3"/>
        <v>114.78742138364828</v>
      </c>
      <c r="AF25" s="16">
        <f t="shared" si="4"/>
        <v>5.8580951304937533E-2</v>
      </c>
      <c r="AG25" s="26" t="str">
        <f t="shared" si="5"/>
        <v>0-10%</v>
      </c>
      <c r="AH25" s="20" t="s">
        <v>921</v>
      </c>
      <c r="AI25" s="20" t="s">
        <v>43</v>
      </c>
      <c r="AJ25" s="20">
        <v>0</v>
      </c>
      <c r="AK25" s="20"/>
    </row>
    <row r="26" spans="1:37" s="27" customFormat="1" ht="12.75" customHeight="1" x14ac:dyDescent="0.2">
      <c r="A26" s="22" t="s">
        <v>486</v>
      </c>
      <c r="B26" s="22" t="s">
        <v>681</v>
      </c>
      <c r="C26" s="23">
        <v>44272</v>
      </c>
      <c r="D26" s="22" t="s">
        <v>485</v>
      </c>
      <c r="E26" s="22" t="s">
        <v>484</v>
      </c>
      <c r="F26" s="22" t="s">
        <v>483</v>
      </c>
      <c r="G26" s="22" t="s">
        <v>482</v>
      </c>
      <c r="H26" s="22" t="s">
        <v>481</v>
      </c>
      <c r="I26" s="22" t="s">
        <v>480</v>
      </c>
      <c r="J26" s="22" t="s">
        <v>479</v>
      </c>
      <c r="K26" s="22" t="s">
        <v>478</v>
      </c>
      <c r="L26" s="22" t="s">
        <v>477</v>
      </c>
      <c r="M26" s="22" t="s">
        <v>487</v>
      </c>
      <c r="N26" s="22" t="s">
        <v>587</v>
      </c>
      <c r="O26" s="22" t="s">
        <v>28</v>
      </c>
      <c r="P26" s="22" t="s">
        <v>237</v>
      </c>
      <c r="Q26" s="22">
        <v>101644298</v>
      </c>
      <c r="R26" s="22" t="s">
        <v>87</v>
      </c>
      <c r="S26" s="24">
        <v>2</v>
      </c>
      <c r="T26" s="20" t="s">
        <v>28</v>
      </c>
      <c r="U26" s="25" t="s">
        <v>237</v>
      </c>
      <c r="V26" s="20">
        <v>101644298</v>
      </c>
      <c r="W26" s="25" t="s">
        <v>910</v>
      </c>
      <c r="X26" s="20" t="s">
        <v>238</v>
      </c>
      <c r="Y26" s="20" t="s">
        <v>87</v>
      </c>
      <c r="Z26" s="20" t="s">
        <v>88</v>
      </c>
      <c r="AA26" s="15">
        <v>74.073580831692922</v>
      </c>
      <c r="AB26" s="15">
        <v>70.36</v>
      </c>
      <c r="AC26" s="15">
        <f t="shared" si="1"/>
        <v>140.72</v>
      </c>
      <c r="AD26" s="15">
        <f t="shared" si="2"/>
        <v>148.14716166338584</v>
      </c>
      <c r="AE26" s="15">
        <f t="shared" si="3"/>
        <v>-7.4271616633858457</v>
      </c>
      <c r="AF26" s="16">
        <f t="shared" si="4"/>
        <v>-5.2779716198023352E-2</v>
      </c>
      <c r="AG26" s="26" t="str">
        <f t="shared" si="5"/>
        <v>Negative</v>
      </c>
      <c r="AH26" s="20"/>
      <c r="AI26" s="20" t="s">
        <v>43</v>
      </c>
      <c r="AJ26" s="20">
        <v>0</v>
      </c>
      <c r="AK26" s="20"/>
    </row>
    <row r="27" spans="1:37" s="27" customFormat="1" ht="12.75" customHeight="1" x14ac:dyDescent="0.2">
      <c r="A27" s="22" t="s">
        <v>486</v>
      </c>
      <c r="B27" s="22" t="s">
        <v>680</v>
      </c>
      <c r="C27" s="23">
        <v>44274</v>
      </c>
      <c r="D27" s="22" t="s">
        <v>485</v>
      </c>
      <c r="E27" s="22" t="s">
        <v>484</v>
      </c>
      <c r="F27" s="22" t="s">
        <v>483</v>
      </c>
      <c r="G27" s="22" t="s">
        <v>482</v>
      </c>
      <c r="H27" s="22" t="s">
        <v>481</v>
      </c>
      <c r="I27" s="22" t="s">
        <v>480</v>
      </c>
      <c r="J27" s="22" t="s">
        <v>479</v>
      </c>
      <c r="K27" s="22" t="s">
        <v>478</v>
      </c>
      <c r="L27" s="22" t="s">
        <v>477</v>
      </c>
      <c r="M27" s="22" t="s">
        <v>487</v>
      </c>
      <c r="N27" s="22" t="s">
        <v>676</v>
      </c>
      <c r="O27" s="22" t="s">
        <v>17</v>
      </c>
      <c r="P27" s="22" t="s">
        <v>239</v>
      </c>
      <c r="Q27" s="22">
        <v>100774314</v>
      </c>
      <c r="R27" s="22" t="s">
        <v>87</v>
      </c>
      <c r="S27" s="24">
        <v>1</v>
      </c>
      <c r="T27" s="20" t="s">
        <v>17</v>
      </c>
      <c r="U27" s="25" t="s">
        <v>239</v>
      </c>
      <c r="V27" s="20">
        <v>100774314</v>
      </c>
      <c r="W27" s="25" t="s">
        <v>912</v>
      </c>
      <c r="X27" s="20" t="s">
        <v>240</v>
      </c>
      <c r="Y27" s="20" t="s">
        <v>87</v>
      </c>
      <c r="Z27" s="20" t="s">
        <v>88</v>
      </c>
      <c r="AA27" s="15">
        <v>57.49</v>
      </c>
      <c r="AB27" s="15">
        <v>75.937773920590146</v>
      </c>
      <c r="AC27" s="15">
        <f t="shared" si="1"/>
        <v>75.937773920590146</v>
      </c>
      <c r="AD27" s="15">
        <f t="shared" si="2"/>
        <v>57.49</v>
      </c>
      <c r="AE27" s="15">
        <f t="shared" si="3"/>
        <v>18.447773920590144</v>
      </c>
      <c r="AF27" s="16">
        <f t="shared" si="4"/>
        <v>0.24293277203360478</v>
      </c>
      <c r="AG27" s="26" t="str">
        <f t="shared" si="5"/>
        <v>20-30%</v>
      </c>
      <c r="AH27" s="20"/>
      <c r="AI27" s="20" t="s">
        <v>43</v>
      </c>
      <c r="AJ27" s="20">
        <v>0</v>
      </c>
      <c r="AK27" s="20"/>
    </row>
    <row r="28" spans="1:37" s="27" customFormat="1" ht="12.75" customHeight="1" x14ac:dyDescent="0.2">
      <c r="A28" s="22" t="s">
        <v>486</v>
      </c>
      <c r="B28" s="22" t="s">
        <v>679</v>
      </c>
      <c r="C28" s="23">
        <v>44274</v>
      </c>
      <c r="D28" s="22" t="s">
        <v>485</v>
      </c>
      <c r="E28" s="22" t="s">
        <v>484</v>
      </c>
      <c r="F28" s="22" t="s">
        <v>483</v>
      </c>
      <c r="G28" s="22" t="s">
        <v>482</v>
      </c>
      <c r="H28" s="22" t="s">
        <v>481</v>
      </c>
      <c r="I28" s="22" t="s">
        <v>480</v>
      </c>
      <c r="J28" s="22" t="s">
        <v>479</v>
      </c>
      <c r="K28" s="22" t="s">
        <v>478</v>
      </c>
      <c r="L28" s="22" t="s">
        <v>477</v>
      </c>
      <c r="M28" s="22" t="s">
        <v>487</v>
      </c>
      <c r="N28" s="22" t="s">
        <v>678</v>
      </c>
      <c r="O28" s="22" t="s">
        <v>21</v>
      </c>
      <c r="P28" s="22" t="s">
        <v>241</v>
      </c>
      <c r="Q28" s="22">
        <v>117987332</v>
      </c>
      <c r="R28" s="22" t="s">
        <v>87</v>
      </c>
      <c r="S28" s="24">
        <v>1</v>
      </c>
      <c r="T28" s="20" t="s">
        <v>21</v>
      </c>
      <c r="U28" s="25" t="s">
        <v>241</v>
      </c>
      <c r="V28" s="20">
        <v>117987332</v>
      </c>
      <c r="W28" s="25" t="s">
        <v>912</v>
      </c>
      <c r="X28" s="20" t="s">
        <v>242</v>
      </c>
      <c r="Y28" s="20" t="s">
        <v>87</v>
      </c>
      <c r="Z28" s="20" t="s">
        <v>97</v>
      </c>
      <c r="AA28" s="15">
        <v>1062.5681818181818</v>
      </c>
      <c r="AB28" s="15">
        <v>1128.8900000000001</v>
      </c>
      <c r="AC28" s="15">
        <f t="shared" si="1"/>
        <v>1128.8900000000001</v>
      </c>
      <c r="AD28" s="15">
        <f t="shared" si="2"/>
        <v>1062.5681818181818</v>
      </c>
      <c r="AE28" s="15">
        <f t="shared" si="3"/>
        <v>66.321818181818344</v>
      </c>
      <c r="AF28" s="16">
        <f t="shared" si="4"/>
        <v>5.8749584265799445E-2</v>
      </c>
      <c r="AG28" s="26" t="str">
        <f t="shared" si="5"/>
        <v>0-10%</v>
      </c>
      <c r="AH28" s="20"/>
      <c r="AI28" s="20" t="s">
        <v>43</v>
      </c>
      <c r="AJ28" s="20">
        <v>0</v>
      </c>
      <c r="AK28" s="20"/>
    </row>
    <row r="29" spans="1:37" s="27" customFormat="1" ht="12.75" customHeight="1" x14ac:dyDescent="0.2">
      <c r="A29" s="22" t="s">
        <v>486</v>
      </c>
      <c r="B29" s="22" t="s">
        <v>677</v>
      </c>
      <c r="C29" s="23">
        <v>44278</v>
      </c>
      <c r="D29" s="22" t="s">
        <v>485</v>
      </c>
      <c r="E29" s="22" t="s">
        <v>484</v>
      </c>
      <c r="F29" s="22" t="s">
        <v>483</v>
      </c>
      <c r="G29" s="22" t="s">
        <v>482</v>
      </c>
      <c r="H29" s="22" t="s">
        <v>481</v>
      </c>
      <c r="I29" s="22" t="s">
        <v>480</v>
      </c>
      <c r="J29" s="22" t="s">
        <v>479</v>
      </c>
      <c r="K29" s="22" t="s">
        <v>478</v>
      </c>
      <c r="L29" s="22" t="s">
        <v>477</v>
      </c>
      <c r="M29" s="22" t="s">
        <v>487</v>
      </c>
      <c r="N29" s="22" t="s">
        <v>676</v>
      </c>
      <c r="O29" s="22" t="s">
        <v>18</v>
      </c>
      <c r="P29" s="22" t="s">
        <v>245</v>
      </c>
      <c r="Q29" s="22">
        <v>103986911</v>
      </c>
      <c r="R29" s="22" t="s">
        <v>87</v>
      </c>
      <c r="S29" s="24">
        <v>4</v>
      </c>
      <c r="T29" s="20" t="s">
        <v>18</v>
      </c>
      <c r="U29" s="25" t="s">
        <v>245</v>
      </c>
      <c r="V29" s="20">
        <v>103986911</v>
      </c>
      <c r="W29" s="25" t="s">
        <v>912</v>
      </c>
      <c r="X29" s="20" t="s">
        <v>246</v>
      </c>
      <c r="Y29" s="20" t="s">
        <v>87</v>
      </c>
      <c r="Z29" s="20" t="s">
        <v>97</v>
      </c>
      <c r="AA29" s="15">
        <v>105.99952851635861</v>
      </c>
      <c r="AB29" s="15">
        <v>94.62</v>
      </c>
      <c r="AC29" s="15">
        <f t="shared" si="1"/>
        <v>378.48</v>
      </c>
      <c r="AD29" s="15">
        <f t="shared" si="2"/>
        <v>423.99811406543444</v>
      </c>
      <c r="AE29" s="15">
        <f t="shared" si="3"/>
        <v>-45.518114065434418</v>
      </c>
      <c r="AF29" s="16">
        <f t="shared" si="4"/>
        <v>-0.12026557299047351</v>
      </c>
      <c r="AG29" s="26" t="str">
        <f t="shared" si="5"/>
        <v>Negative</v>
      </c>
      <c r="AH29" s="20"/>
      <c r="AI29" s="20" t="s">
        <v>43</v>
      </c>
      <c r="AJ29" s="20">
        <v>0</v>
      </c>
      <c r="AK29" s="20"/>
    </row>
    <row r="30" spans="1:37" s="27" customFormat="1" ht="12.75" customHeight="1" x14ac:dyDescent="0.2">
      <c r="A30" s="22" t="s">
        <v>486</v>
      </c>
      <c r="B30" s="22" t="s">
        <v>677</v>
      </c>
      <c r="C30" s="23">
        <v>44278</v>
      </c>
      <c r="D30" s="22" t="s">
        <v>485</v>
      </c>
      <c r="E30" s="22" t="s">
        <v>484</v>
      </c>
      <c r="F30" s="22" t="s">
        <v>483</v>
      </c>
      <c r="G30" s="22" t="s">
        <v>482</v>
      </c>
      <c r="H30" s="22" t="s">
        <v>481</v>
      </c>
      <c r="I30" s="22" t="s">
        <v>480</v>
      </c>
      <c r="J30" s="22" t="s">
        <v>479</v>
      </c>
      <c r="K30" s="22" t="s">
        <v>478</v>
      </c>
      <c r="L30" s="22" t="s">
        <v>477</v>
      </c>
      <c r="M30" s="22" t="s">
        <v>487</v>
      </c>
      <c r="N30" s="22" t="s">
        <v>676</v>
      </c>
      <c r="O30" s="22" t="s">
        <v>18</v>
      </c>
      <c r="P30" s="22" t="s">
        <v>243</v>
      </c>
      <c r="Q30" s="22">
        <v>105647539</v>
      </c>
      <c r="R30" s="22" t="s">
        <v>87</v>
      </c>
      <c r="S30" s="24">
        <v>6</v>
      </c>
      <c r="T30" s="20" t="s">
        <v>18</v>
      </c>
      <c r="U30" s="25" t="s">
        <v>243</v>
      </c>
      <c r="V30" s="20">
        <v>105647539</v>
      </c>
      <c r="W30" s="25" t="s">
        <v>912</v>
      </c>
      <c r="X30" s="20" t="s">
        <v>244</v>
      </c>
      <c r="Y30" s="20" t="s">
        <v>87</v>
      </c>
      <c r="Z30" s="20" t="s">
        <v>97</v>
      </c>
      <c r="AA30" s="15">
        <v>101.69466961549867</v>
      </c>
      <c r="AB30" s="15">
        <v>90.78</v>
      </c>
      <c r="AC30" s="15">
        <f t="shared" si="1"/>
        <v>544.68000000000006</v>
      </c>
      <c r="AD30" s="15">
        <f t="shared" si="2"/>
        <v>610.16801769299195</v>
      </c>
      <c r="AE30" s="15">
        <f t="shared" si="3"/>
        <v>-65.488017692991889</v>
      </c>
      <c r="AF30" s="16">
        <f t="shared" si="4"/>
        <v>-0.12023209534587626</v>
      </c>
      <c r="AG30" s="26" t="str">
        <f t="shared" si="5"/>
        <v>Negative</v>
      </c>
      <c r="AH30" s="20"/>
      <c r="AI30" s="20" t="s">
        <v>43</v>
      </c>
      <c r="AJ30" s="20">
        <v>0</v>
      </c>
      <c r="AK30" s="20"/>
    </row>
    <row r="31" spans="1:37" s="27" customFormat="1" ht="12.75" customHeight="1" x14ac:dyDescent="0.2">
      <c r="A31" s="22" t="s">
        <v>486</v>
      </c>
      <c r="B31" s="22" t="s">
        <v>675</v>
      </c>
      <c r="C31" s="23">
        <v>44280</v>
      </c>
      <c r="D31" s="22" t="s">
        <v>485</v>
      </c>
      <c r="E31" s="22" t="s">
        <v>484</v>
      </c>
      <c r="F31" s="22" t="s">
        <v>483</v>
      </c>
      <c r="G31" s="22" t="s">
        <v>482</v>
      </c>
      <c r="H31" s="22" t="s">
        <v>481</v>
      </c>
      <c r="I31" s="22" t="s">
        <v>480</v>
      </c>
      <c r="J31" s="22" t="s">
        <v>479</v>
      </c>
      <c r="K31" s="22" t="s">
        <v>478</v>
      </c>
      <c r="L31" s="22" t="s">
        <v>477</v>
      </c>
      <c r="M31" s="22" t="s">
        <v>487</v>
      </c>
      <c r="N31" s="22" t="s">
        <v>657</v>
      </c>
      <c r="O31" s="22" t="s">
        <v>8</v>
      </c>
      <c r="P31" s="22" t="s">
        <v>247</v>
      </c>
      <c r="Q31" s="22">
        <v>116164215</v>
      </c>
      <c r="R31" s="22" t="s">
        <v>87</v>
      </c>
      <c r="S31" s="24">
        <v>1</v>
      </c>
      <c r="T31" s="20" t="s">
        <v>8</v>
      </c>
      <c r="U31" s="25" t="s">
        <v>247</v>
      </c>
      <c r="V31" s="20">
        <v>116164215</v>
      </c>
      <c r="W31" s="25" t="s">
        <v>913</v>
      </c>
      <c r="X31" s="20" t="s">
        <v>248</v>
      </c>
      <c r="Y31" s="20" t="s">
        <v>87</v>
      </c>
      <c r="Z31" s="20" t="s">
        <v>97</v>
      </c>
      <c r="AA31" s="15">
        <v>23.194869281045751</v>
      </c>
      <c r="AB31" s="15">
        <v>22.59</v>
      </c>
      <c r="AC31" s="15">
        <f t="shared" si="1"/>
        <v>22.59</v>
      </c>
      <c r="AD31" s="15">
        <f t="shared" si="2"/>
        <v>23.194869281045751</v>
      </c>
      <c r="AE31" s="15">
        <f t="shared" si="3"/>
        <v>-0.60486928104575099</v>
      </c>
      <c r="AF31" s="16">
        <f t="shared" si="4"/>
        <v>-2.6775975256562681E-2</v>
      </c>
      <c r="AG31" s="26" t="str">
        <f t="shared" si="5"/>
        <v>Negative</v>
      </c>
      <c r="AH31" s="20"/>
      <c r="AI31" s="20" t="s">
        <v>43</v>
      </c>
      <c r="AJ31" s="20">
        <v>0</v>
      </c>
      <c r="AK31" s="20"/>
    </row>
    <row r="32" spans="1:37" s="27" customFormat="1" ht="12.75" customHeight="1" x14ac:dyDescent="0.2">
      <c r="A32" s="22" t="s">
        <v>705</v>
      </c>
      <c r="B32" s="22" t="s">
        <v>801</v>
      </c>
      <c r="C32" s="23">
        <v>44280</v>
      </c>
      <c r="D32" s="22" t="s">
        <v>485</v>
      </c>
      <c r="E32" s="22" t="s">
        <v>484</v>
      </c>
      <c r="F32" s="22" t="s">
        <v>483</v>
      </c>
      <c r="G32" s="22" t="s">
        <v>704</v>
      </c>
      <c r="H32" s="22" t="s">
        <v>703</v>
      </c>
      <c r="I32" s="22" t="s">
        <v>702</v>
      </c>
      <c r="J32" s="22" t="s">
        <v>701</v>
      </c>
      <c r="K32" s="22" t="s">
        <v>700</v>
      </c>
      <c r="L32" s="22" t="s">
        <v>699</v>
      </c>
      <c r="M32" s="22" t="s">
        <v>800</v>
      </c>
      <c r="N32" s="22" t="s">
        <v>799</v>
      </c>
      <c r="O32" s="22" t="s">
        <v>16</v>
      </c>
      <c r="P32" s="22" t="s">
        <v>184</v>
      </c>
      <c r="Q32" s="22">
        <v>110986844</v>
      </c>
      <c r="R32" s="22" t="s">
        <v>87</v>
      </c>
      <c r="S32" s="24">
        <v>7</v>
      </c>
      <c r="T32" s="20" t="s">
        <v>16</v>
      </c>
      <c r="U32" s="25" t="s">
        <v>184</v>
      </c>
      <c r="V32" s="20">
        <v>110986844</v>
      </c>
      <c r="W32" s="25" t="s">
        <v>913</v>
      </c>
      <c r="X32" s="20" t="s">
        <v>185</v>
      </c>
      <c r="Y32" s="20" t="s">
        <v>87</v>
      </c>
      <c r="Z32" s="20" t="s">
        <v>88</v>
      </c>
      <c r="AA32" s="15">
        <v>125.01</v>
      </c>
      <c r="AB32" s="15">
        <v>121.74</v>
      </c>
      <c r="AC32" s="15">
        <f t="shared" si="1"/>
        <v>852.18</v>
      </c>
      <c r="AD32" s="15">
        <f t="shared" si="2"/>
        <v>875.07</v>
      </c>
      <c r="AE32" s="15">
        <f t="shared" si="3"/>
        <v>-22.8900000000001</v>
      </c>
      <c r="AF32" s="16">
        <f t="shared" si="4"/>
        <v>-2.6860522424839942E-2</v>
      </c>
      <c r="AG32" s="26" t="str">
        <f t="shared" si="5"/>
        <v>Negative</v>
      </c>
      <c r="AH32" s="20" t="s">
        <v>921</v>
      </c>
      <c r="AI32" s="20" t="s">
        <v>43</v>
      </c>
      <c r="AJ32" s="20">
        <v>0</v>
      </c>
      <c r="AK32" s="20"/>
    </row>
    <row r="33" spans="1:37" s="27" customFormat="1" ht="12.75" customHeight="1" x14ac:dyDescent="0.2">
      <c r="A33" s="22" t="s">
        <v>705</v>
      </c>
      <c r="B33" s="22" t="s">
        <v>798</v>
      </c>
      <c r="C33" s="23">
        <v>44281</v>
      </c>
      <c r="D33" s="22" t="s">
        <v>485</v>
      </c>
      <c r="E33" s="22" t="s">
        <v>484</v>
      </c>
      <c r="F33" s="22" t="s">
        <v>483</v>
      </c>
      <c r="G33" s="22" t="s">
        <v>704</v>
      </c>
      <c r="H33" s="22" t="s">
        <v>703</v>
      </c>
      <c r="I33" s="22" t="s">
        <v>702</v>
      </c>
      <c r="J33" s="22" t="s">
        <v>701</v>
      </c>
      <c r="K33" s="22" t="s">
        <v>700</v>
      </c>
      <c r="L33" s="22" t="s">
        <v>699</v>
      </c>
      <c r="M33" s="22" t="s">
        <v>724</v>
      </c>
      <c r="N33" s="22" t="s">
        <v>797</v>
      </c>
      <c r="O33" s="22" t="s">
        <v>16</v>
      </c>
      <c r="P33" s="22" t="s">
        <v>182</v>
      </c>
      <c r="Q33" s="22">
        <v>110988151</v>
      </c>
      <c r="R33" s="22" t="s">
        <v>87</v>
      </c>
      <c r="S33" s="24">
        <v>2</v>
      </c>
      <c r="T33" s="20" t="s">
        <v>16</v>
      </c>
      <c r="U33" s="25" t="s">
        <v>182</v>
      </c>
      <c r="V33" s="20">
        <v>110988151</v>
      </c>
      <c r="W33" s="25" t="s">
        <v>913</v>
      </c>
      <c r="X33" s="20" t="s">
        <v>183</v>
      </c>
      <c r="Y33" s="20" t="s">
        <v>87</v>
      </c>
      <c r="Z33" s="20" t="s">
        <v>88</v>
      </c>
      <c r="AA33" s="15">
        <v>243.49</v>
      </c>
      <c r="AB33" s="15">
        <v>237.11</v>
      </c>
      <c r="AC33" s="15">
        <f t="shared" si="1"/>
        <v>474.22</v>
      </c>
      <c r="AD33" s="15">
        <f t="shared" si="2"/>
        <v>486.98</v>
      </c>
      <c r="AE33" s="15">
        <f t="shared" si="3"/>
        <v>-12.759999999999991</v>
      </c>
      <c r="AF33" s="16">
        <f t="shared" si="4"/>
        <v>-2.6907342583610962E-2</v>
      </c>
      <c r="AG33" s="26" t="str">
        <f t="shared" si="5"/>
        <v>Negative</v>
      </c>
      <c r="AH33" s="20" t="s">
        <v>921</v>
      </c>
      <c r="AI33" s="20" t="s">
        <v>43</v>
      </c>
      <c r="AJ33" s="20">
        <v>0</v>
      </c>
      <c r="AK33" s="20"/>
    </row>
    <row r="34" spans="1:37" s="27" customFormat="1" ht="12.75" customHeight="1" x14ac:dyDescent="0.2">
      <c r="A34" s="22" t="s">
        <v>705</v>
      </c>
      <c r="B34" s="22" t="s">
        <v>798</v>
      </c>
      <c r="C34" s="23">
        <v>44281</v>
      </c>
      <c r="D34" s="22" t="s">
        <v>485</v>
      </c>
      <c r="E34" s="22" t="s">
        <v>484</v>
      </c>
      <c r="F34" s="22" t="s">
        <v>483</v>
      </c>
      <c r="G34" s="22" t="s">
        <v>704</v>
      </c>
      <c r="H34" s="22" t="s">
        <v>703</v>
      </c>
      <c r="I34" s="22" t="s">
        <v>702</v>
      </c>
      <c r="J34" s="22" t="s">
        <v>701</v>
      </c>
      <c r="K34" s="22" t="s">
        <v>700</v>
      </c>
      <c r="L34" s="22" t="s">
        <v>699</v>
      </c>
      <c r="M34" s="22" t="s">
        <v>710</v>
      </c>
      <c r="N34" s="22" t="s">
        <v>797</v>
      </c>
      <c r="O34" s="22" t="s">
        <v>16</v>
      </c>
      <c r="P34" s="22" t="s">
        <v>176</v>
      </c>
      <c r="Q34" s="22">
        <v>103720400</v>
      </c>
      <c r="R34" s="22" t="s">
        <v>87</v>
      </c>
      <c r="S34" s="24">
        <v>2</v>
      </c>
      <c r="T34" s="20" t="s">
        <v>16</v>
      </c>
      <c r="U34" s="25" t="s">
        <v>176</v>
      </c>
      <c r="V34" s="20">
        <v>103720400</v>
      </c>
      <c r="W34" s="25" t="s">
        <v>913</v>
      </c>
      <c r="X34" s="20" t="s">
        <v>177</v>
      </c>
      <c r="Y34" s="20" t="s">
        <v>87</v>
      </c>
      <c r="Z34" s="20" t="s">
        <v>88</v>
      </c>
      <c r="AA34" s="15">
        <v>461.16981132075466</v>
      </c>
      <c r="AB34" s="15">
        <v>489.86666666666673</v>
      </c>
      <c r="AC34" s="15">
        <f t="shared" si="1"/>
        <v>979.73333333333346</v>
      </c>
      <c r="AD34" s="15">
        <f t="shared" si="2"/>
        <v>922.33962264150932</v>
      </c>
      <c r="AE34" s="15">
        <f t="shared" si="3"/>
        <v>57.39371069182414</v>
      </c>
      <c r="AF34" s="16">
        <f t="shared" si="4"/>
        <v>5.8580951304937533E-2</v>
      </c>
      <c r="AG34" s="26" t="str">
        <f t="shared" si="5"/>
        <v>0-10%</v>
      </c>
      <c r="AH34" s="20" t="s">
        <v>921</v>
      </c>
      <c r="AI34" s="20" t="s">
        <v>43</v>
      </c>
      <c r="AJ34" s="20">
        <v>0</v>
      </c>
      <c r="AK34" s="20"/>
    </row>
    <row r="35" spans="1:37" s="27" customFormat="1" ht="12.75" customHeight="1" x14ac:dyDescent="0.2">
      <c r="A35" s="22" t="s">
        <v>486</v>
      </c>
      <c r="B35" s="22" t="s">
        <v>674</v>
      </c>
      <c r="C35" s="23">
        <v>44284</v>
      </c>
      <c r="D35" s="22" t="s">
        <v>485</v>
      </c>
      <c r="E35" s="22" t="s">
        <v>484</v>
      </c>
      <c r="F35" s="22" t="s">
        <v>483</v>
      </c>
      <c r="G35" s="22" t="s">
        <v>482</v>
      </c>
      <c r="H35" s="22" t="s">
        <v>481</v>
      </c>
      <c r="I35" s="22" t="s">
        <v>480</v>
      </c>
      <c r="J35" s="22" t="s">
        <v>479</v>
      </c>
      <c r="K35" s="22" t="s">
        <v>478</v>
      </c>
      <c r="L35" s="22" t="s">
        <v>477</v>
      </c>
      <c r="M35" s="22" t="s">
        <v>487</v>
      </c>
      <c r="N35" s="22" t="s">
        <v>657</v>
      </c>
      <c r="O35" s="22" t="s">
        <v>8</v>
      </c>
      <c r="P35" s="22" t="s">
        <v>249</v>
      </c>
      <c r="Q35" s="22">
        <v>101169783</v>
      </c>
      <c r="R35" s="22" t="s">
        <v>87</v>
      </c>
      <c r="S35" s="24">
        <v>10</v>
      </c>
      <c r="T35" s="20" t="s">
        <v>8</v>
      </c>
      <c r="U35" s="25" t="s">
        <v>249</v>
      </c>
      <c r="V35" s="20">
        <v>101169783</v>
      </c>
      <c r="W35" s="25" t="s">
        <v>910</v>
      </c>
      <c r="X35" s="20" t="s">
        <v>250</v>
      </c>
      <c r="Y35" s="20" t="s">
        <v>87</v>
      </c>
      <c r="Z35" s="20" t="s">
        <v>88</v>
      </c>
      <c r="AA35" s="15">
        <v>12.268360605314962</v>
      </c>
      <c r="AB35" s="15">
        <v>11.65</v>
      </c>
      <c r="AC35" s="15">
        <f t="shared" si="1"/>
        <v>116.5</v>
      </c>
      <c r="AD35" s="15">
        <f t="shared" si="2"/>
        <v>122.68360605314962</v>
      </c>
      <c r="AE35" s="15">
        <f t="shared" si="3"/>
        <v>-6.1836060531496173</v>
      </c>
      <c r="AF35" s="16">
        <f t="shared" si="4"/>
        <v>-5.3078163546348645E-2</v>
      </c>
      <c r="AG35" s="26" t="str">
        <f t="shared" si="5"/>
        <v>Negative</v>
      </c>
      <c r="AH35" s="20"/>
      <c r="AI35" s="20" t="s">
        <v>43</v>
      </c>
      <c r="AJ35" s="20">
        <v>0</v>
      </c>
      <c r="AK35" s="20"/>
    </row>
    <row r="36" spans="1:37" s="27" customFormat="1" ht="12.75" customHeight="1" x14ac:dyDescent="0.2">
      <c r="A36" s="22" t="s">
        <v>486</v>
      </c>
      <c r="B36" s="22" t="s">
        <v>674</v>
      </c>
      <c r="C36" s="23">
        <v>44284</v>
      </c>
      <c r="D36" s="22" t="s">
        <v>485</v>
      </c>
      <c r="E36" s="22" t="s">
        <v>484</v>
      </c>
      <c r="F36" s="22" t="s">
        <v>483</v>
      </c>
      <c r="G36" s="22" t="s">
        <v>482</v>
      </c>
      <c r="H36" s="22" t="s">
        <v>481</v>
      </c>
      <c r="I36" s="22" t="s">
        <v>480</v>
      </c>
      <c r="J36" s="22" t="s">
        <v>479</v>
      </c>
      <c r="K36" s="22" t="s">
        <v>478</v>
      </c>
      <c r="L36" s="22" t="s">
        <v>477</v>
      </c>
      <c r="M36" s="22" t="s">
        <v>487</v>
      </c>
      <c r="N36" s="22" t="s">
        <v>657</v>
      </c>
      <c r="O36" s="22" t="s">
        <v>8</v>
      </c>
      <c r="P36" s="22" t="s">
        <v>251</v>
      </c>
      <c r="Q36" s="22">
        <v>105988901</v>
      </c>
      <c r="R36" s="22" t="s">
        <v>87</v>
      </c>
      <c r="S36" s="24">
        <v>4</v>
      </c>
      <c r="T36" s="20" t="s">
        <v>8</v>
      </c>
      <c r="U36" s="25" t="s">
        <v>251</v>
      </c>
      <c r="V36" s="20">
        <v>105988901</v>
      </c>
      <c r="W36" s="25" t="s">
        <v>910</v>
      </c>
      <c r="X36" s="20" t="s">
        <v>252</v>
      </c>
      <c r="Y36" s="20" t="s">
        <v>87</v>
      </c>
      <c r="Z36" s="20" t="s">
        <v>88</v>
      </c>
      <c r="AA36" s="15">
        <v>41.414355931254548</v>
      </c>
      <c r="AB36" s="15">
        <v>39.33</v>
      </c>
      <c r="AC36" s="15">
        <f t="shared" si="1"/>
        <v>157.32</v>
      </c>
      <c r="AD36" s="15">
        <f t="shared" si="2"/>
        <v>165.65742372501819</v>
      </c>
      <c r="AE36" s="15">
        <f t="shared" si="3"/>
        <v>-8.3374237250181977</v>
      </c>
      <c r="AF36" s="16">
        <f t="shared" si="4"/>
        <v>-5.2996591183690551E-2</v>
      </c>
      <c r="AG36" s="26" t="str">
        <f t="shared" si="5"/>
        <v>Negative</v>
      </c>
      <c r="AH36" s="20"/>
      <c r="AI36" s="20" t="s">
        <v>43</v>
      </c>
      <c r="AJ36" s="20">
        <v>0</v>
      </c>
      <c r="AK36" s="20"/>
    </row>
    <row r="37" spans="1:37" s="27" customFormat="1" ht="12.75" customHeight="1" x14ac:dyDescent="0.2">
      <c r="A37" s="22" t="s">
        <v>486</v>
      </c>
      <c r="B37" s="22" t="s">
        <v>673</v>
      </c>
      <c r="C37" s="23">
        <v>44281</v>
      </c>
      <c r="D37" s="22" t="s">
        <v>485</v>
      </c>
      <c r="E37" s="22" t="s">
        <v>484</v>
      </c>
      <c r="F37" s="22" t="s">
        <v>483</v>
      </c>
      <c r="G37" s="22" t="s">
        <v>482</v>
      </c>
      <c r="H37" s="22" t="s">
        <v>481</v>
      </c>
      <c r="I37" s="22" t="s">
        <v>480</v>
      </c>
      <c r="J37" s="22" t="s">
        <v>479</v>
      </c>
      <c r="K37" s="22" t="s">
        <v>478</v>
      </c>
      <c r="L37" s="22" t="s">
        <v>477</v>
      </c>
      <c r="M37" s="22" t="s">
        <v>476</v>
      </c>
      <c r="N37" s="22" t="s">
        <v>646</v>
      </c>
      <c r="O37" s="22" t="s">
        <v>68</v>
      </c>
      <c r="P37" s="22" t="s">
        <v>253</v>
      </c>
      <c r="Q37" s="22">
        <v>102056192</v>
      </c>
      <c r="R37" s="22" t="s">
        <v>87</v>
      </c>
      <c r="S37" s="24">
        <v>7</v>
      </c>
      <c r="T37" s="20" t="s">
        <v>68</v>
      </c>
      <c r="U37" s="25" t="s">
        <v>253</v>
      </c>
      <c r="V37" s="20">
        <v>102056192</v>
      </c>
      <c r="W37" s="25" t="s">
        <v>911</v>
      </c>
      <c r="X37" s="20" t="s">
        <v>254</v>
      </c>
      <c r="Y37" s="20" t="s">
        <v>87</v>
      </c>
      <c r="Z37" s="20" t="s">
        <v>88</v>
      </c>
      <c r="AA37" s="15">
        <v>7.66</v>
      </c>
      <c r="AB37" s="15">
        <v>7.69</v>
      </c>
      <c r="AC37" s="15">
        <f t="shared" si="1"/>
        <v>53.830000000000005</v>
      </c>
      <c r="AD37" s="15">
        <f t="shared" si="2"/>
        <v>53.620000000000005</v>
      </c>
      <c r="AE37" s="15">
        <f t="shared" si="3"/>
        <v>0.21000000000000085</v>
      </c>
      <c r="AF37" s="16">
        <f t="shared" si="4"/>
        <v>3.9011703511053469E-3</v>
      </c>
      <c r="AG37" s="26" t="str">
        <f t="shared" si="5"/>
        <v>0-10%</v>
      </c>
      <c r="AH37" s="20"/>
      <c r="AI37" s="20" t="s">
        <v>43</v>
      </c>
      <c r="AJ37" s="20">
        <v>142</v>
      </c>
      <c r="AK37" s="20"/>
    </row>
    <row r="38" spans="1:37" s="27" customFormat="1" ht="12.75" customHeight="1" x14ac:dyDescent="0.2">
      <c r="A38" s="22" t="s">
        <v>486</v>
      </c>
      <c r="B38" s="22" t="s">
        <v>672</v>
      </c>
      <c r="C38" s="23">
        <v>44295</v>
      </c>
      <c r="D38" s="22" t="s">
        <v>485</v>
      </c>
      <c r="E38" s="22" t="s">
        <v>484</v>
      </c>
      <c r="F38" s="22" t="s">
        <v>483</v>
      </c>
      <c r="G38" s="22" t="s">
        <v>482</v>
      </c>
      <c r="H38" s="22" t="s">
        <v>481</v>
      </c>
      <c r="I38" s="22" t="s">
        <v>480</v>
      </c>
      <c r="J38" s="22" t="s">
        <v>479</v>
      </c>
      <c r="K38" s="22" t="s">
        <v>478</v>
      </c>
      <c r="L38" s="22" t="s">
        <v>477</v>
      </c>
      <c r="M38" s="22" t="s">
        <v>487</v>
      </c>
      <c r="N38" s="22" t="s">
        <v>671</v>
      </c>
      <c r="O38" s="22" t="s">
        <v>82</v>
      </c>
      <c r="P38" s="22" t="s">
        <v>255</v>
      </c>
      <c r="Q38" s="22">
        <v>117560324</v>
      </c>
      <c r="R38" s="22" t="s">
        <v>234</v>
      </c>
      <c r="S38" s="24">
        <v>100</v>
      </c>
      <c r="T38" s="20" t="s">
        <v>82</v>
      </c>
      <c r="U38" s="25" t="s">
        <v>255</v>
      </c>
      <c r="V38" s="20">
        <v>117560324</v>
      </c>
      <c r="W38" s="25" t="s">
        <v>915</v>
      </c>
      <c r="X38" s="20" t="s">
        <v>256</v>
      </c>
      <c r="Y38" s="20" t="s">
        <v>234</v>
      </c>
      <c r="Z38" s="20" t="s">
        <v>97</v>
      </c>
      <c r="AA38" s="15">
        <v>3.4</v>
      </c>
      <c r="AB38" s="15">
        <v>3.5</v>
      </c>
      <c r="AC38" s="15">
        <f t="shared" si="1"/>
        <v>350</v>
      </c>
      <c r="AD38" s="15">
        <f t="shared" si="2"/>
        <v>340</v>
      </c>
      <c r="AE38" s="15">
        <f t="shared" si="3"/>
        <v>10</v>
      </c>
      <c r="AF38" s="16">
        <f t="shared" si="4"/>
        <v>2.8571428571428571E-2</v>
      </c>
      <c r="AG38" s="26" t="str">
        <f t="shared" si="5"/>
        <v>0-10%</v>
      </c>
      <c r="AH38" s="20"/>
      <c r="AI38" s="20" t="s">
        <v>43</v>
      </c>
      <c r="AJ38" s="20">
        <v>0</v>
      </c>
      <c r="AK38" s="20"/>
    </row>
    <row r="39" spans="1:37" s="27" customFormat="1" ht="12.75" customHeight="1" x14ac:dyDescent="0.2">
      <c r="A39" s="22" t="s">
        <v>883</v>
      </c>
      <c r="B39" s="22" t="s">
        <v>896</v>
      </c>
      <c r="C39" s="23">
        <v>44298</v>
      </c>
      <c r="D39" s="22" t="s">
        <v>485</v>
      </c>
      <c r="E39" s="22" t="s">
        <v>484</v>
      </c>
      <c r="F39" s="22" t="s">
        <v>483</v>
      </c>
      <c r="G39" s="22" t="s">
        <v>881</v>
      </c>
      <c r="H39" s="22" t="s">
        <v>481</v>
      </c>
      <c r="I39" s="22" t="s">
        <v>880</v>
      </c>
      <c r="J39" s="22" t="s">
        <v>879</v>
      </c>
      <c r="K39" s="22" t="s">
        <v>878</v>
      </c>
      <c r="L39" s="22" t="s">
        <v>877</v>
      </c>
      <c r="M39" s="22" t="s">
        <v>885</v>
      </c>
      <c r="N39" s="22" t="s">
        <v>895</v>
      </c>
      <c r="O39" s="22" t="s">
        <v>98</v>
      </c>
      <c r="P39" s="22" t="s">
        <v>99</v>
      </c>
      <c r="Q39" s="22">
        <v>105081744</v>
      </c>
      <c r="R39" s="22" t="s">
        <v>87</v>
      </c>
      <c r="S39" s="24">
        <v>1</v>
      </c>
      <c r="T39" s="20" t="s">
        <v>98</v>
      </c>
      <c r="U39" s="25" t="s">
        <v>99</v>
      </c>
      <c r="V39" s="20">
        <v>105081744</v>
      </c>
      <c r="W39" s="25" t="s">
        <v>916</v>
      </c>
      <c r="X39" s="20" t="s">
        <v>100</v>
      </c>
      <c r="Y39" s="20" t="s">
        <v>87</v>
      </c>
      <c r="Z39" s="20" t="s">
        <v>97</v>
      </c>
      <c r="AA39" s="15">
        <v>150.5</v>
      </c>
      <c r="AB39" s="15">
        <v>150.28757923453421</v>
      </c>
      <c r="AC39" s="15">
        <f t="shared" si="1"/>
        <v>150.28757923453421</v>
      </c>
      <c r="AD39" s="15">
        <f t="shared" si="2"/>
        <v>150.5</v>
      </c>
      <c r="AE39" s="15">
        <f t="shared" si="3"/>
        <v>-0.21242076546579369</v>
      </c>
      <c r="AF39" s="16">
        <f t="shared" si="4"/>
        <v>-1.4134286183044864E-3</v>
      </c>
      <c r="AG39" s="26" t="str">
        <f t="shared" si="5"/>
        <v>Negative</v>
      </c>
      <c r="AH39" s="20"/>
      <c r="AI39" s="20" t="s">
        <v>43</v>
      </c>
      <c r="AJ39" s="20">
        <v>0</v>
      </c>
      <c r="AK39" s="20"/>
    </row>
    <row r="40" spans="1:37" s="27" customFormat="1" ht="12.75" customHeight="1" x14ac:dyDescent="0.2">
      <c r="A40" s="22" t="s">
        <v>705</v>
      </c>
      <c r="B40" s="22" t="s">
        <v>795</v>
      </c>
      <c r="C40" s="23">
        <v>44298</v>
      </c>
      <c r="D40" s="22" t="s">
        <v>485</v>
      </c>
      <c r="E40" s="22" t="s">
        <v>484</v>
      </c>
      <c r="F40" s="22" t="s">
        <v>483</v>
      </c>
      <c r="G40" s="22" t="s">
        <v>704</v>
      </c>
      <c r="H40" s="22" t="s">
        <v>703</v>
      </c>
      <c r="I40" s="22" t="s">
        <v>702</v>
      </c>
      <c r="J40" s="22" t="s">
        <v>701</v>
      </c>
      <c r="K40" s="22" t="s">
        <v>700</v>
      </c>
      <c r="L40" s="22" t="s">
        <v>699</v>
      </c>
      <c r="M40" s="22" t="s">
        <v>733</v>
      </c>
      <c r="N40" s="22" t="s">
        <v>794</v>
      </c>
      <c r="O40" s="22" t="s">
        <v>16</v>
      </c>
      <c r="P40" s="22" t="s">
        <v>190</v>
      </c>
      <c r="Q40" s="22">
        <v>113480827</v>
      </c>
      <c r="R40" s="22" t="s">
        <v>87</v>
      </c>
      <c r="S40" s="24">
        <v>1</v>
      </c>
      <c r="T40" s="20" t="s">
        <v>16</v>
      </c>
      <c r="U40" s="25" t="s">
        <v>190</v>
      </c>
      <c r="V40" s="20">
        <v>113480827</v>
      </c>
      <c r="W40" s="25" t="s">
        <v>913</v>
      </c>
      <c r="X40" s="20" t="s">
        <v>191</v>
      </c>
      <c r="Y40" s="20" t="s">
        <v>87</v>
      </c>
      <c r="Z40" s="20" t="s">
        <v>88</v>
      </c>
      <c r="AA40" s="15">
        <v>131.34905660377356</v>
      </c>
      <c r="AB40" s="15">
        <v>140.06666666666669</v>
      </c>
      <c r="AC40" s="15">
        <f t="shared" si="1"/>
        <v>140.06666666666669</v>
      </c>
      <c r="AD40" s="15">
        <f t="shared" si="2"/>
        <v>131.34905660377356</v>
      </c>
      <c r="AE40" s="15">
        <f t="shared" si="3"/>
        <v>8.7176100628931295</v>
      </c>
      <c r="AF40" s="16">
        <f t="shared" si="4"/>
        <v>6.2239005684624898E-2</v>
      </c>
      <c r="AG40" s="26" t="str">
        <f t="shared" si="5"/>
        <v>0-10%</v>
      </c>
      <c r="AH40" s="20" t="s">
        <v>921</v>
      </c>
      <c r="AI40" s="20" t="s">
        <v>43</v>
      </c>
      <c r="AJ40" s="20">
        <v>0</v>
      </c>
      <c r="AK40" s="20"/>
    </row>
    <row r="41" spans="1:37" s="27" customFormat="1" ht="12.75" customHeight="1" x14ac:dyDescent="0.2">
      <c r="A41" s="22" t="s">
        <v>705</v>
      </c>
      <c r="B41" s="22" t="s">
        <v>795</v>
      </c>
      <c r="C41" s="23">
        <v>44298</v>
      </c>
      <c r="D41" s="22" t="s">
        <v>485</v>
      </c>
      <c r="E41" s="22" t="s">
        <v>484</v>
      </c>
      <c r="F41" s="22" t="s">
        <v>483</v>
      </c>
      <c r="G41" s="22" t="s">
        <v>704</v>
      </c>
      <c r="H41" s="22" t="s">
        <v>703</v>
      </c>
      <c r="I41" s="22" t="s">
        <v>702</v>
      </c>
      <c r="J41" s="22" t="s">
        <v>701</v>
      </c>
      <c r="K41" s="22" t="s">
        <v>700</v>
      </c>
      <c r="L41" s="22" t="s">
        <v>699</v>
      </c>
      <c r="M41" s="22" t="s">
        <v>796</v>
      </c>
      <c r="N41" s="22" t="s">
        <v>794</v>
      </c>
      <c r="O41" s="22" t="s">
        <v>16</v>
      </c>
      <c r="P41" s="22" t="s">
        <v>186</v>
      </c>
      <c r="Q41" s="22">
        <v>110223280</v>
      </c>
      <c r="R41" s="22" t="s">
        <v>87</v>
      </c>
      <c r="S41" s="24">
        <v>4</v>
      </c>
      <c r="T41" s="20" t="s">
        <v>16</v>
      </c>
      <c r="U41" s="25" t="s">
        <v>186</v>
      </c>
      <c r="V41" s="20">
        <v>110223280</v>
      </c>
      <c r="W41" s="25" t="s">
        <v>913</v>
      </c>
      <c r="X41" s="20" t="s">
        <v>187</v>
      </c>
      <c r="Y41" s="20" t="s">
        <v>87</v>
      </c>
      <c r="Z41" s="20" t="s">
        <v>88</v>
      </c>
      <c r="AA41" s="15">
        <v>118.35849056603773</v>
      </c>
      <c r="AB41" s="15">
        <v>126.13333333333334</v>
      </c>
      <c r="AC41" s="15">
        <f t="shared" si="1"/>
        <v>504.53333333333336</v>
      </c>
      <c r="AD41" s="15">
        <f t="shared" si="2"/>
        <v>473.43396226415092</v>
      </c>
      <c r="AE41" s="15">
        <f t="shared" si="3"/>
        <v>31.099371069182439</v>
      </c>
      <c r="AF41" s="16">
        <f t="shared" si="4"/>
        <v>6.1639873947903878E-2</v>
      </c>
      <c r="AG41" s="26" t="str">
        <f t="shared" si="5"/>
        <v>0-10%</v>
      </c>
      <c r="AH41" s="20" t="s">
        <v>921</v>
      </c>
      <c r="AI41" s="20" t="s">
        <v>43</v>
      </c>
      <c r="AJ41" s="20">
        <v>0</v>
      </c>
      <c r="AK41" s="20"/>
    </row>
    <row r="42" spans="1:37" s="27" customFormat="1" ht="12.75" customHeight="1" x14ac:dyDescent="0.2">
      <c r="A42" s="22" t="s">
        <v>705</v>
      </c>
      <c r="B42" s="22" t="s">
        <v>795</v>
      </c>
      <c r="C42" s="23">
        <v>44298</v>
      </c>
      <c r="D42" s="22" t="s">
        <v>485</v>
      </c>
      <c r="E42" s="22" t="s">
        <v>484</v>
      </c>
      <c r="F42" s="22" t="s">
        <v>483</v>
      </c>
      <c r="G42" s="22" t="s">
        <v>704</v>
      </c>
      <c r="H42" s="22" t="s">
        <v>703</v>
      </c>
      <c r="I42" s="22" t="s">
        <v>702</v>
      </c>
      <c r="J42" s="22" t="s">
        <v>701</v>
      </c>
      <c r="K42" s="22" t="s">
        <v>700</v>
      </c>
      <c r="L42" s="22" t="s">
        <v>699</v>
      </c>
      <c r="M42" s="22" t="s">
        <v>735</v>
      </c>
      <c r="N42" s="22" t="s">
        <v>794</v>
      </c>
      <c r="O42" s="22" t="s">
        <v>16</v>
      </c>
      <c r="P42" s="22" t="s">
        <v>188</v>
      </c>
      <c r="Q42" s="22">
        <v>103145410</v>
      </c>
      <c r="R42" s="22" t="s">
        <v>87</v>
      </c>
      <c r="S42" s="24">
        <v>1</v>
      </c>
      <c r="T42" s="20" t="s">
        <v>16</v>
      </c>
      <c r="U42" s="25" t="s">
        <v>188</v>
      </c>
      <c r="V42" s="20">
        <v>103145410</v>
      </c>
      <c r="W42" s="25" t="s">
        <v>913</v>
      </c>
      <c r="X42" s="20" t="s">
        <v>189</v>
      </c>
      <c r="Y42" s="20" t="s">
        <v>87</v>
      </c>
      <c r="Z42" s="20" t="s">
        <v>88</v>
      </c>
      <c r="AA42" s="15">
        <v>215.79245283018867</v>
      </c>
      <c r="AB42" s="15">
        <v>229.53333333333333</v>
      </c>
      <c r="AC42" s="15">
        <f t="shared" si="1"/>
        <v>229.53333333333333</v>
      </c>
      <c r="AD42" s="15">
        <f t="shared" si="2"/>
        <v>215.79245283018867</v>
      </c>
      <c r="AE42" s="15">
        <f t="shared" si="3"/>
        <v>13.740880503144666</v>
      </c>
      <c r="AF42" s="16">
        <f t="shared" si="4"/>
        <v>5.9864422755495209E-2</v>
      </c>
      <c r="AG42" s="26" t="str">
        <f t="shared" si="5"/>
        <v>0-10%</v>
      </c>
      <c r="AH42" s="20" t="s">
        <v>921</v>
      </c>
      <c r="AI42" s="20" t="s">
        <v>43</v>
      </c>
      <c r="AJ42" s="20">
        <v>0</v>
      </c>
      <c r="AK42" s="20"/>
    </row>
    <row r="43" spans="1:37" s="27" customFormat="1" ht="12.75" customHeight="1" x14ac:dyDescent="0.2">
      <c r="A43" s="22" t="s">
        <v>486</v>
      </c>
      <c r="B43" s="22" t="s">
        <v>670</v>
      </c>
      <c r="C43" s="23">
        <v>44299</v>
      </c>
      <c r="D43" s="22" t="s">
        <v>485</v>
      </c>
      <c r="E43" s="22" t="s">
        <v>484</v>
      </c>
      <c r="F43" s="22" t="s">
        <v>483</v>
      </c>
      <c r="G43" s="22" t="s">
        <v>482</v>
      </c>
      <c r="H43" s="22" t="s">
        <v>481</v>
      </c>
      <c r="I43" s="22" t="s">
        <v>480</v>
      </c>
      <c r="J43" s="22" t="s">
        <v>479</v>
      </c>
      <c r="K43" s="22" t="s">
        <v>478</v>
      </c>
      <c r="L43" s="22" t="s">
        <v>477</v>
      </c>
      <c r="M43" s="22" t="s">
        <v>487</v>
      </c>
      <c r="N43" s="22" t="s">
        <v>669</v>
      </c>
      <c r="O43" s="22" t="s">
        <v>21</v>
      </c>
      <c r="P43" s="22" t="s">
        <v>257</v>
      </c>
      <c r="Q43" s="22">
        <v>114024455</v>
      </c>
      <c r="R43" s="22" t="s">
        <v>87</v>
      </c>
      <c r="S43" s="24">
        <v>1</v>
      </c>
      <c r="T43" s="20" t="s">
        <v>21</v>
      </c>
      <c r="U43" s="25" t="s">
        <v>257</v>
      </c>
      <c r="V43" s="20">
        <v>114024455</v>
      </c>
      <c r="W43" s="25" t="s">
        <v>916</v>
      </c>
      <c r="X43" s="20" t="s">
        <v>258</v>
      </c>
      <c r="Y43" s="20" t="s">
        <v>87</v>
      </c>
      <c r="Z43" s="20" t="s">
        <v>97</v>
      </c>
      <c r="AA43" s="15">
        <v>1074.2291966342784</v>
      </c>
      <c r="AB43" s="15">
        <v>976.67</v>
      </c>
      <c r="AC43" s="15">
        <f t="shared" si="1"/>
        <v>976.67</v>
      </c>
      <c r="AD43" s="15">
        <f t="shared" si="2"/>
        <v>1074.2291966342784</v>
      </c>
      <c r="AE43" s="15">
        <f t="shared" si="3"/>
        <v>-97.559196634278464</v>
      </c>
      <c r="AF43" s="16">
        <f t="shared" si="4"/>
        <v>-9.9889621503965992E-2</v>
      </c>
      <c r="AG43" s="26" t="str">
        <f t="shared" si="5"/>
        <v>Negative</v>
      </c>
      <c r="AH43" s="20"/>
      <c r="AI43" s="20" t="s">
        <v>43</v>
      </c>
      <c r="AJ43" s="20">
        <v>0</v>
      </c>
      <c r="AK43" s="20"/>
    </row>
    <row r="44" spans="1:37" s="27" customFormat="1" ht="12.75" customHeight="1" x14ac:dyDescent="0.2">
      <c r="A44" s="22" t="s">
        <v>705</v>
      </c>
      <c r="B44" s="22" t="s">
        <v>793</v>
      </c>
      <c r="C44" s="23">
        <v>44299</v>
      </c>
      <c r="D44" s="22" t="s">
        <v>485</v>
      </c>
      <c r="E44" s="22" t="s">
        <v>484</v>
      </c>
      <c r="F44" s="22" t="s">
        <v>483</v>
      </c>
      <c r="G44" s="22" t="s">
        <v>704</v>
      </c>
      <c r="H44" s="22" t="s">
        <v>703</v>
      </c>
      <c r="I44" s="22" t="s">
        <v>702</v>
      </c>
      <c r="J44" s="22" t="s">
        <v>701</v>
      </c>
      <c r="K44" s="22" t="s">
        <v>700</v>
      </c>
      <c r="L44" s="22" t="s">
        <v>699</v>
      </c>
      <c r="M44" s="22" t="s">
        <v>745</v>
      </c>
      <c r="N44" s="22" t="s">
        <v>791</v>
      </c>
      <c r="O44" s="22" t="s">
        <v>16</v>
      </c>
      <c r="P44" s="22" t="s">
        <v>194</v>
      </c>
      <c r="Q44" s="22">
        <v>110223298</v>
      </c>
      <c r="R44" s="22" t="s">
        <v>87</v>
      </c>
      <c r="S44" s="24">
        <v>2</v>
      </c>
      <c r="T44" s="20" t="s">
        <v>16</v>
      </c>
      <c r="U44" s="25" t="s">
        <v>194</v>
      </c>
      <c r="V44" s="20">
        <v>110223298</v>
      </c>
      <c r="W44" s="25" t="s">
        <v>913</v>
      </c>
      <c r="X44" s="20" t="s">
        <v>195</v>
      </c>
      <c r="Y44" s="20" t="s">
        <v>87</v>
      </c>
      <c r="Z44" s="20" t="s">
        <v>88</v>
      </c>
      <c r="AA44" s="15">
        <v>306.71698113207549</v>
      </c>
      <c r="AB44" s="15">
        <v>327.06666666666666</v>
      </c>
      <c r="AC44" s="15">
        <f t="shared" si="1"/>
        <v>654.13333333333333</v>
      </c>
      <c r="AD44" s="15">
        <f t="shared" si="2"/>
        <v>613.43396226415098</v>
      </c>
      <c r="AE44" s="15">
        <f t="shared" si="3"/>
        <v>40.699371069182348</v>
      </c>
      <c r="AF44" s="16">
        <f t="shared" si="4"/>
        <v>6.2218769469805875E-2</v>
      </c>
      <c r="AG44" s="26" t="str">
        <f t="shared" si="5"/>
        <v>0-10%</v>
      </c>
      <c r="AH44" s="20" t="s">
        <v>921</v>
      </c>
      <c r="AI44" s="20" t="s">
        <v>43</v>
      </c>
      <c r="AJ44" s="20">
        <v>0</v>
      </c>
      <c r="AK44" s="20"/>
    </row>
    <row r="45" spans="1:37" s="27" customFormat="1" ht="12.75" customHeight="1" x14ac:dyDescent="0.2">
      <c r="A45" s="22" t="s">
        <v>705</v>
      </c>
      <c r="B45" s="22" t="s">
        <v>793</v>
      </c>
      <c r="C45" s="23">
        <v>44299</v>
      </c>
      <c r="D45" s="22" t="s">
        <v>485</v>
      </c>
      <c r="E45" s="22" t="s">
        <v>484</v>
      </c>
      <c r="F45" s="22" t="s">
        <v>483</v>
      </c>
      <c r="G45" s="22" t="s">
        <v>704</v>
      </c>
      <c r="H45" s="22" t="s">
        <v>703</v>
      </c>
      <c r="I45" s="22" t="s">
        <v>702</v>
      </c>
      <c r="J45" s="22" t="s">
        <v>701</v>
      </c>
      <c r="K45" s="22" t="s">
        <v>700</v>
      </c>
      <c r="L45" s="22" t="s">
        <v>699</v>
      </c>
      <c r="M45" s="22" t="s">
        <v>747</v>
      </c>
      <c r="N45" s="22" t="s">
        <v>791</v>
      </c>
      <c r="O45" s="22" t="s">
        <v>16</v>
      </c>
      <c r="P45" s="22" t="s">
        <v>192</v>
      </c>
      <c r="Q45" s="22">
        <v>110988168</v>
      </c>
      <c r="R45" s="22" t="s">
        <v>87</v>
      </c>
      <c r="S45" s="24">
        <v>4</v>
      </c>
      <c r="T45" s="20" t="s">
        <v>16</v>
      </c>
      <c r="U45" s="25" t="s">
        <v>192</v>
      </c>
      <c r="V45" s="20">
        <v>110988168</v>
      </c>
      <c r="W45" s="25" t="s">
        <v>913</v>
      </c>
      <c r="X45" s="20" t="s">
        <v>193</v>
      </c>
      <c r="Y45" s="20" t="s">
        <v>87</v>
      </c>
      <c r="Z45" s="20" t="s">
        <v>88</v>
      </c>
      <c r="AA45" s="15">
        <v>394.04716981132071</v>
      </c>
      <c r="AB45" s="15">
        <v>418.73333333333335</v>
      </c>
      <c r="AC45" s="15">
        <f t="shared" si="1"/>
        <v>1674.9333333333334</v>
      </c>
      <c r="AD45" s="15">
        <f t="shared" si="2"/>
        <v>1576.1886792452829</v>
      </c>
      <c r="AE45" s="15">
        <f t="shared" si="3"/>
        <v>98.744654088050538</v>
      </c>
      <c r="AF45" s="16">
        <f t="shared" si="4"/>
        <v>5.8954378734308151E-2</v>
      </c>
      <c r="AG45" s="26" t="str">
        <f t="shared" si="5"/>
        <v>0-10%</v>
      </c>
      <c r="AH45" s="20" t="s">
        <v>921</v>
      </c>
      <c r="AI45" s="20" t="s">
        <v>43</v>
      </c>
      <c r="AJ45" s="20">
        <v>0</v>
      </c>
      <c r="AK45" s="20"/>
    </row>
    <row r="46" spans="1:37" s="27" customFormat="1" ht="12.75" customHeight="1" x14ac:dyDescent="0.2">
      <c r="A46" s="22" t="s">
        <v>705</v>
      </c>
      <c r="B46" s="22" t="s">
        <v>792</v>
      </c>
      <c r="C46" s="23">
        <v>44300</v>
      </c>
      <c r="D46" s="22" t="s">
        <v>485</v>
      </c>
      <c r="E46" s="22" t="s">
        <v>484</v>
      </c>
      <c r="F46" s="22" t="s">
        <v>483</v>
      </c>
      <c r="G46" s="22" t="s">
        <v>704</v>
      </c>
      <c r="H46" s="22" t="s">
        <v>703</v>
      </c>
      <c r="I46" s="22" t="s">
        <v>702</v>
      </c>
      <c r="J46" s="22" t="s">
        <v>701</v>
      </c>
      <c r="K46" s="22" t="s">
        <v>700</v>
      </c>
      <c r="L46" s="22" t="s">
        <v>699</v>
      </c>
      <c r="M46" s="22" t="s">
        <v>764</v>
      </c>
      <c r="N46" s="22" t="s">
        <v>791</v>
      </c>
      <c r="O46" s="22" t="s">
        <v>16</v>
      </c>
      <c r="P46" s="22" t="s">
        <v>196</v>
      </c>
      <c r="Q46" s="22">
        <v>110224133</v>
      </c>
      <c r="R46" s="22" t="s">
        <v>87</v>
      </c>
      <c r="S46" s="24">
        <v>5</v>
      </c>
      <c r="T46" s="20" t="s">
        <v>16</v>
      </c>
      <c r="U46" s="25" t="s">
        <v>196</v>
      </c>
      <c r="V46" s="20">
        <v>110224133</v>
      </c>
      <c r="W46" s="25" t="s">
        <v>913</v>
      </c>
      <c r="X46" s="20" t="s">
        <v>197</v>
      </c>
      <c r="Y46" s="20" t="s">
        <v>87</v>
      </c>
      <c r="Z46" s="20" t="s">
        <v>88</v>
      </c>
      <c r="AA46" s="15">
        <v>169.60377358490564</v>
      </c>
      <c r="AB46" s="15">
        <v>181.13333333333335</v>
      </c>
      <c r="AC46" s="15">
        <f t="shared" si="1"/>
        <v>905.66666666666674</v>
      </c>
      <c r="AD46" s="15">
        <f t="shared" si="2"/>
        <v>848.01886792452819</v>
      </c>
      <c r="AE46" s="15">
        <f t="shared" si="3"/>
        <v>57.647798742138548</v>
      </c>
      <c r="AF46" s="16">
        <f t="shared" si="4"/>
        <v>6.3652335747668612E-2</v>
      </c>
      <c r="AG46" s="26" t="str">
        <f t="shared" si="5"/>
        <v>0-10%</v>
      </c>
      <c r="AH46" s="20" t="s">
        <v>921</v>
      </c>
      <c r="AI46" s="20" t="s">
        <v>43</v>
      </c>
      <c r="AJ46" s="20">
        <v>0</v>
      </c>
      <c r="AK46" s="20"/>
    </row>
    <row r="47" spans="1:37" s="27" customFormat="1" ht="12.75" customHeight="1" x14ac:dyDescent="0.2">
      <c r="A47" s="22" t="s">
        <v>486</v>
      </c>
      <c r="B47" s="22" t="s">
        <v>668</v>
      </c>
      <c r="C47" s="23">
        <v>44306</v>
      </c>
      <c r="D47" s="22" t="s">
        <v>485</v>
      </c>
      <c r="E47" s="22" t="s">
        <v>484</v>
      </c>
      <c r="F47" s="22" t="s">
        <v>483</v>
      </c>
      <c r="G47" s="22" t="s">
        <v>482</v>
      </c>
      <c r="H47" s="22" t="s">
        <v>481</v>
      </c>
      <c r="I47" s="22" t="s">
        <v>480</v>
      </c>
      <c r="J47" s="22" t="s">
        <v>479</v>
      </c>
      <c r="K47" s="22" t="s">
        <v>478</v>
      </c>
      <c r="L47" s="22" t="s">
        <v>477</v>
      </c>
      <c r="M47" s="22" t="s">
        <v>487</v>
      </c>
      <c r="N47" s="22" t="s">
        <v>662</v>
      </c>
      <c r="O47" s="22" t="s">
        <v>259</v>
      </c>
      <c r="P47" s="22" t="s">
        <v>262</v>
      </c>
      <c r="Q47" s="22">
        <v>105624540</v>
      </c>
      <c r="R47" s="22" t="s">
        <v>87</v>
      </c>
      <c r="S47" s="24">
        <v>2</v>
      </c>
      <c r="T47" s="20" t="s">
        <v>259</v>
      </c>
      <c r="U47" s="25" t="s">
        <v>262</v>
      </c>
      <c r="V47" s="20">
        <v>105624540</v>
      </c>
      <c r="W47" s="25" t="s">
        <v>912</v>
      </c>
      <c r="X47" s="20" t="s">
        <v>263</v>
      </c>
      <c r="Y47" s="20" t="s">
        <v>87</v>
      </c>
      <c r="Z47" s="20" t="s">
        <v>97</v>
      </c>
      <c r="AA47" s="15">
        <v>6.48</v>
      </c>
      <c r="AB47" s="15">
        <v>6.33</v>
      </c>
      <c r="AC47" s="15">
        <f t="shared" si="1"/>
        <v>12.66</v>
      </c>
      <c r="AD47" s="15">
        <f t="shared" si="2"/>
        <v>12.96</v>
      </c>
      <c r="AE47" s="15">
        <f t="shared" si="3"/>
        <v>-0.30000000000000071</v>
      </c>
      <c r="AF47" s="16">
        <f t="shared" si="4"/>
        <v>-2.3696682464455034E-2</v>
      </c>
      <c r="AG47" s="26" t="str">
        <f t="shared" si="5"/>
        <v>Negative</v>
      </c>
      <c r="AH47" s="20"/>
      <c r="AI47" s="20" t="s">
        <v>43</v>
      </c>
      <c r="AJ47" s="20">
        <v>0</v>
      </c>
      <c r="AK47" s="20"/>
    </row>
    <row r="48" spans="1:37" s="27" customFormat="1" ht="12.75" customHeight="1" x14ac:dyDescent="0.2">
      <c r="A48" s="22" t="s">
        <v>486</v>
      </c>
      <c r="B48" s="22" t="s">
        <v>668</v>
      </c>
      <c r="C48" s="23">
        <v>44306</v>
      </c>
      <c r="D48" s="22" t="s">
        <v>485</v>
      </c>
      <c r="E48" s="22" t="s">
        <v>484</v>
      </c>
      <c r="F48" s="22" t="s">
        <v>483</v>
      </c>
      <c r="G48" s="22" t="s">
        <v>482</v>
      </c>
      <c r="H48" s="22" t="s">
        <v>481</v>
      </c>
      <c r="I48" s="22" t="s">
        <v>480</v>
      </c>
      <c r="J48" s="22" t="s">
        <v>479</v>
      </c>
      <c r="K48" s="22" t="s">
        <v>478</v>
      </c>
      <c r="L48" s="22" t="s">
        <v>477</v>
      </c>
      <c r="M48" s="22" t="s">
        <v>487</v>
      </c>
      <c r="N48" s="22" t="s">
        <v>662</v>
      </c>
      <c r="O48" s="22" t="s">
        <v>259</v>
      </c>
      <c r="P48" s="22" t="s">
        <v>260</v>
      </c>
      <c r="Q48" s="22">
        <v>115732344</v>
      </c>
      <c r="R48" s="22" t="s">
        <v>87</v>
      </c>
      <c r="S48" s="24">
        <v>1</v>
      </c>
      <c r="T48" s="20" t="s">
        <v>259</v>
      </c>
      <c r="U48" s="25" t="s">
        <v>260</v>
      </c>
      <c r="V48" s="20">
        <v>115732344</v>
      </c>
      <c r="W48" s="25" t="s">
        <v>912</v>
      </c>
      <c r="X48" s="20" t="s">
        <v>261</v>
      </c>
      <c r="Y48" s="20" t="s">
        <v>87</v>
      </c>
      <c r="Z48" s="20" t="s">
        <v>97</v>
      </c>
      <c r="AA48" s="15">
        <v>3.38</v>
      </c>
      <c r="AB48" s="15">
        <v>3.31</v>
      </c>
      <c r="AC48" s="15">
        <f t="shared" si="1"/>
        <v>3.31</v>
      </c>
      <c r="AD48" s="15">
        <f t="shared" si="2"/>
        <v>3.38</v>
      </c>
      <c r="AE48" s="15">
        <f t="shared" si="3"/>
        <v>-6.999999999999984E-2</v>
      </c>
      <c r="AF48" s="16">
        <f t="shared" si="4"/>
        <v>-2.1148036253776387E-2</v>
      </c>
      <c r="AG48" s="26" t="str">
        <f t="shared" si="5"/>
        <v>Negative</v>
      </c>
      <c r="AH48" s="20"/>
      <c r="AI48" s="20" t="s">
        <v>43</v>
      </c>
      <c r="AJ48" s="20">
        <v>0</v>
      </c>
      <c r="AK48" s="20"/>
    </row>
    <row r="49" spans="1:37" s="27" customFormat="1" ht="12.75" customHeight="1" x14ac:dyDescent="0.2">
      <c r="A49" s="22" t="s">
        <v>486</v>
      </c>
      <c r="B49" s="22" t="s">
        <v>667</v>
      </c>
      <c r="C49" s="23">
        <v>44307</v>
      </c>
      <c r="D49" s="22" t="s">
        <v>485</v>
      </c>
      <c r="E49" s="22" t="s">
        <v>484</v>
      </c>
      <c r="F49" s="22" t="s">
        <v>483</v>
      </c>
      <c r="G49" s="22" t="s">
        <v>482</v>
      </c>
      <c r="H49" s="22" t="s">
        <v>481</v>
      </c>
      <c r="I49" s="22" t="s">
        <v>480</v>
      </c>
      <c r="J49" s="22" t="s">
        <v>479</v>
      </c>
      <c r="K49" s="22" t="s">
        <v>478</v>
      </c>
      <c r="L49" s="22" t="s">
        <v>477</v>
      </c>
      <c r="M49" s="22" t="s">
        <v>487</v>
      </c>
      <c r="N49" s="22" t="s">
        <v>662</v>
      </c>
      <c r="O49" s="22" t="s">
        <v>69</v>
      </c>
      <c r="P49" s="22" t="s">
        <v>264</v>
      </c>
      <c r="Q49" s="22">
        <v>101522167</v>
      </c>
      <c r="R49" s="22" t="s">
        <v>87</v>
      </c>
      <c r="S49" s="24">
        <v>1</v>
      </c>
      <c r="T49" s="20" t="s">
        <v>69</v>
      </c>
      <c r="U49" s="25" t="s">
        <v>264</v>
      </c>
      <c r="V49" s="20">
        <v>101522167</v>
      </c>
      <c r="W49" s="25" t="s">
        <v>916</v>
      </c>
      <c r="X49" s="20" t="s">
        <v>265</v>
      </c>
      <c r="Y49" s="20" t="s">
        <v>87</v>
      </c>
      <c r="Z49" s="20" t="s">
        <v>88</v>
      </c>
      <c r="AA49" s="15">
        <v>643.95057815845814</v>
      </c>
      <c r="AB49" s="15">
        <v>585.48</v>
      </c>
      <c r="AC49" s="15">
        <f t="shared" si="1"/>
        <v>585.48</v>
      </c>
      <c r="AD49" s="15">
        <f t="shared" si="2"/>
        <v>643.95057815845814</v>
      </c>
      <c r="AE49" s="15">
        <f t="shared" si="3"/>
        <v>-58.470578158458125</v>
      </c>
      <c r="AF49" s="16">
        <f t="shared" si="4"/>
        <v>-9.9867763473488635E-2</v>
      </c>
      <c r="AG49" s="26" t="str">
        <f t="shared" si="5"/>
        <v>Negative</v>
      </c>
      <c r="AH49" s="20"/>
      <c r="AI49" s="20" t="s">
        <v>42</v>
      </c>
      <c r="AJ49" s="20">
        <v>5</v>
      </c>
      <c r="AK49" s="20"/>
    </row>
    <row r="50" spans="1:37" s="27" customFormat="1" ht="12.75" customHeight="1" x14ac:dyDescent="0.2">
      <c r="A50" s="22" t="s">
        <v>486</v>
      </c>
      <c r="B50" s="22" t="s">
        <v>666</v>
      </c>
      <c r="C50" s="23">
        <v>44308</v>
      </c>
      <c r="D50" s="22" t="s">
        <v>485</v>
      </c>
      <c r="E50" s="22" t="s">
        <v>484</v>
      </c>
      <c r="F50" s="22" t="s">
        <v>483</v>
      </c>
      <c r="G50" s="22" t="s">
        <v>482</v>
      </c>
      <c r="H50" s="22" t="s">
        <v>481</v>
      </c>
      <c r="I50" s="22" t="s">
        <v>480</v>
      </c>
      <c r="J50" s="22" t="s">
        <v>479</v>
      </c>
      <c r="K50" s="22" t="s">
        <v>478</v>
      </c>
      <c r="L50" s="22" t="s">
        <v>477</v>
      </c>
      <c r="M50" s="22" t="s">
        <v>613</v>
      </c>
      <c r="N50" s="22" t="s">
        <v>612</v>
      </c>
      <c r="O50" s="22" t="s">
        <v>2</v>
      </c>
      <c r="P50" s="22" t="s">
        <v>266</v>
      </c>
      <c r="Q50" s="22">
        <v>101963961</v>
      </c>
      <c r="R50" s="22" t="s">
        <v>87</v>
      </c>
      <c r="S50" s="24">
        <v>25</v>
      </c>
      <c r="T50" s="20" t="s">
        <v>2</v>
      </c>
      <c r="U50" s="25" t="s">
        <v>266</v>
      </c>
      <c r="V50" s="20">
        <v>101963961</v>
      </c>
      <c r="W50" s="25" t="s">
        <v>911</v>
      </c>
      <c r="X50" s="20" t="s">
        <v>267</v>
      </c>
      <c r="Y50" s="20" t="s">
        <v>87</v>
      </c>
      <c r="Z50" s="20" t="s">
        <v>88</v>
      </c>
      <c r="AA50" s="15">
        <v>27.031914893617024</v>
      </c>
      <c r="AB50" s="15">
        <v>54.64</v>
      </c>
      <c r="AC50" s="15">
        <f t="shared" si="1"/>
        <v>1366</v>
      </c>
      <c r="AD50" s="15">
        <f t="shared" si="2"/>
        <v>675.79787234042556</v>
      </c>
      <c r="AE50" s="15">
        <f t="shared" si="3"/>
        <v>690.20212765957444</v>
      </c>
      <c r="AF50" s="16">
        <f t="shared" si="4"/>
        <v>0.50527242141989348</v>
      </c>
      <c r="AG50" s="26" t="str">
        <f t="shared" si="5"/>
        <v>30+%</v>
      </c>
      <c r="AH50" s="20"/>
      <c r="AI50" s="20" t="s">
        <v>43</v>
      </c>
      <c r="AJ50" s="20">
        <v>21</v>
      </c>
      <c r="AK50" s="20"/>
    </row>
    <row r="51" spans="1:37" s="27" customFormat="1" ht="12.75" customHeight="1" x14ac:dyDescent="0.2">
      <c r="A51" s="22" t="s">
        <v>486</v>
      </c>
      <c r="B51" s="22" t="s">
        <v>665</v>
      </c>
      <c r="C51" s="23">
        <v>44308</v>
      </c>
      <c r="D51" s="22" t="s">
        <v>485</v>
      </c>
      <c r="E51" s="22" t="s">
        <v>484</v>
      </c>
      <c r="F51" s="22" t="s">
        <v>483</v>
      </c>
      <c r="G51" s="22" t="s">
        <v>482</v>
      </c>
      <c r="H51" s="22" t="s">
        <v>481</v>
      </c>
      <c r="I51" s="22" t="s">
        <v>480</v>
      </c>
      <c r="J51" s="22" t="s">
        <v>479</v>
      </c>
      <c r="K51" s="22" t="s">
        <v>478</v>
      </c>
      <c r="L51" s="22" t="s">
        <v>477</v>
      </c>
      <c r="M51" s="22" t="s">
        <v>664</v>
      </c>
      <c r="N51" s="22" t="s">
        <v>654</v>
      </c>
      <c r="O51" s="22" t="s">
        <v>24</v>
      </c>
      <c r="P51" s="22" t="s">
        <v>268</v>
      </c>
      <c r="Q51" s="22">
        <v>118233405</v>
      </c>
      <c r="R51" s="22" t="s">
        <v>87</v>
      </c>
      <c r="S51" s="24">
        <v>1</v>
      </c>
      <c r="T51" s="20" t="s">
        <v>24</v>
      </c>
      <c r="U51" s="25" t="s">
        <v>268</v>
      </c>
      <c r="V51" s="20">
        <v>118233405</v>
      </c>
      <c r="W51" s="25" t="s">
        <v>913</v>
      </c>
      <c r="X51" s="20" t="s">
        <v>269</v>
      </c>
      <c r="Y51" s="20" t="s">
        <v>87</v>
      </c>
      <c r="Z51" s="20" t="s">
        <v>97</v>
      </c>
      <c r="AA51" s="15">
        <v>103.60862745098039</v>
      </c>
      <c r="AB51" s="15">
        <v>100.89</v>
      </c>
      <c r="AC51" s="15">
        <f t="shared" si="1"/>
        <v>100.89</v>
      </c>
      <c r="AD51" s="15">
        <f t="shared" si="2"/>
        <v>103.60862745098039</v>
      </c>
      <c r="AE51" s="15">
        <f t="shared" si="3"/>
        <v>-2.7186274509803923</v>
      </c>
      <c r="AF51" s="16">
        <f t="shared" si="4"/>
        <v>-2.6946451095057906E-2</v>
      </c>
      <c r="AG51" s="26" t="str">
        <f t="shared" si="5"/>
        <v>Negative</v>
      </c>
      <c r="AH51" s="20"/>
      <c r="AI51" s="20" t="s">
        <v>43</v>
      </c>
      <c r="AJ51" s="20">
        <v>0</v>
      </c>
      <c r="AK51" s="20"/>
    </row>
    <row r="52" spans="1:37" s="27" customFormat="1" ht="12.75" customHeight="1" x14ac:dyDescent="0.2">
      <c r="A52" s="22" t="s">
        <v>486</v>
      </c>
      <c r="B52" s="22" t="s">
        <v>663</v>
      </c>
      <c r="C52" s="23">
        <v>44309</v>
      </c>
      <c r="D52" s="22" t="s">
        <v>485</v>
      </c>
      <c r="E52" s="22" t="s">
        <v>484</v>
      </c>
      <c r="F52" s="22" t="s">
        <v>483</v>
      </c>
      <c r="G52" s="22" t="s">
        <v>482</v>
      </c>
      <c r="H52" s="22" t="s">
        <v>481</v>
      </c>
      <c r="I52" s="22" t="s">
        <v>480</v>
      </c>
      <c r="J52" s="22" t="s">
        <v>479</v>
      </c>
      <c r="K52" s="22" t="s">
        <v>478</v>
      </c>
      <c r="L52" s="22" t="s">
        <v>477</v>
      </c>
      <c r="M52" s="22" t="s">
        <v>487</v>
      </c>
      <c r="N52" s="22" t="s">
        <v>662</v>
      </c>
      <c r="O52" s="22" t="s">
        <v>18</v>
      </c>
      <c r="P52" s="22" t="s">
        <v>272</v>
      </c>
      <c r="Q52" s="22">
        <v>100813837</v>
      </c>
      <c r="R52" s="22" t="s">
        <v>87</v>
      </c>
      <c r="S52" s="24">
        <v>2</v>
      </c>
      <c r="T52" s="20" t="s">
        <v>18</v>
      </c>
      <c r="U52" s="25" t="s">
        <v>272</v>
      </c>
      <c r="V52" s="20">
        <v>100813837</v>
      </c>
      <c r="W52" s="25" t="s">
        <v>912</v>
      </c>
      <c r="X52" s="20" t="s">
        <v>273</v>
      </c>
      <c r="Y52" s="20" t="s">
        <v>87</v>
      </c>
      <c r="Z52" s="20" t="s">
        <v>88</v>
      </c>
      <c r="AA52" s="15">
        <v>24.662921348314605</v>
      </c>
      <c r="AB52" s="15">
        <v>24.99</v>
      </c>
      <c r="AC52" s="15">
        <f t="shared" si="1"/>
        <v>49.98</v>
      </c>
      <c r="AD52" s="15">
        <f t="shared" si="2"/>
        <v>49.325842696629209</v>
      </c>
      <c r="AE52" s="15">
        <f t="shared" si="3"/>
        <v>0.6541573033707877</v>
      </c>
      <c r="AF52" s="16">
        <f t="shared" si="4"/>
        <v>1.3088381419983749E-2</v>
      </c>
      <c r="AG52" s="26" t="str">
        <f t="shared" si="5"/>
        <v>0-10%</v>
      </c>
      <c r="AH52" s="20"/>
      <c r="AI52" s="20" t="s">
        <v>43</v>
      </c>
      <c r="AJ52" s="20">
        <v>2</v>
      </c>
      <c r="AK52" s="20"/>
    </row>
    <row r="53" spans="1:37" s="27" customFormat="1" ht="12.75" customHeight="1" x14ac:dyDescent="0.2">
      <c r="A53" s="22" t="s">
        <v>486</v>
      </c>
      <c r="B53" s="22" t="s">
        <v>663</v>
      </c>
      <c r="C53" s="23">
        <v>44309</v>
      </c>
      <c r="D53" s="22" t="s">
        <v>485</v>
      </c>
      <c r="E53" s="22" t="s">
        <v>484</v>
      </c>
      <c r="F53" s="22" t="s">
        <v>483</v>
      </c>
      <c r="G53" s="22" t="s">
        <v>482</v>
      </c>
      <c r="H53" s="22" t="s">
        <v>481</v>
      </c>
      <c r="I53" s="22" t="s">
        <v>480</v>
      </c>
      <c r="J53" s="22" t="s">
        <v>479</v>
      </c>
      <c r="K53" s="22" t="s">
        <v>478</v>
      </c>
      <c r="L53" s="22" t="s">
        <v>477</v>
      </c>
      <c r="M53" s="22" t="s">
        <v>487</v>
      </c>
      <c r="N53" s="22" t="s">
        <v>662</v>
      </c>
      <c r="O53" s="22" t="s">
        <v>31</v>
      </c>
      <c r="P53" s="22" t="s">
        <v>270</v>
      </c>
      <c r="Q53" s="22">
        <v>102115834</v>
      </c>
      <c r="R53" s="22" t="s">
        <v>87</v>
      </c>
      <c r="S53" s="24">
        <v>2</v>
      </c>
      <c r="T53" s="20" t="s">
        <v>31</v>
      </c>
      <c r="U53" s="25" t="s">
        <v>270</v>
      </c>
      <c r="V53" s="20">
        <v>102115834</v>
      </c>
      <c r="W53" s="25" t="s">
        <v>912</v>
      </c>
      <c r="X53" s="20" t="s">
        <v>271</v>
      </c>
      <c r="Y53" s="20" t="s">
        <v>87</v>
      </c>
      <c r="Z53" s="20" t="s">
        <v>88</v>
      </c>
      <c r="AA53" s="15">
        <v>46.32</v>
      </c>
      <c r="AB53" s="15">
        <v>53.74</v>
      </c>
      <c r="AC53" s="15">
        <f t="shared" si="1"/>
        <v>107.48</v>
      </c>
      <c r="AD53" s="15">
        <f t="shared" si="2"/>
        <v>92.64</v>
      </c>
      <c r="AE53" s="15">
        <f t="shared" si="3"/>
        <v>14.840000000000003</v>
      </c>
      <c r="AF53" s="16">
        <f t="shared" si="4"/>
        <v>0.13807219947897287</v>
      </c>
      <c r="AG53" s="26" t="str">
        <f t="shared" si="5"/>
        <v>10-20%</v>
      </c>
      <c r="AH53" s="20"/>
      <c r="AI53" s="20" t="s">
        <v>42</v>
      </c>
      <c r="AJ53" s="20">
        <v>63</v>
      </c>
      <c r="AK53" s="20"/>
    </row>
    <row r="54" spans="1:37" s="27" customFormat="1" ht="12.75" customHeight="1" x14ac:dyDescent="0.2">
      <c r="A54" s="22" t="s">
        <v>486</v>
      </c>
      <c r="B54" s="22" t="s">
        <v>661</v>
      </c>
      <c r="C54" s="23">
        <v>44310</v>
      </c>
      <c r="D54" s="22" t="s">
        <v>485</v>
      </c>
      <c r="E54" s="22" t="s">
        <v>484</v>
      </c>
      <c r="F54" s="22" t="s">
        <v>483</v>
      </c>
      <c r="G54" s="22" t="s">
        <v>482</v>
      </c>
      <c r="H54" s="22" t="s">
        <v>481</v>
      </c>
      <c r="I54" s="22" t="s">
        <v>480</v>
      </c>
      <c r="J54" s="22" t="s">
        <v>479</v>
      </c>
      <c r="K54" s="22" t="s">
        <v>478</v>
      </c>
      <c r="L54" s="22" t="s">
        <v>477</v>
      </c>
      <c r="M54" s="22" t="s">
        <v>613</v>
      </c>
      <c r="N54" s="22" t="s">
        <v>612</v>
      </c>
      <c r="O54" s="22" t="s">
        <v>2</v>
      </c>
      <c r="P54" s="22" t="s">
        <v>266</v>
      </c>
      <c r="Q54" s="22">
        <v>101963961</v>
      </c>
      <c r="R54" s="22" t="s">
        <v>87</v>
      </c>
      <c r="S54" s="24">
        <v>15</v>
      </c>
      <c r="T54" s="20" t="s">
        <v>2</v>
      </c>
      <c r="U54" s="25" t="s">
        <v>266</v>
      </c>
      <c r="V54" s="20">
        <v>101963961</v>
      </c>
      <c r="W54" s="25" t="s">
        <v>911</v>
      </c>
      <c r="X54" s="20" t="s">
        <v>267</v>
      </c>
      <c r="Y54" s="20" t="s">
        <v>87</v>
      </c>
      <c r="Z54" s="20" t="s">
        <v>88</v>
      </c>
      <c r="AA54" s="15">
        <v>27.031914893617024</v>
      </c>
      <c r="AB54" s="15">
        <v>54.64</v>
      </c>
      <c r="AC54" s="15">
        <f t="shared" si="1"/>
        <v>819.6</v>
      </c>
      <c r="AD54" s="15">
        <f t="shared" si="2"/>
        <v>405.47872340425539</v>
      </c>
      <c r="AE54" s="15">
        <f t="shared" si="3"/>
        <v>414.12127659574463</v>
      </c>
      <c r="AF54" s="16">
        <f t="shared" si="4"/>
        <v>0.50527242141989337</v>
      </c>
      <c r="AG54" s="26" t="str">
        <f t="shared" si="5"/>
        <v>30+%</v>
      </c>
      <c r="AH54" s="20"/>
      <c r="AI54" s="20" t="s">
        <v>43</v>
      </c>
      <c r="AJ54" s="20">
        <v>21</v>
      </c>
      <c r="AK54" s="20"/>
    </row>
    <row r="55" spans="1:37" s="27" customFormat="1" ht="12.75" customHeight="1" x14ac:dyDescent="0.2">
      <c r="A55" s="22" t="s">
        <v>486</v>
      </c>
      <c r="B55" s="22" t="s">
        <v>660</v>
      </c>
      <c r="C55" s="23">
        <v>44310</v>
      </c>
      <c r="D55" s="22" t="s">
        <v>485</v>
      </c>
      <c r="E55" s="22" t="s">
        <v>484</v>
      </c>
      <c r="F55" s="22" t="s">
        <v>483</v>
      </c>
      <c r="G55" s="22" t="s">
        <v>482</v>
      </c>
      <c r="H55" s="22" t="s">
        <v>481</v>
      </c>
      <c r="I55" s="22" t="s">
        <v>480</v>
      </c>
      <c r="J55" s="22" t="s">
        <v>479</v>
      </c>
      <c r="K55" s="22" t="s">
        <v>478</v>
      </c>
      <c r="L55" s="22" t="s">
        <v>477</v>
      </c>
      <c r="M55" s="22" t="s">
        <v>487</v>
      </c>
      <c r="N55" s="22" t="s">
        <v>659</v>
      </c>
      <c r="O55" s="22" t="s">
        <v>6</v>
      </c>
      <c r="P55" s="22" t="s">
        <v>274</v>
      </c>
      <c r="Q55" s="22">
        <v>101880282</v>
      </c>
      <c r="R55" s="22" t="s">
        <v>87</v>
      </c>
      <c r="S55" s="24">
        <v>1</v>
      </c>
      <c r="T55" s="20" t="s">
        <v>6</v>
      </c>
      <c r="U55" s="25" t="s">
        <v>274</v>
      </c>
      <c r="V55" s="20">
        <v>101880282</v>
      </c>
      <c r="W55" s="25" t="s">
        <v>912</v>
      </c>
      <c r="X55" s="20" t="s">
        <v>275</v>
      </c>
      <c r="Y55" s="20" t="s">
        <v>87</v>
      </c>
      <c r="Z55" s="20" t="s">
        <v>97</v>
      </c>
      <c r="AA55" s="15">
        <v>228.33</v>
      </c>
      <c r="AB55" s="15">
        <v>223.47</v>
      </c>
      <c r="AC55" s="15">
        <f t="shared" si="1"/>
        <v>223.47</v>
      </c>
      <c r="AD55" s="15">
        <f t="shared" si="2"/>
        <v>228.33</v>
      </c>
      <c r="AE55" s="15">
        <f t="shared" si="3"/>
        <v>-4.8600000000000136</v>
      </c>
      <c r="AF55" s="16">
        <f t="shared" si="4"/>
        <v>-2.1747885622231233E-2</v>
      </c>
      <c r="AG55" s="26" t="str">
        <f t="shared" si="5"/>
        <v>Negative</v>
      </c>
      <c r="AH55" s="20"/>
      <c r="AI55" s="20" t="s">
        <v>43</v>
      </c>
      <c r="AJ55" s="20">
        <v>3</v>
      </c>
      <c r="AK55" s="20"/>
    </row>
    <row r="56" spans="1:37" s="27" customFormat="1" ht="12.75" customHeight="1" x14ac:dyDescent="0.2">
      <c r="A56" s="22" t="s">
        <v>486</v>
      </c>
      <c r="B56" s="22" t="s">
        <v>658</v>
      </c>
      <c r="C56" s="23">
        <v>44310</v>
      </c>
      <c r="D56" s="22" t="s">
        <v>485</v>
      </c>
      <c r="E56" s="22" t="s">
        <v>484</v>
      </c>
      <c r="F56" s="22" t="s">
        <v>483</v>
      </c>
      <c r="G56" s="22" t="s">
        <v>482</v>
      </c>
      <c r="H56" s="22" t="s">
        <v>481</v>
      </c>
      <c r="I56" s="22" t="s">
        <v>480</v>
      </c>
      <c r="J56" s="22" t="s">
        <v>479</v>
      </c>
      <c r="K56" s="22" t="s">
        <v>478</v>
      </c>
      <c r="L56" s="22" t="s">
        <v>477</v>
      </c>
      <c r="M56" s="22" t="s">
        <v>487</v>
      </c>
      <c r="N56" s="22" t="s">
        <v>657</v>
      </c>
      <c r="O56" s="22" t="s">
        <v>8</v>
      </c>
      <c r="P56" s="22" t="s">
        <v>276</v>
      </c>
      <c r="Q56" s="22">
        <v>101174228</v>
      </c>
      <c r="R56" s="22" t="s">
        <v>87</v>
      </c>
      <c r="S56" s="24">
        <v>10</v>
      </c>
      <c r="T56" s="20" t="s">
        <v>8</v>
      </c>
      <c r="U56" s="25" t="s">
        <v>276</v>
      </c>
      <c r="V56" s="20">
        <v>101174228</v>
      </c>
      <c r="W56" s="25" t="s">
        <v>910</v>
      </c>
      <c r="X56" s="20" t="s">
        <v>277</v>
      </c>
      <c r="Y56" s="20" t="s">
        <v>87</v>
      </c>
      <c r="Z56" s="20" t="s">
        <v>88</v>
      </c>
      <c r="AA56" s="15">
        <v>13.329031037935254</v>
      </c>
      <c r="AB56" s="15">
        <v>12.668121212121209</v>
      </c>
      <c r="AC56" s="15">
        <f t="shared" si="1"/>
        <v>126.68121212121208</v>
      </c>
      <c r="AD56" s="15">
        <f t="shared" si="2"/>
        <v>133.29031037935255</v>
      </c>
      <c r="AE56" s="15">
        <f t="shared" si="3"/>
        <v>-6.6090982581404631</v>
      </c>
      <c r="AF56" s="16">
        <f t="shared" si="4"/>
        <v>-5.2171100571856664E-2</v>
      </c>
      <c r="AG56" s="26" t="str">
        <f t="shared" si="5"/>
        <v>Negative</v>
      </c>
      <c r="AH56" s="20"/>
      <c r="AI56" s="20" t="s">
        <v>43</v>
      </c>
      <c r="AJ56" s="20">
        <v>0</v>
      </c>
      <c r="AK56" s="20"/>
    </row>
    <row r="57" spans="1:37" s="27" customFormat="1" ht="12.75" customHeight="1" x14ac:dyDescent="0.2">
      <c r="A57" s="22" t="s">
        <v>486</v>
      </c>
      <c r="B57" s="22" t="s">
        <v>656</v>
      </c>
      <c r="C57" s="23">
        <v>44310</v>
      </c>
      <c r="D57" s="22" t="s">
        <v>485</v>
      </c>
      <c r="E57" s="22" t="s">
        <v>484</v>
      </c>
      <c r="F57" s="22" t="s">
        <v>483</v>
      </c>
      <c r="G57" s="22" t="s">
        <v>482</v>
      </c>
      <c r="H57" s="22" t="s">
        <v>481</v>
      </c>
      <c r="I57" s="22" t="s">
        <v>480</v>
      </c>
      <c r="J57" s="22" t="s">
        <v>479</v>
      </c>
      <c r="K57" s="22" t="s">
        <v>478</v>
      </c>
      <c r="L57" s="22" t="s">
        <v>477</v>
      </c>
      <c r="M57" s="22" t="s">
        <v>655</v>
      </c>
      <c r="N57" s="22" t="s">
        <v>654</v>
      </c>
      <c r="O57" s="22" t="s">
        <v>24</v>
      </c>
      <c r="P57" s="22" t="s">
        <v>278</v>
      </c>
      <c r="Q57" s="22">
        <v>118233407</v>
      </c>
      <c r="R57" s="22" t="s">
        <v>87</v>
      </c>
      <c r="S57" s="24">
        <v>1</v>
      </c>
      <c r="T57" s="20" t="s">
        <v>24</v>
      </c>
      <c r="U57" s="25" t="s">
        <v>278</v>
      </c>
      <c r="V57" s="20">
        <v>118233407</v>
      </c>
      <c r="W57" s="25" t="s">
        <v>913</v>
      </c>
      <c r="X57" s="20" t="s">
        <v>279</v>
      </c>
      <c r="Y57" s="20" t="s">
        <v>87</v>
      </c>
      <c r="Z57" s="20" t="s">
        <v>97</v>
      </c>
      <c r="AA57" s="15">
        <v>142.56976744186048</v>
      </c>
      <c r="AB57" s="15">
        <v>145.6</v>
      </c>
      <c r="AC57" s="15">
        <f t="shared" si="1"/>
        <v>145.6</v>
      </c>
      <c r="AD57" s="15">
        <f t="shared" si="2"/>
        <v>142.56976744186048</v>
      </c>
      <c r="AE57" s="15">
        <f t="shared" si="3"/>
        <v>3.0302325581395166</v>
      </c>
      <c r="AF57" s="16">
        <f t="shared" si="4"/>
        <v>2.081203680040877E-2</v>
      </c>
      <c r="AG57" s="26" t="str">
        <f t="shared" si="5"/>
        <v>0-10%</v>
      </c>
      <c r="AH57" s="20"/>
      <c r="AI57" s="20" t="s">
        <v>43</v>
      </c>
      <c r="AJ57" s="20">
        <v>0</v>
      </c>
      <c r="AK57" s="20"/>
    </row>
    <row r="58" spans="1:37" s="27" customFormat="1" ht="12.75" customHeight="1" x14ac:dyDescent="0.2">
      <c r="A58" s="22" t="s">
        <v>705</v>
      </c>
      <c r="B58" s="22" t="s">
        <v>790</v>
      </c>
      <c r="C58" s="23">
        <v>44313</v>
      </c>
      <c r="D58" s="22" t="s">
        <v>485</v>
      </c>
      <c r="E58" s="22" t="s">
        <v>484</v>
      </c>
      <c r="F58" s="22" t="s">
        <v>483</v>
      </c>
      <c r="G58" s="22" t="s">
        <v>704</v>
      </c>
      <c r="H58" s="22" t="s">
        <v>703</v>
      </c>
      <c r="I58" s="22" t="s">
        <v>702</v>
      </c>
      <c r="J58" s="22" t="s">
        <v>701</v>
      </c>
      <c r="K58" s="22" t="s">
        <v>700</v>
      </c>
      <c r="L58" s="22" t="s">
        <v>699</v>
      </c>
      <c r="M58" s="22" t="s">
        <v>724</v>
      </c>
      <c r="N58" s="22" t="s">
        <v>789</v>
      </c>
      <c r="O58" s="22" t="s">
        <v>16</v>
      </c>
      <c r="P58" s="22" t="s">
        <v>182</v>
      </c>
      <c r="Q58" s="22">
        <v>110988151</v>
      </c>
      <c r="R58" s="22" t="s">
        <v>87</v>
      </c>
      <c r="S58" s="24">
        <v>2</v>
      </c>
      <c r="T58" s="20" t="s">
        <v>16</v>
      </c>
      <c r="U58" s="25" t="s">
        <v>182</v>
      </c>
      <c r="V58" s="20">
        <v>110988151</v>
      </c>
      <c r="W58" s="25" t="s">
        <v>913</v>
      </c>
      <c r="X58" s="20" t="s">
        <v>183</v>
      </c>
      <c r="Y58" s="20" t="s">
        <v>87</v>
      </c>
      <c r="Z58" s="20" t="s">
        <v>88</v>
      </c>
      <c r="AA58" s="15">
        <v>243.49</v>
      </c>
      <c r="AB58" s="15">
        <v>237.11</v>
      </c>
      <c r="AC58" s="15">
        <f t="shared" si="1"/>
        <v>474.22</v>
      </c>
      <c r="AD58" s="15">
        <f t="shared" si="2"/>
        <v>486.98</v>
      </c>
      <c r="AE58" s="15">
        <f t="shared" si="3"/>
        <v>-12.759999999999991</v>
      </c>
      <c r="AF58" s="16">
        <f t="shared" si="4"/>
        <v>-2.6907342583610962E-2</v>
      </c>
      <c r="AG58" s="26" t="str">
        <f t="shared" si="5"/>
        <v>Negative</v>
      </c>
      <c r="AH58" s="20" t="s">
        <v>921</v>
      </c>
      <c r="AI58" s="20" t="s">
        <v>43</v>
      </c>
      <c r="AJ58" s="20">
        <v>0</v>
      </c>
      <c r="AK58" s="20"/>
    </row>
    <row r="59" spans="1:37" s="27" customFormat="1" ht="12.75" customHeight="1" x14ac:dyDescent="0.2">
      <c r="A59" s="22" t="s">
        <v>486</v>
      </c>
      <c r="B59" s="22" t="s">
        <v>653</v>
      </c>
      <c r="C59" s="23">
        <v>44313</v>
      </c>
      <c r="D59" s="22" t="s">
        <v>485</v>
      </c>
      <c r="E59" s="22" t="s">
        <v>484</v>
      </c>
      <c r="F59" s="22" t="s">
        <v>483</v>
      </c>
      <c r="G59" s="22" t="s">
        <v>482</v>
      </c>
      <c r="H59" s="22" t="s">
        <v>481</v>
      </c>
      <c r="I59" s="22" t="s">
        <v>480</v>
      </c>
      <c r="J59" s="22" t="s">
        <v>479</v>
      </c>
      <c r="K59" s="22" t="s">
        <v>478</v>
      </c>
      <c r="L59" s="22" t="s">
        <v>477</v>
      </c>
      <c r="M59" s="22" t="s">
        <v>487</v>
      </c>
      <c r="N59" s="22" t="s">
        <v>604</v>
      </c>
      <c r="O59" s="22" t="s">
        <v>24</v>
      </c>
      <c r="P59" s="22" t="s">
        <v>280</v>
      </c>
      <c r="Q59" s="22">
        <v>117111487</v>
      </c>
      <c r="R59" s="22" t="s">
        <v>87</v>
      </c>
      <c r="S59" s="24">
        <v>40</v>
      </c>
      <c r="T59" s="20" t="s">
        <v>24</v>
      </c>
      <c r="U59" s="25" t="s">
        <v>280</v>
      </c>
      <c r="V59" s="20">
        <v>117111487</v>
      </c>
      <c r="W59" s="25" t="s">
        <v>913</v>
      </c>
      <c r="X59" s="20" t="s">
        <v>281</v>
      </c>
      <c r="Y59" s="20" t="s">
        <v>87</v>
      </c>
      <c r="Z59" s="20" t="s">
        <v>97</v>
      </c>
      <c r="AA59" s="15">
        <v>8.7899999999999991</v>
      </c>
      <c r="AB59" s="15">
        <v>9.8800000000000008</v>
      </c>
      <c r="AC59" s="15">
        <f t="shared" si="1"/>
        <v>395.20000000000005</v>
      </c>
      <c r="AD59" s="15">
        <f t="shared" si="2"/>
        <v>351.59999999999997</v>
      </c>
      <c r="AE59" s="15">
        <f t="shared" si="3"/>
        <v>43.60000000000008</v>
      </c>
      <c r="AF59" s="16">
        <f t="shared" si="4"/>
        <v>0.11032388663967631</v>
      </c>
      <c r="AG59" s="26" t="str">
        <f t="shared" si="5"/>
        <v>10-20%</v>
      </c>
      <c r="AH59" s="20"/>
      <c r="AI59" s="20" t="s">
        <v>43</v>
      </c>
      <c r="AJ59" s="20">
        <v>0</v>
      </c>
      <c r="AK59" s="20"/>
    </row>
    <row r="60" spans="1:37" s="27" customFormat="1" ht="12.75" customHeight="1" x14ac:dyDescent="0.2">
      <c r="A60" s="22" t="s">
        <v>486</v>
      </c>
      <c r="B60" s="22" t="s">
        <v>652</v>
      </c>
      <c r="C60" s="23">
        <v>44313</v>
      </c>
      <c r="D60" s="22" t="s">
        <v>485</v>
      </c>
      <c r="E60" s="22" t="s">
        <v>484</v>
      </c>
      <c r="F60" s="22" t="s">
        <v>483</v>
      </c>
      <c r="G60" s="22" t="s">
        <v>482</v>
      </c>
      <c r="H60" s="22" t="s">
        <v>481</v>
      </c>
      <c r="I60" s="22" t="s">
        <v>480</v>
      </c>
      <c r="J60" s="22" t="s">
        <v>479</v>
      </c>
      <c r="K60" s="22" t="s">
        <v>478</v>
      </c>
      <c r="L60" s="22" t="s">
        <v>477</v>
      </c>
      <c r="M60" s="22" t="s">
        <v>476</v>
      </c>
      <c r="N60" s="22" t="s">
        <v>651</v>
      </c>
      <c r="O60" s="22" t="s">
        <v>30</v>
      </c>
      <c r="P60" s="22" t="s">
        <v>282</v>
      </c>
      <c r="Q60" s="22">
        <v>101719746</v>
      </c>
      <c r="R60" s="22" t="s">
        <v>87</v>
      </c>
      <c r="S60" s="24">
        <v>1</v>
      </c>
      <c r="T60" s="20" t="s">
        <v>30</v>
      </c>
      <c r="U60" s="25" t="s">
        <v>282</v>
      </c>
      <c r="V60" s="20">
        <v>101719746</v>
      </c>
      <c r="W60" s="25" t="s">
        <v>917</v>
      </c>
      <c r="X60" s="20" t="s">
        <v>283</v>
      </c>
      <c r="Y60" s="20" t="s">
        <v>87</v>
      </c>
      <c r="Z60" s="20" t="s">
        <v>88</v>
      </c>
      <c r="AA60" s="15">
        <v>274.80367666346069</v>
      </c>
      <c r="AB60" s="15">
        <v>243.25629093016516</v>
      </c>
      <c r="AC60" s="15">
        <f t="shared" si="1"/>
        <v>243.25629093016516</v>
      </c>
      <c r="AD60" s="15">
        <f t="shared" si="2"/>
        <v>274.80367666346069</v>
      </c>
      <c r="AE60" s="15">
        <f t="shared" si="3"/>
        <v>-31.547385733295528</v>
      </c>
      <c r="AF60" s="16">
        <f t="shared" si="4"/>
        <v>-0.1296878514946701</v>
      </c>
      <c r="AG60" s="26" t="str">
        <f t="shared" si="5"/>
        <v>Negative</v>
      </c>
      <c r="AH60" s="20"/>
      <c r="AI60" s="20" t="s">
        <v>43</v>
      </c>
      <c r="AJ60" s="20">
        <v>0</v>
      </c>
      <c r="AK60" s="20"/>
    </row>
    <row r="61" spans="1:37" s="27" customFormat="1" ht="12.75" customHeight="1" x14ac:dyDescent="0.2">
      <c r="A61" s="22" t="s">
        <v>486</v>
      </c>
      <c r="B61" s="22" t="s">
        <v>650</v>
      </c>
      <c r="C61" s="23">
        <v>44314</v>
      </c>
      <c r="D61" s="22" t="s">
        <v>485</v>
      </c>
      <c r="E61" s="22" t="s">
        <v>484</v>
      </c>
      <c r="F61" s="22" t="s">
        <v>483</v>
      </c>
      <c r="G61" s="22" t="s">
        <v>482</v>
      </c>
      <c r="H61" s="22" t="s">
        <v>481</v>
      </c>
      <c r="I61" s="22" t="s">
        <v>480</v>
      </c>
      <c r="J61" s="22" t="s">
        <v>479</v>
      </c>
      <c r="K61" s="22" t="s">
        <v>478</v>
      </c>
      <c r="L61" s="22" t="s">
        <v>477</v>
      </c>
      <c r="M61" s="22" t="s">
        <v>487</v>
      </c>
      <c r="N61" s="22" t="s">
        <v>649</v>
      </c>
      <c r="O61" s="22" t="s">
        <v>30</v>
      </c>
      <c r="P61" s="22" t="s">
        <v>286</v>
      </c>
      <c r="Q61" s="22">
        <v>101719304</v>
      </c>
      <c r="R61" s="22" t="s">
        <v>87</v>
      </c>
      <c r="S61" s="24">
        <v>1</v>
      </c>
      <c r="T61" s="20" t="s">
        <v>30</v>
      </c>
      <c r="U61" s="25" t="s">
        <v>286</v>
      </c>
      <c r="V61" s="20">
        <v>101719304</v>
      </c>
      <c r="W61" s="25" t="s">
        <v>917</v>
      </c>
      <c r="X61" s="20" t="s">
        <v>287</v>
      </c>
      <c r="Y61" s="20" t="s">
        <v>87</v>
      </c>
      <c r="Z61" s="20" t="s">
        <v>88</v>
      </c>
      <c r="AA61" s="15">
        <v>45.572846845017509</v>
      </c>
      <c r="AB61" s="15">
        <v>40.350031435557113</v>
      </c>
      <c r="AC61" s="15">
        <f t="shared" si="1"/>
        <v>40.350031435557113</v>
      </c>
      <c r="AD61" s="15">
        <f t="shared" si="2"/>
        <v>45.572846845017509</v>
      </c>
      <c r="AE61" s="15">
        <f t="shared" si="3"/>
        <v>-5.2228154094603951</v>
      </c>
      <c r="AF61" s="16">
        <f t="shared" si="4"/>
        <v>-0.12943770360629667</v>
      </c>
      <c r="AG61" s="26" t="str">
        <f t="shared" si="5"/>
        <v>Negative</v>
      </c>
      <c r="AH61" s="20"/>
      <c r="AI61" s="20" t="s">
        <v>42</v>
      </c>
      <c r="AJ61" s="20">
        <v>21</v>
      </c>
      <c r="AK61" s="20"/>
    </row>
    <row r="62" spans="1:37" s="27" customFormat="1" ht="12.75" customHeight="1" x14ac:dyDescent="0.2">
      <c r="A62" s="22" t="s">
        <v>486</v>
      </c>
      <c r="B62" s="22" t="s">
        <v>650</v>
      </c>
      <c r="C62" s="23">
        <v>44314</v>
      </c>
      <c r="D62" s="22" t="s">
        <v>485</v>
      </c>
      <c r="E62" s="22" t="s">
        <v>484</v>
      </c>
      <c r="F62" s="22" t="s">
        <v>483</v>
      </c>
      <c r="G62" s="22" t="s">
        <v>482</v>
      </c>
      <c r="H62" s="22" t="s">
        <v>481</v>
      </c>
      <c r="I62" s="22" t="s">
        <v>480</v>
      </c>
      <c r="J62" s="22" t="s">
        <v>479</v>
      </c>
      <c r="K62" s="22" t="s">
        <v>478</v>
      </c>
      <c r="L62" s="22" t="s">
        <v>477</v>
      </c>
      <c r="M62" s="22" t="s">
        <v>487</v>
      </c>
      <c r="N62" s="22" t="s">
        <v>649</v>
      </c>
      <c r="O62" s="22" t="s">
        <v>18</v>
      </c>
      <c r="P62" s="22" t="s">
        <v>288</v>
      </c>
      <c r="Q62" s="22">
        <v>100807914</v>
      </c>
      <c r="R62" s="22" t="s">
        <v>87</v>
      </c>
      <c r="S62" s="24">
        <v>1</v>
      </c>
      <c r="T62" s="20" t="s">
        <v>18</v>
      </c>
      <c r="U62" s="25" t="s">
        <v>288</v>
      </c>
      <c r="V62" s="20">
        <v>100807914</v>
      </c>
      <c r="W62" s="25" t="s">
        <v>912</v>
      </c>
      <c r="X62" s="20" t="s">
        <v>289</v>
      </c>
      <c r="Y62" s="20" t="s">
        <v>87</v>
      </c>
      <c r="Z62" s="20" t="s">
        <v>88</v>
      </c>
      <c r="AA62" s="15">
        <v>16.719437827419195</v>
      </c>
      <c r="AB62" s="15">
        <v>14.92</v>
      </c>
      <c r="AC62" s="15">
        <f t="shared" si="1"/>
        <v>14.92</v>
      </c>
      <c r="AD62" s="15">
        <f t="shared" si="2"/>
        <v>16.719437827419195</v>
      </c>
      <c r="AE62" s="15">
        <f t="shared" si="3"/>
        <v>-1.7994378274191956</v>
      </c>
      <c r="AF62" s="16">
        <f t="shared" si="4"/>
        <v>-0.12060575250798898</v>
      </c>
      <c r="AG62" s="26" t="str">
        <f t="shared" si="5"/>
        <v>Negative</v>
      </c>
      <c r="AH62" s="20"/>
      <c r="AI62" s="20" t="s">
        <v>42</v>
      </c>
      <c r="AJ62" s="20">
        <v>61</v>
      </c>
      <c r="AK62" s="20"/>
    </row>
    <row r="63" spans="1:37" s="27" customFormat="1" ht="12.75" customHeight="1" x14ac:dyDescent="0.2">
      <c r="A63" s="22" t="s">
        <v>486</v>
      </c>
      <c r="B63" s="22" t="s">
        <v>650</v>
      </c>
      <c r="C63" s="23">
        <v>44314</v>
      </c>
      <c r="D63" s="22" t="s">
        <v>485</v>
      </c>
      <c r="E63" s="22" t="s">
        <v>484</v>
      </c>
      <c r="F63" s="22" t="s">
        <v>483</v>
      </c>
      <c r="G63" s="22" t="s">
        <v>482</v>
      </c>
      <c r="H63" s="22" t="s">
        <v>481</v>
      </c>
      <c r="I63" s="22" t="s">
        <v>480</v>
      </c>
      <c r="J63" s="22" t="s">
        <v>479</v>
      </c>
      <c r="K63" s="22" t="s">
        <v>478</v>
      </c>
      <c r="L63" s="22" t="s">
        <v>477</v>
      </c>
      <c r="M63" s="22" t="s">
        <v>487</v>
      </c>
      <c r="N63" s="22" t="s">
        <v>649</v>
      </c>
      <c r="O63" s="22" t="s">
        <v>18</v>
      </c>
      <c r="P63" s="22" t="s">
        <v>290</v>
      </c>
      <c r="Q63" s="22">
        <v>100807928</v>
      </c>
      <c r="R63" s="22" t="s">
        <v>87</v>
      </c>
      <c r="S63" s="24">
        <v>1</v>
      </c>
      <c r="T63" s="20" t="s">
        <v>18</v>
      </c>
      <c r="U63" s="25" t="s">
        <v>290</v>
      </c>
      <c r="V63" s="20">
        <v>100807928</v>
      </c>
      <c r="W63" s="25" t="s">
        <v>912</v>
      </c>
      <c r="X63" s="20" t="s">
        <v>291</v>
      </c>
      <c r="Y63" s="20" t="s">
        <v>87</v>
      </c>
      <c r="Z63" s="20" t="s">
        <v>88</v>
      </c>
      <c r="AA63" s="15">
        <v>17.402361619057032</v>
      </c>
      <c r="AB63" s="15">
        <v>15.53716257668712</v>
      </c>
      <c r="AC63" s="15">
        <f t="shared" si="1"/>
        <v>15.53716257668712</v>
      </c>
      <c r="AD63" s="15">
        <f t="shared" si="2"/>
        <v>17.402361619057032</v>
      </c>
      <c r="AE63" s="15">
        <f t="shared" si="3"/>
        <v>-1.8651990423699125</v>
      </c>
      <c r="AF63" s="16">
        <f t="shared" si="4"/>
        <v>-0.12004759769770111</v>
      </c>
      <c r="AG63" s="26" t="str">
        <f t="shared" si="5"/>
        <v>Negative</v>
      </c>
      <c r="AH63" s="20"/>
      <c r="AI63" s="20" t="s">
        <v>42</v>
      </c>
      <c r="AJ63" s="20">
        <v>33</v>
      </c>
      <c r="AK63" s="20"/>
    </row>
    <row r="64" spans="1:37" s="27" customFormat="1" ht="12.75" customHeight="1" x14ac:dyDescent="0.2">
      <c r="A64" s="22" t="s">
        <v>486</v>
      </c>
      <c r="B64" s="22" t="s">
        <v>650</v>
      </c>
      <c r="C64" s="23">
        <v>44314</v>
      </c>
      <c r="D64" s="22" t="s">
        <v>485</v>
      </c>
      <c r="E64" s="22" t="s">
        <v>484</v>
      </c>
      <c r="F64" s="22" t="s">
        <v>483</v>
      </c>
      <c r="G64" s="22" t="s">
        <v>482</v>
      </c>
      <c r="H64" s="22" t="s">
        <v>481</v>
      </c>
      <c r="I64" s="22" t="s">
        <v>480</v>
      </c>
      <c r="J64" s="22" t="s">
        <v>479</v>
      </c>
      <c r="K64" s="22" t="s">
        <v>478</v>
      </c>
      <c r="L64" s="22" t="s">
        <v>477</v>
      </c>
      <c r="M64" s="22" t="s">
        <v>487</v>
      </c>
      <c r="N64" s="22" t="s">
        <v>649</v>
      </c>
      <c r="O64" s="22" t="s">
        <v>22</v>
      </c>
      <c r="P64" s="22" t="s">
        <v>284</v>
      </c>
      <c r="Q64" s="22">
        <v>100733529</v>
      </c>
      <c r="R64" s="22" t="s">
        <v>87</v>
      </c>
      <c r="S64" s="24">
        <v>2</v>
      </c>
      <c r="T64" s="20" t="s">
        <v>22</v>
      </c>
      <c r="U64" s="25" t="s">
        <v>284</v>
      </c>
      <c r="V64" s="20">
        <v>100733529</v>
      </c>
      <c r="W64" s="25" t="s">
        <v>911</v>
      </c>
      <c r="X64" s="20" t="s">
        <v>285</v>
      </c>
      <c r="Y64" s="20" t="s">
        <v>87</v>
      </c>
      <c r="Z64" s="20" t="s">
        <v>88</v>
      </c>
      <c r="AA64" s="15">
        <v>48.16</v>
      </c>
      <c r="AB64" s="15">
        <v>49.45</v>
      </c>
      <c r="AC64" s="15">
        <f t="shared" si="1"/>
        <v>98.9</v>
      </c>
      <c r="AD64" s="15">
        <f t="shared" si="2"/>
        <v>96.32</v>
      </c>
      <c r="AE64" s="15">
        <f t="shared" si="3"/>
        <v>2.5800000000000125</v>
      </c>
      <c r="AF64" s="16">
        <f t="shared" si="4"/>
        <v>2.6086956521739254E-2</v>
      </c>
      <c r="AG64" s="26" t="str">
        <f t="shared" si="5"/>
        <v>0-10%</v>
      </c>
      <c r="AH64" s="20"/>
      <c r="AI64" s="20" t="s">
        <v>42</v>
      </c>
      <c r="AJ64" s="20">
        <v>263</v>
      </c>
      <c r="AK64" s="20"/>
    </row>
    <row r="65" spans="1:37" s="27" customFormat="1" ht="12.75" customHeight="1" x14ac:dyDescent="0.2">
      <c r="A65" s="22" t="s">
        <v>486</v>
      </c>
      <c r="B65" s="22" t="s">
        <v>648</v>
      </c>
      <c r="C65" s="23">
        <v>44316</v>
      </c>
      <c r="D65" s="22" t="s">
        <v>485</v>
      </c>
      <c r="E65" s="22" t="s">
        <v>484</v>
      </c>
      <c r="F65" s="22" t="s">
        <v>483</v>
      </c>
      <c r="G65" s="22" t="s">
        <v>482</v>
      </c>
      <c r="H65" s="22" t="s">
        <v>481</v>
      </c>
      <c r="I65" s="22" t="s">
        <v>480</v>
      </c>
      <c r="J65" s="22" t="s">
        <v>479</v>
      </c>
      <c r="K65" s="22" t="s">
        <v>478</v>
      </c>
      <c r="L65" s="22" t="s">
        <v>477</v>
      </c>
      <c r="M65" s="22" t="s">
        <v>647</v>
      </c>
      <c r="N65" s="22" t="s">
        <v>646</v>
      </c>
      <c r="O65" s="22" t="s">
        <v>4</v>
      </c>
      <c r="P65" s="22" t="s">
        <v>292</v>
      </c>
      <c r="Q65" s="22">
        <v>103375534</v>
      </c>
      <c r="R65" s="22" t="s">
        <v>87</v>
      </c>
      <c r="S65" s="24">
        <v>2</v>
      </c>
      <c r="T65" s="20" t="s">
        <v>4</v>
      </c>
      <c r="U65" s="25" t="s">
        <v>292</v>
      </c>
      <c r="V65" s="20">
        <v>103375534</v>
      </c>
      <c r="W65" s="25" t="s">
        <v>913</v>
      </c>
      <c r="X65" s="20" t="s">
        <v>293</v>
      </c>
      <c r="Y65" s="20" t="s">
        <v>87</v>
      </c>
      <c r="Z65" s="20" t="s">
        <v>88</v>
      </c>
      <c r="AA65" s="15">
        <v>280.06</v>
      </c>
      <c r="AB65" s="15">
        <v>331.13</v>
      </c>
      <c r="AC65" s="15">
        <f t="shared" si="1"/>
        <v>662.26</v>
      </c>
      <c r="AD65" s="15">
        <f t="shared" si="2"/>
        <v>560.12</v>
      </c>
      <c r="AE65" s="15">
        <f t="shared" si="3"/>
        <v>102.13999999999999</v>
      </c>
      <c r="AF65" s="16">
        <f t="shared" si="4"/>
        <v>0.15422945670884544</v>
      </c>
      <c r="AG65" s="26" t="str">
        <f t="shared" si="5"/>
        <v>10-20%</v>
      </c>
      <c r="AH65" s="20"/>
      <c r="AI65" s="20" t="s">
        <v>43</v>
      </c>
      <c r="AJ65" s="20">
        <v>0</v>
      </c>
      <c r="AK65" s="20"/>
    </row>
    <row r="66" spans="1:37" s="27" customFormat="1" ht="12.75" customHeight="1" x14ac:dyDescent="0.2">
      <c r="A66" s="22" t="s">
        <v>486</v>
      </c>
      <c r="B66" s="22" t="s">
        <v>645</v>
      </c>
      <c r="C66" s="23">
        <v>44319</v>
      </c>
      <c r="D66" s="22" t="s">
        <v>485</v>
      </c>
      <c r="E66" s="22" t="s">
        <v>484</v>
      </c>
      <c r="F66" s="22" t="s">
        <v>483</v>
      </c>
      <c r="G66" s="22" t="s">
        <v>482</v>
      </c>
      <c r="H66" s="22" t="s">
        <v>481</v>
      </c>
      <c r="I66" s="22" t="s">
        <v>480</v>
      </c>
      <c r="J66" s="22" t="s">
        <v>479</v>
      </c>
      <c r="K66" s="22" t="s">
        <v>478</v>
      </c>
      <c r="L66" s="22" t="s">
        <v>477</v>
      </c>
      <c r="M66" s="22" t="s">
        <v>487</v>
      </c>
      <c r="N66" s="22" t="s">
        <v>644</v>
      </c>
      <c r="O66" s="22" t="s">
        <v>24</v>
      </c>
      <c r="P66" s="22" t="s">
        <v>294</v>
      </c>
      <c r="Q66" s="22">
        <v>112156565</v>
      </c>
      <c r="R66" s="22" t="s">
        <v>87</v>
      </c>
      <c r="S66" s="24">
        <v>1</v>
      </c>
      <c r="T66" s="20" t="s">
        <v>24</v>
      </c>
      <c r="U66" s="25" t="s">
        <v>294</v>
      </c>
      <c r="V66" s="20">
        <v>112156565</v>
      </c>
      <c r="W66" s="25" t="s">
        <v>913</v>
      </c>
      <c r="X66" s="20" t="s">
        <v>295</v>
      </c>
      <c r="Y66" s="20" t="s">
        <v>87</v>
      </c>
      <c r="Z66" s="20" t="s">
        <v>97</v>
      </c>
      <c r="AA66" s="15">
        <v>1128.9529411764706</v>
      </c>
      <c r="AB66" s="15">
        <v>1258.52</v>
      </c>
      <c r="AC66" s="15">
        <f t="shared" si="1"/>
        <v>1258.52</v>
      </c>
      <c r="AD66" s="15">
        <f t="shared" si="2"/>
        <v>1128.9529411764706</v>
      </c>
      <c r="AE66" s="15">
        <f t="shared" si="3"/>
        <v>129.56705882352935</v>
      </c>
      <c r="AF66" s="16">
        <f t="shared" si="4"/>
        <v>0.10295192672625732</v>
      </c>
      <c r="AG66" s="26" t="str">
        <f t="shared" si="5"/>
        <v>10-20%</v>
      </c>
      <c r="AH66" s="20"/>
      <c r="AI66" s="20" t="s">
        <v>43</v>
      </c>
      <c r="AJ66" s="20">
        <v>0</v>
      </c>
      <c r="AK66" s="20"/>
    </row>
    <row r="67" spans="1:37" s="27" customFormat="1" ht="12.75" customHeight="1" x14ac:dyDescent="0.2">
      <c r="A67" s="22" t="s">
        <v>705</v>
      </c>
      <c r="B67" s="22" t="s">
        <v>788</v>
      </c>
      <c r="C67" s="23">
        <v>44321</v>
      </c>
      <c r="D67" s="22" t="s">
        <v>485</v>
      </c>
      <c r="E67" s="22" t="s">
        <v>484</v>
      </c>
      <c r="F67" s="22" t="s">
        <v>483</v>
      </c>
      <c r="G67" s="22" t="s">
        <v>704</v>
      </c>
      <c r="H67" s="22" t="s">
        <v>703</v>
      </c>
      <c r="I67" s="22" t="s">
        <v>702</v>
      </c>
      <c r="J67" s="22" t="s">
        <v>701</v>
      </c>
      <c r="K67" s="22" t="s">
        <v>700</v>
      </c>
      <c r="L67" s="22" t="s">
        <v>699</v>
      </c>
      <c r="M67" s="22" t="s">
        <v>724</v>
      </c>
      <c r="N67" s="22" t="s">
        <v>787</v>
      </c>
      <c r="O67" s="22" t="s">
        <v>16</v>
      </c>
      <c r="P67" s="22" t="s">
        <v>182</v>
      </c>
      <c r="Q67" s="22">
        <v>110988151</v>
      </c>
      <c r="R67" s="22" t="s">
        <v>87</v>
      </c>
      <c r="S67" s="24">
        <v>2</v>
      </c>
      <c r="T67" s="20" t="s">
        <v>16</v>
      </c>
      <c r="U67" s="25" t="s">
        <v>182</v>
      </c>
      <c r="V67" s="20">
        <v>110988151</v>
      </c>
      <c r="W67" s="25" t="s">
        <v>913</v>
      </c>
      <c r="X67" s="20" t="s">
        <v>183</v>
      </c>
      <c r="Y67" s="20" t="s">
        <v>87</v>
      </c>
      <c r="Z67" s="20" t="s">
        <v>88</v>
      </c>
      <c r="AA67" s="15">
        <v>243.49</v>
      </c>
      <c r="AB67" s="15">
        <v>237.11</v>
      </c>
      <c r="AC67" s="15">
        <f t="shared" ref="AC67:AC130" si="6">AB67*S67</f>
        <v>474.22</v>
      </c>
      <c r="AD67" s="15">
        <f t="shared" ref="AD67:AD130" si="7">AA67*S67</f>
        <v>486.98</v>
      </c>
      <c r="AE67" s="15">
        <f t="shared" ref="AE67:AE130" si="8">AC67-AD67</f>
        <v>-12.759999999999991</v>
      </c>
      <c r="AF67" s="16">
        <f t="shared" ref="AF67:AF130" si="9">AE67/AC67</f>
        <v>-2.6907342583610962E-2</v>
      </c>
      <c r="AG67" s="26" t="str">
        <f t="shared" ref="AG67:AG130" si="10">IF(AF67&lt;0,"Negative",IF(AF67=0,"Same",IF(AF67&gt;0.3,"30+%",IF(AF67&gt;0.2,"20-30%",IF(AF67&gt;0.1,"10-20%",IF(AF67&lt;=0.1,"0-10%"))))))</f>
        <v>Negative</v>
      </c>
      <c r="AH67" s="20" t="s">
        <v>921</v>
      </c>
      <c r="AI67" s="20" t="s">
        <v>43</v>
      </c>
      <c r="AJ67" s="20">
        <v>0</v>
      </c>
      <c r="AK67" s="20"/>
    </row>
    <row r="68" spans="1:37" s="27" customFormat="1" ht="12.75" customHeight="1" x14ac:dyDescent="0.2">
      <c r="A68" s="22" t="s">
        <v>833</v>
      </c>
      <c r="B68" s="22" t="s">
        <v>874</v>
      </c>
      <c r="C68" s="23">
        <v>44323</v>
      </c>
      <c r="D68" s="22"/>
      <c r="E68" s="22"/>
      <c r="F68" s="22" t="s">
        <v>832</v>
      </c>
      <c r="G68" s="22" t="s">
        <v>832</v>
      </c>
      <c r="H68" s="22" t="s">
        <v>831</v>
      </c>
      <c r="I68" s="22" t="s">
        <v>830</v>
      </c>
      <c r="J68" s="22" t="s">
        <v>829</v>
      </c>
      <c r="K68" s="22" t="s">
        <v>828</v>
      </c>
      <c r="L68" s="22" t="s">
        <v>827</v>
      </c>
      <c r="M68" s="22" t="s">
        <v>487</v>
      </c>
      <c r="N68" s="22" t="s">
        <v>873</v>
      </c>
      <c r="O68" s="22" t="s">
        <v>22</v>
      </c>
      <c r="P68" s="22" t="s">
        <v>103</v>
      </c>
      <c r="Q68" s="22">
        <v>116176728</v>
      </c>
      <c r="R68" s="22" t="s">
        <v>87</v>
      </c>
      <c r="S68" s="24">
        <v>1</v>
      </c>
      <c r="T68" s="20" t="s">
        <v>22</v>
      </c>
      <c r="U68" s="25" t="s">
        <v>103</v>
      </c>
      <c r="V68" s="20">
        <v>116176728</v>
      </c>
      <c r="W68" s="25" t="s">
        <v>912</v>
      </c>
      <c r="X68" s="20" t="s">
        <v>104</v>
      </c>
      <c r="Y68" s="20" t="s">
        <v>87</v>
      </c>
      <c r="Z68" s="20" t="s">
        <v>97</v>
      </c>
      <c r="AA68" s="15">
        <v>535.19000000000005</v>
      </c>
      <c r="AB68" s="15">
        <v>634.21092629767702</v>
      </c>
      <c r="AC68" s="15">
        <f t="shared" si="6"/>
        <v>634.21092629767702</v>
      </c>
      <c r="AD68" s="15">
        <f t="shared" si="7"/>
        <v>535.19000000000005</v>
      </c>
      <c r="AE68" s="15">
        <f t="shared" si="8"/>
        <v>99.020926297676965</v>
      </c>
      <c r="AF68" s="16">
        <f t="shared" si="9"/>
        <v>0.15613248241516406</v>
      </c>
      <c r="AG68" s="26" t="str">
        <f t="shared" si="10"/>
        <v>10-20%</v>
      </c>
      <c r="AH68" s="20"/>
      <c r="AI68" s="20" t="s">
        <v>43</v>
      </c>
      <c r="AJ68" s="20">
        <v>0</v>
      </c>
      <c r="AK68" s="20"/>
    </row>
    <row r="69" spans="1:37" s="27" customFormat="1" ht="12.75" customHeight="1" x14ac:dyDescent="0.2">
      <c r="A69" s="22" t="s">
        <v>486</v>
      </c>
      <c r="B69" s="22" t="s">
        <v>643</v>
      </c>
      <c r="C69" s="23">
        <v>44327</v>
      </c>
      <c r="D69" s="22" t="s">
        <v>485</v>
      </c>
      <c r="E69" s="22" t="s">
        <v>484</v>
      </c>
      <c r="F69" s="22" t="s">
        <v>483</v>
      </c>
      <c r="G69" s="22" t="s">
        <v>482</v>
      </c>
      <c r="H69" s="22" t="s">
        <v>481</v>
      </c>
      <c r="I69" s="22" t="s">
        <v>480</v>
      </c>
      <c r="J69" s="22" t="s">
        <v>479</v>
      </c>
      <c r="K69" s="22" t="s">
        <v>478</v>
      </c>
      <c r="L69" s="22" t="s">
        <v>477</v>
      </c>
      <c r="M69" s="22" t="s">
        <v>476</v>
      </c>
      <c r="N69" s="22" t="s">
        <v>640</v>
      </c>
      <c r="O69" s="22" t="s">
        <v>31</v>
      </c>
      <c r="P69" s="22" t="s">
        <v>300</v>
      </c>
      <c r="Q69" s="22">
        <v>102118734</v>
      </c>
      <c r="R69" s="22" t="s">
        <v>87</v>
      </c>
      <c r="S69" s="24">
        <v>2</v>
      </c>
      <c r="T69" s="20" t="s">
        <v>31</v>
      </c>
      <c r="U69" s="25" t="s">
        <v>300</v>
      </c>
      <c r="V69" s="20">
        <v>102118734</v>
      </c>
      <c r="W69" s="25" t="s">
        <v>912</v>
      </c>
      <c r="X69" s="20" t="s">
        <v>301</v>
      </c>
      <c r="Y69" s="20" t="s">
        <v>87</v>
      </c>
      <c r="Z69" s="20" t="s">
        <v>88</v>
      </c>
      <c r="AA69" s="15">
        <v>6.39</v>
      </c>
      <c r="AB69" s="15">
        <v>7.45</v>
      </c>
      <c r="AC69" s="15">
        <f t="shared" si="6"/>
        <v>14.9</v>
      </c>
      <c r="AD69" s="15">
        <f t="shared" si="7"/>
        <v>12.78</v>
      </c>
      <c r="AE69" s="15">
        <f t="shared" si="8"/>
        <v>2.120000000000001</v>
      </c>
      <c r="AF69" s="16">
        <f t="shared" si="9"/>
        <v>0.14228187919463092</v>
      </c>
      <c r="AG69" s="26" t="str">
        <f t="shared" si="10"/>
        <v>10-20%</v>
      </c>
      <c r="AH69" s="20"/>
      <c r="AI69" s="20" t="s">
        <v>42</v>
      </c>
      <c r="AJ69" s="20">
        <v>385</v>
      </c>
      <c r="AK69" s="20"/>
    </row>
    <row r="70" spans="1:37" s="27" customFormat="1" ht="12.75" customHeight="1" x14ac:dyDescent="0.2">
      <c r="A70" s="22" t="s">
        <v>486</v>
      </c>
      <c r="B70" s="22" t="s">
        <v>643</v>
      </c>
      <c r="C70" s="23">
        <v>44327</v>
      </c>
      <c r="D70" s="22" t="s">
        <v>485</v>
      </c>
      <c r="E70" s="22" t="s">
        <v>484</v>
      </c>
      <c r="F70" s="22" t="s">
        <v>483</v>
      </c>
      <c r="G70" s="22" t="s">
        <v>482</v>
      </c>
      <c r="H70" s="22" t="s">
        <v>481</v>
      </c>
      <c r="I70" s="22" t="s">
        <v>480</v>
      </c>
      <c r="J70" s="22" t="s">
        <v>479</v>
      </c>
      <c r="K70" s="22" t="s">
        <v>478</v>
      </c>
      <c r="L70" s="22" t="s">
        <v>477</v>
      </c>
      <c r="M70" s="22" t="s">
        <v>476</v>
      </c>
      <c r="N70" s="22" t="s">
        <v>640</v>
      </c>
      <c r="O70" s="22" t="s">
        <v>19</v>
      </c>
      <c r="P70" s="22" t="s">
        <v>296</v>
      </c>
      <c r="Q70" s="22">
        <v>101004044</v>
      </c>
      <c r="R70" s="22" t="s">
        <v>87</v>
      </c>
      <c r="S70" s="24">
        <v>1</v>
      </c>
      <c r="T70" s="20" t="s">
        <v>19</v>
      </c>
      <c r="U70" s="25" t="s">
        <v>296</v>
      </c>
      <c r="V70" s="20">
        <v>101004044</v>
      </c>
      <c r="W70" s="25" t="s">
        <v>916</v>
      </c>
      <c r="X70" s="20" t="s">
        <v>297</v>
      </c>
      <c r="Y70" s="20" t="s">
        <v>87</v>
      </c>
      <c r="Z70" s="20" t="s">
        <v>88</v>
      </c>
      <c r="AA70" s="15">
        <v>715.02</v>
      </c>
      <c r="AB70" s="15">
        <v>888.45</v>
      </c>
      <c r="AC70" s="15">
        <f t="shared" si="6"/>
        <v>888.45</v>
      </c>
      <c r="AD70" s="15">
        <f t="shared" si="7"/>
        <v>715.02</v>
      </c>
      <c r="AE70" s="15">
        <f t="shared" si="8"/>
        <v>173.43000000000006</v>
      </c>
      <c r="AF70" s="16">
        <f t="shared" si="9"/>
        <v>0.19520513253418881</v>
      </c>
      <c r="AG70" s="26" t="str">
        <f t="shared" si="10"/>
        <v>10-20%</v>
      </c>
      <c r="AH70" s="20"/>
      <c r="AI70" s="20" t="s">
        <v>42</v>
      </c>
      <c r="AJ70" s="20">
        <v>58</v>
      </c>
      <c r="AK70" s="20"/>
    </row>
    <row r="71" spans="1:37" s="27" customFormat="1" ht="12.75" customHeight="1" x14ac:dyDescent="0.2">
      <c r="A71" s="22" t="s">
        <v>486</v>
      </c>
      <c r="B71" s="22" t="s">
        <v>643</v>
      </c>
      <c r="C71" s="23">
        <v>44327</v>
      </c>
      <c r="D71" s="22" t="s">
        <v>485</v>
      </c>
      <c r="E71" s="22" t="s">
        <v>484</v>
      </c>
      <c r="F71" s="22" t="s">
        <v>483</v>
      </c>
      <c r="G71" s="22" t="s">
        <v>482</v>
      </c>
      <c r="H71" s="22" t="s">
        <v>481</v>
      </c>
      <c r="I71" s="22" t="s">
        <v>480</v>
      </c>
      <c r="J71" s="22" t="s">
        <v>479</v>
      </c>
      <c r="K71" s="22" t="s">
        <v>478</v>
      </c>
      <c r="L71" s="22" t="s">
        <v>477</v>
      </c>
      <c r="M71" s="22" t="s">
        <v>476</v>
      </c>
      <c r="N71" s="22" t="s">
        <v>640</v>
      </c>
      <c r="O71" s="22" t="s">
        <v>17</v>
      </c>
      <c r="P71" s="22" t="s">
        <v>298</v>
      </c>
      <c r="Q71" s="22">
        <v>100771224</v>
      </c>
      <c r="R71" s="22" t="s">
        <v>87</v>
      </c>
      <c r="S71" s="24">
        <v>3</v>
      </c>
      <c r="T71" s="20" t="s">
        <v>17</v>
      </c>
      <c r="U71" s="25" t="s">
        <v>298</v>
      </c>
      <c r="V71" s="20">
        <v>100771224</v>
      </c>
      <c r="W71" s="25" t="s">
        <v>912</v>
      </c>
      <c r="X71" s="20" t="s">
        <v>299</v>
      </c>
      <c r="Y71" s="20" t="s">
        <v>87</v>
      </c>
      <c r="Z71" s="20" t="s">
        <v>88</v>
      </c>
      <c r="AA71" s="15">
        <v>18.02</v>
      </c>
      <c r="AB71" s="15">
        <v>24.86</v>
      </c>
      <c r="AC71" s="15">
        <f t="shared" si="6"/>
        <v>74.58</v>
      </c>
      <c r="AD71" s="15">
        <f t="shared" si="7"/>
        <v>54.06</v>
      </c>
      <c r="AE71" s="15">
        <f t="shared" si="8"/>
        <v>20.519999999999996</v>
      </c>
      <c r="AF71" s="16">
        <f t="shared" si="9"/>
        <v>0.27514078841512463</v>
      </c>
      <c r="AG71" s="26" t="str">
        <f t="shared" si="10"/>
        <v>20-30%</v>
      </c>
      <c r="AH71" s="20"/>
      <c r="AI71" s="20" t="s">
        <v>42</v>
      </c>
      <c r="AJ71" s="20">
        <v>87</v>
      </c>
      <c r="AK71" s="20"/>
    </row>
    <row r="72" spans="1:37" s="27" customFormat="1" ht="12.75" customHeight="1" x14ac:dyDescent="0.2">
      <c r="A72" s="22" t="s">
        <v>833</v>
      </c>
      <c r="B72" s="22" t="s">
        <v>872</v>
      </c>
      <c r="C72" s="23">
        <v>44328</v>
      </c>
      <c r="D72" s="22"/>
      <c r="E72" s="22"/>
      <c r="F72" s="22" t="s">
        <v>832</v>
      </c>
      <c r="G72" s="22" t="s">
        <v>832</v>
      </c>
      <c r="H72" s="22" t="s">
        <v>831</v>
      </c>
      <c r="I72" s="22" t="s">
        <v>830</v>
      </c>
      <c r="J72" s="22" t="s">
        <v>829</v>
      </c>
      <c r="K72" s="22" t="s">
        <v>828</v>
      </c>
      <c r="L72" s="22" t="s">
        <v>827</v>
      </c>
      <c r="M72" s="22" t="s">
        <v>852</v>
      </c>
      <c r="N72" s="22" t="s">
        <v>854</v>
      </c>
      <c r="O72" s="22" t="s">
        <v>74</v>
      </c>
      <c r="P72" s="22" t="s">
        <v>105</v>
      </c>
      <c r="Q72" s="22">
        <v>106012546</v>
      </c>
      <c r="R72" s="22" t="s">
        <v>87</v>
      </c>
      <c r="S72" s="24">
        <v>2</v>
      </c>
      <c r="T72" s="20" t="s">
        <v>74</v>
      </c>
      <c r="U72" s="25" t="s">
        <v>105</v>
      </c>
      <c r="V72" s="20">
        <v>106012546</v>
      </c>
      <c r="W72" s="25" t="s">
        <v>918</v>
      </c>
      <c r="X72" s="20" t="s">
        <v>106</v>
      </c>
      <c r="Y72" s="20" t="s">
        <v>87</v>
      </c>
      <c r="Z72" s="20" t="s">
        <v>88</v>
      </c>
      <c r="AA72" s="15">
        <v>18.649999999999999</v>
      </c>
      <c r="AB72" s="15">
        <v>24.141180842279113</v>
      </c>
      <c r="AC72" s="15">
        <f t="shared" si="6"/>
        <v>48.282361684558225</v>
      </c>
      <c r="AD72" s="15">
        <f t="shared" si="7"/>
        <v>37.299999999999997</v>
      </c>
      <c r="AE72" s="15">
        <f t="shared" si="8"/>
        <v>10.982361684558228</v>
      </c>
      <c r="AF72" s="16">
        <f t="shared" si="9"/>
        <v>0.22746115354317126</v>
      </c>
      <c r="AG72" s="26" t="str">
        <f t="shared" si="10"/>
        <v>20-30%</v>
      </c>
      <c r="AH72" s="20"/>
      <c r="AI72" s="20" t="s">
        <v>43</v>
      </c>
      <c r="AJ72" s="20">
        <v>1</v>
      </c>
      <c r="AK72" s="20"/>
    </row>
    <row r="73" spans="1:37" s="27" customFormat="1" ht="12.75" customHeight="1" x14ac:dyDescent="0.2">
      <c r="A73" s="22" t="s">
        <v>486</v>
      </c>
      <c r="B73" s="22" t="s">
        <v>642</v>
      </c>
      <c r="C73" s="23">
        <v>44328</v>
      </c>
      <c r="D73" s="22" t="s">
        <v>485</v>
      </c>
      <c r="E73" s="22" t="s">
        <v>484</v>
      </c>
      <c r="F73" s="22" t="s">
        <v>483</v>
      </c>
      <c r="G73" s="22" t="s">
        <v>482</v>
      </c>
      <c r="H73" s="22" t="s">
        <v>481</v>
      </c>
      <c r="I73" s="22" t="s">
        <v>480</v>
      </c>
      <c r="J73" s="22" t="s">
        <v>479</v>
      </c>
      <c r="K73" s="22" t="s">
        <v>478</v>
      </c>
      <c r="L73" s="22" t="s">
        <v>477</v>
      </c>
      <c r="M73" s="22" t="s">
        <v>641</v>
      </c>
      <c r="N73" s="22" t="s">
        <v>640</v>
      </c>
      <c r="O73" s="22" t="s">
        <v>7</v>
      </c>
      <c r="P73" s="22" t="s">
        <v>302</v>
      </c>
      <c r="Q73" s="22">
        <v>101547983</v>
      </c>
      <c r="R73" s="22" t="s">
        <v>87</v>
      </c>
      <c r="S73" s="24">
        <v>10</v>
      </c>
      <c r="T73" s="20" t="s">
        <v>7</v>
      </c>
      <c r="U73" s="25" t="s">
        <v>302</v>
      </c>
      <c r="V73" s="20">
        <v>101547983</v>
      </c>
      <c r="W73" s="25" t="s">
        <v>912</v>
      </c>
      <c r="X73" s="20" t="s">
        <v>303</v>
      </c>
      <c r="Y73" s="20" t="s">
        <v>87</v>
      </c>
      <c r="Z73" s="20" t="s">
        <v>88</v>
      </c>
      <c r="AA73" s="15">
        <v>6.155555555555555</v>
      </c>
      <c r="AB73" s="15">
        <v>6.3</v>
      </c>
      <c r="AC73" s="15">
        <f t="shared" si="6"/>
        <v>63</v>
      </c>
      <c r="AD73" s="15">
        <f t="shared" si="7"/>
        <v>61.55555555555555</v>
      </c>
      <c r="AE73" s="15">
        <f t="shared" si="8"/>
        <v>1.44444444444445</v>
      </c>
      <c r="AF73" s="16">
        <f t="shared" si="9"/>
        <v>2.292768959435635E-2</v>
      </c>
      <c r="AG73" s="26" t="str">
        <f t="shared" si="10"/>
        <v>0-10%</v>
      </c>
      <c r="AH73" s="20"/>
      <c r="AI73" s="20" t="s">
        <v>43</v>
      </c>
      <c r="AJ73" s="20">
        <v>26</v>
      </c>
      <c r="AK73" s="20"/>
    </row>
    <row r="74" spans="1:37" s="27" customFormat="1" ht="12.75" customHeight="1" x14ac:dyDescent="0.2">
      <c r="A74" s="22" t="s">
        <v>833</v>
      </c>
      <c r="B74" s="22" t="s">
        <v>871</v>
      </c>
      <c r="C74" s="23">
        <v>44333</v>
      </c>
      <c r="D74" s="22"/>
      <c r="E74" s="22"/>
      <c r="F74" s="22" t="s">
        <v>832</v>
      </c>
      <c r="G74" s="22" t="s">
        <v>832</v>
      </c>
      <c r="H74" s="22" t="s">
        <v>831</v>
      </c>
      <c r="I74" s="22" t="s">
        <v>830</v>
      </c>
      <c r="J74" s="22" t="s">
        <v>829</v>
      </c>
      <c r="K74" s="22" t="s">
        <v>828</v>
      </c>
      <c r="L74" s="22" t="s">
        <v>827</v>
      </c>
      <c r="M74" s="22" t="s">
        <v>852</v>
      </c>
      <c r="N74" s="22" t="s">
        <v>854</v>
      </c>
      <c r="O74" s="22" t="s">
        <v>3</v>
      </c>
      <c r="P74" s="22" t="s">
        <v>107</v>
      </c>
      <c r="Q74" s="22">
        <v>118373844</v>
      </c>
      <c r="R74" s="22" t="s">
        <v>87</v>
      </c>
      <c r="S74" s="24">
        <v>10</v>
      </c>
      <c r="T74" s="20" t="s">
        <v>3</v>
      </c>
      <c r="U74" s="25" t="s">
        <v>107</v>
      </c>
      <c r="V74" s="20">
        <v>118373844</v>
      </c>
      <c r="W74" s="25" t="s">
        <v>914</v>
      </c>
      <c r="X74" s="20" t="s">
        <v>108</v>
      </c>
      <c r="Y74" s="20" t="s">
        <v>87</v>
      </c>
      <c r="Z74" s="20" t="s">
        <v>97</v>
      </c>
      <c r="AA74" s="15">
        <v>10.53</v>
      </c>
      <c r="AB74" s="15">
        <v>15.22</v>
      </c>
      <c r="AC74" s="15">
        <f t="shared" si="6"/>
        <v>152.20000000000002</v>
      </c>
      <c r="AD74" s="15">
        <f t="shared" si="7"/>
        <v>105.3</v>
      </c>
      <c r="AE74" s="15">
        <f t="shared" si="8"/>
        <v>46.90000000000002</v>
      </c>
      <c r="AF74" s="16">
        <f t="shared" si="9"/>
        <v>0.3081471747700395</v>
      </c>
      <c r="AG74" s="26" t="str">
        <f t="shared" si="10"/>
        <v>30+%</v>
      </c>
      <c r="AH74" s="20"/>
      <c r="AI74" s="20" t="s">
        <v>43</v>
      </c>
      <c r="AJ74" s="20">
        <v>0</v>
      </c>
      <c r="AK74" s="20"/>
    </row>
    <row r="75" spans="1:37" s="27" customFormat="1" ht="12.75" customHeight="1" x14ac:dyDescent="0.2">
      <c r="A75" s="22" t="s">
        <v>833</v>
      </c>
      <c r="B75" s="22" t="s">
        <v>870</v>
      </c>
      <c r="C75" s="23">
        <v>44333</v>
      </c>
      <c r="D75" s="22"/>
      <c r="E75" s="22"/>
      <c r="F75" s="22" t="s">
        <v>832</v>
      </c>
      <c r="G75" s="22" t="s">
        <v>832</v>
      </c>
      <c r="H75" s="22" t="s">
        <v>831</v>
      </c>
      <c r="I75" s="22" t="s">
        <v>830</v>
      </c>
      <c r="J75" s="22" t="s">
        <v>829</v>
      </c>
      <c r="K75" s="22" t="s">
        <v>828</v>
      </c>
      <c r="L75" s="22" t="s">
        <v>827</v>
      </c>
      <c r="M75" s="22" t="s">
        <v>852</v>
      </c>
      <c r="N75" s="22" t="s">
        <v>854</v>
      </c>
      <c r="O75" s="22" t="s">
        <v>109</v>
      </c>
      <c r="P75" s="22" t="s">
        <v>110</v>
      </c>
      <c r="Q75" s="22">
        <v>118374134</v>
      </c>
      <c r="R75" s="22" t="s">
        <v>87</v>
      </c>
      <c r="S75" s="24">
        <v>2</v>
      </c>
      <c r="T75" s="20" t="s">
        <v>109</v>
      </c>
      <c r="U75" s="25" t="s">
        <v>110</v>
      </c>
      <c r="V75" s="20">
        <v>118374134</v>
      </c>
      <c r="W75" s="25" t="s">
        <v>914</v>
      </c>
      <c r="X75" s="20" t="s">
        <v>111</v>
      </c>
      <c r="Y75" s="20" t="s">
        <v>87</v>
      </c>
      <c r="Z75" s="20" t="s">
        <v>97</v>
      </c>
      <c r="AA75" s="15">
        <v>10.88</v>
      </c>
      <c r="AB75" s="15">
        <v>13.48</v>
      </c>
      <c r="AC75" s="15">
        <f t="shared" si="6"/>
        <v>26.96</v>
      </c>
      <c r="AD75" s="15">
        <f t="shared" si="7"/>
        <v>21.76</v>
      </c>
      <c r="AE75" s="15">
        <f t="shared" si="8"/>
        <v>5.1999999999999993</v>
      </c>
      <c r="AF75" s="16">
        <f t="shared" si="9"/>
        <v>0.19287833827893172</v>
      </c>
      <c r="AG75" s="26" t="str">
        <f t="shared" si="10"/>
        <v>10-20%</v>
      </c>
      <c r="AH75" s="20"/>
      <c r="AI75" s="20" t="s">
        <v>43</v>
      </c>
      <c r="AJ75" s="20">
        <v>0</v>
      </c>
      <c r="AK75" s="20"/>
    </row>
    <row r="76" spans="1:37" s="27" customFormat="1" ht="12.75" customHeight="1" x14ac:dyDescent="0.2">
      <c r="A76" s="22" t="s">
        <v>705</v>
      </c>
      <c r="B76" s="22" t="s">
        <v>786</v>
      </c>
      <c r="C76" s="23">
        <v>44335</v>
      </c>
      <c r="D76" s="22" t="s">
        <v>485</v>
      </c>
      <c r="E76" s="22" t="s">
        <v>484</v>
      </c>
      <c r="F76" s="22" t="s">
        <v>483</v>
      </c>
      <c r="G76" s="22" t="s">
        <v>704</v>
      </c>
      <c r="H76" s="22" t="s">
        <v>703</v>
      </c>
      <c r="I76" s="22" t="s">
        <v>702</v>
      </c>
      <c r="J76" s="22" t="s">
        <v>701</v>
      </c>
      <c r="K76" s="22" t="s">
        <v>700</v>
      </c>
      <c r="L76" s="22" t="s">
        <v>699</v>
      </c>
      <c r="M76" s="22" t="s">
        <v>724</v>
      </c>
      <c r="N76" s="22" t="s">
        <v>785</v>
      </c>
      <c r="O76" s="22" t="s">
        <v>16</v>
      </c>
      <c r="P76" s="22" t="s">
        <v>182</v>
      </c>
      <c r="Q76" s="22">
        <v>110988151</v>
      </c>
      <c r="R76" s="22" t="s">
        <v>87</v>
      </c>
      <c r="S76" s="24">
        <v>2</v>
      </c>
      <c r="T76" s="20" t="s">
        <v>16</v>
      </c>
      <c r="U76" s="25" t="s">
        <v>182</v>
      </c>
      <c r="V76" s="20">
        <v>110988151</v>
      </c>
      <c r="W76" s="25" t="s">
        <v>913</v>
      </c>
      <c r="X76" s="20" t="s">
        <v>183</v>
      </c>
      <c r="Y76" s="20" t="s">
        <v>87</v>
      </c>
      <c r="Z76" s="20" t="s">
        <v>88</v>
      </c>
      <c r="AA76" s="15">
        <v>243.49</v>
      </c>
      <c r="AB76" s="15">
        <v>237.11</v>
      </c>
      <c r="AC76" s="15">
        <f t="shared" si="6"/>
        <v>474.22</v>
      </c>
      <c r="AD76" s="15">
        <f t="shared" si="7"/>
        <v>486.98</v>
      </c>
      <c r="AE76" s="15">
        <f t="shared" si="8"/>
        <v>-12.759999999999991</v>
      </c>
      <c r="AF76" s="16">
        <f t="shared" si="9"/>
        <v>-2.6907342583610962E-2</v>
      </c>
      <c r="AG76" s="26" t="str">
        <f t="shared" si="10"/>
        <v>Negative</v>
      </c>
      <c r="AH76" s="20" t="s">
        <v>921</v>
      </c>
      <c r="AI76" s="20" t="s">
        <v>43</v>
      </c>
      <c r="AJ76" s="20">
        <v>0</v>
      </c>
      <c r="AK76" s="20"/>
    </row>
    <row r="77" spans="1:37" s="27" customFormat="1" ht="12.75" customHeight="1" x14ac:dyDescent="0.2">
      <c r="A77" s="22" t="s">
        <v>705</v>
      </c>
      <c r="B77" s="22" t="s">
        <v>784</v>
      </c>
      <c r="C77" s="23">
        <v>44336</v>
      </c>
      <c r="D77" s="22" t="s">
        <v>485</v>
      </c>
      <c r="E77" s="22" t="s">
        <v>484</v>
      </c>
      <c r="F77" s="22" t="s">
        <v>483</v>
      </c>
      <c r="G77" s="22" t="s">
        <v>704</v>
      </c>
      <c r="H77" s="22" t="s">
        <v>703</v>
      </c>
      <c r="I77" s="22" t="s">
        <v>702</v>
      </c>
      <c r="J77" s="22" t="s">
        <v>701</v>
      </c>
      <c r="K77" s="22" t="s">
        <v>700</v>
      </c>
      <c r="L77" s="22" t="s">
        <v>699</v>
      </c>
      <c r="M77" s="22" t="s">
        <v>722</v>
      </c>
      <c r="N77" s="22" t="s">
        <v>783</v>
      </c>
      <c r="O77" s="22" t="s">
        <v>16</v>
      </c>
      <c r="P77" s="22" t="s">
        <v>198</v>
      </c>
      <c r="Q77" s="22">
        <v>113532866</v>
      </c>
      <c r="R77" s="22" t="s">
        <v>87</v>
      </c>
      <c r="S77" s="24">
        <v>5</v>
      </c>
      <c r="T77" s="20" t="s">
        <v>16</v>
      </c>
      <c r="U77" s="25" t="s">
        <v>198</v>
      </c>
      <c r="V77" s="20">
        <v>113532866</v>
      </c>
      <c r="W77" s="25" t="s">
        <v>913</v>
      </c>
      <c r="X77" s="20" t="s">
        <v>199</v>
      </c>
      <c r="Y77" s="20" t="s">
        <v>87</v>
      </c>
      <c r="Z77" s="20" t="s">
        <v>88</v>
      </c>
      <c r="AA77" s="15">
        <v>199.188679245283</v>
      </c>
      <c r="AB77" s="15">
        <v>212.66666666666666</v>
      </c>
      <c r="AC77" s="15">
        <f t="shared" si="6"/>
        <v>1063.3333333333333</v>
      </c>
      <c r="AD77" s="15">
        <f t="shared" si="7"/>
        <v>995.94339622641496</v>
      </c>
      <c r="AE77" s="15">
        <f t="shared" si="8"/>
        <v>67.389937106918296</v>
      </c>
      <c r="AF77" s="16">
        <f t="shared" si="9"/>
        <v>6.3376116401490559E-2</v>
      </c>
      <c r="AG77" s="26" t="str">
        <f t="shared" si="10"/>
        <v>0-10%</v>
      </c>
      <c r="AH77" s="20" t="s">
        <v>921</v>
      </c>
      <c r="AI77" s="20" t="s">
        <v>43</v>
      </c>
      <c r="AJ77" s="20">
        <v>0</v>
      </c>
      <c r="AK77" s="20"/>
    </row>
    <row r="78" spans="1:37" s="27" customFormat="1" ht="12.75" customHeight="1" x14ac:dyDescent="0.2">
      <c r="A78" s="22" t="s">
        <v>705</v>
      </c>
      <c r="B78" s="22" t="s">
        <v>784</v>
      </c>
      <c r="C78" s="23">
        <v>44336</v>
      </c>
      <c r="D78" s="22" t="s">
        <v>485</v>
      </c>
      <c r="E78" s="22" t="s">
        <v>484</v>
      </c>
      <c r="F78" s="22" t="s">
        <v>483</v>
      </c>
      <c r="G78" s="22" t="s">
        <v>704</v>
      </c>
      <c r="H78" s="22" t="s">
        <v>703</v>
      </c>
      <c r="I78" s="22" t="s">
        <v>702</v>
      </c>
      <c r="J78" s="22" t="s">
        <v>701</v>
      </c>
      <c r="K78" s="22" t="s">
        <v>700</v>
      </c>
      <c r="L78" s="22" t="s">
        <v>699</v>
      </c>
      <c r="M78" s="22" t="s">
        <v>745</v>
      </c>
      <c r="N78" s="22" t="s">
        <v>783</v>
      </c>
      <c r="O78" s="22" t="s">
        <v>16</v>
      </c>
      <c r="P78" s="22" t="s">
        <v>194</v>
      </c>
      <c r="Q78" s="22">
        <v>110223298</v>
      </c>
      <c r="R78" s="22" t="s">
        <v>87</v>
      </c>
      <c r="S78" s="24">
        <v>2</v>
      </c>
      <c r="T78" s="20" t="s">
        <v>16</v>
      </c>
      <c r="U78" s="25" t="s">
        <v>194</v>
      </c>
      <c r="V78" s="20">
        <v>110223298</v>
      </c>
      <c r="W78" s="25" t="s">
        <v>913</v>
      </c>
      <c r="X78" s="20" t="s">
        <v>195</v>
      </c>
      <c r="Y78" s="20" t="s">
        <v>87</v>
      </c>
      <c r="Z78" s="20" t="s">
        <v>88</v>
      </c>
      <c r="AA78" s="15">
        <v>306.71698113207549</v>
      </c>
      <c r="AB78" s="15">
        <v>327.06666666666666</v>
      </c>
      <c r="AC78" s="15">
        <f t="shared" si="6"/>
        <v>654.13333333333333</v>
      </c>
      <c r="AD78" s="15">
        <f t="shared" si="7"/>
        <v>613.43396226415098</v>
      </c>
      <c r="AE78" s="15">
        <f t="shared" si="8"/>
        <v>40.699371069182348</v>
      </c>
      <c r="AF78" s="16">
        <f t="shared" si="9"/>
        <v>6.2218769469805875E-2</v>
      </c>
      <c r="AG78" s="26" t="str">
        <f t="shared" si="10"/>
        <v>0-10%</v>
      </c>
      <c r="AH78" s="20" t="s">
        <v>921</v>
      </c>
      <c r="AI78" s="20" t="s">
        <v>43</v>
      </c>
      <c r="AJ78" s="20">
        <v>0</v>
      </c>
      <c r="AK78" s="20"/>
    </row>
    <row r="79" spans="1:37" s="27" customFormat="1" ht="12.75" customHeight="1" x14ac:dyDescent="0.2">
      <c r="A79" s="22" t="s">
        <v>833</v>
      </c>
      <c r="B79" s="22" t="s">
        <v>869</v>
      </c>
      <c r="C79" s="23">
        <v>44344</v>
      </c>
      <c r="D79" s="22"/>
      <c r="E79" s="22"/>
      <c r="F79" s="22" t="s">
        <v>832</v>
      </c>
      <c r="G79" s="22" t="s">
        <v>832</v>
      </c>
      <c r="H79" s="22" t="s">
        <v>831</v>
      </c>
      <c r="I79" s="22" t="s">
        <v>830</v>
      </c>
      <c r="J79" s="22" t="s">
        <v>829</v>
      </c>
      <c r="K79" s="22" t="s">
        <v>828</v>
      </c>
      <c r="L79" s="22" t="s">
        <v>827</v>
      </c>
      <c r="M79" s="22" t="s">
        <v>852</v>
      </c>
      <c r="N79" s="22" t="s">
        <v>854</v>
      </c>
      <c r="O79" s="22" t="s">
        <v>70</v>
      </c>
      <c r="P79" s="22" t="s">
        <v>112</v>
      </c>
      <c r="Q79" s="22">
        <v>118341845</v>
      </c>
      <c r="R79" s="22" t="s">
        <v>87</v>
      </c>
      <c r="S79" s="24">
        <v>1</v>
      </c>
      <c r="T79" s="20" t="s">
        <v>70</v>
      </c>
      <c r="U79" s="25" t="s">
        <v>112</v>
      </c>
      <c r="V79" s="20">
        <v>118341845</v>
      </c>
      <c r="W79" s="25" t="s">
        <v>916</v>
      </c>
      <c r="X79" s="20" t="s">
        <v>113</v>
      </c>
      <c r="Y79" s="20" t="s">
        <v>87</v>
      </c>
      <c r="Z79" s="20" t="s">
        <v>97</v>
      </c>
      <c r="AA79" s="15">
        <v>27.91</v>
      </c>
      <c r="AB79" s="15">
        <v>38.200000000000003</v>
      </c>
      <c r="AC79" s="15">
        <f t="shared" si="6"/>
        <v>38.200000000000003</v>
      </c>
      <c r="AD79" s="15">
        <f t="shared" si="7"/>
        <v>27.91</v>
      </c>
      <c r="AE79" s="15">
        <f t="shared" si="8"/>
        <v>10.290000000000003</v>
      </c>
      <c r="AF79" s="16">
        <f t="shared" si="9"/>
        <v>0.26937172774869117</v>
      </c>
      <c r="AG79" s="26" t="str">
        <f t="shared" si="10"/>
        <v>20-30%</v>
      </c>
      <c r="AH79" s="20"/>
      <c r="AI79" s="20" t="s">
        <v>43</v>
      </c>
      <c r="AJ79" s="20">
        <v>0</v>
      </c>
      <c r="AK79" s="20"/>
    </row>
    <row r="80" spans="1:37" s="27" customFormat="1" ht="12.75" customHeight="1" x14ac:dyDescent="0.2">
      <c r="A80" s="22" t="s">
        <v>486</v>
      </c>
      <c r="B80" s="22" t="s">
        <v>639</v>
      </c>
      <c r="C80" s="23">
        <v>44348</v>
      </c>
      <c r="D80" s="22" t="s">
        <v>485</v>
      </c>
      <c r="E80" s="22" t="s">
        <v>484</v>
      </c>
      <c r="F80" s="22" t="s">
        <v>483</v>
      </c>
      <c r="G80" s="22" t="s">
        <v>482</v>
      </c>
      <c r="H80" s="22" t="s">
        <v>481</v>
      </c>
      <c r="I80" s="22" t="s">
        <v>480</v>
      </c>
      <c r="J80" s="22" t="s">
        <v>479</v>
      </c>
      <c r="K80" s="22" t="s">
        <v>478</v>
      </c>
      <c r="L80" s="22" t="s">
        <v>477</v>
      </c>
      <c r="M80" s="22" t="s">
        <v>476</v>
      </c>
      <c r="N80" s="22" t="s">
        <v>638</v>
      </c>
      <c r="O80" s="22" t="s">
        <v>17</v>
      </c>
      <c r="P80" s="22" t="s">
        <v>304</v>
      </c>
      <c r="Q80" s="22">
        <v>100771235</v>
      </c>
      <c r="R80" s="22" t="s">
        <v>87</v>
      </c>
      <c r="S80" s="24">
        <v>4</v>
      </c>
      <c r="T80" s="20" t="s">
        <v>17</v>
      </c>
      <c r="U80" s="25" t="s">
        <v>304</v>
      </c>
      <c r="V80" s="20">
        <v>100771235</v>
      </c>
      <c r="W80" s="25" t="s">
        <v>912</v>
      </c>
      <c r="X80" s="20" t="s">
        <v>305</v>
      </c>
      <c r="Y80" s="20" t="s">
        <v>87</v>
      </c>
      <c r="Z80" s="20" t="s">
        <v>88</v>
      </c>
      <c r="AA80" s="15">
        <v>20.649999999999995</v>
      </c>
      <c r="AB80" s="15">
        <v>28.51</v>
      </c>
      <c r="AC80" s="15">
        <f t="shared" si="6"/>
        <v>114.04</v>
      </c>
      <c r="AD80" s="15">
        <f t="shared" si="7"/>
        <v>82.59999999999998</v>
      </c>
      <c r="AE80" s="15">
        <f t="shared" si="8"/>
        <v>31.440000000000026</v>
      </c>
      <c r="AF80" s="16">
        <f t="shared" si="9"/>
        <v>0.27569273938968802</v>
      </c>
      <c r="AG80" s="26" t="str">
        <f t="shared" si="10"/>
        <v>20-30%</v>
      </c>
      <c r="AH80" s="20"/>
      <c r="AI80" s="20" t="s">
        <v>42</v>
      </c>
      <c r="AJ80" s="20">
        <v>8</v>
      </c>
      <c r="AK80" s="20"/>
    </row>
    <row r="81" spans="1:37" s="27" customFormat="1" ht="12.75" customHeight="1" x14ac:dyDescent="0.2">
      <c r="A81" s="22" t="s">
        <v>486</v>
      </c>
      <c r="B81" s="22" t="s">
        <v>637</v>
      </c>
      <c r="C81" s="23">
        <v>44349</v>
      </c>
      <c r="D81" s="22" t="s">
        <v>485</v>
      </c>
      <c r="E81" s="22" t="s">
        <v>484</v>
      </c>
      <c r="F81" s="22" t="s">
        <v>483</v>
      </c>
      <c r="G81" s="22" t="s">
        <v>482</v>
      </c>
      <c r="H81" s="22" t="s">
        <v>481</v>
      </c>
      <c r="I81" s="22" t="s">
        <v>480</v>
      </c>
      <c r="J81" s="22" t="s">
        <v>479</v>
      </c>
      <c r="K81" s="22" t="s">
        <v>478</v>
      </c>
      <c r="L81" s="22" t="s">
        <v>477</v>
      </c>
      <c r="M81" s="22" t="s">
        <v>620</v>
      </c>
      <c r="N81" s="22" t="s">
        <v>636</v>
      </c>
      <c r="O81" s="22" t="s">
        <v>66</v>
      </c>
      <c r="P81" s="22" t="s">
        <v>306</v>
      </c>
      <c r="Q81" s="22">
        <v>101819031</v>
      </c>
      <c r="R81" s="22" t="s">
        <v>234</v>
      </c>
      <c r="S81" s="24">
        <v>80</v>
      </c>
      <c r="T81" s="20" t="s">
        <v>66</v>
      </c>
      <c r="U81" s="25" t="s">
        <v>306</v>
      </c>
      <c r="V81" s="20">
        <v>101819031</v>
      </c>
      <c r="W81" s="25" t="s">
        <v>912</v>
      </c>
      <c r="X81" s="20" t="s">
        <v>307</v>
      </c>
      <c r="Y81" s="20" t="s">
        <v>234</v>
      </c>
      <c r="Z81" s="20" t="s">
        <v>88</v>
      </c>
      <c r="AA81" s="15">
        <v>15.355555555555556</v>
      </c>
      <c r="AB81" s="15">
        <v>15.736727272727274</v>
      </c>
      <c r="AC81" s="15">
        <f t="shared" si="6"/>
        <v>1258.9381818181819</v>
      </c>
      <c r="AD81" s="15">
        <f t="shared" si="7"/>
        <v>1228.4444444444446</v>
      </c>
      <c r="AE81" s="15">
        <f t="shared" si="8"/>
        <v>30.493737373737304</v>
      </c>
      <c r="AF81" s="16">
        <f t="shared" si="9"/>
        <v>2.4221790882295494E-2</v>
      </c>
      <c r="AG81" s="26" t="str">
        <f t="shared" si="10"/>
        <v>0-10%</v>
      </c>
      <c r="AH81" s="20"/>
      <c r="AI81" s="20" t="s">
        <v>43</v>
      </c>
      <c r="AJ81" s="20">
        <v>340</v>
      </c>
      <c r="AK81" s="20"/>
    </row>
    <row r="82" spans="1:37" s="27" customFormat="1" ht="12.75" customHeight="1" x14ac:dyDescent="0.2">
      <c r="A82" s="22" t="s">
        <v>486</v>
      </c>
      <c r="B82" s="22" t="s">
        <v>635</v>
      </c>
      <c r="C82" s="23">
        <v>44356</v>
      </c>
      <c r="D82" s="22" t="s">
        <v>485</v>
      </c>
      <c r="E82" s="22" t="s">
        <v>484</v>
      </c>
      <c r="F82" s="22" t="s">
        <v>483</v>
      </c>
      <c r="G82" s="22" t="s">
        <v>482</v>
      </c>
      <c r="H82" s="22" t="s">
        <v>481</v>
      </c>
      <c r="I82" s="22" t="s">
        <v>480</v>
      </c>
      <c r="J82" s="22" t="s">
        <v>479</v>
      </c>
      <c r="K82" s="22" t="s">
        <v>478</v>
      </c>
      <c r="L82" s="22" t="s">
        <v>477</v>
      </c>
      <c r="M82" s="22" t="s">
        <v>634</v>
      </c>
      <c r="N82" s="22" t="s">
        <v>633</v>
      </c>
      <c r="O82" s="22" t="s">
        <v>21</v>
      </c>
      <c r="P82" s="22" t="s">
        <v>308</v>
      </c>
      <c r="Q82" s="22">
        <v>118167202</v>
      </c>
      <c r="R82" s="22" t="s">
        <v>87</v>
      </c>
      <c r="S82" s="24">
        <v>1</v>
      </c>
      <c r="T82" s="20" t="s">
        <v>21</v>
      </c>
      <c r="U82" s="25" t="s">
        <v>308</v>
      </c>
      <c r="V82" s="20">
        <v>118167202</v>
      </c>
      <c r="W82" s="25" t="s">
        <v>912</v>
      </c>
      <c r="X82" s="20" t="s">
        <v>309</v>
      </c>
      <c r="Y82" s="20" t="s">
        <v>87</v>
      </c>
      <c r="Z82" s="20" t="s">
        <v>97</v>
      </c>
      <c r="AA82" s="15">
        <v>878.7045454545455</v>
      </c>
      <c r="AB82" s="15">
        <v>933.55</v>
      </c>
      <c r="AC82" s="15">
        <f t="shared" si="6"/>
        <v>933.55</v>
      </c>
      <c r="AD82" s="15">
        <f t="shared" si="7"/>
        <v>878.7045454545455</v>
      </c>
      <c r="AE82" s="15">
        <f t="shared" si="8"/>
        <v>54.845454545454459</v>
      </c>
      <c r="AF82" s="16">
        <f t="shared" si="9"/>
        <v>5.8749348771307872E-2</v>
      </c>
      <c r="AG82" s="26" t="str">
        <f t="shared" si="10"/>
        <v>0-10%</v>
      </c>
      <c r="AH82" s="20"/>
      <c r="AI82" s="20" t="s">
        <v>43</v>
      </c>
      <c r="AJ82" s="20">
        <v>0</v>
      </c>
      <c r="AK82" s="20"/>
    </row>
    <row r="83" spans="1:37" s="27" customFormat="1" ht="12.75" customHeight="1" x14ac:dyDescent="0.2">
      <c r="A83" s="22" t="s">
        <v>486</v>
      </c>
      <c r="B83" s="22" t="s">
        <v>632</v>
      </c>
      <c r="C83" s="23">
        <v>44358</v>
      </c>
      <c r="D83" s="22" t="s">
        <v>485</v>
      </c>
      <c r="E83" s="22" t="s">
        <v>484</v>
      </c>
      <c r="F83" s="22" t="s">
        <v>483</v>
      </c>
      <c r="G83" s="22" t="s">
        <v>482</v>
      </c>
      <c r="H83" s="22" t="s">
        <v>481</v>
      </c>
      <c r="I83" s="22" t="s">
        <v>480</v>
      </c>
      <c r="J83" s="22" t="s">
        <v>479</v>
      </c>
      <c r="K83" s="22" t="s">
        <v>478</v>
      </c>
      <c r="L83" s="22" t="s">
        <v>477</v>
      </c>
      <c r="M83" s="22" t="s">
        <v>487</v>
      </c>
      <c r="N83" s="22" t="s">
        <v>631</v>
      </c>
      <c r="O83" s="22" t="s">
        <v>76</v>
      </c>
      <c r="P83" s="22" t="s">
        <v>312</v>
      </c>
      <c r="Q83" s="22">
        <v>113528578</v>
      </c>
      <c r="R83" s="22" t="s">
        <v>87</v>
      </c>
      <c r="S83" s="24">
        <v>1</v>
      </c>
      <c r="T83" s="20" t="s">
        <v>76</v>
      </c>
      <c r="U83" s="25" t="s">
        <v>312</v>
      </c>
      <c r="V83" s="20">
        <v>113528578</v>
      </c>
      <c r="W83" s="25" t="s">
        <v>913</v>
      </c>
      <c r="X83" s="20" t="s">
        <v>313</v>
      </c>
      <c r="Y83" s="20" t="s">
        <v>87</v>
      </c>
      <c r="Z83" s="20" t="s">
        <v>97</v>
      </c>
      <c r="AA83" s="15">
        <v>83.657625272331146</v>
      </c>
      <c r="AB83" s="15">
        <v>81.459999999999994</v>
      </c>
      <c r="AC83" s="15">
        <f t="shared" si="6"/>
        <v>81.459999999999994</v>
      </c>
      <c r="AD83" s="15">
        <f t="shared" si="7"/>
        <v>83.657625272331146</v>
      </c>
      <c r="AE83" s="15">
        <f t="shared" si="8"/>
        <v>-2.1976252723311518</v>
      </c>
      <c r="AF83" s="16">
        <f t="shared" si="9"/>
        <v>-2.6977967988351975E-2</v>
      </c>
      <c r="AG83" s="26" t="str">
        <f t="shared" si="10"/>
        <v>Negative</v>
      </c>
      <c r="AH83" s="20"/>
      <c r="AI83" s="20" t="s">
        <v>43</v>
      </c>
      <c r="AJ83" s="20">
        <v>0</v>
      </c>
      <c r="AK83" s="20"/>
    </row>
    <row r="84" spans="1:37" s="27" customFormat="1" ht="12.75" customHeight="1" x14ac:dyDescent="0.2">
      <c r="A84" s="22" t="s">
        <v>486</v>
      </c>
      <c r="B84" s="22" t="s">
        <v>632</v>
      </c>
      <c r="C84" s="23">
        <v>44358</v>
      </c>
      <c r="D84" s="22" t="s">
        <v>485</v>
      </c>
      <c r="E84" s="22" t="s">
        <v>484</v>
      </c>
      <c r="F84" s="22" t="s">
        <v>483</v>
      </c>
      <c r="G84" s="22" t="s">
        <v>482</v>
      </c>
      <c r="H84" s="22" t="s">
        <v>481</v>
      </c>
      <c r="I84" s="22" t="s">
        <v>480</v>
      </c>
      <c r="J84" s="22" t="s">
        <v>479</v>
      </c>
      <c r="K84" s="22" t="s">
        <v>478</v>
      </c>
      <c r="L84" s="22" t="s">
        <v>477</v>
      </c>
      <c r="M84" s="22" t="s">
        <v>487</v>
      </c>
      <c r="N84" s="22" t="s">
        <v>631</v>
      </c>
      <c r="O84" s="22" t="s">
        <v>76</v>
      </c>
      <c r="P84" s="22" t="s">
        <v>310</v>
      </c>
      <c r="Q84" s="22">
        <v>101875652</v>
      </c>
      <c r="R84" s="22" t="s">
        <v>87</v>
      </c>
      <c r="S84" s="24">
        <v>1</v>
      </c>
      <c r="T84" s="20" t="s">
        <v>76</v>
      </c>
      <c r="U84" s="25" t="s">
        <v>310</v>
      </c>
      <c r="V84" s="20">
        <v>101875652</v>
      </c>
      <c r="W84" s="25" t="s">
        <v>913</v>
      </c>
      <c r="X84" s="20" t="s">
        <v>311</v>
      </c>
      <c r="Y84" s="20" t="s">
        <v>87</v>
      </c>
      <c r="Z84" s="20" t="s">
        <v>97</v>
      </c>
      <c r="AA84" s="15">
        <v>110.48660130718955</v>
      </c>
      <c r="AB84" s="15">
        <v>107.59</v>
      </c>
      <c r="AC84" s="15">
        <f t="shared" si="6"/>
        <v>107.59</v>
      </c>
      <c r="AD84" s="15">
        <f t="shared" si="7"/>
        <v>110.48660130718955</v>
      </c>
      <c r="AE84" s="15">
        <f t="shared" si="8"/>
        <v>-2.8966013071895418</v>
      </c>
      <c r="AF84" s="16">
        <f t="shared" si="9"/>
        <v>-2.6922588597356089E-2</v>
      </c>
      <c r="AG84" s="26" t="str">
        <f t="shared" si="10"/>
        <v>Negative</v>
      </c>
      <c r="AH84" s="20"/>
      <c r="AI84" s="20" t="s">
        <v>43</v>
      </c>
      <c r="AJ84" s="20">
        <v>0</v>
      </c>
      <c r="AK84" s="20"/>
    </row>
    <row r="85" spans="1:37" s="27" customFormat="1" ht="12.75" customHeight="1" x14ac:dyDescent="0.2">
      <c r="A85" s="22" t="s">
        <v>486</v>
      </c>
      <c r="B85" s="22" t="s">
        <v>630</v>
      </c>
      <c r="C85" s="23">
        <v>44358</v>
      </c>
      <c r="D85" s="22" t="s">
        <v>485</v>
      </c>
      <c r="E85" s="22" t="s">
        <v>484</v>
      </c>
      <c r="F85" s="22" t="s">
        <v>483</v>
      </c>
      <c r="G85" s="22" t="s">
        <v>482</v>
      </c>
      <c r="H85" s="22" t="s">
        <v>481</v>
      </c>
      <c r="I85" s="22" t="s">
        <v>480</v>
      </c>
      <c r="J85" s="22" t="s">
        <v>479</v>
      </c>
      <c r="K85" s="22" t="s">
        <v>478</v>
      </c>
      <c r="L85" s="22" t="s">
        <v>477</v>
      </c>
      <c r="M85" s="22" t="s">
        <v>487</v>
      </c>
      <c r="N85" s="22" t="s">
        <v>629</v>
      </c>
      <c r="O85" s="22" t="s">
        <v>28</v>
      </c>
      <c r="P85" s="22" t="s">
        <v>314</v>
      </c>
      <c r="Q85" s="22">
        <v>102074243</v>
      </c>
      <c r="R85" s="22" t="s">
        <v>87</v>
      </c>
      <c r="S85" s="24">
        <v>3</v>
      </c>
      <c r="T85" s="20" t="s">
        <v>28</v>
      </c>
      <c r="U85" s="25" t="s">
        <v>314</v>
      </c>
      <c r="V85" s="20">
        <v>102074243</v>
      </c>
      <c r="W85" s="25" t="s">
        <v>910</v>
      </c>
      <c r="X85" s="20" t="s">
        <v>315</v>
      </c>
      <c r="Y85" s="20" t="s">
        <v>87</v>
      </c>
      <c r="Z85" s="20" t="s">
        <v>88</v>
      </c>
      <c r="AA85" s="15">
        <v>297.97000000000003</v>
      </c>
      <c r="AB85" s="15">
        <v>297.72000000000003</v>
      </c>
      <c r="AC85" s="15">
        <f t="shared" si="6"/>
        <v>893.16000000000008</v>
      </c>
      <c r="AD85" s="15">
        <f t="shared" si="7"/>
        <v>893.91000000000008</v>
      </c>
      <c r="AE85" s="15">
        <f t="shared" si="8"/>
        <v>-0.75</v>
      </c>
      <c r="AF85" s="16">
        <f t="shared" si="9"/>
        <v>-8.3971516861480581E-4</v>
      </c>
      <c r="AG85" s="26" t="str">
        <f t="shared" si="10"/>
        <v>Negative</v>
      </c>
      <c r="AH85" s="20"/>
      <c r="AI85" s="20" t="s">
        <v>42</v>
      </c>
      <c r="AJ85" s="20">
        <v>16</v>
      </c>
      <c r="AK85" s="20"/>
    </row>
    <row r="86" spans="1:37" s="27" customFormat="1" ht="12.75" customHeight="1" x14ac:dyDescent="0.2">
      <c r="A86" s="22" t="s">
        <v>486</v>
      </c>
      <c r="B86" s="22" t="s">
        <v>628</v>
      </c>
      <c r="C86" s="23">
        <v>44364</v>
      </c>
      <c r="D86" s="22" t="s">
        <v>485</v>
      </c>
      <c r="E86" s="22" t="s">
        <v>484</v>
      </c>
      <c r="F86" s="22" t="s">
        <v>483</v>
      </c>
      <c r="G86" s="22" t="s">
        <v>482</v>
      </c>
      <c r="H86" s="22" t="s">
        <v>481</v>
      </c>
      <c r="I86" s="22" t="s">
        <v>480</v>
      </c>
      <c r="J86" s="22" t="s">
        <v>479</v>
      </c>
      <c r="K86" s="22" t="s">
        <v>478</v>
      </c>
      <c r="L86" s="22" t="s">
        <v>477</v>
      </c>
      <c r="M86" s="22" t="s">
        <v>487</v>
      </c>
      <c r="N86" s="22" t="s">
        <v>604</v>
      </c>
      <c r="O86" s="22" t="s">
        <v>24</v>
      </c>
      <c r="P86" s="22" t="s">
        <v>316</v>
      </c>
      <c r="Q86" s="22">
        <v>118255168</v>
      </c>
      <c r="R86" s="22" t="s">
        <v>87</v>
      </c>
      <c r="S86" s="24">
        <v>1</v>
      </c>
      <c r="T86" s="20" t="s">
        <v>24</v>
      </c>
      <c r="U86" s="25" t="s">
        <v>316</v>
      </c>
      <c r="V86" s="20">
        <v>118255168</v>
      </c>
      <c r="W86" s="25" t="s">
        <v>913</v>
      </c>
      <c r="X86" s="20" t="s">
        <v>317</v>
      </c>
      <c r="Y86" s="20" t="s">
        <v>87</v>
      </c>
      <c r="Z86" s="20" t="s">
        <v>97</v>
      </c>
      <c r="AA86" s="15">
        <v>2578.9772727272725</v>
      </c>
      <c r="AB86" s="15">
        <v>2695.1</v>
      </c>
      <c r="AC86" s="15">
        <f t="shared" si="6"/>
        <v>2695.1</v>
      </c>
      <c r="AD86" s="15">
        <f t="shared" si="7"/>
        <v>2578.9772727272725</v>
      </c>
      <c r="AE86" s="15">
        <f t="shared" si="8"/>
        <v>116.12272727272739</v>
      </c>
      <c r="AF86" s="16">
        <f t="shared" si="9"/>
        <v>4.3086611729704793E-2</v>
      </c>
      <c r="AG86" s="26" t="str">
        <f t="shared" si="10"/>
        <v>0-10%</v>
      </c>
      <c r="AH86" s="20"/>
      <c r="AI86" s="20" t="s">
        <v>43</v>
      </c>
      <c r="AJ86" s="20">
        <v>0</v>
      </c>
      <c r="AK86" s="20"/>
    </row>
    <row r="87" spans="1:37" s="27" customFormat="1" ht="12.75" customHeight="1" x14ac:dyDescent="0.2">
      <c r="A87" s="22" t="s">
        <v>486</v>
      </c>
      <c r="B87" s="22" t="s">
        <v>627</v>
      </c>
      <c r="C87" s="23">
        <v>44364</v>
      </c>
      <c r="D87" s="22" t="s">
        <v>485</v>
      </c>
      <c r="E87" s="22" t="s">
        <v>484</v>
      </c>
      <c r="F87" s="22" t="s">
        <v>483</v>
      </c>
      <c r="G87" s="22" t="s">
        <v>482</v>
      </c>
      <c r="H87" s="22" t="s">
        <v>481</v>
      </c>
      <c r="I87" s="22" t="s">
        <v>480</v>
      </c>
      <c r="J87" s="22" t="s">
        <v>479</v>
      </c>
      <c r="K87" s="22" t="s">
        <v>478</v>
      </c>
      <c r="L87" s="22" t="s">
        <v>477</v>
      </c>
      <c r="M87" s="22" t="s">
        <v>487</v>
      </c>
      <c r="N87" s="22" t="s">
        <v>626</v>
      </c>
      <c r="O87" s="22" t="s">
        <v>65</v>
      </c>
      <c r="P87" s="22" t="s">
        <v>318</v>
      </c>
      <c r="Q87" s="22">
        <v>114051559</v>
      </c>
      <c r="R87" s="22" t="s">
        <v>87</v>
      </c>
      <c r="S87" s="24">
        <v>1</v>
      </c>
      <c r="T87" s="20" t="s">
        <v>65</v>
      </c>
      <c r="U87" s="25" t="s">
        <v>318</v>
      </c>
      <c r="V87" s="20">
        <v>114051559</v>
      </c>
      <c r="W87" s="25" t="s">
        <v>912</v>
      </c>
      <c r="X87" s="20" t="s">
        <v>319</v>
      </c>
      <c r="Y87" s="20" t="s">
        <v>87</v>
      </c>
      <c r="Z87" s="20" t="s">
        <v>88</v>
      </c>
      <c r="AA87" s="15">
        <v>694.91</v>
      </c>
      <c r="AB87" s="15">
        <v>841.3</v>
      </c>
      <c r="AC87" s="15">
        <f t="shared" si="6"/>
        <v>841.3</v>
      </c>
      <c r="AD87" s="15">
        <f t="shared" si="7"/>
        <v>694.91</v>
      </c>
      <c r="AE87" s="15">
        <f t="shared" si="8"/>
        <v>146.38999999999999</v>
      </c>
      <c r="AF87" s="16">
        <f t="shared" si="9"/>
        <v>0.17400451681920837</v>
      </c>
      <c r="AG87" s="26" t="str">
        <f t="shared" si="10"/>
        <v>10-20%</v>
      </c>
      <c r="AH87" s="20"/>
      <c r="AI87" s="20" t="s">
        <v>43</v>
      </c>
      <c r="AJ87" s="20">
        <v>0</v>
      </c>
      <c r="AK87" s="20"/>
    </row>
    <row r="88" spans="1:37" s="27" customFormat="1" ht="12.75" customHeight="1" x14ac:dyDescent="0.2">
      <c r="A88" s="22" t="s">
        <v>833</v>
      </c>
      <c r="B88" s="22" t="s">
        <v>868</v>
      </c>
      <c r="C88" s="23">
        <v>44364</v>
      </c>
      <c r="D88" s="22"/>
      <c r="E88" s="22"/>
      <c r="F88" s="22" t="s">
        <v>832</v>
      </c>
      <c r="G88" s="22" t="s">
        <v>832</v>
      </c>
      <c r="H88" s="22" t="s">
        <v>831</v>
      </c>
      <c r="I88" s="22" t="s">
        <v>830</v>
      </c>
      <c r="J88" s="22" t="s">
        <v>829</v>
      </c>
      <c r="K88" s="22" t="s">
        <v>828</v>
      </c>
      <c r="L88" s="22" t="s">
        <v>827</v>
      </c>
      <c r="M88" s="22" t="s">
        <v>867</v>
      </c>
      <c r="N88" s="22" t="s">
        <v>866</v>
      </c>
      <c r="O88" s="22" t="s">
        <v>25</v>
      </c>
      <c r="P88" s="22" t="s">
        <v>114</v>
      </c>
      <c r="Q88" s="22">
        <v>103423605</v>
      </c>
      <c r="R88" s="22" t="s">
        <v>87</v>
      </c>
      <c r="S88" s="24">
        <v>1</v>
      </c>
      <c r="T88" s="20" t="s">
        <v>25</v>
      </c>
      <c r="U88" s="25" t="s">
        <v>114</v>
      </c>
      <c r="V88" s="20">
        <v>103423605</v>
      </c>
      <c r="W88" s="25" t="s">
        <v>913</v>
      </c>
      <c r="X88" s="20" t="s">
        <v>115</v>
      </c>
      <c r="Y88" s="20" t="s">
        <v>87</v>
      </c>
      <c r="Z88" s="20" t="s">
        <v>88</v>
      </c>
      <c r="AA88" s="15">
        <v>6.4</v>
      </c>
      <c r="AB88" s="15">
        <v>9.3719512195121943</v>
      </c>
      <c r="AC88" s="15">
        <f t="shared" si="6"/>
        <v>9.3719512195121943</v>
      </c>
      <c r="AD88" s="15">
        <f t="shared" si="7"/>
        <v>6.4</v>
      </c>
      <c r="AE88" s="15">
        <f t="shared" si="8"/>
        <v>2.971951219512194</v>
      </c>
      <c r="AF88" s="16">
        <f t="shared" si="9"/>
        <v>0.31711125569290816</v>
      </c>
      <c r="AG88" s="26" t="str">
        <f t="shared" si="10"/>
        <v>30+%</v>
      </c>
      <c r="AH88" s="20"/>
      <c r="AI88" s="20" t="s">
        <v>43</v>
      </c>
      <c r="AJ88" s="20">
        <v>2</v>
      </c>
      <c r="AK88" s="20"/>
    </row>
    <row r="89" spans="1:37" s="27" customFormat="1" ht="12.75" customHeight="1" x14ac:dyDescent="0.2">
      <c r="A89" s="22" t="s">
        <v>486</v>
      </c>
      <c r="B89" s="22" t="s">
        <v>625</v>
      </c>
      <c r="C89" s="23">
        <v>44365</v>
      </c>
      <c r="D89" s="22" t="s">
        <v>485</v>
      </c>
      <c r="E89" s="22" t="s">
        <v>484</v>
      </c>
      <c r="F89" s="22" t="s">
        <v>483</v>
      </c>
      <c r="G89" s="22" t="s">
        <v>482</v>
      </c>
      <c r="H89" s="22" t="s">
        <v>481</v>
      </c>
      <c r="I89" s="22" t="s">
        <v>480</v>
      </c>
      <c r="J89" s="22" t="s">
        <v>479</v>
      </c>
      <c r="K89" s="22" t="s">
        <v>478</v>
      </c>
      <c r="L89" s="22" t="s">
        <v>477</v>
      </c>
      <c r="M89" s="22" t="s">
        <v>487</v>
      </c>
      <c r="N89" s="22" t="s">
        <v>604</v>
      </c>
      <c r="O89" s="22" t="s">
        <v>29</v>
      </c>
      <c r="P89" s="22" t="s">
        <v>320</v>
      </c>
      <c r="Q89" s="22">
        <v>118253515</v>
      </c>
      <c r="R89" s="22" t="s">
        <v>87</v>
      </c>
      <c r="S89" s="24">
        <v>6</v>
      </c>
      <c r="T89" s="20" t="s">
        <v>29</v>
      </c>
      <c r="U89" s="25" t="s">
        <v>320</v>
      </c>
      <c r="V89" s="20">
        <v>118253515</v>
      </c>
      <c r="W89" s="25" t="s">
        <v>913</v>
      </c>
      <c r="X89" s="20" t="s">
        <v>321</v>
      </c>
      <c r="Y89" s="20" t="s">
        <v>87</v>
      </c>
      <c r="Z89" s="20" t="s">
        <v>97</v>
      </c>
      <c r="AA89" s="15">
        <v>47.865332244008719</v>
      </c>
      <c r="AB89" s="15">
        <v>46.6</v>
      </c>
      <c r="AC89" s="15">
        <f t="shared" si="6"/>
        <v>279.60000000000002</v>
      </c>
      <c r="AD89" s="15">
        <f t="shared" si="7"/>
        <v>287.1919934640523</v>
      </c>
      <c r="AE89" s="15">
        <f t="shared" si="8"/>
        <v>-7.5919934640522797</v>
      </c>
      <c r="AF89" s="16">
        <f t="shared" si="9"/>
        <v>-2.715305244653891E-2</v>
      </c>
      <c r="AG89" s="26" t="str">
        <f t="shared" si="10"/>
        <v>Negative</v>
      </c>
      <c r="AH89" s="20"/>
      <c r="AI89" s="20" t="s">
        <v>43</v>
      </c>
      <c r="AJ89" s="20">
        <v>0</v>
      </c>
      <c r="AK89" s="20"/>
    </row>
    <row r="90" spans="1:37" s="27" customFormat="1" ht="12.75" customHeight="1" x14ac:dyDescent="0.2">
      <c r="A90" s="22" t="s">
        <v>486</v>
      </c>
      <c r="B90" s="22" t="s">
        <v>624</v>
      </c>
      <c r="C90" s="23">
        <v>44365</v>
      </c>
      <c r="D90" s="22" t="s">
        <v>485</v>
      </c>
      <c r="E90" s="22" t="s">
        <v>484</v>
      </c>
      <c r="F90" s="22" t="s">
        <v>483</v>
      </c>
      <c r="G90" s="22" t="s">
        <v>482</v>
      </c>
      <c r="H90" s="22" t="s">
        <v>481</v>
      </c>
      <c r="I90" s="22" t="s">
        <v>480</v>
      </c>
      <c r="J90" s="22" t="s">
        <v>479</v>
      </c>
      <c r="K90" s="22" t="s">
        <v>478</v>
      </c>
      <c r="L90" s="22" t="s">
        <v>477</v>
      </c>
      <c r="M90" s="22" t="s">
        <v>487</v>
      </c>
      <c r="N90" s="22" t="s">
        <v>622</v>
      </c>
      <c r="O90" s="22" t="s">
        <v>26</v>
      </c>
      <c r="P90" s="22" t="s">
        <v>322</v>
      </c>
      <c r="Q90" s="22">
        <v>104124516</v>
      </c>
      <c r="R90" s="22" t="s">
        <v>87</v>
      </c>
      <c r="S90" s="24">
        <v>2</v>
      </c>
      <c r="T90" s="20" t="s">
        <v>26</v>
      </c>
      <c r="U90" s="25" t="s">
        <v>322</v>
      </c>
      <c r="V90" s="20">
        <v>104124516</v>
      </c>
      <c r="W90" s="25" t="s">
        <v>912</v>
      </c>
      <c r="X90" s="20" t="s">
        <v>323</v>
      </c>
      <c r="Y90" s="20" t="s">
        <v>87</v>
      </c>
      <c r="Z90" s="20" t="s">
        <v>97</v>
      </c>
      <c r="AA90" s="15">
        <v>396.98</v>
      </c>
      <c r="AB90" s="15">
        <v>388.53</v>
      </c>
      <c r="AC90" s="15">
        <f t="shared" si="6"/>
        <v>777.06</v>
      </c>
      <c r="AD90" s="15">
        <f t="shared" si="7"/>
        <v>793.96</v>
      </c>
      <c r="AE90" s="15">
        <f t="shared" si="8"/>
        <v>-16.900000000000091</v>
      </c>
      <c r="AF90" s="16">
        <f t="shared" si="9"/>
        <v>-2.1748642318482603E-2</v>
      </c>
      <c r="AG90" s="26" t="str">
        <f t="shared" si="10"/>
        <v>Negative</v>
      </c>
      <c r="AH90" s="20"/>
      <c r="AI90" s="20" t="s">
        <v>43</v>
      </c>
      <c r="AJ90" s="20">
        <v>0</v>
      </c>
      <c r="AK90" s="20"/>
    </row>
    <row r="91" spans="1:37" s="27" customFormat="1" ht="12.75" customHeight="1" x14ac:dyDescent="0.2">
      <c r="A91" s="22" t="s">
        <v>486</v>
      </c>
      <c r="B91" s="22" t="s">
        <v>623</v>
      </c>
      <c r="C91" s="23">
        <v>44365</v>
      </c>
      <c r="D91" s="22" t="s">
        <v>485</v>
      </c>
      <c r="E91" s="22" t="s">
        <v>484</v>
      </c>
      <c r="F91" s="22" t="s">
        <v>483</v>
      </c>
      <c r="G91" s="22" t="s">
        <v>482</v>
      </c>
      <c r="H91" s="22" t="s">
        <v>481</v>
      </c>
      <c r="I91" s="22" t="s">
        <v>480</v>
      </c>
      <c r="J91" s="22" t="s">
        <v>479</v>
      </c>
      <c r="K91" s="22" t="s">
        <v>478</v>
      </c>
      <c r="L91" s="22" t="s">
        <v>477</v>
      </c>
      <c r="M91" s="22" t="s">
        <v>487</v>
      </c>
      <c r="N91" s="22" t="s">
        <v>622</v>
      </c>
      <c r="O91" s="22" t="s">
        <v>26</v>
      </c>
      <c r="P91" s="22" t="s">
        <v>324</v>
      </c>
      <c r="Q91" s="22">
        <v>112089918</v>
      </c>
      <c r="R91" s="22" t="s">
        <v>87</v>
      </c>
      <c r="S91" s="24">
        <v>2</v>
      </c>
      <c r="T91" s="20" t="s">
        <v>26</v>
      </c>
      <c r="U91" s="25" t="s">
        <v>324</v>
      </c>
      <c r="V91" s="20">
        <v>112089918</v>
      </c>
      <c r="W91" s="25" t="s">
        <v>912</v>
      </c>
      <c r="X91" s="20" t="s">
        <v>325</v>
      </c>
      <c r="Y91" s="20" t="s">
        <v>87</v>
      </c>
      <c r="Z91" s="20" t="s">
        <v>97</v>
      </c>
      <c r="AA91" s="15">
        <v>15.59</v>
      </c>
      <c r="AB91" s="15">
        <v>15.26</v>
      </c>
      <c r="AC91" s="15">
        <f t="shared" si="6"/>
        <v>30.52</v>
      </c>
      <c r="AD91" s="15">
        <f t="shared" si="7"/>
        <v>31.18</v>
      </c>
      <c r="AE91" s="15">
        <f t="shared" si="8"/>
        <v>-0.66000000000000014</v>
      </c>
      <c r="AF91" s="16">
        <f t="shared" si="9"/>
        <v>-2.1625163826998695E-2</v>
      </c>
      <c r="AG91" s="26" t="str">
        <f t="shared" si="10"/>
        <v>Negative</v>
      </c>
      <c r="AH91" s="20"/>
      <c r="AI91" s="20" t="s">
        <v>43</v>
      </c>
      <c r="AJ91" s="20">
        <v>0</v>
      </c>
      <c r="AK91" s="20"/>
    </row>
    <row r="92" spans="1:37" s="27" customFormat="1" ht="12.75" customHeight="1" x14ac:dyDescent="0.2">
      <c r="A92" s="22" t="s">
        <v>705</v>
      </c>
      <c r="B92" s="22" t="s">
        <v>782</v>
      </c>
      <c r="C92" s="23">
        <v>44365</v>
      </c>
      <c r="D92" s="22" t="s">
        <v>485</v>
      </c>
      <c r="E92" s="22" t="s">
        <v>484</v>
      </c>
      <c r="F92" s="22" t="s">
        <v>483</v>
      </c>
      <c r="G92" s="22" t="s">
        <v>704</v>
      </c>
      <c r="H92" s="22" t="s">
        <v>703</v>
      </c>
      <c r="I92" s="22" t="s">
        <v>702</v>
      </c>
      <c r="J92" s="22" t="s">
        <v>701</v>
      </c>
      <c r="K92" s="22" t="s">
        <v>700</v>
      </c>
      <c r="L92" s="22" t="s">
        <v>699</v>
      </c>
      <c r="M92" s="22" t="s">
        <v>781</v>
      </c>
      <c r="N92" s="22" t="s">
        <v>780</v>
      </c>
      <c r="O92" s="22" t="s">
        <v>16</v>
      </c>
      <c r="P92" s="22" t="s">
        <v>200</v>
      </c>
      <c r="Q92" s="22">
        <v>110988171</v>
      </c>
      <c r="R92" s="22" t="s">
        <v>87</v>
      </c>
      <c r="S92" s="24">
        <v>5</v>
      </c>
      <c r="T92" s="20" t="s">
        <v>16</v>
      </c>
      <c r="U92" s="25" t="s">
        <v>200</v>
      </c>
      <c r="V92" s="20">
        <v>110988171</v>
      </c>
      <c r="W92" s="25" t="s">
        <v>913</v>
      </c>
      <c r="X92" s="20" t="s">
        <v>201</v>
      </c>
      <c r="Y92" s="20" t="s">
        <v>87</v>
      </c>
      <c r="Z92" s="20" t="s">
        <v>88</v>
      </c>
      <c r="AA92" s="15">
        <v>613.44339622641508</v>
      </c>
      <c r="AB92" s="15">
        <v>654.86666666666667</v>
      </c>
      <c r="AC92" s="15">
        <f t="shared" si="6"/>
        <v>3274.3333333333335</v>
      </c>
      <c r="AD92" s="15">
        <f t="shared" si="7"/>
        <v>3067.2169811320755</v>
      </c>
      <c r="AE92" s="15">
        <f t="shared" si="8"/>
        <v>207.116352201258</v>
      </c>
      <c r="AF92" s="16">
        <f t="shared" si="9"/>
        <v>6.3254510496159419E-2</v>
      </c>
      <c r="AG92" s="26" t="str">
        <f t="shared" si="10"/>
        <v>0-10%</v>
      </c>
      <c r="AH92" s="20" t="s">
        <v>921</v>
      </c>
      <c r="AI92" s="20" t="s">
        <v>43</v>
      </c>
      <c r="AJ92" s="20">
        <v>0</v>
      </c>
      <c r="AK92" s="20"/>
    </row>
    <row r="93" spans="1:37" s="27" customFormat="1" ht="12.75" customHeight="1" x14ac:dyDescent="0.2">
      <c r="A93" s="22" t="s">
        <v>486</v>
      </c>
      <c r="B93" s="22" t="s">
        <v>621</v>
      </c>
      <c r="C93" s="23">
        <v>44365</v>
      </c>
      <c r="D93" s="22" t="s">
        <v>485</v>
      </c>
      <c r="E93" s="22" t="s">
        <v>484</v>
      </c>
      <c r="F93" s="22" t="s">
        <v>483</v>
      </c>
      <c r="G93" s="22" t="s">
        <v>482</v>
      </c>
      <c r="H93" s="22" t="s">
        <v>481</v>
      </c>
      <c r="I93" s="22" t="s">
        <v>480</v>
      </c>
      <c r="J93" s="22" t="s">
        <v>479</v>
      </c>
      <c r="K93" s="22" t="s">
        <v>478</v>
      </c>
      <c r="L93" s="22" t="s">
        <v>477</v>
      </c>
      <c r="M93" s="22" t="s">
        <v>620</v>
      </c>
      <c r="N93" s="22" t="s">
        <v>619</v>
      </c>
      <c r="O93" s="22" t="s">
        <v>5</v>
      </c>
      <c r="P93" s="22" t="s">
        <v>326</v>
      </c>
      <c r="Q93" s="22">
        <v>101791845</v>
      </c>
      <c r="R93" s="22" t="s">
        <v>87</v>
      </c>
      <c r="S93" s="24">
        <v>4</v>
      </c>
      <c r="T93" s="20" t="s">
        <v>5</v>
      </c>
      <c r="U93" s="25" t="s">
        <v>326</v>
      </c>
      <c r="V93" s="20">
        <v>101791845</v>
      </c>
      <c r="W93" s="25" t="s">
        <v>917</v>
      </c>
      <c r="X93" s="20" t="s">
        <v>327</v>
      </c>
      <c r="Y93" s="20" t="s">
        <v>87</v>
      </c>
      <c r="Z93" s="20" t="s">
        <v>88</v>
      </c>
      <c r="AA93" s="15">
        <v>78.365511060592809</v>
      </c>
      <c r="AB93" s="15">
        <v>69.37</v>
      </c>
      <c r="AC93" s="15">
        <f t="shared" si="6"/>
        <v>277.48</v>
      </c>
      <c r="AD93" s="15">
        <f t="shared" si="7"/>
        <v>313.46204424237123</v>
      </c>
      <c r="AE93" s="15">
        <f t="shared" si="8"/>
        <v>-35.982044242371217</v>
      </c>
      <c r="AF93" s="16">
        <f t="shared" si="9"/>
        <v>-0.12967437019738798</v>
      </c>
      <c r="AG93" s="26" t="str">
        <f t="shared" si="10"/>
        <v>Negative</v>
      </c>
      <c r="AH93" s="20"/>
      <c r="AI93" s="20" t="s">
        <v>42</v>
      </c>
      <c r="AJ93" s="20">
        <v>334</v>
      </c>
      <c r="AK93" s="20"/>
    </row>
    <row r="94" spans="1:37" s="27" customFormat="1" ht="12.75" customHeight="1" x14ac:dyDescent="0.2">
      <c r="A94" s="22" t="s">
        <v>486</v>
      </c>
      <c r="B94" s="22" t="s">
        <v>618</v>
      </c>
      <c r="C94" s="23">
        <v>44368</v>
      </c>
      <c r="D94" s="22" t="s">
        <v>485</v>
      </c>
      <c r="E94" s="22" t="s">
        <v>484</v>
      </c>
      <c r="F94" s="22" t="s">
        <v>483</v>
      </c>
      <c r="G94" s="22" t="s">
        <v>482</v>
      </c>
      <c r="H94" s="22" t="s">
        <v>481</v>
      </c>
      <c r="I94" s="22" t="s">
        <v>480</v>
      </c>
      <c r="J94" s="22" t="s">
        <v>479</v>
      </c>
      <c r="K94" s="22" t="s">
        <v>478</v>
      </c>
      <c r="L94" s="22" t="s">
        <v>477</v>
      </c>
      <c r="M94" s="22" t="s">
        <v>487</v>
      </c>
      <c r="N94" s="22" t="s">
        <v>617</v>
      </c>
      <c r="O94" s="22" t="s">
        <v>24</v>
      </c>
      <c r="P94" s="22" t="s">
        <v>328</v>
      </c>
      <c r="Q94" s="22">
        <v>118363515</v>
      </c>
      <c r="R94" s="22" t="s">
        <v>87</v>
      </c>
      <c r="S94" s="24">
        <v>3</v>
      </c>
      <c r="T94" s="20" t="s">
        <v>24</v>
      </c>
      <c r="U94" s="25" t="s">
        <v>328</v>
      </c>
      <c r="V94" s="20">
        <v>118363515</v>
      </c>
      <c r="W94" s="25" t="s">
        <v>913</v>
      </c>
      <c r="X94" s="20" t="s">
        <v>329</v>
      </c>
      <c r="Y94" s="20" t="s">
        <v>87</v>
      </c>
      <c r="Z94" s="20" t="s">
        <v>97</v>
      </c>
      <c r="AA94" s="15">
        <v>245.11627906976747</v>
      </c>
      <c r="AB94" s="15">
        <v>250.34</v>
      </c>
      <c r="AC94" s="15">
        <f t="shared" si="6"/>
        <v>751.02</v>
      </c>
      <c r="AD94" s="15">
        <f t="shared" si="7"/>
        <v>735.34883720930247</v>
      </c>
      <c r="AE94" s="15">
        <f t="shared" si="8"/>
        <v>15.671162790697508</v>
      </c>
      <c r="AF94" s="16">
        <f t="shared" si="9"/>
        <v>2.0866505273757701E-2</v>
      </c>
      <c r="AG94" s="26" t="str">
        <f t="shared" si="10"/>
        <v>0-10%</v>
      </c>
      <c r="AH94" s="20"/>
      <c r="AI94" s="20" t="s">
        <v>43</v>
      </c>
      <c r="AJ94" s="20">
        <v>0</v>
      </c>
      <c r="AK94" s="20"/>
    </row>
    <row r="95" spans="1:37" s="27" customFormat="1" ht="12.75" customHeight="1" x14ac:dyDescent="0.2">
      <c r="A95" s="22" t="s">
        <v>486</v>
      </c>
      <c r="B95" s="22" t="s">
        <v>616</v>
      </c>
      <c r="C95" s="23">
        <v>44369</v>
      </c>
      <c r="D95" s="22" t="s">
        <v>485</v>
      </c>
      <c r="E95" s="22" t="s">
        <v>484</v>
      </c>
      <c r="F95" s="22" t="s">
        <v>483</v>
      </c>
      <c r="G95" s="22" t="s">
        <v>482</v>
      </c>
      <c r="H95" s="22" t="s">
        <v>481</v>
      </c>
      <c r="I95" s="22" t="s">
        <v>480</v>
      </c>
      <c r="J95" s="22" t="s">
        <v>479</v>
      </c>
      <c r="K95" s="22" t="s">
        <v>478</v>
      </c>
      <c r="L95" s="22" t="s">
        <v>477</v>
      </c>
      <c r="M95" s="22" t="s">
        <v>487</v>
      </c>
      <c r="N95" s="22" t="s">
        <v>615</v>
      </c>
      <c r="O95" s="22" t="s">
        <v>330</v>
      </c>
      <c r="P95" s="22" t="s">
        <v>331</v>
      </c>
      <c r="Q95" s="22">
        <v>110548648</v>
      </c>
      <c r="R95" s="22" t="s">
        <v>87</v>
      </c>
      <c r="S95" s="24">
        <v>1</v>
      </c>
      <c r="T95" s="20" t="s">
        <v>330</v>
      </c>
      <c r="U95" s="25" t="s">
        <v>331</v>
      </c>
      <c r="V95" s="20">
        <v>110548648</v>
      </c>
      <c r="W95" s="25" t="s">
        <v>912</v>
      </c>
      <c r="X95" s="20" t="s">
        <v>332</v>
      </c>
      <c r="Y95" s="20" t="s">
        <v>87</v>
      </c>
      <c r="Z95" s="20" t="s">
        <v>88</v>
      </c>
      <c r="AA95" s="15">
        <v>1116.088888888889</v>
      </c>
      <c r="AB95" s="15">
        <v>1143.1500000000001</v>
      </c>
      <c r="AC95" s="15">
        <f t="shared" si="6"/>
        <v>1143.1500000000001</v>
      </c>
      <c r="AD95" s="15">
        <f t="shared" si="7"/>
        <v>1116.088888888889</v>
      </c>
      <c r="AE95" s="15">
        <f t="shared" si="8"/>
        <v>27.061111111111131</v>
      </c>
      <c r="AF95" s="16">
        <f t="shared" si="9"/>
        <v>2.3672406168141653E-2</v>
      </c>
      <c r="AG95" s="26" t="str">
        <f t="shared" si="10"/>
        <v>0-10%</v>
      </c>
      <c r="AH95" s="20"/>
      <c r="AI95" s="20" t="s">
        <v>43</v>
      </c>
      <c r="AJ95" s="20">
        <v>0</v>
      </c>
      <c r="AK95" s="20"/>
    </row>
    <row r="96" spans="1:37" s="27" customFormat="1" ht="12.75" customHeight="1" x14ac:dyDescent="0.2">
      <c r="A96" s="22" t="s">
        <v>486</v>
      </c>
      <c r="B96" s="22" t="s">
        <v>614</v>
      </c>
      <c r="C96" s="23">
        <v>44370</v>
      </c>
      <c r="D96" s="22" t="s">
        <v>485</v>
      </c>
      <c r="E96" s="22" t="s">
        <v>484</v>
      </c>
      <c r="F96" s="22" t="s">
        <v>483</v>
      </c>
      <c r="G96" s="22" t="s">
        <v>482</v>
      </c>
      <c r="H96" s="22" t="s">
        <v>481</v>
      </c>
      <c r="I96" s="22" t="s">
        <v>480</v>
      </c>
      <c r="J96" s="22" t="s">
        <v>479</v>
      </c>
      <c r="K96" s="22" t="s">
        <v>478</v>
      </c>
      <c r="L96" s="22" t="s">
        <v>477</v>
      </c>
      <c r="M96" s="22" t="s">
        <v>613</v>
      </c>
      <c r="N96" s="22" t="s">
        <v>612</v>
      </c>
      <c r="O96" s="22" t="s">
        <v>2</v>
      </c>
      <c r="P96" s="22" t="s">
        <v>266</v>
      </c>
      <c r="Q96" s="22">
        <v>101963961</v>
      </c>
      <c r="R96" s="22" t="s">
        <v>87</v>
      </c>
      <c r="S96" s="24">
        <v>7</v>
      </c>
      <c r="T96" s="20" t="s">
        <v>2</v>
      </c>
      <c r="U96" s="25" t="s">
        <v>266</v>
      </c>
      <c r="V96" s="20">
        <v>101963961</v>
      </c>
      <c r="W96" s="25" t="s">
        <v>911</v>
      </c>
      <c r="X96" s="20" t="s">
        <v>267</v>
      </c>
      <c r="Y96" s="20" t="s">
        <v>87</v>
      </c>
      <c r="Z96" s="20" t="s">
        <v>88</v>
      </c>
      <c r="AA96" s="15">
        <v>27.031914893617024</v>
      </c>
      <c r="AB96" s="15">
        <v>54.64</v>
      </c>
      <c r="AC96" s="15">
        <f t="shared" si="6"/>
        <v>382.48</v>
      </c>
      <c r="AD96" s="15">
        <f t="shared" si="7"/>
        <v>189.22340425531917</v>
      </c>
      <c r="AE96" s="15">
        <f t="shared" si="8"/>
        <v>193.25659574468085</v>
      </c>
      <c r="AF96" s="16">
        <f t="shared" si="9"/>
        <v>0.50527242141989348</v>
      </c>
      <c r="AG96" s="26" t="str">
        <f t="shared" si="10"/>
        <v>30+%</v>
      </c>
      <c r="AH96" s="20"/>
      <c r="AI96" s="20" t="s">
        <v>43</v>
      </c>
      <c r="AJ96" s="20">
        <v>21</v>
      </c>
      <c r="AK96" s="20"/>
    </row>
    <row r="97" spans="1:37" s="27" customFormat="1" ht="12.75" customHeight="1" x14ac:dyDescent="0.2">
      <c r="A97" s="22" t="s">
        <v>705</v>
      </c>
      <c r="B97" s="22" t="s">
        <v>779</v>
      </c>
      <c r="C97" s="23">
        <v>44370</v>
      </c>
      <c r="D97" s="22" t="s">
        <v>485</v>
      </c>
      <c r="E97" s="22" t="s">
        <v>484</v>
      </c>
      <c r="F97" s="22" t="s">
        <v>483</v>
      </c>
      <c r="G97" s="22" t="s">
        <v>704</v>
      </c>
      <c r="H97" s="22" t="s">
        <v>703</v>
      </c>
      <c r="I97" s="22" t="s">
        <v>702</v>
      </c>
      <c r="J97" s="22" t="s">
        <v>701</v>
      </c>
      <c r="K97" s="22" t="s">
        <v>700</v>
      </c>
      <c r="L97" s="22" t="s">
        <v>699</v>
      </c>
      <c r="M97" s="22" t="s">
        <v>724</v>
      </c>
      <c r="N97" s="22" t="s">
        <v>778</v>
      </c>
      <c r="O97" s="22" t="s">
        <v>16</v>
      </c>
      <c r="P97" s="22" t="s">
        <v>182</v>
      </c>
      <c r="Q97" s="22">
        <v>110988151</v>
      </c>
      <c r="R97" s="22" t="s">
        <v>87</v>
      </c>
      <c r="S97" s="24">
        <v>1</v>
      </c>
      <c r="T97" s="20" t="s">
        <v>16</v>
      </c>
      <c r="U97" s="25" t="s">
        <v>182</v>
      </c>
      <c r="V97" s="20">
        <v>110988151</v>
      </c>
      <c r="W97" s="25" t="s">
        <v>913</v>
      </c>
      <c r="X97" s="20" t="s">
        <v>183</v>
      </c>
      <c r="Y97" s="20" t="s">
        <v>87</v>
      </c>
      <c r="Z97" s="20" t="s">
        <v>88</v>
      </c>
      <c r="AA97" s="15">
        <v>243.49</v>
      </c>
      <c r="AB97" s="15">
        <v>237.11</v>
      </c>
      <c r="AC97" s="15">
        <f t="shared" si="6"/>
        <v>237.11</v>
      </c>
      <c r="AD97" s="15">
        <f t="shared" si="7"/>
        <v>243.49</v>
      </c>
      <c r="AE97" s="15">
        <f t="shared" si="8"/>
        <v>-6.3799999999999955</v>
      </c>
      <c r="AF97" s="16">
        <f t="shared" si="9"/>
        <v>-2.6907342583610962E-2</v>
      </c>
      <c r="AG97" s="26" t="str">
        <f t="shared" si="10"/>
        <v>Negative</v>
      </c>
      <c r="AH97" s="20" t="s">
        <v>921</v>
      </c>
      <c r="AI97" s="20" t="s">
        <v>43</v>
      </c>
      <c r="AJ97" s="20">
        <v>0</v>
      </c>
      <c r="AK97" s="20"/>
    </row>
    <row r="98" spans="1:37" s="27" customFormat="1" ht="12.75" customHeight="1" x14ac:dyDescent="0.2">
      <c r="A98" s="22" t="s">
        <v>906</v>
      </c>
      <c r="B98" s="22" t="s">
        <v>905</v>
      </c>
      <c r="C98" s="23">
        <v>44370</v>
      </c>
      <c r="D98" s="22" t="s">
        <v>485</v>
      </c>
      <c r="E98" s="22" t="s">
        <v>484</v>
      </c>
      <c r="F98" s="22" t="s">
        <v>483</v>
      </c>
      <c r="G98" s="22" t="s">
        <v>904</v>
      </c>
      <c r="H98" s="22" t="s">
        <v>481</v>
      </c>
      <c r="I98" s="22" t="s">
        <v>903</v>
      </c>
      <c r="J98" s="22" t="s">
        <v>902</v>
      </c>
      <c r="K98" s="22" t="s">
        <v>901</v>
      </c>
      <c r="L98" s="22" t="s">
        <v>900</v>
      </c>
      <c r="M98" s="22" t="s">
        <v>487</v>
      </c>
      <c r="N98" s="22" t="s">
        <v>899</v>
      </c>
      <c r="O98" s="22" t="s">
        <v>18</v>
      </c>
      <c r="P98" s="22" t="s">
        <v>89</v>
      </c>
      <c r="Q98" s="22">
        <v>100814377</v>
      </c>
      <c r="R98" s="22" t="s">
        <v>87</v>
      </c>
      <c r="S98" s="24">
        <v>1</v>
      </c>
      <c r="T98" s="20" t="s">
        <v>18</v>
      </c>
      <c r="U98" s="25" t="s">
        <v>89</v>
      </c>
      <c r="V98" s="20">
        <v>100814377</v>
      </c>
      <c r="W98" s="25" t="s">
        <v>912</v>
      </c>
      <c r="X98" s="20" t="s">
        <v>90</v>
      </c>
      <c r="Y98" s="20" t="s">
        <v>87</v>
      </c>
      <c r="Z98" s="20" t="s">
        <v>88</v>
      </c>
      <c r="AA98" s="15">
        <v>28.28</v>
      </c>
      <c r="AB98" s="15">
        <v>38.561272812353764</v>
      </c>
      <c r="AC98" s="15">
        <f t="shared" si="6"/>
        <v>38.561272812353764</v>
      </c>
      <c r="AD98" s="15">
        <f t="shared" si="7"/>
        <v>28.28</v>
      </c>
      <c r="AE98" s="15">
        <f t="shared" si="8"/>
        <v>10.281272812353762</v>
      </c>
      <c r="AF98" s="16">
        <f t="shared" si="9"/>
        <v>0.26662171817782893</v>
      </c>
      <c r="AG98" s="26" t="str">
        <f t="shared" si="10"/>
        <v>20-30%</v>
      </c>
      <c r="AH98" s="20"/>
      <c r="AI98" s="20" t="s">
        <v>42</v>
      </c>
      <c r="AJ98" s="20">
        <v>87</v>
      </c>
      <c r="AK98" s="20"/>
    </row>
    <row r="99" spans="1:37" s="27" customFormat="1" ht="12.75" customHeight="1" x14ac:dyDescent="0.2">
      <c r="A99" s="22" t="s">
        <v>906</v>
      </c>
      <c r="B99" s="22" t="s">
        <v>905</v>
      </c>
      <c r="C99" s="23">
        <v>44370</v>
      </c>
      <c r="D99" s="22" t="s">
        <v>485</v>
      </c>
      <c r="E99" s="22" t="s">
        <v>484</v>
      </c>
      <c r="F99" s="22" t="s">
        <v>483</v>
      </c>
      <c r="G99" s="22" t="s">
        <v>904</v>
      </c>
      <c r="H99" s="22" t="s">
        <v>481</v>
      </c>
      <c r="I99" s="22" t="s">
        <v>903</v>
      </c>
      <c r="J99" s="22" t="s">
        <v>902</v>
      </c>
      <c r="K99" s="22" t="s">
        <v>901</v>
      </c>
      <c r="L99" s="22" t="s">
        <v>900</v>
      </c>
      <c r="M99" s="22" t="s">
        <v>487</v>
      </c>
      <c r="N99" s="22" t="s">
        <v>899</v>
      </c>
      <c r="O99" s="22" t="s">
        <v>18</v>
      </c>
      <c r="P99" s="22" t="s">
        <v>91</v>
      </c>
      <c r="Q99" s="22">
        <v>100814392</v>
      </c>
      <c r="R99" s="22" t="s">
        <v>87</v>
      </c>
      <c r="S99" s="24">
        <v>1</v>
      </c>
      <c r="T99" s="20" t="s">
        <v>18</v>
      </c>
      <c r="U99" s="25" t="s">
        <v>91</v>
      </c>
      <c r="V99" s="20">
        <v>100814392</v>
      </c>
      <c r="W99" s="25" t="s">
        <v>912</v>
      </c>
      <c r="X99" s="20" t="s">
        <v>92</v>
      </c>
      <c r="Y99" s="20" t="s">
        <v>87</v>
      </c>
      <c r="Z99" s="20" t="s">
        <v>88</v>
      </c>
      <c r="AA99" s="15">
        <v>30.48</v>
      </c>
      <c r="AB99" s="15">
        <v>42.034274128142734</v>
      </c>
      <c r="AC99" s="15">
        <f t="shared" si="6"/>
        <v>42.034274128142734</v>
      </c>
      <c r="AD99" s="15">
        <f t="shared" si="7"/>
        <v>30.48</v>
      </c>
      <c r="AE99" s="15">
        <f t="shared" si="8"/>
        <v>11.554274128142733</v>
      </c>
      <c r="AF99" s="16">
        <f t="shared" si="9"/>
        <v>0.27487745102768246</v>
      </c>
      <c r="AG99" s="26" t="str">
        <f t="shared" si="10"/>
        <v>20-30%</v>
      </c>
      <c r="AH99" s="20"/>
      <c r="AI99" s="20" t="s">
        <v>43</v>
      </c>
      <c r="AJ99" s="20">
        <v>0</v>
      </c>
      <c r="AK99" s="20"/>
    </row>
    <row r="100" spans="1:37" s="27" customFormat="1" ht="12.75" customHeight="1" x14ac:dyDescent="0.2">
      <c r="A100" s="22" t="s">
        <v>906</v>
      </c>
      <c r="B100" s="22" t="s">
        <v>905</v>
      </c>
      <c r="C100" s="23">
        <v>44370</v>
      </c>
      <c r="D100" s="22" t="s">
        <v>485</v>
      </c>
      <c r="E100" s="22" t="s">
        <v>484</v>
      </c>
      <c r="F100" s="22" t="s">
        <v>483</v>
      </c>
      <c r="G100" s="22" t="s">
        <v>904</v>
      </c>
      <c r="H100" s="22" t="s">
        <v>481</v>
      </c>
      <c r="I100" s="22" t="s">
        <v>903</v>
      </c>
      <c r="J100" s="22" t="s">
        <v>902</v>
      </c>
      <c r="K100" s="22" t="s">
        <v>901</v>
      </c>
      <c r="L100" s="22" t="s">
        <v>900</v>
      </c>
      <c r="M100" s="22" t="s">
        <v>487</v>
      </c>
      <c r="N100" s="22" t="s">
        <v>899</v>
      </c>
      <c r="O100" s="22" t="s">
        <v>18</v>
      </c>
      <c r="P100" s="22" t="s">
        <v>93</v>
      </c>
      <c r="Q100" s="22">
        <v>100814395</v>
      </c>
      <c r="R100" s="22" t="s">
        <v>87</v>
      </c>
      <c r="S100" s="24">
        <v>1</v>
      </c>
      <c r="T100" s="20" t="s">
        <v>18</v>
      </c>
      <c r="U100" s="25" t="s">
        <v>93</v>
      </c>
      <c r="V100" s="20">
        <v>100814395</v>
      </c>
      <c r="W100" s="25" t="s">
        <v>912</v>
      </c>
      <c r="X100" s="20" t="s">
        <v>94</v>
      </c>
      <c r="Y100" s="20" t="s">
        <v>87</v>
      </c>
      <c r="Z100" s="20" t="s">
        <v>88</v>
      </c>
      <c r="AA100" s="15">
        <v>30.48</v>
      </c>
      <c r="AB100" s="15">
        <v>42.034274128142734</v>
      </c>
      <c r="AC100" s="15">
        <f t="shared" si="6"/>
        <v>42.034274128142734</v>
      </c>
      <c r="AD100" s="15">
        <f t="shared" si="7"/>
        <v>30.48</v>
      </c>
      <c r="AE100" s="15">
        <f t="shared" si="8"/>
        <v>11.554274128142733</v>
      </c>
      <c r="AF100" s="16">
        <f t="shared" si="9"/>
        <v>0.27487745102768246</v>
      </c>
      <c r="AG100" s="26" t="str">
        <f t="shared" si="10"/>
        <v>20-30%</v>
      </c>
      <c r="AH100" s="20"/>
      <c r="AI100" s="20" t="s">
        <v>43</v>
      </c>
      <c r="AJ100" s="20">
        <v>0</v>
      </c>
      <c r="AK100" s="20"/>
    </row>
    <row r="101" spans="1:37" s="27" customFormat="1" ht="12.75" customHeight="1" x14ac:dyDescent="0.2">
      <c r="A101" s="22" t="s">
        <v>906</v>
      </c>
      <c r="B101" s="22" t="s">
        <v>905</v>
      </c>
      <c r="C101" s="23">
        <v>44370</v>
      </c>
      <c r="D101" s="22" t="s">
        <v>485</v>
      </c>
      <c r="E101" s="22" t="s">
        <v>484</v>
      </c>
      <c r="F101" s="22" t="s">
        <v>483</v>
      </c>
      <c r="G101" s="22" t="s">
        <v>904</v>
      </c>
      <c r="H101" s="22" t="s">
        <v>481</v>
      </c>
      <c r="I101" s="22" t="s">
        <v>903</v>
      </c>
      <c r="J101" s="22" t="s">
        <v>902</v>
      </c>
      <c r="K101" s="22" t="s">
        <v>901</v>
      </c>
      <c r="L101" s="22" t="s">
        <v>900</v>
      </c>
      <c r="M101" s="22" t="s">
        <v>487</v>
      </c>
      <c r="N101" s="22" t="s">
        <v>899</v>
      </c>
      <c r="O101" s="22" t="s">
        <v>71</v>
      </c>
      <c r="P101" s="22" t="s">
        <v>95</v>
      </c>
      <c r="Q101" s="22">
        <v>118509413</v>
      </c>
      <c r="R101" s="22" t="s">
        <v>87</v>
      </c>
      <c r="S101" s="24">
        <v>3</v>
      </c>
      <c r="T101" s="20" t="s">
        <v>71</v>
      </c>
      <c r="U101" s="25" t="s">
        <v>95</v>
      </c>
      <c r="V101" s="20">
        <v>118509413</v>
      </c>
      <c r="W101" s="25" t="s">
        <v>912</v>
      </c>
      <c r="X101" s="20" t="s">
        <v>96</v>
      </c>
      <c r="Y101" s="20" t="s">
        <v>87</v>
      </c>
      <c r="Z101" s="20" t="s">
        <v>97</v>
      </c>
      <c r="AA101" s="15">
        <v>76.84</v>
      </c>
      <c r="AB101" s="15">
        <v>117.56000000000002</v>
      </c>
      <c r="AC101" s="15">
        <f t="shared" si="6"/>
        <v>352.68000000000006</v>
      </c>
      <c r="AD101" s="15">
        <f t="shared" si="7"/>
        <v>230.52</v>
      </c>
      <c r="AE101" s="15">
        <f t="shared" si="8"/>
        <v>122.16000000000005</v>
      </c>
      <c r="AF101" s="16">
        <f t="shared" si="9"/>
        <v>0.34637631847567207</v>
      </c>
      <c r="AG101" s="26" t="str">
        <f t="shared" si="10"/>
        <v>30+%</v>
      </c>
      <c r="AH101" s="20"/>
      <c r="AI101" s="20" t="s">
        <v>43</v>
      </c>
      <c r="AJ101" s="20">
        <v>0</v>
      </c>
      <c r="AK101" s="20"/>
    </row>
    <row r="102" spans="1:37" s="27" customFormat="1" ht="12.75" customHeight="1" x14ac:dyDescent="0.2">
      <c r="A102" s="22" t="s">
        <v>705</v>
      </c>
      <c r="B102" s="22" t="s">
        <v>775</v>
      </c>
      <c r="C102" s="23">
        <v>44372</v>
      </c>
      <c r="D102" s="22" t="s">
        <v>485</v>
      </c>
      <c r="E102" s="22" t="s">
        <v>484</v>
      </c>
      <c r="F102" s="22" t="s">
        <v>483</v>
      </c>
      <c r="G102" s="22" t="s">
        <v>704</v>
      </c>
      <c r="H102" s="22" t="s">
        <v>703</v>
      </c>
      <c r="I102" s="22" t="s">
        <v>702</v>
      </c>
      <c r="J102" s="22" t="s">
        <v>701</v>
      </c>
      <c r="K102" s="22" t="s">
        <v>700</v>
      </c>
      <c r="L102" s="22" t="s">
        <v>699</v>
      </c>
      <c r="M102" s="22" t="s">
        <v>777</v>
      </c>
      <c r="N102" s="22" t="s">
        <v>773</v>
      </c>
      <c r="O102" s="22" t="s">
        <v>16</v>
      </c>
      <c r="P102" s="22" t="s">
        <v>202</v>
      </c>
      <c r="Q102" s="22">
        <v>101670082</v>
      </c>
      <c r="R102" s="22" t="s">
        <v>87</v>
      </c>
      <c r="S102" s="24">
        <v>2</v>
      </c>
      <c r="T102" s="20" t="s">
        <v>16</v>
      </c>
      <c r="U102" s="25" t="s">
        <v>202</v>
      </c>
      <c r="V102" s="20">
        <v>101670082</v>
      </c>
      <c r="W102" s="25" t="s">
        <v>913</v>
      </c>
      <c r="X102" s="20" t="s">
        <v>203</v>
      </c>
      <c r="Y102" s="20" t="s">
        <v>87</v>
      </c>
      <c r="Z102" s="20" t="s">
        <v>88</v>
      </c>
      <c r="AA102" s="15">
        <v>250.02</v>
      </c>
      <c r="AB102" s="15">
        <v>243.47</v>
      </c>
      <c r="AC102" s="15">
        <f t="shared" si="6"/>
        <v>486.94</v>
      </c>
      <c r="AD102" s="15">
        <f t="shared" si="7"/>
        <v>500.04</v>
      </c>
      <c r="AE102" s="15">
        <f t="shared" si="8"/>
        <v>-13.100000000000023</v>
      </c>
      <c r="AF102" s="16">
        <f t="shared" si="9"/>
        <v>-2.6902698484412912E-2</v>
      </c>
      <c r="AG102" s="26" t="str">
        <f t="shared" si="10"/>
        <v>Negative</v>
      </c>
      <c r="AH102" s="20" t="s">
        <v>921</v>
      </c>
      <c r="AI102" s="20" t="s">
        <v>43</v>
      </c>
      <c r="AJ102" s="20">
        <v>0</v>
      </c>
      <c r="AK102" s="20"/>
    </row>
    <row r="103" spans="1:37" s="27" customFormat="1" ht="12.75" customHeight="1" x14ac:dyDescent="0.2">
      <c r="A103" s="22" t="s">
        <v>705</v>
      </c>
      <c r="B103" s="22" t="s">
        <v>775</v>
      </c>
      <c r="C103" s="23">
        <v>44372</v>
      </c>
      <c r="D103" s="22" t="s">
        <v>485</v>
      </c>
      <c r="E103" s="22" t="s">
        <v>484</v>
      </c>
      <c r="F103" s="22" t="s">
        <v>483</v>
      </c>
      <c r="G103" s="22" t="s">
        <v>704</v>
      </c>
      <c r="H103" s="22" t="s">
        <v>703</v>
      </c>
      <c r="I103" s="22" t="s">
        <v>702</v>
      </c>
      <c r="J103" s="22" t="s">
        <v>701</v>
      </c>
      <c r="K103" s="22" t="s">
        <v>700</v>
      </c>
      <c r="L103" s="22" t="s">
        <v>699</v>
      </c>
      <c r="M103" s="22" t="s">
        <v>739</v>
      </c>
      <c r="N103" s="22" t="s">
        <v>773</v>
      </c>
      <c r="O103" s="22" t="s">
        <v>16</v>
      </c>
      <c r="P103" s="22" t="s">
        <v>204</v>
      </c>
      <c r="Q103" s="22">
        <v>110188576</v>
      </c>
      <c r="R103" s="22" t="s">
        <v>87</v>
      </c>
      <c r="S103" s="24">
        <v>4</v>
      </c>
      <c r="T103" s="20" t="s">
        <v>16</v>
      </c>
      <c r="U103" s="25" t="s">
        <v>204</v>
      </c>
      <c r="V103" s="20">
        <v>110188576</v>
      </c>
      <c r="W103" s="25" t="s">
        <v>913</v>
      </c>
      <c r="X103" s="20" t="s">
        <v>205</v>
      </c>
      <c r="Y103" s="20" t="s">
        <v>87</v>
      </c>
      <c r="Z103" s="20" t="s">
        <v>88</v>
      </c>
      <c r="AA103" s="15">
        <v>371.67924528301887</v>
      </c>
      <c r="AB103" s="15">
        <v>395.26666666666671</v>
      </c>
      <c r="AC103" s="15">
        <f t="shared" si="6"/>
        <v>1581.0666666666668</v>
      </c>
      <c r="AD103" s="15">
        <f t="shared" si="7"/>
        <v>1486.7169811320755</v>
      </c>
      <c r="AE103" s="15">
        <f t="shared" si="8"/>
        <v>94.349685534591345</v>
      </c>
      <c r="AF103" s="16">
        <f t="shared" si="9"/>
        <v>5.9674704124593948E-2</v>
      </c>
      <c r="AG103" s="26" t="str">
        <f t="shared" si="10"/>
        <v>0-10%</v>
      </c>
      <c r="AH103" s="20" t="s">
        <v>921</v>
      </c>
      <c r="AI103" s="20" t="s">
        <v>43</v>
      </c>
      <c r="AJ103" s="20">
        <v>0</v>
      </c>
      <c r="AK103" s="20"/>
    </row>
    <row r="104" spans="1:37" s="27" customFormat="1" ht="12.75" customHeight="1" x14ac:dyDescent="0.2">
      <c r="A104" s="22" t="s">
        <v>705</v>
      </c>
      <c r="B104" s="22" t="s">
        <v>775</v>
      </c>
      <c r="C104" s="23">
        <v>44372</v>
      </c>
      <c r="D104" s="22" t="s">
        <v>485</v>
      </c>
      <c r="E104" s="22" t="s">
        <v>484</v>
      </c>
      <c r="F104" s="22" t="s">
        <v>483</v>
      </c>
      <c r="G104" s="22" t="s">
        <v>704</v>
      </c>
      <c r="H104" s="22" t="s">
        <v>703</v>
      </c>
      <c r="I104" s="22" t="s">
        <v>702</v>
      </c>
      <c r="J104" s="22" t="s">
        <v>701</v>
      </c>
      <c r="K104" s="22" t="s">
        <v>700</v>
      </c>
      <c r="L104" s="22" t="s">
        <v>699</v>
      </c>
      <c r="M104" s="22" t="s">
        <v>715</v>
      </c>
      <c r="N104" s="22" t="s">
        <v>773</v>
      </c>
      <c r="O104" s="22" t="s">
        <v>16</v>
      </c>
      <c r="P104" s="22" t="s">
        <v>178</v>
      </c>
      <c r="Q104" s="22">
        <v>110223931</v>
      </c>
      <c r="R104" s="22" t="s">
        <v>87</v>
      </c>
      <c r="S104" s="24">
        <v>1</v>
      </c>
      <c r="T104" s="20" t="s">
        <v>16</v>
      </c>
      <c r="U104" s="25" t="s">
        <v>178</v>
      </c>
      <c r="V104" s="20">
        <v>110223931</v>
      </c>
      <c r="W104" s="25" t="s">
        <v>913</v>
      </c>
      <c r="X104" s="20" t="s">
        <v>179</v>
      </c>
      <c r="Y104" s="20" t="s">
        <v>87</v>
      </c>
      <c r="Z104" s="20" t="s">
        <v>88</v>
      </c>
      <c r="AA104" s="15">
        <v>337.03773584905656</v>
      </c>
      <c r="AB104" s="15">
        <v>359.33333333333331</v>
      </c>
      <c r="AC104" s="15">
        <f t="shared" si="6"/>
        <v>359.33333333333331</v>
      </c>
      <c r="AD104" s="15">
        <f t="shared" si="7"/>
        <v>337.03773584905656</v>
      </c>
      <c r="AE104" s="15">
        <f t="shared" si="8"/>
        <v>22.295597484276755</v>
      </c>
      <c r="AF104" s="16">
        <f t="shared" si="9"/>
        <v>6.2047117303182069E-2</v>
      </c>
      <c r="AG104" s="26" t="str">
        <f t="shared" si="10"/>
        <v>0-10%</v>
      </c>
      <c r="AH104" s="20" t="s">
        <v>921</v>
      </c>
      <c r="AI104" s="20" t="s">
        <v>43</v>
      </c>
      <c r="AJ104" s="20">
        <v>0</v>
      </c>
      <c r="AK104" s="20"/>
    </row>
    <row r="105" spans="1:37" s="27" customFormat="1" ht="12.75" customHeight="1" x14ac:dyDescent="0.2">
      <c r="A105" s="22" t="s">
        <v>705</v>
      </c>
      <c r="B105" s="22" t="s">
        <v>775</v>
      </c>
      <c r="C105" s="23">
        <v>44372</v>
      </c>
      <c r="D105" s="22" t="s">
        <v>485</v>
      </c>
      <c r="E105" s="22" t="s">
        <v>484</v>
      </c>
      <c r="F105" s="22" t="s">
        <v>483</v>
      </c>
      <c r="G105" s="22" t="s">
        <v>704</v>
      </c>
      <c r="H105" s="22" t="s">
        <v>703</v>
      </c>
      <c r="I105" s="22" t="s">
        <v>702</v>
      </c>
      <c r="J105" s="22" t="s">
        <v>701</v>
      </c>
      <c r="K105" s="22" t="s">
        <v>700</v>
      </c>
      <c r="L105" s="22" t="s">
        <v>699</v>
      </c>
      <c r="M105" s="22" t="s">
        <v>745</v>
      </c>
      <c r="N105" s="22" t="s">
        <v>773</v>
      </c>
      <c r="O105" s="22" t="s">
        <v>16</v>
      </c>
      <c r="P105" s="22" t="s">
        <v>194</v>
      </c>
      <c r="Q105" s="22">
        <v>110223298</v>
      </c>
      <c r="R105" s="22" t="s">
        <v>87</v>
      </c>
      <c r="S105" s="24">
        <v>2</v>
      </c>
      <c r="T105" s="20" t="s">
        <v>16</v>
      </c>
      <c r="U105" s="25" t="s">
        <v>194</v>
      </c>
      <c r="V105" s="20">
        <v>110223298</v>
      </c>
      <c r="W105" s="25" t="s">
        <v>913</v>
      </c>
      <c r="X105" s="20" t="s">
        <v>195</v>
      </c>
      <c r="Y105" s="20" t="s">
        <v>87</v>
      </c>
      <c r="Z105" s="20" t="s">
        <v>88</v>
      </c>
      <c r="AA105" s="15">
        <v>306.71698113207549</v>
      </c>
      <c r="AB105" s="15">
        <v>327.06666666666666</v>
      </c>
      <c r="AC105" s="15">
        <f t="shared" si="6"/>
        <v>654.13333333333333</v>
      </c>
      <c r="AD105" s="15">
        <f t="shared" si="7"/>
        <v>613.43396226415098</v>
      </c>
      <c r="AE105" s="15">
        <f t="shared" si="8"/>
        <v>40.699371069182348</v>
      </c>
      <c r="AF105" s="16">
        <f t="shared" si="9"/>
        <v>6.2218769469805875E-2</v>
      </c>
      <c r="AG105" s="26" t="str">
        <f t="shared" si="10"/>
        <v>0-10%</v>
      </c>
      <c r="AH105" s="20" t="s">
        <v>921</v>
      </c>
      <c r="AI105" s="20" t="s">
        <v>43</v>
      </c>
      <c r="AJ105" s="20">
        <v>0</v>
      </c>
      <c r="AK105" s="20"/>
    </row>
    <row r="106" spans="1:37" s="27" customFormat="1" ht="12.75" customHeight="1" x14ac:dyDescent="0.2">
      <c r="A106" s="22" t="s">
        <v>705</v>
      </c>
      <c r="B106" s="22" t="s">
        <v>775</v>
      </c>
      <c r="C106" s="23">
        <v>44372</v>
      </c>
      <c r="D106" s="22" t="s">
        <v>485</v>
      </c>
      <c r="E106" s="22" t="s">
        <v>484</v>
      </c>
      <c r="F106" s="22" t="s">
        <v>483</v>
      </c>
      <c r="G106" s="22" t="s">
        <v>704</v>
      </c>
      <c r="H106" s="22" t="s">
        <v>703</v>
      </c>
      <c r="I106" s="22" t="s">
        <v>702</v>
      </c>
      <c r="J106" s="22" t="s">
        <v>701</v>
      </c>
      <c r="K106" s="22" t="s">
        <v>700</v>
      </c>
      <c r="L106" s="22" t="s">
        <v>699</v>
      </c>
      <c r="M106" s="22" t="s">
        <v>776</v>
      </c>
      <c r="N106" s="22" t="s">
        <v>773</v>
      </c>
      <c r="O106" s="22" t="s">
        <v>16</v>
      </c>
      <c r="P106" s="22" t="s">
        <v>172</v>
      </c>
      <c r="Q106" s="22">
        <v>113223056</v>
      </c>
      <c r="R106" s="22" t="s">
        <v>87</v>
      </c>
      <c r="S106" s="24">
        <v>4</v>
      </c>
      <c r="T106" s="20" t="s">
        <v>16</v>
      </c>
      <c r="U106" s="25" t="s">
        <v>172</v>
      </c>
      <c r="V106" s="20">
        <v>113223056</v>
      </c>
      <c r="W106" s="25" t="s">
        <v>913</v>
      </c>
      <c r="X106" s="20" t="s">
        <v>173</v>
      </c>
      <c r="Y106" s="20" t="s">
        <v>87</v>
      </c>
      <c r="Z106" s="20" t="s">
        <v>88</v>
      </c>
      <c r="AA106" s="15">
        <v>235.99999999999997</v>
      </c>
      <c r="AB106" s="15">
        <v>251.53333333333333</v>
      </c>
      <c r="AC106" s="15">
        <f t="shared" si="6"/>
        <v>1006.1333333333333</v>
      </c>
      <c r="AD106" s="15">
        <f t="shared" si="7"/>
        <v>943.99999999999989</v>
      </c>
      <c r="AE106" s="15">
        <f t="shared" si="8"/>
        <v>62.133333333333439</v>
      </c>
      <c r="AF106" s="16">
        <f t="shared" si="9"/>
        <v>6.1754571958653699E-2</v>
      </c>
      <c r="AG106" s="26" t="str">
        <f t="shared" si="10"/>
        <v>0-10%</v>
      </c>
      <c r="AH106" s="20" t="s">
        <v>921</v>
      </c>
      <c r="AI106" s="20" t="s">
        <v>43</v>
      </c>
      <c r="AJ106" s="20">
        <v>0</v>
      </c>
      <c r="AK106" s="20"/>
    </row>
    <row r="107" spans="1:37" s="27" customFormat="1" ht="12.75" customHeight="1" x14ac:dyDescent="0.2">
      <c r="A107" s="22" t="s">
        <v>705</v>
      </c>
      <c r="B107" s="22" t="s">
        <v>775</v>
      </c>
      <c r="C107" s="23">
        <v>44372</v>
      </c>
      <c r="D107" s="22" t="s">
        <v>485</v>
      </c>
      <c r="E107" s="22" t="s">
        <v>484</v>
      </c>
      <c r="F107" s="22" t="s">
        <v>483</v>
      </c>
      <c r="G107" s="22" t="s">
        <v>704</v>
      </c>
      <c r="H107" s="22" t="s">
        <v>703</v>
      </c>
      <c r="I107" s="22" t="s">
        <v>702</v>
      </c>
      <c r="J107" s="22" t="s">
        <v>701</v>
      </c>
      <c r="K107" s="22" t="s">
        <v>700</v>
      </c>
      <c r="L107" s="22" t="s">
        <v>699</v>
      </c>
      <c r="M107" s="22" t="s">
        <v>716</v>
      </c>
      <c r="N107" s="22" t="s">
        <v>773</v>
      </c>
      <c r="O107" s="22" t="s">
        <v>16</v>
      </c>
      <c r="P107" s="22" t="s">
        <v>174</v>
      </c>
      <c r="Q107" s="22">
        <v>103674709</v>
      </c>
      <c r="R107" s="22" t="s">
        <v>87</v>
      </c>
      <c r="S107" s="24">
        <v>2</v>
      </c>
      <c r="T107" s="20" t="s">
        <v>16</v>
      </c>
      <c r="U107" s="25" t="s">
        <v>174</v>
      </c>
      <c r="V107" s="20">
        <v>103674709</v>
      </c>
      <c r="W107" s="25" t="s">
        <v>913</v>
      </c>
      <c r="X107" s="20" t="s">
        <v>175</v>
      </c>
      <c r="Y107" s="20" t="s">
        <v>87</v>
      </c>
      <c r="Z107" s="20" t="s">
        <v>88</v>
      </c>
      <c r="AA107" s="15">
        <v>378.88679245283015</v>
      </c>
      <c r="AB107" s="15">
        <v>404.06666666666666</v>
      </c>
      <c r="AC107" s="15">
        <f t="shared" si="6"/>
        <v>808.13333333333333</v>
      </c>
      <c r="AD107" s="15">
        <f t="shared" si="7"/>
        <v>757.7735849056603</v>
      </c>
      <c r="AE107" s="15">
        <f t="shared" si="8"/>
        <v>50.359748427673026</v>
      </c>
      <c r="AF107" s="16">
        <f t="shared" si="9"/>
        <v>6.2316138130266902E-2</v>
      </c>
      <c r="AG107" s="26" t="str">
        <f t="shared" si="10"/>
        <v>0-10%</v>
      </c>
      <c r="AH107" s="20" t="s">
        <v>921</v>
      </c>
      <c r="AI107" s="20" t="s">
        <v>43</v>
      </c>
      <c r="AJ107" s="20">
        <v>0</v>
      </c>
      <c r="AK107" s="20"/>
    </row>
    <row r="108" spans="1:37" s="27" customFormat="1" ht="12.75" customHeight="1" x14ac:dyDescent="0.2">
      <c r="A108" s="22" t="s">
        <v>705</v>
      </c>
      <c r="B108" s="22" t="s">
        <v>775</v>
      </c>
      <c r="C108" s="23">
        <v>44372</v>
      </c>
      <c r="D108" s="22" t="s">
        <v>485</v>
      </c>
      <c r="E108" s="22" t="s">
        <v>484</v>
      </c>
      <c r="F108" s="22" t="s">
        <v>483</v>
      </c>
      <c r="G108" s="22" t="s">
        <v>704</v>
      </c>
      <c r="H108" s="22" t="s">
        <v>703</v>
      </c>
      <c r="I108" s="22" t="s">
        <v>702</v>
      </c>
      <c r="J108" s="22" t="s">
        <v>701</v>
      </c>
      <c r="K108" s="22" t="s">
        <v>700</v>
      </c>
      <c r="L108" s="22" t="s">
        <v>699</v>
      </c>
      <c r="M108" s="22" t="s">
        <v>710</v>
      </c>
      <c r="N108" s="22" t="s">
        <v>773</v>
      </c>
      <c r="O108" s="22" t="s">
        <v>16</v>
      </c>
      <c r="P108" s="22" t="s">
        <v>176</v>
      </c>
      <c r="Q108" s="22">
        <v>103720400</v>
      </c>
      <c r="R108" s="22" t="s">
        <v>87</v>
      </c>
      <c r="S108" s="24">
        <v>1</v>
      </c>
      <c r="T108" s="20" t="s">
        <v>16</v>
      </c>
      <c r="U108" s="25" t="s">
        <v>176</v>
      </c>
      <c r="V108" s="20">
        <v>103720400</v>
      </c>
      <c r="W108" s="25" t="s">
        <v>913</v>
      </c>
      <c r="X108" s="20" t="s">
        <v>177</v>
      </c>
      <c r="Y108" s="20" t="s">
        <v>87</v>
      </c>
      <c r="Z108" s="20" t="s">
        <v>88</v>
      </c>
      <c r="AA108" s="15">
        <v>461.16981132075466</v>
      </c>
      <c r="AB108" s="15">
        <v>489.86666666666673</v>
      </c>
      <c r="AC108" s="15">
        <f t="shared" si="6"/>
        <v>489.86666666666673</v>
      </c>
      <c r="AD108" s="15">
        <f t="shared" si="7"/>
        <v>461.16981132075466</v>
      </c>
      <c r="AE108" s="15">
        <f t="shared" si="8"/>
        <v>28.69685534591207</v>
      </c>
      <c r="AF108" s="16">
        <f t="shared" si="9"/>
        <v>5.8580951304937533E-2</v>
      </c>
      <c r="AG108" s="26" t="str">
        <f t="shared" si="10"/>
        <v>0-10%</v>
      </c>
      <c r="AH108" s="20" t="s">
        <v>921</v>
      </c>
      <c r="AI108" s="20" t="s">
        <v>43</v>
      </c>
      <c r="AJ108" s="20">
        <v>0</v>
      </c>
      <c r="AK108" s="20"/>
    </row>
    <row r="109" spans="1:37" s="27" customFormat="1" ht="12.75" customHeight="1" x14ac:dyDescent="0.2">
      <c r="A109" s="22" t="s">
        <v>705</v>
      </c>
      <c r="B109" s="22" t="s">
        <v>774</v>
      </c>
      <c r="C109" s="23">
        <v>44375</v>
      </c>
      <c r="D109" s="22" t="s">
        <v>485</v>
      </c>
      <c r="E109" s="22" t="s">
        <v>484</v>
      </c>
      <c r="F109" s="22" t="s">
        <v>483</v>
      </c>
      <c r="G109" s="22" t="s">
        <v>704</v>
      </c>
      <c r="H109" s="22" t="s">
        <v>703</v>
      </c>
      <c r="I109" s="22" t="s">
        <v>702</v>
      </c>
      <c r="J109" s="22" t="s">
        <v>701</v>
      </c>
      <c r="K109" s="22" t="s">
        <v>700</v>
      </c>
      <c r="L109" s="22" t="s">
        <v>699</v>
      </c>
      <c r="M109" s="22" t="s">
        <v>713</v>
      </c>
      <c r="N109" s="22" t="s">
        <v>773</v>
      </c>
      <c r="O109" s="22" t="s">
        <v>16</v>
      </c>
      <c r="P109" s="22" t="s">
        <v>180</v>
      </c>
      <c r="Q109" s="22">
        <v>110224139</v>
      </c>
      <c r="R109" s="22" t="s">
        <v>87</v>
      </c>
      <c r="S109" s="24">
        <v>1</v>
      </c>
      <c r="T109" s="20" t="s">
        <v>16</v>
      </c>
      <c r="U109" s="25" t="s">
        <v>180</v>
      </c>
      <c r="V109" s="20">
        <v>110224139</v>
      </c>
      <c r="W109" s="25" t="s">
        <v>913</v>
      </c>
      <c r="X109" s="20" t="s">
        <v>181</v>
      </c>
      <c r="Y109" s="20" t="s">
        <v>87</v>
      </c>
      <c r="Z109" s="20" t="s">
        <v>88</v>
      </c>
      <c r="AA109" s="15">
        <v>381.77358490566036</v>
      </c>
      <c r="AB109" s="15">
        <v>407</v>
      </c>
      <c r="AC109" s="15">
        <f t="shared" si="6"/>
        <v>407</v>
      </c>
      <c r="AD109" s="15">
        <f t="shared" si="7"/>
        <v>381.77358490566036</v>
      </c>
      <c r="AE109" s="15">
        <f t="shared" si="8"/>
        <v>25.226415094339643</v>
      </c>
      <c r="AF109" s="16">
        <f t="shared" si="9"/>
        <v>6.1981363868156371E-2</v>
      </c>
      <c r="AG109" s="26" t="str">
        <f t="shared" si="10"/>
        <v>0-10%</v>
      </c>
      <c r="AH109" s="20" t="s">
        <v>921</v>
      </c>
      <c r="AI109" s="20" t="s">
        <v>42</v>
      </c>
      <c r="AJ109" s="20">
        <v>4</v>
      </c>
      <c r="AK109" s="20"/>
    </row>
    <row r="110" spans="1:37" s="27" customFormat="1" ht="12.75" customHeight="1" x14ac:dyDescent="0.2">
      <c r="A110" s="22" t="s">
        <v>705</v>
      </c>
      <c r="B110" s="22" t="s">
        <v>772</v>
      </c>
      <c r="C110" s="23">
        <v>44375</v>
      </c>
      <c r="D110" s="22" t="s">
        <v>485</v>
      </c>
      <c r="E110" s="22" t="s">
        <v>484</v>
      </c>
      <c r="F110" s="22" t="s">
        <v>483</v>
      </c>
      <c r="G110" s="22" t="s">
        <v>704</v>
      </c>
      <c r="H110" s="22" t="s">
        <v>703</v>
      </c>
      <c r="I110" s="22" t="s">
        <v>702</v>
      </c>
      <c r="J110" s="22" t="s">
        <v>701</v>
      </c>
      <c r="K110" s="22" t="s">
        <v>700</v>
      </c>
      <c r="L110" s="22" t="s">
        <v>699</v>
      </c>
      <c r="M110" s="22" t="s">
        <v>771</v>
      </c>
      <c r="N110" s="22" t="s">
        <v>770</v>
      </c>
      <c r="O110" s="22" t="s">
        <v>16</v>
      </c>
      <c r="P110" s="22" t="s">
        <v>206</v>
      </c>
      <c r="Q110" s="22">
        <v>110986777</v>
      </c>
      <c r="R110" s="22" t="s">
        <v>87</v>
      </c>
      <c r="S110" s="24">
        <v>2</v>
      </c>
      <c r="T110" s="20" t="s">
        <v>16</v>
      </c>
      <c r="U110" s="25" t="s">
        <v>206</v>
      </c>
      <c r="V110" s="20">
        <v>110986777</v>
      </c>
      <c r="W110" s="25" t="s">
        <v>913</v>
      </c>
      <c r="X110" s="20" t="s">
        <v>207</v>
      </c>
      <c r="Y110" s="20" t="s">
        <v>87</v>
      </c>
      <c r="Z110" s="20" t="s">
        <v>88</v>
      </c>
      <c r="AA110" s="15">
        <v>207.84905660377356</v>
      </c>
      <c r="AB110" s="15">
        <v>220.73333333333335</v>
      </c>
      <c r="AC110" s="15">
        <f t="shared" si="6"/>
        <v>441.4666666666667</v>
      </c>
      <c r="AD110" s="15">
        <f t="shared" si="7"/>
        <v>415.69811320754712</v>
      </c>
      <c r="AE110" s="15">
        <f t="shared" si="8"/>
        <v>25.768553459119573</v>
      </c>
      <c r="AF110" s="16">
        <f t="shared" si="9"/>
        <v>5.837032647037052E-2</v>
      </c>
      <c r="AG110" s="26" t="str">
        <f t="shared" si="10"/>
        <v>0-10%</v>
      </c>
      <c r="AH110" s="20" t="s">
        <v>921</v>
      </c>
      <c r="AI110" s="20" t="s">
        <v>43</v>
      </c>
      <c r="AJ110" s="20">
        <v>0</v>
      </c>
      <c r="AK110" s="20"/>
    </row>
    <row r="111" spans="1:37" s="27" customFormat="1" ht="12.75" customHeight="1" x14ac:dyDescent="0.2">
      <c r="A111" s="22" t="s">
        <v>705</v>
      </c>
      <c r="B111" s="22" t="s">
        <v>769</v>
      </c>
      <c r="C111" s="23">
        <v>44377</v>
      </c>
      <c r="D111" s="22" t="s">
        <v>485</v>
      </c>
      <c r="E111" s="22" t="s">
        <v>484</v>
      </c>
      <c r="F111" s="22" t="s">
        <v>483</v>
      </c>
      <c r="G111" s="22" t="s">
        <v>704</v>
      </c>
      <c r="H111" s="22" t="s">
        <v>703</v>
      </c>
      <c r="I111" s="22" t="s">
        <v>702</v>
      </c>
      <c r="J111" s="22" t="s">
        <v>701</v>
      </c>
      <c r="K111" s="22" t="s">
        <v>700</v>
      </c>
      <c r="L111" s="22" t="s">
        <v>699</v>
      </c>
      <c r="M111" s="22" t="s">
        <v>724</v>
      </c>
      <c r="N111" s="22" t="s">
        <v>768</v>
      </c>
      <c r="O111" s="22" t="s">
        <v>16</v>
      </c>
      <c r="P111" s="22" t="s">
        <v>206</v>
      </c>
      <c r="Q111" s="22">
        <v>110986777</v>
      </c>
      <c r="R111" s="22" t="s">
        <v>87</v>
      </c>
      <c r="S111" s="24">
        <v>2</v>
      </c>
      <c r="T111" s="20" t="s">
        <v>16</v>
      </c>
      <c r="U111" s="25" t="s">
        <v>206</v>
      </c>
      <c r="V111" s="20">
        <v>110986777</v>
      </c>
      <c r="W111" s="25" t="s">
        <v>913</v>
      </c>
      <c r="X111" s="20" t="s">
        <v>207</v>
      </c>
      <c r="Y111" s="20" t="s">
        <v>87</v>
      </c>
      <c r="Z111" s="20" t="s">
        <v>88</v>
      </c>
      <c r="AA111" s="15">
        <v>207.84905660377356</v>
      </c>
      <c r="AB111" s="15">
        <v>220.73333333333335</v>
      </c>
      <c r="AC111" s="15">
        <f t="shared" si="6"/>
        <v>441.4666666666667</v>
      </c>
      <c r="AD111" s="15">
        <f t="shared" si="7"/>
        <v>415.69811320754712</v>
      </c>
      <c r="AE111" s="15">
        <f t="shared" si="8"/>
        <v>25.768553459119573</v>
      </c>
      <c r="AF111" s="16">
        <f t="shared" si="9"/>
        <v>5.837032647037052E-2</v>
      </c>
      <c r="AG111" s="26" t="str">
        <f t="shared" si="10"/>
        <v>0-10%</v>
      </c>
      <c r="AH111" s="20" t="s">
        <v>921</v>
      </c>
      <c r="AI111" s="20" t="s">
        <v>43</v>
      </c>
      <c r="AJ111" s="20">
        <v>0</v>
      </c>
      <c r="AK111" s="20"/>
    </row>
    <row r="112" spans="1:37" s="27" customFormat="1" ht="12.75" customHeight="1" x14ac:dyDescent="0.2">
      <c r="A112" s="22" t="s">
        <v>486</v>
      </c>
      <c r="B112" s="22" t="s">
        <v>611</v>
      </c>
      <c r="C112" s="23">
        <v>44377</v>
      </c>
      <c r="D112" s="22" t="s">
        <v>485</v>
      </c>
      <c r="E112" s="22" t="s">
        <v>484</v>
      </c>
      <c r="F112" s="22" t="s">
        <v>483</v>
      </c>
      <c r="G112" s="22" t="s">
        <v>482</v>
      </c>
      <c r="H112" s="22" t="s">
        <v>481</v>
      </c>
      <c r="I112" s="22" t="s">
        <v>480</v>
      </c>
      <c r="J112" s="22" t="s">
        <v>479</v>
      </c>
      <c r="K112" s="22" t="s">
        <v>478</v>
      </c>
      <c r="L112" s="22" t="s">
        <v>477</v>
      </c>
      <c r="M112" s="22" t="s">
        <v>487</v>
      </c>
      <c r="N112" s="22" t="s">
        <v>606</v>
      </c>
      <c r="O112" s="22" t="s">
        <v>28</v>
      </c>
      <c r="P112" s="22" t="s">
        <v>333</v>
      </c>
      <c r="Q112" s="22">
        <v>102071250</v>
      </c>
      <c r="R112" s="22" t="s">
        <v>87</v>
      </c>
      <c r="S112" s="24">
        <v>3</v>
      </c>
      <c r="T112" s="20" t="s">
        <v>28</v>
      </c>
      <c r="U112" s="25" t="s">
        <v>333</v>
      </c>
      <c r="V112" s="20">
        <v>102071250</v>
      </c>
      <c r="W112" s="25" t="s">
        <v>910</v>
      </c>
      <c r="X112" s="20" t="s">
        <v>334</v>
      </c>
      <c r="Y112" s="20" t="s">
        <v>87</v>
      </c>
      <c r="Z112" s="20" t="s">
        <v>88</v>
      </c>
      <c r="AA112" s="15">
        <v>65.975975024606299</v>
      </c>
      <c r="AB112" s="15">
        <v>62.66</v>
      </c>
      <c r="AC112" s="15">
        <f t="shared" si="6"/>
        <v>187.98</v>
      </c>
      <c r="AD112" s="15">
        <f t="shared" si="7"/>
        <v>197.9279250738189</v>
      </c>
      <c r="AE112" s="15">
        <f t="shared" si="8"/>
        <v>-9.947925073818908</v>
      </c>
      <c r="AF112" s="16">
        <f t="shared" si="9"/>
        <v>-5.2920124874023346E-2</v>
      </c>
      <c r="AG112" s="26" t="str">
        <f t="shared" si="10"/>
        <v>Negative</v>
      </c>
      <c r="AH112" s="20"/>
      <c r="AI112" s="20" t="s">
        <v>43</v>
      </c>
      <c r="AJ112" s="20">
        <v>0</v>
      </c>
      <c r="AK112" s="20"/>
    </row>
    <row r="113" spans="1:37" s="27" customFormat="1" ht="12.75" customHeight="1" x14ac:dyDescent="0.2">
      <c r="A113" s="22" t="s">
        <v>486</v>
      </c>
      <c r="B113" s="22" t="s">
        <v>610</v>
      </c>
      <c r="C113" s="23">
        <v>44377</v>
      </c>
      <c r="D113" s="22" t="s">
        <v>485</v>
      </c>
      <c r="E113" s="22" t="s">
        <v>484</v>
      </c>
      <c r="F113" s="22" t="s">
        <v>483</v>
      </c>
      <c r="G113" s="22" t="s">
        <v>482</v>
      </c>
      <c r="H113" s="22" t="s">
        <v>481</v>
      </c>
      <c r="I113" s="22" t="s">
        <v>480</v>
      </c>
      <c r="J113" s="22" t="s">
        <v>479</v>
      </c>
      <c r="K113" s="22" t="s">
        <v>478</v>
      </c>
      <c r="L113" s="22" t="s">
        <v>477</v>
      </c>
      <c r="M113" s="22" t="s">
        <v>487</v>
      </c>
      <c r="N113" s="22" t="s">
        <v>606</v>
      </c>
      <c r="O113" s="22" t="s">
        <v>28</v>
      </c>
      <c r="P113" s="22" t="s">
        <v>341</v>
      </c>
      <c r="Q113" s="22">
        <v>102075611</v>
      </c>
      <c r="R113" s="22" t="s">
        <v>87</v>
      </c>
      <c r="S113" s="24">
        <v>4</v>
      </c>
      <c r="T113" s="20" t="s">
        <v>28</v>
      </c>
      <c r="U113" s="25" t="s">
        <v>341</v>
      </c>
      <c r="V113" s="20">
        <v>102075611</v>
      </c>
      <c r="W113" s="25" t="s">
        <v>910</v>
      </c>
      <c r="X113" s="20" t="s">
        <v>342</v>
      </c>
      <c r="Y113" s="20" t="s">
        <v>87</v>
      </c>
      <c r="Z113" s="20" t="s">
        <v>88</v>
      </c>
      <c r="AA113" s="15">
        <v>70.000631072823793</v>
      </c>
      <c r="AB113" s="15">
        <v>66.48</v>
      </c>
      <c r="AC113" s="15">
        <f t="shared" si="6"/>
        <v>265.92</v>
      </c>
      <c r="AD113" s="15">
        <f t="shared" si="7"/>
        <v>280.00252429129517</v>
      </c>
      <c r="AE113" s="15">
        <f t="shared" si="8"/>
        <v>-14.082524291295158</v>
      </c>
      <c r="AF113" s="16">
        <f t="shared" si="9"/>
        <v>-5.2957747786158083E-2</v>
      </c>
      <c r="AG113" s="26" t="str">
        <f t="shared" si="10"/>
        <v>Negative</v>
      </c>
      <c r="AH113" s="20"/>
      <c r="AI113" s="20" t="s">
        <v>42</v>
      </c>
      <c r="AJ113" s="20">
        <v>9</v>
      </c>
      <c r="AK113" s="20"/>
    </row>
    <row r="114" spans="1:37" s="27" customFormat="1" ht="12.75" customHeight="1" x14ac:dyDescent="0.2">
      <c r="A114" s="22" t="s">
        <v>486</v>
      </c>
      <c r="B114" s="22" t="s">
        <v>610</v>
      </c>
      <c r="C114" s="23">
        <v>44377</v>
      </c>
      <c r="D114" s="22" t="s">
        <v>485</v>
      </c>
      <c r="E114" s="22" t="s">
        <v>484</v>
      </c>
      <c r="F114" s="22" t="s">
        <v>483</v>
      </c>
      <c r="G114" s="22" t="s">
        <v>482</v>
      </c>
      <c r="H114" s="22" t="s">
        <v>481</v>
      </c>
      <c r="I114" s="22" t="s">
        <v>480</v>
      </c>
      <c r="J114" s="22" t="s">
        <v>479</v>
      </c>
      <c r="K114" s="22" t="s">
        <v>478</v>
      </c>
      <c r="L114" s="22" t="s">
        <v>477</v>
      </c>
      <c r="M114" s="22" t="s">
        <v>487</v>
      </c>
      <c r="N114" s="22" t="s">
        <v>606</v>
      </c>
      <c r="O114" s="22" t="s">
        <v>28</v>
      </c>
      <c r="P114" s="22" t="s">
        <v>335</v>
      </c>
      <c r="Q114" s="22">
        <v>112788482</v>
      </c>
      <c r="R114" s="22" t="s">
        <v>87</v>
      </c>
      <c r="S114" s="24">
        <v>1</v>
      </c>
      <c r="T114" s="20" t="s">
        <v>28</v>
      </c>
      <c r="U114" s="25" t="s">
        <v>335</v>
      </c>
      <c r="V114" s="20">
        <v>112788482</v>
      </c>
      <c r="W114" s="25" t="s">
        <v>910</v>
      </c>
      <c r="X114" s="20" t="s">
        <v>336</v>
      </c>
      <c r="Y114" s="20" t="s">
        <v>87</v>
      </c>
      <c r="Z114" s="20" t="s">
        <v>88</v>
      </c>
      <c r="AA114" s="15">
        <v>1510.587413088507</v>
      </c>
      <c r="AB114" s="15">
        <v>1434.7</v>
      </c>
      <c r="AC114" s="15">
        <f t="shared" si="6"/>
        <v>1434.7</v>
      </c>
      <c r="AD114" s="15">
        <f t="shared" si="7"/>
        <v>1510.587413088507</v>
      </c>
      <c r="AE114" s="15">
        <f t="shared" si="8"/>
        <v>-75.887413088506946</v>
      </c>
      <c r="AF114" s="16">
        <f t="shared" si="9"/>
        <v>-5.2894272731934859E-2</v>
      </c>
      <c r="AG114" s="26" t="str">
        <f t="shared" si="10"/>
        <v>Negative</v>
      </c>
      <c r="AH114" s="20"/>
      <c r="AI114" s="20" t="s">
        <v>43</v>
      </c>
      <c r="AJ114" s="20">
        <v>0</v>
      </c>
      <c r="AK114" s="20"/>
    </row>
    <row r="115" spans="1:37" s="27" customFormat="1" ht="12.75" customHeight="1" x14ac:dyDescent="0.2">
      <c r="A115" s="22" t="s">
        <v>486</v>
      </c>
      <c r="B115" s="22" t="s">
        <v>610</v>
      </c>
      <c r="C115" s="23">
        <v>44377</v>
      </c>
      <c r="D115" s="22" t="s">
        <v>485</v>
      </c>
      <c r="E115" s="22" t="s">
        <v>484</v>
      </c>
      <c r="F115" s="22" t="s">
        <v>483</v>
      </c>
      <c r="G115" s="22" t="s">
        <v>482</v>
      </c>
      <c r="H115" s="22" t="s">
        <v>481</v>
      </c>
      <c r="I115" s="22" t="s">
        <v>480</v>
      </c>
      <c r="J115" s="22" t="s">
        <v>479</v>
      </c>
      <c r="K115" s="22" t="s">
        <v>478</v>
      </c>
      <c r="L115" s="22" t="s">
        <v>477</v>
      </c>
      <c r="M115" s="22" t="s">
        <v>487</v>
      </c>
      <c r="N115" s="22" t="s">
        <v>606</v>
      </c>
      <c r="O115" s="22" t="s">
        <v>28</v>
      </c>
      <c r="P115" s="22" t="s">
        <v>337</v>
      </c>
      <c r="Q115" s="22">
        <v>102069804</v>
      </c>
      <c r="R115" s="22" t="s">
        <v>87</v>
      </c>
      <c r="S115" s="24">
        <v>2</v>
      </c>
      <c r="T115" s="20" t="s">
        <v>28</v>
      </c>
      <c r="U115" s="25" t="s">
        <v>337</v>
      </c>
      <c r="V115" s="20">
        <v>102069804</v>
      </c>
      <c r="W115" s="25" t="s">
        <v>910</v>
      </c>
      <c r="X115" s="20" t="s">
        <v>338</v>
      </c>
      <c r="Y115" s="20" t="s">
        <v>87</v>
      </c>
      <c r="Z115" s="20" t="s">
        <v>88</v>
      </c>
      <c r="AA115" s="15">
        <v>313.46130885069698</v>
      </c>
      <c r="AB115" s="15">
        <v>297.72000000000003</v>
      </c>
      <c r="AC115" s="15">
        <f t="shared" si="6"/>
        <v>595.44000000000005</v>
      </c>
      <c r="AD115" s="15">
        <f t="shared" si="7"/>
        <v>626.92261770139396</v>
      </c>
      <c r="AE115" s="15">
        <f t="shared" si="8"/>
        <v>-31.482617701393906</v>
      </c>
      <c r="AF115" s="16">
        <f t="shared" si="9"/>
        <v>-5.2872863263122905E-2</v>
      </c>
      <c r="AG115" s="26" t="str">
        <f t="shared" si="10"/>
        <v>Negative</v>
      </c>
      <c r="AH115" s="20"/>
      <c r="AI115" s="20" t="s">
        <v>42</v>
      </c>
      <c r="AJ115" s="20">
        <v>2</v>
      </c>
      <c r="AK115" s="20"/>
    </row>
    <row r="116" spans="1:37" s="27" customFormat="1" ht="12.75" customHeight="1" x14ac:dyDescent="0.2">
      <c r="A116" s="22" t="s">
        <v>486</v>
      </c>
      <c r="B116" s="22" t="s">
        <v>610</v>
      </c>
      <c r="C116" s="23">
        <v>44377</v>
      </c>
      <c r="D116" s="22" t="s">
        <v>485</v>
      </c>
      <c r="E116" s="22" t="s">
        <v>484</v>
      </c>
      <c r="F116" s="22" t="s">
        <v>483</v>
      </c>
      <c r="G116" s="22" t="s">
        <v>482</v>
      </c>
      <c r="H116" s="22" t="s">
        <v>481</v>
      </c>
      <c r="I116" s="22" t="s">
        <v>480</v>
      </c>
      <c r="J116" s="22" t="s">
        <v>479</v>
      </c>
      <c r="K116" s="22" t="s">
        <v>478</v>
      </c>
      <c r="L116" s="22" t="s">
        <v>477</v>
      </c>
      <c r="M116" s="22" t="s">
        <v>487</v>
      </c>
      <c r="N116" s="22" t="s">
        <v>606</v>
      </c>
      <c r="O116" s="22" t="s">
        <v>28</v>
      </c>
      <c r="P116" s="22" t="s">
        <v>339</v>
      </c>
      <c r="Q116" s="22">
        <v>113628875</v>
      </c>
      <c r="R116" s="22" t="s">
        <v>87</v>
      </c>
      <c r="S116" s="24">
        <v>10</v>
      </c>
      <c r="T116" s="20" t="s">
        <v>28</v>
      </c>
      <c r="U116" s="25" t="s">
        <v>339</v>
      </c>
      <c r="V116" s="20">
        <v>113628875</v>
      </c>
      <c r="W116" s="25" t="s">
        <v>910</v>
      </c>
      <c r="X116" s="20" t="s">
        <v>340</v>
      </c>
      <c r="Y116" s="20" t="s">
        <v>87</v>
      </c>
      <c r="Z116" s="20" t="s">
        <v>88</v>
      </c>
      <c r="AA116" s="15">
        <v>18.670835076279531</v>
      </c>
      <c r="AB116" s="15">
        <v>17.737643312101913</v>
      </c>
      <c r="AC116" s="15">
        <f t="shared" si="6"/>
        <v>177.37643312101912</v>
      </c>
      <c r="AD116" s="15">
        <f t="shared" si="7"/>
        <v>186.70835076279531</v>
      </c>
      <c r="AE116" s="15">
        <f t="shared" si="8"/>
        <v>-9.3319176417761867</v>
      </c>
      <c r="AF116" s="16">
        <f t="shared" si="9"/>
        <v>-5.2610808987286789E-2</v>
      </c>
      <c r="AG116" s="26" t="str">
        <f t="shared" si="10"/>
        <v>Negative</v>
      </c>
      <c r="AH116" s="20"/>
      <c r="AI116" s="20" t="s">
        <v>43</v>
      </c>
      <c r="AJ116" s="20">
        <v>0</v>
      </c>
      <c r="AK116" s="20"/>
    </row>
    <row r="117" spans="1:37" s="27" customFormat="1" ht="12.75" customHeight="1" x14ac:dyDescent="0.2">
      <c r="A117" s="22" t="s">
        <v>486</v>
      </c>
      <c r="B117" s="22" t="s">
        <v>610</v>
      </c>
      <c r="C117" s="23">
        <v>44377</v>
      </c>
      <c r="D117" s="22" t="s">
        <v>485</v>
      </c>
      <c r="E117" s="22" t="s">
        <v>484</v>
      </c>
      <c r="F117" s="22" t="s">
        <v>483</v>
      </c>
      <c r="G117" s="22" t="s">
        <v>482</v>
      </c>
      <c r="H117" s="22" t="s">
        <v>481</v>
      </c>
      <c r="I117" s="22" t="s">
        <v>480</v>
      </c>
      <c r="J117" s="22" t="s">
        <v>479</v>
      </c>
      <c r="K117" s="22" t="s">
        <v>478</v>
      </c>
      <c r="L117" s="22" t="s">
        <v>477</v>
      </c>
      <c r="M117" s="22" t="s">
        <v>609</v>
      </c>
      <c r="N117" s="22" t="s">
        <v>606</v>
      </c>
      <c r="O117" s="22" t="s">
        <v>28</v>
      </c>
      <c r="P117" s="22" t="s">
        <v>343</v>
      </c>
      <c r="Q117" s="22">
        <v>102043807</v>
      </c>
      <c r="R117" s="22" t="s">
        <v>87</v>
      </c>
      <c r="S117" s="24">
        <v>12</v>
      </c>
      <c r="T117" s="20" t="s">
        <v>28</v>
      </c>
      <c r="U117" s="25" t="s">
        <v>343</v>
      </c>
      <c r="V117" s="20">
        <v>102043807</v>
      </c>
      <c r="W117" s="25" t="s">
        <v>910</v>
      </c>
      <c r="X117" s="20" t="s">
        <v>344</v>
      </c>
      <c r="Y117" s="20" t="s">
        <v>87</v>
      </c>
      <c r="Z117" s="20" t="s">
        <v>88</v>
      </c>
      <c r="AA117" s="15">
        <v>15.99</v>
      </c>
      <c r="AB117" s="15">
        <v>15.97</v>
      </c>
      <c r="AC117" s="15">
        <f t="shared" si="6"/>
        <v>191.64000000000001</v>
      </c>
      <c r="AD117" s="15">
        <f t="shared" si="7"/>
        <v>191.88</v>
      </c>
      <c r="AE117" s="15">
        <f t="shared" si="8"/>
        <v>-0.23999999999998067</v>
      </c>
      <c r="AF117" s="16">
        <f t="shared" si="9"/>
        <v>-1.2523481527863737E-3</v>
      </c>
      <c r="AG117" s="26" t="str">
        <f t="shared" si="10"/>
        <v>Negative</v>
      </c>
      <c r="AH117" s="20"/>
      <c r="AI117" s="20" t="s">
        <v>42</v>
      </c>
      <c r="AJ117" s="20">
        <v>227</v>
      </c>
      <c r="AK117" s="20"/>
    </row>
    <row r="118" spans="1:37" s="27" customFormat="1" ht="12.75" customHeight="1" x14ac:dyDescent="0.2">
      <c r="A118" s="22" t="s">
        <v>486</v>
      </c>
      <c r="B118" s="22" t="s">
        <v>608</v>
      </c>
      <c r="C118" s="23">
        <v>44377</v>
      </c>
      <c r="D118" s="22" t="s">
        <v>485</v>
      </c>
      <c r="E118" s="22" t="s">
        <v>484</v>
      </c>
      <c r="F118" s="22" t="s">
        <v>483</v>
      </c>
      <c r="G118" s="22" t="s">
        <v>482</v>
      </c>
      <c r="H118" s="22" t="s">
        <v>481</v>
      </c>
      <c r="I118" s="22" t="s">
        <v>480</v>
      </c>
      <c r="J118" s="22" t="s">
        <v>479</v>
      </c>
      <c r="K118" s="22" t="s">
        <v>478</v>
      </c>
      <c r="L118" s="22" t="s">
        <v>477</v>
      </c>
      <c r="M118" s="22" t="s">
        <v>487</v>
      </c>
      <c r="N118" s="22" t="s">
        <v>606</v>
      </c>
      <c r="O118" s="22" t="s">
        <v>28</v>
      </c>
      <c r="P118" s="22" t="s">
        <v>216</v>
      </c>
      <c r="Q118" s="22">
        <v>102070387</v>
      </c>
      <c r="R118" s="22" t="s">
        <v>87</v>
      </c>
      <c r="S118" s="24">
        <v>2</v>
      </c>
      <c r="T118" s="20" t="s">
        <v>28</v>
      </c>
      <c r="U118" s="25" t="s">
        <v>216</v>
      </c>
      <c r="V118" s="20">
        <v>102070387</v>
      </c>
      <c r="W118" s="25" t="s">
        <v>910</v>
      </c>
      <c r="X118" s="20" t="s">
        <v>217</v>
      </c>
      <c r="Y118" s="20" t="s">
        <v>87</v>
      </c>
      <c r="Z118" s="20" t="s">
        <v>88</v>
      </c>
      <c r="AA118" s="15">
        <v>26.585187258579186</v>
      </c>
      <c r="AB118" s="15">
        <v>25.25</v>
      </c>
      <c r="AC118" s="15">
        <f t="shared" si="6"/>
        <v>50.5</v>
      </c>
      <c r="AD118" s="15">
        <f t="shared" si="7"/>
        <v>53.170374517158372</v>
      </c>
      <c r="AE118" s="15">
        <f t="shared" si="8"/>
        <v>-2.6703745171583719</v>
      </c>
      <c r="AF118" s="16">
        <f t="shared" si="9"/>
        <v>-5.287870331006677E-2</v>
      </c>
      <c r="AG118" s="26" t="str">
        <f t="shared" si="10"/>
        <v>Negative</v>
      </c>
      <c r="AH118" s="20"/>
      <c r="AI118" s="20" t="s">
        <v>43</v>
      </c>
      <c r="AJ118" s="20">
        <v>0</v>
      </c>
      <c r="AK118" s="20"/>
    </row>
    <row r="119" spans="1:37" s="27" customFormat="1" ht="12.75" customHeight="1" x14ac:dyDescent="0.2">
      <c r="A119" s="22" t="s">
        <v>486</v>
      </c>
      <c r="B119" s="22" t="s">
        <v>608</v>
      </c>
      <c r="C119" s="23">
        <v>44377</v>
      </c>
      <c r="D119" s="22" t="s">
        <v>485</v>
      </c>
      <c r="E119" s="22" t="s">
        <v>484</v>
      </c>
      <c r="F119" s="22" t="s">
        <v>483</v>
      </c>
      <c r="G119" s="22" t="s">
        <v>482</v>
      </c>
      <c r="H119" s="22" t="s">
        <v>481</v>
      </c>
      <c r="I119" s="22" t="s">
        <v>480</v>
      </c>
      <c r="J119" s="22" t="s">
        <v>479</v>
      </c>
      <c r="K119" s="22" t="s">
        <v>478</v>
      </c>
      <c r="L119" s="22" t="s">
        <v>477</v>
      </c>
      <c r="M119" s="22" t="s">
        <v>487</v>
      </c>
      <c r="N119" s="22" t="s">
        <v>606</v>
      </c>
      <c r="O119" s="22" t="s">
        <v>28</v>
      </c>
      <c r="P119" s="22" t="s">
        <v>237</v>
      </c>
      <c r="Q119" s="22">
        <v>101644298</v>
      </c>
      <c r="R119" s="22" t="s">
        <v>87</v>
      </c>
      <c r="S119" s="24">
        <v>1</v>
      </c>
      <c r="T119" s="20" t="s">
        <v>28</v>
      </c>
      <c r="U119" s="25" t="s">
        <v>237</v>
      </c>
      <c r="V119" s="20">
        <v>101644298</v>
      </c>
      <c r="W119" s="25" t="s">
        <v>910</v>
      </c>
      <c r="X119" s="20" t="s">
        <v>238</v>
      </c>
      <c r="Y119" s="20" t="s">
        <v>87</v>
      </c>
      <c r="Z119" s="20" t="s">
        <v>88</v>
      </c>
      <c r="AA119" s="15">
        <v>74.073580831692922</v>
      </c>
      <c r="AB119" s="15">
        <v>70.36</v>
      </c>
      <c r="AC119" s="15">
        <f t="shared" si="6"/>
        <v>70.36</v>
      </c>
      <c r="AD119" s="15">
        <f t="shared" si="7"/>
        <v>74.073580831692922</v>
      </c>
      <c r="AE119" s="15">
        <f t="shared" si="8"/>
        <v>-3.7135808316929229</v>
      </c>
      <c r="AF119" s="16">
        <f t="shared" si="9"/>
        <v>-5.2779716198023352E-2</v>
      </c>
      <c r="AG119" s="26" t="str">
        <f t="shared" si="10"/>
        <v>Negative</v>
      </c>
      <c r="AH119" s="20"/>
      <c r="AI119" s="20" t="s">
        <v>43</v>
      </c>
      <c r="AJ119" s="20">
        <v>0</v>
      </c>
      <c r="AK119" s="20"/>
    </row>
    <row r="120" spans="1:37" s="27" customFormat="1" ht="12.75" customHeight="1" x14ac:dyDescent="0.2">
      <c r="A120" s="22" t="s">
        <v>486</v>
      </c>
      <c r="B120" s="22" t="s">
        <v>608</v>
      </c>
      <c r="C120" s="23">
        <v>44377</v>
      </c>
      <c r="D120" s="22" t="s">
        <v>485</v>
      </c>
      <c r="E120" s="22" t="s">
        <v>484</v>
      </c>
      <c r="F120" s="22" t="s">
        <v>483</v>
      </c>
      <c r="G120" s="22" t="s">
        <v>482</v>
      </c>
      <c r="H120" s="22" t="s">
        <v>481</v>
      </c>
      <c r="I120" s="22" t="s">
        <v>480</v>
      </c>
      <c r="J120" s="22" t="s">
        <v>479</v>
      </c>
      <c r="K120" s="22" t="s">
        <v>478</v>
      </c>
      <c r="L120" s="22" t="s">
        <v>477</v>
      </c>
      <c r="M120" s="22" t="s">
        <v>487</v>
      </c>
      <c r="N120" s="22" t="s">
        <v>606</v>
      </c>
      <c r="O120" s="22" t="s">
        <v>28</v>
      </c>
      <c r="P120" s="22" t="s">
        <v>907</v>
      </c>
      <c r="Q120" s="22">
        <v>102070819</v>
      </c>
      <c r="R120" s="22" t="s">
        <v>87</v>
      </c>
      <c r="S120" s="24">
        <v>12</v>
      </c>
      <c r="T120" s="20" t="s">
        <v>28</v>
      </c>
      <c r="U120" s="25" t="s">
        <v>85</v>
      </c>
      <c r="V120" s="20">
        <v>118643487</v>
      </c>
      <c r="W120" s="25" t="s">
        <v>910</v>
      </c>
      <c r="X120" s="20" t="s">
        <v>86</v>
      </c>
      <c r="Y120" s="20" t="s">
        <v>87</v>
      </c>
      <c r="Z120" s="20" t="s">
        <v>88</v>
      </c>
      <c r="AA120" s="15">
        <v>14.829350393700787</v>
      </c>
      <c r="AB120" s="15">
        <v>14.09</v>
      </c>
      <c r="AC120" s="15">
        <f t="shared" si="6"/>
        <v>169.07999999999998</v>
      </c>
      <c r="AD120" s="15">
        <f t="shared" si="7"/>
        <v>177.95220472440946</v>
      </c>
      <c r="AE120" s="15">
        <f t="shared" si="8"/>
        <v>-8.8722047244094711</v>
      </c>
      <c r="AF120" s="16">
        <f t="shared" si="9"/>
        <v>-5.2473413321560636E-2</v>
      </c>
      <c r="AG120" s="26" t="str">
        <f t="shared" si="10"/>
        <v>Negative</v>
      </c>
      <c r="AH120" s="20"/>
      <c r="AI120" s="20" t="s">
        <v>43</v>
      </c>
      <c r="AJ120" s="20">
        <v>48</v>
      </c>
      <c r="AK120" s="20"/>
    </row>
    <row r="121" spans="1:37" s="27" customFormat="1" ht="12.75" customHeight="1" x14ac:dyDescent="0.2">
      <c r="A121" s="22" t="s">
        <v>486</v>
      </c>
      <c r="B121" s="22" t="s">
        <v>608</v>
      </c>
      <c r="C121" s="23">
        <v>44377</v>
      </c>
      <c r="D121" s="22" t="s">
        <v>485</v>
      </c>
      <c r="E121" s="22" t="s">
        <v>484</v>
      </c>
      <c r="F121" s="22" t="s">
        <v>483</v>
      </c>
      <c r="G121" s="22" t="s">
        <v>482</v>
      </c>
      <c r="H121" s="22" t="s">
        <v>481</v>
      </c>
      <c r="I121" s="22" t="s">
        <v>480</v>
      </c>
      <c r="J121" s="22" t="s">
        <v>479</v>
      </c>
      <c r="K121" s="22" t="s">
        <v>478</v>
      </c>
      <c r="L121" s="22" t="s">
        <v>477</v>
      </c>
      <c r="M121" s="22" t="s">
        <v>487</v>
      </c>
      <c r="N121" s="22" t="s">
        <v>606</v>
      </c>
      <c r="O121" s="22" t="s">
        <v>28</v>
      </c>
      <c r="P121" s="22" t="s">
        <v>218</v>
      </c>
      <c r="Q121" s="22">
        <v>101936230</v>
      </c>
      <c r="R121" s="22" t="s">
        <v>87</v>
      </c>
      <c r="S121" s="24">
        <v>3</v>
      </c>
      <c r="T121" s="20" t="s">
        <v>28</v>
      </c>
      <c r="U121" s="25" t="s">
        <v>218</v>
      </c>
      <c r="V121" s="20">
        <v>101936230</v>
      </c>
      <c r="W121" s="25" t="s">
        <v>910</v>
      </c>
      <c r="X121" s="20" t="s">
        <v>219</v>
      </c>
      <c r="Y121" s="20" t="s">
        <v>87</v>
      </c>
      <c r="Z121" s="20" t="s">
        <v>88</v>
      </c>
      <c r="AA121" s="15">
        <v>37.99</v>
      </c>
      <c r="AB121" s="15">
        <v>37.94</v>
      </c>
      <c r="AC121" s="15">
        <f t="shared" si="6"/>
        <v>113.82</v>
      </c>
      <c r="AD121" s="15">
        <f t="shared" si="7"/>
        <v>113.97</v>
      </c>
      <c r="AE121" s="15">
        <f t="shared" si="8"/>
        <v>-0.15000000000000568</v>
      </c>
      <c r="AF121" s="16">
        <f t="shared" si="9"/>
        <v>-1.3178703215604086E-3</v>
      </c>
      <c r="AG121" s="26" t="str">
        <f t="shared" si="10"/>
        <v>Negative</v>
      </c>
      <c r="AH121" s="20"/>
      <c r="AI121" s="20" t="s">
        <v>42</v>
      </c>
      <c r="AJ121" s="20">
        <v>24</v>
      </c>
      <c r="AK121" s="20"/>
    </row>
    <row r="122" spans="1:37" s="27" customFormat="1" ht="12.75" customHeight="1" x14ac:dyDescent="0.2">
      <c r="A122" s="22" t="s">
        <v>486</v>
      </c>
      <c r="B122" s="22" t="s">
        <v>608</v>
      </c>
      <c r="C122" s="23">
        <v>44377</v>
      </c>
      <c r="D122" s="22" t="s">
        <v>485</v>
      </c>
      <c r="E122" s="22" t="s">
        <v>484</v>
      </c>
      <c r="F122" s="22" t="s">
        <v>483</v>
      </c>
      <c r="G122" s="22" t="s">
        <v>482</v>
      </c>
      <c r="H122" s="22" t="s">
        <v>481</v>
      </c>
      <c r="I122" s="22" t="s">
        <v>480</v>
      </c>
      <c r="J122" s="22" t="s">
        <v>479</v>
      </c>
      <c r="K122" s="22" t="s">
        <v>478</v>
      </c>
      <c r="L122" s="22" t="s">
        <v>477</v>
      </c>
      <c r="M122" s="22" t="s">
        <v>607</v>
      </c>
      <c r="N122" s="22" t="s">
        <v>606</v>
      </c>
      <c r="O122" s="22" t="s">
        <v>28</v>
      </c>
      <c r="P122" s="22" t="s">
        <v>147</v>
      </c>
      <c r="Q122" s="22">
        <v>102088854</v>
      </c>
      <c r="R122" s="22" t="s">
        <v>87</v>
      </c>
      <c r="S122" s="24">
        <v>12</v>
      </c>
      <c r="T122" s="20" t="s">
        <v>28</v>
      </c>
      <c r="U122" s="25" t="s">
        <v>147</v>
      </c>
      <c r="V122" s="20">
        <v>102088854</v>
      </c>
      <c r="W122" s="25" t="s">
        <v>910</v>
      </c>
      <c r="X122" s="20" t="s">
        <v>148</v>
      </c>
      <c r="Y122" s="20" t="s">
        <v>87</v>
      </c>
      <c r="Z122" s="20" t="s">
        <v>88</v>
      </c>
      <c r="AA122" s="15">
        <v>7.37</v>
      </c>
      <c r="AB122" s="15">
        <v>9.33</v>
      </c>
      <c r="AC122" s="15">
        <f t="shared" si="6"/>
        <v>111.96000000000001</v>
      </c>
      <c r="AD122" s="15">
        <f t="shared" si="7"/>
        <v>88.44</v>
      </c>
      <c r="AE122" s="15">
        <f t="shared" si="8"/>
        <v>23.52000000000001</v>
      </c>
      <c r="AF122" s="16">
        <f t="shared" si="9"/>
        <v>0.21007502679528411</v>
      </c>
      <c r="AG122" s="26" t="str">
        <f t="shared" si="10"/>
        <v>20-30%</v>
      </c>
      <c r="AH122" s="20"/>
      <c r="AI122" s="20" t="s">
        <v>42</v>
      </c>
      <c r="AJ122" s="20">
        <v>1140</v>
      </c>
      <c r="AK122" s="20"/>
    </row>
    <row r="123" spans="1:37" s="27" customFormat="1" ht="12.75" customHeight="1" x14ac:dyDescent="0.2">
      <c r="A123" s="22" t="s">
        <v>817</v>
      </c>
      <c r="B123" s="22" t="s">
        <v>824</v>
      </c>
      <c r="C123" s="23">
        <v>44385</v>
      </c>
      <c r="D123" s="22" t="s">
        <v>485</v>
      </c>
      <c r="E123" s="22" t="s">
        <v>484</v>
      </c>
      <c r="F123" s="22" t="s">
        <v>815</v>
      </c>
      <c r="G123" s="22" t="s">
        <v>815</v>
      </c>
      <c r="H123" s="22" t="s">
        <v>814</v>
      </c>
      <c r="I123" s="22" t="s">
        <v>813</v>
      </c>
      <c r="J123" s="22" t="s">
        <v>812</v>
      </c>
      <c r="K123" s="22" t="s">
        <v>811</v>
      </c>
      <c r="L123" s="22" t="s">
        <v>810</v>
      </c>
      <c r="M123" s="22" t="s">
        <v>487</v>
      </c>
      <c r="N123" s="22" t="s">
        <v>823</v>
      </c>
      <c r="O123" s="22" t="s">
        <v>23</v>
      </c>
      <c r="P123" s="22" t="s">
        <v>168</v>
      </c>
      <c r="Q123" s="22">
        <v>110925167</v>
      </c>
      <c r="R123" s="22" t="s">
        <v>87</v>
      </c>
      <c r="S123" s="24">
        <v>5</v>
      </c>
      <c r="T123" s="20" t="s">
        <v>23</v>
      </c>
      <c r="U123" s="25" t="s">
        <v>168</v>
      </c>
      <c r="V123" s="20">
        <v>110925167</v>
      </c>
      <c r="W123" s="25" t="s">
        <v>911</v>
      </c>
      <c r="X123" s="20" t="s">
        <v>169</v>
      </c>
      <c r="Y123" s="20" t="s">
        <v>87</v>
      </c>
      <c r="Z123" s="20" t="s">
        <v>97</v>
      </c>
      <c r="AA123" s="15">
        <v>45.41</v>
      </c>
      <c r="AB123" s="15">
        <v>72.89</v>
      </c>
      <c r="AC123" s="15">
        <f t="shared" si="6"/>
        <v>364.45</v>
      </c>
      <c r="AD123" s="15">
        <f t="shared" si="7"/>
        <v>227.04999999999998</v>
      </c>
      <c r="AE123" s="15">
        <f t="shared" si="8"/>
        <v>137.4</v>
      </c>
      <c r="AF123" s="16">
        <f t="shared" si="9"/>
        <v>0.37700644807243794</v>
      </c>
      <c r="AG123" s="26" t="str">
        <f t="shared" si="10"/>
        <v>30+%</v>
      </c>
      <c r="AH123" s="20"/>
      <c r="AI123" s="20" t="s">
        <v>43</v>
      </c>
      <c r="AJ123" s="20">
        <v>0</v>
      </c>
      <c r="AK123" s="20"/>
    </row>
    <row r="124" spans="1:37" s="27" customFormat="1" ht="12.75" customHeight="1" x14ac:dyDescent="0.2">
      <c r="A124" s="22" t="s">
        <v>705</v>
      </c>
      <c r="B124" s="22" t="s">
        <v>767</v>
      </c>
      <c r="C124" s="23">
        <v>44391</v>
      </c>
      <c r="D124" s="22" t="s">
        <v>485</v>
      </c>
      <c r="E124" s="22" t="s">
        <v>484</v>
      </c>
      <c r="F124" s="22" t="s">
        <v>483</v>
      </c>
      <c r="G124" s="22" t="s">
        <v>704</v>
      </c>
      <c r="H124" s="22" t="s">
        <v>703</v>
      </c>
      <c r="I124" s="22" t="s">
        <v>702</v>
      </c>
      <c r="J124" s="22" t="s">
        <v>701</v>
      </c>
      <c r="K124" s="22" t="s">
        <v>700</v>
      </c>
      <c r="L124" s="22" t="s">
        <v>699</v>
      </c>
      <c r="M124" s="22" t="s">
        <v>724</v>
      </c>
      <c r="N124" s="22" t="s">
        <v>766</v>
      </c>
      <c r="O124" s="22" t="s">
        <v>16</v>
      </c>
      <c r="P124" s="22" t="s">
        <v>206</v>
      </c>
      <c r="Q124" s="22">
        <v>110986777</v>
      </c>
      <c r="R124" s="22" t="s">
        <v>87</v>
      </c>
      <c r="S124" s="24">
        <v>2</v>
      </c>
      <c r="T124" s="20" t="s">
        <v>16</v>
      </c>
      <c r="U124" s="25" t="s">
        <v>206</v>
      </c>
      <c r="V124" s="20">
        <v>110986777</v>
      </c>
      <c r="W124" s="25" t="s">
        <v>913</v>
      </c>
      <c r="X124" s="20" t="s">
        <v>207</v>
      </c>
      <c r="Y124" s="20" t="s">
        <v>87</v>
      </c>
      <c r="Z124" s="20" t="s">
        <v>88</v>
      </c>
      <c r="AA124" s="15">
        <v>207.84905660377356</v>
      </c>
      <c r="AB124" s="15">
        <v>220.73333333333335</v>
      </c>
      <c r="AC124" s="15">
        <f t="shared" si="6"/>
        <v>441.4666666666667</v>
      </c>
      <c r="AD124" s="15">
        <f t="shared" si="7"/>
        <v>415.69811320754712</v>
      </c>
      <c r="AE124" s="15">
        <f t="shared" si="8"/>
        <v>25.768553459119573</v>
      </c>
      <c r="AF124" s="16">
        <f t="shared" si="9"/>
        <v>5.837032647037052E-2</v>
      </c>
      <c r="AG124" s="26" t="str">
        <f t="shared" si="10"/>
        <v>0-10%</v>
      </c>
      <c r="AH124" s="20" t="s">
        <v>921</v>
      </c>
      <c r="AI124" s="20" t="s">
        <v>43</v>
      </c>
      <c r="AJ124" s="20">
        <v>0</v>
      </c>
      <c r="AK124" s="20"/>
    </row>
    <row r="125" spans="1:37" s="27" customFormat="1" ht="12.75" customHeight="1" x14ac:dyDescent="0.2">
      <c r="A125" s="22" t="s">
        <v>833</v>
      </c>
      <c r="B125" s="22" t="s">
        <v>865</v>
      </c>
      <c r="C125" s="23">
        <v>44396</v>
      </c>
      <c r="D125" s="22"/>
      <c r="E125" s="22"/>
      <c r="F125" s="22" t="s">
        <v>832</v>
      </c>
      <c r="G125" s="22" t="s">
        <v>832</v>
      </c>
      <c r="H125" s="22" t="s">
        <v>831</v>
      </c>
      <c r="I125" s="22" t="s">
        <v>830</v>
      </c>
      <c r="J125" s="22" t="s">
        <v>829</v>
      </c>
      <c r="K125" s="22" t="s">
        <v>828</v>
      </c>
      <c r="L125" s="22" t="s">
        <v>827</v>
      </c>
      <c r="M125" s="22" t="s">
        <v>852</v>
      </c>
      <c r="N125" s="22" t="s">
        <v>864</v>
      </c>
      <c r="O125" s="22" t="s">
        <v>71</v>
      </c>
      <c r="P125" s="22" t="s">
        <v>116</v>
      </c>
      <c r="Q125" s="22">
        <v>118371401</v>
      </c>
      <c r="R125" s="22" t="s">
        <v>87</v>
      </c>
      <c r="S125" s="24">
        <v>1</v>
      </c>
      <c r="T125" s="20" t="s">
        <v>71</v>
      </c>
      <c r="U125" s="25" t="s">
        <v>116</v>
      </c>
      <c r="V125" s="20">
        <v>118371401</v>
      </c>
      <c r="W125" s="25" t="s">
        <v>913</v>
      </c>
      <c r="X125" s="20" t="s">
        <v>117</v>
      </c>
      <c r="Y125" s="20" t="s">
        <v>87</v>
      </c>
      <c r="Z125" s="20" t="s">
        <v>97</v>
      </c>
      <c r="AA125" s="15">
        <v>25279.804090433739</v>
      </c>
      <c r="AB125" s="15">
        <v>23787.15</v>
      </c>
      <c r="AC125" s="15">
        <f t="shared" si="6"/>
        <v>23787.15</v>
      </c>
      <c r="AD125" s="15">
        <f t="shared" si="7"/>
        <v>25279.804090433739</v>
      </c>
      <c r="AE125" s="15">
        <f t="shared" si="8"/>
        <v>-1492.654090433738</v>
      </c>
      <c r="AF125" s="16">
        <f t="shared" si="9"/>
        <v>-6.2750438385167528E-2</v>
      </c>
      <c r="AG125" s="26" t="str">
        <f t="shared" si="10"/>
        <v>Negative</v>
      </c>
      <c r="AH125" s="20"/>
      <c r="AI125" s="20" t="s">
        <v>43</v>
      </c>
      <c r="AJ125" s="20">
        <v>0</v>
      </c>
      <c r="AK125" s="20"/>
    </row>
    <row r="126" spans="1:37" s="27" customFormat="1" ht="12.75" customHeight="1" x14ac:dyDescent="0.2">
      <c r="A126" s="22" t="s">
        <v>486</v>
      </c>
      <c r="B126" s="22" t="s">
        <v>605</v>
      </c>
      <c r="C126" s="23">
        <v>44398</v>
      </c>
      <c r="D126" s="22" t="s">
        <v>485</v>
      </c>
      <c r="E126" s="22" t="s">
        <v>484</v>
      </c>
      <c r="F126" s="22" t="s">
        <v>483</v>
      </c>
      <c r="G126" s="22" t="s">
        <v>482</v>
      </c>
      <c r="H126" s="22" t="s">
        <v>481</v>
      </c>
      <c r="I126" s="22" t="s">
        <v>480</v>
      </c>
      <c r="J126" s="22" t="s">
        <v>479</v>
      </c>
      <c r="K126" s="22" t="s">
        <v>478</v>
      </c>
      <c r="L126" s="22" t="s">
        <v>477</v>
      </c>
      <c r="M126" s="22" t="s">
        <v>487</v>
      </c>
      <c r="N126" s="22" t="s">
        <v>604</v>
      </c>
      <c r="O126" s="22" t="s">
        <v>29</v>
      </c>
      <c r="P126" s="22" t="s">
        <v>320</v>
      </c>
      <c r="Q126" s="22">
        <v>118253515</v>
      </c>
      <c r="R126" s="22" t="s">
        <v>87</v>
      </c>
      <c r="S126" s="24">
        <v>4</v>
      </c>
      <c r="T126" s="20" t="s">
        <v>29</v>
      </c>
      <c r="U126" s="25" t="s">
        <v>320</v>
      </c>
      <c r="V126" s="20">
        <v>118253515</v>
      </c>
      <c r="W126" s="25" t="s">
        <v>913</v>
      </c>
      <c r="X126" s="20" t="s">
        <v>321</v>
      </c>
      <c r="Y126" s="20" t="s">
        <v>87</v>
      </c>
      <c r="Z126" s="20" t="s">
        <v>97</v>
      </c>
      <c r="AA126" s="15">
        <v>47.866285184814188</v>
      </c>
      <c r="AB126" s="15">
        <v>46.6</v>
      </c>
      <c r="AC126" s="15">
        <f t="shared" si="6"/>
        <v>186.4</v>
      </c>
      <c r="AD126" s="15">
        <f t="shared" si="7"/>
        <v>191.46514073925675</v>
      </c>
      <c r="AE126" s="15">
        <f t="shared" si="8"/>
        <v>-5.0651407392567478</v>
      </c>
      <c r="AF126" s="16">
        <f t="shared" si="9"/>
        <v>-2.7173501820046929E-2</v>
      </c>
      <c r="AG126" s="26" t="str">
        <f t="shared" si="10"/>
        <v>Negative</v>
      </c>
      <c r="AH126" s="20"/>
      <c r="AI126" s="20" t="s">
        <v>43</v>
      </c>
      <c r="AJ126" s="20">
        <v>0</v>
      </c>
      <c r="AK126" s="20"/>
    </row>
    <row r="127" spans="1:37" s="27" customFormat="1" ht="12.75" customHeight="1" x14ac:dyDescent="0.2">
      <c r="A127" s="22" t="s">
        <v>833</v>
      </c>
      <c r="B127" s="22" t="s">
        <v>863</v>
      </c>
      <c r="C127" s="23">
        <v>44403</v>
      </c>
      <c r="D127" s="22"/>
      <c r="E127" s="22"/>
      <c r="F127" s="22" t="s">
        <v>832</v>
      </c>
      <c r="G127" s="22" t="s">
        <v>832</v>
      </c>
      <c r="H127" s="22" t="s">
        <v>831</v>
      </c>
      <c r="I127" s="22" t="s">
        <v>830</v>
      </c>
      <c r="J127" s="22" t="s">
        <v>829</v>
      </c>
      <c r="K127" s="22" t="s">
        <v>828</v>
      </c>
      <c r="L127" s="22" t="s">
        <v>827</v>
      </c>
      <c r="M127" s="22" t="s">
        <v>852</v>
      </c>
      <c r="N127" s="22" t="s">
        <v>862</v>
      </c>
      <c r="O127" s="22" t="s">
        <v>118</v>
      </c>
      <c r="P127" s="22" t="s">
        <v>119</v>
      </c>
      <c r="Q127" s="22">
        <v>118578018</v>
      </c>
      <c r="R127" s="22" t="s">
        <v>87</v>
      </c>
      <c r="S127" s="24">
        <v>1</v>
      </c>
      <c r="T127" s="20" t="s">
        <v>118</v>
      </c>
      <c r="U127" s="25" t="s">
        <v>119</v>
      </c>
      <c r="V127" s="20">
        <v>118578018</v>
      </c>
      <c r="W127" s="25" t="s">
        <v>913</v>
      </c>
      <c r="X127" s="20" t="s">
        <v>120</v>
      </c>
      <c r="Y127" s="20" t="s">
        <v>87</v>
      </c>
      <c r="Z127" s="20" t="s">
        <v>97</v>
      </c>
      <c r="AA127" s="15">
        <v>640.79999999999995</v>
      </c>
      <c r="AB127" s="15">
        <v>785.74</v>
      </c>
      <c r="AC127" s="15">
        <f t="shared" si="6"/>
        <v>785.74</v>
      </c>
      <c r="AD127" s="15">
        <f t="shared" si="7"/>
        <v>640.79999999999995</v>
      </c>
      <c r="AE127" s="15">
        <f t="shared" si="8"/>
        <v>144.94000000000005</v>
      </c>
      <c r="AF127" s="16">
        <f t="shared" si="9"/>
        <v>0.18446305393641668</v>
      </c>
      <c r="AG127" s="26" t="str">
        <f t="shared" si="10"/>
        <v>10-20%</v>
      </c>
      <c r="AH127" s="20"/>
      <c r="AI127" s="20" t="s">
        <v>43</v>
      </c>
      <c r="AJ127" s="20">
        <v>0</v>
      </c>
      <c r="AK127" s="20"/>
    </row>
    <row r="128" spans="1:37" s="27" customFormat="1" ht="12.75" customHeight="1" x14ac:dyDescent="0.2">
      <c r="A128" s="22" t="s">
        <v>486</v>
      </c>
      <c r="B128" s="22" t="s">
        <v>603</v>
      </c>
      <c r="C128" s="23">
        <v>44403</v>
      </c>
      <c r="D128" s="22" t="s">
        <v>485</v>
      </c>
      <c r="E128" s="22" t="s">
        <v>484</v>
      </c>
      <c r="F128" s="22" t="s">
        <v>483</v>
      </c>
      <c r="G128" s="22" t="s">
        <v>482</v>
      </c>
      <c r="H128" s="22" t="s">
        <v>481</v>
      </c>
      <c r="I128" s="22" t="s">
        <v>480</v>
      </c>
      <c r="J128" s="22" t="s">
        <v>479</v>
      </c>
      <c r="K128" s="22" t="s">
        <v>478</v>
      </c>
      <c r="L128" s="22" t="s">
        <v>477</v>
      </c>
      <c r="M128" s="22" t="s">
        <v>487</v>
      </c>
      <c r="N128" s="22" t="s">
        <v>602</v>
      </c>
      <c r="O128" s="22" t="s">
        <v>345</v>
      </c>
      <c r="P128" s="22" t="s">
        <v>346</v>
      </c>
      <c r="Q128" s="22">
        <v>106072441</v>
      </c>
      <c r="R128" s="22" t="s">
        <v>87</v>
      </c>
      <c r="S128" s="24">
        <v>20</v>
      </c>
      <c r="T128" s="20" t="s">
        <v>345</v>
      </c>
      <c r="U128" s="25" t="s">
        <v>346</v>
      </c>
      <c r="V128" s="20">
        <v>106072441</v>
      </c>
      <c r="W128" s="25" t="s">
        <v>915</v>
      </c>
      <c r="X128" s="20" t="s">
        <v>347</v>
      </c>
      <c r="Y128" s="20" t="s">
        <v>87</v>
      </c>
      <c r="Z128" s="20" t="s">
        <v>97</v>
      </c>
      <c r="AA128" s="15">
        <v>13.45</v>
      </c>
      <c r="AB128" s="15">
        <v>13.16</v>
      </c>
      <c r="AC128" s="15">
        <f t="shared" si="6"/>
        <v>263.2</v>
      </c>
      <c r="AD128" s="15">
        <f t="shared" si="7"/>
        <v>269</v>
      </c>
      <c r="AE128" s="15">
        <f t="shared" si="8"/>
        <v>-5.8000000000000114</v>
      </c>
      <c r="AF128" s="16">
        <f t="shared" si="9"/>
        <v>-2.2036474164133783E-2</v>
      </c>
      <c r="AG128" s="26" t="str">
        <f t="shared" si="10"/>
        <v>Negative</v>
      </c>
      <c r="AH128" s="20"/>
      <c r="AI128" s="20" t="s">
        <v>43</v>
      </c>
      <c r="AJ128" s="20">
        <v>0</v>
      </c>
      <c r="AK128" s="20"/>
    </row>
    <row r="129" spans="1:37" s="27" customFormat="1" ht="12.75" customHeight="1" x14ac:dyDescent="0.2">
      <c r="A129" s="22" t="s">
        <v>486</v>
      </c>
      <c r="B129" s="22" t="s">
        <v>603</v>
      </c>
      <c r="C129" s="23">
        <v>44403</v>
      </c>
      <c r="D129" s="22" t="s">
        <v>485</v>
      </c>
      <c r="E129" s="22" t="s">
        <v>484</v>
      </c>
      <c r="F129" s="22" t="s">
        <v>483</v>
      </c>
      <c r="G129" s="22" t="s">
        <v>482</v>
      </c>
      <c r="H129" s="22" t="s">
        <v>481</v>
      </c>
      <c r="I129" s="22" t="s">
        <v>480</v>
      </c>
      <c r="J129" s="22" t="s">
        <v>479</v>
      </c>
      <c r="K129" s="22" t="s">
        <v>478</v>
      </c>
      <c r="L129" s="22" t="s">
        <v>477</v>
      </c>
      <c r="M129" s="22" t="s">
        <v>487</v>
      </c>
      <c r="N129" s="22" t="s">
        <v>602</v>
      </c>
      <c r="O129" s="22" t="s">
        <v>345</v>
      </c>
      <c r="P129" s="22" t="s">
        <v>348</v>
      </c>
      <c r="Q129" s="22">
        <v>110593553</v>
      </c>
      <c r="R129" s="22" t="s">
        <v>87</v>
      </c>
      <c r="S129" s="24">
        <v>10</v>
      </c>
      <c r="T129" s="20" t="s">
        <v>345</v>
      </c>
      <c r="U129" s="25" t="s">
        <v>348</v>
      </c>
      <c r="V129" s="20">
        <v>110593553</v>
      </c>
      <c r="W129" s="25" t="s">
        <v>915</v>
      </c>
      <c r="X129" s="20" t="s">
        <v>349</v>
      </c>
      <c r="Y129" s="20" t="s">
        <v>87</v>
      </c>
      <c r="Z129" s="20" t="s">
        <v>97</v>
      </c>
      <c r="AA129" s="15">
        <v>46.86</v>
      </c>
      <c r="AB129" s="15">
        <v>45.87</v>
      </c>
      <c r="AC129" s="15">
        <f t="shared" si="6"/>
        <v>458.7</v>
      </c>
      <c r="AD129" s="15">
        <f t="shared" si="7"/>
        <v>468.6</v>
      </c>
      <c r="AE129" s="15">
        <f t="shared" si="8"/>
        <v>-9.9000000000000341</v>
      </c>
      <c r="AF129" s="16">
        <f t="shared" si="9"/>
        <v>-2.1582733812949714E-2</v>
      </c>
      <c r="AG129" s="26" t="str">
        <f t="shared" si="10"/>
        <v>Negative</v>
      </c>
      <c r="AH129" s="20"/>
      <c r="AI129" s="20" t="s">
        <v>43</v>
      </c>
      <c r="AJ129" s="20">
        <v>0</v>
      </c>
      <c r="AK129" s="20"/>
    </row>
    <row r="130" spans="1:37" s="27" customFormat="1" ht="12.75" customHeight="1" x14ac:dyDescent="0.2">
      <c r="A130" s="22" t="s">
        <v>883</v>
      </c>
      <c r="B130" s="22" t="s">
        <v>894</v>
      </c>
      <c r="C130" s="23">
        <v>44404</v>
      </c>
      <c r="D130" s="22" t="s">
        <v>485</v>
      </c>
      <c r="E130" s="22" t="s">
        <v>484</v>
      </c>
      <c r="F130" s="22" t="s">
        <v>483</v>
      </c>
      <c r="G130" s="22" t="s">
        <v>881</v>
      </c>
      <c r="H130" s="22" t="s">
        <v>481</v>
      </c>
      <c r="I130" s="22" t="s">
        <v>880</v>
      </c>
      <c r="J130" s="22" t="s">
        <v>879</v>
      </c>
      <c r="K130" s="22" t="s">
        <v>878</v>
      </c>
      <c r="L130" s="22" t="s">
        <v>877</v>
      </c>
      <c r="M130" s="22" t="s">
        <v>885</v>
      </c>
      <c r="N130" s="22" t="s">
        <v>893</v>
      </c>
      <c r="O130" s="22" t="s">
        <v>98</v>
      </c>
      <c r="P130" s="22" t="s">
        <v>99</v>
      </c>
      <c r="Q130" s="22">
        <v>105081744</v>
      </c>
      <c r="R130" s="22" t="s">
        <v>87</v>
      </c>
      <c r="S130" s="24">
        <v>1</v>
      </c>
      <c r="T130" s="20" t="s">
        <v>98</v>
      </c>
      <c r="U130" s="25" t="s">
        <v>99</v>
      </c>
      <c r="V130" s="20">
        <v>105081744</v>
      </c>
      <c r="W130" s="25" t="s">
        <v>916</v>
      </c>
      <c r="X130" s="20" t="s">
        <v>100</v>
      </c>
      <c r="Y130" s="20" t="s">
        <v>87</v>
      </c>
      <c r="Z130" s="20" t="s">
        <v>97</v>
      </c>
      <c r="AA130" s="15">
        <v>150.5</v>
      </c>
      <c r="AB130" s="15">
        <v>150.28757923453421</v>
      </c>
      <c r="AC130" s="15">
        <f t="shared" si="6"/>
        <v>150.28757923453421</v>
      </c>
      <c r="AD130" s="15">
        <f t="shared" si="7"/>
        <v>150.5</v>
      </c>
      <c r="AE130" s="15">
        <f t="shared" si="8"/>
        <v>-0.21242076546579369</v>
      </c>
      <c r="AF130" s="16">
        <f t="shared" si="9"/>
        <v>-1.4134286183044864E-3</v>
      </c>
      <c r="AG130" s="26" t="str">
        <f t="shared" si="10"/>
        <v>Negative</v>
      </c>
      <c r="AH130" s="20"/>
      <c r="AI130" s="20" t="s">
        <v>43</v>
      </c>
      <c r="AJ130" s="20">
        <v>0</v>
      </c>
      <c r="AK130" s="20"/>
    </row>
    <row r="131" spans="1:37" s="27" customFormat="1" ht="12.75" customHeight="1" x14ac:dyDescent="0.2">
      <c r="A131" s="22" t="s">
        <v>486</v>
      </c>
      <c r="B131" s="22" t="s">
        <v>601</v>
      </c>
      <c r="C131" s="23">
        <v>44407</v>
      </c>
      <c r="D131" s="22" t="s">
        <v>485</v>
      </c>
      <c r="E131" s="22" t="s">
        <v>484</v>
      </c>
      <c r="F131" s="22" t="s">
        <v>483</v>
      </c>
      <c r="G131" s="22" t="s">
        <v>482</v>
      </c>
      <c r="H131" s="22" t="s">
        <v>481</v>
      </c>
      <c r="I131" s="22" t="s">
        <v>480</v>
      </c>
      <c r="J131" s="22" t="s">
        <v>479</v>
      </c>
      <c r="K131" s="22" t="s">
        <v>478</v>
      </c>
      <c r="L131" s="22" t="s">
        <v>477</v>
      </c>
      <c r="M131" s="22" t="s">
        <v>487</v>
      </c>
      <c r="N131" s="22" t="s">
        <v>600</v>
      </c>
      <c r="O131" s="22" t="s">
        <v>64</v>
      </c>
      <c r="P131" s="22" t="s">
        <v>350</v>
      </c>
      <c r="Q131" s="22">
        <v>101183014</v>
      </c>
      <c r="R131" s="22" t="s">
        <v>87</v>
      </c>
      <c r="S131" s="24">
        <v>2</v>
      </c>
      <c r="T131" s="20" t="s">
        <v>64</v>
      </c>
      <c r="U131" s="25" t="s">
        <v>350</v>
      </c>
      <c r="V131" s="20">
        <v>101183014</v>
      </c>
      <c r="W131" s="25" t="s">
        <v>911</v>
      </c>
      <c r="X131" s="20" t="s">
        <v>351</v>
      </c>
      <c r="Y131" s="20" t="s">
        <v>87</v>
      </c>
      <c r="Z131" s="20" t="s">
        <v>88</v>
      </c>
      <c r="AA131" s="15">
        <v>41.914794704206464</v>
      </c>
      <c r="AB131" s="15">
        <v>37.1</v>
      </c>
      <c r="AC131" s="15">
        <f t="shared" ref="AC131:AC194" si="11">AB131*S131</f>
        <v>74.2</v>
      </c>
      <c r="AD131" s="15">
        <f t="shared" ref="AD131:AD194" si="12">AA131*S131</f>
        <v>83.829589408412929</v>
      </c>
      <c r="AE131" s="15">
        <f t="shared" ref="AE131:AE194" si="13">AC131-AD131</f>
        <v>-9.6295894084129259</v>
      </c>
      <c r="AF131" s="16">
        <f t="shared" ref="AF131:AF194" si="14">AE131/AC131</f>
        <v>-0.12977883299747878</v>
      </c>
      <c r="AG131" s="26" t="str">
        <f t="shared" ref="AG131:AG194" si="15">IF(AF131&lt;0,"Negative",IF(AF131=0,"Same",IF(AF131&gt;0.3,"30+%",IF(AF131&gt;0.2,"20-30%",IF(AF131&gt;0.1,"10-20%",IF(AF131&lt;=0.1,"0-10%"))))))</f>
        <v>Negative</v>
      </c>
      <c r="AH131" s="20"/>
      <c r="AI131" s="20" t="s">
        <v>43</v>
      </c>
      <c r="AJ131" s="20">
        <v>5</v>
      </c>
      <c r="AK131" s="20"/>
    </row>
    <row r="132" spans="1:37" s="27" customFormat="1" ht="12.75" customHeight="1" x14ac:dyDescent="0.2">
      <c r="A132" s="22" t="s">
        <v>883</v>
      </c>
      <c r="B132" s="22" t="s">
        <v>892</v>
      </c>
      <c r="C132" s="23">
        <v>44413</v>
      </c>
      <c r="D132" s="22" t="s">
        <v>485</v>
      </c>
      <c r="E132" s="22" t="s">
        <v>484</v>
      </c>
      <c r="F132" s="22" t="s">
        <v>483</v>
      </c>
      <c r="G132" s="22" t="s">
        <v>881</v>
      </c>
      <c r="H132" s="22" t="s">
        <v>481</v>
      </c>
      <c r="I132" s="22" t="s">
        <v>880</v>
      </c>
      <c r="J132" s="22" t="s">
        <v>879</v>
      </c>
      <c r="K132" s="22" t="s">
        <v>878</v>
      </c>
      <c r="L132" s="22" t="s">
        <v>877</v>
      </c>
      <c r="M132" s="22" t="s">
        <v>487</v>
      </c>
      <c r="N132" s="22" t="s">
        <v>891</v>
      </c>
      <c r="O132" s="22" t="s">
        <v>98</v>
      </c>
      <c r="P132" s="22" t="s">
        <v>101</v>
      </c>
      <c r="Q132" s="22">
        <v>104938272</v>
      </c>
      <c r="R132" s="22" t="s">
        <v>87</v>
      </c>
      <c r="S132" s="24">
        <v>2</v>
      </c>
      <c r="T132" s="20" t="s">
        <v>98</v>
      </c>
      <c r="U132" s="25" t="s">
        <v>101</v>
      </c>
      <c r="V132" s="20">
        <v>104938272</v>
      </c>
      <c r="W132" s="25" t="s">
        <v>916</v>
      </c>
      <c r="X132" s="20" t="s">
        <v>102</v>
      </c>
      <c r="Y132" s="20" t="s">
        <v>87</v>
      </c>
      <c r="Z132" s="20" t="s">
        <v>97</v>
      </c>
      <c r="AA132" s="15">
        <v>450.39</v>
      </c>
      <c r="AB132" s="15">
        <v>449.77607780578046</v>
      </c>
      <c r="AC132" s="15">
        <f t="shared" si="11"/>
        <v>899.55215561156092</v>
      </c>
      <c r="AD132" s="15">
        <f t="shared" si="12"/>
        <v>900.78</v>
      </c>
      <c r="AE132" s="15">
        <f t="shared" si="13"/>
        <v>-1.2278443884390526</v>
      </c>
      <c r="AF132" s="16">
        <f t="shared" si="14"/>
        <v>-1.3649507488582495E-3</v>
      </c>
      <c r="AG132" s="26" t="str">
        <f t="shared" si="15"/>
        <v>Negative</v>
      </c>
      <c r="AH132" s="20"/>
      <c r="AI132" s="20" t="s">
        <v>43</v>
      </c>
      <c r="AJ132" s="20">
        <v>0</v>
      </c>
      <c r="AK132" s="20"/>
    </row>
    <row r="133" spans="1:37" s="27" customFormat="1" ht="12.75" customHeight="1" x14ac:dyDescent="0.2">
      <c r="A133" s="22" t="s">
        <v>705</v>
      </c>
      <c r="B133" s="22" t="s">
        <v>765</v>
      </c>
      <c r="C133" s="23">
        <v>44425</v>
      </c>
      <c r="D133" s="22" t="s">
        <v>485</v>
      </c>
      <c r="E133" s="22" t="s">
        <v>484</v>
      </c>
      <c r="F133" s="22" t="s">
        <v>483</v>
      </c>
      <c r="G133" s="22" t="s">
        <v>704</v>
      </c>
      <c r="H133" s="22" t="s">
        <v>703</v>
      </c>
      <c r="I133" s="22" t="s">
        <v>702</v>
      </c>
      <c r="J133" s="22" t="s">
        <v>701</v>
      </c>
      <c r="K133" s="22" t="s">
        <v>700</v>
      </c>
      <c r="L133" s="22" t="s">
        <v>699</v>
      </c>
      <c r="M133" s="22" t="s">
        <v>715</v>
      </c>
      <c r="N133" s="22" t="s">
        <v>755</v>
      </c>
      <c r="O133" s="22" t="s">
        <v>16</v>
      </c>
      <c r="P133" s="22" t="s">
        <v>178</v>
      </c>
      <c r="Q133" s="22">
        <v>110223931</v>
      </c>
      <c r="R133" s="22" t="s">
        <v>87</v>
      </c>
      <c r="S133" s="24">
        <v>1</v>
      </c>
      <c r="T133" s="20" t="s">
        <v>16</v>
      </c>
      <c r="U133" s="25" t="s">
        <v>178</v>
      </c>
      <c r="V133" s="20">
        <v>110223931</v>
      </c>
      <c r="W133" s="25" t="s">
        <v>913</v>
      </c>
      <c r="X133" s="20" t="s">
        <v>179</v>
      </c>
      <c r="Y133" s="20" t="s">
        <v>87</v>
      </c>
      <c r="Z133" s="20" t="s">
        <v>88</v>
      </c>
      <c r="AA133" s="15">
        <v>337.03773584905656</v>
      </c>
      <c r="AB133" s="15">
        <v>359.33333333333331</v>
      </c>
      <c r="AC133" s="15">
        <f t="shared" si="11"/>
        <v>359.33333333333331</v>
      </c>
      <c r="AD133" s="15">
        <f t="shared" si="12"/>
        <v>337.03773584905656</v>
      </c>
      <c r="AE133" s="15">
        <f t="shared" si="13"/>
        <v>22.295597484276755</v>
      </c>
      <c r="AF133" s="16">
        <f t="shared" si="14"/>
        <v>6.2047117303182069E-2</v>
      </c>
      <c r="AG133" s="26" t="str">
        <f t="shared" si="15"/>
        <v>0-10%</v>
      </c>
      <c r="AH133" s="20" t="s">
        <v>921</v>
      </c>
      <c r="AI133" s="20" t="s">
        <v>43</v>
      </c>
      <c r="AJ133" s="20">
        <v>0</v>
      </c>
      <c r="AK133" s="20"/>
    </row>
    <row r="134" spans="1:37" s="27" customFormat="1" ht="12.75" customHeight="1" x14ac:dyDescent="0.2">
      <c r="A134" s="22" t="s">
        <v>705</v>
      </c>
      <c r="B134" s="22" t="s">
        <v>765</v>
      </c>
      <c r="C134" s="23">
        <v>44425</v>
      </c>
      <c r="D134" s="22" t="s">
        <v>485</v>
      </c>
      <c r="E134" s="22" t="s">
        <v>484</v>
      </c>
      <c r="F134" s="22" t="s">
        <v>483</v>
      </c>
      <c r="G134" s="22" t="s">
        <v>704</v>
      </c>
      <c r="H134" s="22" t="s">
        <v>703</v>
      </c>
      <c r="I134" s="22" t="s">
        <v>702</v>
      </c>
      <c r="J134" s="22" t="s">
        <v>701</v>
      </c>
      <c r="K134" s="22" t="s">
        <v>700</v>
      </c>
      <c r="L134" s="22" t="s">
        <v>699</v>
      </c>
      <c r="M134" s="22" t="s">
        <v>713</v>
      </c>
      <c r="N134" s="22" t="s">
        <v>755</v>
      </c>
      <c r="O134" s="22" t="s">
        <v>16</v>
      </c>
      <c r="P134" s="22" t="s">
        <v>180</v>
      </c>
      <c r="Q134" s="22">
        <v>110224139</v>
      </c>
      <c r="R134" s="22" t="s">
        <v>87</v>
      </c>
      <c r="S134" s="24">
        <v>1</v>
      </c>
      <c r="T134" s="20" t="s">
        <v>16</v>
      </c>
      <c r="U134" s="25" t="s">
        <v>180</v>
      </c>
      <c r="V134" s="20">
        <v>110224139</v>
      </c>
      <c r="W134" s="25" t="s">
        <v>913</v>
      </c>
      <c r="X134" s="20" t="s">
        <v>181</v>
      </c>
      <c r="Y134" s="20" t="s">
        <v>87</v>
      </c>
      <c r="Z134" s="20" t="s">
        <v>88</v>
      </c>
      <c r="AA134" s="15">
        <v>381.77358490566036</v>
      </c>
      <c r="AB134" s="15">
        <v>407</v>
      </c>
      <c r="AC134" s="15">
        <f t="shared" si="11"/>
        <v>407</v>
      </c>
      <c r="AD134" s="15">
        <f t="shared" si="12"/>
        <v>381.77358490566036</v>
      </c>
      <c r="AE134" s="15">
        <f t="shared" si="13"/>
        <v>25.226415094339643</v>
      </c>
      <c r="AF134" s="16">
        <f t="shared" si="14"/>
        <v>6.1981363868156371E-2</v>
      </c>
      <c r="AG134" s="26" t="str">
        <f t="shared" si="15"/>
        <v>0-10%</v>
      </c>
      <c r="AH134" s="20" t="s">
        <v>921</v>
      </c>
      <c r="AI134" s="20" t="s">
        <v>42</v>
      </c>
      <c r="AJ134" s="20">
        <v>4</v>
      </c>
      <c r="AK134" s="20"/>
    </row>
    <row r="135" spans="1:37" s="27" customFormat="1" ht="12.75" customHeight="1" x14ac:dyDescent="0.2">
      <c r="A135" s="22" t="s">
        <v>705</v>
      </c>
      <c r="B135" s="22" t="s">
        <v>765</v>
      </c>
      <c r="C135" s="23">
        <v>44425</v>
      </c>
      <c r="D135" s="22" t="s">
        <v>485</v>
      </c>
      <c r="E135" s="22" t="s">
        <v>484</v>
      </c>
      <c r="F135" s="22" t="s">
        <v>483</v>
      </c>
      <c r="G135" s="22" t="s">
        <v>704</v>
      </c>
      <c r="H135" s="22" t="s">
        <v>703</v>
      </c>
      <c r="I135" s="22" t="s">
        <v>702</v>
      </c>
      <c r="J135" s="22" t="s">
        <v>701</v>
      </c>
      <c r="K135" s="22" t="s">
        <v>700</v>
      </c>
      <c r="L135" s="22" t="s">
        <v>699</v>
      </c>
      <c r="M135" s="22" t="s">
        <v>716</v>
      </c>
      <c r="N135" s="22" t="s">
        <v>755</v>
      </c>
      <c r="O135" s="22" t="s">
        <v>16</v>
      </c>
      <c r="P135" s="22" t="s">
        <v>174</v>
      </c>
      <c r="Q135" s="22">
        <v>103674709</v>
      </c>
      <c r="R135" s="22" t="s">
        <v>87</v>
      </c>
      <c r="S135" s="24">
        <v>1</v>
      </c>
      <c r="T135" s="20" t="s">
        <v>16</v>
      </c>
      <c r="U135" s="25" t="s">
        <v>174</v>
      </c>
      <c r="V135" s="20">
        <v>103674709</v>
      </c>
      <c r="W135" s="25" t="s">
        <v>913</v>
      </c>
      <c r="X135" s="20" t="s">
        <v>175</v>
      </c>
      <c r="Y135" s="20" t="s">
        <v>87</v>
      </c>
      <c r="Z135" s="20" t="s">
        <v>88</v>
      </c>
      <c r="AA135" s="15">
        <v>378.88679245283015</v>
      </c>
      <c r="AB135" s="15">
        <v>404.06666666666666</v>
      </c>
      <c r="AC135" s="15">
        <f t="shared" si="11"/>
        <v>404.06666666666666</v>
      </c>
      <c r="AD135" s="15">
        <f t="shared" si="12"/>
        <v>378.88679245283015</v>
      </c>
      <c r="AE135" s="15">
        <f t="shared" si="13"/>
        <v>25.179874213836513</v>
      </c>
      <c r="AF135" s="16">
        <f t="shared" si="14"/>
        <v>6.2316138130266902E-2</v>
      </c>
      <c r="AG135" s="26" t="str">
        <f t="shared" si="15"/>
        <v>0-10%</v>
      </c>
      <c r="AH135" s="20" t="s">
        <v>921</v>
      </c>
      <c r="AI135" s="20" t="s">
        <v>43</v>
      </c>
      <c r="AJ135" s="20">
        <v>0</v>
      </c>
      <c r="AK135" s="20"/>
    </row>
    <row r="136" spans="1:37" s="27" customFormat="1" ht="12.75" customHeight="1" x14ac:dyDescent="0.2">
      <c r="A136" s="22" t="s">
        <v>705</v>
      </c>
      <c r="B136" s="22" t="s">
        <v>765</v>
      </c>
      <c r="C136" s="23">
        <v>44425</v>
      </c>
      <c r="D136" s="22" t="s">
        <v>485</v>
      </c>
      <c r="E136" s="22" t="s">
        <v>484</v>
      </c>
      <c r="F136" s="22" t="s">
        <v>483</v>
      </c>
      <c r="G136" s="22" t="s">
        <v>704</v>
      </c>
      <c r="H136" s="22" t="s">
        <v>703</v>
      </c>
      <c r="I136" s="22" t="s">
        <v>702</v>
      </c>
      <c r="J136" s="22" t="s">
        <v>701</v>
      </c>
      <c r="K136" s="22" t="s">
        <v>700</v>
      </c>
      <c r="L136" s="22" t="s">
        <v>699</v>
      </c>
      <c r="M136" s="22" t="s">
        <v>710</v>
      </c>
      <c r="N136" s="22" t="s">
        <v>755</v>
      </c>
      <c r="O136" s="22" t="s">
        <v>16</v>
      </c>
      <c r="P136" s="22" t="s">
        <v>176</v>
      </c>
      <c r="Q136" s="22">
        <v>103720400</v>
      </c>
      <c r="R136" s="22" t="s">
        <v>87</v>
      </c>
      <c r="S136" s="24">
        <v>2</v>
      </c>
      <c r="T136" s="20" t="s">
        <v>16</v>
      </c>
      <c r="U136" s="25" t="s">
        <v>176</v>
      </c>
      <c r="V136" s="20">
        <v>103720400</v>
      </c>
      <c r="W136" s="25" t="s">
        <v>913</v>
      </c>
      <c r="X136" s="20" t="s">
        <v>177</v>
      </c>
      <c r="Y136" s="20" t="s">
        <v>87</v>
      </c>
      <c r="Z136" s="20" t="s">
        <v>88</v>
      </c>
      <c r="AA136" s="15">
        <v>461.16981132075466</v>
      </c>
      <c r="AB136" s="15">
        <v>489.86666666666673</v>
      </c>
      <c r="AC136" s="15">
        <f t="shared" si="11"/>
        <v>979.73333333333346</v>
      </c>
      <c r="AD136" s="15">
        <f t="shared" si="12"/>
        <v>922.33962264150932</v>
      </c>
      <c r="AE136" s="15">
        <f t="shared" si="13"/>
        <v>57.39371069182414</v>
      </c>
      <c r="AF136" s="16">
        <f t="shared" si="14"/>
        <v>5.8580951304937533E-2</v>
      </c>
      <c r="AG136" s="26" t="str">
        <f t="shared" si="15"/>
        <v>0-10%</v>
      </c>
      <c r="AH136" s="20" t="s">
        <v>921</v>
      </c>
      <c r="AI136" s="20" t="s">
        <v>43</v>
      </c>
      <c r="AJ136" s="20">
        <v>0</v>
      </c>
      <c r="AK136" s="20"/>
    </row>
    <row r="137" spans="1:37" s="27" customFormat="1" ht="12.75" customHeight="1" x14ac:dyDescent="0.2">
      <c r="A137" s="22" t="s">
        <v>705</v>
      </c>
      <c r="B137" s="22" t="s">
        <v>763</v>
      </c>
      <c r="C137" s="23">
        <v>44426</v>
      </c>
      <c r="D137" s="22" t="s">
        <v>485</v>
      </c>
      <c r="E137" s="22" t="s">
        <v>484</v>
      </c>
      <c r="F137" s="22" t="s">
        <v>483</v>
      </c>
      <c r="G137" s="22" t="s">
        <v>704</v>
      </c>
      <c r="H137" s="22" t="s">
        <v>703</v>
      </c>
      <c r="I137" s="22" t="s">
        <v>702</v>
      </c>
      <c r="J137" s="22" t="s">
        <v>701</v>
      </c>
      <c r="K137" s="22" t="s">
        <v>700</v>
      </c>
      <c r="L137" s="22" t="s">
        <v>699</v>
      </c>
      <c r="M137" s="22" t="s">
        <v>764</v>
      </c>
      <c r="N137" s="22" t="s">
        <v>762</v>
      </c>
      <c r="O137" s="22" t="s">
        <v>16</v>
      </c>
      <c r="P137" s="22" t="s">
        <v>196</v>
      </c>
      <c r="Q137" s="22">
        <v>110224133</v>
      </c>
      <c r="R137" s="22" t="s">
        <v>87</v>
      </c>
      <c r="S137" s="24">
        <v>5</v>
      </c>
      <c r="T137" s="20" t="s">
        <v>16</v>
      </c>
      <c r="U137" s="25" t="s">
        <v>196</v>
      </c>
      <c r="V137" s="20">
        <v>110224133</v>
      </c>
      <c r="W137" s="25" t="s">
        <v>913</v>
      </c>
      <c r="X137" s="20" t="s">
        <v>197</v>
      </c>
      <c r="Y137" s="20" t="s">
        <v>87</v>
      </c>
      <c r="Z137" s="20" t="s">
        <v>88</v>
      </c>
      <c r="AA137" s="15">
        <v>169.60377358490564</v>
      </c>
      <c r="AB137" s="15">
        <v>181.13333333333335</v>
      </c>
      <c r="AC137" s="15">
        <f t="shared" si="11"/>
        <v>905.66666666666674</v>
      </c>
      <c r="AD137" s="15">
        <f t="shared" si="12"/>
        <v>848.01886792452819</v>
      </c>
      <c r="AE137" s="15">
        <f t="shared" si="13"/>
        <v>57.647798742138548</v>
      </c>
      <c r="AF137" s="16">
        <f t="shared" si="14"/>
        <v>6.3652335747668612E-2</v>
      </c>
      <c r="AG137" s="26" t="str">
        <f t="shared" si="15"/>
        <v>0-10%</v>
      </c>
      <c r="AH137" s="20" t="s">
        <v>921</v>
      </c>
      <c r="AI137" s="20" t="s">
        <v>43</v>
      </c>
      <c r="AJ137" s="20">
        <v>0</v>
      </c>
      <c r="AK137" s="20"/>
    </row>
    <row r="138" spans="1:37" s="27" customFormat="1" ht="12.75" customHeight="1" x14ac:dyDescent="0.2">
      <c r="A138" s="22" t="s">
        <v>705</v>
      </c>
      <c r="B138" s="22" t="s">
        <v>763</v>
      </c>
      <c r="C138" s="23">
        <v>44426</v>
      </c>
      <c r="D138" s="22" t="s">
        <v>485</v>
      </c>
      <c r="E138" s="22" t="s">
        <v>484</v>
      </c>
      <c r="F138" s="22" t="s">
        <v>483</v>
      </c>
      <c r="G138" s="22" t="s">
        <v>704</v>
      </c>
      <c r="H138" s="22" t="s">
        <v>703</v>
      </c>
      <c r="I138" s="22" t="s">
        <v>702</v>
      </c>
      <c r="J138" s="22" t="s">
        <v>701</v>
      </c>
      <c r="K138" s="22" t="s">
        <v>700</v>
      </c>
      <c r="L138" s="22" t="s">
        <v>699</v>
      </c>
      <c r="M138" s="22" t="s">
        <v>733</v>
      </c>
      <c r="N138" s="22" t="s">
        <v>762</v>
      </c>
      <c r="O138" s="22" t="s">
        <v>16</v>
      </c>
      <c r="P138" s="22" t="s">
        <v>190</v>
      </c>
      <c r="Q138" s="22">
        <v>113480827</v>
      </c>
      <c r="R138" s="22" t="s">
        <v>87</v>
      </c>
      <c r="S138" s="24">
        <v>1</v>
      </c>
      <c r="T138" s="20" t="s">
        <v>16</v>
      </c>
      <c r="U138" s="25" t="s">
        <v>190</v>
      </c>
      <c r="V138" s="20">
        <v>113480827</v>
      </c>
      <c r="W138" s="25" t="s">
        <v>913</v>
      </c>
      <c r="X138" s="20" t="s">
        <v>191</v>
      </c>
      <c r="Y138" s="20" t="s">
        <v>87</v>
      </c>
      <c r="Z138" s="20" t="s">
        <v>88</v>
      </c>
      <c r="AA138" s="15">
        <v>131.34905660377356</v>
      </c>
      <c r="AB138" s="15">
        <v>140.06666666666669</v>
      </c>
      <c r="AC138" s="15">
        <f t="shared" si="11"/>
        <v>140.06666666666669</v>
      </c>
      <c r="AD138" s="15">
        <f t="shared" si="12"/>
        <v>131.34905660377356</v>
      </c>
      <c r="AE138" s="15">
        <f t="shared" si="13"/>
        <v>8.7176100628931295</v>
      </c>
      <c r="AF138" s="16">
        <f t="shared" si="14"/>
        <v>6.2239005684624898E-2</v>
      </c>
      <c r="AG138" s="26" t="str">
        <f t="shared" si="15"/>
        <v>0-10%</v>
      </c>
      <c r="AH138" s="20" t="s">
        <v>921</v>
      </c>
      <c r="AI138" s="20" t="s">
        <v>43</v>
      </c>
      <c r="AJ138" s="20">
        <v>0</v>
      </c>
      <c r="AK138" s="20"/>
    </row>
    <row r="139" spans="1:37" s="27" customFormat="1" ht="12.75" customHeight="1" x14ac:dyDescent="0.2">
      <c r="A139" s="22" t="s">
        <v>705</v>
      </c>
      <c r="B139" s="22" t="s">
        <v>763</v>
      </c>
      <c r="C139" s="23">
        <v>44426</v>
      </c>
      <c r="D139" s="22" t="s">
        <v>485</v>
      </c>
      <c r="E139" s="22" t="s">
        <v>484</v>
      </c>
      <c r="F139" s="22" t="s">
        <v>483</v>
      </c>
      <c r="G139" s="22" t="s">
        <v>704</v>
      </c>
      <c r="H139" s="22" t="s">
        <v>703</v>
      </c>
      <c r="I139" s="22" t="s">
        <v>702</v>
      </c>
      <c r="J139" s="22" t="s">
        <v>701</v>
      </c>
      <c r="K139" s="22" t="s">
        <v>700</v>
      </c>
      <c r="L139" s="22" t="s">
        <v>699</v>
      </c>
      <c r="M139" s="22" t="s">
        <v>745</v>
      </c>
      <c r="N139" s="22" t="s">
        <v>762</v>
      </c>
      <c r="O139" s="22" t="s">
        <v>16</v>
      </c>
      <c r="P139" s="22" t="s">
        <v>194</v>
      </c>
      <c r="Q139" s="22">
        <v>110223298</v>
      </c>
      <c r="R139" s="22" t="s">
        <v>87</v>
      </c>
      <c r="S139" s="24">
        <v>1</v>
      </c>
      <c r="T139" s="20" t="s">
        <v>16</v>
      </c>
      <c r="U139" s="25" t="s">
        <v>194</v>
      </c>
      <c r="V139" s="20">
        <v>110223298</v>
      </c>
      <c r="W139" s="25" t="s">
        <v>913</v>
      </c>
      <c r="X139" s="20" t="s">
        <v>195</v>
      </c>
      <c r="Y139" s="20" t="s">
        <v>87</v>
      </c>
      <c r="Z139" s="20" t="s">
        <v>88</v>
      </c>
      <c r="AA139" s="15">
        <v>306.71698113207549</v>
      </c>
      <c r="AB139" s="15">
        <v>327.06666666666666</v>
      </c>
      <c r="AC139" s="15">
        <f t="shared" si="11"/>
        <v>327.06666666666666</v>
      </c>
      <c r="AD139" s="15">
        <f t="shared" si="12"/>
        <v>306.71698113207549</v>
      </c>
      <c r="AE139" s="15">
        <f t="shared" si="13"/>
        <v>20.349685534591174</v>
      </c>
      <c r="AF139" s="16">
        <f t="shared" si="14"/>
        <v>6.2218769469805875E-2</v>
      </c>
      <c r="AG139" s="26" t="str">
        <f t="shared" si="15"/>
        <v>0-10%</v>
      </c>
      <c r="AH139" s="20" t="s">
        <v>921</v>
      </c>
      <c r="AI139" s="20" t="s">
        <v>43</v>
      </c>
      <c r="AJ139" s="20">
        <v>0</v>
      </c>
      <c r="AK139" s="20"/>
    </row>
    <row r="140" spans="1:37" s="27" customFormat="1" ht="12.75" customHeight="1" x14ac:dyDescent="0.2">
      <c r="A140" s="22" t="s">
        <v>705</v>
      </c>
      <c r="B140" s="22" t="s">
        <v>763</v>
      </c>
      <c r="C140" s="23">
        <v>44426</v>
      </c>
      <c r="D140" s="22" t="s">
        <v>485</v>
      </c>
      <c r="E140" s="22" t="s">
        <v>484</v>
      </c>
      <c r="F140" s="22" t="s">
        <v>483</v>
      </c>
      <c r="G140" s="22" t="s">
        <v>704</v>
      </c>
      <c r="H140" s="22" t="s">
        <v>703</v>
      </c>
      <c r="I140" s="22" t="s">
        <v>702</v>
      </c>
      <c r="J140" s="22" t="s">
        <v>701</v>
      </c>
      <c r="K140" s="22" t="s">
        <v>700</v>
      </c>
      <c r="L140" s="22" t="s">
        <v>699</v>
      </c>
      <c r="M140" s="22" t="s">
        <v>735</v>
      </c>
      <c r="N140" s="22" t="s">
        <v>762</v>
      </c>
      <c r="O140" s="22" t="s">
        <v>16</v>
      </c>
      <c r="P140" s="22" t="s">
        <v>188</v>
      </c>
      <c r="Q140" s="22">
        <v>103145410</v>
      </c>
      <c r="R140" s="22" t="s">
        <v>87</v>
      </c>
      <c r="S140" s="24">
        <v>2</v>
      </c>
      <c r="T140" s="20" t="s">
        <v>16</v>
      </c>
      <c r="U140" s="25" t="s">
        <v>188</v>
      </c>
      <c r="V140" s="20">
        <v>103145410</v>
      </c>
      <c r="W140" s="25" t="s">
        <v>913</v>
      </c>
      <c r="X140" s="20" t="s">
        <v>189</v>
      </c>
      <c r="Y140" s="20" t="s">
        <v>87</v>
      </c>
      <c r="Z140" s="20" t="s">
        <v>88</v>
      </c>
      <c r="AA140" s="15">
        <v>215.79245283018867</v>
      </c>
      <c r="AB140" s="15">
        <v>229.53333333333333</v>
      </c>
      <c r="AC140" s="15">
        <f t="shared" si="11"/>
        <v>459.06666666666666</v>
      </c>
      <c r="AD140" s="15">
        <f t="shared" si="12"/>
        <v>431.58490566037733</v>
      </c>
      <c r="AE140" s="15">
        <f t="shared" si="13"/>
        <v>27.481761006289332</v>
      </c>
      <c r="AF140" s="16">
        <f t="shared" si="14"/>
        <v>5.9864422755495209E-2</v>
      </c>
      <c r="AG140" s="26" t="str">
        <f t="shared" si="15"/>
        <v>0-10%</v>
      </c>
      <c r="AH140" s="20" t="s">
        <v>921</v>
      </c>
      <c r="AI140" s="20" t="s">
        <v>43</v>
      </c>
      <c r="AJ140" s="20">
        <v>0</v>
      </c>
      <c r="AK140" s="20"/>
    </row>
    <row r="141" spans="1:37" s="27" customFormat="1" ht="12.75" customHeight="1" x14ac:dyDescent="0.2">
      <c r="A141" s="22" t="s">
        <v>833</v>
      </c>
      <c r="B141" s="22" t="s">
        <v>861</v>
      </c>
      <c r="C141" s="23">
        <v>44439</v>
      </c>
      <c r="D141" s="22"/>
      <c r="E141" s="22"/>
      <c r="F141" s="22" t="s">
        <v>832</v>
      </c>
      <c r="G141" s="22" t="s">
        <v>832</v>
      </c>
      <c r="H141" s="22" t="s">
        <v>831</v>
      </c>
      <c r="I141" s="22" t="s">
        <v>830</v>
      </c>
      <c r="J141" s="22" t="s">
        <v>829</v>
      </c>
      <c r="K141" s="22" t="s">
        <v>828</v>
      </c>
      <c r="L141" s="22" t="s">
        <v>827</v>
      </c>
      <c r="M141" s="22" t="s">
        <v>852</v>
      </c>
      <c r="N141" s="22" t="s">
        <v>854</v>
      </c>
      <c r="O141" s="22" t="s">
        <v>118</v>
      </c>
      <c r="P141" s="22" t="s">
        <v>121</v>
      </c>
      <c r="Q141" s="22">
        <v>118656203</v>
      </c>
      <c r="R141" s="22" t="s">
        <v>87</v>
      </c>
      <c r="S141" s="24">
        <v>3</v>
      </c>
      <c r="T141" s="20" t="s">
        <v>118</v>
      </c>
      <c r="U141" s="25" t="s">
        <v>121</v>
      </c>
      <c r="V141" s="20">
        <v>118656203</v>
      </c>
      <c r="W141" s="25" t="s">
        <v>918</v>
      </c>
      <c r="X141" s="20" t="s">
        <v>122</v>
      </c>
      <c r="Y141" s="20" t="s">
        <v>87</v>
      </c>
      <c r="Z141" s="20" t="s">
        <v>97</v>
      </c>
      <c r="AA141" s="15">
        <v>17</v>
      </c>
      <c r="AB141" s="15">
        <v>22.21</v>
      </c>
      <c r="AC141" s="15">
        <f t="shared" si="11"/>
        <v>66.63</v>
      </c>
      <c r="AD141" s="15">
        <f t="shared" si="12"/>
        <v>51</v>
      </c>
      <c r="AE141" s="15">
        <f t="shared" si="13"/>
        <v>15.629999999999995</v>
      </c>
      <c r="AF141" s="16">
        <f t="shared" si="14"/>
        <v>0.23457901846015303</v>
      </c>
      <c r="AG141" s="26" t="str">
        <f t="shared" si="15"/>
        <v>20-30%</v>
      </c>
      <c r="AH141" s="20"/>
      <c r="AI141" s="20" t="s">
        <v>43</v>
      </c>
      <c r="AJ141" s="20">
        <v>0</v>
      </c>
      <c r="AK141" s="20"/>
    </row>
    <row r="142" spans="1:37" s="27" customFormat="1" ht="12.75" customHeight="1" x14ac:dyDescent="0.2">
      <c r="A142" s="22" t="s">
        <v>486</v>
      </c>
      <c r="B142" s="22" t="s">
        <v>599</v>
      </c>
      <c r="C142" s="23">
        <v>44439</v>
      </c>
      <c r="D142" s="22" t="s">
        <v>485</v>
      </c>
      <c r="E142" s="22" t="s">
        <v>484</v>
      </c>
      <c r="F142" s="22" t="s">
        <v>483</v>
      </c>
      <c r="G142" s="22" t="s">
        <v>482</v>
      </c>
      <c r="H142" s="22" t="s">
        <v>481</v>
      </c>
      <c r="I142" s="22" t="s">
        <v>480</v>
      </c>
      <c r="J142" s="22" t="s">
        <v>479</v>
      </c>
      <c r="K142" s="22" t="s">
        <v>478</v>
      </c>
      <c r="L142" s="22" t="s">
        <v>477</v>
      </c>
      <c r="M142" s="22" t="s">
        <v>487</v>
      </c>
      <c r="N142" s="22" t="s">
        <v>597</v>
      </c>
      <c r="O142" s="22" t="s">
        <v>8</v>
      </c>
      <c r="P142" s="22" t="s">
        <v>352</v>
      </c>
      <c r="Q142" s="22">
        <v>100755945</v>
      </c>
      <c r="R142" s="22" t="s">
        <v>87</v>
      </c>
      <c r="S142" s="24">
        <v>1</v>
      </c>
      <c r="T142" s="20" t="s">
        <v>8</v>
      </c>
      <c r="U142" s="25" t="s">
        <v>352</v>
      </c>
      <c r="V142" s="20">
        <v>100755945</v>
      </c>
      <c r="W142" s="25" t="s">
        <v>911</v>
      </c>
      <c r="X142" s="20" t="s">
        <v>353</v>
      </c>
      <c r="Y142" s="20" t="s">
        <v>87</v>
      </c>
      <c r="Z142" s="20" t="s">
        <v>88</v>
      </c>
      <c r="AA142" s="15">
        <v>89.65</v>
      </c>
      <c r="AB142" s="15">
        <v>98.71</v>
      </c>
      <c r="AC142" s="15">
        <f t="shared" si="11"/>
        <v>98.71</v>
      </c>
      <c r="AD142" s="15">
        <f t="shared" si="12"/>
        <v>89.65</v>
      </c>
      <c r="AE142" s="15">
        <f t="shared" si="13"/>
        <v>9.0599999999999881</v>
      </c>
      <c r="AF142" s="16">
        <f t="shared" si="14"/>
        <v>9.178401377773264E-2</v>
      </c>
      <c r="AG142" s="26" t="str">
        <f t="shared" si="15"/>
        <v>0-10%</v>
      </c>
      <c r="AH142" s="20"/>
      <c r="AI142" s="20" t="s">
        <v>42</v>
      </c>
      <c r="AJ142" s="20">
        <v>254</v>
      </c>
      <c r="AK142" s="20"/>
    </row>
    <row r="143" spans="1:37" s="27" customFormat="1" ht="12.75" customHeight="1" x14ac:dyDescent="0.2">
      <c r="A143" s="22" t="s">
        <v>705</v>
      </c>
      <c r="B143" s="22" t="s">
        <v>761</v>
      </c>
      <c r="C143" s="23">
        <v>44440</v>
      </c>
      <c r="D143" s="22" t="s">
        <v>485</v>
      </c>
      <c r="E143" s="22" t="s">
        <v>484</v>
      </c>
      <c r="F143" s="22" t="s">
        <v>483</v>
      </c>
      <c r="G143" s="22" t="s">
        <v>704</v>
      </c>
      <c r="H143" s="22" t="s">
        <v>703</v>
      </c>
      <c r="I143" s="22" t="s">
        <v>702</v>
      </c>
      <c r="J143" s="22" t="s">
        <v>701</v>
      </c>
      <c r="K143" s="22" t="s">
        <v>700</v>
      </c>
      <c r="L143" s="22" t="s">
        <v>699</v>
      </c>
      <c r="M143" s="22" t="s">
        <v>724</v>
      </c>
      <c r="N143" s="22" t="s">
        <v>760</v>
      </c>
      <c r="O143" s="22" t="s">
        <v>16</v>
      </c>
      <c r="P143" s="22" t="s">
        <v>206</v>
      </c>
      <c r="Q143" s="22">
        <v>110986777</v>
      </c>
      <c r="R143" s="22" t="s">
        <v>87</v>
      </c>
      <c r="S143" s="24">
        <v>1</v>
      </c>
      <c r="T143" s="20" t="s">
        <v>16</v>
      </c>
      <c r="U143" s="25" t="s">
        <v>206</v>
      </c>
      <c r="V143" s="20">
        <v>110986777</v>
      </c>
      <c r="W143" s="25" t="s">
        <v>913</v>
      </c>
      <c r="X143" s="20" t="s">
        <v>207</v>
      </c>
      <c r="Y143" s="20" t="s">
        <v>87</v>
      </c>
      <c r="Z143" s="20" t="s">
        <v>88</v>
      </c>
      <c r="AA143" s="15">
        <v>207.84905660377356</v>
      </c>
      <c r="AB143" s="15">
        <v>220.73333333333335</v>
      </c>
      <c r="AC143" s="15">
        <f t="shared" si="11"/>
        <v>220.73333333333335</v>
      </c>
      <c r="AD143" s="15">
        <f t="shared" si="12"/>
        <v>207.84905660377356</v>
      </c>
      <c r="AE143" s="15">
        <f t="shared" si="13"/>
        <v>12.884276729559787</v>
      </c>
      <c r="AF143" s="16">
        <f t="shared" si="14"/>
        <v>5.837032647037052E-2</v>
      </c>
      <c r="AG143" s="26" t="str">
        <f t="shared" si="15"/>
        <v>0-10%</v>
      </c>
      <c r="AH143" s="20" t="s">
        <v>921</v>
      </c>
      <c r="AI143" s="20" t="s">
        <v>43</v>
      </c>
      <c r="AJ143" s="20">
        <v>0</v>
      </c>
      <c r="AK143" s="20"/>
    </row>
    <row r="144" spans="1:37" s="27" customFormat="1" ht="12.75" customHeight="1" x14ac:dyDescent="0.2">
      <c r="A144" s="22" t="s">
        <v>486</v>
      </c>
      <c r="B144" s="22" t="s">
        <v>598</v>
      </c>
      <c r="C144" s="23">
        <v>44440</v>
      </c>
      <c r="D144" s="22" t="s">
        <v>485</v>
      </c>
      <c r="E144" s="22" t="s">
        <v>484</v>
      </c>
      <c r="F144" s="22" t="s">
        <v>483</v>
      </c>
      <c r="G144" s="22" t="s">
        <v>482</v>
      </c>
      <c r="H144" s="22" t="s">
        <v>481</v>
      </c>
      <c r="I144" s="22" t="s">
        <v>480</v>
      </c>
      <c r="J144" s="22" t="s">
        <v>479</v>
      </c>
      <c r="K144" s="22" t="s">
        <v>478</v>
      </c>
      <c r="L144" s="22" t="s">
        <v>477</v>
      </c>
      <c r="M144" s="22" t="s">
        <v>487</v>
      </c>
      <c r="N144" s="22" t="s">
        <v>597</v>
      </c>
      <c r="O144" s="22" t="s">
        <v>8</v>
      </c>
      <c r="P144" s="22" t="s">
        <v>352</v>
      </c>
      <c r="Q144" s="22">
        <v>100755945</v>
      </c>
      <c r="R144" s="22" t="s">
        <v>87</v>
      </c>
      <c r="S144" s="24">
        <v>1</v>
      </c>
      <c r="T144" s="20" t="s">
        <v>8</v>
      </c>
      <c r="U144" s="25" t="s">
        <v>352</v>
      </c>
      <c r="V144" s="20">
        <v>100755945</v>
      </c>
      <c r="W144" s="25" t="s">
        <v>911</v>
      </c>
      <c r="X144" s="20" t="s">
        <v>353</v>
      </c>
      <c r="Y144" s="20" t="s">
        <v>87</v>
      </c>
      <c r="Z144" s="20" t="s">
        <v>88</v>
      </c>
      <c r="AA144" s="15">
        <v>89.65</v>
      </c>
      <c r="AB144" s="15">
        <v>98.71</v>
      </c>
      <c r="AC144" s="15">
        <f t="shared" si="11"/>
        <v>98.71</v>
      </c>
      <c r="AD144" s="15">
        <f t="shared" si="12"/>
        <v>89.65</v>
      </c>
      <c r="AE144" s="15">
        <f t="shared" si="13"/>
        <v>9.0599999999999881</v>
      </c>
      <c r="AF144" s="16">
        <f t="shared" si="14"/>
        <v>9.178401377773264E-2</v>
      </c>
      <c r="AG144" s="26" t="str">
        <f t="shared" si="15"/>
        <v>0-10%</v>
      </c>
      <c r="AH144" s="20"/>
      <c r="AI144" s="20" t="s">
        <v>42</v>
      </c>
      <c r="AJ144" s="20">
        <v>254</v>
      </c>
      <c r="AK144" s="20"/>
    </row>
    <row r="145" spans="1:37" s="27" customFormat="1" ht="12.75" customHeight="1" x14ac:dyDescent="0.2">
      <c r="A145" s="22" t="s">
        <v>833</v>
      </c>
      <c r="B145" s="22" t="s">
        <v>860</v>
      </c>
      <c r="C145" s="23">
        <v>44440</v>
      </c>
      <c r="D145" s="22"/>
      <c r="E145" s="22"/>
      <c r="F145" s="22" t="s">
        <v>832</v>
      </c>
      <c r="G145" s="22" t="s">
        <v>832</v>
      </c>
      <c r="H145" s="22" t="s">
        <v>831</v>
      </c>
      <c r="I145" s="22" t="s">
        <v>830</v>
      </c>
      <c r="J145" s="22" t="s">
        <v>829</v>
      </c>
      <c r="K145" s="22" t="s">
        <v>828</v>
      </c>
      <c r="L145" s="22" t="s">
        <v>827</v>
      </c>
      <c r="M145" s="22" t="s">
        <v>487</v>
      </c>
      <c r="N145" s="22" t="s">
        <v>859</v>
      </c>
      <c r="O145" s="22" t="s">
        <v>8</v>
      </c>
      <c r="P145" s="22" t="s">
        <v>123</v>
      </c>
      <c r="Q145" s="22">
        <v>100755962</v>
      </c>
      <c r="R145" s="22" t="s">
        <v>87</v>
      </c>
      <c r="S145" s="24">
        <v>2</v>
      </c>
      <c r="T145" s="20" t="s">
        <v>8</v>
      </c>
      <c r="U145" s="25" t="s">
        <v>123</v>
      </c>
      <c r="V145" s="20">
        <v>100755962</v>
      </c>
      <c r="W145" s="25" t="s">
        <v>911</v>
      </c>
      <c r="X145" s="20" t="s">
        <v>124</v>
      </c>
      <c r="Y145" s="20" t="s">
        <v>87</v>
      </c>
      <c r="Z145" s="20" t="s">
        <v>88</v>
      </c>
      <c r="AA145" s="15">
        <v>46.02</v>
      </c>
      <c r="AB145" s="15">
        <v>70.851427184466019</v>
      </c>
      <c r="AC145" s="15">
        <f t="shared" si="11"/>
        <v>141.70285436893204</v>
      </c>
      <c r="AD145" s="15">
        <f t="shared" si="12"/>
        <v>92.04</v>
      </c>
      <c r="AE145" s="15">
        <f t="shared" si="13"/>
        <v>49.662854368932031</v>
      </c>
      <c r="AF145" s="16">
        <f t="shared" si="14"/>
        <v>0.35047179952798801</v>
      </c>
      <c r="AG145" s="26" t="str">
        <f t="shared" si="15"/>
        <v>30+%</v>
      </c>
      <c r="AH145" s="20"/>
      <c r="AI145" s="20" t="s">
        <v>43</v>
      </c>
      <c r="AJ145" s="20">
        <v>0</v>
      </c>
      <c r="AK145" s="20"/>
    </row>
    <row r="146" spans="1:37" s="27" customFormat="1" ht="12.75" customHeight="1" x14ac:dyDescent="0.2">
      <c r="A146" s="22" t="s">
        <v>486</v>
      </c>
      <c r="B146" s="22" t="s">
        <v>596</v>
      </c>
      <c r="C146" s="23">
        <v>44442</v>
      </c>
      <c r="D146" s="22" t="s">
        <v>485</v>
      </c>
      <c r="E146" s="22" t="s">
        <v>484</v>
      </c>
      <c r="F146" s="22" t="s">
        <v>483</v>
      </c>
      <c r="G146" s="22" t="s">
        <v>482</v>
      </c>
      <c r="H146" s="22" t="s">
        <v>481</v>
      </c>
      <c r="I146" s="22" t="s">
        <v>480</v>
      </c>
      <c r="J146" s="22" t="s">
        <v>479</v>
      </c>
      <c r="K146" s="22" t="s">
        <v>478</v>
      </c>
      <c r="L146" s="22" t="s">
        <v>477</v>
      </c>
      <c r="M146" s="22" t="s">
        <v>487</v>
      </c>
      <c r="N146" s="22" t="s">
        <v>589</v>
      </c>
      <c r="O146" s="22" t="s">
        <v>23</v>
      </c>
      <c r="P146" s="22" t="s">
        <v>354</v>
      </c>
      <c r="Q146" s="22">
        <v>114157585</v>
      </c>
      <c r="R146" s="22" t="s">
        <v>87</v>
      </c>
      <c r="S146" s="24">
        <v>2</v>
      </c>
      <c r="T146" s="20" t="s">
        <v>23</v>
      </c>
      <c r="U146" s="25" t="s">
        <v>354</v>
      </c>
      <c r="V146" s="20">
        <v>114157585</v>
      </c>
      <c r="W146" s="25" t="s">
        <v>915</v>
      </c>
      <c r="X146" s="20" t="s">
        <v>355</v>
      </c>
      <c r="Y146" s="20" t="s">
        <v>87</v>
      </c>
      <c r="Z146" s="20" t="s">
        <v>97</v>
      </c>
      <c r="AA146" s="15">
        <v>6.5666666666666664</v>
      </c>
      <c r="AB146" s="15">
        <v>6.73</v>
      </c>
      <c r="AC146" s="15">
        <f t="shared" si="11"/>
        <v>13.46</v>
      </c>
      <c r="AD146" s="15">
        <f t="shared" si="12"/>
        <v>13.133333333333333</v>
      </c>
      <c r="AE146" s="15">
        <f t="shared" si="13"/>
        <v>0.32666666666666799</v>
      </c>
      <c r="AF146" s="16">
        <f t="shared" si="14"/>
        <v>2.4269440316988706E-2</v>
      </c>
      <c r="AG146" s="26" t="str">
        <f t="shared" si="15"/>
        <v>0-10%</v>
      </c>
      <c r="AH146" s="20"/>
      <c r="AI146" s="20" t="s">
        <v>43</v>
      </c>
      <c r="AJ146" s="20">
        <v>0</v>
      </c>
      <c r="AK146" s="20"/>
    </row>
    <row r="147" spans="1:37" s="27" customFormat="1" ht="12.75" customHeight="1" x14ac:dyDescent="0.2">
      <c r="A147" s="22" t="s">
        <v>486</v>
      </c>
      <c r="B147" s="22" t="s">
        <v>595</v>
      </c>
      <c r="C147" s="23">
        <v>44442</v>
      </c>
      <c r="D147" s="22" t="s">
        <v>485</v>
      </c>
      <c r="E147" s="22" t="s">
        <v>484</v>
      </c>
      <c r="F147" s="22" t="s">
        <v>483</v>
      </c>
      <c r="G147" s="22" t="s">
        <v>482</v>
      </c>
      <c r="H147" s="22" t="s">
        <v>481</v>
      </c>
      <c r="I147" s="22" t="s">
        <v>480</v>
      </c>
      <c r="J147" s="22" t="s">
        <v>479</v>
      </c>
      <c r="K147" s="22" t="s">
        <v>478</v>
      </c>
      <c r="L147" s="22" t="s">
        <v>477</v>
      </c>
      <c r="M147" s="22" t="s">
        <v>594</v>
      </c>
      <c r="N147" s="22" t="s">
        <v>593</v>
      </c>
      <c r="O147" s="22" t="s">
        <v>17</v>
      </c>
      <c r="P147" s="22" t="s">
        <v>304</v>
      </c>
      <c r="Q147" s="22">
        <v>100771235</v>
      </c>
      <c r="R147" s="22" t="s">
        <v>87</v>
      </c>
      <c r="S147" s="24">
        <v>4</v>
      </c>
      <c r="T147" s="20" t="s">
        <v>17</v>
      </c>
      <c r="U147" s="25" t="s">
        <v>304</v>
      </c>
      <c r="V147" s="20">
        <v>100771235</v>
      </c>
      <c r="W147" s="25" t="s">
        <v>912</v>
      </c>
      <c r="X147" s="20" t="s">
        <v>305</v>
      </c>
      <c r="Y147" s="20" t="s">
        <v>87</v>
      </c>
      <c r="Z147" s="20" t="s">
        <v>88</v>
      </c>
      <c r="AA147" s="15">
        <v>20.649999999999995</v>
      </c>
      <c r="AB147" s="15">
        <v>28.51</v>
      </c>
      <c r="AC147" s="15">
        <f t="shared" si="11"/>
        <v>114.04</v>
      </c>
      <c r="AD147" s="15">
        <f t="shared" si="12"/>
        <v>82.59999999999998</v>
      </c>
      <c r="AE147" s="15">
        <f t="shared" si="13"/>
        <v>31.440000000000026</v>
      </c>
      <c r="AF147" s="16">
        <f t="shared" si="14"/>
        <v>0.27569273938968802</v>
      </c>
      <c r="AG147" s="26" t="str">
        <f t="shared" si="15"/>
        <v>20-30%</v>
      </c>
      <c r="AH147" s="20"/>
      <c r="AI147" s="20" t="s">
        <v>42</v>
      </c>
      <c r="AJ147" s="20">
        <v>8</v>
      </c>
      <c r="AK147" s="20"/>
    </row>
    <row r="148" spans="1:37" s="27" customFormat="1" ht="12.75" customHeight="1" x14ac:dyDescent="0.2">
      <c r="A148" s="22" t="s">
        <v>486</v>
      </c>
      <c r="B148" s="22" t="s">
        <v>592</v>
      </c>
      <c r="C148" s="23">
        <v>44446</v>
      </c>
      <c r="D148" s="22" t="s">
        <v>485</v>
      </c>
      <c r="E148" s="22" t="s">
        <v>484</v>
      </c>
      <c r="F148" s="22" t="s">
        <v>483</v>
      </c>
      <c r="G148" s="22" t="s">
        <v>482</v>
      </c>
      <c r="H148" s="22" t="s">
        <v>481</v>
      </c>
      <c r="I148" s="22" t="s">
        <v>480</v>
      </c>
      <c r="J148" s="22" t="s">
        <v>479</v>
      </c>
      <c r="K148" s="22" t="s">
        <v>478</v>
      </c>
      <c r="L148" s="22" t="s">
        <v>477</v>
      </c>
      <c r="M148" s="22" t="s">
        <v>487</v>
      </c>
      <c r="N148" s="22" t="s">
        <v>591</v>
      </c>
      <c r="O148" s="22" t="s">
        <v>17</v>
      </c>
      <c r="P148" s="22" t="s">
        <v>356</v>
      </c>
      <c r="Q148" s="22">
        <v>100771263</v>
      </c>
      <c r="R148" s="22" t="s">
        <v>87</v>
      </c>
      <c r="S148" s="24">
        <v>2</v>
      </c>
      <c r="T148" s="20" t="s">
        <v>17</v>
      </c>
      <c r="U148" s="25" t="s">
        <v>356</v>
      </c>
      <c r="V148" s="20">
        <v>100771263</v>
      </c>
      <c r="W148" s="25" t="s">
        <v>912</v>
      </c>
      <c r="X148" s="20" t="s">
        <v>357</v>
      </c>
      <c r="Y148" s="20" t="s">
        <v>87</v>
      </c>
      <c r="Z148" s="20" t="s">
        <v>88</v>
      </c>
      <c r="AA148" s="15">
        <v>36.58</v>
      </c>
      <c r="AB148" s="15">
        <v>50.5</v>
      </c>
      <c r="AC148" s="15">
        <f t="shared" si="11"/>
        <v>101</v>
      </c>
      <c r="AD148" s="15">
        <f t="shared" si="12"/>
        <v>73.16</v>
      </c>
      <c r="AE148" s="15">
        <f t="shared" si="13"/>
        <v>27.840000000000003</v>
      </c>
      <c r="AF148" s="16">
        <f t="shared" si="14"/>
        <v>0.27564356435643567</v>
      </c>
      <c r="AG148" s="26" t="str">
        <f t="shared" si="15"/>
        <v>20-30%</v>
      </c>
      <c r="AH148" s="20"/>
      <c r="AI148" s="20" t="s">
        <v>42</v>
      </c>
      <c r="AJ148" s="20">
        <v>5</v>
      </c>
      <c r="AK148" s="20"/>
    </row>
    <row r="149" spans="1:37" s="27" customFormat="1" ht="12.75" customHeight="1" x14ac:dyDescent="0.2">
      <c r="A149" s="22" t="s">
        <v>705</v>
      </c>
      <c r="B149" s="22" t="s">
        <v>759</v>
      </c>
      <c r="C149" s="23">
        <v>44447</v>
      </c>
      <c r="D149" s="22" t="s">
        <v>485</v>
      </c>
      <c r="E149" s="22" t="s">
        <v>484</v>
      </c>
      <c r="F149" s="22" t="s">
        <v>483</v>
      </c>
      <c r="G149" s="22" t="s">
        <v>704</v>
      </c>
      <c r="H149" s="22" t="s">
        <v>703</v>
      </c>
      <c r="I149" s="22" t="s">
        <v>702</v>
      </c>
      <c r="J149" s="22" t="s">
        <v>701</v>
      </c>
      <c r="K149" s="22" t="s">
        <v>700</v>
      </c>
      <c r="L149" s="22" t="s">
        <v>699</v>
      </c>
      <c r="M149" s="22" t="s">
        <v>724</v>
      </c>
      <c r="N149" s="22" t="s">
        <v>755</v>
      </c>
      <c r="O149" s="22" t="s">
        <v>16</v>
      </c>
      <c r="P149" s="22" t="s">
        <v>206</v>
      </c>
      <c r="Q149" s="22">
        <v>110986777</v>
      </c>
      <c r="R149" s="22" t="s">
        <v>87</v>
      </c>
      <c r="S149" s="24">
        <v>1</v>
      </c>
      <c r="T149" s="20" t="s">
        <v>16</v>
      </c>
      <c r="U149" s="25" t="s">
        <v>206</v>
      </c>
      <c r="V149" s="20">
        <v>110986777</v>
      </c>
      <c r="W149" s="25" t="s">
        <v>913</v>
      </c>
      <c r="X149" s="20" t="s">
        <v>207</v>
      </c>
      <c r="Y149" s="20" t="s">
        <v>87</v>
      </c>
      <c r="Z149" s="20" t="s">
        <v>88</v>
      </c>
      <c r="AA149" s="15">
        <v>207.84905660377356</v>
      </c>
      <c r="AB149" s="15">
        <v>220.73333333333335</v>
      </c>
      <c r="AC149" s="15">
        <f t="shared" si="11"/>
        <v>220.73333333333335</v>
      </c>
      <c r="AD149" s="15">
        <f t="shared" si="12"/>
        <v>207.84905660377356</v>
      </c>
      <c r="AE149" s="15">
        <f t="shared" si="13"/>
        <v>12.884276729559787</v>
      </c>
      <c r="AF149" s="16">
        <f t="shared" si="14"/>
        <v>5.837032647037052E-2</v>
      </c>
      <c r="AG149" s="26" t="str">
        <f t="shared" si="15"/>
        <v>0-10%</v>
      </c>
      <c r="AH149" s="20" t="s">
        <v>921</v>
      </c>
      <c r="AI149" s="20" t="s">
        <v>43</v>
      </c>
      <c r="AJ149" s="20">
        <v>0</v>
      </c>
      <c r="AK149" s="20"/>
    </row>
    <row r="150" spans="1:37" s="27" customFormat="1" ht="12.75" customHeight="1" x14ac:dyDescent="0.2">
      <c r="A150" s="22" t="s">
        <v>833</v>
      </c>
      <c r="B150" s="22" t="s">
        <v>858</v>
      </c>
      <c r="C150" s="23">
        <v>44447</v>
      </c>
      <c r="D150" s="22"/>
      <c r="E150" s="22"/>
      <c r="F150" s="22" t="s">
        <v>832</v>
      </c>
      <c r="G150" s="22" t="s">
        <v>832</v>
      </c>
      <c r="H150" s="22" t="s">
        <v>831</v>
      </c>
      <c r="I150" s="22" t="s">
        <v>830</v>
      </c>
      <c r="J150" s="22" t="s">
        <v>829</v>
      </c>
      <c r="K150" s="22" t="s">
        <v>828</v>
      </c>
      <c r="L150" s="22" t="s">
        <v>827</v>
      </c>
      <c r="M150" s="22" t="s">
        <v>487</v>
      </c>
      <c r="N150" s="22" t="s">
        <v>857</v>
      </c>
      <c r="O150" s="22" t="s">
        <v>3</v>
      </c>
      <c r="P150" s="22" t="s">
        <v>125</v>
      </c>
      <c r="Q150" s="22">
        <v>118656553</v>
      </c>
      <c r="R150" s="22" t="s">
        <v>87</v>
      </c>
      <c r="S150" s="24">
        <v>1</v>
      </c>
      <c r="T150" s="20" t="s">
        <v>3</v>
      </c>
      <c r="U150" s="25" t="s">
        <v>125</v>
      </c>
      <c r="V150" s="20">
        <v>118656553</v>
      </c>
      <c r="W150" s="25" t="s">
        <v>916</v>
      </c>
      <c r="X150" s="20" t="s">
        <v>126</v>
      </c>
      <c r="Y150" s="20" t="s">
        <v>87</v>
      </c>
      <c r="Z150" s="20" t="s">
        <v>97</v>
      </c>
      <c r="AA150" s="15">
        <v>102.75</v>
      </c>
      <c r="AB150" s="15">
        <v>155.83999999999997</v>
      </c>
      <c r="AC150" s="15">
        <f t="shared" si="11"/>
        <v>155.83999999999997</v>
      </c>
      <c r="AD150" s="15">
        <f t="shared" si="12"/>
        <v>102.75</v>
      </c>
      <c r="AE150" s="15">
        <f t="shared" si="13"/>
        <v>53.089999999999975</v>
      </c>
      <c r="AF150" s="16">
        <f t="shared" si="14"/>
        <v>0.34066991786447626</v>
      </c>
      <c r="AG150" s="26" t="str">
        <f t="shared" si="15"/>
        <v>30+%</v>
      </c>
      <c r="AH150" s="20"/>
      <c r="AI150" s="20" t="s">
        <v>43</v>
      </c>
      <c r="AJ150" s="20">
        <v>0</v>
      </c>
      <c r="AK150" s="20"/>
    </row>
    <row r="151" spans="1:37" s="27" customFormat="1" ht="12.75" customHeight="1" x14ac:dyDescent="0.2">
      <c r="A151" s="22" t="s">
        <v>833</v>
      </c>
      <c r="B151" s="22" t="s">
        <v>856</v>
      </c>
      <c r="C151" s="23">
        <v>44452</v>
      </c>
      <c r="D151" s="22"/>
      <c r="E151" s="22"/>
      <c r="F151" s="22" t="s">
        <v>832</v>
      </c>
      <c r="G151" s="22" t="s">
        <v>832</v>
      </c>
      <c r="H151" s="22" t="s">
        <v>831</v>
      </c>
      <c r="I151" s="22" t="s">
        <v>830</v>
      </c>
      <c r="J151" s="22" t="s">
        <v>829</v>
      </c>
      <c r="K151" s="22" t="s">
        <v>828</v>
      </c>
      <c r="L151" s="22" t="s">
        <v>827</v>
      </c>
      <c r="M151" s="22" t="s">
        <v>855</v>
      </c>
      <c r="N151" s="22" t="s">
        <v>854</v>
      </c>
      <c r="O151" s="22" t="s">
        <v>70</v>
      </c>
      <c r="P151" s="22" t="s">
        <v>127</v>
      </c>
      <c r="Q151" s="22">
        <v>118657911</v>
      </c>
      <c r="R151" s="22" t="s">
        <v>87</v>
      </c>
      <c r="S151" s="24">
        <v>1</v>
      </c>
      <c r="T151" s="20" t="s">
        <v>70</v>
      </c>
      <c r="U151" s="25" t="s">
        <v>127</v>
      </c>
      <c r="V151" s="20">
        <v>118657911</v>
      </c>
      <c r="W151" s="25" t="s">
        <v>916</v>
      </c>
      <c r="X151" s="20" t="s">
        <v>128</v>
      </c>
      <c r="Y151" s="20" t="s">
        <v>87</v>
      </c>
      <c r="Z151" s="20" t="s">
        <v>97</v>
      </c>
      <c r="AA151" s="15">
        <v>83.89</v>
      </c>
      <c r="AB151" s="15">
        <v>110.29</v>
      </c>
      <c r="AC151" s="15">
        <f t="shared" si="11"/>
        <v>110.29</v>
      </c>
      <c r="AD151" s="15">
        <f t="shared" si="12"/>
        <v>83.89</v>
      </c>
      <c r="AE151" s="15">
        <f t="shared" si="13"/>
        <v>26.400000000000006</v>
      </c>
      <c r="AF151" s="16">
        <f t="shared" si="14"/>
        <v>0.23936893644029381</v>
      </c>
      <c r="AG151" s="26" t="str">
        <f t="shared" si="15"/>
        <v>20-30%</v>
      </c>
      <c r="AH151" s="20"/>
      <c r="AI151" s="20" t="s">
        <v>43</v>
      </c>
      <c r="AJ151" s="20">
        <v>0</v>
      </c>
      <c r="AK151" s="20"/>
    </row>
    <row r="152" spans="1:37" s="27" customFormat="1" ht="12.75" customHeight="1" x14ac:dyDescent="0.2">
      <c r="A152" s="22" t="s">
        <v>705</v>
      </c>
      <c r="B152" s="22" t="s">
        <v>758</v>
      </c>
      <c r="C152" s="23">
        <v>44454</v>
      </c>
      <c r="D152" s="22" t="s">
        <v>485</v>
      </c>
      <c r="E152" s="22" t="s">
        <v>484</v>
      </c>
      <c r="F152" s="22" t="s">
        <v>483</v>
      </c>
      <c r="G152" s="22" t="s">
        <v>704</v>
      </c>
      <c r="H152" s="22" t="s">
        <v>703</v>
      </c>
      <c r="I152" s="22" t="s">
        <v>702</v>
      </c>
      <c r="J152" s="22" t="s">
        <v>701</v>
      </c>
      <c r="K152" s="22" t="s">
        <v>700</v>
      </c>
      <c r="L152" s="22" t="s">
        <v>699</v>
      </c>
      <c r="M152" s="22" t="s">
        <v>715</v>
      </c>
      <c r="N152" s="22" t="s">
        <v>757</v>
      </c>
      <c r="O152" s="22" t="s">
        <v>16</v>
      </c>
      <c r="P152" s="22" t="s">
        <v>178</v>
      </c>
      <c r="Q152" s="22">
        <v>110223931</v>
      </c>
      <c r="R152" s="22" t="s">
        <v>87</v>
      </c>
      <c r="S152" s="24">
        <v>2</v>
      </c>
      <c r="T152" s="20" t="s">
        <v>16</v>
      </c>
      <c r="U152" s="25" t="s">
        <v>178</v>
      </c>
      <c r="V152" s="20">
        <v>110223931</v>
      </c>
      <c r="W152" s="25" t="s">
        <v>913</v>
      </c>
      <c r="X152" s="20" t="s">
        <v>179</v>
      </c>
      <c r="Y152" s="20" t="s">
        <v>87</v>
      </c>
      <c r="Z152" s="20" t="s">
        <v>88</v>
      </c>
      <c r="AA152" s="15">
        <v>337.03773584905656</v>
      </c>
      <c r="AB152" s="15">
        <v>359.33333333333331</v>
      </c>
      <c r="AC152" s="15">
        <f t="shared" si="11"/>
        <v>718.66666666666663</v>
      </c>
      <c r="AD152" s="15">
        <f t="shared" si="12"/>
        <v>674.07547169811312</v>
      </c>
      <c r="AE152" s="15">
        <f t="shared" si="13"/>
        <v>44.591194968553509</v>
      </c>
      <c r="AF152" s="16">
        <f t="shared" si="14"/>
        <v>6.2047117303182069E-2</v>
      </c>
      <c r="AG152" s="26" t="str">
        <f t="shared" si="15"/>
        <v>0-10%</v>
      </c>
      <c r="AH152" s="20" t="s">
        <v>921</v>
      </c>
      <c r="AI152" s="20" t="s">
        <v>43</v>
      </c>
      <c r="AJ152" s="20">
        <v>0</v>
      </c>
      <c r="AK152" s="20"/>
    </row>
    <row r="153" spans="1:37" s="27" customFormat="1" ht="12.75" customHeight="1" x14ac:dyDescent="0.2">
      <c r="A153" s="22" t="s">
        <v>705</v>
      </c>
      <c r="B153" s="22" t="s">
        <v>758</v>
      </c>
      <c r="C153" s="23">
        <v>44454</v>
      </c>
      <c r="D153" s="22" t="s">
        <v>485</v>
      </c>
      <c r="E153" s="22" t="s">
        <v>484</v>
      </c>
      <c r="F153" s="22" t="s">
        <v>483</v>
      </c>
      <c r="G153" s="22" t="s">
        <v>704</v>
      </c>
      <c r="H153" s="22" t="s">
        <v>703</v>
      </c>
      <c r="I153" s="22" t="s">
        <v>702</v>
      </c>
      <c r="J153" s="22" t="s">
        <v>701</v>
      </c>
      <c r="K153" s="22" t="s">
        <v>700</v>
      </c>
      <c r="L153" s="22" t="s">
        <v>699</v>
      </c>
      <c r="M153" s="22" t="s">
        <v>713</v>
      </c>
      <c r="N153" s="22" t="s">
        <v>757</v>
      </c>
      <c r="O153" s="22" t="s">
        <v>16</v>
      </c>
      <c r="P153" s="22" t="s">
        <v>180</v>
      </c>
      <c r="Q153" s="22">
        <v>110224139</v>
      </c>
      <c r="R153" s="22" t="s">
        <v>87</v>
      </c>
      <c r="S153" s="24">
        <v>2</v>
      </c>
      <c r="T153" s="20" t="s">
        <v>16</v>
      </c>
      <c r="U153" s="25" t="s">
        <v>180</v>
      </c>
      <c r="V153" s="20">
        <v>110224139</v>
      </c>
      <c r="W153" s="25" t="s">
        <v>913</v>
      </c>
      <c r="X153" s="20" t="s">
        <v>181</v>
      </c>
      <c r="Y153" s="20" t="s">
        <v>87</v>
      </c>
      <c r="Z153" s="20" t="s">
        <v>88</v>
      </c>
      <c r="AA153" s="15">
        <v>381.77358490566036</v>
      </c>
      <c r="AB153" s="15">
        <v>407</v>
      </c>
      <c r="AC153" s="15">
        <f t="shared" si="11"/>
        <v>814</v>
      </c>
      <c r="AD153" s="15">
        <f t="shared" si="12"/>
        <v>763.54716981132071</v>
      </c>
      <c r="AE153" s="15">
        <f t="shared" si="13"/>
        <v>50.452830188679286</v>
      </c>
      <c r="AF153" s="16">
        <f t="shared" si="14"/>
        <v>6.1981363868156371E-2</v>
      </c>
      <c r="AG153" s="26" t="str">
        <f t="shared" si="15"/>
        <v>0-10%</v>
      </c>
      <c r="AH153" s="20" t="s">
        <v>921</v>
      </c>
      <c r="AI153" s="20" t="s">
        <v>42</v>
      </c>
      <c r="AJ153" s="20">
        <v>4</v>
      </c>
      <c r="AK153" s="20"/>
    </row>
    <row r="154" spans="1:37" s="27" customFormat="1" ht="12.75" customHeight="1" x14ac:dyDescent="0.2">
      <c r="A154" s="22" t="s">
        <v>705</v>
      </c>
      <c r="B154" s="22" t="s">
        <v>758</v>
      </c>
      <c r="C154" s="23">
        <v>44454</v>
      </c>
      <c r="D154" s="22" t="s">
        <v>485</v>
      </c>
      <c r="E154" s="22" t="s">
        <v>484</v>
      </c>
      <c r="F154" s="22" t="s">
        <v>483</v>
      </c>
      <c r="G154" s="22" t="s">
        <v>704</v>
      </c>
      <c r="H154" s="22" t="s">
        <v>703</v>
      </c>
      <c r="I154" s="22" t="s">
        <v>702</v>
      </c>
      <c r="J154" s="22" t="s">
        <v>701</v>
      </c>
      <c r="K154" s="22" t="s">
        <v>700</v>
      </c>
      <c r="L154" s="22" t="s">
        <v>699</v>
      </c>
      <c r="M154" s="22" t="s">
        <v>716</v>
      </c>
      <c r="N154" s="22" t="s">
        <v>757</v>
      </c>
      <c r="O154" s="22" t="s">
        <v>16</v>
      </c>
      <c r="P154" s="22" t="s">
        <v>174</v>
      </c>
      <c r="Q154" s="22">
        <v>103674709</v>
      </c>
      <c r="R154" s="22" t="s">
        <v>87</v>
      </c>
      <c r="S154" s="24">
        <v>2</v>
      </c>
      <c r="T154" s="20" t="s">
        <v>16</v>
      </c>
      <c r="U154" s="25" t="s">
        <v>174</v>
      </c>
      <c r="V154" s="20">
        <v>103674709</v>
      </c>
      <c r="W154" s="25" t="s">
        <v>913</v>
      </c>
      <c r="X154" s="20" t="s">
        <v>175</v>
      </c>
      <c r="Y154" s="20" t="s">
        <v>87</v>
      </c>
      <c r="Z154" s="20" t="s">
        <v>88</v>
      </c>
      <c r="AA154" s="15">
        <v>378.88679245283015</v>
      </c>
      <c r="AB154" s="15">
        <v>404.06666666666666</v>
      </c>
      <c r="AC154" s="15">
        <f t="shared" si="11"/>
        <v>808.13333333333333</v>
      </c>
      <c r="AD154" s="15">
        <f t="shared" si="12"/>
        <v>757.7735849056603</v>
      </c>
      <c r="AE154" s="15">
        <f t="shared" si="13"/>
        <v>50.359748427673026</v>
      </c>
      <c r="AF154" s="16">
        <f t="shared" si="14"/>
        <v>6.2316138130266902E-2</v>
      </c>
      <c r="AG154" s="26" t="str">
        <f t="shared" si="15"/>
        <v>0-10%</v>
      </c>
      <c r="AH154" s="20" t="s">
        <v>921</v>
      </c>
      <c r="AI154" s="20" t="s">
        <v>43</v>
      </c>
      <c r="AJ154" s="20">
        <v>0</v>
      </c>
      <c r="AK154" s="20"/>
    </row>
    <row r="155" spans="1:37" s="27" customFormat="1" ht="12.75" customHeight="1" x14ac:dyDescent="0.2">
      <c r="A155" s="22" t="s">
        <v>705</v>
      </c>
      <c r="B155" s="22" t="s">
        <v>758</v>
      </c>
      <c r="C155" s="23">
        <v>44454</v>
      </c>
      <c r="D155" s="22" t="s">
        <v>485</v>
      </c>
      <c r="E155" s="22" t="s">
        <v>484</v>
      </c>
      <c r="F155" s="22" t="s">
        <v>483</v>
      </c>
      <c r="G155" s="22" t="s">
        <v>704</v>
      </c>
      <c r="H155" s="22" t="s">
        <v>703</v>
      </c>
      <c r="I155" s="22" t="s">
        <v>702</v>
      </c>
      <c r="J155" s="22" t="s">
        <v>701</v>
      </c>
      <c r="K155" s="22" t="s">
        <v>700</v>
      </c>
      <c r="L155" s="22" t="s">
        <v>699</v>
      </c>
      <c r="M155" s="22" t="s">
        <v>710</v>
      </c>
      <c r="N155" s="22" t="s">
        <v>757</v>
      </c>
      <c r="O155" s="22" t="s">
        <v>16</v>
      </c>
      <c r="P155" s="22" t="s">
        <v>176</v>
      </c>
      <c r="Q155" s="22">
        <v>103720400</v>
      </c>
      <c r="R155" s="22" t="s">
        <v>87</v>
      </c>
      <c r="S155" s="24">
        <v>6</v>
      </c>
      <c r="T155" s="20" t="s">
        <v>16</v>
      </c>
      <c r="U155" s="25" t="s">
        <v>176</v>
      </c>
      <c r="V155" s="20">
        <v>103720400</v>
      </c>
      <c r="W155" s="25" t="s">
        <v>913</v>
      </c>
      <c r="X155" s="20" t="s">
        <v>177</v>
      </c>
      <c r="Y155" s="20" t="s">
        <v>87</v>
      </c>
      <c r="Z155" s="20" t="s">
        <v>88</v>
      </c>
      <c r="AA155" s="15">
        <v>461.16981132075466</v>
      </c>
      <c r="AB155" s="15">
        <v>489.86666666666673</v>
      </c>
      <c r="AC155" s="15">
        <f t="shared" si="11"/>
        <v>2939.2000000000003</v>
      </c>
      <c r="AD155" s="15">
        <f t="shared" si="12"/>
        <v>2767.018867924528</v>
      </c>
      <c r="AE155" s="15">
        <f t="shared" si="13"/>
        <v>172.18113207547231</v>
      </c>
      <c r="AF155" s="16">
        <f t="shared" si="14"/>
        <v>5.8580951304937498E-2</v>
      </c>
      <c r="AG155" s="26" t="str">
        <f t="shared" si="15"/>
        <v>0-10%</v>
      </c>
      <c r="AH155" s="20" t="s">
        <v>921</v>
      </c>
      <c r="AI155" s="20" t="s">
        <v>43</v>
      </c>
      <c r="AJ155" s="20">
        <v>0</v>
      </c>
      <c r="AK155" s="20"/>
    </row>
    <row r="156" spans="1:37" s="27" customFormat="1" ht="12.75" customHeight="1" x14ac:dyDescent="0.2">
      <c r="A156" s="22" t="s">
        <v>486</v>
      </c>
      <c r="B156" s="22" t="s">
        <v>590</v>
      </c>
      <c r="C156" s="23">
        <v>44456</v>
      </c>
      <c r="D156" s="22" t="s">
        <v>485</v>
      </c>
      <c r="E156" s="22" t="s">
        <v>484</v>
      </c>
      <c r="F156" s="22" t="s">
        <v>483</v>
      </c>
      <c r="G156" s="22" t="s">
        <v>482</v>
      </c>
      <c r="H156" s="22" t="s">
        <v>481</v>
      </c>
      <c r="I156" s="22" t="s">
        <v>480</v>
      </c>
      <c r="J156" s="22" t="s">
        <v>479</v>
      </c>
      <c r="K156" s="22" t="s">
        <v>478</v>
      </c>
      <c r="L156" s="22" t="s">
        <v>477</v>
      </c>
      <c r="M156" s="22" t="s">
        <v>487</v>
      </c>
      <c r="N156" s="22" t="s">
        <v>589</v>
      </c>
      <c r="O156" s="22" t="s">
        <v>63</v>
      </c>
      <c r="P156" s="22" t="s">
        <v>358</v>
      </c>
      <c r="Q156" s="22">
        <v>100991201</v>
      </c>
      <c r="R156" s="22" t="s">
        <v>87</v>
      </c>
      <c r="S156" s="24">
        <v>6</v>
      </c>
      <c r="T156" s="20" t="s">
        <v>63</v>
      </c>
      <c r="U156" s="25" t="s">
        <v>358</v>
      </c>
      <c r="V156" s="20">
        <v>100991201</v>
      </c>
      <c r="W156" s="25" t="s">
        <v>911</v>
      </c>
      <c r="X156" s="20" t="s">
        <v>359</v>
      </c>
      <c r="Y156" s="20" t="s">
        <v>87</v>
      </c>
      <c r="Z156" s="20" t="s">
        <v>97</v>
      </c>
      <c r="AA156" s="15">
        <v>89.549123512652926</v>
      </c>
      <c r="AB156" s="15">
        <v>79.27</v>
      </c>
      <c r="AC156" s="15">
        <f t="shared" si="11"/>
        <v>475.62</v>
      </c>
      <c r="AD156" s="15">
        <f t="shared" si="12"/>
        <v>537.2947410759175</v>
      </c>
      <c r="AE156" s="15">
        <f t="shared" si="13"/>
        <v>-61.674741075917495</v>
      </c>
      <c r="AF156" s="16">
        <f t="shared" si="14"/>
        <v>-0.12967230367923446</v>
      </c>
      <c r="AG156" s="26" t="str">
        <f t="shared" si="15"/>
        <v>Negative</v>
      </c>
      <c r="AH156" s="20"/>
      <c r="AI156" s="20" t="s">
        <v>43</v>
      </c>
      <c r="AJ156" s="20">
        <v>0</v>
      </c>
      <c r="AK156" s="20"/>
    </row>
    <row r="157" spans="1:37" s="27" customFormat="1" ht="12.75" customHeight="1" x14ac:dyDescent="0.2">
      <c r="A157" s="22" t="s">
        <v>833</v>
      </c>
      <c r="B157" s="22" t="s">
        <v>853</v>
      </c>
      <c r="C157" s="23">
        <v>44459</v>
      </c>
      <c r="D157" s="22"/>
      <c r="E157" s="22"/>
      <c r="F157" s="22" t="s">
        <v>832</v>
      </c>
      <c r="G157" s="22" t="s">
        <v>832</v>
      </c>
      <c r="H157" s="22" t="s">
        <v>831</v>
      </c>
      <c r="I157" s="22" t="s">
        <v>830</v>
      </c>
      <c r="J157" s="22" t="s">
        <v>829</v>
      </c>
      <c r="K157" s="22" t="s">
        <v>828</v>
      </c>
      <c r="L157" s="22" t="s">
        <v>827</v>
      </c>
      <c r="M157" s="22" t="s">
        <v>852</v>
      </c>
      <c r="N157" s="22" t="s">
        <v>851</v>
      </c>
      <c r="O157" s="22" t="s">
        <v>71</v>
      </c>
      <c r="P157" s="22" t="s">
        <v>129</v>
      </c>
      <c r="Q157" s="22">
        <v>118576373</v>
      </c>
      <c r="R157" s="22" t="s">
        <v>87</v>
      </c>
      <c r="S157" s="24">
        <v>1</v>
      </c>
      <c r="T157" s="20" t="s">
        <v>71</v>
      </c>
      <c r="U157" s="25" t="s">
        <v>129</v>
      </c>
      <c r="V157" s="20">
        <v>118576373</v>
      </c>
      <c r="W157" s="25" t="s">
        <v>913</v>
      </c>
      <c r="X157" s="20" t="s">
        <v>130</v>
      </c>
      <c r="Y157" s="20" t="s">
        <v>87</v>
      </c>
      <c r="Z157" s="20" t="s">
        <v>97</v>
      </c>
      <c r="AA157" s="15">
        <v>3167.556818181818</v>
      </c>
      <c r="AB157" s="15">
        <v>3518.48</v>
      </c>
      <c r="AC157" s="15">
        <f t="shared" si="11"/>
        <v>3518.48</v>
      </c>
      <c r="AD157" s="15">
        <f t="shared" si="12"/>
        <v>3167.556818181818</v>
      </c>
      <c r="AE157" s="15">
        <f t="shared" si="13"/>
        <v>350.923181818182</v>
      </c>
      <c r="AF157" s="16">
        <f t="shared" si="14"/>
        <v>9.9737154060327751E-2</v>
      </c>
      <c r="AG157" s="26" t="str">
        <f t="shared" si="15"/>
        <v>0-10%</v>
      </c>
      <c r="AH157" s="20"/>
      <c r="AI157" s="20" t="s">
        <v>43</v>
      </c>
      <c r="AJ157" s="20">
        <v>0</v>
      </c>
      <c r="AK157" s="20"/>
    </row>
    <row r="158" spans="1:37" s="27" customFormat="1" ht="12.75" customHeight="1" x14ac:dyDescent="0.2">
      <c r="A158" s="22" t="s">
        <v>486</v>
      </c>
      <c r="B158" s="22" t="s">
        <v>588</v>
      </c>
      <c r="C158" s="23">
        <v>44460</v>
      </c>
      <c r="D158" s="22" t="s">
        <v>485</v>
      </c>
      <c r="E158" s="22" t="s">
        <v>484</v>
      </c>
      <c r="F158" s="22" t="s">
        <v>483</v>
      </c>
      <c r="G158" s="22" t="s">
        <v>482</v>
      </c>
      <c r="H158" s="22" t="s">
        <v>481</v>
      </c>
      <c r="I158" s="22" t="s">
        <v>480</v>
      </c>
      <c r="J158" s="22" t="s">
        <v>479</v>
      </c>
      <c r="K158" s="22" t="s">
        <v>478</v>
      </c>
      <c r="L158" s="22" t="s">
        <v>477</v>
      </c>
      <c r="M158" s="22" t="s">
        <v>476</v>
      </c>
      <c r="N158" s="22" t="s">
        <v>587</v>
      </c>
      <c r="O158" s="22" t="s">
        <v>28</v>
      </c>
      <c r="P158" s="22" t="s">
        <v>362</v>
      </c>
      <c r="Q158" s="22">
        <v>102071201</v>
      </c>
      <c r="R158" s="22" t="s">
        <v>87</v>
      </c>
      <c r="S158" s="24">
        <v>2</v>
      </c>
      <c r="T158" s="20" t="s">
        <v>28</v>
      </c>
      <c r="U158" s="25" t="s">
        <v>362</v>
      </c>
      <c r="V158" s="20">
        <v>102071201</v>
      </c>
      <c r="W158" s="25" t="s">
        <v>910</v>
      </c>
      <c r="X158" s="20" t="s">
        <v>363</v>
      </c>
      <c r="Y158" s="20" t="s">
        <v>87</v>
      </c>
      <c r="Z158" s="20" t="s">
        <v>88</v>
      </c>
      <c r="AA158" s="15">
        <v>227.81554274198064</v>
      </c>
      <c r="AB158" s="15">
        <v>216.37</v>
      </c>
      <c r="AC158" s="15">
        <f t="shared" si="11"/>
        <v>432.74</v>
      </c>
      <c r="AD158" s="15">
        <f t="shared" si="12"/>
        <v>455.63108548396127</v>
      </c>
      <c r="AE158" s="15">
        <f t="shared" si="13"/>
        <v>-22.891085483961263</v>
      </c>
      <c r="AF158" s="16">
        <f t="shared" si="14"/>
        <v>-5.289801147100167E-2</v>
      </c>
      <c r="AG158" s="26" t="str">
        <f t="shared" si="15"/>
        <v>Negative</v>
      </c>
      <c r="AH158" s="20"/>
      <c r="AI158" s="20" t="s">
        <v>42</v>
      </c>
      <c r="AJ158" s="20">
        <v>0</v>
      </c>
      <c r="AK158" s="20"/>
    </row>
    <row r="159" spans="1:37" s="27" customFormat="1" ht="12.75" customHeight="1" x14ac:dyDescent="0.2">
      <c r="A159" s="22" t="s">
        <v>486</v>
      </c>
      <c r="B159" s="22" t="s">
        <v>588</v>
      </c>
      <c r="C159" s="23">
        <v>44460</v>
      </c>
      <c r="D159" s="22" t="s">
        <v>485</v>
      </c>
      <c r="E159" s="22" t="s">
        <v>484</v>
      </c>
      <c r="F159" s="22" t="s">
        <v>483</v>
      </c>
      <c r="G159" s="22" t="s">
        <v>482</v>
      </c>
      <c r="H159" s="22" t="s">
        <v>481</v>
      </c>
      <c r="I159" s="22" t="s">
        <v>480</v>
      </c>
      <c r="J159" s="22" t="s">
        <v>479</v>
      </c>
      <c r="K159" s="22" t="s">
        <v>478</v>
      </c>
      <c r="L159" s="22" t="s">
        <v>477</v>
      </c>
      <c r="M159" s="22" t="s">
        <v>476</v>
      </c>
      <c r="N159" s="22" t="s">
        <v>587</v>
      </c>
      <c r="O159" s="22" t="s">
        <v>28</v>
      </c>
      <c r="P159" s="22" t="s">
        <v>364</v>
      </c>
      <c r="Q159" s="22">
        <v>102071006</v>
      </c>
      <c r="R159" s="22" t="s">
        <v>87</v>
      </c>
      <c r="S159" s="24">
        <v>2</v>
      </c>
      <c r="T159" s="20" t="s">
        <v>28</v>
      </c>
      <c r="U159" s="25" t="s">
        <v>364</v>
      </c>
      <c r="V159" s="20">
        <v>102071006</v>
      </c>
      <c r="W159" s="25" t="s">
        <v>910</v>
      </c>
      <c r="X159" s="20" t="s">
        <v>365</v>
      </c>
      <c r="Y159" s="20" t="s">
        <v>87</v>
      </c>
      <c r="Z159" s="20" t="s">
        <v>88</v>
      </c>
      <c r="AA159" s="15">
        <v>193.12</v>
      </c>
      <c r="AB159" s="15">
        <v>192.93</v>
      </c>
      <c r="AC159" s="15">
        <f t="shared" si="11"/>
        <v>385.86</v>
      </c>
      <c r="AD159" s="15">
        <f t="shared" si="12"/>
        <v>386.24</v>
      </c>
      <c r="AE159" s="15">
        <f t="shared" si="13"/>
        <v>-0.37999999999999545</v>
      </c>
      <c r="AF159" s="16">
        <f t="shared" si="14"/>
        <v>-9.8481314466385595E-4</v>
      </c>
      <c r="AG159" s="26" t="str">
        <f t="shared" si="15"/>
        <v>Negative</v>
      </c>
      <c r="AH159" s="20"/>
      <c r="AI159" s="20" t="s">
        <v>42</v>
      </c>
      <c r="AJ159" s="20">
        <v>13</v>
      </c>
      <c r="AK159" s="20"/>
    </row>
    <row r="160" spans="1:37" s="27" customFormat="1" ht="12.75" customHeight="1" x14ac:dyDescent="0.2">
      <c r="A160" s="22" t="s">
        <v>486</v>
      </c>
      <c r="B160" s="22" t="s">
        <v>588</v>
      </c>
      <c r="C160" s="23">
        <v>44460</v>
      </c>
      <c r="D160" s="22" t="s">
        <v>485</v>
      </c>
      <c r="E160" s="22" t="s">
        <v>484</v>
      </c>
      <c r="F160" s="22" t="s">
        <v>483</v>
      </c>
      <c r="G160" s="22" t="s">
        <v>482</v>
      </c>
      <c r="H160" s="22" t="s">
        <v>481</v>
      </c>
      <c r="I160" s="22" t="s">
        <v>480</v>
      </c>
      <c r="J160" s="22" t="s">
        <v>479</v>
      </c>
      <c r="K160" s="22" t="s">
        <v>478</v>
      </c>
      <c r="L160" s="22" t="s">
        <v>477</v>
      </c>
      <c r="M160" s="22" t="s">
        <v>476</v>
      </c>
      <c r="N160" s="22" t="s">
        <v>587</v>
      </c>
      <c r="O160" s="22" t="s">
        <v>28</v>
      </c>
      <c r="P160" s="22" t="s">
        <v>360</v>
      </c>
      <c r="Q160" s="22">
        <v>102075593</v>
      </c>
      <c r="R160" s="22" t="s">
        <v>87</v>
      </c>
      <c r="S160" s="24">
        <v>2</v>
      </c>
      <c r="T160" s="20" t="s">
        <v>28</v>
      </c>
      <c r="U160" s="25" t="s">
        <v>360</v>
      </c>
      <c r="V160" s="20">
        <v>102075593</v>
      </c>
      <c r="W160" s="25" t="s">
        <v>910</v>
      </c>
      <c r="X160" s="20" t="s">
        <v>361</v>
      </c>
      <c r="Y160" s="20" t="s">
        <v>87</v>
      </c>
      <c r="Z160" s="20" t="s">
        <v>88</v>
      </c>
      <c r="AA160" s="15">
        <v>155.79</v>
      </c>
      <c r="AB160" s="15">
        <v>155.65</v>
      </c>
      <c r="AC160" s="15">
        <f t="shared" si="11"/>
        <v>311.3</v>
      </c>
      <c r="AD160" s="15">
        <f t="shared" si="12"/>
        <v>311.58</v>
      </c>
      <c r="AE160" s="15">
        <f t="shared" si="13"/>
        <v>-0.27999999999997272</v>
      </c>
      <c r="AF160" s="16">
        <f t="shared" si="14"/>
        <v>-8.9945390298738423E-4</v>
      </c>
      <c r="AG160" s="26" t="str">
        <f t="shared" si="15"/>
        <v>Negative</v>
      </c>
      <c r="AH160" s="20"/>
      <c r="AI160" s="20" t="s">
        <v>42</v>
      </c>
      <c r="AJ160" s="20">
        <v>11</v>
      </c>
      <c r="AK160" s="20"/>
    </row>
    <row r="161" spans="1:37" s="27" customFormat="1" ht="12.75" customHeight="1" x14ac:dyDescent="0.2">
      <c r="A161" s="22" t="s">
        <v>486</v>
      </c>
      <c r="B161" s="22" t="s">
        <v>586</v>
      </c>
      <c r="C161" s="23">
        <v>44464</v>
      </c>
      <c r="D161" s="22" t="s">
        <v>485</v>
      </c>
      <c r="E161" s="22" t="s">
        <v>484</v>
      </c>
      <c r="F161" s="22" t="s">
        <v>483</v>
      </c>
      <c r="G161" s="22" t="s">
        <v>482</v>
      </c>
      <c r="H161" s="22" t="s">
        <v>481</v>
      </c>
      <c r="I161" s="22" t="s">
        <v>480</v>
      </c>
      <c r="J161" s="22" t="s">
        <v>479</v>
      </c>
      <c r="K161" s="22" t="s">
        <v>478</v>
      </c>
      <c r="L161" s="22" t="s">
        <v>477</v>
      </c>
      <c r="M161" s="22" t="s">
        <v>585</v>
      </c>
      <c r="N161" s="22" t="s">
        <v>584</v>
      </c>
      <c r="O161" s="22" t="s">
        <v>65</v>
      </c>
      <c r="P161" s="22" t="s">
        <v>366</v>
      </c>
      <c r="Q161" s="22">
        <v>101833613</v>
      </c>
      <c r="R161" s="22" t="s">
        <v>87</v>
      </c>
      <c r="S161" s="24">
        <v>1</v>
      </c>
      <c r="T161" s="20" t="s">
        <v>65</v>
      </c>
      <c r="U161" s="25" t="s">
        <v>366</v>
      </c>
      <c r="V161" s="20">
        <v>101833613</v>
      </c>
      <c r="W161" s="25" t="s">
        <v>912</v>
      </c>
      <c r="X161" s="20" t="s">
        <v>367</v>
      </c>
      <c r="Y161" s="20" t="s">
        <v>87</v>
      </c>
      <c r="Z161" s="20" t="s">
        <v>88</v>
      </c>
      <c r="AA161" s="15">
        <v>1821.0229885057472</v>
      </c>
      <c r="AB161" s="15">
        <v>2230.2800000000002</v>
      </c>
      <c r="AC161" s="15">
        <f t="shared" si="11"/>
        <v>2230.2800000000002</v>
      </c>
      <c r="AD161" s="15">
        <f t="shared" si="12"/>
        <v>1821.0229885057472</v>
      </c>
      <c r="AE161" s="15">
        <f t="shared" si="13"/>
        <v>409.25701149425299</v>
      </c>
      <c r="AF161" s="16">
        <f t="shared" si="14"/>
        <v>0.18350028314572742</v>
      </c>
      <c r="AG161" s="26" t="str">
        <f t="shared" si="15"/>
        <v>10-20%</v>
      </c>
      <c r="AH161" s="20"/>
      <c r="AI161" s="20" t="s">
        <v>43</v>
      </c>
      <c r="AJ161" s="20">
        <v>0</v>
      </c>
      <c r="AK161" s="20"/>
    </row>
    <row r="162" spans="1:37" s="27" customFormat="1" ht="12.75" customHeight="1" x14ac:dyDescent="0.2">
      <c r="A162" s="22" t="s">
        <v>705</v>
      </c>
      <c r="B162" s="22" t="s">
        <v>756</v>
      </c>
      <c r="C162" s="23">
        <v>44468</v>
      </c>
      <c r="D162" s="22" t="s">
        <v>485</v>
      </c>
      <c r="E162" s="22" t="s">
        <v>484</v>
      </c>
      <c r="F162" s="22" t="s">
        <v>483</v>
      </c>
      <c r="G162" s="22" t="s">
        <v>704</v>
      </c>
      <c r="H162" s="22" t="s">
        <v>703</v>
      </c>
      <c r="I162" s="22" t="s">
        <v>702</v>
      </c>
      <c r="J162" s="22" t="s">
        <v>701</v>
      </c>
      <c r="K162" s="22" t="s">
        <v>700</v>
      </c>
      <c r="L162" s="22" t="s">
        <v>699</v>
      </c>
      <c r="M162" s="22" t="s">
        <v>724</v>
      </c>
      <c r="N162" s="22" t="s">
        <v>755</v>
      </c>
      <c r="O162" s="22" t="s">
        <v>16</v>
      </c>
      <c r="P162" s="22" t="s">
        <v>206</v>
      </c>
      <c r="Q162" s="22">
        <v>110986777</v>
      </c>
      <c r="R162" s="22" t="s">
        <v>87</v>
      </c>
      <c r="S162" s="24">
        <v>1</v>
      </c>
      <c r="T162" s="20" t="s">
        <v>16</v>
      </c>
      <c r="U162" s="25" t="s">
        <v>206</v>
      </c>
      <c r="V162" s="20">
        <v>110986777</v>
      </c>
      <c r="W162" s="25" t="s">
        <v>913</v>
      </c>
      <c r="X162" s="20" t="s">
        <v>207</v>
      </c>
      <c r="Y162" s="20" t="s">
        <v>87</v>
      </c>
      <c r="Z162" s="20" t="s">
        <v>88</v>
      </c>
      <c r="AA162" s="15">
        <v>207.84905660377356</v>
      </c>
      <c r="AB162" s="15">
        <v>220.73333333333335</v>
      </c>
      <c r="AC162" s="15">
        <f t="shared" si="11"/>
        <v>220.73333333333335</v>
      </c>
      <c r="AD162" s="15">
        <f t="shared" si="12"/>
        <v>207.84905660377356</v>
      </c>
      <c r="AE162" s="15">
        <f t="shared" si="13"/>
        <v>12.884276729559787</v>
      </c>
      <c r="AF162" s="16">
        <f t="shared" si="14"/>
        <v>5.837032647037052E-2</v>
      </c>
      <c r="AG162" s="26" t="str">
        <f t="shared" si="15"/>
        <v>0-10%</v>
      </c>
      <c r="AH162" s="20" t="s">
        <v>921</v>
      </c>
      <c r="AI162" s="20" t="s">
        <v>43</v>
      </c>
      <c r="AJ162" s="20">
        <v>0</v>
      </c>
      <c r="AK162" s="20"/>
    </row>
    <row r="163" spans="1:37" s="27" customFormat="1" ht="12.75" customHeight="1" x14ac:dyDescent="0.2">
      <c r="A163" s="22" t="s">
        <v>705</v>
      </c>
      <c r="B163" s="22" t="s">
        <v>754</v>
      </c>
      <c r="C163" s="23">
        <v>44469</v>
      </c>
      <c r="D163" s="22" t="s">
        <v>485</v>
      </c>
      <c r="E163" s="22" t="s">
        <v>484</v>
      </c>
      <c r="F163" s="22" t="s">
        <v>483</v>
      </c>
      <c r="G163" s="22" t="s">
        <v>704</v>
      </c>
      <c r="H163" s="22" t="s">
        <v>703</v>
      </c>
      <c r="I163" s="22" t="s">
        <v>702</v>
      </c>
      <c r="J163" s="22" t="s">
        <v>701</v>
      </c>
      <c r="K163" s="22" t="s">
        <v>700</v>
      </c>
      <c r="L163" s="22" t="s">
        <v>699</v>
      </c>
      <c r="M163" s="22" t="s">
        <v>724</v>
      </c>
      <c r="N163" s="22" t="s">
        <v>753</v>
      </c>
      <c r="O163" s="22" t="s">
        <v>16</v>
      </c>
      <c r="P163" s="22" t="s">
        <v>206</v>
      </c>
      <c r="Q163" s="22">
        <v>110986777</v>
      </c>
      <c r="R163" s="22" t="s">
        <v>87</v>
      </c>
      <c r="S163" s="24">
        <v>2</v>
      </c>
      <c r="T163" s="20" t="s">
        <v>16</v>
      </c>
      <c r="U163" s="25" t="s">
        <v>206</v>
      </c>
      <c r="V163" s="20">
        <v>110986777</v>
      </c>
      <c r="W163" s="25" t="s">
        <v>913</v>
      </c>
      <c r="X163" s="20" t="s">
        <v>207</v>
      </c>
      <c r="Y163" s="20" t="s">
        <v>87</v>
      </c>
      <c r="Z163" s="20" t="s">
        <v>88</v>
      </c>
      <c r="AA163" s="15">
        <v>207.84905660377356</v>
      </c>
      <c r="AB163" s="15">
        <v>220.73333333333335</v>
      </c>
      <c r="AC163" s="15">
        <f t="shared" si="11"/>
        <v>441.4666666666667</v>
      </c>
      <c r="AD163" s="15">
        <f t="shared" si="12"/>
        <v>415.69811320754712</v>
      </c>
      <c r="AE163" s="15">
        <f t="shared" si="13"/>
        <v>25.768553459119573</v>
      </c>
      <c r="AF163" s="16">
        <f t="shared" si="14"/>
        <v>5.837032647037052E-2</v>
      </c>
      <c r="AG163" s="26" t="str">
        <f t="shared" si="15"/>
        <v>0-10%</v>
      </c>
      <c r="AH163" s="20" t="s">
        <v>921</v>
      </c>
      <c r="AI163" s="20" t="s">
        <v>43</v>
      </c>
      <c r="AJ163" s="20">
        <v>0</v>
      </c>
      <c r="AK163" s="20"/>
    </row>
    <row r="164" spans="1:37" s="27" customFormat="1" ht="12.75" customHeight="1" x14ac:dyDescent="0.2">
      <c r="A164" s="22" t="s">
        <v>705</v>
      </c>
      <c r="B164" s="22" t="s">
        <v>752</v>
      </c>
      <c r="C164" s="23">
        <v>44469</v>
      </c>
      <c r="D164" s="22" t="s">
        <v>485</v>
      </c>
      <c r="E164" s="22" t="s">
        <v>484</v>
      </c>
      <c r="F164" s="22" t="s">
        <v>483</v>
      </c>
      <c r="G164" s="22" t="s">
        <v>704</v>
      </c>
      <c r="H164" s="22" t="s">
        <v>703</v>
      </c>
      <c r="I164" s="22" t="s">
        <v>702</v>
      </c>
      <c r="J164" s="22" t="s">
        <v>701</v>
      </c>
      <c r="K164" s="22" t="s">
        <v>700</v>
      </c>
      <c r="L164" s="22" t="s">
        <v>699</v>
      </c>
      <c r="M164" s="22" t="s">
        <v>724</v>
      </c>
      <c r="N164" s="22" t="s">
        <v>748</v>
      </c>
      <c r="O164" s="22" t="s">
        <v>16</v>
      </c>
      <c r="P164" s="22" t="s">
        <v>206</v>
      </c>
      <c r="Q164" s="22">
        <v>110986777</v>
      </c>
      <c r="R164" s="22" t="s">
        <v>87</v>
      </c>
      <c r="S164" s="24">
        <v>1</v>
      </c>
      <c r="T164" s="20" t="s">
        <v>16</v>
      </c>
      <c r="U164" s="25" t="s">
        <v>206</v>
      </c>
      <c r="V164" s="20">
        <v>110986777</v>
      </c>
      <c r="W164" s="25" t="s">
        <v>913</v>
      </c>
      <c r="X164" s="20" t="s">
        <v>207</v>
      </c>
      <c r="Y164" s="20" t="s">
        <v>87</v>
      </c>
      <c r="Z164" s="20" t="s">
        <v>88</v>
      </c>
      <c r="AA164" s="15">
        <v>207.84905660377356</v>
      </c>
      <c r="AB164" s="15">
        <v>220.73333333333335</v>
      </c>
      <c r="AC164" s="15">
        <f t="shared" si="11"/>
        <v>220.73333333333335</v>
      </c>
      <c r="AD164" s="15">
        <f t="shared" si="12"/>
        <v>207.84905660377356</v>
      </c>
      <c r="AE164" s="15">
        <f t="shared" si="13"/>
        <v>12.884276729559787</v>
      </c>
      <c r="AF164" s="16">
        <f t="shared" si="14"/>
        <v>5.837032647037052E-2</v>
      </c>
      <c r="AG164" s="26" t="str">
        <f t="shared" si="15"/>
        <v>0-10%</v>
      </c>
      <c r="AH164" s="20" t="s">
        <v>921</v>
      </c>
      <c r="AI164" s="20" t="s">
        <v>43</v>
      </c>
      <c r="AJ164" s="20">
        <v>0</v>
      </c>
      <c r="AK164" s="20"/>
    </row>
    <row r="165" spans="1:37" s="27" customFormat="1" ht="12.75" customHeight="1" x14ac:dyDescent="0.2">
      <c r="A165" s="22" t="s">
        <v>486</v>
      </c>
      <c r="B165" s="22" t="s">
        <v>583</v>
      </c>
      <c r="C165" s="23">
        <v>44470</v>
      </c>
      <c r="D165" s="22" t="s">
        <v>485</v>
      </c>
      <c r="E165" s="22" t="s">
        <v>484</v>
      </c>
      <c r="F165" s="22" t="s">
        <v>483</v>
      </c>
      <c r="G165" s="22" t="s">
        <v>482</v>
      </c>
      <c r="H165" s="22" t="s">
        <v>481</v>
      </c>
      <c r="I165" s="22" t="s">
        <v>480</v>
      </c>
      <c r="J165" s="22" t="s">
        <v>479</v>
      </c>
      <c r="K165" s="22" t="s">
        <v>478</v>
      </c>
      <c r="L165" s="22" t="s">
        <v>477</v>
      </c>
      <c r="M165" s="22" t="s">
        <v>487</v>
      </c>
      <c r="N165" s="22" t="s">
        <v>582</v>
      </c>
      <c r="O165" s="22" t="s">
        <v>75</v>
      </c>
      <c r="P165" s="22" t="s">
        <v>368</v>
      </c>
      <c r="Q165" s="22">
        <v>114788571</v>
      </c>
      <c r="R165" s="22" t="s">
        <v>87</v>
      </c>
      <c r="S165" s="24">
        <v>1</v>
      </c>
      <c r="T165" s="20" t="s">
        <v>75</v>
      </c>
      <c r="U165" s="25" t="s">
        <v>368</v>
      </c>
      <c r="V165" s="20">
        <v>114788571</v>
      </c>
      <c r="W165" s="25" t="s">
        <v>910</v>
      </c>
      <c r="X165" s="20" t="s">
        <v>369</v>
      </c>
      <c r="Y165" s="20" t="s">
        <v>87</v>
      </c>
      <c r="Z165" s="20" t="s">
        <v>97</v>
      </c>
      <c r="AA165" s="15">
        <v>208.5717695795779</v>
      </c>
      <c r="AB165" s="15">
        <v>198.1</v>
      </c>
      <c r="AC165" s="15">
        <f t="shared" si="11"/>
        <v>198.1</v>
      </c>
      <c r="AD165" s="15">
        <f t="shared" si="12"/>
        <v>208.5717695795779</v>
      </c>
      <c r="AE165" s="15">
        <f t="shared" si="13"/>
        <v>-10.471769579577909</v>
      </c>
      <c r="AF165" s="16">
        <f t="shared" si="14"/>
        <v>-5.2861027660665874E-2</v>
      </c>
      <c r="AG165" s="26" t="str">
        <f t="shared" si="15"/>
        <v>Negative</v>
      </c>
      <c r="AH165" s="20"/>
      <c r="AI165" s="20" t="s">
        <v>43</v>
      </c>
      <c r="AJ165" s="20">
        <v>0</v>
      </c>
      <c r="AK165" s="20"/>
    </row>
    <row r="166" spans="1:37" s="27" customFormat="1" ht="12.75" customHeight="1" x14ac:dyDescent="0.2">
      <c r="A166" s="22" t="s">
        <v>486</v>
      </c>
      <c r="B166" s="22" t="s">
        <v>580</v>
      </c>
      <c r="C166" s="23">
        <v>44480</v>
      </c>
      <c r="D166" s="22" t="s">
        <v>485</v>
      </c>
      <c r="E166" s="22" t="s">
        <v>484</v>
      </c>
      <c r="F166" s="22" t="s">
        <v>483</v>
      </c>
      <c r="G166" s="22" t="s">
        <v>482</v>
      </c>
      <c r="H166" s="22" t="s">
        <v>481</v>
      </c>
      <c r="I166" s="22" t="s">
        <v>480</v>
      </c>
      <c r="J166" s="22" t="s">
        <v>479</v>
      </c>
      <c r="K166" s="22" t="s">
        <v>478</v>
      </c>
      <c r="L166" s="22" t="s">
        <v>477</v>
      </c>
      <c r="M166" s="22" t="s">
        <v>581</v>
      </c>
      <c r="N166" s="22" t="s">
        <v>578</v>
      </c>
      <c r="O166" s="22" t="s">
        <v>73</v>
      </c>
      <c r="P166" s="22" t="s">
        <v>370</v>
      </c>
      <c r="Q166" s="22">
        <v>118663036</v>
      </c>
      <c r="R166" s="22" t="s">
        <v>87</v>
      </c>
      <c r="S166" s="24">
        <v>1</v>
      </c>
      <c r="T166" s="20" t="s">
        <v>73</v>
      </c>
      <c r="U166" s="25" t="s">
        <v>370</v>
      </c>
      <c r="V166" s="20">
        <v>118663036</v>
      </c>
      <c r="W166" s="25" t="s">
        <v>920</v>
      </c>
      <c r="X166" s="20" t="s">
        <v>371</v>
      </c>
      <c r="Y166" s="20" t="s">
        <v>87</v>
      </c>
      <c r="Z166" s="20" t="s">
        <v>97</v>
      </c>
      <c r="AA166" s="15">
        <v>101.1</v>
      </c>
      <c r="AB166" s="15">
        <v>190.23</v>
      </c>
      <c r="AC166" s="15">
        <f t="shared" si="11"/>
        <v>190.23</v>
      </c>
      <c r="AD166" s="15">
        <f t="shared" si="12"/>
        <v>101.1</v>
      </c>
      <c r="AE166" s="15">
        <f t="shared" si="13"/>
        <v>89.13</v>
      </c>
      <c r="AF166" s="16">
        <f t="shared" si="14"/>
        <v>0.46853808547547704</v>
      </c>
      <c r="AG166" s="26" t="str">
        <f t="shared" si="15"/>
        <v>30+%</v>
      </c>
      <c r="AH166" s="20"/>
      <c r="AI166" s="20" t="s">
        <v>43</v>
      </c>
      <c r="AJ166" s="20">
        <v>0</v>
      </c>
      <c r="AK166" s="20"/>
    </row>
    <row r="167" spans="1:37" s="27" customFormat="1" ht="12.75" customHeight="1" x14ac:dyDescent="0.2">
      <c r="A167" s="22" t="s">
        <v>486</v>
      </c>
      <c r="B167" s="22" t="s">
        <v>580</v>
      </c>
      <c r="C167" s="23">
        <v>44480</v>
      </c>
      <c r="D167" s="22" t="s">
        <v>485</v>
      </c>
      <c r="E167" s="22" t="s">
        <v>484</v>
      </c>
      <c r="F167" s="22" t="s">
        <v>483</v>
      </c>
      <c r="G167" s="22" t="s">
        <v>482</v>
      </c>
      <c r="H167" s="22" t="s">
        <v>481</v>
      </c>
      <c r="I167" s="22" t="s">
        <v>480</v>
      </c>
      <c r="J167" s="22" t="s">
        <v>479</v>
      </c>
      <c r="K167" s="22" t="s">
        <v>478</v>
      </c>
      <c r="L167" s="22" t="s">
        <v>477</v>
      </c>
      <c r="M167" s="22" t="s">
        <v>579</v>
      </c>
      <c r="N167" s="22" t="s">
        <v>578</v>
      </c>
      <c r="O167" s="22" t="s">
        <v>73</v>
      </c>
      <c r="P167" s="22" t="s">
        <v>372</v>
      </c>
      <c r="Q167" s="22">
        <v>118663037</v>
      </c>
      <c r="R167" s="22" t="s">
        <v>87</v>
      </c>
      <c r="S167" s="24">
        <v>1</v>
      </c>
      <c r="T167" s="20" t="s">
        <v>73</v>
      </c>
      <c r="U167" s="25" t="s">
        <v>372</v>
      </c>
      <c r="V167" s="20">
        <v>118663037</v>
      </c>
      <c r="W167" s="25" t="s">
        <v>920</v>
      </c>
      <c r="X167" s="20" t="s">
        <v>373</v>
      </c>
      <c r="Y167" s="20" t="s">
        <v>87</v>
      </c>
      <c r="Z167" s="20" t="s">
        <v>97</v>
      </c>
      <c r="AA167" s="15">
        <v>51.75</v>
      </c>
      <c r="AB167" s="15">
        <v>99.63</v>
      </c>
      <c r="AC167" s="15">
        <f t="shared" si="11"/>
        <v>99.63</v>
      </c>
      <c r="AD167" s="15">
        <f t="shared" si="12"/>
        <v>51.75</v>
      </c>
      <c r="AE167" s="15">
        <f t="shared" si="13"/>
        <v>47.879999999999995</v>
      </c>
      <c r="AF167" s="16">
        <f t="shared" si="14"/>
        <v>0.48057813911472447</v>
      </c>
      <c r="AG167" s="26" t="str">
        <f t="shared" si="15"/>
        <v>30+%</v>
      </c>
      <c r="AH167" s="20"/>
      <c r="AI167" s="20" t="s">
        <v>43</v>
      </c>
      <c r="AJ167" s="20">
        <v>0</v>
      </c>
      <c r="AK167" s="20"/>
    </row>
    <row r="168" spans="1:37" s="27" customFormat="1" ht="12.75" customHeight="1" x14ac:dyDescent="0.2">
      <c r="A168" s="22" t="s">
        <v>705</v>
      </c>
      <c r="B168" s="22" t="s">
        <v>751</v>
      </c>
      <c r="C168" s="23">
        <v>44482</v>
      </c>
      <c r="D168" s="22" t="s">
        <v>485</v>
      </c>
      <c r="E168" s="22" t="s">
        <v>484</v>
      </c>
      <c r="F168" s="22" t="s">
        <v>483</v>
      </c>
      <c r="G168" s="22" t="s">
        <v>704</v>
      </c>
      <c r="H168" s="22" t="s">
        <v>703</v>
      </c>
      <c r="I168" s="22" t="s">
        <v>702</v>
      </c>
      <c r="J168" s="22" t="s">
        <v>701</v>
      </c>
      <c r="K168" s="22" t="s">
        <v>700</v>
      </c>
      <c r="L168" s="22" t="s">
        <v>699</v>
      </c>
      <c r="M168" s="22" t="s">
        <v>745</v>
      </c>
      <c r="N168" s="22" t="s">
        <v>750</v>
      </c>
      <c r="O168" s="22" t="s">
        <v>16</v>
      </c>
      <c r="P168" s="22" t="s">
        <v>194</v>
      </c>
      <c r="Q168" s="22">
        <v>110223298</v>
      </c>
      <c r="R168" s="22" t="s">
        <v>87</v>
      </c>
      <c r="S168" s="24">
        <v>1</v>
      </c>
      <c r="T168" s="20" t="s">
        <v>16</v>
      </c>
      <c r="U168" s="25" t="s">
        <v>194</v>
      </c>
      <c r="V168" s="20">
        <v>110223298</v>
      </c>
      <c r="W168" s="25" t="s">
        <v>913</v>
      </c>
      <c r="X168" s="20" t="s">
        <v>195</v>
      </c>
      <c r="Y168" s="20" t="s">
        <v>87</v>
      </c>
      <c r="Z168" s="20" t="s">
        <v>88</v>
      </c>
      <c r="AA168" s="15">
        <v>306.71698113207549</v>
      </c>
      <c r="AB168" s="15">
        <v>327.06666666666666</v>
      </c>
      <c r="AC168" s="15">
        <f t="shared" si="11"/>
        <v>327.06666666666666</v>
      </c>
      <c r="AD168" s="15">
        <f t="shared" si="12"/>
        <v>306.71698113207549</v>
      </c>
      <c r="AE168" s="15">
        <f t="shared" si="13"/>
        <v>20.349685534591174</v>
      </c>
      <c r="AF168" s="16">
        <f t="shared" si="14"/>
        <v>6.2218769469805875E-2</v>
      </c>
      <c r="AG168" s="26" t="str">
        <f t="shared" si="15"/>
        <v>0-10%</v>
      </c>
      <c r="AH168" s="20" t="s">
        <v>921</v>
      </c>
      <c r="AI168" s="20" t="s">
        <v>43</v>
      </c>
      <c r="AJ168" s="20">
        <v>0</v>
      </c>
      <c r="AK168" s="20"/>
    </row>
    <row r="169" spans="1:37" s="27" customFormat="1" ht="12.75" customHeight="1" x14ac:dyDescent="0.2">
      <c r="A169" s="22" t="s">
        <v>705</v>
      </c>
      <c r="B169" s="22" t="s">
        <v>751</v>
      </c>
      <c r="C169" s="23">
        <v>44482</v>
      </c>
      <c r="D169" s="22" t="s">
        <v>485</v>
      </c>
      <c r="E169" s="22" t="s">
        <v>484</v>
      </c>
      <c r="F169" s="22" t="s">
        <v>483</v>
      </c>
      <c r="G169" s="22" t="s">
        <v>704</v>
      </c>
      <c r="H169" s="22" t="s">
        <v>703</v>
      </c>
      <c r="I169" s="22" t="s">
        <v>702</v>
      </c>
      <c r="J169" s="22" t="s">
        <v>701</v>
      </c>
      <c r="K169" s="22" t="s">
        <v>700</v>
      </c>
      <c r="L169" s="22" t="s">
        <v>699</v>
      </c>
      <c r="M169" s="22" t="s">
        <v>724</v>
      </c>
      <c r="N169" s="22" t="s">
        <v>750</v>
      </c>
      <c r="O169" s="22" t="s">
        <v>16</v>
      </c>
      <c r="P169" s="22" t="s">
        <v>206</v>
      </c>
      <c r="Q169" s="22">
        <v>110986777</v>
      </c>
      <c r="R169" s="22" t="s">
        <v>87</v>
      </c>
      <c r="S169" s="24">
        <v>1</v>
      </c>
      <c r="T169" s="20" t="s">
        <v>16</v>
      </c>
      <c r="U169" s="25" t="s">
        <v>206</v>
      </c>
      <c r="V169" s="20">
        <v>110986777</v>
      </c>
      <c r="W169" s="25" t="s">
        <v>913</v>
      </c>
      <c r="X169" s="20" t="s">
        <v>207</v>
      </c>
      <c r="Y169" s="20" t="s">
        <v>87</v>
      </c>
      <c r="Z169" s="20" t="s">
        <v>88</v>
      </c>
      <c r="AA169" s="15">
        <v>207.84905660377356</v>
      </c>
      <c r="AB169" s="15">
        <v>220.73333333333335</v>
      </c>
      <c r="AC169" s="15">
        <f t="shared" si="11"/>
        <v>220.73333333333335</v>
      </c>
      <c r="AD169" s="15">
        <f t="shared" si="12"/>
        <v>207.84905660377356</v>
      </c>
      <c r="AE169" s="15">
        <f t="shared" si="13"/>
        <v>12.884276729559787</v>
      </c>
      <c r="AF169" s="16">
        <f t="shared" si="14"/>
        <v>5.837032647037052E-2</v>
      </c>
      <c r="AG169" s="26" t="str">
        <f t="shared" si="15"/>
        <v>0-10%</v>
      </c>
      <c r="AH169" s="20" t="s">
        <v>921</v>
      </c>
      <c r="AI169" s="20" t="s">
        <v>43</v>
      </c>
      <c r="AJ169" s="20">
        <v>0</v>
      </c>
      <c r="AK169" s="20"/>
    </row>
    <row r="170" spans="1:37" s="27" customFormat="1" ht="12.75" customHeight="1" x14ac:dyDescent="0.2">
      <c r="A170" s="22" t="s">
        <v>486</v>
      </c>
      <c r="B170" s="22" t="s">
        <v>577</v>
      </c>
      <c r="C170" s="23">
        <v>44482</v>
      </c>
      <c r="D170" s="22" t="s">
        <v>485</v>
      </c>
      <c r="E170" s="22" t="s">
        <v>484</v>
      </c>
      <c r="F170" s="22" t="s">
        <v>483</v>
      </c>
      <c r="G170" s="22" t="s">
        <v>482</v>
      </c>
      <c r="H170" s="22" t="s">
        <v>481</v>
      </c>
      <c r="I170" s="22" t="s">
        <v>480</v>
      </c>
      <c r="J170" s="22" t="s">
        <v>479</v>
      </c>
      <c r="K170" s="22" t="s">
        <v>478</v>
      </c>
      <c r="L170" s="22" t="s">
        <v>477</v>
      </c>
      <c r="M170" s="22" t="s">
        <v>487</v>
      </c>
      <c r="N170" s="22" t="s">
        <v>576</v>
      </c>
      <c r="O170" s="22" t="s">
        <v>17</v>
      </c>
      <c r="P170" s="22" t="s">
        <v>374</v>
      </c>
      <c r="Q170" s="22">
        <v>100781017</v>
      </c>
      <c r="R170" s="22" t="s">
        <v>87</v>
      </c>
      <c r="S170" s="24">
        <v>2</v>
      </c>
      <c r="T170" s="20" t="s">
        <v>17</v>
      </c>
      <c r="U170" s="25" t="s">
        <v>374</v>
      </c>
      <c r="V170" s="20">
        <v>100781017</v>
      </c>
      <c r="W170" s="25" t="s">
        <v>912</v>
      </c>
      <c r="X170" s="20" t="s">
        <v>375</v>
      </c>
      <c r="Y170" s="20" t="s">
        <v>87</v>
      </c>
      <c r="Z170" s="20" t="s">
        <v>88</v>
      </c>
      <c r="AA170" s="15">
        <v>23.39</v>
      </c>
      <c r="AB170" s="15">
        <v>30.96</v>
      </c>
      <c r="AC170" s="15">
        <f t="shared" si="11"/>
        <v>61.92</v>
      </c>
      <c r="AD170" s="15">
        <f t="shared" si="12"/>
        <v>46.78</v>
      </c>
      <c r="AE170" s="15">
        <f t="shared" si="13"/>
        <v>15.14</v>
      </c>
      <c r="AF170" s="16">
        <f t="shared" si="14"/>
        <v>0.24450904392764858</v>
      </c>
      <c r="AG170" s="26" t="str">
        <f t="shared" si="15"/>
        <v>20-30%</v>
      </c>
      <c r="AH170" s="20"/>
      <c r="AI170" s="20" t="s">
        <v>42</v>
      </c>
      <c r="AJ170" s="20">
        <v>31</v>
      </c>
      <c r="AK170" s="20"/>
    </row>
    <row r="171" spans="1:37" s="27" customFormat="1" ht="12.75" customHeight="1" x14ac:dyDescent="0.2">
      <c r="A171" s="22" t="s">
        <v>486</v>
      </c>
      <c r="B171" s="22" t="s">
        <v>575</v>
      </c>
      <c r="C171" s="23">
        <v>44483</v>
      </c>
      <c r="D171" s="22" t="s">
        <v>485</v>
      </c>
      <c r="E171" s="22" t="s">
        <v>484</v>
      </c>
      <c r="F171" s="22" t="s">
        <v>483</v>
      </c>
      <c r="G171" s="22" t="s">
        <v>482</v>
      </c>
      <c r="H171" s="22" t="s">
        <v>481</v>
      </c>
      <c r="I171" s="22" t="s">
        <v>480</v>
      </c>
      <c r="J171" s="22" t="s">
        <v>479</v>
      </c>
      <c r="K171" s="22" t="s">
        <v>478</v>
      </c>
      <c r="L171" s="22" t="s">
        <v>477</v>
      </c>
      <c r="M171" s="22" t="s">
        <v>487</v>
      </c>
      <c r="N171" s="22" t="s">
        <v>573</v>
      </c>
      <c r="O171" s="22" t="s">
        <v>18</v>
      </c>
      <c r="P171" s="22" t="s">
        <v>376</v>
      </c>
      <c r="Q171" s="22">
        <v>100792249</v>
      </c>
      <c r="R171" s="22" t="s">
        <v>87</v>
      </c>
      <c r="S171" s="24">
        <v>1</v>
      </c>
      <c r="T171" s="20" t="s">
        <v>18</v>
      </c>
      <c r="U171" s="25" t="s">
        <v>376</v>
      </c>
      <c r="V171" s="20">
        <v>100792249</v>
      </c>
      <c r="W171" s="25" t="s">
        <v>912</v>
      </c>
      <c r="X171" s="20" t="s">
        <v>377</v>
      </c>
      <c r="Y171" s="20" t="s">
        <v>87</v>
      </c>
      <c r="Z171" s="20" t="s">
        <v>88</v>
      </c>
      <c r="AA171" s="15">
        <v>16.182910711617946</v>
      </c>
      <c r="AB171" s="15">
        <v>15.106211180124223</v>
      </c>
      <c r="AC171" s="15">
        <f t="shared" si="11"/>
        <v>15.106211180124223</v>
      </c>
      <c r="AD171" s="15">
        <f t="shared" si="12"/>
        <v>16.182910711617946</v>
      </c>
      <c r="AE171" s="15">
        <f t="shared" si="13"/>
        <v>-1.0766995314937233</v>
      </c>
      <c r="AF171" s="16">
        <f t="shared" si="14"/>
        <v>-7.127528661259383E-2</v>
      </c>
      <c r="AG171" s="26" t="str">
        <f t="shared" si="15"/>
        <v>Negative</v>
      </c>
      <c r="AH171" s="20"/>
      <c r="AI171" s="20" t="s">
        <v>42</v>
      </c>
      <c r="AJ171" s="20">
        <v>34</v>
      </c>
      <c r="AK171" s="20"/>
    </row>
    <row r="172" spans="1:37" s="27" customFormat="1" ht="12.75" customHeight="1" x14ac:dyDescent="0.2">
      <c r="A172" s="22" t="s">
        <v>486</v>
      </c>
      <c r="B172" s="22" t="s">
        <v>574</v>
      </c>
      <c r="C172" s="23">
        <v>44487</v>
      </c>
      <c r="D172" s="22" t="s">
        <v>485</v>
      </c>
      <c r="E172" s="22" t="s">
        <v>484</v>
      </c>
      <c r="F172" s="22" t="s">
        <v>483</v>
      </c>
      <c r="G172" s="22" t="s">
        <v>482</v>
      </c>
      <c r="H172" s="22" t="s">
        <v>481</v>
      </c>
      <c r="I172" s="22" t="s">
        <v>480</v>
      </c>
      <c r="J172" s="22" t="s">
        <v>479</v>
      </c>
      <c r="K172" s="22" t="s">
        <v>478</v>
      </c>
      <c r="L172" s="22" t="s">
        <v>477</v>
      </c>
      <c r="M172" s="22" t="s">
        <v>487</v>
      </c>
      <c r="N172" s="22" t="s">
        <v>573</v>
      </c>
      <c r="O172" s="22" t="s">
        <v>28</v>
      </c>
      <c r="P172" s="22" t="s">
        <v>378</v>
      </c>
      <c r="Q172" s="22">
        <v>102071575</v>
      </c>
      <c r="R172" s="22" t="s">
        <v>87</v>
      </c>
      <c r="S172" s="24">
        <v>2</v>
      </c>
      <c r="T172" s="20" t="s">
        <v>28</v>
      </c>
      <c r="U172" s="25" t="s">
        <v>378</v>
      </c>
      <c r="V172" s="20">
        <v>102071575</v>
      </c>
      <c r="W172" s="25" t="s">
        <v>910</v>
      </c>
      <c r="X172" s="20" t="s">
        <v>379</v>
      </c>
      <c r="Y172" s="20" t="s">
        <v>87</v>
      </c>
      <c r="Z172" s="20" t="s">
        <v>88</v>
      </c>
      <c r="AA172" s="15">
        <v>337.72255684663929</v>
      </c>
      <c r="AB172" s="15">
        <v>320.76</v>
      </c>
      <c r="AC172" s="15">
        <f t="shared" si="11"/>
        <v>641.52</v>
      </c>
      <c r="AD172" s="15">
        <f t="shared" si="12"/>
        <v>675.44511369327859</v>
      </c>
      <c r="AE172" s="15">
        <f t="shared" si="13"/>
        <v>-33.925113693278604</v>
      </c>
      <c r="AF172" s="16">
        <f t="shared" si="14"/>
        <v>-5.2882394458907911E-2</v>
      </c>
      <c r="AG172" s="26" t="str">
        <f t="shared" si="15"/>
        <v>Negative</v>
      </c>
      <c r="AH172" s="20"/>
      <c r="AI172" s="20" t="s">
        <v>42</v>
      </c>
      <c r="AJ172" s="20">
        <v>114</v>
      </c>
      <c r="AK172" s="20"/>
    </row>
    <row r="173" spans="1:37" s="27" customFormat="1" ht="12.75" customHeight="1" x14ac:dyDescent="0.2">
      <c r="A173" s="22" t="s">
        <v>486</v>
      </c>
      <c r="B173" s="22" t="s">
        <v>572</v>
      </c>
      <c r="C173" s="23">
        <v>44494</v>
      </c>
      <c r="D173" s="22" t="s">
        <v>485</v>
      </c>
      <c r="E173" s="22" t="s">
        <v>484</v>
      </c>
      <c r="F173" s="22" t="s">
        <v>483</v>
      </c>
      <c r="G173" s="22" t="s">
        <v>482</v>
      </c>
      <c r="H173" s="22" t="s">
        <v>481</v>
      </c>
      <c r="I173" s="22" t="s">
        <v>480</v>
      </c>
      <c r="J173" s="22" t="s">
        <v>479</v>
      </c>
      <c r="K173" s="22" t="s">
        <v>478</v>
      </c>
      <c r="L173" s="22" t="s">
        <v>477</v>
      </c>
      <c r="M173" s="22" t="s">
        <v>571</v>
      </c>
      <c r="N173" s="22" t="s">
        <v>570</v>
      </c>
      <c r="O173" s="22" t="s">
        <v>64</v>
      </c>
      <c r="P173" s="22" t="s">
        <v>380</v>
      </c>
      <c r="Q173" s="22">
        <v>100000310</v>
      </c>
      <c r="R173" s="22" t="s">
        <v>87</v>
      </c>
      <c r="S173" s="24">
        <v>1</v>
      </c>
      <c r="T173" s="20" t="s">
        <v>64</v>
      </c>
      <c r="U173" s="25" t="s">
        <v>380</v>
      </c>
      <c r="V173" s="20">
        <v>100000310</v>
      </c>
      <c r="W173" s="25" t="s">
        <v>911</v>
      </c>
      <c r="X173" s="20" t="s">
        <v>381</v>
      </c>
      <c r="Y173" s="20" t="s">
        <v>87</v>
      </c>
      <c r="Z173" s="20" t="s">
        <v>88</v>
      </c>
      <c r="AA173" s="15">
        <v>637.6875</v>
      </c>
      <c r="AB173" s="15">
        <v>678.76</v>
      </c>
      <c r="AC173" s="15">
        <f t="shared" si="11"/>
        <v>678.76</v>
      </c>
      <c r="AD173" s="15">
        <f t="shared" si="12"/>
        <v>637.6875</v>
      </c>
      <c r="AE173" s="15">
        <f t="shared" si="13"/>
        <v>41.072499999999991</v>
      </c>
      <c r="AF173" s="16">
        <f t="shared" si="14"/>
        <v>6.0511079026460003E-2</v>
      </c>
      <c r="AG173" s="26" t="str">
        <f t="shared" si="15"/>
        <v>0-10%</v>
      </c>
      <c r="AH173" s="20"/>
      <c r="AI173" s="20" t="s">
        <v>43</v>
      </c>
      <c r="AJ173" s="20">
        <v>2</v>
      </c>
      <c r="AK173" s="20"/>
    </row>
    <row r="174" spans="1:37" s="27" customFormat="1" ht="12.75" customHeight="1" x14ac:dyDescent="0.2">
      <c r="A174" s="22" t="s">
        <v>486</v>
      </c>
      <c r="B174" s="22" t="s">
        <v>569</v>
      </c>
      <c r="C174" s="23">
        <v>44494</v>
      </c>
      <c r="D174" s="22" t="s">
        <v>485</v>
      </c>
      <c r="E174" s="22" t="s">
        <v>484</v>
      </c>
      <c r="F174" s="22" t="s">
        <v>483</v>
      </c>
      <c r="G174" s="22" t="s">
        <v>482</v>
      </c>
      <c r="H174" s="22" t="s">
        <v>481</v>
      </c>
      <c r="I174" s="22" t="s">
        <v>480</v>
      </c>
      <c r="J174" s="22" t="s">
        <v>479</v>
      </c>
      <c r="K174" s="22" t="s">
        <v>478</v>
      </c>
      <c r="L174" s="22" t="s">
        <v>477</v>
      </c>
      <c r="M174" s="22" t="s">
        <v>476</v>
      </c>
      <c r="N174" s="22" t="s">
        <v>568</v>
      </c>
      <c r="O174" s="22" t="s">
        <v>69</v>
      </c>
      <c r="P174" s="22" t="s">
        <v>382</v>
      </c>
      <c r="Q174" s="22">
        <v>101401562</v>
      </c>
      <c r="R174" s="22" t="s">
        <v>87</v>
      </c>
      <c r="S174" s="24">
        <v>1</v>
      </c>
      <c r="T174" s="20" t="s">
        <v>69</v>
      </c>
      <c r="U174" s="25" t="s">
        <v>382</v>
      </c>
      <c r="V174" s="20">
        <v>101401562</v>
      </c>
      <c r="W174" s="25" t="s">
        <v>916</v>
      </c>
      <c r="X174" s="20" t="s">
        <v>383</v>
      </c>
      <c r="Y174" s="20" t="s">
        <v>87</v>
      </c>
      <c r="Z174" s="20" t="s">
        <v>88</v>
      </c>
      <c r="AA174" s="15">
        <v>3290.15</v>
      </c>
      <c r="AB174" s="15">
        <v>3420.3</v>
      </c>
      <c r="AC174" s="15">
        <f t="shared" si="11"/>
        <v>3420.3</v>
      </c>
      <c r="AD174" s="15">
        <f t="shared" si="12"/>
        <v>3290.15</v>
      </c>
      <c r="AE174" s="15">
        <f t="shared" si="13"/>
        <v>130.15000000000009</v>
      </c>
      <c r="AF174" s="16">
        <f t="shared" si="14"/>
        <v>3.8052217641727358E-2</v>
      </c>
      <c r="AG174" s="26" t="str">
        <f t="shared" si="15"/>
        <v>0-10%</v>
      </c>
      <c r="AH174" s="20"/>
      <c r="AI174" s="20" t="s">
        <v>42</v>
      </c>
      <c r="AJ174" s="20">
        <v>3</v>
      </c>
      <c r="AK174" s="20"/>
    </row>
    <row r="175" spans="1:37" s="27" customFormat="1" ht="12.75" customHeight="1" x14ac:dyDescent="0.2">
      <c r="A175" s="22" t="s">
        <v>705</v>
      </c>
      <c r="B175" s="22" t="s">
        <v>749</v>
      </c>
      <c r="C175" s="23">
        <v>44498</v>
      </c>
      <c r="D175" s="22" t="s">
        <v>485</v>
      </c>
      <c r="E175" s="22" t="s">
        <v>484</v>
      </c>
      <c r="F175" s="22" t="s">
        <v>483</v>
      </c>
      <c r="G175" s="22" t="s">
        <v>704</v>
      </c>
      <c r="H175" s="22" t="s">
        <v>703</v>
      </c>
      <c r="I175" s="22" t="s">
        <v>702</v>
      </c>
      <c r="J175" s="22" t="s">
        <v>701</v>
      </c>
      <c r="K175" s="22" t="s">
        <v>700</v>
      </c>
      <c r="L175" s="22" t="s">
        <v>699</v>
      </c>
      <c r="M175" s="22" t="s">
        <v>724</v>
      </c>
      <c r="N175" s="22" t="s">
        <v>748</v>
      </c>
      <c r="O175" s="22" t="s">
        <v>16</v>
      </c>
      <c r="P175" s="22" t="s">
        <v>206</v>
      </c>
      <c r="Q175" s="22">
        <v>110986777</v>
      </c>
      <c r="R175" s="22" t="s">
        <v>87</v>
      </c>
      <c r="S175" s="24">
        <v>1</v>
      </c>
      <c r="T175" s="20" t="s">
        <v>16</v>
      </c>
      <c r="U175" s="25" t="s">
        <v>206</v>
      </c>
      <c r="V175" s="20">
        <v>110986777</v>
      </c>
      <c r="W175" s="25" t="s">
        <v>913</v>
      </c>
      <c r="X175" s="20" t="s">
        <v>207</v>
      </c>
      <c r="Y175" s="20" t="s">
        <v>87</v>
      </c>
      <c r="Z175" s="20" t="s">
        <v>88</v>
      </c>
      <c r="AA175" s="15">
        <v>207.84905660377356</v>
      </c>
      <c r="AB175" s="15">
        <v>220.73333333333335</v>
      </c>
      <c r="AC175" s="15">
        <f t="shared" si="11"/>
        <v>220.73333333333335</v>
      </c>
      <c r="AD175" s="15">
        <f t="shared" si="12"/>
        <v>207.84905660377356</v>
      </c>
      <c r="AE175" s="15">
        <f t="shared" si="13"/>
        <v>12.884276729559787</v>
      </c>
      <c r="AF175" s="16">
        <f t="shared" si="14"/>
        <v>5.837032647037052E-2</v>
      </c>
      <c r="AG175" s="26" t="str">
        <f t="shared" si="15"/>
        <v>0-10%</v>
      </c>
      <c r="AH175" s="20" t="s">
        <v>921</v>
      </c>
      <c r="AI175" s="20" t="s">
        <v>43</v>
      </c>
      <c r="AJ175" s="20">
        <v>0</v>
      </c>
      <c r="AK175" s="20"/>
    </row>
    <row r="176" spans="1:37" s="27" customFormat="1" ht="12.75" customHeight="1" x14ac:dyDescent="0.2">
      <c r="A176" s="22" t="s">
        <v>486</v>
      </c>
      <c r="B176" s="22" t="s">
        <v>567</v>
      </c>
      <c r="C176" s="23">
        <v>44499</v>
      </c>
      <c r="D176" s="22" t="s">
        <v>485</v>
      </c>
      <c r="E176" s="22" t="s">
        <v>484</v>
      </c>
      <c r="F176" s="22" t="s">
        <v>483</v>
      </c>
      <c r="G176" s="22" t="s">
        <v>482</v>
      </c>
      <c r="H176" s="22" t="s">
        <v>481</v>
      </c>
      <c r="I176" s="22" t="s">
        <v>480</v>
      </c>
      <c r="J176" s="22" t="s">
        <v>479</v>
      </c>
      <c r="K176" s="22" t="s">
        <v>478</v>
      </c>
      <c r="L176" s="22" t="s">
        <v>477</v>
      </c>
      <c r="M176" s="22" t="s">
        <v>487</v>
      </c>
      <c r="N176" s="22" t="s">
        <v>566</v>
      </c>
      <c r="O176" s="22" t="s">
        <v>70</v>
      </c>
      <c r="P176" s="22" t="s">
        <v>384</v>
      </c>
      <c r="Q176" s="22">
        <v>118755612</v>
      </c>
      <c r="R176" s="22" t="s">
        <v>87</v>
      </c>
      <c r="S176" s="24">
        <v>3</v>
      </c>
      <c r="T176" s="20" t="s">
        <v>70</v>
      </c>
      <c r="U176" s="25" t="s">
        <v>384</v>
      </c>
      <c r="V176" s="20">
        <v>118755612</v>
      </c>
      <c r="W176" s="25" t="s">
        <v>916</v>
      </c>
      <c r="X176" s="20" t="s">
        <v>385</v>
      </c>
      <c r="Y176" s="20" t="s">
        <v>87</v>
      </c>
      <c r="Z176" s="20" t="s">
        <v>97</v>
      </c>
      <c r="AA176" s="15">
        <v>63.439596313733354</v>
      </c>
      <c r="AB176" s="15">
        <v>57.68</v>
      </c>
      <c r="AC176" s="15">
        <f t="shared" si="11"/>
        <v>173.04</v>
      </c>
      <c r="AD176" s="15">
        <f t="shared" si="12"/>
        <v>190.31878894120007</v>
      </c>
      <c r="AE176" s="15">
        <f t="shared" si="13"/>
        <v>-17.278788941200077</v>
      </c>
      <c r="AF176" s="16">
        <f t="shared" si="14"/>
        <v>-9.9854305023116485E-2</v>
      </c>
      <c r="AG176" s="26" t="str">
        <f t="shared" si="15"/>
        <v>Negative</v>
      </c>
      <c r="AH176" s="20"/>
      <c r="AI176" s="20" t="s">
        <v>43</v>
      </c>
      <c r="AJ176" s="20">
        <v>0</v>
      </c>
      <c r="AK176" s="20"/>
    </row>
    <row r="177" spans="1:37" s="27" customFormat="1" ht="12.75" customHeight="1" x14ac:dyDescent="0.2">
      <c r="A177" s="22" t="s">
        <v>486</v>
      </c>
      <c r="B177" s="22" t="s">
        <v>565</v>
      </c>
      <c r="C177" s="23">
        <v>44502</v>
      </c>
      <c r="D177" s="22" t="s">
        <v>485</v>
      </c>
      <c r="E177" s="22" t="s">
        <v>484</v>
      </c>
      <c r="F177" s="22" t="s">
        <v>483</v>
      </c>
      <c r="G177" s="22" t="s">
        <v>482</v>
      </c>
      <c r="H177" s="22" t="s">
        <v>481</v>
      </c>
      <c r="I177" s="22" t="s">
        <v>480</v>
      </c>
      <c r="J177" s="22" t="s">
        <v>479</v>
      </c>
      <c r="K177" s="22" t="s">
        <v>478</v>
      </c>
      <c r="L177" s="22" t="s">
        <v>477</v>
      </c>
      <c r="M177" s="22" t="s">
        <v>564</v>
      </c>
      <c r="N177" s="22" t="s">
        <v>563</v>
      </c>
      <c r="O177" s="22" t="s">
        <v>23</v>
      </c>
      <c r="P177" s="22" t="s">
        <v>354</v>
      </c>
      <c r="Q177" s="22">
        <v>114157585</v>
      </c>
      <c r="R177" s="22" t="s">
        <v>87</v>
      </c>
      <c r="S177" s="24">
        <v>2</v>
      </c>
      <c r="T177" s="20" t="s">
        <v>23</v>
      </c>
      <c r="U177" s="25" t="s">
        <v>354</v>
      </c>
      <c r="V177" s="20">
        <v>114157585</v>
      </c>
      <c r="W177" s="25" t="s">
        <v>915</v>
      </c>
      <c r="X177" s="20" t="s">
        <v>355</v>
      </c>
      <c r="Y177" s="20" t="s">
        <v>87</v>
      </c>
      <c r="Z177" s="20" t="s">
        <v>97</v>
      </c>
      <c r="AA177" s="15">
        <v>6.5666666666666664</v>
      </c>
      <c r="AB177" s="15">
        <v>6.73</v>
      </c>
      <c r="AC177" s="15">
        <f t="shared" si="11"/>
        <v>13.46</v>
      </c>
      <c r="AD177" s="15">
        <f t="shared" si="12"/>
        <v>13.133333333333333</v>
      </c>
      <c r="AE177" s="15">
        <f t="shared" si="13"/>
        <v>0.32666666666666799</v>
      </c>
      <c r="AF177" s="16">
        <f t="shared" si="14"/>
        <v>2.4269440316988706E-2</v>
      </c>
      <c r="AG177" s="26" t="str">
        <f t="shared" si="15"/>
        <v>0-10%</v>
      </c>
      <c r="AH177" s="20"/>
      <c r="AI177" s="20" t="s">
        <v>43</v>
      </c>
      <c r="AJ177" s="20">
        <v>0</v>
      </c>
      <c r="AK177" s="20"/>
    </row>
    <row r="178" spans="1:37" s="27" customFormat="1" ht="12.75" customHeight="1" x14ac:dyDescent="0.2">
      <c r="A178" s="22" t="s">
        <v>486</v>
      </c>
      <c r="B178" s="22" t="s">
        <v>562</v>
      </c>
      <c r="C178" s="23">
        <v>44509</v>
      </c>
      <c r="D178" s="22" t="s">
        <v>485</v>
      </c>
      <c r="E178" s="22" t="s">
        <v>484</v>
      </c>
      <c r="F178" s="22" t="s">
        <v>483</v>
      </c>
      <c r="G178" s="22" t="s">
        <v>482</v>
      </c>
      <c r="H178" s="22" t="s">
        <v>481</v>
      </c>
      <c r="I178" s="22" t="s">
        <v>480</v>
      </c>
      <c r="J178" s="22" t="s">
        <v>479</v>
      </c>
      <c r="K178" s="22" t="s">
        <v>478</v>
      </c>
      <c r="L178" s="22" t="s">
        <v>477</v>
      </c>
      <c r="M178" s="22" t="s">
        <v>487</v>
      </c>
      <c r="N178" s="22" t="s">
        <v>560</v>
      </c>
      <c r="O178" s="22" t="s">
        <v>7</v>
      </c>
      <c r="P178" s="22" t="s">
        <v>386</v>
      </c>
      <c r="Q178" s="22">
        <v>102066822</v>
      </c>
      <c r="R178" s="22" t="s">
        <v>87</v>
      </c>
      <c r="S178" s="24">
        <v>5</v>
      </c>
      <c r="T178" s="20" t="s">
        <v>7</v>
      </c>
      <c r="U178" s="25" t="s">
        <v>386</v>
      </c>
      <c r="V178" s="20">
        <v>102066822</v>
      </c>
      <c r="W178" s="25" t="s">
        <v>912</v>
      </c>
      <c r="X178" s="20" t="s">
        <v>387</v>
      </c>
      <c r="Y178" s="20" t="s">
        <v>87</v>
      </c>
      <c r="Z178" s="20" t="s">
        <v>88</v>
      </c>
      <c r="AA178" s="15">
        <v>4.3555555555555552</v>
      </c>
      <c r="AB178" s="15">
        <v>4.46</v>
      </c>
      <c r="AC178" s="15">
        <f t="shared" si="11"/>
        <v>22.3</v>
      </c>
      <c r="AD178" s="15">
        <f t="shared" si="12"/>
        <v>21.777777777777775</v>
      </c>
      <c r="AE178" s="15">
        <f t="shared" si="13"/>
        <v>0.5222222222222257</v>
      </c>
      <c r="AF178" s="16">
        <f t="shared" si="14"/>
        <v>2.3418036870951824E-2</v>
      </c>
      <c r="AG178" s="26" t="str">
        <f t="shared" si="15"/>
        <v>0-10%</v>
      </c>
      <c r="AH178" s="20"/>
      <c r="AI178" s="20" t="s">
        <v>43</v>
      </c>
      <c r="AJ178" s="20">
        <v>37</v>
      </c>
      <c r="AK178" s="20"/>
    </row>
    <row r="179" spans="1:37" s="27" customFormat="1" ht="12.75" customHeight="1" x14ac:dyDescent="0.2">
      <c r="A179" s="22" t="s">
        <v>486</v>
      </c>
      <c r="B179" s="22" t="s">
        <v>561</v>
      </c>
      <c r="C179" s="23">
        <v>44510</v>
      </c>
      <c r="D179" s="22" t="s">
        <v>485</v>
      </c>
      <c r="E179" s="22" t="s">
        <v>484</v>
      </c>
      <c r="F179" s="22" t="s">
        <v>483</v>
      </c>
      <c r="G179" s="22" t="s">
        <v>482</v>
      </c>
      <c r="H179" s="22" t="s">
        <v>481</v>
      </c>
      <c r="I179" s="22" t="s">
        <v>480</v>
      </c>
      <c r="J179" s="22" t="s">
        <v>479</v>
      </c>
      <c r="K179" s="22" t="s">
        <v>478</v>
      </c>
      <c r="L179" s="22" t="s">
        <v>477</v>
      </c>
      <c r="M179" s="22" t="s">
        <v>487</v>
      </c>
      <c r="N179" s="22" t="s">
        <v>560</v>
      </c>
      <c r="O179" s="22" t="s">
        <v>388</v>
      </c>
      <c r="P179" s="22" t="s">
        <v>389</v>
      </c>
      <c r="Q179" s="22">
        <v>110485437</v>
      </c>
      <c r="R179" s="22" t="s">
        <v>87</v>
      </c>
      <c r="S179" s="24">
        <v>2</v>
      </c>
      <c r="T179" s="20" t="s">
        <v>388</v>
      </c>
      <c r="U179" s="25" t="s">
        <v>389</v>
      </c>
      <c r="V179" s="20">
        <v>110485437</v>
      </c>
      <c r="W179" s="25" t="s">
        <v>912</v>
      </c>
      <c r="X179" s="20" t="s">
        <v>390</v>
      </c>
      <c r="Y179" s="20" t="s">
        <v>87</v>
      </c>
      <c r="Z179" s="20" t="s">
        <v>88</v>
      </c>
      <c r="AA179" s="15">
        <v>4.2300000000000004</v>
      </c>
      <c r="AB179" s="15">
        <v>4.1500000000000004</v>
      </c>
      <c r="AC179" s="15">
        <f t="shared" si="11"/>
        <v>8.3000000000000007</v>
      </c>
      <c r="AD179" s="15">
        <f t="shared" si="12"/>
        <v>8.4600000000000009</v>
      </c>
      <c r="AE179" s="15">
        <f t="shared" si="13"/>
        <v>-0.16000000000000014</v>
      </c>
      <c r="AF179" s="16">
        <f t="shared" si="14"/>
        <v>-1.9277108433734955E-2</v>
      </c>
      <c r="AG179" s="26" t="str">
        <f t="shared" si="15"/>
        <v>Negative</v>
      </c>
      <c r="AH179" s="20"/>
      <c r="AI179" s="20" t="s">
        <v>43</v>
      </c>
      <c r="AJ179" s="20">
        <v>4</v>
      </c>
      <c r="AK179" s="20"/>
    </row>
    <row r="180" spans="1:37" s="27" customFormat="1" ht="12.75" customHeight="1" x14ac:dyDescent="0.2">
      <c r="A180" s="22" t="s">
        <v>486</v>
      </c>
      <c r="B180" s="22" t="s">
        <v>559</v>
      </c>
      <c r="C180" s="23">
        <v>44510</v>
      </c>
      <c r="D180" s="22" t="s">
        <v>485</v>
      </c>
      <c r="E180" s="22" t="s">
        <v>484</v>
      </c>
      <c r="F180" s="22" t="s">
        <v>483</v>
      </c>
      <c r="G180" s="22" t="s">
        <v>482</v>
      </c>
      <c r="H180" s="22" t="s">
        <v>481</v>
      </c>
      <c r="I180" s="22" t="s">
        <v>480</v>
      </c>
      <c r="J180" s="22" t="s">
        <v>479</v>
      </c>
      <c r="K180" s="22" t="s">
        <v>478</v>
      </c>
      <c r="L180" s="22" t="s">
        <v>477</v>
      </c>
      <c r="M180" s="22" t="s">
        <v>487</v>
      </c>
      <c r="N180" s="22" t="s">
        <v>558</v>
      </c>
      <c r="O180" s="22" t="s">
        <v>69</v>
      </c>
      <c r="P180" s="22" t="s">
        <v>382</v>
      </c>
      <c r="Q180" s="22">
        <v>101401562</v>
      </c>
      <c r="R180" s="22" t="s">
        <v>87</v>
      </c>
      <c r="S180" s="24">
        <v>1</v>
      </c>
      <c r="T180" s="20" t="s">
        <v>69</v>
      </c>
      <c r="U180" s="25" t="s">
        <v>382</v>
      </c>
      <c r="V180" s="20">
        <v>101401562</v>
      </c>
      <c r="W180" s="25" t="s">
        <v>916</v>
      </c>
      <c r="X180" s="20" t="s">
        <v>383</v>
      </c>
      <c r="Y180" s="20" t="s">
        <v>87</v>
      </c>
      <c r="Z180" s="20" t="s">
        <v>88</v>
      </c>
      <c r="AA180" s="15">
        <v>3290.15</v>
      </c>
      <c r="AB180" s="15">
        <v>3420.3</v>
      </c>
      <c r="AC180" s="15">
        <f t="shared" si="11"/>
        <v>3420.3</v>
      </c>
      <c r="AD180" s="15">
        <f t="shared" si="12"/>
        <v>3290.15</v>
      </c>
      <c r="AE180" s="15">
        <f t="shared" si="13"/>
        <v>130.15000000000009</v>
      </c>
      <c r="AF180" s="16">
        <f t="shared" si="14"/>
        <v>3.8052217641727358E-2</v>
      </c>
      <c r="AG180" s="26" t="str">
        <f t="shared" si="15"/>
        <v>0-10%</v>
      </c>
      <c r="AH180" s="20"/>
      <c r="AI180" s="20" t="s">
        <v>42</v>
      </c>
      <c r="AJ180" s="20">
        <v>3</v>
      </c>
      <c r="AK180" s="20"/>
    </row>
    <row r="181" spans="1:37" s="27" customFormat="1" ht="12.75" customHeight="1" x14ac:dyDescent="0.2">
      <c r="A181" s="22" t="s">
        <v>705</v>
      </c>
      <c r="B181" s="22" t="s">
        <v>746</v>
      </c>
      <c r="C181" s="23">
        <v>44512</v>
      </c>
      <c r="D181" s="22" t="s">
        <v>485</v>
      </c>
      <c r="E181" s="22" t="s">
        <v>484</v>
      </c>
      <c r="F181" s="22" t="s">
        <v>483</v>
      </c>
      <c r="G181" s="22" t="s">
        <v>704</v>
      </c>
      <c r="H181" s="22" t="s">
        <v>703</v>
      </c>
      <c r="I181" s="22" t="s">
        <v>702</v>
      </c>
      <c r="J181" s="22" t="s">
        <v>701</v>
      </c>
      <c r="K181" s="22" t="s">
        <v>700</v>
      </c>
      <c r="L181" s="22" t="s">
        <v>699</v>
      </c>
      <c r="M181" s="22" t="s">
        <v>745</v>
      </c>
      <c r="N181" s="22" t="s">
        <v>744</v>
      </c>
      <c r="O181" s="22" t="s">
        <v>16</v>
      </c>
      <c r="P181" s="22" t="s">
        <v>194</v>
      </c>
      <c r="Q181" s="22">
        <v>110223298</v>
      </c>
      <c r="R181" s="22" t="s">
        <v>87</v>
      </c>
      <c r="S181" s="24">
        <v>4</v>
      </c>
      <c r="T181" s="20" t="s">
        <v>16</v>
      </c>
      <c r="U181" s="25" t="s">
        <v>194</v>
      </c>
      <c r="V181" s="20">
        <v>110223298</v>
      </c>
      <c r="W181" s="25" t="s">
        <v>913</v>
      </c>
      <c r="X181" s="20" t="s">
        <v>195</v>
      </c>
      <c r="Y181" s="20" t="s">
        <v>87</v>
      </c>
      <c r="Z181" s="20" t="s">
        <v>88</v>
      </c>
      <c r="AA181" s="15">
        <v>306.71698113207549</v>
      </c>
      <c r="AB181" s="15">
        <v>327.06666666666666</v>
      </c>
      <c r="AC181" s="15">
        <f t="shared" si="11"/>
        <v>1308.2666666666667</v>
      </c>
      <c r="AD181" s="15">
        <f t="shared" si="12"/>
        <v>1226.867924528302</v>
      </c>
      <c r="AE181" s="15">
        <f t="shared" si="13"/>
        <v>81.398742138364696</v>
      </c>
      <c r="AF181" s="16">
        <f t="shared" si="14"/>
        <v>6.2218769469805875E-2</v>
      </c>
      <c r="AG181" s="26" t="str">
        <f t="shared" si="15"/>
        <v>0-10%</v>
      </c>
      <c r="AH181" s="20" t="s">
        <v>921</v>
      </c>
      <c r="AI181" s="20" t="s">
        <v>43</v>
      </c>
      <c r="AJ181" s="20">
        <v>0</v>
      </c>
      <c r="AK181" s="20"/>
    </row>
    <row r="182" spans="1:37" s="27" customFormat="1" ht="12.75" customHeight="1" x14ac:dyDescent="0.2">
      <c r="A182" s="22" t="s">
        <v>705</v>
      </c>
      <c r="B182" s="22" t="s">
        <v>746</v>
      </c>
      <c r="C182" s="23">
        <v>44512</v>
      </c>
      <c r="D182" s="22" t="s">
        <v>485</v>
      </c>
      <c r="E182" s="22" t="s">
        <v>484</v>
      </c>
      <c r="F182" s="22" t="s">
        <v>483</v>
      </c>
      <c r="G182" s="22" t="s">
        <v>704</v>
      </c>
      <c r="H182" s="22" t="s">
        <v>703</v>
      </c>
      <c r="I182" s="22" t="s">
        <v>702</v>
      </c>
      <c r="J182" s="22" t="s">
        <v>701</v>
      </c>
      <c r="K182" s="22" t="s">
        <v>700</v>
      </c>
      <c r="L182" s="22" t="s">
        <v>699</v>
      </c>
      <c r="M182" s="22" t="s">
        <v>747</v>
      </c>
      <c r="N182" s="22" t="s">
        <v>744</v>
      </c>
      <c r="O182" s="22" t="s">
        <v>16</v>
      </c>
      <c r="P182" s="22" t="s">
        <v>192</v>
      </c>
      <c r="Q182" s="22">
        <v>110988168</v>
      </c>
      <c r="R182" s="22" t="s">
        <v>87</v>
      </c>
      <c r="S182" s="24">
        <v>4</v>
      </c>
      <c r="T182" s="20" t="s">
        <v>16</v>
      </c>
      <c r="U182" s="25" t="s">
        <v>192</v>
      </c>
      <c r="V182" s="20">
        <v>110988168</v>
      </c>
      <c r="W182" s="25" t="s">
        <v>913</v>
      </c>
      <c r="X182" s="20" t="s">
        <v>193</v>
      </c>
      <c r="Y182" s="20" t="s">
        <v>87</v>
      </c>
      <c r="Z182" s="20" t="s">
        <v>88</v>
      </c>
      <c r="AA182" s="15">
        <v>394.04716981132071</v>
      </c>
      <c r="AB182" s="15">
        <v>418.73333333333335</v>
      </c>
      <c r="AC182" s="15">
        <f t="shared" si="11"/>
        <v>1674.9333333333334</v>
      </c>
      <c r="AD182" s="15">
        <f t="shared" si="12"/>
        <v>1576.1886792452829</v>
      </c>
      <c r="AE182" s="15">
        <f t="shared" si="13"/>
        <v>98.744654088050538</v>
      </c>
      <c r="AF182" s="16">
        <f t="shared" si="14"/>
        <v>5.8954378734308151E-2</v>
      </c>
      <c r="AG182" s="26" t="str">
        <f t="shared" si="15"/>
        <v>0-10%</v>
      </c>
      <c r="AH182" s="20" t="s">
        <v>921</v>
      </c>
      <c r="AI182" s="20" t="s">
        <v>43</v>
      </c>
      <c r="AJ182" s="20">
        <v>0</v>
      </c>
      <c r="AK182" s="20"/>
    </row>
    <row r="183" spans="1:37" s="27" customFormat="1" ht="12.75" customHeight="1" x14ac:dyDescent="0.2">
      <c r="A183" s="22" t="s">
        <v>486</v>
      </c>
      <c r="B183" s="22" t="s">
        <v>557</v>
      </c>
      <c r="C183" s="23">
        <v>44516</v>
      </c>
      <c r="D183" s="22" t="s">
        <v>485</v>
      </c>
      <c r="E183" s="22" t="s">
        <v>484</v>
      </c>
      <c r="F183" s="22" t="s">
        <v>483</v>
      </c>
      <c r="G183" s="22" t="s">
        <v>482</v>
      </c>
      <c r="H183" s="22" t="s">
        <v>481</v>
      </c>
      <c r="I183" s="22" t="s">
        <v>480</v>
      </c>
      <c r="J183" s="22" t="s">
        <v>479</v>
      </c>
      <c r="K183" s="22" t="s">
        <v>478</v>
      </c>
      <c r="L183" s="22" t="s">
        <v>477</v>
      </c>
      <c r="M183" s="22" t="s">
        <v>487</v>
      </c>
      <c r="N183" s="22" t="s">
        <v>555</v>
      </c>
      <c r="O183" s="22" t="s">
        <v>64</v>
      </c>
      <c r="P183" s="22" t="s">
        <v>391</v>
      </c>
      <c r="Q183" s="22">
        <v>100736576</v>
      </c>
      <c r="R183" s="22" t="s">
        <v>87</v>
      </c>
      <c r="S183" s="24">
        <v>4</v>
      </c>
      <c r="T183" s="20" t="s">
        <v>64</v>
      </c>
      <c r="U183" s="25" t="s">
        <v>391</v>
      </c>
      <c r="V183" s="20">
        <v>100736576</v>
      </c>
      <c r="W183" s="25" t="s">
        <v>911</v>
      </c>
      <c r="X183" s="20" t="s">
        <v>392</v>
      </c>
      <c r="Y183" s="20" t="s">
        <v>87</v>
      </c>
      <c r="Z183" s="20" t="s">
        <v>88</v>
      </c>
      <c r="AA183" s="15">
        <v>90.34</v>
      </c>
      <c r="AB183" s="15">
        <v>96.44</v>
      </c>
      <c r="AC183" s="15">
        <f t="shared" si="11"/>
        <v>385.76</v>
      </c>
      <c r="AD183" s="15">
        <f t="shared" si="12"/>
        <v>361.36</v>
      </c>
      <c r="AE183" s="15">
        <f t="shared" si="13"/>
        <v>24.399999999999977</v>
      </c>
      <c r="AF183" s="16">
        <f t="shared" si="14"/>
        <v>6.3251762754043914E-2</v>
      </c>
      <c r="AG183" s="26" t="str">
        <f t="shared" si="15"/>
        <v>0-10%</v>
      </c>
      <c r="AH183" s="20"/>
      <c r="AI183" s="20" t="s">
        <v>42</v>
      </c>
      <c r="AJ183" s="20">
        <v>54</v>
      </c>
      <c r="AK183" s="20"/>
    </row>
    <row r="184" spans="1:37" s="27" customFormat="1" ht="12.75" customHeight="1" x14ac:dyDescent="0.2">
      <c r="A184" s="22" t="s">
        <v>486</v>
      </c>
      <c r="B184" s="22" t="s">
        <v>556</v>
      </c>
      <c r="C184" s="23">
        <v>44518</v>
      </c>
      <c r="D184" s="22" t="s">
        <v>485</v>
      </c>
      <c r="E184" s="22" t="s">
        <v>484</v>
      </c>
      <c r="F184" s="22" t="s">
        <v>483</v>
      </c>
      <c r="G184" s="22" t="s">
        <v>482</v>
      </c>
      <c r="H184" s="22" t="s">
        <v>481</v>
      </c>
      <c r="I184" s="22" t="s">
        <v>480</v>
      </c>
      <c r="J184" s="22" t="s">
        <v>479</v>
      </c>
      <c r="K184" s="22" t="s">
        <v>478</v>
      </c>
      <c r="L184" s="22" t="s">
        <v>477</v>
      </c>
      <c r="M184" s="22" t="s">
        <v>476</v>
      </c>
      <c r="N184" s="22" t="s">
        <v>555</v>
      </c>
      <c r="O184" s="22" t="s">
        <v>18</v>
      </c>
      <c r="P184" s="22" t="s">
        <v>397</v>
      </c>
      <c r="Q184" s="22">
        <v>100804289</v>
      </c>
      <c r="R184" s="22" t="s">
        <v>87</v>
      </c>
      <c r="S184" s="24">
        <v>1</v>
      </c>
      <c r="T184" s="20" t="s">
        <v>18</v>
      </c>
      <c r="U184" s="25" t="s">
        <v>397</v>
      </c>
      <c r="V184" s="20">
        <v>100804289</v>
      </c>
      <c r="W184" s="25" t="s">
        <v>912</v>
      </c>
      <c r="X184" s="20" t="s">
        <v>398</v>
      </c>
      <c r="Y184" s="20" t="s">
        <v>87</v>
      </c>
      <c r="Z184" s="20" t="s">
        <v>88</v>
      </c>
      <c r="AA184" s="15">
        <v>55.707069289315015</v>
      </c>
      <c r="AB184" s="15">
        <v>49.73</v>
      </c>
      <c r="AC184" s="15">
        <f t="shared" si="11"/>
        <v>49.73</v>
      </c>
      <c r="AD184" s="15">
        <f t="shared" si="12"/>
        <v>55.707069289315015</v>
      </c>
      <c r="AE184" s="15">
        <f t="shared" si="13"/>
        <v>-5.9770692893150184</v>
      </c>
      <c r="AF184" s="16">
        <f t="shared" si="14"/>
        <v>-0.12019041402201928</v>
      </c>
      <c r="AG184" s="26" t="str">
        <f t="shared" si="15"/>
        <v>Negative</v>
      </c>
      <c r="AH184" s="20"/>
      <c r="AI184" s="20" t="s">
        <v>43</v>
      </c>
      <c r="AJ184" s="20">
        <v>3</v>
      </c>
      <c r="AK184" s="20"/>
    </row>
    <row r="185" spans="1:37" s="27" customFormat="1" ht="12.75" customHeight="1" x14ac:dyDescent="0.2">
      <c r="A185" s="22" t="s">
        <v>486</v>
      </c>
      <c r="B185" s="22" t="s">
        <v>556</v>
      </c>
      <c r="C185" s="23">
        <v>44518</v>
      </c>
      <c r="D185" s="22" t="s">
        <v>485</v>
      </c>
      <c r="E185" s="22" t="s">
        <v>484</v>
      </c>
      <c r="F185" s="22" t="s">
        <v>483</v>
      </c>
      <c r="G185" s="22" t="s">
        <v>482</v>
      </c>
      <c r="H185" s="22" t="s">
        <v>481</v>
      </c>
      <c r="I185" s="22" t="s">
        <v>480</v>
      </c>
      <c r="J185" s="22" t="s">
        <v>479</v>
      </c>
      <c r="K185" s="22" t="s">
        <v>478</v>
      </c>
      <c r="L185" s="22" t="s">
        <v>477</v>
      </c>
      <c r="M185" s="22" t="s">
        <v>476</v>
      </c>
      <c r="N185" s="22" t="s">
        <v>555</v>
      </c>
      <c r="O185" s="22" t="s">
        <v>18</v>
      </c>
      <c r="P185" s="22" t="s">
        <v>399</v>
      </c>
      <c r="Q185" s="22">
        <v>100804306</v>
      </c>
      <c r="R185" s="22" t="s">
        <v>87</v>
      </c>
      <c r="S185" s="24">
        <v>1</v>
      </c>
      <c r="T185" s="20" t="s">
        <v>18</v>
      </c>
      <c r="U185" s="25" t="s">
        <v>399</v>
      </c>
      <c r="V185" s="20">
        <v>100804306</v>
      </c>
      <c r="W185" s="25" t="s">
        <v>912</v>
      </c>
      <c r="X185" s="20" t="s">
        <v>400</v>
      </c>
      <c r="Y185" s="20" t="s">
        <v>87</v>
      </c>
      <c r="Z185" s="20" t="s">
        <v>88</v>
      </c>
      <c r="AA185" s="15">
        <v>75.341388377072846</v>
      </c>
      <c r="AB185" s="15">
        <v>67.260000000000005</v>
      </c>
      <c r="AC185" s="15">
        <f t="shared" si="11"/>
        <v>67.260000000000005</v>
      </c>
      <c r="AD185" s="15">
        <f t="shared" si="12"/>
        <v>75.341388377072846</v>
      </c>
      <c r="AE185" s="15">
        <f t="shared" si="13"/>
        <v>-8.081388377072841</v>
      </c>
      <c r="AF185" s="16">
        <f t="shared" si="14"/>
        <v>-0.12015147750628666</v>
      </c>
      <c r="AG185" s="26" t="str">
        <f t="shared" si="15"/>
        <v>Negative</v>
      </c>
      <c r="AH185" s="20"/>
      <c r="AI185" s="20" t="s">
        <v>43</v>
      </c>
      <c r="AJ185" s="20">
        <v>3</v>
      </c>
      <c r="AK185" s="20"/>
    </row>
    <row r="186" spans="1:37" s="27" customFormat="1" ht="12.75" customHeight="1" x14ac:dyDescent="0.2">
      <c r="A186" s="22" t="s">
        <v>486</v>
      </c>
      <c r="B186" s="22" t="s">
        <v>556</v>
      </c>
      <c r="C186" s="23">
        <v>44518</v>
      </c>
      <c r="D186" s="22" t="s">
        <v>485</v>
      </c>
      <c r="E186" s="22" t="s">
        <v>484</v>
      </c>
      <c r="F186" s="22" t="s">
        <v>483</v>
      </c>
      <c r="G186" s="22" t="s">
        <v>482</v>
      </c>
      <c r="H186" s="22" t="s">
        <v>481</v>
      </c>
      <c r="I186" s="22" t="s">
        <v>480</v>
      </c>
      <c r="J186" s="22" t="s">
        <v>479</v>
      </c>
      <c r="K186" s="22" t="s">
        <v>478</v>
      </c>
      <c r="L186" s="22" t="s">
        <v>477</v>
      </c>
      <c r="M186" s="22" t="s">
        <v>476</v>
      </c>
      <c r="N186" s="22" t="s">
        <v>555</v>
      </c>
      <c r="O186" s="22" t="s">
        <v>18</v>
      </c>
      <c r="P186" s="22" t="s">
        <v>393</v>
      </c>
      <c r="Q186" s="22">
        <v>100792302</v>
      </c>
      <c r="R186" s="22" t="s">
        <v>87</v>
      </c>
      <c r="S186" s="24">
        <v>1</v>
      </c>
      <c r="T186" s="20" t="s">
        <v>18</v>
      </c>
      <c r="U186" s="25" t="s">
        <v>393</v>
      </c>
      <c r="V186" s="20">
        <v>100792302</v>
      </c>
      <c r="W186" s="25" t="s">
        <v>912</v>
      </c>
      <c r="X186" s="20" t="s">
        <v>394</v>
      </c>
      <c r="Y186" s="20" t="s">
        <v>87</v>
      </c>
      <c r="Z186" s="20" t="s">
        <v>88</v>
      </c>
      <c r="AA186" s="15">
        <v>21.865831880882425</v>
      </c>
      <c r="AB186" s="15">
        <v>20.41</v>
      </c>
      <c r="AC186" s="15">
        <f t="shared" si="11"/>
        <v>20.41</v>
      </c>
      <c r="AD186" s="15">
        <f t="shared" si="12"/>
        <v>21.865831880882425</v>
      </c>
      <c r="AE186" s="15">
        <f t="shared" si="13"/>
        <v>-1.4558318808824247</v>
      </c>
      <c r="AF186" s="16">
        <f t="shared" si="14"/>
        <v>-7.1329342522411784E-2</v>
      </c>
      <c r="AG186" s="26" t="str">
        <f t="shared" si="15"/>
        <v>Negative</v>
      </c>
      <c r="AH186" s="20"/>
      <c r="AI186" s="20" t="s">
        <v>42</v>
      </c>
      <c r="AJ186" s="20">
        <v>23</v>
      </c>
      <c r="AK186" s="20"/>
    </row>
    <row r="187" spans="1:37" s="27" customFormat="1" ht="12.75" customHeight="1" x14ac:dyDescent="0.2">
      <c r="A187" s="22" t="s">
        <v>486</v>
      </c>
      <c r="B187" s="22" t="s">
        <v>556</v>
      </c>
      <c r="C187" s="23">
        <v>44518</v>
      </c>
      <c r="D187" s="22" t="s">
        <v>485</v>
      </c>
      <c r="E187" s="22" t="s">
        <v>484</v>
      </c>
      <c r="F187" s="22" t="s">
        <v>483</v>
      </c>
      <c r="G187" s="22" t="s">
        <v>482</v>
      </c>
      <c r="H187" s="22" t="s">
        <v>481</v>
      </c>
      <c r="I187" s="22" t="s">
        <v>480</v>
      </c>
      <c r="J187" s="22" t="s">
        <v>479</v>
      </c>
      <c r="K187" s="22" t="s">
        <v>478</v>
      </c>
      <c r="L187" s="22" t="s">
        <v>477</v>
      </c>
      <c r="M187" s="22" t="s">
        <v>476</v>
      </c>
      <c r="N187" s="22" t="s">
        <v>555</v>
      </c>
      <c r="O187" s="22" t="s">
        <v>18</v>
      </c>
      <c r="P187" s="22" t="s">
        <v>395</v>
      </c>
      <c r="Q187" s="22">
        <v>100792328</v>
      </c>
      <c r="R187" s="22" t="s">
        <v>87</v>
      </c>
      <c r="S187" s="24">
        <v>1</v>
      </c>
      <c r="T187" s="20" t="s">
        <v>18</v>
      </c>
      <c r="U187" s="25" t="s">
        <v>395</v>
      </c>
      <c r="V187" s="20">
        <v>100792328</v>
      </c>
      <c r="W187" s="25" t="s">
        <v>912</v>
      </c>
      <c r="X187" s="20" t="s">
        <v>396</v>
      </c>
      <c r="Y187" s="20" t="s">
        <v>87</v>
      </c>
      <c r="Z187" s="20" t="s">
        <v>88</v>
      </c>
      <c r="AA187" s="15">
        <v>20.146067415730336</v>
      </c>
      <c r="AB187" s="15">
        <v>20.41</v>
      </c>
      <c r="AC187" s="15">
        <f t="shared" si="11"/>
        <v>20.41</v>
      </c>
      <c r="AD187" s="15">
        <f t="shared" si="12"/>
        <v>20.146067415730336</v>
      </c>
      <c r="AE187" s="15">
        <f t="shared" si="13"/>
        <v>0.26393258426966426</v>
      </c>
      <c r="AF187" s="16">
        <f t="shared" si="14"/>
        <v>1.2931532791262334E-2</v>
      </c>
      <c r="AG187" s="26" t="str">
        <f t="shared" si="15"/>
        <v>0-10%</v>
      </c>
      <c r="AH187" s="20"/>
      <c r="AI187" s="20" t="s">
        <v>43</v>
      </c>
      <c r="AJ187" s="20">
        <v>1</v>
      </c>
      <c r="AK187" s="20"/>
    </row>
    <row r="188" spans="1:37" s="27" customFormat="1" ht="12.75" customHeight="1" x14ac:dyDescent="0.2">
      <c r="A188" s="22" t="s">
        <v>833</v>
      </c>
      <c r="B188" s="22" t="s">
        <v>850</v>
      </c>
      <c r="C188" s="23">
        <v>44518</v>
      </c>
      <c r="D188" s="22"/>
      <c r="E188" s="22"/>
      <c r="F188" s="22" t="s">
        <v>832</v>
      </c>
      <c r="G188" s="22" t="s">
        <v>832</v>
      </c>
      <c r="H188" s="22" t="s">
        <v>831</v>
      </c>
      <c r="I188" s="22" t="s">
        <v>830</v>
      </c>
      <c r="J188" s="22" t="s">
        <v>829</v>
      </c>
      <c r="K188" s="22" t="s">
        <v>828</v>
      </c>
      <c r="L188" s="22" t="s">
        <v>827</v>
      </c>
      <c r="M188" s="22" t="s">
        <v>487</v>
      </c>
      <c r="N188" s="22" t="s">
        <v>849</v>
      </c>
      <c r="O188" s="22" t="s">
        <v>27</v>
      </c>
      <c r="P188" s="22" t="s">
        <v>131</v>
      </c>
      <c r="Q188" s="22">
        <v>100936015</v>
      </c>
      <c r="R188" s="22" t="s">
        <v>87</v>
      </c>
      <c r="S188" s="24">
        <v>2</v>
      </c>
      <c r="T188" s="20" t="s">
        <v>27</v>
      </c>
      <c r="U188" s="25" t="s">
        <v>131</v>
      </c>
      <c r="V188" s="20">
        <v>100936015</v>
      </c>
      <c r="W188" s="25" t="s">
        <v>911</v>
      </c>
      <c r="X188" s="20" t="s">
        <v>132</v>
      </c>
      <c r="Y188" s="20" t="s">
        <v>87</v>
      </c>
      <c r="Z188" s="20" t="s">
        <v>88</v>
      </c>
      <c r="AA188" s="15">
        <v>29.72</v>
      </c>
      <c r="AB188" s="15">
        <v>53.232432819777856</v>
      </c>
      <c r="AC188" s="15">
        <f t="shared" si="11"/>
        <v>106.46486563955571</v>
      </c>
      <c r="AD188" s="15">
        <f t="shared" si="12"/>
        <v>59.44</v>
      </c>
      <c r="AE188" s="15">
        <f t="shared" si="13"/>
        <v>47.024865639555713</v>
      </c>
      <c r="AF188" s="16">
        <f t="shared" si="14"/>
        <v>0.44169374898533853</v>
      </c>
      <c r="AG188" s="26" t="str">
        <f t="shared" si="15"/>
        <v>30+%</v>
      </c>
      <c r="AH188" s="20"/>
      <c r="AI188" s="20" t="s">
        <v>42</v>
      </c>
      <c r="AJ188" s="20">
        <v>39</v>
      </c>
      <c r="AK188" s="20"/>
    </row>
    <row r="189" spans="1:37" s="27" customFormat="1" ht="12.75" customHeight="1" x14ac:dyDescent="0.2">
      <c r="A189" s="22" t="s">
        <v>486</v>
      </c>
      <c r="B189" s="22" t="s">
        <v>554</v>
      </c>
      <c r="C189" s="23">
        <v>44522</v>
      </c>
      <c r="D189" s="22" t="s">
        <v>485</v>
      </c>
      <c r="E189" s="22" t="s">
        <v>484</v>
      </c>
      <c r="F189" s="22" t="s">
        <v>483</v>
      </c>
      <c r="G189" s="22" t="s">
        <v>482</v>
      </c>
      <c r="H189" s="22" t="s">
        <v>481</v>
      </c>
      <c r="I189" s="22" t="s">
        <v>480</v>
      </c>
      <c r="J189" s="22" t="s">
        <v>479</v>
      </c>
      <c r="K189" s="22" t="s">
        <v>478</v>
      </c>
      <c r="L189" s="22" t="s">
        <v>477</v>
      </c>
      <c r="M189" s="22" t="s">
        <v>255</v>
      </c>
      <c r="N189" s="22" t="s">
        <v>553</v>
      </c>
      <c r="O189" s="22" t="s">
        <v>401</v>
      </c>
      <c r="P189" s="22" t="s">
        <v>402</v>
      </c>
      <c r="Q189" s="22">
        <v>114536682</v>
      </c>
      <c r="R189" s="22" t="s">
        <v>234</v>
      </c>
      <c r="S189" s="24">
        <v>420</v>
      </c>
      <c r="T189" s="20" t="s">
        <v>401</v>
      </c>
      <c r="U189" s="25" t="s">
        <v>402</v>
      </c>
      <c r="V189" s="20">
        <v>114536682</v>
      </c>
      <c r="W189" s="25" t="s">
        <v>915</v>
      </c>
      <c r="X189" s="20" t="s">
        <v>403</v>
      </c>
      <c r="Y189" s="20" t="s">
        <v>234</v>
      </c>
      <c r="Z189" s="20" t="s">
        <v>97</v>
      </c>
      <c r="AA189" s="15">
        <v>3.27</v>
      </c>
      <c r="AB189" s="15">
        <v>3.54</v>
      </c>
      <c r="AC189" s="15">
        <f t="shared" si="11"/>
        <v>1486.8</v>
      </c>
      <c r="AD189" s="15">
        <f t="shared" si="12"/>
        <v>1373.4</v>
      </c>
      <c r="AE189" s="15">
        <f t="shared" si="13"/>
        <v>113.39999999999986</v>
      </c>
      <c r="AF189" s="16">
        <f t="shared" si="14"/>
        <v>7.6271186440677874E-2</v>
      </c>
      <c r="AG189" s="26" t="str">
        <f t="shared" si="15"/>
        <v>0-10%</v>
      </c>
      <c r="AH189" s="20"/>
      <c r="AI189" s="20" t="s">
        <v>43</v>
      </c>
      <c r="AJ189" s="20">
        <v>0</v>
      </c>
      <c r="AK189" s="20"/>
    </row>
    <row r="190" spans="1:37" s="27" customFormat="1" ht="12.75" customHeight="1" x14ac:dyDescent="0.2">
      <c r="A190" s="22" t="s">
        <v>486</v>
      </c>
      <c r="B190" s="22" t="s">
        <v>552</v>
      </c>
      <c r="C190" s="23">
        <v>44531</v>
      </c>
      <c r="D190" s="22" t="s">
        <v>485</v>
      </c>
      <c r="E190" s="22" t="s">
        <v>484</v>
      </c>
      <c r="F190" s="22" t="s">
        <v>483</v>
      </c>
      <c r="G190" s="22" t="s">
        <v>482</v>
      </c>
      <c r="H190" s="22" t="s">
        <v>481</v>
      </c>
      <c r="I190" s="22" t="s">
        <v>480</v>
      </c>
      <c r="J190" s="22" t="s">
        <v>479</v>
      </c>
      <c r="K190" s="22" t="s">
        <v>478</v>
      </c>
      <c r="L190" s="22" t="s">
        <v>477</v>
      </c>
      <c r="M190" s="22" t="s">
        <v>551</v>
      </c>
      <c r="N190" s="22" t="s">
        <v>547</v>
      </c>
      <c r="O190" s="22" t="s">
        <v>18</v>
      </c>
      <c r="P190" s="22" t="s">
        <v>406</v>
      </c>
      <c r="Q190" s="22">
        <v>100804179</v>
      </c>
      <c r="R190" s="22" t="s">
        <v>87</v>
      </c>
      <c r="S190" s="24">
        <v>1</v>
      </c>
      <c r="T190" s="20" t="s">
        <v>18</v>
      </c>
      <c r="U190" s="25" t="s">
        <v>406</v>
      </c>
      <c r="V190" s="20">
        <v>100804179</v>
      </c>
      <c r="W190" s="25" t="s">
        <v>912</v>
      </c>
      <c r="X190" s="20" t="s">
        <v>407</v>
      </c>
      <c r="Y190" s="20" t="s">
        <v>87</v>
      </c>
      <c r="Z190" s="20" t="s">
        <v>88</v>
      </c>
      <c r="AA190" s="15">
        <v>32.231796539792384</v>
      </c>
      <c r="AB190" s="15">
        <v>28.77</v>
      </c>
      <c r="AC190" s="15">
        <f t="shared" si="11"/>
        <v>28.77</v>
      </c>
      <c r="AD190" s="15">
        <f t="shared" si="12"/>
        <v>32.231796539792384</v>
      </c>
      <c r="AE190" s="15">
        <f t="shared" si="13"/>
        <v>-3.4617965397923847</v>
      </c>
      <c r="AF190" s="16">
        <f t="shared" si="14"/>
        <v>-0.12032660896045828</v>
      </c>
      <c r="AG190" s="26" t="str">
        <f t="shared" si="15"/>
        <v>Negative</v>
      </c>
      <c r="AH190" s="20"/>
      <c r="AI190" s="20" t="s">
        <v>43</v>
      </c>
      <c r="AJ190" s="20">
        <v>9</v>
      </c>
      <c r="AK190" s="20"/>
    </row>
    <row r="191" spans="1:37" s="27" customFormat="1" ht="12.75" customHeight="1" x14ac:dyDescent="0.2">
      <c r="A191" s="22" t="s">
        <v>486</v>
      </c>
      <c r="B191" s="22" t="s">
        <v>552</v>
      </c>
      <c r="C191" s="23">
        <v>44531</v>
      </c>
      <c r="D191" s="22" t="s">
        <v>485</v>
      </c>
      <c r="E191" s="22" t="s">
        <v>484</v>
      </c>
      <c r="F191" s="22" t="s">
        <v>483</v>
      </c>
      <c r="G191" s="22" t="s">
        <v>482</v>
      </c>
      <c r="H191" s="22" t="s">
        <v>481</v>
      </c>
      <c r="I191" s="22" t="s">
        <v>480</v>
      </c>
      <c r="J191" s="22" t="s">
        <v>479</v>
      </c>
      <c r="K191" s="22" t="s">
        <v>478</v>
      </c>
      <c r="L191" s="22" t="s">
        <v>477</v>
      </c>
      <c r="M191" s="22" t="s">
        <v>487</v>
      </c>
      <c r="N191" s="22" t="s">
        <v>547</v>
      </c>
      <c r="O191" s="22" t="s">
        <v>22</v>
      </c>
      <c r="P191" s="22" t="s">
        <v>404</v>
      </c>
      <c r="Q191" s="22">
        <v>100791735</v>
      </c>
      <c r="R191" s="22" t="s">
        <v>87</v>
      </c>
      <c r="S191" s="24">
        <v>1</v>
      </c>
      <c r="T191" s="20" t="s">
        <v>22</v>
      </c>
      <c r="U191" s="25" t="s">
        <v>404</v>
      </c>
      <c r="V191" s="20">
        <v>100791735</v>
      </c>
      <c r="W191" s="25" t="s">
        <v>912</v>
      </c>
      <c r="X191" s="20" t="s">
        <v>405</v>
      </c>
      <c r="Y191" s="20" t="s">
        <v>87</v>
      </c>
      <c r="Z191" s="20" t="s">
        <v>88</v>
      </c>
      <c r="AA191" s="15">
        <v>12.24</v>
      </c>
      <c r="AB191" s="15">
        <v>12.25</v>
      </c>
      <c r="AC191" s="15">
        <f t="shared" si="11"/>
        <v>12.25</v>
      </c>
      <c r="AD191" s="15">
        <f t="shared" si="12"/>
        <v>12.24</v>
      </c>
      <c r="AE191" s="15">
        <f t="shared" si="13"/>
        <v>9.9999999999997868E-3</v>
      </c>
      <c r="AF191" s="16">
        <f t="shared" si="14"/>
        <v>8.1632653061222747E-4</v>
      </c>
      <c r="AG191" s="26" t="str">
        <f t="shared" si="15"/>
        <v>0-10%</v>
      </c>
      <c r="AH191" s="20"/>
      <c r="AI191" s="20" t="s">
        <v>42</v>
      </c>
      <c r="AJ191" s="20">
        <v>9</v>
      </c>
      <c r="AK191" s="20"/>
    </row>
    <row r="192" spans="1:37" s="27" customFormat="1" ht="12.75" customHeight="1" x14ac:dyDescent="0.2">
      <c r="A192" s="22" t="s">
        <v>486</v>
      </c>
      <c r="B192" s="22" t="s">
        <v>550</v>
      </c>
      <c r="C192" s="23">
        <v>44532</v>
      </c>
      <c r="D192" s="22" t="s">
        <v>485</v>
      </c>
      <c r="E192" s="22" t="s">
        <v>484</v>
      </c>
      <c r="F192" s="22" t="s">
        <v>483</v>
      </c>
      <c r="G192" s="22" t="s">
        <v>492</v>
      </c>
      <c r="H192" s="22" t="s">
        <v>481</v>
      </c>
      <c r="I192" s="22" t="s">
        <v>491</v>
      </c>
      <c r="J192" s="22" t="s">
        <v>490</v>
      </c>
      <c r="K192" s="22" t="s">
        <v>478</v>
      </c>
      <c r="L192" s="22" t="s">
        <v>489</v>
      </c>
      <c r="M192" s="22" t="s">
        <v>487</v>
      </c>
      <c r="N192" s="22" t="s">
        <v>549</v>
      </c>
      <c r="O192" s="22" t="s">
        <v>20</v>
      </c>
      <c r="P192" s="22" t="s">
        <v>408</v>
      </c>
      <c r="Q192" s="22">
        <v>101660286</v>
      </c>
      <c r="R192" s="22" t="s">
        <v>87</v>
      </c>
      <c r="S192" s="24">
        <v>1</v>
      </c>
      <c r="T192" s="20" t="s">
        <v>20</v>
      </c>
      <c r="U192" s="25" t="s">
        <v>408</v>
      </c>
      <c r="V192" s="20">
        <v>101660286</v>
      </c>
      <c r="W192" s="25" t="s">
        <v>913</v>
      </c>
      <c r="X192" s="20" t="s">
        <v>409</v>
      </c>
      <c r="Y192" s="20" t="s">
        <v>87</v>
      </c>
      <c r="Z192" s="20" t="s">
        <v>88</v>
      </c>
      <c r="AA192" s="15">
        <v>119.44</v>
      </c>
      <c r="AB192" s="15">
        <v>149.19999999999999</v>
      </c>
      <c r="AC192" s="15">
        <f t="shared" si="11"/>
        <v>149.19999999999999</v>
      </c>
      <c r="AD192" s="15">
        <f t="shared" si="12"/>
        <v>119.44</v>
      </c>
      <c r="AE192" s="15">
        <f t="shared" si="13"/>
        <v>29.759999999999991</v>
      </c>
      <c r="AF192" s="16">
        <f t="shared" si="14"/>
        <v>0.19946380697050933</v>
      </c>
      <c r="AG192" s="26" t="str">
        <f t="shared" si="15"/>
        <v>10-20%</v>
      </c>
      <c r="AH192" s="20"/>
      <c r="AI192" s="20" t="s">
        <v>43</v>
      </c>
      <c r="AJ192" s="20">
        <v>0</v>
      </c>
      <c r="AK192" s="20"/>
    </row>
    <row r="193" spans="1:37" s="27" customFormat="1" ht="12.75" customHeight="1" x14ac:dyDescent="0.2">
      <c r="A193" s="22" t="s">
        <v>833</v>
      </c>
      <c r="B193" s="22" t="s">
        <v>848</v>
      </c>
      <c r="C193" s="23">
        <v>44533</v>
      </c>
      <c r="D193" s="22"/>
      <c r="E193" s="22"/>
      <c r="F193" s="22" t="s">
        <v>832</v>
      </c>
      <c r="G193" s="22" t="s">
        <v>832</v>
      </c>
      <c r="H193" s="22" t="s">
        <v>831</v>
      </c>
      <c r="I193" s="22" t="s">
        <v>830</v>
      </c>
      <c r="J193" s="22" t="s">
        <v>829</v>
      </c>
      <c r="K193" s="22" t="s">
        <v>828</v>
      </c>
      <c r="L193" s="22" t="s">
        <v>827</v>
      </c>
      <c r="M193" s="22" t="s">
        <v>487</v>
      </c>
      <c r="N193" s="22" t="s">
        <v>847</v>
      </c>
      <c r="O193" s="22" t="s">
        <v>71</v>
      </c>
      <c r="P193" s="22" t="s">
        <v>133</v>
      </c>
      <c r="Q193" s="22">
        <v>118862243</v>
      </c>
      <c r="R193" s="22" t="s">
        <v>87</v>
      </c>
      <c r="S193" s="24">
        <v>2</v>
      </c>
      <c r="T193" s="20" t="s">
        <v>71</v>
      </c>
      <c r="U193" s="25" t="s">
        <v>133</v>
      </c>
      <c r="V193" s="20">
        <v>118862243</v>
      </c>
      <c r="W193" s="25" t="s">
        <v>919</v>
      </c>
      <c r="X193" s="20" t="s">
        <v>134</v>
      </c>
      <c r="Y193" s="20" t="s">
        <v>87</v>
      </c>
      <c r="Z193" s="20" t="s">
        <v>97</v>
      </c>
      <c r="AA193" s="15">
        <v>114.24</v>
      </c>
      <c r="AB193" s="15">
        <v>147.33000000000001</v>
      </c>
      <c r="AC193" s="15">
        <f t="shared" si="11"/>
        <v>294.66000000000003</v>
      </c>
      <c r="AD193" s="15">
        <f t="shared" si="12"/>
        <v>228.48</v>
      </c>
      <c r="AE193" s="15">
        <f t="shared" si="13"/>
        <v>66.180000000000035</v>
      </c>
      <c r="AF193" s="16">
        <f t="shared" si="14"/>
        <v>0.22459784158012636</v>
      </c>
      <c r="AG193" s="26" t="str">
        <f t="shared" si="15"/>
        <v>20-30%</v>
      </c>
      <c r="AH193" s="20"/>
      <c r="AI193" s="20" t="s">
        <v>43</v>
      </c>
      <c r="AJ193" s="20">
        <v>0</v>
      </c>
      <c r="AK193" s="20"/>
    </row>
    <row r="194" spans="1:37" s="27" customFormat="1" ht="12.75" customHeight="1" x14ac:dyDescent="0.2">
      <c r="A194" s="22" t="s">
        <v>486</v>
      </c>
      <c r="B194" s="22" t="s">
        <v>548</v>
      </c>
      <c r="C194" s="23">
        <v>44534</v>
      </c>
      <c r="D194" s="22" t="s">
        <v>485</v>
      </c>
      <c r="E194" s="22" t="s">
        <v>484</v>
      </c>
      <c r="F194" s="22" t="s">
        <v>483</v>
      </c>
      <c r="G194" s="22" t="s">
        <v>482</v>
      </c>
      <c r="H194" s="22" t="s">
        <v>481</v>
      </c>
      <c r="I194" s="22" t="s">
        <v>480</v>
      </c>
      <c r="J194" s="22" t="s">
        <v>479</v>
      </c>
      <c r="K194" s="22" t="s">
        <v>478</v>
      </c>
      <c r="L194" s="22" t="s">
        <v>477</v>
      </c>
      <c r="M194" s="22" t="s">
        <v>487</v>
      </c>
      <c r="N194" s="22" t="s">
        <v>547</v>
      </c>
      <c r="O194" s="22" t="s">
        <v>18</v>
      </c>
      <c r="P194" s="22" t="s">
        <v>410</v>
      </c>
      <c r="Q194" s="22">
        <v>100804230</v>
      </c>
      <c r="R194" s="22" t="s">
        <v>87</v>
      </c>
      <c r="S194" s="24">
        <v>1</v>
      </c>
      <c r="T194" s="20" t="s">
        <v>18</v>
      </c>
      <c r="U194" s="25" t="s">
        <v>410</v>
      </c>
      <c r="V194" s="20">
        <v>100804230</v>
      </c>
      <c r="W194" s="25" t="s">
        <v>912</v>
      </c>
      <c r="X194" s="20" t="s">
        <v>411</v>
      </c>
      <c r="Y194" s="20" t="s">
        <v>87</v>
      </c>
      <c r="Z194" s="20" t="s">
        <v>88</v>
      </c>
      <c r="AA194" s="15">
        <v>36.560812988039935</v>
      </c>
      <c r="AB194" s="15">
        <v>32.630000000000003</v>
      </c>
      <c r="AC194" s="15">
        <f t="shared" si="11"/>
        <v>32.630000000000003</v>
      </c>
      <c r="AD194" s="15">
        <f t="shared" si="12"/>
        <v>36.560812988039935</v>
      </c>
      <c r="AE194" s="15">
        <f t="shared" si="13"/>
        <v>-3.9308129880399321</v>
      </c>
      <c r="AF194" s="16">
        <f t="shared" si="14"/>
        <v>-0.12046622703156395</v>
      </c>
      <c r="AG194" s="26" t="str">
        <f t="shared" si="15"/>
        <v>Negative</v>
      </c>
      <c r="AH194" s="20"/>
      <c r="AI194" s="20" t="s">
        <v>43</v>
      </c>
      <c r="AJ194" s="20">
        <v>3</v>
      </c>
      <c r="AK194" s="20"/>
    </row>
    <row r="195" spans="1:37" s="27" customFormat="1" ht="12.75" customHeight="1" x14ac:dyDescent="0.2">
      <c r="A195" s="22" t="s">
        <v>486</v>
      </c>
      <c r="B195" s="22" t="s">
        <v>548</v>
      </c>
      <c r="C195" s="23">
        <v>44534</v>
      </c>
      <c r="D195" s="22" t="s">
        <v>485</v>
      </c>
      <c r="E195" s="22" t="s">
        <v>484</v>
      </c>
      <c r="F195" s="22" t="s">
        <v>483</v>
      </c>
      <c r="G195" s="22" t="s">
        <v>482</v>
      </c>
      <c r="H195" s="22" t="s">
        <v>481</v>
      </c>
      <c r="I195" s="22" t="s">
        <v>480</v>
      </c>
      <c r="J195" s="22" t="s">
        <v>479</v>
      </c>
      <c r="K195" s="22" t="s">
        <v>478</v>
      </c>
      <c r="L195" s="22" t="s">
        <v>477</v>
      </c>
      <c r="M195" s="22" t="s">
        <v>487</v>
      </c>
      <c r="N195" s="22" t="s">
        <v>547</v>
      </c>
      <c r="O195" s="22" t="s">
        <v>18</v>
      </c>
      <c r="P195" s="22" t="s">
        <v>412</v>
      </c>
      <c r="Q195" s="22">
        <v>100000960</v>
      </c>
      <c r="R195" s="22" t="s">
        <v>87</v>
      </c>
      <c r="S195" s="24">
        <v>1</v>
      </c>
      <c r="T195" s="20" t="s">
        <v>18</v>
      </c>
      <c r="U195" s="25" t="s">
        <v>412</v>
      </c>
      <c r="V195" s="20">
        <v>100000960</v>
      </c>
      <c r="W195" s="25" t="s">
        <v>912</v>
      </c>
      <c r="X195" s="20" t="s">
        <v>413</v>
      </c>
      <c r="Y195" s="20" t="s">
        <v>87</v>
      </c>
      <c r="Z195" s="20" t="s">
        <v>88</v>
      </c>
      <c r="AA195" s="15">
        <v>12.52439024390244</v>
      </c>
      <c r="AB195" s="15">
        <v>11.69</v>
      </c>
      <c r="AC195" s="15">
        <f t="shared" ref="AC195:AC258" si="16">AB195*S195</f>
        <v>11.69</v>
      </c>
      <c r="AD195" s="15">
        <f t="shared" ref="AD195:AD258" si="17">AA195*S195</f>
        <v>12.52439024390244</v>
      </c>
      <c r="AE195" s="15">
        <f t="shared" ref="AE195:AE258" si="18">AC195-AD195</f>
        <v>-0.83439024390244043</v>
      </c>
      <c r="AF195" s="16">
        <f t="shared" ref="AF195:AF258" si="19">AE195/AC195</f>
        <v>-7.1376410941183951E-2</v>
      </c>
      <c r="AG195" s="26" t="str">
        <f t="shared" ref="AG195:AG258" si="20">IF(AF195&lt;0,"Negative",IF(AF195=0,"Same",IF(AF195&gt;0.3,"30+%",IF(AF195&gt;0.2,"20-30%",IF(AF195&gt;0.1,"10-20%",IF(AF195&lt;=0.1,"0-10%"))))))</f>
        <v>Negative</v>
      </c>
      <c r="AH195" s="20"/>
      <c r="AI195" s="20" t="s">
        <v>42</v>
      </c>
      <c r="AJ195" s="20">
        <v>15</v>
      </c>
      <c r="AK195" s="20"/>
    </row>
    <row r="196" spans="1:37" s="27" customFormat="1" ht="12.75" customHeight="1" x14ac:dyDescent="0.2">
      <c r="A196" s="22" t="s">
        <v>486</v>
      </c>
      <c r="B196" s="22" t="s">
        <v>546</v>
      </c>
      <c r="C196" s="23">
        <v>44534</v>
      </c>
      <c r="D196" s="22" t="s">
        <v>485</v>
      </c>
      <c r="E196" s="22" t="s">
        <v>484</v>
      </c>
      <c r="F196" s="22" t="s">
        <v>483</v>
      </c>
      <c r="G196" s="22" t="s">
        <v>482</v>
      </c>
      <c r="H196" s="22" t="s">
        <v>481</v>
      </c>
      <c r="I196" s="22" t="s">
        <v>480</v>
      </c>
      <c r="J196" s="22" t="s">
        <v>479</v>
      </c>
      <c r="K196" s="22" t="s">
        <v>478</v>
      </c>
      <c r="L196" s="22" t="s">
        <v>477</v>
      </c>
      <c r="M196" s="22" t="s">
        <v>487</v>
      </c>
      <c r="N196" s="22" t="s">
        <v>545</v>
      </c>
      <c r="O196" s="22" t="s">
        <v>79</v>
      </c>
      <c r="P196" s="22" t="s">
        <v>414</v>
      </c>
      <c r="Q196" s="22">
        <v>113324654</v>
      </c>
      <c r="R196" s="22" t="s">
        <v>87</v>
      </c>
      <c r="S196" s="24">
        <v>1</v>
      </c>
      <c r="T196" s="20" t="s">
        <v>79</v>
      </c>
      <c r="U196" s="25" t="s">
        <v>414</v>
      </c>
      <c r="V196" s="20">
        <v>113324654</v>
      </c>
      <c r="W196" s="25" t="s">
        <v>912</v>
      </c>
      <c r="X196" s="20" t="s">
        <v>415</v>
      </c>
      <c r="Y196" s="20" t="s">
        <v>87</v>
      </c>
      <c r="Z196" s="20" t="s">
        <v>97</v>
      </c>
      <c r="AA196" s="15">
        <v>445.29</v>
      </c>
      <c r="AB196" s="15">
        <v>435.81</v>
      </c>
      <c r="AC196" s="15">
        <f t="shared" si="16"/>
        <v>435.81</v>
      </c>
      <c r="AD196" s="15">
        <f t="shared" si="17"/>
        <v>445.29</v>
      </c>
      <c r="AE196" s="15">
        <f t="shared" si="18"/>
        <v>-9.4800000000000182</v>
      </c>
      <c r="AF196" s="16">
        <f t="shared" si="19"/>
        <v>-2.1752598609485828E-2</v>
      </c>
      <c r="AG196" s="26" t="str">
        <f t="shared" si="20"/>
        <v>Negative</v>
      </c>
      <c r="AH196" s="20"/>
      <c r="AI196" s="20" t="s">
        <v>43</v>
      </c>
      <c r="AJ196" s="20">
        <v>0</v>
      </c>
      <c r="AK196" s="20"/>
    </row>
    <row r="197" spans="1:37" s="27" customFormat="1" ht="12.75" customHeight="1" x14ac:dyDescent="0.2">
      <c r="A197" s="22" t="s">
        <v>705</v>
      </c>
      <c r="B197" s="22" t="s">
        <v>743</v>
      </c>
      <c r="C197" s="23">
        <v>44536</v>
      </c>
      <c r="D197" s="22" t="s">
        <v>485</v>
      </c>
      <c r="E197" s="22" t="s">
        <v>484</v>
      </c>
      <c r="F197" s="22" t="s">
        <v>483</v>
      </c>
      <c r="G197" s="22" t="s">
        <v>704</v>
      </c>
      <c r="H197" s="22" t="s">
        <v>703</v>
      </c>
      <c r="I197" s="22" t="s">
        <v>702</v>
      </c>
      <c r="J197" s="22" t="s">
        <v>701</v>
      </c>
      <c r="K197" s="22" t="s">
        <v>700</v>
      </c>
      <c r="L197" s="22" t="s">
        <v>699</v>
      </c>
      <c r="M197" s="22" t="s">
        <v>716</v>
      </c>
      <c r="N197" s="22" t="s">
        <v>742</v>
      </c>
      <c r="O197" s="22" t="s">
        <v>16</v>
      </c>
      <c r="P197" s="22" t="s">
        <v>174</v>
      </c>
      <c r="Q197" s="22">
        <v>103674709</v>
      </c>
      <c r="R197" s="22" t="s">
        <v>87</v>
      </c>
      <c r="S197" s="24">
        <v>2</v>
      </c>
      <c r="T197" s="20" t="s">
        <v>16</v>
      </c>
      <c r="U197" s="25" t="s">
        <v>174</v>
      </c>
      <c r="V197" s="20">
        <v>103674709</v>
      </c>
      <c r="W197" s="25" t="s">
        <v>913</v>
      </c>
      <c r="X197" s="20" t="s">
        <v>175</v>
      </c>
      <c r="Y197" s="20" t="s">
        <v>87</v>
      </c>
      <c r="Z197" s="20" t="s">
        <v>88</v>
      </c>
      <c r="AA197" s="15">
        <v>378.88679245283015</v>
      </c>
      <c r="AB197" s="15">
        <v>404.06666666666666</v>
      </c>
      <c r="AC197" s="15">
        <f t="shared" si="16"/>
        <v>808.13333333333333</v>
      </c>
      <c r="AD197" s="15">
        <f t="shared" si="17"/>
        <v>757.7735849056603</v>
      </c>
      <c r="AE197" s="15">
        <f t="shared" si="18"/>
        <v>50.359748427673026</v>
      </c>
      <c r="AF197" s="16">
        <f t="shared" si="19"/>
        <v>6.2316138130266902E-2</v>
      </c>
      <c r="AG197" s="26" t="str">
        <f t="shared" si="20"/>
        <v>0-10%</v>
      </c>
      <c r="AH197" s="20" t="s">
        <v>921</v>
      </c>
      <c r="AI197" s="20" t="s">
        <v>43</v>
      </c>
      <c r="AJ197" s="20">
        <v>0</v>
      </c>
      <c r="AK197" s="20"/>
    </row>
    <row r="198" spans="1:37" s="27" customFormat="1" ht="12.75" customHeight="1" x14ac:dyDescent="0.2">
      <c r="A198" s="22" t="s">
        <v>833</v>
      </c>
      <c r="B198" s="22" t="s">
        <v>846</v>
      </c>
      <c r="C198" s="23">
        <v>44550</v>
      </c>
      <c r="D198" s="22"/>
      <c r="E198" s="22"/>
      <c r="F198" s="22" t="s">
        <v>832</v>
      </c>
      <c r="G198" s="22" t="s">
        <v>832</v>
      </c>
      <c r="H198" s="22" t="s">
        <v>831</v>
      </c>
      <c r="I198" s="22" t="s">
        <v>830</v>
      </c>
      <c r="J198" s="22" t="s">
        <v>829</v>
      </c>
      <c r="K198" s="22" t="s">
        <v>828</v>
      </c>
      <c r="L198" s="22" t="s">
        <v>827</v>
      </c>
      <c r="M198" s="22" t="s">
        <v>487</v>
      </c>
      <c r="N198" s="22" t="s">
        <v>845</v>
      </c>
      <c r="O198" s="22" t="s">
        <v>77</v>
      </c>
      <c r="P198" s="22" t="s">
        <v>135</v>
      </c>
      <c r="Q198" s="22">
        <v>118861533</v>
      </c>
      <c r="R198" s="22" t="s">
        <v>87</v>
      </c>
      <c r="S198" s="24">
        <v>1</v>
      </c>
      <c r="T198" s="20" t="s">
        <v>77</v>
      </c>
      <c r="U198" s="25" t="s">
        <v>135</v>
      </c>
      <c r="V198" s="20">
        <v>118861533</v>
      </c>
      <c r="W198" s="25" t="s">
        <v>916</v>
      </c>
      <c r="X198" s="20" t="s">
        <v>136</v>
      </c>
      <c r="Y198" s="20" t="s">
        <v>87</v>
      </c>
      <c r="Z198" s="20" t="s">
        <v>97</v>
      </c>
      <c r="AA198" s="15">
        <v>1442.9165744454033</v>
      </c>
      <c r="AB198" s="15">
        <v>1405.65</v>
      </c>
      <c r="AC198" s="15">
        <f t="shared" si="16"/>
        <v>1405.65</v>
      </c>
      <c r="AD198" s="15">
        <f t="shared" si="17"/>
        <v>1442.9165744454033</v>
      </c>
      <c r="AE198" s="15">
        <f t="shared" si="18"/>
        <v>-37.266574445403194</v>
      </c>
      <c r="AF198" s="16">
        <f t="shared" si="19"/>
        <v>-2.6511986942270971E-2</v>
      </c>
      <c r="AG198" s="26" t="str">
        <f t="shared" si="20"/>
        <v>Negative</v>
      </c>
      <c r="AH198" s="20"/>
      <c r="AI198" s="20" t="s">
        <v>43</v>
      </c>
      <c r="AJ198" s="20">
        <v>0</v>
      </c>
      <c r="AK198" s="20"/>
    </row>
    <row r="199" spans="1:37" s="27" customFormat="1" ht="12.75" customHeight="1" x14ac:dyDescent="0.2">
      <c r="A199" s="22" t="s">
        <v>486</v>
      </c>
      <c r="B199" s="22" t="s">
        <v>544</v>
      </c>
      <c r="C199" s="23">
        <v>44550</v>
      </c>
      <c r="D199" s="22" t="s">
        <v>485</v>
      </c>
      <c r="E199" s="22" t="s">
        <v>484</v>
      </c>
      <c r="F199" s="22" t="s">
        <v>483</v>
      </c>
      <c r="G199" s="22" t="s">
        <v>482</v>
      </c>
      <c r="H199" s="22" t="s">
        <v>481</v>
      </c>
      <c r="I199" s="22" t="s">
        <v>480</v>
      </c>
      <c r="J199" s="22" t="s">
        <v>479</v>
      </c>
      <c r="K199" s="22" t="s">
        <v>478</v>
      </c>
      <c r="L199" s="22" t="s">
        <v>477</v>
      </c>
      <c r="M199" s="22" t="s">
        <v>487</v>
      </c>
      <c r="N199" s="22" t="s">
        <v>543</v>
      </c>
      <c r="O199" s="22" t="s">
        <v>70</v>
      </c>
      <c r="P199" s="22" t="s">
        <v>384</v>
      </c>
      <c r="Q199" s="22">
        <v>118755612</v>
      </c>
      <c r="R199" s="22" t="s">
        <v>87</v>
      </c>
      <c r="S199" s="24">
        <v>1</v>
      </c>
      <c r="T199" s="20" t="s">
        <v>70</v>
      </c>
      <c r="U199" s="25" t="s">
        <v>384</v>
      </c>
      <c r="V199" s="20">
        <v>118755612</v>
      </c>
      <c r="W199" s="25" t="s">
        <v>916</v>
      </c>
      <c r="X199" s="20" t="s">
        <v>385</v>
      </c>
      <c r="Y199" s="20" t="s">
        <v>87</v>
      </c>
      <c r="Z199" s="20" t="s">
        <v>97</v>
      </c>
      <c r="AA199" s="15">
        <v>63.439596313733354</v>
      </c>
      <c r="AB199" s="15">
        <v>57.68</v>
      </c>
      <c r="AC199" s="15">
        <f t="shared" si="16"/>
        <v>57.68</v>
      </c>
      <c r="AD199" s="15">
        <f t="shared" si="17"/>
        <v>63.439596313733354</v>
      </c>
      <c r="AE199" s="15">
        <f t="shared" si="18"/>
        <v>-5.7595963137333541</v>
      </c>
      <c r="AF199" s="16">
        <f t="shared" si="19"/>
        <v>-9.9854305023116402E-2</v>
      </c>
      <c r="AG199" s="26" t="str">
        <f t="shared" si="20"/>
        <v>Negative</v>
      </c>
      <c r="AH199" s="20"/>
      <c r="AI199" s="20" t="s">
        <v>43</v>
      </c>
      <c r="AJ199" s="20">
        <v>0</v>
      </c>
      <c r="AK199" s="20"/>
    </row>
    <row r="200" spans="1:37" s="27" customFormat="1" ht="12.75" customHeight="1" x14ac:dyDescent="0.2">
      <c r="A200" s="22" t="s">
        <v>486</v>
      </c>
      <c r="B200" s="22" t="s">
        <v>542</v>
      </c>
      <c r="C200" s="23">
        <v>44557</v>
      </c>
      <c r="D200" s="22" t="s">
        <v>485</v>
      </c>
      <c r="E200" s="22" t="s">
        <v>484</v>
      </c>
      <c r="F200" s="22" t="s">
        <v>483</v>
      </c>
      <c r="G200" s="22" t="s">
        <v>482</v>
      </c>
      <c r="H200" s="22" t="s">
        <v>481</v>
      </c>
      <c r="I200" s="22" t="s">
        <v>480</v>
      </c>
      <c r="J200" s="22" t="s">
        <v>479</v>
      </c>
      <c r="K200" s="22" t="s">
        <v>478</v>
      </c>
      <c r="L200" s="22" t="s">
        <v>477</v>
      </c>
      <c r="M200" s="22" t="s">
        <v>487</v>
      </c>
      <c r="N200" s="22" t="s">
        <v>538</v>
      </c>
      <c r="O200" s="22" t="s">
        <v>7</v>
      </c>
      <c r="P200" s="22" t="s">
        <v>416</v>
      </c>
      <c r="Q200" s="22">
        <v>100800568</v>
      </c>
      <c r="R200" s="22" t="s">
        <v>234</v>
      </c>
      <c r="S200" s="24">
        <v>10</v>
      </c>
      <c r="T200" s="20" t="s">
        <v>7</v>
      </c>
      <c r="U200" s="25" t="s">
        <v>416</v>
      </c>
      <c r="V200" s="20">
        <v>100800568</v>
      </c>
      <c r="W200" s="25" t="s">
        <v>912</v>
      </c>
      <c r="X200" s="20" t="s">
        <v>417</v>
      </c>
      <c r="Y200" s="20" t="s">
        <v>234</v>
      </c>
      <c r="Z200" s="20" t="s">
        <v>88</v>
      </c>
      <c r="AA200" s="15">
        <v>5.24</v>
      </c>
      <c r="AB200" s="15">
        <v>5.13</v>
      </c>
      <c r="AC200" s="15">
        <f t="shared" si="16"/>
        <v>51.3</v>
      </c>
      <c r="AD200" s="15">
        <f t="shared" si="17"/>
        <v>52.400000000000006</v>
      </c>
      <c r="AE200" s="15">
        <f t="shared" si="18"/>
        <v>-1.1000000000000085</v>
      </c>
      <c r="AF200" s="16">
        <f t="shared" si="19"/>
        <v>-2.1442495126705822E-2</v>
      </c>
      <c r="AG200" s="26" t="str">
        <f t="shared" si="20"/>
        <v>Negative</v>
      </c>
      <c r="AH200" s="20"/>
      <c r="AI200" s="20" t="s">
        <v>43</v>
      </c>
      <c r="AJ200" s="20">
        <v>530</v>
      </c>
      <c r="AK200" s="20"/>
    </row>
    <row r="201" spans="1:37" s="27" customFormat="1" ht="12.75" customHeight="1" x14ac:dyDescent="0.2">
      <c r="A201" s="22" t="s">
        <v>486</v>
      </c>
      <c r="B201" s="22" t="s">
        <v>541</v>
      </c>
      <c r="C201" s="23">
        <v>44559</v>
      </c>
      <c r="D201" s="22" t="s">
        <v>485</v>
      </c>
      <c r="E201" s="22" t="s">
        <v>484</v>
      </c>
      <c r="F201" s="22" t="s">
        <v>483</v>
      </c>
      <c r="G201" s="22" t="s">
        <v>492</v>
      </c>
      <c r="H201" s="22" t="s">
        <v>481</v>
      </c>
      <c r="I201" s="22" t="s">
        <v>491</v>
      </c>
      <c r="J201" s="22" t="s">
        <v>490</v>
      </c>
      <c r="K201" s="22" t="s">
        <v>478</v>
      </c>
      <c r="L201" s="22" t="s">
        <v>489</v>
      </c>
      <c r="M201" s="22" t="s">
        <v>487</v>
      </c>
      <c r="N201" s="22" t="s">
        <v>540</v>
      </c>
      <c r="O201" s="22" t="s">
        <v>78</v>
      </c>
      <c r="P201" s="22" t="s">
        <v>418</v>
      </c>
      <c r="Q201" s="22">
        <v>116854831</v>
      </c>
      <c r="R201" s="22" t="s">
        <v>87</v>
      </c>
      <c r="S201" s="24">
        <v>2</v>
      </c>
      <c r="T201" s="20" t="s">
        <v>78</v>
      </c>
      <c r="U201" s="25" t="s">
        <v>418</v>
      </c>
      <c r="V201" s="20">
        <v>116854831</v>
      </c>
      <c r="W201" s="25" t="s">
        <v>917</v>
      </c>
      <c r="X201" s="20" t="s">
        <v>419</v>
      </c>
      <c r="Y201" s="20" t="s">
        <v>87</v>
      </c>
      <c r="Z201" s="20" t="s">
        <v>97</v>
      </c>
      <c r="AA201" s="15">
        <v>123.11080562659848</v>
      </c>
      <c r="AB201" s="15">
        <v>108.97</v>
      </c>
      <c r="AC201" s="15">
        <f t="shared" si="16"/>
        <v>217.94</v>
      </c>
      <c r="AD201" s="15">
        <f t="shared" si="17"/>
        <v>246.22161125319695</v>
      </c>
      <c r="AE201" s="15">
        <f t="shared" si="18"/>
        <v>-28.281611253196957</v>
      </c>
      <c r="AF201" s="16">
        <f t="shared" si="19"/>
        <v>-0.12976787764153877</v>
      </c>
      <c r="AG201" s="26" t="str">
        <f t="shared" si="20"/>
        <v>Negative</v>
      </c>
      <c r="AH201" s="20"/>
      <c r="AI201" s="20" t="s">
        <v>43</v>
      </c>
      <c r="AJ201" s="20">
        <v>0</v>
      </c>
      <c r="AK201" s="20"/>
    </row>
    <row r="202" spans="1:37" s="27" customFormat="1" ht="12.75" customHeight="1" x14ac:dyDescent="0.2">
      <c r="A202" s="22" t="s">
        <v>486</v>
      </c>
      <c r="B202" s="22" t="s">
        <v>539</v>
      </c>
      <c r="C202" s="23">
        <v>44559</v>
      </c>
      <c r="D202" s="22" t="s">
        <v>485</v>
      </c>
      <c r="E202" s="22" t="s">
        <v>484</v>
      </c>
      <c r="F202" s="22" t="s">
        <v>483</v>
      </c>
      <c r="G202" s="22" t="s">
        <v>482</v>
      </c>
      <c r="H202" s="22" t="s">
        <v>481</v>
      </c>
      <c r="I202" s="22" t="s">
        <v>480</v>
      </c>
      <c r="J202" s="22" t="s">
        <v>479</v>
      </c>
      <c r="K202" s="22" t="s">
        <v>478</v>
      </c>
      <c r="L202" s="22" t="s">
        <v>477</v>
      </c>
      <c r="M202" s="22" t="s">
        <v>487</v>
      </c>
      <c r="N202" s="22" t="s">
        <v>538</v>
      </c>
      <c r="O202" s="22" t="s">
        <v>7</v>
      </c>
      <c r="P202" s="22" t="s">
        <v>420</v>
      </c>
      <c r="Q202" s="22">
        <v>105086969</v>
      </c>
      <c r="R202" s="22" t="s">
        <v>87</v>
      </c>
      <c r="S202" s="24">
        <v>1</v>
      </c>
      <c r="T202" s="20" t="s">
        <v>7</v>
      </c>
      <c r="U202" s="25" t="s">
        <v>420</v>
      </c>
      <c r="V202" s="20">
        <v>105086969</v>
      </c>
      <c r="W202" s="25" t="s">
        <v>912</v>
      </c>
      <c r="X202" s="20" t="s">
        <v>421</v>
      </c>
      <c r="Y202" s="20" t="s">
        <v>87</v>
      </c>
      <c r="Z202" s="20" t="s">
        <v>88</v>
      </c>
      <c r="AA202" s="15">
        <v>9.5731611971515349</v>
      </c>
      <c r="AB202" s="15">
        <v>8.5500000000000007</v>
      </c>
      <c r="AC202" s="15">
        <f t="shared" si="16"/>
        <v>8.5500000000000007</v>
      </c>
      <c r="AD202" s="15">
        <f t="shared" si="17"/>
        <v>9.5731611971515349</v>
      </c>
      <c r="AE202" s="15">
        <f t="shared" si="18"/>
        <v>-1.0231611971515342</v>
      </c>
      <c r="AF202" s="16">
        <f t="shared" si="19"/>
        <v>-0.11966797627503323</v>
      </c>
      <c r="AG202" s="26" t="str">
        <f t="shared" si="20"/>
        <v>Negative</v>
      </c>
      <c r="AH202" s="20"/>
      <c r="AI202" s="20" t="s">
        <v>43</v>
      </c>
      <c r="AJ202" s="20">
        <v>0</v>
      </c>
      <c r="AK202" s="20"/>
    </row>
    <row r="203" spans="1:37" s="27" customFormat="1" ht="12.75" customHeight="1" x14ac:dyDescent="0.2">
      <c r="A203" s="22" t="s">
        <v>486</v>
      </c>
      <c r="B203" s="22" t="s">
        <v>536</v>
      </c>
      <c r="C203" s="23">
        <v>44568</v>
      </c>
      <c r="D203" s="22" t="s">
        <v>485</v>
      </c>
      <c r="E203" s="22" t="s">
        <v>484</v>
      </c>
      <c r="F203" s="22" t="s">
        <v>483</v>
      </c>
      <c r="G203" s="22" t="s">
        <v>482</v>
      </c>
      <c r="H203" s="22" t="s">
        <v>481</v>
      </c>
      <c r="I203" s="22" t="s">
        <v>480</v>
      </c>
      <c r="J203" s="22" t="s">
        <v>479</v>
      </c>
      <c r="K203" s="22" t="s">
        <v>478</v>
      </c>
      <c r="L203" s="22" t="s">
        <v>477</v>
      </c>
      <c r="M203" s="22" t="s">
        <v>537</v>
      </c>
      <c r="N203" s="22" t="s">
        <v>534</v>
      </c>
      <c r="O203" s="22" t="s">
        <v>31</v>
      </c>
      <c r="P203" s="22" t="s">
        <v>424</v>
      </c>
      <c r="Q203" s="22">
        <v>100812727</v>
      </c>
      <c r="R203" s="22" t="s">
        <v>87</v>
      </c>
      <c r="S203" s="24">
        <v>1</v>
      </c>
      <c r="T203" s="20" t="s">
        <v>31</v>
      </c>
      <c r="U203" s="25" t="s">
        <v>424</v>
      </c>
      <c r="V203" s="20">
        <v>100812727</v>
      </c>
      <c r="W203" s="25" t="s">
        <v>912</v>
      </c>
      <c r="X203" s="20" t="s">
        <v>425</v>
      </c>
      <c r="Y203" s="20" t="s">
        <v>87</v>
      </c>
      <c r="Z203" s="20" t="s">
        <v>88</v>
      </c>
      <c r="AA203" s="15">
        <v>15.57</v>
      </c>
      <c r="AB203" s="15">
        <v>18.059999999999999</v>
      </c>
      <c r="AC203" s="15">
        <f t="shared" si="16"/>
        <v>18.059999999999999</v>
      </c>
      <c r="AD203" s="15">
        <f t="shared" si="17"/>
        <v>15.57</v>
      </c>
      <c r="AE203" s="15">
        <f t="shared" si="18"/>
        <v>2.4899999999999984</v>
      </c>
      <c r="AF203" s="16">
        <f t="shared" si="19"/>
        <v>0.13787375415282385</v>
      </c>
      <c r="AG203" s="26" t="str">
        <f t="shared" si="20"/>
        <v>10-20%</v>
      </c>
      <c r="AH203" s="20"/>
      <c r="AI203" s="20" t="s">
        <v>42</v>
      </c>
      <c r="AJ203" s="20">
        <v>241</v>
      </c>
      <c r="AK203" s="20"/>
    </row>
    <row r="204" spans="1:37" s="27" customFormat="1" ht="12.75" customHeight="1" x14ac:dyDescent="0.2">
      <c r="A204" s="22" t="s">
        <v>486</v>
      </c>
      <c r="B204" s="22" t="s">
        <v>536</v>
      </c>
      <c r="C204" s="23">
        <v>44568</v>
      </c>
      <c r="D204" s="22" t="s">
        <v>485</v>
      </c>
      <c r="E204" s="22" t="s">
        <v>484</v>
      </c>
      <c r="F204" s="22" t="s">
        <v>483</v>
      </c>
      <c r="G204" s="22" t="s">
        <v>482</v>
      </c>
      <c r="H204" s="22" t="s">
        <v>481</v>
      </c>
      <c r="I204" s="22" t="s">
        <v>480</v>
      </c>
      <c r="J204" s="22" t="s">
        <v>479</v>
      </c>
      <c r="K204" s="22" t="s">
        <v>478</v>
      </c>
      <c r="L204" s="22" t="s">
        <v>477</v>
      </c>
      <c r="M204" s="22" t="s">
        <v>487</v>
      </c>
      <c r="N204" s="22" t="s">
        <v>534</v>
      </c>
      <c r="O204" s="22" t="s">
        <v>31</v>
      </c>
      <c r="P204" s="22" t="s">
        <v>422</v>
      </c>
      <c r="Q204" s="22">
        <v>102131275</v>
      </c>
      <c r="R204" s="22" t="s">
        <v>87</v>
      </c>
      <c r="S204" s="24">
        <v>1</v>
      </c>
      <c r="T204" s="20" t="s">
        <v>31</v>
      </c>
      <c r="U204" s="25" t="s">
        <v>422</v>
      </c>
      <c r="V204" s="20">
        <v>102131275</v>
      </c>
      <c r="W204" s="25" t="s">
        <v>912</v>
      </c>
      <c r="X204" s="20" t="s">
        <v>423</v>
      </c>
      <c r="Y204" s="20" t="s">
        <v>87</v>
      </c>
      <c r="Z204" s="20" t="s">
        <v>88</v>
      </c>
      <c r="AA204" s="15">
        <v>34.06</v>
      </c>
      <c r="AB204" s="15">
        <v>39.520000000000003</v>
      </c>
      <c r="AC204" s="15">
        <f t="shared" si="16"/>
        <v>39.520000000000003</v>
      </c>
      <c r="AD204" s="15">
        <f t="shared" si="17"/>
        <v>34.06</v>
      </c>
      <c r="AE204" s="15">
        <f t="shared" si="18"/>
        <v>5.4600000000000009</v>
      </c>
      <c r="AF204" s="16">
        <f t="shared" si="19"/>
        <v>0.13815789473684212</v>
      </c>
      <c r="AG204" s="26" t="str">
        <f t="shared" si="20"/>
        <v>10-20%</v>
      </c>
      <c r="AH204" s="20"/>
      <c r="AI204" s="20" t="s">
        <v>42</v>
      </c>
      <c r="AJ204" s="20">
        <v>29</v>
      </c>
      <c r="AK204" s="20"/>
    </row>
    <row r="205" spans="1:37" s="27" customFormat="1" ht="12.75" customHeight="1" x14ac:dyDescent="0.2">
      <c r="A205" s="22" t="s">
        <v>486</v>
      </c>
      <c r="B205" s="22" t="s">
        <v>536</v>
      </c>
      <c r="C205" s="23">
        <v>44568</v>
      </c>
      <c r="D205" s="22" t="s">
        <v>485</v>
      </c>
      <c r="E205" s="22" t="s">
        <v>484</v>
      </c>
      <c r="F205" s="22" t="s">
        <v>483</v>
      </c>
      <c r="G205" s="22" t="s">
        <v>482</v>
      </c>
      <c r="H205" s="22" t="s">
        <v>481</v>
      </c>
      <c r="I205" s="22" t="s">
        <v>480</v>
      </c>
      <c r="J205" s="22" t="s">
        <v>479</v>
      </c>
      <c r="K205" s="22" t="s">
        <v>478</v>
      </c>
      <c r="L205" s="22" t="s">
        <v>477</v>
      </c>
      <c r="M205" s="22" t="s">
        <v>535</v>
      </c>
      <c r="N205" s="22" t="s">
        <v>534</v>
      </c>
      <c r="O205" s="22" t="s">
        <v>31</v>
      </c>
      <c r="P205" s="22" t="s">
        <v>426</v>
      </c>
      <c r="Q205" s="22">
        <v>102131896</v>
      </c>
      <c r="R205" s="22" t="s">
        <v>87</v>
      </c>
      <c r="S205" s="24">
        <v>1</v>
      </c>
      <c r="T205" s="20" t="s">
        <v>31</v>
      </c>
      <c r="U205" s="25" t="s">
        <v>426</v>
      </c>
      <c r="V205" s="20">
        <v>102131896</v>
      </c>
      <c r="W205" s="25" t="s">
        <v>912</v>
      </c>
      <c r="X205" s="20" t="s">
        <v>427</v>
      </c>
      <c r="Y205" s="20" t="s">
        <v>87</v>
      </c>
      <c r="Z205" s="20" t="s">
        <v>88</v>
      </c>
      <c r="AA205" s="15">
        <v>34.06</v>
      </c>
      <c r="AB205" s="15">
        <v>39.520000000000003</v>
      </c>
      <c r="AC205" s="15">
        <f t="shared" si="16"/>
        <v>39.520000000000003</v>
      </c>
      <c r="AD205" s="15">
        <f t="shared" si="17"/>
        <v>34.06</v>
      </c>
      <c r="AE205" s="15">
        <f t="shared" si="18"/>
        <v>5.4600000000000009</v>
      </c>
      <c r="AF205" s="16">
        <f t="shared" si="19"/>
        <v>0.13815789473684212</v>
      </c>
      <c r="AG205" s="26" t="str">
        <f t="shared" si="20"/>
        <v>10-20%</v>
      </c>
      <c r="AH205" s="20"/>
      <c r="AI205" s="20" t="s">
        <v>42</v>
      </c>
      <c r="AJ205" s="20">
        <v>23</v>
      </c>
      <c r="AK205" s="20"/>
    </row>
    <row r="206" spans="1:37" s="27" customFormat="1" ht="12.75" customHeight="1" x14ac:dyDescent="0.2">
      <c r="A206" s="22" t="s">
        <v>833</v>
      </c>
      <c r="B206" s="22" t="s">
        <v>844</v>
      </c>
      <c r="C206" s="23">
        <v>44571</v>
      </c>
      <c r="D206" s="22"/>
      <c r="E206" s="22"/>
      <c r="F206" s="22" t="s">
        <v>832</v>
      </c>
      <c r="G206" s="22" t="s">
        <v>832</v>
      </c>
      <c r="H206" s="22" t="s">
        <v>831</v>
      </c>
      <c r="I206" s="22" t="s">
        <v>830</v>
      </c>
      <c r="J206" s="22" t="s">
        <v>829</v>
      </c>
      <c r="K206" s="22" t="s">
        <v>828</v>
      </c>
      <c r="L206" s="22" t="s">
        <v>827</v>
      </c>
      <c r="M206" s="22" t="s">
        <v>487</v>
      </c>
      <c r="N206" s="22" t="s">
        <v>841</v>
      </c>
      <c r="O206" s="22" t="s">
        <v>71</v>
      </c>
      <c r="P206" s="22" t="s">
        <v>133</v>
      </c>
      <c r="Q206" s="22">
        <v>118862243</v>
      </c>
      <c r="R206" s="22" t="s">
        <v>87</v>
      </c>
      <c r="S206" s="24">
        <v>3</v>
      </c>
      <c r="T206" s="20" t="s">
        <v>71</v>
      </c>
      <c r="U206" s="25" t="s">
        <v>133</v>
      </c>
      <c r="V206" s="20">
        <v>118862243</v>
      </c>
      <c r="W206" s="25" t="s">
        <v>919</v>
      </c>
      <c r="X206" s="20" t="s">
        <v>134</v>
      </c>
      <c r="Y206" s="20" t="s">
        <v>87</v>
      </c>
      <c r="Z206" s="20" t="s">
        <v>97</v>
      </c>
      <c r="AA206" s="15">
        <v>114.24</v>
      </c>
      <c r="AB206" s="15">
        <v>147.33000000000001</v>
      </c>
      <c r="AC206" s="15">
        <f t="shared" si="16"/>
        <v>441.99</v>
      </c>
      <c r="AD206" s="15">
        <f t="shared" si="17"/>
        <v>342.71999999999997</v>
      </c>
      <c r="AE206" s="15">
        <f t="shared" si="18"/>
        <v>99.270000000000039</v>
      </c>
      <c r="AF206" s="16">
        <f t="shared" si="19"/>
        <v>0.22459784158012633</v>
      </c>
      <c r="AG206" s="26" t="str">
        <f t="shared" si="20"/>
        <v>20-30%</v>
      </c>
      <c r="AH206" s="20"/>
      <c r="AI206" s="20" t="s">
        <v>43</v>
      </c>
      <c r="AJ206" s="20">
        <v>0</v>
      </c>
      <c r="AK206" s="20"/>
    </row>
    <row r="207" spans="1:37" s="27" customFormat="1" ht="12.75" customHeight="1" x14ac:dyDescent="0.2">
      <c r="A207" s="22" t="s">
        <v>833</v>
      </c>
      <c r="B207" s="22" t="s">
        <v>844</v>
      </c>
      <c r="C207" s="23">
        <v>44571</v>
      </c>
      <c r="D207" s="22"/>
      <c r="E207" s="22"/>
      <c r="F207" s="22" t="s">
        <v>832</v>
      </c>
      <c r="G207" s="22" t="s">
        <v>832</v>
      </c>
      <c r="H207" s="22" t="s">
        <v>831</v>
      </c>
      <c r="I207" s="22" t="s">
        <v>830</v>
      </c>
      <c r="J207" s="22" t="s">
        <v>829</v>
      </c>
      <c r="K207" s="22" t="s">
        <v>828</v>
      </c>
      <c r="L207" s="22" t="s">
        <v>827</v>
      </c>
      <c r="M207" s="22" t="s">
        <v>487</v>
      </c>
      <c r="N207" s="22" t="s">
        <v>841</v>
      </c>
      <c r="O207" s="22" t="s">
        <v>71</v>
      </c>
      <c r="P207" s="22" t="s">
        <v>137</v>
      </c>
      <c r="Q207" s="22">
        <v>118939870</v>
      </c>
      <c r="R207" s="22" t="s">
        <v>87</v>
      </c>
      <c r="S207" s="24">
        <v>1</v>
      </c>
      <c r="T207" s="20" t="s">
        <v>71</v>
      </c>
      <c r="U207" s="25" t="s">
        <v>137</v>
      </c>
      <c r="V207" s="20">
        <v>118939870</v>
      </c>
      <c r="W207" s="25" t="s">
        <v>916</v>
      </c>
      <c r="X207" s="20" t="s">
        <v>138</v>
      </c>
      <c r="Y207" s="20" t="s">
        <v>87</v>
      </c>
      <c r="Z207" s="20" t="s">
        <v>97</v>
      </c>
      <c r="AA207" s="15">
        <v>56.96</v>
      </c>
      <c r="AB207" s="15">
        <v>89.8</v>
      </c>
      <c r="AC207" s="15">
        <f t="shared" si="16"/>
        <v>89.8</v>
      </c>
      <c r="AD207" s="15">
        <f t="shared" si="17"/>
        <v>56.96</v>
      </c>
      <c r="AE207" s="15">
        <f t="shared" si="18"/>
        <v>32.839999999999996</v>
      </c>
      <c r="AF207" s="16">
        <f t="shared" si="19"/>
        <v>0.36570155902004453</v>
      </c>
      <c r="AG207" s="26" t="str">
        <f t="shared" si="20"/>
        <v>30+%</v>
      </c>
      <c r="AH207" s="20"/>
      <c r="AI207" s="20" t="s">
        <v>43</v>
      </c>
      <c r="AJ207" s="20">
        <v>0</v>
      </c>
      <c r="AK207" s="20"/>
    </row>
    <row r="208" spans="1:37" s="27" customFormat="1" ht="12.75" customHeight="1" x14ac:dyDescent="0.2">
      <c r="A208" s="22" t="s">
        <v>833</v>
      </c>
      <c r="B208" s="22" t="s">
        <v>843</v>
      </c>
      <c r="C208" s="23">
        <v>44566</v>
      </c>
      <c r="D208" s="22"/>
      <c r="E208" s="22"/>
      <c r="F208" s="22" t="s">
        <v>832</v>
      </c>
      <c r="G208" s="22" t="s">
        <v>832</v>
      </c>
      <c r="H208" s="22" t="s">
        <v>831</v>
      </c>
      <c r="I208" s="22" t="s">
        <v>830</v>
      </c>
      <c r="J208" s="22" t="s">
        <v>829</v>
      </c>
      <c r="K208" s="22" t="s">
        <v>828</v>
      </c>
      <c r="L208" s="22" t="s">
        <v>827</v>
      </c>
      <c r="M208" s="22" t="s">
        <v>487</v>
      </c>
      <c r="N208" s="22" t="s">
        <v>841</v>
      </c>
      <c r="O208" s="22" t="s">
        <v>28</v>
      </c>
      <c r="P208" s="22" t="s">
        <v>139</v>
      </c>
      <c r="Q208" s="22">
        <v>101933617</v>
      </c>
      <c r="R208" s="22" t="s">
        <v>87</v>
      </c>
      <c r="S208" s="24">
        <v>2</v>
      </c>
      <c r="T208" s="20" t="s">
        <v>28</v>
      </c>
      <c r="U208" s="25" t="s">
        <v>139</v>
      </c>
      <c r="V208" s="20">
        <v>101933617</v>
      </c>
      <c r="W208" s="25" t="s">
        <v>910</v>
      </c>
      <c r="X208" s="20" t="s">
        <v>140</v>
      </c>
      <c r="Y208" s="20" t="s">
        <v>87</v>
      </c>
      <c r="Z208" s="20" t="s">
        <v>88</v>
      </c>
      <c r="AA208" s="15">
        <v>544.20366119912671</v>
      </c>
      <c r="AB208" s="15">
        <v>516.87</v>
      </c>
      <c r="AC208" s="15">
        <f t="shared" si="16"/>
        <v>1033.74</v>
      </c>
      <c r="AD208" s="15">
        <f t="shared" si="17"/>
        <v>1088.4073223982534</v>
      </c>
      <c r="AE208" s="15">
        <f t="shared" si="18"/>
        <v>-54.667322398253418</v>
      </c>
      <c r="AF208" s="16">
        <f t="shared" si="19"/>
        <v>-5.28830483470248E-2</v>
      </c>
      <c r="AG208" s="26" t="str">
        <f t="shared" si="20"/>
        <v>Negative</v>
      </c>
      <c r="AH208" s="20"/>
      <c r="AI208" s="20" t="s">
        <v>43</v>
      </c>
      <c r="AJ208" s="20">
        <v>0</v>
      </c>
      <c r="AK208" s="20"/>
    </row>
    <row r="209" spans="1:37" s="27" customFormat="1" ht="12.75" customHeight="1" x14ac:dyDescent="0.2">
      <c r="A209" s="22" t="s">
        <v>833</v>
      </c>
      <c r="B209" s="22" t="s">
        <v>842</v>
      </c>
      <c r="C209" s="23">
        <v>44571</v>
      </c>
      <c r="D209" s="22"/>
      <c r="E209" s="22"/>
      <c r="F209" s="22" t="s">
        <v>832</v>
      </c>
      <c r="G209" s="22" t="s">
        <v>832</v>
      </c>
      <c r="H209" s="22" t="s">
        <v>831</v>
      </c>
      <c r="I209" s="22" t="s">
        <v>830</v>
      </c>
      <c r="J209" s="22" t="s">
        <v>829</v>
      </c>
      <c r="K209" s="22" t="s">
        <v>828</v>
      </c>
      <c r="L209" s="22" t="s">
        <v>827</v>
      </c>
      <c r="M209" s="22" t="s">
        <v>487</v>
      </c>
      <c r="N209" s="22" t="s">
        <v>841</v>
      </c>
      <c r="O209" s="22" t="s">
        <v>28</v>
      </c>
      <c r="P209" s="22" t="s">
        <v>141</v>
      </c>
      <c r="Q209" s="22">
        <v>101935544</v>
      </c>
      <c r="R209" s="22" t="s">
        <v>87</v>
      </c>
      <c r="S209" s="24">
        <v>20</v>
      </c>
      <c r="T209" s="20" t="s">
        <v>28</v>
      </c>
      <c r="U209" s="25" t="s">
        <v>141</v>
      </c>
      <c r="V209" s="20">
        <v>101935544</v>
      </c>
      <c r="W209" s="25" t="s">
        <v>910</v>
      </c>
      <c r="X209" s="20" t="s">
        <v>142</v>
      </c>
      <c r="Y209" s="20" t="s">
        <v>87</v>
      </c>
      <c r="Z209" s="20" t="s">
        <v>88</v>
      </c>
      <c r="AA209" s="15">
        <v>14.45</v>
      </c>
      <c r="AB209" s="15">
        <v>15.97</v>
      </c>
      <c r="AC209" s="15">
        <f t="shared" si="16"/>
        <v>319.40000000000003</v>
      </c>
      <c r="AD209" s="15">
        <f t="shared" si="17"/>
        <v>289</v>
      </c>
      <c r="AE209" s="15">
        <f t="shared" si="18"/>
        <v>30.400000000000034</v>
      </c>
      <c r="AF209" s="16">
        <f t="shared" si="19"/>
        <v>9.5178459611772168E-2</v>
      </c>
      <c r="AG209" s="26" t="str">
        <f t="shared" si="20"/>
        <v>0-10%</v>
      </c>
      <c r="AH209" s="20"/>
      <c r="AI209" s="20" t="s">
        <v>42</v>
      </c>
      <c r="AJ209" s="20">
        <v>1217</v>
      </c>
      <c r="AK209" s="20"/>
    </row>
    <row r="210" spans="1:37" s="27" customFormat="1" ht="12.75" customHeight="1" x14ac:dyDescent="0.2">
      <c r="A210" s="22" t="s">
        <v>705</v>
      </c>
      <c r="B210" s="22" t="s">
        <v>741</v>
      </c>
      <c r="C210" s="23">
        <v>44573</v>
      </c>
      <c r="D210" s="22" t="s">
        <v>485</v>
      </c>
      <c r="E210" s="22" t="s">
        <v>484</v>
      </c>
      <c r="F210" s="22" t="s">
        <v>483</v>
      </c>
      <c r="G210" s="22" t="s">
        <v>704</v>
      </c>
      <c r="H210" s="22" t="s">
        <v>703</v>
      </c>
      <c r="I210" s="22" t="s">
        <v>702</v>
      </c>
      <c r="J210" s="22" t="s">
        <v>701</v>
      </c>
      <c r="K210" s="22" t="s">
        <v>700</v>
      </c>
      <c r="L210" s="22" t="s">
        <v>699</v>
      </c>
      <c r="M210" s="22" t="s">
        <v>715</v>
      </c>
      <c r="N210" s="22" t="s">
        <v>723</v>
      </c>
      <c r="O210" s="22" t="s">
        <v>16</v>
      </c>
      <c r="P210" s="22" t="s">
        <v>178</v>
      </c>
      <c r="Q210" s="22">
        <v>110223931</v>
      </c>
      <c r="R210" s="22" t="s">
        <v>87</v>
      </c>
      <c r="S210" s="24">
        <v>1</v>
      </c>
      <c r="T210" s="20" t="s">
        <v>16</v>
      </c>
      <c r="U210" s="25" t="s">
        <v>178</v>
      </c>
      <c r="V210" s="20">
        <v>110223931</v>
      </c>
      <c r="W210" s="25" t="s">
        <v>913</v>
      </c>
      <c r="X210" s="20" t="s">
        <v>179</v>
      </c>
      <c r="Y210" s="20" t="s">
        <v>87</v>
      </c>
      <c r="Z210" s="20" t="s">
        <v>88</v>
      </c>
      <c r="AA210" s="15">
        <v>337.03773584905656</v>
      </c>
      <c r="AB210" s="15">
        <v>359.33333333333331</v>
      </c>
      <c r="AC210" s="15">
        <f t="shared" si="16"/>
        <v>359.33333333333331</v>
      </c>
      <c r="AD210" s="15">
        <f t="shared" si="17"/>
        <v>337.03773584905656</v>
      </c>
      <c r="AE210" s="15">
        <f t="shared" si="18"/>
        <v>22.295597484276755</v>
      </c>
      <c r="AF210" s="16">
        <f t="shared" si="19"/>
        <v>6.2047117303182069E-2</v>
      </c>
      <c r="AG210" s="26" t="str">
        <f t="shared" si="20"/>
        <v>0-10%</v>
      </c>
      <c r="AH210" s="20" t="s">
        <v>921</v>
      </c>
      <c r="AI210" s="20" t="s">
        <v>43</v>
      </c>
      <c r="AJ210" s="20">
        <v>0</v>
      </c>
      <c r="AK210" s="20"/>
    </row>
    <row r="211" spans="1:37" s="27" customFormat="1" ht="12.75" customHeight="1" x14ac:dyDescent="0.2">
      <c r="A211" s="22" t="s">
        <v>705</v>
      </c>
      <c r="B211" s="22" t="s">
        <v>741</v>
      </c>
      <c r="C211" s="23">
        <v>44573</v>
      </c>
      <c r="D211" s="22" t="s">
        <v>485</v>
      </c>
      <c r="E211" s="22" t="s">
        <v>484</v>
      </c>
      <c r="F211" s="22" t="s">
        <v>483</v>
      </c>
      <c r="G211" s="22" t="s">
        <v>704</v>
      </c>
      <c r="H211" s="22" t="s">
        <v>703</v>
      </c>
      <c r="I211" s="22" t="s">
        <v>702</v>
      </c>
      <c r="J211" s="22" t="s">
        <v>701</v>
      </c>
      <c r="K211" s="22" t="s">
        <v>700</v>
      </c>
      <c r="L211" s="22" t="s">
        <v>699</v>
      </c>
      <c r="M211" s="22" t="s">
        <v>713</v>
      </c>
      <c r="N211" s="22" t="s">
        <v>723</v>
      </c>
      <c r="O211" s="22" t="s">
        <v>16</v>
      </c>
      <c r="P211" s="22" t="s">
        <v>180</v>
      </c>
      <c r="Q211" s="22">
        <v>110224139</v>
      </c>
      <c r="R211" s="22" t="s">
        <v>87</v>
      </c>
      <c r="S211" s="24">
        <v>1</v>
      </c>
      <c r="T211" s="20" t="s">
        <v>16</v>
      </c>
      <c r="U211" s="25" t="s">
        <v>180</v>
      </c>
      <c r="V211" s="20">
        <v>110224139</v>
      </c>
      <c r="W211" s="25" t="s">
        <v>913</v>
      </c>
      <c r="X211" s="20" t="s">
        <v>181</v>
      </c>
      <c r="Y211" s="20" t="s">
        <v>87</v>
      </c>
      <c r="Z211" s="20" t="s">
        <v>88</v>
      </c>
      <c r="AA211" s="15">
        <v>381.77358490566036</v>
      </c>
      <c r="AB211" s="15">
        <v>407</v>
      </c>
      <c r="AC211" s="15">
        <f t="shared" si="16"/>
        <v>407</v>
      </c>
      <c r="AD211" s="15">
        <f t="shared" si="17"/>
        <v>381.77358490566036</v>
      </c>
      <c r="AE211" s="15">
        <f t="shared" si="18"/>
        <v>25.226415094339643</v>
      </c>
      <c r="AF211" s="16">
        <f t="shared" si="19"/>
        <v>6.1981363868156371E-2</v>
      </c>
      <c r="AG211" s="26" t="str">
        <f t="shared" si="20"/>
        <v>0-10%</v>
      </c>
      <c r="AH211" s="20" t="s">
        <v>921</v>
      </c>
      <c r="AI211" s="20" t="s">
        <v>42</v>
      </c>
      <c r="AJ211" s="20">
        <v>4</v>
      </c>
      <c r="AK211" s="20"/>
    </row>
    <row r="212" spans="1:37" s="27" customFormat="1" ht="12.75" customHeight="1" x14ac:dyDescent="0.2">
      <c r="A212" s="22" t="s">
        <v>705</v>
      </c>
      <c r="B212" s="22" t="s">
        <v>740</v>
      </c>
      <c r="C212" s="23">
        <v>44573</v>
      </c>
      <c r="D212" s="22" t="s">
        <v>485</v>
      </c>
      <c r="E212" s="22" t="s">
        <v>484</v>
      </c>
      <c r="F212" s="22" t="s">
        <v>483</v>
      </c>
      <c r="G212" s="22" t="s">
        <v>704</v>
      </c>
      <c r="H212" s="22" t="s">
        <v>703</v>
      </c>
      <c r="I212" s="22" t="s">
        <v>702</v>
      </c>
      <c r="J212" s="22" t="s">
        <v>701</v>
      </c>
      <c r="K212" s="22" t="s">
        <v>700</v>
      </c>
      <c r="L212" s="22" t="s">
        <v>699</v>
      </c>
      <c r="M212" s="22" t="s">
        <v>739</v>
      </c>
      <c r="N212" s="22" t="s">
        <v>738</v>
      </c>
      <c r="O212" s="22" t="s">
        <v>16</v>
      </c>
      <c r="P212" s="22" t="s">
        <v>204</v>
      </c>
      <c r="Q212" s="22">
        <v>110188576</v>
      </c>
      <c r="R212" s="22" t="s">
        <v>87</v>
      </c>
      <c r="S212" s="24">
        <v>4</v>
      </c>
      <c r="T212" s="20" t="s">
        <v>16</v>
      </c>
      <c r="U212" s="25" t="s">
        <v>204</v>
      </c>
      <c r="V212" s="20">
        <v>110188576</v>
      </c>
      <c r="W212" s="25" t="s">
        <v>913</v>
      </c>
      <c r="X212" s="20" t="s">
        <v>205</v>
      </c>
      <c r="Y212" s="20" t="s">
        <v>87</v>
      </c>
      <c r="Z212" s="20" t="s">
        <v>88</v>
      </c>
      <c r="AA212" s="15">
        <v>371.67924528301887</v>
      </c>
      <c r="AB212" s="15">
        <v>395.26666666666671</v>
      </c>
      <c r="AC212" s="15">
        <f t="shared" si="16"/>
        <v>1581.0666666666668</v>
      </c>
      <c r="AD212" s="15">
        <f t="shared" si="17"/>
        <v>1486.7169811320755</v>
      </c>
      <c r="AE212" s="15">
        <f t="shared" si="18"/>
        <v>94.349685534591345</v>
      </c>
      <c r="AF212" s="16">
        <f t="shared" si="19"/>
        <v>5.9674704124593948E-2</v>
      </c>
      <c r="AG212" s="26" t="str">
        <f t="shared" si="20"/>
        <v>0-10%</v>
      </c>
      <c r="AH212" s="20" t="s">
        <v>921</v>
      </c>
      <c r="AI212" s="20" t="s">
        <v>43</v>
      </c>
      <c r="AJ212" s="20">
        <v>0</v>
      </c>
      <c r="AK212" s="20"/>
    </row>
    <row r="213" spans="1:37" s="27" customFormat="1" ht="12.75" customHeight="1" x14ac:dyDescent="0.2">
      <c r="A213" s="22" t="s">
        <v>705</v>
      </c>
      <c r="B213" s="22" t="s">
        <v>740</v>
      </c>
      <c r="C213" s="23">
        <v>44573</v>
      </c>
      <c r="D213" s="22" t="s">
        <v>485</v>
      </c>
      <c r="E213" s="22" t="s">
        <v>484</v>
      </c>
      <c r="F213" s="22" t="s">
        <v>483</v>
      </c>
      <c r="G213" s="22" t="s">
        <v>704</v>
      </c>
      <c r="H213" s="22" t="s">
        <v>703</v>
      </c>
      <c r="I213" s="22" t="s">
        <v>702</v>
      </c>
      <c r="J213" s="22" t="s">
        <v>701</v>
      </c>
      <c r="K213" s="22" t="s">
        <v>700</v>
      </c>
      <c r="L213" s="22" t="s">
        <v>699</v>
      </c>
      <c r="M213" s="22" t="s">
        <v>716</v>
      </c>
      <c r="N213" s="22" t="s">
        <v>738</v>
      </c>
      <c r="O213" s="22" t="s">
        <v>16</v>
      </c>
      <c r="P213" s="22" t="s">
        <v>174</v>
      </c>
      <c r="Q213" s="22">
        <v>103674709</v>
      </c>
      <c r="R213" s="22" t="s">
        <v>87</v>
      </c>
      <c r="S213" s="24">
        <v>2</v>
      </c>
      <c r="T213" s="20" t="s">
        <v>16</v>
      </c>
      <c r="U213" s="25" t="s">
        <v>174</v>
      </c>
      <c r="V213" s="20">
        <v>103674709</v>
      </c>
      <c r="W213" s="25" t="s">
        <v>913</v>
      </c>
      <c r="X213" s="20" t="s">
        <v>175</v>
      </c>
      <c r="Y213" s="20" t="s">
        <v>87</v>
      </c>
      <c r="Z213" s="20" t="s">
        <v>88</v>
      </c>
      <c r="AA213" s="15">
        <v>378.88679245283015</v>
      </c>
      <c r="AB213" s="15">
        <v>404.06666666666666</v>
      </c>
      <c r="AC213" s="15">
        <f t="shared" si="16"/>
        <v>808.13333333333333</v>
      </c>
      <c r="AD213" s="15">
        <f t="shared" si="17"/>
        <v>757.7735849056603</v>
      </c>
      <c r="AE213" s="15">
        <f t="shared" si="18"/>
        <v>50.359748427673026</v>
      </c>
      <c r="AF213" s="16">
        <f t="shared" si="19"/>
        <v>6.2316138130266902E-2</v>
      </c>
      <c r="AG213" s="26" t="str">
        <f t="shared" si="20"/>
        <v>0-10%</v>
      </c>
      <c r="AH213" s="20" t="s">
        <v>921</v>
      </c>
      <c r="AI213" s="20" t="s">
        <v>43</v>
      </c>
      <c r="AJ213" s="20">
        <v>0</v>
      </c>
      <c r="AK213" s="20"/>
    </row>
    <row r="214" spans="1:37" s="27" customFormat="1" ht="12.75" customHeight="1" x14ac:dyDescent="0.2">
      <c r="A214" s="22" t="s">
        <v>705</v>
      </c>
      <c r="B214" s="22" t="s">
        <v>740</v>
      </c>
      <c r="C214" s="23">
        <v>44573</v>
      </c>
      <c r="D214" s="22" t="s">
        <v>485</v>
      </c>
      <c r="E214" s="22" t="s">
        <v>484</v>
      </c>
      <c r="F214" s="22" t="s">
        <v>483</v>
      </c>
      <c r="G214" s="22" t="s">
        <v>704</v>
      </c>
      <c r="H214" s="22" t="s">
        <v>703</v>
      </c>
      <c r="I214" s="22" t="s">
        <v>702</v>
      </c>
      <c r="J214" s="22" t="s">
        <v>701</v>
      </c>
      <c r="K214" s="22" t="s">
        <v>700</v>
      </c>
      <c r="L214" s="22" t="s">
        <v>699</v>
      </c>
      <c r="M214" s="22" t="s">
        <v>710</v>
      </c>
      <c r="N214" s="22" t="s">
        <v>738</v>
      </c>
      <c r="O214" s="22" t="s">
        <v>16</v>
      </c>
      <c r="P214" s="22" t="s">
        <v>176</v>
      </c>
      <c r="Q214" s="22">
        <v>103720400</v>
      </c>
      <c r="R214" s="22" t="s">
        <v>87</v>
      </c>
      <c r="S214" s="24">
        <v>1</v>
      </c>
      <c r="T214" s="20" t="s">
        <v>16</v>
      </c>
      <c r="U214" s="25" t="s">
        <v>176</v>
      </c>
      <c r="V214" s="20">
        <v>103720400</v>
      </c>
      <c r="W214" s="25" t="s">
        <v>913</v>
      </c>
      <c r="X214" s="20" t="s">
        <v>177</v>
      </c>
      <c r="Y214" s="20" t="s">
        <v>87</v>
      </c>
      <c r="Z214" s="20" t="s">
        <v>88</v>
      </c>
      <c r="AA214" s="15">
        <v>461.16981132075466</v>
      </c>
      <c r="AB214" s="15">
        <v>489.86666666666673</v>
      </c>
      <c r="AC214" s="15">
        <f t="shared" si="16"/>
        <v>489.86666666666673</v>
      </c>
      <c r="AD214" s="15">
        <f t="shared" si="17"/>
        <v>461.16981132075466</v>
      </c>
      <c r="AE214" s="15">
        <f t="shared" si="18"/>
        <v>28.69685534591207</v>
      </c>
      <c r="AF214" s="16">
        <f t="shared" si="19"/>
        <v>5.8580951304937533E-2</v>
      </c>
      <c r="AG214" s="26" t="str">
        <f t="shared" si="20"/>
        <v>0-10%</v>
      </c>
      <c r="AH214" s="20" t="s">
        <v>921</v>
      </c>
      <c r="AI214" s="20" t="s">
        <v>43</v>
      </c>
      <c r="AJ214" s="20">
        <v>0</v>
      </c>
      <c r="AK214" s="20"/>
    </row>
    <row r="215" spans="1:37" s="27" customFormat="1" ht="12.75" customHeight="1" x14ac:dyDescent="0.2">
      <c r="A215" s="22" t="s">
        <v>705</v>
      </c>
      <c r="B215" s="22" t="s">
        <v>737</v>
      </c>
      <c r="C215" s="23">
        <v>44574</v>
      </c>
      <c r="D215" s="22" t="s">
        <v>485</v>
      </c>
      <c r="E215" s="22" t="s">
        <v>484</v>
      </c>
      <c r="F215" s="22" t="s">
        <v>483</v>
      </c>
      <c r="G215" s="22" t="s">
        <v>704</v>
      </c>
      <c r="H215" s="22" t="s">
        <v>703</v>
      </c>
      <c r="I215" s="22" t="s">
        <v>702</v>
      </c>
      <c r="J215" s="22" t="s">
        <v>701</v>
      </c>
      <c r="K215" s="22" t="s">
        <v>700</v>
      </c>
      <c r="L215" s="22" t="s">
        <v>699</v>
      </c>
      <c r="M215" s="22" t="s">
        <v>736</v>
      </c>
      <c r="N215" s="22" t="s">
        <v>726</v>
      </c>
      <c r="O215" s="22" t="s">
        <v>16</v>
      </c>
      <c r="P215" s="22" t="s">
        <v>208</v>
      </c>
      <c r="Q215" s="22">
        <v>100178972</v>
      </c>
      <c r="R215" s="22" t="s">
        <v>87</v>
      </c>
      <c r="S215" s="24">
        <v>4</v>
      </c>
      <c r="T215" s="20" t="s">
        <v>16</v>
      </c>
      <c r="U215" s="25" t="s">
        <v>208</v>
      </c>
      <c r="V215" s="20">
        <v>100178972</v>
      </c>
      <c r="W215" s="25" t="s">
        <v>913</v>
      </c>
      <c r="X215" s="20" t="s">
        <v>209</v>
      </c>
      <c r="Y215" s="20" t="s">
        <v>87</v>
      </c>
      <c r="Z215" s="20" t="s">
        <v>88</v>
      </c>
      <c r="AA215" s="15">
        <v>66.760000000000005</v>
      </c>
      <c r="AB215" s="15">
        <v>67.95</v>
      </c>
      <c r="AC215" s="15">
        <f t="shared" si="16"/>
        <v>271.8</v>
      </c>
      <c r="AD215" s="15">
        <f t="shared" si="17"/>
        <v>267.04000000000002</v>
      </c>
      <c r="AE215" s="15">
        <f t="shared" si="18"/>
        <v>4.7599999999999909</v>
      </c>
      <c r="AF215" s="16">
        <f t="shared" si="19"/>
        <v>1.7512877115526088E-2</v>
      </c>
      <c r="AG215" s="26" t="str">
        <f t="shared" si="20"/>
        <v>0-10%</v>
      </c>
      <c r="AH215" s="20" t="s">
        <v>921</v>
      </c>
      <c r="AI215" s="20" t="s">
        <v>43</v>
      </c>
      <c r="AJ215" s="20">
        <v>0</v>
      </c>
      <c r="AK215" s="20"/>
    </row>
    <row r="216" spans="1:37" s="27" customFormat="1" ht="12.75" customHeight="1" x14ac:dyDescent="0.2">
      <c r="A216" s="22" t="s">
        <v>705</v>
      </c>
      <c r="B216" s="22" t="s">
        <v>734</v>
      </c>
      <c r="C216" s="23">
        <v>44574</v>
      </c>
      <c r="D216" s="22" t="s">
        <v>485</v>
      </c>
      <c r="E216" s="22" t="s">
        <v>484</v>
      </c>
      <c r="F216" s="22" t="s">
        <v>483</v>
      </c>
      <c r="G216" s="22" t="s">
        <v>704</v>
      </c>
      <c r="H216" s="22" t="s">
        <v>703</v>
      </c>
      <c r="I216" s="22" t="s">
        <v>702</v>
      </c>
      <c r="J216" s="22" t="s">
        <v>701</v>
      </c>
      <c r="K216" s="22" t="s">
        <v>700</v>
      </c>
      <c r="L216" s="22" t="s">
        <v>699</v>
      </c>
      <c r="M216" s="22" t="s">
        <v>733</v>
      </c>
      <c r="N216" s="22" t="s">
        <v>732</v>
      </c>
      <c r="O216" s="22" t="s">
        <v>16</v>
      </c>
      <c r="P216" s="22" t="s">
        <v>190</v>
      </c>
      <c r="Q216" s="22">
        <v>113480827</v>
      </c>
      <c r="R216" s="22" t="s">
        <v>87</v>
      </c>
      <c r="S216" s="24">
        <v>1</v>
      </c>
      <c r="T216" s="20" t="s">
        <v>16</v>
      </c>
      <c r="U216" s="25" t="s">
        <v>190</v>
      </c>
      <c r="V216" s="20">
        <v>113480827</v>
      </c>
      <c r="W216" s="25" t="s">
        <v>913</v>
      </c>
      <c r="X216" s="20" t="s">
        <v>191</v>
      </c>
      <c r="Y216" s="20" t="s">
        <v>87</v>
      </c>
      <c r="Z216" s="20" t="s">
        <v>88</v>
      </c>
      <c r="AA216" s="15">
        <v>131.34905660377356</v>
      </c>
      <c r="AB216" s="15">
        <v>140.06666666666669</v>
      </c>
      <c r="AC216" s="15">
        <f t="shared" si="16"/>
        <v>140.06666666666669</v>
      </c>
      <c r="AD216" s="15">
        <f t="shared" si="17"/>
        <v>131.34905660377356</v>
      </c>
      <c r="AE216" s="15">
        <f t="shared" si="18"/>
        <v>8.7176100628931295</v>
      </c>
      <c r="AF216" s="16">
        <f t="shared" si="19"/>
        <v>6.2239005684624898E-2</v>
      </c>
      <c r="AG216" s="26" t="str">
        <f t="shared" si="20"/>
        <v>0-10%</v>
      </c>
      <c r="AH216" s="20" t="s">
        <v>921</v>
      </c>
      <c r="AI216" s="20" t="s">
        <v>43</v>
      </c>
      <c r="AJ216" s="20">
        <v>0</v>
      </c>
      <c r="AK216" s="20"/>
    </row>
    <row r="217" spans="1:37" s="27" customFormat="1" ht="12.75" customHeight="1" x14ac:dyDescent="0.2">
      <c r="A217" s="22" t="s">
        <v>705</v>
      </c>
      <c r="B217" s="22" t="s">
        <v>734</v>
      </c>
      <c r="C217" s="23">
        <v>44574</v>
      </c>
      <c r="D217" s="22" t="s">
        <v>485</v>
      </c>
      <c r="E217" s="22" t="s">
        <v>484</v>
      </c>
      <c r="F217" s="22" t="s">
        <v>483</v>
      </c>
      <c r="G217" s="22" t="s">
        <v>704</v>
      </c>
      <c r="H217" s="22" t="s">
        <v>703</v>
      </c>
      <c r="I217" s="22" t="s">
        <v>702</v>
      </c>
      <c r="J217" s="22" t="s">
        <v>701</v>
      </c>
      <c r="K217" s="22" t="s">
        <v>700</v>
      </c>
      <c r="L217" s="22" t="s">
        <v>699</v>
      </c>
      <c r="M217" s="22" t="s">
        <v>735</v>
      </c>
      <c r="N217" s="22" t="s">
        <v>732</v>
      </c>
      <c r="O217" s="22" t="s">
        <v>16</v>
      </c>
      <c r="P217" s="22" t="s">
        <v>188</v>
      </c>
      <c r="Q217" s="22">
        <v>103145410</v>
      </c>
      <c r="R217" s="22" t="s">
        <v>87</v>
      </c>
      <c r="S217" s="24">
        <v>2</v>
      </c>
      <c r="T217" s="20" t="s">
        <v>16</v>
      </c>
      <c r="U217" s="25" t="s">
        <v>188</v>
      </c>
      <c r="V217" s="20">
        <v>103145410</v>
      </c>
      <c r="W217" s="25" t="s">
        <v>913</v>
      </c>
      <c r="X217" s="20" t="s">
        <v>189</v>
      </c>
      <c r="Y217" s="20" t="s">
        <v>87</v>
      </c>
      <c r="Z217" s="20" t="s">
        <v>88</v>
      </c>
      <c r="AA217" s="15">
        <v>215.79245283018867</v>
      </c>
      <c r="AB217" s="15">
        <v>229.53333333333333</v>
      </c>
      <c r="AC217" s="15">
        <f t="shared" si="16"/>
        <v>459.06666666666666</v>
      </c>
      <c r="AD217" s="15">
        <f t="shared" si="17"/>
        <v>431.58490566037733</v>
      </c>
      <c r="AE217" s="15">
        <f t="shared" si="18"/>
        <v>27.481761006289332</v>
      </c>
      <c r="AF217" s="16">
        <f t="shared" si="19"/>
        <v>5.9864422755495209E-2</v>
      </c>
      <c r="AG217" s="26" t="str">
        <f t="shared" si="20"/>
        <v>0-10%</v>
      </c>
      <c r="AH217" s="20" t="s">
        <v>921</v>
      </c>
      <c r="AI217" s="20" t="s">
        <v>43</v>
      </c>
      <c r="AJ217" s="20">
        <v>0</v>
      </c>
      <c r="AK217" s="20"/>
    </row>
    <row r="218" spans="1:37" s="27" customFormat="1" ht="12.75" customHeight="1" x14ac:dyDescent="0.2">
      <c r="A218" s="22" t="s">
        <v>486</v>
      </c>
      <c r="B218" s="22" t="s">
        <v>533</v>
      </c>
      <c r="C218" s="23">
        <v>44576</v>
      </c>
      <c r="D218" s="22" t="s">
        <v>485</v>
      </c>
      <c r="E218" s="22" t="s">
        <v>484</v>
      </c>
      <c r="F218" s="22" t="s">
        <v>483</v>
      </c>
      <c r="G218" s="22" t="s">
        <v>482</v>
      </c>
      <c r="H218" s="22" t="s">
        <v>481</v>
      </c>
      <c r="I218" s="22" t="s">
        <v>480</v>
      </c>
      <c r="J218" s="22" t="s">
        <v>479</v>
      </c>
      <c r="K218" s="22" t="s">
        <v>478</v>
      </c>
      <c r="L218" s="22" t="s">
        <v>477</v>
      </c>
      <c r="M218" s="22" t="s">
        <v>532</v>
      </c>
      <c r="N218" s="22" t="s">
        <v>531</v>
      </c>
      <c r="O218" s="22" t="s">
        <v>80</v>
      </c>
      <c r="P218" s="22" t="s">
        <v>428</v>
      </c>
      <c r="Q218" s="22">
        <v>112084733</v>
      </c>
      <c r="R218" s="22" t="s">
        <v>87</v>
      </c>
      <c r="S218" s="24">
        <v>2</v>
      </c>
      <c r="T218" s="20" t="s">
        <v>80</v>
      </c>
      <c r="U218" s="25" t="s">
        <v>428</v>
      </c>
      <c r="V218" s="20">
        <v>112084733</v>
      </c>
      <c r="W218" s="25" t="s">
        <v>912</v>
      </c>
      <c r="X218" s="20" t="s">
        <v>429</v>
      </c>
      <c r="Y218" s="20" t="s">
        <v>87</v>
      </c>
      <c r="Z218" s="20" t="s">
        <v>97</v>
      </c>
      <c r="AA218" s="15">
        <v>332.69</v>
      </c>
      <c r="AB218" s="15">
        <v>397.25</v>
      </c>
      <c r="AC218" s="15">
        <f t="shared" si="16"/>
        <v>794.5</v>
      </c>
      <c r="AD218" s="15">
        <f t="shared" si="17"/>
        <v>665.38</v>
      </c>
      <c r="AE218" s="15">
        <f t="shared" si="18"/>
        <v>129.12</v>
      </c>
      <c r="AF218" s="16">
        <f t="shared" si="19"/>
        <v>0.16251730648206419</v>
      </c>
      <c r="AG218" s="26" t="str">
        <f t="shared" si="20"/>
        <v>10-20%</v>
      </c>
      <c r="AH218" s="20"/>
      <c r="AI218" s="20" t="s">
        <v>43</v>
      </c>
      <c r="AJ218" s="20">
        <v>0</v>
      </c>
      <c r="AK218" s="20"/>
    </row>
    <row r="219" spans="1:37" s="27" customFormat="1" ht="12.75" customHeight="1" x14ac:dyDescent="0.2">
      <c r="A219" s="22" t="s">
        <v>817</v>
      </c>
      <c r="B219" s="22" t="s">
        <v>822</v>
      </c>
      <c r="C219" s="23">
        <v>44578</v>
      </c>
      <c r="D219" s="22" t="s">
        <v>485</v>
      </c>
      <c r="E219" s="22" t="s">
        <v>484</v>
      </c>
      <c r="F219" s="22" t="s">
        <v>815</v>
      </c>
      <c r="G219" s="22" t="s">
        <v>815</v>
      </c>
      <c r="H219" s="22" t="s">
        <v>814</v>
      </c>
      <c r="I219" s="22" t="s">
        <v>813</v>
      </c>
      <c r="J219" s="22" t="s">
        <v>812</v>
      </c>
      <c r="K219" s="22" t="s">
        <v>811</v>
      </c>
      <c r="L219" s="22" t="s">
        <v>810</v>
      </c>
      <c r="M219" s="22" t="s">
        <v>809</v>
      </c>
      <c r="N219" s="22" t="s">
        <v>821</v>
      </c>
      <c r="O219" s="22" t="s">
        <v>16</v>
      </c>
      <c r="P219" s="22" t="s">
        <v>172</v>
      </c>
      <c r="Q219" s="22">
        <v>113223056</v>
      </c>
      <c r="R219" s="22" t="s">
        <v>87</v>
      </c>
      <c r="S219" s="24">
        <v>2</v>
      </c>
      <c r="T219" s="20" t="s">
        <v>16</v>
      </c>
      <c r="U219" s="25" t="s">
        <v>172</v>
      </c>
      <c r="V219" s="20">
        <v>113223056</v>
      </c>
      <c r="W219" s="25" t="s">
        <v>913</v>
      </c>
      <c r="X219" s="20" t="s">
        <v>173</v>
      </c>
      <c r="Y219" s="20" t="s">
        <v>87</v>
      </c>
      <c r="Z219" s="20" t="s">
        <v>88</v>
      </c>
      <c r="AA219" s="15">
        <v>235.99999999999997</v>
      </c>
      <c r="AB219" s="15">
        <v>251.53333333333333</v>
      </c>
      <c r="AC219" s="15">
        <f t="shared" si="16"/>
        <v>503.06666666666666</v>
      </c>
      <c r="AD219" s="15">
        <f t="shared" si="17"/>
        <v>471.99999999999994</v>
      </c>
      <c r="AE219" s="15">
        <f t="shared" si="18"/>
        <v>31.06666666666672</v>
      </c>
      <c r="AF219" s="16">
        <f t="shared" si="19"/>
        <v>6.1754571958653699E-2</v>
      </c>
      <c r="AG219" s="26" t="str">
        <f t="shared" si="20"/>
        <v>0-10%</v>
      </c>
      <c r="AH219" s="20" t="s">
        <v>921</v>
      </c>
      <c r="AI219" s="20" t="s">
        <v>43</v>
      </c>
      <c r="AJ219" s="20">
        <v>0</v>
      </c>
      <c r="AK219" s="20"/>
    </row>
    <row r="220" spans="1:37" s="27" customFormat="1" ht="12.75" customHeight="1" x14ac:dyDescent="0.2">
      <c r="A220" s="22" t="s">
        <v>817</v>
      </c>
      <c r="B220" s="22" t="s">
        <v>822</v>
      </c>
      <c r="C220" s="23">
        <v>44578</v>
      </c>
      <c r="D220" s="22" t="s">
        <v>485</v>
      </c>
      <c r="E220" s="22" t="s">
        <v>484</v>
      </c>
      <c r="F220" s="22" t="s">
        <v>815</v>
      </c>
      <c r="G220" s="22" t="s">
        <v>815</v>
      </c>
      <c r="H220" s="22" t="s">
        <v>814</v>
      </c>
      <c r="I220" s="22" t="s">
        <v>813</v>
      </c>
      <c r="J220" s="22" t="s">
        <v>812</v>
      </c>
      <c r="K220" s="22" t="s">
        <v>811</v>
      </c>
      <c r="L220" s="22" t="s">
        <v>810</v>
      </c>
      <c r="M220" s="22" t="s">
        <v>818</v>
      </c>
      <c r="N220" s="22" t="s">
        <v>821</v>
      </c>
      <c r="O220" s="22" t="s">
        <v>16</v>
      </c>
      <c r="P220" s="22" t="s">
        <v>170</v>
      </c>
      <c r="Q220" s="22">
        <v>113618432</v>
      </c>
      <c r="R220" s="22" t="s">
        <v>87</v>
      </c>
      <c r="S220" s="24">
        <v>3</v>
      </c>
      <c r="T220" s="20" t="s">
        <v>16</v>
      </c>
      <c r="U220" s="25" t="s">
        <v>170</v>
      </c>
      <c r="V220" s="20">
        <v>113618432</v>
      </c>
      <c r="W220" s="25" t="s">
        <v>918</v>
      </c>
      <c r="X220" s="20" t="s">
        <v>171</v>
      </c>
      <c r="Y220" s="20" t="s">
        <v>87</v>
      </c>
      <c r="Z220" s="20" t="s">
        <v>88</v>
      </c>
      <c r="AA220" s="15">
        <v>211.45283018867923</v>
      </c>
      <c r="AB220" s="15">
        <v>225.86666666666667</v>
      </c>
      <c r="AC220" s="15">
        <f t="shared" si="16"/>
        <v>677.6</v>
      </c>
      <c r="AD220" s="15">
        <f t="shared" si="17"/>
        <v>634.35849056603774</v>
      </c>
      <c r="AE220" s="15">
        <f t="shared" si="18"/>
        <v>43.241509433962278</v>
      </c>
      <c r="AF220" s="16">
        <f t="shared" si="19"/>
        <v>6.3815686886012801E-2</v>
      </c>
      <c r="AG220" s="26" t="str">
        <f t="shared" si="20"/>
        <v>0-10%</v>
      </c>
      <c r="AH220" s="20" t="s">
        <v>921</v>
      </c>
      <c r="AI220" s="20" t="s">
        <v>43</v>
      </c>
      <c r="AJ220" s="20">
        <v>0</v>
      </c>
      <c r="AK220" s="20"/>
    </row>
    <row r="221" spans="1:37" s="27" customFormat="1" ht="12.75" customHeight="1" x14ac:dyDescent="0.2">
      <c r="A221" s="22" t="s">
        <v>833</v>
      </c>
      <c r="B221" s="22" t="s">
        <v>840</v>
      </c>
      <c r="C221" s="23">
        <v>44581</v>
      </c>
      <c r="D221" s="22"/>
      <c r="E221" s="22"/>
      <c r="F221" s="22" t="s">
        <v>832</v>
      </c>
      <c r="G221" s="22" t="s">
        <v>832</v>
      </c>
      <c r="H221" s="22" t="s">
        <v>831</v>
      </c>
      <c r="I221" s="22" t="s">
        <v>830</v>
      </c>
      <c r="J221" s="22" t="s">
        <v>829</v>
      </c>
      <c r="K221" s="22" t="s">
        <v>828</v>
      </c>
      <c r="L221" s="22" t="s">
        <v>827</v>
      </c>
      <c r="M221" s="22" t="s">
        <v>487</v>
      </c>
      <c r="N221" s="22" t="s">
        <v>838</v>
      </c>
      <c r="O221" s="22" t="s">
        <v>28</v>
      </c>
      <c r="P221" s="22" t="s">
        <v>143</v>
      </c>
      <c r="Q221" s="22">
        <v>101718677</v>
      </c>
      <c r="R221" s="22" t="s">
        <v>87</v>
      </c>
      <c r="S221" s="24">
        <v>10</v>
      </c>
      <c r="T221" s="20" t="s">
        <v>28</v>
      </c>
      <c r="U221" s="25" t="s">
        <v>143</v>
      </c>
      <c r="V221" s="20">
        <v>101718677</v>
      </c>
      <c r="W221" s="25" t="s">
        <v>910</v>
      </c>
      <c r="X221" s="20" t="s">
        <v>144</v>
      </c>
      <c r="Y221" s="20" t="s">
        <v>87</v>
      </c>
      <c r="Z221" s="20" t="s">
        <v>88</v>
      </c>
      <c r="AA221" s="15">
        <v>10.76</v>
      </c>
      <c r="AB221" s="15">
        <v>11.47</v>
      </c>
      <c r="AC221" s="15">
        <f t="shared" si="16"/>
        <v>114.7</v>
      </c>
      <c r="AD221" s="15">
        <f t="shared" si="17"/>
        <v>107.6</v>
      </c>
      <c r="AE221" s="15">
        <f t="shared" si="18"/>
        <v>7.1000000000000085</v>
      </c>
      <c r="AF221" s="16">
        <f t="shared" si="19"/>
        <v>6.1900610287707138E-2</v>
      </c>
      <c r="AG221" s="26" t="str">
        <f t="shared" si="20"/>
        <v>0-10%</v>
      </c>
      <c r="AH221" s="20"/>
      <c r="AI221" s="20" t="s">
        <v>42</v>
      </c>
      <c r="AJ221" s="20">
        <v>90</v>
      </c>
      <c r="AK221" s="20"/>
    </row>
    <row r="222" spans="1:37" s="27" customFormat="1" ht="12.75" customHeight="1" x14ac:dyDescent="0.2">
      <c r="A222" s="22" t="s">
        <v>833</v>
      </c>
      <c r="B222" s="22" t="s">
        <v>840</v>
      </c>
      <c r="C222" s="23">
        <v>44581</v>
      </c>
      <c r="D222" s="22"/>
      <c r="E222" s="22"/>
      <c r="F222" s="22" t="s">
        <v>832</v>
      </c>
      <c r="G222" s="22" t="s">
        <v>832</v>
      </c>
      <c r="H222" s="22" t="s">
        <v>831</v>
      </c>
      <c r="I222" s="22" t="s">
        <v>830</v>
      </c>
      <c r="J222" s="22" t="s">
        <v>829</v>
      </c>
      <c r="K222" s="22" t="s">
        <v>828</v>
      </c>
      <c r="L222" s="22" t="s">
        <v>827</v>
      </c>
      <c r="M222" s="22" t="s">
        <v>487</v>
      </c>
      <c r="N222" s="22" t="s">
        <v>838</v>
      </c>
      <c r="O222" s="22" t="s">
        <v>28</v>
      </c>
      <c r="P222" s="22" t="s">
        <v>145</v>
      </c>
      <c r="Q222" s="22">
        <v>102075613</v>
      </c>
      <c r="R222" s="22" t="s">
        <v>87</v>
      </c>
      <c r="S222" s="24">
        <v>10</v>
      </c>
      <c r="T222" s="20" t="s">
        <v>28</v>
      </c>
      <c r="U222" s="25" t="s">
        <v>145</v>
      </c>
      <c r="V222" s="20">
        <v>102075613</v>
      </c>
      <c r="W222" s="25" t="s">
        <v>910</v>
      </c>
      <c r="X222" s="20" t="s">
        <v>146</v>
      </c>
      <c r="Y222" s="20" t="s">
        <v>87</v>
      </c>
      <c r="Z222" s="20" t="s">
        <v>88</v>
      </c>
      <c r="AA222" s="15">
        <v>8.33</v>
      </c>
      <c r="AB222" s="15">
        <v>9.33</v>
      </c>
      <c r="AC222" s="15">
        <f t="shared" si="16"/>
        <v>93.3</v>
      </c>
      <c r="AD222" s="15">
        <f t="shared" si="17"/>
        <v>83.3</v>
      </c>
      <c r="AE222" s="15">
        <f t="shared" si="18"/>
        <v>10</v>
      </c>
      <c r="AF222" s="16">
        <f t="shared" si="19"/>
        <v>0.10718113612004287</v>
      </c>
      <c r="AG222" s="26" t="str">
        <f t="shared" si="20"/>
        <v>10-20%</v>
      </c>
      <c r="AH222" s="20"/>
      <c r="AI222" s="20" t="s">
        <v>42</v>
      </c>
      <c r="AJ222" s="20">
        <v>189</v>
      </c>
      <c r="AK222" s="20"/>
    </row>
    <row r="223" spans="1:37" s="27" customFormat="1" ht="12.75" customHeight="1" x14ac:dyDescent="0.2">
      <c r="A223" s="22" t="s">
        <v>833</v>
      </c>
      <c r="B223" s="22" t="s">
        <v>840</v>
      </c>
      <c r="C223" s="23">
        <v>44581</v>
      </c>
      <c r="D223" s="22"/>
      <c r="E223" s="22"/>
      <c r="F223" s="22" t="s">
        <v>832</v>
      </c>
      <c r="G223" s="22" t="s">
        <v>832</v>
      </c>
      <c r="H223" s="22" t="s">
        <v>831</v>
      </c>
      <c r="I223" s="22" t="s">
        <v>830</v>
      </c>
      <c r="J223" s="22" t="s">
        <v>829</v>
      </c>
      <c r="K223" s="22" t="s">
        <v>828</v>
      </c>
      <c r="L223" s="22" t="s">
        <v>827</v>
      </c>
      <c r="M223" s="22" t="s">
        <v>487</v>
      </c>
      <c r="N223" s="22" t="s">
        <v>838</v>
      </c>
      <c r="O223" s="22" t="s">
        <v>28</v>
      </c>
      <c r="P223" s="22" t="s">
        <v>147</v>
      </c>
      <c r="Q223" s="22">
        <v>102088854</v>
      </c>
      <c r="R223" s="22" t="s">
        <v>87</v>
      </c>
      <c r="S223" s="24">
        <v>10</v>
      </c>
      <c r="T223" s="20" t="s">
        <v>28</v>
      </c>
      <c r="U223" s="25" t="s">
        <v>147</v>
      </c>
      <c r="V223" s="20">
        <v>102088854</v>
      </c>
      <c r="W223" s="25" t="s">
        <v>910</v>
      </c>
      <c r="X223" s="20" t="s">
        <v>148</v>
      </c>
      <c r="Y223" s="20" t="s">
        <v>87</v>
      </c>
      <c r="Z223" s="20" t="s">
        <v>88</v>
      </c>
      <c r="AA223" s="15">
        <v>7.37</v>
      </c>
      <c r="AB223" s="15">
        <v>9.33</v>
      </c>
      <c r="AC223" s="15">
        <f t="shared" si="16"/>
        <v>93.3</v>
      </c>
      <c r="AD223" s="15">
        <f t="shared" si="17"/>
        <v>73.7</v>
      </c>
      <c r="AE223" s="15">
        <f t="shared" si="18"/>
        <v>19.599999999999994</v>
      </c>
      <c r="AF223" s="16">
        <f t="shared" si="19"/>
        <v>0.21007502679528398</v>
      </c>
      <c r="AG223" s="26" t="str">
        <f t="shared" si="20"/>
        <v>20-30%</v>
      </c>
      <c r="AH223" s="20"/>
      <c r="AI223" s="20" t="s">
        <v>42</v>
      </c>
      <c r="AJ223" s="20">
        <v>1140</v>
      </c>
      <c r="AK223" s="20"/>
    </row>
    <row r="224" spans="1:37" s="27" customFormat="1" ht="12.75" customHeight="1" x14ac:dyDescent="0.2">
      <c r="A224" s="22" t="s">
        <v>486</v>
      </c>
      <c r="B224" s="22" t="s">
        <v>530</v>
      </c>
      <c r="C224" s="23">
        <v>44587</v>
      </c>
      <c r="D224" s="22" t="s">
        <v>485</v>
      </c>
      <c r="E224" s="22" t="s">
        <v>484</v>
      </c>
      <c r="F224" s="22" t="s">
        <v>483</v>
      </c>
      <c r="G224" s="22" t="s">
        <v>482</v>
      </c>
      <c r="H224" s="22" t="s">
        <v>481</v>
      </c>
      <c r="I224" s="22" t="s">
        <v>480</v>
      </c>
      <c r="J224" s="22" t="s">
        <v>479</v>
      </c>
      <c r="K224" s="22" t="s">
        <v>478</v>
      </c>
      <c r="L224" s="22" t="s">
        <v>477</v>
      </c>
      <c r="M224" s="22" t="s">
        <v>487</v>
      </c>
      <c r="N224" s="22" t="s">
        <v>529</v>
      </c>
      <c r="O224" s="22" t="s">
        <v>24</v>
      </c>
      <c r="P224" s="22" t="s">
        <v>430</v>
      </c>
      <c r="Q224" s="22">
        <v>118883501</v>
      </c>
      <c r="R224" s="22" t="s">
        <v>87</v>
      </c>
      <c r="S224" s="24">
        <v>5</v>
      </c>
      <c r="T224" s="20" t="s">
        <v>24</v>
      </c>
      <c r="U224" s="25" t="s">
        <v>430</v>
      </c>
      <c r="V224" s="20">
        <v>118883501</v>
      </c>
      <c r="W224" s="25" t="s">
        <v>913</v>
      </c>
      <c r="X224" s="20" t="s">
        <v>431</v>
      </c>
      <c r="Y224" s="20" t="s">
        <v>87</v>
      </c>
      <c r="Z224" s="20" t="s">
        <v>97</v>
      </c>
      <c r="AA224" s="15">
        <v>295.11670830730799</v>
      </c>
      <c r="AB224" s="15">
        <v>262.85000000000002</v>
      </c>
      <c r="AC224" s="15">
        <f t="shared" si="16"/>
        <v>1314.25</v>
      </c>
      <c r="AD224" s="15">
        <f t="shared" si="17"/>
        <v>1475.58354153654</v>
      </c>
      <c r="AE224" s="15">
        <f t="shared" si="18"/>
        <v>-161.33354153654</v>
      </c>
      <c r="AF224" s="16">
        <f t="shared" si="19"/>
        <v>-0.1227571173951227</v>
      </c>
      <c r="AG224" s="26" t="str">
        <f t="shared" si="20"/>
        <v>Negative</v>
      </c>
      <c r="AH224" s="20"/>
      <c r="AI224" s="20" t="s">
        <v>43</v>
      </c>
      <c r="AJ224" s="20">
        <v>0</v>
      </c>
      <c r="AK224" s="20"/>
    </row>
    <row r="225" spans="1:37" s="27" customFormat="1" ht="12.75" customHeight="1" x14ac:dyDescent="0.2">
      <c r="A225" s="22" t="s">
        <v>486</v>
      </c>
      <c r="B225" s="22" t="s">
        <v>528</v>
      </c>
      <c r="C225" s="23">
        <v>44587</v>
      </c>
      <c r="D225" s="22" t="s">
        <v>485</v>
      </c>
      <c r="E225" s="22" t="s">
        <v>484</v>
      </c>
      <c r="F225" s="22" t="s">
        <v>483</v>
      </c>
      <c r="G225" s="22" t="s">
        <v>492</v>
      </c>
      <c r="H225" s="22" t="s">
        <v>481</v>
      </c>
      <c r="I225" s="22" t="s">
        <v>491</v>
      </c>
      <c r="J225" s="22" t="s">
        <v>490</v>
      </c>
      <c r="K225" s="22" t="s">
        <v>478</v>
      </c>
      <c r="L225" s="22" t="s">
        <v>489</v>
      </c>
      <c r="M225" s="22" t="s">
        <v>487</v>
      </c>
      <c r="N225" s="22" t="s">
        <v>523</v>
      </c>
      <c r="O225" s="22" t="s">
        <v>70</v>
      </c>
      <c r="P225" s="22" t="s">
        <v>432</v>
      </c>
      <c r="Q225" s="22">
        <v>118972154</v>
      </c>
      <c r="R225" s="22" t="s">
        <v>87</v>
      </c>
      <c r="S225" s="24">
        <v>2</v>
      </c>
      <c r="T225" s="20" t="s">
        <v>70</v>
      </c>
      <c r="U225" s="25" t="s">
        <v>432</v>
      </c>
      <c r="V225" s="20">
        <v>118972154</v>
      </c>
      <c r="W225" s="25" t="s">
        <v>911</v>
      </c>
      <c r="X225" s="20" t="s">
        <v>433</v>
      </c>
      <c r="Y225" s="20" t="s">
        <v>87</v>
      </c>
      <c r="Z225" s="20" t="s">
        <v>97</v>
      </c>
      <c r="AA225" s="15">
        <v>143.26</v>
      </c>
      <c r="AB225" s="15">
        <v>230</v>
      </c>
      <c r="AC225" s="15">
        <f t="shared" si="16"/>
        <v>460</v>
      </c>
      <c r="AD225" s="15">
        <f t="shared" si="17"/>
        <v>286.52</v>
      </c>
      <c r="AE225" s="15">
        <f t="shared" si="18"/>
        <v>173.48000000000002</v>
      </c>
      <c r="AF225" s="16">
        <f t="shared" si="19"/>
        <v>0.37713043478260871</v>
      </c>
      <c r="AG225" s="26" t="str">
        <f t="shared" si="20"/>
        <v>30+%</v>
      </c>
      <c r="AH225" s="20"/>
      <c r="AI225" s="20" t="s">
        <v>43</v>
      </c>
      <c r="AJ225" s="20">
        <v>0</v>
      </c>
      <c r="AK225" s="20"/>
    </row>
    <row r="226" spans="1:37" s="27" customFormat="1" ht="12.75" customHeight="1" x14ac:dyDescent="0.2">
      <c r="A226" s="22" t="s">
        <v>705</v>
      </c>
      <c r="B226" s="22" t="s">
        <v>731</v>
      </c>
      <c r="C226" s="23">
        <v>44588</v>
      </c>
      <c r="D226" s="22" t="s">
        <v>485</v>
      </c>
      <c r="E226" s="22" t="s">
        <v>484</v>
      </c>
      <c r="F226" s="22" t="s">
        <v>483</v>
      </c>
      <c r="G226" s="22" t="s">
        <v>704</v>
      </c>
      <c r="H226" s="22" t="s">
        <v>703</v>
      </c>
      <c r="I226" s="22" t="s">
        <v>702</v>
      </c>
      <c r="J226" s="22" t="s">
        <v>701</v>
      </c>
      <c r="K226" s="22" t="s">
        <v>700</v>
      </c>
      <c r="L226" s="22" t="s">
        <v>699</v>
      </c>
      <c r="M226" s="22" t="s">
        <v>724</v>
      </c>
      <c r="N226" s="22" t="s">
        <v>730</v>
      </c>
      <c r="O226" s="22" t="s">
        <v>16</v>
      </c>
      <c r="P226" s="22" t="s">
        <v>206</v>
      </c>
      <c r="Q226" s="22">
        <v>110986777</v>
      </c>
      <c r="R226" s="22" t="s">
        <v>87</v>
      </c>
      <c r="S226" s="24">
        <v>2</v>
      </c>
      <c r="T226" s="20" t="s">
        <v>16</v>
      </c>
      <c r="U226" s="25" t="s">
        <v>206</v>
      </c>
      <c r="V226" s="20">
        <v>110986777</v>
      </c>
      <c r="W226" s="25" t="s">
        <v>913</v>
      </c>
      <c r="X226" s="20" t="s">
        <v>207</v>
      </c>
      <c r="Y226" s="20" t="s">
        <v>87</v>
      </c>
      <c r="Z226" s="20" t="s">
        <v>88</v>
      </c>
      <c r="AA226" s="15">
        <v>207.84905660377356</v>
      </c>
      <c r="AB226" s="15">
        <v>220.73333333333335</v>
      </c>
      <c r="AC226" s="15">
        <f t="shared" si="16"/>
        <v>441.4666666666667</v>
      </c>
      <c r="AD226" s="15">
        <f t="shared" si="17"/>
        <v>415.69811320754712</v>
      </c>
      <c r="AE226" s="15">
        <f t="shared" si="18"/>
        <v>25.768553459119573</v>
      </c>
      <c r="AF226" s="16">
        <f t="shared" si="19"/>
        <v>5.837032647037052E-2</v>
      </c>
      <c r="AG226" s="26" t="str">
        <f t="shared" si="20"/>
        <v>0-10%</v>
      </c>
      <c r="AH226" s="20" t="s">
        <v>921</v>
      </c>
      <c r="AI226" s="20" t="s">
        <v>43</v>
      </c>
      <c r="AJ226" s="20">
        <v>0</v>
      </c>
      <c r="AK226" s="20"/>
    </row>
    <row r="227" spans="1:37" s="27" customFormat="1" ht="12.75" customHeight="1" x14ac:dyDescent="0.2">
      <c r="A227" s="22" t="s">
        <v>486</v>
      </c>
      <c r="B227" s="22" t="s">
        <v>527</v>
      </c>
      <c r="C227" s="23">
        <v>44588</v>
      </c>
      <c r="D227" s="22" t="s">
        <v>485</v>
      </c>
      <c r="E227" s="22" t="s">
        <v>484</v>
      </c>
      <c r="F227" s="22" t="s">
        <v>483</v>
      </c>
      <c r="G227" s="22" t="s">
        <v>492</v>
      </c>
      <c r="H227" s="22" t="s">
        <v>481</v>
      </c>
      <c r="I227" s="22" t="s">
        <v>491</v>
      </c>
      <c r="J227" s="22" t="s">
        <v>490</v>
      </c>
      <c r="K227" s="22" t="s">
        <v>478</v>
      </c>
      <c r="L227" s="22" t="s">
        <v>489</v>
      </c>
      <c r="M227" s="22" t="s">
        <v>526</v>
      </c>
      <c r="N227" s="22" t="s">
        <v>525</v>
      </c>
      <c r="O227" s="22" t="s">
        <v>66</v>
      </c>
      <c r="P227" s="22" t="s">
        <v>434</v>
      </c>
      <c r="Q227" s="22">
        <v>101829956</v>
      </c>
      <c r="R227" s="22" t="s">
        <v>87</v>
      </c>
      <c r="S227" s="24">
        <v>15</v>
      </c>
      <c r="T227" s="20" t="s">
        <v>66</v>
      </c>
      <c r="U227" s="25" t="s">
        <v>434</v>
      </c>
      <c r="V227" s="20">
        <v>101829956</v>
      </c>
      <c r="W227" s="25" t="s">
        <v>912</v>
      </c>
      <c r="X227" s="20" t="s">
        <v>435</v>
      </c>
      <c r="Y227" s="20" t="s">
        <v>87</v>
      </c>
      <c r="Z227" s="20" t="s">
        <v>88</v>
      </c>
      <c r="AA227" s="15">
        <v>14.2</v>
      </c>
      <c r="AB227" s="15">
        <v>14.55</v>
      </c>
      <c r="AC227" s="15">
        <f t="shared" si="16"/>
        <v>218.25</v>
      </c>
      <c r="AD227" s="15">
        <f t="shared" si="17"/>
        <v>213</v>
      </c>
      <c r="AE227" s="15">
        <f t="shared" si="18"/>
        <v>5.25</v>
      </c>
      <c r="AF227" s="16">
        <f t="shared" si="19"/>
        <v>2.4054982817869417E-2</v>
      </c>
      <c r="AG227" s="26" t="str">
        <f t="shared" si="20"/>
        <v>0-10%</v>
      </c>
      <c r="AH227" s="20"/>
      <c r="AI227" s="20" t="s">
        <v>43</v>
      </c>
      <c r="AJ227" s="20">
        <v>0</v>
      </c>
      <c r="AK227" s="20"/>
    </row>
    <row r="228" spans="1:37" s="27" customFormat="1" ht="12.75" customHeight="1" x14ac:dyDescent="0.2">
      <c r="A228" s="22" t="s">
        <v>883</v>
      </c>
      <c r="B228" s="22" t="s">
        <v>890</v>
      </c>
      <c r="C228" s="23">
        <v>44589</v>
      </c>
      <c r="D228" s="22" t="s">
        <v>485</v>
      </c>
      <c r="E228" s="22" t="s">
        <v>484</v>
      </c>
      <c r="F228" s="22" t="s">
        <v>483</v>
      </c>
      <c r="G228" s="22" t="s">
        <v>881</v>
      </c>
      <c r="H228" s="22" t="s">
        <v>481</v>
      </c>
      <c r="I228" s="22" t="s">
        <v>880</v>
      </c>
      <c r="J228" s="22" t="s">
        <v>879</v>
      </c>
      <c r="K228" s="22" t="s">
        <v>878</v>
      </c>
      <c r="L228" s="22" t="s">
        <v>877</v>
      </c>
      <c r="M228" s="22" t="s">
        <v>885</v>
      </c>
      <c r="N228" s="22" t="s">
        <v>889</v>
      </c>
      <c r="O228" s="22" t="s">
        <v>98</v>
      </c>
      <c r="P228" s="22" t="s">
        <v>99</v>
      </c>
      <c r="Q228" s="22">
        <v>105081744</v>
      </c>
      <c r="R228" s="22" t="s">
        <v>87</v>
      </c>
      <c r="S228" s="24">
        <v>1</v>
      </c>
      <c r="T228" s="20" t="s">
        <v>98</v>
      </c>
      <c r="U228" s="25" t="s">
        <v>99</v>
      </c>
      <c r="V228" s="20">
        <v>105081744</v>
      </c>
      <c r="W228" s="25" t="s">
        <v>916</v>
      </c>
      <c r="X228" s="20" t="s">
        <v>100</v>
      </c>
      <c r="Y228" s="20" t="s">
        <v>87</v>
      </c>
      <c r="Z228" s="20" t="s">
        <v>97</v>
      </c>
      <c r="AA228" s="15">
        <v>150.5</v>
      </c>
      <c r="AB228" s="15">
        <v>150.29</v>
      </c>
      <c r="AC228" s="15">
        <f t="shared" si="16"/>
        <v>150.29</v>
      </c>
      <c r="AD228" s="15">
        <f t="shared" si="17"/>
        <v>150.5</v>
      </c>
      <c r="AE228" s="15">
        <f t="shared" si="18"/>
        <v>-0.21000000000000796</v>
      </c>
      <c r="AF228" s="16">
        <f t="shared" si="19"/>
        <v>-1.3972985561248783E-3</v>
      </c>
      <c r="AG228" s="26" t="str">
        <f t="shared" si="20"/>
        <v>Negative</v>
      </c>
      <c r="AH228" s="20"/>
      <c r="AI228" s="20" t="s">
        <v>43</v>
      </c>
      <c r="AJ228" s="20">
        <v>0</v>
      </c>
      <c r="AK228" s="20"/>
    </row>
    <row r="229" spans="1:37" s="27" customFormat="1" ht="12.75" customHeight="1" x14ac:dyDescent="0.2">
      <c r="A229" s="22" t="s">
        <v>486</v>
      </c>
      <c r="B229" s="22" t="s">
        <v>524</v>
      </c>
      <c r="C229" s="23">
        <v>44589</v>
      </c>
      <c r="D229" s="22" t="s">
        <v>485</v>
      </c>
      <c r="E229" s="22" t="s">
        <v>484</v>
      </c>
      <c r="F229" s="22" t="s">
        <v>483</v>
      </c>
      <c r="G229" s="22" t="s">
        <v>492</v>
      </c>
      <c r="H229" s="22" t="s">
        <v>481</v>
      </c>
      <c r="I229" s="22" t="s">
        <v>491</v>
      </c>
      <c r="J229" s="22" t="s">
        <v>490</v>
      </c>
      <c r="K229" s="22" t="s">
        <v>478</v>
      </c>
      <c r="L229" s="22" t="s">
        <v>489</v>
      </c>
      <c r="M229" s="22" t="s">
        <v>487</v>
      </c>
      <c r="N229" s="22" t="s">
        <v>523</v>
      </c>
      <c r="O229" s="22" t="s">
        <v>70</v>
      </c>
      <c r="P229" s="22" t="s">
        <v>436</v>
      </c>
      <c r="Q229" s="22">
        <v>113862067</v>
      </c>
      <c r="R229" s="22" t="s">
        <v>87</v>
      </c>
      <c r="S229" s="24">
        <v>5</v>
      </c>
      <c r="T229" s="20" t="s">
        <v>70</v>
      </c>
      <c r="U229" s="25" t="s">
        <v>436</v>
      </c>
      <c r="V229" s="20">
        <v>113862067</v>
      </c>
      <c r="W229" s="25" t="s">
        <v>916</v>
      </c>
      <c r="X229" s="20" t="s">
        <v>437</v>
      </c>
      <c r="Y229" s="20" t="s">
        <v>87</v>
      </c>
      <c r="Z229" s="20" t="s">
        <v>97</v>
      </c>
      <c r="AA229" s="15">
        <v>161.37</v>
      </c>
      <c r="AB229" s="15">
        <v>175</v>
      </c>
      <c r="AC229" s="15">
        <f t="shared" si="16"/>
        <v>875</v>
      </c>
      <c r="AD229" s="15">
        <f t="shared" si="17"/>
        <v>806.85</v>
      </c>
      <c r="AE229" s="15">
        <f t="shared" si="18"/>
        <v>68.149999999999977</v>
      </c>
      <c r="AF229" s="16">
        <f t="shared" si="19"/>
        <v>7.7885714285714266E-2</v>
      </c>
      <c r="AG229" s="26" t="str">
        <f t="shared" si="20"/>
        <v>0-10%</v>
      </c>
      <c r="AH229" s="20"/>
      <c r="AI229" s="20" t="s">
        <v>43</v>
      </c>
      <c r="AJ229" s="20">
        <v>0</v>
      </c>
      <c r="AK229" s="20"/>
    </row>
    <row r="230" spans="1:37" s="27" customFormat="1" ht="12.75" customHeight="1" x14ac:dyDescent="0.2">
      <c r="A230" s="22" t="s">
        <v>486</v>
      </c>
      <c r="B230" s="22" t="s">
        <v>524</v>
      </c>
      <c r="C230" s="23">
        <v>44589</v>
      </c>
      <c r="D230" s="22" t="s">
        <v>485</v>
      </c>
      <c r="E230" s="22" t="s">
        <v>484</v>
      </c>
      <c r="F230" s="22" t="s">
        <v>483</v>
      </c>
      <c r="G230" s="22" t="s">
        <v>492</v>
      </c>
      <c r="H230" s="22" t="s">
        <v>481</v>
      </c>
      <c r="I230" s="22" t="s">
        <v>491</v>
      </c>
      <c r="J230" s="22" t="s">
        <v>490</v>
      </c>
      <c r="K230" s="22" t="s">
        <v>478</v>
      </c>
      <c r="L230" s="22" t="s">
        <v>489</v>
      </c>
      <c r="M230" s="22" t="s">
        <v>487</v>
      </c>
      <c r="N230" s="22" t="s">
        <v>523</v>
      </c>
      <c r="O230" s="22" t="s">
        <v>70</v>
      </c>
      <c r="P230" s="22" t="s">
        <v>438</v>
      </c>
      <c r="Q230" s="22">
        <v>118971986</v>
      </c>
      <c r="R230" s="22" t="s">
        <v>87</v>
      </c>
      <c r="S230" s="24">
        <v>4</v>
      </c>
      <c r="T230" s="20" t="s">
        <v>70</v>
      </c>
      <c r="U230" s="25" t="s">
        <v>438</v>
      </c>
      <c r="V230" s="20">
        <v>118971986</v>
      </c>
      <c r="W230" s="25" t="s">
        <v>916</v>
      </c>
      <c r="X230" s="20" t="s">
        <v>439</v>
      </c>
      <c r="Y230" s="20" t="s">
        <v>87</v>
      </c>
      <c r="Z230" s="20" t="s">
        <v>97</v>
      </c>
      <c r="AA230" s="15">
        <v>263.62</v>
      </c>
      <c r="AB230" s="15">
        <v>335</v>
      </c>
      <c r="AC230" s="15">
        <f t="shared" si="16"/>
        <v>1340</v>
      </c>
      <c r="AD230" s="15">
        <f t="shared" si="17"/>
        <v>1054.48</v>
      </c>
      <c r="AE230" s="15">
        <f t="shared" si="18"/>
        <v>285.52</v>
      </c>
      <c r="AF230" s="16">
        <f t="shared" si="19"/>
        <v>0.21307462686567163</v>
      </c>
      <c r="AG230" s="26" t="str">
        <f t="shared" si="20"/>
        <v>20-30%</v>
      </c>
      <c r="AH230" s="20"/>
      <c r="AI230" s="20" t="s">
        <v>43</v>
      </c>
      <c r="AJ230" s="20">
        <v>0</v>
      </c>
      <c r="AK230" s="20"/>
    </row>
    <row r="231" spans="1:37" s="27" customFormat="1" ht="12.75" customHeight="1" x14ac:dyDescent="0.2">
      <c r="A231" s="22" t="s">
        <v>486</v>
      </c>
      <c r="B231" s="22" t="s">
        <v>524</v>
      </c>
      <c r="C231" s="23">
        <v>44589</v>
      </c>
      <c r="D231" s="22" t="s">
        <v>485</v>
      </c>
      <c r="E231" s="22" t="s">
        <v>484</v>
      </c>
      <c r="F231" s="22" t="s">
        <v>483</v>
      </c>
      <c r="G231" s="22" t="s">
        <v>492</v>
      </c>
      <c r="H231" s="22" t="s">
        <v>481</v>
      </c>
      <c r="I231" s="22" t="s">
        <v>491</v>
      </c>
      <c r="J231" s="22" t="s">
        <v>490</v>
      </c>
      <c r="K231" s="22" t="s">
        <v>478</v>
      </c>
      <c r="L231" s="22" t="s">
        <v>489</v>
      </c>
      <c r="M231" s="22" t="s">
        <v>487</v>
      </c>
      <c r="N231" s="22" t="s">
        <v>523</v>
      </c>
      <c r="O231" s="22" t="s">
        <v>440</v>
      </c>
      <c r="P231" s="22" t="s">
        <v>441</v>
      </c>
      <c r="Q231" s="22">
        <v>105910100</v>
      </c>
      <c r="R231" s="22" t="s">
        <v>87</v>
      </c>
      <c r="S231" s="24">
        <v>2</v>
      </c>
      <c r="T231" s="20" t="s">
        <v>440</v>
      </c>
      <c r="U231" s="25" t="s">
        <v>441</v>
      </c>
      <c r="V231" s="20">
        <v>105910100</v>
      </c>
      <c r="W231" s="25" t="s">
        <v>914</v>
      </c>
      <c r="X231" s="20" t="s">
        <v>442</v>
      </c>
      <c r="Y231" s="20" t="s">
        <v>87</v>
      </c>
      <c r="Z231" s="20" t="s">
        <v>97</v>
      </c>
      <c r="AA231" s="15">
        <v>221.71</v>
      </c>
      <c r="AB231" s="15">
        <v>290.60000000000002</v>
      </c>
      <c r="AC231" s="15">
        <f t="shared" si="16"/>
        <v>581.20000000000005</v>
      </c>
      <c r="AD231" s="15">
        <f t="shared" si="17"/>
        <v>443.42</v>
      </c>
      <c r="AE231" s="15">
        <f t="shared" si="18"/>
        <v>137.78000000000003</v>
      </c>
      <c r="AF231" s="16">
        <f t="shared" si="19"/>
        <v>0.23706125258086722</v>
      </c>
      <c r="AG231" s="26" t="str">
        <f t="shared" si="20"/>
        <v>20-30%</v>
      </c>
      <c r="AH231" s="20"/>
      <c r="AI231" s="20" t="s">
        <v>43</v>
      </c>
      <c r="AJ231" s="20">
        <v>0</v>
      </c>
      <c r="AK231" s="20"/>
    </row>
    <row r="232" spans="1:37" s="27" customFormat="1" ht="12.75" customHeight="1" x14ac:dyDescent="0.2">
      <c r="A232" s="22" t="s">
        <v>817</v>
      </c>
      <c r="B232" s="22" t="s">
        <v>820</v>
      </c>
      <c r="C232" s="23">
        <v>44592</v>
      </c>
      <c r="D232" s="22" t="s">
        <v>485</v>
      </c>
      <c r="E232" s="22" t="s">
        <v>484</v>
      </c>
      <c r="F232" s="22" t="s">
        <v>815</v>
      </c>
      <c r="G232" s="22" t="s">
        <v>815</v>
      </c>
      <c r="H232" s="22" t="s">
        <v>814</v>
      </c>
      <c r="I232" s="22" t="s">
        <v>813</v>
      </c>
      <c r="J232" s="22" t="s">
        <v>812</v>
      </c>
      <c r="K232" s="22" t="s">
        <v>811</v>
      </c>
      <c r="L232" s="22" t="s">
        <v>810</v>
      </c>
      <c r="M232" s="22" t="s">
        <v>809</v>
      </c>
      <c r="N232" s="22" t="s">
        <v>819</v>
      </c>
      <c r="O232" s="22" t="s">
        <v>16</v>
      </c>
      <c r="P232" s="22" t="s">
        <v>172</v>
      </c>
      <c r="Q232" s="22">
        <v>113223056</v>
      </c>
      <c r="R232" s="22" t="s">
        <v>87</v>
      </c>
      <c r="S232" s="24">
        <v>1</v>
      </c>
      <c r="T232" s="20" t="s">
        <v>16</v>
      </c>
      <c r="U232" s="25" t="s">
        <v>172</v>
      </c>
      <c r="V232" s="20">
        <v>113223056</v>
      </c>
      <c r="W232" s="25" t="s">
        <v>913</v>
      </c>
      <c r="X232" s="20" t="s">
        <v>173</v>
      </c>
      <c r="Y232" s="20" t="s">
        <v>87</v>
      </c>
      <c r="Z232" s="20" t="s">
        <v>88</v>
      </c>
      <c r="AA232" s="15">
        <v>235.99999999999997</v>
      </c>
      <c r="AB232" s="15">
        <v>251.53333333333333</v>
      </c>
      <c r="AC232" s="15">
        <f t="shared" si="16"/>
        <v>251.53333333333333</v>
      </c>
      <c r="AD232" s="15">
        <f t="shared" si="17"/>
        <v>235.99999999999997</v>
      </c>
      <c r="AE232" s="15">
        <f t="shared" si="18"/>
        <v>15.53333333333336</v>
      </c>
      <c r="AF232" s="16">
        <f t="shared" si="19"/>
        <v>6.1754571958653699E-2</v>
      </c>
      <c r="AG232" s="26" t="str">
        <f t="shared" si="20"/>
        <v>0-10%</v>
      </c>
      <c r="AH232" s="20" t="s">
        <v>921</v>
      </c>
      <c r="AI232" s="20" t="s">
        <v>43</v>
      </c>
      <c r="AJ232" s="20">
        <v>0</v>
      </c>
      <c r="AK232" s="20"/>
    </row>
    <row r="233" spans="1:37" s="27" customFormat="1" ht="12.75" customHeight="1" x14ac:dyDescent="0.2">
      <c r="A233" s="22" t="s">
        <v>817</v>
      </c>
      <c r="B233" s="22" t="s">
        <v>820</v>
      </c>
      <c r="C233" s="23">
        <v>44592</v>
      </c>
      <c r="D233" s="22" t="s">
        <v>485</v>
      </c>
      <c r="E233" s="22" t="s">
        <v>484</v>
      </c>
      <c r="F233" s="22" t="s">
        <v>815</v>
      </c>
      <c r="G233" s="22" t="s">
        <v>815</v>
      </c>
      <c r="H233" s="22" t="s">
        <v>814</v>
      </c>
      <c r="I233" s="22" t="s">
        <v>813</v>
      </c>
      <c r="J233" s="22" t="s">
        <v>812</v>
      </c>
      <c r="K233" s="22" t="s">
        <v>811</v>
      </c>
      <c r="L233" s="22" t="s">
        <v>810</v>
      </c>
      <c r="M233" s="22" t="s">
        <v>818</v>
      </c>
      <c r="N233" s="22" t="s">
        <v>819</v>
      </c>
      <c r="O233" s="22" t="s">
        <v>16</v>
      </c>
      <c r="P233" s="22" t="s">
        <v>170</v>
      </c>
      <c r="Q233" s="22">
        <v>113618432</v>
      </c>
      <c r="R233" s="22" t="s">
        <v>87</v>
      </c>
      <c r="S233" s="24">
        <v>1</v>
      </c>
      <c r="T233" s="20" t="s">
        <v>16</v>
      </c>
      <c r="U233" s="25" t="s">
        <v>170</v>
      </c>
      <c r="V233" s="20">
        <v>113618432</v>
      </c>
      <c r="W233" s="25" t="s">
        <v>918</v>
      </c>
      <c r="X233" s="20" t="s">
        <v>171</v>
      </c>
      <c r="Y233" s="20" t="s">
        <v>87</v>
      </c>
      <c r="Z233" s="20" t="s">
        <v>88</v>
      </c>
      <c r="AA233" s="15">
        <v>211.45283018867923</v>
      </c>
      <c r="AB233" s="15">
        <v>225.86666666666667</v>
      </c>
      <c r="AC233" s="15">
        <f t="shared" si="16"/>
        <v>225.86666666666667</v>
      </c>
      <c r="AD233" s="15">
        <f t="shared" si="17"/>
        <v>211.45283018867923</v>
      </c>
      <c r="AE233" s="15">
        <f t="shared" si="18"/>
        <v>14.413836477987445</v>
      </c>
      <c r="AF233" s="16">
        <f t="shared" si="19"/>
        <v>6.3815686886012885E-2</v>
      </c>
      <c r="AG233" s="26" t="str">
        <f t="shared" si="20"/>
        <v>0-10%</v>
      </c>
      <c r="AH233" s="20" t="s">
        <v>921</v>
      </c>
      <c r="AI233" s="20" t="s">
        <v>43</v>
      </c>
      <c r="AJ233" s="20">
        <v>0</v>
      </c>
      <c r="AK233" s="20"/>
    </row>
    <row r="234" spans="1:37" s="27" customFormat="1" ht="12.75" customHeight="1" x14ac:dyDescent="0.2">
      <c r="A234" s="22" t="s">
        <v>486</v>
      </c>
      <c r="B234" s="22" t="s">
        <v>522</v>
      </c>
      <c r="C234" s="23">
        <v>44592</v>
      </c>
      <c r="D234" s="22" t="s">
        <v>485</v>
      </c>
      <c r="E234" s="22" t="s">
        <v>484</v>
      </c>
      <c r="F234" s="22" t="s">
        <v>483</v>
      </c>
      <c r="G234" s="22" t="s">
        <v>492</v>
      </c>
      <c r="H234" s="22" t="s">
        <v>481</v>
      </c>
      <c r="I234" s="22" t="s">
        <v>491</v>
      </c>
      <c r="J234" s="22" t="s">
        <v>490</v>
      </c>
      <c r="K234" s="22" t="s">
        <v>478</v>
      </c>
      <c r="L234" s="22" t="s">
        <v>489</v>
      </c>
      <c r="M234" s="22" t="s">
        <v>521</v>
      </c>
      <c r="N234" s="22" t="s">
        <v>519</v>
      </c>
      <c r="O234" s="22" t="s">
        <v>18</v>
      </c>
      <c r="P234" s="22" t="s">
        <v>443</v>
      </c>
      <c r="Q234" s="22">
        <v>100792143</v>
      </c>
      <c r="R234" s="22" t="s">
        <v>87</v>
      </c>
      <c r="S234" s="24">
        <v>1</v>
      </c>
      <c r="T234" s="20" t="s">
        <v>18</v>
      </c>
      <c r="U234" s="25" t="s">
        <v>443</v>
      </c>
      <c r="V234" s="20">
        <v>100792143</v>
      </c>
      <c r="W234" s="25" t="s">
        <v>912</v>
      </c>
      <c r="X234" s="20" t="s">
        <v>444</v>
      </c>
      <c r="Y234" s="20" t="s">
        <v>87</v>
      </c>
      <c r="Z234" s="20" t="s">
        <v>88</v>
      </c>
      <c r="AA234" s="15">
        <v>11.696629213483146</v>
      </c>
      <c r="AB234" s="15">
        <v>11.84</v>
      </c>
      <c r="AC234" s="15">
        <f t="shared" si="16"/>
        <v>11.84</v>
      </c>
      <c r="AD234" s="15">
        <f t="shared" si="17"/>
        <v>11.696629213483146</v>
      </c>
      <c r="AE234" s="15">
        <f t="shared" si="18"/>
        <v>0.14337078651685431</v>
      </c>
      <c r="AF234" s="16">
        <f t="shared" si="19"/>
        <v>1.2109019131491074E-2</v>
      </c>
      <c r="AG234" s="26" t="str">
        <f t="shared" si="20"/>
        <v>0-10%</v>
      </c>
      <c r="AH234" s="20"/>
      <c r="AI234" s="20" t="s">
        <v>43</v>
      </c>
      <c r="AJ234" s="20">
        <v>0</v>
      </c>
      <c r="AK234" s="20"/>
    </row>
    <row r="235" spans="1:37" s="27" customFormat="1" ht="12.75" customHeight="1" x14ac:dyDescent="0.2">
      <c r="A235" s="22" t="s">
        <v>486</v>
      </c>
      <c r="B235" s="22" t="s">
        <v>520</v>
      </c>
      <c r="C235" s="23">
        <v>44592</v>
      </c>
      <c r="D235" s="22" t="s">
        <v>485</v>
      </c>
      <c r="E235" s="22" t="s">
        <v>484</v>
      </c>
      <c r="F235" s="22" t="s">
        <v>483</v>
      </c>
      <c r="G235" s="22" t="s">
        <v>492</v>
      </c>
      <c r="H235" s="22" t="s">
        <v>481</v>
      </c>
      <c r="I235" s="22" t="s">
        <v>491</v>
      </c>
      <c r="J235" s="22" t="s">
        <v>490</v>
      </c>
      <c r="K235" s="22" t="s">
        <v>478</v>
      </c>
      <c r="L235" s="22" t="s">
        <v>489</v>
      </c>
      <c r="M235" s="22" t="s">
        <v>487</v>
      </c>
      <c r="N235" s="22" t="s">
        <v>519</v>
      </c>
      <c r="O235" s="22" t="s">
        <v>18</v>
      </c>
      <c r="P235" s="22" t="s">
        <v>445</v>
      </c>
      <c r="Q235" s="22">
        <v>100792130</v>
      </c>
      <c r="R235" s="22" t="s">
        <v>87</v>
      </c>
      <c r="S235" s="24">
        <v>1</v>
      </c>
      <c r="T235" s="20" t="s">
        <v>18</v>
      </c>
      <c r="U235" s="25" t="s">
        <v>445</v>
      </c>
      <c r="V235" s="20">
        <v>100792130</v>
      </c>
      <c r="W235" s="25" t="s">
        <v>912</v>
      </c>
      <c r="X235" s="20" t="s">
        <v>446</v>
      </c>
      <c r="Y235" s="20" t="s">
        <v>87</v>
      </c>
      <c r="Z235" s="20" t="s">
        <v>88</v>
      </c>
      <c r="AA235" s="15">
        <v>12.695109307305414</v>
      </c>
      <c r="AB235" s="15">
        <v>11.84</v>
      </c>
      <c r="AC235" s="15">
        <f t="shared" si="16"/>
        <v>11.84</v>
      </c>
      <c r="AD235" s="15">
        <f t="shared" si="17"/>
        <v>12.695109307305414</v>
      </c>
      <c r="AE235" s="15">
        <f t="shared" si="18"/>
        <v>-0.85510930730541368</v>
      </c>
      <c r="AF235" s="16">
        <f t="shared" si="19"/>
        <v>-7.2222069873768044E-2</v>
      </c>
      <c r="AG235" s="26" t="str">
        <f t="shared" si="20"/>
        <v>Negative</v>
      </c>
      <c r="AH235" s="20"/>
      <c r="AI235" s="20" t="s">
        <v>42</v>
      </c>
      <c r="AJ235" s="20">
        <v>13</v>
      </c>
      <c r="AK235" s="20"/>
    </row>
    <row r="236" spans="1:37" s="27" customFormat="1" ht="12.75" customHeight="1" x14ac:dyDescent="0.2">
      <c r="A236" s="22" t="s">
        <v>705</v>
      </c>
      <c r="B236" s="22" t="s">
        <v>729</v>
      </c>
      <c r="C236" s="23">
        <v>44595</v>
      </c>
      <c r="D236" s="22" t="s">
        <v>485</v>
      </c>
      <c r="E236" s="22" t="s">
        <v>484</v>
      </c>
      <c r="F236" s="22" t="s">
        <v>483</v>
      </c>
      <c r="G236" s="22" t="s">
        <v>704</v>
      </c>
      <c r="H236" s="22" t="s">
        <v>703</v>
      </c>
      <c r="I236" s="22" t="s">
        <v>702</v>
      </c>
      <c r="J236" s="22" t="s">
        <v>701</v>
      </c>
      <c r="K236" s="22" t="s">
        <v>700</v>
      </c>
      <c r="L236" s="22" t="s">
        <v>699</v>
      </c>
      <c r="M236" s="22" t="s">
        <v>724</v>
      </c>
      <c r="N236" s="22" t="s">
        <v>728</v>
      </c>
      <c r="O236" s="22" t="s">
        <v>16</v>
      </c>
      <c r="P236" s="22" t="s">
        <v>206</v>
      </c>
      <c r="Q236" s="22">
        <v>110986777</v>
      </c>
      <c r="R236" s="22" t="s">
        <v>87</v>
      </c>
      <c r="S236" s="24">
        <v>1</v>
      </c>
      <c r="T236" s="20" t="s">
        <v>16</v>
      </c>
      <c r="U236" s="25" t="s">
        <v>206</v>
      </c>
      <c r="V236" s="20">
        <v>110986777</v>
      </c>
      <c r="W236" s="25" t="s">
        <v>913</v>
      </c>
      <c r="X236" s="20" t="s">
        <v>207</v>
      </c>
      <c r="Y236" s="20" t="s">
        <v>87</v>
      </c>
      <c r="Z236" s="20" t="s">
        <v>88</v>
      </c>
      <c r="AA236" s="15">
        <v>207.84905660377356</v>
      </c>
      <c r="AB236" s="15">
        <v>220.73333333333335</v>
      </c>
      <c r="AC236" s="15">
        <f t="shared" si="16"/>
        <v>220.73333333333335</v>
      </c>
      <c r="AD236" s="15">
        <f t="shared" si="17"/>
        <v>207.84905660377356</v>
      </c>
      <c r="AE236" s="15">
        <f t="shared" si="18"/>
        <v>12.884276729559787</v>
      </c>
      <c r="AF236" s="16">
        <f t="shared" si="19"/>
        <v>5.837032647037052E-2</v>
      </c>
      <c r="AG236" s="26" t="str">
        <f t="shared" si="20"/>
        <v>0-10%</v>
      </c>
      <c r="AH236" s="20" t="s">
        <v>921</v>
      </c>
      <c r="AI236" s="20" t="s">
        <v>43</v>
      </c>
      <c r="AJ236" s="20">
        <v>0</v>
      </c>
      <c r="AK236" s="20"/>
    </row>
    <row r="237" spans="1:37" s="27" customFormat="1" ht="12.75" customHeight="1" x14ac:dyDescent="0.2">
      <c r="A237" s="22" t="s">
        <v>705</v>
      </c>
      <c r="B237" s="22" t="s">
        <v>727</v>
      </c>
      <c r="C237" s="23">
        <v>44595</v>
      </c>
      <c r="D237" s="22" t="s">
        <v>485</v>
      </c>
      <c r="E237" s="22" t="s">
        <v>484</v>
      </c>
      <c r="F237" s="22" t="s">
        <v>483</v>
      </c>
      <c r="G237" s="22" t="s">
        <v>704</v>
      </c>
      <c r="H237" s="22" t="s">
        <v>703</v>
      </c>
      <c r="I237" s="22" t="s">
        <v>702</v>
      </c>
      <c r="J237" s="22" t="s">
        <v>701</v>
      </c>
      <c r="K237" s="22" t="s">
        <v>700</v>
      </c>
      <c r="L237" s="22" t="s">
        <v>699</v>
      </c>
      <c r="M237" s="22" t="s">
        <v>724</v>
      </c>
      <c r="N237" s="22" t="s">
        <v>726</v>
      </c>
      <c r="O237" s="22" t="s">
        <v>16</v>
      </c>
      <c r="P237" s="22" t="s">
        <v>206</v>
      </c>
      <c r="Q237" s="22">
        <v>110986777</v>
      </c>
      <c r="R237" s="22" t="s">
        <v>87</v>
      </c>
      <c r="S237" s="24">
        <v>1</v>
      </c>
      <c r="T237" s="20" t="s">
        <v>16</v>
      </c>
      <c r="U237" s="25" t="s">
        <v>206</v>
      </c>
      <c r="V237" s="20">
        <v>110986777</v>
      </c>
      <c r="W237" s="25" t="s">
        <v>913</v>
      </c>
      <c r="X237" s="20" t="s">
        <v>207</v>
      </c>
      <c r="Y237" s="20" t="s">
        <v>87</v>
      </c>
      <c r="Z237" s="20" t="s">
        <v>88</v>
      </c>
      <c r="AA237" s="15">
        <v>207.84905660377356</v>
      </c>
      <c r="AB237" s="15">
        <v>220.73333333333335</v>
      </c>
      <c r="AC237" s="15">
        <f t="shared" si="16"/>
        <v>220.73333333333335</v>
      </c>
      <c r="AD237" s="15">
        <f t="shared" si="17"/>
        <v>207.84905660377356</v>
      </c>
      <c r="AE237" s="15">
        <f t="shared" si="18"/>
        <v>12.884276729559787</v>
      </c>
      <c r="AF237" s="16">
        <f t="shared" si="19"/>
        <v>5.837032647037052E-2</v>
      </c>
      <c r="AG237" s="26" t="str">
        <f t="shared" si="20"/>
        <v>0-10%</v>
      </c>
      <c r="AH237" s="20" t="s">
        <v>921</v>
      </c>
      <c r="AI237" s="20" t="s">
        <v>43</v>
      </c>
      <c r="AJ237" s="20">
        <v>0</v>
      </c>
      <c r="AK237" s="20"/>
    </row>
    <row r="238" spans="1:37" s="27" customFormat="1" ht="12.75" customHeight="1" x14ac:dyDescent="0.2">
      <c r="A238" s="22" t="s">
        <v>705</v>
      </c>
      <c r="B238" s="22" t="s">
        <v>725</v>
      </c>
      <c r="C238" s="23">
        <v>44595</v>
      </c>
      <c r="D238" s="22" t="s">
        <v>485</v>
      </c>
      <c r="E238" s="22" t="s">
        <v>484</v>
      </c>
      <c r="F238" s="22" t="s">
        <v>483</v>
      </c>
      <c r="G238" s="22" t="s">
        <v>704</v>
      </c>
      <c r="H238" s="22" t="s">
        <v>703</v>
      </c>
      <c r="I238" s="22" t="s">
        <v>702</v>
      </c>
      <c r="J238" s="22" t="s">
        <v>701</v>
      </c>
      <c r="K238" s="22" t="s">
        <v>700</v>
      </c>
      <c r="L238" s="22" t="s">
        <v>699</v>
      </c>
      <c r="M238" s="22" t="s">
        <v>724</v>
      </c>
      <c r="N238" s="22" t="s">
        <v>723</v>
      </c>
      <c r="O238" s="22" t="s">
        <v>16</v>
      </c>
      <c r="P238" s="22" t="s">
        <v>206</v>
      </c>
      <c r="Q238" s="22">
        <v>110986777</v>
      </c>
      <c r="R238" s="22" t="s">
        <v>87</v>
      </c>
      <c r="S238" s="24">
        <v>1</v>
      </c>
      <c r="T238" s="20" t="s">
        <v>16</v>
      </c>
      <c r="U238" s="25" t="s">
        <v>206</v>
      </c>
      <c r="V238" s="20">
        <v>110986777</v>
      </c>
      <c r="W238" s="25" t="s">
        <v>913</v>
      </c>
      <c r="X238" s="20" t="s">
        <v>207</v>
      </c>
      <c r="Y238" s="20" t="s">
        <v>87</v>
      </c>
      <c r="Z238" s="20" t="s">
        <v>88</v>
      </c>
      <c r="AA238" s="15">
        <v>207.84905660377356</v>
      </c>
      <c r="AB238" s="15">
        <v>220.73333333333335</v>
      </c>
      <c r="AC238" s="15">
        <f t="shared" si="16"/>
        <v>220.73333333333335</v>
      </c>
      <c r="AD238" s="15">
        <f t="shared" si="17"/>
        <v>207.84905660377356</v>
      </c>
      <c r="AE238" s="15">
        <f t="shared" si="18"/>
        <v>12.884276729559787</v>
      </c>
      <c r="AF238" s="16">
        <f t="shared" si="19"/>
        <v>5.837032647037052E-2</v>
      </c>
      <c r="AG238" s="26" t="str">
        <f t="shared" si="20"/>
        <v>0-10%</v>
      </c>
      <c r="AH238" s="20" t="s">
        <v>921</v>
      </c>
      <c r="AI238" s="20" t="s">
        <v>43</v>
      </c>
      <c r="AJ238" s="20">
        <v>0</v>
      </c>
      <c r="AK238" s="20"/>
    </row>
    <row r="239" spans="1:37" s="27" customFormat="1" ht="12.75" customHeight="1" x14ac:dyDescent="0.2">
      <c r="A239" s="22" t="s">
        <v>486</v>
      </c>
      <c r="B239" s="22" t="s">
        <v>518</v>
      </c>
      <c r="C239" s="23">
        <v>44597</v>
      </c>
      <c r="D239" s="22" t="s">
        <v>485</v>
      </c>
      <c r="E239" s="22" t="s">
        <v>484</v>
      </c>
      <c r="F239" s="22" t="s">
        <v>483</v>
      </c>
      <c r="G239" s="22" t="s">
        <v>492</v>
      </c>
      <c r="H239" s="22" t="s">
        <v>481</v>
      </c>
      <c r="I239" s="22" t="s">
        <v>491</v>
      </c>
      <c r="J239" s="22" t="s">
        <v>490</v>
      </c>
      <c r="K239" s="22" t="s">
        <v>478</v>
      </c>
      <c r="L239" s="22" t="s">
        <v>489</v>
      </c>
      <c r="M239" s="22" t="s">
        <v>487</v>
      </c>
      <c r="N239" s="22" t="s">
        <v>517</v>
      </c>
      <c r="O239" s="22" t="s">
        <v>2</v>
      </c>
      <c r="P239" s="22" t="s">
        <v>266</v>
      </c>
      <c r="Q239" s="22">
        <v>101963961</v>
      </c>
      <c r="R239" s="22" t="s">
        <v>87</v>
      </c>
      <c r="S239" s="24">
        <v>10</v>
      </c>
      <c r="T239" s="20" t="s">
        <v>2</v>
      </c>
      <c r="U239" s="25" t="s">
        <v>266</v>
      </c>
      <c r="V239" s="20">
        <v>101963961</v>
      </c>
      <c r="W239" s="25" t="s">
        <v>911</v>
      </c>
      <c r="X239" s="20" t="s">
        <v>267</v>
      </c>
      <c r="Y239" s="20" t="s">
        <v>87</v>
      </c>
      <c r="Z239" s="20" t="s">
        <v>88</v>
      </c>
      <c r="AA239" s="15">
        <v>27.031914893617024</v>
      </c>
      <c r="AB239" s="15">
        <v>54.64</v>
      </c>
      <c r="AC239" s="15">
        <f t="shared" si="16"/>
        <v>546.4</v>
      </c>
      <c r="AD239" s="15">
        <f t="shared" si="17"/>
        <v>270.31914893617022</v>
      </c>
      <c r="AE239" s="15">
        <f t="shared" si="18"/>
        <v>276.08085106382975</v>
      </c>
      <c r="AF239" s="16">
        <f t="shared" si="19"/>
        <v>0.50527242141989337</v>
      </c>
      <c r="AG239" s="26" t="str">
        <f t="shared" si="20"/>
        <v>30+%</v>
      </c>
      <c r="AH239" s="20"/>
      <c r="AI239" s="20" t="s">
        <v>43</v>
      </c>
      <c r="AJ239" s="20">
        <v>21</v>
      </c>
      <c r="AK239" s="20"/>
    </row>
    <row r="240" spans="1:37" s="27" customFormat="1" ht="12.75" customHeight="1" x14ac:dyDescent="0.2">
      <c r="A240" s="22" t="s">
        <v>486</v>
      </c>
      <c r="B240" s="22" t="s">
        <v>516</v>
      </c>
      <c r="C240" s="23">
        <v>44597</v>
      </c>
      <c r="D240" s="22" t="s">
        <v>485</v>
      </c>
      <c r="E240" s="22" t="s">
        <v>484</v>
      </c>
      <c r="F240" s="22" t="s">
        <v>483</v>
      </c>
      <c r="G240" s="22" t="s">
        <v>482</v>
      </c>
      <c r="H240" s="22" t="s">
        <v>481</v>
      </c>
      <c r="I240" s="22" t="s">
        <v>480</v>
      </c>
      <c r="J240" s="22" t="s">
        <v>479</v>
      </c>
      <c r="K240" s="22" t="s">
        <v>478</v>
      </c>
      <c r="L240" s="22" t="s">
        <v>477</v>
      </c>
      <c r="M240" s="22" t="s">
        <v>515</v>
      </c>
      <c r="N240" s="22" t="s">
        <v>514</v>
      </c>
      <c r="O240" s="22" t="s">
        <v>6</v>
      </c>
      <c r="P240" s="22" t="s">
        <v>447</v>
      </c>
      <c r="Q240" s="22">
        <v>115483490</v>
      </c>
      <c r="R240" s="22" t="s">
        <v>87</v>
      </c>
      <c r="S240" s="24">
        <v>1</v>
      </c>
      <c r="T240" s="20" t="s">
        <v>6</v>
      </c>
      <c r="U240" s="25" t="s">
        <v>447</v>
      </c>
      <c r="V240" s="20">
        <v>115483490</v>
      </c>
      <c r="W240" s="25" t="s">
        <v>912</v>
      </c>
      <c r="X240" s="20" t="s">
        <v>448</v>
      </c>
      <c r="Y240" s="20" t="s">
        <v>87</v>
      </c>
      <c r="Z240" s="20" t="s">
        <v>97</v>
      </c>
      <c r="AA240" s="15">
        <v>601.86363636363637</v>
      </c>
      <c r="AB240" s="15">
        <v>602.75</v>
      </c>
      <c r="AC240" s="15">
        <f t="shared" si="16"/>
        <v>602.75</v>
      </c>
      <c r="AD240" s="15">
        <f t="shared" si="17"/>
        <v>601.86363636363637</v>
      </c>
      <c r="AE240" s="15">
        <f t="shared" si="18"/>
        <v>0.88636363636362603</v>
      </c>
      <c r="AF240" s="16">
        <f t="shared" si="19"/>
        <v>1.4705327853399021E-3</v>
      </c>
      <c r="AG240" s="26" t="str">
        <f t="shared" si="20"/>
        <v>0-10%</v>
      </c>
      <c r="AH240" s="20"/>
      <c r="AI240" s="20" t="s">
        <v>43</v>
      </c>
      <c r="AJ240" s="20">
        <v>0</v>
      </c>
      <c r="AK240" s="20"/>
    </row>
    <row r="241" spans="1:37" s="27" customFormat="1" ht="12.75" customHeight="1" x14ac:dyDescent="0.2">
      <c r="A241" s="22" t="s">
        <v>486</v>
      </c>
      <c r="B241" s="22" t="s">
        <v>513</v>
      </c>
      <c r="C241" s="23">
        <v>44598</v>
      </c>
      <c r="D241" s="22" t="s">
        <v>485</v>
      </c>
      <c r="E241" s="22" t="s">
        <v>484</v>
      </c>
      <c r="F241" s="22" t="s">
        <v>483</v>
      </c>
      <c r="G241" s="22" t="s">
        <v>482</v>
      </c>
      <c r="H241" s="22" t="s">
        <v>481</v>
      </c>
      <c r="I241" s="22" t="s">
        <v>480</v>
      </c>
      <c r="J241" s="22" t="s">
        <v>479</v>
      </c>
      <c r="K241" s="22" t="s">
        <v>478</v>
      </c>
      <c r="L241" s="22" t="s">
        <v>477</v>
      </c>
      <c r="M241" s="22" t="s">
        <v>487</v>
      </c>
      <c r="N241" s="22" t="s">
        <v>512</v>
      </c>
      <c r="O241" s="22" t="s">
        <v>66</v>
      </c>
      <c r="P241" s="22" t="s">
        <v>449</v>
      </c>
      <c r="Q241" s="22">
        <v>104621300</v>
      </c>
      <c r="R241" s="22" t="s">
        <v>87</v>
      </c>
      <c r="S241" s="24">
        <v>20</v>
      </c>
      <c r="T241" s="20" t="s">
        <v>66</v>
      </c>
      <c r="U241" s="25" t="s">
        <v>449</v>
      </c>
      <c r="V241" s="20">
        <v>104621300</v>
      </c>
      <c r="W241" s="25" t="s">
        <v>912</v>
      </c>
      <c r="X241" s="20" t="s">
        <v>450</v>
      </c>
      <c r="Y241" s="20" t="s">
        <v>87</v>
      </c>
      <c r="Z241" s="20" t="s">
        <v>88</v>
      </c>
      <c r="AA241" s="15">
        <v>69.477777777777774</v>
      </c>
      <c r="AB241" s="15">
        <v>71.16</v>
      </c>
      <c r="AC241" s="15">
        <f t="shared" si="16"/>
        <v>1423.1999999999998</v>
      </c>
      <c r="AD241" s="15">
        <f t="shared" si="17"/>
        <v>1389.5555555555554</v>
      </c>
      <c r="AE241" s="15">
        <f t="shared" si="18"/>
        <v>33.644444444444389</v>
      </c>
      <c r="AF241" s="16">
        <f t="shared" si="19"/>
        <v>2.3639997501717532E-2</v>
      </c>
      <c r="AG241" s="26" t="str">
        <f t="shared" si="20"/>
        <v>0-10%</v>
      </c>
      <c r="AH241" s="20"/>
      <c r="AI241" s="20" t="s">
        <v>43</v>
      </c>
      <c r="AJ241" s="20">
        <v>0</v>
      </c>
      <c r="AK241" s="20"/>
    </row>
    <row r="242" spans="1:37" s="27" customFormat="1" ht="12.75" customHeight="1" x14ac:dyDescent="0.2">
      <c r="A242" s="22" t="s">
        <v>833</v>
      </c>
      <c r="B242" s="22" t="s">
        <v>839</v>
      </c>
      <c r="C242" s="23">
        <v>44599</v>
      </c>
      <c r="D242" s="22"/>
      <c r="E242" s="22"/>
      <c r="F242" s="22" t="s">
        <v>832</v>
      </c>
      <c r="G242" s="22" t="s">
        <v>832</v>
      </c>
      <c r="H242" s="22" t="s">
        <v>831</v>
      </c>
      <c r="I242" s="22" t="s">
        <v>830</v>
      </c>
      <c r="J242" s="22" t="s">
        <v>829</v>
      </c>
      <c r="K242" s="22" t="s">
        <v>828</v>
      </c>
      <c r="L242" s="22" t="s">
        <v>827</v>
      </c>
      <c r="M242" s="22" t="s">
        <v>487</v>
      </c>
      <c r="N242" s="22" t="s">
        <v>838</v>
      </c>
      <c r="O242" s="22" t="s">
        <v>28</v>
      </c>
      <c r="P242" s="22" t="s">
        <v>149</v>
      </c>
      <c r="Q242" s="22">
        <v>110261305</v>
      </c>
      <c r="R242" s="22" t="s">
        <v>87</v>
      </c>
      <c r="S242" s="24">
        <v>10</v>
      </c>
      <c r="T242" s="20" t="s">
        <v>28</v>
      </c>
      <c r="U242" s="25" t="s">
        <v>149</v>
      </c>
      <c r="V242" s="20">
        <v>110261305</v>
      </c>
      <c r="W242" s="25" t="s">
        <v>910</v>
      </c>
      <c r="X242" s="20" t="s">
        <v>150</v>
      </c>
      <c r="Y242" s="20" t="s">
        <v>87</v>
      </c>
      <c r="Z242" s="20" t="s">
        <v>88</v>
      </c>
      <c r="AA242" s="15">
        <v>43.853614859817739</v>
      </c>
      <c r="AB242" s="15">
        <v>45.384877203120489</v>
      </c>
      <c r="AC242" s="15">
        <f t="shared" si="16"/>
        <v>453.84877203120487</v>
      </c>
      <c r="AD242" s="15">
        <f t="shared" si="17"/>
        <v>438.53614859817742</v>
      </c>
      <c r="AE242" s="15">
        <f t="shared" si="18"/>
        <v>15.312623433027454</v>
      </c>
      <c r="AF242" s="16">
        <f t="shared" si="19"/>
        <v>3.3739484111625223E-2</v>
      </c>
      <c r="AG242" s="26" t="str">
        <f t="shared" si="20"/>
        <v>0-10%</v>
      </c>
      <c r="AH242" s="20"/>
      <c r="AI242" s="20" t="s">
        <v>43</v>
      </c>
      <c r="AJ242" s="20">
        <v>0</v>
      </c>
      <c r="AK242" s="20"/>
    </row>
    <row r="243" spans="1:37" s="27" customFormat="1" ht="12.75" customHeight="1" x14ac:dyDescent="0.2">
      <c r="A243" s="22" t="s">
        <v>705</v>
      </c>
      <c r="B243" s="22" t="s">
        <v>720</v>
      </c>
      <c r="C243" s="23">
        <v>44599</v>
      </c>
      <c r="D243" s="22" t="s">
        <v>485</v>
      </c>
      <c r="E243" s="22" t="s">
        <v>484</v>
      </c>
      <c r="F243" s="22" t="s">
        <v>483</v>
      </c>
      <c r="G243" s="22" t="s">
        <v>704</v>
      </c>
      <c r="H243" s="22" t="s">
        <v>703</v>
      </c>
      <c r="I243" s="22" t="s">
        <v>702</v>
      </c>
      <c r="J243" s="22" t="s">
        <v>701</v>
      </c>
      <c r="K243" s="22" t="s">
        <v>700</v>
      </c>
      <c r="L243" s="22" t="s">
        <v>699</v>
      </c>
      <c r="M243" s="22" t="s">
        <v>722</v>
      </c>
      <c r="N243" s="22" t="s">
        <v>718</v>
      </c>
      <c r="O243" s="22" t="s">
        <v>16</v>
      </c>
      <c r="P243" s="22" t="s">
        <v>198</v>
      </c>
      <c r="Q243" s="22">
        <v>113532866</v>
      </c>
      <c r="R243" s="22" t="s">
        <v>87</v>
      </c>
      <c r="S243" s="24">
        <v>5</v>
      </c>
      <c r="T243" s="20" t="s">
        <v>16</v>
      </c>
      <c r="U243" s="25" t="s">
        <v>198</v>
      </c>
      <c r="V243" s="20">
        <v>113532866</v>
      </c>
      <c r="W243" s="25" t="s">
        <v>913</v>
      </c>
      <c r="X243" s="20" t="s">
        <v>199</v>
      </c>
      <c r="Y243" s="20" t="s">
        <v>87</v>
      </c>
      <c r="Z243" s="20" t="s">
        <v>88</v>
      </c>
      <c r="AA243" s="15">
        <v>199.188679245283</v>
      </c>
      <c r="AB243" s="15">
        <v>212.66666666666666</v>
      </c>
      <c r="AC243" s="15">
        <f t="shared" si="16"/>
        <v>1063.3333333333333</v>
      </c>
      <c r="AD243" s="15">
        <f t="shared" si="17"/>
        <v>995.94339622641496</v>
      </c>
      <c r="AE243" s="15">
        <f t="shared" si="18"/>
        <v>67.389937106918296</v>
      </c>
      <c r="AF243" s="16">
        <f t="shared" si="19"/>
        <v>6.3376116401490559E-2</v>
      </c>
      <c r="AG243" s="26" t="str">
        <f t="shared" si="20"/>
        <v>0-10%</v>
      </c>
      <c r="AH243" s="20" t="s">
        <v>921</v>
      </c>
      <c r="AI243" s="20" t="s">
        <v>43</v>
      </c>
      <c r="AJ243" s="20">
        <v>0</v>
      </c>
      <c r="AK243" s="20"/>
    </row>
    <row r="244" spans="1:37" s="27" customFormat="1" ht="12.75" customHeight="1" x14ac:dyDescent="0.2">
      <c r="A244" s="22" t="s">
        <v>705</v>
      </c>
      <c r="B244" s="22" t="s">
        <v>720</v>
      </c>
      <c r="C244" s="23">
        <v>44599</v>
      </c>
      <c r="D244" s="22" t="s">
        <v>485</v>
      </c>
      <c r="E244" s="22" t="s">
        <v>484</v>
      </c>
      <c r="F244" s="22" t="s">
        <v>483</v>
      </c>
      <c r="G244" s="22" t="s">
        <v>704</v>
      </c>
      <c r="H244" s="22" t="s">
        <v>703</v>
      </c>
      <c r="I244" s="22" t="s">
        <v>702</v>
      </c>
      <c r="J244" s="22" t="s">
        <v>701</v>
      </c>
      <c r="K244" s="22" t="s">
        <v>700</v>
      </c>
      <c r="L244" s="22" t="s">
        <v>699</v>
      </c>
      <c r="M244" s="22" t="s">
        <v>719</v>
      </c>
      <c r="N244" s="22" t="s">
        <v>718</v>
      </c>
      <c r="O244" s="22" t="s">
        <v>16</v>
      </c>
      <c r="P244" s="22" t="s">
        <v>212</v>
      </c>
      <c r="Q244" s="22">
        <v>110224049</v>
      </c>
      <c r="R244" s="22" t="s">
        <v>87</v>
      </c>
      <c r="S244" s="24">
        <v>1</v>
      </c>
      <c r="T244" s="20" t="s">
        <v>16</v>
      </c>
      <c r="U244" s="25" t="s">
        <v>212</v>
      </c>
      <c r="V244" s="20">
        <v>110224049</v>
      </c>
      <c r="W244" s="25" t="s">
        <v>913</v>
      </c>
      <c r="X244" s="20" t="s">
        <v>213</v>
      </c>
      <c r="Y244" s="20" t="s">
        <v>87</v>
      </c>
      <c r="Z244" s="20" t="s">
        <v>88</v>
      </c>
      <c r="AA244" s="15">
        <v>169.60377358490564</v>
      </c>
      <c r="AB244" s="15">
        <v>180.4</v>
      </c>
      <c r="AC244" s="15">
        <f t="shared" si="16"/>
        <v>180.4</v>
      </c>
      <c r="AD244" s="15">
        <f t="shared" si="17"/>
        <v>169.60377358490564</v>
      </c>
      <c r="AE244" s="15">
        <f t="shared" si="18"/>
        <v>10.796226415094367</v>
      </c>
      <c r="AF244" s="16">
        <f t="shared" si="19"/>
        <v>5.9846044429569659E-2</v>
      </c>
      <c r="AG244" s="26" t="str">
        <f t="shared" si="20"/>
        <v>0-10%</v>
      </c>
      <c r="AH244" s="20" t="s">
        <v>921</v>
      </c>
      <c r="AI244" s="20" t="s">
        <v>43</v>
      </c>
      <c r="AJ244" s="20">
        <v>0</v>
      </c>
      <c r="AK244" s="20"/>
    </row>
    <row r="245" spans="1:37" s="27" customFormat="1" ht="12.75" customHeight="1" x14ac:dyDescent="0.2">
      <c r="A245" s="22" t="s">
        <v>705</v>
      </c>
      <c r="B245" s="22" t="s">
        <v>720</v>
      </c>
      <c r="C245" s="23">
        <v>44599</v>
      </c>
      <c r="D245" s="22" t="s">
        <v>485</v>
      </c>
      <c r="E245" s="22" t="s">
        <v>484</v>
      </c>
      <c r="F245" s="22" t="s">
        <v>483</v>
      </c>
      <c r="G245" s="22" t="s">
        <v>704</v>
      </c>
      <c r="H245" s="22" t="s">
        <v>703</v>
      </c>
      <c r="I245" s="22" t="s">
        <v>702</v>
      </c>
      <c r="J245" s="22" t="s">
        <v>701</v>
      </c>
      <c r="K245" s="22" t="s">
        <v>700</v>
      </c>
      <c r="L245" s="22" t="s">
        <v>699</v>
      </c>
      <c r="M245" s="22" t="s">
        <v>721</v>
      </c>
      <c r="N245" s="22" t="s">
        <v>718</v>
      </c>
      <c r="O245" s="22" t="s">
        <v>16</v>
      </c>
      <c r="P245" s="22" t="s">
        <v>210</v>
      </c>
      <c r="Q245" s="22">
        <v>113622118</v>
      </c>
      <c r="R245" s="22" t="s">
        <v>87</v>
      </c>
      <c r="S245" s="24">
        <v>1</v>
      </c>
      <c r="T245" s="20" t="s">
        <v>16</v>
      </c>
      <c r="U245" s="25" t="s">
        <v>210</v>
      </c>
      <c r="V245" s="20">
        <v>113622118</v>
      </c>
      <c r="W245" s="25" t="s">
        <v>913</v>
      </c>
      <c r="X245" s="20" t="s">
        <v>211</v>
      </c>
      <c r="Y245" s="20" t="s">
        <v>87</v>
      </c>
      <c r="Z245" s="20" t="s">
        <v>88</v>
      </c>
      <c r="AA245" s="15">
        <v>120.52830188679245</v>
      </c>
      <c r="AB245" s="15">
        <v>128.33333333333334</v>
      </c>
      <c r="AC245" s="15">
        <f t="shared" si="16"/>
        <v>128.33333333333334</v>
      </c>
      <c r="AD245" s="15">
        <f t="shared" si="17"/>
        <v>120.52830188679245</v>
      </c>
      <c r="AE245" s="15">
        <f t="shared" si="18"/>
        <v>7.8050314465408945</v>
      </c>
      <c r="AF245" s="16">
        <f t="shared" si="19"/>
        <v>6.0818426856162809E-2</v>
      </c>
      <c r="AG245" s="26" t="str">
        <f t="shared" si="20"/>
        <v>0-10%</v>
      </c>
      <c r="AH245" s="20" t="s">
        <v>921</v>
      </c>
      <c r="AI245" s="20" t="s">
        <v>43</v>
      </c>
      <c r="AJ245" s="20">
        <v>0</v>
      </c>
      <c r="AK245" s="20"/>
    </row>
    <row r="246" spans="1:37" s="27" customFormat="1" ht="12.75" customHeight="1" x14ac:dyDescent="0.2">
      <c r="A246" s="22" t="s">
        <v>705</v>
      </c>
      <c r="B246" s="22" t="s">
        <v>717</v>
      </c>
      <c r="C246" s="23">
        <v>44599</v>
      </c>
      <c r="D246" s="22" t="s">
        <v>485</v>
      </c>
      <c r="E246" s="22" t="s">
        <v>484</v>
      </c>
      <c r="F246" s="22" t="s">
        <v>483</v>
      </c>
      <c r="G246" s="22" t="s">
        <v>704</v>
      </c>
      <c r="H246" s="22" t="s">
        <v>703</v>
      </c>
      <c r="I246" s="22" t="s">
        <v>702</v>
      </c>
      <c r="J246" s="22" t="s">
        <v>701</v>
      </c>
      <c r="K246" s="22" t="s">
        <v>700</v>
      </c>
      <c r="L246" s="22" t="s">
        <v>699</v>
      </c>
      <c r="M246" s="22" t="s">
        <v>707</v>
      </c>
      <c r="N246" s="22" t="s">
        <v>706</v>
      </c>
      <c r="O246" s="22" t="s">
        <v>16</v>
      </c>
      <c r="P246" s="22" t="s">
        <v>214</v>
      </c>
      <c r="Q246" s="22">
        <v>110223274</v>
      </c>
      <c r="R246" s="22" t="s">
        <v>87</v>
      </c>
      <c r="S246" s="24">
        <v>1</v>
      </c>
      <c r="T246" s="20" t="s">
        <v>16</v>
      </c>
      <c r="U246" s="25" t="s">
        <v>214</v>
      </c>
      <c r="V246" s="20">
        <v>110223274</v>
      </c>
      <c r="W246" s="25" t="s">
        <v>913</v>
      </c>
      <c r="X246" s="20" t="s">
        <v>215</v>
      </c>
      <c r="Y246" s="20" t="s">
        <v>87</v>
      </c>
      <c r="Z246" s="20" t="s">
        <v>88</v>
      </c>
      <c r="AA246" s="15">
        <v>107.52830188679245</v>
      </c>
      <c r="AB246" s="15">
        <v>114.40000000000002</v>
      </c>
      <c r="AC246" s="15">
        <f t="shared" si="16"/>
        <v>114.40000000000002</v>
      </c>
      <c r="AD246" s="15">
        <f t="shared" si="17"/>
        <v>107.52830188679245</v>
      </c>
      <c r="AE246" s="15">
        <f t="shared" si="18"/>
        <v>6.8716981132075716</v>
      </c>
      <c r="AF246" s="16">
        <f t="shared" si="19"/>
        <v>6.0067291199366872E-2</v>
      </c>
      <c r="AG246" s="26" t="str">
        <f t="shared" si="20"/>
        <v>0-10%</v>
      </c>
      <c r="AH246" s="20" t="s">
        <v>921</v>
      </c>
      <c r="AI246" s="20" t="s">
        <v>43</v>
      </c>
      <c r="AJ246" s="20">
        <v>0</v>
      </c>
      <c r="AK246" s="20"/>
    </row>
    <row r="247" spans="1:37" s="27" customFormat="1" ht="12.75" customHeight="1" x14ac:dyDescent="0.2">
      <c r="A247" s="22" t="s">
        <v>833</v>
      </c>
      <c r="B247" s="22" t="s">
        <v>837</v>
      </c>
      <c r="C247" s="23">
        <v>44599</v>
      </c>
      <c r="D247" s="22"/>
      <c r="E247" s="22"/>
      <c r="F247" s="22" t="s">
        <v>832</v>
      </c>
      <c r="G247" s="22" t="s">
        <v>832</v>
      </c>
      <c r="H247" s="22" t="s">
        <v>831</v>
      </c>
      <c r="I247" s="22" t="s">
        <v>830</v>
      </c>
      <c r="J247" s="22" t="s">
        <v>829</v>
      </c>
      <c r="K247" s="22" t="s">
        <v>828</v>
      </c>
      <c r="L247" s="22" t="s">
        <v>827</v>
      </c>
      <c r="M247" s="22" t="s">
        <v>487</v>
      </c>
      <c r="N247" s="22" t="s">
        <v>836</v>
      </c>
      <c r="O247" s="22" t="s">
        <v>71</v>
      </c>
      <c r="P247" s="22" t="s">
        <v>137</v>
      </c>
      <c r="Q247" s="22">
        <v>118939870</v>
      </c>
      <c r="R247" s="22" t="s">
        <v>87</v>
      </c>
      <c r="S247" s="24">
        <v>1</v>
      </c>
      <c r="T247" s="20" t="s">
        <v>71</v>
      </c>
      <c r="U247" s="25" t="s">
        <v>137</v>
      </c>
      <c r="V247" s="20">
        <v>118939870</v>
      </c>
      <c r="W247" s="25" t="s">
        <v>916</v>
      </c>
      <c r="X247" s="20" t="s">
        <v>138</v>
      </c>
      <c r="Y247" s="20" t="s">
        <v>87</v>
      </c>
      <c r="Z247" s="20" t="s">
        <v>97</v>
      </c>
      <c r="AA247" s="15">
        <v>56.96</v>
      </c>
      <c r="AB247" s="15">
        <v>89.8</v>
      </c>
      <c r="AC247" s="15">
        <f t="shared" si="16"/>
        <v>89.8</v>
      </c>
      <c r="AD247" s="15">
        <f t="shared" si="17"/>
        <v>56.96</v>
      </c>
      <c r="AE247" s="15">
        <f t="shared" si="18"/>
        <v>32.839999999999996</v>
      </c>
      <c r="AF247" s="16">
        <f t="shared" si="19"/>
        <v>0.36570155902004453</v>
      </c>
      <c r="AG247" s="26" t="str">
        <f t="shared" si="20"/>
        <v>30+%</v>
      </c>
      <c r="AH247" s="20"/>
      <c r="AI247" s="20" t="s">
        <v>43</v>
      </c>
      <c r="AJ247" s="20">
        <v>0</v>
      </c>
      <c r="AK247" s="20"/>
    </row>
    <row r="248" spans="1:37" s="27" customFormat="1" ht="12.75" customHeight="1" x14ac:dyDescent="0.2">
      <c r="A248" s="22" t="s">
        <v>817</v>
      </c>
      <c r="B248" s="22" t="s">
        <v>816</v>
      </c>
      <c r="C248" s="23">
        <v>44607</v>
      </c>
      <c r="D248" s="22" t="s">
        <v>485</v>
      </c>
      <c r="E248" s="22" t="s">
        <v>484</v>
      </c>
      <c r="F248" s="22" t="s">
        <v>815</v>
      </c>
      <c r="G248" s="22" t="s">
        <v>815</v>
      </c>
      <c r="H248" s="22" t="s">
        <v>814</v>
      </c>
      <c r="I248" s="22" t="s">
        <v>813</v>
      </c>
      <c r="J248" s="22" t="s">
        <v>812</v>
      </c>
      <c r="K248" s="22" t="s">
        <v>811</v>
      </c>
      <c r="L248" s="22" t="s">
        <v>810</v>
      </c>
      <c r="M248" s="22" t="s">
        <v>809</v>
      </c>
      <c r="N248" s="22" t="s">
        <v>808</v>
      </c>
      <c r="O248" s="22" t="s">
        <v>16</v>
      </c>
      <c r="P248" s="22" t="s">
        <v>172</v>
      </c>
      <c r="Q248" s="22">
        <v>113223056</v>
      </c>
      <c r="R248" s="22" t="s">
        <v>87</v>
      </c>
      <c r="S248" s="24">
        <v>2</v>
      </c>
      <c r="T248" s="20" t="s">
        <v>16</v>
      </c>
      <c r="U248" s="25" t="s">
        <v>172</v>
      </c>
      <c r="V248" s="20">
        <v>113223056</v>
      </c>
      <c r="W248" s="25" t="s">
        <v>913</v>
      </c>
      <c r="X248" s="20" t="s">
        <v>173</v>
      </c>
      <c r="Y248" s="20" t="s">
        <v>87</v>
      </c>
      <c r="Z248" s="20" t="s">
        <v>88</v>
      </c>
      <c r="AA248" s="15">
        <v>235.99999999999997</v>
      </c>
      <c r="AB248" s="15">
        <v>251.53333333333333</v>
      </c>
      <c r="AC248" s="15">
        <f t="shared" si="16"/>
        <v>503.06666666666666</v>
      </c>
      <c r="AD248" s="15">
        <f t="shared" si="17"/>
        <v>471.99999999999994</v>
      </c>
      <c r="AE248" s="15">
        <f t="shared" si="18"/>
        <v>31.06666666666672</v>
      </c>
      <c r="AF248" s="16">
        <f t="shared" si="19"/>
        <v>6.1754571958653699E-2</v>
      </c>
      <c r="AG248" s="26" t="str">
        <f t="shared" si="20"/>
        <v>0-10%</v>
      </c>
      <c r="AH248" s="20" t="s">
        <v>921</v>
      </c>
      <c r="AI248" s="20" t="s">
        <v>43</v>
      </c>
      <c r="AJ248" s="20">
        <v>0</v>
      </c>
      <c r="AK248" s="20"/>
    </row>
    <row r="249" spans="1:37" s="27" customFormat="1" ht="12.75" customHeight="1" x14ac:dyDescent="0.2">
      <c r="A249" s="22" t="s">
        <v>817</v>
      </c>
      <c r="B249" s="22" t="s">
        <v>816</v>
      </c>
      <c r="C249" s="23">
        <v>44607</v>
      </c>
      <c r="D249" s="22" t="s">
        <v>485</v>
      </c>
      <c r="E249" s="22" t="s">
        <v>484</v>
      </c>
      <c r="F249" s="22" t="s">
        <v>815</v>
      </c>
      <c r="G249" s="22" t="s">
        <v>815</v>
      </c>
      <c r="H249" s="22" t="s">
        <v>814</v>
      </c>
      <c r="I249" s="22" t="s">
        <v>813</v>
      </c>
      <c r="J249" s="22" t="s">
        <v>812</v>
      </c>
      <c r="K249" s="22" t="s">
        <v>811</v>
      </c>
      <c r="L249" s="22" t="s">
        <v>810</v>
      </c>
      <c r="M249" s="22" t="s">
        <v>818</v>
      </c>
      <c r="N249" s="22" t="s">
        <v>808</v>
      </c>
      <c r="O249" s="22" t="s">
        <v>16</v>
      </c>
      <c r="P249" s="22" t="s">
        <v>170</v>
      </c>
      <c r="Q249" s="22">
        <v>113618432</v>
      </c>
      <c r="R249" s="22" t="s">
        <v>87</v>
      </c>
      <c r="S249" s="24">
        <v>2</v>
      </c>
      <c r="T249" s="20" t="s">
        <v>16</v>
      </c>
      <c r="U249" s="25" t="s">
        <v>170</v>
      </c>
      <c r="V249" s="20">
        <v>113618432</v>
      </c>
      <c r="W249" s="25" t="s">
        <v>918</v>
      </c>
      <c r="X249" s="20" t="s">
        <v>171</v>
      </c>
      <c r="Y249" s="20" t="s">
        <v>87</v>
      </c>
      <c r="Z249" s="20" t="s">
        <v>88</v>
      </c>
      <c r="AA249" s="15">
        <v>211.45283018867923</v>
      </c>
      <c r="AB249" s="15">
        <v>225.86666666666667</v>
      </c>
      <c r="AC249" s="15">
        <f t="shared" si="16"/>
        <v>451.73333333333335</v>
      </c>
      <c r="AD249" s="15">
        <f t="shared" si="17"/>
        <v>422.90566037735846</v>
      </c>
      <c r="AE249" s="15">
        <f t="shared" si="18"/>
        <v>28.82767295597489</v>
      </c>
      <c r="AF249" s="16">
        <f t="shared" si="19"/>
        <v>6.3815686886012885E-2</v>
      </c>
      <c r="AG249" s="26" t="str">
        <f t="shared" si="20"/>
        <v>0-10%</v>
      </c>
      <c r="AH249" s="20" t="s">
        <v>921</v>
      </c>
      <c r="AI249" s="20" t="s">
        <v>43</v>
      </c>
      <c r="AJ249" s="20">
        <v>0</v>
      </c>
      <c r="AK249" s="20"/>
    </row>
    <row r="250" spans="1:37" s="27" customFormat="1" ht="12.75" customHeight="1" x14ac:dyDescent="0.2">
      <c r="A250" s="22" t="s">
        <v>486</v>
      </c>
      <c r="B250" s="22" t="s">
        <v>511</v>
      </c>
      <c r="C250" s="23">
        <v>44608</v>
      </c>
      <c r="D250" s="22" t="s">
        <v>485</v>
      </c>
      <c r="E250" s="22" t="s">
        <v>484</v>
      </c>
      <c r="F250" s="22" t="s">
        <v>483</v>
      </c>
      <c r="G250" s="22" t="s">
        <v>482</v>
      </c>
      <c r="H250" s="22" t="s">
        <v>481</v>
      </c>
      <c r="I250" s="22" t="s">
        <v>480</v>
      </c>
      <c r="J250" s="22" t="s">
        <v>479</v>
      </c>
      <c r="K250" s="22" t="s">
        <v>478</v>
      </c>
      <c r="L250" s="22" t="s">
        <v>477</v>
      </c>
      <c r="M250" s="22" t="s">
        <v>487</v>
      </c>
      <c r="N250" s="22" t="s">
        <v>510</v>
      </c>
      <c r="O250" s="22" t="s">
        <v>67</v>
      </c>
      <c r="P250" s="22" t="s">
        <v>451</v>
      </c>
      <c r="Q250" s="22">
        <v>102277179</v>
      </c>
      <c r="R250" s="22" t="s">
        <v>87</v>
      </c>
      <c r="S250" s="24">
        <v>20</v>
      </c>
      <c r="T250" s="20" t="s">
        <v>67</v>
      </c>
      <c r="U250" s="25" t="s">
        <v>451</v>
      </c>
      <c r="V250" s="20">
        <v>102277179</v>
      </c>
      <c r="W250" s="25" t="s">
        <v>911</v>
      </c>
      <c r="X250" s="20" t="s">
        <v>452</v>
      </c>
      <c r="Y250" s="20" t="s">
        <v>87</v>
      </c>
      <c r="Z250" s="20" t="s">
        <v>97</v>
      </c>
      <c r="AA250" s="15">
        <v>0.66</v>
      </c>
      <c r="AB250" s="15">
        <v>1</v>
      </c>
      <c r="AC250" s="15">
        <f t="shared" si="16"/>
        <v>20</v>
      </c>
      <c r="AD250" s="15">
        <f t="shared" si="17"/>
        <v>13.200000000000001</v>
      </c>
      <c r="AE250" s="15">
        <f t="shared" si="18"/>
        <v>6.7999999999999989</v>
      </c>
      <c r="AF250" s="16">
        <f t="shared" si="19"/>
        <v>0.33999999999999997</v>
      </c>
      <c r="AG250" s="26" t="str">
        <f t="shared" si="20"/>
        <v>30+%</v>
      </c>
      <c r="AH250" s="20"/>
      <c r="AI250" s="20" t="s">
        <v>43</v>
      </c>
      <c r="AJ250" s="20">
        <v>0</v>
      </c>
      <c r="AK250" s="20"/>
    </row>
    <row r="251" spans="1:37" s="27" customFormat="1" ht="12.75" customHeight="1" x14ac:dyDescent="0.2">
      <c r="A251" s="22" t="s">
        <v>486</v>
      </c>
      <c r="B251" s="22" t="s">
        <v>511</v>
      </c>
      <c r="C251" s="23">
        <v>44608</v>
      </c>
      <c r="D251" s="22" t="s">
        <v>485</v>
      </c>
      <c r="E251" s="22" t="s">
        <v>484</v>
      </c>
      <c r="F251" s="22" t="s">
        <v>483</v>
      </c>
      <c r="G251" s="22" t="s">
        <v>482</v>
      </c>
      <c r="H251" s="22" t="s">
        <v>481</v>
      </c>
      <c r="I251" s="22" t="s">
        <v>480</v>
      </c>
      <c r="J251" s="22" t="s">
        <v>479</v>
      </c>
      <c r="K251" s="22" t="s">
        <v>478</v>
      </c>
      <c r="L251" s="22" t="s">
        <v>477</v>
      </c>
      <c r="M251" s="22" t="s">
        <v>487</v>
      </c>
      <c r="N251" s="22" t="s">
        <v>510</v>
      </c>
      <c r="O251" s="22" t="s">
        <v>67</v>
      </c>
      <c r="P251" s="22" t="s">
        <v>453</v>
      </c>
      <c r="Q251" s="22">
        <v>119000358</v>
      </c>
      <c r="R251" s="22" t="s">
        <v>87</v>
      </c>
      <c r="S251" s="24">
        <v>2</v>
      </c>
      <c r="T251" s="20" t="s">
        <v>67</v>
      </c>
      <c r="U251" s="25" t="s">
        <v>453</v>
      </c>
      <c r="V251" s="20">
        <v>119000358</v>
      </c>
      <c r="W251" s="25" t="s">
        <v>911</v>
      </c>
      <c r="X251" s="20" t="s">
        <v>454</v>
      </c>
      <c r="Y251" s="20" t="s">
        <v>87</v>
      </c>
      <c r="Z251" s="20" t="s">
        <v>97</v>
      </c>
      <c r="AA251" s="15">
        <v>10.89</v>
      </c>
      <c r="AB251" s="15">
        <v>20</v>
      </c>
      <c r="AC251" s="15">
        <f t="shared" si="16"/>
        <v>40</v>
      </c>
      <c r="AD251" s="15">
        <f t="shared" si="17"/>
        <v>21.78</v>
      </c>
      <c r="AE251" s="15">
        <f t="shared" si="18"/>
        <v>18.22</v>
      </c>
      <c r="AF251" s="16">
        <f t="shared" si="19"/>
        <v>0.45549999999999996</v>
      </c>
      <c r="AG251" s="26" t="str">
        <f t="shared" si="20"/>
        <v>30+%</v>
      </c>
      <c r="AH251" s="20"/>
      <c r="AI251" s="20" t="s">
        <v>43</v>
      </c>
      <c r="AJ251" s="20">
        <v>0</v>
      </c>
      <c r="AK251" s="20"/>
    </row>
    <row r="252" spans="1:37" s="27" customFormat="1" ht="12.75" customHeight="1" x14ac:dyDescent="0.2">
      <c r="A252" s="22" t="s">
        <v>883</v>
      </c>
      <c r="B252" s="22" t="s">
        <v>888</v>
      </c>
      <c r="C252" s="23">
        <v>44610</v>
      </c>
      <c r="D252" s="22" t="s">
        <v>485</v>
      </c>
      <c r="E252" s="22" t="s">
        <v>484</v>
      </c>
      <c r="F252" s="22" t="s">
        <v>483</v>
      </c>
      <c r="G252" s="22" t="s">
        <v>881</v>
      </c>
      <c r="H252" s="22" t="s">
        <v>481</v>
      </c>
      <c r="I252" s="22" t="s">
        <v>880</v>
      </c>
      <c r="J252" s="22" t="s">
        <v>879</v>
      </c>
      <c r="K252" s="22" t="s">
        <v>878</v>
      </c>
      <c r="L252" s="22" t="s">
        <v>877</v>
      </c>
      <c r="M252" s="22" t="s">
        <v>885</v>
      </c>
      <c r="N252" s="22" t="s">
        <v>887</v>
      </c>
      <c r="O252" s="22" t="s">
        <v>98</v>
      </c>
      <c r="P252" s="22" t="s">
        <v>99</v>
      </c>
      <c r="Q252" s="22">
        <v>105081744</v>
      </c>
      <c r="R252" s="22" t="s">
        <v>87</v>
      </c>
      <c r="S252" s="24">
        <v>1</v>
      </c>
      <c r="T252" s="20" t="s">
        <v>98</v>
      </c>
      <c r="U252" s="25" t="s">
        <v>99</v>
      </c>
      <c r="V252" s="20">
        <v>105081744</v>
      </c>
      <c r="W252" s="25" t="s">
        <v>916</v>
      </c>
      <c r="X252" s="20" t="s">
        <v>100</v>
      </c>
      <c r="Y252" s="20" t="s">
        <v>87</v>
      </c>
      <c r="Z252" s="20" t="s">
        <v>97</v>
      </c>
      <c r="AA252" s="15">
        <v>150.5</v>
      </c>
      <c r="AB252" s="15">
        <v>150.29</v>
      </c>
      <c r="AC252" s="15">
        <f t="shared" si="16"/>
        <v>150.29</v>
      </c>
      <c r="AD252" s="15">
        <f t="shared" si="17"/>
        <v>150.5</v>
      </c>
      <c r="AE252" s="15">
        <f t="shared" si="18"/>
        <v>-0.21000000000000796</v>
      </c>
      <c r="AF252" s="16">
        <f t="shared" si="19"/>
        <v>-1.3972985561248783E-3</v>
      </c>
      <c r="AG252" s="26" t="str">
        <f t="shared" si="20"/>
        <v>Negative</v>
      </c>
      <c r="AH252" s="20"/>
      <c r="AI252" s="20" t="s">
        <v>43</v>
      </c>
      <c r="AJ252" s="20">
        <v>0</v>
      </c>
      <c r="AK252" s="20"/>
    </row>
    <row r="253" spans="1:37" s="27" customFormat="1" ht="12.75" customHeight="1" x14ac:dyDescent="0.2">
      <c r="A253" s="22" t="s">
        <v>486</v>
      </c>
      <c r="B253" s="22" t="s">
        <v>509</v>
      </c>
      <c r="C253" s="23">
        <v>44613</v>
      </c>
      <c r="D253" s="22" t="s">
        <v>485</v>
      </c>
      <c r="E253" s="22" t="s">
        <v>484</v>
      </c>
      <c r="F253" s="22" t="s">
        <v>483</v>
      </c>
      <c r="G253" s="22" t="s">
        <v>482</v>
      </c>
      <c r="H253" s="22" t="s">
        <v>481</v>
      </c>
      <c r="I253" s="22" t="s">
        <v>480</v>
      </c>
      <c r="J253" s="22" t="s">
        <v>479</v>
      </c>
      <c r="K253" s="22" t="s">
        <v>478</v>
      </c>
      <c r="L253" s="22" t="s">
        <v>477</v>
      </c>
      <c r="M253" s="22" t="s">
        <v>487</v>
      </c>
      <c r="N253" s="22" t="s">
        <v>508</v>
      </c>
      <c r="O253" s="22" t="s">
        <v>15</v>
      </c>
      <c r="P253" s="22" t="s">
        <v>455</v>
      </c>
      <c r="Q253" s="22">
        <v>100467074</v>
      </c>
      <c r="R253" s="22" t="s">
        <v>87</v>
      </c>
      <c r="S253" s="24">
        <v>3</v>
      </c>
      <c r="T253" s="20" t="s">
        <v>15</v>
      </c>
      <c r="U253" s="25" t="s">
        <v>455</v>
      </c>
      <c r="V253" s="20">
        <v>100467074</v>
      </c>
      <c r="W253" s="25" t="s">
        <v>913</v>
      </c>
      <c r="X253" s="20" t="s">
        <v>456</v>
      </c>
      <c r="Y253" s="20" t="s">
        <v>87</v>
      </c>
      <c r="Z253" s="20" t="s">
        <v>88</v>
      </c>
      <c r="AA253" s="15">
        <v>61.49933006535948</v>
      </c>
      <c r="AB253" s="15">
        <v>59.88</v>
      </c>
      <c r="AC253" s="15">
        <f t="shared" si="16"/>
        <v>179.64000000000001</v>
      </c>
      <c r="AD253" s="15">
        <f t="shared" si="17"/>
        <v>184.49799019607843</v>
      </c>
      <c r="AE253" s="15">
        <f t="shared" si="18"/>
        <v>-4.8579901960784184</v>
      </c>
      <c r="AF253" s="16">
        <f t="shared" si="19"/>
        <v>-2.7042920263184247E-2</v>
      </c>
      <c r="AG253" s="26" t="str">
        <f t="shared" si="20"/>
        <v>Negative</v>
      </c>
      <c r="AH253" s="20"/>
      <c r="AI253" s="20" t="s">
        <v>43</v>
      </c>
      <c r="AJ253" s="20">
        <v>0</v>
      </c>
      <c r="AK253" s="20"/>
    </row>
    <row r="254" spans="1:37" s="27" customFormat="1" ht="12.75" customHeight="1" x14ac:dyDescent="0.2">
      <c r="A254" s="22" t="s">
        <v>486</v>
      </c>
      <c r="B254" s="22" t="s">
        <v>507</v>
      </c>
      <c r="C254" s="23">
        <v>44614</v>
      </c>
      <c r="D254" s="22" t="s">
        <v>485</v>
      </c>
      <c r="E254" s="22" t="s">
        <v>484</v>
      </c>
      <c r="F254" s="22" t="s">
        <v>483</v>
      </c>
      <c r="G254" s="22" t="s">
        <v>492</v>
      </c>
      <c r="H254" s="22" t="s">
        <v>481</v>
      </c>
      <c r="I254" s="22" t="s">
        <v>491</v>
      </c>
      <c r="J254" s="22" t="s">
        <v>490</v>
      </c>
      <c r="K254" s="22" t="s">
        <v>478</v>
      </c>
      <c r="L254" s="22" t="s">
        <v>489</v>
      </c>
      <c r="M254" s="22" t="s">
        <v>487</v>
      </c>
      <c r="N254" s="22" t="s">
        <v>506</v>
      </c>
      <c r="O254" s="22" t="s">
        <v>84</v>
      </c>
      <c r="P254" s="22" t="s">
        <v>457</v>
      </c>
      <c r="Q254" s="22">
        <v>110291252</v>
      </c>
      <c r="R254" s="22" t="s">
        <v>87</v>
      </c>
      <c r="S254" s="24">
        <v>3</v>
      </c>
      <c r="T254" s="20" t="s">
        <v>84</v>
      </c>
      <c r="U254" s="25" t="s">
        <v>457</v>
      </c>
      <c r="V254" s="20">
        <v>110291252</v>
      </c>
      <c r="W254" s="25" t="s">
        <v>916</v>
      </c>
      <c r="X254" s="20" t="s">
        <v>458</v>
      </c>
      <c r="Y254" s="20" t="s">
        <v>87</v>
      </c>
      <c r="Z254" s="20" t="s">
        <v>97</v>
      </c>
      <c r="AA254" s="15">
        <v>275.13</v>
      </c>
      <c r="AB254" s="15">
        <v>401.16000000000008</v>
      </c>
      <c r="AC254" s="15">
        <f t="shared" si="16"/>
        <v>1203.4800000000002</v>
      </c>
      <c r="AD254" s="15">
        <f t="shared" si="17"/>
        <v>825.39</v>
      </c>
      <c r="AE254" s="15">
        <f t="shared" si="18"/>
        <v>378.09000000000026</v>
      </c>
      <c r="AF254" s="16">
        <f t="shared" si="19"/>
        <v>0.31416392461860621</v>
      </c>
      <c r="AG254" s="26" t="str">
        <f t="shared" si="20"/>
        <v>30+%</v>
      </c>
      <c r="AH254" s="20"/>
      <c r="AI254" s="20" t="s">
        <v>43</v>
      </c>
      <c r="AJ254" s="20">
        <v>0</v>
      </c>
      <c r="AK254" s="20"/>
    </row>
    <row r="255" spans="1:37" s="27" customFormat="1" ht="12.75" customHeight="1" x14ac:dyDescent="0.2">
      <c r="A255" s="22" t="s">
        <v>486</v>
      </c>
      <c r="B255" s="22" t="s">
        <v>505</v>
      </c>
      <c r="C255" s="23">
        <v>44614</v>
      </c>
      <c r="D255" s="22" t="s">
        <v>485</v>
      </c>
      <c r="E255" s="22" t="s">
        <v>484</v>
      </c>
      <c r="F255" s="22" t="s">
        <v>483</v>
      </c>
      <c r="G255" s="22" t="s">
        <v>492</v>
      </c>
      <c r="H255" s="22" t="s">
        <v>481</v>
      </c>
      <c r="I255" s="22" t="s">
        <v>491</v>
      </c>
      <c r="J255" s="22" t="s">
        <v>490</v>
      </c>
      <c r="K255" s="22" t="s">
        <v>478</v>
      </c>
      <c r="L255" s="22" t="s">
        <v>489</v>
      </c>
      <c r="M255" s="22" t="s">
        <v>487</v>
      </c>
      <c r="N255" s="22" t="s">
        <v>504</v>
      </c>
      <c r="O255" s="22" t="s">
        <v>461</v>
      </c>
      <c r="P255" s="22" t="s">
        <v>462</v>
      </c>
      <c r="Q255" s="22">
        <v>105269475</v>
      </c>
      <c r="R255" s="22" t="s">
        <v>87</v>
      </c>
      <c r="S255" s="24">
        <v>1</v>
      </c>
      <c r="T255" s="20" t="s">
        <v>461</v>
      </c>
      <c r="U255" s="25" t="s">
        <v>462</v>
      </c>
      <c r="V255" s="20">
        <v>105269475</v>
      </c>
      <c r="W255" s="25" t="s">
        <v>912</v>
      </c>
      <c r="X255" s="20" t="s">
        <v>463</v>
      </c>
      <c r="Y255" s="20" t="s">
        <v>87</v>
      </c>
      <c r="Z255" s="20" t="s">
        <v>97</v>
      </c>
      <c r="AA255" s="15">
        <v>7.63</v>
      </c>
      <c r="AB255" s="15">
        <v>7.46</v>
      </c>
      <c r="AC255" s="15">
        <f t="shared" si="16"/>
        <v>7.46</v>
      </c>
      <c r="AD255" s="15">
        <f t="shared" si="17"/>
        <v>7.63</v>
      </c>
      <c r="AE255" s="15">
        <f t="shared" si="18"/>
        <v>-0.16999999999999993</v>
      </c>
      <c r="AF255" s="16">
        <f t="shared" si="19"/>
        <v>-2.2788203753351197E-2</v>
      </c>
      <c r="AG255" s="26" t="str">
        <f t="shared" si="20"/>
        <v>Negative</v>
      </c>
      <c r="AH255" s="20"/>
      <c r="AI255" s="20" t="s">
        <v>43</v>
      </c>
      <c r="AJ255" s="20">
        <v>0</v>
      </c>
      <c r="AK255" s="20"/>
    </row>
    <row r="256" spans="1:37" s="27" customFormat="1" ht="12.75" customHeight="1" x14ac:dyDescent="0.2">
      <c r="A256" s="22" t="s">
        <v>486</v>
      </c>
      <c r="B256" s="22" t="s">
        <v>505</v>
      </c>
      <c r="C256" s="23">
        <v>44614</v>
      </c>
      <c r="D256" s="22" t="s">
        <v>485</v>
      </c>
      <c r="E256" s="22" t="s">
        <v>484</v>
      </c>
      <c r="F256" s="22" t="s">
        <v>483</v>
      </c>
      <c r="G256" s="22" t="s">
        <v>492</v>
      </c>
      <c r="H256" s="22" t="s">
        <v>481</v>
      </c>
      <c r="I256" s="22" t="s">
        <v>491</v>
      </c>
      <c r="J256" s="22" t="s">
        <v>490</v>
      </c>
      <c r="K256" s="22" t="s">
        <v>478</v>
      </c>
      <c r="L256" s="22" t="s">
        <v>489</v>
      </c>
      <c r="M256" s="22" t="s">
        <v>487</v>
      </c>
      <c r="N256" s="22" t="s">
        <v>504</v>
      </c>
      <c r="O256" s="22" t="s">
        <v>72</v>
      </c>
      <c r="P256" s="22" t="s">
        <v>459</v>
      </c>
      <c r="Q256" s="22">
        <v>102342370</v>
      </c>
      <c r="R256" s="22" t="s">
        <v>87</v>
      </c>
      <c r="S256" s="24">
        <v>1</v>
      </c>
      <c r="T256" s="20" t="s">
        <v>72</v>
      </c>
      <c r="U256" s="25" t="s">
        <v>459</v>
      </c>
      <c r="V256" s="20">
        <v>102342370</v>
      </c>
      <c r="W256" s="25" t="s">
        <v>912</v>
      </c>
      <c r="X256" s="20" t="s">
        <v>460</v>
      </c>
      <c r="Y256" s="20" t="s">
        <v>87</v>
      </c>
      <c r="Z256" s="20" t="s">
        <v>97</v>
      </c>
      <c r="AA256" s="15">
        <v>37.159999999999997</v>
      </c>
      <c r="AB256" s="15">
        <v>36.369999999999997</v>
      </c>
      <c r="AC256" s="15">
        <f t="shared" si="16"/>
        <v>36.369999999999997</v>
      </c>
      <c r="AD256" s="15">
        <f t="shared" si="17"/>
        <v>37.159999999999997</v>
      </c>
      <c r="AE256" s="15">
        <f t="shared" si="18"/>
        <v>-0.78999999999999915</v>
      </c>
      <c r="AF256" s="16">
        <f t="shared" si="19"/>
        <v>-2.1721198790211692E-2</v>
      </c>
      <c r="AG256" s="26" t="str">
        <f t="shared" si="20"/>
        <v>Negative</v>
      </c>
      <c r="AH256" s="20"/>
      <c r="AI256" s="20" t="s">
        <v>43</v>
      </c>
      <c r="AJ256" s="20">
        <v>0</v>
      </c>
      <c r="AK256" s="20"/>
    </row>
    <row r="257" spans="1:37" s="27" customFormat="1" ht="12.75" customHeight="1" x14ac:dyDescent="0.2">
      <c r="A257" s="22" t="s">
        <v>486</v>
      </c>
      <c r="B257" s="22" t="s">
        <v>503</v>
      </c>
      <c r="C257" s="23">
        <v>44614</v>
      </c>
      <c r="D257" s="22" t="s">
        <v>485</v>
      </c>
      <c r="E257" s="22" t="s">
        <v>484</v>
      </c>
      <c r="F257" s="22" t="s">
        <v>483</v>
      </c>
      <c r="G257" s="22" t="s">
        <v>492</v>
      </c>
      <c r="H257" s="22" t="s">
        <v>481</v>
      </c>
      <c r="I257" s="22" t="s">
        <v>491</v>
      </c>
      <c r="J257" s="22" t="s">
        <v>490</v>
      </c>
      <c r="K257" s="22" t="s">
        <v>478</v>
      </c>
      <c r="L257" s="22" t="s">
        <v>489</v>
      </c>
      <c r="M257" s="22" t="s">
        <v>487</v>
      </c>
      <c r="N257" s="22" t="s">
        <v>502</v>
      </c>
      <c r="O257" s="22" t="s">
        <v>70</v>
      </c>
      <c r="P257" s="22" t="s">
        <v>464</v>
      </c>
      <c r="Q257" s="22">
        <v>112948131</v>
      </c>
      <c r="R257" s="22" t="s">
        <v>87</v>
      </c>
      <c r="S257" s="24">
        <v>3</v>
      </c>
      <c r="T257" s="20" t="s">
        <v>70</v>
      </c>
      <c r="U257" s="25" t="s">
        <v>464</v>
      </c>
      <c r="V257" s="20">
        <v>112948131</v>
      </c>
      <c r="W257" s="25" t="s">
        <v>916</v>
      </c>
      <c r="X257" s="20" t="s">
        <v>465</v>
      </c>
      <c r="Y257" s="20" t="s">
        <v>87</v>
      </c>
      <c r="Z257" s="20" t="s">
        <v>97</v>
      </c>
      <c r="AA257" s="15">
        <v>22.09</v>
      </c>
      <c r="AB257" s="15">
        <v>29.5</v>
      </c>
      <c r="AC257" s="15">
        <f t="shared" si="16"/>
        <v>88.5</v>
      </c>
      <c r="AD257" s="15">
        <f t="shared" si="17"/>
        <v>66.27</v>
      </c>
      <c r="AE257" s="15">
        <f t="shared" si="18"/>
        <v>22.230000000000004</v>
      </c>
      <c r="AF257" s="16">
        <f t="shared" si="19"/>
        <v>0.25118644067796614</v>
      </c>
      <c r="AG257" s="26" t="str">
        <f t="shared" si="20"/>
        <v>20-30%</v>
      </c>
      <c r="AH257" s="20"/>
      <c r="AI257" s="20" t="s">
        <v>43</v>
      </c>
      <c r="AJ257" s="20">
        <v>0</v>
      </c>
      <c r="AK257" s="20"/>
    </row>
    <row r="258" spans="1:37" s="27" customFormat="1" ht="12.75" customHeight="1" x14ac:dyDescent="0.2">
      <c r="A258" s="22" t="s">
        <v>486</v>
      </c>
      <c r="B258" s="22" t="s">
        <v>501</v>
      </c>
      <c r="C258" s="23">
        <v>44614</v>
      </c>
      <c r="D258" s="22" t="s">
        <v>485</v>
      </c>
      <c r="E258" s="22" t="s">
        <v>484</v>
      </c>
      <c r="F258" s="22" t="s">
        <v>483</v>
      </c>
      <c r="G258" s="22" t="s">
        <v>492</v>
      </c>
      <c r="H258" s="22" t="s">
        <v>481</v>
      </c>
      <c r="I258" s="22" t="s">
        <v>491</v>
      </c>
      <c r="J258" s="22" t="s">
        <v>490</v>
      </c>
      <c r="K258" s="22" t="s">
        <v>478</v>
      </c>
      <c r="L258" s="22" t="s">
        <v>489</v>
      </c>
      <c r="M258" s="22" t="s">
        <v>487</v>
      </c>
      <c r="N258" s="22" t="s">
        <v>500</v>
      </c>
      <c r="O258" s="22" t="s">
        <v>25</v>
      </c>
      <c r="P258" s="22" t="s">
        <v>466</v>
      </c>
      <c r="Q258" s="22">
        <v>104033383</v>
      </c>
      <c r="R258" s="22" t="s">
        <v>87</v>
      </c>
      <c r="S258" s="24">
        <v>1</v>
      </c>
      <c r="T258" s="20" t="s">
        <v>25</v>
      </c>
      <c r="U258" s="25" t="s">
        <v>466</v>
      </c>
      <c r="V258" s="20">
        <v>104033383</v>
      </c>
      <c r="W258" s="25" t="s">
        <v>913</v>
      </c>
      <c r="X258" s="20" t="s">
        <v>467</v>
      </c>
      <c r="Y258" s="20" t="s">
        <v>87</v>
      </c>
      <c r="Z258" s="20" t="s">
        <v>88</v>
      </c>
      <c r="AA258" s="15">
        <v>186.46</v>
      </c>
      <c r="AB258" s="15">
        <v>281</v>
      </c>
      <c r="AC258" s="15">
        <f t="shared" si="16"/>
        <v>281</v>
      </c>
      <c r="AD258" s="15">
        <f t="shared" si="17"/>
        <v>186.46</v>
      </c>
      <c r="AE258" s="15">
        <f t="shared" si="18"/>
        <v>94.539999999999992</v>
      </c>
      <c r="AF258" s="16">
        <f t="shared" si="19"/>
        <v>0.33644128113879002</v>
      </c>
      <c r="AG258" s="26" t="str">
        <f t="shared" si="20"/>
        <v>30+%</v>
      </c>
      <c r="AH258" s="20"/>
      <c r="AI258" s="20" t="s">
        <v>43</v>
      </c>
      <c r="AJ258" s="20">
        <v>0</v>
      </c>
      <c r="AK258" s="20"/>
    </row>
    <row r="259" spans="1:37" s="27" customFormat="1" ht="12.75" customHeight="1" x14ac:dyDescent="0.2">
      <c r="A259" s="22" t="s">
        <v>486</v>
      </c>
      <c r="B259" s="22" t="s">
        <v>499</v>
      </c>
      <c r="C259" s="23">
        <v>44614</v>
      </c>
      <c r="D259" s="22" t="s">
        <v>485</v>
      </c>
      <c r="E259" s="22" t="s">
        <v>484</v>
      </c>
      <c r="F259" s="22" t="s">
        <v>483</v>
      </c>
      <c r="G259" s="22" t="s">
        <v>482</v>
      </c>
      <c r="H259" s="22" t="s">
        <v>481</v>
      </c>
      <c r="I259" s="22" t="s">
        <v>480</v>
      </c>
      <c r="J259" s="22" t="s">
        <v>479</v>
      </c>
      <c r="K259" s="22" t="s">
        <v>478</v>
      </c>
      <c r="L259" s="22" t="s">
        <v>477</v>
      </c>
      <c r="M259" s="22" t="s">
        <v>498</v>
      </c>
      <c r="N259" s="22" t="s">
        <v>497</v>
      </c>
      <c r="O259" s="22" t="s">
        <v>2</v>
      </c>
      <c r="P259" s="22" t="s">
        <v>266</v>
      </c>
      <c r="Q259" s="22">
        <v>101963961</v>
      </c>
      <c r="R259" s="22" t="s">
        <v>87</v>
      </c>
      <c r="S259" s="24">
        <v>10</v>
      </c>
      <c r="T259" s="20" t="s">
        <v>2</v>
      </c>
      <c r="U259" s="25" t="s">
        <v>266</v>
      </c>
      <c r="V259" s="20">
        <v>101963961</v>
      </c>
      <c r="W259" s="25" t="s">
        <v>911</v>
      </c>
      <c r="X259" s="20" t="s">
        <v>267</v>
      </c>
      <c r="Y259" s="20" t="s">
        <v>87</v>
      </c>
      <c r="Z259" s="20" t="s">
        <v>88</v>
      </c>
      <c r="AA259" s="15">
        <v>27.031914893617024</v>
      </c>
      <c r="AB259" s="15">
        <v>54.64</v>
      </c>
      <c r="AC259" s="15">
        <f t="shared" ref="AC259:AC322" si="21">AB259*S259</f>
        <v>546.4</v>
      </c>
      <c r="AD259" s="15">
        <f t="shared" ref="AD259:AD278" si="22">AA259*S259</f>
        <v>270.31914893617022</v>
      </c>
      <c r="AE259" s="15">
        <f t="shared" ref="AE259:AE322" si="23">AC259-AD259</f>
        <v>276.08085106382975</v>
      </c>
      <c r="AF259" s="16">
        <f t="shared" ref="AF259:AF322" si="24">AE259/AC259</f>
        <v>0.50527242141989337</v>
      </c>
      <c r="AG259" s="26" t="str">
        <f t="shared" ref="AG259:AG322" si="25">IF(AF259&lt;0,"Negative",IF(AF259=0,"Same",IF(AF259&gt;0.3,"30+%",IF(AF259&gt;0.2,"20-30%",IF(AF259&gt;0.1,"10-20%",IF(AF259&lt;=0.1,"0-10%"))))))</f>
        <v>30+%</v>
      </c>
      <c r="AH259" s="20"/>
      <c r="AI259" s="20" t="s">
        <v>43</v>
      </c>
      <c r="AJ259" s="20">
        <v>21</v>
      </c>
      <c r="AK259" s="20"/>
    </row>
    <row r="260" spans="1:37" s="27" customFormat="1" ht="12.75" customHeight="1" x14ac:dyDescent="0.2">
      <c r="A260" s="22" t="s">
        <v>833</v>
      </c>
      <c r="B260" s="22" t="s">
        <v>835</v>
      </c>
      <c r="C260" s="23">
        <v>44615</v>
      </c>
      <c r="D260" s="22"/>
      <c r="E260" s="22"/>
      <c r="F260" s="22" t="s">
        <v>832</v>
      </c>
      <c r="G260" s="22" t="s">
        <v>832</v>
      </c>
      <c r="H260" s="22" t="s">
        <v>831</v>
      </c>
      <c r="I260" s="22" t="s">
        <v>830</v>
      </c>
      <c r="J260" s="22" t="s">
        <v>829</v>
      </c>
      <c r="K260" s="22" t="s">
        <v>828</v>
      </c>
      <c r="L260" s="22" t="s">
        <v>827</v>
      </c>
      <c r="M260" s="22" t="s">
        <v>487</v>
      </c>
      <c r="N260" s="22" t="s">
        <v>834</v>
      </c>
      <c r="O260" s="22" t="s">
        <v>71</v>
      </c>
      <c r="P260" s="22" t="s">
        <v>155</v>
      </c>
      <c r="Q260" s="22">
        <v>119016165</v>
      </c>
      <c r="R260" s="22" t="s">
        <v>87</v>
      </c>
      <c r="S260" s="24">
        <v>1</v>
      </c>
      <c r="T260" s="20" t="s">
        <v>71</v>
      </c>
      <c r="U260" s="25" t="s">
        <v>155</v>
      </c>
      <c r="V260" s="20">
        <v>119016165</v>
      </c>
      <c r="W260" s="25" t="s">
        <v>910</v>
      </c>
      <c r="X260" s="20" t="s">
        <v>156</v>
      </c>
      <c r="Y260" s="20" t="s">
        <v>87</v>
      </c>
      <c r="Z260" s="20" t="s">
        <v>97</v>
      </c>
      <c r="AA260" s="15">
        <v>67.010000000000005</v>
      </c>
      <c r="AB260" s="15">
        <v>67.67</v>
      </c>
      <c r="AC260" s="15">
        <f t="shared" si="21"/>
        <v>67.67</v>
      </c>
      <c r="AD260" s="15">
        <f t="shared" si="22"/>
        <v>67.010000000000005</v>
      </c>
      <c r="AE260" s="15">
        <f t="shared" si="23"/>
        <v>0.65999999999999659</v>
      </c>
      <c r="AF260" s="16">
        <f t="shared" si="24"/>
        <v>9.7532141273828366E-3</v>
      </c>
      <c r="AG260" s="26" t="str">
        <f t="shared" si="25"/>
        <v>0-10%</v>
      </c>
      <c r="AH260" s="20"/>
      <c r="AI260" s="20" t="s">
        <v>43</v>
      </c>
      <c r="AJ260" s="20">
        <v>0</v>
      </c>
      <c r="AK260" s="20"/>
    </row>
    <row r="261" spans="1:37" s="27" customFormat="1" ht="12.75" customHeight="1" x14ac:dyDescent="0.2">
      <c r="A261" s="22" t="s">
        <v>833</v>
      </c>
      <c r="B261" s="22" t="s">
        <v>835</v>
      </c>
      <c r="C261" s="23">
        <v>44615</v>
      </c>
      <c r="D261" s="22"/>
      <c r="E261" s="22"/>
      <c r="F261" s="22" t="s">
        <v>832</v>
      </c>
      <c r="G261" s="22" t="s">
        <v>832</v>
      </c>
      <c r="H261" s="22" t="s">
        <v>831</v>
      </c>
      <c r="I261" s="22" t="s">
        <v>830</v>
      </c>
      <c r="J261" s="22" t="s">
        <v>829</v>
      </c>
      <c r="K261" s="22" t="s">
        <v>828</v>
      </c>
      <c r="L261" s="22" t="s">
        <v>827</v>
      </c>
      <c r="M261" s="22" t="s">
        <v>487</v>
      </c>
      <c r="N261" s="22" t="s">
        <v>834</v>
      </c>
      <c r="O261" s="22" t="s">
        <v>71</v>
      </c>
      <c r="P261" s="22" t="s">
        <v>157</v>
      </c>
      <c r="Q261" s="22">
        <v>119016166</v>
      </c>
      <c r="R261" s="22" t="s">
        <v>87</v>
      </c>
      <c r="S261" s="24">
        <v>1</v>
      </c>
      <c r="T261" s="20" t="s">
        <v>71</v>
      </c>
      <c r="U261" s="25" t="s">
        <v>157</v>
      </c>
      <c r="V261" s="20">
        <v>119016166</v>
      </c>
      <c r="W261" s="25" t="s">
        <v>910</v>
      </c>
      <c r="X261" s="20" t="s">
        <v>158</v>
      </c>
      <c r="Y261" s="20" t="s">
        <v>87</v>
      </c>
      <c r="Z261" s="20" t="s">
        <v>97</v>
      </c>
      <c r="AA261" s="15">
        <v>67.010000000000005</v>
      </c>
      <c r="AB261" s="15">
        <v>67.67</v>
      </c>
      <c r="AC261" s="15">
        <f t="shared" si="21"/>
        <v>67.67</v>
      </c>
      <c r="AD261" s="15">
        <f t="shared" si="22"/>
        <v>67.010000000000005</v>
      </c>
      <c r="AE261" s="15">
        <f t="shared" si="23"/>
        <v>0.65999999999999659</v>
      </c>
      <c r="AF261" s="16">
        <f t="shared" si="24"/>
        <v>9.7532141273828366E-3</v>
      </c>
      <c r="AG261" s="26" t="str">
        <f t="shared" si="25"/>
        <v>0-10%</v>
      </c>
      <c r="AH261" s="20"/>
      <c r="AI261" s="20" t="s">
        <v>43</v>
      </c>
      <c r="AJ261" s="20">
        <v>0</v>
      </c>
      <c r="AK261" s="20"/>
    </row>
    <row r="262" spans="1:37" s="27" customFormat="1" ht="12.75" customHeight="1" x14ac:dyDescent="0.2">
      <c r="A262" s="22" t="s">
        <v>833</v>
      </c>
      <c r="B262" s="22" t="s">
        <v>835</v>
      </c>
      <c r="C262" s="23">
        <v>44615</v>
      </c>
      <c r="D262" s="22"/>
      <c r="E262" s="22"/>
      <c r="F262" s="22" t="s">
        <v>832</v>
      </c>
      <c r="G262" s="22" t="s">
        <v>832</v>
      </c>
      <c r="H262" s="22" t="s">
        <v>831</v>
      </c>
      <c r="I262" s="22" t="s">
        <v>830</v>
      </c>
      <c r="J262" s="22" t="s">
        <v>829</v>
      </c>
      <c r="K262" s="22" t="s">
        <v>828</v>
      </c>
      <c r="L262" s="22" t="s">
        <v>827</v>
      </c>
      <c r="M262" s="22" t="s">
        <v>487</v>
      </c>
      <c r="N262" s="22" t="s">
        <v>834</v>
      </c>
      <c r="O262" s="22" t="s">
        <v>71</v>
      </c>
      <c r="P262" s="22" t="s">
        <v>151</v>
      </c>
      <c r="Q262" s="22">
        <v>119016167</v>
      </c>
      <c r="R262" s="22" t="s">
        <v>87</v>
      </c>
      <c r="S262" s="24">
        <v>1</v>
      </c>
      <c r="T262" s="20" t="s">
        <v>71</v>
      </c>
      <c r="U262" s="25" t="s">
        <v>151</v>
      </c>
      <c r="V262" s="20">
        <v>119016167</v>
      </c>
      <c r="W262" s="25" t="s">
        <v>910</v>
      </c>
      <c r="X262" s="20" t="s">
        <v>152</v>
      </c>
      <c r="Y262" s="20" t="s">
        <v>87</v>
      </c>
      <c r="Z262" s="20" t="s">
        <v>97</v>
      </c>
      <c r="AA262" s="15">
        <v>67.010000000000005</v>
      </c>
      <c r="AB262" s="15">
        <v>67.67</v>
      </c>
      <c r="AC262" s="15">
        <f t="shared" si="21"/>
        <v>67.67</v>
      </c>
      <c r="AD262" s="15">
        <f t="shared" si="22"/>
        <v>67.010000000000005</v>
      </c>
      <c r="AE262" s="15">
        <f t="shared" si="23"/>
        <v>0.65999999999999659</v>
      </c>
      <c r="AF262" s="16">
        <f t="shared" si="24"/>
        <v>9.7532141273828366E-3</v>
      </c>
      <c r="AG262" s="26" t="str">
        <f t="shared" si="25"/>
        <v>0-10%</v>
      </c>
      <c r="AH262" s="20"/>
      <c r="AI262" s="20" t="s">
        <v>43</v>
      </c>
      <c r="AJ262" s="20">
        <v>0</v>
      </c>
      <c r="AK262" s="20"/>
    </row>
    <row r="263" spans="1:37" s="27" customFormat="1" ht="12.75" customHeight="1" x14ac:dyDescent="0.2">
      <c r="A263" s="22" t="s">
        <v>833</v>
      </c>
      <c r="B263" s="22" t="s">
        <v>835</v>
      </c>
      <c r="C263" s="23">
        <v>44615</v>
      </c>
      <c r="D263" s="22"/>
      <c r="E263" s="22"/>
      <c r="F263" s="22" t="s">
        <v>832</v>
      </c>
      <c r="G263" s="22" t="s">
        <v>832</v>
      </c>
      <c r="H263" s="22" t="s">
        <v>831</v>
      </c>
      <c r="I263" s="22" t="s">
        <v>830</v>
      </c>
      <c r="J263" s="22" t="s">
        <v>829</v>
      </c>
      <c r="K263" s="22" t="s">
        <v>828</v>
      </c>
      <c r="L263" s="22" t="s">
        <v>827</v>
      </c>
      <c r="M263" s="22" t="s">
        <v>487</v>
      </c>
      <c r="N263" s="22" t="s">
        <v>834</v>
      </c>
      <c r="O263" s="22" t="s">
        <v>71</v>
      </c>
      <c r="P263" s="22" t="s">
        <v>153</v>
      </c>
      <c r="Q263" s="22">
        <v>111874349</v>
      </c>
      <c r="R263" s="22" t="s">
        <v>87</v>
      </c>
      <c r="S263" s="24">
        <v>1</v>
      </c>
      <c r="T263" s="20" t="s">
        <v>71</v>
      </c>
      <c r="U263" s="25" t="s">
        <v>153</v>
      </c>
      <c r="V263" s="20">
        <v>111874349</v>
      </c>
      <c r="W263" s="25" t="s">
        <v>912</v>
      </c>
      <c r="X263" s="20" t="s">
        <v>154</v>
      </c>
      <c r="Y263" s="20" t="s">
        <v>87</v>
      </c>
      <c r="Z263" s="20" t="s">
        <v>97</v>
      </c>
      <c r="AA263" s="15">
        <v>58.44</v>
      </c>
      <c r="AB263" s="15">
        <v>67.67</v>
      </c>
      <c r="AC263" s="15">
        <f t="shared" si="21"/>
        <v>67.67</v>
      </c>
      <c r="AD263" s="15">
        <f t="shared" si="22"/>
        <v>58.44</v>
      </c>
      <c r="AE263" s="15">
        <f t="shared" si="23"/>
        <v>9.230000000000004</v>
      </c>
      <c r="AF263" s="16">
        <f t="shared" si="24"/>
        <v>0.13639722181173347</v>
      </c>
      <c r="AG263" s="26" t="str">
        <f t="shared" si="25"/>
        <v>10-20%</v>
      </c>
      <c r="AH263" s="20"/>
      <c r="AI263" s="20" t="s">
        <v>43</v>
      </c>
      <c r="AJ263" s="20">
        <v>0</v>
      </c>
      <c r="AK263" s="20"/>
    </row>
    <row r="264" spans="1:37" s="27" customFormat="1" ht="12.75" customHeight="1" x14ac:dyDescent="0.2">
      <c r="A264" s="22" t="s">
        <v>833</v>
      </c>
      <c r="B264" s="22" t="s">
        <v>835</v>
      </c>
      <c r="C264" s="23">
        <v>44615</v>
      </c>
      <c r="D264" s="22"/>
      <c r="E264" s="22"/>
      <c r="F264" s="22" t="s">
        <v>832</v>
      </c>
      <c r="G264" s="22" t="s">
        <v>832</v>
      </c>
      <c r="H264" s="22" t="s">
        <v>831</v>
      </c>
      <c r="I264" s="22" t="s">
        <v>830</v>
      </c>
      <c r="J264" s="22" t="s">
        <v>829</v>
      </c>
      <c r="K264" s="22" t="s">
        <v>828</v>
      </c>
      <c r="L264" s="22" t="s">
        <v>827</v>
      </c>
      <c r="M264" s="22" t="s">
        <v>487</v>
      </c>
      <c r="N264" s="22" t="s">
        <v>834</v>
      </c>
      <c r="O264" s="22" t="s">
        <v>71</v>
      </c>
      <c r="P264" s="22" t="s">
        <v>161</v>
      </c>
      <c r="Q264" s="22">
        <v>110848998</v>
      </c>
      <c r="R264" s="22" t="s">
        <v>87</v>
      </c>
      <c r="S264" s="24">
        <v>1</v>
      </c>
      <c r="T264" s="20" t="s">
        <v>71</v>
      </c>
      <c r="U264" s="25" t="s">
        <v>161</v>
      </c>
      <c r="V264" s="20">
        <v>110848998</v>
      </c>
      <c r="W264" s="25" t="s">
        <v>916</v>
      </c>
      <c r="X264" s="20" t="s">
        <v>162</v>
      </c>
      <c r="Y264" s="20" t="s">
        <v>87</v>
      </c>
      <c r="Z264" s="20" t="s">
        <v>97</v>
      </c>
      <c r="AA264" s="15">
        <v>57.28</v>
      </c>
      <c r="AB264" s="15">
        <v>67.67</v>
      </c>
      <c r="AC264" s="15">
        <f t="shared" si="21"/>
        <v>67.67</v>
      </c>
      <c r="AD264" s="15">
        <f t="shared" si="22"/>
        <v>57.28</v>
      </c>
      <c r="AE264" s="15">
        <f t="shared" si="23"/>
        <v>10.39</v>
      </c>
      <c r="AF264" s="16">
        <f t="shared" si="24"/>
        <v>0.15353923452046697</v>
      </c>
      <c r="AG264" s="26" t="str">
        <f t="shared" si="25"/>
        <v>10-20%</v>
      </c>
      <c r="AH264" s="20"/>
      <c r="AI264" s="20" t="s">
        <v>43</v>
      </c>
      <c r="AJ264" s="20">
        <v>0</v>
      </c>
      <c r="AK264" s="20"/>
    </row>
    <row r="265" spans="1:37" s="27" customFormat="1" ht="12.75" customHeight="1" x14ac:dyDescent="0.2">
      <c r="A265" s="22" t="s">
        <v>833</v>
      </c>
      <c r="B265" s="22" t="s">
        <v>835</v>
      </c>
      <c r="C265" s="23">
        <v>44615</v>
      </c>
      <c r="D265" s="22"/>
      <c r="E265" s="22"/>
      <c r="F265" s="22" t="s">
        <v>832</v>
      </c>
      <c r="G265" s="22" t="s">
        <v>832</v>
      </c>
      <c r="H265" s="22" t="s">
        <v>831</v>
      </c>
      <c r="I265" s="22" t="s">
        <v>830</v>
      </c>
      <c r="J265" s="22" t="s">
        <v>829</v>
      </c>
      <c r="K265" s="22" t="s">
        <v>828</v>
      </c>
      <c r="L265" s="22" t="s">
        <v>827</v>
      </c>
      <c r="M265" s="22" t="s">
        <v>487</v>
      </c>
      <c r="N265" s="22" t="s">
        <v>834</v>
      </c>
      <c r="O265" s="22" t="s">
        <v>71</v>
      </c>
      <c r="P265" s="22" t="s">
        <v>159</v>
      </c>
      <c r="Q265" s="22">
        <v>118687892</v>
      </c>
      <c r="R265" s="22" t="s">
        <v>87</v>
      </c>
      <c r="S265" s="24">
        <v>1</v>
      </c>
      <c r="T265" s="20" t="s">
        <v>71</v>
      </c>
      <c r="U265" s="25" t="s">
        <v>159</v>
      </c>
      <c r="V265" s="20">
        <v>118687892</v>
      </c>
      <c r="W265" s="25" t="s">
        <v>916</v>
      </c>
      <c r="X265" s="20" t="s">
        <v>160</v>
      </c>
      <c r="Y265" s="20" t="s">
        <v>87</v>
      </c>
      <c r="Z265" s="20" t="s">
        <v>97</v>
      </c>
      <c r="AA265" s="15">
        <v>57.28</v>
      </c>
      <c r="AB265" s="15">
        <v>67.67</v>
      </c>
      <c r="AC265" s="15">
        <f t="shared" si="21"/>
        <v>67.67</v>
      </c>
      <c r="AD265" s="15">
        <f t="shared" si="22"/>
        <v>57.28</v>
      </c>
      <c r="AE265" s="15">
        <f t="shared" si="23"/>
        <v>10.39</v>
      </c>
      <c r="AF265" s="16">
        <f t="shared" si="24"/>
        <v>0.15353923452046697</v>
      </c>
      <c r="AG265" s="26" t="str">
        <f t="shared" si="25"/>
        <v>10-20%</v>
      </c>
      <c r="AH265" s="20"/>
      <c r="AI265" s="20" t="s">
        <v>43</v>
      </c>
      <c r="AJ265" s="20">
        <v>0</v>
      </c>
      <c r="AK265" s="20"/>
    </row>
    <row r="266" spans="1:37" s="27" customFormat="1" ht="12.75" customHeight="1" x14ac:dyDescent="0.2">
      <c r="A266" s="22" t="s">
        <v>833</v>
      </c>
      <c r="B266" s="22" t="s">
        <v>835</v>
      </c>
      <c r="C266" s="23">
        <v>44615</v>
      </c>
      <c r="D266" s="22"/>
      <c r="E266" s="22"/>
      <c r="F266" s="22" t="s">
        <v>832</v>
      </c>
      <c r="G266" s="22" t="s">
        <v>832</v>
      </c>
      <c r="H266" s="22" t="s">
        <v>831</v>
      </c>
      <c r="I266" s="22" t="s">
        <v>830</v>
      </c>
      <c r="J266" s="22" t="s">
        <v>829</v>
      </c>
      <c r="K266" s="22" t="s">
        <v>828</v>
      </c>
      <c r="L266" s="22" t="s">
        <v>827</v>
      </c>
      <c r="M266" s="22" t="s">
        <v>487</v>
      </c>
      <c r="N266" s="22" t="s">
        <v>834</v>
      </c>
      <c r="O266" s="22" t="s">
        <v>71</v>
      </c>
      <c r="P266" s="22" t="s">
        <v>163</v>
      </c>
      <c r="Q266" s="22">
        <v>102438279</v>
      </c>
      <c r="R266" s="22" t="s">
        <v>87</v>
      </c>
      <c r="S266" s="24">
        <v>6</v>
      </c>
      <c r="T266" s="20" t="s">
        <v>71</v>
      </c>
      <c r="U266" s="25" t="s">
        <v>163</v>
      </c>
      <c r="V266" s="20">
        <v>102438279</v>
      </c>
      <c r="W266" s="25" t="s">
        <v>919</v>
      </c>
      <c r="X266" s="20" t="s">
        <v>164</v>
      </c>
      <c r="Y266" s="20" t="s">
        <v>87</v>
      </c>
      <c r="Z266" s="20" t="s">
        <v>97</v>
      </c>
      <c r="AA266" s="15">
        <v>23.45</v>
      </c>
      <c r="AB266" s="15">
        <v>32.07</v>
      </c>
      <c r="AC266" s="15">
        <f t="shared" si="21"/>
        <v>192.42000000000002</v>
      </c>
      <c r="AD266" s="15">
        <f t="shared" si="22"/>
        <v>140.69999999999999</v>
      </c>
      <c r="AE266" s="15">
        <f t="shared" si="23"/>
        <v>51.720000000000027</v>
      </c>
      <c r="AF266" s="16">
        <f t="shared" si="24"/>
        <v>0.26878702837542889</v>
      </c>
      <c r="AG266" s="26" t="str">
        <f t="shared" si="25"/>
        <v>20-30%</v>
      </c>
      <c r="AH266" s="20"/>
      <c r="AI266" s="20" t="s">
        <v>43</v>
      </c>
      <c r="AJ266" s="20">
        <v>0</v>
      </c>
      <c r="AK266" s="20"/>
    </row>
    <row r="267" spans="1:37" s="27" customFormat="1" ht="12.75" customHeight="1" x14ac:dyDescent="0.2">
      <c r="A267" s="22" t="s">
        <v>705</v>
      </c>
      <c r="B267" s="22" t="s">
        <v>714</v>
      </c>
      <c r="C267" s="23">
        <v>44615</v>
      </c>
      <c r="D267" s="22" t="s">
        <v>485</v>
      </c>
      <c r="E267" s="22" t="s">
        <v>484</v>
      </c>
      <c r="F267" s="22" t="s">
        <v>483</v>
      </c>
      <c r="G267" s="22" t="s">
        <v>704</v>
      </c>
      <c r="H267" s="22" t="s">
        <v>703</v>
      </c>
      <c r="I267" s="22" t="s">
        <v>702</v>
      </c>
      <c r="J267" s="22" t="s">
        <v>701</v>
      </c>
      <c r="K267" s="22" t="s">
        <v>700</v>
      </c>
      <c r="L267" s="22" t="s">
        <v>699</v>
      </c>
      <c r="M267" s="22" t="s">
        <v>715</v>
      </c>
      <c r="N267" s="22" t="s">
        <v>712</v>
      </c>
      <c r="O267" s="22" t="s">
        <v>16</v>
      </c>
      <c r="P267" s="22" t="s">
        <v>178</v>
      </c>
      <c r="Q267" s="22">
        <v>110223931</v>
      </c>
      <c r="R267" s="22" t="s">
        <v>87</v>
      </c>
      <c r="S267" s="24">
        <v>1</v>
      </c>
      <c r="T267" s="20" t="s">
        <v>16</v>
      </c>
      <c r="U267" s="25" t="s">
        <v>178</v>
      </c>
      <c r="V267" s="20">
        <v>110223931</v>
      </c>
      <c r="W267" s="25" t="s">
        <v>913</v>
      </c>
      <c r="X267" s="20" t="s">
        <v>179</v>
      </c>
      <c r="Y267" s="20" t="s">
        <v>87</v>
      </c>
      <c r="Z267" s="20" t="s">
        <v>88</v>
      </c>
      <c r="AA267" s="15">
        <v>337.03773584905656</v>
      </c>
      <c r="AB267" s="15">
        <v>359.33333333333331</v>
      </c>
      <c r="AC267" s="15">
        <f t="shared" si="21"/>
        <v>359.33333333333331</v>
      </c>
      <c r="AD267" s="15">
        <f t="shared" si="22"/>
        <v>337.03773584905656</v>
      </c>
      <c r="AE267" s="15">
        <f t="shared" si="23"/>
        <v>22.295597484276755</v>
      </c>
      <c r="AF267" s="16">
        <f t="shared" si="24"/>
        <v>6.2047117303182069E-2</v>
      </c>
      <c r="AG267" s="26" t="str">
        <f t="shared" si="25"/>
        <v>0-10%</v>
      </c>
      <c r="AH267" s="20" t="s">
        <v>921</v>
      </c>
      <c r="AI267" s="20" t="s">
        <v>43</v>
      </c>
      <c r="AJ267" s="20">
        <v>0</v>
      </c>
      <c r="AK267" s="20"/>
    </row>
    <row r="268" spans="1:37" s="27" customFormat="1" ht="12.75" customHeight="1" x14ac:dyDescent="0.2">
      <c r="A268" s="22" t="s">
        <v>705</v>
      </c>
      <c r="B268" s="22" t="s">
        <v>714</v>
      </c>
      <c r="C268" s="23">
        <v>44615</v>
      </c>
      <c r="D268" s="22" t="s">
        <v>485</v>
      </c>
      <c r="E268" s="22" t="s">
        <v>484</v>
      </c>
      <c r="F268" s="22" t="s">
        <v>483</v>
      </c>
      <c r="G268" s="22" t="s">
        <v>704</v>
      </c>
      <c r="H268" s="22" t="s">
        <v>703</v>
      </c>
      <c r="I268" s="22" t="s">
        <v>702</v>
      </c>
      <c r="J268" s="22" t="s">
        <v>701</v>
      </c>
      <c r="K268" s="22" t="s">
        <v>700</v>
      </c>
      <c r="L268" s="22" t="s">
        <v>699</v>
      </c>
      <c r="M268" s="22" t="s">
        <v>713</v>
      </c>
      <c r="N268" s="22" t="s">
        <v>712</v>
      </c>
      <c r="O268" s="22" t="s">
        <v>16</v>
      </c>
      <c r="P268" s="22" t="s">
        <v>180</v>
      </c>
      <c r="Q268" s="22">
        <v>110224139</v>
      </c>
      <c r="R268" s="22" t="s">
        <v>87</v>
      </c>
      <c r="S268" s="24">
        <v>1</v>
      </c>
      <c r="T268" s="20" t="s">
        <v>16</v>
      </c>
      <c r="U268" s="25" t="s">
        <v>180</v>
      </c>
      <c r="V268" s="20">
        <v>110224139</v>
      </c>
      <c r="W268" s="25" t="s">
        <v>913</v>
      </c>
      <c r="X268" s="20" t="s">
        <v>181</v>
      </c>
      <c r="Y268" s="20" t="s">
        <v>87</v>
      </c>
      <c r="Z268" s="20" t="s">
        <v>88</v>
      </c>
      <c r="AA268" s="15">
        <v>381.77358490566036</v>
      </c>
      <c r="AB268" s="15">
        <v>407</v>
      </c>
      <c r="AC268" s="15">
        <f t="shared" si="21"/>
        <v>407</v>
      </c>
      <c r="AD268" s="15">
        <f t="shared" si="22"/>
        <v>381.77358490566036</v>
      </c>
      <c r="AE268" s="15">
        <f t="shared" si="23"/>
        <v>25.226415094339643</v>
      </c>
      <c r="AF268" s="16">
        <f t="shared" si="24"/>
        <v>6.1981363868156371E-2</v>
      </c>
      <c r="AG268" s="26" t="str">
        <f t="shared" si="25"/>
        <v>0-10%</v>
      </c>
      <c r="AH268" s="20" t="s">
        <v>921</v>
      </c>
      <c r="AI268" s="20" t="s">
        <v>42</v>
      </c>
      <c r="AJ268" s="20">
        <v>4</v>
      </c>
      <c r="AK268" s="20"/>
    </row>
    <row r="269" spans="1:37" s="27" customFormat="1" ht="12.75" customHeight="1" x14ac:dyDescent="0.2">
      <c r="A269" s="22" t="s">
        <v>705</v>
      </c>
      <c r="B269" s="22" t="s">
        <v>714</v>
      </c>
      <c r="C269" s="23">
        <v>44615</v>
      </c>
      <c r="D269" s="22" t="s">
        <v>485</v>
      </c>
      <c r="E269" s="22" t="s">
        <v>484</v>
      </c>
      <c r="F269" s="22" t="s">
        <v>483</v>
      </c>
      <c r="G269" s="22" t="s">
        <v>704</v>
      </c>
      <c r="H269" s="22" t="s">
        <v>703</v>
      </c>
      <c r="I269" s="22" t="s">
        <v>702</v>
      </c>
      <c r="J269" s="22" t="s">
        <v>701</v>
      </c>
      <c r="K269" s="22" t="s">
        <v>700</v>
      </c>
      <c r="L269" s="22" t="s">
        <v>699</v>
      </c>
      <c r="M269" s="22" t="s">
        <v>716</v>
      </c>
      <c r="N269" s="22" t="s">
        <v>712</v>
      </c>
      <c r="O269" s="22" t="s">
        <v>16</v>
      </c>
      <c r="P269" s="22" t="s">
        <v>174</v>
      </c>
      <c r="Q269" s="22">
        <v>103674709</v>
      </c>
      <c r="R269" s="22" t="s">
        <v>87</v>
      </c>
      <c r="S269" s="24">
        <v>1</v>
      </c>
      <c r="T269" s="20" t="s">
        <v>16</v>
      </c>
      <c r="U269" s="25" t="s">
        <v>174</v>
      </c>
      <c r="V269" s="20">
        <v>103674709</v>
      </c>
      <c r="W269" s="25" t="s">
        <v>913</v>
      </c>
      <c r="X269" s="20" t="s">
        <v>175</v>
      </c>
      <c r="Y269" s="20" t="s">
        <v>87</v>
      </c>
      <c r="Z269" s="20" t="s">
        <v>88</v>
      </c>
      <c r="AA269" s="15">
        <v>378.88679245283015</v>
      </c>
      <c r="AB269" s="15">
        <v>404.06666666666666</v>
      </c>
      <c r="AC269" s="15">
        <f t="shared" si="21"/>
        <v>404.06666666666666</v>
      </c>
      <c r="AD269" s="15">
        <f t="shared" si="22"/>
        <v>378.88679245283015</v>
      </c>
      <c r="AE269" s="15">
        <f t="shared" si="23"/>
        <v>25.179874213836513</v>
      </c>
      <c r="AF269" s="16">
        <f t="shared" si="24"/>
        <v>6.2316138130266902E-2</v>
      </c>
      <c r="AG269" s="26" t="str">
        <f t="shared" si="25"/>
        <v>0-10%</v>
      </c>
      <c r="AH269" s="20" t="s">
        <v>921</v>
      </c>
      <c r="AI269" s="20" t="s">
        <v>43</v>
      </c>
      <c r="AJ269" s="20">
        <v>0</v>
      </c>
      <c r="AK269" s="20"/>
    </row>
    <row r="270" spans="1:37" s="27" customFormat="1" ht="12.75" customHeight="1" x14ac:dyDescent="0.2">
      <c r="A270" s="22" t="s">
        <v>705</v>
      </c>
      <c r="B270" s="22" t="s">
        <v>714</v>
      </c>
      <c r="C270" s="23">
        <v>44615</v>
      </c>
      <c r="D270" s="22" t="s">
        <v>485</v>
      </c>
      <c r="E270" s="22" t="s">
        <v>484</v>
      </c>
      <c r="F270" s="22" t="s">
        <v>483</v>
      </c>
      <c r="G270" s="22" t="s">
        <v>704</v>
      </c>
      <c r="H270" s="22" t="s">
        <v>703</v>
      </c>
      <c r="I270" s="22" t="s">
        <v>702</v>
      </c>
      <c r="J270" s="22" t="s">
        <v>701</v>
      </c>
      <c r="K270" s="22" t="s">
        <v>700</v>
      </c>
      <c r="L270" s="22" t="s">
        <v>699</v>
      </c>
      <c r="M270" s="22" t="s">
        <v>710</v>
      </c>
      <c r="N270" s="22" t="s">
        <v>712</v>
      </c>
      <c r="O270" s="22" t="s">
        <v>16</v>
      </c>
      <c r="P270" s="22" t="s">
        <v>176</v>
      </c>
      <c r="Q270" s="22">
        <v>103720400</v>
      </c>
      <c r="R270" s="22" t="s">
        <v>87</v>
      </c>
      <c r="S270" s="24">
        <v>2</v>
      </c>
      <c r="T270" s="20" t="s">
        <v>16</v>
      </c>
      <c r="U270" s="25" t="s">
        <v>176</v>
      </c>
      <c r="V270" s="20">
        <v>103720400</v>
      </c>
      <c r="W270" s="25" t="s">
        <v>913</v>
      </c>
      <c r="X270" s="20" t="s">
        <v>177</v>
      </c>
      <c r="Y270" s="20" t="s">
        <v>87</v>
      </c>
      <c r="Z270" s="20" t="s">
        <v>88</v>
      </c>
      <c r="AA270" s="15">
        <v>461.16981132075466</v>
      </c>
      <c r="AB270" s="15">
        <v>489.86666666666673</v>
      </c>
      <c r="AC270" s="15">
        <f t="shared" si="21"/>
        <v>979.73333333333346</v>
      </c>
      <c r="AD270" s="15">
        <f t="shared" si="22"/>
        <v>922.33962264150932</v>
      </c>
      <c r="AE270" s="15">
        <f t="shared" si="23"/>
        <v>57.39371069182414</v>
      </c>
      <c r="AF270" s="16">
        <f t="shared" si="24"/>
        <v>5.8580951304937533E-2</v>
      </c>
      <c r="AG270" s="26" t="str">
        <f t="shared" si="25"/>
        <v>0-10%</v>
      </c>
      <c r="AH270" s="20" t="s">
        <v>921</v>
      </c>
      <c r="AI270" s="20" t="s">
        <v>43</v>
      </c>
      <c r="AJ270" s="20">
        <v>0</v>
      </c>
      <c r="AK270" s="20"/>
    </row>
    <row r="271" spans="1:37" s="27" customFormat="1" ht="12.75" customHeight="1" x14ac:dyDescent="0.2">
      <c r="A271" s="22" t="s">
        <v>705</v>
      </c>
      <c r="B271" s="22" t="s">
        <v>711</v>
      </c>
      <c r="C271" s="23">
        <v>44615</v>
      </c>
      <c r="D271" s="22" t="s">
        <v>485</v>
      </c>
      <c r="E271" s="22" t="s">
        <v>484</v>
      </c>
      <c r="F271" s="22" t="s">
        <v>483</v>
      </c>
      <c r="G271" s="22" t="s">
        <v>704</v>
      </c>
      <c r="H271" s="22" t="s">
        <v>703</v>
      </c>
      <c r="I271" s="22" t="s">
        <v>702</v>
      </c>
      <c r="J271" s="22" t="s">
        <v>701</v>
      </c>
      <c r="K271" s="22" t="s">
        <v>700</v>
      </c>
      <c r="L271" s="22" t="s">
        <v>699</v>
      </c>
      <c r="M271" s="22" t="s">
        <v>710</v>
      </c>
      <c r="N271" s="22" t="s">
        <v>709</v>
      </c>
      <c r="O271" s="22" t="s">
        <v>16</v>
      </c>
      <c r="P271" s="22" t="s">
        <v>176</v>
      </c>
      <c r="Q271" s="22">
        <v>103720400</v>
      </c>
      <c r="R271" s="22" t="s">
        <v>87</v>
      </c>
      <c r="S271" s="24">
        <v>2</v>
      </c>
      <c r="T271" s="20" t="s">
        <v>16</v>
      </c>
      <c r="U271" s="25" t="s">
        <v>176</v>
      </c>
      <c r="V271" s="20">
        <v>103720400</v>
      </c>
      <c r="W271" s="25" t="s">
        <v>913</v>
      </c>
      <c r="X271" s="20" t="s">
        <v>177</v>
      </c>
      <c r="Y271" s="20" t="s">
        <v>87</v>
      </c>
      <c r="Z271" s="20" t="s">
        <v>88</v>
      </c>
      <c r="AA271" s="15">
        <v>461.16981132075466</v>
      </c>
      <c r="AB271" s="15">
        <v>489.86666666666673</v>
      </c>
      <c r="AC271" s="15">
        <f t="shared" si="21"/>
        <v>979.73333333333346</v>
      </c>
      <c r="AD271" s="15">
        <f t="shared" si="22"/>
        <v>922.33962264150932</v>
      </c>
      <c r="AE271" s="15">
        <f t="shared" si="23"/>
        <v>57.39371069182414</v>
      </c>
      <c r="AF271" s="16">
        <f t="shared" si="24"/>
        <v>5.8580951304937533E-2</v>
      </c>
      <c r="AG271" s="26" t="str">
        <f t="shared" si="25"/>
        <v>0-10%</v>
      </c>
      <c r="AH271" s="20" t="s">
        <v>921</v>
      </c>
      <c r="AI271" s="20" t="s">
        <v>43</v>
      </c>
      <c r="AJ271" s="20">
        <v>0</v>
      </c>
      <c r="AK271" s="20"/>
    </row>
    <row r="272" spans="1:37" s="27" customFormat="1" ht="12.75" customHeight="1" x14ac:dyDescent="0.2">
      <c r="A272" s="22" t="s">
        <v>486</v>
      </c>
      <c r="B272" s="22" t="s">
        <v>496</v>
      </c>
      <c r="C272" s="23">
        <v>44615</v>
      </c>
      <c r="D272" s="22" t="s">
        <v>485</v>
      </c>
      <c r="E272" s="22" t="s">
        <v>484</v>
      </c>
      <c r="F272" s="22" t="s">
        <v>483</v>
      </c>
      <c r="G272" s="22" t="s">
        <v>492</v>
      </c>
      <c r="H272" s="22" t="s">
        <v>481</v>
      </c>
      <c r="I272" s="22" t="s">
        <v>491</v>
      </c>
      <c r="J272" s="22" t="s">
        <v>490</v>
      </c>
      <c r="K272" s="22" t="s">
        <v>478</v>
      </c>
      <c r="L272" s="22" t="s">
        <v>489</v>
      </c>
      <c r="M272" s="22" t="s">
        <v>487</v>
      </c>
      <c r="N272" s="22" t="s">
        <v>488</v>
      </c>
      <c r="O272" s="22" t="s">
        <v>7</v>
      </c>
      <c r="P272" s="22" t="s">
        <v>468</v>
      </c>
      <c r="Q272" s="22">
        <v>100801020</v>
      </c>
      <c r="R272" s="22" t="s">
        <v>87</v>
      </c>
      <c r="S272" s="24">
        <v>3</v>
      </c>
      <c r="T272" s="20" t="s">
        <v>7</v>
      </c>
      <c r="U272" s="25" t="s">
        <v>468</v>
      </c>
      <c r="V272" s="20">
        <v>100801020</v>
      </c>
      <c r="W272" s="25" t="s">
        <v>912</v>
      </c>
      <c r="X272" s="20" t="s">
        <v>469</v>
      </c>
      <c r="Y272" s="20" t="s">
        <v>87</v>
      </c>
      <c r="Z272" s="20" t="s">
        <v>88</v>
      </c>
      <c r="AA272" s="15">
        <v>3.8777777777777778</v>
      </c>
      <c r="AB272" s="15">
        <v>3.97</v>
      </c>
      <c r="AC272" s="15">
        <f t="shared" si="21"/>
        <v>11.91</v>
      </c>
      <c r="AD272" s="15">
        <f t="shared" si="22"/>
        <v>11.633333333333333</v>
      </c>
      <c r="AE272" s="15">
        <f t="shared" si="23"/>
        <v>0.27666666666666728</v>
      </c>
      <c r="AF272" s="16">
        <f t="shared" si="24"/>
        <v>2.3229778897285246E-2</v>
      </c>
      <c r="AG272" s="26" t="str">
        <f t="shared" si="25"/>
        <v>0-10%</v>
      </c>
      <c r="AH272" s="20"/>
      <c r="AI272" s="20" t="s">
        <v>43</v>
      </c>
      <c r="AJ272" s="20">
        <v>0</v>
      </c>
      <c r="AK272" s="20"/>
    </row>
    <row r="273" spans="1:37" s="27" customFormat="1" ht="12.75" customHeight="1" x14ac:dyDescent="0.2">
      <c r="A273" s="22" t="s">
        <v>883</v>
      </c>
      <c r="B273" s="22" t="s">
        <v>886</v>
      </c>
      <c r="C273" s="23">
        <v>44620</v>
      </c>
      <c r="D273" s="22" t="s">
        <v>485</v>
      </c>
      <c r="E273" s="22" t="s">
        <v>484</v>
      </c>
      <c r="F273" s="22" t="s">
        <v>483</v>
      </c>
      <c r="G273" s="22" t="s">
        <v>881</v>
      </c>
      <c r="H273" s="22" t="s">
        <v>481</v>
      </c>
      <c r="I273" s="22" t="s">
        <v>880</v>
      </c>
      <c r="J273" s="22" t="s">
        <v>879</v>
      </c>
      <c r="K273" s="22" t="s">
        <v>878</v>
      </c>
      <c r="L273" s="22" t="s">
        <v>877</v>
      </c>
      <c r="M273" s="22" t="s">
        <v>885</v>
      </c>
      <c r="N273" s="22" t="s">
        <v>884</v>
      </c>
      <c r="O273" s="22" t="s">
        <v>98</v>
      </c>
      <c r="P273" s="22" t="s">
        <v>99</v>
      </c>
      <c r="Q273" s="22">
        <v>105081744</v>
      </c>
      <c r="R273" s="22" t="s">
        <v>87</v>
      </c>
      <c r="S273" s="24">
        <v>4</v>
      </c>
      <c r="T273" s="20" t="s">
        <v>98</v>
      </c>
      <c r="U273" s="25" t="s">
        <v>99</v>
      </c>
      <c r="V273" s="20">
        <v>105081744</v>
      </c>
      <c r="W273" s="25" t="s">
        <v>916</v>
      </c>
      <c r="X273" s="20" t="s">
        <v>100</v>
      </c>
      <c r="Y273" s="20" t="s">
        <v>87</v>
      </c>
      <c r="Z273" s="20" t="s">
        <v>97</v>
      </c>
      <c r="AA273" s="15">
        <v>150.5</v>
      </c>
      <c r="AB273" s="15">
        <v>150.29</v>
      </c>
      <c r="AC273" s="15">
        <f t="shared" si="21"/>
        <v>601.16</v>
      </c>
      <c r="AD273" s="15">
        <f t="shared" si="22"/>
        <v>602</v>
      </c>
      <c r="AE273" s="15">
        <f t="shared" si="23"/>
        <v>-0.84000000000003183</v>
      </c>
      <c r="AF273" s="16">
        <f t="shared" si="24"/>
        <v>-1.3972985561248783E-3</v>
      </c>
      <c r="AG273" s="26" t="str">
        <f t="shared" si="25"/>
        <v>Negative</v>
      </c>
      <c r="AH273" s="20"/>
      <c r="AI273" s="20" t="s">
        <v>43</v>
      </c>
      <c r="AJ273" s="20">
        <v>0</v>
      </c>
      <c r="AK273" s="20"/>
    </row>
    <row r="274" spans="1:37" s="27" customFormat="1" ht="12.75" customHeight="1" x14ac:dyDescent="0.2">
      <c r="A274" s="22" t="s">
        <v>486</v>
      </c>
      <c r="B274" s="22" t="s">
        <v>495</v>
      </c>
      <c r="C274" s="23">
        <v>44620</v>
      </c>
      <c r="D274" s="22" t="s">
        <v>485</v>
      </c>
      <c r="E274" s="22" t="s">
        <v>484</v>
      </c>
      <c r="F274" s="22" t="s">
        <v>483</v>
      </c>
      <c r="G274" s="22" t="s">
        <v>492</v>
      </c>
      <c r="H274" s="22" t="s">
        <v>481</v>
      </c>
      <c r="I274" s="22" t="s">
        <v>491</v>
      </c>
      <c r="J274" s="22" t="s">
        <v>490</v>
      </c>
      <c r="K274" s="22" t="s">
        <v>478</v>
      </c>
      <c r="L274" s="22" t="s">
        <v>489</v>
      </c>
      <c r="M274" s="22" t="s">
        <v>487</v>
      </c>
      <c r="N274" s="22" t="s">
        <v>494</v>
      </c>
      <c r="O274" s="22" t="s">
        <v>81</v>
      </c>
      <c r="P274" s="22" t="s">
        <v>470</v>
      </c>
      <c r="Q274" s="22">
        <v>100938523</v>
      </c>
      <c r="R274" s="22" t="s">
        <v>87</v>
      </c>
      <c r="S274" s="24">
        <v>18</v>
      </c>
      <c r="T274" s="20" t="s">
        <v>81</v>
      </c>
      <c r="U274" s="25" t="s">
        <v>470</v>
      </c>
      <c r="V274" s="20">
        <v>100938523</v>
      </c>
      <c r="W274" s="25" t="s">
        <v>912</v>
      </c>
      <c r="X274" s="20" t="s">
        <v>471</v>
      </c>
      <c r="Y274" s="20" t="s">
        <v>87</v>
      </c>
      <c r="Z274" s="20" t="s">
        <v>97</v>
      </c>
      <c r="AA274" s="15">
        <v>50.67</v>
      </c>
      <c r="AB274" s="15">
        <v>53.02</v>
      </c>
      <c r="AC274" s="15">
        <f t="shared" si="21"/>
        <v>954.36</v>
      </c>
      <c r="AD274" s="15">
        <f t="shared" si="22"/>
        <v>912.06000000000006</v>
      </c>
      <c r="AE274" s="15">
        <f t="shared" si="23"/>
        <v>42.299999999999955</v>
      </c>
      <c r="AF274" s="16">
        <f t="shared" si="24"/>
        <v>4.432289701999241E-2</v>
      </c>
      <c r="AG274" s="26" t="str">
        <f t="shared" si="25"/>
        <v>0-10%</v>
      </c>
      <c r="AH274" s="20"/>
      <c r="AI274" s="20" t="s">
        <v>43</v>
      </c>
      <c r="AJ274" s="20">
        <v>0</v>
      </c>
      <c r="AK274" s="20"/>
    </row>
    <row r="275" spans="1:37" s="27" customFormat="1" ht="12.75" customHeight="1" x14ac:dyDescent="0.2">
      <c r="A275" s="22" t="s">
        <v>486</v>
      </c>
      <c r="B275" s="22" t="s">
        <v>495</v>
      </c>
      <c r="C275" s="23">
        <v>44620</v>
      </c>
      <c r="D275" s="22" t="s">
        <v>485</v>
      </c>
      <c r="E275" s="22" t="s">
        <v>484</v>
      </c>
      <c r="F275" s="22" t="s">
        <v>483</v>
      </c>
      <c r="G275" s="22" t="s">
        <v>492</v>
      </c>
      <c r="H275" s="22" t="s">
        <v>481</v>
      </c>
      <c r="I275" s="22" t="s">
        <v>491</v>
      </c>
      <c r="J275" s="22" t="s">
        <v>490</v>
      </c>
      <c r="K275" s="22" t="s">
        <v>478</v>
      </c>
      <c r="L275" s="22" t="s">
        <v>489</v>
      </c>
      <c r="M275" s="22" t="s">
        <v>487</v>
      </c>
      <c r="N275" s="22" t="s">
        <v>494</v>
      </c>
      <c r="O275" s="22" t="s">
        <v>83</v>
      </c>
      <c r="P275" s="22" t="s">
        <v>472</v>
      </c>
      <c r="Q275" s="22">
        <v>119017944</v>
      </c>
      <c r="R275" s="22" t="s">
        <v>87</v>
      </c>
      <c r="S275" s="24">
        <v>1</v>
      </c>
      <c r="T275" s="20" t="s">
        <v>83</v>
      </c>
      <c r="U275" s="25" t="s">
        <v>472</v>
      </c>
      <c r="V275" s="20">
        <v>119017944</v>
      </c>
      <c r="W275" s="25" t="s">
        <v>915</v>
      </c>
      <c r="X275" s="20" t="s">
        <v>473</v>
      </c>
      <c r="Y275" s="20" t="s">
        <v>87</v>
      </c>
      <c r="Z275" s="20" t="s">
        <v>97</v>
      </c>
      <c r="AA275" s="15">
        <v>8971.0454545454559</v>
      </c>
      <c r="AB275" s="15">
        <v>9604.73</v>
      </c>
      <c r="AC275" s="15">
        <f t="shared" si="21"/>
        <v>9604.73</v>
      </c>
      <c r="AD275" s="15">
        <f t="shared" si="22"/>
        <v>8971.0454545454559</v>
      </c>
      <c r="AE275" s="15">
        <f t="shared" si="23"/>
        <v>633.6845454545437</v>
      </c>
      <c r="AF275" s="16">
        <f t="shared" si="24"/>
        <v>6.5976299745494529E-2</v>
      </c>
      <c r="AG275" s="26" t="str">
        <f t="shared" si="25"/>
        <v>0-10%</v>
      </c>
      <c r="AH275" s="20"/>
      <c r="AI275" s="20" t="s">
        <v>43</v>
      </c>
      <c r="AJ275" s="20">
        <v>0</v>
      </c>
      <c r="AK275" s="20"/>
    </row>
    <row r="276" spans="1:37" s="27" customFormat="1" ht="12.75" customHeight="1" x14ac:dyDescent="0.2">
      <c r="A276" s="22" t="s">
        <v>705</v>
      </c>
      <c r="B276" s="22" t="s">
        <v>708</v>
      </c>
      <c r="C276" s="23">
        <v>44620</v>
      </c>
      <c r="D276" s="22" t="s">
        <v>485</v>
      </c>
      <c r="E276" s="22" t="s">
        <v>484</v>
      </c>
      <c r="F276" s="22" t="s">
        <v>483</v>
      </c>
      <c r="G276" s="22" t="s">
        <v>704</v>
      </c>
      <c r="H276" s="22" t="s">
        <v>703</v>
      </c>
      <c r="I276" s="22" t="s">
        <v>702</v>
      </c>
      <c r="J276" s="22" t="s">
        <v>701</v>
      </c>
      <c r="K276" s="22" t="s">
        <v>700</v>
      </c>
      <c r="L276" s="22" t="s">
        <v>699</v>
      </c>
      <c r="M276" s="22" t="s">
        <v>707</v>
      </c>
      <c r="N276" s="22" t="s">
        <v>706</v>
      </c>
      <c r="O276" s="22" t="s">
        <v>16</v>
      </c>
      <c r="P276" s="22" t="s">
        <v>214</v>
      </c>
      <c r="Q276" s="22">
        <v>110223274</v>
      </c>
      <c r="R276" s="22" t="s">
        <v>87</v>
      </c>
      <c r="S276" s="24">
        <v>1</v>
      </c>
      <c r="T276" s="20" t="s">
        <v>16</v>
      </c>
      <c r="U276" s="25" t="s">
        <v>214</v>
      </c>
      <c r="V276" s="20">
        <v>110223274</v>
      </c>
      <c r="W276" s="25" t="s">
        <v>913</v>
      </c>
      <c r="X276" s="20" t="s">
        <v>215</v>
      </c>
      <c r="Y276" s="20" t="s">
        <v>87</v>
      </c>
      <c r="Z276" s="20" t="s">
        <v>88</v>
      </c>
      <c r="AA276" s="15">
        <v>107.52830188679245</v>
      </c>
      <c r="AB276" s="15">
        <v>114.40000000000002</v>
      </c>
      <c r="AC276" s="15">
        <f t="shared" si="21"/>
        <v>114.40000000000002</v>
      </c>
      <c r="AD276" s="15">
        <f t="shared" si="22"/>
        <v>107.52830188679245</v>
      </c>
      <c r="AE276" s="15">
        <f t="shared" si="23"/>
        <v>6.8716981132075716</v>
      </c>
      <c r="AF276" s="16">
        <f t="shared" si="24"/>
        <v>6.0067291199366872E-2</v>
      </c>
      <c r="AG276" s="26" t="str">
        <f t="shared" si="25"/>
        <v>0-10%</v>
      </c>
      <c r="AH276" s="20" t="s">
        <v>921</v>
      </c>
      <c r="AI276" s="20" t="s">
        <v>43</v>
      </c>
      <c r="AJ276" s="20">
        <v>0</v>
      </c>
      <c r="AK276" s="20"/>
    </row>
    <row r="277" spans="1:37" s="27" customFormat="1" ht="12.75" customHeight="1" x14ac:dyDescent="0.2">
      <c r="A277" s="22" t="s">
        <v>486</v>
      </c>
      <c r="B277" s="22" t="s">
        <v>493</v>
      </c>
      <c r="C277" s="23">
        <v>44620</v>
      </c>
      <c r="D277" s="22" t="s">
        <v>485</v>
      </c>
      <c r="E277" s="22" t="s">
        <v>484</v>
      </c>
      <c r="F277" s="22" t="s">
        <v>483</v>
      </c>
      <c r="G277" s="22" t="s">
        <v>492</v>
      </c>
      <c r="H277" s="22" t="s">
        <v>481</v>
      </c>
      <c r="I277" s="22" t="s">
        <v>491</v>
      </c>
      <c r="J277" s="22" t="s">
        <v>490</v>
      </c>
      <c r="K277" s="22" t="s">
        <v>478</v>
      </c>
      <c r="L277" s="22" t="s">
        <v>489</v>
      </c>
      <c r="M277" s="22" t="s">
        <v>487</v>
      </c>
      <c r="N277" s="22" t="s">
        <v>488</v>
      </c>
      <c r="O277" s="22" t="s">
        <v>17</v>
      </c>
      <c r="P277" s="22" t="s">
        <v>474</v>
      </c>
      <c r="Q277" s="22">
        <v>111812255</v>
      </c>
      <c r="R277" s="22" t="s">
        <v>234</v>
      </c>
      <c r="S277" s="24">
        <v>50</v>
      </c>
      <c r="T277" s="20" t="s">
        <v>17</v>
      </c>
      <c r="U277" s="25" t="s">
        <v>474</v>
      </c>
      <c r="V277" s="20">
        <v>111812255</v>
      </c>
      <c r="W277" s="25" t="s">
        <v>915</v>
      </c>
      <c r="X277" s="20" t="s">
        <v>475</v>
      </c>
      <c r="Y277" s="20" t="s">
        <v>234</v>
      </c>
      <c r="Z277" s="20" t="s">
        <v>97</v>
      </c>
      <c r="AA277" s="15">
        <v>1.17</v>
      </c>
      <c r="AB277" s="15">
        <v>2.67</v>
      </c>
      <c r="AC277" s="15">
        <f t="shared" si="21"/>
        <v>133.5</v>
      </c>
      <c r="AD277" s="15">
        <f t="shared" si="22"/>
        <v>58.5</v>
      </c>
      <c r="AE277" s="15">
        <f t="shared" si="23"/>
        <v>75</v>
      </c>
      <c r="AF277" s="16">
        <f t="shared" si="24"/>
        <v>0.5617977528089888</v>
      </c>
      <c r="AG277" s="26" t="str">
        <f t="shared" si="25"/>
        <v>30+%</v>
      </c>
      <c r="AH277" s="20"/>
      <c r="AI277" s="20" t="s">
        <v>43</v>
      </c>
      <c r="AJ277" s="20">
        <v>0</v>
      </c>
      <c r="AK277" s="20"/>
    </row>
    <row r="278" spans="1:37" s="27" customFormat="1" ht="12.75" customHeight="1" x14ac:dyDescent="0.2">
      <c r="A278" s="22" t="s">
        <v>883</v>
      </c>
      <c r="B278" s="22" t="s">
        <v>882</v>
      </c>
      <c r="C278" s="23">
        <v>44622</v>
      </c>
      <c r="D278" s="22" t="s">
        <v>485</v>
      </c>
      <c r="E278" s="22" t="s">
        <v>484</v>
      </c>
      <c r="F278" s="22" t="s">
        <v>483</v>
      </c>
      <c r="G278" s="22" t="s">
        <v>881</v>
      </c>
      <c r="H278" s="22" t="s">
        <v>481</v>
      </c>
      <c r="I278" s="22" t="s">
        <v>880</v>
      </c>
      <c r="J278" s="22" t="s">
        <v>879</v>
      </c>
      <c r="K278" s="22" t="s">
        <v>878</v>
      </c>
      <c r="L278" s="22" t="s">
        <v>877</v>
      </c>
      <c r="M278" s="22" t="s">
        <v>876</v>
      </c>
      <c r="N278" s="22" t="s">
        <v>875</v>
      </c>
      <c r="O278" s="22" t="s">
        <v>98</v>
      </c>
      <c r="P278" s="22" t="s">
        <v>101</v>
      </c>
      <c r="Q278" s="22">
        <v>104938272</v>
      </c>
      <c r="R278" s="22" t="s">
        <v>87</v>
      </c>
      <c r="S278" s="24">
        <v>2</v>
      </c>
      <c r="T278" s="20" t="s">
        <v>98</v>
      </c>
      <c r="U278" s="25" t="s">
        <v>101</v>
      </c>
      <c r="V278" s="20">
        <v>104938272</v>
      </c>
      <c r="W278" s="25" t="s">
        <v>916</v>
      </c>
      <c r="X278" s="20" t="s">
        <v>102</v>
      </c>
      <c r="Y278" s="20" t="s">
        <v>87</v>
      </c>
      <c r="Z278" s="20" t="s">
        <v>97</v>
      </c>
      <c r="AA278" s="15">
        <v>450.39</v>
      </c>
      <c r="AB278" s="15">
        <v>449.77</v>
      </c>
      <c r="AC278" s="15">
        <f t="shared" si="21"/>
        <v>899.54</v>
      </c>
      <c r="AD278" s="15">
        <f t="shared" si="22"/>
        <v>900.78</v>
      </c>
      <c r="AE278" s="15">
        <f t="shared" si="23"/>
        <v>-1.2400000000000091</v>
      </c>
      <c r="AF278" s="16">
        <f t="shared" si="24"/>
        <v>-1.3784823354158894E-3</v>
      </c>
      <c r="AG278" s="26" t="str">
        <f t="shared" si="25"/>
        <v>Negative</v>
      </c>
      <c r="AH278" s="20"/>
      <c r="AI278" s="20" t="s">
        <v>43</v>
      </c>
      <c r="AJ278" s="20">
        <v>0</v>
      </c>
      <c r="AK278" s="20"/>
    </row>
  </sheetData>
  <autoFilter ref="A2:AK278" xr:uid="{00000000-0009-0000-0000-000001000000}">
    <sortState xmlns:xlrd2="http://schemas.microsoft.com/office/spreadsheetml/2017/richdata2" ref="A3:AK278">
      <sortCondition ref="B2:B278"/>
    </sortState>
  </autoFilter>
  <conditionalFormatting sqref="V1:V2">
    <cfRule type="duplicateValues" dxfId="2" priority="23"/>
  </conditionalFormatting>
  <conditionalFormatting sqref="V1:V190 V279:V1048576">
    <cfRule type="duplicateValues" dxfId="1" priority="2"/>
  </conditionalFormatting>
  <conditionalFormatting sqref="V191:V27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Suryansh Purwar</dc:creator>
  <cp:lastModifiedBy>Sanjana Sridhar</cp:lastModifiedBy>
  <dcterms:created xsi:type="dcterms:W3CDTF">2021-04-19T18:48:28Z</dcterms:created>
  <dcterms:modified xsi:type="dcterms:W3CDTF">2022-03-24T13:38:19Z</dcterms:modified>
</cp:coreProperties>
</file>