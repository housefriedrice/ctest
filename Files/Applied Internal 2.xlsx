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green\Desktop\Work stuff\"/>
    </mc:Choice>
  </mc:AlternateContent>
  <bookViews>
    <workbookView xWindow="0" yWindow="0" windowWidth="28800" windowHeight="11400"/>
  </bookViews>
  <sheets>
    <sheet name="SUMMARY" sheetId="3" r:id="rId1"/>
    <sheet name="Transaction Details" sheetId="1" r:id="rId2"/>
    <sheet name="OBSOLETE" sheetId="4" r:id="rId3"/>
  </sheets>
  <definedNames>
    <definedName name="_xlnm._FilterDatabase" localSheetId="1" hidden="1">'Transaction Details'!$A$2:$AM$1232</definedName>
  </definedNames>
  <calcPr calcId="162913"/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3" i="3"/>
  <c r="B17" i="3" l="1"/>
  <c r="AD746" i="1" l="1"/>
  <c r="AD583" i="1"/>
  <c r="AE583" i="1"/>
  <c r="AD250" i="1"/>
  <c r="AE250" i="1"/>
  <c r="AD299" i="1"/>
  <c r="AE299" i="1"/>
  <c r="AD284" i="1"/>
  <c r="AE284" i="1"/>
  <c r="AD319" i="1"/>
  <c r="AE319" i="1"/>
  <c r="AD285" i="1"/>
  <c r="AE285" i="1"/>
  <c r="AD320" i="1"/>
  <c r="AE320" i="1"/>
  <c r="AD321" i="1"/>
  <c r="AE321" i="1"/>
  <c r="AD322" i="1"/>
  <c r="AE322" i="1"/>
  <c r="AD803" i="1"/>
  <c r="AE803" i="1"/>
  <c r="AD616" i="1"/>
  <c r="AE616" i="1"/>
  <c r="AD913" i="1"/>
  <c r="AE913" i="1"/>
  <c r="AD869" i="1"/>
  <c r="AE869" i="1"/>
  <c r="AD952" i="1"/>
  <c r="AE952" i="1"/>
  <c r="AD908" i="1"/>
  <c r="AE908" i="1"/>
  <c r="AD476" i="1"/>
  <c r="AE476" i="1"/>
  <c r="AD475" i="1"/>
  <c r="AE475" i="1"/>
  <c r="AD860" i="1"/>
  <c r="AE860" i="1"/>
  <c r="AD974" i="1"/>
  <c r="AE974" i="1"/>
  <c r="AD975" i="1"/>
  <c r="AE975" i="1"/>
  <c r="AD347" i="1"/>
  <c r="AE347" i="1"/>
  <c r="AD785" i="1"/>
  <c r="AE785" i="1"/>
  <c r="AD784" i="1"/>
  <c r="AE784" i="1"/>
  <c r="AD4" i="1"/>
  <c r="AE4" i="1"/>
  <c r="AD3" i="1"/>
  <c r="AE3" i="1"/>
  <c r="AD5" i="1"/>
  <c r="AE5" i="1"/>
  <c r="AD515" i="1"/>
  <c r="AE515" i="1"/>
  <c r="AD1041" i="1"/>
  <c r="AE1041" i="1"/>
  <c r="AD978" i="1"/>
  <c r="AE978" i="1"/>
  <c r="AD977" i="1"/>
  <c r="AE977" i="1"/>
  <c r="AD876" i="1"/>
  <c r="AE876" i="1"/>
  <c r="AD875" i="1"/>
  <c r="AE875" i="1"/>
  <c r="AD874" i="1"/>
  <c r="AE874" i="1"/>
  <c r="AD873" i="1"/>
  <c r="AE873" i="1"/>
  <c r="AD1188" i="1"/>
  <c r="AE1188" i="1"/>
  <c r="AD1187" i="1"/>
  <c r="AE1187" i="1"/>
  <c r="AD1168" i="1"/>
  <c r="AE1168" i="1"/>
  <c r="AD1166" i="1"/>
  <c r="AE1166" i="1"/>
  <c r="AD1183" i="1"/>
  <c r="AE1183" i="1"/>
  <c r="AD427" i="1"/>
  <c r="AE427" i="1"/>
  <c r="AD232" i="1"/>
  <c r="AE232" i="1"/>
  <c r="AD233" i="1"/>
  <c r="AE233" i="1"/>
  <c r="AD107" i="1"/>
  <c r="AE107" i="1"/>
  <c r="AD344" i="1"/>
  <c r="AE344" i="1"/>
  <c r="AD557" i="1"/>
  <c r="AE557" i="1"/>
  <c r="AD831" i="1"/>
  <c r="AE831" i="1"/>
  <c r="AD60" i="1"/>
  <c r="AE60" i="1"/>
  <c r="AD886" i="1"/>
  <c r="AE886" i="1"/>
  <c r="AD786" i="1"/>
  <c r="AE786" i="1"/>
  <c r="AD162" i="1"/>
  <c r="AE162" i="1"/>
  <c r="AD1092" i="1"/>
  <c r="AE1092" i="1"/>
  <c r="AD163" i="1"/>
  <c r="AE163" i="1"/>
  <c r="AD707" i="1"/>
  <c r="AE707" i="1"/>
  <c r="AD871" i="1"/>
  <c r="AE871" i="1"/>
  <c r="AD870" i="1"/>
  <c r="AE870" i="1"/>
  <c r="AD490" i="1"/>
  <c r="AE490" i="1"/>
  <c r="AD491" i="1"/>
  <c r="AE491" i="1"/>
  <c r="AD759" i="1"/>
  <c r="AE759" i="1"/>
  <c r="AD940" i="1"/>
  <c r="AE940" i="1"/>
  <c r="AD939" i="1"/>
  <c r="AE939" i="1"/>
  <c r="AD872" i="1"/>
  <c r="AE872" i="1"/>
  <c r="AD796" i="1"/>
  <c r="AE796" i="1"/>
  <c r="AD795" i="1"/>
  <c r="AE795" i="1"/>
  <c r="AD489" i="1"/>
  <c r="AE489" i="1"/>
  <c r="AD944" i="1"/>
  <c r="AE944" i="1"/>
  <c r="AD945" i="1"/>
  <c r="AE945" i="1"/>
  <c r="AD346" i="1"/>
  <c r="AE346" i="1"/>
  <c r="AD57" i="1"/>
  <c r="AE57" i="1"/>
  <c r="AD56" i="1"/>
  <c r="AE56" i="1"/>
  <c r="AD1088" i="1"/>
  <c r="AE1088" i="1"/>
  <c r="AD1040" i="1"/>
  <c r="AE1040" i="1"/>
  <c r="AD1039" i="1"/>
  <c r="AE1039" i="1"/>
  <c r="AD1087" i="1"/>
  <c r="AE1087" i="1"/>
  <c r="AD1020" i="1"/>
  <c r="AE1020" i="1"/>
  <c r="AD1019" i="1"/>
  <c r="AE1019" i="1"/>
  <c r="AD1073" i="1"/>
  <c r="AE1073" i="1"/>
  <c r="AD1074" i="1"/>
  <c r="AE1074" i="1"/>
  <c r="AD1075" i="1"/>
  <c r="AE1075" i="1"/>
  <c r="AD1076" i="1"/>
  <c r="AE1076" i="1"/>
  <c r="AD1217" i="1"/>
  <c r="AE1217" i="1"/>
  <c r="AD1149" i="1"/>
  <c r="AE1149" i="1"/>
  <c r="AD1148" i="1"/>
  <c r="AE1148" i="1"/>
  <c r="AD1130" i="1"/>
  <c r="AE1130" i="1"/>
  <c r="AD1131" i="1"/>
  <c r="AE1131" i="1"/>
  <c r="AD1129" i="1"/>
  <c r="AE1129" i="1"/>
  <c r="AD207" i="1"/>
  <c r="AE207" i="1"/>
  <c r="AD336" i="1"/>
  <c r="AE336" i="1"/>
  <c r="AD167" i="1"/>
  <c r="AE167" i="1"/>
  <c r="AD204" i="1"/>
  <c r="AE204" i="1"/>
  <c r="AD951" i="1"/>
  <c r="AE951" i="1"/>
  <c r="AD1065" i="1"/>
  <c r="AE1065" i="1"/>
  <c r="AD947" i="1"/>
  <c r="AE947" i="1"/>
  <c r="AD812" i="1"/>
  <c r="AE812" i="1"/>
  <c r="AD266" i="1"/>
  <c r="AE266" i="1"/>
  <c r="AD1170" i="1"/>
  <c r="AE1170" i="1"/>
  <c r="AD563" i="1"/>
  <c r="AE563" i="1"/>
  <c r="AD564" i="1"/>
  <c r="AE564" i="1"/>
  <c r="AD562" i="1"/>
  <c r="AE562" i="1"/>
  <c r="AD741" i="1"/>
  <c r="AE741" i="1"/>
  <c r="AD740" i="1"/>
  <c r="AE740" i="1"/>
  <c r="AD739" i="1"/>
  <c r="AE739" i="1"/>
  <c r="AD737" i="1"/>
  <c r="AE737" i="1"/>
  <c r="AD738" i="1"/>
  <c r="AE738" i="1"/>
  <c r="AD736" i="1"/>
  <c r="AE736" i="1"/>
  <c r="AD565" i="1"/>
  <c r="AE565" i="1"/>
  <c r="AD897" i="1"/>
  <c r="AE897" i="1"/>
  <c r="AD896" i="1"/>
  <c r="AE896" i="1"/>
  <c r="AD895" i="1"/>
  <c r="AE895" i="1"/>
  <c r="AD894" i="1"/>
  <c r="AE894" i="1"/>
  <c r="AD892" i="1"/>
  <c r="AE892" i="1"/>
  <c r="AD893" i="1"/>
  <c r="AE893" i="1"/>
  <c r="AD891" i="1"/>
  <c r="AE891" i="1"/>
  <c r="AD744" i="1"/>
  <c r="AE744" i="1"/>
  <c r="AD745" i="1"/>
  <c r="AE745" i="1"/>
  <c r="AD743" i="1"/>
  <c r="AE743" i="1"/>
  <c r="AD742" i="1"/>
  <c r="AE742" i="1"/>
  <c r="AD899" i="1"/>
  <c r="AE899" i="1"/>
  <c r="AD898" i="1"/>
  <c r="AE898" i="1"/>
  <c r="AD652" i="1"/>
  <c r="AE652" i="1"/>
  <c r="AD826" i="1"/>
  <c r="AE826" i="1"/>
  <c r="AD778" i="1"/>
  <c r="AE778" i="1"/>
  <c r="AD776" i="1"/>
  <c r="AE776" i="1"/>
  <c r="AD1013" i="1"/>
  <c r="AE1013" i="1"/>
  <c r="AD1150" i="1"/>
  <c r="AE1150" i="1"/>
  <c r="AD909" i="1"/>
  <c r="AE909" i="1"/>
  <c r="AD822" i="1"/>
  <c r="AE822" i="1"/>
  <c r="AD964" i="1"/>
  <c r="AE964" i="1"/>
  <c r="AD1016" i="1"/>
  <c r="AE1016" i="1"/>
  <c r="AD1023" i="1"/>
  <c r="AE1023" i="1"/>
  <c r="AD1038" i="1"/>
  <c r="AE1038" i="1"/>
  <c r="AD1068" i="1"/>
  <c r="AE1068" i="1"/>
  <c r="AD601" i="1"/>
  <c r="AE601" i="1"/>
  <c r="AD710" i="1"/>
  <c r="AE710" i="1"/>
  <c r="AD904" i="1"/>
  <c r="AE904" i="1"/>
  <c r="AD1079" i="1"/>
  <c r="AE1079" i="1"/>
  <c r="AD1078" i="1"/>
  <c r="AE1078" i="1"/>
  <c r="AD1077" i="1"/>
  <c r="AE1077" i="1"/>
  <c r="AD1025" i="1"/>
  <c r="AE1025" i="1"/>
  <c r="AD1089" i="1"/>
  <c r="AE1089" i="1"/>
  <c r="AD1133" i="1"/>
  <c r="AE1133" i="1"/>
  <c r="AD811" i="1"/>
  <c r="AE811" i="1"/>
  <c r="AD554" i="1"/>
  <c r="AE554" i="1"/>
  <c r="AD900" i="1"/>
  <c r="AE900" i="1"/>
  <c r="AD922" i="1"/>
  <c r="AE922" i="1"/>
  <c r="AD340" i="1"/>
  <c r="AE340" i="1"/>
  <c r="AD338" i="1"/>
  <c r="AE338" i="1"/>
  <c r="AD339" i="1"/>
  <c r="AE339" i="1"/>
  <c r="AD433" i="1"/>
  <c r="AE433" i="1"/>
  <c r="AD421" i="1"/>
  <c r="AE421" i="1"/>
  <c r="AD495" i="1"/>
  <c r="AE495" i="1"/>
  <c r="AD493" i="1"/>
  <c r="AE493" i="1"/>
  <c r="AD494" i="1"/>
  <c r="AE494" i="1"/>
  <c r="AD507" i="1"/>
  <c r="AE507" i="1"/>
  <c r="AD508" i="1"/>
  <c r="AE508" i="1"/>
  <c r="AD545" i="1"/>
  <c r="AE545" i="1"/>
  <c r="AD544" i="1"/>
  <c r="AE544" i="1"/>
  <c r="AD477" i="1"/>
  <c r="AE477" i="1"/>
  <c r="AD478" i="1"/>
  <c r="AE478" i="1"/>
  <c r="AD479" i="1"/>
  <c r="AE479" i="1"/>
  <c r="AD480" i="1"/>
  <c r="AE480" i="1"/>
  <c r="AD481" i="1"/>
  <c r="AE481" i="1"/>
  <c r="AD535" i="1"/>
  <c r="AE535" i="1"/>
  <c r="AD566" i="1"/>
  <c r="AE566" i="1"/>
  <c r="AD597" i="1"/>
  <c r="AE597" i="1"/>
  <c r="AD555" i="1"/>
  <c r="AE555" i="1"/>
  <c r="AD638" i="1"/>
  <c r="AE638" i="1"/>
  <c r="AD637" i="1"/>
  <c r="AE637" i="1"/>
  <c r="AD636" i="1"/>
  <c r="AE636" i="1"/>
  <c r="AD802" i="1"/>
  <c r="AE802" i="1"/>
  <c r="AD774" i="1"/>
  <c r="AE774" i="1"/>
  <c r="AD842" i="1"/>
  <c r="AE842" i="1"/>
  <c r="AD841" i="1"/>
  <c r="AE841" i="1"/>
  <c r="AD781" i="1"/>
  <c r="AE781" i="1"/>
  <c r="AD779" i="1"/>
  <c r="AE779" i="1"/>
  <c r="AD780" i="1"/>
  <c r="AE780" i="1"/>
  <c r="AD763" i="1"/>
  <c r="AE763" i="1"/>
  <c r="AD708" i="1"/>
  <c r="AE708" i="1"/>
  <c r="AD868" i="1"/>
  <c r="AE868" i="1"/>
  <c r="AD867" i="1"/>
  <c r="AE867" i="1"/>
  <c r="AD983" i="1"/>
  <c r="AE983" i="1"/>
  <c r="AD1171" i="1"/>
  <c r="AE1171" i="1"/>
  <c r="AD1163" i="1"/>
  <c r="AE1163" i="1"/>
  <c r="AD602" i="1"/>
  <c r="AE602" i="1"/>
  <c r="AD558" i="1"/>
  <c r="AE558" i="1"/>
  <c r="AD827" i="1"/>
  <c r="AE827" i="1"/>
  <c r="AD1021" i="1"/>
  <c r="AE1021" i="1"/>
  <c r="AD1062" i="1"/>
  <c r="AE1062" i="1"/>
  <c r="AD946" i="1"/>
  <c r="AE946" i="1"/>
  <c r="AD1165" i="1"/>
  <c r="AE1165" i="1"/>
  <c r="AD1141" i="1"/>
  <c r="AE1141" i="1"/>
  <c r="AD1191" i="1"/>
  <c r="AE1191" i="1"/>
  <c r="AD353" i="1"/>
  <c r="AE353" i="1"/>
  <c r="AD352" i="1"/>
  <c r="AE352" i="1"/>
  <c r="AD482" i="1"/>
  <c r="AE482" i="1"/>
  <c r="AD1098" i="1"/>
  <c r="AE1098" i="1"/>
  <c r="AD1099" i="1"/>
  <c r="AE1099" i="1"/>
  <c r="AD764" i="1"/>
  <c r="AE764" i="1"/>
  <c r="AD518" i="1"/>
  <c r="AE518" i="1"/>
  <c r="AD861" i="1"/>
  <c r="AE861" i="1"/>
  <c r="AD1022" i="1"/>
  <c r="AE1022" i="1"/>
  <c r="AD1027" i="1"/>
  <c r="AE1027" i="1"/>
  <c r="AD1030" i="1"/>
  <c r="AE1030" i="1"/>
  <c r="AD1029" i="1"/>
  <c r="AE1029" i="1"/>
  <c r="AD1028" i="1"/>
  <c r="AE1028" i="1"/>
  <c r="AD1063" i="1"/>
  <c r="AE1063" i="1"/>
  <c r="AD1064" i="1"/>
  <c r="AE1064" i="1"/>
  <c r="AD1132" i="1"/>
  <c r="AE1132" i="1"/>
  <c r="AD1145" i="1"/>
  <c r="AE1145" i="1"/>
  <c r="AD1146" i="1"/>
  <c r="AE1146" i="1"/>
  <c r="AD1147" i="1"/>
  <c r="AE1147" i="1"/>
  <c r="AD1137" i="1"/>
  <c r="AE1137" i="1"/>
  <c r="AD1136" i="1"/>
  <c r="AE1136" i="1"/>
  <c r="AD1161" i="1"/>
  <c r="AE1161" i="1"/>
  <c r="AD1160" i="1"/>
  <c r="AE1160" i="1"/>
  <c r="AD1162" i="1"/>
  <c r="AE1162" i="1"/>
  <c r="AD1220" i="1"/>
  <c r="AE1220" i="1"/>
  <c r="AD1218" i="1"/>
  <c r="AE1218" i="1"/>
  <c r="AD1213" i="1"/>
  <c r="AE1213" i="1"/>
  <c r="AD1210" i="1"/>
  <c r="AE1210" i="1"/>
  <c r="AD147" i="1"/>
  <c r="AE147" i="1"/>
  <c r="AD146" i="1"/>
  <c r="AE146" i="1"/>
  <c r="AD73" i="1"/>
  <c r="AE73" i="1"/>
  <c r="AD72" i="1"/>
  <c r="AE72" i="1"/>
  <c r="AD71" i="1"/>
  <c r="AE71" i="1"/>
  <c r="AD149" i="1"/>
  <c r="AE149" i="1"/>
  <c r="AD154" i="1"/>
  <c r="AE154" i="1"/>
  <c r="AD156" i="1"/>
  <c r="AE156" i="1"/>
  <c r="AD157" i="1"/>
  <c r="AE157" i="1"/>
  <c r="AD170" i="1"/>
  <c r="AE170" i="1"/>
  <c r="AD173" i="1"/>
  <c r="AE173" i="1"/>
  <c r="AD80" i="1"/>
  <c r="AE80" i="1"/>
  <c r="AD174" i="1"/>
  <c r="AE174" i="1"/>
  <c r="AD81" i="1"/>
  <c r="AE81" i="1"/>
  <c r="AD182" i="1"/>
  <c r="AE182" i="1"/>
  <c r="AD181" i="1"/>
  <c r="AE181" i="1"/>
  <c r="AD74" i="1"/>
  <c r="AE74" i="1"/>
  <c r="AD77" i="1"/>
  <c r="AE77" i="1"/>
  <c r="AD87" i="1"/>
  <c r="AE87" i="1"/>
  <c r="AD158" i="1"/>
  <c r="AE158" i="1"/>
  <c r="AD194" i="1"/>
  <c r="AE194" i="1"/>
  <c r="AD230" i="1"/>
  <c r="AE230" i="1"/>
  <c r="AD229" i="1"/>
  <c r="AE229" i="1"/>
  <c r="AD235" i="1"/>
  <c r="AE235" i="1"/>
  <c r="AD234" i="1"/>
  <c r="AE234" i="1"/>
  <c r="AD236" i="1"/>
  <c r="AE236" i="1"/>
  <c r="AD198" i="1"/>
  <c r="AE198" i="1"/>
  <c r="AD244" i="1"/>
  <c r="AE244" i="1"/>
  <c r="AD243" i="1"/>
  <c r="AE243" i="1"/>
  <c r="AD251" i="1"/>
  <c r="AE251" i="1"/>
  <c r="AD260" i="1"/>
  <c r="AE260" i="1"/>
  <c r="AD82" i="1"/>
  <c r="AE82" i="1"/>
  <c r="AD268" i="1"/>
  <c r="AE268" i="1"/>
  <c r="AD269" i="1"/>
  <c r="AE269" i="1"/>
  <c r="AD262" i="1"/>
  <c r="AE262" i="1"/>
  <c r="AD298" i="1"/>
  <c r="AE298" i="1"/>
  <c r="AD83" i="1"/>
  <c r="AE83" i="1"/>
  <c r="AD330" i="1"/>
  <c r="AE330" i="1"/>
  <c r="AD335" i="1"/>
  <c r="AE335" i="1"/>
  <c r="AD351" i="1"/>
  <c r="AE351" i="1"/>
  <c r="AD354" i="1"/>
  <c r="AE354" i="1"/>
  <c r="AD94" i="1"/>
  <c r="AE94" i="1"/>
  <c r="AD341" i="1"/>
  <c r="AE341" i="1"/>
  <c r="AD343" i="1"/>
  <c r="AE343" i="1"/>
  <c r="AD342" i="1"/>
  <c r="AE342" i="1"/>
  <c r="AD434" i="1"/>
  <c r="AE434" i="1"/>
  <c r="AD435" i="1"/>
  <c r="AE435" i="1"/>
  <c r="AD366" i="1"/>
  <c r="AE366" i="1"/>
  <c r="AD368" i="1"/>
  <c r="AE368" i="1"/>
  <c r="AD367" i="1"/>
  <c r="AE367" i="1"/>
  <c r="AD457" i="1"/>
  <c r="AE457" i="1"/>
  <c r="AD180" i="1"/>
  <c r="AE180" i="1"/>
  <c r="AD199" i="1"/>
  <c r="AE199" i="1"/>
  <c r="AD257" i="1"/>
  <c r="AE257" i="1"/>
  <c r="AD300" i="1"/>
  <c r="AE300" i="1"/>
  <c r="AD358" i="1"/>
  <c r="AE358" i="1"/>
  <c r="AD501" i="1"/>
  <c r="AE501" i="1"/>
  <c r="AD29" i="1"/>
  <c r="AE29" i="1"/>
  <c r="AD536" i="1"/>
  <c r="AE536" i="1"/>
  <c r="AD537" i="1"/>
  <c r="AE537" i="1"/>
  <c r="AD538" i="1"/>
  <c r="AE538" i="1"/>
  <c r="AD131" i="1"/>
  <c r="AE131" i="1"/>
  <c r="AD598" i="1"/>
  <c r="AE598" i="1"/>
  <c r="AD34" i="1"/>
  <c r="AE34" i="1"/>
  <c r="AD30" i="1"/>
  <c r="AE30" i="1"/>
  <c r="AD816" i="1"/>
  <c r="AE816" i="1"/>
  <c r="AD865" i="1"/>
  <c r="AE865" i="1"/>
  <c r="AD1143" i="1"/>
  <c r="AE1143" i="1"/>
  <c r="AD632" i="1"/>
  <c r="AE632" i="1"/>
  <c r="AD1205" i="1"/>
  <c r="AE1205" i="1"/>
  <c r="AD1204" i="1"/>
  <c r="AE1204" i="1"/>
  <c r="AD1084" i="1"/>
  <c r="AE1084" i="1"/>
  <c r="AD169" i="1"/>
  <c r="AE169" i="1"/>
  <c r="AD273" i="1"/>
  <c r="AE273" i="1"/>
  <c r="AD272" i="1"/>
  <c r="AE272" i="1"/>
  <c r="AD271" i="1"/>
  <c r="AE271" i="1"/>
  <c r="AD89" i="1"/>
  <c r="AE89" i="1"/>
  <c r="AD274" i="1"/>
  <c r="AE274" i="1"/>
  <c r="AD267" i="1"/>
  <c r="AE267" i="1"/>
  <c r="AD90" i="1"/>
  <c r="AE90" i="1"/>
  <c r="AD420" i="1"/>
  <c r="AE420" i="1"/>
  <c r="AD516" i="1"/>
  <c r="AE516" i="1"/>
  <c r="AD654" i="1"/>
  <c r="AE654" i="1"/>
  <c r="AD50" i="1"/>
  <c r="AE50" i="1"/>
  <c r="AD1113" i="1"/>
  <c r="AE1113" i="1"/>
  <c r="AD1115" i="1"/>
  <c r="AE1115" i="1"/>
  <c r="AD1114" i="1"/>
  <c r="AE1114" i="1"/>
  <c r="AD641" i="1"/>
  <c r="AE641" i="1"/>
  <c r="AD492" i="1"/>
  <c r="AE492" i="1"/>
  <c r="AD578" i="1"/>
  <c r="AE578" i="1"/>
  <c r="AD183" i="1"/>
  <c r="AE183" i="1"/>
  <c r="AD256" i="1"/>
  <c r="AE256" i="1"/>
  <c r="AD193" i="1"/>
  <c r="AE193" i="1"/>
  <c r="AD441" i="1"/>
  <c r="AE441" i="1"/>
  <c r="AD334" i="1"/>
  <c r="AE334" i="1"/>
  <c r="AD430" i="1"/>
  <c r="AE430" i="1"/>
  <c r="AD377" i="1"/>
  <c r="AE377" i="1"/>
  <c r="AD993" i="1"/>
  <c r="AE993" i="1"/>
  <c r="AD1106" i="1"/>
  <c r="AE1106" i="1"/>
  <c r="AD376" i="1"/>
  <c r="AE376" i="1"/>
  <c r="AD1014" i="1"/>
  <c r="AE1014" i="1"/>
  <c r="AD840" i="1"/>
  <c r="AE840" i="1"/>
  <c r="AD839" i="1"/>
  <c r="AE839" i="1"/>
  <c r="AD838" i="1"/>
  <c r="AE838" i="1"/>
  <c r="AD837" i="1"/>
  <c r="AE837" i="1"/>
  <c r="AD1026" i="1"/>
  <c r="AE1026" i="1"/>
  <c r="AD988" i="1"/>
  <c r="AE988" i="1"/>
  <c r="AD989" i="1"/>
  <c r="AE989" i="1"/>
  <c r="AD775" i="1"/>
  <c r="AE775" i="1"/>
  <c r="AD1061" i="1"/>
  <c r="AE1061" i="1"/>
  <c r="AD1214" i="1"/>
  <c r="AE1214" i="1"/>
  <c r="AD761" i="1"/>
  <c r="AE761" i="1"/>
  <c r="AD734" i="1"/>
  <c r="AE734" i="1"/>
  <c r="AD735" i="1"/>
  <c r="AE735" i="1"/>
  <c r="AD762" i="1"/>
  <c r="AE762" i="1"/>
  <c r="AD550" i="1"/>
  <c r="AE550" i="1"/>
  <c r="AD584" i="1"/>
  <c r="AE584" i="1"/>
  <c r="AD585" i="1"/>
  <c r="AE585" i="1"/>
  <c r="AD462" i="1"/>
  <c r="AE462" i="1"/>
  <c r="AD511" i="1"/>
  <c r="AE511" i="1"/>
  <c r="AD21" i="1"/>
  <c r="AE21" i="1"/>
  <c r="AD1086" i="1"/>
  <c r="AE1086" i="1"/>
  <c r="AD1085" i="1"/>
  <c r="AE1085" i="1"/>
  <c r="AD942" i="1"/>
  <c r="AE942" i="1"/>
  <c r="AD1034" i="1"/>
  <c r="AE1034" i="1"/>
  <c r="AD938" i="1"/>
  <c r="AE938" i="1"/>
  <c r="AD937" i="1"/>
  <c r="AE937" i="1"/>
  <c r="AD936" i="1"/>
  <c r="AE936" i="1"/>
  <c r="AD824" i="1"/>
  <c r="AE824" i="1"/>
  <c r="AD369" i="1"/>
  <c r="AE369" i="1"/>
  <c r="AD302" i="1"/>
  <c r="AE302" i="1"/>
  <c r="AD301" i="1"/>
  <c r="AE301" i="1"/>
  <c r="AD548" i="1"/>
  <c r="AE548" i="1"/>
  <c r="AD549" i="1"/>
  <c r="AE549" i="1"/>
  <c r="AD647" i="1"/>
  <c r="AE647" i="1"/>
  <c r="AD577" i="1"/>
  <c r="AE577" i="1"/>
  <c r="AD580" i="1"/>
  <c r="AE580" i="1"/>
  <c r="AD581" i="1"/>
  <c r="AE581" i="1"/>
  <c r="AD582" i="1"/>
  <c r="AE582" i="1"/>
  <c r="AD579" i="1"/>
  <c r="AE579" i="1"/>
  <c r="AD471" i="1"/>
  <c r="AE471" i="1"/>
  <c r="AD446" i="1"/>
  <c r="AE446" i="1"/>
  <c r="AD228" i="1"/>
  <c r="AE228" i="1"/>
  <c r="AD227" i="1"/>
  <c r="AE227" i="1"/>
  <c r="AD226" i="1"/>
  <c r="AE226" i="1"/>
  <c r="AD225" i="1"/>
  <c r="AE225" i="1"/>
  <c r="AD224" i="1"/>
  <c r="AE224" i="1"/>
  <c r="AD223" i="1"/>
  <c r="AE223" i="1"/>
  <c r="AD166" i="1"/>
  <c r="AE166" i="1"/>
  <c r="AD316" i="1"/>
  <c r="AE316" i="1"/>
  <c r="AD317" i="1"/>
  <c r="AE317" i="1"/>
  <c r="AD318" i="1"/>
  <c r="AE318" i="1"/>
  <c r="AD805" i="1"/>
  <c r="AE805" i="1"/>
  <c r="AD806" i="1"/>
  <c r="AE806" i="1"/>
  <c r="AD807" i="1"/>
  <c r="AE807" i="1"/>
  <c r="AD804" i="1"/>
  <c r="AE804" i="1"/>
  <c r="AD760" i="1"/>
  <c r="AE760" i="1"/>
  <c r="AD808" i="1"/>
  <c r="AE808" i="1"/>
  <c r="AD809" i="1"/>
  <c r="AE809" i="1"/>
  <c r="AD383" i="1"/>
  <c r="AE383" i="1"/>
  <c r="AD382" i="1"/>
  <c r="AE382" i="1"/>
  <c r="AD458" i="1"/>
  <c r="AE458" i="1"/>
  <c r="AD459" i="1"/>
  <c r="AE459" i="1"/>
  <c r="AD473" i="1"/>
  <c r="AE473" i="1"/>
  <c r="AD474" i="1"/>
  <c r="AE474" i="1"/>
  <c r="AD611" i="1"/>
  <c r="AE611" i="1"/>
  <c r="AD610" i="1"/>
  <c r="AE610" i="1"/>
  <c r="AD609" i="1"/>
  <c r="AE609" i="1"/>
  <c r="AD608" i="1"/>
  <c r="AE608" i="1"/>
  <c r="AD607" i="1"/>
  <c r="AE607" i="1"/>
  <c r="AD606" i="1"/>
  <c r="AE606" i="1"/>
  <c r="AD605" i="1"/>
  <c r="AE605" i="1"/>
  <c r="AD604" i="1"/>
  <c r="AE604" i="1"/>
  <c r="AD603" i="1"/>
  <c r="AE603" i="1"/>
  <c r="AD463" i="1"/>
  <c r="AE463" i="1"/>
  <c r="AD612" i="1"/>
  <c r="AE612" i="1"/>
  <c r="AD575" i="1"/>
  <c r="AE575" i="1"/>
  <c r="AD576" i="1"/>
  <c r="AE576" i="1"/>
  <c r="AD574" i="1"/>
  <c r="AE574" i="1"/>
  <c r="AD543" i="1"/>
  <c r="AE543" i="1"/>
  <c r="AD573" i="1"/>
  <c r="AE573" i="1"/>
  <c r="AD311" i="1"/>
  <c r="AE311" i="1"/>
  <c r="AD309" i="1"/>
  <c r="AE309" i="1"/>
  <c r="AD310" i="1"/>
  <c r="AE310" i="1"/>
  <c r="AD308" i="1"/>
  <c r="AE308" i="1"/>
  <c r="AD464" i="1"/>
  <c r="AE464" i="1"/>
  <c r="AD465" i="1"/>
  <c r="AE465" i="1"/>
  <c r="AD447" i="1"/>
  <c r="AE447" i="1"/>
  <c r="AD448" i="1"/>
  <c r="AE448" i="1"/>
  <c r="AD449" i="1"/>
  <c r="AE449" i="1"/>
  <c r="AD450" i="1"/>
  <c r="AE450" i="1"/>
  <c r="AD451" i="1"/>
  <c r="AE451" i="1"/>
  <c r="AD452" i="1"/>
  <c r="AE452" i="1"/>
  <c r="AD453" i="1"/>
  <c r="AE453" i="1"/>
  <c r="AD454" i="1"/>
  <c r="AE454" i="1"/>
  <c r="AD455" i="1"/>
  <c r="AE455" i="1"/>
  <c r="AD456" i="1"/>
  <c r="AE456" i="1"/>
  <c r="AD429" i="1"/>
  <c r="AE429" i="1"/>
  <c r="AD240" i="1"/>
  <c r="AE240" i="1"/>
  <c r="AD249" i="1"/>
  <c r="AE249" i="1"/>
  <c r="AD247" i="1"/>
  <c r="AE247" i="1"/>
  <c r="AD248" i="1"/>
  <c r="AE248" i="1"/>
  <c r="AD758" i="1"/>
  <c r="AE758" i="1"/>
  <c r="AD843" i="1"/>
  <c r="AE843" i="1"/>
  <c r="AD790" i="1"/>
  <c r="AE790" i="1"/>
  <c r="AD791" i="1"/>
  <c r="AE791" i="1"/>
  <c r="AD599" i="1"/>
  <c r="AE599" i="1"/>
  <c r="AD512" i="1"/>
  <c r="AE512" i="1"/>
  <c r="AD877" i="1"/>
  <c r="AE877" i="1"/>
  <c r="AD1190" i="1"/>
  <c r="AE1190" i="1"/>
  <c r="AD800" i="1"/>
  <c r="AE800" i="1"/>
  <c r="AD747" i="1"/>
  <c r="AE747" i="1"/>
  <c r="AD196" i="1"/>
  <c r="AE196" i="1"/>
  <c r="AD197" i="1"/>
  <c r="AE197" i="1"/>
  <c r="AD789" i="1"/>
  <c r="AE789" i="1"/>
  <c r="AD788" i="1"/>
  <c r="AE788" i="1"/>
  <c r="AD1083" i="1"/>
  <c r="AE1083" i="1"/>
  <c r="AD277" i="1"/>
  <c r="AE277" i="1"/>
  <c r="AD213" i="1"/>
  <c r="AE213" i="1"/>
  <c r="AD818" i="1"/>
  <c r="AE818" i="1"/>
  <c r="AD817" i="1"/>
  <c r="AE817" i="1"/>
  <c r="AD820" i="1"/>
  <c r="AE820" i="1"/>
  <c r="AD819" i="1"/>
  <c r="AE819" i="1"/>
  <c r="AD709" i="1"/>
  <c r="AE709" i="1"/>
  <c r="AD614" i="1"/>
  <c r="AE614" i="1"/>
  <c r="AD613" i="1"/>
  <c r="AE613" i="1"/>
  <c r="AD615" i="1"/>
  <c r="AE615" i="1"/>
  <c r="AD504" i="1"/>
  <c r="AE504" i="1"/>
  <c r="AD239" i="1"/>
  <c r="AE239" i="1"/>
  <c r="AD241" i="1"/>
  <c r="AE241" i="1"/>
  <c r="AD242" i="1"/>
  <c r="AE242" i="1"/>
  <c r="AD496" i="1"/>
  <c r="AE496" i="1"/>
  <c r="AD497" i="1"/>
  <c r="AE497" i="1"/>
  <c r="AD783" i="1"/>
  <c r="AE783" i="1"/>
  <c r="AD782" i="1"/>
  <c r="AE782" i="1"/>
  <c r="AD655" i="1"/>
  <c r="AE655" i="1"/>
  <c r="AD588" i="1"/>
  <c r="AE588" i="1"/>
  <c r="AD587" i="1"/>
  <c r="AE587" i="1"/>
  <c r="AD375" i="1"/>
  <c r="AE375" i="1"/>
  <c r="AD1211" i="1"/>
  <c r="AE1211" i="1"/>
  <c r="AD948" i="1"/>
  <c r="AE948" i="1"/>
  <c r="AD1103" i="1"/>
  <c r="AE1103" i="1"/>
  <c r="AD1104" i="1"/>
  <c r="AE1104" i="1"/>
  <c r="AD1096" i="1"/>
  <c r="AE1096" i="1"/>
  <c r="AD1095" i="1"/>
  <c r="AE1095" i="1"/>
  <c r="AD1094" i="1"/>
  <c r="AE1094" i="1"/>
  <c r="AD932" i="1"/>
  <c r="AE932" i="1"/>
  <c r="AD931" i="1"/>
  <c r="AE931" i="1"/>
  <c r="AD930" i="1"/>
  <c r="AE930" i="1"/>
  <c r="AD929" i="1"/>
  <c r="AE929" i="1"/>
  <c r="AD862" i="1"/>
  <c r="AE862" i="1"/>
  <c r="AD863" i="1"/>
  <c r="AE863" i="1"/>
  <c r="AD933" i="1"/>
  <c r="AE933" i="1"/>
  <c r="AD864" i="1"/>
  <c r="AE864" i="1"/>
  <c r="AD1011" i="1"/>
  <c r="AE1011" i="1"/>
  <c r="AD799" i="1"/>
  <c r="AE799" i="1"/>
  <c r="AD832" i="1"/>
  <c r="AE832" i="1"/>
  <c r="AD777" i="1"/>
  <c r="AE777" i="1"/>
  <c r="AD915" i="1"/>
  <c r="AE915" i="1"/>
  <c r="AD914" i="1"/>
  <c r="AE914" i="1"/>
  <c r="AD916" i="1"/>
  <c r="AE916" i="1"/>
  <c r="AD787" i="1"/>
  <c r="AE787" i="1"/>
  <c r="AD688" i="1"/>
  <c r="AE688" i="1"/>
  <c r="AD1101" i="1"/>
  <c r="AE1101" i="1"/>
  <c r="AD1100" i="1"/>
  <c r="AE1100" i="1"/>
  <c r="AD858" i="1"/>
  <c r="AE858" i="1"/>
  <c r="AD859" i="1"/>
  <c r="AE859" i="1"/>
  <c r="AD1140" i="1"/>
  <c r="AE1140" i="1"/>
  <c r="AD1196" i="1"/>
  <c r="AE1196" i="1"/>
  <c r="AD75" i="1"/>
  <c r="AE75" i="1"/>
  <c r="AD78" i="1"/>
  <c r="AE78" i="1"/>
  <c r="AD79" i="1"/>
  <c r="AE79" i="1"/>
  <c r="AD152" i="1"/>
  <c r="AE152" i="1"/>
  <c r="AD85" i="1"/>
  <c r="AE85" i="1"/>
  <c r="AD86" i="1"/>
  <c r="AE86" i="1"/>
  <c r="AD883" i="1"/>
  <c r="AE883" i="1"/>
  <c r="AD830" i="1"/>
  <c r="AE830" i="1"/>
  <c r="AD969" i="1"/>
  <c r="AE969" i="1"/>
  <c r="AD884" i="1"/>
  <c r="AE884" i="1"/>
  <c r="AD133" i="1"/>
  <c r="AE133" i="1"/>
  <c r="AD136" i="1"/>
  <c r="AE136" i="1"/>
  <c r="AD137" i="1"/>
  <c r="AE137" i="1"/>
  <c r="AD138" i="1"/>
  <c r="AE138" i="1"/>
  <c r="AD139" i="1"/>
  <c r="AE139" i="1"/>
  <c r="AD140" i="1"/>
  <c r="AE140" i="1"/>
  <c r="AD134" i="1"/>
  <c r="AE134" i="1"/>
  <c r="AD135" i="1"/>
  <c r="AE135" i="1"/>
  <c r="AD142" i="1"/>
  <c r="AE142" i="1"/>
  <c r="AD141" i="1"/>
  <c r="AE141" i="1"/>
  <c r="AD12" i="1"/>
  <c r="AE12" i="1"/>
  <c r="AD13" i="1"/>
  <c r="AE13" i="1"/>
  <c r="AD14" i="1"/>
  <c r="AE14" i="1"/>
  <c r="AD143" i="1"/>
  <c r="AE143" i="1"/>
  <c r="AD556" i="1"/>
  <c r="AE556" i="1"/>
  <c r="AD1157" i="1"/>
  <c r="AE1157" i="1"/>
  <c r="AD1156" i="1"/>
  <c r="AE1156" i="1"/>
  <c r="AD1135" i="1"/>
  <c r="AE1135" i="1"/>
  <c r="AD1134" i="1"/>
  <c r="AE1134" i="1"/>
  <c r="AD31" i="1"/>
  <c r="AE31" i="1"/>
  <c r="AD815" i="1"/>
  <c r="AE815" i="1"/>
  <c r="AD889" i="1"/>
  <c r="AE889" i="1"/>
  <c r="AD1036" i="1"/>
  <c r="AE1036" i="1"/>
  <c r="AD963" i="1"/>
  <c r="AE963" i="1"/>
  <c r="AD962" i="1"/>
  <c r="AE962" i="1"/>
  <c r="AD961" i="1"/>
  <c r="AE961" i="1"/>
  <c r="AD329" i="1"/>
  <c r="AE329" i="1"/>
  <c r="AD328" i="1"/>
  <c r="AE328" i="1"/>
  <c r="AD326" i="1"/>
  <c r="AE326" i="1"/>
  <c r="AD327" i="1"/>
  <c r="AE327" i="1"/>
  <c r="AD324" i="1"/>
  <c r="AE324" i="1"/>
  <c r="AD325" i="1"/>
  <c r="AE325" i="1"/>
  <c r="AD92" i="1"/>
  <c r="AE92" i="1"/>
  <c r="AD617" i="1"/>
  <c r="AE617" i="1"/>
  <c r="AD618" i="1"/>
  <c r="AE618" i="1"/>
  <c r="AD541" i="1"/>
  <c r="AE541" i="1"/>
  <c r="AD461" i="1"/>
  <c r="AE461" i="1"/>
  <c r="AD768" i="1"/>
  <c r="AE768" i="1"/>
  <c r="AD769" i="1"/>
  <c r="AE769" i="1"/>
  <c r="AD591" i="1"/>
  <c r="AE591" i="1"/>
  <c r="AD593" i="1"/>
  <c r="AE593" i="1"/>
  <c r="AD594" i="1"/>
  <c r="AE594" i="1"/>
  <c r="AD592" i="1"/>
  <c r="AE592" i="1"/>
  <c r="AD528" i="1"/>
  <c r="AE528" i="1"/>
  <c r="AD595" i="1"/>
  <c r="AE595" i="1"/>
  <c r="AD596" i="1"/>
  <c r="AE596" i="1"/>
  <c r="AD529" i="1"/>
  <c r="AE529" i="1"/>
  <c r="AD390" i="1"/>
  <c r="AE390" i="1"/>
  <c r="AD391" i="1"/>
  <c r="AE391" i="1"/>
  <c r="AD392" i="1"/>
  <c r="AE392" i="1"/>
  <c r="AD393" i="1"/>
  <c r="AE393" i="1"/>
  <c r="AD394" i="1"/>
  <c r="AE394" i="1"/>
  <c r="AD395" i="1"/>
  <c r="AE395" i="1"/>
  <c r="AD385" i="1"/>
  <c r="AE385" i="1"/>
  <c r="AD767" i="1"/>
  <c r="AE767" i="1"/>
  <c r="AD766" i="1"/>
  <c r="AE766" i="1"/>
  <c r="AD396" i="1"/>
  <c r="AE396" i="1"/>
  <c r="AD397" i="1"/>
  <c r="AE397" i="1"/>
  <c r="AD398" i="1"/>
  <c r="AE398" i="1"/>
  <c r="AD399" i="1"/>
  <c r="AE399" i="1"/>
  <c r="AD400" i="1"/>
  <c r="AE400" i="1"/>
  <c r="AD386" i="1"/>
  <c r="AE386" i="1"/>
  <c r="AD387" i="1"/>
  <c r="AE387" i="1"/>
  <c r="AD401" i="1"/>
  <c r="AE401" i="1"/>
  <c r="AD402" i="1"/>
  <c r="AE402" i="1"/>
  <c r="AD403" i="1"/>
  <c r="AE403" i="1"/>
  <c r="AD404" i="1"/>
  <c r="AE404" i="1"/>
  <c r="AD405" i="1"/>
  <c r="AE405" i="1"/>
  <c r="AD406" i="1"/>
  <c r="AE406" i="1"/>
  <c r="AD388" i="1"/>
  <c r="AE388" i="1"/>
  <c r="AD389" i="1"/>
  <c r="AE389" i="1"/>
  <c r="AD1060" i="1"/>
  <c r="AE1060" i="1"/>
  <c r="AD355" i="1"/>
  <c r="AE355" i="1"/>
  <c r="AD155" i="1"/>
  <c r="AE155" i="1"/>
  <c r="AD829" i="1"/>
  <c r="AE829" i="1"/>
  <c r="AD828" i="1"/>
  <c r="AE828" i="1"/>
  <c r="AD191" i="1"/>
  <c r="AE191" i="1"/>
  <c r="AD192" i="1"/>
  <c r="AE192" i="1"/>
  <c r="AD844" i="1"/>
  <c r="AE844" i="1"/>
  <c r="AD1142" i="1"/>
  <c r="AE1142" i="1"/>
  <c r="AD179" i="1"/>
  <c r="AE179" i="1"/>
  <c r="AD178" i="1"/>
  <c r="AE178" i="1"/>
  <c r="AD177" i="1"/>
  <c r="AE177" i="1"/>
  <c r="AD176" i="1"/>
  <c r="AE176" i="1"/>
  <c r="AD985" i="1"/>
  <c r="AE985" i="1"/>
  <c r="AD984" i="1"/>
  <c r="AE984" i="1"/>
  <c r="AD1091" i="1"/>
  <c r="AE1091" i="1"/>
  <c r="AD259" i="1"/>
  <c r="AE259" i="1"/>
  <c r="AD258" i="1"/>
  <c r="AE258" i="1"/>
  <c r="AD109" i="1"/>
  <c r="AE109" i="1"/>
  <c r="AD151" i="1"/>
  <c r="AE151" i="1"/>
  <c r="AD25" i="1"/>
  <c r="AE25" i="1"/>
  <c r="AD356" i="1"/>
  <c r="AE356" i="1"/>
  <c r="AD505" i="1"/>
  <c r="AE505" i="1"/>
  <c r="AD10" i="1"/>
  <c r="AE10" i="1"/>
  <c r="AD9" i="1"/>
  <c r="AE9" i="1"/>
  <c r="AD8" i="1"/>
  <c r="AE8" i="1"/>
  <c r="AD254" i="1"/>
  <c r="AE254" i="1"/>
  <c r="AD253" i="1"/>
  <c r="AE253" i="1"/>
  <c r="AD161" i="1"/>
  <c r="AE161" i="1"/>
  <c r="AD1127" i="1"/>
  <c r="AE1127" i="1"/>
  <c r="AD1128" i="1"/>
  <c r="AE1128" i="1"/>
  <c r="AD1125" i="1"/>
  <c r="AE1125" i="1"/>
  <c r="AD1126" i="1"/>
  <c r="AE1126" i="1"/>
  <c r="AD1122" i="1"/>
  <c r="AE1122" i="1"/>
  <c r="AD1123" i="1"/>
  <c r="AE1123" i="1"/>
  <c r="AD1124" i="1"/>
  <c r="AE1124" i="1"/>
  <c r="AD1118" i="1"/>
  <c r="AE1118" i="1"/>
  <c r="AD1119" i="1"/>
  <c r="AE1119" i="1"/>
  <c r="AD1120" i="1"/>
  <c r="AE1120" i="1"/>
  <c r="AD1121" i="1"/>
  <c r="AE1121" i="1"/>
  <c r="AD1116" i="1"/>
  <c r="AE1116" i="1"/>
  <c r="AD1117" i="1"/>
  <c r="AE1117" i="1"/>
  <c r="AD22" i="1"/>
  <c r="AE22" i="1"/>
  <c r="AD1043" i="1"/>
  <c r="AE1043" i="1"/>
  <c r="AD572" i="1"/>
  <c r="AE572" i="1"/>
  <c r="AD263" i="1"/>
  <c r="AE263" i="1"/>
  <c r="AD833" i="1"/>
  <c r="AE833" i="1"/>
  <c r="AD287" i="1"/>
  <c r="AE287" i="1"/>
  <c r="AD286" i="1"/>
  <c r="AE286" i="1"/>
  <c r="AD245" i="1"/>
  <c r="AE245" i="1"/>
  <c r="AD276" i="1"/>
  <c r="AE276" i="1"/>
  <c r="AD108" i="1"/>
  <c r="AE108" i="1"/>
  <c r="AD570" i="1"/>
  <c r="AE570" i="1"/>
  <c r="AD231" i="1"/>
  <c r="AE231" i="1"/>
  <c r="AD1200" i="1"/>
  <c r="AE1200" i="1"/>
  <c r="AD772" i="1"/>
  <c r="AE772" i="1"/>
  <c r="AD773" i="1"/>
  <c r="AE773" i="1"/>
  <c r="AD431" i="1"/>
  <c r="AE431" i="1"/>
  <c r="AD432" i="1"/>
  <c r="AE432" i="1"/>
  <c r="AD567" i="1"/>
  <c r="AE567" i="1"/>
  <c r="AD568" i="1"/>
  <c r="AE568" i="1"/>
  <c r="AD569" i="1"/>
  <c r="AE569" i="1"/>
  <c r="AD706" i="1"/>
  <c r="AE706" i="1"/>
  <c r="AD571" i="1"/>
  <c r="AE571" i="1"/>
  <c r="AD371" i="1"/>
  <c r="AE371" i="1"/>
  <c r="AD372" i="1"/>
  <c r="AE372" i="1"/>
  <c r="AD373" i="1"/>
  <c r="AE373" i="1"/>
  <c r="AD370" i="1"/>
  <c r="AE370" i="1"/>
  <c r="AD349" i="1"/>
  <c r="AE349" i="1"/>
  <c r="AD348" i="1"/>
  <c r="AE348" i="1"/>
  <c r="AD418" i="1"/>
  <c r="AE418" i="1"/>
  <c r="AD413" i="1"/>
  <c r="AE413" i="1"/>
  <c r="AD414" i="1"/>
  <c r="AE414" i="1"/>
  <c r="AD415" i="1"/>
  <c r="AE415" i="1"/>
  <c r="AD416" i="1"/>
  <c r="AE416" i="1"/>
  <c r="AD417" i="1"/>
  <c r="AE417" i="1"/>
  <c r="AD364" i="1"/>
  <c r="AE364" i="1"/>
  <c r="AD365" i="1"/>
  <c r="AE365" i="1"/>
  <c r="AD412" i="1"/>
  <c r="AE412" i="1"/>
  <c r="AD363" i="1"/>
  <c r="AE363" i="1"/>
  <c r="AD275" i="1"/>
  <c r="AE275" i="1"/>
  <c r="AD175" i="1"/>
  <c r="AE175" i="1"/>
  <c r="AD208" i="1"/>
  <c r="AE208" i="1"/>
  <c r="AD246" i="1"/>
  <c r="AE246" i="1"/>
  <c r="AD924" i="1"/>
  <c r="AE924" i="1"/>
  <c r="AD934" i="1"/>
  <c r="AE934" i="1"/>
  <c r="AD653" i="1"/>
  <c r="AE653" i="1"/>
  <c r="AD1012" i="1"/>
  <c r="AE1012" i="1"/>
  <c r="AD445" i="1"/>
  <c r="AE445" i="1"/>
  <c r="AD444" i="1"/>
  <c r="AE444" i="1"/>
  <c r="AD959" i="1"/>
  <c r="AE959" i="1"/>
  <c r="AD255" i="1"/>
  <c r="AE255" i="1"/>
  <c r="AD1082" i="1"/>
  <c r="AE1082" i="1"/>
  <c r="AD825" i="1"/>
  <c r="AE825" i="1"/>
  <c r="AD1010" i="1"/>
  <c r="AE1010" i="1"/>
  <c r="AD906" i="1"/>
  <c r="AE906" i="1"/>
  <c r="AD203" i="1"/>
  <c r="AE203" i="1"/>
  <c r="AD202" i="1"/>
  <c r="AE202" i="1"/>
  <c r="AD201" i="1"/>
  <c r="AE201" i="1"/>
  <c r="AD411" i="1"/>
  <c r="AE411" i="1"/>
  <c r="AD410" i="1"/>
  <c r="AE410" i="1"/>
  <c r="AD314" i="1"/>
  <c r="AE314" i="1"/>
  <c r="AD409" i="1"/>
  <c r="AE409" i="1"/>
  <c r="AD911" i="1"/>
  <c r="AE911" i="1"/>
  <c r="AD212" i="1"/>
  <c r="AE212" i="1"/>
  <c r="AD211" i="1"/>
  <c r="AE211" i="1"/>
  <c r="AD912" i="1"/>
  <c r="AE912" i="1"/>
  <c r="AD920" i="1"/>
  <c r="AE920" i="1"/>
  <c r="AD923" i="1"/>
  <c r="AE923" i="1"/>
  <c r="AD467" i="1"/>
  <c r="AE467" i="1"/>
  <c r="AD100" i="1"/>
  <c r="AE100" i="1"/>
  <c r="AD381" i="1"/>
  <c r="AE381" i="1"/>
  <c r="AD380" i="1"/>
  <c r="AE380" i="1"/>
  <c r="AD379" i="1"/>
  <c r="AE379" i="1"/>
  <c r="AD378" i="1"/>
  <c r="AE378" i="1"/>
  <c r="AD485" i="1"/>
  <c r="AE485" i="1"/>
  <c r="AD888" i="1"/>
  <c r="AE888" i="1"/>
  <c r="AD887" i="1"/>
  <c r="AE887" i="1"/>
  <c r="AD172" i="1"/>
  <c r="AE172" i="1"/>
  <c r="AD472" i="1"/>
  <c r="AE472" i="1"/>
  <c r="AD1081" i="1"/>
  <c r="AE1081" i="1"/>
  <c r="AD646" i="1"/>
  <c r="AE646" i="1"/>
  <c r="AD645" i="1"/>
  <c r="AE645" i="1"/>
  <c r="AD644" i="1"/>
  <c r="AE644" i="1"/>
  <c r="AD643" i="1"/>
  <c r="AE643" i="1"/>
  <c r="AD642" i="1"/>
  <c r="AE642" i="1"/>
  <c r="AD532" i="1"/>
  <c r="AE532" i="1"/>
  <c r="AD520" i="1"/>
  <c r="AE520" i="1"/>
  <c r="AD521" i="1"/>
  <c r="AE521" i="1"/>
  <c r="AD692" i="1"/>
  <c r="AE692" i="1"/>
  <c r="AD691" i="1"/>
  <c r="AE691" i="1"/>
  <c r="AD690" i="1"/>
  <c r="AE690" i="1"/>
  <c r="AD689" i="1"/>
  <c r="AE689" i="1"/>
  <c r="AD640" i="1"/>
  <c r="AE640" i="1"/>
  <c r="AD639" i="1"/>
  <c r="AE639" i="1"/>
  <c r="AD1153" i="1"/>
  <c r="AE1153" i="1"/>
  <c r="AD1037" i="1"/>
  <c r="AE1037" i="1"/>
  <c r="AD1105" i="1"/>
  <c r="AE1105" i="1"/>
  <c r="AD165" i="1"/>
  <c r="AE165" i="1"/>
  <c r="AD1169" i="1"/>
  <c r="AE1169" i="1"/>
  <c r="AD534" i="1"/>
  <c r="AE534" i="1"/>
  <c r="AD533" i="1"/>
  <c r="AE533" i="1"/>
  <c r="AD684" i="1"/>
  <c r="AE684" i="1"/>
  <c r="AD685" i="1"/>
  <c r="AE685" i="1"/>
  <c r="AD686" i="1"/>
  <c r="AE686" i="1"/>
  <c r="AD531" i="1"/>
  <c r="AE531" i="1"/>
  <c r="AD530" i="1"/>
  <c r="AE530" i="1"/>
  <c r="AD514" i="1"/>
  <c r="AE514" i="1"/>
  <c r="AD546" i="1"/>
  <c r="AE546" i="1"/>
  <c r="AD674" i="1"/>
  <c r="AE674" i="1"/>
  <c r="AD1042" i="1"/>
  <c r="AE1042" i="1"/>
  <c r="AD970" i="1"/>
  <c r="AE970" i="1"/>
  <c r="AD971" i="1"/>
  <c r="AE971" i="1"/>
  <c r="AD1032" i="1"/>
  <c r="AE1032" i="1"/>
  <c r="AD517" i="1"/>
  <c r="AE517" i="1"/>
  <c r="AD333" i="1"/>
  <c r="AE333" i="1"/>
  <c r="AD350" i="1"/>
  <c r="AE350" i="1"/>
  <c r="AD519" i="1"/>
  <c r="AE519" i="1"/>
  <c r="AD424" i="1"/>
  <c r="AE424" i="1"/>
  <c r="AD423" i="1"/>
  <c r="AE423" i="1"/>
  <c r="AD422" i="1"/>
  <c r="AE422" i="1"/>
  <c r="AD426" i="1"/>
  <c r="AE426" i="1"/>
  <c r="AD965" i="1"/>
  <c r="AE965" i="1"/>
  <c r="AD966" i="1"/>
  <c r="AE966" i="1"/>
  <c r="AD967" i="1"/>
  <c r="AE967" i="1"/>
  <c r="AD968" i="1"/>
  <c r="AE968" i="1"/>
  <c r="AD209" i="1"/>
  <c r="AE209" i="1"/>
  <c r="AD210" i="1"/>
  <c r="AE210" i="1"/>
  <c r="AD547" i="1"/>
  <c r="AE547" i="1"/>
  <c r="AD1154" i="1"/>
  <c r="AE1154" i="1"/>
  <c r="AD1155" i="1"/>
  <c r="AE1155" i="1"/>
  <c r="AD483" i="1"/>
  <c r="AE483" i="1"/>
  <c r="AD866" i="1"/>
  <c r="AE866" i="1"/>
  <c r="AD440" i="1"/>
  <c r="AE440" i="1"/>
  <c r="AD439" i="1"/>
  <c r="AE439" i="1"/>
  <c r="AD438" i="1"/>
  <c r="AE438" i="1"/>
  <c r="AD70" i="1"/>
  <c r="AE70" i="1"/>
  <c r="AD189" i="1"/>
  <c r="AE189" i="1"/>
  <c r="AD185" i="1"/>
  <c r="AE185" i="1"/>
  <c r="AD184" i="1"/>
  <c r="AE184" i="1"/>
  <c r="AD238" i="1"/>
  <c r="AE238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794" i="1"/>
  <c r="AE794" i="1"/>
  <c r="AD793" i="1"/>
  <c r="AE793" i="1"/>
  <c r="AD305" i="1"/>
  <c r="AE305" i="1"/>
  <c r="AD304" i="1"/>
  <c r="AE304" i="1"/>
  <c r="AD303" i="1"/>
  <c r="AE303" i="1"/>
  <c r="AD503" i="1"/>
  <c r="AE503" i="1"/>
  <c r="AD27" i="1"/>
  <c r="AE27" i="1"/>
  <c r="AD26" i="1"/>
  <c r="AE26" i="1"/>
  <c r="AD297" i="1"/>
  <c r="AE297" i="1"/>
  <c r="AD635" i="1"/>
  <c r="AE635" i="1"/>
  <c r="AD928" i="1"/>
  <c r="AE928" i="1"/>
  <c r="AD927" i="1"/>
  <c r="AE927" i="1"/>
  <c r="AD542" i="1"/>
  <c r="AE542" i="1"/>
  <c r="AD419" i="1"/>
  <c r="AE419" i="1"/>
  <c r="AD513" i="1"/>
  <c r="AE513" i="1"/>
  <c r="AD621" i="1"/>
  <c r="AE621" i="1"/>
  <c r="AD620" i="1"/>
  <c r="AE620" i="1"/>
  <c r="AD619" i="1"/>
  <c r="AE619" i="1"/>
  <c r="AD466" i="1"/>
  <c r="AE466" i="1"/>
  <c r="AD484" i="1"/>
  <c r="AE484" i="1"/>
  <c r="AD1044" i="1"/>
  <c r="AE1044" i="1"/>
  <c r="AD1111" i="1"/>
  <c r="AE1111" i="1"/>
  <c r="AD1112" i="1"/>
  <c r="AE1112" i="1"/>
  <c r="AD337" i="1"/>
  <c r="AE337" i="1"/>
  <c r="AD168" i="1"/>
  <c r="AE168" i="1"/>
  <c r="AD500" i="1"/>
  <c r="AE500" i="1"/>
  <c r="AD63" i="1"/>
  <c r="AE63" i="1"/>
  <c r="AD1207" i="1"/>
  <c r="AE1207" i="1"/>
  <c r="AD994" i="1"/>
  <c r="AE994" i="1"/>
  <c r="AD374" i="1"/>
  <c r="AE374" i="1"/>
  <c r="AD407" i="1"/>
  <c r="AE407" i="1"/>
  <c r="AD408" i="1"/>
  <c r="AE408" i="1"/>
  <c r="AD61" i="1"/>
  <c r="AE61" i="1"/>
  <c r="AD810" i="1"/>
  <c r="AE810" i="1"/>
  <c r="AD792" i="1"/>
  <c r="AE792" i="1"/>
  <c r="AD499" i="1"/>
  <c r="AE499" i="1"/>
  <c r="AD190" i="1"/>
  <c r="AE190" i="1"/>
  <c r="AD47" i="1"/>
  <c r="AE47" i="1"/>
  <c r="AD48" i="1"/>
  <c r="AE48" i="1"/>
  <c r="AD1203" i="1"/>
  <c r="AE1203" i="1"/>
  <c r="AD1202" i="1"/>
  <c r="AE1202" i="1"/>
  <c r="AD1201" i="1"/>
  <c r="AE1201" i="1"/>
  <c r="AD1059" i="1"/>
  <c r="AE1059" i="1"/>
  <c r="AD1159" i="1"/>
  <c r="AE1159" i="1"/>
  <c r="AD1024" i="1"/>
  <c r="AE1024" i="1"/>
  <c r="AD986" i="1"/>
  <c r="AE986" i="1"/>
  <c r="AD846" i="1"/>
  <c r="AE846" i="1"/>
  <c r="AD845" i="1"/>
  <c r="AE845" i="1"/>
  <c r="AD757" i="1"/>
  <c r="AE757" i="1"/>
  <c r="AD748" i="1"/>
  <c r="AE748" i="1"/>
  <c r="AD749" i="1"/>
  <c r="AE749" i="1"/>
  <c r="AD755" i="1"/>
  <c r="AE755" i="1"/>
  <c r="AD753" i="1"/>
  <c r="AE753" i="1"/>
  <c r="AD750" i="1"/>
  <c r="AE750" i="1"/>
  <c r="AD751" i="1"/>
  <c r="AE751" i="1"/>
  <c r="AD752" i="1"/>
  <c r="AE752" i="1"/>
  <c r="AD754" i="1"/>
  <c r="AE754" i="1"/>
  <c r="AD678" i="1"/>
  <c r="AE678" i="1"/>
  <c r="AD679" i="1"/>
  <c r="AE679" i="1"/>
  <c r="AD677" i="1"/>
  <c r="AE677" i="1"/>
  <c r="AD756" i="1"/>
  <c r="AE756" i="1"/>
  <c r="AD1182" i="1"/>
  <c r="AE1182" i="1"/>
  <c r="AD1167" i="1"/>
  <c r="AE1167" i="1"/>
  <c r="AD98" i="1"/>
  <c r="AE98" i="1"/>
  <c r="AD502" i="1"/>
  <c r="AE502" i="1"/>
  <c r="AD487" i="1"/>
  <c r="AE487" i="1"/>
  <c r="AD486" i="1"/>
  <c r="AE486" i="1"/>
  <c r="AD488" i="1"/>
  <c r="AE488" i="1"/>
  <c r="AD84" i="1"/>
  <c r="AE84" i="1"/>
  <c r="AD312" i="1"/>
  <c r="AE312" i="1"/>
  <c r="AD153" i="1"/>
  <c r="AE153" i="1"/>
  <c r="AD498" i="1"/>
  <c r="AE498" i="1"/>
  <c r="AD144" i="1"/>
  <c r="AE144" i="1"/>
  <c r="AD910" i="1"/>
  <c r="AE910" i="1"/>
  <c r="AD1066" i="1"/>
  <c r="AE1066" i="1"/>
  <c r="AD1206" i="1"/>
  <c r="AE1206" i="1"/>
  <c r="AD1139" i="1"/>
  <c r="AE1139" i="1"/>
  <c r="AD17" i="1"/>
  <c r="AE17" i="1"/>
  <c r="AD145" i="1"/>
  <c r="AE145" i="1"/>
  <c r="AD237" i="1"/>
  <c r="AE237" i="1"/>
  <c r="AD35" i="1"/>
  <c r="AE35" i="1"/>
  <c r="AD926" i="1"/>
  <c r="AE926" i="1"/>
  <c r="AD925" i="1"/>
  <c r="AE925" i="1"/>
  <c r="AD836" i="1"/>
  <c r="AE836" i="1"/>
  <c r="AD835" i="1"/>
  <c r="AE835" i="1"/>
  <c r="AD188" i="1"/>
  <c r="AE188" i="1"/>
  <c r="AD281" i="1"/>
  <c r="AE281" i="1"/>
  <c r="AD1144" i="1"/>
  <c r="AE1144" i="1"/>
  <c r="AD1097" i="1"/>
  <c r="AE1097" i="1"/>
  <c r="AD18" i="1"/>
  <c r="AE18" i="1"/>
  <c r="AD890" i="1"/>
  <c r="AE890" i="1"/>
  <c r="AD49" i="1"/>
  <c r="AE49" i="1"/>
  <c r="AD437" i="1"/>
  <c r="AE437" i="1"/>
  <c r="AD1152" i="1"/>
  <c r="AE1152" i="1"/>
  <c r="AD1151" i="1"/>
  <c r="AE1151" i="1"/>
  <c r="AD1109" i="1"/>
  <c r="AE1109" i="1"/>
  <c r="AD88" i="1"/>
  <c r="AE88" i="1"/>
  <c r="AD186" i="1"/>
  <c r="AE186" i="1"/>
  <c r="AD187" i="1"/>
  <c r="AE187" i="1"/>
  <c r="AD91" i="1"/>
  <c r="AE91" i="1"/>
  <c r="AD901" i="1"/>
  <c r="AE901" i="1"/>
  <c r="AD200" i="1"/>
  <c r="AE200" i="1"/>
  <c r="AD323" i="1"/>
  <c r="AE323" i="1"/>
  <c r="AD687" i="1"/>
  <c r="AE687" i="1"/>
  <c r="AD540" i="1"/>
  <c r="AE540" i="1"/>
  <c r="AD539" i="1"/>
  <c r="AE539" i="1"/>
  <c r="AD171" i="1"/>
  <c r="AE171" i="1"/>
  <c r="AD1138" i="1"/>
  <c r="AE1138" i="1"/>
  <c r="AD885" i="1"/>
  <c r="AE885" i="1"/>
  <c r="AD54" i="1"/>
  <c r="AE54" i="1"/>
  <c r="AD55" i="1"/>
  <c r="AE55" i="1"/>
  <c r="AD509" i="1"/>
  <c r="AE509" i="1"/>
  <c r="AD510" i="1"/>
  <c r="AE510" i="1"/>
  <c r="AD856" i="1"/>
  <c r="AE856" i="1"/>
  <c r="AD857" i="1"/>
  <c r="AE857" i="1"/>
  <c r="AD851" i="1"/>
  <c r="AE851" i="1"/>
  <c r="AD852" i="1"/>
  <c r="AE852" i="1"/>
  <c r="AD853" i="1"/>
  <c r="AE853" i="1"/>
  <c r="AD854" i="1"/>
  <c r="AE854" i="1"/>
  <c r="AD855" i="1"/>
  <c r="AE855" i="1"/>
  <c r="AD850" i="1"/>
  <c r="AE850" i="1"/>
  <c r="AD704" i="1"/>
  <c r="AE704" i="1"/>
  <c r="AD849" i="1"/>
  <c r="AE849" i="1"/>
  <c r="AD847" i="1"/>
  <c r="AE847" i="1"/>
  <c r="AD848" i="1"/>
  <c r="AE848" i="1"/>
  <c r="AD40" i="1"/>
  <c r="AE40" i="1"/>
  <c r="AD39" i="1"/>
  <c r="AE39" i="1"/>
  <c r="AD38" i="1"/>
  <c r="AE38" i="1"/>
  <c r="AD960" i="1"/>
  <c r="AE960" i="1"/>
  <c r="AD1018" i="1"/>
  <c r="AE1018" i="1"/>
  <c r="AD1017" i="1"/>
  <c r="AE1017" i="1"/>
  <c r="AD949" i="1"/>
  <c r="AE949" i="1"/>
  <c r="AD950" i="1"/>
  <c r="AE950" i="1"/>
  <c r="AD33" i="1"/>
  <c r="AE33" i="1"/>
  <c r="AD919" i="1"/>
  <c r="AE919" i="1"/>
  <c r="AD878" i="1"/>
  <c r="AE878" i="1"/>
  <c r="AD1049" i="1"/>
  <c r="AE1049" i="1"/>
  <c r="AD1050" i="1"/>
  <c r="AE1050" i="1"/>
  <c r="AD1048" i="1"/>
  <c r="AE1048" i="1"/>
  <c r="AD1051" i="1"/>
  <c r="AE1051" i="1"/>
  <c r="AD1052" i="1"/>
  <c r="AE1052" i="1"/>
  <c r="AD1047" i="1"/>
  <c r="AE1047" i="1"/>
  <c r="AD1053" i="1"/>
  <c r="AE1053" i="1"/>
  <c r="AD1046" i="1"/>
  <c r="AE1046" i="1"/>
  <c r="AD1054" i="1"/>
  <c r="AE1054" i="1"/>
  <c r="AD1045" i="1"/>
  <c r="AE1045" i="1"/>
  <c r="AD821" i="1"/>
  <c r="AE821" i="1"/>
  <c r="AD1056" i="1"/>
  <c r="AE1056" i="1"/>
  <c r="AD1057" i="1"/>
  <c r="AE1057" i="1"/>
  <c r="AD1055" i="1"/>
  <c r="AE1055" i="1"/>
  <c r="AD1058" i="1"/>
  <c r="AE1058" i="1"/>
  <c r="AD1212" i="1"/>
  <c r="AE1212" i="1"/>
  <c r="AD93" i="1"/>
  <c r="AE93" i="1"/>
  <c r="AD41" i="1"/>
  <c r="AE41" i="1"/>
  <c r="AD261" i="1"/>
  <c r="AE261" i="1"/>
  <c r="AD1219" i="1"/>
  <c r="AE1219" i="1"/>
  <c r="AD1015" i="1"/>
  <c r="AE1015" i="1"/>
  <c r="AD798" i="1"/>
  <c r="AE798" i="1"/>
  <c r="AD1186" i="1"/>
  <c r="AE1186" i="1"/>
  <c r="AD1189" i="1"/>
  <c r="AE1189" i="1"/>
  <c r="AD981" i="1"/>
  <c r="AE981" i="1"/>
  <c r="AD280" i="1"/>
  <c r="AE280" i="1"/>
  <c r="AD279" i="1"/>
  <c r="AE279" i="1"/>
  <c r="AD206" i="1"/>
  <c r="AE206" i="1"/>
  <c r="AD205" i="1"/>
  <c r="AE205" i="1"/>
  <c r="AD62" i="1"/>
  <c r="AE62" i="1"/>
  <c r="AD307" i="1"/>
  <c r="AE307" i="1"/>
  <c r="AD306" i="1"/>
  <c r="AE306" i="1"/>
  <c r="AD1108" i="1"/>
  <c r="AE1108" i="1"/>
  <c r="AD1071" i="1"/>
  <c r="AE1071" i="1"/>
  <c r="AD634" i="1"/>
  <c r="AE634" i="1"/>
  <c r="AD823" i="1"/>
  <c r="AE823" i="1"/>
  <c r="AD765" i="1"/>
  <c r="AE765" i="1"/>
  <c r="AD973" i="1"/>
  <c r="AE973" i="1"/>
  <c r="AD972" i="1"/>
  <c r="AE972" i="1"/>
  <c r="AD992" i="1"/>
  <c r="AE992" i="1"/>
  <c r="AD991" i="1"/>
  <c r="AE991" i="1"/>
  <c r="AD990" i="1"/>
  <c r="AE990" i="1"/>
  <c r="AD1107" i="1"/>
  <c r="AE1107" i="1"/>
  <c r="AD1090" i="1"/>
  <c r="AE1090" i="1"/>
  <c r="AD834" i="1"/>
  <c r="AE834" i="1"/>
  <c r="AD15" i="1"/>
  <c r="AE15" i="1"/>
  <c r="AD527" i="1"/>
  <c r="AE527" i="1"/>
  <c r="AD525" i="1"/>
  <c r="AE525" i="1"/>
  <c r="AD526" i="1"/>
  <c r="AE526" i="1"/>
  <c r="AD524" i="1"/>
  <c r="AE524" i="1"/>
  <c r="AD523" i="1"/>
  <c r="AE523" i="1"/>
  <c r="AD522" i="1"/>
  <c r="AE522" i="1"/>
  <c r="AD1185" i="1"/>
  <c r="AE1185" i="1"/>
  <c r="AD1208" i="1"/>
  <c r="AE1208" i="1"/>
  <c r="AD590" i="1"/>
  <c r="AE590" i="1"/>
  <c r="AD37" i="1"/>
  <c r="AE37" i="1"/>
  <c r="AD589" i="1"/>
  <c r="AE589" i="1"/>
  <c r="AD36" i="1"/>
  <c r="AE36" i="1"/>
  <c r="AD345" i="1"/>
  <c r="AE345" i="1"/>
  <c r="AD903" i="1"/>
  <c r="AE903" i="1"/>
  <c r="AD649" i="1"/>
  <c r="AE649" i="1"/>
  <c r="AD650" i="1"/>
  <c r="AE650" i="1"/>
  <c r="AD651" i="1"/>
  <c r="AE651" i="1"/>
  <c r="AD648" i="1"/>
  <c r="AE648" i="1"/>
  <c r="AD559" i="1"/>
  <c r="AE559" i="1"/>
  <c r="AD560" i="1"/>
  <c r="AE560" i="1"/>
  <c r="AD561" i="1"/>
  <c r="AE561" i="1"/>
  <c r="AD425" i="1"/>
  <c r="AE425" i="1"/>
  <c r="AD436" i="1"/>
  <c r="AE436" i="1"/>
  <c r="AD195" i="1"/>
  <c r="AE195" i="1"/>
  <c r="AD164" i="1"/>
  <c r="AE164" i="1"/>
  <c r="AD19" i="1"/>
  <c r="AE19" i="1"/>
  <c r="AD1033" i="1"/>
  <c r="AE1033" i="1"/>
  <c r="AD976" i="1"/>
  <c r="AE976" i="1"/>
  <c r="AD45" i="1"/>
  <c r="AE45" i="1"/>
  <c r="AD313" i="1"/>
  <c r="AE313" i="1"/>
  <c r="AD278" i="1"/>
  <c r="AE278" i="1"/>
  <c r="AD6" i="1"/>
  <c r="AE6" i="1"/>
  <c r="AD7" i="1"/>
  <c r="AE7" i="1"/>
  <c r="AD129" i="1"/>
  <c r="AE129" i="1"/>
  <c r="AD128" i="1"/>
  <c r="AE128" i="1"/>
  <c r="AD130" i="1"/>
  <c r="AE130" i="1"/>
  <c r="AD112" i="1"/>
  <c r="AE112" i="1"/>
  <c r="AD113" i="1"/>
  <c r="AE113" i="1"/>
  <c r="AD123" i="1"/>
  <c r="AE123" i="1"/>
  <c r="AD114" i="1"/>
  <c r="AE114" i="1"/>
  <c r="AD115" i="1"/>
  <c r="AE115" i="1"/>
  <c r="AD116" i="1"/>
  <c r="AE116" i="1"/>
  <c r="AD117" i="1"/>
  <c r="AE117" i="1"/>
  <c r="AD124" i="1"/>
  <c r="AE124" i="1"/>
  <c r="AD118" i="1"/>
  <c r="AE118" i="1"/>
  <c r="AD119" i="1"/>
  <c r="AE119" i="1"/>
  <c r="AD125" i="1"/>
  <c r="AE125" i="1"/>
  <c r="AD126" i="1"/>
  <c r="AE126" i="1"/>
  <c r="AD120" i="1"/>
  <c r="AE120" i="1"/>
  <c r="AD121" i="1"/>
  <c r="AE121" i="1"/>
  <c r="AD122" i="1"/>
  <c r="AE122" i="1"/>
  <c r="AD127" i="1"/>
  <c r="AE127" i="1"/>
  <c r="AD111" i="1"/>
  <c r="AE111" i="1"/>
  <c r="AD705" i="1"/>
  <c r="AE705" i="1"/>
  <c r="AD11" i="1"/>
  <c r="AE11" i="1"/>
  <c r="AD658" i="1"/>
  <c r="AE658" i="1"/>
  <c r="AD659" i="1"/>
  <c r="AE659" i="1"/>
  <c r="AD660" i="1"/>
  <c r="AE660" i="1"/>
  <c r="AD661" i="1"/>
  <c r="AE661" i="1"/>
  <c r="AD663" i="1"/>
  <c r="AE663" i="1"/>
  <c r="AD662" i="1"/>
  <c r="AE662" i="1"/>
  <c r="AD664" i="1"/>
  <c r="AE664" i="1"/>
  <c r="AD665" i="1"/>
  <c r="AE665" i="1"/>
  <c r="AD656" i="1"/>
  <c r="AE656" i="1"/>
  <c r="AD657" i="1"/>
  <c r="AE657" i="1"/>
  <c r="AD442" i="1"/>
  <c r="AE442" i="1"/>
  <c r="AD666" i="1"/>
  <c r="AE666" i="1"/>
  <c r="AD667" i="1"/>
  <c r="AE667" i="1"/>
  <c r="AD443" i="1"/>
  <c r="AE443" i="1"/>
  <c r="AD668" i="1"/>
  <c r="AE668" i="1"/>
  <c r="AD460" i="1"/>
  <c r="AE460" i="1"/>
  <c r="AD669" i="1"/>
  <c r="AE669" i="1"/>
  <c r="AD953" i="1"/>
  <c r="AE953" i="1"/>
  <c r="AD956" i="1"/>
  <c r="AE956" i="1"/>
  <c r="AD955" i="1"/>
  <c r="AE955" i="1"/>
  <c r="AD957" i="1"/>
  <c r="AE957" i="1"/>
  <c r="AD954" i="1"/>
  <c r="AE954" i="1"/>
  <c r="AD958" i="1"/>
  <c r="AE958" i="1"/>
  <c r="AD625" i="1"/>
  <c r="AE625" i="1"/>
  <c r="AD626" i="1"/>
  <c r="AE626" i="1"/>
  <c r="AD627" i="1"/>
  <c r="AE627" i="1"/>
  <c r="AD622" i="1"/>
  <c r="AE622" i="1"/>
  <c r="AD623" i="1"/>
  <c r="AE623" i="1"/>
  <c r="AD624" i="1"/>
  <c r="AE624" i="1"/>
  <c r="AD628" i="1"/>
  <c r="AE628" i="1"/>
  <c r="AD629" i="1"/>
  <c r="AE629" i="1"/>
  <c r="AD630" i="1"/>
  <c r="AE630" i="1"/>
  <c r="AD631" i="1"/>
  <c r="AE631" i="1"/>
  <c r="AD553" i="1"/>
  <c r="AE553" i="1"/>
  <c r="AD551" i="1"/>
  <c r="AE551" i="1"/>
  <c r="AD552" i="1"/>
  <c r="AE552" i="1"/>
  <c r="AD428" i="1"/>
  <c r="AE428" i="1"/>
  <c r="AD1173" i="1"/>
  <c r="AE1173" i="1"/>
  <c r="AD1175" i="1"/>
  <c r="AE1175" i="1"/>
  <c r="AD1174" i="1"/>
  <c r="AE1174" i="1"/>
  <c r="AD1176" i="1"/>
  <c r="AE1176" i="1"/>
  <c r="AD1177" i="1"/>
  <c r="AE1177" i="1"/>
  <c r="AD1178" i="1"/>
  <c r="AE1178" i="1"/>
  <c r="AD1180" i="1"/>
  <c r="AE1180" i="1"/>
  <c r="AD1181" i="1"/>
  <c r="AE1181" i="1"/>
  <c r="AD1179" i="1"/>
  <c r="AE1179" i="1"/>
  <c r="AD1197" i="1"/>
  <c r="AE1197" i="1"/>
  <c r="AD1199" i="1"/>
  <c r="AE1199" i="1"/>
  <c r="AD1198" i="1"/>
  <c r="AE1198" i="1"/>
  <c r="AD1172" i="1"/>
  <c r="AE1172" i="1"/>
  <c r="AD1193" i="1"/>
  <c r="AE1193" i="1"/>
  <c r="AD1192" i="1"/>
  <c r="AE1192" i="1"/>
  <c r="AD361" i="1"/>
  <c r="AE361" i="1"/>
  <c r="AD359" i="1"/>
  <c r="AE359" i="1"/>
  <c r="AD1195" i="1"/>
  <c r="AE1195" i="1"/>
  <c r="AD1194" i="1"/>
  <c r="AE1194" i="1"/>
  <c r="AD1209" i="1"/>
  <c r="AE1209" i="1"/>
  <c r="AD362" i="1"/>
  <c r="AE362" i="1"/>
  <c r="AD360" i="1"/>
  <c r="AE360" i="1"/>
  <c r="AD1102" i="1"/>
  <c r="AE1102" i="1"/>
  <c r="AD1069" i="1"/>
  <c r="AE1069" i="1"/>
  <c r="AD1070" i="1"/>
  <c r="AE1070" i="1"/>
  <c r="AD1110" i="1"/>
  <c r="AE1110" i="1"/>
  <c r="AD711" i="1"/>
  <c r="AE711" i="1"/>
  <c r="AD713" i="1"/>
  <c r="AE713" i="1"/>
  <c r="AD714" i="1"/>
  <c r="AE714" i="1"/>
  <c r="AD715" i="1"/>
  <c r="AE715" i="1"/>
  <c r="AD716" i="1"/>
  <c r="AE716" i="1"/>
  <c r="AD717" i="1"/>
  <c r="AE717" i="1"/>
  <c r="AD718" i="1"/>
  <c r="AE718" i="1"/>
  <c r="AD712" i="1"/>
  <c r="AE712" i="1"/>
  <c r="AD722" i="1"/>
  <c r="AE722" i="1"/>
  <c r="AD723" i="1"/>
  <c r="AE723" i="1"/>
  <c r="AD724" i="1"/>
  <c r="AE724" i="1"/>
  <c r="AD725" i="1"/>
  <c r="AE725" i="1"/>
  <c r="AD726" i="1"/>
  <c r="AE726" i="1"/>
  <c r="AD729" i="1"/>
  <c r="AE729" i="1"/>
  <c r="AD727" i="1"/>
  <c r="AE727" i="1"/>
  <c r="AD728" i="1"/>
  <c r="AE728" i="1"/>
  <c r="AD730" i="1"/>
  <c r="AE730" i="1"/>
  <c r="AD720" i="1"/>
  <c r="AE720" i="1"/>
  <c r="AD731" i="1"/>
  <c r="AE731" i="1"/>
  <c r="AD721" i="1"/>
  <c r="AE721" i="1"/>
  <c r="AD719" i="1"/>
  <c r="AE719" i="1"/>
  <c r="AD732" i="1"/>
  <c r="AE732" i="1"/>
  <c r="AD733" i="1"/>
  <c r="AE733" i="1"/>
  <c r="AD1230" i="1"/>
  <c r="AE1230" i="1"/>
  <c r="AD1229" i="1"/>
  <c r="AE1229" i="1"/>
  <c r="AD1228" i="1"/>
  <c r="AE1228" i="1"/>
  <c r="AD1226" i="1"/>
  <c r="AE1226" i="1"/>
  <c r="AD1227" i="1"/>
  <c r="AE1227" i="1"/>
  <c r="AD1231" i="1"/>
  <c r="AE1231" i="1"/>
  <c r="AD1232" i="1"/>
  <c r="AE1232" i="1"/>
  <c r="AD1225" i="1"/>
  <c r="AE1225" i="1"/>
  <c r="AD1224" i="1"/>
  <c r="AE1224" i="1"/>
  <c r="AD995" i="1"/>
  <c r="AE995" i="1"/>
  <c r="AD996" i="1"/>
  <c r="AE996" i="1"/>
  <c r="AD633" i="1"/>
  <c r="AE633" i="1"/>
  <c r="AD997" i="1"/>
  <c r="AE997" i="1"/>
  <c r="AD998" i="1"/>
  <c r="AE998" i="1"/>
  <c r="AD1007" i="1"/>
  <c r="AE1007" i="1"/>
  <c r="AD1006" i="1"/>
  <c r="AE1006" i="1"/>
  <c r="AD1005" i="1"/>
  <c r="AE1005" i="1"/>
  <c r="AD1004" i="1"/>
  <c r="AE1004" i="1"/>
  <c r="AD1003" i="1"/>
  <c r="AE1003" i="1"/>
  <c r="AD1002" i="1"/>
  <c r="AE1002" i="1"/>
  <c r="AD1001" i="1"/>
  <c r="AE1001" i="1"/>
  <c r="AD1000" i="1"/>
  <c r="AE1000" i="1"/>
  <c r="AD999" i="1"/>
  <c r="AE999" i="1"/>
  <c r="AD1009" i="1"/>
  <c r="AE1009" i="1"/>
  <c r="AD1008" i="1"/>
  <c r="AE1008" i="1"/>
  <c r="AD670" i="1"/>
  <c r="AE670" i="1"/>
  <c r="AD671" i="1"/>
  <c r="AE671" i="1"/>
  <c r="AD681" i="1"/>
  <c r="AE681" i="1"/>
  <c r="AD680" i="1"/>
  <c r="AE680" i="1"/>
  <c r="AD672" i="1"/>
  <c r="AE672" i="1"/>
  <c r="AD470" i="1"/>
  <c r="AE470" i="1"/>
  <c r="AD469" i="1"/>
  <c r="AE469" i="1"/>
  <c r="AD468" i="1"/>
  <c r="AE468" i="1"/>
  <c r="AD935" i="1"/>
  <c r="AE935" i="1"/>
  <c r="AD921" i="1"/>
  <c r="AE921" i="1"/>
  <c r="AD1067" i="1"/>
  <c r="AE1067" i="1"/>
  <c r="AD797" i="1"/>
  <c r="AE797" i="1"/>
  <c r="AD675" i="1"/>
  <c r="AE675" i="1"/>
  <c r="AD676" i="1"/>
  <c r="AE676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696" i="1"/>
  <c r="AE696" i="1"/>
  <c r="AD700" i="1"/>
  <c r="AE700" i="1"/>
  <c r="AD699" i="1"/>
  <c r="AE699" i="1"/>
  <c r="AD698" i="1"/>
  <c r="AE698" i="1"/>
  <c r="AD697" i="1"/>
  <c r="AE697" i="1"/>
  <c r="AD694" i="1"/>
  <c r="AE694" i="1"/>
  <c r="AD693" i="1"/>
  <c r="AE693" i="1"/>
  <c r="AD703" i="1"/>
  <c r="AE703" i="1"/>
  <c r="AD702" i="1"/>
  <c r="AE702" i="1"/>
  <c r="AD701" i="1"/>
  <c r="AE701" i="1"/>
  <c r="AD695" i="1"/>
  <c r="AE695" i="1"/>
  <c r="AD288" i="1"/>
  <c r="AE288" i="1"/>
  <c r="AD264" i="1"/>
  <c r="AE264" i="1"/>
  <c r="AD283" i="1"/>
  <c r="AE283" i="1"/>
  <c r="AD265" i="1"/>
  <c r="AE265" i="1"/>
  <c r="AD24" i="1"/>
  <c r="AE24" i="1"/>
  <c r="AD215" i="1"/>
  <c r="AE215" i="1"/>
  <c r="AD214" i="1"/>
  <c r="AE214" i="1"/>
  <c r="AD110" i="1"/>
  <c r="AE110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16" i="1"/>
  <c r="AE16" i="1"/>
  <c r="AD1216" i="1"/>
  <c r="AE1216" i="1"/>
  <c r="AD1215" i="1"/>
  <c r="AE1215" i="1"/>
  <c r="AD1093" i="1"/>
  <c r="AE1093" i="1"/>
  <c r="AD46" i="1"/>
  <c r="AE46" i="1"/>
  <c r="AD1035" i="1"/>
  <c r="AE1035" i="1"/>
  <c r="AD506" i="1"/>
  <c r="AE506" i="1"/>
  <c r="AD42" i="1"/>
  <c r="AE42" i="1"/>
  <c r="AD43" i="1"/>
  <c r="AE43" i="1"/>
  <c r="AD682" i="1"/>
  <c r="AE682" i="1"/>
  <c r="AD51" i="1"/>
  <c r="AE51" i="1"/>
  <c r="AD28" i="1"/>
  <c r="AE28" i="1"/>
  <c r="AD99" i="1"/>
  <c r="AE99" i="1"/>
  <c r="AD66" i="1"/>
  <c r="AE66" i="1"/>
  <c r="AD148" i="1"/>
  <c r="AE148" i="1"/>
  <c r="AD1080" i="1"/>
  <c r="AE1080" i="1"/>
  <c r="AD150" i="1"/>
  <c r="AE150" i="1"/>
  <c r="AD586" i="1"/>
  <c r="AE586" i="1"/>
  <c r="AD160" i="1"/>
  <c r="AE160" i="1"/>
  <c r="AD159" i="1"/>
  <c r="AE159" i="1"/>
  <c r="AD918" i="1"/>
  <c r="AE918" i="1"/>
  <c r="AD917" i="1"/>
  <c r="AE917" i="1"/>
  <c r="AD296" i="1"/>
  <c r="AE296" i="1"/>
  <c r="AD941" i="1"/>
  <c r="AE941" i="1"/>
  <c r="AD982" i="1"/>
  <c r="AE982" i="1"/>
  <c r="AD1072" i="1"/>
  <c r="AE1072" i="1"/>
  <c r="AD384" i="1"/>
  <c r="AE384" i="1"/>
  <c r="AD132" i="1"/>
  <c r="AE132" i="1"/>
  <c r="AD683" i="1"/>
  <c r="AE683" i="1"/>
  <c r="AD76" i="1"/>
  <c r="AE76" i="1"/>
  <c r="AD282" i="1"/>
  <c r="AE282" i="1"/>
  <c r="AD1031" i="1"/>
  <c r="AE1031" i="1"/>
  <c r="AD52" i="1"/>
  <c r="AE52" i="1"/>
  <c r="AD270" i="1"/>
  <c r="AE270" i="1"/>
  <c r="AD53" i="1"/>
  <c r="AE53" i="1"/>
  <c r="AD315" i="1"/>
  <c r="AE315" i="1"/>
  <c r="AD331" i="1"/>
  <c r="AE331" i="1"/>
  <c r="AD332" i="1"/>
  <c r="AE332" i="1"/>
  <c r="AD64" i="1"/>
  <c r="AE64" i="1"/>
  <c r="AD32" i="1"/>
  <c r="AE32" i="1"/>
  <c r="AD1223" i="1"/>
  <c r="AE1223" i="1"/>
  <c r="AD673" i="1"/>
  <c r="AE673" i="1"/>
  <c r="AD814" i="1"/>
  <c r="AE814" i="1"/>
  <c r="AD813" i="1"/>
  <c r="AE813" i="1"/>
  <c r="AD252" i="1"/>
  <c r="AE252" i="1"/>
  <c r="AD1222" i="1"/>
  <c r="AE1222" i="1"/>
  <c r="AD1221" i="1"/>
  <c r="AE1221" i="1"/>
  <c r="AD880" i="1"/>
  <c r="AE880" i="1"/>
  <c r="AD879" i="1"/>
  <c r="AE879" i="1"/>
  <c r="AD881" i="1"/>
  <c r="AE881" i="1"/>
  <c r="AD882" i="1"/>
  <c r="AE882" i="1"/>
  <c r="AD943" i="1"/>
  <c r="AE943" i="1"/>
  <c r="AD69" i="1"/>
  <c r="AE69" i="1"/>
  <c r="AD68" i="1"/>
  <c r="AE68" i="1"/>
  <c r="AD771" i="1"/>
  <c r="AE771" i="1"/>
  <c r="AD770" i="1"/>
  <c r="AE770" i="1"/>
  <c r="AD905" i="1"/>
  <c r="AE905" i="1"/>
  <c r="AD1158" i="1"/>
  <c r="AE1158" i="1"/>
  <c r="AD65" i="1"/>
  <c r="AE65" i="1"/>
  <c r="AD902" i="1"/>
  <c r="AE902" i="1"/>
  <c r="AD44" i="1"/>
  <c r="AE44" i="1"/>
  <c r="AD801" i="1"/>
  <c r="AE801" i="1"/>
  <c r="AD67" i="1"/>
  <c r="AE67" i="1"/>
  <c r="AD357" i="1"/>
  <c r="AE357" i="1"/>
  <c r="AD1164" i="1"/>
  <c r="AE1164" i="1"/>
  <c r="AD600" i="1"/>
  <c r="AE600" i="1"/>
  <c r="AD23" i="1"/>
  <c r="AE23" i="1"/>
  <c r="AD58" i="1"/>
  <c r="AE58" i="1"/>
  <c r="AD59" i="1"/>
  <c r="AE59" i="1"/>
  <c r="AD95" i="1"/>
  <c r="AE95" i="1"/>
  <c r="AD96" i="1"/>
  <c r="AE96" i="1"/>
  <c r="AD97" i="1"/>
  <c r="AE97" i="1"/>
  <c r="AD987" i="1"/>
  <c r="AE987" i="1"/>
  <c r="AD907" i="1"/>
  <c r="AE907" i="1"/>
  <c r="AD20" i="1"/>
  <c r="AE20" i="1"/>
  <c r="AD980" i="1"/>
  <c r="AE980" i="1"/>
  <c r="AD979" i="1"/>
  <c r="AE979" i="1"/>
  <c r="AD1184" i="1"/>
  <c r="AE1184" i="1"/>
  <c r="AE746" i="1"/>
  <c r="AF842" i="1" l="1"/>
  <c r="AG842" i="1" s="1"/>
  <c r="AH842" i="1" s="1"/>
  <c r="AF637" i="1"/>
  <c r="AG637" i="1" s="1"/>
  <c r="AH637" i="1" s="1"/>
  <c r="AF566" i="1"/>
  <c r="AG566" i="1" s="1"/>
  <c r="AH566" i="1" s="1"/>
  <c r="AF339" i="1"/>
  <c r="AG339" i="1" s="1"/>
  <c r="AH339" i="1" s="1"/>
  <c r="AF473" i="1"/>
  <c r="AG473" i="1" s="1"/>
  <c r="AH473" i="1" s="1"/>
  <c r="AF301" i="1"/>
  <c r="AG301" i="1" s="1"/>
  <c r="AH301" i="1" s="1"/>
  <c r="AF942" i="1"/>
  <c r="AG942" i="1" s="1"/>
  <c r="AH942" i="1" s="1"/>
  <c r="AF989" i="1"/>
  <c r="AG989" i="1" s="1"/>
  <c r="AH989" i="1" s="1"/>
  <c r="AF838" i="1"/>
  <c r="AG838" i="1" s="1"/>
  <c r="AH838" i="1" s="1"/>
  <c r="AF180" i="1"/>
  <c r="AG180" i="1" s="1"/>
  <c r="AH180" i="1" s="1"/>
  <c r="AF893" i="1"/>
  <c r="AG893" i="1" s="1"/>
  <c r="AH893" i="1" s="1"/>
  <c r="AF1132" i="1"/>
  <c r="AG1132" i="1" s="1"/>
  <c r="AH1132" i="1" s="1"/>
  <c r="AF861" i="1"/>
  <c r="AG861" i="1" s="1"/>
  <c r="AH861" i="1" s="1"/>
  <c r="AF1062" i="1"/>
  <c r="AG1062" i="1" s="1"/>
  <c r="AH1062" i="1" s="1"/>
  <c r="AF1068" i="1"/>
  <c r="AG1068" i="1" s="1"/>
  <c r="AH1068" i="1" s="1"/>
  <c r="D6" i="3"/>
  <c r="D9" i="3"/>
  <c r="D12" i="3"/>
  <c r="D4" i="3"/>
  <c r="D7" i="3"/>
  <c r="D10" i="3"/>
  <c r="D3" i="3"/>
  <c r="D13" i="3"/>
  <c r="D5" i="3"/>
  <c r="D8" i="3"/>
  <c r="D11" i="3"/>
  <c r="AF169" i="1"/>
  <c r="AG169" i="1" s="1"/>
  <c r="AH169" i="1" s="1"/>
  <c r="AF30" i="1"/>
  <c r="AG30" i="1" s="1"/>
  <c r="AH30" i="1" s="1"/>
  <c r="AF501" i="1"/>
  <c r="AG501" i="1" s="1"/>
  <c r="AH501" i="1" s="1"/>
  <c r="AF194" i="1"/>
  <c r="AG194" i="1" s="1"/>
  <c r="AH194" i="1" s="1"/>
  <c r="C11" i="3"/>
  <c r="C3" i="3"/>
  <c r="C6" i="3"/>
  <c r="C9" i="3"/>
  <c r="C12" i="3"/>
  <c r="C4" i="3"/>
  <c r="C7" i="3"/>
  <c r="C5" i="3"/>
  <c r="C10" i="3"/>
  <c r="C13" i="3"/>
  <c r="C8" i="3"/>
  <c r="D15" i="3"/>
  <c r="D16" i="3"/>
  <c r="D14" i="3"/>
  <c r="AF1109" i="1"/>
  <c r="AG1109" i="1" s="1"/>
  <c r="AH1109" i="1" s="1"/>
  <c r="AF1144" i="1"/>
  <c r="AG1144" i="1" s="1"/>
  <c r="AH1144" i="1" s="1"/>
  <c r="AF1206" i="1"/>
  <c r="AG1206" i="1" s="1"/>
  <c r="AH1206" i="1" s="1"/>
  <c r="AF498" i="1"/>
  <c r="AG498" i="1" s="1"/>
  <c r="AH498" i="1" s="1"/>
  <c r="AF394" i="1"/>
  <c r="AG394" i="1" s="1"/>
  <c r="AH394" i="1" s="1"/>
  <c r="C15" i="3"/>
  <c r="C16" i="3"/>
  <c r="C14" i="3"/>
  <c r="AF28" i="1"/>
  <c r="AG28" i="1" s="1"/>
  <c r="AH28" i="1" s="1"/>
  <c r="AF42" i="1"/>
  <c r="AG42" i="1" s="1"/>
  <c r="AH42" i="1" s="1"/>
  <c r="AF1093" i="1"/>
  <c r="AG1093" i="1" s="1"/>
  <c r="AH1093" i="1" s="1"/>
  <c r="AF222" i="1"/>
  <c r="AG222" i="1" s="1"/>
  <c r="AH222" i="1" s="1"/>
  <c r="AF283" i="1"/>
  <c r="AG283" i="1" s="1"/>
  <c r="AH283" i="1" s="1"/>
  <c r="AF1002" i="1"/>
  <c r="AG1002" i="1" s="1"/>
  <c r="AH1002" i="1" s="1"/>
  <c r="AF720" i="1"/>
  <c r="AG720" i="1" s="1"/>
  <c r="AH720" i="1" s="1"/>
  <c r="AF729" i="1"/>
  <c r="AG729" i="1" s="1"/>
  <c r="AH729" i="1" s="1"/>
  <c r="AF723" i="1"/>
  <c r="AG723" i="1" s="1"/>
  <c r="AH723" i="1" s="1"/>
  <c r="AF1069" i="1"/>
  <c r="AG1069" i="1" s="1"/>
  <c r="AH1069" i="1" s="1"/>
  <c r="AF1209" i="1"/>
  <c r="AG1209" i="1" s="1"/>
  <c r="AH1209" i="1" s="1"/>
  <c r="AF669" i="1"/>
  <c r="AG669" i="1" s="1"/>
  <c r="AH669" i="1" s="1"/>
  <c r="AF658" i="1"/>
  <c r="AG658" i="1" s="1"/>
  <c r="AH658" i="1" s="1"/>
  <c r="AF127" i="1"/>
  <c r="AG127" i="1" s="1"/>
  <c r="AH127" i="1" s="1"/>
  <c r="AF126" i="1"/>
  <c r="AG126" i="1" s="1"/>
  <c r="AH126" i="1" s="1"/>
  <c r="AF345" i="1"/>
  <c r="AG345" i="1" s="1"/>
  <c r="AH345" i="1" s="1"/>
  <c r="AF49" i="1"/>
  <c r="AG49" i="1" s="1"/>
  <c r="AH49" i="1" s="1"/>
  <c r="AF237" i="1"/>
  <c r="AG237" i="1" s="1"/>
  <c r="AH237" i="1" s="1"/>
  <c r="AF84" i="1"/>
  <c r="AG84" i="1" s="1"/>
  <c r="AH84" i="1" s="1"/>
  <c r="AF502" i="1"/>
  <c r="AG502" i="1" s="1"/>
  <c r="AH502" i="1" s="1"/>
  <c r="AF101" i="1"/>
  <c r="AG101" i="1" s="1"/>
  <c r="AH101" i="1" s="1"/>
  <c r="AF202" i="1"/>
  <c r="AG202" i="1" s="1"/>
  <c r="AH202" i="1" s="1"/>
  <c r="AF109" i="1"/>
  <c r="AG109" i="1" s="1"/>
  <c r="AH109" i="1" s="1"/>
  <c r="AF192" i="1"/>
  <c r="AG192" i="1" s="1"/>
  <c r="AH192" i="1" s="1"/>
  <c r="AF1060" i="1"/>
  <c r="AG1060" i="1" s="1"/>
  <c r="AH1060" i="1" s="1"/>
  <c r="AF399" i="1"/>
  <c r="AG399" i="1" s="1"/>
  <c r="AH399" i="1" s="1"/>
  <c r="AF528" i="1"/>
  <c r="AG528" i="1" s="1"/>
  <c r="AH528" i="1" s="1"/>
  <c r="AF31" i="1"/>
  <c r="AG31" i="1" s="1"/>
  <c r="AH31" i="1" s="1"/>
  <c r="AF1157" i="1"/>
  <c r="AG1157" i="1" s="1"/>
  <c r="AH1157" i="1" s="1"/>
  <c r="AF859" i="1"/>
  <c r="AG859" i="1" s="1"/>
  <c r="AH859" i="1" s="1"/>
  <c r="AF862" i="1"/>
  <c r="AG862" i="1" s="1"/>
  <c r="AH862" i="1" s="1"/>
  <c r="AF375" i="1"/>
  <c r="AG375" i="1" s="1"/>
  <c r="AH375" i="1" s="1"/>
  <c r="AF242" i="1"/>
  <c r="AG242" i="1" s="1"/>
  <c r="AH242" i="1" s="1"/>
  <c r="AF647" i="1"/>
  <c r="AG647" i="1" s="1"/>
  <c r="AH647" i="1" s="1"/>
  <c r="AF302" i="1"/>
  <c r="AG302" i="1" s="1"/>
  <c r="AH302" i="1" s="1"/>
  <c r="AF1214" i="1"/>
  <c r="AG1214" i="1" s="1"/>
  <c r="AH1214" i="1" s="1"/>
  <c r="AF183" i="1"/>
  <c r="AG183" i="1" s="1"/>
  <c r="AH183" i="1" s="1"/>
  <c r="AF267" i="1"/>
  <c r="AG267" i="1" s="1"/>
  <c r="AH267" i="1" s="1"/>
  <c r="AF1204" i="1"/>
  <c r="AG1204" i="1" s="1"/>
  <c r="AH1204" i="1" s="1"/>
  <c r="AF173" i="1"/>
  <c r="AG173" i="1" s="1"/>
  <c r="AH173" i="1" s="1"/>
  <c r="AF736" i="1"/>
  <c r="AG736" i="1" s="1"/>
  <c r="AH736" i="1" s="1"/>
  <c r="AF740" i="1"/>
  <c r="AG740" i="1" s="1"/>
  <c r="AH740" i="1" s="1"/>
  <c r="AF1183" i="1"/>
  <c r="AG1183" i="1" s="1"/>
  <c r="AH1183" i="1" s="1"/>
  <c r="AF1188" i="1"/>
  <c r="AG1188" i="1" s="1"/>
  <c r="AH1188" i="1" s="1"/>
  <c r="AF515" i="1"/>
  <c r="AG515" i="1" s="1"/>
  <c r="AH515" i="1" s="1"/>
  <c r="AF823" i="1"/>
  <c r="AG823" i="1" s="1"/>
  <c r="AH823" i="1" s="1"/>
  <c r="AF1053" i="1"/>
  <c r="AG1053" i="1" s="1"/>
  <c r="AH1053" i="1" s="1"/>
  <c r="AF1048" i="1"/>
  <c r="AG1048" i="1" s="1"/>
  <c r="AH1048" i="1" s="1"/>
  <c r="AF854" i="1"/>
  <c r="AG854" i="1" s="1"/>
  <c r="AH854" i="1" s="1"/>
  <c r="AF857" i="1"/>
  <c r="AG857" i="1" s="1"/>
  <c r="AH857" i="1" s="1"/>
  <c r="AF55" i="1"/>
  <c r="AG55" i="1" s="1"/>
  <c r="AH55" i="1" s="1"/>
  <c r="AF925" i="1"/>
  <c r="AG925" i="1" s="1"/>
  <c r="AH925" i="1" s="1"/>
  <c r="AF145" i="1"/>
  <c r="AG145" i="1" s="1"/>
  <c r="AH145" i="1" s="1"/>
  <c r="AF1066" i="1"/>
  <c r="AG1066" i="1" s="1"/>
  <c r="AH1066" i="1" s="1"/>
  <c r="AF488" i="1"/>
  <c r="AG488" i="1" s="1"/>
  <c r="AH488" i="1" s="1"/>
  <c r="AF98" i="1"/>
  <c r="AG98" i="1" s="1"/>
  <c r="AH98" i="1" s="1"/>
  <c r="AF1037" i="1"/>
  <c r="AG1037" i="1" s="1"/>
  <c r="AH1037" i="1" s="1"/>
  <c r="AF689" i="1"/>
  <c r="AG689" i="1" s="1"/>
  <c r="AH689" i="1" s="1"/>
  <c r="AF521" i="1"/>
  <c r="AG521" i="1" s="1"/>
  <c r="AH521" i="1" s="1"/>
  <c r="AF1081" i="1"/>
  <c r="AG1081" i="1" s="1"/>
  <c r="AH1081" i="1" s="1"/>
  <c r="AF888" i="1"/>
  <c r="AG888" i="1" s="1"/>
  <c r="AH888" i="1" s="1"/>
  <c r="AF380" i="1"/>
  <c r="AG380" i="1" s="1"/>
  <c r="AH380" i="1" s="1"/>
  <c r="AF1082" i="1"/>
  <c r="AG1082" i="1" s="1"/>
  <c r="AH1082" i="1" s="1"/>
  <c r="AF445" i="1"/>
  <c r="AG445" i="1" s="1"/>
  <c r="AH445" i="1" s="1"/>
  <c r="AF924" i="1"/>
  <c r="AG924" i="1" s="1"/>
  <c r="AH924" i="1" s="1"/>
  <c r="AF175" i="1"/>
  <c r="AG175" i="1" s="1"/>
  <c r="AH175" i="1" s="1"/>
  <c r="AF365" i="1"/>
  <c r="AG365" i="1" s="1"/>
  <c r="AH365" i="1" s="1"/>
  <c r="AF1134" i="1"/>
  <c r="AG1134" i="1" s="1"/>
  <c r="AH1134" i="1" s="1"/>
  <c r="AF12" i="1"/>
  <c r="AG12" i="1" s="1"/>
  <c r="AH12" i="1" s="1"/>
  <c r="AF1190" i="1"/>
  <c r="AG1190" i="1" s="1"/>
  <c r="AH1190" i="1" s="1"/>
  <c r="AF429" i="1"/>
  <c r="AG429" i="1" s="1"/>
  <c r="AH429" i="1" s="1"/>
  <c r="AF453" i="1"/>
  <c r="AG453" i="1" s="1"/>
  <c r="AH453" i="1" s="1"/>
  <c r="AF441" i="1"/>
  <c r="AG441" i="1" s="1"/>
  <c r="AH441" i="1" s="1"/>
  <c r="AF816" i="1"/>
  <c r="AG816" i="1" s="1"/>
  <c r="AH816" i="1" s="1"/>
  <c r="AF131" i="1"/>
  <c r="AG131" i="1" s="1"/>
  <c r="AH131" i="1" s="1"/>
  <c r="AF257" i="1"/>
  <c r="AG257" i="1" s="1"/>
  <c r="AH257" i="1" s="1"/>
  <c r="AF77" i="1"/>
  <c r="AG77" i="1" s="1"/>
  <c r="AH77" i="1" s="1"/>
  <c r="AF831" i="1"/>
  <c r="AG831" i="1" s="1"/>
  <c r="AH831" i="1" s="1"/>
  <c r="AF5" i="1"/>
  <c r="AG5" i="1" s="1"/>
  <c r="AH5" i="1" s="1"/>
  <c r="AF62" i="1"/>
  <c r="AG62" i="1" s="1"/>
  <c r="AH62" i="1" s="1"/>
  <c r="AF1045" i="1"/>
  <c r="AG1045" i="1" s="1"/>
  <c r="AH1045" i="1" s="1"/>
  <c r="AF1047" i="1"/>
  <c r="AG1047" i="1" s="1"/>
  <c r="AH1047" i="1" s="1"/>
  <c r="AF18" i="1"/>
  <c r="AG18" i="1" s="1"/>
  <c r="AH18" i="1" s="1"/>
  <c r="AF210" i="1"/>
  <c r="AG210" i="1" s="1"/>
  <c r="AH210" i="1" s="1"/>
  <c r="AF617" i="1"/>
  <c r="AG617" i="1" s="1"/>
  <c r="AH617" i="1" s="1"/>
  <c r="AF427" i="1"/>
  <c r="AG427" i="1" s="1"/>
  <c r="AH427" i="1" s="1"/>
  <c r="AF998" i="1"/>
  <c r="AG998" i="1" s="1"/>
  <c r="AH998" i="1" s="1"/>
  <c r="AF955" i="1"/>
  <c r="AG955" i="1" s="1"/>
  <c r="AH955" i="1" s="1"/>
  <c r="AF122" i="1"/>
  <c r="AG122" i="1" s="1"/>
  <c r="AH122" i="1" s="1"/>
  <c r="AF15" i="1"/>
  <c r="AG15" i="1" s="1"/>
  <c r="AH15" i="1" s="1"/>
  <c r="AF990" i="1"/>
  <c r="AG990" i="1" s="1"/>
  <c r="AH990" i="1" s="1"/>
  <c r="AF1071" i="1"/>
  <c r="AG1071" i="1" s="1"/>
  <c r="AH1071" i="1" s="1"/>
  <c r="AF917" i="1"/>
  <c r="AG917" i="1" s="1"/>
  <c r="AH917" i="1" s="1"/>
  <c r="AF66" i="1"/>
  <c r="AG66" i="1" s="1"/>
  <c r="AH66" i="1" s="1"/>
  <c r="AF1003" i="1"/>
  <c r="AG1003" i="1" s="1"/>
  <c r="AH1003" i="1" s="1"/>
  <c r="AF1007" i="1"/>
  <c r="AG1007" i="1" s="1"/>
  <c r="AH1007" i="1" s="1"/>
  <c r="AF996" i="1"/>
  <c r="AG996" i="1" s="1"/>
  <c r="AH996" i="1" s="1"/>
  <c r="AF1228" i="1"/>
  <c r="AG1228" i="1" s="1"/>
  <c r="AH1228" i="1" s="1"/>
  <c r="AF361" i="1"/>
  <c r="AG361" i="1" s="1"/>
  <c r="AH361" i="1" s="1"/>
  <c r="AF1198" i="1"/>
  <c r="AG1198" i="1" s="1"/>
  <c r="AH1198" i="1" s="1"/>
  <c r="AF656" i="1"/>
  <c r="AG656" i="1" s="1"/>
  <c r="AH656" i="1" s="1"/>
  <c r="AF663" i="1"/>
  <c r="AG663" i="1" s="1"/>
  <c r="AH663" i="1" s="1"/>
  <c r="AF114" i="1"/>
  <c r="AG114" i="1" s="1"/>
  <c r="AH114" i="1" s="1"/>
  <c r="AF130" i="1"/>
  <c r="AG130" i="1" s="1"/>
  <c r="AH130" i="1" s="1"/>
  <c r="AF6" i="1"/>
  <c r="AG6" i="1" s="1"/>
  <c r="AH6" i="1" s="1"/>
  <c r="AF195" i="1"/>
  <c r="AG195" i="1" s="1"/>
  <c r="AH195" i="1" s="1"/>
  <c r="AF561" i="1"/>
  <c r="AG561" i="1" s="1"/>
  <c r="AH561" i="1" s="1"/>
  <c r="AF33" i="1"/>
  <c r="AG33" i="1" s="1"/>
  <c r="AH33" i="1" s="1"/>
  <c r="AF1018" i="1"/>
  <c r="AG1018" i="1" s="1"/>
  <c r="AH1018" i="1" s="1"/>
  <c r="AF40" i="1"/>
  <c r="AG40" i="1" s="1"/>
  <c r="AH40" i="1" s="1"/>
  <c r="AF200" i="1"/>
  <c r="AG200" i="1" s="1"/>
  <c r="AH200" i="1" s="1"/>
  <c r="AF188" i="1"/>
  <c r="AG188" i="1" s="1"/>
  <c r="AH188" i="1" s="1"/>
  <c r="AF17" i="1"/>
  <c r="AG17" i="1" s="1"/>
  <c r="AH17" i="1" s="1"/>
  <c r="AF153" i="1"/>
  <c r="AG153" i="1" s="1"/>
  <c r="AH153" i="1" s="1"/>
  <c r="AF845" i="1"/>
  <c r="AG845" i="1" s="1"/>
  <c r="AH845" i="1" s="1"/>
  <c r="AF337" i="1"/>
  <c r="AG337" i="1" s="1"/>
  <c r="AH337" i="1" s="1"/>
  <c r="AF513" i="1"/>
  <c r="AG513" i="1" s="1"/>
  <c r="AH513" i="1" s="1"/>
  <c r="AF184" i="1"/>
  <c r="AG184" i="1" s="1"/>
  <c r="AH184" i="1" s="1"/>
  <c r="AF483" i="1"/>
  <c r="AG483" i="1" s="1"/>
  <c r="AH483" i="1" s="1"/>
  <c r="AF966" i="1"/>
  <c r="AG966" i="1" s="1"/>
  <c r="AH966" i="1" s="1"/>
  <c r="AF491" i="1"/>
  <c r="AG491" i="1" s="1"/>
  <c r="AH491" i="1" s="1"/>
  <c r="AF933" i="1"/>
  <c r="AG933" i="1" s="1"/>
  <c r="AH933" i="1" s="1"/>
  <c r="AF930" i="1"/>
  <c r="AG930" i="1" s="1"/>
  <c r="AH930" i="1" s="1"/>
  <c r="AF948" i="1"/>
  <c r="AG948" i="1" s="1"/>
  <c r="AH948" i="1" s="1"/>
  <c r="AF497" i="1"/>
  <c r="AG497" i="1" s="1"/>
  <c r="AH497" i="1" s="1"/>
  <c r="AF837" i="1"/>
  <c r="AG837" i="1" s="1"/>
  <c r="AH837" i="1" s="1"/>
  <c r="AF1113" i="1"/>
  <c r="AG1113" i="1" s="1"/>
  <c r="AH1113" i="1" s="1"/>
  <c r="AF89" i="1"/>
  <c r="AG89" i="1" s="1"/>
  <c r="AH89" i="1" s="1"/>
  <c r="AF1217" i="1"/>
  <c r="AG1217" i="1" s="1"/>
  <c r="AH1217" i="1" s="1"/>
  <c r="AF1039" i="1"/>
  <c r="AG1039" i="1" s="1"/>
  <c r="AH1039" i="1" s="1"/>
  <c r="AF489" i="1"/>
  <c r="AG489" i="1" s="1"/>
  <c r="AH489" i="1" s="1"/>
  <c r="AF875" i="1"/>
  <c r="AG875" i="1" s="1"/>
  <c r="AH875" i="1" s="1"/>
  <c r="AF125" i="1"/>
  <c r="AG125" i="1" s="1"/>
  <c r="AH125" i="1" s="1"/>
  <c r="AF1208" i="1"/>
  <c r="AG1208" i="1" s="1"/>
  <c r="AH1208" i="1" s="1"/>
  <c r="AF981" i="1"/>
  <c r="AG981" i="1" s="1"/>
  <c r="AH981" i="1" s="1"/>
  <c r="AF201" i="1"/>
  <c r="AG201" i="1" s="1"/>
  <c r="AH201" i="1" s="1"/>
  <c r="AF747" i="1"/>
  <c r="AG747" i="1" s="1"/>
  <c r="AH747" i="1" s="1"/>
  <c r="AF843" i="1"/>
  <c r="AG843" i="1" s="1"/>
  <c r="AH843" i="1" s="1"/>
  <c r="AF256" i="1"/>
  <c r="AG256" i="1" s="1"/>
  <c r="AH256" i="1" s="1"/>
  <c r="AF90" i="1"/>
  <c r="AG90" i="1" s="1"/>
  <c r="AH90" i="1" s="1"/>
  <c r="AF271" i="1"/>
  <c r="AG271" i="1" s="1"/>
  <c r="AH271" i="1" s="1"/>
  <c r="AF743" i="1"/>
  <c r="AG743" i="1" s="1"/>
  <c r="AH743" i="1" s="1"/>
  <c r="AF43" i="1"/>
  <c r="AG43" i="1" s="1"/>
  <c r="AH43" i="1" s="1"/>
  <c r="AF797" i="1"/>
  <c r="AG797" i="1" s="1"/>
  <c r="AH797" i="1" s="1"/>
  <c r="AF937" i="1"/>
  <c r="AG937" i="1" s="1"/>
  <c r="AH937" i="1" s="1"/>
  <c r="AF988" i="1"/>
  <c r="AG988" i="1" s="1"/>
  <c r="AH988" i="1" s="1"/>
  <c r="AF839" i="1"/>
  <c r="AG839" i="1" s="1"/>
  <c r="AH839" i="1" s="1"/>
  <c r="AF1106" i="1"/>
  <c r="AG1106" i="1" s="1"/>
  <c r="AH1106" i="1" s="1"/>
  <c r="AF654" i="1"/>
  <c r="AG654" i="1" s="1"/>
  <c r="AH654" i="1" s="1"/>
  <c r="AF865" i="1"/>
  <c r="AG865" i="1" s="1"/>
  <c r="AH865" i="1" s="1"/>
  <c r="AF1025" i="1"/>
  <c r="AG1025" i="1" s="1"/>
  <c r="AH1025" i="1" s="1"/>
  <c r="AF876" i="1"/>
  <c r="AG876" i="1" s="1"/>
  <c r="AH876" i="1" s="1"/>
  <c r="AF96" i="1"/>
  <c r="AG96" i="1" s="1"/>
  <c r="AH96" i="1" s="1"/>
  <c r="AF969" i="1"/>
  <c r="AG969" i="1" s="1"/>
  <c r="AH969" i="1" s="1"/>
  <c r="AF783" i="1"/>
  <c r="AG783" i="1" s="1"/>
  <c r="AH783" i="1" s="1"/>
  <c r="AF241" i="1"/>
  <c r="AG241" i="1" s="1"/>
  <c r="AH241" i="1" s="1"/>
  <c r="AF613" i="1"/>
  <c r="AG613" i="1" s="1"/>
  <c r="AH613" i="1" s="1"/>
  <c r="AF197" i="1"/>
  <c r="AG197" i="1" s="1"/>
  <c r="AH197" i="1" s="1"/>
  <c r="AF248" i="1"/>
  <c r="AG248" i="1" s="1"/>
  <c r="AH248" i="1" s="1"/>
  <c r="AF446" i="1"/>
  <c r="AG446" i="1" s="1"/>
  <c r="AH446" i="1" s="1"/>
  <c r="AF585" i="1"/>
  <c r="AG585" i="1" s="1"/>
  <c r="AH585" i="1" s="1"/>
  <c r="AF367" i="1"/>
  <c r="AG367" i="1" s="1"/>
  <c r="AH367" i="1" s="1"/>
  <c r="AF236" i="1"/>
  <c r="AG236" i="1" s="1"/>
  <c r="AH236" i="1" s="1"/>
  <c r="AF871" i="1"/>
  <c r="AG871" i="1" s="1"/>
  <c r="AH871" i="1" s="1"/>
  <c r="AF162" i="1"/>
  <c r="AG162" i="1" s="1"/>
  <c r="AH162" i="1" s="1"/>
  <c r="AF873" i="1"/>
  <c r="AG873" i="1" s="1"/>
  <c r="AH873" i="1" s="1"/>
  <c r="AF1158" i="1"/>
  <c r="AG1158" i="1" s="1"/>
  <c r="AH1158" i="1" s="1"/>
  <c r="AF1072" i="1"/>
  <c r="AG1072" i="1" s="1"/>
  <c r="AH1072" i="1" s="1"/>
  <c r="AF731" i="1"/>
  <c r="AG731" i="1" s="1"/>
  <c r="AH731" i="1" s="1"/>
  <c r="AF1070" i="1"/>
  <c r="AG1070" i="1" s="1"/>
  <c r="AH1070" i="1" s="1"/>
  <c r="AF1172" i="1"/>
  <c r="AG1172" i="1" s="1"/>
  <c r="AH1172" i="1" s="1"/>
  <c r="AF111" i="1"/>
  <c r="AG111" i="1" s="1"/>
  <c r="AH111" i="1" s="1"/>
  <c r="AF118" i="1"/>
  <c r="AG118" i="1" s="1"/>
  <c r="AH118" i="1" s="1"/>
  <c r="AF112" i="1"/>
  <c r="AG112" i="1" s="1"/>
  <c r="AH112" i="1" s="1"/>
  <c r="AF45" i="1"/>
  <c r="AG45" i="1" s="1"/>
  <c r="AH45" i="1" s="1"/>
  <c r="AF648" i="1"/>
  <c r="AG648" i="1" s="1"/>
  <c r="AH648" i="1" s="1"/>
  <c r="AF903" i="1"/>
  <c r="AG903" i="1" s="1"/>
  <c r="AH903" i="1" s="1"/>
  <c r="AF8" i="1"/>
  <c r="AG8" i="1" s="1"/>
  <c r="AH8" i="1" s="1"/>
  <c r="AF356" i="1"/>
  <c r="AG356" i="1" s="1"/>
  <c r="AH356" i="1" s="1"/>
  <c r="AF985" i="1"/>
  <c r="AG985" i="1" s="1"/>
  <c r="AH985" i="1" s="1"/>
  <c r="AF884" i="1"/>
  <c r="AG884" i="1" s="1"/>
  <c r="AH884" i="1" s="1"/>
  <c r="AF50" i="1"/>
  <c r="AG50" i="1" s="1"/>
  <c r="AH50" i="1" s="1"/>
  <c r="AF157" i="1"/>
  <c r="AG157" i="1" s="1"/>
  <c r="AH157" i="1" s="1"/>
  <c r="AF494" i="1"/>
  <c r="AG494" i="1" s="1"/>
  <c r="AH494" i="1" s="1"/>
  <c r="AF1133" i="1"/>
  <c r="AG1133" i="1" s="1"/>
  <c r="AH1133" i="1" s="1"/>
  <c r="AF891" i="1"/>
  <c r="AG891" i="1" s="1"/>
  <c r="AH891" i="1" s="1"/>
  <c r="AF336" i="1"/>
  <c r="AG336" i="1" s="1"/>
  <c r="AH336" i="1" s="1"/>
  <c r="AF1092" i="1"/>
  <c r="AG1092" i="1" s="1"/>
  <c r="AH1092" i="1" s="1"/>
  <c r="AF4" i="1"/>
  <c r="AG4" i="1" s="1"/>
  <c r="AH4" i="1" s="1"/>
  <c r="AF321" i="1"/>
  <c r="AG321" i="1" s="1"/>
  <c r="AH321" i="1" s="1"/>
  <c r="AF880" i="1"/>
  <c r="AG880" i="1" s="1"/>
  <c r="AH880" i="1" s="1"/>
  <c r="AF941" i="1"/>
  <c r="AG941" i="1" s="1"/>
  <c r="AH941" i="1" s="1"/>
  <c r="AF995" i="1"/>
  <c r="AG995" i="1" s="1"/>
  <c r="AH995" i="1" s="1"/>
  <c r="AF278" i="1"/>
  <c r="AG278" i="1" s="1"/>
  <c r="AH278" i="1" s="1"/>
  <c r="AF205" i="1"/>
  <c r="AG205" i="1" s="1"/>
  <c r="AH205" i="1" s="1"/>
  <c r="AF1015" i="1"/>
  <c r="AG1015" i="1" s="1"/>
  <c r="AH1015" i="1" s="1"/>
  <c r="AF1057" i="1"/>
  <c r="AG1057" i="1" s="1"/>
  <c r="AH1057" i="1" s="1"/>
  <c r="AF1049" i="1"/>
  <c r="AG1049" i="1" s="1"/>
  <c r="AH1049" i="1" s="1"/>
  <c r="AF950" i="1"/>
  <c r="AG950" i="1" s="1"/>
  <c r="AH950" i="1" s="1"/>
  <c r="AF510" i="1"/>
  <c r="AG510" i="1" s="1"/>
  <c r="AH510" i="1" s="1"/>
  <c r="AF885" i="1"/>
  <c r="AG885" i="1" s="1"/>
  <c r="AH885" i="1" s="1"/>
  <c r="AF540" i="1"/>
  <c r="AG540" i="1" s="1"/>
  <c r="AH540" i="1" s="1"/>
  <c r="AF88" i="1"/>
  <c r="AG88" i="1" s="1"/>
  <c r="AH88" i="1" s="1"/>
  <c r="AF144" i="1"/>
  <c r="AG144" i="1" s="1"/>
  <c r="AH144" i="1" s="1"/>
  <c r="AF312" i="1"/>
  <c r="AG312" i="1" s="1"/>
  <c r="AH312" i="1" s="1"/>
  <c r="AF48" i="1"/>
  <c r="AG48" i="1" s="1"/>
  <c r="AH48" i="1" s="1"/>
  <c r="AF63" i="1"/>
  <c r="AG63" i="1" s="1"/>
  <c r="AH63" i="1" s="1"/>
  <c r="AF304" i="1"/>
  <c r="AG304" i="1" s="1"/>
  <c r="AH304" i="1" s="1"/>
  <c r="AF1155" i="1"/>
  <c r="AG1155" i="1" s="1"/>
  <c r="AH1155" i="1" s="1"/>
  <c r="AF424" i="1"/>
  <c r="AG424" i="1" s="1"/>
  <c r="AH424" i="1" s="1"/>
  <c r="AF1042" i="1"/>
  <c r="AG1042" i="1" s="1"/>
  <c r="AH1042" i="1" s="1"/>
  <c r="AF100" i="1"/>
  <c r="AG100" i="1" s="1"/>
  <c r="AH100" i="1" s="1"/>
  <c r="AF1010" i="1"/>
  <c r="AG1010" i="1" s="1"/>
  <c r="AH1010" i="1" s="1"/>
  <c r="AF653" i="1"/>
  <c r="AG653" i="1" s="1"/>
  <c r="AH653" i="1" s="1"/>
  <c r="AF772" i="1"/>
  <c r="AG772" i="1" s="1"/>
  <c r="AH772" i="1" s="1"/>
  <c r="AF287" i="1"/>
  <c r="AG287" i="1" s="1"/>
  <c r="AH287" i="1" s="1"/>
  <c r="AF916" i="1"/>
  <c r="AG916" i="1" s="1"/>
  <c r="AH916" i="1" s="1"/>
  <c r="AF832" i="1"/>
  <c r="AG832" i="1" s="1"/>
  <c r="AH832" i="1" s="1"/>
  <c r="AF614" i="1"/>
  <c r="AG614" i="1" s="1"/>
  <c r="AH614" i="1" s="1"/>
  <c r="AF196" i="1"/>
  <c r="AG196" i="1" s="1"/>
  <c r="AH196" i="1" s="1"/>
  <c r="AF877" i="1"/>
  <c r="AG877" i="1" s="1"/>
  <c r="AH877" i="1" s="1"/>
  <c r="AF471" i="1"/>
  <c r="AG471" i="1" s="1"/>
  <c r="AH471" i="1" s="1"/>
  <c r="AF1115" i="1"/>
  <c r="AG1115" i="1" s="1"/>
  <c r="AH1115" i="1" s="1"/>
  <c r="AF1064" i="1"/>
  <c r="AG1064" i="1" s="1"/>
  <c r="AH1064" i="1" s="1"/>
  <c r="AF1221" i="1"/>
  <c r="AG1221" i="1" s="1"/>
  <c r="AH1221" i="1" s="1"/>
  <c r="AF64" i="1"/>
  <c r="AG64" i="1" s="1"/>
  <c r="AH64" i="1" s="1"/>
  <c r="AF53" i="1"/>
  <c r="AG53" i="1" s="1"/>
  <c r="AH53" i="1" s="1"/>
  <c r="AF384" i="1"/>
  <c r="AG384" i="1" s="1"/>
  <c r="AH384" i="1" s="1"/>
  <c r="AF148" i="1"/>
  <c r="AG148" i="1" s="1"/>
  <c r="AH148" i="1" s="1"/>
  <c r="AF38" i="1"/>
  <c r="AG38" i="1" s="1"/>
  <c r="AH38" i="1" s="1"/>
  <c r="AF855" i="1"/>
  <c r="AG855" i="1" s="1"/>
  <c r="AH855" i="1" s="1"/>
  <c r="AF305" i="1"/>
  <c r="AG305" i="1" s="1"/>
  <c r="AH305" i="1" s="1"/>
  <c r="AF1032" i="1"/>
  <c r="AG1032" i="1" s="1"/>
  <c r="AH1032" i="1" s="1"/>
  <c r="AF1105" i="1"/>
  <c r="AG1105" i="1" s="1"/>
  <c r="AH1105" i="1" s="1"/>
  <c r="AF467" i="1"/>
  <c r="AG467" i="1" s="1"/>
  <c r="AH467" i="1" s="1"/>
  <c r="AF211" i="1"/>
  <c r="AG211" i="1" s="1"/>
  <c r="AH211" i="1" s="1"/>
  <c r="AF432" i="1"/>
  <c r="AG432" i="1" s="1"/>
  <c r="AH432" i="1" s="1"/>
  <c r="AF505" i="1"/>
  <c r="AG505" i="1" s="1"/>
  <c r="AH505" i="1" s="1"/>
  <c r="AF81" i="1"/>
  <c r="AG81" i="1" s="1"/>
  <c r="AH81" i="1" s="1"/>
  <c r="AF693" i="1"/>
  <c r="AG693" i="1" s="1"/>
  <c r="AH693" i="1" s="1"/>
  <c r="AF294" i="1"/>
  <c r="AG294" i="1" s="1"/>
  <c r="AH294" i="1" s="1"/>
  <c r="AF290" i="1"/>
  <c r="AG290" i="1" s="1"/>
  <c r="AH290" i="1" s="1"/>
  <c r="AF1008" i="1"/>
  <c r="AG1008" i="1" s="1"/>
  <c r="AH1008" i="1" s="1"/>
  <c r="AF1001" i="1"/>
  <c r="AG1001" i="1" s="1"/>
  <c r="AH1001" i="1" s="1"/>
  <c r="AF730" i="1"/>
  <c r="AG730" i="1" s="1"/>
  <c r="AH730" i="1" s="1"/>
  <c r="AF1174" i="1"/>
  <c r="AG1174" i="1" s="1"/>
  <c r="AH1174" i="1" s="1"/>
  <c r="AF523" i="1"/>
  <c r="AG523" i="1" s="1"/>
  <c r="AH523" i="1" s="1"/>
  <c r="AF527" i="1"/>
  <c r="AG527" i="1" s="1"/>
  <c r="AH527" i="1" s="1"/>
  <c r="AF1152" i="1"/>
  <c r="AG1152" i="1" s="1"/>
  <c r="AH1152" i="1" s="1"/>
  <c r="AF751" i="1"/>
  <c r="AG751" i="1" s="1"/>
  <c r="AH751" i="1" s="1"/>
  <c r="AF1203" i="1"/>
  <c r="AG1203" i="1" s="1"/>
  <c r="AH1203" i="1" s="1"/>
  <c r="AF794" i="1"/>
  <c r="AG794" i="1" s="1"/>
  <c r="AH794" i="1" s="1"/>
  <c r="AF685" i="1"/>
  <c r="AG685" i="1" s="1"/>
  <c r="AH685" i="1" s="1"/>
  <c r="AF259" i="1"/>
  <c r="AG259" i="1" s="1"/>
  <c r="AH259" i="1" s="1"/>
  <c r="AF403" i="1"/>
  <c r="AG403" i="1" s="1"/>
  <c r="AH403" i="1" s="1"/>
  <c r="AF961" i="1"/>
  <c r="AG961" i="1" s="1"/>
  <c r="AH961" i="1" s="1"/>
  <c r="AF556" i="1"/>
  <c r="AG556" i="1" s="1"/>
  <c r="AH556" i="1" s="1"/>
  <c r="AF134" i="1"/>
  <c r="AG134" i="1" s="1"/>
  <c r="AH134" i="1" s="1"/>
  <c r="AF587" i="1"/>
  <c r="AG587" i="1" s="1"/>
  <c r="AH587" i="1" s="1"/>
  <c r="AF791" i="1"/>
  <c r="AG791" i="1" s="1"/>
  <c r="AH791" i="1" s="1"/>
  <c r="AF311" i="1"/>
  <c r="AG311" i="1" s="1"/>
  <c r="AH311" i="1" s="1"/>
  <c r="AF611" i="1"/>
  <c r="AG611" i="1" s="1"/>
  <c r="AH611" i="1" s="1"/>
  <c r="AF808" i="1"/>
  <c r="AG808" i="1" s="1"/>
  <c r="AH808" i="1" s="1"/>
  <c r="AF1210" i="1"/>
  <c r="AG1210" i="1" s="1"/>
  <c r="AH1210" i="1" s="1"/>
  <c r="AF1162" i="1"/>
  <c r="AG1162" i="1" s="1"/>
  <c r="AH1162" i="1" s="1"/>
  <c r="AF867" i="1"/>
  <c r="AG867" i="1" s="1"/>
  <c r="AH867" i="1" s="1"/>
  <c r="AF479" i="1"/>
  <c r="AG479" i="1" s="1"/>
  <c r="AH479" i="1" s="1"/>
  <c r="AF895" i="1"/>
  <c r="AG895" i="1" s="1"/>
  <c r="AH895" i="1" s="1"/>
  <c r="AF218" i="1"/>
  <c r="AG218" i="1" s="1"/>
  <c r="AH218" i="1" s="1"/>
  <c r="AF214" i="1"/>
  <c r="AG214" i="1" s="1"/>
  <c r="AH214" i="1" s="1"/>
  <c r="AF694" i="1"/>
  <c r="AG694" i="1" s="1"/>
  <c r="AH694" i="1" s="1"/>
  <c r="AF700" i="1"/>
  <c r="AG700" i="1" s="1"/>
  <c r="AH700" i="1" s="1"/>
  <c r="AF293" i="1"/>
  <c r="AG293" i="1" s="1"/>
  <c r="AH293" i="1" s="1"/>
  <c r="AF681" i="1"/>
  <c r="AG681" i="1" s="1"/>
  <c r="AH681" i="1" s="1"/>
  <c r="AF678" i="1"/>
  <c r="AG678" i="1" s="1"/>
  <c r="AH678" i="1" s="1"/>
  <c r="AF750" i="1"/>
  <c r="AG750" i="1" s="1"/>
  <c r="AH750" i="1" s="1"/>
  <c r="AF1059" i="1"/>
  <c r="AG1059" i="1" s="1"/>
  <c r="AH1059" i="1" s="1"/>
  <c r="AF1112" i="1"/>
  <c r="AG1112" i="1" s="1"/>
  <c r="AH1112" i="1" s="1"/>
  <c r="AF619" i="1"/>
  <c r="AG619" i="1" s="1"/>
  <c r="AH619" i="1" s="1"/>
  <c r="AF106" i="1"/>
  <c r="AG106" i="1" s="1"/>
  <c r="AH106" i="1" s="1"/>
  <c r="AF439" i="1"/>
  <c r="AG439" i="1" s="1"/>
  <c r="AH439" i="1" s="1"/>
  <c r="AF684" i="1"/>
  <c r="AG684" i="1" s="1"/>
  <c r="AH684" i="1" s="1"/>
  <c r="AF639" i="1"/>
  <c r="AG639" i="1" s="1"/>
  <c r="AH639" i="1" s="1"/>
  <c r="AF532" i="1"/>
  <c r="AG532" i="1" s="1"/>
  <c r="AH532" i="1" s="1"/>
  <c r="AF409" i="1"/>
  <c r="AG409" i="1" s="1"/>
  <c r="AH409" i="1" s="1"/>
  <c r="AF413" i="1"/>
  <c r="AG413" i="1" s="1"/>
  <c r="AH413" i="1" s="1"/>
  <c r="AF141" i="1"/>
  <c r="AG141" i="1" s="1"/>
  <c r="AH141" i="1" s="1"/>
  <c r="AF588" i="1"/>
  <c r="AG588" i="1" s="1"/>
  <c r="AH588" i="1" s="1"/>
  <c r="AF456" i="1"/>
  <c r="AG456" i="1" s="1"/>
  <c r="AH456" i="1" s="1"/>
  <c r="AF573" i="1"/>
  <c r="AG573" i="1" s="1"/>
  <c r="AH573" i="1" s="1"/>
  <c r="AF1205" i="1"/>
  <c r="AG1205" i="1" s="1"/>
  <c r="AH1205" i="1" s="1"/>
  <c r="AF1213" i="1"/>
  <c r="AG1213" i="1" s="1"/>
  <c r="AH1213" i="1" s="1"/>
  <c r="AF478" i="1"/>
  <c r="AG478" i="1" s="1"/>
  <c r="AH478" i="1" s="1"/>
  <c r="AF738" i="1"/>
  <c r="AG738" i="1" s="1"/>
  <c r="AH738" i="1" s="1"/>
  <c r="AF1170" i="1"/>
  <c r="AG1170" i="1" s="1"/>
  <c r="AH1170" i="1" s="1"/>
  <c r="AF727" i="1"/>
  <c r="AG727" i="1" s="1"/>
  <c r="AH727" i="1" s="1"/>
  <c r="AF628" i="1"/>
  <c r="AG628" i="1" s="1"/>
  <c r="AH628" i="1" s="1"/>
  <c r="AF953" i="1"/>
  <c r="AG953" i="1" s="1"/>
  <c r="AH953" i="1" s="1"/>
  <c r="AF754" i="1"/>
  <c r="AG754" i="1" s="1"/>
  <c r="AH754" i="1" s="1"/>
  <c r="AF1201" i="1"/>
  <c r="AG1201" i="1" s="1"/>
  <c r="AH1201" i="1" s="1"/>
  <c r="AF440" i="1"/>
  <c r="AG440" i="1" s="1"/>
  <c r="AH440" i="1" s="1"/>
  <c r="AF531" i="1"/>
  <c r="AG531" i="1" s="1"/>
  <c r="AH531" i="1" s="1"/>
  <c r="AF692" i="1"/>
  <c r="AG692" i="1" s="1"/>
  <c r="AH692" i="1" s="1"/>
  <c r="AF642" i="1"/>
  <c r="AG642" i="1" s="1"/>
  <c r="AH642" i="1" s="1"/>
  <c r="AF379" i="1"/>
  <c r="AG379" i="1" s="1"/>
  <c r="AH379" i="1" s="1"/>
  <c r="AF825" i="1"/>
  <c r="AG825" i="1" s="1"/>
  <c r="AH825" i="1" s="1"/>
  <c r="AF416" i="1"/>
  <c r="AG416" i="1" s="1"/>
  <c r="AH416" i="1" s="1"/>
  <c r="AF418" i="1"/>
  <c r="AG418" i="1" s="1"/>
  <c r="AH418" i="1" s="1"/>
  <c r="AF373" i="1"/>
  <c r="AG373" i="1" s="1"/>
  <c r="AH373" i="1" s="1"/>
  <c r="AF833" i="1"/>
  <c r="AG833" i="1" s="1"/>
  <c r="AH833" i="1" s="1"/>
  <c r="AF1123" i="1"/>
  <c r="AG1123" i="1" s="1"/>
  <c r="AH1123" i="1" s="1"/>
  <c r="AF254" i="1"/>
  <c r="AG254" i="1" s="1"/>
  <c r="AH254" i="1" s="1"/>
  <c r="AF178" i="1"/>
  <c r="AG178" i="1" s="1"/>
  <c r="AH178" i="1" s="1"/>
  <c r="AF766" i="1"/>
  <c r="AG766" i="1" s="1"/>
  <c r="AH766" i="1" s="1"/>
  <c r="AF390" i="1"/>
  <c r="AG390" i="1" s="1"/>
  <c r="AH390" i="1" s="1"/>
  <c r="AF591" i="1"/>
  <c r="AG591" i="1" s="1"/>
  <c r="AH591" i="1" s="1"/>
  <c r="AF963" i="1"/>
  <c r="AG963" i="1" s="1"/>
  <c r="AH963" i="1" s="1"/>
  <c r="AF451" i="1"/>
  <c r="AG451" i="1" s="1"/>
  <c r="AH451" i="1" s="1"/>
  <c r="AF717" i="1"/>
  <c r="AG717" i="1" s="1"/>
  <c r="AH717" i="1" s="1"/>
  <c r="AF1176" i="1"/>
  <c r="AG1176" i="1" s="1"/>
  <c r="AH1176" i="1" s="1"/>
  <c r="AF631" i="1"/>
  <c r="AG631" i="1" s="1"/>
  <c r="AH631" i="1" s="1"/>
  <c r="AF203" i="1"/>
  <c r="AG203" i="1" s="1"/>
  <c r="AH203" i="1" s="1"/>
  <c r="AF1119" i="1"/>
  <c r="AG1119" i="1" s="1"/>
  <c r="AH1119" i="1" s="1"/>
  <c r="AF387" i="1"/>
  <c r="AG387" i="1" s="1"/>
  <c r="AH387" i="1" s="1"/>
  <c r="AF398" i="1"/>
  <c r="AG398" i="1" s="1"/>
  <c r="AH398" i="1" s="1"/>
  <c r="AF767" i="1"/>
  <c r="AG767" i="1" s="1"/>
  <c r="AH767" i="1" s="1"/>
  <c r="AF592" i="1"/>
  <c r="AG592" i="1" s="1"/>
  <c r="AH592" i="1" s="1"/>
  <c r="AF769" i="1"/>
  <c r="AG769" i="1" s="1"/>
  <c r="AH769" i="1" s="1"/>
  <c r="AF582" i="1"/>
  <c r="AG582" i="1" s="1"/>
  <c r="AH582" i="1" s="1"/>
  <c r="AF269" i="1"/>
  <c r="AG269" i="1" s="1"/>
  <c r="AH269" i="1" s="1"/>
  <c r="AF1030" i="1"/>
  <c r="AG1030" i="1" s="1"/>
  <c r="AH1030" i="1" s="1"/>
  <c r="AF779" i="1"/>
  <c r="AG779" i="1" s="1"/>
  <c r="AH779" i="1" s="1"/>
  <c r="AF774" i="1"/>
  <c r="AG774" i="1" s="1"/>
  <c r="AH774" i="1" s="1"/>
  <c r="AF638" i="1"/>
  <c r="AG638" i="1" s="1"/>
  <c r="AH638" i="1" s="1"/>
  <c r="AF904" i="1"/>
  <c r="AG904" i="1" s="1"/>
  <c r="AH904" i="1" s="1"/>
  <c r="AF822" i="1"/>
  <c r="AG822" i="1" s="1"/>
  <c r="AH822" i="1" s="1"/>
  <c r="AF776" i="1"/>
  <c r="AG776" i="1" s="1"/>
  <c r="AH776" i="1" s="1"/>
  <c r="AF977" i="1"/>
  <c r="AG977" i="1" s="1"/>
  <c r="AH977" i="1" s="1"/>
  <c r="AF974" i="1"/>
  <c r="AG974" i="1" s="1"/>
  <c r="AH974" i="1" s="1"/>
  <c r="AF683" i="1"/>
  <c r="AG683" i="1" s="1"/>
  <c r="AH683" i="1" s="1"/>
  <c r="AF624" i="1"/>
  <c r="AG624" i="1" s="1"/>
  <c r="AH624" i="1" s="1"/>
  <c r="AF626" i="1"/>
  <c r="AG626" i="1" s="1"/>
  <c r="AH626" i="1" s="1"/>
  <c r="AF120" i="1"/>
  <c r="AG120" i="1" s="1"/>
  <c r="AH120" i="1" s="1"/>
  <c r="AF1212" i="1"/>
  <c r="AG1212" i="1" s="1"/>
  <c r="AH1212" i="1" s="1"/>
  <c r="AF1056" i="1"/>
  <c r="AG1056" i="1" s="1"/>
  <c r="AH1056" i="1" s="1"/>
  <c r="AF1046" i="1"/>
  <c r="AG1046" i="1" s="1"/>
  <c r="AH1046" i="1" s="1"/>
  <c r="AF878" i="1"/>
  <c r="AG878" i="1" s="1"/>
  <c r="AH878" i="1" s="1"/>
  <c r="AF949" i="1"/>
  <c r="AG949" i="1" s="1"/>
  <c r="AH949" i="1" s="1"/>
  <c r="AF690" i="1"/>
  <c r="AG690" i="1" s="1"/>
  <c r="AH690" i="1" s="1"/>
  <c r="AF644" i="1"/>
  <c r="AG644" i="1" s="1"/>
  <c r="AH644" i="1" s="1"/>
  <c r="AF485" i="1"/>
  <c r="AG485" i="1" s="1"/>
  <c r="AH485" i="1" s="1"/>
  <c r="AF381" i="1"/>
  <c r="AG381" i="1" s="1"/>
  <c r="AH381" i="1" s="1"/>
  <c r="AF920" i="1"/>
  <c r="AG920" i="1" s="1"/>
  <c r="AH920" i="1" s="1"/>
  <c r="AF258" i="1"/>
  <c r="AG258" i="1" s="1"/>
  <c r="AH258" i="1" s="1"/>
  <c r="AF179" i="1"/>
  <c r="AG179" i="1" s="1"/>
  <c r="AH179" i="1" s="1"/>
  <c r="AF355" i="1"/>
  <c r="AG355" i="1" s="1"/>
  <c r="AH355" i="1" s="1"/>
  <c r="AF389" i="1"/>
  <c r="AG389" i="1" s="1"/>
  <c r="AH389" i="1" s="1"/>
  <c r="AF404" i="1"/>
  <c r="AG404" i="1" s="1"/>
  <c r="AH404" i="1" s="1"/>
  <c r="AF393" i="1"/>
  <c r="AG393" i="1" s="1"/>
  <c r="AH393" i="1" s="1"/>
  <c r="AF529" i="1"/>
  <c r="AG529" i="1" s="1"/>
  <c r="AH529" i="1" s="1"/>
  <c r="AF139" i="1"/>
  <c r="AG139" i="1" s="1"/>
  <c r="AH139" i="1" s="1"/>
  <c r="AF1140" i="1"/>
  <c r="AG1140" i="1" s="1"/>
  <c r="AH1140" i="1" s="1"/>
  <c r="AF1101" i="1"/>
  <c r="AG1101" i="1" s="1"/>
  <c r="AH1101" i="1" s="1"/>
  <c r="AF268" i="1"/>
  <c r="AG268" i="1" s="1"/>
  <c r="AH268" i="1" s="1"/>
  <c r="AF234" i="1"/>
  <c r="AG234" i="1" s="1"/>
  <c r="AH234" i="1" s="1"/>
  <c r="AF149" i="1"/>
  <c r="AG149" i="1" s="1"/>
  <c r="AH149" i="1" s="1"/>
  <c r="AF1161" i="1"/>
  <c r="AG1161" i="1" s="1"/>
  <c r="AH1161" i="1" s="1"/>
  <c r="AF1027" i="1"/>
  <c r="AG1027" i="1" s="1"/>
  <c r="AH1027" i="1" s="1"/>
  <c r="AF802" i="1"/>
  <c r="AG802" i="1" s="1"/>
  <c r="AH802" i="1" s="1"/>
  <c r="AF555" i="1"/>
  <c r="AG555" i="1" s="1"/>
  <c r="AH555" i="1" s="1"/>
  <c r="AF421" i="1"/>
  <c r="AG421" i="1" s="1"/>
  <c r="AH421" i="1" s="1"/>
  <c r="AF1076" i="1"/>
  <c r="AG1076" i="1" s="1"/>
  <c r="AH1076" i="1" s="1"/>
  <c r="AF943" i="1"/>
  <c r="AG943" i="1" s="1"/>
  <c r="AH943" i="1" s="1"/>
  <c r="AF1031" i="1"/>
  <c r="AG1031" i="1" s="1"/>
  <c r="AH1031" i="1" s="1"/>
  <c r="AF264" i="1"/>
  <c r="AG264" i="1" s="1"/>
  <c r="AH264" i="1" s="1"/>
  <c r="AF702" i="1"/>
  <c r="AG702" i="1" s="1"/>
  <c r="AH702" i="1" s="1"/>
  <c r="AF289" i="1"/>
  <c r="AG289" i="1" s="1"/>
  <c r="AH289" i="1" s="1"/>
  <c r="AF1067" i="1"/>
  <c r="AG1067" i="1" s="1"/>
  <c r="AH1067" i="1" s="1"/>
  <c r="AF469" i="1"/>
  <c r="AG469" i="1" s="1"/>
  <c r="AH469" i="1" s="1"/>
  <c r="AF1102" i="1"/>
  <c r="AG1102" i="1" s="1"/>
  <c r="AH1102" i="1" s="1"/>
  <c r="AF1194" i="1"/>
  <c r="AG1194" i="1" s="1"/>
  <c r="AH1194" i="1" s="1"/>
  <c r="AF425" i="1"/>
  <c r="AG425" i="1" s="1"/>
  <c r="AH425" i="1" s="1"/>
  <c r="AF1138" i="1"/>
  <c r="AG1138" i="1" s="1"/>
  <c r="AH1138" i="1" s="1"/>
  <c r="AF687" i="1"/>
  <c r="AG687" i="1" s="1"/>
  <c r="AH687" i="1" s="1"/>
  <c r="AF748" i="1"/>
  <c r="AG748" i="1" s="1"/>
  <c r="AH748" i="1" s="1"/>
  <c r="AF572" i="1"/>
  <c r="AG572" i="1" s="1"/>
  <c r="AH572" i="1" s="1"/>
  <c r="AF13" i="1"/>
  <c r="AG13" i="1" s="1"/>
  <c r="AH13" i="1" s="1"/>
  <c r="AF799" i="1"/>
  <c r="AG799" i="1" s="1"/>
  <c r="AH799" i="1" s="1"/>
  <c r="AF863" i="1"/>
  <c r="AG863" i="1" s="1"/>
  <c r="AH863" i="1" s="1"/>
  <c r="AF931" i="1"/>
  <c r="AG931" i="1" s="1"/>
  <c r="AH931" i="1" s="1"/>
  <c r="AF1096" i="1"/>
  <c r="AG1096" i="1" s="1"/>
  <c r="AH1096" i="1" s="1"/>
  <c r="AF1211" i="1"/>
  <c r="AG1211" i="1" s="1"/>
  <c r="AH1211" i="1" s="1"/>
  <c r="AF655" i="1"/>
  <c r="AG655" i="1" s="1"/>
  <c r="AH655" i="1" s="1"/>
  <c r="AF247" i="1"/>
  <c r="AG247" i="1" s="1"/>
  <c r="AH247" i="1" s="1"/>
  <c r="AF452" i="1"/>
  <c r="AG452" i="1" s="1"/>
  <c r="AH452" i="1" s="1"/>
  <c r="AF448" i="1"/>
  <c r="AG448" i="1" s="1"/>
  <c r="AH448" i="1" s="1"/>
  <c r="AF308" i="1"/>
  <c r="AG308" i="1" s="1"/>
  <c r="AH308" i="1" s="1"/>
  <c r="AF575" i="1"/>
  <c r="AG575" i="1" s="1"/>
  <c r="AH575" i="1" s="1"/>
  <c r="AF608" i="1"/>
  <c r="AG608" i="1" s="1"/>
  <c r="AH608" i="1" s="1"/>
  <c r="AF760" i="1"/>
  <c r="AG760" i="1" s="1"/>
  <c r="AH760" i="1" s="1"/>
  <c r="AF870" i="1"/>
  <c r="AG870" i="1" s="1"/>
  <c r="AH870" i="1" s="1"/>
  <c r="AF298" i="1"/>
  <c r="AG298" i="1" s="1"/>
  <c r="AH298" i="1" s="1"/>
  <c r="AF1022" i="1"/>
  <c r="AG1022" i="1" s="1"/>
  <c r="AH1022" i="1" s="1"/>
  <c r="AF763" i="1"/>
  <c r="AG763" i="1" s="1"/>
  <c r="AH763" i="1" s="1"/>
  <c r="AF636" i="1"/>
  <c r="AG636" i="1" s="1"/>
  <c r="AH636" i="1" s="1"/>
  <c r="AF1078" i="1"/>
  <c r="AG1078" i="1" s="1"/>
  <c r="AH1078" i="1" s="1"/>
  <c r="AF601" i="1"/>
  <c r="AG601" i="1" s="1"/>
  <c r="AH601" i="1" s="1"/>
  <c r="AF1148" i="1"/>
  <c r="AG1148" i="1" s="1"/>
  <c r="AH1148" i="1" s="1"/>
  <c r="AF60" i="1"/>
  <c r="AG60" i="1" s="1"/>
  <c r="AH60" i="1" s="1"/>
  <c r="AF475" i="1"/>
  <c r="AG475" i="1" s="1"/>
  <c r="AH475" i="1" s="1"/>
  <c r="AF882" i="1"/>
  <c r="AG882" i="1" s="1"/>
  <c r="AH882" i="1" s="1"/>
  <c r="AF1080" i="1"/>
  <c r="AG1080" i="1" s="1"/>
  <c r="AH1080" i="1" s="1"/>
  <c r="AF288" i="1"/>
  <c r="AG288" i="1" s="1"/>
  <c r="AH288" i="1" s="1"/>
  <c r="AF698" i="1"/>
  <c r="AG698" i="1" s="1"/>
  <c r="AH698" i="1" s="1"/>
  <c r="AF522" i="1"/>
  <c r="AG522" i="1" s="1"/>
  <c r="AH522" i="1" s="1"/>
  <c r="AF992" i="1"/>
  <c r="AG992" i="1" s="1"/>
  <c r="AH992" i="1" s="1"/>
  <c r="AF187" i="1"/>
  <c r="AG187" i="1" s="1"/>
  <c r="AH187" i="1" s="1"/>
  <c r="AF177" i="1"/>
  <c r="AG177" i="1" s="1"/>
  <c r="AH177" i="1" s="1"/>
  <c r="AF844" i="1"/>
  <c r="AG844" i="1" s="1"/>
  <c r="AH844" i="1" s="1"/>
  <c r="AF829" i="1"/>
  <c r="AG829" i="1" s="1"/>
  <c r="AH829" i="1" s="1"/>
  <c r="AF396" i="1"/>
  <c r="AG396" i="1" s="1"/>
  <c r="AH396" i="1" s="1"/>
  <c r="AF595" i="1"/>
  <c r="AG595" i="1" s="1"/>
  <c r="AH595" i="1" s="1"/>
  <c r="AF137" i="1"/>
  <c r="AG137" i="1" s="1"/>
  <c r="AH137" i="1" s="1"/>
  <c r="AF85" i="1"/>
  <c r="AG85" i="1" s="1"/>
  <c r="AH85" i="1" s="1"/>
  <c r="AF858" i="1"/>
  <c r="AG858" i="1" s="1"/>
  <c r="AH858" i="1" s="1"/>
  <c r="AF777" i="1"/>
  <c r="AG777" i="1" s="1"/>
  <c r="AH777" i="1" s="1"/>
  <c r="AF579" i="1"/>
  <c r="AG579" i="1" s="1"/>
  <c r="AH579" i="1" s="1"/>
  <c r="AF602" i="1"/>
  <c r="AG602" i="1" s="1"/>
  <c r="AH602" i="1" s="1"/>
  <c r="AF1079" i="1"/>
  <c r="AG1079" i="1" s="1"/>
  <c r="AH1079" i="1" s="1"/>
  <c r="AF1074" i="1"/>
  <c r="AG1074" i="1" s="1"/>
  <c r="AH1074" i="1" s="1"/>
  <c r="AF975" i="1"/>
  <c r="AG975" i="1" s="1"/>
  <c r="AH975" i="1" s="1"/>
  <c r="AF476" i="1"/>
  <c r="AG476" i="1" s="1"/>
  <c r="AH476" i="1" s="1"/>
  <c r="AF881" i="1"/>
  <c r="AG881" i="1" s="1"/>
  <c r="AH881" i="1" s="1"/>
  <c r="AF1222" i="1"/>
  <c r="AG1222" i="1" s="1"/>
  <c r="AH1222" i="1" s="1"/>
  <c r="AF270" i="1"/>
  <c r="AG270" i="1" s="1"/>
  <c r="AH270" i="1" s="1"/>
  <c r="AF160" i="1"/>
  <c r="AG160" i="1" s="1"/>
  <c r="AH160" i="1" s="1"/>
  <c r="AF1000" i="1"/>
  <c r="AG1000" i="1" s="1"/>
  <c r="AH1000" i="1" s="1"/>
  <c r="AF718" i="1"/>
  <c r="AG718" i="1" s="1"/>
  <c r="AH718" i="1" s="1"/>
  <c r="AF714" i="1"/>
  <c r="AG714" i="1" s="1"/>
  <c r="AH714" i="1" s="1"/>
  <c r="AF362" i="1"/>
  <c r="AG362" i="1" s="1"/>
  <c r="AH362" i="1" s="1"/>
  <c r="AF664" i="1"/>
  <c r="AG664" i="1" s="1"/>
  <c r="AH664" i="1" s="1"/>
  <c r="AF660" i="1"/>
  <c r="AG660" i="1" s="1"/>
  <c r="AH660" i="1" s="1"/>
  <c r="AF436" i="1"/>
  <c r="AG436" i="1" s="1"/>
  <c r="AH436" i="1" s="1"/>
  <c r="AF972" i="1"/>
  <c r="AG972" i="1" s="1"/>
  <c r="AH972" i="1" s="1"/>
  <c r="AF539" i="1"/>
  <c r="AG539" i="1" s="1"/>
  <c r="AH539" i="1" s="1"/>
  <c r="AF186" i="1"/>
  <c r="AG186" i="1" s="1"/>
  <c r="AH186" i="1" s="1"/>
  <c r="AF755" i="1"/>
  <c r="AG755" i="1" s="1"/>
  <c r="AH755" i="1" s="1"/>
  <c r="AF757" i="1"/>
  <c r="AG757" i="1" s="1"/>
  <c r="AH757" i="1" s="1"/>
  <c r="AF1024" i="1"/>
  <c r="AG1024" i="1" s="1"/>
  <c r="AH1024" i="1" s="1"/>
  <c r="AF190" i="1"/>
  <c r="AG190" i="1" s="1"/>
  <c r="AH190" i="1" s="1"/>
  <c r="AF61" i="1"/>
  <c r="AG61" i="1" s="1"/>
  <c r="AH61" i="1" s="1"/>
  <c r="AF994" i="1"/>
  <c r="AG994" i="1" s="1"/>
  <c r="AH994" i="1" s="1"/>
  <c r="AF1044" i="1"/>
  <c r="AG1044" i="1" s="1"/>
  <c r="AH1044" i="1" s="1"/>
  <c r="AF484" i="1"/>
  <c r="AG484" i="1" s="1"/>
  <c r="AH484" i="1" s="1"/>
  <c r="AF419" i="1"/>
  <c r="AG419" i="1" s="1"/>
  <c r="AH419" i="1" s="1"/>
  <c r="AF635" i="1"/>
  <c r="AG635" i="1" s="1"/>
  <c r="AH635" i="1" s="1"/>
  <c r="AF547" i="1"/>
  <c r="AG547" i="1" s="1"/>
  <c r="AH547" i="1" s="1"/>
  <c r="AF967" i="1"/>
  <c r="AG967" i="1" s="1"/>
  <c r="AH967" i="1" s="1"/>
  <c r="AF422" i="1"/>
  <c r="AG422" i="1" s="1"/>
  <c r="AH422" i="1" s="1"/>
  <c r="AF971" i="1"/>
  <c r="AG971" i="1" s="1"/>
  <c r="AH971" i="1" s="1"/>
  <c r="AF546" i="1"/>
  <c r="AG546" i="1" s="1"/>
  <c r="AH546" i="1" s="1"/>
  <c r="AF686" i="1"/>
  <c r="AG686" i="1" s="1"/>
  <c r="AH686" i="1" s="1"/>
  <c r="AF22" i="1"/>
  <c r="AG22" i="1" s="1"/>
  <c r="AH22" i="1" s="1"/>
  <c r="AF616" i="1"/>
  <c r="AG616" i="1" s="1"/>
  <c r="AH616" i="1" s="1"/>
  <c r="AF320" i="1"/>
  <c r="AG320" i="1" s="1"/>
  <c r="AH320" i="1" s="1"/>
  <c r="AF282" i="1"/>
  <c r="AG282" i="1" s="1"/>
  <c r="AH282" i="1" s="1"/>
  <c r="AF132" i="1"/>
  <c r="AG132" i="1" s="1"/>
  <c r="AH132" i="1" s="1"/>
  <c r="AF982" i="1"/>
  <c r="AG982" i="1" s="1"/>
  <c r="AH982" i="1" s="1"/>
  <c r="AF150" i="1"/>
  <c r="AG150" i="1" s="1"/>
  <c r="AH150" i="1" s="1"/>
  <c r="AF695" i="1"/>
  <c r="AG695" i="1" s="1"/>
  <c r="AH695" i="1" s="1"/>
  <c r="AF921" i="1"/>
  <c r="AG921" i="1" s="1"/>
  <c r="AH921" i="1" s="1"/>
  <c r="AF1009" i="1"/>
  <c r="AG1009" i="1" s="1"/>
  <c r="AH1009" i="1" s="1"/>
  <c r="AF725" i="1"/>
  <c r="AG725" i="1" s="1"/>
  <c r="AH725" i="1" s="1"/>
  <c r="AF712" i="1"/>
  <c r="AG712" i="1" s="1"/>
  <c r="AH712" i="1" s="1"/>
  <c r="AF715" i="1"/>
  <c r="AG715" i="1" s="1"/>
  <c r="AH715" i="1" s="1"/>
  <c r="AF1110" i="1"/>
  <c r="AG1110" i="1" s="1"/>
  <c r="AH1110" i="1" s="1"/>
  <c r="AF360" i="1"/>
  <c r="AG360" i="1" s="1"/>
  <c r="AH360" i="1" s="1"/>
  <c r="AF443" i="1"/>
  <c r="AG443" i="1" s="1"/>
  <c r="AH443" i="1" s="1"/>
  <c r="AF705" i="1"/>
  <c r="AG705" i="1" s="1"/>
  <c r="AH705" i="1" s="1"/>
  <c r="AF123" i="1"/>
  <c r="AG123" i="1" s="1"/>
  <c r="AH123" i="1" s="1"/>
  <c r="AF651" i="1"/>
  <c r="AG651" i="1" s="1"/>
  <c r="AH651" i="1" s="1"/>
  <c r="AF37" i="1"/>
  <c r="AG37" i="1" s="1"/>
  <c r="AH37" i="1" s="1"/>
  <c r="AF765" i="1"/>
  <c r="AG765" i="1" s="1"/>
  <c r="AH765" i="1" s="1"/>
  <c r="AF93" i="1"/>
  <c r="AG93" i="1" s="1"/>
  <c r="AH93" i="1" s="1"/>
  <c r="AF1054" i="1"/>
  <c r="AG1054" i="1" s="1"/>
  <c r="AH1054" i="1" s="1"/>
  <c r="AF1052" i="1"/>
  <c r="AG1052" i="1" s="1"/>
  <c r="AH1052" i="1" s="1"/>
  <c r="AF856" i="1"/>
  <c r="AG856" i="1" s="1"/>
  <c r="AH856" i="1" s="1"/>
  <c r="AF171" i="1"/>
  <c r="AG171" i="1" s="1"/>
  <c r="AH171" i="1" s="1"/>
  <c r="AF91" i="1"/>
  <c r="AG91" i="1" s="1"/>
  <c r="AH91" i="1" s="1"/>
  <c r="AF1097" i="1"/>
  <c r="AG1097" i="1" s="1"/>
  <c r="AH1097" i="1" s="1"/>
  <c r="AF835" i="1"/>
  <c r="AG835" i="1" s="1"/>
  <c r="AH835" i="1" s="1"/>
  <c r="AF35" i="1"/>
  <c r="AG35" i="1" s="1"/>
  <c r="AH35" i="1" s="1"/>
  <c r="AF1139" i="1"/>
  <c r="AG1139" i="1" s="1"/>
  <c r="AH1139" i="1" s="1"/>
  <c r="AF749" i="1"/>
  <c r="AG749" i="1" s="1"/>
  <c r="AH749" i="1" s="1"/>
  <c r="AF503" i="1"/>
  <c r="AG503" i="1" s="1"/>
  <c r="AH503" i="1" s="1"/>
  <c r="AF1154" i="1"/>
  <c r="AG1154" i="1" s="1"/>
  <c r="AH1154" i="1" s="1"/>
  <c r="AF968" i="1"/>
  <c r="AG968" i="1" s="1"/>
  <c r="AH968" i="1" s="1"/>
  <c r="AF519" i="1"/>
  <c r="AG519" i="1" s="1"/>
  <c r="AH519" i="1" s="1"/>
  <c r="AF645" i="1"/>
  <c r="AG645" i="1" s="1"/>
  <c r="AH645" i="1" s="1"/>
  <c r="AF411" i="1"/>
  <c r="AG411" i="1" s="1"/>
  <c r="AH411" i="1" s="1"/>
  <c r="AF415" i="1"/>
  <c r="AG415" i="1" s="1"/>
  <c r="AH415" i="1" s="1"/>
  <c r="AF1043" i="1"/>
  <c r="AG1043" i="1" s="1"/>
  <c r="AH1043" i="1" s="1"/>
  <c r="AF1121" i="1"/>
  <c r="AG1121" i="1" s="1"/>
  <c r="AH1121" i="1" s="1"/>
  <c r="AF9" i="1"/>
  <c r="AG9" i="1" s="1"/>
  <c r="AH9" i="1" s="1"/>
  <c r="AF176" i="1"/>
  <c r="AG176" i="1" s="1"/>
  <c r="AH176" i="1" s="1"/>
  <c r="AF388" i="1"/>
  <c r="AG388" i="1" s="1"/>
  <c r="AH388" i="1" s="1"/>
  <c r="AF392" i="1"/>
  <c r="AG392" i="1" s="1"/>
  <c r="AH392" i="1" s="1"/>
  <c r="AF329" i="1"/>
  <c r="AG329" i="1" s="1"/>
  <c r="AH329" i="1" s="1"/>
  <c r="AF14" i="1"/>
  <c r="AG14" i="1" s="1"/>
  <c r="AH14" i="1" s="1"/>
  <c r="AF140" i="1"/>
  <c r="AG140" i="1" s="1"/>
  <c r="AH140" i="1" s="1"/>
  <c r="AF1196" i="1"/>
  <c r="AG1196" i="1" s="1"/>
  <c r="AH1196" i="1" s="1"/>
  <c r="AF1100" i="1"/>
  <c r="AG1100" i="1" s="1"/>
  <c r="AH1100" i="1" s="1"/>
  <c r="AF929" i="1"/>
  <c r="AG929" i="1" s="1"/>
  <c r="AH929" i="1" s="1"/>
  <c r="AF1103" i="1"/>
  <c r="AG1103" i="1" s="1"/>
  <c r="AH1103" i="1" s="1"/>
  <c r="AF455" i="1"/>
  <c r="AG455" i="1" s="1"/>
  <c r="AH455" i="1" s="1"/>
  <c r="AF549" i="1"/>
  <c r="AG549" i="1" s="1"/>
  <c r="AH549" i="1" s="1"/>
  <c r="AF369" i="1"/>
  <c r="AG369" i="1" s="1"/>
  <c r="AH369" i="1" s="1"/>
  <c r="AF376" i="1"/>
  <c r="AG376" i="1" s="1"/>
  <c r="AH376" i="1" s="1"/>
  <c r="AF193" i="1"/>
  <c r="AG193" i="1" s="1"/>
  <c r="AH193" i="1" s="1"/>
  <c r="AF492" i="1"/>
  <c r="AG492" i="1" s="1"/>
  <c r="AH492" i="1" s="1"/>
  <c r="AF516" i="1"/>
  <c r="AG516" i="1" s="1"/>
  <c r="AH516" i="1" s="1"/>
  <c r="AF274" i="1"/>
  <c r="AG274" i="1" s="1"/>
  <c r="AH274" i="1" s="1"/>
  <c r="AF74" i="1"/>
  <c r="AG74" i="1" s="1"/>
  <c r="AH74" i="1" s="1"/>
  <c r="AF174" i="1"/>
  <c r="AG174" i="1" s="1"/>
  <c r="AH174" i="1" s="1"/>
  <c r="AF1077" i="1"/>
  <c r="AG1077" i="1" s="1"/>
  <c r="AH1077" i="1" s="1"/>
  <c r="AF947" i="1"/>
  <c r="AG947" i="1" s="1"/>
  <c r="AH947" i="1" s="1"/>
  <c r="AF167" i="1"/>
  <c r="AG167" i="1" s="1"/>
  <c r="AH167" i="1" s="1"/>
  <c r="AF1131" i="1"/>
  <c r="AG1131" i="1" s="1"/>
  <c r="AH1131" i="1" s="1"/>
  <c r="AF707" i="1"/>
  <c r="AG707" i="1" s="1"/>
  <c r="AH707" i="1" s="1"/>
  <c r="AF107" i="1"/>
  <c r="AG107" i="1" s="1"/>
  <c r="AH107" i="1" s="1"/>
  <c r="AF20" i="1"/>
  <c r="AG20" i="1" s="1"/>
  <c r="AH20" i="1" s="1"/>
  <c r="AF58" i="1"/>
  <c r="AG58" i="1" s="1"/>
  <c r="AH58" i="1" s="1"/>
  <c r="AF357" i="1"/>
  <c r="AG357" i="1" s="1"/>
  <c r="AH357" i="1" s="1"/>
  <c r="AF902" i="1"/>
  <c r="AG902" i="1" s="1"/>
  <c r="AH902" i="1" s="1"/>
  <c r="AF252" i="1"/>
  <c r="AG252" i="1" s="1"/>
  <c r="AH252" i="1" s="1"/>
  <c r="AF332" i="1"/>
  <c r="AG332" i="1" s="1"/>
  <c r="AH332" i="1" s="1"/>
  <c r="AF221" i="1"/>
  <c r="AG221" i="1" s="1"/>
  <c r="AH221" i="1" s="1"/>
  <c r="AF699" i="1"/>
  <c r="AG699" i="1" s="1"/>
  <c r="AH699" i="1" s="1"/>
  <c r="AF291" i="1"/>
  <c r="AG291" i="1" s="1"/>
  <c r="AH291" i="1" s="1"/>
  <c r="AF470" i="1"/>
  <c r="AG470" i="1" s="1"/>
  <c r="AH470" i="1" s="1"/>
  <c r="AF1192" i="1"/>
  <c r="AG1192" i="1" s="1"/>
  <c r="AH1192" i="1" s="1"/>
  <c r="AF1199" i="1"/>
  <c r="AG1199" i="1" s="1"/>
  <c r="AH1199" i="1" s="1"/>
  <c r="AF630" i="1"/>
  <c r="AG630" i="1" s="1"/>
  <c r="AH630" i="1" s="1"/>
  <c r="AF623" i="1"/>
  <c r="AG623" i="1" s="1"/>
  <c r="AH623" i="1" s="1"/>
  <c r="AF625" i="1"/>
  <c r="AG625" i="1" s="1"/>
  <c r="AH625" i="1" s="1"/>
  <c r="AF659" i="1"/>
  <c r="AG659" i="1" s="1"/>
  <c r="AH659" i="1" s="1"/>
  <c r="AF128" i="1"/>
  <c r="AG128" i="1" s="1"/>
  <c r="AH128" i="1" s="1"/>
  <c r="AF1108" i="1"/>
  <c r="AG1108" i="1" s="1"/>
  <c r="AH1108" i="1" s="1"/>
  <c r="AF1189" i="1"/>
  <c r="AG1189" i="1" s="1"/>
  <c r="AH1189" i="1" s="1"/>
  <c r="AF960" i="1"/>
  <c r="AG960" i="1" s="1"/>
  <c r="AH960" i="1" s="1"/>
  <c r="AF499" i="1"/>
  <c r="AG499" i="1" s="1"/>
  <c r="AH499" i="1" s="1"/>
  <c r="AF542" i="1"/>
  <c r="AG542" i="1" s="1"/>
  <c r="AH542" i="1" s="1"/>
  <c r="AF104" i="1"/>
  <c r="AG104" i="1" s="1"/>
  <c r="AH104" i="1" s="1"/>
  <c r="AF238" i="1"/>
  <c r="AG238" i="1" s="1"/>
  <c r="AH238" i="1" s="1"/>
  <c r="AF70" i="1"/>
  <c r="AG70" i="1" s="1"/>
  <c r="AH70" i="1" s="1"/>
  <c r="AF912" i="1"/>
  <c r="AG912" i="1" s="1"/>
  <c r="AH912" i="1" s="1"/>
  <c r="AF255" i="1"/>
  <c r="AG255" i="1" s="1"/>
  <c r="AH255" i="1" s="1"/>
  <c r="AF246" i="1"/>
  <c r="AG246" i="1" s="1"/>
  <c r="AH246" i="1" s="1"/>
  <c r="AF275" i="1"/>
  <c r="AG275" i="1" s="1"/>
  <c r="AH275" i="1" s="1"/>
  <c r="AF364" i="1"/>
  <c r="AG364" i="1" s="1"/>
  <c r="AH364" i="1" s="1"/>
  <c r="AF276" i="1"/>
  <c r="AG276" i="1" s="1"/>
  <c r="AH276" i="1" s="1"/>
  <c r="AF594" i="1"/>
  <c r="AG594" i="1" s="1"/>
  <c r="AH594" i="1" s="1"/>
  <c r="AF820" i="1"/>
  <c r="AG820" i="1" s="1"/>
  <c r="AH820" i="1" s="1"/>
  <c r="AF599" i="1"/>
  <c r="AG599" i="1" s="1"/>
  <c r="AH599" i="1" s="1"/>
  <c r="AF758" i="1"/>
  <c r="AG758" i="1" s="1"/>
  <c r="AH758" i="1" s="1"/>
  <c r="AF310" i="1"/>
  <c r="AG310" i="1" s="1"/>
  <c r="AH310" i="1" s="1"/>
  <c r="AF605" i="1"/>
  <c r="AG605" i="1" s="1"/>
  <c r="AH605" i="1" s="1"/>
  <c r="AF804" i="1"/>
  <c r="AG804" i="1" s="1"/>
  <c r="AH804" i="1" s="1"/>
  <c r="AF938" i="1"/>
  <c r="AG938" i="1" s="1"/>
  <c r="AH938" i="1" s="1"/>
  <c r="AF1086" i="1"/>
  <c r="AG1086" i="1" s="1"/>
  <c r="AH1086" i="1" s="1"/>
  <c r="AF538" i="1"/>
  <c r="AG538" i="1" s="1"/>
  <c r="AH538" i="1" s="1"/>
  <c r="AF199" i="1"/>
  <c r="AG199" i="1" s="1"/>
  <c r="AH199" i="1" s="1"/>
  <c r="AF244" i="1"/>
  <c r="AG244" i="1" s="1"/>
  <c r="AH244" i="1" s="1"/>
  <c r="AF235" i="1"/>
  <c r="AG235" i="1" s="1"/>
  <c r="AH235" i="1" s="1"/>
  <c r="AF158" i="1"/>
  <c r="AG158" i="1" s="1"/>
  <c r="AH158" i="1" s="1"/>
  <c r="AF1145" i="1"/>
  <c r="AG1145" i="1" s="1"/>
  <c r="AH1145" i="1" s="1"/>
  <c r="AF482" i="1"/>
  <c r="AG482" i="1" s="1"/>
  <c r="AH482" i="1" s="1"/>
  <c r="AF1141" i="1"/>
  <c r="AG1141" i="1" s="1"/>
  <c r="AH1141" i="1" s="1"/>
  <c r="AF1021" i="1"/>
  <c r="AG1021" i="1" s="1"/>
  <c r="AH1021" i="1" s="1"/>
  <c r="AF545" i="1"/>
  <c r="AG545" i="1" s="1"/>
  <c r="AH545" i="1" s="1"/>
  <c r="AF745" i="1"/>
  <c r="AG745" i="1" s="1"/>
  <c r="AH745" i="1" s="1"/>
  <c r="AF896" i="1"/>
  <c r="AG896" i="1" s="1"/>
  <c r="AH896" i="1" s="1"/>
  <c r="AF741" i="1"/>
  <c r="AG741" i="1" s="1"/>
  <c r="AH741" i="1" s="1"/>
  <c r="AF57" i="1"/>
  <c r="AG57" i="1" s="1"/>
  <c r="AH57" i="1" s="1"/>
  <c r="AF952" i="1"/>
  <c r="AG952" i="1" s="1"/>
  <c r="AH952" i="1" s="1"/>
  <c r="AF803" i="1"/>
  <c r="AG803" i="1" s="1"/>
  <c r="AH803" i="1" s="1"/>
  <c r="AF285" i="1"/>
  <c r="AG285" i="1" s="1"/>
  <c r="AH285" i="1" s="1"/>
  <c r="AF250" i="1"/>
  <c r="AG250" i="1" s="1"/>
  <c r="AH250" i="1" s="1"/>
  <c r="AF23" i="1"/>
  <c r="AG23" i="1" s="1"/>
  <c r="AH23" i="1" s="1"/>
  <c r="AF67" i="1"/>
  <c r="AG67" i="1" s="1"/>
  <c r="AH67" i="1" s="1"/>
  <c r="AF65" i="1"/>
  <c r="AG65" i="1" s="1"/>
  <c r="AH65" i="1" s="1"/>
  <c r="AF813" i="1"/>
  <c r="AG813" i="1" s="1"/>
  <c r="AH813" i="1" s="1"/>
  <c r="AF32" i="1"/>
  <c r="AG32" i="1" s="1"/>
  <c r="AH32" i="1" s="1"/>
  <c r="AF76" i="1"/>
  <c r="AG76" i="1" s="1"/>
  <c r="AH76" i="1" s="1"/>
  <c r="AF99" i="1"/>
  <c r="AG99" i="1" s="1"/>
  <c r="AH99" i="1" s="1"/>
  <c r="AF1216" i="1"/>
  <c r="AG1216" i="1" s="1"/>
  <c r="AH1216" i="1" s="1"/>
  <c r="AF217" i="1"/>
  <c r="AG217" i="1" s="1"/>
  <c r="AH217" i="1" s="1"/>
  <c r="AF935" i="1"/>
  <c r="AG935" i="1" s="1"/>
  <c r="AH935" i="1" s="1"/>
  <c r="AF719" i="1"/>
  <c r="AG719" i="1" s="1"/>
  <c r="AH719" i="1" s="1"/>
  <c r="AF359" i="1"/>
  <c r="AG359" i="1" s="1"/>
  <c r="AH359" i="1" s="1"/>
  <c r="AF622" i="1"/>
  <c r="AG622" i="1" s="1"/>
  <c r="AH622" i="1" s="1"/>
  <c r="AF103" i="1"/>
  <c r="AG103" i="1" s="1"/>
  <c r="AH103" i="1" s="1"/>
  <c r="AF534" i="1"/>
  <c r="AG534" i="1" s="1"/>
  <c r="AH534" i="1" s="1"/>
  <c r="AF314" i="1"/>
  <c r="AG314" i="1" s="1"/>
  <c r="AH314" i="1" s="1"/>
  <c r="AF349" i="1"/>
  <c r="AG349" i="1" s="1"/>
  <c r="AH349" i="1" s="1"/>
  <c r="AF372" i="1"/>
  <c r="AG372" i="1" s="1"/>
  <c r="AH372" i="1" s="1"/>
  <c r="AF569" i="1"/>
  <c r="AG569" i="1" s="1"/>
  <c r="AH569" i="1" s="1"/>
  <c r="AF431" i="1"/>
  <c r="AG431" i="1" s="1"/>
  <c r="AH431" i="1" s="1"/>
  <c r="AF231" i="1"/>
  <c r="AG231" i="1" s="1"/>
  <c r="AH231" i="1" s="1"/>
  <c r="AF245" i="1"/>
  <c r="AG245" i="1" s="1"/>
  <c r="AH245" i="1" s="1"/>
  <c r="AF1128" i="1"/>
  <c r="AG1128" i="1" s="1"/>
  <c r="AH1128" i="1" s="1"/>
  <c r="AF889" i="1"/>
  <c r="AG889" i="1" s="1"/>
  <c r="AH889" i="1" s="1"/>
  <c r="AF135" i="1"/>
  <c r="AG135" i="1" s="1"/>
  <c r="AH135" i="1" s="1"/>
  <c r="AF914" i="1"/>
  <c r="AG914" i="1" s="1"/>
  <c r="AH914" i="1" s="1"/>
  <c r="AF239" i="1"/>
  <c r="AG239" i="1" s="1"/>
  <c r="AH239" i="1" s="1"/>
  <c r="AF450" i="1"/>
  <c r="AG450" i="1" s="1"/>
  <c r="AH450" i="1" s="1"/>
  <c r="AF465" i="1"/>
  <c r="AG465" i="1" s="1"/>
  <c r="AH465" i="1" s="1"/>
  <c r="AF463" i="1"/>
  <c r="AG463" i="1" s="1"/>
  <c r="AH463" i="1" s="1"/>
  <c r="AF809" i="1"/>
  <c r="AG809" i="1" s="1"/>
  <c r="AH809" i="1" s="1"/>
  <c r="AF317" i="1"/>
  <c r="AG317" i="1" s="1"/>
  <c r="AH317" i="1" s="1"/>
  <c r="AF577" i="1"/>
  <c r="AG577" i="1" s="1"/>
  <c r="AH577" i="1" s="1"/>
  <c r="AF584" i="1"/>
  <c r="AG584" i="1" s="1"/>
  <c r="AH584" i="1" s="1"/>
  <c r="AF775" i="1"/>
  <c r="AG775" i="1" s="1"/>
  <c r="AH775" i="1" s="1"/>
  <c r="AF840" i="1"/>
  <c r="AG840" i="1" s="1"/>
  <c r="AH840" i="1" s="1"/>
  <c r="AF334" i="1"/>
  <c r="AG334" i="1" s="1"/>
  <c r="AH334" i="1" s="1"/>
  <c r="AF632" i="1"/>
  <c r="AG632" i="1" s="1"/>
  <c r="AH632" i="1" s="1"/>
  <c r="AF34" i="1"/>
  <c r="AG34" i="1" s="1"/>
  <c r="AH34" i="1" s="1"/>
  <c r="AF83" i="1"/>
  <c r="AG83" i="1" s="1"/>
  <c r="AH83" i="1" s="1"/>
  <c r="AF251" i="1"/>
  <c r="AG251" i="1" s="1"/>
  <c r="AH251" i="1" s="1"/>
  <c r="AF198" i="1"/>
  <c r="AG198" i="1" s="1"/>
  <c r="AH198" i="1" s="1"/>
  <c r="AF156" i="1"/>
  <c r="AG156" i="1" s="1"/>
  <c r="AH156" i="1" s="1"/>
  <c r="AF1137" i="1"/>
  <c r="AG1137" i="1" s="1"/>
  <c r="AH1137" i="1" s="1"/>
  <c r="AF1171" i="1"/>
  <c r="AG1171" i="1" s="1"/>
  <c r="AH1171" i="1" s="1"/>
  <c r="AF508" i="1"/>
  <c r="AG508" i="1" s="1"/>
  <c r="AH508" i="1" s="1"/>
  <c r="AF826" i="1"/>
  <c r="AG826" i="1" s="1"/>
  <c r="AH826" i="1" s="1"/>
  <c r="AF742" i="1"/>
  <c r="AG742" i="1" s="1"/>
  <c r="AH742" i="1" s="1"/>
  <c r="AF562" i="1"/>
  <c r="AG562" i="1" s="1"/>
  <c r="AH562" i="1" s="1"/>
  <c r="AF1040" i="1"/>
  <c r="AG1040" i="1" s="1"/>
  <c r="AH1040" i="1" s="1"/>
  <c r="AF886" i="1"/>
  <c r="AG886" i="1" s="1"/>
  <c r="AH886" i="1" s="1"/>
  <c r="AF987" i="1"/>
  <c r="AG987" i="1" s="1"/>
  <c r="AH987" i="1" s="1"/>
  <c r="AF95" i="1"/>
  <c r="AG95" i="1" s="1"/>
  <c r="AH95" i="1" s="1"/>
  <c r="AF600" i="1"/>
  <c r="AG600" i="1" s="1"/>
  <c r="AH600" i="1" s="1"/>
  <c r="AF814" i="1"/>
  <c r="AG814" i="1" s="1"/>
  <c r="AH814" i="1" s="1"/>
  <c r="AF315" i="1"/>
  <c r="AG315" i="1" s="1"/>
  <c r="AH315" i="1" s="1"/>
  <c r="AF216" i="1"/>
  <c r="AG216" i="1" s="1"/>
  <c r="AH216" i="1" s="1"/>
  <c r="AF697" i="1"/>
  <c r="AG697" i="1" s="1"/>
  <c r="AH697" i="1" s="1"/>
  <c r="AF680" i="1"/>
  <c r="AG680" i="1" s="1"/>
  <c r="AH680" i="1" s="1"/>
  <c r="AF1225" i="1"/>
  <c r="AG1225" i="1" s="1"/>
  <c r="AH1225" i="1" s="1"/>
  <c r="AF1177" i="1"/>
  <c r="AG1177" i="1" s="1"/>
  <c r="AH1177" i="1" s="1"/>
  <c r="AF553" i="1"/>
  <c r="AG553" i="1" s="1"/>
  <c r="AH553" i="1" s="1"/>
  <c r="AF627" i="1"/>
  <c r="AG627" i="1" s="1"/>
  <c r="AH627" i="1" s="1"/>
  <c r="AF954" i="1"/>
  <c r="AG954" i="1" s="1"/>
  <c r="AH954" i="1" s="1"/>
  <c r="AF665" i="1"/>
  <c r="AG665" i="1" s="1"/>
  <c r="AH665" i="1" s="1"/>
  <c r="AF661" i="1"/>
  <c r="AG661" i="1" s="1"/>
  <c r="AH661" i="1" s="1"/>
  <c r="AF634" i="1"/>
  <c r="AG634" i="1" s="1"/>
  <c r="AH634" i="1" s="1"/>
  <c r="AF901" i="1"/>
  <c r="AG901" i="1" s="1"/>
  <c r="AH901" i="1" s="1"/>
  <c r="AF677" i="1"/>
  <c r="AG677" i="1" s="1"/>
  <c r="AH677" i="1" s="1"/>
  <c r="AF47" i="1"/>
  <c r="AG47" i="1" s="1"/>
  <c r="AH47" i="1" s="1"/>
  <c r="AF810" i="1"/>
  <c r="AG810" i="1" s="1"/>
  <c r="AH810" i="1" s="1"/>
  <c r="AF500" i="1"/>
  <c r="AG500" i="1" s="1"/>
  <c r="AH500" i="1" s="1"/>
  <c r="AF620" i="1"/>
  <c r="AG620" i="1" s="1"/>
  <c r="AH620" i="1" s="1"/>
  <c r="AF928" i="1"/>
  <c r="AG928" i="1" s="1"/>
  <c r="AH928" i="1" s="1"/>
  <c r="AF1169" i="1"/>
  <c r="AG1169" i="1" s="1"/>
  <c r="AH1169" i="1" s="1"/>
  <c r="AF923" i="1"/>
  <c r="AG923" i="1" s="1"/>
  <c r="AH923" i="1" s="1"/>
  <c r="AF212" i="1"/>
  <c r="AG212" i="1" s="1"/>
  <c r="AH212" i="1" s="1"/>
  <c r="AF208" i="1"/>
  <c r="AG208" i="1" s="1"/>
  <c r="AH208" i="1" s="1"/>
  <c r="AF412" i="1"/>
  <c r="AG412" i="1" s="1"/>
  <c r="AH412" i="1" s="1"/>
  <c r="AF773" i="1"/>
  <c r="AG773" i="1" s="1"/>
  <c r="AH773" i="1" s="1"/>
  <c r="AF286" i="1"/>
  <c r="AG286" i="1" s="1"/>
  <c r="AH286" i="1" s="1"/>
  <c r="AF143" i="1"/>
  <c r="AG143" i="1" s="1"/>
  <c r="AH143" i="1" s="1"/>
  <c r="AF504" i="1"/>
  <c r="AG504" i="1" s="1"/>
  <c r="AH504" i="1" s="1"/>
  <c r="AF709" i="1"/>
  <c r="AG709" i="1" s="1"/>
  <c r="AH709" i="1" s="1"/>
  <c r="AF790" i="1"/>
  <c r="AG790" i="1" s="1"/>
  <c r="AH790" i="1" s="1"/>
  <c r="AF449" i="1"/>
  <c r="AG449" i="1" s="1"/>
  <c r="AH449" i="1" s="1"/>
  <c r="AF576" i="1"/>
  <c r="AG576" i="1" s="1"/>
  <c r="AH576" i="1" s="1"/>
  <c r="AF603" i="1"/>
  <c r="AG603" i="1" s="1"/>
  <c r="AH603" i="1" s="1"/>
  <c r="AF806" i="1"/>
  <c r="AG806" i="1" s="1"/>
  <c r="AH806" i="1" s="1"/>
  <c r="AF761" i="1"/>
  <c r="AG761" i="1" s="1"/>
  <c r="AH761" i="1" s="1"/>
  <c r="AF1114" i="1"/>
  <c r="AG1114" i="1" s="1"/>
  <c r="AH1114" i="1" s="1"/>
  <c r="AF1143" i="1"/>
  <c r="AG1143" i="1" s="1"/>
  <c r="AH1143" i="1" s="1"/>
  <c r="AF366" i="1"/>
  <c r="AG366" i="1" s="1"/>
  <c r="AH366" i="1" s="1"/>
  <c r="AF154" i="1"/>
  <c r="AG154" i="1" s="1"/>
  <c r="AH154" i="1" s="1"/>
  <c r="AF73" i="1"/>
  <c r="AG73" i="1" s="1"/>
  <c r="AH73" i="1" s="1"/>
  <c r="AF1160" i="1"/>
  <c r="AG1160" i="1" s="1"/>
  <c r="AH1160" i="1" s="1"/>
  <c r="AF1029" i="1"/>
  <c r="AG1029" i="1" s="1"/>
  <c r="AH1029" i="1" s="1"/>
  <c r="AF558" i="1"/>
  <c r="AG558" i="1" s="1"/>
  <c r="AH558" i="1" s="1"/>
  <c r="AF338" i="1"/>
  <c r="AG338" i="1" s="1"/>
  <c r="AH338" i="1" s="1"/>
  <c r="AF554" i="1"/>
  <c r="AG554" i="1" s="1"/>
  <c r="AH554" i="1" s="1"/>
  <c r="AF964" i="1"/>
  <c r="AG964" i="1" s="1"/>
  <c r="AH964" i="1" s="1"/>
  <c r="AF945" i="1"/>
  <c r="AG945" i="1" s="1"/>
  <c r="AH945" i="1" s="1"/>
  <c r="AF796" i="1"/>
  <c r="AG796" i="1" s="1"/>
  <c r="AH796" i="1" s="1"/>
  <c r="AF759" i="1"/>
  <c r="AG759" i="1" s="1"/>
  <c r="AH759" i="1" s="1"/>
  <c r="AF344" i="1"/>
  <c r="AG344" i="1" s="1"/>
  <c r="AH344" i="1" s="1"/>
  <c r="AF913" i="1"/>
  <c r="AG913" i="1" s="1"/>
  <c r="AH913" i="1" s="1"/>
  <c r="AF284" i="1"/>
  <c r="AG284" i="1" s="1"/>
  <c r="AH284" i="1" s="1"/>
  <c r="AF908" i="1"/>
  <c r="AG908" i="1" s="1"/>
  <c r="AH908" i="1" s="1"/>
  <c r="AF980" i="1"/>
  <c r="AG980" i="1" s="1"/>
  <c r="AH980" i="1" s="1"/>
  <c r="AF59" i="1"/>
  <c r="AG59" i="1" s="1"/>
  <c r="AH59" i="1" s="1"/>
  <c r="AF68" i="1"/>
  <c r="AG68" i="1" s="1"/>
  <c r="AH68" i="1" s="1"/>
  <c r="AF52" i="1"/>
  <c r="AG52" i="1" s="1"/>
  <c r="AH52" i="1" s="1"/>
  <c r="AF110" i="1"/>
  <c r="AG110" i="1" s="1"/>
  <c r="AH110" i="1" s="1"/>
  <c r="AF722" i="1"/>
  <c r="AG722" i="1" s="1"/>
  <c r="AH722" i="1" s="1"/>
  <c r="AF716" i="1"/>
  <c r="AG716" i="1" s="1"/>
  <c r="AH716" i="1" s="1"/>
  <c r="AF1181" i="1"/>
  <c r="AG1181" i="1" s="1"/>
  <c r="AH1181" i="1" s="1"/>
  <c r="AF1173" i="1"/>
  <c r="AG1173" i="1" s="1"/>
  <c r="AH1173" i="1" s="1"/>
  <c r="AF957" i="1"/>
  <c r="AG957" i="1" s="1"/>
  <c r="AH957" i="1" s="1"/>
  <c r="AF666" i="1"/>
  <c r="AG666" i="1" s="1"/>
  <c r="AH666" i="1" s="1"/>
  <c r="AF306" i="1"/>
  <c r="AG306" i="1" s="1"/>
  <c r="AH306" i="1" s="1"/>
  <c r="AF509" i="1"/>
  <c r="AG509" i="1" s="1"/>
  <c r="AH509" i="1" s="1"/>
  <c r="AF437" i="1"/>
  <c r="AG437" i="1" s="1"/>
  <c r="AH437" i="1" s="1"/>
  <c r="AF1167" i="1"/>
  <c r="AG1167" i="1" s="1"/>
  <c r="AH1167" i="1" s="1"/>
  <c r="AF297" i="1"/>
  <c r="AG297" i="1" s="1"/>
  <c r="AH297" i="1" s="1"/>
  <c r="AF1117" i="1"/>
  <c r="AG1117" i="1" s="1"/>
  <c r="AH1117" i="1" s="1"/>
  <c r="AF136" i="1"/>
  <c r="AG136" i="1" s="1"/>
  <c r="AH136" i="1" s="1"/>
  <c r="AF830" i="1"/>
  <c r="AG830" i="1" s="1"/>
  <c r="AH830" i="1" s="1"/>
  <c r="AF296" i="1"/>
  <c r="AG296" i="1" s="1"/>
  <c r="AH296" i="1" s="1"/>
  <c r="AF395" i="1"/>
  <c r="AG395" i="1" s="1"/>
  <c r="AH395" i="1" s="1"/>
  <c r="AF474" i="1"/>
  <c r="AG474" i="1" s="1"/>
  <c r="AH474" i="1" s="1"/>
  <c r="AF97" i="1"/>
  <c r="AG97" i="1" s="1"/>
  <c r="AH97" i="1" s="1"/>
  <c r="AF770" i="1"/>
  <c r="AG770" i="1" s="1"/>
  <c r="AH770" i="1" s="1"/>
  <c r="AF879" i="1"/>
  <c r="AG879" i="1" s="1"/>
  <c r="AH879" i="1" s="1"/>
  <c r="AF51" i="1"/>
  <c r="AG51" i="1" s="1"/>
  <c r="AH51" i="1" s="1"/>
  <c r="AF16" i="1"/>
  <c r="AG16" i="1" s="1"/>
  <c r="AH16" i="1" s="1"/>
  <c r="AF703" i="1"/>
  <c r="AG703" i="1" s="1"/>
  <c r="AH703" i="1" s="1"/>
  <c r="AF676" i="1"/>
  <c r="AG676" i="1" s="1"/>
  <c r="AH676" i="1" s="1"/>
  <c r="AF672" i="1"/>
  <c r="AG672" i="1" s="1"/>
  <c r="AH672" i="1" s="1"/>
  <c r="AF671" i="1"/>
  <c r="AG671" i="1" s="1"/>
  <c r="AH671" i="1" s="1"/>
  <c r="AF1232" i="1"/>
  <c r="AG1232" i="1" s="1"/>
  <c r="AH1232" i="1" s="1"/>
  <c r="AF1226" i="1"/>
  <c r="AG1226" i="1" s="1"/>
  <c r="AH1226" i="1" s="1"/>
  <c r="AF724" i="1"/>
  <c r="AG724" i="1" s="1"/>
  <c r="AH724" i="1" s="1"/>
  <c r="AF11" i="1"/>
  <c r="AG11" i="1" s="1"/>
  <c r="AH11" i="1" s="1"/>
  <c r="AF1219" i="1"/>
  <c r="AG1219" i="1" s="1"/>
  <c r="AH1219" i="1" s="1"/>
  <c r="AF1050" i="1"/>
  <c r="AG1050" i="1" s="1"/>
  <c r="AH1050" i="1" s="1"/>
  <c r="AF850" i="1"/>
  <c r="AG850" i="1" s="1"/>
  <c r="AH850" i="1" s="1"/>
  <c r="AF487" i="1"/>
  <c r="AG487" i="1" s="1"/>
  <c r="AH487" i="1" s="1"/>
  <c r="AF1111" i="1"/>
  <c r="AG1111" i="1" s="1"/>
  <c r="AH1111" i="1" s="1"/>
  <c r="AF927" i="1"/>
  <c r="AG927" i="1" s="1"/>
  <c r="AH927" i="1" s="1"/>
  <c r="AF533" i="1"/>
  <c r="AG533" i="1" s="1"/>
  <c r="AH533" i="1" s="1"/>
  <c r="AF108" i="1"/>
  <c r="AG108" i="1" s="1"/>
  <c r="AH108" i="1" s="1"/>
  <c r="AF1127" i="1"/>
  <c r="AG1127" i="1" s="1"/>
  <c r="AH1127" i="1" s="1"/>
  <c r="AF609" i="1"/>
  <c r="AG609" i="1" s="1"/>
  <c r="AH609" i="1" s="1"/>
  <c r="AF318" i="1"/>
  <c r="AG318" i="1" s="1"/>
  <c r="AH318" i="1" s="1"/>
  <c r="AF993" i="1"/>
  <c r="AG993" i="1" s="1"/>
  <c r="AH993" i="1" s="1"/>
  <c r="AF976" i="1"/>
  <c r="AG976" i="1" s="1"/>
  <c r="AH976" i="1" s="1"/>
  <c r="AF408" i="1"/>
  <c r="AG408" i="1" s="1"/>
  <c r="AH408" i="1" s="1"/>
  <c r="AF1184" i="1"/>
  <c r="AG1184" i="1" s="1"/>
  <c r="AH1184" i="1" s="1"/>
  <c r="AF801" i="1"/>
  <c r="AG801" i="1" s="1"/>
  <c r="AH801" i="1" s="1"/>
  <c r="AF771" i="1"/>
  <c r="AG771" i="1" s="1"/>
  <c r="AH771" i="1" s="1"/>
  <c r="AF673" i="1"/>
  <c r="AG673" i="1" s="1"/>
  <c r="AH673" i="1" s="1"/>
  <c r="AF682" i="1"/>
  <c r="AG682" i="1" s="1"/>
  <c r="AH682" i="1" s="1"/>
  <c r="AF506" i="1"/>
  <c r="AG506" i="1" s="1"/>
  <c r="AH506" i="1" s="1"/>
  <c r="AF219" i="1"/>
  <c r="AG219" i="1" s="1"/>
  <c r="AH219" i="1" s="1"/>
  <c r="AF670" i="1"/>
  <c r="AG670" i="1" s="1"/>
  <c r="AH670" i="1" s="1"/>
  <c r="AF633" i="1"/>
  <c r="AG633" i="1" s="1"/>
  <c r="AH633" i="1" s="1"/>
  <c r="AF733" i="1"/>
  <c r="AG733" i="1" s="1"/>
  <c r="AH733" i="1" s="1"/>
  <c r="AF662" i="1"/>
  <c r="AG662" i="1" s="1"/>
  <c r="AH662" i="1" s="1"/>
  <c r="AF590" i="1"/>
  <c r="AG590" i="1" s="1"/>
  <c r="AH590" i="1" s="1"/>
  <c r="AF280" i="1"/>
  <c r="AG280" i="1" s="1"/>
  <c r="AH280" i="1" s="1"/>
  <c r="AF102" i="1"/>
  <c r="AG102" i="1" s="1"/>
  <c r="AH102" i="1" s="1"/>
  <c r="AF646" i="1"/>
  <c r="AG646" i="1" s="1"/>
  <c r="AH646" i="1" s="1"/>
  <c r="AF1120" i="1"/>
  <c r="AG1120" i="1" s="1"/>
  <c r="AH1120" i="1" s="1"/>
  <c r="AF75" i="1"/>
  <c r="AG75" i="1" s="1"/>
  <c r="AH75" i="1" s="1"/>
  <c r="AF1083" i="1"/>
  <c r="AG1083" i="1" s="1"/>
  <c r="AH1083" i="1" s="1"/>
  <c r="AF979" i="1"/>
  <c r="AG979" i="1" s="1"/>
  <c r="AH979" i="1" s="1"/>
  <c r="AF907" i="1"/>
  <c r="AG907" i="1" s="1"/>
  <c r="AH907" i="1" s="1"/>
  <c r="AF918" i="1"/>
  <c r="AG918" i="1" s="1"/>
  <c r="AH918" i="1" s="1"/>
  <c r="AF586" i="1"/>
  <c r="AG586" i="1" s="1"/>
  <c r="AH586" i="1" s="1"/>
  <c r="AF701" i="1"/>
  <c r="AG701" i="1" s="1"/>
  <c r="AH701" i="1" s="1"/>
  <c r="AF292" i="1"/>
  <c r="AG292" i="1" s="1"/>
  <c r="AH292" i="1" s="1"/>
  <c r="AF726" i="1"/>
  <c r="AG726" i="1" s="1"/>
  <c r="AH726" i="1" s="1"/>
  <c r="AF713" i="1"/>
  <c r="AG713" i="1" s="1"/>
  <c r="AH713" i="1" s="1"/>
  <c r="AF629" i="1"/>
  <c r="AG629" i="1" s="1"/>
  <c r="AH629" i="1" s="1"/>
  <c r="AF460" i="1"/>
  <c r="AG460" i="1" s="1"/>
  <c r="AH460" i="1" s="1"/>
  <c r="AF124" i="1"/>
  <c r="AG124" i="1" s="1"/>
  <c r="AH124" i="1" s="1"/>
  <c r="AF1033" i="1"/>
  <c r="AG1033" i="1" s="1"/>
  <c r="AH1033" i="1" s="1"/>
  <c r="AF753" i="1"/>
  <c r="AG753" i="1" s="1"/>
  <c r="AH753" i="1" s="1"/>
  <c r="AF792" i="1"/>
  <c r="AG792" i="1" s="1"/>
  <c r="AH792" i="1" s="1"/>
  <c r="AF105" i="1"/>
  <c r="AG105" i="1" s="1"/>
  <c r="AH105" i="1" s="1"/>
  <c r="AF209" i="1"/>
  <c r="AG209" i="1" s="1"/>
  <c r="AH209" i="1" s="1"/>
  <c r="AF818" i="1"/>
  <c r="AG818" i="1" s="1"/>
  <c r="AH818" i="1" s="1"/>
  <c r="AF458" i="1"/>
  <c r="AG458" i="1" s="1"/>
  <c r="AH458" i="1" s="1"/>
  <c r="AF1215" i="1"/>
  <c r="AG1215" i="1" s="1"/>
  <c r="AH1215" i="1" s="1"/>
  <c r="AF215" i="1"/>
  <c r="AG215" i="1" s="1"/>
  <c r="AH215" i="1" s="1"/>
  <c r="AF696" i="1"/>
  <c r="AG696" i="1" s="1"/>
  <c r="AH696" i="1" s="1"/>
  <c r="AF468" i="1"/>
  <c r="AG468" i="1" s="1"/>
  <c r="AH468" i="1" s="1"/>
  <c r="AF1231" i="1"/>
  <c r="AG1231" i="1" s="1"/>
  <c r="AH1231" i="1" s="1"/>
  <c r="AF732" i="1"/>
  <c r="AG732" i="1" s="1"/>
  <c r="AH732" i="1" s="1"/>
  <c r="AF711" i="1"/>
  <c r="AG711" i="1" s="1"/>
  <c r="AH711" i="1" s="1"/>
  <c r="AF1180" i="1"/>
  <c r="AG1180" i="1" s="1"/>
  <c r="AH1180" i="1" s="1"/>
  <c r="AF428" i="1"/>
  <c r="AG428" i="1" s="1"/>
  <c r="AH428" i="1" s="1"/>
  <c r="AF117" i="1"/>
  <c r="AG117" i="1" s="1"/>
  <c r="AH117" i="1" s="1"/>
  <c r="AF7" i="1"/>
  <c r="AG7" i="1" s="1"/>
  <c r="AH7" i="1" s="1"/>
  <c r="AF559" i="1"/>
  <c r="AG559" i="1" s="1"/>
  <c r="AH559" i="1" s="1"/>
  <c r="AF650" i="1"/>
  <c r="AG650" i="1" s="1"/>
  <c r="AH650" i="1" s="1"/>
  <c r="AF834" i="1"/>
  <c r="AG834" i="1" s="1"/>
  <c r="AH834" i="1" s="1"/>
  <c r="AF991" i="1"/>
  <c r="AG991" i="1" s="1"/>
  <c r="AH991" i="1" s="1"/>
  <c r="AF973" i="1"/>
  <c r="AG973" i="1" s="1"/>
  <c r="AH973" i="1" s="1"/>
  <c r="AF798" i="1"/>
  <c r="AG798" i="1" s="1"/>
  <c r="AH798" i="1" s="1"/>
  <c r="AF1051" i="1"/>
  <c r="AG1051" i="1" s="1"/>
  <c r="AH1051" i="1" s="1"/>
  <c r="AF851" i="1"/>
  <c r="AG851" i="1" s="1"/>
  <c r="AH851" i="1" s="1"/>
  <c r="AF323" i="1"/>
  <c r="AG323" i="1" s="1"/>
  <c r="AH323" i="1" s="1"/>
  <c r="AF1151" i="1"/>
  <c r="AG1151" i="1" s="1"/>
  <c r="AH1151" i="1" s="1"/>
  <c r="AF281" i="1"/>
  <c r="AG281" i="1" s="1"/>
  <c r="AH281" i="1" s="1"/>
  <c r="AF836" i="1"/>
  <c r="AG836" i="1" s="1"/>
  <c r="AH836" i="1" s="1"/>
  <c r="AF1182" i="1"/>
  <c r="AG1182" i="1" s="1"/>
  <c r="AH1182" i="1" s="1"/>
  <c r="AF679" i="1"/>
  <c r="AG679" i="1" s="1"/>
  <c r="AH679" i="1" s="1"/>
  <c r="AF752" i="1"/>
  <c r="AG752" i="1" s="1"/>
  <c r="AH752" i="1" s="1"/>
  <c r="AF846" i="1"/>
  <c r="AG846" i="1" s="1"/>
  <c r="AH846" i="1" s="1"/>
  <c r="AF1159" i="1"/>
  <c r="AG1159" i="1" s="1"/>
  <c r="AH1159" i="1" s="1"/>
  <c r="AF1202" i="1"/>
  <c r="AG1202" i="1" s="1"/>
  <c r="AH1202" i="1" s="1"/>
  <c r="AF407" i="1"/>
  <c r="AG407" i="1" s="1"/>
  <c r="AH407" i="1" s="1"/>
  <c r="AF1207" i="1"/>
  <c r="AG1207" i="1" s="1"/>
  <c r="AH1207" i="1" s="1"/>
  <c r="AF168" i="1"/>
  <c r="AG168" i="1" s="1"/>
  <c r="AH168" i="1" s="1"/>
  <c r="AF466" i="1"/>
  <c r="AG466" i="1" s="1"/>
  <c r="AH466" i="1" s="1"/>
  <c r="AF621" i="1"/>
  <c r="AG621" i="1" s="1"/>
  <c r="AH621" i="1" s="1"/>
  <c r="AF26" i="1"/>
  <c r="AG26" i="1" s="1"/>
  <c r="AH26" i="1" s="1"/>
  <c r="AF303" i="1"/>
  <c r="AG303" i="1" s="1"/>
  <c r="AH303" i="1" s="1"/>
  <c r="AF793" i="1"/>
  <c r="AG793" i="1" s="1"/>
  <c r="AH793" i="1" s="1"/>
  <c r="AF185" i="1"/>
  <c r="AG185" i="1" s="1"/>
  <c r="AH185" i="1" s="1"/>
  <c r="AF438" i="1"/>
  <c r="AG438" i="1" s="1"/>
  <c r="AH438" i="1" s="1"/>
  <c r="AF866" i="1"/>
  <c r="AG866" i="1" s="1"/>
  <c r="AH866" i="1" s="1"/>
  <c r="AF965" i="1"/>
  <c r="AG965" i="1" s="1"/>
  <c r="AH965" i="1" s="1"/>
  <c r="AF423" i="1"/>
  <c r="AG423" i="1" s="1"/>
  <c r="AH423" i="1" s="1"/>
  <c r="AF350" i="1"/>
  <c r="AG350" i="1" s="1"/>
  <c r="AH350" i="1" s="1"/>
  <c r="AF530" i="1"/>
  <c r="AG530" i="1" s="1"/>
  <c r="AH530" i="1" s="1"/>
  <c r="AF691" i="1"/>
  <c r="AG691" i="1" s="1"/>
  <c r="AH691" i="1" s="1"/>
  <c r="AF444" i="1"/>
  <c r="AG444" i="1" s="1"/>
  <c r="AH444" i="1" s="1"/>
  <c r="AF706" i="1"/>
  <c r="AG706" i="1" s="1"/>
  <c r="AH706" i="1" s="1"/>
  <c r="AF567" i="1"/>
  <c r="AG567" i="1" s="1"/>
  <c r="AH567" i="1" s="1"/>
  <c r="AF1124" i="1"/>
  <c r="AG1124" i="1" s="1"/>
  <c r="AH1124" i="1" s="1"/>
  <c r="AF1126" i="1"/>
  <c r="AG1126" i="1" s="1"/>
  <c r="AH1126" i="1" s="1"/>
  <c r="AF984" i="1"/>
  <c r="AG984" i="1" s="1"/>
  <c r="AH984" i="1" s="1"/>
  <c r="AF1142" i="1"/>
  <c r="AG1142" i="1" s="1"/>
  <c r="AH1142" i="1" s="1"/>
  <c r="AF596" i="1"/>
  <c r="AG596" i="1" s="1"/>
  <c r="AH596" i="1" s="1"/>
  <c r="AF447" i="1"/>
  <c r="AG447" i="1" s="1"/>
  <c r="AH447" i="1" s="1"/>
  <c r="AF606" i="1"/>
  <c r="AG606" i="1" s="1"/>
  <c r="AH606" i="1" s="1"/>
  <c r="AF223" i="1"/>
  <c r="AG223" i="1" s="1"/>
  <c r="AH223" i="1" s="1"/>
  <c r="AF936" i="1"/>
  <c r="AG936" i="1" s="1"/>
  <c r="AH936" i="1" s="1"/>
  <c r="AF735" i="1"/>
  <c r="AG735" i="1" s="1"/>
  <c r="AH735" i="1" s="1"/>
  <c r="AF1061" i="1"/>
  <c r="AG1061" i="1" s="1"/>
  <c r="AH1061" i="1" s="1"/>
  <c r="AF87" i="1"/>
  <c r="AG87" i="1" s="1"/>
  <c r="AH87" i="1" s="1"/>
  <c r="AF1220" i="1"/>
  <c r="AG1220" i="1" s="1"/>
  <c r="AH1220" i="1" s="1"/>
  <c r="AF493" i="1"/>
  <c r="AG493" i="1" s="1"/>
  <c r="AH493" i="1" s="1"/>
  <c r="AF1179" i="1"/>
  <c r="AG1179" i="1" s="1"/>
  <c r="AH1179" i="1" s="1"/>
  <c r="AF1090" i="1"/>
  <c r="AG1090" i="1" s="1"/>
  <c r="AH1090" i="1" s="1"/>
  <c r="AF848" i="1"/>
  <c r="AG848" i="1" s="1"/>
  <c r="AH848" i="1" s="1"/>
  <c r="AF54" i="1"/>
  <c r="AG54" i="1" s="1"/>
  <c r="AH54" i="1" s="1"/>
  <c r="AF674" i="1"/>
  <c r="AG674" i="1" s="1"/>
  <c r="AH674" i="1" s="1"/>
  <c r="AF640" i="1"/>
  <c r="AG640" i="1" s="1"/>
  <c r="AH640" i="1" s="1"/>
  <c r="AF887" i="1"/>
  <c r="AG887" i="1" s="1"/>
  <c r="AH887" i="1" s="1"/>
  <c r="AF934" i="1"/>
  <c r="AG934" i="1" s="1"/>
  <c r="AH934" i="1" s="1"/>
  <c r="AF1094" i="1"/>
  <c r="AG1094" i="1" s="1"/>
  <c r="AH1094" i="1" s="1"/>
  <c r="AF607" i="1"/>
  <c r="AG607" i="1" s="1"/>
  <c r="AH607" i="1" s="1"/>
  <c r="AF224" i="1"/>
  <c r="AG224" i="1" s="1"/>
  <c r="AH224" i="1" s="1"/>
  <c r="AF999" i="1"/>
  <c r="AG999" i="1" s="1"/>
  <c r="AH999" i="1" s="1"/>
  <c r="AF1005" i="1"/>
  <c r="AG1005" i="1" s="1"/>
  <c r="AH1005" i="1" s="1"/>
  <c r="AF1227" i="1"/>
  <c r="AG1227" i="1" s="1"/>
  <c r="AH1227" i="1" s="1"/>
  <c r="AF1229" i="1"/>
  <c r="AG1229" i="1" s="1"/>
  <c r="AH1229" i="1" s="1"/>
  <c r="AF552" i="1"/>
  <c r="AG552" i="1" s="1"/>
  <c r="AH552" i="1" s="1"/>
  <c r="AF667" i="1"/>
  <c r="AG667" i="1" s="1"/>
  <c r="AH667" i="1" s="1"/>
  <c r="AF121" i="1"/>
  <c r="AG121" i="1" s="1"/>
  <c r="AH121" i="1" s="1"/>
  <c r="AF115" i="1"/>
  <c r="AG115" i="1" s="1"/>
  <c r="AH115" i="1" s="1"/>
  <c r="AF164" i="1"/>
  <c r="AG164" i="1" s="1"/>
  <c r="AH164" i="1" s="1"/>
  <c r="AF524" i="1"/>
  <c r="AG524" i="1" s="1"/>
  <c r="AH524" i="1" s="1"/>
  <c r="AF1107" i="1"/>
  <c r="AG1107" i="1" s="1"/>
  <c r="AH1107" i="1" s="1"/>
  <c r="AF206" i="1"/>
  <c r="AG206" i="1" s="1"/>
  <c r="AH206" i="1" s="1"/>
  <c r="AF41" i="1"/>
  <c r="AG41" i="1" s="1"/>
  <c r="AH41" i="1" s="1"/>
  <c r="AF853" i="1"/>
  <c r="AG853" i="1" s="1"/>
  <c r="AH853" i="1" s="1"/>
  <c r="AF756" i="1"/>
  <c r="AG756" i="1" s="1"/>
  <c r="AH756" i="1" s="1"/>
  <c r="AF986" i="1"/>
  <c r="AG986" i="1" s="1"/>
  <c r="AH986" i="1" s="1"/>
  <c r="AF374" i="1"/>
  <c r="AG374" i="1" s="1"/>
  <c r="AH374" i="1" s="1"/>
  <c r="AF27" i="1"/>
  <c r="AG27" i="1" s="1"/>
  <c r="AH27" i="1" s="1"/>
  <c r="AF189" i="1"/>
  <c r="AG189" i="1" s="1"/>
  <c r="AH189" i="1" s="1"/>
  <c r="AF426" i="1"/>
  <c r="AG426" i="1" s="1"/>
  <c r="AH426" i="1" s="1"/>
  <c r="AF333" i="1"/>
  <c r="AG333" i="1" s="1"/>
  <c r="AH333" i="1" s="1"/>
  <c r="AF906" i="1"/>
  <c r="AG906" i="1" s="1"/>
  <c r="AH906" i="1" s="1"/>
  <c r="AF363" i="1"/>
  <c r="AG363" i="1" s="1"/>
  <c r="AH363" i="1" s="1"/>
  <c r="AF370" i="1"/>
  <c r="AG370" i="1" s="1"/>
  <c r="AH370" i="1" s="1"/>
  <c r="AF25" i="1"/>
  <c r="AG25" i="1" s="1"/>
  <c r="AH25" i="1" s="1"/>
  <c r="AF828" i="1"/>
  <c r="AG828" i="1" s="1"/>
  <c r="AH828" i="1" s="1"/>
  <c r="AF618" i="1"/>
  <c r="AG618" i="1" s="1"/>
  <c r="AH618" i="1" s="1"/>
  <c r="AF324" i="1"/>
  <c r="AG324" i="1" s="1"/>
  <c r="AH324" i="1" s="1"/>
  <c r="AF328" i="1"/>
  <c r="AG328" i="1" s="1"/>
  <c r="AH328" i="1" s="1"/>
  <c r="AF962" i="1"/>
  <c r="AG962" i="1" s="1"/>
  <c r="AH962" i="1" s="1"/>
  <c r="AF815" i="1"/>
  <c r="AG815" i="1" s="1"/>
  <c r="AH815" i="1" s="1"/>
  <c r="AF787" i="1"/>
  <c r="AG787" i="1" s="1"/>
  <c r="AH787" i="1" s="1"/>
  <c r="AF1095" i="1"/>
  <c r="AG1095" i="1" s="1"/>
  <c r="AH1095" i="1" s="1"/>
  <c r="AF543" i="1"/>
  <c r="AG543" i="1" s="1"/>
  <c r="AH543" i="1" s="1"/>
  <c r="AF316" i="1"/>
  <c r="AG316" i="1" s="1"/>
  <c r="AH316" i="1" s="1"/>
  <c r="AF228" i="1"/>
  <c r="AG228" i="1" s="1"/>
  <c r="AH228" i="1" s="1"/>
  <c r="AF1028" i="1"/>
  <c r="AG1028" i="1" s="1"/>
  <c r="AH1028" i="1" s="1"/>
  <c r="AF560" i="1"/>
  <c r="AG560" i="1" s="1"/>
  <c r="AH560" i="1" s="1"/>
  <c r="AF36" i="1"/>
  <c r="AG36" i="1" s="1"/>
  <c r="AH36" i="1" s="1"/>
  <c r="AF1055" i="1"/>
  <c r="AG1055" i="1" s="1"/>
  <c r="AH1055" i="1" s="1"/>
  <c r="AF847" i="1"/>
  <c r="AG847" i="1" s="1"/>
  <c r="AH847" i="1" s="1"/>
  <c r="AF852" i="1"/>
  <c r="AG852" i="1" s="1"/>
  <c r="AH852" i="1" s="1"/>
  <c r="AF890" i="1"/>
  <c r="AG890" i="1" s="1"/>
  <c r="AH890" i="1" s="1"/>
  <c r="AF517" i="1"/>
  <c r="AG517" i="1" s="1"/>
  <c r="AH517" i="1" s="1"/>
  <c r="AF970" i="1"/>
  <c r="AG970" i="1" s="1"/>
  <c r="AH970" i="1" s="1"/>
  <c r="AF165" i="1"/>
  <c r="AG165" i="1" s="1"/>
  <c r="AH165" i="1" s="1"/>
  <c r="AF472" i="1"/>
  <c r="AG472" i="1" s="1"/>
  <c r="AH472" i="1" s="1"/>
  <c r="AF911" i="1"/>
  <c r="AG911" i="1" s="1"/>
  <c r="AH911" i="1" s="1"/>
  <c r="AF410" i="1"/>
  <c r="AG410" i="1" s="1"/>
  <c r="AH410" i="1" s="1"/>
  <c r="AF371" i="1"/>
  <c r="AG371" i="1" s="1"/>
  <c r="AH371" i="1" s="1"/>
  <c r="AF570" i="1"/>
  <c r="AG570" i="1" s="1"/>
  <c r="AH570" i="1" s="1"/>
  <c r="AF1122" i="1"/>
  <c r="AG1122" i="1" s="1"/>
  <c r="AH1122" i="1" s="1"/>
  <c r="AF151" i="1"/>
  <c r="AG151" i="1" s="1"/>
  <c r="AH151" i="1" s="1"/>
  <c r="AF401" i="1"/>
  <c r="AG401" i="1" s="1"/>
  <c r="AH401" i="1" s="1"/>
  <c r="AF768" i="1"/>
  <c r="AG768" i="1" s="1"/>
  <c r="AH768" i="1" s="1"/>
  <c r="AF78" i="1"/>
  <c r="AG78" i="1" s="1"/>
  <c r="AH78" i="1" s="1"/>
  <c r="AF1011" i="1"/>
  <c r="AG1011" i="1" s="1"/>
  <c r="AH1011" i="1" s="1"/>
  <c r="AF817" i="1"/>
  <c r="AG817" i="1" s="1"/>
  <c r="AH817" i="1" s="1"/>
  <c r="AF459" i="1"/>
  <c r="AG459" i="1" s="1"/>
  <c r="AH459" i="1" s="1"/>
  <c r="AF805" i="1"/>
  <c r="AG805" i="1" s="1"/>
  <c r="AH805" i="1" s="1"/>
  <c r="AF166" i="1"/>
  <c r="AG166" i="1" s="1"/>
  <c r="AH166" i="1" s="1"/>
  <c r="AF457" i="1"/>
  <c r="AG457" i="1" s="1"/>
  <c r="AH457" i="1" s="1"/>
  <c r="AF892" i="1"/>
  <c r="AG892" i="1" s="1"/>
  <c r="AH892" i="1" s="1"/>
  <c r="AF233" i="1"/>
  <c r="AG233" i="1" s="1"/>
  <c r="AH233" i="1" s="1"/>
  <c r="AF652" i="1"/>
  <c r="AG652" i="1" s="1"/>
  <c r="AH652" i="1" s="1"/>
  <c r="AF643" i="1"/>
  <c r="AG643" i="1" s="1"/>
  <c r="AH643" i="1" s="1"/>
  <c r="AF172" i="1"/>
  <c r="AG172" i="1" s="1"/>
  <c r="AH172" i="1" s="1"/>
  <c r="AF1012" i="1"/>
  <c r="AG1012" i="1" s="1"/>
  <c r="AH1012" i="1" s="1"/>
  <c r="AF417" i="1"/>
  <c r="AG417" i="1" s="1"/>
  <c r="AH417" i="1" s="1"/>
  <c r="AF414" i="1"/>
  <c r="AG414" i="1" s="1"/>
  <c r="AH414" i="1" s="1"/>
  <c r="AF348" i="1"/>
  <c r="AG348" i="1" s="1"/>
  <c r="AH348" i="1" s="1"/>
  <c r="AF571" i="1"/>
  <c r="AG571" i="1" s="1"/>
  <c r="AH571" i="1" s="1"/>
  <c r="AF568" i="1"/>
  <c r="AG568" i="1" s="1"/>
  <c r="AH568" i="1" s="1"/>
  <c r="AF1200" i="1"/>
  <c r="AG1200" i="1" s="1"/>
  <c r="AH1200" i="1" s="1"/>
  <c r="AF1116" i="1"/>
  <c r="AG1116" i="1" s="1"/>
  <c r="AH1116" i="1" s="1"/>
  <c r="AF406" i="1"/>
  <c r="AG406" i="1" s="1"/>
  <c r="AH406" i="1" s="1"/>
  <c r="AF386" i="1"/>
  <c r="AG386" i="1" s="1"/>
  <c r="AH386" i="1" s="1"/>
  <c r="AF391" i="1"/>
  <c r="AG391" i="1" s="1"/>
  <c r="AH391" i="1" s="1"/>
  <c r="AF541" i="1"/>
  <c r="AG541" i="1" s="1"/>
  <c r="AH541" i="1" s="1"/>
  <c r="AF327" i="1"/>
  <c r="AG327" i="1" s="1"/>
  <c r="AH327" i="1" s="1"/>
  <c r="AF1036" i="1"/>
  <c r="AG1036" i="1" s="1"/>
  <c r="AH1036" i="1" s="1"/>
  <c r="AF1135" i="1"/>
  <c r="AG1135" i="1" s="1"/>
  <c r="AH1135" i="1" s="1"/>
  <c r="AF152" i="1"/>
  <c r="AG152" i="1" s="1"/>
  <c r="AH152" i="1" s="1"/>
  <c r="AF864" i="1"/>
  <c r="AG864" i="1" s="1"/>
  <c r="AH864" i="1" s="1"/>
  <c r="AF782" i="1"/>
  <c r="AG782" i="1" s="1"/>
  <c r="AH782" i="1" s="1"/>
  <c r="AF496" i="1"/>
  <c r="AG496" i="1" s="1"/>
  <c r="AH496" i="1" s="1"/>
  <c r="AF788" i="1"/>
  <c r="AG788" i="1" s="1"/>
  <c r="AH788" i="1" s="1"/>
  <c r="AF249" i="1"/>
  <c r="AG249" i="1" s="1"/>
  <c r="AH249" i="1" s="1"/>
  <c r="AF464" i="1"/>
  <c r="AG464" i="1" s="1"/>
  <c r="AH464" i="1" s="1"/>
  <c r="AF604" i="1"/>
  <c r="AG604" i="1" s="1"/>
  <c r="AH604" i="1" s="1"/>
  <c r="AF610" i="1"/>
  <c r="AG610" i="1" s="1"/>
  <c r="AH610" i="1" s="1"/>
  <c r="AF807" i="1"/>
  <c r="AG807" i="1" s="1"/>
  <c r="AH807" i="1" s="1"/>
  <c r="AF1085" i="1"/>
  <c r="AG1085" i="1" s="1"/>
  <c r="AH1085" i="1" s="1"/>
  <c r="AF430" i="1"/>
  <c r="AG430" i="1" s="1"/>
  <c r="AH430" i="1" s="1"/>
  <c r="AF434" i="1"/>
  <c r="AG434" i="1" s="1"/>
  <c r="AH434" i="1" s="1"/>
  <c r="AF94" i="1"/>
  <c r="AG94" i="1" s="1"/>
  <c r="AH94" i="1" s="1"/>
  <c r="AF330" i="1"/>
  <c r="AG330" i="1" s="1"/>
  <c r="AH330" i="1" s="1"/>
  <c r="AF262" i="1"/>
  <c r="AG262" i="1" s="1"/>
  <c r="AH262" i="1" s="1"/>
  <c r="AF243" i="1"/>
  <c r="AG243" i="1" s="1"/>
  <c r="AH243" i="1" s="1"/>
  <c r="AF1099" i="1"/>
  <c r="AG1099" i="1" s="1"/>
  <c r="AH1099" i="1" s="1"/>
  <c r="AF922" i="1"/>
  <c r="AG922" i="1" s="1"/>
  <c r="AH922" i="1" s="1"/>
  <c r="AF1065" i="1"/>
  <c r="AG1065" i="1" s="1"/>
  <c r="AH1065" i="1" s="1"/>
  <c r="AF1130" i="1"/>
  <c r="AG1130" i="1" s="1"/>
  <c r="AH1130" i="1" s="1"/>
  <c r="AF1073" i="1"/>
  <c r="AG1073" i="1" s="1"/>
  <c r="AH1073" i="1" s="1"/>
  <c r="AF1166" i="1"/>
  <c r="AG1166" i="1" s="1"/>
  <c r="AH1166" i="1" s="1"/>
  <c r="AF299" i="1"/>
  <c r="AG299" i="1" s="1"/>
  <c r="AH299" i="1" s="1"/>
  <c r="AF263" i="1"/>
  <c r="AG263" i="1" s="1"/>
  <c r="AH263" i="1" s="1"/>
  <c r="AF1118" i="1"/>
  <c r="AG1118" i="1" s="1"/>
  <c r="AH1118" i="1" s="1"/>
  <c r="AF161" i="1"/>
  <c r="AG161" i="1" s="1"/>
  <c r="AH161" i="1" s="1"/>
  <c r="AF1091" i="1"/>
  <c r="AG1091" i="1" s="1"/>
  <c r="AH1091" i="1" s="1"/>
  <c r="AF191" i="1"/>
  <c r="AG191" i="1" s="1"/>
  <c r="AH191" i="1" s="1"/>
  <c r="AF155" i="1"/>
  <c r="AG155" i="1" s="1"/>
  <c r="AH155" i="1" s="1"/>
  <c r="AF397" i="1"/>
  <c r="AG397" i="1" s="1"/>
  <c r="AH397" i="1" s="1"/>
  <c r="AF385" i="1"/>
  <c r="AG385" i="1" s="1"/>
  <c r="AH385" i="1" s="1"/>
  <c r="AF325" i="1"/>
  <c r="AG325" i="1" s="1"/>
  <c r="AH325" i="1" s="1"/>
  <c r="AF326" i="1"/>
  <c r="AG326" i="1" s="1"/>
  <c r="AH326" i="1" s="1"/>
  <c r="AF1156" i="1"/>
  <c r="AG1156" i="1" s="1"/>
  <c r="AH1156" i="1" s="1"/>
  <c r="AF142" i="1"/>
  <c r="AG142" i="1" s="1"/>
  <c r="AH142" i="1" s="1"/>
  <c r="AF86" i="1"/>
  <c r="AG86" i="1" s="1"/>
  <c r="AH86" i="1" s="1"/>
  <c r="AF79" i="1"/>
  <c r="AG79" i="1" s="1"/>
  <c r="AH79" i="1" s="1"/>
  <c r="AF615" i="1"/>
  <c r="AG615" i="1" s="1"/>
  <c r="AH615" i="1" s="1"/>
  <c r="AF512" i="1"/>
  <c r="AG512" i="1" s="1"/>
  <c r="AH512" i="1" s="1"/>
  <c r="AF612" i="1"/>
  <c r="AG612" i="1" s="1"/>
  <c r="AH612" i="1" s="1"/>
  <c r="AF383" i="1"/>
  <c r="AG383" i="1" s="1"/>
  <c r="AH383" i="1" s="1"/>
  <c r="AF227" i="1"/>
  <c r="AG227" i="1" s="1"/>
  <c r="AH227" i="1" s="1"/>
  <c r="AF462" i="1"/>
  <c r="AG462" i="1" s="1"/>
  <c r="AH462" i="1" s="1"/>
  <c r="AF762" i="1"/>
  <c r="AG762" i="1" s="1"/>
  <c r="AH762" i="1" s="1"/>
  <c r="AF1026" i="1"/>
  <c r="AG1026" i="1" s="1"/>
  <c r="AH1026" i="1" s="1"/>
  <c r="AF578" i="1"/>
  <c r="AG578" i="1" s="1"/>
  <c r="AH578" i="1" s="1"/>
  <c r="AF273" i="1"/>
  <c r="AG273" i="1" s="1"/>
  <c r="AH273" i="1" s="1"/>
  <c r="AF342" i="1"/>
  <c r="AG342" i="1" s="1"/>
  <c r="AH342" i="1" s="1"/>
  <c r="AF354" i="1"/>
  <c r="AG354" i="1" s="1"/>
  <c r="AH354" i="1" s="1"/>
  <c r="AF260" i="1"/>
  <c r="AG260" i="1" s="1"/>
  <c r="AH260" i="1" s="1"/>
  <c r="AF72" i="1"/>
  <c r="AG72" i="1" s="1"/>
  <c r="AH72" i="1" s="1"/>
  <c r="AF147" i="1"/>
  <c r="AG147" i="1" s="1"/>
  <c r="AH147" i="1" s="1"/>
  <c r="AF1147" i="1"/>
  <c r="AG1147" i="1" s="1"/>
  <c r="AH1147" i="1" s="1"/>
  <c r="AF868" i="1"/>
  <c r="AG868" i="1" s="1"/>
  <c r="AH868" i="1" s="1"/>
  <c r="AF535" i="1"/>
  <c r="AG535" i="1" s="1"/>
  <c r="AH535" i="1" s="1"/>
  <c r="AF266" i="1"/>
  <c r="AG266" i="1" s="1"/>
  <c r="AH266" i="1" s="1"/>
  <c r="AF207" i="1"/>
  <c r="AG207" i="1" s="1"/>
  <c r="AH207" i="1" s="1"/>
  <c r="AF1019" i="1"/>
  <c r="AG1019" i="1" s="1"/>
  <c r="AH1019" i="1" s="1"/>
  <c r="AF598" i="1"/>
  <c r="AG598" i="1" s="1"/>
  <c r="AH598" i="1" s="1"/>
  <c r="AF537" i="1"/>
  <c r="AG537" i="1" s="1"/>
  <c r="AH537" i="1" s="1"/>
  <c r="AF343" i="1"/>
  <c r="AG343" i="1" s="1"/>
  <c r="AH343" i="1" s="1"/>
  <c r="AF170" i="1"/>
  <c r="AG170" i="1" s="1"/>
  <c r="AH170" i="1" s="1"/>
  <c r="AF518" i="1"/>
  <c r="AG518" i="1" s="1"/>
  <c r="AH518" i="1" s="1"/>
  <c r="AF708" i="1"/>
  <c r="AG708" i="1" s="1"/>
  <c r="AH708" i="1" s="1"/>
  <c r="AF481" i="1"/>
  <c r="AG481" i="1" s="1"/>
  <c r="AH481" i="1" s="1"/>
  <c r="AF1016" i="1"/>
  <c r="AG1016" i="1" s="1"/>
  <c r="AH1016" i="1" s="1"/>
  <c r="AF1149" i="1"/>
  <c r="AG1149" i="1" s="1"/>
  <c r="AH1149" i="1" s="1"/>
  <c r="AF1075" i="1"/>
  <c r="AG1075" i="1" s="1"/>
  <c r="AH1075" i="1" s="1"/>
  <c r="AF1020" i="1"/>
  <c r="AG1020" i="1" s="1"/>
  <c r="AH1020" i="1" s="1"/>
  <c r="AF346" i="1"/>
  <c r="AG346" i="1" s="1"/>
  <c r="AH346" i="1" s="1"/>
  <c r="AF940" i="1"/>
  <c r="AG940" i="1" s="1"/>
  <c r="AH940" i="1" s="1"/>
  <c r="AF1088" i="1"/>
  <c r="AG1088" i="1" s="1"/>
  <c r="AH1088" i="1" s="1"/>
  <c r="AF1150" i="1"/>
  <c r="AG1150" i="1" s="1"/>
  <c r="AH1150" i="1" s="1"/>
  <c r="AF898" i="1"/>
  <c r="AG898" i="1" s="1"/>
  <c r="AH898" i="1" s="1"/>
  <c r="AF897" i="1"/>
  <c r="AG897" i="1" s="1"/>
  <c r="AH897" i="1" s="1"/>
  <c r="AF563" i="1"/>
  <c r="AG563" i="1" s="1"/>
  <c r="AH563" i="1" s="1"/>
  <c r="AF951" i="1"/>
  <c r="AG951" i="1" s="1"/>
  <c r="AH951" i="1" s="1"/>
  <c r="AF163" i="1"/>
  <c r="AG163" i="1" s="1"/>
  <c r="AH163" i="1" s="1"/>
  <c r="AF1041" i="1"/>
  <c r="AG1041" i="1" s="1"/>
  <c r="AH1041" i="1" s="1"/>
  <c r="AF3" i="1"/>
  <c r="AG3" i="1" s="1"/>
  <c r="AH3" i="1" s="1"/>
  <c r="AF785" i="1"/>
  <c r="AG785" i="1" s="1"/>
  <c r="AH785" i="1" s="1"/>
  <c r="AF550" i="1"/>
  <c r="AG550" i="1" s="1"/>
  <c r="AH550" i="1" s="1"/>
  <c r="AF641" i="1"/>
  <c r="AG641" i="1" s="1"/>
  <c r="AH641" i="1" s="1"/>
  <c r="AF368" i="1"/>
  <c r="AG368" i="1" s="1"/>
  <c r="AH368" i="1" s="1"/>
  <c r="AF435" i="1"/>
  <c r="AG435" i="1" s="1"/>
  <c r="AH435" i="1" s="1"/>
  <c r="AF229" i="1"/>
  <c r="AG229" i="1" s="1"/>
  <c r="AH229" i="1" s="1"/>
  <c r="AF80" i="1"/>
  <c r="AG80" i="1" s="1"/>
  <c r="AH80" i="1" s="1"/>
  <c r="AF1146" i="1"/>
  <c r="AG1146" i="1" s="1"/>
  <c r="AH1146" i="1" s="1"/>
  <c r="AF1098" i="1"/>
  <c r="AG1098" i="1" s="1"/>
  <c r="AH1098" i="1" s="1"/>
  <c r="AF353" i="1"/>
  <c r="AG353" i="1" s="1"/>
  <c r="AH353" i="1" s="1"/>
  <c r="AF946" i="1"/>
  <c r="AG946" i="1" s="1"/>
  <c r="AH946" i="1" s="1"/>
  <c r="AF1163" i="1"/>
  <c r="AG1163" i="1" s="1"/>
  <c r="AH1163" i="1" s="1"/>
  <c r="AF780" i="1"/>
  <c r="AG780" i="1" s="1"/>
  <c r="AH780" i="1" s="1"/>
  <c r="AF841" i="1"/>
  <c r="AG841" i="1" s="1"/>
  <c r="AH841" i="1" s="1"/>
  <c r="AF597" i="1"/>
  <c r="AG597" i="1" s="1"/>
  <c r="AH597" i="1" s="1"/>
  <c r="AF495" i="1"/>
  <c r="AG495" i="1" s="1"/>
  <c r="AH495" i="1" s="1"/>
  <c r="AF900" i="1"/>
  <c r="AG900" i="1" s="1"/>
  <c r="AH900" i="1" s="1"/>
  <c r="AF1038" i="1"/>
  <c r="AG1038" i="1" s="1"/>
  <c r="AH1038" i="1" s="1"/>
  <c r="AF1013" i="1"/>
  <c r="AG1013" i="1" s="1"/>
  <c r="AH1013" i="1" s="1"/>
  <c r="AF899" i="1"/>
  <c r="AG899" i="1" s="1"/>
  <c r="AH899" i="1" s="1"/>
  <c r="AF737" i="1"/>
  <c r="AG737" i="1" s="1"/>
  <c r="AH737" i="1" s="1"/>
  <c r="AF795" i="1"/>
  <c r="AG795" i="1" s="1"/>
  <c r="AH795" i="1" s="1"/>
  <c r="AF860" i="1"/>
  <c r="AG860" i="1" s="1"/>
  <c r="AH860" i="1" s="1"/>
  <c r="AF869" i="1"/>
  <c r="AG869" i="1" s="1"/>
  <c r="AH869" i="1" s="1"/>
  <c r="AF29" i="1"/>
  <c r="AG29" i="1" s="1"/>
  <c r="AH29" i="1" s="1"/>
  <c r="AF230" i="1"/>
  <c r="AG230" i="1" s="1"/>
  <c r="AH230" i="1" s="1"/>
  <c r="AF1191" i="1"/>
  <c r="AG1191" i="1" s="1"/>
  <c r="AH1191" i="1" s="1"/>
  <c r="AF544" i="1"/>
  <c r="AG544" i="1" s="1"/>
  <c r="AH544" i="1" s="1"/>
  <c r="AF1089" i="1"/>
  <c r="AG1089" i="1" s="1"/>
  <c r="AH1089" i="1" s="1"/>
  <c r="AF490" i="1"/>
  <c r="AG490" i="1" s="1"/>
  <c r="AH490" i="1" s="1"/>
  <c r="AF784" i="1"/>
  <c r="AG784" i="1" s="1"/>
  <c r="AH784" i="1" s="1"/>
  <c r="AF746" i="1"/>
  <c r="AF1223" i="1"/>
  <c r="AG1223" i="1" s="1"/>
  <c r="AH1223" i="1" s="1"/>
  <c r="AF331" i="1"/>
  <c r="AG331" i="1" s="1"/>
  <c r="AH331" i="1" s="1"/>
  <c r="AF46" i="1"/>
  <c r="AG46" i="1" s="1"/>
  <c r="AH46" i="1" s="1"/>
  <c r="AF24" i="1"/>
  <c r="AG24" i="1" s="1"/>
  <c r="AH24" i="1" s="1"/>
  <c r="AF704" i="1"/>
  <c r="AG704" i="1" s="1"/>
  <c r="AH704" i="1" s="1"/>
  <c r="AF905" i="1"/>
  <c r="AG905" i="1" s="1"/>
  <c r="AH905" i="1" s="1"/>
  <c r="AF69" i="1"/>
  <c r="AG69" i="1" s="1"/>
  <c r="AH69" i="1" s="1"/>
  <c r="AF265" i="1"/>
  <c r="AG265" i="1" s="1"/>
  <c r="AH265" i="1" s="1"/>
  <c r="AF295" i="1"/>
  <c r="AG295" i="1" s="1"/>
  <c r="AH295" i="1" s="1"/>
  <c r="AF525" i="1"/>
  <c r="AG525" i="1" s="1"/>
  <c r="AH525" i="1" s="1"/>
  <c r="AF1164" i="1"/>
  <c r="AG1164" i="1" s="1"/>
  <c r="AH1164" i="1" s="1"/>
  <c r="AF44" i="1"/>
  <c r="AG44" i="1" s="1"/>
  <c r="AH44" i="1" s="1"/>
  <c r="AF675" i="1"/>
  <c r="AG675" i="1" s="1"/>
  <c r="AH675" i="1" s="1"/>
  <c r="AF1006" i="1"/>
  <c r="AG1006" i="1" s="1"/>
  <c r="AH1006" i="1" s="1"/>
  <c r="AF159" i="1"/>
  <c r="AG159" i="1" s="1"/>
  <c r="AH159" i="1" s="1"/>
  <c r="AF1035" i="1"/>
  <c r="AG1035" i="1" s="1"/>
  <c r="AH1035" i="1" s="1"/>
  <c r="AF657" i="1"/>
  <c r="AG657" i="1" s="1"/>
  <c r="AH657" i="1" s="1"/>
  <c r="AF220" i="1"/>
  <c r="AG220" i="1" s="1"/>
  <c r="AH220" i="1" s="1"/>
  <c r="AF1004" i="1"/>
  <c r="AG1004" i="1" s="1"/>
  <c r="AH1004" i="1" s="1"/>
  <c r="AF1224" i="1"/>
  <c r="AG1224" i="1" s="1"/>
  <c r="AH1224" i="1" s="1"/>
  <c r="AF958" i="1"/>
  <c r="AG958" i="1" s="1"/>
  <c r="AH958" i="1" s="1"/>
  <c r="AF956" i="1"/>
  <c r="AG956" i="1" s="1"/>
  <c r="AH956" i="1" s="1"/>
  <c r="AF649" i="1"/>
  <c r="AG649" i="1" s="1"/>
  <c r="AH649" i="1" s="1"/>
  <c r="AF589" i="1"/>
  <c r="AG589" i="1" s="1"/>
  <c r="AH589" i="1" s="1"/>
  <c r="AF919" i="1"/>
  <c r="AG919" i="1" s="1"/>
  <c r="AH919" i="1" s="1"/>
  <c r="AF1017" i="1"/>
  <c r="AG1017" i="1" s="1"/>
  <c r="AH1017" i="1" s="1"/>
  <c r="AF1230" i="1"/>
  <c r="AG1230" i="1" s="1"/>
  <c r="AH1230" i="1" s="1"/>
  <c r="AF1175" i="1"/>
  <c r="AG1175" i="1" s="1"/>
  <c r="AH1175" i="1" s="1"/>
  <c r="AF551" i="1"/>
  <c r="AG551" i="1" s="1"/>
  <c r="AH551" i="1" s="1"/>
  <c r="AF313" i="1"/>
  <c r="AG313" i="1" s="1"/>
  <c r="AH313" i="1" s="1"/>
  <c r="AF19" i="1"/>
  <c r="AG19" i="1" s="1"/>
  <c r="AH19" i="1" s="1"/>
  <c r="AF1058" i="1"/>
  <c r="AG1058" i="1" s="1"/>
  <c r="AH1058" i="1" s="1"/>
  <c r="AF821" i="1"/>
  <c r="AG821" i="1" s="1"/>
  <c r="AH821" i="1" s="1"/>
  <c r="AF486" i="1"/>
  <c r="AG486" i="1" s="1"/>
  <c r="AH486" i="1" s="1"/>
  <c r="AF721" i="1"/>
  <c r="AG721" i="1" s="1"/>
  <c r="AH721" i="1" s="1"/>
  <c r="AF1197" i="1"/>
  <c r="AG1197" i="1" s="1"/>
  <c r="AH1197" i="1" s="1"/>
  <c r="AF1178" i="1"/>
  <c r="AG1178" i="1" s="1"/>
  <c r="AH1178" i="1" s="1"/>
  <c r="AF113" i="1"/>
  <c r="AG113" i="1" s="1"/>
  <c r="AH113" i="1" s="1"/>
  <c r="AF129" i="1"/>
  <c r="AG129" i="1" s="1"/>
  <c r="AH129" i="1" s="1"/>
  <c r="AF1186" i="1"/>
  <c r="AG1186" i="1" s="1"/>
  <c r="AH1186" i="1" s="1"/>
  <c r="AF261" i="1"/>
  <c r="AG261" i="1" s="1"/>
  <c r="AH261" i="1" s="1"/>
  <c r="AF910" i="1"/>
  <c r="AG910" i="1" s="1"/>
  <c r="AH910" i="1" s="1"/>
  <c r="AF728" i="1"/>
  <c r="AG728" i="1" s="1"/>
  <c r="AH728" i="1" s="1"/>
  <c r="AF1195" i="1"/>
  <c r="AG1195" i="1" s="1"/>
  <c r="AH1195" i="1" s="1"/>
  <c r="AF1193" i="1"/>
  <c r="AG1193" i="1" s="1"/>
  <c r="AH1193" i="1" s="1"/>
  <c r="AF119" i="1"/>
  <c r="AG119" i="1" s="1"/>
  <c r="AH119" i="1" s="1"/>
  <c r="AF116" i="1"/>
  <c r="AG116" i="1" s="1"/>
  <c r="AH116" i="1" s="1"/>
  <c r="AF307" i="1"/>
  <c r="AG307" i="1" s="1"/>
  <c r="AH307" i="1" s="1"/>
  <c r="AF279" i="1"/>
  <c r="AG279" i="1" s="1"/>
  <c r="AH279" i="1" s="1"/>
  <c r="AF926" i="1"/>
  <c r="AG926" i="1" s="1"/>
  <c r="AH926" i="1" s="1"/>
  <c r="AF997" i="1"/>
  <c r="AG997" i="1" s="1"/>
  <c r="AH997" i="1" s="1"/>
  <c r="AF668" i="1"/>
  <c r="AG668" i="1" s="1"/>
  <c r="AH668" i="1" s="1"/>
  <c r="AF442" i="1"/>
  <c r="AG442" i="1" s="1"/>
  <c r="AH442" i="1" s="1"/>
  <c r="AF1185" i="1"/>
  <c r="AG1185" i="1" s="1"/>
  <c r="AH1185" i="1" s="1"/>
  <c r="AF526" i="1"/>
  <c r="AG526" i="1" s="1"/>
  <c r="AH526" i="1" s="1"/>
  <c r="AF39" i="1"/>
  <c r="AG39" i="1" s="1"/>
  <c r="AH39" i="1" s="1"/>
  <c r="AF849" i="1"/>
  <c r="AG849" i="1" s="1"/>
  <c r="AH849" i="1" s="1"/>
  <c r="AF520" i="1"/>
  <c r="AG520" i="1" s="1"/>
  <c r="AH520" i="1" s="1"/>
  <c r="AF378" i="1"/>
  <c r="AG378" i="1" s="1"/>
  <c r="AH378" i="1" s="1"/>
  <c r="AF405" i="1"/>
  <c r="AG405" i="1" s="1"/>
  <c r="AH405" i="1" s="1"/>
  <c r="AF92" i="1"/>
  <c r="AG92" i="1" s="1"/>
  <c r="AH92" i="1" s="1"/>
  <c r="AF514" i="1"/>
  <c r="AG514" i="1" s="1"/>
  <c r="AH514" i="1" s="1"/>
  <c r="AF959" i="1"/>
  <c r="AG959" i="1" s="1"/>
  <c r="AH959" i="1" s="1"/>
  <c r="AF1153" i="1"/>
  <c r="AG1153" i="1" s="1"/>
  <c r="AH1153" i="1" s="1"/>
  <c r="AF10" i="1"/>
  <c r="AG10" i="1" s="1"/>
  <c r="AH10" i="1" s="1"/>
  <c r="AF138" i="1"/>
  <c r="AG138" i="1" s="1"/>
  <c r="AH138" i="1" s="1"/>
  <c r="AF402" i="1"/>
  <c r="AG402" i="1" s="1"/>
  <c r="AH402" i="1" s="1"/>
  <c r="AF400" i="1"/>
  <c r="AG400" i="1" s="1"/>
  <c r="AH400" i="1" s="1"/>
  <c r="AF133" i="1"/>
  <c r="AG133" i="1" s="1"/>
  <c r="AH133" i="1" s="1"/>
  <c r="AF883" i="1"/>
  <c r="AG883" i="1" s="1"/>
  <c r="AH883" i="1" s="1"/>
  <c r="AF277" i="1"/>
  <c r="AG277" i="1" s="1"/>
  <c r="AH277" i="1" s="1"/>
  <c r="AF1125" i="1"/>
  <c r="AG1125" i="1" s="1"/>
  <c r="AH1125" i="1" s="1"/>
  <c r="AF253" i="1"/>
  <c r="AG253" i="1" s="1"/>
  <c r="AH253" i="1" s="1"/>
  <c r="AF593" i="1"/>
  <c r="AG593" i="1" s="1"/>
  <c r="AH593" i="1" s="1"/>
  <c r="AF461" i="1"/>
  <c r="AG461" i="1" s="1"/>
  <c r="AH461" i="1" s="1"/>
  <c r="AF688" i="1"/>
  <c r="AG688" i="1" s="1"/>
  <c r="AH688" i="1" s="1"/>
  <c r="AF915" i="1"/>
  <c r="AG915" i="1" s="1"/>
  <c r="AH915" i="1" s="1"/>
  <c r="AF240" i="1"/>
  <c r="AG240" i="1" s="1"/>
  <c r="AH240" i="1" s="1"/>
  <c r="AF454" i="1"/>
  <c r="AG454" i="1" s="1"/>
  <c r="AH454" i="1" s="1"/>
  <c r="AF225" i="1"/>
  <c r="AG225" i="1" s="1"/>
  <c r="AH225" i="1" s="1"/>
  <c r="AF511" i="1"/>
  <c r="AG511" i="1" s="1"/>
  <c r="AH511" i="1" s="1"/>
  <c r="AF536" i="1"/>
  <c r="AG536" i="1" s="1"/>
  <c r="AH536" i="1" s="1"/>
  <c r="AF789" i="1"/>
  <c r="AG789" i="1" s="1"/>
  <c r="AH789" i="1" s="1"/>
  <c r="AF800" i="1"/>
  <c r="AG800" i="1" s="1"/>
  <c r="AH800" i="1" s="1"/>
  <c r="AF819" i="1"/>
  <c r="AG819" i="1" s="1"/>
  <c r="AH819" i="1" s="1"/>
  <c r="AF213" i="1"/>
  <c r="AG213" i="1" s="1"/>
  <c r="AH213" i="1" s="1"/>
  <c r="AF382" i="1"/>
  <c r="AG382" i="1" s="1"/>
  <c r="AH382" i="1" s="1"/>
  <c r="AF226" i="1"/>
  <c r="AG226" i="1" s="1"/>
  <c r="AH226" i="1" s="1"/>
  <c r="AF734" i="1"/>
  <c r="AG734" i="1" s="1"/>
  <c r="AH734" i="1" s="1"/>
  <c r="AF420" i="1"/>
  <c r="AG420" i="1" s="1"/>
  <c r="AH420" i="1" s="1"/>
  <c r="AF932" i="1"/>
  <c r="AG932" i="1" s="1"/>
  <c r="AH932" i="1" s="1"/>
  <c r="AF1104" i="1"/>
  <c r="AG1104" i="1" s="1"/>
  <c r="AH1104" i="1" s="1"/>
  <c r="AF309" i="1"/>
  <c r="AG309" i="1" s="1"/>
  <c r="AH309" i="1" s="1"/>
  <c r="AF574" i="1"/>
  <c r="AG574" i="1" s="1"/>
  <c r="AH574" i="1" s="1"/>
  <c r="AF82" i="1"/>
  <c r="AG82" i="1" s="1"/>
  <c r="AH82" i="1" s="1"/>
  <c r="AF581" i="1"/>
  <c r="AG581" i="1" s="1"/>
  <c r="AH581" i="1" s="1"/>
  <c r="AF1014" i="1"/>
  <c r="AG1014" i="1" s="1"/>
  <c r="AH1014" i="1" s="1"/>
  <c r="AF377" i="1"/>
  <c r="AG377" i="1" s="1"/>
  <c r="AH377" i="1" s="1"/>
  <c r="AF341" i="1"/>
  <c r="AG341" i="1" s="1"/>
  <c r="AH341" i="1" s="1"/>
  <c r="AF1136" i="1"/>
  <c r="AG1136" i="1" s="1"/>
  <c r="AH1136" i="1" s="1"/>
  <c r="AF1034" i="1"/>
  <c r="AG1034" i="1" s="1"/>
  <c r="AH1034" i="1" s="1"/>
  <c r="AF21" i="1"/>
  <c r="AG21" i="1" s="1"/>
  <c r="AH21" i="1" s="1"/>
  <c r="AF272" i="1"/>
  <c r="AG272" i="1" s="1"/>
  <c r="AH272" i="1" s="1"/>
  <c r="AF358" i="1"/>
  <c r="AG358" i="1" s="1"/>
  <c r="AH358" i="1" s="1"/>
  <c r="AF335" i="1"/>
  <c r="AG335" i="1" s="1"/>
  <c r="AH335" i="1" s="1"/>
  <c r="AF764" i="1"/>
  <c r="AG764" i="1" s="1"/>
  <c r="AH764" i="1" s="1"/>
  <c r="AF580" i="1"/>
  <c r="AG580" i="1" s="1"/>
  <c r="AH580" i="1" s="1"/>
  <c r="AF548" i="1"/>
  <c r="AG548" i="1" s="1"/>
  <c r="AH548" i="1" s="1"/>
  <c r="AF824" i="1"/>
  <c r="AG824" i="1" s="1"/>
  <c r="AH824" i="1" s="1"/>
  <c r="AF1023" i="1"/>
  <c r="AG1023" i="1" s="1"/>
  <c r="AH1023" i="1" s="1"/>
  <c r="AF71" i="1"/>
  <c r="AG71" i="1" s="1"/>
  <c r="AH71" i="1" s="1"/>
  <c r="AF433" i="1"/>
  <c r="AG433" i="1" s="1"/>
  <c r="AH433" i="1" s="1"/>
  <c r="AF564" i="1"/>
  <c r="AG564" i="1" s="1"/>
  <c r="AH564" i="1" s="1"/>
  <c r="AF181" i="1"/>
  <c r="AG181" i="1" s="1"/>
  <c r="AH181" i="1" s="1"/>
  <c r="AF983" i="1"/>
  <c r="AG983" i="1" s="1"/>
  <c r="AH983" i="1" s="1"/>
  <c r="AF340" i="1"/>
  <c r="AG340" i="1" s="1"/>
  <c r="AH340" i="1" s="1"/>
  <c r="AF812" i="1"/>
  <c r="AG812" i="1" s="1"/>
  <c r="AH812" i="1" s="1"/>
  <c r="AF1129" i="1"/>
  <c r="AG1129" i="1" s="1"/>
  <c r="AH1129" i="1" s="1"/>
  <c r="AF1084" i="1"/>
  <c r="AG1084" i="1" s="1"/>
  <c r="AH1084" i="1" s="1"/>
  <c r="AF300" i="1"/>
  <c r="AG300" i="1" s="1"/>
  <c r="AH300" i="1" s="1"/>
  <c r="AF351" i="1"/>
  <c r="AG351" i="1" s="1"/>
  <c r="AH351" i="1" s="1"/>
  <c r="AF182" i="1"/>
  <c r="AG182" i="1" s="1"/>
  <c r="AH182" i="1" s="1"/>
  <c r="AF352" i="1"/>
  <c r="AG352" i="1" s="1"/>
  <c r="AH352" i="1" s="1"/>
  <c r="AF480" i="1"/>
  <c r="AG480" i="1" s="1"/>
  <c r="AH480" i="1" s="1"/>
  <c r="AF710" i="1"/>
  <c r="AG710" i="1" s="1"/>
  <c r="AH710" i="1" s="1"/>
  <c r="AF204" i="1"/>
  <c r="AG204" i="1" s="1"/>
  <c r="AH204" i="1" s="1"/>
  <c r="AF939" i="1"/>
  <c r="AG939" i="1" s="1"/>
  <c r="AH939" i="1" s="1"/>
  <c r="AF347" i="1"/>
  <c r="AG347" i="1" s="1"/>
  <c r="AH347" i="1" s="1"/>
  <c r="AF1187" i="1"/>
  <c r="AG1187" i="1" s="1"/>
  <c r="AH1187" i="1" s="1"/>
  <c r="AF1063" i="1"/>
  <c r="AG1063" i="1" s="1"/>
  <c r="AH1063" i="1" s="1"/>
  <c r="AF781" i="1"/>
  <c r="AG781" i="1" s="1"/>
  <c r="AH781" i="1" s="1"/>
  <c r="AF811" i="1"/>
  <c r="AG811" i="1" s="1"/>
  <c r="AH811" i="1" s="1"/>
  <c r="AF1087" i="1"/>
  <c r="AG1087" i="1" s="1"/>
  <c r="AH1087" i="1" s="1"/>
  <c r="AF56" i="1"/>
  <c r="AG56" i="1" s="1"/>
  <c r="AH56" i="1" s="1"/>
  <c r="AF322" i="1"/>
  <c r="AG322" i="1" s="1"/>
  <c r="AH322" i="1" s="1"/>
  <c r="AF319" i="1"/>
  <c r="AG319" i="1" s="1"/>
  <c r="AH319" i="1" s="1"/>
  <c r="AF874" i="1"/>
  <c r="AG874" i="1" s="1"/>
  <c r="AH874" i="1" s="1"/>
  <c r="AF978" i="1"/>
  <c r="AG978" i="1" s="1"/>
  <c r="AH978" i="1" s="1"/>
  <c r="AF146" i="1"/>
  <c r="AG146" i="1" s="1"/>
  <c r="AH146" i="1" s="1"/>
  <c r="AF1165" i="1"/>
  <c r="AG1165" i="1" s="1"/>
  <c r="AH1165" i="1" s="1"/>
  <c r="AF477" i="1"/>
  <c r="AG477" i="1" s="1"/>
  <c r="AH477" i="1" s="1"/>
  <c r="AF909" i="1"/>
  <c r="AG909" i="1" s="1"/>
  <c r="AH909" i="1" s="1"/>
  <c r="AF565" i="1"/>
  <c r="AG565" i="1" s="1"/>
  <c r="AH565" i="1" s="1"/>
  <c r="AF739" i="1"/>
  <c r="AG739" i="1" s="1"/>
  <c r="AH739" i="1" s="1"/>
  <c r="AF232" i="1"/>
  <c r="AG232" i="1" s="1"/>
  <c r="AH232" i="1" s="1"/>
  <c r="AF1168" i="1"/>
  <c r="AG1168" i="1" s="1"/>
  <c r="AH1168" i="1" s="1"/>
  <c r="AF1218" i="1"/>
  <c r="AG1218" i="1" s="1"/>
  <c r="AH1218" i="1" s="1"/>
  <c r="AF827" i="1"/>
  <c r="AG827" i="1" s="1"/>
  <c r="AH827" i="1" s="1"/>
  <c r="AF507" i="1"/>
  <c r="AG507" i="1" s="1"/>
  <c r="AH507" i="1" s="1"/>
  <c r="AF778" i="1"/>
  <c r="AG778" i="1" s="1"/>
  <c r="AH778" i="1" s="1"/>
  <c r="AF744" i="1"/>
  <c r="AG744" i="1" s="1"/>
  <c r="AH744" i="1" s="1"/>
  <c r="AF894" i="1"/>
  <c r="AG894" i="1" s="1"/>
  <c r="AH894" i="1" s="1"/>
  <c r="AF786" i="1"/>
  <c r="AG786" i="1" s="1"/>
  <c r="AH786" i="1" s="1"/>
  <c r="AF557" i="1"/>
  <c r="AG557" i="1" s="1"/>
  <c r="AH557" i="1" s="1"/>
  <c r="AF944" i="1"/>
  <c r="AG944" i="1" s="1"/>
  <c r="AH944" i="1" s="1"/>
  <c r="AF872" i="1"/>
  <c r="AG872" i="1" s="1"/>
  <c r="AH872" i="1" s="1"/>
  <c r="AF583" i="1"/>
  <c r="AG583" i="1" s="1"/>
  <c r="AH583" i="1" s="1"/>
  <c r="C17" i="3" l="1"/>
  <c r="D17" i="3"/>
  <c r="E9" i="3"/>
  <c r="F9" i="3" s="1"/>
  <c r="E12" i="3"/>
  <c r="F12" i="3" s="1"/>
  <c r="E4" i="3"/>
  <c r="F4" i="3" s="1"/>
  <c r="E7" i="3"/>
  <c r="F7" i="3" s="1"/>
  <c r="E10" i="3"/>
  <c r="F10" i="3" s="1"/>
  <c r="E13" i="3"/>
  <c r="F13" i="3" s="1"/>
  <c r="E5" i="3"/>
  <c r="F5" i="3" s="1"/>
  <c r="E3" i="3"/>
  <c r="F3" i="3" s="1"/>
  <c r="E8" i="3"/>
  <c r="F8" i="3" s="1"/>
  <c r="E11" i="3"/>
  <c r="F11" i="3" s="1"/>
  <c r="E6" i="3"/>
  <c r="F6" i="3" s="1"/>
  <c r="AG746" i="1"/>
  <c r="E16" i="3"/>
  <c r="F16" i="3" s="1"/>
  <c r="E14" i="3"/>
  <c r="F14" i="3" s="1"/>
  <c r="E15" i="3"/>
  <c r="F15" i="3" s="1"/>
  <c r="E17" i="3" l="1"/>
  <c r="F17" i="3" s="1"/>
  <c r="AH746" i="1"/>
</calcChain>
</file>

<file path=xl/sharedStrings.xml><?xml version="1.0" encoding="utf-8"?>
<sst xmlns="http://schemas.openxmlformats.org/spreadsheetml/2006/main" count="29992" uniqueCount="3302">
  <si>
    <t>SC</t>
  </si>
  <si>
    <t>Billing Document Number</t>
  </si>
  <si>
    <t>Billing Date</t>
  </si>
  <si>
    <t>Master Customer (Heading)</t>
  </si>
  <si>
    <t>Master Customer Division (Heading)</t>
  </si>
  <si>
    <t xml:space="preserve">Sold-To-Party </t>
  </si>
  <si>
    <t>Ship-To Party</t>
  </si>
  <si>
    <t>Ship-To Party (Heading)</t>
  </si>
  <si>
    <t xml:space="preserve">Street Address </t>
  </si>
  <si>
    <t>City</t>
  </si>
  <si>
    <t>State</t>
  </si>
  <si>
    <t>Postal Code</t>
  </si>
  <si>
    <t>Customer Material Number</t>
  </si>
  <si>
    <t>Customer Purchase Order Number</t>
  </si>
  <si>
    <t>MFG Code</t>
  </si>
  <si>
    <t>Manufacturer Part Number</t>
  </si>
  <si>
    <t>Material</t>
  </si>
  <si>
    <t>Product hierarchy level 1 (Heading)</t>
  </si>
  <si>
    <t>UOM</t>
  </si>
  <si>
    <t xml:space="preserve">Billing Quantity </t>
  </si>
  <si>
    <t>Unit Sale Price</t>
  </si>
  <si>
    <t>Extended Sale Price</t>
  </si>
  <si>
    <t>2301</t>
  </si>
  <si>
    <t>7020751291</t>
  </si>
  <si>
    <t>APPVION</t>
  </si>
  <si>
    <t>APPVION - APPVION</t>
  </si>
  <si>
    <t>0001302558</t>
  </si>
  <si>
    <t>0001607822</t>
  </si>
  <si>
    <t>APPVION OPERATIONS INC</t>
  </si>
  <si>
    <t>825 E WISCONSIN AVE</t>
  </si>
  <si>
    <t>APPLETON</t>
  </si>
  <si>
    <t>WI</t>
  </si>
  <si>
    <t>54911-3873</t>
  </si>
  <si>
    <t>92-60-111</t>
  </si>
  <si>
    <t>642893 OH</t>
  </si>
  <si>
    <t>PARK</t>
  </si>
  <si>
    <t>B622BB553A</t>
  </si>
  <si>
    <t xml:space="preserve"> </t>
  </si>
  <si>
    <t>FLUID POWER;</t>
  </si>
  <si>
    <t>EA</t>
  </si>
  <si>
    <t>7020761747</t>
  </si>
  <si>
    <t>88-40-092</t>
  </si>
  <si>
    <t>643756 OH</t>
  </si>
  <si>
    <t>MSP</t>
  </si>
  <si>
    <t>VC27-A 3/8"</t>
  </si>
  <si>
    <t>SEALS;  PACKING;  ORINGS;</t>
  </si>
  <si>
    <t>7020761750</t>
  </si>
  <si>
    <t>26-65-363</t>
  </si>
  <si>
    <t>643998 OH</t>
  </si>
  <si>
    <t>FEST</t>
  </si>
  <si>
    <t>SMEO-1-LED-230-K5B  (160998)</t>
  </si>
  <si>
    <t>ELECTRICAL POWER TRANSMISSION;</t>
  </si>
  <si>
    <t>7020772142</t>
  </si>
  <si>
    <t>16-95-100</t>
  </si>
  <si>
    <t>BISH</t>
  </si>
  <si>
    <t>1PB10T5S X 78"</t>
  </si>
  <si>
    <t>MECHANICAL POWER TRANSMISSION;</t>
  </si>
  <si>
    <t>7020772324</t>
  </si>
  <si>
    <t>12-40-599</t>
  </si>
  <si>
    <t>GOLD</t>
  </si>
  <si>
    <t>GS22612-88</t>
  </si>
  <si>
    <t>BEARINGS;</t>
  </si>
  <si>
    <t>7020772396</t>
  </si>
  <si>
    <t>26-65-475</t>
  </si>
  <si>
    <t>643809 OH</t>
  </si>
  <si>
    <t>P8SAGSCHX</t>
  </si>
  <si>
    <t>7020772421</t>
  </si>
  <si>
    <t>0001222540</t>
  </si>
  <si>
    <t>APPVION OPERATIONS INC (CONSIGNMENT</t>
  </si>
  <si>
    <t>06-40-013</t>
  </si>
  <si>
    <t>643102 OH</t>
  </si>
  <si>
    <t>3M</t>
  </si>
  <si>
    <t>0-00-51128-99125-1</t>
  </si>
  <si>
    <t>GENERAL INDUSTRIAL SUPPLY;</t>
  </si>
  <si>
    <t>06-40-017</t>
  </si>
  <si>
    <t>00051131175969</t>
  </si>
  <si>
    <t>CHEMICALS;</t>
  </si>
  <si>
    <t>RL</t>
  </si>
  <si>
    <t>12-52-080</t>
  </si>
  <si>
    <t>SKF</t>
  </si>
  <si>
    <t>305804 C-2Z</t>
  </si>
  <si>
    <t>50-15-103</t>
  </si>
  <si>
    <t>SPIL</t>
  </si>
  <si>
    <t>WP100H</t>
  </si>
  <si>
    <t>SAFETY PRODUCTS;</t>
  </si>
  <si>
    <t>DODG</t>
  </si>
  <si>
    <t>7020792974</t>
  </si>
  <si>
    <t>67-67-046</t>
  </si>
  <si>
    <t>644259 OH</t>
  </si>
  <si>
    <t>CR</t>
  </si>
  <si>
    <t>45X65X8CRW1R</t>
  </si>
  <si>
    <t>7020792976</t>
  </si>
  <si>
    <t>67-67-710</t>
  </si>
  <si>
    <t>644256 OH</t>
  </si>
  <si>
    <t>37390</t>
  </si>
  <si>
    <t>7020793028</t>
  </si>
  <si>
    <t>644184 OH</t>
  </si>
  <si>
    <t>75-50-112</t>
  </si>
  <si>
    <t>FALK</t>
  </si>
  <si>
    <t>1015G20/52SLEEVE</t>
  </si>
  <si>
    <t>7020793211</t>
  </si>
  <si>
    <t>99-99-000</t>
  </si>
  <si>
    <t>664257 OH</t>
  </si>
  <si>
    <t>MISC</t>
  </si>
  <si>
    <t>83T040/385</t>
  </si>
  <si>
    <t>JANITORIAL;</t>
  </si>
  <si>
    <t>7020793238</t>
  </si>
  <si>
    <t>644186 OH</t>
  </si>
  <si>
    <t>12-95-600</t>
  </si>
  <si>
    <t>TIMK</t>
  </si>
  <si>
    <t>HM518445</t>
  </si>
  <si>
    <t>12-95-610</t>
  </si>
  <si>
    <t>HM518410</t>
  </si>
  <si>
    <t>67-11-110</t>
  </si>
  <si>
    <t>DIXO</t>
  </si>
  <si>
    <t>200-G-BU</t>
  </si>
  <si>
    <t>HOSE PRODUCTS;</t>
  </si>
  <si>
    <t>75-50-154</t>
  </si>
  <si>
    <t>1015G20/52FAST SET</t>
  </si>
  <si>
    <t>7020793240</t>
  </si>
  <si>
    <t>01-01-247</t>
  </si>
  <si>
    <t>643474 OH</t>
  </si>
  <si>
    <t>MCN</t>
  </si>
  <si>
    <t>MFF-05-009</t>
  </si>
  <si>
    <t>26-40-001</t>
  </si>
  <si>
    <t>PNEU</t>
  </si>
  <si>
    <t>MMR0001</t>
  </si>
  <si>
    <t>56-80-010</t>
  </si>
  <si>
    <t>LOCT</t>
  </si>
  <si>
    <t>1329467</t>
  </si>
  <si>
    <t>75-50-612</t>
  </si>
  <si>
    <t>TBWO</t>
  </si>
  <si>
    <t>6</t>
  </si>
  <si>
    <t>7020793241</t>
  </si>
  <si>
    <t>12-99-187</t>
  </si>
  <si>
    <t>644067 OH</t>
  </si>
  <si>
    <t>61824</t>
  </si>
  <si>
    <t>7020793268</t>
  </si>
  <si>
    <t>56-80-020</t>
  </si>
  <si>
    <t>643996 OH</t>
  </si>
  <si>
    <t>135337</t>
  </si>
  <si>
    <t>56-80-021</t>
  </si>
  <si>
    <t>645093</t>
  </si>
  <si>
    <t>78-99-103</t>
  </si>
  <si>
    <t>GAST</t>
  </si>
  <si>
    <t>AV469B</t>
  </si>
  <si>
    <t>7020803500</t>
  </si>
  <si>
    <t>67-67-041</t>
  </si>
  <si>
    <t>90X110X12CRW1R</t>
  </si>
  <si>
    <t>7020803522</t>
  </si>
  <si>
    <t>75-50-142</t>
  </si>
  <si>
    <t>1015G10/20SEAL KIT</t>
  </si>
  <si>
    <t>7020803525</t>
  </si>
  <si>
    <t>12-50-420</t>
  </si>
  <si>
    <t>SLMS</t>
  </si>
  <si>
    <t>ER-23</t>
  </si>
  <si>
    <t>7020814528</t>
  </si>
  <si>
    <t>75-50-127</t>
  </si>
  <si>
    <t>1015G FLEX HUB RSB</t>
  </si>
  <si>
    <t>7020814680</t>
  </si>
  <si>
    <t>12-99-191</t>
  </si>
  <si>
    <t>BBB</t>
  </si>
  <si>
    <t>FFM012018020</t>
  </si>
  <si>
    <t>7020825632</t>
  </si>
  <si>
    <t>92-85-003</t>
  </si>
  <si>
    <t>K065503553</t>
  </si>
  <si>
    <t>7020835730</t>
  </si>
  <si>
    <t>16-60-360</t>
  </si>
  <si>
    <t>644512 OH</t>
  </si>
  <si>
    <t>CONT</t>
  </si>
  <si>
    <t>4L360</t>
  </si>
  <si>
    <t>20-90-090</t>
  </si>
  <si>
    <t>UST</t>
  </si>
  <si>
    <t>80OFFSET LK</t>
  </si>
  <si>
    <t>34-45-010</t>
  </si>
  <si>
    <t>LN</t>
  </si>
  <si>
    <t>AN16</t>
  </si>
  <si>
    <t>34-50-200</t>
  </si>
  <si>
    <t>LW</t>
  </si>
  <si>
    <t>W16</t>
  </si>
  <si>
    <t>41-99-301</t>
  </si>
  <si>
    <t>PS301BP</t>
  </si>
  <si>
    <t>75-50-103</t>
  </si>
  <si>
    <t>MAGL</t>
  </si>
  <si>
    <t>M570N7</t>
  </si>
  <si>
    <t>75-50-300</t>
  </si>
  <si>
    <t>LOVJ</t>
  </si>
  <si>
    <t>L090/L095SOX</t>
  </si>
  <si>
    <t>7020846075</t>
  </si>
  <si>
    <t>16-40-480</t>
  </si>
  <si>
    <t>644604 OH</t>
  </si>
  <si>
    <t>270L100</t>
  </si>
  <si>
    <t>7020854333</t>
  </si>
  <si>
    <t>01-01-248</t>
  </si>
  <si>
    <t>644458 OH</t>
  </si>
  <si>
    <t>MFF-05-011</t>
  </si>
  <si>
    <t>97-30-035</t>
  </si>
  <si>
    <t>HAMI</t>
  </si>
  <si>
    <t>S-303 1/2-NF</t>
  </si>
  <si>
    <t>MATERIAL HANDLING;</t>
  </si>
  <si>
    <t>7020854334</t>
  </si>
  <si>
    <t>53-40-100</t>
  </si>
  <si>
    <t>644329 OH</t>
  </si>
  <si>
    <t>LGAS</t>
  </si>
  <si>
    <t>SCCH4165SYM</t>
  </si>
  <si>
    <t>CS</t>
  </si>
  <si>
    <t>67-67-049</t>
  </si>
  <si>
    <t>85X110X12HMS5V</t>
  </si>
  <si>
    <t>7020854335</t>
  </si>
  <si>
    <t>642340 OH</t>
  </si>
  <si>
    <t>7020854336</t>
  </si>
  <si>
    <t>06-40-750</t>
  </si>
  <si>
    <t>644507 OH</t>
  </si>
  <si>
    <t>00021200160578</t>
  </si>
  <si>
    <t>50-50-100</t>
  </si>
  <si>
    <t>50048011080043</t>
  </si>
  <si>
    <t>TOOLS;</t>
  </si>
  <si>
    <t>56-80-510</t>
  </si>
  <si>
    <t>CRC</t>
  </si>
  <si>
    <t>05089T</t>
  </si>
  <si>
    <t>7020854453</t>
  </si>
  <si>
    <t>84-25-244</t>
  </si>
  <si>
    <t>644646 OH</t>
  </si>
  <si>
    <t>REX</t>
  </si>
  <si>
    <t>20R CVR-ELE ASY NY</t>
  </si>
  <si>
    <t>7020854474</t>
  </si>
  <si>
    <t>84-99-102</t>
  </si>
  <si>
    <t>FIRE</t>
  </si>
  <si>
    <t>W013587561</t>
  </si>
  <si>
    <t>7020854476</t>
  </si>
  <si>
    <t>47-99-328</t>
  </si>
  <si>
    <t>BOSC</t>
  </si>
  <si>
    <t>1823376000</t>
  </si>
  <si>
    <t>7020854551</t>
  </si>
  <si>
    <t>84-40-440</t>
  </si>
  <si>
    <t>12NSM</t>
  </si>
  <si>
    <t>7020854559</t>
  </si>
  <si>
    <t>12-11-110*</t>
  </si>
  <si>
    <t>633711 OH</t>
  </si>
  <si>
    <t>FAFN</t>
  </si>
  <si>
    <t>SM1111KS</t>
  </si>
  <si>
    <t>7020869661</t>
  </si>
  <si>
    <t>92-85-075</t>
  </si>
  <si>
    <t>MACV</t>
  </si>
  <si>
    <t>82AAA000TMDAAP3DA</t>
  </si>
  <si>
    <t>7020882134</t>
  </si>
  <si>
    <t>84-99-112</t>
  </si>
  <si>
    <t>644763 OH</t>
  </si>
  <si>
    <t>PS506P</t>
  </si>
  <si>
    <t>7020882180</t>
  </si>
  <si>
    <t>50-70-045</t>
  </si>
  <si>
    <t>644864 OH</t>
  </si>
  <si>
    <t>7FXR80Z/196</t>
  </si>
  <si>
    <t>7020891742</t>
  </si>
  <si>
    <t>75-50-626</t>
  </si>
  <si>
    <t>644785 OH</t>
  </si>
  <si>
    <t>10H</t>
  </si>
  <si>
    <t>7020891893</t>
  </si>
  <si>
    <t>92-20-385</t>
  </si>
  <si>
    <t>ARRW</t>
  </si>
  <si>
    <t>ASP-3</t>
  </si>
  <si>
    <t>.</t>
  </si>
  <si>
    <t>SCHD</t>
  </si>
  <si>
    <t>7020891895</t>
  </si>
  <si>
    <t>7020891921</t>
  </si>
  <si>
    <t>26-65-851</t>
  </si>
  <si>
    <t>BARK</t>
  </si>
  <si>
    <t>9001-M</t>
  </si>
  <si>
    <t>7020891932</t>
  </si>
  <si>
    <t>644790 OH</t>
  </si>
  <si>
    <t>06-99-005</t>
  </si>
  <si>
    <t>IPG</t>
  </si>
  <si>
    <t>87372</t>
  </si>
  <si>
    <t>12-38-106</t>
  </si>
  <si>
    <t>RBC</t>
  </si>
  <si>
    <t>7510DLGTNTG18</t>
  </si>
  <si>
    <t>7020891933</t>
  </si>
  <si>
    <t>06-40-040</t>
  </si>
  <si>
    <t>644643 OH</t>
  </si>
  <si>
    <t>JEMMSIL CT 1125</t>
  </si>
  <si>
    <t>12-05-610</t>
  </si>
  <si>
    <t>6205 2RSJEM</t>
  </si>
  <si>
    <t>7020891935</t>
  </si>
  <si>
    <t>06-05-010</t>
  </si>
  <si>
    <t>644602 OH</t>
  </si>
  <si>
    <t>00054007061328</t>
  </si>
  <si>
    <t>06-40-085</t>
  </si>
  <si>
    <t>0-00-51131-17535-8</t>
  </si>
  <si>
    <t>12-80-606</t>
  </si>
  <si>
    <t>22315 EK/C3</t>
  </si>
  <si>
    <t>16-75-275</t>
  </si>
  <si>
    <t>BX75</t>
  </si>
  <si>
    <t>7020891948</t>
  </si>
  <si>
    <t>7020891949</t>
  </si>
  <si>
    <t>06-40-019</t>
  </si>
  <si>
    <t>00051131175129</t>
  </si>
  <si>
    <t>53-20-037</t>
  </si>
  <si>
    <t>KANO</t>
  </si>
  <si>
    <t>AEROKROIL</t>
  </si>
  <si>
    <t>LUBRICANT PRODUCTS;</t>
  </si>
  <si>
    <t>7020894367</t>
  </si>
  <si>
    <t>2101227</t>
  </si>
  <si>
    <t>BROW</t>
  </si>
  <si>
    <t>H10MM</t>
  </si>
  <si>
    <t>7020901808</t>
  </si>
  <si>
    <t>84-25-970</t>
  </si>
  <si>
    <t>D10BOOT LOWER SET2</t>
  </si>
  <si>
    <t>7020902039</t>
  </si>
  <si>
    <t>84-10-072</t>
  </si>
  <si>
    <t>644898 OH</t>
  </si>
  <si>
    <t>DING</t>
  </si>
  <si>
    <t>H70339-1</t>
  </si>
  <si>
    <t>7020915045</t>
  </si>
  <si>
    <t>56-80-018</t>
  </si>
  <si>
    <t>135527</t>
  </si>
  <si>
    <t>7020915086</t>
  </si>
  <si>
    <t>13-10-209</t>
  </si>
  <si>
    <t>SNW 115X2.7/16</t>
  </si>
  <si>
    <t>7020915219</t>
  </si>
  <si>
    <t>7020924926</t>
  </si>
  <si>
    <t>84-25-851</t>
  </si>
  <si>
    <t>644998 OH</t>
  </si>
  <si>
    <t>ENID</t>
  </si>
  <si>
    <t>YI-1S3-013</t>
  </si>
  <si>
    <t>7020925194</t>
  </si>
  <si>
    <t>34-50-235</t>
  </si>
  <si>
    <t>MB13</t>
  </si>
  <si>
    <t>7020925195</t>
  </si>
  <si>
    <t>64-15-700</t>
  </si>
  <si>
    <t>NTN</t>
  </si>
  <si>
    <t>6201LLBNR</t>
  </si>
  <si>
    <t>7020926131</t>
  </si>
  <si>
    <t>84-55-257</t>
  </si>
  <si>
    <t>643533 OH</t>
  </si>
  <si>
    <t>PHC</t>
  </si>
  <si>
    <t>PK2002AN01</t>
  </si>
  <si>
    <t>84-55-258</t>
  </si>
  <si>
    <t>RG2AN00061</t>
  </si>
  <si>
    <t>7020929152</t>
  </si>
  <si>
    <t>2012539</t>
  </si>
  <si>
    <t>W013587327</t>
  </si>
  <si>
    <t>7020938909</t>
  </si>
  <si>
    <t>642405 ON / WO 2000431</t>
  </si>
  <si>
    <t>APCB</t>
  </si>
  <si>
    <t>F.I. APPVION PAPER 2-8-21</t>
  </si>
  <si>
    <t>7020951753</t>
  </si>
  <si>
    <t>12-10-500</t>
  </si>
  <si>
    <t>644859 OH</t>
  </si>
  <si>
    <t>22210 E/C3</t>
  </si>
  <si>
    <t>84-25-505</t>
  </si>
  <si>
    <t>MPT</t>
  </si>
  <si>
    <t>0 740 103 6000</t>
  </si>
  <si>
    <t>92-20-510</t>
  </si>
  <si>
    <t>LINC</t>
  </si>
  <si>
    <t>1142</t>
  </si>
  <si>
    <t>7020951754</t>
  </si>
  <si>
    <t>06-40-020</t>
  </si>
  <si>
    <t>644899 OH</t>
  </si>
  <si>
    <t>00051115647413</t>
  </si>
  <si>
    <t>06-40-215</t>
  </si>
  <si>
    <t>0-00-51131-17633-1</t>
  </si>
  <si>
    <t>06-99-007</t>
  </si>
  <si>
    <t>78750</t>
  </si>
  <si>
    <t>7020954901</t>
  </si>
  <si>
    <t>2102280</t>
  </si>
  <si>
    <t>OSBO</t>
  </si>
  <si>
    <t>PLR-3</t>
  </si>
  <si>
    <t>7020962527</t>
  </si>
  <si>
    <t>12-08-410</t>
  </si>
  <si>
    <t>645164 OH</t>
  </si>
  <si>
    <t>6208 2RSJEM</t>
  </si>
  <si>
    <t>7020962740</t>
  </si>
  <si>
    <t>97-90-042</t>
  </si>
  <si>
    <t>MCT</t>
  </si>
  <si>
    <t>N32-4-IRB</t>
  </si>
  <si>
    <t>7020962808</t>
  </si>
  <si>
    <t>16-10-024</t>
  </si>
  <si>
    <t>BSCB</t>
  </si>
  <si>
    <t>APPVION-16-10-024</t>
  </si>
  <si>
    <t>7020971245</t>
  </si>
  <si>
    <t>84-25-912</t>
  </si>
  <si>
    <t>EFIL</t>
  </si>
  <si>
    <t>31338</t>
  </si>
  <si>
    <t>7020971907</t>
  </si>
  <si>
    <t>645117 OH</t>
  </si>
  <si>
    <t>7020971985</t>
  </si>
  <si>
    <t>84-55-529</t>
  </si>
  <si>
    <t>DSNU-1 5/8-4"-PPVA 548539</t>
  </si>
  <si>
    <t>7020972074</t>
  </si>
  <si>
    <t>644241 OH</t>
  </si>
  <si>
    <t>PAVC65R4213</t>
  </si>
  <si>
    <t>7020984945</t>
  </si>
  <si>
    <t>12-40-720</t>
  </si>
  <si>
    <t>2-012</t>
  </si>
  <si>
    <t>12-80-230</t>
  </si>
  <si>
    <t>22217 E</t>
  </si>
  <si>
    <t>7020984956</t>
  </si>
  <si>
    <t>7020984962</t>
  </si>
  <si>
    <t>12-11-420</t>
  </si>
  <si>
    <t>645246 OH</t>
  </si>
  <si>
    <t>6311 2RSJEM</t>
  </si>
  <si>
    <t>12-54-605</t>
  </si>
  <si>
    <t>LB</t>
  </si>
  <si>
    <t>PB22428H</t>
  </si>
  <si>
    <t>7020985047</t>
  </si>
  <si>
    <t>84-55-714</t>
  </si>
  <si>
    <t>RG2AHL0101</t>
  </si>
  <si>
    <t>7020985049</t>
  </si>
  <si>
    <t>26-05-835</t>
  </si>
  <si>
    <t>11157 (100A, INSUL-8)</t>
  </si>
  <si>
    <t>7021005359</t>
  </si>
  <si>
    <t>01-01-256</t>
  </si>
  <si>
    <t>MFF-02-012</t>
  </si>
  <si>
    <t>7021005427</t>
  </si>
  <si>
    <t>12-50-400</t>
  </si>
  <si>
    <t>645338 OH</t>
  </si>
  <si>
    <t>2-17</t>
  </si>
  <si>
    <t>20-88-120</t>
  </si>
  <si>
    <t>80CONN LK CP</t>
  </si>
  <si>
    <t>7021005572</t>
  </si>
  <si>
    <t>92-85-285</t>
  </si>
  <si>
    <t>644717 OH</t>
  </si>
  <si>
    <t>HUMP</t>
  </si>
  <si>
    <t>42E1 120V</t>
  </si>
  <si>
    <t>7021005676</t>
  </si>
  <si>
    <t>645163 OH</t>
  </si>
  <si>
    <t>7021005702</t>
  </si>
  <si>
    <t>06-40-070</t>
  </si>
  <si>
    <t>645162 OH</t>
  </si>
  <si>
    <t>71676</t>
  </si>
  <si>
    <t>12-06-505</t>
  </si>
  <si>
    <t>6006 2RSJEM</t>
  </si>
  <si>
    <t>53-40-101</t>
  </si>
  <si>
    <t>SCCLPH416</t>
  </si>
  <si>
    <t>67-20-006</t>
  </si>
  <si>
    <t>743913</t>
  </si>
  <si>
    <t>67-67-655</t>
  </si>
  <si>
    <t>29906</t>
  </si>
  <si>
    <t>7021017575</t>
  </si>
  <si>
    <t>26-72-610</t>
  </si>
  <si>
    <t>MELP</t>
  </si>
  <si>
    <t>PT101-0050-1111110</t>
  </si>
  <si>
    <t>7021028532</t>
  </si>
  <si>
    <t>645201 OH</t>
  </si>
  <si>
    <t>7021030829</t>
  </si>
  <si>
    <t>1700549</t>
  </si>
  <si>
    <t>THK</t>
  </si>
  <si>
    <t>GSR20TSS</t>
  </si>
  <si>
    <t>LINEAR MOTION PRODUCTS;</t>
  </si>
  <si>
    <t>7021039235</t>
  </si>
  <si>
    <t>2102651</t>
  </si>
  <si>
    <t>LEGR</t>
  </si>
  <si>
    <t>3106 56 00</t>
  </si>
  <si>
    <t>7021040463</t>
  </si>
  <si>
    <t>84-10-831</t>
  </si>
  <si>
    <t>STER</t>
  </si>
  <si>
    <t>566847800</t>
  </si>
  <si>
    <t>7021040762</t>
  </si>
  <si>
    <t>36-07-100</t>
  </si>
  <si>
    <t>101-297-B-S320</t>
  </si>
  <si>
    <t>7021050082</t>
  </si>
  <si>
    <t>84-99-300</t>
  </si>
  <si>
    <t>1347570044</t>
  </si>
  <si>
    <t>7021053507</t>
  </si>
  <si>
    <t>2101378</t>
  </si>
  <si>
    <t>AB136</t>
  </si>
  <si>
    <t>7021061102</t>
  </si>
  <si>
    <t>645342 OH</t>
  </si>
  <si>
    <t>06-40-086</t>
  </si>
  <si>
    <t>0-00-51131-17559-4</t>
  </si>
  <si>
    <t>56-80-500</t>
  </si>
  <si>
    <t>WD40</t>
  </si>
  <si>
    <t>490040</t>
  </si>
  <si>
    <t>84-99-216</t>
  </si>
  <si>
    <t>21250B</t>
  </si>
  <si>
    <t>7021061148</t>
  </si>
  <si>
    <t>06-40-200</t>
  </si>
  <si>
    <t>645001 OH</t>
  </si>
  <si>
    <t>00051131069398</t>
  </si>
  <si>
    <t>72-80-860</t>
  </si>
  <si>
    <t>MHOS</t>
  </si>
  <si>
    <t>17SSC200E</t>
  </si>
  <si>
    <t>7021061151</t>
  </si>
  <si>
    <t>645489 OH</t>
  </si>
  <si>
    <t>53-20-038</t>
  </si>
  <si>
    <t>135543</t>
  </si>
  <si>
    <t>53-20-100</t>
  </si>
  <si>
    <t>LUBR</t>
  </si>
  <si>
    <t>L0135-063</t>
  </si>
  <si>
    <t>56-80-102</t>
  </si>
  <si>
    <t>2087067</t>
  </si>
  <si>
    <t>92-20-275</t>
  </si>
  <si>
    <t>M15(0111015)</t>
  </si>
  <si>
    <t>7021061303</t>
  </si>
  <si>
    <t>645538 OH</t>
  </si>
  <si>
    <t>7021061305</t>
  </si>
  <si>
    <t>645533 OH</t>
  </si>
  <si>
    <t>16-40-210</t>
  </si>
  <si>
    <t>630H100</t>
  </si>
  <si>
    <t>56-80-019</t>
  </si>
  <si>
    <t>466864</t>
  </si>
  <si>
    <t>84-55-716</t>
  </si>
  <si>
    <t>MILP</t>
  </si>
  <si>
    <t>051-KR015-138</t>
  </si>
  <si>
    <t>7021072914</t>
  </si>
  <si>
    <t>12-15-100</t>
  </si>
  <si>
    <t>1315 K</t>
  </si>
  <si>
    <t>7021075048</t>
  </si>
  <si>
    <t>2103110</t>
  </si>
  <si>
    <t>150L050</t>
  </si>
  <si>
    <t>7021093774</t>
  </si>
  <si>
    <t>12-58-155</t>
  </si>
  <si>
    <t>645717 OH</t>
  </si>
  <si>
    <t>MSF-35</t>
  </si>
  <si>
    <t>92-60-252</t>
  </si>
  <si>
    <t>0R75B</t>
  </si>
  <si>
    <t>7021093775</t>
  </si>
  <si>
    <t>13-90-044</t>
  </si>
  <si>
    <t>645767 OH</t>
  </si>
  <si>
    <t>LOR 44</t>
  </si>
  <si>
    <t>7021093839</t>
  </si>
  <si>
    <t>84-20-100</t>
  </si>
  <si>
    <t>645400 OH</t>
  </si>
  <si>
    <t>MORS</t>
  </si>
  <si>
    <t>MG500AX1 1/8</t>
  </si>
  <si>
    <t>7021094813</t>
  </si>
  <si>
    <t>41-05-036</t>
  </si>
  <si>
    <t>645335 OH</t>
  </si>
  <si>
    <t>61603 WAP VAC BAGS</t>
  </si>
  <si>
    <t>7021098812</t>
  </si>
  <si>
    <t>2100309</t>
  </si>
  <si>
    <t>9.06002.03</t>
  </si>
  <si>
    <t>7021105779</t>
  </si>
  <si>
    <t>99-30-010</t>
  </si>
  <si>
    <t>645797 OH</t>
  </si>
  <si>
    <t>54 X 44 X 150 3 MIL BAG</t>
  </si>
  <si>
    <t>7021118557</t>
  </si>
  <si>
    <t>16-10-023</t>
  </si>
  <si>
    <t>Y-1600</t>
  </si>
  <si>
    <t>56-80-012</t>
  </si>
  <si>
    <t>135512</t>
  </si>
  <si>
    <t>7021118947</t>
  </si>
  <si>
    <t>645710 OH</t>
  </si>
  <si>
    <t>64-99-404</t>
  </si>
  <si>
    <t>00021200069253</t>
  </si>
  <si>
    <t>92-20-388</t>
  </si>
  <si>
    <t>ASP-4</t>
  </si>
  <si>
    <t>7021118950</t>
  </si>
  <si>
    <t>01-01-246</t>
  </si>
  <si>
    <t>645577 OH</t>
  </si>
  <si>
    <t>MFF-05-010</t>
  </si>
  <si>
    <t>7021118961</t>
  </si>
  <si>
    <t>84-55-172</t>
  </si>
  <si>
    <t>BIMB</t>
  </si>
  <si>
    <t>NR-093-DXPB</t>
  </si>
  <si>
    <t>7021118969</t>
  </si>
  <si>
    <t>88-99-050</t>
  </si>
  <si>
    <t>COX</t>
  </si>
  <si>
    <t>SH-N-350</t>
  </si>
  <si>
    <t>7021118972</t>
  </si>
  <si>
    <t>7021119000</t>
  </si>
  <si>
    <t>16-60-340</t>
  </si>
  <si>
    <t>645673 OH</t>
  </si>
  <si>
    <t>4L310</t>
  </si>
  <si>
    <t>7021120724</t>
  </si>
  <si>
    <t>2103189</t>
  </si>
  <si>
    <t>B-34S-SK</t>
  </si>
  <si>
    <t>7021124817</t>
  </si>
  <si>
    <t>645681 ON</t>
  </si>
  <si>
    <t>0683720000</t>
  </si>
  <si>
    <t>7021128043</t>
  </si>
  <si>
    <t>75-50-085</t>
  </si>
  <si>
    <t>QM</t>
  </si>
  <si>
    <t>QF15INSERT</t>
  </si>
  <si>
    <t>78-30-301</t>
  </si>
  <si>
    <t>GRAC</t>
  </si>
  <si>
    <t>236273</t>
  </si>
  <si>
    <t>7021137968</t>
  </si>
  <si>
    <t>41-05-370</t>
  </si>
  <si>
    <t>645853 OH</t>
  </si>
  <si>
    <t>07E36A13AC</t>
  </si>
  <si>
    <t>7021152359</t>
  </si>
  <si>
    <t>20-88-125</t>
  </si>
  <si>
    <t>645951 OH</t>
  </si>
  <si>
    <t>80 2CONN LK CP</t>
  </si>
  <si>
    <t>7021153392</t>
  </si>
  <si>
    <t>92-20-120</t>
  </si>
  <si>
    <t>AAD-2HASKEL</t>
  </si>
  <si>
    <t>7021159747</t>
  </si>
  <si>
    <t>0959810175</t>
  </si>
  <si>
    <t>3H000198364</t>
  </si>
  <si>
    <t>7021162677</t>
  </si>
  <si>
    <t>06-40-015</t>
  </si>
  <si>
    <t>0-00-51131-06545-1</t>
  </si>
  <si>
    <t>7021162772</t>
  </si>
  <si>
    <t>92-65-000</t>
  </si>
  <si>
    <t>14R013FC</t>
  </si>
  <si>
    <t>7021163735</t>
  </si>
  <si>
    <t>84-99-214</t>
  </si>
  <si>
    <t>410714</t>
  </si>
  <si>
    <t>7021174591</t>
  </si>
  <si>
    <t>84-10-832</t>
  </si>
  <si>
    <t>108704100 QF</t>
  </si>
  <si>
    <t>7021174667</t>
  </si>
  <si>
    <t>12-95-003</t>
  </si>
  <si>
    <t>646072 OH</t>
  </si>
  <si>
    <t>596</t>
  </si>
  <si>
    <t>16-75-251</t>
  </si>
  <si>
    <t>B51</t>
  </si>
  <si>
    <t>16-75-308</t>
  </si>
  <si>
    <t>BX108</t>
  </si>
  <si>
    <t>67-67-703</t>
  </si>
  <si>
    <t>41170</t>
  </si>
  <si>
    <t>7021174884</t>
  </si>
  <si>
    <t>12-15-315</t>
  </si>
  <si>
    <t>6315 2RSJEM</t>
  </si>
  <si>
    <t>7021175474</t>
  </si>
  <si>
    <t>646069 OH</t>
  </si>
  <si>
    <t>7021175510</t>
  </si>
  <si>
    <t>646074 OH</t>
  </si>
  <si>
    <t>7021175538</t>
  </si>
  <si>
    <t>645765 OH</t>
  </si>
  <si>
    <t>7021175602</t>
  </si>
  <si>
    <t>06-80-045</t>
  </si>
  <si>
    <t>645851 OH</t>
  </si>
  <si>
    <t>135465</t>
  </si>
  <si>
    <t>12-70-411</t>
  </si>
  <si>
    <t>MCGI</t>
  </si>
  <si>
    <t>CFH1SB</t>
  </si>
  <si>
    <t>7021175606</t>
  </si>
  <si>
    <t>645796 OH</t>
  </si>
  <si>
    <t>16-75-362</t>
  </si>
  <si>
    <t>B162</t>
  </si>
  <si>
    <t>47-80-100</t>
  </si>
  <si>
    <t>87240520 + (2)87240280</t>
  </si>
  <si>
    <t>7021175659</t>
  </si>
  <si>
    <t>84-55-209</t>
  </si>
  <si>
    <t>FO-1250.75-CFT</t>
  </si>
  <si>
    <t>7021175767</t>
  </si>
  <si>
    <t>12-55-005</t>
  </si>
  <si>
    <t>SPM-31T CXU</t>
  </si>
  <si>
    <t>7021188682</t>
  </si>
  <si>
    <t>78-30-302</t>
  </si>
  <si>
    <t>D0F316</t>
  </si>
  <si>
    <t>7021188683</t>
  </si>
  <si>
    <t>12-15-316</t>
  </si>
  <si>
    <t>C 2213 TN9</t>
  </si>
  <si>
    <t>7021188684</t>
  </si>
  <si>
    <t>12-95-004</t>
  </si>
  <si>
    <t>592</t>
  </si>
  <si>
    <t>7021188693</t>
  </si>
  <si>
    <t>64-99-405</t>
  </si>
  <si>
    <t>00051115646966</t>
  </si>
  <si>
    <t>7021188799</t>
  </si>
  <si>
    <t>92-60-455</t>
  </si>
  <si>
    <t>D1VW004CNYCF</t>
  </si>
  <si>
    <t>7021200589</t>
  </si>
  <si>
    <t>645637 OH</t>
  </si>
  <si>
    <t>7021200924</t>
  </si>
  <si>
    <t>88-99-168</t>
  </si>
  <si>
    <t>646038 OH</t>
  </si>
  <si>
    <t>52131</t>
  </si>
  <si>
    <t>7021200977</t>
  </si>
  <si>
    <t>646149 OH</t>
  </si>
  <si>
    <t>FAG</t>
  </si>
  <si>
    <t>6315-2RSR</t>
  </si>
  <si>
    <t>7021211789</t>
  </si>
  <si>
    <t>646141 OH</t>
  </si>
  <si>
    <t>7021212433</t>
  </si>
  <si>
    <t>92-85-005</t>
  </si>
  <si>
    <t>SMCP</t>
  </si>
  <si>
    <t>NVFS3300-5FZ</t>
  </si>
  <si>
    <t>7021212495</t>
  </si>
  <si>
    <t>645969 ON</t>
  </si>
  <si>
    <t>1H3L0000251791</t>
  </si>
  <si>
    <t>7021212748</t>
  </si>
  <si>
    <t>88-40-187</t>
  </si>
  <si>
    <t>7021213104</t>
  </si>
  <si>
    <t>97-99-050</t>
  </si>
  <si>
    <t>RWM</t>
  </si>
  <si>
    <t>CIR1230-16-03</t>
  </si>
  <si>
    <t>7021229062</t>
  </si>
  <si>
    <t>06-40-018</t>
  </si>
  <si>
    <t>645403 OH</t>
  </si>
  <si>
    <t>00051128988817</t>
  </si>
  <si>
    <t>7021229064</t>
  </si>
  <si>
    <t>645669 OH</t>
  </si>
  <si>
    <t>12-47-460</t>
  </si>
  <si>
    <t>1654DCTNTG18</t>
  </si>
  <si>
    <t>7021229066</t>
  </si>
  <si>
    <t>645991 OH</t>
  </si>
  <si>
    <t>12-99-050</t>
  </si>
  <si>
    <t>SRS9XMUU+55LM-11</t>
  </si>
  <si>
    <t>84-25-410</t>
  </si>
  <si>
    <t>07401035874</t>
  </si>
  <si>
    <t>84-99-219</t>
  </si>
  <si>
    <t>97410715</t>
  </si>
  <si>
    <t>646280 OH</t>
  </si>
  <si>
    <t>7021245825</t>
  </si>
  <si>
    <t>41-60-403</t>
  </si>
  <si>
    <t>DONA</t>
  </si>
  <si>
    <t>P551551</t>
  </si>
  <si>
    <t>7021247824</t>
  </si>
  <si>
    <t>06-10-020</t>
  </si>
  <si>
    <t>646194 OH</t>
  </si>
  <si>
    <t>K2800/RL</t>
  </si>
  <si>
    <t>75-50-292</t>
  </si>
  <si>
    <t>L075SOX OCT</t>
  </si>
  <si>
    <t>92-65-260</t>
  </si>
  <si>
    <t>14R113FC</t>
  </si>
  <si>
    <t>7021258674</t>
  </si>
  <si>
    <t>646253 OF</t>
  </si>
  <si>
    <t>23044 CC/W33</t>
  </si>
  <si>
    <t>7021258772</t>
  </si>
  <si>
    <t>72-21-060</t>
  </si>
  <si>
    <t>646337 OH</t>
  </si>
  <si>
    <t>KURI</t>
  </si>
  <si>
    <t>K3150-16X100</t>
  </si>
  <si>
    <t>FT</t>
  </si>
  <si>
    <t>7021258892</t>
  </si>
  <si>
    <t>12-52-208</t>
  </si>
  <si>
    <t>MA1208</t>
  </si>
  <si>
    <t>7021258942</t>
  </si>
  <si>
    <t>12-53-200</t>
  </si>
  <si>
    <t>NP-27</t>
  </si>
  <si>
    <t>7021259209</t>
  </si>
  <si>
    <t>84-30-630</t>
  </si>
  <si>
    <t>VIK</t>
  </si>
  <si>
    <t>4-0655-1133-517</t>
  </si>
  <si>
    <t>7021259329</t>
  </si>
  <si>
    <t>84-55-630</t>
  </si>
  <si>
    <t>SHEF</t>
  </si>
  <si>
    <t>720-00400</t>
  </si>
  <si>
    <t>7021268849</t>
  </si>
  <si>
    <t>12-15-315*</t>
  </si>
  <si>
    <t>7021268915</t>
  </si>
  <si>
    <t>7021271325</t>
  </si>
  <si>
    <t>2011913</t>
  </si>
  <si>
    <t>ER-16T</t>
  </si>
  <si>
    <t>7021277660</t>
  </si>
  <si>
    <t>72-64-475</t>
  </si>
  <si>
    <t>DEUB</t>
  </si>
  <si>
    <t>1005-000-038</t>
  </si>
  <si>
    <t>84-10-708</t>
  </si>
  <si>
    <t>105603100BPF</t>
  </si>
  <si>
    <t>7021278048</t>
  </si>
  <si>
    <t>12-05-051</t>
  </si>
  <si>
    <t>E2.6205-2Z/C3</t>
  </si>
  <si>
    <t>7021279742</t>
  </si>
  <si>
    <t>646353 OH</t>
  </si>
  <si>
    <t>7021290802</t>
  </si>
  <si>
    <t>12-75-390</t>
  </si>
  <si>
    <t>646332 OH</t>
  </si>
  <si>
    <t>KOYO</t>
  </si>
  <si>
    <t>BH-1612</t>
  </si>
  <si>
    <t>47-99-330</t>
  </si>
  <si>
    <t>RECT</t>
  </si>
  <si>
    <t>20KAAN10MPX</t>
  </si>
  <si>
    <t>84-30-626</t>
  </si>
  <si>
    <t>4-0630-1133-005</t>
  </si>
  <si>
    <t>7021291614</t>
  </si>
  <si>
    <t>12-43-490</t>
  </si>
  <si>
    <t>646429 OH</t>
  </si>
  <si>
    <t>ER-16</t>
  </si>
  <si>
    <t>12-80-210*</t>
  </si>
  <si>
    <t>22211 E/C3</t>
  </si>
  <si>
    <t>7021302808</t>
  </si>
  <si>
    <t>84-99-108</t>
  </si>
  <si>
    <t>W013587431</t>
  </si>
  <si>
    <t>7021303584</t>
  </si>
  <si>
    <t>645804 OH</t>
  </si>
  <si>
    <t>7021303585</t>
  </si>
  <si>
    <t>645801 OH</t>
  </si>
  <si>
    <t>7021313947</t>
  </si>
  <si>
    <t>7021323818</t>
  </si>
  <si>
    <t>12-53-410</t>
  </si>
  <si>
    <t>646522 OH</t>
  </si>
  <si>
    <t>MSF-27</t>
  </si>
  <si>
    <t>16-60-205</t>
  </si>
  <si>
    <t>3VX750</t>
  </si>
  <si>
    <t>16-75-260</t>
  </si>
  <si>
    <t>BX60</t>
  </si>
  <si>
    <t>7021324684</t>
  </si>
  <si>
    <t>88-10-495</t>
  </si>
  <si>
    <t>80386 - ANVIL 10" SEC</t>
  </si>
  <si>
    <t>88-10-496</t>
  </si>
  <si>
    <t>G40133M</t>
  </si>
  <si>
    <t>91-90-400</t>
  </si>
  <si>
    <t>80019</t>
  </si>
  <si>
    <t>7021324989</t>
  </si>
  <si>
    <t>16-40-014</t>
  </si>
  <si>
    <t>646626 OH</t>
  </si>
  <si>
    <t>BX88</t>
  </si>
  <si>
    <t>7021335156</t>
  </si>
  <si>
    <t>67-67-059</t>
  </si>
  <si>
    <t>34888</t>
  </si>
  <si>
    <t>7021336095</t>
  </si>
  <si>
    <t>646192 OH</t>
  </si>
  <si>
    <t>12-95-200</t>
  </si>
  <si>
    <t>HH221449NA</t>
  </si>
  <si>
    <t>7021336127</t>
  </si>
  <si>
    <t>646519 OH</t>
  </si>
  <si>
    <t>12-58-600</t>
  </si>
  <si>
    <t>ER35</t>
  </si>
  <si>
    <t>84-99-217</t>
  </si>
  <si>
    <t>HYDR</t>
  </si>
  <si>
    <t>21744</t>
  </si>
  <si>
    <t>84-99-218</t>
  </si>
  <si>
    <t>410711</t>
  </si>
  <si>
    <t>7021336128</t>
  </si>
  <si>
    <t>646340 OH</t>
  </si>
  <si>
    <t>7021336129</t>
  </si>
  <si>
    <t>16-40-572</t>
  </si>
  <si>
    <t>646231 OH</t>
  </si>
  <si>
    <t>450L075</t>
  </si>
  <si>
    <t>7021336131</t>
  </si>
  <si>
    <t>646430 OH</t>
  </si>
  <si>
    <t>53-20-040</t>
  </si>
  <si>
    <t>193996</t>
  </si>
  <si>
    <t>7021347104</t>
  </si>
  <si>
    <t>34-50-232</t>
  </si>
  <si>
    <t>TW121</t>
  </si>
  <si>
    <t>7021347159</t>
  </si>
  <si>
    <t>12-80-423</t>
  </si>
  <si>
    <t>SNW 20X3.7/16</t>
  </si>
  <si>
    <t>12-95-216</t>
  </si>
  <si>
    <t>LM67010</t>
  </si>
  <si>
    <t>7021347425</t>
  </si>
  <si>
    <t>12-80-220</t>
  </si>
  <si>
    <t>646690 OH</t>
  </si>
  <si>
    <t>22213 E</t>
  </si>
  <si>
    <t>7021358102</t>
  </si>
  <si>
    <t>84-10-186</t>
  </si>
  <si>
    <t>646498 OH</t>
  </si>
  <si>
    <t>R24287D1</t>
  </si>
  <si>
    <t>13587564</t>
  </si>
  <si>
    <t>W013587564</t>
  </si>
  <si>
    <t>7021370370</t>
  </si>
  <si>
    <t>16-60-550</t>
  </si>
  <si>
    <t>646728 OH</t>
  </si>
  <si>
    <t>5VX600</t>
  </si>
  <si>
    <t>7021378161</t>
  </si>
  <si>
    <t>16-90-002</t>
  </si>
  <si>
    <t>B-2660</t>
  </si>
  <si>
    <t>7021378303</t>
  </si>
  <si>
    <t>75-50-615</t>
  </si>
  <si>
    <t>646774 OH</t>
  </si>
  <si>
    <t>8</t>
  </si>
  <si>
    <t>7021378763</t>
  </si>
  <si>
    <t>12-90-101</t>
  </si>
  <si>
    <t>FL608ZZ</t>
  </si>
  <si>
    <t>7021379895</t>
  </si>
  <si>
    <t>84-70-156</t>
  </si>
  <si>
    <t>644078 OH</t>
  </si>
  <si>
    <t>ASA0000010</t>
  </si>
  <si>
    <t>7021404655</t>
  </si>
  <si>
    <t>2103166</t>
  </si>
  <si>
    <t>42426</t>
  </si>
  <si>
    <t>7021404665</t>
  </si>
  <si>
    <t>7021404842</t>
  </si>
  <si>
    <t>7021415777</t>
  </si>
  <si>
    <t>7021416396</t>
  </si>
  <si>
    <t>84-55-929</t>
  </si>
  <si>
    <t>646649 OH</t>
  </si>
  <si>
    <t>RG2HLTS251</t>
  </si>
  <si>
    <t>7021428680</t>
  </si>
  <si>
    <t>88-99-055</t>
  </si>
  <si>
    <t>HANN</t>
  </si>
  <si>
    <t>N716-19-20JSR</t>
  </si>
  <si>
    <t>7021430207</t>
  </si>
  <si>
    <t>7021438401</t>
  </si>
  <si>
    <t>16-50-230</t>
  </si>
  <si>
    <t>646865 OH</t>
  </si>
  <si>
    <t>3500 14M40HAWK</t>
  </si>
  <si>
    <t>16-75-253</t>
  </si>
  <si>
    <t>BX53</t>
  </si>
  <si>
    <t>7021438481</t>
  </si>
  <si>
    <t>7021439151</t>
  </si>
  <si>
    <t>1-2 WKS</t>
  </si>
  <si>
    <t>646535 ON</t>
  </si>
  <si>
    <t>S-41553</t>
  </si>
  <si>
    <t>7021439697</t>
  </si>
  <si>
    <t>16-10-009</t>
  </si>
  <si>
    <t>SIEG</t>
  </si>
  <si>
    <t>E5/2 0/V3 MT-NA 8"IN X 108"IN LG "KS"</t>
  </si>
  <si>
    <t>7021453884</t>
  </si>
  <si>
    <t>646814 OH</t>
  </si>
  <si>
    <t>67-67-053</t>
  </si>
  <si>
    <t>52445</t>
  </si>
  <si>
    <t>7021453922</t>
  </si>
  <si>
    <t>06-40-025</t>
  </si>
  <si>
    <t>646898 OH</t>
  </si>
  <si>
    <t>00-051115-64742-0*</t>
  </si>
  <si>
    <t>06-80-030</t>
  </si>
  <si>
    <t>135469</t>
  </si>
  <si>
    <t>12-09-430</t>
  </si>
  <si>
    <t>6309 2RSJEM</t>
  </si>
  <si>
    <t>16-35-230</t>
  </si>
  <si>
    <t>4L230</t>
  </si>
  <si>
    <t>7021453937</t>
  </si>
  <si>
    <t>646630 OH</t>
  </si>
  <si>
    <t>7021453973</t>
  </si>
  <si>
    <t>646752 OH</t>
  </si>
  <si>
    <t>16-60-130</t>
  </si>
  <si>
    <t>3VX425</t>
  </si>
  <si>
    <t>7021453988</t>
  </si>
  <si>
    <t>646148</t>
  </si>
  <si>
    <t>12-95-380</t>
  </si>
  <si>
    <t>48620</t>
  </si>
  <si>
    <t>12-95-420</t>
  </si>
  <si>
    <t>56425</t>
  </si>
  <si>
    <t>12-95-430</t>
  </si>
  <si>
    <t>56650</t>
  </si>
  <si>
    <t>16-75-244</t>
  </si>
  <si>
    <t>B144</t>
  </si>
  <si>
    <t>67-67-810</t>
  </si>
  <si>
    <t>66241</t>
  </si>
  <si>
    <t>7021453998</t>
  </si>
  <si>
    <t>646650 OH</t>
  </si>
  <si>
    <t>7021454026</t>
  </si>
  <si>
    <t>7021454035</t>
  </si>
  <si>
    <t>646722 OH</t>
  </si>
  <si>
    <t>12-06-510</t>
  </si>
  <si>
    <t>6206 2RSJEM</t>
  </si>
  <si>
    <t>72-90-110</t>
  </si>
  <si>
    <t>200-HRP-SP</t>
  </si>
  <si>
    <t>7021454072</t>
  </si>
  <si>
    <t>47-99-331</t>
  </si>
  <si>
    <t>OBAC</t>
  </si>
  <si>
    <t>20SFTF03MXX</t>
  </si>
  <si>
    <t>7021454099</t>
  </si>
  <si>
    <t>06-40-035</t>
  </si>
  <si>
    <t>MSA</t>
  </si>
  <si>
    <t>51150-00009-00</t>
  </si>
  <si>
    <t>7021454108</t>
  </si>
  <si>
    <t>7021464194</t>
  </si>
  <si>
    <t>67-67-899</t>
  </si>
  <si>
    <t>GARL</t>
  </si>
  <si>
    <t>21852-3984</t>
  </si>
  <si>
    <t>7021465325</t>
  </si>
  <si>
    <t>2104447</t>
  </si>
  <si>
    <t>17X35X7HMSA10RG</t>
  </si>
  <si>
    <t>7021474869</t>
  </si>
  <si>
    <t>92-20-256</t>
  </si>
  <si>
    <t>434</t>
  </si>
  <si>
    <t>7021474931</t>
  </si>
  <si>
    <t>92-85-521</t>
  </si>
  <si>
    <t>VER</t>
  </si>
  <si>
    <t>KGG-4232-K30-3-A120</t>
  </si>
  <si>
    <t>7021475957</t>
  </si>
  <si>
    <t>7021485696</t>
  </si>
  <si>
    <t>06-40-034</t>
  </si>
  <si>
    <t>51910-2"X 55 EASY SPLICE FILMLINE 6RL/CA</t>
  </si>
  <si>
    <t>7021494226</t>
  </si>
  <si>
    <t>16-50-195</t>
  </si>
  <si>
    <t>3360 14M40HAWK</t>
  </si>
  <si>
    <t>7021494343</t>
  </si>
  <si>
    <t>12-95-117</t>
  </si>
  <si>
    <t>646999 OH</t>
  </si>
  <si>
    <t>JM612910</t>
  </si>
  <si>
    <t>12-95-118</t>
  </si>
  <si>
    <t>JM612949</t>
  </si>
  <si>
    <t>16-75-264</t>
  </si>
  <si>
    <t>BX64</t>
  </si>
  <si>
    <t>67-67-125</t>
  </si>
  <si>
    <t>9307</t>
  </si>
  <si>
    <t>7021494344</t>
  </si>
  <si>
    <t>56-80-015</t>
  </si>
  <si>
    <t>646997 OH</t>
  </si>
  <si>
    <t>1265769</t>
  </si>
  <si>
    <t>7021505866</t>
  </si>
  <si>
    <t>12-54-075</t>
  </si>
  <si>
    <t>647024 OH</t>
  </si>
  <si>
    <t>FB22428H</t>
  </si>
  <si>
    <t>12-70-486</t>
  </si>
  <si>
    <t>CYR1 5/8S</t>
  </si>
  <si>
    <t>7021505951</t>
  </si>
  <si>
    <t>67-67-016</t>
  </si>
  <si>
    <t>95X120X12CRW1V</t>
  </si>
  <si>
    <t>7021506635</t>
  </si>
  <si>
    <t>97-30-025</t>
  </si>
  <si>
    <t>REHD83DH</t>
  </si>
  <si>
    <t>7021506688</t>
  </si>
  <si>
    <t>92-60-074</t>
  </si>
  <si>
    <t>NUMA</t>
  </si>
  <si>
    <t>3FCRN</t>
  </si>
  <si>
    <t>7021506689</t>
  </si>
  <si>
    <t>646386 ON</t>
  </si>
  <si>
    <t>JWAL</t>
  </si>
  <si>
    <t>SL000253 - 10</t>
  </si>
  <si>
    <t>7021506690</t>
  </si>
  <si>
    <t>67-60-003</t>
  </si>
  <si>
    <t>ORIN</t>
  </si>
  <si>
    <t>4085-B</t>
  </si>
  <si>
    <t>7021506944</t>
  </si>
  <si>
    <t>647003 OH</t>
  </si>
  <si>
    <t>7021506945</t>
  </si>
  <si>
    <t>7021508416</t>
  </si>
  <si>
    <t>2104672</t>
  </si>
  <si>
    <t>32548</t>
  </si>
  <si>
    <t>33251</t>
  </si>
  <si>
    <t>7021517892</t>
  </si>
  <si>
    <t>647092 OH</t>
  </si>
  <si>
    <t>7021521131</t>
  </si>
  <si>
    <t>2103923</t>
  </si>
  <si>
    <t>12336</t>
  </si>
  <si>
    <t>7021527678</t>
  </si>
  <si>
    <t>7021527831</t>
  </si>
  <si>
    <t>7021530016</t>
  </si>
  <si>
    <t>7021538731</t>
  </si>
  <si>
    <t>67-67-018</t>
  </si>
  <si>
    <t>48X62X8HMSA10V</t>
  </si>
  <si>
    <t>7021539126</t>
  </si>
  <si>
    <t>7021539849</t>
  </si>
  <si>
    <t>84-55-256</t>
  </si>
  <si>
    <t>RK2AHL0255</t>
  </si>
  <si>
    <t>7021548452</t>
  </si>
  <si>
    <t>7021561159</t>
  </si>
  <si>
    <t>647174 OH</t>
  </si>
  <si>
    <t>7021563700</t>
  </si>
  <si>
    <t>2104599</t>
  </si>
  <si>
    <t>JASO</t>
  </si>
  <si>
    <t>1345H150U</t>
  </si>
  <si>
    <t>7021570369</t>
  </si>
  <si>
    <t>647075 OH</t>
  </si>
  <si>
    <t>7021570370</t>
  </si>
  <si>
    <t>06-40-060</t>
  </si>
  <si>
    <t>647091 OH</t>
  </si>
  <si>
    <t>00021200723308</t>
  </si>
  <si>
    <t>7021570503</t>
  </si>
  <si>
    <t>12-11-400</t>
  </si>
  <si>
    <t>6011-2RS1</t>
  </si>
  <si>
    <t>7021570504</t>
  </si>
  <si>
    <t>67-80-855</t>
  </si>
  <si>
    <t>VCK</t>
  </si>
  <si>
    <t>6333U-014</t>
  </si>
  <si>
    <t>7021571321</t>
  </si>
  <si>
    <t>16-55-104</t>
  </si>
  <si>
    <t>4578-14MG-65</t>
  </si>
  <si>
    <t>7021571492</t>
  </si>
  <si>
    <t>67-67-691</t>
  </si>
  <si>
    <t>40078</t>
  </si>
  <si>
    <t>7021572110</t>
  </si>
  <si>
    <t>647070 ON</t>
  </si>
  <si>
    <t>42416</t>
  </si>
  <si>
    <t>47144</t>
  </si>
  <si>
    <t>P-41289-SS6</t>
  </si>
  <si>
    <t>7021572111</t>
  </si>
  <si>
    <t>47-30-000</t>
  </si>
  <si>
    <t>647172 OH</t>
  </si>
  <si>
    <t>FS-1002-16FP</t>
  </si>
  <si>
    <t>7021572145</t>
  </si>
  <si>
    <t>84-10-025</t>
  </si>
  <si>
    <t>6-72019-54-U3</t>
  </si>
  <si>
    <t>7021572146</t>
  </si>
  <si>
    <t>84-10-065</t>
  </si>
  <si>
    <t>H6-72027-54U3</t>
  </si>
  <si>
    <t>7021572197</t>
  </si>
  <si>
    <t>56-80-502</t>
  </si>
  <si>
    <t>MLLD</t>
  </si>
  <si>
    <t>840-0212</t>
  </si>
  <si>
    <t>7021582602</t>
  </si>
  <si>
    <t>7021594565</t>
  </si>
  <si>
    <t>92-60-075</t>
  </si>
  <si>
    <t>031SA4002000030</t>
  </si>
  <si>
    <t>7021594594</t>
  </si>
  <si>
    <t>84-55-203</t>
  </si>
  <si>
    <t>FOS-310.5-1N</t>
  </si>
  <si>
    <t>7021602488</t>
  </si>
  <si>
    <t>12-16-100</t>
  </si>
  <si>
    <t>647343 OH</t>
  </si>
  <si>
    <t>MRC</t>
  </si>
  <si>
    <t>R16ZZ</t>
  </si>
  <si>
    <t>60-60-630</t>
  </si>
  <si>
    <t>PBP</t>
  </si>
  <si>
    <t>42235</t>
  </si>
  <si>
    <t>7021615183</t>
  </si>
  <si>
    <t>12-55-208</t>
  </si>
  <si>
    <t>M1208UV</t>
  </si>
  <si>
    <t>7021615230</t>
  </si>
  <si>
    <t>12-80-045</t>
  </si>
  <si>
    <t>647374 OH</t>
  </si>
  <si>
    <t>22218 E</t>
  </si>
  <si>
    <t>67-67-215</t>
  </si>
  <si>
    <t>120X150X12 HMS5 RG</t>
  </si>
  <si>
    <t>7021615742</t>
  </si>
  <si>
    <t>647372 OH</t>
  </si>
  <si>
    <t>7021615772</t>
  </si>
  <si>
    <t>647404 OH</t>
  </si>
  <si>
    <t>7021615774</t>
  </si>
  <si>
    <t>647400 OH</t>
  </si>
  <si>
    <t>7021615808</t>
  </si>
  <si>
    <t>647315 OH</t>
  </si>
  <si>
    <t>7021615817</t>
  </si>
  <si>
    <t>647238 OH</t>
  </si>
  <si>
    <t>7021617257</t>
  </si>
  <si>
    <t>26-27-511</t>
  </si>
  <si>
    <t>BS1001UB</t>
  </si>
  <si>
    <t>7021618923</t>
  </si>
  <si>
    <t>7021625318</t>
  </si>
  <si>
    <t>7021625340</t>
  </si>
  <si>
    <t>7021625401</t>
  </si>
  <si>
    <t>7021625403</t>
  </si>
  <si>
    <t>84-99-301</t>
  </si>
  <si>
    <t>1347570050</t>
  </si>
  <si>
    <t>7021625482</t>
  </si>
  <si>
    <t>647268 ON</t>
  </si>
  <si>
    <t>WINS</t>
  </si>
  <si>
    <t>ZPCM36205</t>
  </si>
  <si>
    <t>7021625514</t>
  </si>
  <si>
    <t>4-5 WKS</t>
  </si>
  <si>
    <t>M-41958</t>
  </si>
  <si>
    <t>7021635796</t>
  </si>
  <si>
    <t>647434 ON</t>
  </si>
  <si>
    <t>MFC-32</t>
  </si>
  <si>
    <t>7021636475</t>
  </si>
  <si>
    <t>06-40-016</t>
  </si>
  <si>
    <t>0-00-51115-31465-0</t>
  </si>
  <si>
    <t>7021636586</t>
  </si>
  <si>
    <t>7021649103</t>
  </si>
  <si>
    <t>12-95-116</t>
  </si>
  <si>
    <t>33017</t>
  </si>
  <si>
    <t>7021649366</t>
  </si>
  <si>
    <t>12-47-015</t>
  </si>
  <si>
    <t>646895 OH</t>
  </si>
  <si>
    <t>MPD-35CXU</t>
  </si>
  <si>
    <t>7021659993</t>
  </si>
  <si>
    <t>16-50-122</t>
  </si>
  <si>
    <t>647489 OH</t>
  </si>
  <si>
    <t>2800 14M40HAWK</t>
  </si>
  <si>
    <t>20-28-080</t>
  </si>
  <si>
    <t>60RIV</t>
  </si>
  <si>
    <t>60-60-610</t>
  </si>
  <si>
    <t>42215</t>
  </si>
  <si>
    <t>60-60-615</t>
  </si>
  <si>
    <t>42220</t>
  </si>
  <si>
    <t>60-60-655</t>
  </si>
  <si>
    <t>42260</t>
  </si>
  <si>
    <t>7021670901</t>
  </si>
  <si>
    <t>75-80-806</t>
  </si>
  <si>
    <t>F4BDL203</t>
  </si>
  <si>
    <t>7021672124</t>
  </si>
  <si>
    <t>647339 OH</t>
  </si>
  <si>
    <t>7021672126</t>
  </si>
  <si>
    <t>7021685511</t>
  </si>
  <si>
    <t>60-60-625</t>
  </si>
  <si>
    <t>647525 OH</t>
  </si>
  <si>
    <t>42230</t>
  </si>
  <si>
    <t>60-60-640</t>
  </si>
  <si>
    <t>42245</t>
  </si>
  <si>
    <t>7021687031</t>
  </si>
  <si>
    <t>2104934</t>
  </si>
  <si>
    <t>7021696270</t>
  </si>
  <si>
    <t>60-60-645</t>
  </si>
  <si>
    <t>42250</t>
  </si>
  <si>
    <t>7021696368</t>
  </si>
  <si>
    <t>16-60-578</t>
  </si>
  <si>
    <t>647621 OH</t>
  </si>
  <si>
    <t>5VX1180</t>
  </si>
  <si>
    <t>7021704447</t>
  </si>
  <si>
    <t>67-67-063</t>
  </si>
  <si>
    <t>647685 OH</t>
  </si>
  <si>
    <t>17653</t>
  </si>
  <si>
    <t>67-67-091</t>
  </si>
  <si>
    <t>23685</t>
  </si>
  <si>
    <t>67-67-260</t>
  </si>
  <si>
    <t>13651</t>
  </si>
  <si>
    <t>7021704645</t>
  </si>
  <si>
    <t>12-05-520</t>
  </si>
  <si>
    <t>5205CZZ</t>
  </si>
  <si>
    <t>84-90-956</t>
  </si>
  <si>
    <t>8FLEX DISC</t>
  </si>
  <si>
    <t>7021705613</t>
  </si>
  <si>
    <t>38-60-105</t>
  </si>
  <si>
    <t>LEE</t>
  </si>
  <si>
    <t>LE-148J-11-M</t>
  </si>
  <si>
    <t>7021715346</t>
  </si>
  <si>
    <t>7021715923</t>
  </si>
  <si>
    <t>647686 OH</t>
  </si>
  <si>
    <t>56-80-100</t>
  </si>
  <si>
    <t>XIAM</t>
  </si>
  <si>
    <t>732CL90ML TUBE</t>
  </si>
  <si>
    <t>7021726481</t>
  </si>
  <si>
    <t>7021726770</t>
  </si>
  <si>
    <t>647595 OH</t>
  </si>
  <si>
    <t>HYCN</t>
  </si>
  <si>
    <t>1.07.08D12BN4</t>
  </si>
  <si>
    <t>7021726798</t>
  </si>
  <si>
    <t>84-40-442</t>
  </si>
  <si>
    <t>49083</t>
  </si>
  <si>
    <t>7021726840</t>
  </si>
  <si>
    <t>16-10-052</t>
  </si>
  <si>
    <t>HABA</t>
  </si>
  <si>
    <t>APPVION-16-10-052</t>
  </si>
  <si>
    <t>7021736256</t>
  </si>
  <si>
    <t>16-60-390</t>
  </si>
  <si>
    <t>647763 OH</t>
  </si>
  <si>
    <t>4L420</t>
  </si>
  <si>
    <t>16-75-033</t>
  </si>
  <si>
    <t>AX33</t>
  </si>
  <si>
    <t>92-65-311</t>
  </si>
  <si>
    <t>06R118AC</t>
  </si>
  <si>
    <t>7021736725</t>
  </si>
  <si>
    <t>7021758795</t>
  </si>
  <si>
    <t>16-75-046</t>
  </si>
  <si>
    <t>647843 OH</t>
  </si>
  <si>
    <t>AX46</t>
  </si>
  <si>
    <t>7021761542</t>
  </si>
  <si>
    <t>2103341</t>
  </si>
  <si>
    <t>20R10P-0.750C-1.500S</t>
  </si>
  <si>
    <t>7021764944</t>
  </si>
  <si>
    <t>7021769281</t>
  </si>
  <si>
    <t>647555 OH</t>
  </si>
  <si>
    <t>7021769327</t>
  </si>
  <si>
    <t>7021779541</t>
  </si>
  <si>
    <t>647553 OH</t>
  </si>
  <si>
    <t>7021779568</t>
  </si>
  <si>
    <t>647529 OH</t>
  </si>
  <si>
    <t>91-90-170</t>
  </si>
  <si>
    <t>80</t>
  </si>
  <si>
    <t>97-30-030</t>
  </si>
  <si>
    <t>R-303-1/2-NF</t>
  </si>
  <si>
    <t>12-95-390</t>
  </si>
  <si>
    <t>48684</t>
  </si>
  <si>
    <t>7021780516</t>
  </si>
  <si>
    <t>644767 OH</t>
  </si>
  <si>
    <t>10969-16-8</t>
  </si>
  <si>
    <t>7021790461</t>
  </si>
  <si>
    <t>60-60-620</t>
  </si>
  <si>
    <t>42225</t>
  </si>
  <si>
    <t>7021791296</t>
  </si>
  <si>
    <t>16-10-051</t>
  </si>
  <si>
    <t>647682 OH</t>
  </si>
  <si>
    <t>APPVION-16-10-051</t>
  </si>
  <si>
    <t>7021810859</t>
  </si>
  <si>
    <t>12-07-430</t>
  </si>
  <si>
    <t>648019 OH</t>
  </si>
  <si>
    <t>6007-2RS1/GJN</t>
  </si>
  <si>
    <t>16-50-005</t>
  </si>
  <si>
    <t>1040 8M30HAWK</t>
  </si>
  <si>
    <t>16-75-250</t>
  </si>
  <si>
    <t>BX50</t>
  </si>
  <si>
    <t>7021812214</t>
  </si>
  <si>
    <t>75-50-305</t>
  </si>
  <si>
    <t>648056 OH</t>
  </si>
  <si>
    <t>L099/L100SOX</t>
  </si>
  <si>
    <t>7021812369</t>
  </si>
  <si>
    <t>647873 OH</t>
  </si>
  <si>
    <t>7021817515</t>
  </si>
  <si>
    <t>2104873</t>
  </si>
  <si>
    <t>A90</t>
  </si>
  <si>
    <t>7021822268</t>
  </si>
  <si>
    <t>16-40-221</t>
  </si>
  <si>
    <t>660H150</t>
  </si>
  <si>
    <t>16-75-035</t>
  </si>
  <si>
    <t>AX35</t>
  </si>
  <si>
    <t>7021822850</t>
  </si>
  <si>
    <t>647877 OH</t>
  </si>
  <si>
    <t>7021822924</t>
  </si>
  <si>
    <t>647618 OH</t>
  </si>
  <si>
    <t>7021834250</t>
  </si>
  <si>
    <t>7021834882</t>
  </si>
  <si>
    <t>647975 OH</t>
  </si>
  <si>
    <t>7021843886</t>
  </si>
  <si>
    <t>92-65-265</t>
  </si>
  <si>
    <t>14R110FC</t>
  </si>
  <si>
    <t>7021844020</t>
  </si>
  <si>
    <t>16-50-270</t>
  </si>
  <si>
    <t>648108 OH</t>
  </si>
  <si>
    <t>1400H150</t>
  </si>
  <si>
    <t>7021844134</t>
  </si>
  <si>
    <t>12-00-200</t>
  </si>
  <si>
    <t>6200 2RSJEM</t>
  </si>
  <si>
    <t>7021844873</t>
  </si>
  <si>
    <t>40-41-400</t>
  </si>
  <si>
    <t>7021844985</t>
  </si>
  <si>
    <t>16-55-103</t>
  </si>
  <si>
    <t>432614M65W</t>
  </si>
  <si>
    <t>7021847248</t>
  </si>
  <si>
    <t>2106648</t>
  </si>
  <si>
    <t>657-50802</t>
  </si>
  <si>
    <t>657-50831</t>
  </si>
  <si>
    <t>7570102500100</t>
  </si>
  <si>
    <t>7021856627</t>
  </si>
  <si>
    <t>84-70-155</t>
  </si>
  <si>
    <t>DUFF</t>
  </si>
  <si>
    <t>M9005-30</t>
  </si>
  <si>
    <t>7021858282</t>
  </si>
  <si>
    <t>75-50-319</t>
  </si>
  <si>
    <t>2106039</t>
  </si>
  <si>
    <t>M170U9</t>
  </si>
  <si>
    <t>7021866313</t>
  </si>
  <si>
    <t>67-67-750</t>
  </si>
  <si>
    <t>41761</t>
  </si>
  <si>
    <t>7021866352</t>
  </si>
  <si>
    <t>12-95-201</t>
  </si>
  <si>
    <t>HH221410D</t>
  </si>
  <si>
    <t>7021866354</t>
  </si>
  <si>
    <t>648157 OH</t>
  </si>
  <si>
    <t>67-65-950</t>
  </si>
  <si>
    <t>35X52X7HMS5RG</t>
  </si>
  <si>
    <t>7021867016</t>
  </si>
  <si>
    <t>16-60-795</t>
  </si>
  <si>
    <t>648156 OH</t>
  </si>
  <si>
    <t>5VX1600</t>
  </si>
  <si>
    <t>7021872879</t>
  </si>
  <si>
    <t>2090589</t>
  </si>
  <si>
    <t>SQD</t>
  </si>
  <si>
    <t>XACA9412</t>
  </si>
  <si>
    <t>7021877227</t>
  </si>
  <si>
    <t>84-55-025</t>
  </si>
  <si>
    <t>PHD</t>
  </si>
  <si>
    <t>3419-12-1</t>
  </si>
  <si>
    <t>7021888725</t>
  </si>
  <si>
    <t>7021890312</t>
  </si>
  <si>
    <t>64463 OH</t>
  </si>
  <si>
    <t>VOGEL SPIRAL BEVEL GEARBOX</t>
  </si>
  <si>
    <t>7021900492</t>
  </si>
  <si>
    <t>34-50-210</t>
  </si>
  <si>
    <t>648264 OH</t>
  </si>
  <si>
    <t>W17</t>
  </si>
  <si>
    <t>75-60-255</t>
  </si>
  <si>
    <t>GS-SL</t>
  </si>
  <si>
    <t>88-30-180</t>
  </si>
  <si>
    <t>GS-SO6</t>
  </si>
  <si>
    <t>7021900903</t>
  </si>
  <si>
    <t>84-70-033</t>
  </si>
  <si>
    <t>MART</t>
  </si>
  <si>
    <t>R208X6</t>
  </si>
  <si>
    <t>7021913841</t>
  </si>
  <si>
    <t>12-09-209</t>
  </si>
  <si>
    <t>2209 E-2RS1TN9</t>
  </si>
  <si>
    <t>7021914260</t>
  </si>
  <si>
    <t>16-50-956</t>
  </si>
  <si>
    <t>SPDC</t>
  </si>
  <si>
    <t>D4956 14M85</t>
  </si>
  <si>
    <t>7021914286</t>
  </si>
  <si>
    <t>7021918340</t>
  </si>
  <si>
    <t>2104609</t>
  </si>
  <si>
    <t>B428L</t>
  </si>
  <si>
    <t>7021923407</t>
  </si>
  <si>
    <t>12-70-105</t>
  </si>
  <si>
    <t>INA</t>
  </si>
  <si>
    <t>KR52-PP-A</t>
  </si>
  <si>
    <t>7021923707</t>
  </si>
  <si>
    <t>16-50-956*</t>
  </si>
  <si>
    <t>4956 14M85HAWK</t>
  </si>
  <si>
    <t>7021929486</t>
  </si>
  <si>
    <t>7021930700</t>
  </si>
  <si>
    <t>16-60-950</t>
  </si>
  <si>
    <t>648407 OH</t>
  </si>
  <si>
    <t>5VX950</t>
  </si>
  <si>
    <t>16-75-135</t>
  </si>
  <si>
    <t>BX35</t>
  </si>
  <si>
    <t>41-99-350</t>
  </si>
  <si>
    <t>DESC</t>
  </si>
  <si>
    <t>DC-4</t>
  </si>
  <si>
    <t>67-67-011</t>
  </si>
  <si>
    <t>7443</t>
  </si>
  <si>
    <t>7021931148</t>
  </si>
  <si>
    <t>75-70-760</t>
  </si>
  <si>
    <t>HUBC</t>
  </si>
  <si>
    <t>0230-01510</t>
  </si>
  <si>
    <t>7021944159</t>
  </si>
  <si>
    <t>STK KY</t>
  </si>
  <si>
    <t>2106433</t>
  </si>
  <si>
    <t>LM11710</t>
  </si>
  <si>
    <t>LM11749</t>
  </si>
  <si>
    <t>7021945512</t>
  </si>
  <si>
    <t>STK MN/  AP1260G</t>
  </si>
  <si>
    <t>TCM</t>
  </si>
  <si>
    <t>24X40X7VTC-BX</t>
  </si>
  <si>
    <t>7021953607</t>
  </si>
  <si>
    <t>53-20-081</t>
  </si>
  <si>
    <t>ORSN</t>
  </si>
  <si>
    <t>692-11016</t>
  </si>
  <si>
    <t>7021953637</t>
  </si>
  <si>
    <t>7021963781</t>
  </si>
  <si>
    <t>06-40-700</t>
  </si>
  <si>
    <t>00-021200-17203-8</t>
  </si>
  <si>
    <t>7021972380</t>
  </si>
  <si>
    <t>56-80-105</t>
  </si>
  <si>
    <t>3145CL90ML TUBE</t>
  </si>
  <si>
    <t>7021972381</t>
  </si>
  <si>
    <t>84-25-855</t>
  </si>
  <si>
    <t>W013587092</t>
  </si>
  <si>
    <t>7021980505</t>
  </si>
  <si>
    <t>12-75-370</t>
  </si>
  <si>
    <t>648255 OH</t>
  </si>
  <si>
    <t>B-2416</t>
  </si>
  <si>
    <t>7021980572</t>
  </si>
  <si>
    <t>648124 OH</t>
  </si>
  <si>
    <t>7021980574</t>
  </si>
  <si>
    <t>648022 OH</t>
  </si>
  <si>
    <t>16-50-053</t>
  </si>
  <si>
    <t>1890 14M40HAWK</t>
  </si>
  <si>
    <t>84-55-224</t>
  </si>
  <si>
    <t>313-DXP</t>
  </si>
  <si>
    <t>7021994027</t>
  </si>
  <si>
    <t>648627 OH</t>
  </si>
  <si>
    <t>7022003459</t>
  </si>
  <si>
    <t>16-75-316</t>
  </si>
  <si>
    <t>BX116</t>
  </si>
  <si>
    <t>75-50-116</t>
  </si>
  <si>
    <t>1025G20/52SLEEVE</t>
  </si>
  <si>
    <t>75-50-131</t>
  </si>
  <si>
    <t>1025G FLEX HUB RB</t>
  </si>
  <si>
    <t>7022004099</t>
  </si>
  <si>
    <t>42414</t>
  </si>
  <si>
    <t>7022006553</t>
  </si>
  <si>
    <t>2008513</t>
  </si>
  <si>
    <t>P8SAGPCHX</t>
  </si>
  <si>
    <t>7022016892</t>
  </si>
  <si>
    <t>2106184</t>
  </si>
  <si>
    <t>PWSB1887</t>
  </si>
  <si>
    <t>7022024315</t>
  </si>
  <si>
    <t>41-05-342</t>
  </si>
  <si>
    <t>P3NFA98GSA</t>
  </si>
  <si>
    <t>7022024551</t>
  </si>
  <si>
    <t>648595 OH</t>
  </si>
  <si>
    <t>16-50-200</t>
  </si>
  <si>
    <t>3850 14M55HAWK</t>
  </si>
  <si>
    <t>7022024597</t>
  </si>
  <si>
    <t>648655 OH</t>
  </si>
  <si>
    <t>7022026365</t>
  </si>
  <si>
    <t>2106027</t>
  </si>
  <si>
    <t>45X85X8CRW1R</t>
  </si>
  <si>
    <t>7022033638</t>
  </si>
  <si>
    <t>16-75-038</t>
  </si>
  <si>
    <t>648767 OH</t>
  </si>
  <si>
    <t>AX38</t>
  </si>
  <si>
    <t>7022034403</t>
  </si>
  <si>
    <t>84-10-505</t>
  </si>
  <si>
    <t>NXN</t>
  </si>
  <si>
    <t>9397</t>
  </si>
  <si>
    <t>7022043882</t>
  </si>
  <si>
    <t>12-43-218</t>
  </si>
  <si>
    <t>648698 OH</t>
  </si>
  <si>
    <t>NP-16</t>
  </si>
  <si>
    <t>13-90-037</t>
  </si>
  <si>
    <t>LOR 37</t>
  </si>
  <si>
    <t>78-99-013</t>
  </si>
  <si>
    <t>189304</t>
  </si>
  <si>
    <t>7022044679</t>
  </si>
  <si>
    <t>7022048937</t>
  </si>
  <si>
    <t>PAUL H - PAY AT PICKUP</t>
  </si>
  <si>
    <t>MVBL</t>
  </si>
  <si>
    <t>A52K</t>
  </si>
  <si>
    <t>A54K</t>
  </si>
  <si>
    <t>A72K</t>
  </si>
  <si>
    <t>7022056203</t>
  </si>
  <si>
    <t>75-50-270</t>
  </si>
  <si>
    <t>648740 OH</t>
  </si>
  <si>
    <t>L095X3/4HUB3/16</t>
  </si>
  <si>
    <t>7022056224</t>
  </si>
  <si>
    <t>7022064136</t>
  </si>
  <si>
    <t>56-80-013</t>
  </si>
  <si>
    <t>648838 OH</t>
  </si>
  <si>
    <t>135392</t>
  </si>
  <si>
    <t>7022064295</t>
  </si>
  <si>
    <t>7022064575</t>
  </si>
  <si>
    <t>84-55-205</t>
  </si>
  <si>
    <t>FOS-502-1MT</t>
  </si>
  <si>
    <t>7022076609</t>
  </si>
  <si>
    <t>78-30-311</t>
  </si>
  <si>
    <t>188603</t>
  </si>
  <si>
    <t>7022076842</t>
  </si>
  <si>
    <t>56-80-011</t>
  </si>
  <si>
    <t>135374</t>
  </si>
  <si>
    <t>7022077398</t>
  </si>
  <si>
    <t>06-40-028</t>
  </si>
  <si>
    <t>648765 OH</t>
  </si>
  <si>
    <t>0-00-21200-38934-4</t>
  </si>
  <si>
    <t>7022087310</t>
  </si>
  <si>
    <t>648735 OH</t>
  </si>
  <si>
    <t>7022087342</t>
  </si>
  <si>
    <t>648711 OH</t>
  </si>
  <si>
    <t>7022087357</t>
  </si>
  <si>
    <t>648744 OH</t>
  </si>
  <si>
    <t>7022087391</t>
  </si>
  <si>
    <t>468688 OH</t>
  </si>
  <si>
    <t>20-28-030</t>
  </si>
  <si>
    <t>40 2RIV</t>
  </si>
  <si>
    <t>7022087873</t>
  </si>
  <si>
    <t>12-70-520</t>
  </si>
  <si>
    <t>MI25 4S</t>
  </si>
  <si>
    <t>75-60-170</t>
  </si>
  <si>
    <t>BREW</t>
  </si>
  <si>
    <t>P2F</t>
  </si>
  <si>
    <t>78-30-304</t>
  </si>
  <si>
    <t>D0B316</t>
  </si>
  <si>
    <t>7022087966</t>
  </si>
  <si>
    <t>648726 ON</t>
  </si>
  <si>
    <t>1/2GNFABCH200CL</t>
  </si>
  <si>
    <t>7022088377</t>
  </si>
  <si>
    <t>84-10-106</t>
  </si>
  <si>
    <t>CRA</t>
  </si>
  <si>
    <t>981E72-9</t>
  </si>
  <si>
    <t>7022088381</t>
  </si>
  <si>
    <t>648932 OH</t>
  </si>
  <si>
    <t>7022095676</t>
  </si>
  <si>
    <t>88-30-177</t>
  </si>
  <si>
    <t>SO4</t>
  </si>
  <si>
    <t>7022101824</t>
  </si>
  <si>
    <t>1206966</t>
  </si>
  <si>
    <t>10R10HUB3/4</t>
  </si>
  <si>
    <t>7022109876</t>
  </si>
  <si>
    <t>648882 OH</t>
  </si>
  <si>
    <t>7022111749</t>
  </si>
  <si>
    <t>10R PM HCB1 1/8</t>
  </si>
  <si>
    <t>7022121142</t>
  </si>
  <si>
    <t>648628 OH</t>
  </si>
  <si>
    <t>7022121601</t>
  </si>
  <si>
    <t>67-67-012</t>
  </si>
  <si>
    <t>9838</t>
  </si>
  <si>
    <t>7022130473</t>
  </si>
  <si>
    <t>75-50-095</t>
  </si>
  <si>
    <t>649014 OH</t>
  </si>
  <si>
    <t>M10010408</t>
  </si>
  <si>
    <t>7022131031</t>
  </si>
  <si>
    <t>47-80-600</t>
  </si>
  <si>
    <t>3/4RDORTAC250RL</t>
  </si>
  <si>
    <t>7022131106</t>
  </si>
  <si>
    <t>648935 OH</t>
  </si>
  <si>
    <t>7022131200</t>
  </si>
  <si>
    <t>84-10-205</t>
  </si>
  <si>
    <t>649038 OH</t>
  </si>
  <si>
    <t>566847200</t>
  </si>
  <si>
    <t>7022132177</t>
  </si>
  <si>
    <t>84-55-516</t>
  </si>
  <si>
    <t>648782 OH</t>
  </si>
  <si>
    <t>PK1502A001</t>
  </si>
  <si>
    <t>7022132479</t>
  </si>
  <si>
    <t>7022132481</t>
  </si>
  <si>
    <t>649089 OH</t>
  </si>
  <si>
    <t>7022132523</t>
  </si>
  <si>
    <t>649080 OH</t>
  </si>
  <si>
    <t>7022132525</t>
  </si>
  <si>
    <t>649016 OH</t>
  </si>
  <si>
    <t>7022132577</t>
  </si>
  <si>
    <t>7022132579</t>
  </si>
  <si>
    <t>648745 OH</t>
  </si>
  <si>
    <t>7022143311</t>
  </si>
  <si>
    <t>47-70-500</t>
  </si>
  <si>
    <t>3BKFLEXWPE150CL</t>
  </si>
  <si>
    <t>7022143521</t>
  </si>
  <si>
    <t>92-90-678</t>
  </si>
  <si>
    <t>7022149040</t>
  </si>
  <si>
    <t>7022151102</t>
  </si>
  <si>
    <t>67-67-265</t>
  </si>
  <si>
    <t>649084 OH</t>
  </si>
  <si>
    <t>13649</t>
  </si>
  <si>
    <t>7022162389</t>
  </si>
  <si>
    <t>649145 OH</t>
  </si>
  <si>
    <t>84-25-913</t>
  </si>
  <si>
    <t>S-41956</t>
  </si>
  <si>
    <t>7022162410</t>
  </si>
  <si>
    <t>16-75-305</t>
  </si>
  <si>
    <t>BX105</t>
  </si>
  <si>
    <t>7022172168</t>
  </si>
  <si>
    <t>92-60-258</t>
  </si>
  <si>
    <t>081SS600K000030</t>
  </si>
  <si>
    <t>7022193001</t>
  </si>
  <si>
    <t>84-55-219</t>
  </si>
  <si>
    <t>314</t>
  </si>
  <si>
    <t>7022193028</t>
  </si>
  <si>
    <t>649079 ON</t>
  </si>
  <si>
    <t>0230-07268</t>
  </si>
  <si>
    <t>7022201237</t>
  </si>
  <si>
    <t>649198 OH</t>
  </si>
  <si>
    <t>7022223655</t>
  </si>
  <si>
    <t>12-03-505</t>
  </si>
  <si>
    <t>649293 OH</t>
  </si>
  <si>
    <t>203RR2</t>
  </si>
  <si>
    <t>16-50-165</t>
  </si>
  <si>
    <t>2800 14M55HAWK</t>
  </si>
  <si>
    <t>16-75-246</t>
  </si>
  <si>
    <t>BX46</t>
  </si>
  <si>
    <t>7022223739</t>
  </si>
  <si>
    <t>16-75-590</t>
  </si>
  <si>
    <t>649238 OH</t>
  </si>
  <si>
    <t>CX90</t>
  </si>
  <si>
    <t>7022233393</t>
  </si>
  <si>
    <t>566508100</t>
  </si>
  <si>
    <t>26-62-802</t>
  </si>
  <si>
    <t>566640933</t>
  </si>
  <si>
    <t>7022233739</t>
  </si>
  <si>
    <t>06-40-062</t>
  </si>
  <si>
    <t>00054007502364</t>
  </si>
  <si>
    <t>7022233790</t>
  </si>
  <si>
    <t>649239 OH</t>
  </si>
  <si>
    <t>7022233804</t>
  </si>
  <si>
    <t>649179 OH</t>
  </si>
  <si>
    <t>7022233805</t>
  </si>
  <si>
    <t>649289 OH</t>
  </si>
  <si>
    <t>12-54-550</t>
  </si>
  <si>
    <t>MR30</t>
  </si>
  <si>
    <t>92-20-380</t>
  </si>
  <si>
    <t>ASP-2</t>
  </si>
  <si>
    <t>7022233806</t>
  </si>
  <si>
    <t>649141 OH</t>
  </si>
  <si>
    <t>7022243180</t>
  </si>
  <si>
    <t>16-50-033</t>
  </si>
  <si>
    <t>648990 OH</t>
  </si>
  <si>
    <t>1610 14M115HAWK</t>
  </si>
  <si>
    <t>7022243201</t>
  </si>
  <si>
    <t>7022243254</t>
  </si>
  <si>
    <t>20-88-100</t>
  </si>
  <si>
    <t>649389 OH</t>
  </si>
  <si>
    <t>60CONN LK SC</t>
  </si>
  <si>
    <t>84-25-239</t>
  </si>
  <si>
    <t>M270U9</t>
  </si>
  <si>
    <t>7022254651</t>
  </si>
  <si>
    <t>84-10-826</t>
  </si>
  <si>
    <t>1087041H0GLF</t>
  </si>
  <si>
    <t>7022254922</t>
  </si>
  <si>
    <t>84-55-410</t>
  </si>
  <si>
    <t>PK4002A001</t>
  </si>
  <si>
    <t>7022254936</t>
  </si>
  <si>
    <t>7022265643</t>
  </si>
  <si>
    <t>648784 OH</t>
  </si>
  <si>
    <t>84-55-535</t>
  </si>
  <si>
    <t>051-KR011-138</t>
  </si>
  <si>
    <t>84-55-537</t>
  </si>
  <si>
    <t>MFP</t>
  </si>
  <si>
    <t>090-ES009-800</t>
  </si>
  <si>
    <t>7022265816</t>
  </si>
  <si>
    <t>649458 OH</t>
  </si>
  <si>
    <t>7022265842</t>
  </si>
  <si>
    <t>7022265920</t>
  </si>
  <si>
    <t>649422 OH</t>
  </si>
  <si>
    <t>7022275494</t>
  </si>
  <si>
    <t>7022275533</t>
  </si>
  <si>
    <t>7022276040</t>
  </si>
  <si>
    <t>12-99-846</t>
  </si>
  <si>
    <t>648833 OH</t>
  </si>
  <si>
    <t>61828-2RS1</t>
  </si>
  <si>
    <t>7022276065</t>
  </si>
  <si>
    <t>619385 OH</t>
  </si>
  <si>
    <t>7022276077</t>
  </si>
  <si>
    <t>649391 OH</t>
  </si>
  <si>
    <t>7022276079</t>
  </si>
  <si>
    <t>16-50-405</t>
  </si>
  <si>
    <t>649233 OH</t>
  </si>
  <si>
    <t>D3500-14M-85</t>
  </si>
  <si>
    <t>7022276988</t>
  </si>
  <si>
    <t>7022282233</t>
  </si>
  <si>
    <t>67-67-004</t>
  </si>
  <si>
    <t>13092</t>
  </si>
  <si>
    <t>7022282245</t>
  </si>
  <si>
    <t>16-50-060</t>
  </si>
  <si>
    <t>2100 14M55HAWK</t>
  </si>
  <si>
    <t>7022294326</t>
  </si>
  <si>
    <t>16-60-402</t>
  </si>
  <si>
    <t>649527 OH</t>
  </si>
  <si>
    <t>4L470</t>
  </si>
  <si>
    <t>16-75-287</t>
  </si>
  <si>
    <t>B87</t>
  </si>
  <si>
    <t>34-50-128.</t>
  </si>
  <si>
    <t>W04</t>
  </si>
  <si>
    <t>7022306626</t>
  </si>
  <si>
    <t>7022309398</t>
  </si>
  <si>
    <t>SMLY</t>
  </si>
  <si>
    <t>WH-525-S02</t>
  </si>
  <si>
    <t>7022315655</t>
  </si>
  <si>
    <t>7022317071</t>
  </si>
  <si>
    <t>649332 ON</t>
  </si>
  <si>
    <t>7022338787</t>
  </si>
  <si>
    <t>649592 OH</t>
  </si>
  <si>
    <t>7022338788</t>
  </si>
  <si>
    <t>349567 OH</t>
  </si>
  <si>
    <t>7022338789</t>
  </si>
  <si>
    <t>649530 OH</t>
  </si>
  <si>
    <t>7022338790</t>
  </si>
  <si>
    <t>649479 OH</t>
  </si>
  <si>
    <t>7022338791</t>
  </si>
  <si>
    <t>7022338857</t>
  </si>
  <si>
    <t>648055 OH</t>
  </si>
  <si>
    <t>7022338860</t>
  </si>
  <si>
    <t>648928 OH</t>
  </si>
  <si>
    <t>7022338861</t>
  </si>
  <si>
    <t>7022338918</t>
  </si>
  <si>
    <t>648394 OH</t>
  </si>
  <si>
    <t>7022338919</t>
  </si>
  <si>
    <t>7022338972</t>
  </si>
  <si>
    <t>7022350883</t>
  </si>
  <si>
    <t>16-75-358</t>
  </si>
  <si>
    <t>649569 OH</t>
  </si>
  <si>
    <t>BX158</t>
  </si>
  <si>
    <t>7022363694</t>
  </si>
  <si>
    <t>56-90-800</t>
  </si>
  <si>
    <t>649665 OH</t>
  </si>
  <si>
    <t>P3NLA98LSN</t>
  </si>
  <si>
    <t>78-55-115</t>
  </si>
  <si>
    <t>NJ 206 ECP</t>
  </si>
  <si>
    <t>92-65-270</t>
  </si>
  <si>
    <t>P3NRA98BNN</t>
  </si>
  <si>
    <t>7022363733</t>
  </si>
  <si>
    <t>16-60-112</t>
  </si>
  <si>
    <t>649645 OH</t>
  </si>
  <si>
    <t>3VX335</t>
  </si>
  <si>
    <t>7022363754</t>
  </si>
  <si>
    <t>649691 OH</t>
  </si>
  <si>
    <t>7022364466</t>
  </si>
  <si>
    <t>41-05-315</t>
  </si>
  <si>
    <t>10CU25-130X1</t>
  </si>
  <si>
    <t>7022373310</t>
  </si>
  <si>
    <t>60-60-635</t>
  </si>
  <si>
    <t>42240</t>
  </si>
  <si>
    <t>7022373342</t>
  </si>
  <si>
    <t>649752 OH</t>
  </si>
  <si>
    <t>7022373803</t>
  </si>
  <si>
    <t>91-90-120</t>
  </si>
  <si>
    <t>MTLS</t>
  </si>
  <si>
    <t>S-16138-3M PA1-B</t>
  </si>
  <si>
    <t>7022380782</t>
  </si>
  <si>
    <t>47-99-315</t>
  </si>
  <si>
    <t>H2C</t>
  </si>
  <si>
    <t>7022381758</t>
  </si>
  <si>
    <t>16-40-526</t>
  </si>
  <si>
    <t>BREC</t>
  </si>
  <si>
    <t>20 AT3/2136 M</t>
  </si>
  <si>
    <t>7022381813</t>
  </si>
  <si>
    <t>649675 ON</t>
  </si>
  <si>
    <t>7022390527</t>
  </si>
  <si>
    <t>7022390712</t>
  </si>
  <si>
    <t>34-50-015</t>
  </si>
  <si>
    <t>649840 OH</t>
  </si>
  <si>
    <t>W15</t>
  </si>
  <si>
    <t>7022409714</t>
  </si>
  <si>
    <t>12-99-401</t>
  </si>
  <si>
    <t>NJ 208 ECP</t>
  </si>
  <si>
    <t>7022421703</t>
  </si>
  <si>
    <t>649904 OH</t>
  </si>
  <si>
    <t>7022430685</t>
  </si>
  <si>
    <t>53-20-032</t>
  </si>
  <si>
    <t>BLCH</t>
  </si>
  <si>
    <t>16-ATC</t>
  </si>
  <si>
    <t>7022439025</t>
  </si>
  <si>
    <t>12-17-030</t>
  </si>
  <si>
    <t>22217LBKC3</t>
  </si>
  <si>
    <t>7022439460</t>
  </si>
  <si>
    <t>649746 OH</t>
  </si>
  <si>
    <t>7022439499</t>
  </si>
  <si>
    <t>649664 OH</t>
  </si>
  <si>
    <t>7022439533</t>
  </si>
  <si>
    <t>649837 OH</t>
  </si>
  <si>
    <t>7022439562</t>
  </si>
  <si>
    <t>649646 OH</t>
  </si>
  <si>
    <t>12-07-440</t>
  </si>
  <si>
    <t>6207 2RSJEM</t>
  </si>
  <si>
    <t>7022439566</t>
  </si>
  <si>
    <t>649650 OH</t>
  </si>
  <si>
    <t>7022439649</t>
  </si>
  <si>
    <t>649526 OH</t>
  </si>
  <si>
    <t>7022439698</t>
  </si>
  <si>
    <t>649037 OH</t>
  </si>
  <si>
    <t>7022463973</t>
  </si>
  <si>
    <t>650030 OH</t>
  </si>
  <si>
    <t>7022483110</t>
  </si>
  <si>
    <t>649908 OH</t>
  </si>
  <si>
    <t>7022495633</t>
  </si>
  <si>
    <t>16-60-220</t>
  </si>
  <si>
    <t>650136 OH</t>
  </si>
  <si>
    <t>3VX1060</t>
  </si>
  <si>
    <t>7022495651</t>
  </si>
  <si>
    <t>7022505152</t>
  </si>
  <si>
    <t>650077 OH</t>
  </si>
  <si>
    <t>W-1600</t>
  </si>
  <si>
    <t>7022506300</t>
  </si>
  <si>
    <t>84-10-083</t>
  </si>
  <si>
    <t>83079-49-U3XH</t>
  </si>
  <si>
    <t>650160 OH</t>
  </si>
  <si>
    <t>7022516125</t>
  </si>
  <si>
    <t>12-99-605</t>
  </si>
  <si>
    <t>LOR 32</t>
  </si>
  <si>
    <t>12-99-606</t>
  </si>
  <si>
    <t>22313 EK</t>
  </si>
  <si>
    <t>7022517769</t>
  </si>
  <si>
    <t>12-59-101</t>
  </si>
  <si>
    <t>650169 OH</t>
  </si>
  <si>
    <t>FB22436H</t>
  </si>
  <si>
    <t>7022528078</t>
  </si>
  <si>
    <t>7022528857</t>
  </si>
  <si>
    <t>26-40-564</t>
  </si>
  <si>
    <t>SUMI</t>
  </si>
  <si>
    <t>CNVMS02-6100YA-119</t>
  </si>
  <si>
    <t>7022529050</t>
  </si>
  <si>
    <t>99-99-000**</t>
  </si>
  <si>
    <t>650267 OH</t>
  </si>
  <si>
    <t>DYKM</t>
  </si>
  <si>
    <t>90985</t>
  </si>
  <si>
    <t>7022538637</t>
  </si>
  <si>
    <t>16-50-117</t>
  </si>
  <si>
    <t>1800 8M50HAWK</t>
  </si>
  <si>
    <t>7022538688</t>
  </si>
  <si>
    <t>7022538689</t>
  </si>
  <si>
    <t>7022538995</t>
  </si>
  <si>
    <t>086620T005</t>
  </si>
  <si>
    <t>7022548670</t>
  </si>
  <si>
    <t>12-70-440</t>
  </si>
  <si>
    <t>650032 OH</t>
  </si>
  <si>
    <t>CF1 1/4S</t>
  </si>
  <si>
    <t>34-45-205</t>
  </si>
  <si>
    <t>AN21</t>
  </si>
  <si>
    <t>7022548742</t>
  </si>
  <si>
    <t>12-70-500</t>
  </si>
  <si>
    <t>CFH1 1/4SB</t>
  </si>
  <si>
    <t>7022548744</t>
  </si>
  <si>
    <t>649947 OH</t>
  </si>
  <si>
    <t>12-80-028</t>
  </si>
  <si>
    <t>24028 CCK30/W33</t>
  </si>
  <si>
    <t>7022548746</t>
  </si>
  <si>
    <t>649921 OH</t>
  </si>
  <si>
    <t>47-70-200</t>
  </si>
  <si>
    <t>2BKFLEXWPE150CL</t>
  </si>
  <si>
    <t>7022549596</t>
  </si>
  <si>
    <t>7022549796</t>
  </si>
  <si>
    <t>650264 OH</t>
  </si>
  <si>
    <t>CLO15949CT</t>
  </si>
  <si>
    <t>7022552792</t>
  </si>
  <si>
    <t>2106849</t>
  </si>
  <si>
    <t>PWSB1227</t>
  </si>
  <si>
    <t>7022561089</t>
  </si>
  <si>
    <t>41-05-355</t>
  </si>
  <si>
    <t>650251 OH</t>
  </si>
  <si>
    <t>07E46A13AC</t>
  </si>
  <si>
    <t>7022561400</t>
  </si>
  <si>
    <t>7022561927</t>
  </si>
  <si>
    <t>92-60-071</t>
  </si>
  <si>
    <t>554SA402K000030</t>
  </si>
  <si>
    <t>7022563658</t>
  </si>
  <si>
    <t>648887 OF</t>
  </si>
  <si>
    <t>AAC-120-4XT-F-CE</t>
  </si>
  <si>
    <t>7022573130</t>
  </si>
  <si>
    <t>16-50-255</t>
  </si>
  <si>
    <t>5000 20M115HAWK</t>
  </si>
  <si>
    <t>7022573404</t>
  </si>
  <si>
    <t>16-50-100</t>
  </si>
  <si>
    <t>650342 OH</t>
  </si>
  <si>
    <t>2310 14M55HAWK</t>
  </si>
  <si>
    <t>7022573941</t>
  </si>
  <si>
    <t>84-10-824</t>
  </si>
  <si>
    <t>1056031H0DLF</t>
  </si>
  <si>
    <t>7022573975</t>
  </si>
  <si>
    <t>7022574136</t>
  </si>
  <si>
    <t>06-45-005*</t>
  </si>
  <si>
    <t>60404 1.5"X 72YDS RED PVC S/S</t>
  </si>
  <si>
    <t>7022596739</t>
  </si>
  <si>
    <t>12-55-421</t>
  </si>
  <si>
    <t>650356 OH</t>
  </si>
  <si>
    <t>EMP-31</t>
  </si>
  <si>
    <t>12-55-440</t>
  </si>
  <si>
    <t>MP-31</t>
  </si>
  <si>
    <t>7022596939</t>
  </si>
  <si>
    <t>7022596987</t>
  </si>
  <si>
    <t>7022597236</t>
  </si>
  <si>
    <t>650355 OH</t>
  </si>
  <si>
    <t>7022606155</t>
  </si>
  <si>
    <t>75-75-000</t>
  </si>
  <si>
    <t>650405 OH</t>
  </si>
  <si>
    <t>W9014M65-F</t>
  </si>
  <si>
    <t>7022606427</t>
  </si>
  <si>
    <t>650338 OH</t>
  </si>
  <si>
    <t>7022606455</t>
  </si>
  <si>
    <t>650289 OH</t>
  </si>
  <si>
    <t>7022606469</t>
  </si>
  <si>
    <t>650242 OH</t>
  </si>
  <si>
    <t>12-08-405</t>
  </si>
  <si>
    <t>6008-2RS1</t>
  </si>
  <si>
    <t>7022606486</t>
  </si>
  <si>
    <t>650164 OH</t>
  </si>
  <si>
    <t>12-99-110</t>
  </si>
  <si>
    <t>GENE</t>
  </si>
  <si>
    <t>Z995203</t>
  </si>
  <si>
    <t>47-99-180</t>
  </si>
  <si>
    <t>D104</t>
  </si>
  <si>
    <t>7022606822</t>
  </si>
  <si>
    <t>7022607186</t>
  </si>
  <si>
    <t>75-20-039</t>
  </si>
  <si>
    <t>W6414M65</t>
  </si>
  <si>
    <t>7022626509</t>
  </si>
  <si>
    <t>12-18-300</t>
  </si>
  <si>
    <t>650520 OH</t>
  </si>
  <si>
    <t>22218 EK</t>
  </si>
  <si>
    <t>13-10-100</t>
  </si>
  <si>
    <t>H 318</t>
  </si>
  <si>
    <t>7022637258</t>
  </si>
  <si>
    <t>34-50-221</t>
  </si>
  <si>
    <t>MB18</t>
  </si>
  <si>
    <t>7022646976</t>
  </si>
  <si>
    <t>12-80-608</t>
  </si>
  <si>
    <t>650585 OH</t>
  </si>
  <si>
    <t>22209 EK/C3</t>
  </si>
  <si>
    <t>7022647005</t>
  </si>
  <si>
    <t>650583 OH</t>
  </si>
  <si>
    <t>7022647034</t>
  </si>
  <si>
    <t>7022647458</t>
  </si>
  <si>
    <t>650413 OH</t>
  </si>
  <si>
    <t>7022647531</t>
  </si>
  <si>
    <t>56-90-215</t>
  </si>
  <si>
    <t>CHEM</t>
  </si>
  <si>
    <t>10069 UP GREASE 1 30CTG</t>
  </si>
  <si>
    <t>7022649344</t>
  </si>
  <si>
    <t>7022656631</t>
  </si>
  <si>
    <t>67-67-678</t>
  </si>
  <si>
    <t>21086-2252</t>
  </si>
  <si>
    <t>7022656653</t>
  </si>
  <si>
    <t>7022676969</t>
  </si>
  <si>
    <t>92-85-429</t>
  </si>
  <si>
    <t>650688 OH</t>
  </si>
  <si>
    <t>CCJ125B01</t>
  </si>
  <si>
    <t>7022676971</t>
  </si>
  <si>
    <t>650716 OH</t>
  </si>
  <si>
    <t>7022677231</t>
  </si>
  <si>
    <t>7022686928</t>
  </si>
  <si>
    <t>650730 OH</t>
  </si>
  <si>
    <t>7022687992</t>
  </si>
  <si>
    <t>16-50-400*</t>
  </si>
  <si>
    <t>BSTQ</t>
  </si>
  <si>
    <t>D5320-14M-85</t>
  </si>
  <si>
    <t>7022697851</t>
  </si>
  <si>
    <t>7022697913</t>
  </si>
  <si>
    <t>34-45-020</t>
  </si>
  <si>
    <t>650783 OH</t>
  </si>
  <si>
    <t>AN17</t>
  </si>
  <si>
    <t>7022697916</t>
  </si>
  <si>
    <t>650641 OH</t>
  </si>
  <si>
    <t>7022697948</t>
  </si>
  <si>
    <t>7022697959</t>
  </si>
  <si>
    <t>7022698327</t>
  </si>
  <si>
    <t>650419 OH</t>
  </si>
  <si>
    <t>7022698329</t>
  </si>
  <si>
    <t>650736 OH</t>
  </si>
  <si>
    <t>7022698347</t>
  </si>
  <si>
    <t>650433 OH</t>
  </si>
  <si>
    <t>7022707022</t>
  </si>
  <si>
    <t>650735 OH</t>
  </si>
  <si>
    <t>7022708083</t>
  </si>
  <si>
    <t>650654 OH</t>
  </si>
  <si>
    <t>PRKF</t>
  </si>
  <si>
    <t>PAVC65R213</t>
  </si>
  <si>
    <t>7022717642</t>
  </si>
  <si>
    <t>7022718181</t>
  </si>
  <si>
    <t>84-55-032</t>
  </si>
  <si>
    <t>SKL7001MA1</t>
  </si>
  <si>
    <t>7022718190</t>
  </si>
  <si>
    <t>81-20-026</t>
  </si>
  <si>
    <t>MSAF</t>
  </si>
  <si>
    <t>5048B (M) SAFETY VEST- W/O REFLECT TAPE</t>
  </si>
  <si>
    <t>81-20-027</t>
  </si>
  <si>
    <t>5048B (XL) SAFETY VEST- W/O REFLECT TAPE</t>
  </si>
  <si>
    <t>81-20-028</t>
  </si>
  <si>
    <t>5048B (3XL) SAFETY VEST-W/O REFLECT TAPE</t>
  </si>
  <si>
    <t>7022729009</t>
  </si>
  <si>
    <t>7022729033</t>
  </si>
  <si>
    <t>650686</t>
  </si>
  <si>
    <t>7022729057</t>
  </si>
  <si>
    <t>12-99-103</t>
  </si>
  <si>
    <t>HSR25LA1SS</t>
  </si>
  <si>
    <t>7022729060</t>
  </si>
  <si>
    <t>56-90-600</t>
  </si>
  <si>
    <t>650257 OH</t>
  </si>
  <si>
    <t>07L32BE</t>
  </si>
  <si>
    <t>7022729472</t>
  </si>
  <si>
    <t>16-90-901</t>
  </si>
  <si>
    <t>650376 OH</t>
  </si>
  <si>
    <t>S-391 1.25"INX1000'FT</t>
  </si>
  <si>
    <t>7022739993</t>
  </si>
  <si>
    <t>650547 OH</t>
  </si>
  <si>
    <t>7022748998</t>
  </si>
  <si>
    <t>7022749372</t>
  </si>
  <si>
    <t>92-65-202</t>
  </si>
  <si>
    <t>153RS315J016W00</t>
  </si>
  <si>
    <t>7022757820</t>
  </si>
  <si>
    <t>649566 OH</t>
  </si>
  <si>
    <t>7022759474</t>
  </si>
  <si>
    <t>650992 OH</t>
  </si>
  <si>
    <t>7022760237</t>
  </si>
  <si>
    <t>650665 OH</t>
  </si>
  <si>
    <t>7022760240</t>
  </si>
  <si>
    <t>7022768985</t>
  </si>
  <si>
    <t>7022771326</t>
  </si>
  <si>
    <t>7022771358</t>
  </si>
  <si>
    <t>92-65-211</t>
  </si>
  <si>
    <t>P3NRA9PBNN</t>
  </si>
  <si>
    <t>7022771436</t>
  </si>
  <si>
    <t>12-80-110</t>
  </si>
  <si>
    <t>651087 OH</t>
  </si>
  <si>
    <t>22213 E/C3</t>
  </si>
  <si>
    <t>7022771474</t>
  </si>
  <si>
    <t>12-41-200</t>
  </si>
  <si>
    <t>651040 OH</t>
  </si>
  <si>
    <t>NP-14</t>
  </si>
  <si>
    <t>12-80-611</t>
  </si>
  <si>
    <t>22213 EK/C3</t>
  </si>
  <si>
    <t>7022782797</t>
  </si>
  <si>
    <t>92-60-250</t>
  </si>
  <si>
    <t>0R37B</t>
  </si>
  <si>
    <t>7022793592</t>
  </si>
  <si>
    <t>7022793705</t>
  </si>
  <si>
    <t>50-70-065</t>
  </si>
  <si>
    <t>651133 OH</t>
  </si>
  <si>
    <t>KC</t>
  </si>
  <si>
    <t>21400</t>
  </si>
  <si>
    <t>7022805729</t>
  </si>
  <si>
    <t>651148 ON</t>
  </si>
  <si>
    <t>F.I. APPVION 10-7-21</t>
  </si>
  <si>
    <t>7022805773</t>
  </si>
  <si>
    <t>F.I.APPVION  9-27-21</t>
  </si>
  <si>
    <t>7022806164</t>
  </si>
  <si>
    <t>41-05-360</t>
  </si>
  <si>
    <t>P32EB93EGABNNP</t>
  </si>
  <si>
    <t>7022806898</t>
  </si>
  <si>
    <t>651083</t>
  </si>
  <si>
    <t>12-13-382</t>
  </si>
  <si>
    <t>7213 BECBY</t>
  </si>
  <si>
    <t>7022806907</t>
  </si>
  <si>
    <t>651075 OH</t>
  </si>
  <si>
    <t>7022806935</t>
  </si>
  <si>
    <t>651021 OH</t>
  </si>
  <si>
    <t>7022806962</t>
  </si>
  <si>
    <t>650989 OH</t>
  </si>
  <si>
    <t>7022806966</t>
  </si>
  <si>
    <t>650816 OH</t>
  </si>
  <si>
    <t>7022809812</t>
  </si>
  <si>
    <t>650414 OH</t>
  </si>
  <si>
    <t>7022817263</t>
  </si>
  <si>
    <t>84-10-060</t>
  </si>
  <si>
    <t>651121 OH</t>
  </si>
  <si>
    <t>843200</t>
  </si>
  <si>
    <t>7022827614</t>
  </si>
  <si>
    <t>651211 OH</t>
  </si>
  <si>
    <t>7022827869</t>
  </si>
  <si>
    <t>7022837823</t>
  </si>
  <si>
    <t>651254 OH</t>
  </si>
  <si>
    <t>16-75-269</t>
  </si>
  <si>
    <t>BX69</t>
  </si>
  <si>
    <t>56-90-385</t>
  </si>
  <si>
    <t>17L42BE</t>
  </si>
  <si>
    <t>7022837824</t>
  </si>
  <si>
    <t>7022845714</t>
  </si>
  <si>
    <t>7022845837</t>
  </si>
  <si>
    <t>12-70-483</t>
  </si>
  <si>
    <t>651281 OH</t>
  </si>
  <si>
    <t>CYR1 1/4S</t>
  </si>
  <si>
    <t>7022856935</t>
  </si>
  <si>
    <t>651312 ON</t>
  </si>
  <si>
    <t>418806 - G3784965</t>
  </si>
  <si>
    <t>7022857280</t>
  </si>
  <si>
    <t>47-99-326</t>
  </si>
  <si>
    <t>FOST</t>
  </si>
  <si>
    <t>2302</t>
  </si>
  <si>
    <t>7022866830</t>
  </si>
  <si>
    <t>34-50-140</t>
  </si>
  <si>
    <t>651341 OH</t>
  </si>
  <si>
    <t>W07</t>
  </si>
  <si>
    <t>7022878331</t>
  </si>
  <si>
    <t>7022887710</t>
  </si>
  <si>
    <t>651363 OH</t>
  </si>
  <si>
    <t>7022887864</t>
  </si>
  <si>
    <t>651389 OH</t>
  </si>
  <si>
    <t>7022897718</t>
  </si>
  <si>
    <t>7022898454</t>
  </si>
  <si>
    <t>12-89-700</t>
  </si>
  <si>
    <t>651342 OH</t>
  </si>
  <si>
    <t>AKRO</t>
  </si>
  <si>
    <t>30235STONE</t>
  </si>
  <si>
    <t>7022906654</t>
  </si>
  <si>
    <t>34-45-115</t>
  </si>
  <si>
    <t>651429 OH</t>
  </si>
  <si>
    <t>AN15</t>
  </si>
  <si>
    <t>7022917384</t>
  </si>
  <si>
    <t>651460 OH</t>
  </si>
  <si>
    <t>7022917582</t>
  </si>
  <si>
    <t>651484 OH</t>
  </si>
  <si>
    <t>67-67-735</t>
  </si>
  <si>
    <t>33735</t>
  </si>
  <si>
    <t>67-67-875</t>
  </si>
  <si>
    <t>52440</t>
  </si>
  <si>
    <t>7022928840</t>
  </si>
  <si>
    <t>12-11-410</t>
  </si>
  <si>
    <t>6211 2RSJEM</t>
  </si>
  <si>
    <t>7022929048</t>
  </si>
  <si>
    <t>7022939701</t>
  </si>
  <si>
    <t>12-75-400</t>
  </si>
  <si>
    <t>BH-1616</t>
  </si>
  <si>
    <t>7022939736</t>
  </si>
  <si>
    <t>7022939743</t>
  </si>
  <si>
    <t>7022949318</t>
  </si>
  <si>
    <t>451459 OH</t>
  </si>
  <si>
    <t>7022958150</t>
  </si>
  <si>
    <t>12-80-415</t>
  </si>
  <si>
    <t>651577 OH</t>
  </si>
  <si>
    <t>SNW 15X2.7/16</t>
  </si>
  <si>
    <t>7022958771</t>
  </si>
  <si>
    <t>06-40-700*</t>
  </si>
  <si>
    <t>651633 OH</t>
  </si>
  <si>
    <t>00021200172038</t>
  </si>
  <si>
    <t>7022958882</t>
  </si>
  <si>
    <t>7022958884</t>
  </si>
  <si>
    <t>23-10-050</t>
  </si>
  <si>
    <t>651533 OH</t>
  </si>
  <si>
    <t>A613S</t>
  </si>
  <si>
    <t>7022958928</t>
  </si>
  <si>
    <t>72-80-850</t>
  </si>
  <si>
    <t>C150</t>
  </si>
  <si>
    <t>7022959021</t>
  </si>
  <si>
    <t>651459 OH</t>
  </si>
  <si>
    <t>06-80-065</t>
  </si>
  <si>
    <t>DEVC</t>
  </si>
  <si>
    <t>14250</t>
  </si>
  <si>
    <t>7022959052</t>
  </si>
  <si>
    <t>12-80-617</t>
  </si>
  <si>
    <t>651478 OH</t>
  </si>
  <si>
    <t>23232 CCK/W33</t>
  </si>
  <si>
    <t>7022959053</t>
  </si>
  <si>
    <t>651386 OH</t>
  </si>
  <si>
    <t>7022959054</t>
  </si>
  <si>
    <t>651392 OH</t>
  </si>
  <si>
    <t>7022959055</t>
  </si>
  <si>
    <t>84-10-126</t>
  </si>
  <si>
    <t>651327 OH</t>
  </si>
  <si>
    <t>105672107 PF</t>
  </si>
  <si>
    <t>7022959056</t>
  </si>
  <si>
    <t>651310 OH</t>
  </si>
  <si>
    <t>7022959087</t>
  </si>
  <si>
    <t>651253 OH</t>
  </si>
  <si>
    <t>7022959088</t>
  </si>
  <si>
    <t>651122 OH</t>
  </si>
  <si>
    <t>7022968611</t>
  </si>
  <si>
    <t>651359 OH</t>
  </si>
  <si>
    <t>7022968722</t>
  </si>
  <si>
    <t>651304 OH</t>
  </si>
  <si>
    <t>7022968723</t>
  </si>
  <si>
    <t>651280 OH</t>
  </si>
  <si>
    <t>16-40-140</t>
  </si>
  <si>
    <t>540H100</t>
  </si>
  <si>
    <t>16-50-500</t>
  </si>
  <si>
    <t>7022969556</t>
  </si>
  <si>
    <t>7022969698</t>
  </si>
  <si>
    <t>651487 OH</t>
  </si>
  <si>
    <t>7022980498</t>
  </si>
  <si>
    <t>7022981016</t>
  </si>
  <si>
    <t>651678 OH</t>
  </si>
  <si>
    <t>7022989749</t>
  </si>
  <si>
    <t>12-95-214</t>
  </si>
  <si>
    <t>LM11910</t>
  </si>
  <si>
    <t>12-95-215</t>
  </si>
  <si>
    <t>LM11949</t>
  </si>
  <si>
    <t>7022990439</t>
  </si>
  <si>
    <t>92-60-087</t>
  </si>
  <si>
    <t>650437 OH</t>
  </si>
  <si>
    <t>554SS500K000030</t>
  </si>
  <si>
    <t>7023004607</t>
  </si>
  <si>
    <t>47-80-800</t>
  </si>
  <si>
    <t>1RDORTAC300RL</t>
  </si>
  <si>
    <t>7023006474</t>
  </si>
  <si>
    <t>12-58-405</t>
  </si>
  <si>
    <t>FCU335</t>
  </si>
  <si>
    <t>7023006495</t>
  </si>
  <si>
    <t>641655 OH</t>
  </si>
  <si>
    <t>7023017622</t>
  </si>
  <si>
    <t>651365</t>
  </si>
  <si>
    <t>7023019074</t>
  </si>
  <si>
    <t>651743 OH</t>
  </si>
  <si>
    <t>7023028951</t>
  </si>
  <si>
    <t>7023029382</t>
  </si>
  <si>
    <t>84-10-099</t>
  </si>
  <si>
    <t>845171</t>
  </si>
  <si>
    <t>7023029780</t>
  </si>
  <si>
    <t>651794 OH</t>
  </si>
  <si>
    <t>7023038772</t>
  </si>
  <si>
    <t>12-03-505*</t>
  </si>
  <si>
    <t>16-35-040</t>
  </si>
  <si>
    <t>320J6</t>
  </si>
  <si>
    <t>16-50-140</t>
  </si>
  <si>
    <t>2590 14M55HAWK</t>
  </si>
  <si>
    <t>75-50-325</t>
  </si>
  <si>
    <t>L100X7/8HUB3/16</t>
  </si>
  <si>
    <t>7023046711</t>
  </si>
  <si>
    <t>7023047591</t>
  </si>
  <si>
    <t>651168 ON</t>
  </si>
  <si>
    <t>175-3306</t>
  </si>
  <si>
    <t>7023047635</t>
  </si>
  <si>
    <t>651630 OH</t>
  </si>
  <si>
    <t>7023057075</t>
  </si>
  <si>
    <t>75-60-179</t>
  </si>
  <si>
    <t>P3B</t>
  </si>
  <si>
    <t>7023057129</t>
  </si>
  <si>
    <t>651725 OH</t>
  </si>
  <si>
    <t>7023057217</t>
  </si>
  <si>
    <t>651717 OH</t>
  </si>
  <si>
    <t>7023057220</t>
  </si>
  <si>
    <t>651677 OH</t>
  </si>
  <si>
    <t>7023067242</t>
  </si>
  <si>
    <t>651721 OH</t>
  </si>
  <si>
    <t>7023067803</t>
  </si>
  <si>
    <t>12-99-006</t>
  </si>
  <si>
    <t>188611</t>
  </si>
  <si>
    <t>7023078737</t>
  </si>
  <si>
    <t>7023078933</t>
  </si>
  <si>
    <t>7023088117</t>
  </si>
  <si>
    <t>16-75-039</t>
  </si>
  <si>
    <t>651948 OH</t>
  </si>
  <si>
    <t>A39</t>
  </si>
  <si>
    <t>7023097181</t>
  </si>
  <si>
    <t>7023098246</t>
  </si>
  <si>
    <t>651938 OH</t>
  </si>
  <si>
    <t>7023098268</t>
  </si>
  <si>
    <t>651790 OH</t>
  </si>
  <si>
    <t>7023098269</t>
  </si>
  <si>
    <t>651905 OH</t>
  </si>
  <si>
    <t>7023098270</t>
  </si>
  <si>
    <t>651534 OH</t>
  </si>
  <si>
    <t>7023098271</t>
  </si>
  <si>
    <t>7023109679</t>
  </si>
  <si>
    <t>651745 OH</t>
  </si>
  <si>
    <t>7023118138</t>
  </si>
  <si>
    <t>651724 OH</t>
  </si>
  <si>
    <t>MP-35T CXU</t>
  </si>
  <si>
    <t>7023119006</t>
  </si>
  <si>
    <t>41-05-411</t>
  </si>
  <si>
    <t>652022 OH</t>
  </si>
  <si>
    <t>PS801P</t>
  </si>
  <si>
    <t>651202 OH</t>
  </si>
  <si>
    <t>7023119828</t>
  </si>
  <si>
    <t>7023119829</t>
  </si>
  <si>
    <t>651909 OH</t>
  </si>
  <si>
    <t>7023119831</t>
  </si>
  <si>
    <t>652077 OH</t>
  </si>
  <si>
    <t>7023130395</t>
  </si>
  <si>
    <t>7023148259</t>
  </si>
  <si>
    <t>67-67-658</t>
  </si>
  <si>
    <t>30087</t>
  </si>
  <si>
    <t>7023148743</t>
  </si>
  <si>
    <t>652185 OH</t>
  </si>
  <si>
    <t>652180 OH</t>
  </si>
  <si>
    <t>7023161486</t>
  </si>
  <si>
    <t>7023161577</t>
  </si>
  <si>
    <t>84-99-104</t>
  </si>
  <si>
    <t>652098 OH</t>
  </si>
  <si>
    <t>FD 330-22 CI 3/4 NPT (OS)</t>
  </si>
  <si>
    <t>7023163005</t>
  </si>
  <si>
    <t>7023164950</t>
  </si>
  <si>
    <t>651913 OF</t>
  </si>
  <si>
    <t>7023164980</t>
  </si>
  <si>
    <t>06-40-000</t>
  </si>
  <si>
    <t>652164 OH</t>
  </si>
  <si>
    <t>00051128991268</t>
  </si>
  <si>
    <t>7023164989</t>
  </si>
  <si>
    <t>7023165039</t>
  </si>
  <si>
    <t>7023175179</t>
  </si>
  <si>
    <t>16-60-330</t>
  </si>
  <si>
    <t>652278 OH</t>
  </si>
  <si>
    <t>4L290</t>
  </si>
  <si>
    <t>16-75-073</t>
  </si>
  <si>
    <t>A73</t>
  </si>
  <si>
    <t>16-75-078</t>
  </si>
  <si>
    <t>AX78</t>
  </si>
  <si>
    <t>72-64-450</t>
  </si>
  <si>
    <t>1102-070-029</t>
  </si>
  <si>
    <t>7023175233</t>
  </si>
  <si>
    <t>7023184284</t>
  </si>
  <si>
    <t>7023197526</t>
  </si>
  <si>
    <t>7023197619</t>
  </si>
  <si>
    <t>652320 OH</t>
  </si>
  <si>
    <t>7023198520</t>
  </si>
  <si>
    <t>7023206834</t>
  </si>
  <si>
    <t>652270 OH</t>
  </si>
  <si>
    <t>16-75-055</t>
  </si>
  <si>
    <t>AX55</t>
  </si>
  <si>
    <t>7023206835</t>
  </si>
  <si>
    <t>651949 OH</t>
  </si>
  <si>
    <t>7023206940</t>
  </si>
  <si>
    <t>651983 OH</t>
  </si>
  <si>
    <t>7023207384</t>
  </si>
  <si>
    <t>7023207385</t>
  </si>
  <si>
    <t>7023207386</t>
  </si>
  <si>
    <t>651083 OH</t>
  </si>
  <si>
    <t>7023207392</t>
  </si>
  <si>
    <t>7023207393</t>
  </si>
  <si>
    <t>7023207394</t>
  </si>
  <si>
    <t>7023207448</t>
  </si>
  <si>
    <t>651651 OH</t>
  </si>
  <si>
    <t>7023207449</t>
  </si>
  <si>
    <t>651839 OH</t>
  </si>
  <si>
    <t>7023207450</t>
  </si>
  <si>
    <t>652025 OH</t>
  </si>
  <si>
    <t>7023207777</t>
  </si>
  <si>
    <t>7023217104</t>
  </si>
  <si>
    <t>652076 OH</t>
  </si>
  <si>
    <t>7023223608</t>
  </si>
  <si>
    <t>2107012</t>
  </si>
  <si>
    <t>6007 2RSNRJEM</t>
  </si>
  <si>
    <t>7023224021</t>
  </si>
  <si>
    <t>652451 OH</t>
  </si>
  <si>
    <t>7023229730</t>
  </si>
  <si>
    <t>652420 OH</t>
  </si>
  <si>
    <t>7023229731</t>
  </si>
  <si>
    <t>7023230177</t>
  </si>
  <si>
    <t>VERBAL STEVE C</t>
  </si>
  <si>
    <t>P5214M170-F</t>
  </si>
  <si>
    <t>7023238589</t>
  </si>
  <si>
    <t>652529 ON</t>
  </si>
  <si>
    <t>30X62X7HMSA10RG</t>
  </si>
  <si>
    <t>7023238590</t>
  </si>
  <si>
    <t>12-80-195</t>
  </si>
  <si>
    <t>652513 OH</t>
  </si>
  <si>
    <t>22209 E</t>
  </si>
  <si>
    <t>7023238591</t>
  </si>
  <si>
    <t>7023238861</t>
  </si>
  <si>
    <t>7023238867</t>
  </si>
  <si>
    <t>78-99-011</t>
  </si>
  <si>
    <t>189302</t>
  </si>
  <si>
    <t>7023244307</t>
  </si>
  <si>
    <t>652324 OH</t>
  </si>
  <si>
    <t>7023248434</t>
  </si>
  <si>
    <t>34-45-190</t>
  </si>
  <si>
    <t>652558 OH</t>
  </si>
  <si>
    <t>KM8</t>
  </si>
  <si>
    <t>7023248435</t>
  </si>
  <si>
    <t>16-60-797</t>
  </si>
  <si>
    <t>652485 OH</t>
  </si>
  <si>
    <t>5VX1700</t>
  </si>
  <si>
    <t>7023248436</t>
  </si>
  <si>
    <t>51210</t>
  </si>
  <si>
    <t>7023248447</t>
  </si>
  <si>
    <t>651989 OH</t>
  </si>
  <si>
    <t>7023257450</t>
  </si>
  <si>
    <t>7023257451</t>
  </si>
  <si>
    <t>75-50-075</t>
  </si>
  <si>
    <t>652617 OH</t>
  </si>
  <si>
    <t>M370U9</t>
  </si>
  <si>
    <t>7023257571</t>
  </si>
  <si>
    <t>47-99-316</t>
  </si>
  <si>
    <t>5R CVR-ELE ASY NY</t>
  </si>
  <si>
    <t>7023257635</t>
  </si>
  <si>
    <t>652612 OH</t>
  </si>
  <si>
    <t>7023257636</t>
  </si>
  <si>
    <t>652552 OH</t>
  </si>
  <si>
    <t>7023257662</t>
  </si>
  <si>
    <t>652357 OH</t>
  </si>
  <si>
    <t>7023257663</t>
  </si>
  <si>
    <t>651919 OH</t>
  </si>
  <si>
    <t>7023257664</t>
  </si>
  <si>
    <t>652425 OH</t>
  </si>
  <si>
    <t>7023257665</t>
  </si>
  <si>
    <t>652316 OH</t>
  </si>
  <si>
    <t>7023257666</t>
  </si>
  <si>
    <t>652066 OH</t>
  </si>
  <si>
    <t>7023257687</t>
  </si>
  <si>
    <t>652019 OH</t>
  </si>
  <si>
    <t>7023264205</t>
  </si>
  <si>
    <t>2200592</t>
  </si>
  <si>
    <t>BS2-2209-2RS/VT143</t>
  </si>
  <si>
    <t>7023265786</t>
  </si>
  <si>
    <t>652726 OH</t>
  </si>
  <si>
    <t>7023265952</t>
  </si>
  <si>
    <t>652486 OH</t>
  </si>
  <si>
    <t>7023274983</t>
  </si>
  <si>
    <t>16-10-107</t>
  </si>
  <si>
    <t>652360 OH</t>
  </si>
  <si>
    <t>MRUP</t>
  </si>
  <si>
    <t>APPVION-16-10-107</t>
  </si>
  <si>
    <t>7023284936</t>
  </si>
  <si>
    <t>652755 OH</t>
  </si>
  <si>
    <t>7023284980</t>
  </si>
  <si>
    <t>78-99-010</t>
  </si>
  <si>
    <t>VACC</t>
  </si>
  <si>
    <t>.#180L</t>
  </si>
  <si>
    <t>7023295161</t>
  </si>
  <si>
    <t>7023296269</t>
  </si>
  <si>
    <t>652880 OH</t>
  </si>
  <si>
    <t>7023305961</t>
  </si>
  <si>
    <t>652803 OH</t>
  </si>
  <si>
    <t>56-80-101</t>
  </si>
  <si>
    <t>SPRA</t>
  </si>
  <si>
    <t>W11127010</t>
  </si>
  <si>
    <t>7023305977</t>
  </si>
  <si>
    <t>7023314691</t>
  </si>
  <si>
    <t>2111449</t>
  </si>
  <si>
    <t>80 REV A-1 CONN LINK CP TYPE</t>
  </si>
  <si>
    <t>7023315579</t>
  </si>
  <si>
    <t>50-50-111</t>
  </si>
  <si>
    <t>652759 OH</t>
  </si>
  <si>
    <t>5016-C 1/2" GALV WIDE CROWN</t>
  </si>
  <si>
    <t>BX</t>
  </si>
  <si>
    <t>7023315580</t>
  </si>
  <si>
    <t>7023323042</t>
  </si>
  <si>
    <t>16-60-575</t>
  </si>
  <si>
    <t>652874 OH</t>
  </si>
  <si>
    <t>5VX1120</t>
  </si>
  <si>
    <t>7023323093</t>
  </si>
  <si>
    <t>7023324233</t>
  </si>
  <si>
    <t>7023333770</t>
  </si>
  <si>
    <t>12-10-380</t>
  </si>
  <si>
    <t>652958 OH</t>
  </si>
  <si>
    <t>7210 BECBY</t>
  </si>
  <si>
    <t>75-50-320</t>
  </si>
  <si>
    <t>L100X1HUB1/4</t>
  </si>
  <si>
    <t>7023333900</t>
  </si>
  <si>
    <t>7023335802</t>
  </si>
  <si>
    <t>652261 ON</t>
  </si>
  <si>
    <t>MILC</t>
  </si>
  <si>
    <t>4H000019646/PISTON&amp;ROD ASSY.</t>
  </si>
  <si>
    <t>7023335804</t>
  </si>
  <si>
    <t>652952 OH</t>
  </si>
  <si>
    <t>7023335864</t>
  </si>
  <si>
    <t>7023346387</t>
  </si>
  <si>
    <t>26-15-102</t>
  </si>
  <si>
    <t>652323 OH</t>
  </si>
  <si>
    <t>K065903553</t>
  </si>
  <si>
    <t>7023355300</t>
  </si>
  <si>
    <t>16-55-107</t>
  </si>
  <si>
    <t>652760 OH</t>
  </si>
  <si>
    <t>8GTR-3200-12</t>
  </si>
  <si>
    <t>7023356179</t>
  </si>
  <si>
    <t>75-60-180</t>
  </si>
  <si>
    <t>P3F</t>
  </si>
  <si>
    <t>7023356344</t>
  </si>
  <si>
    <t>652879 OH</t>
  </si>
  <si>
    <t>7023356465</t>
  </si>
  <si>
    <t>652871 OH</t>
  </si>
  <si>
    <t>7023365151</t>
  </si>
  <si>
    <t>7023365360</t>
  </si>
  <si>
    <t>653047 OH</t>
  </si>
  <si>
    <t>7023366191</t>
  </si>
  <si>
    <t>7023376387</t>
  </si>
  <si>
    <t>67-60-855</t>
  </si>
  <si>
    <t>MSEA</t>
  </si>
  <si>
    <t>71206</t>
  </si>
  <si>
    <t>7023376887</t>
  </si>
  <si>
    <t>7023377486</t>
  </si>
  <si>
    <t>7023377507</t>
  </si>
  <si>
    <t>653012 OH</t>
  </si>
  <si>
    <t>7023377508</t>
  </si>
  <si>
    <t>652448 OH</t>
  </si>
  <si>
    <t>7023387738</t>
  </si>
  <si>
    <t>7023387739</t>
  </si>
  <si>
    <t>653093 OH</t>
  </si>
  <si>
    <t>7023387740</t>
  </si>
  <si>
    <t>7023397946</t>
  </si>
  <si>
    <t>653147 OH</t>
  </si>
  <si>
    <t>16-90-520</t>
  </si>
  <si>
    <t>3/3VX630</t>
  </si>
  <si>
    <t>7023398313</t>
  </si>
  <si>
    <t>7023398314</t>
  </si>
  <si>
    <t>16-75-290</t>
  </si>
  <si>
    <t>BX90</t>
  </si>
  <si>
    <t>7023398315</t>
  </si>
  <si>
    <t>29-29-229</t>
  </si>
  <si>
    <t>653153 OH</t>
  </si>
  <si>
    <t>7023398599</t>
  </si>
  <si>
    <t>651426 OH</t>
  </si>
  <si>
    <t>7023398803</t>
  </si>
  <si>
    <t>DR448-54594</t>
  </si>
  <si>
    <t>DR</t>
  </si>
  <si>
    <t>7023398804</t>
  </si>
  <si>
    <t>42-60-195</t>
  </si>
  <si>
    <t>WIKA</t>
  </si>
  <si>
    <t>50069624</t>
  </si>
  <si>
    <t>7023398805</t>
  </si>
  <si>
    <t>84-15-310</t>
  </si>
  <si>
    <t>CONS</t>
  </si>
  <si>
    <t>KB-12N</t>
  </si>
  <si>
    <t>7023399549</t>
  </si>
  <si>
    <t>7023409333</t>
  </si>
  <si>
    <t>60-60-720</t>
  </si>
  <si>
    <t>42360</t>
  </si>
  <si>
    <t>7023410145</t>
  </si>
  <si>
    <t>653084 OH</t>
  </si>
  <si>
    <t>7023410548</t>
  </si>
  <si>
    <t>84-99-212</t>
  </si>
  <si>
    <t>410718</t>
  </si>
  <si>
    <t>7023410549</t>
  </si>
  <si>
    <t>7023411375</t>
  </si>
  <si>
    <t>653106 OH</t>
  </si>
  <si>
    <t>7023411476</t>
  </si>
  <si>
    <t>20-88-155</t>
  </si>
  <si>
    <t>653048 OH</t>
  </si>
  <si>
    <t>C2080H K2CONN LK C</t>
  </si>
  <si>
    <t>7023411580</t>
  </si>
  <si>
    <t>653086 OH</t>
  </si>
  <si>
    <t>7023411581</t>
  </si>
  <si>
    <t>7023412067</t>
  </si>
  <si>
    <t>7023422040</t>
  </si>
  <si>
    <t>651313 ON</t>
  </si>
  <si>
    <t>GROV</t>
  </si>
  <si>
    <t>GR-B842-30-D</t>
  </si>
  <si>
    <t>1ST SAP MFR</t>
  </si>
  <si>
    <t>1ST SAP PN</t>
  </si>
  <si>
    <t>1ST SAP MATERIAL#</t>
  </si>
  <si>
    <t>1ST SAP HIERARCHY</t>
  </si>
  <si>
    <t>1ST SAP DESCRIPTION</t>
  </si>
  <si>
    <t>1ST SAP UOM</t>
  </si>
  <si>
    <t>1ST SAP MATERIAL STATUS</t>
  </si>
  <si>
    <t>12020909</t>
  </si>
  <si>
    <t>PARK_B622BB553A</t>
  </si>
  <si>
    <t>0305000102</t>
  </si>
  <si>
    <t>MSP_VC27-A 3/8"</t>
  </si>
  <si>
    <t>FPA/POR</t>
  </si>
  <si>
    <t>1104000212</t>
  </si>
  <si>
    <t>FEST_SMEO-1-LED-230-K5B  (160998)</t>
  </si>
  <si>
    <t>1001020101</t>
  </si>
  <si>
    <t>BISH_1PB10T5S X 78"</t>
  </si>
  <si>
    <t>01010202</t>
  </si>
  <si>
    <t>GOLD_GS22612-88</t>
  </si>
  <si>
    <t>12020824</t>
  </si>
  <si>
    <t>PARK_P8SAGSCHX</t>
  </si>
  <si>
    <t>07040602</t>
  </si>
  <si>
    <t>3M_0-00-51128-99125-1</t>
  </si>
  <si>
    <t>0403010104</t>
  </si>
  <si>
    <t>3M_00051131175969</t>
  </si>
  <si>
    <t>0101030104</t>
  </si>
  <si>
    <t>SKF_305804 C-2Z</t>
  </si>
  <si>
    <t>09100001</t>
  </si>
  <si>
    <t>SPIL_WP100H</t>
  </si>
  <si>
    <t>0301000102</t>
  </si>
  <si>
    <t>CR_45X65X8CRW1R</t>
  </si>
  <si>
    <t>0301000101</t>
  </si>
  <si>
    <t>CR_37390</t>
  </si>
  <si>
    <t>1006010201</t>
  </si>
  <si>
    <t>FALK_1015G20/52SLEEVE</t>
  </si>
  <si>
    <t>06010008</t>
  </si>
  <si>
    <t>MISC_83T040/385</t>
  </si>
  <si>
    <t>01010706</t>
  </si>
  <si>
    <t>TIMK_HM518445</t>
  </si>
  <si>
    <t>TIMK_HM518410</t>
  </si>
  <si>
    <t>140202</t>
  </si>
  <si>
    <t>DIXO_200-G-BU</t>
  </si>
  <si>
    <t>FALK_1015G20/52FAST SET</t>
  </si>
  <si>
    <t>09010003</t>
  </si>
  <si>
    <t>MCN_MFF-05-009</t>
  </si>
  <si>
    <t>12020202</t>
  </si>
  <si>
    <t>PNEU_MMR0001</t>
  </si>
  <si>
    <t>0403010201</t>
  </si>
  <si>
    <t>LOCT_1329467</t>
  </si>
  <si>
    <t>1006020102</t>
  </si>
  <si>
    <t>TBWO_6</t>
  </si>
  <si>
    <t>0101010503</t>
  </si>
  <si>
    <t>SKF_61824</t>
  </si>
  <si>
    <t>0403010101</t>
  </si>
  <si>
    <t>LOCT_135337</t>
  </si>
  <si>
    <t>LOCT_645093</t>
  </si>
  <si>
    <t>GAST_AV469B</t>
  </si>
  <si>
    <t>CR_90X110X12CRW1R</t>
  </si>
  <si>
    <t>FALK_1015G10/20SEAL KIT</t>
  </si>
  <si>
    <t>0102010704</t>
  </si>
  <si>
    <t>SLMS_ER-23</t>
  </si>
  <si>
    <t>FALK_1015G FLEX HUB RSB</t>
  </si>
  <si>
    <t>0103050104</t>
  </si>
  <si>
    <t>BBB_FFM012018020</t>
  </si>
  <si>
    <t>12020907</t>
  </si>
  <si>
    <t>PARK_K065503553</t>
  </si>
  <si>
    <t>1001010301</t>
  </si>
  <si>
    <t>CONT_4L360</t>
  </si>
  <si>
    <t>10040109</t>
  </si>
  <si>
    <t>UST_80OFFSET LK</t>
  </si>
  <si>
    <t>0102030401</t>
  </si>
  <si>
    <t>LN_AN16</t>
  </si>
  <si>
    <t>0102030501</t>
  </si>
  <si>
    <t>LW_W16</t>
  </si>
  <si>
    <t>1202040208</t>
  </si>
  <si>
    <t>PARK_PS301BP</t>
  </si>
  <si>
    <t>1006020103</t>
  </si>
  <si>
    <t>MAGL_M570N7</t>
  </si>
  <si>
    <t>LOVJ_L090/L095SOX</t>
  </si>
  <si>
    <t>1001020208</t>
  </si>
  <si>
    <t>CONT_270L100</t>
  </si>
  <si>
    <t>MCN_MFF-05-011</t>
  </si>
  <si>
    <t>1305</t>
  </si>
  <si>
    <t>HAMI_S-303 1/2-NF</t>
  </si>
  <si>
    <t>06020004</t>
  </si>
  <si>
    <t>LGAS_SCCH4165SYM</t>
  </si>
  <si>
    <t>CR_85X110X12HMS5V</t>
  </si>
  <si>
    <t>3M_00021200160578</t>
  </si>
  <si>
    <t>08100001</t>
  </si>
  <si>
    <t>3M_50048011080043</t>
  </si>
  <si>
    <t>0401</t>
  </si>
  <si>
    <t>CRC_05089T</t>
  </si>
  <si>
    <t>1006020104</t>
  </si>
  <si>
    <t>REX_20R CVR-ELE ASY NY</t>
  </si>
  <si>
    <t>12020802</t>
  </si>
  <si>
    <t>FIRE_W013587561</t>
  </si>
  <si>
    <t>12020706</t>
  </si>
  <si>
    <t>BOSC_1823376000</t>
  </si>
  <si>
    <t>0301</t>
  </si>
  <si>
    <t>MSP_12NSM</t>
  </si>
  <si>
    <t>0102010703</t>
  </si>
  <si>
    <t>FAFN_SM1111KS</t>
  </si>
  <si>
    <t>12020906</t>
  </si>
  <si>
    <t>MACV_82AAA000TMDAAP3DA</t>
  </si>
  <si>
    <t>120204</t>
  </si>
  <si>
    <t>PARK_PS506P</t>
  </si>
  <si>
    <t>MISC_7FXR80Z/196</t>
  </si>
  <si>
    <t>TBWO_10H</t>
  </si>
  <si>
    <t>120209</t>
  </si>
  <si>
    <t>ARRW_ASP-3</t>
  </si>
  <si>
    <t>12020901</t>
  </si>
  <si>
    <t>BARK_9001-M</t>
  </si>
  <si>
    <t>IPG_87372</t>
  </si>
  <si>
    <t>RBC_7510DLGTNTG18</t>
  </si>
  <si>
    <t>07030001</t>
  </si>
  <si>
    <t>MSP_JEMMSIL CT 1125</t>
  </si>
  <si>
    <t>SKF_6205 2RSJEM</t>
  </si>
  <si>
    <t>3M_00054007061328</t>
  </si>
  <si>
    <t>3M_0-00-51131-17535-8</t>
  </si>
  <si>
    <t>01010901</t>
  </si>
  <si>
    <t>SKF_22315 EK/C3</t>
  </si>
  <si>
    <t>1001010104</t>
  </si>
  <si>
    <t>CONT_BX75</t>
  </si>
  <si>
    <t>3M_00051131175129</t>
  </si>
  <si>
    <t>05010202</t>
  </si>
  <si>
    <t>KANO_AEROKROIL</t>
  </si>
  <si>
    <t>Z4_Pending Obsolete-Warning</t>
  </si>
  <si>
    <t>1003000101</t>
  </si>
  <si>
    <t>BROW_H10MM</t>
  </si>
  <si>
    <t>1006030102</t>
  </si>
  <si>
    <t>LOVJ_D10BOOT LOWER SET2</t>
  </si>
  <si>
    <t>11020001</t>
  </si>
  <si>
    <t>DING_H70339-1</t>
  </si>
  <si>
    <t>LOCT_135527</t>
  </si>
  <si>
    <t>0102030201</t>
  </si>
  <si>
    <t>SKF_SNW 115X2.7/16</t>
  </si>
  <si>
    <t>ENID_YI-1S3-013</t>
  </si>
  <si>
    <t>07020003</t>
  </si>
  <si>
    <t>LW_MB13</t>
  </si>
  <si>
    <t>NTN_6201LLBNR</t>
  </si>
  <si>
    <t>120111</t>
  </si>
  <si>
    <t>PHC_PK2002AN01</t>
  </si>
  <si>
    <t>PHC_RG2AN00061</t>
  </si>
  <si>
    <t>FIRE_W013587327</t>
  </si>
  <si>
    <t>13020107</t>
  </si>
  <si>
    <t>APCB_F.I. APPVION PAPER 2-8-21</t>
  </si>
  <si>
    <t>SKF_22210 E/C3</t>
  </si>
  <si>
    <t>10060402</t>
  </si>
  <si>
    <t>MPT_0 740 103 6000</t>
  </si>
  <si>
    <t>05020103</t>
  </si>
  <si>
    <t>LINC_1142</t>
  </si>
  <si>
    <t>3M_00051115647413</t>
  </si>
  <si>
    <t>3M_0-00-51131-17633-1</t>
  </si>
  <si>
    <t>IPG_78750</t>
  </si>
  <si>
    <t>01010710</t>
  </si>
  <si>
    <t>OSBO_PLR-3</t>
  </si>
  <si>
    <t>SKF_6208 2RSJEM</t>
  </si>
  <si>
    <t>MCT_N32-4-IRB</t>
  </si>
  <si>
    <t>BSCB_APPVION-16-10-024</t>
  </si>
  <si>
    <t>1201250001</t>
  </si>
  <si>
    <t>EFIL_31338</t>
  </si>
  <si>
    <t>12020816</t>
  </si>
  <si>
    <t>FEST_DSNU-1 5/8-4"-PPVA 548539</t>
  </si>
  <si>
    <t>12010103</t>
  </si>
  <si>
    <t>PHC_PAVC65R4213</t>
  </si>
  <si>
    <t>0102010705</t>
  </si>
  <si>
    <t>SLMS_2-012</t>
  </si>
  <si>
    <t>SKF_22217 E</t>
  </si>
  <si>
    <t>SKF_6311 2RSJEM</t>
  </si>
  <si>
    <t>0102020512</t>
  </si>
  <si>
    <t>LB_PB22428H</t>
  </si>
  <si>
    <t>PHC_RG2AHL0101</t>
  </si>
  <si>
    <t>0804</t>
  </si>
  <si>
    <t>MISC_11157 (100A, INSUL-8)</t>
  </si>
  <si>
    <t>MCN_MFF-02-012</t>
  </si>
  <si>
    <t>SLMS_2-17</t>
  </si>
  <si>
    <t>UST_80CONN LK CP</t>
  </si>
  <si>
    <t>HUMP_42E1 120V</t>
  </si>
  <si>
    <t>IPG_71676</t>
  </si>
  <si>
    <t>SKF_6006 2RSJEM</t>
  </si>
  <si>
    <t>LGAS_SCCLPH416</t>
  </si>
  <si>
    <t>0305000101</t>
  </si>
  <si>
    <t>LOCT_743913</t>
  </si>
  <si>
    <t>CR_29906</t>
  </si>
  <si>
    <t>1104000208</t>
  </si>
  <si>
    <t>MELP_PT101-0050-1111110</t>
  </si>
  <si>
    <t>0204000101</t>
  </si>
  <si>
    <t>THK_GSR20TSS</t>
  </si>
  <si>
    <t>12020705</t>
  </si>
  <si>
    <t>LEGR_3106 56 00</t>
  </si>
  <si>
    <t>11020002</t>
  </si>
  <si>
    <t>STER_566847800</t>
  </si>
  <si>
    <t>02020004</t>
  </si>
  <si>
    <t>MSP_101-297-B-S320</t>
  </si>
  <si>
    <t>12020825</t>
  </si>
  <si>
    <t>PARK_1347570044</t>
  </si>
  <si>
    <t>08080102</t>
  </si>
  <si>
    <t>MSP_AB136</t>
  </si>
  <si>
    <t>3M_0-00-51131-17559-4</t>
  </si>
  <si>
    <t>05010306</t>
  </si>
  <si>
    <t>WD40_490040</t>
  </si>
  <si>
    <t>MSP_21250B</t>
  </si>
  <si>
    <t>3M_00051131069398</t>
  </si>
  <si>
    <t>140201</t>
  </si>
  <si>
    <t>MHOS_17SSC200E</t>
  </si>
  <si>
    <t>05010102</t>
  </si>
  <si>
    <t>LOCT_135543</t>
  </si>
  <si>
    <t>LUBR_L0135-063</t>
  </si>
  <si>
    <t>040301</t>
  </si>
  <si>
    <t>LOCT_2087067</t>
  </si>
  <si>
    <t>PNEU_M15(0111015)</t>
  </si>
  <si>
    <t>CONT_630H100</t>
  </si>
  <si>
    <t>05010304</t>
  </si>
  <si>
    <t>LOCT_466864</t>
  </si>
  <si>
    <t>120113</t>
  </si>
  <si>
    <t>MILP_051-KR015-138</t>
  </si>
  <si>
    <t>0101030105</t>
  </si>
  <si>
    <t>SKF_1315 K</t>
  </si>
  <si>
    <t>CONT_150L050</t>
  </si>
  <si>
    <t>0102010404</t>
  </si>
  <si>
    <t>SLMS_MSF-35</t>
  </si>
  <si>
    <t>12020912</t>
  </si>
  <si>
    <t>PARK_0R75B</t>
  </si>
  <si>
    <t>01020301</t>
  </si>
  <si>
    <t>SKF_LOR 44</t>
  </si>
  <si>
    <t>1008000101</t>
  </si>
  <si>
    <t>MORS_MG500AX1 1/8</t>
  </si>
  <si>
    <t>06020001</t>
  </si>
  <si>
    <t>MISC_61603 WAP VAC BAGS</t>
  </si>
  <si>
    <t>1303020702</t>
  </si>
  <si>
    <t>MCT_9.06002.03</t>
  </si>
  <si>
    <t>MISC_54 X 44 X 150 3 MIL BAG</t>
  </si>
  <si>
    <t>1001020202</t>
  </si>
  <si>
    <t>CONT_Y-1600</t>
  </si>
  <si>
    <t>LOCT_135512</t>
  </si>
  <si>
    <t>3M_00021200069253</t>
  </si>
  <si>
    <t>ARRW_ASP-4</t>
  </si>
  <si>
    <t>MCN_MFF-05-010</t>
  </si>
  <si>
    <t>BIMB_NR-093-DXPB</t>
  </si>
  <si>
    <t>080102</t>
  </si>
  <si>
    <t>COX_SH-N-350</t>
  </si>
  <si>
    <t>CONT_4L310</t>
  </si>
  <si>
    <t>1002020104</t>
  </si>
  <si>
    <t>CONT_B-34S-SK</t>
  </si>
  <si>
    <t>PHC_0683720000</t>
  </si>
  <si>
    <t>QM_QF15INSERT</t>
  </si>
  <si>
    <t>05020106</t>
  </si>
  <si>
    <t>GRAC_236273</t>
  </si>
  <si>
    <t>1202040207</t>
  </si>
  <si>
    <t>PARK_07E36A13AC</t>
  </si>
  <si>
    <t>UST_80 2CONN LK CP</t>
  </si>
  <si>
    <t>PNEU_AAD-2HASKEL</t>
  </si>
  <si>
    <t>PHC_0959810175</t>
  </si>
  <si>
    <t>PHC_3H000198364</t>
  </si>
  <si>
    <t>3M_0-00-51131-06545-1</t>
  </si>
  <si>
    <t>PARK_14R013FC</t>
  </si>
  <si>
    <t>07030101</t>
  </si>
  <si>
    <t>MSP_410714</t>
  </si>
  <si>
    <t>STER_108704100 QF</t>
  </si>
  <si>
    <t>TIMK_596</t>
  </si>
  <si>
    <t>1001010101</t>
  </si>
  <si>
    <t>CONT_B51</t>
  </si>
  <si>
    <t>CONT_BX108</t>
  </si>
  <si>
    <t>CR_41170</t>
  </si>
  <si>
    <t>SKF_6315 2RSJEM</t>
  </si>
  <si>
    <t>LOCT_135465</t>
  </si>
  <si>
    <t>01010602</t>
  </si>
  <si>
    <t>MCGI_CFH1SB</t>
  </si>
  <si>
    <t>CONT_B162</t>
  </si>
  <si>
    <t>140102</t>
  </si>
  <si>
    <t>MHOS_87240520 + (2)87240280</t>
  </si>
  <si>
    <t>BIMB_FO-1250.75-CFT</t>
  </si>
  <si>
    <t>0102010201</t>
  </si>
  <si>
    <t>SLMS_SPM-31T CXU</t>
  </si>
  <si>
    <t>12020301</t>
  </si>
  <si>
    <t>GRAC_D0F316</t>
  </si>
  <si>
    <t>01010402</t>
  </si>
  <si>
    <t>SKF_C 2213 TN9</t>
  </si>
  <si>
    <t>TIMK_592</t>
  </si>
  <si>
    <t>3M_00051115646966</t>
  </si>
  <si>
    <t>120103</t>
  </si>
  <si>
    <t>PHC_D1VW004CNYCF</t>
  </si>
  <si>
    <t>07060002</t>
  </si>
  <si>
    <t>MISC_52131</t>
  </si>
  <si>
    <t>FAG_6315-2RSR</t>
  </si>
  <si>
    <t>SMCP_NVFS3300-5FZ</t>
  </si>
  <si>
    <t>PARK_1H3L0000251791</t>
  </si>
  <si>
    <t>RWM_CIR1230-16-03</t>
  </si>
  <si>
    <t>3M_00051128988817</t>
  </si>
  <si>
    <t>RBC_1654DCTNTG18</t>
  </si>
  <si>
    <t>02030101</t>
  </si>
  <si>
    <t>THK_SRS9XMUU+55LM-11</t>
  </si>
  <si>
    <t>MPT_07401035874</t>
  </si>
  <si>
    <t>MSP_97410715</t>
  </si>
  <si>
    <t>12012301</t>
  </si>
  <si>
    <t>DONA_P551551</t>
  </si>
  <si>
    <t>IPG_K2800/RL</t>
  </si>
  <si>
    <t>LOVJ_L075SOX OCT</t>
  </si>
  <si>
    <t>PARK_14R113FC</t>
  </si>
  <si>
    <t>SKF_23044 CC/W33</t>
  </si>
  <si>
    <t>140105</t>
  </si>
  <si>
    <t>KURI_K3150-16X100</t>
  </si>
  <si>
    <t>01010405</t>
  </si>
  <si>
    <t>LB_MA1208</t>
  </si>
  <si>
    <t>0102010904</t>
  </si>
  <si>
    <t>SLMS_NP-27</t>
  </si>
  <si>
    <t>12010101</t>
  </si>
  <si>
    <t>VIK_4-0655-1133-517</t>
  </si>
  <si>
    <t>SHEF_720-00400</t>
  </si>
  <si>
    <t>SLMS_ER-16T</t>
  </si>
  <si>
    <t>1201360102</t>
  </si>
  <si>
    <t>DEUB_1005-000-038</t>
  </si>
  <si>
    <t>STER_105603100BPF</t>
  </si>
  <si>
    <t>SKF_E2.6205-2Z/C3</t>
  </si>
  <si>
    <t>01010610</t>
  </si>
  <si>
    <t>KOYO_BH-1612</t>
  </si>
  <si>
    <t>08050001</t>
  </si>
  <si>
    <t>RECT_20KAAN10MPX</t>
  </si>
  <si>
    <t>VIK_4-0630-1133-005</t>
  </si>
  <si>
    <t>SLMS_ER-16</t>
  </si>
  <si>
    <t>SKF_22211 E/C3</t>
  </si>
  <si>
    <t>FIRE_W013587431</t>
  </si>
  <si>
    <t>SLMS_MSF-27</t>
  </si>
  <si>
    <t>1001010602</t>
  </si>
  <si>
    <t>CONT_3VX750</t>
  </si>
  <si>
    <t>CONT_BX60</t>
  </si>
  <si>
    <t>1009</t>
  </si>
  <si>
    <t>MISC_80386 - ANVIL 10" SEC</t>
  </si>
  <si>
    <t>MISC_G40133M</t>
  </si>
  <si>
    <t>MISC_80019</t>
  </si>
  <si>
    <t>CONT_BX88</t>
  </si>
  <si>
    <t>CR_34888</t>
  </si>
  <si>
    <t>TIMK_HH221449NA</t>
  </si>
  <si>
    <t>FAFN_ER35</t>
  </si>
  <si>
    <t>12030602</t>
  </si>
  <si>
    <t>HYDR_21744</t>
  </si>
  <si>
    <t>MSP_410711</t>
  </si>
  <si>
    <t>CONT_450L075</t>
  </si>
  <si>
    <t>LOCT_193996</t>
  </si>
  <si>
    <t>0102030502</t>
  </si>
  <si>
    <t>LW_TW121</t>
  </si>
  <si>
    <t>SKF_SNW 20X3.7/16</t>
  </si>
  <si>
    <t>TIMK_LM67010</t>
  </si>
  <si>
    <t>SKF_22213 E</t>
  </si>
  <si>
    <t>0706</t>
  </si>
  <si>
    <t>MISC_R24287D1</t>
  </si>
  <si>
    <t>FIRE_W013587564</t>
  </si>
  <si>
    <t>CONT_5VX600</t>
  </si>
  <si>
    <t>CONT_B-2660</t>
  </si>
  <si>
    <t>TBWO_8</t>
  </si>
  <si>
    <t>NTN_FL608ZZ</t>
  </si>
  <si>
    <t>120125</t>
  </si>
  <si>
    <t>EFIL_ASA0000010</t>
  </si>
  <si>
    <t>CR_42426</t>
  </si>
  <si>
    <t>PHC_RG2HLTS251</t>
  </si>
  <si>
    <t>HANN_N716-19-20JSR</t>
  </si>
  <si>
    <t>1001020203</t>
  </si>
  <si>
    <t>CONT_3500 14M40HAWK</t>
  </si>
  <si>
    <t>CONT_BX53</t>
  </si>
  <si>
    <t>EFIL_S-41553</t>
  </si>
  <si>
    <t>1303020401</t>
  </si>
  <si>
    <t>SIEG_E5/2 0/V3 MT-NA 8"IN X 108"IN LG "KS"</t>
  </si>
  <si>
    <t>CR_52445</t>
  </si>
  <si>
    <t>3M_00-051115-64742-0*</t>
  </si>
  <si>
    <t>LOCT_135469</t>
  </si>
  <si>
    <t>SKF_6309 2RSJEM</t>
  </si>
  <si>
    <t>CONT_4L230</t>
  </si>
  <si>
    <t>CONT_3VX425</t>
  </si>
  <si>
    <t>TIMK_48620</t>
  </si>
  <si>
    <t>TIMK_56425</t>
  </si>
  <si>
    <t>TIMK_56650</t>
  </si>
  <si>
    <t>CONT_B144</t>
  </si>
  <si>
    <t>CR_66241</t>
  </si>
  <si>
    <t>SKF_6206 2RSJEM</t>
  </si>
  <si>
    <t>140203</t>
  </si>
  <si>
    <t>DIXO_200-HRP-SP</t>
  </si>
  <si>
    <t>140101</t>
  </si>
  <si>
    <t>OBAC_20SFTF03MXX</t>
  </si>
  <si>
    <t>MSA_51150-00009-00</t>
  </si>
  <si>
    <t>0301000201</t>
  </si>
  <si>
    <t>GARL_21852-3984</t>
  </si>
  <si>
    <t>CR_17X35X7HMSA10RG</t>
  </si>
  <si>
    <t>COX_434</t>
  </si>
  <si>
    <t>VER_KGG-4232-K30-3-A120</t>
  </si>
  <si>
    <t>MSA_51910-2"X 55 EASY SPLICE FILMLINE 6RL/CA</t>
  </si>
  <si>
    <t>CONT_3360 14M40HAWK</t>
  </si>
  <si>
    <t>TIMK_JM612910</t>
  </si>
  <si>
    <t>TIMK_JM612949</t>
  </si>
  <si>
    <t>CONT_BX64</t>
  </si>
  <si>
    <t>CR_9307</t>
  </si>
  <si>
    <t>LOCT_1265769</t>
  </si>
  <si>
    <t>0102020304</t>
  </si>
  <si>
    <t>LB_FB22428H</t>
  </si>
  <si>
    <t>01010603</t>
  </si>
  <si>
    <t>MCGI_CYR1 5/8S</t>
  </si>
  <si>
    <t>CR_95X120X12CRW1V</t>
  </si>
  <si>
    <t>HAMI_REHD83DH</t>
  </si>
  <si>
    <t>NUMA_3FCRN</t>
  </si>
  <si>
    <t>0303000115</t>
  </si>
  <si>
    <t>JWAL_SL000253 - 10</t>
  </si>
  <si>
    <t>ORIN_4085-B</t>
  </si>
  <si>
    <t>0301000103</t>
  </si>
  <si>
    <t>CR_32548</t>
  </si>
  <si>
    <t>CR_33251</t>
  </si>
  <si>
    <t>CR_12336</t>
  </si>
  <si>
    <t>CR_48X62X8HMSA10V</t>
  </si>
  <si>
    <t>PHC_RK2AHL0255</t>
  </si>
  <si>
    <t>JASO_1345H150U</t>
  </si>
  <si>
    <t>3M_00021200723308</t>
  </si>
  <si>
    <t>SKF_6011-2RS1</t>
  </si>
  <si>
    <t>12013202</t>
  </si>
  <si>
    <t>VCK_6333U-014</t>
  </si>
  <si>
    <t>JASO_4578-14MG-65</t>
  </si>
  <si>
    <t>CR_40078</t>
  </si>
  <si>
    <t>EFIL_42416</t>
  </si>
  <si>
    <t>EFIL_47144</t>
  </si>
  <si>
    <t>EFIL_P-41289-SS6</t>
  </si>
  <si>
    <t>120137</t>
  </si>
  <si>
    <t>PHC_FS-1002-16FP</t>
  </si>
  <si>
    <t>DING_6-72019-54-U3</t>
  </si>
  <si>
    <t>1008000104</t>
  </si>
  <si>
    <t>DING_H6-72027-54U3</t>
  </si>
  <si>
    <t>MLLD_840-0212</t>
  </si>
  <si>
    <t>NUMA_031SA4002000030</t>
  </si>
  <si>
    <t>BIMB_FOS-310.5-1N</t>
  </si>
  <si>
    <t>0101010502</t>
  </si>
  <si>
    <t>MRC_R16ZZ</t>
  </si>
  <si>
    <t>07090002</t>
  </si>
  <si>
    <t>PBP_42235</t>
  </si>
  <si>
    <t>LB_M1208UV</t>
  </si>
  <si>
    <t>SKF_22218 E</t>
  </si>
  <si>
    <t>CR_120X150X12 HMS5 RG</t>
  </si>
  <si>
    <t>08070002</t>
  </si>
  <si>
    <t>MISC_BS1001UB</t>
  </si>
  <si>
    <t>SCHD_1347570050</t>
  </si>
  <si>
    <t>WINS_ZPCM36205</t>
  </si>
  <si>
    <t>EFIL_M-41958</t>
  </si>
  <si>
    <t>SLMS_MFC-32</t>
  </si>
  <si>
    <t>3M_0-00-51115-31465-0</t>
  </si>
  <si>
    <t>01010704</t>
  </si>
  <si>
    <t>SKF_33017</t>
  </si>
  <si>
    <t>0102010203</t>
  </si>
  <si>
    <t>SLMS_MPD-35CXU</t>
  </si>
  <si>
    <t>CONT_2800 14M40HAWK</t>
  </si>
  <si>
    <t>10040107</t>
  </si>
  <si>
    <t>UST_60RIV</t>
  </si>
  <si>
    <t>PBP_42215</t>
  </si>
  <si>
    <t>PBP_42220</t>
  </si>
  <si>
    <t>PBP_42260</t>
  </si>
  <si>
    <t>0102010402</t>
  </si>
  <si>
    <t>DODG_F4BDL203</t>
  </si>
  <si>
    <t>PBP_42230</t>
  </si>
  <si>
    <t>PBP_42245</t>
  </si>
  <si>
    <t>PBP_42250</t>
  </si>
  <si>
    <t>CONT_5VX1180</t>
  </si>
  <si>
    <t>CR_17653</t>
  </si>
  <si>
    <t>CR_23685</t>
  </si>
  <si>
    <t>CR_13651</t>
  </si>
  <si>
    <t>0101030102</t>
  </si>
  <si>
    <t>MRC_5205CZZ</t>
  </si>
  <si>
    <t>1006020101</t>
  </si>
  <si>
    <t>DODG_8FLEX DISC</t>
  </si>
  <si>
    <t>07020005</t>
  </si>
  <si>
    <t>LEE_LE-148J-11-M</t>
  </si>
  <si>
    <t>0403010204</t>
  </si>
  <si>
    <t>XIAM_732CL90ML TUBE</t>
  </si>
  <si>
    <t>HYCN_1.07.08D12BN4</t>
  </si>
  <si>
    <t>12030501</t>
  </si>
  <si>
    <t>HYDR_49083</t>
  </si>
  <si>
    <t>HABA_APPVION-16-10-052</t>
  </si>
  <si>
    <t>CONT_4L420</t>
  </si>
  <si>
    <t>CONT_AX33</t>
  </si>
  <si>
    <t>PARK_06R118AC</t>
  </si>
  <si>
    <t>CONT_AX46</t>
  </si>
  <si>
    <t>REX_20R10P-0.750C-1.500S</t>
  </si>
  <si>
    <t>MSP_80</t>
  </si>
  <si>
    <t>HAMI_R-303-1/2-NF</t>
  </si>
  <si>
    <t>TIMK_48684</t>
  </si>
  <si>
    <t>1006010303</t>
  </si>
  <si>
    <t>MISC_10969-16-8</t>
  </si>
  <si>
    <t>PBP_42225</t>
  </si>
  <si>
    <t>HABA_APPVION-16-10-051</t>
  </si>
  <si>
    <t>SKF_6007-2RS1/GJN</t>
  </si>
  <si>
    <t>CONT_1040 8M30HAWK</t>
  </si>
  <si>
    <t>CONT_BX50</t>
  </si>
  <si>
    <t>LOVJ_L099/L100SOX</t>
  </si>
  <si>
    <t>CONT_A90</t>
  </si>
  <si>
    <t>CONT_660H150</t>
  </si>
  <si>
    <t>CONT_AX35</t>
  </si>
  <si>
    <t>PARK_14R110FC</t>
  </si>
  <si>
    <t>CONT_1400H150</t>
  </si>
  <si>
    <t>SKF_6200 2RSJEM</t>
  </si>
  <si>
    <t>TBWO_432614M65W</t>
  </si>
  <si>
    <t>12020821</t>
  </si>
  <si>
    <t>SHEF_657-50802</t>
  </si>
  <si>
    <t>SHEF_657-50831</t>
  </si>
  <si>
    <t>SHEF_7570102500100</t>
  </si>
  <si>
    <t>1104000414</t>
  </si>
  <si>
    <t>DUFF_M9005-30</t>
  </si>
  <si>
    <t>MAGL_M170U9</t>
  </si>
  <si>
    <t>CR_41761</t>
  </si>
  <si>
    <t>TIMK_HH221410D</t>
  </si>
  <si>
    <t>CR_35X52X7HMS5RG</t>
  </si>
  <si>
    <t>CONT_5VX1600</t>
  </si>
  <si>
    <t>SQD_XACA9412</t>
  </si>
  <si>
    <t>PHD_3419-12-1</t>
  </si>
  <si>
    <t>1007020104</t>
  </si>
  <si>
    <t>MISC_VOGEL SPIRAL BEVEL GEARBOX</t>
  </si>
  <si>
    <t>LW_W17</t>
  </si>
  <si>
    <t>10050001</t>
  </si>
  <si>
    <t>GOLD_GS-SL</t>
  </si>
  <si>
    <t>GOLD_GS-SO6</t>
  </si>
  <si>
    <t>1007010104</t>
  </si>
  <si>
    <t>MART_R208X6</t>
  </si>
  <si>
    <t>SKF_2209 E-2RS1TN9</t>
  </si>
  <si>
    <t>SPDC_D4956 14M85</t>
  </si>
  <si>
    <t>LB_B428L</t>
  </si>
  <si>
    <t>INA_KR52-PP-A</t>
  </si>
  <si>
    <t>CONT_4956 14M85HAWK</t>
  </si>
  <si>
    <t>CONT_5VX950</t>
  </si>
  <si>
    <t>CONT_BX35</t>
  </si>
  <si>
    <t>12012902</t>
  </si>
  <si>
    <t>DESC_DC-4</t>
  </si>
  <si>
    <t>CR_7443</t>
  </si>
  <si>
    <t>1007020108</t>
  </si>
  <si>
    <t>HUBC_0230-01510</t>
  </si>
  <si>
    <t>TIMK_LM11710</t>
  </si>
  <si>
    <t>TIMK_LM11749</t>
  </si>
  <si>
    <t>TCM_24X40X7VTC-BX</t>
  </si>
  <si>
    <t>ORSN_692-11016</t>
  </si>
  <si>
    <t>3M_00-021200-17203-8</t>
  </si>
  <si>
    <t>XIAM_3145CL90ML TUBE</t>
  </si>
  <si>
    <t>FIRE_W013587092</t>
  </si>
  <si>
    <t>KOYO_B-2416</t>
  </si>
  <si>
    <t>CONT_1890 14M40HAWK</t>
  </si>
  <si>
    <t>BIMB_313-DXP</t>
  </si>
  <si>
    <t>CONT_BX116</t>
  </si>
  <si>
    <t>FALK_1025G20/52SLEEVE</t>
  </si>
  <si>
    <t>FALK_1025G FLEX HUB RB</t>
  </si>
  <si>
    <t>EFIL_42414</t>
  </si>
  <si>
    <t>12020501</t>
  </si>
  <si>
    <t>PARK_P8SAGPCHX</t>
  </si>
  <si>
    <t>PARK_PWSB1887</t>
  </si>
  <si>
    <t>PARK_P3NFA98GSA</t>
  </si>
  <si>
    <t>CONT_3850 14M55HAWK</t>
  </si>
  <si>
    <t>CR_45X85X8CRW1R</t>
  </si>
  <si>
    <t>CONT_AX38</t>
  </si>
  <si>
    <t>1008000202</t>
  </si>
  <si>
    <t>NXN_9397</t>
  </si>
  <si>
    <t>SLMS_NP-16</t>
  </si>
  <si>
    <t>SKF_LOR 37</t>
  </si>
  <si>
    <t>05020107</t>
  </si>
  <si>
    <t>GRAC_189304</t>
  </si>
  <si>
    <t>1001010106</t>
  </si>
  <si>
    <t>MVBL_A52K</t>
  </si>
  <si>
    <t>MVBL_A54K</t>
  </si>
  <si>
    <t>MVBL_A72K</t>
  </si>
  <si>
    <t>LOVJ_L095X3/4HUB3/16</t>
  </si>
  <si>
    <t>LOCT_135392</t>
  </si>
  <si>
    <t>BIMB_FOS-502-1MT</t>
  </si>
  <si>
    <t>GRAC_188603</t>
  </si>
  <si>
    <t>LOCT_135374</t>
  </si>
  <si>
    <t>3M_0-00-21200-38934-4</t>
  </si>
  <si>
    <t>UST_40 2RIV</t>
  </si>
  <si>
    <t>01010607</t>
  </si>
  <si>
    <t>MCGI_MI25 4S</t>
  </si>
  <si>
    <t>BREW_P2F</t>
  </si>
  <si>
    <t>GRAC_D0B316</t>
  </si>
  <si>
    <t>140104</t>
  </si>
  <si>
    <t>CONT_1/2GNFABCH200CL</t>
  </si>
  <si>
    <t>11020003</t>
  </si>
  <si>
    <t>CRA_981E72-9</t>
  </si>
  <si>
    <t>BREW_SO4</t>
  </si>
  <si>
    <t>REX_10R10HUB3/4</t>
  </si>
  <si>
    <t>REX_10R PM HCB1 1/8</t>
  </si>
  <si>
    <t>CR_9838</t>
  </si>
  <si>
    <t>MAGL_M10010408</t>
  </si>
  <si>
    <t>CONT_3/4RDORTAC250RL</t>
  </si>
  <si>
    <t>STER_566847200</t>
  </si>
  <si>
    <t>PHC_PK1502A001</t>
  </si>
  <si>
    <t>140103</t>
  </si>
  <si>
    <t>CONT_3BKFLEXWPE150CL</t>
  </si>
  <si>
    <t>CR_13649</t>
  </si>
  <si>
    <t>EFIL_S-41956</t>
  </si>
  <si>
    <t>CONT_BX105</t>
  </si>
  <si>
    <t>12020502</t>
  </si>
  <si>
    <t>NUMA_081SS600K000030</t>
  </si>
  <si>
    <t>BIMB_314</t>
  </si>
  <si>
    <t>HUBC_0230-07268</t>
  </si>
  <si>
    <t>01010101</t>
  </si>
  <si>
    <t>FAFN_203RR2</t>
  </si>
  <si>
    <t>CONT_2800 14M55HAWK</t>
  </si>
  <si>
    <t>CONT_BX46</t>
  </si>
  <si>
    <t>CONT_CX90</t>
  </si>
  <si>
    <t>STER_566508100</t>
  </si>
  <si>
    <t>STER_566640933</t>
  </si>
  <si>
    <t>3M_00054007502364</t>
  </si>
  <si>
    <t>MCGI_MR30</t>
  </si>
  <si>
    <t>ARRW_ASP-2</t>
  </si>
  <si>
    <t>CONT_1610 14M115HAWK</t>
  </si>
  <si>
    <t>UST_60CONN LK SC</t>
  </si>
  <si>
    <t>MAGL_M270U9</t>
  </si>
  <si>
    <t>STER_1087041H0GLF</t>
  </si>
  <si>
    <t>PHC_PK4002A001</t>
  </si>
  <si>
    <t>12020807</t>
  </si>
  <si>
    <t>MILP_051-KR011-138</t>
  </si>
  <si>
    <t>MFP_090-ES009-800</t>
  </si>
  <si>
    <t>SKF_61828-2RS1</t>
  </si>
  <si>
    <t>1001020204</t>
  </si>
  <si>
    <t>JASO_D3500-14M-85</t>
  </si>
  <si>
    <t>CR_13092</t>
  </si>
  <si>
    <t>CONT_2100 14M55HAWK</t>
  </si>
  <si>
    <t>CONT_4L470</t>
  </si>
  <si>
    <t>CONT_B87</t>
  </si>
  <si>
    <t>LW_W04</t>
  </si>
  <si>
    <t>SMLY_WH-525-S02</t>
  </si>
  <si>
    <t>CONT_BX158</t>
  </si>
  <si>
    <t>PARK_P3NLA98LSN</t>
  </si>
  <si>
    <t>01010411</t>
  </si>
  <si>
    <t>SKF_NJ 206 ECP</t>
  </si>
  <si>
    <t>PARK_P3NRA98BNN</t>
  </si>
  <si>
    <t>CONT_3VX335</t>
  </si>
  <si>
    <t>12012303</t>
  </si>
  <si>
    <t>PARK_10CU25-130X1</t>
  </si>
  <si>
    <t>PBP_42240</t>
  </si>
  <si>
    <t>MTLS_S-16138-3M PA1-B</t>
  </si>
  <si>
    <t>PARK_H2C</t>
  </si>
  <si>
    <t>BREC_20 AT3/2136 M</t>
  </si>
  <si>
    <t>LW_W15</t>
  </si>
  <si>
    <t>SKF_NJ 208 ECP</t>
  </si>
  <si>
    <t>BLCH_16-ATC</t>
  </si>
  <si>
    <t>LB_22217LBKC3</t>
  </si>
  <si>
    <t>SKF_6207 2RSJEM</t>
  </si>
  <si>
    <t>CONT_3VX1060</t>
  </si>
  <si>
    <t>CONT_W-1600</t>
  </si>
  <si>
    <t>DING_83079-49-U3XH</t>
  </si>
  <si>
    <t>SKF_LOR 32</t>
  </si>
  <si>
    <t>SKF_22313 EK</t>
  </si>
  <si>
    <t>0102020310</t>
  </si>
  <si>
    <t>LB_FB22436H</t>
  </si>
  <si>
    <t>1007020118</t>
  </si>
  <si>
    <t>SUMI_CNVMS02-6100YA-119</t>
  </si>
  <si>
    <t>06020002</t>
  </si>
  <si>
    <t>DYKM_90985</t>
  </si>
  <si>
    <t>CONT_1800 8M50HAWK</t>
  </si>
  <si>
    <t>PARK_086620T005</t>
  </si>
  <si>
    <t>MCGI_CF1 1/4S</t>
  </si>
  <si>
    <t>LN_AN21</t>
  </si>
  <si>
    <t>MCGI_CFH1 1/4SB</t>
  </si>
  <si>
    <t>SKF_24028 CCK30/W33</t>
  </si>
  <si>
    <t>CONT_2BKFLEXWPE150CL</t>
  </si>
  <si>
    <t>06020007</t>
  </si>
  <si>
    <t>LGAS_CLO15949CT</t>
  </si>
  <si>
    <t>PARK_PWSB1227</t>
  </si>
  <si>
    <t>PARK_07E46A13AC</t>
  </si>
  <si>
    <t>NUMA_554SA402K000030</t>
  </si>
  <si>
    <t>070403</t>
  </si>
  <si>
    <t>MSP_AAC-120-4XT-F-CE</t>
  </si>
  <si>
    <t>CONT_5000 20M115HAWK</t>
  </si>
  <si>
    <t>CONT_2310 14M55HAWK</t>
  </si>
  <si>
    <t>STER_1056031H0DLF</t>
  </si>
  <si>
    <t>MSA_60404 1.5"X 72YDS RED PVC S/S</t>
  </si>
  <si>
    <t>SLMS_EMP-31</t>
  </si>
  <si>
    <t>SLMS_MP-31</t>
  </si>
  <si>
    <t>1002020205</t>
  </si>
  <si>
    <t>MART_W9014M65-F</t>
  </si>
  <si>
    <t>SKF_6008-2RS1</t>
  </si>
  <si>
    <t>GENE_Z995203</t>
  </si>
  <si>
    <t>DIXO_D104</t>
  </si>
  <si>
    <t>TBWO_W6414M65</t>
  </si>
  <si>
    <t>SKF_22218 EK</t>
  </si>
  <si>
    <t>0102030202</t>
  </si>
  <si>
    <t>SKF_H 318</t>
  </si>
  <si>
    <t>LW_MB18</t>
  </si>
  <si>
    <t>SKF_22209 EK/C3</t>
  </si>
  <si>
    <t>CHEM_10069 UP GREASE 1 30CTG</t>
  </si>
  <si>
    <t>GARL_21086-2252</t>
  </si>
  <si>
    <t>PARK_CCJ125B01</t>
  </si>
  <si>
    <t>BSTQ_D5320-14M-85</t>
  </si>
  <si>
    <t>LN_AN17</t>
  </si>
  <si>
    <t>PRKF_PAVC65R213</t>
  </si>
  <si>
    <t>PHC_SKL7001MA1</t>
  </si>
  <si>
    <t>09070003</t>
  </si>
  <si>
    <t>MSAF_5048B (M) SAFETY VEST- W/O REFLECT TAPE</t>
  </si>
  <si>
    <t>MSAF_5048B (XL) SAFETY VEST- W/O REFLECT TAPE</t>
  </si>
  <si>
    <t>MSAF_5048B (3XL) SAFETY VEST-W/O REFLECT TAPE</t>
  </si>
  <si>
    <t>THK_HSR25LA1SS</t>
  </si>
  <si>
    <t>PARK_07L32BE</t>
  </si>
  <si>
    <t>13020101</t>
  </si>
  <si>
    <t>HABA_S-391 1.25"INX1000'FT</t>
  </si>
  <si>
    <t>NUMA_153RS315J016W00</t>
  </si>
  <si>
    <t>PARK_P3NRA9PBNN</t>
  </si>
  <si>
    <t>SKF_22213 E/C3</t>
  </si>
  <si>
    <t>SLMS_NP-14</t>
  </si>
  <si>
    <t>SKF_22213 EK/C3</t>
  </si>
  <si>
    <t>PARK_0R37B</t>
  </si>
  <si>
    <t>KC_21400</t>
  </si>
  <si>
    <t>APCB_F.I. APPVION 10-7-21</t>
  </si>
  <si>
    <t>APCB_F.I.APPVION  9-27-21</t>
  </si>
  <si>
    <t>PARK_P32EB93EGABNNP</t>
  </si>
  <si>
    <t>SKF_7213 BECBY</t>
  </si>
  <si>
    <t>NXN_843200</t>
  </si>
  <si>
    <t>CONT_BX69</t>
  </si>
  <si>
    <t>PARK_17L42BE</t>
  </si>
  <si>
    <t>MCGI_CYR1 1/4S</t>
  </si>
  <si>
    <t>CHEM_418806 - G3784965</t>
  </si>
  <si>
    <t>FOST_2302</t>
  </si>
  <si>
    <t>LW_W07</t>
  </si>
  <si>
    <t>07040104</t>
  </si>
  <si>
    <t>AKRO_30235STONE</t>
  </si>
  <si>
    <t>LN_AN15</t>
  </si>
  <si>
    <t>CR_33735</t>
  </si>
  <si>
    <t>CR_52440</t>
  </si>
  <si>
    <t>SKF_6211 2RSJEM</t>
  </si>
  <si>
    <t>KOYO_BH-1616</t>
  </si>
  <si>
    <t>SKF_SNW 15X2.7/16</t>
  </si>
  <si>
    <t>3M_00021200172038</t>
  </si>
  <si>
    <t>12030401</t>
  </si>
  <si>
    <t>MISC_A613S</t>
  </si>
  <si>
    <t>MHOS_C150</t>
  </si>
  <si>
    <t>0403010102</t>
  </si>
  <si>
    <t>DEVC_14250</t>
  </si>
  <si>
    <t>SKF_23232 CCK/W33</t>
  </si>
  <si>
    <t>STER_105672107 PF</t>
  </si>
  <si>
    <t>CONT_540H100</t>
  </si>
  <si>
    <t>TIMK_LM11910</t>
  </si>
  <si>
    <t>TIMK_LM11949</t>
  </si>
  <si>
    <t>PNEU_554SS500K000030</t>
  </si>
  <si>
    <t>CONT_1RDORTAC300RL</t>
  </si>
  <si>
    <t>0102011001</t>
  </si>
  <si>
    <t>LB_FCU335</t>
  </si>
  <si>
    <t>NXN_845171</t>
  </si>
  <si>
    <t>1001020102</t>
  </si>
  <si>
    <t>CONT_320J6</t>
  </si>
  <si>
    <t>CONT_2590 14M55HAWK</t>
  </si>
  <si>
    <t>LOVJ_L100X7/8HUB3/16</t>
  </si>
  <si>
    <t>08080101</t>
  </si>
  <si>
    <t>ORSN_175-3306</t>
  </si>
  <si>
    <t>BREW_P3B</t>
  </si>
  <si>
    <t>GRAC_188611</t>
  </si>
  <si>
    <t>CONT_A39</t>
  </si>
  <si>
    <t>SLMS_MP-35T CXU</t>
  </si>
  <si>
    <t>PARK_PS801P</t>
  </si>
  <si>
    <t>CR_30087</t>
  </si>
  <si>
    <t>CONT_FD 330-22 CI 3/4 NPT (OS)</t>
  </si>
  <si>
    <t>3M_00051128991268</t>
  </si>
  <si>
    <t>CONT_4L290</t>
  </si>
  <si>
    <t>CONT_A73</t>
  </si>
  <si>
    <t>CONT_AX78</t>
  </si>
  <si>
    <t>140505</t>
  </si>
  <si>
    <t>DEUB_1102-070-029</t>
  </si>
  <si>
    <t>CONT_AX55</t>
  </si>
  <si>
    <t>SKF_6007 2RSNRJEM</t>
  </si>
  <si>
    <t>MART_P5214M170-F</t>
  </si>
  <si>
    <t>CR_30X62X7HMSA10RG</t>
  </si>
  <si>
    <t>SKF_22209 E</t>
  </si>
  <si>
    <t>GRAC_189302</t>
  </si>
  <si>
    <t>0102030402</t>
  </si>
  <si>
    <t>LN_KM8</t>
  </si>
  <si>
    <t>CONT_5VX1700</t>
  </si>
  <si>
    <t>0101010512</t>
  </si>
  <si>
    <t>SKF_51210</t>
  </si>
  <si>
    <t>MAGL_M370U9</t>
  </si>
  <si>
    <t>REX_5R CVR-ELE ASY NY</t>
  </si>
  <si>
    <t>SKF_BS2-2209-2RS/VT143</t>
  </si>
  <si>
    <t>130303</t>
  </si>
  <si>
    <t>MRUP_APPVION-16-10-107</t>
  </si>
  <si>
    <t>#180L</t>
  </si>
  <si>
    <t>12021104</t>
  </si>
  <si>
    <t>VACC_#180L</t>
  </si>
  <si>
    <t>SPRA_W11127010</t>
  </si>
  <si>
    <t>10040108</t>
  </si>
  <si>
    <t>UST_80 REV A-1 CONN LINK CP TYPE</t>
  </si>
  <si>
    <t>MISC_5016-C 1/2" GALV WIDE CROWN</t>
  </si>
  <si>
    <t>CONT_5VX1120</t>
  </si>
  <si>
    <t>SKF_7210 BECBY</t>
  </si>
  <si>
    <t>LOVJ_L100X1HUB1/4</t>
  </si>
  <si>
    <t>MILC_4H000019646/PISTON&amp;ROD ASSY.</t>
  </si>
  <si>
    <t>PARK_K065903553</t>
  </si>
  <si>
    <t>1001020205</t>
  </si>
  <si>
    <t>CONT_8GTR-3200-12</t>
  </si>
  <si>
    <t>BREW_P3F</t>
  </si>
  <si>
    <t>03040007</t>
  </si>
  <si>
    <t>MSEA_71206</t>
  </si>
  <si>
    <t>1001010204</t>
  </si>
  <si>
    <t>CONT_3/3VX630</t>
  </si>
  <si>
    <t>CONT_BX90</t>
  </si>
  <si>
    <t>04020203</t>
  </si>
  <si>
    <t>CHEM_DR448-54594</t>
  </si>
  <si>
    <t>12020704</t>
  </si>
  <si>
    <t>WIKA_50069624</t>
  </si>
  <si>
    <t>CONS_KB-12N</t>
  </si>
  <si>
    <t>PBP_42360</t>
  </si>
  <si>
    <t>MSP_410718</t>
  </si>
  <si>
    <t>10040102</t>
  </si>
  <si>
    <t>UST_C2080H K2CONN LK C</t>
  </si>
  <si>
    <t>GROV_GR-B842-30-D</t>
  </si>
  <si>
    <t>PA PRICE</t>
  </si>
  <si>
    <t>PA EXT</t>
  </si>
  <si>
    <t>DIFF $</t>
  </si>
  <si>
    <t>DIFF %</t>
  </si>
  <si>
    <t>SAVINGS CATEGORY</t>
  </si>
  <si>
    <t>AIT NOTES</t>
  </si>
  <si>
    <t>CSPL</t>
  </si>
  <si>
    <t>CODE</t>
  </si>
  <si>
    <t>APPVION PRICE</t>
  </si>
  <si>
    <t>CATEGORY</t>
  </si>
  <si>
    <t>TOTAL</t>
  </si>
  <si>
    <t>APPVION EXT</t>
  </si>
  <si>
    <t>SKU COUNT</t>
  </si>
  <si>
    <t>YES</t>
  </si>
  <si>
    <t>NO</t>
  </si>
  <si>
    <t>OBSOLETE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</si>
</sst>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\/d\/yy"/>
    <numFmt numFmtId="165" formatCode="\$#,##0.00;[Red]&quot;$-&quot;#,##0.00"/>
    <numFmt numFmtId="167" formatCode="&quot;$&quot;#,##0.00"/>
  </numFmts>
  <fonts count="9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165" fontId="1" fillId="4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4" fillId="0" borderId="5" xfId="0" applyFont="1" applyBorder="1"/>
    <xf numFmtId="49" fontId="4" fillId="0" borderId="6" xfId="0" applyNumberFormat="1" applyFont="1" applyBorder="1"/>
    <xf numFmtId="0" fontId="4" fillId="0" borderId="6" xfId="0" applyFont="1" applyBorder="1"/>
    <xf numFmtId="0" fontId="4" fillId="0" borderId="7" xfId="0" applyFont="1" applyBorder="1"/>
    <xf numFmtId="49" fontId="4" fillId="0" borderId="8" xfId="0" applyNumberFormat="1" applyFont="1" applyBorder="1"/>
    <xf numFmtId="0" fontId="4" fillId="0" borderId="8" xfId="0" applyFont="1" applyBorder="1"/>
    <xf numFmtId="167" fontId="5" fillId="7" borderId="6" xfId="0" applyNumberFormat="1" applyFont="1" applyFill="1" applyBorder="1" applyAlignment="1">
      <alignment horizontal="left" vertical="top"/>
    </xf>
    <xf numFmtId="167" fontId="6" fillId="0" borderId="6" xfId="0" applyNumberFormat="1" applyFont="1" applyFill="1" applyBorder="1" applyAlignment="1">
      <alignment vertical="center" wrapText="1"/>
    </xf>
    <xf numFmtId="10" fontId="6" fillId="0" borderId="6" xfId="0" applyNumberFormat="1" applyFont="1" applyFill="1" applyBorder="1" applyAlignment="1">
      <alignment vertical="center" wrapText="1"/>
    </xf>
    <xf numFmtId="49" fontId="6" fillId="0" borderId="6" xfId="0" applyNumberFormat="1" applyFont="1" applyFill="1" applyBorder="1" applyAlignment="1">
      <alignment vertical="center" wrapText="1"/>
    </xf>
    <xf numFmtId="167" fontId="0" fillId="0" borderId="6" xfId="0" applyNumberFormat="1" applyBorder="1"/>
    <xf numFmtId="10" fontId="0" fillId="0" borderId="6" xfId="0" applyNumberFormat="1" applyBorder="1"/>
    <xf numFmtId="0" fontId="7" fillId="0" borderId="6" xfId="0" applyFont="1" applyBorder="1"/>
    <xf numFmtId="167" fontId="6" fillId="8" borderId="6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/>
    </xf>
    <xf numFmtId="167" fontId="0" fillId="0" borderId="9" xfId="0" applyNumberFormat="1" applyBorder="1"/>
    <xf numFmtId="167" fontId="0" fillId="0" borderId="10" xfId="0" applyNumberFormat="1" applyBorder="1"/>
    <xf numFmtId="0" fontId="0" fillId="0" borderId="6" xfId="0" applyBorder="1"/>
    <xf numFmtId="49" fontId="2" fillId="3" borderId="6" xfId="0" applyNumberFormat="1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left"/>
    </xf>
    <xf numFmtId="10" fontId="0" fillId="0" borderId="0" xfId="0" applyNumberFormat="1"/>
    <xf numFmtId="0" fontId="8" fillId="0" borderId="6" xfId="0" applyFont="1" applyBorder="1"/>
    <xf numFmtId="49" fontId="1" fillId="0" borderId="6" xfId="0" applyNumberFormat="1" applyFont="1" applyFill="1" applyBorder="1" applyAlignment="1">
      <alignment horizontal="left"/>
    </xf>
    <xf numFmtId="0" fontId="0" fillId="0" borderId="6" xfId="0" applyFill="1" applyBorder="1"/>
    <xf numFmtId="167" fontId="0" fillId="0" borderId="6" xfId="0" applyNumberFormat="1" applyFill="1" applyBorder="1"/>
    <xf numFmtId="10" fontId="0" fillId="0" borderId="6" xfId="0" applyNumberFormat="1" applyFill="1" applyBorder="1"/>
    <xf numFmtId="49" fontId="4" fillId="6" borderId="6" xfId="0" applyNumberFormat="1" applyFont="1" applyFill="1" applyBorder="1"/>
    <xf numFmtId="167" fontId="0" fillId="0" borderId="0" xfId="0" applyNumberFormat="1"/>
    <xf numFmtId="167" fontId="1" fillId="2" borderId="6" xfId="0" applyNumberFormat="1" applyFont="1" applyFill="1" applyBorder="1" applyAlignment="1">
      <alignment horizontal="left"/>
    </xf>
    <xf numFmtId="49" fontId="4" fillId="0" borderId="6" xfId="0" applyNumberFormat="1" applyFont="1" applyFill="1" applyBorder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2" sqref="A2"/>
    </sheetView>
  </sheetViews>
  <sheetFormatPr defaultRowHeight="12.75" x14ac:dyDescent="0.2"/>
  <cols>
    <col min="1" max="1" width="34.5703125" customWidth="1"/>
    <col min="3" max="4" width="11.28515625" bestFit="1" customWidth="1"/>
    <col min="5" max="5" width="11.7109375" bestFit="1" customWidth="1"/>
    <col min="6" max="6" width="7.85546875" style="35" bestFit="1" customWidth="1"/>
  </cols>
  <sheetData>
    <row r="1" spans="1:6" x14ac:dyDescent="0.2">
      <c r="A1" s="46">
        <v>44631</v>
      </c>
    </row>
    <row r="2" spans="1:6" ht="54" customHeight="1" x14ac:dyDescent="0.2">
      <c r="A2" s="33" t="s">
        <v>3295</v>
      </c>
      <c r="B2" s="22" t="s">
        <v>3298</v>
      </c>
      <c r="C2" s="22" t="s">
        <v>3297</v>
      </c>
      <c r="D2" s="22" t="s">
        <v>3287</v>
      </c>
      <c r="E2" s="22" t="s">
        <v>3288</v>
      </c>
      <c r="F2" s="23" t="s">
        <v>3289</v>
      </c>
    </row>
    <row r="3" spans="1:6" x14ac:dyDescent="0.2">
      <c r="A3" s="37" t="s">
        <v>61</v>
      </c>
      <c r="B3" s="38">
        <f>COUNTIF('Transaction Details'!R:R,SUMMARY!A3)</f>
        <v>225</v>
      </c>
      <c r="C3" s="39">
        <f>SUMPRODUCT( --($A3='Transaction Details'!$R:$R),'Transaction Details'!AD:AD)</f>
        <v>57312.499999999993</v>
      </c>
      <c r="D3" s="39">
        <f>SUMPRODUCT( --($A3='Transaction Details'!$R:$R),'Transaction Details'!AE:AE)</f>
        <v>54302.900000000009</v>
      </c>
      <c r="E3" s="39">
        <f>SUMPRODUCT( --($A3='Transaction Details'!$R:$R),'Transaction Details'!AF:AF)</f>
        <v>3009.6</v>
      </c>
      <c r="F3" s="40">
        <f>E3/C3</f>
        <v>5.2512104689203934E-2</v>
      </c>
    </row>
    <row r="4" spans="1:6" x14ac:dyDescent="0.2">
      <c r="A4" s="37" t="s">
        <v>76</v>
      </c>
      <c r="B4" s="38">
        <f>COUNTIF('Transaction Details'!R:R,SUMMARY!A4)</f>
        <v>97</v>
      </c>
      <c r="C4" s="39">
        <f>SUMPRODUCT( --($A4='Transaction Details'!$R:$R),'Transaction Details'!AD:AD)</f>
        <v>184354.08000000002</v>
      </c>
      <c r="D4" s="39">
        <f>SUMPRODUCT( --($A4='Transaction Details'!$R:$R),'Transaction Details'!AE:AE)</f>
        <v>184324.53</v>
      </c>
      <c r="E4" s="39">
        <f>SUMPRODUCT( --($A4='Transaction Details'!$R:$R),'Transaction Details'!AF:AF)</f>
        <v>29.550000000000594</v>
      </c>
      <c r="F4" s="40">
        <f t="shared" ref="F4:F17" si="0">E4/C4</f>
        <v>1.6028937357936743E-4</v>
      </c>
    </row>
    <row r="5" spans="1:6" x14ac:dyDescent="0.2">
      <c r="A5" s="37" t="s">
        <v>51</v>
      </c>
      <c r="B5" s="38">
        <f>COUNTIF('Transaction Details'!R:R,SUMMARY!A5)</f>
        <v>25</v>
      </c>
      <c r="C5" s="39">
        <f>SUMPRODUCT( --($A5='Transaction Details'!$R:$R),'Transaction Details'!AD:AD)</f>
        <v>21250.359999999997</v>
      </c>
      <c r="D5" s="39">
        <f>SUMPRODUCT( --($A5='Transaction Details'!$R:$R),'Transaction Details'!AE:AE)</f>
        <v>19623</v>
      </c>
      <c r="E5" s="39">
        <f>SUMPRODUCT( --($A5='Transaction Details'!$R:$R),'Transaction Details'!AF:AF)</f>
        <v>1627.3599999999997</v>
      </c>
      <c r="F5" s="40">
        <f t="shared" si="0"/>
        <v>7.6580349697605118E-2</v>
      </c>
    </row>
    <row r="6" spans="1:6" x14ac:dyDescent="0.2">
      <c r="A6" s="37" t="s">
        <v>38</v>
      </c>
      <c r="B6" s="38">
        <f>COUNTIF('Transaction Details'!R:R,SUMMARY!A6)</f>
        <v>201</v>
      </c>
      <c r="C6" s="39">
        <f>SUMPRODUCT( --($A6='Transaction Details'!$R:$R),'Transaction Details'!AD:AD)</f>
        <v>108966.27</v>
      </c>
      <c r="D6" s="39">
        <f>SUMPRODUCT( --($A6='Transaction Details'!$R:$R),'Transaction Details'!AE:AE)</f>
        <v>105794.88000000002</v>
      </c>
      <c r="E6" s="39">
        <f>SUMPRODUCT( --($A6='Transaction Details'!$R:$R),'Transaction Details'!AF:AF)</f>
        <v>3171.3900000000003</v>
      </c>
      <c r="F6" s="40">
        <f t="shared" si="0"/>
        <v>2.9104327421687465E-2</v>
      </c>
    </row>
    <row r="7" spans="1:6" x14ac:dyDescent="0.2">
      <c r="A7" s="37" t="s">
        <v>73</v>
      </c>
      <c r="B7" s="38">
        <f>COUNTIF('Transaction Details'!R:R,SUMMARY!A7)</f>
        <v>142</v>
      </c>
      <c r="C7" s="39">
        <f>SUMPRODUCT( --($A7='Transaction Details'!$R:$R),'Transaction Details'!AD:AD)</f>
        <v>422545.62000000029</v>
      </c>
      <c r="D7" s="39">
        <f>SUMPRODUCT( --($A7='Transaction Details'!$R:$R),'Transaction Details'!AE:AE)</f>
        <v>406081.63000000006</v>
      </c>
      <c r="E7" s="39">
        <f>SUMPRODUCT( --($A7='Transaction Details'!$R:$R),'Transaction Details'!AF:AF)</f>
        <v>16463.989999999998</v>
      </c>
      <c r="F7" s="40">
        <f t="shared" si="0"/>
        <v>3.8963816498677674E-2</v>
      </c>
    </row>
    <row r="8" spans="1:6" x14ac:dyDescent="0.2">
      <c r="A8" s="37" t="s">
        <v>116</v>
      </c>
      <c r="B8" s="38">
        <f>COUNTIF('Transaction Details'!R:R,SUMMARY!A8)</f>
        <v>26</v>
      </c>
      <c r="C8" s="39">
        <f>SUMPRODUCT( --($A8='Transaction Details'!$R:$R),'Transaction Details'!AD:AD)</f>
        <v>10754.439999999999</v>
      </c>
      <c r="D8" s="39">
        <f>SUMPRODUCT( --($A8='Transaction Details'!$R:$R),'Transaction Details'!AE:AE)</f>
        <v>10269.040000000003</v>
      </c>
      <c r="E8" s="39">
        <f>SUMPRODUCT( --($A8='Transaction Details'!$R:$R),'Transaction Details'!AF:AF)</f>
        <v>485.39999999999992</v>
      </c>
      <c r="F8" s="40">
        <f t="shared" si="0"/>
        <v>4.5134846630786908E-2</v>
      </c>
    </row>
    <row r="9" spans="1:6" s="45" customFormat="1" x14ac:dyDescent="0.2">
      <c r="A9" s="37" t="s">
        <v>105</v>
      </c>
      <c r="B9" s="38">
        <f>COUNTIF('Transaction Details'!R:R,SUMMARY!A9)</f>
        <v>54</v>
      </c>
      <c r="C9" s="39">
        <f>SUMPRODUCT( --($A9='Transaction Details'!$R:$R),'Transaction Details'!AD:AD)</f>
        <v>12257.899999999994</v>
      </c>
      <c r="D9" s="39">
        <f>SUMPRODUCT( --($A9='Transaction Details'!$R:$R),'Transaction Details'!AE:AE)</f>
        <v>12705.249999999998</v>
      </c>
      <c r="E9" s="39">
        <f>SUMPRODUCT( --($A9='Transaction Details'!$R:$R),'Transaction Details'!AF:AF)</f>
        <v>-447.34999999999923</v>
      </c>
      <c r="F9" s="40">
        <f t="shared" si="0"/>
        <v>-3.6494831904322879E-2</v>
      </c>
    </row>
    <row r="10" spans="1:6" s="45" customFormat="1" x14ac:dyDescent="0.2">
      <c r="A10" s="37" t="s">
        <v>448</v>
      </c>
      <c r="B10" s="38">
        <f>COUNTIF('Transaction Details'!R:R,SUMMARY!A10)</f>
        <v>6</v>
      </c>
      <c r="C10" s="39">
        <f>SUMPRODUCT( --($A10='Transaction Details'!$R:$R),'Transaction Details'!AD:AD)</f>
        <v>2442.65</v>
      </c>
      <c r="D10" s="39">
        <f>SUMPRODUCT( --($A10='Transaction Details'!$R:$R),'Transaction Details'!AE:AE)</f>
        <v>2561.23</v>
      </c>
      <c r="E10" s="39">
        <f>SUMPRODUCT( --($A10='Transaction Details'!$R:$R),'Transaction Details'!AF:AF)</f>
        <v>-118.58000000000001</v>
      </c>
      <c r="F10" s="40">
        <f t="shared" si="0"/>
        <v>-4.8545636910732201E-2</v>
      </c>
    </row>
    <row r="11" spans="1:6" s="45" customFormat="1" x14ac:dyDescent="0.2">
      <c r="A11" s="37" t="s">
        <v>299</v>
      </c>
      <c r="B11" s="38">
        <f>COUNTIF('Transaction Details'!R:R,SUMMARY!A11)</f>
        <v>45</v>
      </c>
      <c r="C11" s="39">
        <f>SUMPRODUCT( --($A11='Transaction Details'!$R:$R),'Transaction Details'!AD:AD)</f>
        <v>4078.7100000000009</v>
      </c>
      <c r="D11" s="39">
        <f>SUMPRODUCT( --($A11='Transaction Details'!$R:$R),'Transaction Details'!AE:AE)</f>
        <v>3929.7399999999993</v>
      </c>
      <c r="E11" s="39">
        <f>SUMPRODUCT( --($A11='Transaction Details'!$R:$R),'Transaction Details'!AF:AF)</f>
        <v>148.97000000000006</v>
      </c>
      <c r="F11" s="40">
        <f t="shared" si="0"/>
        <v>3.6523802869044386E-2</v>
      </c>
    </row>
    <row r="12" spans="1:6" s="45" customFormat="1" x14ac:dyDescent="0.2">
      <c r="A12" s="37" t="s">
        <v>199</v>
      </c>
      <c r="B12" s="38">
        <f>COUNTIF('Transaction Details'!R:R,SUMMARY!A12)</f>
        <v>19</v>
      </c>
      <c r="C12" s="39">
        <f>SUMPRODUCT( --($A12='Transaction Details'!$R:$R),'Transaction Details'!AD:AD)</f>
        <v>13621.379999999997</v>
      </c>
      <c r="D12" s="39">
        <f>SUMPRODUCT( --($A12='Transaction Details'!$R:$R),'Transaction Details'!AE:AE)</f>
        <v>12513.900000000001</v>
      </c>
      <c r="E12" s="39">
        <f>SUMPRODUCT( --($A12='Transaction Details'!$R:$R),'Transaction Details'!AF:AF)</f>
        <v>1107.4800000000012</v>
      </c>
      <c r="F12" s="40">
        <f t="shared" si="0"/>
        <v>8.130453742572348E-2</v>
      </c>
    </row>
    <row r="13" spans="1:6" s="45" customFormat="1" x14ac:dyDescent="0.2">
      <c r="A13" s="37" t="s">
        <v>56</v>
      </c>
      <c r="B13" s="38">
        <f>COUNTIF('Transaction Details'!R:R,SUMMARY!A13)</f>
        <v>223</v>
      </c>
      <c r="C13" s="39">
        <f>SUMPRODUCT( --($A13='Transaction Details'!$R:$R),'Transaction Details'!AD:AD)</f>
        <v>84848.880000000034</v>
      </c>
      <c r="D13" s="39">
        <f>SUMPRODUCT( --($A13='Transaction Details'!$R:$R),'Transaction Details'!AE:AE)</f>
        <v>82111.199999999997</v>
      </c>
      <c r="E13" s="39">
        <f>SUMPRODUCT( --($A13='Transaction Details'!$R:$R),'Transaction Details'!AF:AF)</f>
        <v>2737.6800000000007</v>
      </c>
      <c r="F13" s="40">
        <f t="shared" si="0"/>
        <v>3.2265364021304699E-2</v>
      </c>
    </row>
    <row r="14" spans="1:6" s="45" customFormat="1" x14ac:dyDescent="0.2">
      <c r="A14" s="37" t="s">
        <v>84</v>
      </c>
      <c r="B14" s="38">
        <f>COUNTIF('Transaction Details'!R:R,SUMMARY!A14)</f>
        <v>44</v>
      </c>
      <c r="C14" s="39">
        <f>SUMPRODUCT( --($A14='Transaction Details'!$R:$R),'Transaction Details'!AD:AD)</f>
        <v>6747.9299999999967</v>
      </c>
      <c r="D14" s="39">
        <f>SUMPRODUCT( --($A14='Transaction Details'!$R:$R),'Transaction Details'!AE:AE)</f>
        <v>6860.4999999999982</v>
      </c>
      <c r="E14" s="39">
        <f>SUMPRODUCT( --($A14='Transaction Details'!$R:$R),'Transaction Details'!AF:AF)</f>
        <v>-112.56999999999987</v>
      </c>
      <c r="F14" s="40">
        <f t="shared" si="0"/>
        <v>-1.6682152897258853E-2</v>
      </c>
    </row>
    <row r="15" spans="1:6" s="45" customFormat="1" x14ac:dyDescent="0.2">
      <c r="A15" s="37" t="s">
        <v>45</v>
      </c>
      <c r="B15" s="38">
        <f>COUNTIF('Transaction Details'!R:R,SUMMARY!A15)</f>
        <v>95</v>
      </c>
      <c r="C15" s="39">
        <f>SUMPRODUCT( --($A15='Transaction Details'!$R:$R),'Transaction Details'!AD:AD)</f>
        <v>9154.2799999999988</v>
      </c>
      <c r="D15" s="39">
        <f>SUMPRODUCT( --($A15='Transaction Details'!$R:$R),'Transaction Details'!AE:AE)</f>
        <v>8137.74</v>
      </c>
      <c r="E15" s="39">
        <f>SUMPRODUCT( --($A15='Transaction Details'!$R:$R),'Transaction Details'!AF:AF)</f>
        <v>1016.5399999999996</v>
      </c>
      <c r="F15" s="40">
        <f t="shared" si="0"/>
        <v>0.11104532524676979</v>
      </c>
    </row>
    <row r="16" spans="1:6" s="45" customFormat="1" x14ac:dyDescent="0.2">
      <c r="A16" s="37" t="s">
        <v>216</v>
      </c>
      <c r="B16" s="38">
        <f>COUNTIF('Transaction Details'!R:R,SUMMARY!A16)</f>
        <v>28</v>
      </c>
      <c r="C16" s="39">
        <f>SUMPRODUCT( --($A16='Transaction Details'!$R:$R),'Transaction Details'!AD:AD)</f>
        <v>5884.43</v>
      </c>
      <c r="D16" s="39">
        <f>SUMPRODUCT( --($A16='Transaction Details'!$R:$R),'Transaction Details'!AE:AE)</f>
        <v>5900.59</v>
      </c>
      <c r="E16" s="39">
        <f>SUMPRODUCT( --($A16='Transaction Details'!$R:$R),'Transaction Details'!AF:AF)</f>
        <v>-16.159999999999954</v>
      </c>
      <c r="F16" s="40">
        <f t="shared" si="0"/>
        <v>-2.7462303060789154E-3</v>
      </c>
    </row>
    <row r="17" spans="1:6" x14ac:dyDescent="0.2">
      <c r="A17" s="34" t="s">
        <v>3296</v>
      </c>
      <c r="B17" s="32">
        <f>SUM(B3:B16)</f>
        <v>1230</v>
      </c>
      <c r="C17" s="25">
        <f t="shared" ref="C17:E17" si="1">SUM(C3:C16)</f>
        <v>944219.4300000004</v>
      </c>
      <c r="D17" s="25">
        <f t="shared" si="1"/>
        <v>915116.13</v>
      </c>
      <c r="E17" s="25">
        <f t="shared" si="1"/>
        <v>29103.300000000003</v>
      </c>
      <c r="F17" s="26">
        <f t="shared" si="0"/>
        <v>3.0822602326664672E-2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2"/>
  <sheetViews>
    <sheetView zoomScaleNormal="100" workbookViewId="0">
      <pane ySplit="2" topLeftCell="A3" activePane="bottomLeft" state="frozen"/>
      <selection activeCell="W1" sqref="W1"/>
      <selection pane="bottomLeft" activeCell="Q6" sqref="Q6"/>
    </sheetView>
  </sheetViews>
  <sheetFormatPr defaultColWidth="13.140625" defaultRowHeight="12.75" x14ac:dyDescent="0.2"/>
  <cols>
    <col min="28" max="28" width="13.140625" style="42"/>
  </cols>
  <sheetData>
    <row r="1" spans="1:37" ht="13.5" thickBot="1" x14ac:dyDescent="0.25"/>
    <row r="2" spans="1:37" s="1" customFormat="1" ht="55.9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3" t="s">
        <v>13</v>
      </c>
      <c r="O2" s="2" t="s">
        <v>14</v>
      </c>
      <c r="P2" s="2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13" t="s">
        <v>2490</v>
      </c>
      <c r="V2" s="14" t="s">
        <v>2491</v>
      </c>
      <c r="W2" s="14" t="s">
        <v>2492</v>
      </c>
      <c r="X2" s="14" t="s">
        <v>2493</v>
      </c>
      <c r="Y2" s="14" t="s">
        <v>2494</v>
      </c>
      <c r="Z2" s="14" t="s">
        <v>2495</v>
      </c>
      <c r="AA2" s="14" t="s">
        <v>2496</v>
      </c>
      <c r="AB2" s="21" t="s">
        <v>3286</v>
      </c>
      <c r="AC2" s="28" t="s">
        <v>3294</v>
      </c>
      <c r="AD2" s="22" t="s">
        <v>3297</v>
      </c>
      <c r="AE2" s="22" t="s">
        <v>3287</v>
      </c>
      <c r="AF2" s="22" t="s">
        <v>3288</v>
      </c>
      <c r="AG2" s="23" t="s">
        <v>3289</v>
      </c>
      <c r="AH2" s="24" t="s">
        <v>3290</v>
      </c>
      <c r="AI2" s="24" t="s">
        <v>3291</v>
      </c>
      <c r="AJ2" s="24" t="s">
        <v>3292</v>
      </c>
      <c r="AK2" s="24" t="s">
        <v>3293</v>
      </c>
    </row>
    <row r="3" spans="1:37" s="1" customFormat="1" ht="19.7" customHeight="1" x14ac:dyDescent="0.25">
      <c r="A3" s="9" t="s">
        <v>22</v>
      </c>
      <c r="B3" s="9" t="s">
        <v>2265</v>
      </c>
      <c r="C3" s="10">
        <v>44558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1464</v>
      </c>
      <c r="N3" s="9" t="s">
        <v>2266</v>
      </c>
      <c r="O3" s="9" t="s">
        <v>575</v>
      </c>
      <c r="P3" s="9" t="s">
        <v>1465</v>
      </c>
      <c r="Q3" s="9">
        <v>100332444</v>
      </c>
      <c r="R3" s="9" t="s">
        <v>38</v>
      </c>
      <c r="S3" s="9" t="s">
        <v>39</v>
      </c>
      <c r="T3" s="11">
        <v>4</v>
      </c>
      <c r="U3" s="15" t="s">
        <v>575</v>
      </c>
      <c r="V3" s="16" t="s">
        <v>1465</v>
      </c>
      <c r="W3" s="17">
        <v>100332444</v>
      </c>
      <c r="X3" s="16" t="s">
        <v>2763</v>
      </c>
      <c r="Y3" s="17" t="s">
        <v>3049</v>
      </c>
      <c r="Z3" s="17" t="s">
        <v>39</v>
      </c>
      <c r="AA3" s="17" t="s">
        <v>37</v>
      </c>
      <c r="AB3" s="29">
        <v>2.8</v>
      </c>
      <c r="AC3" s="25">
        <v>3.08</v>
      </c>
      <c r="AD3" s="25">
        <f>AC3*T3</f>
        <v>12.32</v>
      </c>
      <c r="AE3" s="25">
        <f>AB3*T3</f>
        <v>11.2</v>
      </c>
      <c r="AF3" s="25">
        <f>AD3-AE3</f>
        <v>1.120000000000001</v>
      </c>
      <c r="AG3" s="26">
        <f>AF3/AD3</f>
        <v>9.0909090909090981E-2</v>
      </c>
      <c r="AH3" s="27" t="str">
        <f>IF(AG3&lt;0,"Negative",IF(AG3=0,"Same",IF(AG3&gt;0.3,"30+%",IF(AG3&gt;0.2,"20-30%",IF(AG3&gt;0.1,"10-20%",IF(AG3&lt;=0.1,"0-10%"))))))</f>
        <v>0-10%</v>
      </c>
      <c r="AI3" s="32"/>
      <c r="AJ3" s="36" t="s">
        <v>3300</v>
      </c>
      <c r="AK3" s="32"/>
    </row>
    <row r="4" spans="1:37" s="1" customFormat="1" ht="19.7" customHeight="1" x14ac:dyDescent="0.25">
      <c r="A4" s="9" t="s">
        <v>22</v>
      </c>
      <c r="B4" s="9" t="s">
        <v>2164</v>
      </c>
      <c r="C4" s="10">
        <v>44530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1464</v>
      </c>
      <c r="N4" s="9" t="s">
        <v>2165</v>
      </c>
      <c r="O4" s="9" t="s">
        <v>575</v>
      </c>
      <c r="P4" s="9" t="s">
        <v>1465</v>
      </c>
      <c r="Q4" s="9">
        <v>100332444</v>
      </c>
      <c r="R4" s="9" t="s">
        <v>38</v>
      </c>
      <c r="S4" s="9" t="s">
        <v>39</v>
      </c>
      <c r="T4" s="11">
        <v>4</v>
      </c>
      <c r="U4" s="15" t="s">
        <v>575</v>
      </c>
      <c r="V4" s="16" t="s">
        <v>1465</v>
      </c>
      <c r="W4" s="17">
        <v>100332444</v>
      </c>
      <c r="X4" s="16" t="s">
        <v>2763</v>
      </c>
      <c r="Y4" s="17" t="s">
        <v>3049</v>
      </c>
      <c r="Z4" s="17" t="s">
        <v>39</v>
      </c>
      <c r="AA4" s="17" t="s">
        <v>37</v>
      </c>
      <c r="AB4" s="29">
        <v>2.8</v>
      </c>
      <c r="AC4" s="25">
        <v>3.08</v>
      </c>
      <c r="AD4" s="25">
        <f>AC4*T4</f>
        <v>12.32</v>
      </c>
      <c r="AE4" s="25">
        <f>AB4*T4</f>
        <v>11.2</v>
      </c>
      <c r="AF4" s="25">
        <f>AD4-AE4</f>
        <v>1.120000000000001</v>
      </c>
      <c r="AG4" s="26">
        <f>AF4/AD4</f>
        <v>9.0909090909090981E-2</v>
      </c>
      <c r="AH4" s="27" t="str">
        <f>IF(AG4&lt;0,"Negative",IF(AG4=0,"Same",IF(AG4&gt;0.3,"30+%",IF(AG4&gt;0.2,"20-30%",IF(AG4&gt;0.1,"10-20%",IF(AG4&lt;=0.1,"0-10%"))))))</f>
        <v>0-10%</v>
      </c>
      <c r="AI4" s="32"/>
      <c r="AJ4" s="36" t="s">
        <v>3300</v>
      </c>
      <c r="AK4" s="32"/>
    </row>
    <row r="5" spans="1:37" s="1" customFormat="1" ht="19.7" customHeight="1" x14ac:dyDescent="0.25">
      <c r="A5" s="5" t="s">
        <v>22</v>
      </c>
      <c r="B5" s="5" t="s">
        <v>1463</v>
      </c>
      <c r="C5" s="6">
        <v>44400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 t="s">
        <v>1464</v>
      </c>
      <c r="N5" s="5" t="s">
        <v>1399</v>
      </c>
      <c r="O5" s="5" t="s">
        <v>575</v>
      </c>
      <c r="P5" s="5" t="s">
        <v>1465</v>
      </c>
      <c r="Q5" s="5">
        <v>100332444</v>
      </c>
      <c r="R5" s="5" t="s">
        <v>38</v>
      </c>
      <c r="S5" s="5" t="s">
        <v>39</v>
      </c>
      <c r="T5" s="7">
        <v>8</v>
      </c>
      <c r="U5" s="15" t="s">
        <v>575</v>
      </c>
      <c r="V5" s="16" t="s">
        <v>1465</v>
      </c>
      <c r="W5" s="17">
        <v>100332444</v>
      </c>
      <c r="X5" s="16" t="s">
        <v>2763</v>
      </c>
      <c r="Y5" s="17" t="s">
        <v>3049</v>
      </c>
      <c r="Z5" s="17" t="s">
        <v>39</v>
      </c>
      <c r="AA5" s="17" t="s">
        <v>37</v>
      </c>
      <c r="AB5" s="29">
        <v>2.8</v>
      </c>
      <c r="AC5" s="25">
        <v>3.08</v>
      </c>
      <c r="AD5" s="25">
        <f>AC5*T5</f>
        <v>24.64</v>
      </c>
      <c r="AE5" s="25">
        <f>AB5*T5</f>
        <v>22.4</v>
      </c>
      <c r="AF5" s="25">
        <f>AD5-AE5</f>
        <v>2.240000000000002</v>
      </c>
      <c r="AG5" s="26">
        <f>AF5/AD5</f>
        <v>9.0909090909090981E-2</v>
      </c>
      <c r="AH5" s="27" t="str">
        <f>IF(AG5&lt;0,"Negative",IF(AG5=0,"Same",IF(AG5&gt;0.3,"30+%",IF(AG5&gt;0.2,"20-30%",IF(AG5&gt;0.1,"10-20%",IF(AG5&lt;=0.1,"0-10%"))))))</f>
        <v>0-10%</v>
      </c>
      <c r="AI5" s="32"/>
      <c r="AJ5" s="36" t="s">
        <v>3300</v>
      </c>
      <c r="AK5" s="32"/>
    </row>
    <row r="6" spans="1:37" s="1" customFormat="1" ht="19.7" customHeight="1" x14ac:dyDescent="0.25">
      <c r="A6" s="5" t="s">
        <v>22</v>
      </c>
      <c r="B6" s="5" t="s">
        <v>249</v>
      </c>
      <c r="C6" s="6">
        <v>44245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250</v>
      </c>
      <c r="N6" s="5" t="s">
        <v>251</v>
      </c>
      <c r="O6" s="5" t="s">
        <v>103</v>
      </c>
      <c r="P6" s="5" t="s">
        <v>252</v>
      </c>
      <c r="Q6" s="5">
        <v>112198575</v>
      </c>
      <c r="R6" s="5" t="s">
        <v>105</v>
      </c>
      <c r="S6" s="5" t="s">
        <v>39</v>
      </c>
      <c r="T6" s="7">
        <v>24</v>
      </c>
      <c r="U6" s="15" t="s">
        <v>103</v>
      </c>
      <c r="V6" s="16" t="s">
        <v>252</v>
      </c>
      <c r="W6" s="17">
        <v>112198575</v>
      </c>
      <c r="X6" s="16" t="s">
        <v>2524</v>
      </c>
      <c r="Y6" s="17" t="s">
        <v>2595</v>
      </c>
      <c r="Z6" s="17" t="s">
        <v>39</v>
      </c>
      <c r="AA6" s="17" t="s">
        <v>2501</v>
      </c>
      <c r="AB6" s="29">
        <v>2.17</v>
      </c>
      <c r="AC6" s="25">
        <v>2.09</v>
      </c>
      <c r="AD6" s="25">
        <f>AC6*T6</f>
        <v>50.16</v>
      </c>
      <c r="AE6" s="25">
        <f>AB6*T6</f>
        <v>52.08</v>
      </c>
      <c r="AF6" s="25">
        <f>AD6-AE6</f>
        <v>-1.9200000000000017</v>
      </c>
      <c r="AG6" s="26">
        <f>AF6/AD6</f>
        <v>-3.8277511961722521E-2</v>
      </c>
      <c r="AH6" s="27" t="str">
        <f>IF(AG6&lt;0,"Negative",IF(AG6=0,"Same",IF(AG6&gt;0.3,"30+%",IF(AG6&gt;0.2,"20-30%",IF(AG6&gt;0.1,"10-20%",IF(AG6&lt;=0.1,"0-10%"))))))</f>
        <v>Negative</v>
      </c>
      <c r="AI6" s="32"/>
      <c r="AJ6" s="36" t="s">
        <v>3300</v>
      </c>
      <c r="AK6" s="32"/>
    </row>
    <row r="7" spans="1:37" s="1" customFormat="1" ht="19.7" customHeight="1" x14ac:dyDescent="0.25">
      <c r="A7" s="5" t="s">
        <v>22</v>
      </c>
      <c r="B7" s="5" t="s">
        <v>2297</v>
      </c>
      <c r="C7" s="6">
        <v>44565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5" t="s">
        <v>29</v>
      </c>
      <c r="J7" s="5" t="s">
        <v>30</v>
      </c>
      <c r="K7" s="5" t="s">
        <v>31</v>
      </c>
      <c r="L7" s="5" t="s">
        <v>32</v>
      </c>
      <c r="M7" s="5" t="s">
        <v>250</v>
      </c>
      <c r="N7" s="5" t="s">
        <v>2298</v>
      </c>
      <c r="O7" s="5" t="s">
        <v>103</v>
      </c>
      <c r="P7" s="5" t="s">
        <v>252</v>
      </c>
      <c r="Q7" s="5">
        <v>112198575</v>
      </c>
      <c r="R7" s="5" t="s">
        <v>105</v>
      </c>
      <c r="S7" s="5" t="s">
        <v>39</v>
      </c>
      <c r="T7" s="7">
        <v>24</v>
      </c>
      <c r="U7" s="15" t="s">
        <v>103</v>
      </c>
      <c r="V7" s="16" t="s">
        <v>252</v>
      </c>
      <c r="W7" s="17">
        <v>112198575</v>
      </c>
      <c r="X7" s="16" t="s">
        <v>2524</v>
      </c>
      <c r="Y7" s="17" t="s">
        <v>2595</v>
      </c>
      <c r="Z7" s="17" t="s">
        <v>39</v>
      </c>
      <c r="AA7" s="17" t="s">
        <v>2501</v>
      </c>
      <c r="AB7" s="29">
        <v>2.17</v>
      </c>
      <c r="AC7" s="25">
        <v>2.09</v>
      </c>
      <c r="AD7" s="25">
        <f>AC7*T7</f>
        <v>50.16</v>
      </c>
      <c r="AE7" s="25">
        <f>AB7*T7</f>
        <v>52.08</v>
      </c>
      <c r="AF7" s="25">
        <f>AD7-AE7</f>
        <v>-1.9200000000000017</v>
      </c>
      <c r="AG7" s="26">
        <f>AF7/AD7</f>
        <v>-3.8277511961722521E-2</v>
      </c>
      <c r="AH7" s="27" t="str">
        <f>IF(AG7&lt;0,"Negative",IF(AG7=0,"Same",IF(AG7&gt;0.3,"30+%",IF(AG7&gt;0.2,"20-30%",IF(AG7&gt;0.1,"10-20%",IF(AG7&lt;=0.1,"0-10%"))))))</f>
        <v>Negative</v>
      </c>
      <c r="AI7" s="32"/>
      <c r="AJ7" s="36" t="s">
        <v>3300</v>
      </c>
      <c r="AK7" s="32"/>
    </row>
    <row r="8" spans="1:37" s="1" customFormat="1" ht="19.7" customHeight="1" x14ac:dyDescent="0.25">
      <c r="A8" s="9" t="s">
        <v>22</v>
      </c>
      <c r="B8" s="9" t="s">
        <v>2442</v>
      </c>
      <c r="C8" s="10">
        <v>44588</v>
      </c>
      <c r="D8" s="9" t="s">
        <v>24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29</v>
      </c>
      <c r="J8" s="9" t="s">
        <v>30</v>
      </c>
      <c r="K8" s="9" t="s">
        <v>31</v>
      </c>
      <c r="L8" s="9" t="s">
        <v>32</v>
      </c>
      <c r="M8" s="9" t="s">
        <v>2085</v>
      </c>
      <c r="N8" s="9" t="s">
        <v>2443</v>
      </c>
      <c r="O8" s="9" t="s">
        <v>753</v>
      </c>
      <c r="P8" s="9" t="s">
        <v>2086</v>
      </c>
      <c r="Q8" s="9">
        <v>101737922</v>
      </c>
      <c r="R8" s="9" t="s">
        <v>61</v>
      </c>
      <c r="S8" s="9" t="s">
        <v>39</v>
      </c>
      <c r="T8" s="11">
        <v>2</v>
      </c>
      <c r="U8" s="15" t="s">
        <v>753</v>
      </c>
      <c r="V8" s="16" t="s">
        <v>2086</v>
      </c>
      <c r="W8" s="17">
        <v>101737922</v>
      </c>
      <c r="X8" s="16" t="s">
        <v>2803</v>
      </c>
      <c r="Y8" s="17" t="s">
        <v>3203</v>
      </c>
      <c r="Z8" s="17" t="s">
        <v>39</v>
      </c>
      <c r="AA8" s="17" t="s">
        <v>37</v>
      </c>
      <c r="AB8" s="29">
        <v>5.56</v>
      </c>
      <c r="AC8" s="25">
        <v>5.68</v>
      </c>
      <c r="AD8" s="25">
        <f>AC8*T8</f>
        <v>11.36</v>
      </c>
      <c r="AE8" s="25">
        <f>AB8*T8</f>
        <v>11.12</v>
      </c>
      <c r="AF8" s="25">
        <f>AD8-AE8</f>
        <v>0.24000000000000021</v>
      </c>
      <c r="AG8" s="26">
        <f>AF8/AD8</f>
        <v>2.1126760563380302E-2</v>
      </c>
      <c r="AH8" s="27" t="str">
        <f>IF(AG8&lt;0,"Negative",IF(AG8=0,"Same",IF(AG8&gt;0.3,"30+%",IF(AG8&gt;0.2,"20-30%",IF(AG8&gt;0.1,"10-20%",IF(AG8&lt;=0.1,"0-10%"))))))</f>
        <v>0-10%</v>
      </c>
      <c r="AI8" s="32"/>
      <c r="AJ8" s="36" t="s">
        <v>3300</v>
      </c>
      <c r="AK8" s="32"/>
    </row>
    <row r="9" spans="1:37" s="1" customFormat="1" ht="19.7" customHeight="1" x14ac:dyDescent="0.25">
      <c r="A9" s="5" t="s">
        <v>22</v>
      </c>
      <c r="B9" s="5" t="s">
        <v>2395</v>
      </c>
      <c r="C9" s="6">
        <v>44580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  <c r="K9" s="5" t="s">
        <v>31</v>
      </c>
      <c r="L9" s="5" t="s">
        <v>32</v>
      </c>
      <c r="M9" s="5" t="s">
        <v>2085</v>
      </c>
      <c r="N9" s="5" t="s">
        <v>2397</v>
      </c>
      <c r="O9" s="5" t="s">
        <v>753</v>
      </c>
      <c r="P9" s="5" t="s">
        <v>2086</v>
      </c>
      <c r="Q9" s="5">
        <v>101737922</v>
      </c>
      <c r="R9" s="5" t="s">
        <v>61</v>
      </c>
      <c r="S9" s="5" t="s">
        <v>39</v>
      </c>
      <c r="T9" s="7">
        <v>2</v>
      </c>
      <c r="U9" s="15" t="s">
        <v>753</v>
      </c>
      <c r="V9" s="16" t="s">
        <v>2086</v>
      </c>
      <c r="W9" s="17">
        <v>101737922</v>
      </c>
      <c r="X9" s="16" t="s">
        <v>2803</v>
      </c>
      <c r="Y9" s="17" t="s">
        <v>3203</v>
      </c>
      <c r="Z9" s="17" t="s">
        <v>39</v>
      </c>
      <c r="AA9" s="17" t="s">
        <v>37</v>
      </c>
      <c r="AB9" s="29">
        <v>5.56</v>
      </c>
      <c r="AC9" s="25">
        <v>5.68</v>
      </c>
      <c r="AD9" s="25">
        <f>AC9*T9</f>
        <v>11.36</v>
      </c>
      <c r="AE9" s="25">
        <f>AB9*T9</f>
        <v>11.12</v>
      </c>
      <c r="AF9" s="25">
        <f>AD9-AE9</f>
        <v>0.24000000000000021</v>
      </c>
      <c r="AG9" s="26">
        <f>AF9/AD9</f>
        <v>2.1126760563380302E-2</v>
      </c>
      <c r="AH9" s="27" t="str">
        <f>IF(AG9&lt;0,"Negative",IF(AG9=0,"Same",IF(AG9&gt;0.3,"30+%",IF(AG9&gt;0.2,"20-30%",IF(AG9&gt;0.1,"10-20%",IF(AG9&lt;=0.1,"0-10%"))))))</f>
        <v>0-10%</v>
      </c>
      <c r="AI9" s="32"/>
      <c r="AJ9" s="36" t="s">
        <v>3300</v>
      </c>
      <c r="AK9" s="32"/>
    </row>
    <row r="10" spans="1:37" s="1" customFormat="1" ht="19.7" customHeight="1" x14ac:dyDescent="0.25">
      <c r="A10" s="9" t="s">
        <v>22</v>
      </c>
      <c r="B10" s="9" t="s">
        <v>2084</v>
      </c>
      <c r="C10" s="10">
        <v>44517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30</v>
      </c>
      <c r="K10" s="9" t="s">
        <v>31</v>
      </c>
      <c r="L10" s="9" t="s">
        <v>32</v>
      </c>
      <c r="M10" s="9" t="s">
        <v>2085</v>
      </c>
      <c r="N10" s="9" t="s">
        <v>2075</v>
      </c>
      <c r="O10" s="9" t="s">
        <v>753</v>
      </c>
      <c r="P10" s="9" t="s">
        <v>2086</v>
      </c>
      <c r="Q10" s="9">
        <v>101737922</v>
      </c>
      <c r="R10" s="9" t="s">
        <v>61</v>
      </c>
      <c r="S10" s="9" t="s">
        <v>39</v>
      </c>
      <c r="T10" s="11">
        <v>2</v>
      </c>
      <c r="U10" s="15" t="s">
        <v>753</v>
      </c>
      <c r="V10" s="16" t="s">
        <v>2086</v>
      </c>
      <c r="W10" s="17">
        <v>101737922</v>
      </c>
      <c r="X10" s="16" t="s">
        <v>2803</v>
      </c>
      <c r="Y10" s="17" t="s">
        <v>3203</v>
      </c>
      <c r="Z10" s="17" t="s">
        <v>39</v>
      </c>
      <c r="AA10" s="17" t="s">
        <v>37</v>
      </c>
      <c r="AB10" s="29">
        <v>5.56</v>
      </c>
      <c r="AC10" s="25">
        <v>5.68</v>
      </c>
      <c r="AD10" s="25">
        <f>AC10*T10</f>
        <v>11.36</v>
      </c>
      <c r="AE10" s="25">
        <f>AB10*T10</f>
        <v>11.12</v>
      </c>
      <c r="AF10" s="25">
        <f>AD10-AE10</f>
        <v>0.24000000000000021</v>
      </c>
      <c r="AG10" s="26">
        <f>AF10/AD10</f>
        <v>2.1126760563380302E-2</v>
      </c>
      <c r="AH10" s="27" t="str">
        <f>IF(AG10&lt;0,"Negative",IF(AG10=0,"Same",IF(AG10&gt;0.3,"30+%",IF(AG10&gt;0.2,"20-30%",IF(AG10&gt;0.1,"10-20%",IF(AG10&lt;=0.1,"0-10%"))))))</f>
        <v>0-10%</v>
      </c>
      <c r="AI10" s="32"/>
      <c r="AJ10" s="36" t="s">
        <v>3300</v>
      </c>
      <c r="AK10" s="32"/>
    </row>
    <row r="11" spans="1:37" s="1" customFormat="1" ht="19.7" customHeight="1" x14ac:dyDescent="0.25">
      <c r="A11" s="9" t="s">
        <v>22</v>
      </c>
      <c r="B11" s="9" t="s">
        <v>2470</v>
      </c>
      <c r="C11" s="10">
        <v>44589</v>
      </c>
      <c r="D11" s="9" t="s">
        <v>24</v>
      </c>
      <c r="E11" s="9" t="s">
        <v>25</v>
      </c>
      <c r="F11" s="9" t="s">
        <v>26</v>
      </c>
      <c r="G11" s="9" t="s">
        <v>67</v>
      </c>
      <c r="H11" s="9" t="s">
        <v>68</v>
      </c>
      <c r="I11" s="9" t="s">
        <v>29</v>
      </c>
      <c r="J11" s="9" t="s">
        <v>30</v>
      </c>
      <c r="K11" s="9" t="s">
        <v>31</v>
      </c>
      <c r="L11" s="9" t="s">
        <v>32</v>
      </c>
      <c r="M11" s="9" t="s">
        <v>951</v>
      </c>
      <c r="N11" s="9" t="s">
        <v>2471</v>
      </c>
      <c r="O11" s="9" t="s">
        <v>932</v>
      </c>
      <c r="P11" s="9" t="s">
        <v>952</v>
      </c>
      <c r="Q11" s="9">
        <v>112227550</v>
      </c>
      <c r="R11" s="9" t="s">
        <v>73</v>
      </c>
      <c r="S11" s="9" t="s">
        <v>39</v>
      </c>
      <c r="T11" s="11">
        <v>6</v>
      </c>
      <c r="U11" s="15" t="s">
        <v>932</v>
      </c>
      <c r="V11" s="16" t="s">
        <v>952</v>
      </c>
      <c r="W11" s="17">
        <v>112227550</v>
      </c>
      <c r="X11" s="16" t="s">
        <v>2603</v>
      </c>
      <c r="Y11" s="17" t="s">
        <v>2873</v>
      </c>
      <c r="Z11" s="17" t="s">
        <v>39</v>
      </c>
      <c r="AA11" s="17" t="s">
        <v>2501</v>
      </c>
      <c r="AB11" s="29">
        <v>139.19999999999999</v>
      </c>
      <c r="AC11" s="25">
        <v>133.84</v>
      </c>
      <c r="AD11" s="25">
        <f>AC11*T11</f>
        <v>803.04</v>
      </c>
      <c r="AE11" s="25">
        <f>AB11*T11</f>
        <v>835.19999999999993</v>
      </c>
      <c r="AF11" s="25">
        <f>AD11-AE11</f>
        <v>-32.159999999999968</v>
      </c>
      <c r="AG11" s="26">
        <f>AF11/AD11</f>
        <v>-4.0047818290496077E-2</v>
      </c>
      <c r="AH11" s="27" t="str">
        <f>IF(AG11&lt;0,"Negative",IF(AG11=0,"Same",IF(AG11&gt;0.3,"30+%",IF(AG11&gt;0.2,"20-30%",IF(AG11&gt;0.1,"10-20%",IF(AG11&lt;=0.1,"0-10%"))))))</f>
        <v>Negative</v>
      </c>
      <c r="AI11" s="32"/>
      <c r="AJ11" s="36" t="s">
        <v>3300</v>
      </c>
      <c r="AK11" s="32"/>
    </row>
    <row r="12" spans="1:37" s="1" customFormat="1" ht="19.7" customHeight="1" x14ac:dyDescent="0.25">
      <c r="A12" s="5" t="s">
        <v>22</v>
      </c>
      <c r="B12" s="5" t="s">
        <v>2162</v>
      </c>
      <c r="C12" s="6">
        <v>44530</v>
      </c>
      <c r="D12" s="5" t="s">
        <v>24</v>
      </c>
      <c r="E12" s="5" t="s">
        <v>25</v>
      </c>
      <c r="F12" s="5" t="s">
        <v>26</v>
      </c>
      <c r="G12" s="5" t="s">
        <v>67</v>
      </c>
      <c r="H12" s="5" t="s">
        <v>68</v>
      </c>
      <c r="I12" s="5" t="s">
        <v>29</v>
      </c>
      <c r="J12" s="5" t="s">
        <v>30</v>
      </c>
      <c r="K12" s="5" t="s">
        <v>31</v>
      </c>
      <c r="L12" s="5" t="s">
        <v>32</v>
      </c>
      <c r="M12" s="5" t="s">
        <v>214</v>
      </c>
      <c r="N12" s="5" t="s">
        <v>2163</v>
      </c>
      <c r="O12" s="5" t="s">
        <v>71</v>
      </c>
      <c r="P12" s="5" t="s">
        <v>215</v>
      </c>
      <c r="Q12" s="5">
        <v>101375052</v>
      </c>
      <c r="R12" s="5" t="s">
        <v>216</v>
      </c>
      <c r="S12" s="5" t="s">
        <v>39</v>
      </c>
      <c r="T12" s="7">
        <v>60</v>
      </c>
      <c r="U12" s="15" t="s">
        <v>71</v>
      </c>
      <c r="V12" s="44" t="s">
        <v>215</v>
      </c>
      <c r="W12" s="17">
        <v>101375052</v>
      </c>
      <c r="X12" s="16" t="s">
        <v>2577</v>
      </c>
      <c r="Y12" s="17" t="s">
        <v>2578</v>
      </c>
      <c r="Z12" s="17" t="s">
        <v>39</v>
      </c>
      <c r="AA12" s="17" t="s">
        <v>37</v>
      </c>
      <c r="AB12" s="29">
        <v>2.09</v>
      </c>
      <c r="AC12" s="25">
        <v>2.3199999999999998</v>
      </c>
      <c r="AD12" s="25">
        <f>AC12*T12</f>
        <v>139.19999999999999</v>
      </c>
      <c r="AE12" s="25">
        <f>AB12*T12</f>
        <v>125.39999999999999</v>
      </c>
      <c r="AF12" s="25">
        <f>AD12-AE12</f>
        <v>13.799999999999997</v>
      </c>
      <c r="AG12" s="26">
        <f>AF12/AD12</f>
        <v>9.9137931034482749E-2</v>
      </c>
      <c r="AH12" s="27" t="str">
        <f>IF(AG12&lt;0,"Negative",IF(AG12=0,"Same",IF(AG12&gt;0.3,"30+%",IF(AG12&gt;0.2,"20-30%",IF(AG12&gt;0.1,"10-20%",IF(AG12&lt;=0.1,"0-10%"))))))</f>
        <v>0-10%</v>
      </c>
      <c r="AI12" s="32"/>
      <c r="AJ12" s="36" t="s">
        <v>3300</v>
      </c>
      <c r="AK12" s="32"/>
    </row>
    <row r="13" spans="1:37" s="1" customFormat="1" ht="19.7" customHeight="1" x14ac:dyDescent="0.25">
      <c r="A13" s="9" t="s">
        <v>22</v>
      </c>
      <c r="B13" s="9" t="s">
        <v>2195</v>
      </c>
      <c r="C13" s="10">
        <v>44537</v>
      </c>
      <c r="D13" s="9" t="s">
        <v>24</v>
      </c>
      <c r="E13" s="9" t="s">
        <v>25</v>
      </c>
      <c r="F13" s="9" t="s">
        <v>26</v>
      </c>
      <c r="G13" s="9" t="s">
        <v>67</v>
      </c>
      <c r="H13" s="9" t="s">
        <v>68</v>
      </c>
      <c r="I13" s="9" t="s">
        <v>29</v>
      </c>
      <c r="J13" s="9" t="s">
        <v>30</v>
      </c>
      <c r="K13" s="9" t="s">
        <v>31</v>
      </c>
      <c r="L13" s="9" t="s">
        <v>32</v>
      </c>
      <c r="M13" s="9" t="s">
        <v>214</v>
      </c>
      <c r="N13" s="9" t="s">
        <v>2196</v>
      </c>
      <c r="O13" s="9" t="s">
        <v>71</v>
      </c>
      <c r="P13" s="9" t="s">
        <v>215</v>
      </c>
      <c r="Q13" s="9">
        <v>101375052</v>
      </c>
      <c r="R13" s="9" t="s">
        <v>216</v>
      </c>
      <c r="S13" s="9" t="s">
        <v>39</v>
      </c>
      <c r="T13" s="11">
        <v>60</v>
      </c>
      <c r="U13" s="15" t="s">
        <v>71</v>
      </c>
      <c r="V13" s="44" t="s">
        <v>215</v>
      </c>
      <c r="W13" s="17">
        <v>101375052</v>
      </c>
      <c r="X13" s="16" t="s">
        <v>2577</v>
      </c>
      <c r="Y13" s="17" t="s">
        <v>2578</v>
      </c>
      <c r="Z13" s="17" t="s">
        <v>39</v>
      </c>
      <c r="AA13" s="17" t="s">
        <v>37</v>
      </c>
      <c r="AB13" s="29">
        <v>2.09</v>
      </c>
      <c r="AC13" s="25">
        <v>2.3199999999999998</v>
      </c>
      <c r="AD13" s="25">
        <f>AC13*T13</f>
        <v>139.19999999999999</v>
      </c>
      <c r="AE13" s="25">
        <f>AB13*T13</f>
        <v>125.39999999999999</v>
      </c>
      <c r="AF13" s="25">
        <f>AD13-AE13</f>
        <v>13.799999999999997</v>
      </c>
      <c r="AG13" s="26">
        <f>AF13/AD13</f>
        <v>9.9137931034482749E-2</v>
      </c>
      <c r="AH13" s="27" t="str">
        <f>IF(AG13&lt;0,"Negative",IF(AG13=0,"Same",IF(AG13&gt;0.3,"30+%",IF(AG13&gt;0.2,"20-30%",IF(AG13&gt;0.1,"10-20%",IF(AG13&lt;=0.1,"0-10%"))))))</f>
        <v>0-10%</v>
      </c>
      <c r="AI13" s="32"/>
      <c r="AJ13" s="36" t="s">
        <v>3300</v>
      </c>
      <c r="AK13" s="32"/>
    </row>
    <row r="14" spans="1:37" s="1" customFormat="1" ht="19.7" customHeight="1" x14ac:dyDescent="0.25">
      <c r="A14" s="9" t="s">
        <v>22</v>
      </c>
      <c r="B14" s="9" t="s">
        <v>2315</v>
      </c>
      <c r="C14" s="10">
        <v>44566</v>
      </c>
      <c r="D14" s="9" t="s">
        <v>24</v>
      </c>
      <c r="E14" s="9" t="s">
        <v>25</v>
      </c>
      <c r="F14" s="9" t="s">
        <v>26</v>
      </c>
      <c r="G14" s="9" t="s">
        <v>67</v>
      </c>
      <c r="H14" s="9" t="s">
        <v>68</v>
      </c>
      <c r="I14" s="9" t="s">
        <v>29</v>
      </c>
      <c r="J14" s="9" t="s">
        <v>30</v>
      </c>
      <c r="K14" s="9" t="s">
        <v>31</v>
      </c>
      <c r="L14" s="9" t="s">
        <v>32</v>
      </c>
      <c r="M14" s="9" t="s">
        <v>214</v>
      </c>
      <c r="N14" s="9" t="s">
        <v>2316</v>
      </c>
      <c r="O14" s="9" t="s">
        <v>71</v>
      </c>
      <c r="P14" s="9" t="s">
        <v>215</v>
      </c>
      <c r="Q14" s="9">
        <v>101375052</v>
      </c>
      <c r="R14" s="9" t="s">
        <v>216</v>
      </c>
      <c r="S14" s="9" t="s">
        <v>39</v>
      </c>
      <c r="T14" s="11">
        <v>60</v>
      </c>
      <c r="U14" s="15" t="s">
        <v>71</v>
      </c>
      <c r="V14" s="44" t="s">
        <v>215</v>
      </c>
      <c r="W14" s="17">
        <v>101375052</v>
      </c>
      <c r="X14" s="16" t="s">
        <v>2577</v>
      </c>
      <c r="Y14" s="17" t="s">
        <v>2578</v>
      </c>
      <c r="Z14" s="17" t="s">
        <v>39</v>
      </c>
      <c r="AA14" s="17" t="s">
        <v>37</v>
      </c>
      <c r="AB14" s="29">
        <v>2.09</v>
      </c>
      <c r="AC14" s="25">
        <v>2.3199999999999998</v>
      </c>
      <c r="AD14" s="25">
        <f>AC14*T14</f>
        <v>139.19999999999999</v>
      </c>
      <c r="AE14" s="25">
        <f>AB14*T14</f>
        <v>125.39999999999999</v>
      </c>
      <c r="AF14" s="25">
        <f>AD14-AE14</f>
        <v>13.799999999999997</v>
      </c>
      <c r="AG14" s="26">
        <f>AF14/AD14</f>
        <v>9.9137931034482749E-2</v>
      </c>
      <c r="AH14" s="27" t="str">
        <f>IF(AG14&lt;0,"Negative",IF(AG14=0,"Same",IF(AG14&gt;0.3,"30+%",IF(AG14&gt;0.2,"20-30%",IF(AG14&gt;0.1,"10-20%",IF(AG14&lt;=0.1,"0-10%"))))))</f>
        <v>0-10%</v>
      </c>
      <c r="AI14" s="32"/>
      <c r="AJ14" s="36" t="s">
        <v>3300</v>
      </c>
      <c r="AK14" s="32"/>
    </row>
    <row r="15" spans="1:37" s="1" customFormat="1" ht="19.7" customHeight="1" x14ac:dyDescent="0.25">
      <c r="A15" s="5" t="s">
        <v>22</v>
      </c>
      <c r="B15" s="5" t="s">
        <v>689</v>
      </c>
      <c r="C15" s="6">
        <v>44288</v>
      </c>
      <c r="D15" s="5" t="s">
        <v>24</v>
      </c>
      <c r="E15" s="5" t="s">
        <v>25</v>
      </c>
      <c r="F15" s="5" t="s">
        <v>26</v>
      </c>
      <c r="G15" s="5" t="s">
        <v>67</v>
      </c>
      <c r="H15" s="5" t="s">
        <v>68</v>
      </c>
      <c r="I15" s="5" t="s">
        <v>29</v>
      </c>
      <c r="J15" s="5" t="s">
        <v>30</v>
      </c>
      <c r="K15" s="5" t="s">
        <v>31</v>
      </c>
      <c r="L15" s="5" t="s">
        <v>32</v>
      </c>
      <c r="M15" s="5" t="s">
        <v>695</v>
      </c>
      <c r="N15" s="5" t="s">
        <v>690</v>
      </c>
      <c r="O15" s="5" t="s">
        <v>43</v>
      </c>
      <c r="P15" s="5" t="s">
        <v>696</v>
      </c>
      <c r="Q15" s="5">
        <v>111732828</v>
      </c>
      <c r="R15" s="5" t="s">
        <v>73</v>
      </c>
      <c r="S15" s="5" t="s">
        <v>39</v>
      </c>
      <c r="T15" s="7">
        <v>1</v>
      </c>
      <c r="U15" s="15" t="s">
        <v>43</v>
      </c>
      <c r="V15" s="16" t="s">
        <v>696</v>
      </c>
      <c r="W15" s="17">
        <v>111732828</v>
      </c>
      <c r="X15" s="16" t="s">
        <v>2745</v>
      </c>
      <c r="Y15" s="17" t="s">
        <v>2782</v>
      </c>
      <c r="Z15" s="17" t="s">
        <v>39</v>
      </c>
      <c r="AA15" s="17" t="s">
        <v>2501</v>
      </c>
      <c r="AB15" s="29">
        <v>159.12</v>
      </c>
      <c r="AC15" s="25">
        <v>152.99</v>
      </c>
      <c r="AD15" s="25">
        <f>AC15*T15</f>
        <v>152.99</v>
      </c>
      <c r="AE15" s="25">
        <f>AB15*T15</f>
        <v>159.12</v>
      </c>
      <c r="AF15" s="25">
        <f>AD15-AE15</f>
        <v>-6.1299999999999955</v>
      </c>
      <c r="AG15" s="26">
        <f>AF15/AD15</f>
        <v>-4.006797829923521E-2</v>
      </c>
      <c r="AH15" s="27" t="str">
        <f>IF(AG15&lt;0,"Negative",IF(AG15=0,"Same",IF(AG15&gt;0.3,"30+%",IF(AG15&gt;0.2,"20-30%",IF(AG15&gt;0.1,"10-20%",IF(AG15&lt;=0.1,"0-10%"))))))</f>
        <v>Negative</v>
      </c>
      <c r="AI15" s="32"/>
      <c r="AJ15" s="36" t="s">
        <v>3300</v>
      </c>
      <c r="AK15" s="32"/>
    </row>
    <row r="16" spans="1:37" s="1" customFormat="1" ht="19.7" customHeight="1" x14ac:dyDescent="0.25">
      <c r="A16" s="5" t="s">
        <v>22</v>
      </c>
      <c r="B16" s="5" t="s">
        <v>2446</v>
      </c>
      <c r="C16" s="6">
        <v>44588</v>
      </c>
      <c r="D16" s="5" t="s">
        <v>24</v>
      </c>
      <c r="E16" s="5" t="s">
        <v>25</v>
      </c>
      <c r="F16" s="5" t="s">
        <v>26</v>
      </c>
      <c r="G16" s="5" t="s">
        <v>67</v>
      </c>
      <c r="H16" s="5" t="s">
        <v>68</v>
      </c>
      <c r="I16" s="5" t="s">
        <v>29</v>
      </c>
      <c r="J16" s="5" t="s">
        <v>30</v>
      </c>
      <c r="K16" s="5" t="s">
        <v>31</v>
      </c>
      <c r="L16" s="5" t="s">
        <v>32</v>
      </c>
      <c r="M16" s="5" t="s">
        <v>804</v>
      </c>
      <c r="N16" s="5" t="s">
        <v>2237</v>
      </c>
      <c r="O16" s="5" t="s">
        <v>805</v>
      </c>
      <c r="P16" s="5" t="s">
        <v>806</v>
      </c>
      <c r="Q16" s="5">
        <v>112834539</v>
      </c>
      <c r="R16" s="5" t="s">
        <v>38</v>
      </c>
      <c r="S16" s="5" t="s">
        <v>39</v>
      </c>
      <c r="T16" s="7">
        <v>1</v>
      </c>
      <c r="U16" s="15" t="s">
        <v>805</v>
      </c>
      <c r="V16" s="16" t="s">
        <v>806</v>
      </c>
      <c r="W16" s="17">
        <v>112834539</v>
      </c>
      <c r="X16" s="16" t="s">
        <v>2823</v>
      </c>
      <c r="Y16" s="17" t="s">
        <v>2824</v>
      </c>
      <c r="Z16" s="17" t="s">
        <v>39</v>
      </c>
      <c r="AA16" s="17" t="s">
        <v>2501</v>
      </c>
      <c r="AB16" s="29">
        <v>21.12</v>
      </c>
      <c r="AC16" s="25">
        <v>22.02</v>
      </c>
      <c r="AD16" s="25">
        <f>AC16*T16</f>
        <v>22.02</v>
      </c>
      <c r="AE16" s="25">
        <f>AB16*T16</f>
        <v>21.12</v>
      </c>
      <c r="AF16" s="25">
        <f>AD16-AE16</f>
        <v>0.89999999999999858</v>
      </c>
      <c r="AG16" s="26">
        <f>AF16/AD16</f>
        <v>4.087193460490457E-2</v>
      </c>
      <c r="AH16" s="27" t="str">
        <f>IF(AG16&lt;0,"Negative",IF(AG16=0,"Same",IF(AG16&gt;0.3,"30+%",IF(AG16&gt;0.2,"20-30%",IF(AG16&gt;0.1,"10-20%",IF(AG16&lt;=0.1,"0-10%"))))))</f>
        <v>0-10%</v>
      </c>
      <c r="AI16" s="32"/>
      <c r="AJ16" s="36" t="s">
        <v>3300</v>
      </c>
      <c r="AK16" s="32"/>
    </row>
    <row r="17" spans="1:37" s="1" customFormat="1" ht="19.7" customHeight="1" x14ac:dyDescent="0.25">
      <c r="A17" s="9" t="s">
        <v>22</v>
      </c>
      <c r="B17" s="9" t="s">
        <v>831</v>
      </c>
      <c r="C17" s="10">
        <v>44306</v>
      </c>
      <c r="D17" s="9" t="s">
        <v>24</v>
      </c>
      <c r="E17" s="9" t="s">
        <v>25</v>
      </c>
      <c r="F17" s="9" t="s">
        <v>26</v>
      </c>
      <c r="G17" s="9" t="s">
        <v>27</v>
      </c>
      <c r="H17" s="9" t="s">
        <v>28</v>
      </c>
      <c r="I17" s="9" t="s">
        <v>29</v>
      </c>
      <c r="J17" s="9" t="s">
        <v>30</v>
      </c>
      <c r="K17" s="9" t="s">
        <v>31</v>
      </c>
      <c r="L17" s="9" t="s">
        <v>32</v>
      </c>
      <c r="M17" s="9" t="s">
        <v>832</v>
      </c>
      <c r="N17" s="9" t="s">
        <v>833</v>
      </c>
      <c r="O17" s="9" t="s">
        <v>103</v>
      </c>
      <c r="P17" s="9" t="s">
        <v>834</v>
      </c>
      <c r="Q17" s="9">
        <v>105360060</v>
      </c>
      <c r="R17" s="9" t="s">
        <v>73</v>
      </c>
      <c r="S17" s="9" t="s">
        <v>39</v>
      </c>
      <c r="T17" s="11">
        <v>2</v>
      </c>
      <c r="U17" s="15" t="s">
        <v>103</v>
      </c>
      <c r="V17" s="16" t="s">
        <v>834</v>
      </c>
      <c r="W17" s="17">
        <v>105360060</v>
      </c>
      <c r="X17" s="16" t="s">
        <v>2833</v>
      </c>
      <c r="Y17" s="17" t="s">
        <v>2834</v>
      </c>
      <c r="Z17" s="17" t="s">
        <v>39</v>
      </c>
      <c r="AA17" s="17" t="s">
        <v>2501</v>
      </c>
      <c r="AB17" s="29">
        <v>134.63999999999999</v>
      </c>
      <c r="AC17" s="25">
        <v>129.46</v>
      </c>
      <c r="AD17" s="25">
        <f>AC17*T17</f>
        <v>258.92</v>
      </c>
      <c r="AE17" s="25">
        <f>AB17*T17</f>
        <v>269.27999999999997</v>
      </c>
      <c r="AF17" s="25">
        <f>AD17-AE17</f>
        <v>-10.359999999999957</v>
      </c>
      <c r="AG17" s="26">
        <f>AF17/AD17</f>
        <v>-4.0012359029815987E-2</v>
      </c>
      <c r="AH17" s="27" t="str">
        <f>IF(AG17&lt;0,"Negative",IF(AG17=0,"Same",IF(AG17&gt;0.3,"30+%",IF(AG17&gt;0.2,"20-30%",IF(AG17&gt;0.1,"10-20%",IF(AG17&lt;=0.1,"0-10%"))))))</f>
        <v>Negative</v>
      </c>
      <c r="AI17" s="32"/>
      <c r="AJ17" s="36" t="s">
        <v>3300</v>
      </c>
      <c r="AK17" s="32"/>
    </row>
    <row r="18" spans="1:37" s="1" customFormat="1" ht="19.7" customHeight="1" x14ac:dyDescent="0.25">
      <c r="A18" s="5" t="s">
        <v>22</v>
      </c>
      <c r="B18" s="5" t="s">
        <v>371</v>
      </c>
      <c r="C18" s="6">
        <v>44256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28</v>
      </c>
      <c r="I18" s="5" t="s">
        <v>29</v>
      </c>
      <c r="J18" s="5" t="s">
        <v>30</v>
      </c>
      <c r="K18" s="5" t="s">
        <v>31</v>
      </c>
      <c r="L18" s="5" t="s">
        <v>32</v>
      </c>
      <c r="M18" s="5" t="s">
        <v>372</v>
      </c>
      <c r="N18" s="5" t="s">
        <v>309</v>
      </c>
      <c r="O18" s="5" t="s">
        <v>373</v>
      </c>
      <c r="P18" s="5" t="s">
        <v>374</v>
      </c>
      <c r="Q18" s="5">
        <v>105974075</v>
      </c>
      <c r="R18" s="5" t="s">
        <v>199</v>
      </c>
      <c r="S18" s="5" t="s">
        <v>39</v>
      </c>
      <c r="T18" s="7">
        <v>3</v>
      </c>
      <c r="U18" s="15" t="s">
        <v>373</v>
      </c>
      <c r="V18" s="16" t="s">
        <v>374</v>
      </c>
      <c r="W18" s="17">
        <v>105974075</v>
      </c>
      <c r="X18" s="16" t="s">
        <v>2571</v>
      </c>
      <c r="Y18" s="17" t="s">
        <v>2646</v>
      </c>
      <c r="Z18" s="17" t="s">
        <v>39</v>
      </c>
      <c r="AA18" s="17" t="s">
        <v>2501</v>
      </c>
      <c r="AB18" s="29">
        <v>16.690000000000001</v>
      </c>
      <c r="AC18" s="25">
        <v>18.170000000000002</v>
      </c>
      <c r="AD18" s="25">
        <f>AC18*T18</f>
        <v>54.510000000000005</v>
      </c>
      <c r="AE18" s="25">
        <f>AB18*T18</f>
        <v>50.070000000000007</v>
      </c>
      <c r="AF18" s="25">
        <f>AD18-AE18</f>
        <v>4.4399999999999977</v>
      </c>
      <c r="AG18" s="26">
        <f>AF18/AD18</f>
        <v>8.1452944413868966E-2</v>
      </c>
      <c r="AH18" s="27" t="str">
        <f>IF(AG18&lt;0,"Negative",IF(AG18=0,"Same",IF(AG18&gt;0.3,"30+%",IF(AG18&gt;0.2,"20-30%",IF(AG18&gt;0.1,"10-20%",IF(AG18&lt;=0.1,"0-10%"))))))</f>
        <v>0-10%</v>
      </c>
      <c r="AI18" s="32"/>
      <c r="AJ18" s="36" t="s">
        <v>3300</v>
      </c>
      <c r="AK18" s="32"/>
    </row>
    <row r="19" spans="1:37" s="1" customFormat="1" ht="19.7" customHeight="1" x14ac:dyDescent="0.25">
      <c r="A19" s="5" t="s">
        <v>22</v>
      </c>
      <c r="B19" s="5" t="s">
        <v>1469</v>
      </c>
      <c r="C19" s="6">
        <v>44400</v>
      </c>
      <c r="D19" s="5" t="s">
        <v>24</v>
      </c>
      <c r="E19" s="5" t="s">
        <v>25</v>
      </c>
      <c r="F19" s="5" t="s">
        <v>26</v>
      </c>
      <c r="G19" s="5" t="s">
        <v>27</v>
      </c>
      <c r="H19" s="5" t="s">
        <v>28</v>
      </c>
      <c r="I19" s="5" t="s">
        <v>29</v>
      </c>
      <c r="J19" s="5" t="s">
        <v>30</v>
      </c>
      <c r="K19" s="5" t="s">
        <v>31</v>
      </c>
      <c r="L19" s="5" t="s">
        <v>32</v>
      </c>
      <c r="M19" s="5" t="s">
        <v>1470</v>
      </c>
      <c r="N19" s="5" t="s">
        <v>1471</v>
      </c>
      <c r="O19" s="5" t="s">
        <v>71</v>
      </c>
      <c r="P19" s="5" t="s">
        <v>1472</v>
      </c>
      <c r="Q19" s="5">
        <v>112038900</v>
      </c>
      <c r="R19" s="5" t="s">
        <v>73</v>
      </c>
      <c r="S19" s="5" t="s">
        <v>39</v>
      </c>
      <c r="T19" s="7">
        <v>24</v>
      </c>
      <c r="U19" s="15" t="s">
        <v>71</v>
      </c>
      <c r="V19" s="16" t="s">
        <v>1472</v>
      </c>
      <c r="W19" s="17">
        <v>112038900</v>
      </c>
      <c r="X19" s="16" t="s">
        <v>2510</v>
      </c>
      <c r="Y19" s="17" t="s">
        <v>3051</v>
      </c>
      <c r="Z19" s="17" t="s">
        <v>39</v>
      </c>
      <c r="AA19" s="17" t="s">
        <v>2501</v>
      </c>
      <c r="AB19" s="29">
        <v>60.84</v>
      </c>
      <c r="AC19" s="25">
        <v>61.01</v>
      </c>
      <c r="AD19" s="25">
        <f>AC19*T19</f>
        <v>1464.24</v>
      </c>
      <c r="AE19" s="25">
        <f>AB19*T19</f>
        <v>1460.16</v>
      </c>
      <c r="AF19" s="25">
        <f>AD19-AE19</f>
        <v>4.0799999999999272</v>
      </c>
      <c r="AG19" s="26">
        <f>AF19/AD19</f>
        <v>2.7864284543516961E-3</v>
      </c>
      <c r="AH19" s="27" t="str">
        <f>IF(AG19&lt;0,"Negative",IF(AG19=0,"Same",IF(AG19&gt;0.3,"30+%",IF(AG19&gt;0.2,"20-30%",IF(AG19&gt;0.1,"10-20%",IF(AG19&lt;=0.1,"0-10%"))))))</f>
        <v>0-10%</v>
      </c>
      <c r="AI19" s="32"/>
      <c r="AJ19" s="36" t="s">
        <v>3300</v>
      </c>
      <c r="AK19" s="32"/>
    </row>
    <row r="20" spans="1:37" s="1" customFormat="1" ht="19.7" customHeight="1" x14ac:dyDescent="0.25">
      <c r="A20" s="5" t="s">
        <v>22</v>
      </c>
      <c r="B20" s="5" t="s">
        <v>2383</v>
      </c>
      <c r="C20" s="6">
        <v>44578</v>
      </c>
      <c r="D20" s="5" t="s">
        <v>24</v>
      </c>
      <c r="E20" s="5" t="s">
        <v>25</v>
      </c>
      <c r="F20" s="5" t="s">
        <v>26</v>
      </c>
      <c r="G20" s="5" t="s">
        <v>67</v>
      </c>
      <c r="H20" s="5" t="s">
        <v>68</v>
      </c>
      <c r="I20" s="5" t="s">
        <v>29</v>
      </c>
      <c r="J20" s="5" t="s">
        <v>30</v>
      </c>
      <c r="K20" s="5" t="s">
        <v>31</v>
      </c>
      <c r="L20" s="5" t="s">
        <v>32</v>
      </c>
      <c r="M20" s="5" t="s">
        <v>2384</v>
      </c>
      <c r="N20" s="5" t="s">
        <v>2385</v>
      </c>
      <c r="O20" s="5" t="s">
        <v>103</v>
      </c>
      <c r="P20" s="5" t="s">
        <v>2386</v>
      </c>
      <c r="Q20" s="5">
        <v>118889585</v>
      </c>
      <c r="R20" s="5" t="s">
        <v>73</v>
      </c>
      <c r="S20" s="5" t="s">
        <v>2387</v>
      </c>
      <c r="T20" s="7">
        <v>5</v>
      </c>
      <c r="U20" s="15" t="s">
        <v>103</v>
      </c>
      <c r="V20" s="16" t="s">
        <v>2386</v>
      </c>
      <c r="W20" s="17">
        <v>118889585</v>
      </c>
      <c r="X20" s="16" t="s">
        <v>2603</v>
      </c>
      <c r="Y20" s="17" t="s">
        <v>3262</v>
      </c>
      <c r="Z20" s="17" t="s">
        <v>2387</v>
      </c>
      <c r="AA20" s="17" t="s">
        <v>2501</v>
      </c>
      <c r="AB20" s="29">
        <v>16.73</v>
      </c>
      <c r="AC20" s="25">
        <v>16.09</v>
      </c>
      <c r="AD20" s="25">
        <f>AC20*T20</f>
        <v>80.45</v>
      </c>
      <c r="AE20" s="25">
        <f>AB20*T20</f>
        <v>83.65</v>
      </c>
      <c r="AF20" s="25">
        <f>AD20-AE20</f>
        <v>-3.2000000000000028</v>
      </c>
      <c r="AG20" s="26">
        <f>AF20/AD20</f>
        <v>-3.9776258545680579E-2</v>
      </c>
      <c r="AH20" s="27" t="str">
        <f>IF(AG20&lt;0,"Negative",IF(AG20=0,"Same",IF(AG20&gt;0.3,"30+%",IF(AG20&gt;0.2,"20-30%",IF(AG20&gt;0.1,"10-20%",IF(AG20&lt;=0.1,"0-10%"))))))</f>
        <v>Negative</v>
      </c>
      <c r="AI20" s="32"/>
      <c r="AJ20" s="36" t="s">
        <v>3300</v>
      </c>
      <c r="AK20" s="32"/>
    </row>
    <row r="21" spans="1:37" s="1" customFormat="1" ht="19.7" customHeight="1" x14ac:dyDescent="0.25">
      <c r="A21" s="5" t="s">
        <v>22</v>
      </c>
      <c r="B21" s="5" t="s">
        <v>2467</v>
      </c>
      <c r="C21" s="6">
        <v>44589</v>
      </c>
      <c r="D21" s="5" t="s">
        <v>24</v>
      </c>
      <c r="E21" s="5" t="s">
        <v>25</v>
      </c>
      <c r="F21" s="5" t="s">
        <v>26</v>
      </c>
      <c r="G21" s="5" t="s">
        <v>27</v>
      </c>
      <c r="H21" s="5" t="s">
        <v>28</v>
      </c>
      <c r="I21" s="5" t="s">
        <v>29</v>
      </c>
      <c r="J21" s="5" t="s">
        <v>30</v>
      </c>
      <c r="K21" s="5" t="s">
        <v>31</v>
      </c>
      <c r="L21" s="5" t="s">
        <v>32</v>
      </c>
      <c r="M21" s="5" t="s">
        <v>2468</v>
      </c>
      <c r="N21" s="5" t="s">
        <v>2443</v>
      </c>
      <c r="O21" s="5" t="s">
        <v>1074</v>
      </c>
      <c r="P21" s="5" t="s">
        <v>2469</v>
      </c>
      <c r="Q21" s="5">
        <v>100848729</v>
      </c>
      <c r="R21" s="5" t="s">
        <v>73</v>
      </c>
      <c r="S21" s="5" t="s">
        <v>39</v>
      </c>
      <c r="T21" s="7">
        <v>1</v>
      </c>
      <c r="U21" s="15" t="s">
        <v>1074</v>
      </c>
      <c r="V21" s="16" t="s">
        <v>2469</v>
      </c>
      <c r="W21" s="17">
        <v>100848729</v>
      </c>
      <c r="X21" s="16" t="s">
        <v>2916</v>
      </c>
      <c r="Y21" s="17" t="s">
        <v>3281</v>
      </c>
      <c r="Z21" s="17" t="s">
        <v>39</v>
      </c>
      <c r="AA21" s="17" t="s">
        <v>37</v>
      </c>
      <c r="AB21" s="29">
        <v>18.489999999999998</v>
      </c>
      <c r="AC21" s="25">
        <v>17.78</v>
      </c>
      <c r="AD21" s="25">
        <f>AC21*T21</f>
        <v>17.78</v>
      </c>
      <c r="AE21" s="25">
        <f>AB21*T21</f>
        <v>18.489999999999998</v>
      </c>
      <c r="AF21" s="25">
        <f>AD21-AE21</f>
        <v>-0.7099999999999973</v>
      </c>
      <c r="AG21" s="26">
        <f>AF21/AD21</f>
        <v>-3.9932508436445288E-2</v>
      </c>
      <c r="AH21" s="27" t="str">
        <f>IF(AG21&lt;0,"Negative",IF(AG21=0,"Same",IF(AG21&gt;0.3,"30+%",IF(AG21&gt;0.2,"20-30%",IF(AG21&gt;0.1,"10-20%",IF(AG21&lt;=0.1,"0-10%"))))))</f>
        <v>Negative</v>
      </c>
      <c r="AI21" s="32"/>
      <c r="AJ21" s="36" t="s">
        <v>3299</v>
      </c>
      <c r="AK21" s="32"/>
    </row>
    <row r="22" spans="1:37" s="1" customFormat="1" ht="19.7" customHeight="1" x14ac:dyDescent="0.25">
      <c r="A22" s="9" t="s">
        <v>22</v>
      </c>
      <c r="B22" s="9" t="s">
        <v>2063</v>
      </c>
      <c r="C22" s="10">
        <v>44511</v>
      </c>
      <c r="D22" s="9" t="s">
        <v>24</v>
      </c>
      <c r="E22" s="9" t="s">
        <v>25</v>
      </c>
      <c r="F22" s="9" t="s">
        <v>26</v>
      </c>
      <c r="G22" s="9" t="s">
        <v>27</v>
      </c>
      <c r="H22" s="9" t="s">
        <v>28</v>
      </c>
      <c r="I22" s="9" t="s">
        <v>29</v>
      </c>
      <c r="J22" s="9" t="s">
        <v>30</v>
      </c>
      <c r="K22" s="9" t="s">
        <v>31</v>
      </c>
      <c r="L22" s="9" t="s">
        <v>32</v>
      </c>
      <c r="M22" s="9" t="s">
        <v>2064</v>
      </c>
      <c r="N22" s="9" t="s">
        <v>2065</v>
      </c>
      <c r="O22" s="9" t="s">
        <v>2066</v>
      </c>
      <c r="P22" s="9" t="s">
        <v>2067</v>
      </c>
      <c r="Q22" s="9">
        <v>101766641</v>
      </c>
      <c r="R22" s="9" t="s">
        <v>73</v>
      </c>
      <c r="S22" s="9" t="s">
        <v>39</v>
      </c>
      <c r="T22" s="11">
        <v>12</v>
      </c>
      <c r="U22" s="15" t="s">
        <v>2066</v>
      </c>
      <c r="V22" s="16" t="s">
        <v>2067</v>
      </c>
      <c r="W22" s="17">
        <v>101766641</v>
      </c>
      <c r="X22" s="16" t="s">
        <v>3197</v>
      </c>
      <c r="Y22" s="17" t="s">
        <v>3198</v>
      </c>
      <c r="Z22" s="17" t="s">
        <v>39</v>
      </c>
      <c r="AA22" s="17" t="s">
        <v>37</v>
      </c>
      <c r="AB22" s="29">
        <v>9.4499999999999993</v>
      </c>
      <c r="AC22" s="25">
        <v>9.09</v>
      </c>
      <c r="AD22" s="25">
        <f>AC22*T22</f>
        <v>109.08</v>
      </c>
      <c r="AE22" s="25">
        <f>AB22*T22</f>
        <v>113.39999999999999</v>
      </c>
      <c r="AF22" s="25">
        <f>AD22-AE22</f>
        <v>-4.3199999999999932</v>
      </c>
      <c r="AG22" s="26">
        <f>AF22/AD22</f>
        <v>-3.9603960396039542E-2</v>
      </c>
      <c r="AH22" s="27" t="str">
        <f>IF(AG22&lt;0,"Negative",IF(AG22=0,"Same",IF(AG22&gt;0.3,"30+%",IF(AG22&gt;0.2,"20-30%",IF(AG22&gt;0.1,"10-20%",IF(AG22&lt;=0.1,"0-10%"))))))</f>
        <v>Negative</v>
      </c>
      <c r="AI22" s="32"/>
      <c r="AJ22" s="36" t="s">
        <v>3300</v>
      </c>
      <c r="AK22" s="32"/>
    </row>
    <row r="23" spans="1:37" s="1" customFormat="1" ht="19.7" customHeight="1" x14ac:dyDescent="0.25">
      <c r="A23" s="9" t="s">
        <v>22</v>
      </c>
      <c r="B23" s="9" t="s">
        <v>1845</v>
      </c>
      <c r="C23" s="10">
        <v>44468</v>
      </c>
      <c r="D23" s="9" t="s">
        <v>24</v>
      </c>
      <c r="E23" s="9" t="s">
        <v>25</v>
      </c>
      <c r="F23" s="9" t="s">
        <v>26</v>
      </c>
      <c r="G23" s="9" t="s">
        <v>27</v>
      </c>
      <c r="H23" s="9" t="s">
        <v>28</v>
      </c>
      <c r="I23" s="9" t="s">
        <v>29</v>
      </c>
      <c r="J23" s="9" t="s">
        <v>30</v>
      </c>
      <c r="K23" s="9" t="s">
        <v>31</v>
      </c>
      <c r="L23" s="9" t="s">
        <v>32</v>
      </c>
      <c r="M23" s="9" t="s">
        <v>1846</v>
      </c>
      <c r="N23" s="9" t="s">
        <v>1825</v>
      </c>
      <c r="O23" s="9" t="s">
        <v>932</v>
      </c>
      <c r="P23" s="9" t="s">
        <v>1847</v>
      </c>
      <c r="Q23" s="9">
        <v>118712038</v>
      </c>
      <c r="R23" s="9" t="s">
        <v>73</v>
      </c>
      <c r="S23" s="9" t="s">
        <v>39</v>
      </c>
      <c r="T23" s="11">
        <v>48</v>
      </c>
      <c r="U23" s="15" t="s">
        <v>932</v>
      </c>
      <c r="V23" s="16" t="s">
        <v>1847</v>
      </c>
      <c r="W23" s="17">
        <v>118712038</v>
      </c>
      <c r="X23" s="16" t="s">
        <v>2603</v>
      </c>
      <c r="Y23" s="17" t="s">
        <v>3150</v>
      </c>
      <c r="Z23" s="17" t="s">
        <v>39</v>
      </c>
      <c r="AA23" s="17" t="s">
        <v>2501</v>
      </c>
      <c r="AB23" s="29">
        <v>6.07</v>
      </c>
      <c r="AC23" s="25">
        <v>5.83</v>
      </c>
      <c r="AD23" s="25">
        <f>AC23*T23</f>
        <v>279.84000000000003</v>
      </c>
      <c r="AE23" s="25">
        <f>AB23*T23</f>
        <v>291.36</v>
      </c>
      <c r="AF23" s="25">
        <f>AD23-AE23</f>
        <v>-11.519999999999982</v>
      </c>
      <c r="AG23" s="26">
        <f>AF23/AD23</f>
        <v>-4.1166380789022232E-2</v>
      </c>
      <c r="AH23" s="27" t="str">
        <f>IF(AG23&lt;0,"Negative",IF(AG23=0,"Same",IF(AG23&gt;0.3,"30+%",IF(AG23&gt;0.2,"20-30%",IF(AG23&gt;0.1,"10-20%",IF(AG23&lt;=0.1,"0-10%"))))))</f>
        <v>Negative</v>
      </c>
      <c r="AI23" s="32"/>
      <c r="AJ23" s="36" t="s">
        <v>3300</v>
      </c>
      <c r="AK23" s="32"/>
    </row>
    <row r="24" spans="1:37" s="1" customFormat="1" ht="19.7" customHeight="1" x14ac:dyDescent="0.25">
      <c r="A24" s="9" t="s">
        <v>22</v>
      </c>
      <c r="B24" s="9" t="s">
        <v>702</v>
      </c>
      <c r="C24" s="10">
        <v>44292</v>
      </c>
      <c r="D24" s="9" t="s">
        <v>24</v>
      </c>
      <c r="E24" s="9" t="s">
        <v>25</v>
      </c>
      <c r="F24" s="9" t="s">
        <v>26</v>
      </c>
      <c r="G24" s="9" t="s">
        <v>27</v>
      </c>
      <c r="H24" s="9" t="s">
        <v>28</v>
      </c>
      <c r="I24" s="9" t="s">
        <v>29</v>
      </c>
      <c r="J24" s="9" t="s">
        <v>30</v>
      </c>
      <c r="K24" s="9" t="s">
        <v>31</v>
      </c>
      <c r="L24" s="9" t="s">
        <v>32</v>
      </c>
      <c r="M24" s="9" t="s">
        <v>703</v>
      </c>
      <c r="N24" s="9" t="s">
        <v>704</v>
      </c>
      <c r="O24" s="9" t="s">
        <v>271</v>
      </c>
      <c r="P24" s="9" t="s">
        <v>705</v>
      </c>
      <c r="Q24" s="9">
        <v>112777281</v>
      </c>
      <c r="R24" s="9" t="s">
        <v>73</v>
      </c>
      <c r="S24" s="9" t="s">
        <v>39</v>
      </c>
      <c r="T24" s="11">
        <v>10</v>
      </c>
      <c r="U24" s="15" t="s">
        <v>271</v>
      </c>
      <c r="V24" s="16" t="s">
        <v>705</v>
      </c>
      <c r="W24" s="17">
        <v>112777281</v>
      </c>
      <c r="X24" s="16" t="s">
        <v>2510</v>
      </c>
      <c r="Y24" s="17" t="s">
        <v>2785</v>
      </c>
      <c r="Z24" s="17" t="s">
        <v>39</v>
      </c>
      <c r="AA24" s="17" t="s">
        <v>2501</v>
      </c>
      <c r="AB24" s="29">
        <v>7.33</v>
      </c>
      <c r="AC24" s="25">
        <v>7.05</v>
      </c>
      <c r="AD24" s="25">
        <f>AC24*T24</f>
        <v>70.5</v>
      </c>
      <c r="AE24" s="25">
        <f>AB24*T24</f>
        <v>73.3</v>
      </c>
      <c r="AF24" s="25">
        <f>AD24-AE24</f>
        <v>-2.7999999999999972</v>
      </c>
      <c r="AG24" s="26">
        <f>AF24/AD24</f>
        <v>-3.9716312056737549E-2</v>
      </c>
      <c r="AH24" s="27" t="str">
        <f>IF(AG24&lt;0,"Negative",IF(AG24=0,"Same",IF(AG24&gt;0.3,"30+%",IF(AG24&gt;0.2,"20-30%",IF(AG24&gt;0.1,"10-20%",IF(AG24&lt;=0.1,"0-10%"))))))</f>
        <v>Negative</v>
      </c>
      <c r="AI24" s="32"/>
      <c r="AJ24" s="36" t="s">
        <v>3300</v>
      </c>
      <c r="AK24" s="32"/>
    </row>
    <row r="25" spans="1:37" s="1" customFormat="1" ht="19.7" customHeight="1" x14ac:dyDescent="0.25">
      <c r="A25" s="5" t="s">
        <v>22</v>
      </c>
      <c r="B25" s="5" t="s">
        <v>2450</v>
      </c>
      <c r="C25" s="6">
        <v>44588</v>
      </c>
      <c r="D25" s="5" t="s">
        <v>24</v>
      </c>
      <c r="E25" s="5" t="s">
        <v>25</v>
      </c>
      <c r="F25" s="5" t="s">
        <v>26</v>
      </c>
      <c r="G25" s="5" t="s">
        <v>27</v>
      </c>
      <c r="H25" s="5" t="s">
        <v>28</v>
      </c>
      <c r="I25" s="5" t="s">
        <v>29</v>
      </c>
      <c r="J25" s="5" t="s">
        <v>30</v>
      </c>
      <c r="K25" s="5" t="s">
        <v>31</v>
      </c>
      <c r="L25" s="5" t="s">
        <v>32</v>
      </c>
      <c r="M25" s="5" t="s">
        <v>2451</v>
      </c>
      <c r="N25" s="5" t="s">
        <v>2452</v>
      </c>
      <c r="O25" s="5" t="s">
        <v>203</v>
      </c>
      <c r="P25" s="5" t="s">
        <v>1819</v>
      </c>
      <c r="Q25" s="5">
        <v>101680797</v>
      </c>
      <c r="R25" s="5" t="s">
        <v>105</v>
      </c>
      <c r="S25" s="5" t="s">
        <v>39</v>
      </c>
      <c r="T25" s="7">
        <v>2</v>
      </c>
      <c r="U25" s="15" t="s">
        <v>203</v>
      </c>
      <c r="V25" s="16" t="s">
        <v>1819</v>
      </c>
      <c r="W25" s="17">
        <v>101680797</v>
      </c>
      <c r="X25" s="16" t="s">
        <v>3140</v>
      </c>
      <c r="Y25" s="17" t="s">
        <v>3141</v>
      </c>
      <c r="Z25" s="17" t="s">
        <v>39</v>
      </c>
      <c r="AA25" s="17" t="s">
        <v>37</v>
      </c>
      <c r="AB25" s="29">
        <v>36.24</v>
      </c>
      <c r="AC25" s="25">
        <v>36.840000000000003</v>
      </c>
      <c r="AD25" s="25">
        <f>AC25*T25</f>
        <v>73.680000000000007</v>
      </c>
      <c r="AE25" s="25">
        <f>AB25*T25</f>
        <v>72.48</v>
      </c>
      <c r="AF25" s="25">
        <f>AD25-AE25</f>
        <v>1.2000000000000028</v>
      </c>
      <c r="AG25" s="26">
        <f>AF25/AD25</f>
        <v>1.6286644951140104E-2</v>
      </c>
      <c r="AH25" s="27" t="str">
        <f>IF(AG25&lt;0,"Negative",IF(AG25=0,"Same",IF(AG25&gt;0.3,"30+%",IF(AG25&gt;0.2,"20-30%",IF(AG25&gt;0.1,"10-20%",IF(AG25&lt;=0.1,"0-10%"))))))</f>
        <v>0-10%</v>
      </c>
      <c r="AI25" s="32"/>
      <c r="AJ25" s="36" t="s">
        <v>3299</v>
      </c>
      <c r="AK25" s="32"/>
    </row>
    <row r="26" spans="1:37" s="1" customFormat="1" ht="19.7" customHeight="1" x14ac:dyDescent="0.25">
      <c r="A26" s="9" t="s">
        <v>22</v>
      </c>
      <c r="B26" s="9" t="s">
        <v>2365</v>
      </c>
      <c r="C26" s="10">
        <v>44573</v>
      </c>
      <c r="D26" s="9" t="s">
        <v>24</v>
      </c>
      <c r="E26" s="9" t="s">
        <v>25</v>
      </c>
      <c r="F26" s="9" t="s">
        <v>26</v>
      </c>
      <c r="G26" s="9" t="s">
        <v>27</v>
      </c>
      <c r="H26" s="9" t="s">
        <v>28</v>
      </c>
      <c r="I26" s="9" t="s">
        <v>29</v>
      </c>
      <c r="J26" s="9" t="s">
        <v>30</v>
      </c>
      <c r="K26" s="9" t="s">
        <v>31</v>
      </c>
      <c r="L26" s="9" t="s">
        <v>32</v>
      </c>
      <c r="M26" s="9" t="s">
        <v>2318</v>
      </c>
      <c r="N26" s="9" t="s">
        <v>2366</v>
      </c>
      <c r="O26" s="9" t="s">
        <v>175</v>
      </c>
      <c r="P26" s="9" t="s">
        <v>2320</v>
      </c>
      <c r="Q26" s="9">
        <v>102195383</v>
      </c>
      <c r="R26" s="9" t="s">
        <v>61</v>
      </c>
      <c r="S26" s="9" t="s">
        <v>39</v>
      </c>
      <c r="T26" s="11">
        <v>1</v>
      </c>
      <c r="U26" s="15" t="s">
        <v>175</v>
      </c>
      <c r="V26" s="16" t="s">
        <v>2320</v>
      </c>
      <c r="W26" s="17">
        <v>102195383</v>
      </c>
      <c r="X26" s="16" t="s">
        <v>3246</v>
      </c>
      <c r="Y26" s="17" t="s">
        <v>3247</v>
      </c>
      <c r="Z26" s="17" t="s">
        <v>39</v>
      </c>
      <c r="AA26" s="17" t="s">
        <v>37</v>
      </c>
      <c r="AB26" s="29">
        <v>13.4</v>
      </c>
      <c r="AC26" s="25">
        <v>14.11</v>
      </c>
      <c r="AD26" s="25">
        <f>AC26*T26</f>
        <v>14.11</v>
      </c>
      <c r="AE26" s="25">
        <f>AB26*T26</f>
        <v>13.4</v>
      </c>
      <c r="AF26" s="25">
        <f>AD26-AE26</f>
        <v>0.70999999999999908</v>
      </c>
      <c r="AG26" s="26">
        <f>AF26/AD26</f>
        <v>5.0318922749822755E-2</v>
      </c>
      <c r="AH26" s="27" t="str">
        <f>IF(AG26&lt;0,"Negative",IF(AG26=0,"Same",IF(AG26&gt;0.3,"30+%",IF(AG26&gt;0.2,"20-30%",IF(AG26&gt;0.1,"10-20%",IF(AG26&lt;=0.1,"0-10%"))))))</f>
        <v>0-10%</v>
      </c>
      <c r="AI26" s="32"/>
      <c r="AJ26" s="36" t="s">
        <v>3300</v>
      </c>
      <c r="AK26" s="32"/>
    </row>
    <row r="27" spans="1:37" s="1" customFormat="1" ht="19.7" customHeight="1" x14ac:dyDescent="0.25">
      <c r="A27" s="5" t="s">
        <v>22</v>
      </c>
      <c r="B27" s="5" t="s">
        <v>2317</v>
      </c>
      <c r="C27" s="6">
        <v>44567</v>
      </c>
      <c r="D27" s="5" t="s">
        <v>24</v>
      </c>
      <c r="E27" s="5" t="s">
        <v>25</v>
      </c>
      <c r="F27" s="5" t="s">
        <v>26</v>
      </c>
      <c r="G27" s="5" t="s">
        <v>27</v>
      </c>
      <c r="H27" s="5" t="s">
        <v>28</v>
      </c>
      <c r="I27" s="5" t="s">
        <v>29</v>
      </c>
      <c r="J27" s="5" t="s">
        <v>30</v>
      </c>
      <c r="K27" s="5" t="s">
        <v>31</v>
      </c>
      <c r="L27" s="5" t="s">
        <v>32</v>
      </c>
      <c r="M27" s="5" t="s">
        <v>2318</v>
      </c>
      <c r="N27" s="5" t="s">
        <v>2319</v>
      </c>
      <c r="O27" s="5" t="s">
        <v>175</v>
      </c>
      <c r="P27" s="5" t="s">
        <v>2320</v>
      </c>
      <c r="Q27" s="5">
        <v>102195383</v>
      </c>
      <c r="R27" s="5" t="s">
        <v>61</v>
      </c>
      <c r="S27" s="5" t="s">
        <v>39</v>
      </c>
      <c r="T27" s="7">
        <v>1</v>
      </c>
      <c r="U27" s="15" t="s">
        <v>175</v>
      </c>
      <c r="V27" s="16" t="s">
        <v>2320</v>
      </c>
      <c r="W27" s="17">
        <v>102195383</v>
      </c>
      <c r="X27" s="16" t="s">
        <v>3246</v>
      </c>
      <c r="Y27" s="17" t="s">
        <v>3247</v>
      </c>
      <c r="Z27" s="17" t="s">
        <v>39</v>
      </c>
      <c r="AA27" s="17" t="s">
        <v>37</v>
      </c>
      <c r="AB27" s="29">
        <v>13.4</v>
      </c>
      <c r="AC27" s="25">
        <v>14.11</v>
      </c>
      <c r="AD27" s="25">
        <f>AC27*T27</f>
        <v>14.11</v>
      </c>
      <c r="AE27" s="25">
        <f>AB27*T27</f>
        <v>13.4</v>
      </c>
      <c r="AF27" s="25">
        <f>AD27-AE27</f>
        <v>0.70999999999999908</v>
      </c>
      <c r="AG27" s="26">
        <f>AF27/AD27</f>
        <v>5.0318922749822755E-2</v>
      </c>
      <c r="AH27" s="27" t="str">
        <f>IF(AG27&lt;0,"Negative",IF(AG27=0,"Same",IF(AG27&gt;0.3,"30+%",IF(AG27&gt;0.2,"20-30%",IF(AG27&gt;0.1,"10-20%",IF(AG27&lt;=0.1,"0-10%"))))))</f>
        <v>0-10%</v>
      </c>
      <c r="AI27" s="32"/>
      <c r="AJ27" s="36" t="s">
        <v>3300</v>
      </c>
      <c r="AK27" s="32"/>
    </row>
    <row r="28" spans="1:37" s="1" customFormat="1" ht="19.7" customHeight="1" x14ac:dyDescent="0.25">
      <c r="A28" s="9" t="s">
        <v>22</v>
      </c>
      <c r="B28" s="9" t="s">
        <v>2360</v>
      </c>
      <c r="C28" s="10">
        <v>44572</v>
      </c>
      <c r="D28" s="9" t="s">
        <v>24</v>
      </c>
      <c r="E28" s="9" t="s">
        <v>25</v>
      </c>
      <c r="F28" s="9" t="s">
        <v>26</v>
      </c>
      <c r="G28" s="9" t="s">
        <v>27</v>
      </c>
      <c r="H28" s="9" t="s">
        <v>28</v>
      </c>
      <c r="I28" s="9" t="s">
        <v>29</v>
      </c>
      <c r="J28" s="9" t="s">
        <v>30</v>
      </c>
      <c r="K28" s="9" t="s">
        <v>31</v>
      </c>
      <c r="L28" s="9" t="s">
        <v>32</v>
      </c>
      <c r="M28" s="9" t="s">
        <v>2361</v>
      </c>
      <c r="N28" s="9" t="s">
        <v>2362</v>
      </c>
      <c r="O28" s="9" t="s">
        <v>2363</v>
      </c>
      <c r="P28" s="9" t="s">
        <v>2364</v>
      </c>
      <c r="Q28" s="9">
        <v>113362541</v>
      </c>
      <c r="R28" s="9" t="s">
        <v>199</v>
      </c>
      <c r="S28" s="9" t="s">
        <v>39</v>
      </c>
      <c r="T28" s="11">
        <v>1</v>
      </c>
      <c r="U28" s="15" t="s">
        <v>2363</v>
      </c>
      <c r="V28" s="16" t="s">
        <v>2364</v>
      </c>
      <c r="W28" s="17">
        <v>113362541</v>
      </c>
      <c r="X28" s="16" t="s">
        <v>3254</v>
      </c>
      <c r="Y28" s="17" t="s">
        <v>3255</v>
      </c>
      <c r="Z28" s="17" t="s">
        <v>39</v>
      </c>
      <c r="AA28" s="17" t="s">
        <v>2501</v>
      </c>
      <c r="AB28" s="29">
        <v>67.28</v>
      </c>
      <c r="AC28" s="25">
        <v>73.25</v>
      </c>
      <c r="AD28" s="25">
        <f>AC28*T28</f>
        <v>73.25</v>
      </c>
      <c r="AE28" s="25">
        <f>AB28*T28</f>
        <v>67.28</v>
      </c>
      <c r="AF28" s="25">
        <f>AD28-AE28</f>
        <v>5.9699999999999989</v>
      </c>
      <c r="AG28" s="26">
        <f>AF28/AD28</f>
        <v>8.1501706484641626E-2</v>
      </c>
      <c r="AH28" s="27" t="str">
        <f>IF(AG28&lt;0,"Negative",IF(AG28=0,"Same",IF(AG28&gt;0.3,"30+%",IF(AG28&gt;0.2,"20-30%",IF(AG28&gt;0.1,"10-20%",IF(AG28&lt;=0.1,"0-10%"))))))</f>
        <v>0-10%</v>
      </c>
      <c r="AI28" s="32"/>
      <c r="AJ28" s="36" t="s">
        <v>3300</v>
      </c>
      <c r="AK28" s="32"/>
    </row>
    <row r="29" spans="1:37" s="1" customFormat="1" ht="19.7" customHeight="1" x14ac:dyDescent="0.25">
      <c r="A29" s="5" t="s">
        <v>22</v>
      </c>
      <c r="B29" s="5" t="s">
        <v>2389</v>
      </c>
      <c r="C29" s="6">
        <v>44579</v>
      </c>
      <c r="D29" s="5" t="s">
        <v>24</v>
      </c>
      <c r="E29" s="5" t="s">
        <v>25</v>
      </c>
      <c r="F29" s="5" t="s">
        <v>26</v>
      </c>
      <c r="G29" s="5" t="s">
        <v>27</v>
      </c>
      <c r="H29" s="5" t="s">
        <v>28</v>
      </c>
      <c r="I29" s="5" t="s">
        <v>29</v>
      </c>
      <c r="J29" s="5" t="s">
        <v>30</v>
      </c>
      <c r="K29" s="5" t="s">
        <v>31</v>
      </c>
      <c r="L29" s="5" t="s">
        <v>32</v>
      </c>
      <c r="M29" s="5" t="s">
        <v>2390</v>
      </c>
      <c r="N29" s="5" t="s">
        <v>2391</v>
      </c>
      <c r="O29" s="5" t="s">
        <v>169</v>
      </c>
      <c r="P29" s="5" t="s">
        <v>2392</v>
      </c>
      <c r="Q29" s="5">
        <v>100772650</v>
      </c>
      <c r="R29" s="5" t="s">
        <v>56</v>
      </c>
      <c r="S29" s="5" t="s">
        <v>39</v>
      </c>
      <c r="T29" s="7">
        <v>8</v>
      </c>
      <c r="U29" s="15" t="s">
        <v>169</v>
      </c>
      <c r="V29" s="16" t="s">
        <v>2392</v>
      </c>
      <c r="W29" s="17">
        <v>100772650</v>
      </c>
      <c r="X29" s="16" t="s">
        <v>2812</v>
      </c>
      <c r="Y29" s="17" t="s">
        <v>3263</v>
      </c>
      <c r="Z29" s="17" t="s">
        <v>39</v>
      </c>
      <c r="AA29" s="17" t="s">
        <v>37</v>
      </c>
      <c r="AB29" s="43">
        <v>34.64</v>
      </c>
      <c r="AC29" s="25">
        <v>38.21</v>
      </c>
      <c r="AD29" s="25">
        <f>AC29*T29</f>
        <v>305.68</v>
      </c>
      <c r="AE29" s="25">
        <f>AB29*T29</f>
        <v>277.12</v>
      </c>
      <c r="AF29" s="25">
        <f>AD29-AE29</f>
        <v>28.560000000000002</v>
      </c>
      <c r="AG29" s="26">
        <f>AF29/AD29</f>
        <v>9.3431038995027485E-2</v>
      </c>
      <c r="AH29" s="27" t="str">
        <f>IF(AG29&lt;0,"Negative",IF(AG29=0,"Same",IF(AG29&gt;0.3,"30+%",IF(AG29&gt;0.2,"20-30%",IF(AG29&gt;0.1,"10-20%",IF(AG29&lt;=0.1,"0-10%"))))))</f>
        <v>0-10%</v>
      </c>
      <c r="AI29" s="32"/>
      <c r="AJ29" s="36" t="s">
        <v>3299</v>
      </c>
      <c r="AK29" s="32"/>
    </row>
    <row r="30" spans="1:37" s="1" customFormat="1" ht="19.7" customHeight="1" x14ac:dyDescent="0.25">
      <c r="A30" s="5" t="s">
        <v>22</v>
      </c>
      <c r="B30" s="5" t="s">
        <v>2442</v>
      </c>
      <c r="C30" s="6">
        <v>44588</v>
      </c>
      <c r="D30" s="5" t="s">
        <v>24</v>
      </c>
      <c r="E30" s="5" t="s">
        <v>25</v>
      </c>
      <c r="F30" s="5" t="s">
        <v>26</v>
      </c>
      <c r="G30" s="5" t="s">
        <v>27</v>
      </c>
      <c r="H30" s="5" t="s">
        <v>28</v>
      </c>
      <c r="I30" s="5" t="s">
        <v>29</v>
      </c>
      <c r="J30" s="5" t="s">
        <v>30</v>
      </c>
      <c r="K30" s="5" t="s">
        <v>31</v>
      </c>
      <c r="L30" s="5" t="s">
        <v>32</v>
      </c>
      <c r="M30" s="5" t="s">
        <v>2444</v>
      </c>
      <c r="N30" s="5" t="s">
        <v>2443</v>
      </c>
      <c r="O30" s="5" t="s">
        <v>169</v>
      </c>
      <c r="P30" s="5" t="s">
        <v>2445</v>
      </c>
      <c r="Q30" s="5">
        <v>100775432</v>
      </c>
      <c r="R30" s="5" t="s">
        <v>56</v>
      </c>
      <c r="S30" s="5" t="s">
        <v>39</v>
      </c>
      <c r="T30" s="7">
        <v>1</v>
      </c>
      <c r="U30" s="15" t="s">
        <v>169</v>
      </c>
      <c r="V30" s="16" t="s">
        <v>2445</v>
      </c>
      <c r="W30" s="17">
        <v>100775432</v>
      </c>
      <c r="X30" s="16" t="s">
        <v>3273</v>
      </c>
      <c r="Y30" s="17" t="s">
        <v>3274</v>
      </c>
      <c r="Z30" s="17" t="s">
        <v>39</v>
      </c>
      <c r="AA30" s="17" t="s">
        <v>37</v>
      </c>
      <c r="AB30" s="43">
        <v>36.33</v>
      </c>
      <c r="AC30" s="25">
        <v>37.97</v>
      </c>
      <c r="AD30" s="25">
        <f>AC30*T30</f>
        <v>37.97</v>
      </c>
      <c r="AE30" s="25">
        <f>AB30*T30</f>
        <v>36.33</v>
      </c>
      <c r="AF30" s="25">
        <f>AD30-AE30</f>
        <v>1.6400000000000006</v>
      </c>
      <c r="AG30" s="26">
        <f>AF30/AD30</f>
        <v>4.3191993679220456E-2</v>
      </c>
      <c r="AH30" s="27" t="str">
        <f>IF(AG30&lt;0,"Negative",IF(AG30=0,"Same",IF(AG30&gt;0.3,"30+%",IF(AG30&gt;0.2,"20-30%",IF(AG30&gt;0.1,"10-20%",IF(AG30&lt;=0.1,"0-10%"))))))</f>
        <v>0-10%</v>
      </c>
      <c r="AI30" s="32"/>
      <c r="AJ30" s="36" t="s">
        <v>3300</v>
      </c>
      <c r="AK30" s="32"/>
    </row>
    <row r="31" spans="1:37" s="1" customFormat="1" ht="19.7" customHeight="1" x14ac:dyDescent="0.25">
      <c r="A31" s="9" t="s">
        <v>22</v>
      </c>
      <c r="B31" s="9" t="s">
        <v>159</v>
      </c>
      <c r="C31" s="10">
        <v>44236</v>
      </c>
      <c r="D31" s="9" t="s">
        <v>24</v>
      </c>
      <c r="E31" s="9" t="s">
        <v>25</v>
      </c>
      <c r="F31" s="9" t="s">
        <v>26</v>
      </c>
      <c r="G31" s="9" t="s">
        <v>27</v>
      </c>
      <c r="H31" s="9" t="s">
        <v>28</v>
      </c>
      <c r="I31" s="9" t="s">
        <v>29</v>
      </c>
      <c r="J31" s="9" t="s">
        <v>30</v>
      </c>
      <c r="K31" s="9" t="s">
        <v>31</v>
      </c>
      <c r="L31" s="9" t="s">
        <v>32</v>
      </c>
      <c r="M31" s="9" t="s">
        <v>160</v>
      </c>
      <c r="N31" s="9" t="s">
        <v>96</v>
      </c>
      <c r="O31" s="9" t="s">
        <v>161</v>
      </c>
      <c r="P31" s="9" t="s">
        <v>162</v>
      </c>
      <c r="Q31" s="9">
        <v>101466178</v>
      </c>
      <c r="R31" s="9" t="s">
        <v>61</v>
      </c>
      <c r="S31" s="9" t="s">
        <v>39</v>
      </c>
      <c r="T31" s="11">
        <v>50</v>
      </c>
      <c r="U31" s="15" t="s">
        <v>161</v>
      </c>
      <c r="V31" s="16" t="s">
        <v>162</v>
      </c>
      <c r="W31" s="17">
        <v>101466178</v>
      </c>
      <c r="X31" s="16" t="s">
        <v>2551</v>
      </c>
      <c r="Y31" s="17" t="s">
        <v>2552</v>
      </c>
      <c r="Z31" s="17" t="s">
        <v>39</v>
      </c>
      <c r="AA31" s="17" t="s">
        <v>2501</v>
      </c>
      <c r="AB31" s="29">
        <v>2.75</v>
      </c>
      <c r="AC31" s="25">
        <v>2.46</v>
      </c>
      <c r="AD31" s="25">
        <f>AC31*T31</f>
        <v>123</v>
      </c>
      <c r="AE31" s="25">
        <f>AB31*T31</f>
        <v>137.5</v>
      </c>
      <c r="AF31" s="25">
        <f>AD31-AE31</f>
        <v>-14.5</v>
      </c>
      <c r="AG31" s="26">
        <f>AF31/AD31</f>
        <v>-0.11788617886178862</v>
      </c>
      <c r="AH31" s="27" t="str">
        <f>IF(AG31&lt;0,"Negative",IF(AG31=0,"Same",IF(AG31&gt;0.3,"30+%",IF(AG31&gt;0.2,"20-30%",IF(AG31&gt;0.1,"10-20%",IF(AG31&lt;=0.1,"0-10%"))))))</f>
        <v>Negative</v>
      </c>
      <c r="AI31" s="32"/>
      <c r="AJ31" s="36" t="s">
        <v>3300</v>
      </c>
      <c r="AK31" s="32"/>
    </row>
    <row r="32" spans="1:37" s="1" customFormat="1" ht="19.7" customHeight="1" x14ac:dyDescent="0.25">
      <c r="A32" s="9" t="s">
        <v>22</v>
      </c>
      <c r="B32" s="9" t="s">
        <v>529</v>
      </c>
      <c r="C32" s="10">
        <v>44273</v>
      </c>
      <c r="D32" s="9" t="s">
        <v>24</v>
      </c>
      <c r="E32" s="9" t="s">
        <v>25</v>
      </c>
      <c r="F32" s="9" t="s">
        <v>26</v>
      </c>
      <c r="G32" s="9" t="s">
        <v>27</v>
      </c>
      <c r="H32" s="9" t="s">
        <v>28</v>
      </c>
      <c r="I32" s="9" t="s">
        <v>29</v>
      </c>
      <c r="J32" s="9" t="s">
        <v>30</v>
      </c>
      <c r="K32" s="9" t="s">
        <v>31</v>
      </c>
      <c r="L32" s="9" t="s">
        <v>32</v>
      </c>
      <c r="M32" s="9" t="s">
        <v>261</v>
      </c>
      <c r="N32" s="9" t="s">
        <v>530</v>
      </c>
      <c r="O32" s="9" t="s">
        <v>373</v>
      </c>
      <c r="P32" s="9" t="s">
        <v>531</v>
      </c>
      <c r="Q32" s="9">
        <v>115737392</v>
      </c>
      <c r="R32" s="9" t="s">
        <v>199</v>
      </c>
      <c r="S32" s="9" t="s">
        <v>39</v>
      </c>
      <c r="T32" s="11">
        <v>6</v>
      </c>
      <c r="U32" s="15" t="s">
        <v>373</v>
      </c>
      <c r="V32" s="16" t="s">
        <v>531</v>
      </c>
      <c r="W32" s="17">
        <v>115737392</v>
      </c>
      <c r="X32" s="16" t="s">
        <v>2718</v>
      </c>
      <c r="Y32" s="17" t="s">
        <v>2719</v>
      </c>
      <c r="Z32" s="17" t="s">
        <v>39</v>
      </c>
      <c r="AA32" s="17" t="s">
        <v>2501</v>
      </c>
      <c r="AB32" s="29">
        <v>37.92</v>
      </c>
      <c r="AC32" s="25">
        <v>41.28</v>
      </c>
      <c r="AD32" s="25">
        <f>AC32*T32</f>
        <v>247.68</v>
      </c>
      <c r="AE32" s="25">
        <f>AB32*T32</f>
        <v>227.52</v>
      </c>
      <c r="AF32" s="25">
        <f>AD32-AE32</f>
        <v>20.159999999999997</v>
      </c>
      <c r="AG32" s="26">
        <f>AF32/AD32</f>
        <v>8.139534883720928E-2</v>
      </c>
      <c r="AH32" s="27" t="str">
        <f>IF(AG32&lt;0,"Negative",IF(AG32=0,"Same",IF(AG32&gt;0.3,"30+%",IF(AG32&gt;0.2,"20-30%",IF(AG32&gt;0.1,"10-20%",IF(AG32&lt;=0.1,"0-10%"))))))</f>
        <v>0-10%</v>
      </c>
      <c r="AI32" s="32"/>
      <c r="AJ32" s="36" t="s">
        <v>3300</v>
      </c>
      <c r="AK32" s="32"/>
    </row>
    <row r="33" spans="1:37" s="1" customFormat="1" ht="19.7" customHeight="1" x14ac:dyDescent="0.25">
      <c r="A33" s="5" t="s">
        <v>22</v>
      </c>
      <c r="B33" s="5" t="s">
        <v>2472</v>
      </c>
      <c r="C33" s="6">
        <v>44589</v>
      </c>
      <c r="D33" s="5" t="s">
        <v>24</v>
      </c>
      <c r="E33" s="5" t="s">
        <v>25</v>
      </c>
      <c r="F33" s="5" t="s">
        <v>26</v>
      </c>
      <c r="G33" s="5" t="s">
        <v>27</v>
      </c>
      <c r="H33" s="5" t="s">
        <v>28</v>
      </c>
      <c r="I33" s="5" t="s">
        <v>29</v>
      </c>
      <c r="J33" s="5" t="s">
        <v>30</v>
      </c>
      <c r="K33" s="5" t="s">
        <v>31</v>
      </c>
      <c r="L33" s="5" t="s">
        <v>32</v>
      </c>
      <c r="M33" s="5" t="s">
        <v>2473</v>
      </c>
      <c r="N33" s="5" t="s">
        <v>2426</v>
      </c>
      <c r="O33" s="5" t="s">
        <v>43</v>
      </c>
      <c r="P33" s="5" t="s">
        <v>2474</v>
      </c>
      <c r="Q33" s="5">
        <v>110914564</v>
      </c>
      <c r="R33" s="5" t="s">
        <v>73</v>
      </c>
      <c r="S33" s="5" t="s">
        <v>39</v>
      </c>
      <c r="T33" s="7">
        <v>1</v>
      </c>
      <c r="U33" s="15" t="s">
        <v>43</v>
      </c>
      <c r="V33" s="16" t="s">
        <v>2474</v>
      </c>
      <c r="W33" s="17">
        <v>110914564</v>
      </c>
      <c r="X33" s="16" t="s">
        <v>2745</v>
      </c>
      <c r="Y33" s="17" t="s">
        <v>3282</v>
      </c>
      <c r="Z33" s="17" t="s">
        <v>39</v>
      </c>
      <c r="AA33" s="17" t="s">
        <v>2501</v>
      </c>
      <c r="AB33" s="29">
        <v>183.79</v>
      </c>
      <c r="AC33" s="25">
        <v>176.71</v>
      </c>
      <c r="AD33" s="25">
        <f>AC33*T33</f>
        <v>176.71</v>
      </c>
      <c r="AE33" s="25">
        <f>AB33*T33</f>
        <v>183.79</v>
      </c>
      <c r="AF33" s="25">
        <f>AD33-AE33</f>
        <v>-7.0799999999999841</v>
      </c>
      <c r="AG33" s="26">
        <f>AF33/AD33</f>
        <v>-4.0065644275932226E-2</v>
      </c>
      <c r="AH33" s="27" t="str">
        <f>IF(AG33&lt;0,"Negative",IF(AG33=0,"Same",IF(AG33&gt;0.3,"30+%",IF(AG33&gt;0.2,"20-30%",IF(AG33&gt;0.1,"10-20%",IF(AG33&lt;=0.1,"0-10%"))))))</f>
        <v>Negative</v>
      </c>
      <c r="AI33" s="32"/>
      <c r="AJ33" s="36" t="s">
        <v>3300</v>
      </c>
      <c r="AK33" s="32"/>
    </row>
    <row r="34" spans="1:37" s="1" customFormat="1" ht="19.7" customHeight="1" x14ac:dyDescent="0.25">
      <c r="A34" s="9" t="s">
        <v>22</v>
      </c>
      <c r="B34" s="9" t="s">
        <v>2321</v>
      </c>
      <c r="C34" s="10">
        <v>44567</v>
      </c>
      <c r="D34" s="9" t="s">
        <v>24</v>
      </c>
      <c r="E34" s="9" t="s">
        <v>25</v>
      </c>
      <c r="F34" s="9" t="s">
        <v>26</v>
      </c>
      <c r="G34" s="9" t="s">
        <v>27</v>
      </c>
      <c r="H34" s="9" t="s">
        <v>28</v>
      </c>
      <c r="I34" s="9" t="s">
        <v>29</v>
      </c>
      <c r="J34" s="9" t="s">
        <v>30</v>
      </c>
      <c r="K34" s="9" t="s">
        <v>31</v>
      </c>
      <c r="L34" s="9" t="s">
        <v>32</v>
      </c>
      <c r="M34" s="9" t="s">
        <v>2322</v>
      </c>
      <c r="N34" s="9" t="s">
        <v>2323</v>
      </c>
      <c r="O34" s="9" t="s">
        <v>169</v>
      </c>
      <c r="P34" s="9" t="s">
        <v>2324</v>
      </c>
      <c r="Q34" s="9">
        <v>100772667</v>
      </c>
      <c r="R34" s="9" t="s">
        <v>56</v>
      </c>
      <c r="S34" s="9" t="s">
        <v>39</v>
      </c>
      <c r="T34" s="11">
        <v>5</v>
      </c>
      <c r="U34" s="15" t="s">
        <v>169</v>
      </c>
      <c r="V34" s="16" t="s">
        <v>2324</v>
      </c>
      <c r="W34" s="17">
        <v>100772667</v>
      </c>
      <c r="X34" s="16" t="s">
        <v>2812</v>
      </c>
      <c r="Y34" s="17" t="s">
        <v>3248</v>
      </c>
      <c r="Z34" s="17" t="s">
        <v>39</v>
      </c>
      <c r="AA34" s="17" t="s">
        <v>37</v>
      </c>
      <c r="AB34" s="43">
        <v>52.72</v>
      </c>
      <c r="AC34" s="25">
        <v>58.13</v>
      </c>
      <c r="AD34" s="25">
        <f>AC34*T34</f>
        <v>290.65000000000003</v>
      </c>
      <c r="AE34" s="25">
        <f>AB34*T34</f>
        <v>263.60000000000002</v>
      </c>
      <c r="AF34" s="25">
        <f>AD34-AE34</f>
        <v>27.050000000000011</v>
      </c>
      <c r="AG34" s="26">
        <f>AF34/AD34</f>
        <v>9.3067263031137132E-2</v>
      </c>
      <c r="AH34" s="27" t="str">
        <f>IF(AG34&lt;0,"Negative",IF(AG34=0,"Same",IF(AG34&gt;0.3,"30+%",IF(AG34&gt;0.2,"20-30%",IF(AG34&gt;0.1,"10-20%",IF(AG34&lt;=0.1,"0-10%"))))))</f>
        <v>0-10%</v>
      </c>
      <c r="AI34" s="32"/>
      <c r="AJ34" s="36" t="s">
        <v>3299</v>
      </c>
      <c r="AK34" s="32"/>
    </row>
    <row r="35" spans="1:37" s="1" customFormat="1" ht="19.7" customHeight="1" x14ac:dyDescent="0.25">
      <c r="A35" s="5" t="s">
        <v>22</v>
      </c>
      <c r="B35" s="5" t="s">
        <v>137</v>
      </c>
      <c r="C35" s="6">
        <v>44232</v>
      </c>
      <c r="D35" s="5" t="s">
        <v>24</v>
      </c>
      <c r="E35" s="5" t="s">
        <v>25</v>
      </c>
      <c r="F35" s="5" t="s">
        <v>26</v>
      </c>
      <c r="G35" s="5" t="s">
        <v>67</v>
      </c>
      <c r="H35" s="5" t="s">
        <v>68</v>
      </c>
      <c r="I35" s="5" t="s">
        <v>29</v>
      </c>
      <c r="J35" s="5" t="s">
        <v>30</v>
      </c>
      <c r="K35" s="5" t="s">
        <v>31</v>
      </c>
      <c r="L35" s="5" t="s">
        <v>32</v>
      </c>
      <c r="M35" s="5" t="s">
        <v>143</v>
      </c>
      <c r="N35" s="5" t="s">
        <v>139</v>
      </c>
      <c r="O35" s="5" t="s">
        <v>144</v>
      </c>
      <c r="P35" s="5" t="s">
        <v>145</v>
      </c>
      <c r="Q35" s="5">
        <v>105695206</v>
      </c>
      <c r="R35" s="5" t="s">
        <v>38</v>
      </c>
      <c r="S35" s="5" t="s">
        <v>39</v>
      </c>
      <c r="T35" s="7">
        <v>12</v>
      </c>
      <c r="U35" s="15" t="s">
        <v>144</v>
      </c>
      <c r="V35" s="16" t="s">
        <v>145</v>
      </c>
      <c r="W35" s="17">
        <v>105695206</v>
      </c>
      <c r="X35" s="16" t="s">
        <v>2534</v>
      </c>
      <c r="Y35" s="17" t="s">
        <v>2545</v>
      </c>
      <c r="Z35" s="17" t="s">
        <v>39</v>
      </c>
      <c r="AA35" s="17" t="s">
        <v>2501</v>
      </c>
      <c r="AB35" s="29">
        <v>4.68</v>
      </c>
      <c r="AC35" s="25">
        <v>6.36</v>
      </c>
      <c r="AD35" s="25">
        <f>AC35*T35</f>
        <v>76.320000000000007</v>
      </c>
      <c r="AE35" s="25">
        <f>AB35*T35</f>
        <v>56.16</v>
      </c>
      <c r="AF35" s="25">
        <f>AD35-AE35</f>
        <v>20.160000000000011</v>
      </c>
      <c r="AG35" s="26">
        <f>AF35/AD35</f>
        <v>0.26415094339622652</v>
      </c>
      <c r="AH35" s="27" t="str">
        <f>IF(AG35&lt;0,"Negative",IF(AG35=0,"Same",IF(AG35&gt;0.3,"30+%",IF(AG35&gt;0.2,"20-30%",IF(AG35&gt;0.1,"10-20%",IF(AG35&lt;=0.1,"0-10%"))))))</f>
        <v>20-30%</v>
      </c>
      <c r="AI35" s="32"/>
      <c r="AJ35" s="36" t="s">
        <v>3300</v>
      </c>
      <c r="AK35" s="32"/>
    </row>
    <row r="36" spans="1:37" s="1" customFormat="1" ht="19.7" customHeight="1" x14ac:dyDescent="0.25">
      <c r="A36" s="9" t="s">
        <v>22</v>
      </c>
      <c r="B36" s="9" t="s">
        <v>2295</v>
      </c>
      <c r="C36" s="10">
        <v>44564</v>
      </c>
      <c r="D36" s="9" t="s">
        <v>24</v>
      </c>
      <c r="E36" s="9" t="s">
        <v>25</v>
      </c>
      <c r="F36" s="9" t="s">
        <v>26</v>
      </c>
      <c r="G36" s="9" t="s">
        <v>27</v>
      </c>
      <c r="H36" s="9" t="s">
        <v>28</v>
      </c>
      <c r="I36" s="9" t="s">
        <v>29</v>
      </c>
      <c r="J36" s="9" t="s">
        <v>30</v>
      </c>
      <c r="K36" s="9" t="s">
        <v>31</v>
      </c>
      <c r="L36" s="9" t="s">
        <v>32</v>
      </c>
      <c r="M36" s="9" t="s">
        <v>2001</v>
      </c>
      <c r="N36" s="9" t="s">
        <v>2296</v>
      </c>
      <c r="O36" s="9" t="s">
        <v>2003</v>
      </c>
      <c r="P36" s="9" t="s">
        <v>2004</v>
      </c>
      <c r="Q36" s="9">
        <v>111890497</v>
      </c>
      <c r="R36" s="9" t="s">
        <v>105</v>
      </c>
      <c r="S36" s="9" t="s">
        <v>205</v>
      </c>
      <c r="T36" s="11">
        <v>2</v>
      </c>
      <c r="U36" s="15" t="s">
        <v>2003</v>
      </c>
      <c r="V36" s="16" t="s">
        <v>2004</v>
      </c>
      <c r="W36" s="17">
        <v>111890497</v>
      </c>
      <c r="X36" s="16" t="s">
        <v>3140</v>
      </c>
      <c r="Y36" s="17" t="s">
        <v>3185</v>
      </c>
      <c r="Z36" s="17" t="s">
        <v>205</v>
      </c>
      <c r="AA36" s="17" t="s">
        <v>37</v>
      </c>
      <c r="AB36" s="29">
        <v>65.12</v>
      </c>
      <c r="AC36" s="25">
        <v>63.69</v>
      </c>
      <c r="AD36" s="25">
        <f>AC36*T36</f>
        <v>127.38</v>
      </c>
      <c r="AE36" s="25">
        <f>AB36*T36</f>
        <v>130.24</v>
      </c>
      <c r="AF36" s="25">
        <f>AD36-AE36</f>
        <v>-2.8600000000000136</v>
      </c>
      <c r="AG36" s="26">
        <f>AF36/AD36</f>
        <v>-2.2452504317789401E-2</v>
      </c>
      <c r="AH36" s="27" t="str">
        <f>IF(AG36&lt;0,"Negative",IF(AG36=0,"Same",IF(AG36&gt;0.3,"30+%",IF(AG36&gt;0.2,"20-30%",IF(AG36&gt;0.1,"10-20%",IF(AG36&lt;=0.1,"0-10%"))))))</f>
        <v>Negative</v>
      </c>
      <c r="AI36" s="32"/>
      <c r="AJ36" s="36" t="s">
        <v>3300</v>
      </c>
      <c r="AK36" s="32"/>
    </row>
    <row r="37" spans="1:37" s="1" customFormat="1" ht="19.7" customHeight="1" x14ac:dyDescent="0.25">
      <c r="A37" s="5" t="s">
        <v>22</v>
      </c>
      <c r="B37" s="5" t="s">
        <v>2372</v>
      </c>
      <c r="C37" s="6">
        <v>44574</v>
      </c>
      <c r="D37" s="5" t="s">
        <v>24</v>
      </c>
      <c r="E37" s="5" t="s">
        <v>25</v>
      </c>
      <c r="F37" s="5" t="s">
        <v>26</v>
      </c>
      <c r="G37" s="5" t="s">
        <v>27</v>
      </c>
      <c r="H37" s="5" t="s">
        <v>28</v>
      </c>
      <c r="I37" s="5" t="s">
        <v>29</v>
      </c>
      <c r="J37" s="5" t="s">
        <v>30</v>
      </c>
      <c r="K37" s="5" t="s">
        <v>31</v>
      </c>
      <c r="L37" s="5" t="s">
        <v>32</v>
      </c>
      <c r="M37" s="5" t="s">
        <v>2001</v>
      </c>
      <c r="N37" s="5" t="s">
        <v>2373</v>
      </c>
      <c r="O37" s="5" t="s">
        <v>2003</v>
      </c>
      <c r="P37" s="5" t="s">
        <v>2004</v>
      </c>
      <c r="Q37" s="5">
        <v>111890497</v>
      </c>
      <c r="R37" s="5" t="s">
        <v>105</v>
      </c>
      <c r="S37" s="5" t="s">
        <v>205</v>
      </c>
      <c r="T37" s="7">
        <v>1</v>
      </c>
      <c r="U37" s="15" t="s">
        <v>2003</v>
      </c>
      <c r="V37" s="16" t="s">
        <v>2004</v>
      </c>
      <c r="W37" s="17">
        <v>111890497</v>
      </c>
      <c r="X37" s="16" t="s">
        <v>3140</v>
      </c>
      <c r="Y37" s="17" t="s">
        <v>3185</v>
      </c>
      <c r="Z37" s="17" t="s">
        <v>205</v>
      </c>
      <c r="AA37" s="17" t="s">
        <v>37</v>
      </c>
      <c r="AB37" s="29">
        <v>65.12</v>
      </c>
      <c r="AC37" s="25">
        <v>63.69</v>
      </c>
      <c r="AD37" s="25">
        <f>AC37*T37</f>
        <v>63.69</v>
      </c>
      <c r="AE37" s="25">
        <f>AB37*T37</f>
        <v>65.12</v>
      </c>
      <c r="AF37" s="25">
        <f>AD37-AE37</f>
        <v>-1.4300000000000068</v>
      </c>
      <c r="AG37" s="26">
        <f>AF37/AD37</f>
        <v>-2.2452504317789401E-2</v>
      </c>
      <c r="AH37" s="27" t="str">
        <f>IF(AG37&lt;0,"Negative",IF(AG37=0,"Same",IF(AG37&gt;0.3,"30+%",IF(AG37&gt;0.2,"20-30%",IF(AG37&gt;0.1,"10-20%",IF(AG37&lt;=0.1,"0-10%"))))))</f>
        <v>Negative</v>
      </c>
      <c r="AI37" s="32"/>
      <c r="AJ37" s="36" t="s">
        <v>3300</v>
      </c>
      <c r="AK37" s="32"/>
    </row>
    <row r="38" spans="1:37" s="1" customFormat="1" ht="19.7" customHeight="1" x14ac:dyDescent="0.25">
      <c r="A38" s="5" t="s">
        <v>22</v>
      </c>
      <c r="B38" s="5" t="s">
        <v>2184</v>
      </c>
      <c r="C38" s="6">
        <v>44533</v>
      </c>
      <c r="D38" s="5" t="s">
        <v>24</v>
      </c>
      <c r="E38" s="5" t="s">
        <v>25</v>
      </c>
      <c r="F38" s="5" t="s">
        <v>26</v>
      </c>
      <c r="G38" s="5" t="s">
        <v>67</v>
      </c>
      <c r="H38" s="5" t="s">
        <v>68</v>
      </c>
      <c r="I38" s="5" t="s">
        <v>29</v>
      </c>
      <c r="J38" s="5" t="s">
        <v>30</v>
      </c>
      <c r="K38" s="5" t="s">
        <v>31</v>
      </c>
      <c r="L38" s="5" t="s">
        <v>32</v>
      </c>
      <c r="M38" s="5" t="s">
        <v>691</v>
      </c>
      <c r="N38" s="5" t="s">
        <v>2185</v>
      </c>
      <c r="O38" s="5" t="s">
        <v>446</v>
      </c>
      <c r="P38" s="5" t="s">
        <v>692</v>
      </c>
      <c r="Q38" s="5">
        <v>110914132</v>
      </c>
      <c r="R38" s="5" t="s">
        <v>448</v>
      </c>
      <c r="S38" s="5" t="s">
        <v>39</v>
      </c>
      <c r="T38" s="7">
        <v>5</v>
      </c>
      <c r="U38" s="15" t="s">
        <v>446</v>
      </c>
      <c r="V38" s="16" t="s">
        <v>692</v>
      </c>
      <c r="W38" s="17">
        <v>110914132</v>
      </c>
      <c r="X38" s="16" t="s">
        <v>2779</v>
      </c>
      <c r="Y38" s="17" t="s">
        <v>2780</v>
      </c>
      <c r="Z38" s="17" t="s">
        <v>39</v>
      </c>
      <c r="AA38" s="17" t="s">
        <v>2501</v>
      </c>
      <c r="AB38" s="29">
        <v>59.61</v>
      </c>
      <c r="AC38" s="25">
        <v>54.3</v>
      </c>
      <c r="AD38" s="25">
        <f>AC38*T38</f>
        <v>271.5</v>
      </c>
      <c r="AE38" s="25">
        <f>AB38*T38</f>
        <v>298.05</v>
      </c>
      <c r="AF38" s="25">
        <f>AD38-AE38</f>
        <v>-26.550000000000011</v>
      </c>
      <c r="AG38" s="26">
        <f>AF38/AD38</f>
        <v>-9.7790055248618821E-2</v>
      </c>
      <c r="AH38" s="27" t="str">
        <f>IF(AG38&lt;0,"Negative",IF(AG38=0,"Same",IF(AG38&gt;0.3,"30+%",IF(AG38&gt;0.2,"20-30%",IF(AG38&gt;0.1,"10-20%",IF(AG38&lt;=0.1,"0-10%"))))))</f>
        <v>Negative</v>
      </c>
      <c r="AI38" s="32"/>
      <c r="AJ38" s="36" t="s">
        <v>3300</v>
      </c>
      <c r="AK38" s="32"/>
    </row>
    <row r="39" spans="1:37" s="1" customFormat="1" ht="19.7" customHeight="1" x14ac:dyDescent="0.25">
      <c r="A39" s="9" t="s">
        <v>22</v>
      </c>
      <c r="B39" s="9" t="s">
        <v>1680</v>
      </c>
      <c r="C39" s="10">
        <v>44435</v>
      </c>
      <c r="D39" s="9" t="s">
        <v>24</v>
      </c>
      <c r="E39" s="9" t="s">
        <v>25</v>
      </c>
      <c r="F39" s="9" t="s">
        <v>26</v>
      </c>
      <c r="G39" s="9" t="s">
        <v>67</v>
      </c>
      <c r="H39" s="9" t="s">
        <v>68</v>
      </c>
      <c r="I39" s="9" t="s">
        <v>29</v>
      </c>
      <c r="J39" s="9" t="s">
        <v>30</v>
      </c>
      <c r="K39" s="9" t="s">
        <v>31</v>
      </c>
      <c r="L39" s="9" t="s">
        <v>32</v>
      </c>
      <c r="M39" s="9" t="s">
        <v>691</v>
      </c>
      <c r="N39" s="9" t="s">
        <v>1259</v>
      </c>
      <c r="O39" s="9" t="s">
        <v>446</v>
      </c>
      <c r="P39" s="9" t="s">
        <v>692</v>
      </c>
      <c r="Q39" s="9">
        <v>110914132</v>
      </c>
      <c r="R39" s="9" t="s">
        <v>448</v>
      </c>
      <c r="S39" s="9" t="s">
        <v>39</v>
      </c>
      <c r="T39" s="11">
        <v>4</v>
      </c>
      <c r="U39" s="15" t="s">
        <v>446</v>
      </c>
      <c r="V39" s="16" t="s">
        <v>692</v>
      </c>
      <c r="W39" s="17">
        <v>110914132</v>
      </c>
      <c r="X39" s="16" t="s">
        <v>2779</v>
      </c>
      <c r="Y39" s="17" t="s">
        <v>2780</v>
      </c>
      <c r="Z39" s="17" t="s">
        <v>39</v>
      </c>
      <c r="AA39" s="17" t="s">
        <v>2501</v>
      </c>
      <c r="AB39" s="29">
        <v>59.61</v>
      </c>
      <c r="AC39" s="25">
        <v>54.3</v>
      </c>
      <c r="AD39" s="25">
        <f>AC39*T39</f>
        <v>217.2</v>
      </c>
      <c r="AE39" s="25">
        <f>AB39*T39</f>
        <v>238.44</v>
      </c>
      <c r="AF39" s="25">
        <f>AD39-AE39</f>
        <v>-21.240000000000009</v>
      </c>
      <c r="AG39" s="26">
        <f>AF39/AD39</f>
        <v>-9.7790055248618835E-2</v>
      </c>
      <c r="AH39" s="27" t="str">
        <f>IF(AG39&lt;0,"Negative",IF(AG39=0,"Same",IF(AG39&gt;0.3,"30+%",IF(AG39&gt;0.2,"20-30%",IF(AG39&gt;0.1,"10-20%",IF(AG39&lt;=0.1,"0-10%"))))))</f>
        <v>Negative</v>
      </c>
      <c r="AI39" s="32"/>
      <c r="AJ39" s="36" t="s">
        <v>3300</v>
      </c>
      <c r="AK39" s="32"/>
    </row>
    <row r="40" spans="1:37" s="1" customFormat="1" ht="19.7" customHeight="1" x14ac:dyDescent="0.25">
      <c r="A40" s="5" t="s">
        <v>22</v>
      </c>
      <c r="B40" s="5" t="s">
        <v>689</v>
      </c>
      <c r="C40" s="6">
        <v>44288</v>
      </c>
      <c r="D40" s="5" t="s">
        <v>24</v>
      </c>
      <c r="E40" s="5" t="s">
        <v>25</v>
      </c>
      <c r="F40" s="5" t="s">
        <v>26</v>
      </c>
      <c r="G40" s="5" t="s">
        <v>67</v>
      </c>
      <c r="H40" s="5" t="s">
        <v>68</v>
      </c>
      <c r="I40" s="5" t="s">
        <v>29</v>
      </c>
      <c r="J40" s="5" t="s">
        <v>30</v>
      </c>
      <c r="K40" s="5" t="s">
        <v>31</v>
      </c>
      <c r="L40" s="5" t="s">
        <v>32</v>
      </c>
      <c r="M40" s="5" t="s">
        <v>691</v>
      </c>
      <c r="N40" s="5" t="s">
        <v>690</v>
      </c>
      <c r="O40" s="5" t="s">
        <v>446</v>
      </c>
      <c r="P40" s="5" t="s">
        <v>692</v>
      </c>
      <c r="Q40" s="5">
        <v>110914132</v>
      </c>
      <c r="R40" s="5" t="s">
        <v>448</v>
      </c>
      <c r="S40" s="5" t="s">
        <v>39</v>
      </c>
      <c r="T40" s="7">
        <v>1</v>
      </c>
      <c r="U40" s="15" t="s">
        <v>446</v>
      </c>
      <c r="V40" s="16" t="s">
        <v>692</v>
      </c>
      <c r="W40" s="17">
        <v>110914132</v>
      </c>
      <c r="X40" s="16" t="s">
        <v>2779</v>
      </c>
      <c r="Y40" s="17" t="s">
        <v>2780</v>
      </c>
      <c r="Z40" s="17" t="s">
        <v>39</v>
      </c>
      <c r="AA40" s="17" t="s">
        <v>2501</v>
      </c>
      <c r="AB40" s="29">
        <v>59.61</v>
      </c>
      <c r="AC40" s="25">
        <v>54.3</v>
      </c>
      <c r="AD40" s="25">
        <f>AC40*T40</f>
        <v>54.3</v>
      </c>
      <c r="AE40" s="25">
        <f>AB40*T40</f>
        <v>59.61</v>
      </c>
      <c r="AF40" s="25">
        <f>AD40-AE40</f>
        <v>-5.3100000000000023</v>
      </c>
      <c r="AG40" s="26">
        <f>AF40/AD40</f>
        <v>-9.7790055248618835E-2</v>
      </c>
      <c r="AH40" s="27" t="str">
        <f>IF(AG40&lt;0,"Negative",IF(AG40=0,"Same",IF(AG40&gt;0.3,"30+%",IF(AG40&gt;0.2,"20-30%",IF(AG40&gt;0.1,"10-20%",IF(AG40&lt;=0.1,"0-10%"))))))</f>
        <v>Negative</v>
      </c>
      <c r="AI40" s="32"/>
      <c r="AJ40" s="36" t="s">
        <v>3300</v>
      </c>
      <c r="AK40" s="32"/>
    </row>
    <row r="41" spans="1:37" s="1" customFormat="1" ht="19.7" customHeight="1" x14ac:dyDescent="0.25">
      <c r="A41" s="9" t="s">
        <v>22</v>
      </c>
      <c r="B41" s="9" t="s">
        <v>881</v>
      </c>
      <c r="C41" s="10">
        <v>44315</v>
      </c>
      <c r="D41" s="9" t="s">
        <v>24</v>
      </c>
      <c r="E41" s="9" t="s">
        <v>25</v>
      </c>
      <c r="F41" s="9" t="s">
        <v>26</v>
      </c>
      <c r="G41" s="9" t="s">
        <v>27</v>
      </c>
      <c r="H41" s="9" t="s">
        <v>28</v>
      </c>
      <c r="I41" s="9" t="s">
        <v>29</v>
      </c>
      <c r="J41" s="9" t="s">
        <v>30</v>
      </c>
      <c r="K41" s="9" t="s">
        <v>31</v>
      </c>
      <c r="L41" s="9" t="s">
        <v>32</v>
      </c>
      <c r="M41" s="9" t="s">
        <v>882</v>
      </c>
      <c r="N41" s="9" t="s">
        <v>333</v>
      </c>
      <c r="O41" s="9" t="s">
        <v>883</v>
      </c>
      <c r="P41" s="9" t="s">
        <v>884</v>
      </c>
      <c r="Q41" s="9">
        <v>110964191</v>
      </c>
      <c r="R41" s="9" t="s">
        <v>199</v>
      </c>
      <c r="S41" s="9" t="s">
        <v>39</v>
      </c>
      <c r="T41" s="11">
        <v>1</v>
      </c>
      <c r="U41" s="15" t="s">
        <v>883</v>
      </c>
      <c r="V41" s="16" t="s">
        <v>884</v>
      </c>
      <c r="W41" s="17">
        <v>110964191</v>
      </c>
      <c r="X41" s="16" t="s">
        <v>2849</v>
      </c>
      <c r="Y41" s="17" t="s">
        <v>2850</v>
      </c>
      <c r="Z41" s="17" t="s">
        <v>39</v>
      </c>
      <c r="AA41" s="17" t="s">
        <v>2501</v>
      </c>
      <c r="AB41" s="29">
        <v>201.27</v>
      </c>
      <c r="AC41" s="25">
        <v>219.13</v>
      </c>
      <c r="AD41" s="25">
        <f>AC41*T41</f>
        <v>219.13</v>
      </c>
      <c r="AE41" s="25">
        <f>AB41*T41</f>
        <v>201.27</v>
      </c>
      <c r="AF41" s="25">
        <f>AD41-AE41</f>
        <v>17.859999999999985</v>
      </c>
      <c r="AG41" s="26">
        <f>AF41/AD41</f>
        <v>8.1504129968511779E-2</v>
      </c>
      <c r="AH41" s="27" t="str">
        <f>IF(AG41&lt;0,"Negative",IF(AG41=0,"Same",IF(AG41&gt;0.3,"30+%",IF(AG41&gt;0.2,"20-30%",IF(AG41&gt;0.1,"10-20%",IF(AG41&lt;=0.1,"0-10%"))))))</f>
        <v>0-10%</v>
      </c>
      <c r="AI41" s="32"/>
      <c r="AJ41" s="36" t="s">
        <v>3300</v>
      </c>
      <c r="AK41" s="32"/>
    </row>
    <row r="42" spans="1:37" s="1" customFormat="1" ht="19.7" customHeight="1" x14ac:dyDescent="0.25">
      <c r="A42" s="9" t="s">
        <v>22</v>
      </c>
      <c r="B42" s="9" t="s">
        <v>375</v>
      </c>
      <c r="C42" s="10">
        <v>44256</v>
      </c>
      <c r="D42" s="9" t="s">
        <v>24</v>
      </c>
      <c r="E42" s="9" t="s">
        <v>25</v>
      </c>
      <c r="F42" s="9" t="s">
        <v>26</v>
      </c>
      <c r="G42" s="9" t="s">
        <v>27</v>
      </c>
      <c r="H42" s="9" t="s">
        <v>28</v>
      </c>
      <c r="I42" s="9" t="s">
        <v>29</v>
      </c>
      <c r="J42" s="9" t="s">
        <v>30</v>
      </c>
      <c r="K42" s="9" t="s">
        <v>31</v>
      </c>
      <c r="L42" s="9" t="s">
        <v>32</v>
      </c>
      <c r="M42" s="9" t="s">
        <v>376</v>
      </c>
      <c r="N42" s="9" t="s">
        <v>247</v>
      </c>
      <c r="O42" s="9" t="s">
        <v>377</v>
      </c>
      <c r="P42" s="9" t="s">
        <v>378</v>
      </c>
      <c r="Q42" s="9">
        <v>113222083</v>
      </c>
      <c r="R42" s="9" t="s">
        <v>199</v>
      </c>
      <c r="S42" s="9" t="s">
        <v>39</v>
      </c>
      <c r="T42" s="11">
        <v>1</v>
      </c>
      <c r="U42" s="15" t="s">
        <v>377</v>
      </c>
      <c r="V42" s="16" t="s">
        <v>378</v>
      </c>
      <c r="W42" s="17">
        <v>113222083</v>
      </c>
      <c r="X42" s="16" t="s">
        <v>2633</v>
      </c>
      <c r="Y42" s="17" t="s">
        <v>2647</v>
      </c>
      <c r="Z42" s="17" t="s">
        <v>39</v>
      </c>
      <c r="AA42" s="17" t="s">
        <v>2501</v>
      </c>
      <c r="AB42" s="29">
        <v>188.31</v>
      </c>
      <c r="AC42" s="25">
        <v>205.03</v>
      </c>
      <c r="AD42" s="25">
        <f>AC42*T42</f>
        <v>205.03</v>
      </c>
      <c r="AE42" s="25">
        <f>AB42*T42</f>
        <v>188.31</v>
      </c>
      <c r="AF42" s="25">
        <f>AD42-AE42</f>
        <v>16.72</v>
      </c>
      <c r="AG42" s="26">
        <f>AF42/AD42</f>
        <v>8.1549041603667743E-2</v>
      </c>
      <c r="AH42" s="27" t="str">
        <f>IF(AG42&lt;0,"Negative",IF(AG42=0,"Same",IF(AG42&gt;0.3,"30+%",IF(AG42&gt;0.2,"20-30%",IF(AG42&gt;0.1,"10-20%",IF(AG42&lt;=0.1,"0-10%"))))))</f>
        <v>0-10%</v>
      </c>
      <c r="AI42" s="32"/>
      <c r="AJ42" s="36" t="s">
        <v>3300</v>
      </c>
      <c r="AK42" s="32"/>
    </row>
    <row r="43" spans="1:37" s="1" customFormat="1" ht="19.7" customHeight="1" x14ac:dyDescent="0.25">
      <c r="A43" s="5" t="s">
        <v>22</v>
      </c>
      <c r="B43" s="5" t="s">
        <v>1230</v>
      </c>
      <c r="C43" s="6">
        <v>44362</v>
      </c>
      <c r="D43" s="5" t="s">
        <v>24</v>
      </c>
      <c r="E43" s="5" t="s">
        <v>25</v>
      </c>
      <c r="F43" s="5" t="s">
        <v>26</v>
      </c>
      <c r="G43" s="5" t="s">
        <v>27</v>
      </c>
      <c r="H43" s="5" t="s">
        <v>28</v>
      </c>
      <c r="I43" s="5" t="s">
        <v>29</v>
      </c>
      <c r="J43" s="5" t="s">
        <v>30</v>
      </c>
      <c r="K43" s="5" t="s">
        <v>31</v>
      </c>
      <c r="L43" s="5" t="s">
        <v>32</v>
      </c>
      <c r="M43" s="5" t="s">
        <v>1231</v>
      </c>
      <c r="N43" s="5" t="s">
        <v>1232</v>
      </c>
      <c r="O43" s="5" t="s">
        <v>1192</v>
      </c>
      <c r="P43" s="5" t="s">
        <v>1233</v>
      </c>
      <c r="Q43" s="5">
        <v>113362535</v>
      </c>
      <c r="R43" s="5" t="s">
        <v>199</v>
      </c>
      <c r="S43" s="5" t="s">
        <v>39</v>
      </c>
      <c r="T43" s="7">
        <v>1</v>
      </c>
      <c r="U43" s="15" t="s">
        <v>1192</v>
      </c>
      <c r="V43" s="16" t="s">
        <v>1233</v>
      </c>
      <c r="W43" s="17">
        <v>113362535</v>
      </c>
      <c r="X43" s="16" t="s">
        <v>2633</v>
      </c>
      <c r="Y43" s="17" t="s">
        <v>2970</v>
      </c>
      <c r="Z43" s="17" t="s">
        <v>39</v>
      </c>
      <c r="AA43" s="17" t="s">
        <v>2501</v>
      </c>
      <c r="AB43" s="29">
        <v>169.59</v>
      </c>
      <c r="AC43" s="25">
        <v>184.65</v>
      </c>
      <c r="AD43" s="25">
        <f>AC43*T43</f>
        <v>184.65</v>
      </c>
      <c r="AE43" s="25">
        <f>AB43*T43</f>
        <v>169.59</v>
      </c>
      <c r="AF43" s="25">
        <f>AD43-AE43</f>
        <v>15.060000000000002</v>
      </c>
      <c r="AG43" s="26">
        <f>AF43/AD43</f>
        <v>8.155970755483348E-2</v>
      </c>
      <c r="AH43" s="27" t="str">
        <f>IF(AG43&lt;0,"Negative",IF(AG43=0,"Same",IF(AG43&gt;0.3,"30+%",IF(AG43&gt;0.2,"20-30%",IF(AG43&gt;0.1,"10-20%",IF(AG43&lt;=0.1,"0-10%"))))))</f>
        <v>0-10%</v>
      </c>
      <c r="AI43" s="32"/>
      <c r="AJ43" s="36" t="s">
        <v>3300</v>
      </c>
      <c r="AK43" s="32"/>
    </row>
    <row r="44" spans="1:37" s="1" customFormat="1" ht="19.7" customHeight="1" x14ac:dyDescent="0.25">
      <c r="A44" s="5" t="s">
        <v>22</v>
      </c>
      <c r="B44" s="5" t="s">
        <v>525</v>
      </c>
      <c r="C44" s="6">
        <v>44272</v>
      </c>
      <c r="D44" s="5" t="s">
        <v>24</v>
      </c>
      <c r="E44" s="5" t="s">
        <v>25</v>
      </c>
      <c r="F44" s="5" t="s">
        <v>26</v>
      </c>
      <c r="G44" s="5" t="s">
        <v>27</v>
      </c>
      <c r="H44" s="5" t="s">
        <v>28</v>
      </c>
      <c r="I44" s="5" t="s">
        <v>29</v>
      </c>
      <c r="J44" s="5" t="s">
        <v>30</v>
      </c>
      <c r="K44" s="5" t="s">
        <v>31</v>
      </c>
      <c r="L44" s="5" t="s">
        <v>32</v>
      </c>
      <c r="M44" s="5" t="s">
        <v>526</v>
      </c>
      <c r="N44" s="5" t="s">
        <v>527</v>
      </c>
      <c r="O44" s="5" t="s">
        <v>103</v>
      </c>
      <c r="P44" s="5" t="s">
        <v>528</v>
      </c>
      <c r="Q44" s="5">
        <v>118064590</v>
      </c>
      <c r="R44" s="5" t="s">
        <v>105</v>
      </c>
      <c r="S44" s="5" t="s">
        <v>39</v>
      </c>
      <c r="T44" s="7">
        <v>1</v>
      </c>
      <c r="U44" s="15" t="s">
        <v>103</v>
      </c>
      <c r="V44" s="16" t="s">
        <v>528</v>
      </c>
      <c r="W44" s="17">
        <v>118064590</v>
      </c>
      <c r="X44" s="16" t="s">
        <v>2716</v>
      </c>
      <c r="Y44" s="17" t="s">
        <v>2717</v>
      </c>
      <c r="Z44" s="17" t="s">
        <v>39</v>
      </c>
      <c r="AA44" s="17" t="s">
        <v>2501</v>
      </c>
      <c r="AB44" s="29">
        <v>122.33</v>
      </c>
      <c r="AC44" s="25">
        <v>119.64</v>
      </c>
      <c r="AD44" s="25">
        <f>AC44*T44</f>
        <v>119.64</v>
      </c>
      <c r="AE44" s="25">
        <f>AB44*T44</f>
        <v>122.33</v>
      </c>
      <c r="AF44" s="25">
        <f>AD44-AE44</f>
        <v>-2.6899999999999977</v>
      </c>
      <c r="AG44" s="26">
        <f>AF44/AD44</f>
        <v>-2.2484119023737863E-2</v>
      </c>
      <c r="AH44" s="27" t="str">
        <f>IF(AG44&lt;0,"Negative",IF(AG44=0,"Same",IF(AG44&gt;0.3,"30+%",IF(AG44&gt;0.2,"20-30%",IF(AG44&gt;0.1,"10-20%",IF(AG44&lt;=0.1,"0-10%"))))))</f>
        <v>Negative</v>
      </c>
      <c r="AI44" s="32"/>
      <c r="AJ44" s="36" t="s">
        <v>3300</v>
      </c>
      <c r="AK44" s="32"/>
    </row>
    <row r="45" spans="1:37" s="1" customFormat="1" ht="19.7" customHeight="1" x14ac:dyDescent="0.25">
      <c r="A45" s="5" t="s">
        <v>22</v>
      </c>
      <c r="B45" s="5" t="s">
        <v>532</v>
      </c>
      <c r="C45" s="6">
        <v>44273</v>
      </c>
      <c r="D45" s="5" t="s">
        <v>24</v>
      </c>
      <c r="E45" s="5" t="s">
        <v>25</v>
      </c>
      <c r="F45" s="5" t="s">
        <v>26</v>
      </c>
      <c r="G45" s="5" t="s">
        <v>27</v>
      </c>
      <c r="H45" s="5" t="s">
        <v>28</v>
      </c>
      <c r="I45" s="5" t="s">
        <v>29</v>
      </c>
      <c r="J45" s="5" t="s">
        <v>30</v>
      </c>
      <c r="K45" s="5" t="s">
        <v>31</v>
      </c>
      <c r="L45" s="5" t="s">
        <v>32</v>
      </c>
      <c r="M45" s="5" t="s">
        <v>533</v>
      </c>
      <c r="N45" s="5" t="s">
        <v>534</v>
      </c>
      <c r="O45" s="5" t="s">
        <v>103</v>
      </c>
      <c r="P45" s="5" t="s">
        <v>535</v>
      </c>
      <c r="Q45" s="5">
        <v>112129201</v>
      </c>
      <c r="R45" s="5" t="s">
        <v>105</v>
      </c>
      <c r="S45" s="5" t="s">
        <v>39</v>
      </c>
      <c r="T45" s="7">
        <v>10</v>
      </c>
      <c r="U45" s="15" t="s">
        <v>103</v>
      </c>
      <c r="V45" s="16" t="s">
        <v>535</v>
      </c>
      <c r="W45" s="17">
        <v>112129201</v>
      </c>
      <c r="X45" s="16" t="s">
        <v>2716</v>
      </c>
      <c r="Y45" s="17" t="s">
        <v>2720</v>
      </c>
      <c r="Z45" s="17" t="s">
        <v>39</v>
      </c>
      <c r="AA45" s="17" t="s">
        <v>2501</v>
      </c>
      <c r="AB45" s="29">
        <v>120.96</v>
      </c>
      <c r="AC45" s="25">
        <v>118.3</v>
      </c>
      <c r="AD45" s="25">
        <f>AC45*T45</f>
        <v>1183</v>
      </c>
      <c r="AE45" s="25">
        <f>AB45*T45</f>
        <v>1209.5999999999999</v>
      </c>
      <c r="AF45" s="25">
        <f>AD45-AE45</f>
        <v>-26.599999999999909</v>
      </c>
      <c r="AG45" s="26">
        <f>AF45/AD45</f>
        <v>-2.2485207100591639E-2</v>
      </c>
      <c r="AH45" s="27" t="str">
        <f>IF(AG45&lt;0,"Negative",IF(AG45=0,"Same",IF(AG45&gt;0.3,"30+%",IF(AG45&gt;0.2,"20-30%",IF(AG45&gt;0.1,"10-20%",IF(AG45&lt;=0.1,"0-10%"))))))</f>
        <v>Negative</v>
      </c>
      <c r="AI45" s="32"/>
      <c r="AJ45" s="36" t="s">
        <v>3300</v>
      </c>
      <c r="AK45" s="32"/>
    </row>
    <row r="46" spans="1:37" s="1" customFormat="1" ht="19.7" customHeight="1" x14ac:dyDescent="0.25">
      <c r="A46" s="5" t="s">
        <v>22</v>
      </c>
      <c r="B46" s="5" t="s">
        <v>1095</v>
      </c>
      <c r="C46" s="6">
        <v>44338</v>
      </c>
      <c r="D46" s="5" t="s">
        <v>24</v>
      </c>
      <c r="E46" s="5" t="s">
        <v>25</v>
      </c>
      <c r="F46" s="5" t="s">
        <v>26</v>
      </c>
      <c r="G46" s="5" t="s">
        <v>27</v>
      </c>
      <c r="H46" s="5" t="s">
        <v>28</v>
      </c>
      <c r="I46" s="5" t="s">
        <v>29</v>
      </c>
      <c r="J46" s="5" t="s">
        <v>30</v>
      </c>
      <c r="K46" s="5" t="s">
        <v>31</v>
      </c>
      <c r="L46" s="5" t="s">
        <v>32</v>
      </c>
      <c r="M46" s="5" t="s">
        <v>1096</v>
      </c>
      <c r="N46" s="5" t="s">
        <v>972</v>
      </c>
      <c r="O46" s="5" t="s">
        <v>103</v>
      </c>
      <c r="P46" s="5" t="s">
        <v>1097</v>
      </c>
      <c r="Q46" s="5">
        <v>113013596</v>
      </c>
      <c r="R46" s="5" t="s">
        <v>216</v>
      </c>
      <c r="S46" s="5" t="s">
        <v>39</v>
      </c>
      <c r="T46" s="7">
        <v>3</v>
      </c>
      <c r="U46" s="15" t="s">
        <v>103</v>
      </c>
      <c r="V46" s="16" t="s">
        <v>1097</v>
      </c>
      <c r="W46" s="17">
        <v>113013596</v>
      </c>
      <c r="X46" s="16" t="s">
        <v>2921</v>
      </c>
      <c r="Y46" s="17" t="s">
        <v>2922</v>
      </c>
      <c r="Z46" s="17" t="s">
        <v>39</v>
      </c>
      <c r="AA46" s="17" t="s">
        <v>2501</v>
      </c>
      <c r="AB46" s="29">
        <v>128.09</v>
      </c>
      <c r="AC46" s="25">
        <v>122.1</v>
      </c>
      <c r="AD46" s="25">
        <f>AC46*T46</f>
        <v>366.29999999999995</v>
      </c>
      <c r="AE46" s="25">
        <f>AB46*T46</f>
        <v>384.27</v>
      </c>
      <c r="AF46" s="25">
        <f>AD46-AE46</f>
        <v>-17.970000000000027</v>
      </c>
      <c r="AG46" s="26">
        <f>AF46/AD46</f>
        <v>-4.9058149058149141E-2</v>
      </c>
      <c r="AH46" s="27" t="str">
        <f>IF(AG46&lt;0,"Negative",IF(AG46=0,"Same",IF(AG46&gt;0.3,"30+%",IF(AG46&gt;0.2,"20-30%",IF(AG46&gt;0.1,"10-20%",IF(AG46&lt;=0.1,"0-10%"))))))</f>
        <v>Negative</v>
      </c>
      <c r="AI46" s="32"/>
      <c r="AJ46" s="36" t="s">
        <v>3300</v>
      </c>
      <c r="AK46" s="32"/>
    </row>
    <row r="47" spans="1:37" s="1" customFormat="1" ht="19.7" customHeight="1" x14ac:dyDescent="0.25">
      <c r="A47" s="5" t="s">
        <v>22</v>
      </c>
      <c r="B47" s="5" t="s">
        <v>2462</v>
      </c>
      <c r="C47" s="6">
        <v>44588</v>
      </c>
      <c r="D47" s="5" t="s">
        <v>24</v>
      </c>
      <c r="E47" s="5" t="s">
        <v>25</v>
      </c>
      <c r="F47" s="5" t="s">
        <v>26</v>
      </c>
      <c r="G47" s="5" t="s">
        <v>27</v>
      </c>
      <c r="H47" s="5" t="s">
        <v>28</v>
      </c>
      <c r="I47" s="5" t="s">
        <v>29</v>
      </c>
      <c r="J47" s="5" t="s">
        <v>30</v>
      </c>
      <c r="K47" s="5" t="s">
        <v>31</v>
      </c>
      <c r="L47" s="5" t="s">
        <v>32</v>
      </c>
      <c r="M47" s="5" t="s">
        <v>2463</v>
      </c>
      <c r="N47" s="5" t="s">
        <v>2443</v>
      </c>
      <c r="O47" s="5" t="s">
        <v>2464</v>
      </c>
      <c r="P47" s="5" t="s">
        <v>2465</v>
      </c>
      <c r="Q47" s="5">
        <v>103502754</v>
      </c>
      <c r="R47" s="5" t="s">
        <v>448</v>
      </c>
      <c r="S47" s="5" t="s">
        <v>39</v>
      </c>
      <c r="T47" s="7">
        <v>2</v>
      </c>
      <c r="U47" s="15" t="s">
        <v>2464</v>
      </c>
      <c r="V47" s="16" t="s">
        <v>2465</v>
      </c>
      <c r="W47" s="17">
        <v>103502754</v>
      </c>
      <c r="X47" s="16" t="s">
        <v>2779</v>
      </c>
      <c r="Y47" s="17" t="s">
        <v>3280</v>
      </c>
      <c r="Z47" s="17" t="s">
        <v>39</v>
      </c>
      <c r="AA47" s="17" t="s">
        <v>37</v>
      </c>
      <c r="AB47" s="43">
        <v>76.959999999999994</v>
      </c>
      <c r="AC47" s="25">
        <v>70.099999999999994</v>
      </c>
      <c r="AD47" s="25">
        <f>AC47*T47</f>
        <v>140.19999999999999</v>
      </c>
      <c r="AE47" s="25">
        <f>AB47*T47</f>
        <v>153.91999999999999</v>
      </c>
      <c r="AF47" s="25">
        <f>AD47-AE47</f>
        <v>-13.719999999999999</v>
      </c>
      <c r="AG47" s="26">
        <f>AF47/AD47</f>
        <v>-9.7860199714693299E-2</v>
      </c>
      <c r="AH47" s="27" t="str">
        <f>IF(AG47&lt;0,"Negative",IF(AG47=0,"Same",IF(AG47&gt;0.3,"30+%",IF(AG47&gt;0.2,"20-30%",IF(AG47&gt;0.1,"10-20%",IF(AG47&lt;=0.1,"0-10%"))))))</f>
        <v>Negative</v>
      </c>
      <c r="AI47" s="32"/>
      <c r="AJ47" s="36" t="s">
        <v>3300</v>
      </c>
      <c r="AK47" s="32"/>
    </row>
    <row r="48" spans="1:37" s="1" customFormat="1" ht="19.7" customHeight="1" x14ac:dyDescent="0.25">
      <c r="A48" s="5" t="s">
        <v>22</v>
      </c>
      <c r="B48" s="5" t="s">
        <v>444</v>
      </c>
      <c r="C48" s="6">
        <v>44265</v>
      </c>
      <c r="D48" s="5" t="s">
        <v>24</v>
      </c>
      <c r="E48" s="5" t="s">
        <v>25</v>
      </c>
      <c r="F48" s="5" t="s">
        <v>26</v>
      </c>
      <c r="G48" s="5" t="s">
        <v>27</v>
      </c>
      <c r="H48" s="5" t="s">
        <v>28</v>
      </c>
      <c r="I48" s="5" t="s">
        <v>29</v>
      </c>
      <c r="J48" s="5" t="s">
        <v>30</v>
      </c>
      <c r="K48" s="5" t="s">
        <v>31</v>
      </c>
      <c r="L48" s="5" t="s">
        <v>32</v>
      </c>
      <c r="M48" s="5" t="s">
        <v>261</v>
      </c>
      <c r="N48" s="5" t="s">
        <v>445</v>
      </c>
      <c r="O48" s="5" t="s">
        <v>446</v>
      </c>
      <c r="P48" s="5" t="s">
        <v>447</v>
      </c>
      <c r="Q48" s="5">
        <v>103645930</v>
      </c>
      <c r="R48" s="5" t="s">
        <v>448</v>
      </c>
      <c r="S48" s="5" t="s">
        <v>39</v>
      </c>
      <c r="T48" s="7">
        <v>6</v>
      </c>
      <c r="U48" s="15" t="s">
        <v>446</v>
      </c>
      <c r="V48" s="16" t="s">
        <v>447</v>
      </c>
      <c r="W48" s="17">
        <v>103645930</v>
      </c>
      <c r="X48" s="16" t="s">
        <v>2675</v>
      </c>
      <c r="Y48" s="17" t="s">
        <v>2676</v>
      </c>
      <c r="Z48" s="17" t="s">
        <v>39</v>
      </c>
      <c r="AA48" s="17" t="s">
        <v>2501</v>
      </c>
      <c r="AB48" s="29">
        <v>70.209999999999994</v>
      </c>
      <c r="AC48" s="25">
        <v>63.95</v>
      </c>
      <c r="AD48" s="25">
        <f>AC48*T48</f>
        <v>383.70000000000005</v>
      </c>
      <c r="AE48" s="25">
        <f>AB48*T48</f>
        <v>421.26</v>
      </c>
      <c r="AF48" s="25">
        <f>AD48-AE48</f>
        <v>-37.559999999999945</v>
      </c>
      <c r="AG48" s="26">
        <f>AF48/AD48</f>
        <v>-9.7888975762314159E-2</v>
      </c>
      <c r="AH48" s="27" t="str">
        <f>IF(AG48&lt;0,"Negative",IF(AG48=0,"Same",IF(AG48&gt;0.3,"30+%",IF(AG48&gt;0.2,"20-30%",IF(AG48&gt;0.1,"10-20%",IF(AG48&lt;=0.1,"0-10%"))))))</f>
        <v>Negative</v>
      </c>
      <c r="AI48" s="32"/>
      <c r="AJ48" s="36" t="s">
        <v>3300</v>
      </c>
      <c r="AK48" s="32"/>
    </row>
    <row r="49" spans="1:37" s="1" customFormat="1" ht="19.7" customHeight="1" x14ac:dyDescent="0.25">
      <c r="A49" s="9" t="s">
        <v>22</v>
      </c>
      <c r="B49" s="9" t="s">
        <v>979</v>
      </c>
      <c r="C49" s="10">
        <v>44323</v>
      </c>
      <c r="D49" s="9" t="s">
        <v>24</v>
      </c>
      <c r="E49" s="9" t="s">
        <v>25</v>
      </c>
      <c r="F49" s="9" t="s">
        <v>26</v>
      </c>
      <c r="G49" s="9" t="s">
        <v>27</v>
      </c>
      <c r="H49" s="9" t="s">
        <v>28</v>
      </c>
      <c r="I49" s="9" t="s">
        <v>29</v>
      </c>
      <c r="J49" s="9" t="s">
        <v>30</v>
      </c>
      <c r="K49" s="9" t="s">
        <v>31</v>
      </c>
      <c r="L49" s="9" t="s">
        <v>32</v>
      </c>
      <c r="M49" s="9" t="s">
        <v>980</v>
      </c>
      <c r="N49" s="9" t="s">
        <v>958</v>
      </c>
      <c r="O49" s="9" t="s">
        <v>197</v>
      </c>
      <c r="P49" s="9" t="s">
        <v>981</v>
      </c>
      <c r="Q49" s="9">
        <v>106209258</v>
      </c>
      <c r="R49" s="9" t="s">
        <v>199</v>
      </c>
      <c r="S49" s="9" t="s">
        <v>39</v>
      </c>
      <c r="T49" s="11">
        <v>1</v>
      </c>
      <c r="U49" s="15" t="s">
        <v>197</v>
      </c>
      <c r="V49" s="16" t="s">
        <v>981</v>
      </c>
      <c r="W49" s="17">
        <v>106209258</v>
      </c>
      <c r="X49" s="16" t="s">
        <v>2571</v>
      </c>
      <c r="Y49" s="17" t="s">
        <v>2885</v>
      </c>
      <c r="Z49" s="17" t="s">
        <v>39</v>
      </c>
      <c r="AA49" s="17" t="s">
        <v>2501</v>
      </c>
      <c r="AB49" s="29">
        <v>119.88</v>
      </c>
      <c r="AC49" s="25">
        <v>130.52000000000001</v>
      </c>
      <c r="AD49" s="25">
        <f>AC49*T49</f>
        <v>130.52000000000001</v>
      </c>
      <c r="AE49" s="25">
        <f>AB49*T49</f>
        <v>119.88</v>
      </c>
      <c r="AF49" s="25">
        <f>AD49-AE49</f>
        <v>10.640000000000015</v>
      </c>
      <c r="AG49" s="26">
        <f>AF49/AD49</f>
        <v>8.1520073551946168E-2</v>
      </c>
      <c r="AH49" s="27" t="str">
        <f>IF(AG49&lt;0,"Negative",IF(AG49=0,"Same",IF(AG49&gt;0.3,"30+%",IF(AG49&gt;0.2,"20-30%",IF(AG49&gt;0.1,"10-20%",IF(AG49&lt;=0.1,"0-10%"))))))</f>
        <v>0-10%</v>
      </c>
      <c r="AI49" s="32"/>
      <c r="AJ49" s="36" t="s">
        <v>3300</v>
      </c>
      <c r="AK49" s="32"/>
    </row>
    <row r="50" spans="1:37" s="1" customFormat="1" ht="19.7" customHeight="1" x14ac:dyDescent="0.25">
      <c r="A50" s="5" t="s">
        <v>22</v>
      </c>
      <c r="B50" s="5" t="s">
        <v>2172</v>
      </c>
      <c r="C50" s="6">
        <v>44532</v>
      </c>
      <c r="D50" s="5" t="s">
        <v>24</v>
      </c>
      <c r="E50" s="5" t="s">
        <v>25</v>
      </c>
      <c r="F50" s="5" t="s">
        <v>26</v>
      </c>
      <c r="G50" s="5" t="s">
        <v>27</v>
      </c>
      <c r="H50" s="5" t="s">
        <v>28</v>
      </c>
      <c r="I50" s="5" t="s">
        <v>29</v>
      </c>
      <c r="J50" s="5" t="s">
        <v>30</v>
      </c>
      <c r="K50" s="5" t="s">
        <v>31</v>
      </c>
      <c r="L50" s="5" t="s">
        <v>32</v>
      </c>
      <c r="M50" s="5" t="s">
        <v>2174</v>
      </c>
      <c r="N50" s="5" t="s">
        <v>2171</v>
      </c>
      <c r="O50" s="5" t="s">
        <v>169</v>
      </c>
      <c r="P50" s="5" t="s">
        <v>2175</v>
      </c>
      <c r="Q50" s="5">
        <v>100782038</v>
      </c>
      <c r="R50" s="5" t="s">
        <v>56</v>
      </c>
      <c r="S50" s="5" t="s">
        <v>39</v>
      </c>
      <c r="T50" s="7">
        <v>1</v>
      </c>
      <c r="U50" s="15" t="s">
        <v>169</v>
      </c>
      <c r="V50" s="16" t="s">
        <v>2175</v>
      </c>
      <c r="W50" s="17">
        <v>100782038</v>
      </c>
      <c r="X50" s="16" t="s">
        <v>3221</v>
      </c>
      <c r="Y50" s="17" t="s">
        <v>3222</v>
      </c>
      <c r="Z50" s="17" t="s">
        <v>39</v>
      </c>
      <c r="AA50" s="17" t="s">
        <v>37</v>
      </c>
      <c r="AB50" s="43">
        <v>7.72</v>
      </c>
      <c r="AC50" s="25">
        <v>8.4499999999999993</v>
      </c>
      <c r="AD50" s="25">
        <f>AC50*T50</f>
        <v>8.4499999999999993</v>
      </c>
      <c r="AE50" s="25">
        <f>AB50*T50</f>
        <v>7.72</v>
      </c>
      <c r="AF50" s="25">
        <f>AD50-AE50</f>
        <v>0.72999999999999954</v>
      </c>
      <c r="AG50" s="26">
        <f>AF50/AD50</f>
        <v>8.6390532544378645E-2</v>
      </c>
      <c r="AH50" s="27" t="str">
        <f>IF(AG50&lt;0,"Negative",IF(AG50=0,"Same",IF(AG50&gt;0.3,"30+%",IF(AG50&gt;0.2,"20-30%",IF(AG50&gt;0.1,"10-20%",IF(AG50&lt;=0.1,"0-10%"))))))</f>
        <v>0-10%</v>
      </c>
      <c r="AI50" s="32"/>
      <c r="AJ50" s="36" t="s">
        <v>3300</v>
      </c>
      <c r="AK50" s="32"/>
    </row>
    <row r="51" spans="1:37" s="1" customFormat="1" ht="19.7" customHeight="1" x14ac:dyDescent="0.25">
      <c r="A51" s="5" t="s">
        <v>22</v>
      </c>
      <c r="B51" s="5" t="s">
        <v>2394</v>
      </c>
      <c r="C51" s="6">
        <v>44579</v>
      </c>
      <c r="D51" s="5" t="s">
        <v>24</v>
      </c>
      <c r="E51" s="5" t="s">
        <v>25</v>
      </c>
      <c r="F51" s="5" t="s">
        <v>26</v>
      </c>
      <c r="G51" s="5" t="s">
        <v>27</v>
      </c>
      <c r="H51" s="5" t="s">
        <v>28</v>
      </c>
      <c r="I51" s="5" t="s">
        <v>29</v>
      </c>
      <c r="J51" s="5" t="s">
        <v>30</v>
      </c>
      <c r="K51" s="5" t="s">
        <v>31</v>
      </c>
      <c r="L51" s="5" t="s">
        <v>32</v>
      </c>
      <c r="M51" s="5" t="s">
        <v>1191</v>
      </c>
      <c r="N51" s="5" t="s">
        <v>2319</v>
      </c>
      <c r="O51" s="5" t="s">
        <v>1192</v>
      </c>
      <c r="P51" s="5" t="s">
        <v>1193</v>
      </c>
      <c r="Q51" s="5">
        <v>113362536</v>
      </c>
      <c r="R51" s="5" t="s">
        <v>199</v>
      </c>
      <c r="S51" s="5" t="s">
        <v>39</v>
      </c>
      <c r="T51" s="7">
        <v>1</v>
      </c>
      <c r="U51" s="15" t="s">
        <v>1192</v>
      </c>
      <c r="V51" s="16" t="s">
        <v>1193</v>
      </c>
      <c r="W51" s="17">
        <v>113362536</v>
      </c>
      <c r="X51" s="16" t="s">
        <v>2633</v>
      </c>
      <c r="Y51" s="17" t="s">
        <v>2958</v>
      </c>
      <c r="Z51" s="17" t="s">
        <v>39</v>
      </c>
      <c r="AA51" s="17" t="s">
        <v>2501</v>
      </c>
      <c r="AB51" s="29">
        <v>181.12</v>
      </c>
      <c r="AC51" s="25">
        <v>197.19</v>
      </c>
      <c r="AD51" s="25">
        <f>AC51*T51</f>
        <v>197.19</v>
      </c>
      <c r="AE51" s="25">
        <f>AB51*T51</f>
        <v>181.12</v>
      </c>
      <c r="AF51" s="25">
        <f>AD51-AE51</f>
        <v>16.069999999999993</v>
      </c>
      <c r="AG51" s="26">
        <f>AF51/AD51</f>
        <v>8.1495004817688496E-2</v>
      </c>
      <c r="AH51" s="27" t="str">
        <f>IF(AG51&lt;0,"Negative",IF(AG51=0,"Same",IF(AG51&gt;0.3,"30+%",IF(AG51&gt;0.2,"20-30%",IF(AG51&gt;0.1,"10-20%",IF(AG51&lt;=0.1,"0-10%"))))))</f>
        <v>0-10%</v>
      </c>
      <c r="AI51" s="32"/>
      <c r="AJ51" s="36" t="s">
        <v>3300</v>
      </c>
      <c r="AK51" s="32"/>
    </row>
    <row r="52" spans="1:37" s="1" customFormat="1" ht="19.7" customHeight="1" x14ac:dyDescent="0.25">
      <c r="A52" s="5" t="s">
        <v>22</v>
      </c>
      <c r="B52" s="5" t="s">
        <v>1336</v>
      </c>
      <c r="C52" s="6">
        <v>44377</v>
      </c>
      <c r="D52" s="5" t="s">
        <v>24</v>
      </c>
      <c r="E52" s="5" t="s">
        <v>25</v>
      </c>
      <c r="F52" s="5" t="s">
        <v>26</v>
      </c>
      <c r="G52" s="5" t="s">
        <v>27</v>
      </c>
      <c r="H52" s="5" t="s">
        <v>28</v>
      </c>
      <c r="I52" s="5" t="s">
        <v>29</v>
      </c>
      <c r="J52" s="5" t="s">
        <v>30</v>
      </c>
      <c r="K52" s="5" t="s">
        <v>31</v>
      </c>
      <c r="L52" s="5" t="s">
        <v>32</v>
      </c>
      <c r="M52" s="5" t="s">
        <v>678</v>
      </c>
      <c r="N52" s="5" t="s">
        <v>1268</v>
      </c>
      <c r="O52" s="5" t="s">
        <v>679</v>
      </c>
      <c r="P52" s="5" t="s">
        <v>680</v>
      </c>
      <c r="Q52" s="5">
        <v>114902826</v>
      </c>
      <c r="R52" s="5" t="s">
        <v>199</v>
      </c>
      <c r="S52" s="5" t="s">
        <v>39</v>
      </c>
      <c r="T52" s="7">
        <v>2</v>
      </c>
      <c r="U52" s="15" t="s">
        <v>679</v>
      </c>
      <c r="V52" s="16" t="s">
        <v>680</v>
      </c>
      <c r="W52" s="17">
        <v>114902826</v>
      </c>
      <c r="X52" s="16" t="s">
        <v>2571</v>
      </c>
      <c r="Y52" s="17" t="s">
        <v>2776</v>
      </c>
      <c r="Z52" s="17" t="s">
        <v>39</v>
      </c>
      <c r="AA52" s="17" t="s">
        <v>2501</v>
      </c>
      <c r="AB52" s="29">
        <v>157.35</v>
      </c>
      <c r="AC52" s="25">
        <v>171.32</v>
      </c>
      <c r="AD52" s="25">
        <f>AC52*T52</f>
        <v>342.64</v>
      </c>
      <c r="AE52" s="25">
        <f>AB52*T52</f>
        <v>314.7</v>
      </c>
      <c r="AF52" s="25">
        <f>AD52-AE52</f>
        <v>27.939999999999998</v>
      </c>
      <c r="AG52" s="26">
        <f>AF52/AD52</f>
        <v>8.1543310763483534E-2</v>
      </c>
      <c r="AH52" s="27" t="str">
        <f>IF(AG52&lt;0,"Negative",IF(AG52=0,"Same",IF(AG52&gt;0.3,"30+%",IF(AG52&gt;0.2,"20-30%",IF(AG52&gt;0.1,"10-20%",IF(AG52&lt;=0.1,"0-10%"))))))</f>
        <v>0-10%</v>
      </c>
      <c r="AI52" s="32"/>
      <c r="AJ52" s="36" t="s">
        <v>3300</v>
      </c>
      <c r="AK52" s="32"/>
    </row>
    <row r="53" spans="1:37" s="1" customFormat="1" ht="19.7" customHeight="1" x14ac:dyDescent="0.25">
      <c r="A53" s="9" t="s">
        <v>22</v>
      </c>
      <c r="B53" s="9" t="s">
        <v>2428</v>
      </c>
      <c r="C53" s="10">
        <v>44586</v>
      </c>
      <c r="D53" s="9" t="s">
        <v>24</v>
      </c>
      <c r="E53" s="9" t="s">
        <v>25</v>
      </c>
      <c r="F53" s="9" t="s">
        <v>26</v>
      </c>
      <c r="G53" s="9" t="s">
        <v>27</v>
      </c>
      <c r="H53" s="9" t="s">
        <v>28</v>
      </c>
      <c r="I53" s="9" t="s">
        <v>29</v>
      </c>
      <c r="J53" s="9" t="s">
        <v>30</v>
      </c>
      <c r="K53" s="9" t="s">
        <v>31</v>
      </c>
      <c r="L53" s="9" t="s">
        <v>32</v>
      </c>
      <c r="M53" s="9" t="s">
        <v>2429</v>
      </c>
      <c r="N53" s="9" t="s">
        <v>2298</v>
      </c>
      <c r="O53" s="9" t="s">
        <v>2430</v>
      </c>
      <c r="P53" s="9" t="s">
        <v>2431</v>
      </c>
      <c r="Q53" s="9">
        <v>115038300</v>
      </c>
      <c r="R53" s="9" t="s">
        <v>45</v>
      </c>
      <c r="S53" s="9" t="s">
        <v>39</v>
      </c>
      <c r="T53" s="11">
        <v>2</v>
      </c>
      <c r="U53" s="15" t="s">
        <v>2430</v>
      </c>
      <c r="V53" s="16" t="s">
        <v>2431</v>
      </c>
      <c r="W53" s="17">
        <v>115038300</v>
      </c>
      <c r="X53" s="16" t="s">
        <v>3271</v>
      </c>
      <c r="Y53" s="17" t="s">
        <v>3272</v>
      </c>
      <c r="Z53" s="17" t="s">
        <v>39</v>
      </c>
      <c r="AA53" s="17" t="s">
        <v>2501</v>
      </c>
      <c r="AB53" s="29">
        <v>142.52000000000001</v>
      </c>
      <c r="AC53" s="25">
        <v>161.01</v>
      </c>
      <c r="AD53" s="25">
        <f>AC53*T53</f>
        <v>322.02</v>
      </c>
      <c r="AE53" s="25">
        <f>AB53*T53</f>
        <v>285.04000000000002</v>
      </c>
      <c r="AF53" s="25">
        <f>AD53-AE53</f>
        <v>36.979999999999961</v>
      </c>
      <c r="AG53" s="26">
        <f>AF53/AD53</f>
        <v>0.11483758772747023</v>
      </c>
      <c r="AH53" s="27" t="str">
        <f>IF(AG53&lt;0,"Negative",IF(AG53=0,"Same",IF(AG53&gt;0.3,"30+%",IF(AG53&gt;0.2,"20-30%",IF(AG53&gt;0.1,"10-20%",IF(AG53&lt;=0.1,"0-10%"))))))</f>
        <v>10-20%</v>
      </c>
      <c r="AI53" s="32"/>
      <c r="AJ53" s="36" t="s">
        <v>3300</v>
      </c>
      <c r="AK53" s="32"/>
    </row>
    <row r="54" spans="1:37" s="1" customFormat="1" ht="19.7" customHeight="1" x14ac:dyDescent="0.25">
      <c r="A54" s="9" t="s">
        <v>22</v>
      </c>
      <c r="B54" s="9" t="s">
        <v>819</v>
      </c>
      <c r="C54" s="10">
        <v>44305</v>
      </c>
      <c r="D54" s="9" t="s">
        <v>24</v>
      </c>
      <c r="E54" s="9" t="s">
        <v>25</v>
      </c>
      <c r="F54" s="9" t="s">
        <v>26</v>
      </c>
      <c r="G54" s="9" t="s">
        <v>27</v>
      </c>
      <c r="H54" s="9" t="s">
        <v>28</v>
      </c>
      <c r="I54" s="9" t="s">
        <v>29</v>
      </c>
      <c r="J54" s="9" t="s">
        <v>30</v>
      </c>
      <c r="K54" s="9" t="s">
        <v>31</v>
      </c>
      <c r="L54" s="9" t="s">
        <v>32</v>
      </c>
      <c r="M54" s="9" t="s">
        <v>820</v>
      </c>
      <c r="N54" s="9" t="s">
        <v>697</v>
      </c>
      <c r="O54" s="9" t="s">
        <v>178</v>
      </c>
      <c r="P54" s="9" t="s">
        <v>821</v>
      </c>
      <c r="Q54" s="9">
        <v>110644711</v>
      </c>
      <c r="R54" s="9" t="s">
        <v>61</v>
      </c>
      <c r="S54" s="9" t="s">
        <v>39</v>
      </c>
      <c r="T54" s="11">
        <v>1</v>
      </c>
      <c r="U54" s="15" t="s">
        <v>178</v>
      </c>
      <c r="V54" s="16" t="s">
        <v>821</v>
      </c>
      <c r="W54" s="17">
        <v>110644711</v>
      </c>
      <c r="X54" s="16" t="s">
        <v>2828</v>
      </c>
      <c r="Y54" s="17" t="s">
        <v>2829</v>
      </c>
      <c r="Z54" s="17" t="s">
        <v>39</v>
      </c>
      <c r="AA54" s="17" t="s">
        <v>37</v>
      </c>
      <c r="AB54" s="29">
        <v>14.16</v>
      </c>
      <c r="AC54" s="25">
        <v>18.559999999999999</v>
      </c>
      <c r="AD54" s="25">
        <f>AC54*T54</f>
        <v>18.559999999999999</v>
      </c>
      <c r="AE54" s="25">
        <f>AB54*T54</f>
        <v>14.16</v>
      </c>
      <c r="AF54" s="25">
        <f>AD54-AE54</f>
        <v>4.3999999999999986</v>
      </c>
      <c r="AG54" s="26">
        <f>AF54/AD54</f>
        <v>0.23706896551724133</v>
      </c>
      <c r="AH54" s="27" t="str">
        <f>IF(AG54&lt;0,"Negative",IF(AG54=0,"Same",IF(AG54&gt;0.3,"30+%",IF(AG54&gt;0.2,"20-30%",IF(AG54&gt;0.1,"10-20%",IF(AG54&lt;=0.1,"0-10%"))))))</f>
        <v>20-30%</v>
      </c>
      <c r="AI54" s="32"/>
      <c r="AJ54" s="36" t="s">
        <v>3300</v>
      </c>
      <c r="AK54" s="32"/>
    </row>
    <row r="55" spans="1:37" s="1" customFormat="1" ht="19.7" customHeight="1" x14ac:dyDescent="0.25">
      <c r="A55" s="5" t="s">
        <v>22</v>
      </c>
      <c r="B55" s="5" t="s">
        <v>1816</v>
      </c>
      <c r="C55" s="6">
        <v>44466</v>
      </c>
      <c r="D55" s="5" t="s">
        <v>24</v>
      </c>
      <c r="E55" s="5" t="s">
        <v>25</v>
      </c>
      <c r="F55" s="5" t="s">
        <v>26</v>
      </c>
      <c r="G55" s="5" t="s">
        <v>27</v>
      </c>
      <c r="H55" s="5" t="s">
        <v>28</v>
      </c>
      <c r="I55" s="5" t="s">
        <v>29</v>
      </c>
      <c r="J55" s="5" t="s">
        <v>30</v>
      </c>
      <c r="K55" s="5" t="s">
        <v>31</v>
      </c>
      <c r="L55" s="5" t="s">
        <v>32</v>
      </c>
      <c r="M55" s="5" t="s">
        <v>820</v>
      </c>
      <c r="N55" s="5" t="s">
        <v>1758</v>
      </c>
      <c r="O55" s="5" t="s">
        <v>178</v>
      </c>
      <c r="P55" s="5" t="s">
        <v>821</v>
      </c>
      <c r="Q55" s="5">
        <v>110644711</v>
      </c>
      <c r="R55" s="5" t="s">
        <v>61</v>
      </c>
      <c r="S55" s="5" t="s">
        <v>39</v>
      </c>
      <c r="T55" s="7">
        <v>2</v>
      </c>
      <c r="U55" s="15" t="s">
        <v>178</v>
      </c>
      <c r="V55" s="16" t="s">
        <v>821</v>
      </c>
      <c r="W55" s="17">
        <v>110644711</v>
      </c>
      <c r="X55" s="16" t="s">
        <v>2828</v>
      </c>
      <c r="Y55" s="17" t="s">
        <v>2829</v>
      </c>
      <c r="Z55" s="17" t="s">
        <v>39</v>
      </c>
      <c r="AA55" s="17" t="s">
        <v>37</v>
      </c>
      <c r="AB55" s="29">
        <v>14.16</v>
      </c>
      <c r="AC55" s="25">
        <v>18.559999999999999</v>
      </c>
      <c r="AD55" s="25">
        <f>AC55*T55</f>
        <v>37.119999999999997</v>
      </c>
      <c r="AE55" s="25">
        <f>AB55*T55</f>
        <v>28.32</v>
      </c>
      <c r="AF55" s="25">
        <f>AD55-AE55</f>
        <v>8.7999999999999972</v>
      </c>
      <c r="AG55" s="26">
        <f>AF55/AD55</f>
        <v>0.23706896551724133</v>
      </c>
      <c r="AH55" s="27" t="str">
        <f>IF(AG55&lt;0,"Negative",IF(AG55=0,"Same",IF(AG55&gt;0.3,"30+%",IF(AG55&gt;0.2,"20-30%",IF(AG55&gt;0.1,"10-20%",IF(AG55&lt;=0.1,"0-10%"))))))</f>
        <v>20-30%</v>
      </c>
      <c r="AI55" s="32"/>
      <c r="AJ55" s="36" t="s">
        <v>3300</v>
      </c>
      <c r="AK55" s="32"/>
    </row>
    <row r="56" spans="1:37" s="1" customFormat="1" ht="19.7" customHeight="1" x14ac:dyDescent="0.25">
      <c r="A56" s="5" t="s">
        <v>22</v>
      </c>
      <c r="B56" s="5" t="s">
        <v>1317</v>
      </c>
      <c r="C56" s="6">
        <v>44376</v>
      </c>
      <c r="D56" s="5" t="s">
        <v>24</v>
      </c>
      <c r="E56" s="5" t="s">
        <v>25</v>
      </c>
      <c r="F56" s="5" t="s">
        <v>26</v>
      </c>
      <c r="G56" s="5" t="s">
        <v>27</v>
      </c>
      <c r="H56" s="5" t="s">
        <v>28</v>
      </c>
      <c r="I56" s="5" t="s">
        <v>29</v>
      </c>
      <c r="J56" s="5" t="s">
        <v>30</v>
      </c>
      <c r="K56" s="5" t="s">
        <v>31</v>
      </c>
      <c r="L56" s="5" t="s">
        <v>32</v>
      </c>
      <c r="M56" s="5" t="s">
        <v>1200</v>
      </c>
      <c r="N56" s="5" t="s">
        <v>1319</v>
      </c>
      <c r="O56" s="5" t="s">
        <v>35</v>
      </c>
      <c r="P56" s="5" t="s">
        <v>1201</v>
      </c>
      <c r="Q56" s="5">
        <v>100559751</v>
      </c>
      <c r="R56" s="5" t="s">
        <v>38</v>
      </c>
      <c r="S56" s="5" t="s">
        <v>39</v>
      </c>
      <c r="T56" s="7">
        <v>1</v>
      </c>
      <c r="U56" s="15" t="s">
        <v>35</v>
      </c>
      <c r="V56" s="16" t="s">
        <v>1201</v>
      </c>
      <c r="W56" s="17">
        <v>100559751</v>
      </c>
      <c r="X56" s="16" t="s">
        <v>2737</v>
      </c>
      <c r="Y56" s="17" t="s">
        <v>2961</v>
      </c>
      <c r="Z56" s="17" t="s">
        <v>39</v>
      </c>
      <c r="AA56" s="17" t="s">
        <v>37</v>
      </c>
      <c r="AB56" s="29">
        <v>42.79</v>
      </c>
      <c r="AC56" s="25">
        <v>50.17</v>
      </c>
      <c r="AD56" s="25">
        <f>AC56*T56</f>
        <v>50.17</v>
      </c>
      <c r="AE56" s="25">
        <f>AB56*T56</f>
        <v>42.79</v>
      </c>
      <c r="AF56" s="25">
        <f>AD56-AE56</f>
        <v>7.3800000000000026</v>
      </c>
      <c r="AG56" s="26">
        <f>AF56/AD56</f>
        <v>0.14709986047438714</v>
      </c>
      <c r="AH56" s="27" t="str">
        <f>IF(AG56&lt;0,"Negative",IF(AG56=0,"Same",IF(AG56&gt;0.3,"30+%",IF(AG56&gt;0.2,"20-30%",IF(AG56&gt;0.1,"10-20%",IF(AG56&lt;=0.1,"0-10%"))))))</f>
        <v>10-20%</v>
      </c>
      <c r="AI56" s="32"/>
      <c r="AJ56" s="36" t="s">
        <v>3300</v>
      </c>
      <c r="AK56" s="32"/>
    </row>
    <row r="57" spans="1:37" s="1" customFormat="1" ht="19.7" customHeight="1" x14ac:dyDescent="0.25">
      <c r="A57" s="9" t="s">
        <v>22</v>
      </c>
      <c r="B57" s="9" t="s">
        <v>1194</v>
      </c>
      <c r="C57" s="10">
        <v>44355</v>
      </c>
      <c r="D57" s="9" t="s">
        <v>24</v>
      </c>
      <c r="E57" s="9" t="s">
        <v>25</v>
      </c>
      <c r="F57" s="9" t="s">
        <v>26</v>
      </c>
      <c r="G57" s="9" t="s">
        <v>27</v>
      </c>
      <c r="H57" s="9" t="s">
        <v>28</v>
      </c>
      <c r="I57" s="9" t="s">
        <v>29</v>
      </c>
      <c r="J57" s="9" t="s">
        <v>30</v>
      </c>
      <c r="K57" s="9" t="s">
        <v>31</v>
      </c>
      <c r="L57" s="9" t="s">
        <v>32</v>
      </c>
      <c r="M57" s="9" t="s">
        <v>1200</v>
      </c>
      <c r="N57" s="9" t="s">
        <v>1196</v>
      </c>
      <c r="O57" s="9" t="s">
        <v>35</v>
      </c>
      <c r="P57" s="9" t="s">
        <v>1201</v>
      </c>
      <c r="Q57" s="9">
        <v>100559751</v>
      </c>
      <c r="R57" s="9" t="s">
        <v>38</v>
      </c>
      <c r="S57" s="9" t="s">
        <v>39</v>
      </c>
      <c r="T57" s="11">
        <v>1</v>
      </c>
      <c r="U57" s="15" t="s">
        <v>35</v>
      </c>
      <c r="V57" s="16" t="s">
        <v>1201</v>
      </c>
      <c r="W57" s="17">
        <v>100559751</v>
      </c>
      <c r="X57" s="16" t="s">
        <v>2737</v>
      </c>
      <c r="Y57" s="17" t="s">
        <v>2961</v>
      </c>
      <c r="Z57" s="17" t="s">
        <v>39</v>
      </c>
      <c r="AA57" s="17" t="s">
        <v>37</v>
      </c>
      <c r="AB57" s="29">
        <v>42.79</v>
      </c>
      <c r="AC57" s="25">
        <v>50.17</v>
      </c>
      <c r="AD57" s="25">
        <f>AC57*T57</f>
        <v>50.17</v>
      </c>
      <c r="AE57" s="25">
        <f>AB57*T57</f>
        <v>42.79</v>
      </c>
      <c r="AF57" s="25">
        <f>AD57-AE57</f>
        <v>7.3800000000000026</v>
      </c>
      <c r="AG57" s="26">
        <f>AF57/AD57</f>
        <v>0.14709986047438714</v>
      </c>
      <c r="AH57" s="27" t="str">
        <f>IF(AG57&lt;0,"Negative",IF(AG57=0,"Same",IF(AG57&gt;0.3,"30+%",IF(AG57&gt;0.2,"20-30%",IF(AG57&gt;0.1,"10-20%",IF(AG57&lt;=0.1,"0-10%"))))))</f>
        <v>10-20%</v>
      </c>
      <c r="AI57" s="32"/>
      <c r="AJ57" s="36" t="s">
        <v>3300</v>
      </c>
      <c r="AK57" s="32"/>
    </row>
    <row r="58" spans="1:37" s="1" customFormat="1" ht="19.7" customHeight="1" x14ac:dyDescent="0.25">
      <c r="A58" s="5" t="s">
        <v>22</v>
      </c>
      <c r="B58" s="5" t="s">
        <v>2008</v>
      </c>
      <c r="C58" s="6">
        <v>44498</v>
      </c>
      <c r="D58" s="5" t="s">
        <v>24</v>
      </c>
      <c r="E58" s="5" t="s">
        <v>25</v>
      </c>
      <c r="F58" s="5" t="s">
        <v>26</v>
      </c>
      <c r="G58" s="5" t="s">
        <v>27</v>
      </c>
      <c r="H58" s="5" t="s">
        <v>28</v>
      </c>
      <c r="I58" s="5" t="s">
        <v>29</v>
      </c>
      <c r="J58" s="5" t="s">
        <v>30</v>
      </c>
      <c r="K58" s="5" t="s">
        <v>31</v>
      </c>
      <c r="L58" s="5" t="s">
        <v>32</v>
      </c>
      <c r="M58" s="5" t="s">
        <v>261</v>
      </c>
      <c r="N58" s="5" t="s">
        <v>2006</v>
      </c>
      <c r="O58" s="5" t="s">
        <v>343</v>
      </c>
      <c r="P58" s="5" t="s">
        <v>2009</v>
      </c>
      <c r="Q58" s="5">
        <v>118717692</v>
      </c>
      <c r="R58" s="5" t="s">
        <v>199</v>
      </c>
      <c r="S58" s="5" t="s">
        <v>39</v>
      </c>
      <c r="T58" s="7">
        <v>1</v>
      </c>
      <c r="U58" s="15" t="s">
        <v>343</v>
      </c>
      <c r="V58" s="16" t="s">
        <v>2009</v>
      </c>
      <c r="W58" s="17">
        <v>118717692</v>
      </c>
      <c r="X58" s="16" t="s">
        <v>2633</v>
      </c>
      <c r="Y58" s="17" t="s">
        <v>3187</v>
      </c>
      <c r="Z58" s="17" t="s">
        <v>39</v>
      </c>
      <c r="AA58" s="17" t="s">
        <v>2501</v>
      </c>
      <c r="AB58" s="43">
        <v>529.9</v>
      </c>
      <c r="AC58" s="25">
        <v>576.92999999999995</v>
      </c>
      <c r="AD58" s="25">
        <f>AC58*T58</f>
        <v>576.92999999999995</v>
      </c>
      <c r="AE58" s="25">
        <f>AB58*T58</f>
        <v>529.9</v>
      </c>
      <c r="AF58" s="25">
        <f>AD58-AE58</f>
        <v>47.029999999999973</v>
      </c>
      <c r="AG58" s="26">
        <f>AF58/AD58</f>
        <v>8.1517688454405171E-2</v>
      </c>
      <c r="AH58" s="27" t="str">
        <f>IF(AG58&lt;0,"Negative",IF(AG58=0,"Same",IF(AG58&gt;0.3,"30+%",IF(AG58&gt;0.2,"20-30%",IF(AG58&gt;0.1,"10-20%",IF(AG58&lt;=0.1,"0-10%"))))))</f>
        <v>0-10%</v>
      </c>
      <c r="AI58" s="32"/>
      <c r="AJ58" s="36" t="s">
        <v>3300</v>
      </c>
      <c r="AK58" s="32"/>
    </row>
    <row r="59" spans="1:37" s="1" customFormat="1" ht="19.7" customHeight="1" x14ac:dyDescent="0.25">
      <c r="A59" s="9" t="s">
        <v>22</v>
      </c>
      <c r="B59" s="9" t="s">
        <v>2005</v>
      </c>
      <c r="C59" s="10">
        <v>44498</v>
      </c>
      <c r="D59" s="9" t="s">
        <v>24</v>
      </c>
      <c r="E59" s="9" t="s">
        <v>25</v>
      </c>
      <c r="F59" s="9" t="s">
        <v>26</v>
      </c>
      <c r="G59" s="9" t="s">
        <v>27</v>
      </c>
      <c r="H59" s="9" t="s">
        <v>28</v>
      </c>
      <c r="I59" s="9" t="s">
        <v>29</v>
      </c>
      <c r="J59" s="9" t="s">
        <v>30</v>
      </c>
      <c r="K59" s="9" t="s">
        <v>31</v>
      </c>
      <c r="L59" s="9" t="s">
        <v>32</v>
      </c>
      <c r="M59" s="9" t="s">
        <v>261</v>
      </c>
      <c r="N59" s="9" t="s">
        <v>2006</v>
      </c>
      <c r="O59" s="9" t="s">
        <v>343</v>
      </c>
      <c r="P59" s="9" t="s">
        <v>2007</v>
      </c>
      <c r="Q59" s="9">
        <v>118755042</v>
      </c>
      <c r="R59" s="9" t="s">
        <v>199</v>
      </c>
      <c r="S59" s="9" t="s">
        <v>39</v>
      </c>
      <c r="T59" s="11">
        <v>1</v>
      </c>
      <c r="U59" s="15" t="s">
        <v>343</v>
      </c>
      <c r="V59" s="16" t="s">
        <v>2007</v>
      </c>
      <c r="W59" s="17">
        <v>118755042</v>
      </c>
      <c r="X59" s="16" t="s">
        <v>2633</v>
      </c>
      <c r="Y59" s="17" t="s">
        <v>3186</v>
      </c>
      <c r="Z59" s="17" t="s">
        <v>39</v>
      </c>
      <c r="AA59" s="17" t="s">
        <v>2501</v>
      </c>
      <c r="AB59" s="43">
        <v>529.9</v>
      </c>
      <c r="AC59" s="25">
        <v>576.92999999999995</v>
      </c>
      <c r="AD59" s="25">
        <f>AC59*T59</f>
        <v>576.92999999999995</v>
      </c>
      <c r="AE59" s="25">
        <f>AB59*T59</f>
        <v>529.9</v>
      </c>
      <c r="AF59" s="25">
        <f>AD59-AE59</f>
        <v>47.029999999999973</v>
      </c>
      <c r="AG59" s="26">
        <f>AF59/AD59</f>
        <v>8.1517688454405171E-2</v>
      </c>
      <c r="AH59" s="27" t="str">
        <f>IF(AG59&lt;0,"Negative",IF(AG59=0,"Same",IF(AG59&gt;0.3,"30+%",IF(AG59&gt;0.2,"20-30%",IF(AG59&gt;0.1,"10-20%",IF(AG59&lt;=0.1,"0-10%"))))))</f>
        <v>0-10%</v>
      </c>
      <c r="AI59" s="32"/>
      <c r="AJ59" s="36" t="s">
        <v>3300</v>
      </c>
      <c r="AK59" s="32"/>
    </row>
    <row r="60" spans="1:37" s="1" customFormat="1" ht="19.7" customHeight="1" x14ac:dyDescent="0.25">
      <c r="A60" s="5" t="s">
        <v>22</v>
      </c>
      <c r="B60" s="5" t="s">
        <v>982</v>
      </c>
      <c r="C60" s="6">
        <v>44323</v>
      </c>
      <c r="D60" s="5" t="s">
        <v>24</v>
      </c>
      <c r="E60" s="5" t="s">
        <v>25</v>
      </c>
      <c r="F60" s="5" t="s">
        <v>26</v>
      </c>
      <c r="G60" s="5" t="s">
        <v>27</v>
      </c>
      <c r="H60" s="5" t="s">
        <v>28</v>
      </c>
      <c r="I60" s="5" t="s">
        <v>29</v>
      </c>
      <c r="J60" s="5" t="s">
        <v>30</v>
      </c>
      <c r="K60" s="5" t="s">
        <v>31</v>
      </c>
      <c r="L60" s="5" t="s">
        <v>32</v>
      </c>
      <c r="M60" s="5" t="s">
        <v>983</v>
      </c>
      <c r="N60" s="5" t="s">
        <v>958</v>
      </c>
      <c r="O60" s="5" t="s">
        <v>984</v>
      </c>
      <c r="P60" s="5" t="s">
        <v>985</v>
      </c>
      <c r="Q60" s="5">
        <v>100466135</v>
      </c>
      <c r="R60" s="5" t="s">
        <v>38</v>
      </c>
      <c r="S60" s="5" t="s">
        <v>39</v>
      </c>
      <c r="T60" s="7">
        <v>1</v>
      </c>
      <c r="U60" s="15" t="s">
        <v>984</v>
      </c>
      <c r="V60" s="16" t="s">
        <v>985</v>
      </c>
      <c r="W60" s="17">
        <v>100466135</v>
      </c>
      <c r="X60" s="16" t="s">
        <v>2599</v>
      </c>
      <c r="Y60" s="17" t="s">
        <v>2886</v>
      </c>
      <c r="Z60" s="17" t="s">
        <v>39</v>
      </c>
      <c r="AA60" s="17" t="s">
        <v>37</v>
      </c>
      <c r="AB60" s="29">
        <v>35.65</v>
      </c>
      <c r="AC60" s="25">
        <v>42.67</v>
      </c>
      <c r="AD60" s="25">
        <f>AC60*T60</f>
        <v>42.67</v>
      </c>
      <c r="AE60" s="25">
        <f>AB60*T60</f>
        <v>35.65</v>
      </c>
      <c r="AF60" s="25">
        <f>AD60-AE60</f>
        <v>7.0200000000000031</v>
      </c>
      <c r="AG60" s="26">
        <f>AF60/AD60</f>
        <v>0.16451839700023443</v>
      </c>
      <c r="AH60" s="27" t="str">
        <f>IF(AG60&lt;0,"Negative",IF(AG60=0,"Same",IF(AG60&gt;0.3,"30+%",IF(AG60&gt;0.2,"20-30%",IF(AG60&gt;0.1,"10-20%",IF(AG60&lt;=0.1,"0-10%"))))))</f>
        <v>10-20%</v>
      </c>
      <c r="AI60" s="32"/>
      <c r="AJ60" s="36" t="s">
        <v>3300</v>
      </c>
      <c r="AK60" s="32"/>
    </row>
    <row r="61" spans="1:37" s="1" customFormat="1" ht="19.7" customHeight="1" x14ac:dyDescent="0.25">
      <c r="A61" s="9" t="s">
        <v>22</v>
      </c>
      <c r="B61" s="9" t="s">
        <v>2213</v>
      </c>
      <c r="C61" s="10">
        <v>44540</v>
      </c>
      <c r="D61" s="9" t="s">
        <v>24</v>
      </c>
      <c r="E61" s="9" t="s">
        <v>25</v>
      </c>
      <c r="F61" s="9" t="s">
        <v>26</v>
      </c>
      <c r="G61" s="9" t="s">
        <v>67</v>
      </c>
      <c r="H61" s="9" t="s">
        <v>68</v>
      </c>
      <c r="I61" s="9" t="s">
        <v>29</v>
      </c>
      <c r="J61" s="9" t="s">
        <v>30</v>
      </c>
      <c r="K61" s="9" t="s">
        <v>31</v>
      </c>
      <c r="L61" s="9" t="s">
        <v>32</v>
      </c>
      <c r="M61" s="9" t="s">
        <v>491</v>
      </c>
      <c r="N61" s="9" t="s">
        <v>2214</v>
      </c>
      <c r="O61" s="9" t="s">
        <v>125</v>
      </c>
      <c r="P61" s="9" t="s">
        <v>492</v>
      </c>
      <c r="Q61" s="9">
        <v>102696614</v>
      </c>
      <c r="R61" s="9" t="s">
        <v>38</v>
      </c>
      <c r="S61" s="9" t="s">
        <v>39</v>
      </c>
      <c r="T61" s="11">
        <v>1</v>
      </c>
      <c r="U61" s="15" t="s">
        <v>125</v>
      </c>
      <c r="V61" s="16" t="s">
        <v>492</v>
      </c>
      <c r="W61" s="17">
        <v>102696614</v>
      </c>
      <c r="X61" s="16" t="s">
        <v>2599</v>
      </c>
      <c r="Y61" s="17" t="s">
        <v>2699</v>
      </c>
      <c r="Z61" s="17" t="s">
        <v>39</v>
      </c>
      <c r="AA61" s="17" t="s">
        <v>2501</v>
      </c>
      <c r="AB61" s="29">
        <v>43.99</v>
      </c>
      <c r="AC61" s="25">
        <v>54.41</v>
      </c>
      <c r="AD61" s="25">
        <f>AC61*T61</f>
        <v>54.41</v>
      </c>
      <c r="AE61" s="25">
        <f>AB61*T61</f>
        <v>43.99</v>
      </c>
      <c r="AF61" s="25">
        <f>AD61-AE61</f>
        <v>10.419999999999995</v>
      </c>
      <c r="AG61" s="26">
        <f>AF61/AD61</f>
        <v>0.19150891380260973</v>
      </c>
      <c r="AH61" s="27" t="str">
        <f>IF(AG61&lt;0,"Negative",IF(AG61=0,"Same",IF(AG61&gt;0.3,"30+%",IF(AG61&gt;0.2,"20-30%",IF(AG61&gt;0.1,"10-20%",IF(AG61&lt;=0.1,"0-10%"))))))</f>
        <v>10-20%</v>
      </c>
      <c r="AI61" s="32"/>
      <c r="AJ61" s="36" t="s">
        <v>3300</v>
      </c>
      <c r="AK61" s="32"/>
    </row>
    <row r="62" spans="1:37" s="1" customFormat="1" ht="19.7" customHeight="1" x14ac:dyDescent="0.25">
      <c r="A62" s="9" t="s">
        <v>22</v>
      </c>
      <c r="B62" s="9" t="s">
        <v>1964</v>
      </c>
      <c r="C62" s="10">
        <v>44489</v>
      </c>
      <c r="D62" s="9" t="s">
        <v>24</v>
      </c>
      <c r="E62" s="9" t="s">
        <v>25</v>
      </c>
      <c r="F62" s="9" t="s">
        <v>26</v>
      </c>
      <c r="G62" s="9" t="s">
        <v>27</v>
      </c>
      <c r="H62" s="9" t="s">
        <v>28</v>
      </c>
      <c r="I62" s="9" t="s">
        <v>29</v>
      </c>
      <c r="J62" s="9" t="s">
        <v>30</v>
      </c>
      <c r="K62" s="9" t="s">
        <v>31</v>
      </c>
      <c r="L62" s="9" t="s">
        <v>32</v>
      </c>
      <c r="M62" s="9" t="s">
        <v>1965</v>
      </c>
      <c r="N62" s="9" t="s">
        <v>1966</v>
      </c>
      <c r="O62" s="9" t="s">
        <v>1192</v>
      </c>
      <c r="P62" s="9" t="s">
        <v>1967</v>
      </c>
      <c r="Q62" s="9">
        <v>111493110</v>
      </c>
      <c r="R62" s="9" t="s">
        <v>199</v>
      </c>
      <c r="S62" s="9" t="s">
        <v>39</v>
      </c>
      <c r="T62" s="11">
        <v>1</v>
      </c>
      <c r="U62" s="15" t="s">
        <v>1192</v>
      </c>
      <c r="V62" s="16" t="s">
        <v>1967</v>
      </c>
      <c r="W62" s="17">
        <v>111493110</v>
      </c>
      <c r="X62" s="16" t="s">
        <v>3177</v>
      </c>
      <c r="Y62" s="17" t="s">
        <v>3178</v>
      </c>
      <c r="Z62" s="17" t="s">
        <v>39</v>
      </c>
      <c r="AA62" s="17" t="s">
        <v>2501</v>
      </c>
      <c r="AB62" s="29">
        <v>8045.79</v>
      </c>
      <c r="AC62" s="25">
        <v>8759.94</v>
      </c>
      <c r="AD62" s="25">
        <f>AC62*T62</f>
        <v>8759.94</v>
      </c>
      <c r="AE62" s="25">
        <f>AB62*T62</f>
        <v>8045.79</v>
      </c>
      <c r="AF62" s="25">
        <f>AD62-AE62</f>
        <v>714.15000000000055</v>
      </c>
      <c r="AG62" s="26">
        <f>AF62/AD62</f>
        <v>8.1524530989938351E-2</v>
      </c>
      <c r="AH62" s="27" t="str">
        <f>IF(AG62&lt;0,"Negative",IF(AG62=0,"Same",IF(AG62&gt;0.3,"30+%",IF(AG62&gt;0.2,"20-30%",IF(AG62&gt;0.1,"10-20%",IF(AG62&lt;=0.1,"0-10%"))))))</f>
        <v>0-10%</v>
      </c>
      <c r="AI62" s="32"/>
      <c r="AJ62" s="36" t="s">
        <v>3300</v>
      </c>
      <c r="AK62" s="32"/>
    </row>
    <row r="63" spans="1:37" s="1" customFormat="1" ht="19.7" customHeight="1" x14ac:dyDescent="0.25">
      <c r="A63" s="5" t="s">
        <v>22</v>
      </c>
      <c r="B63" s="5" t="s">
        <v>307</v>
      </c>
      <c r="C63" s="6">
        <v>44249</v>
      </c>
      <c r="D63" s="5" t="s">
        <v>24</v>
      </c>
      <c r="E63" s="5" t="s">
        <v>25</v>
      </c>
      <c r="F63" s="5" t="s">
        <v>26</v>
      </c>
      <c r="G63" s="5" t="s">
        <v>27</v>
      </c>
      <c r="H63" s="5" t="s">
        <v>28</v>
      </c>
      <c r="I63" s="5" t="s">
        <v>29</v>
      </c>
      <c r="J63" s="5" t="s">
        <v>30</v>
      </c>
      <c r="K63" s="5" t="s">
        <v>31</v>
      </c>
      <c r="L63" s="5" t="s">
        <v>32</v>
      </c>
      <c r="M63" s="5" t="s">
        <v>308</v>
      </c>
      <c r="N63" s="5" t="s">
        <v>309</v>
      </c>
      <c r="O63" s="5" t="s">
        <v>310</v>
      </c>
      <c r="P63" s="5" t="s">
        <v>311</v>
      </c>
      <c r="Q63" s="5">
        <v>102445439</v>
      </c>
      <c r="R63" s="5" t="s">
        <v>51</v>
      </c>
      <c r="S63" s="5" t="s">
        <v>39</v>
      </c>
      <c r="T63" s="7">
        <v>2</v>
      </c>
      <c r="U63" s="15" t="s">
        <v>310</v>
      </c>
      <c r="V63" s="16" t="s">
        <v>311</v>
      </c>
      <c r="W63" s="17">
        <v>102445439</v>
      </c>
      <c r="X63" s="16" t="s">
        <v>2620</v>
      </c>
      <c r="Y63" s="17" t="s">
        <v>2621</v>
      </c>
      <c r="Z63" s="17" t="s">
        <v>39</v>
      </c>
      <c r="AA63" s="17" t="s">
        <v>2501</v>
      </c>
      <c r="AB63" s="29">
        <v>219.95</v>
      </c>
      <c r="AC63" s="25">
        <v>331.67</v>
      </c>
      <c r="AD63" s="25">
        <f>AC63*T63</f>
        <v>663.34</v>
      </c>
      <c r="AE63" s="25">
        <f>AB63*T63</f>
        <v>439.9</v>
      </c>
      <c r="AF63" s="25">
        <f>AD63-AE63</f>
        <v>223.44000000000005</v>
      </c>
      <c r="AG63" s="26">
        <f>AF63/AD63</f>
        <v>0.33684083577049484</v>
      </c>
      <c r="AH63" s="27" t="str">
        <f>IF(AG63&lt;0,"Negative",IF(AG63=0,"Same",IF(AG63&gt;0.3,"30+%",IF(AG63&gt;0.2,"20-30%",IF(AG63&gt;0.1,"10-20%",IF(AG63&lt;=0.1,"0-10%"))))))</f>
        <v>30+%</v>
      </c>
      <c r="AI63" s="32"/>
      <c r="AJ63" s="36" t="s">
        <v>3300</v>
      </c>
      <c r="AK63" s="32"/>
    </row>
    <row r="64" spans="1:37" s="1" customFormat="1" ht="19.7" customHeight="1" x14ac:dyDescent="0.25">
      <c r="A64" s="5" t="s">
        <v>22</v>
      </c>
      <c r="B64" s="5" t="s">
        <v>1183</v>
      </c>
      <c r="C64" s="6">
        <v>44354</v>
      </c>
      <c r="D64" s="5" t="s">
        <v>24</v>
      </c>
      <c r="E64" s="5" t="s">
        <v>25</v>
      </c>
      <c r="F64" s="5" t="s">
        <v>26</v>
      </c>
      <c r="G64" s="5" t="s">
        <v>27</v>
      </c>
      <c r="H64" s="5" t="s">
        <v>28</v>
      </c>
      <c r="I64" s="5" t="s">
        <v>29</v>
      </c>
      <c r="J64" s="5" t="s">
        <v>30</v>
      </c>
      <c r="K64" s="5" t="s">
        <v>31</v>
      </c>
      <c r="L64" s="5" t="s">
        <v>32</v>
      </c>
      <c r="M64" s="5" t="s">
        <v>261</v>
      </c>
      <c r="N64" s="5" t="s">
        <v>1184</v>
      </c>
      <c r="O64" s="5" t="s">
        <v>1185</v>
      </c>
      <c r="P64" s="5" t="s">
        <v>1186</v>
      </c>
      <c r="Q64" s="5">
        <v>115560454</v>
      </c>
      <c r="R64" s="5" t="s">
        <v>38</v>
      </c>
      <c r="S64" s="5" t="s">
        <v>39</v>
      </c>
      <c r="T64" s="7">
        <v>1</v>
      </c>
      <c r="U64" s="15" t="s">
        <v>1185</v>
      </c>
      <c r="V64" s="16" t="s">
        <v>1186</v>
      </c>
      <c r="W64" s="17">
        <v>115560454</v>
      </c>
      <c r="X64" s="16" t="s">
        <v>2783</v>
      </c>
      <c r="Y64" s="17" t="s">
        <v>2955</v>
      </c>
      <c r="Z64" s="17" t="s">
        <v>39</v>
      </c>
      <c r="AA64" s="17" t="s">
        <v>37</v>
      </c>
      <c r="AB64" s="29">
        <v>47.05</v>
      </c>
      <c r="AC64" s="25">
        <v>66.489999999999995</v>
      </c>
      <c r="AD64" s="25">
        <f>AC64*T64</f>
        <v>66.489999999999995</v>
      </c>
      <c r="AE64" s="25">
        <f>AB64*T64</f>
        <v>47.05</v>
      </c>
      <c r="AF64" s="25">
        <f>AD64-AE64</f>
        <v>19.439999999999998</v>
      </c>
      <c r="AG64" s="26">
        <f>AF64/AD64</f>
        <v>0.29237479320198523</v>
      </c>
      <c r="AH64" s="27" t="str">
        <f>IF(AG64&lt;0,"Negative",IF(AG64=0,"Same",IF(AG64&gt;0.3,"30+%",IF(AG64&gt;0.2,"20-30%",IF(AG64&gt;0.1,"10-20%",IF(AG64&lt;=0.1,"0-10%"))))))</f>
        <v>20-30%</v>
      </c>
      <c r="AI64" s="32"/>
      <c r="AJ64" s="36" t="s">
        <v>3300</v>
      </c>
      <c r="AK64" s="32"/>
    </row>
    <row r="65" spans="1:37" s="1" customFormat="1" ht="19.7" customHeight="1" x14ac:dyDescent="0.25">
      <c r="A65" s="5" t="s">
        <v>22</v>
      </c>
      <c r="B65" s="5" t="s">
        <v>341</v>
      </c>
      <c r="C65" s="6">
        <v>44252</v>
      </c>
      <c r="D65" s="5" t="s">
        <v>24</v>
      </c>
      <c r="E65" s="5" t="s">
        <v>25</v>
      </c>
      <c r="F65" s="5" t="s">
        <v>26</v>
      </c>
      <c r="G65" s="5" t="s">
        <v>27</v>
      </c>
      <c r="H65" s="5" t="s">
        <v>28</v>
      </c>
      <c r="I65" s="5" t="s">
        <v>29</v>
      </c>
      <c r="J65" s="5" t="s">
        <v>30</v>
      </c>
      <c r="K65" s="5" t="s">
        <v>31</v>
      </c>
      <c r="L65" s="5" t="s">
        <v>32</v>
      </c>
      <c r="M65" s="5" t="s">
        <v>261</v>
      </c>
      <c r="N65" s="5" t="s">
        <v>342</v>
      </c>
      <c r="O65" s="5" t="s">
        <v>343</v>
      </c>
      <c r="P65" s="5" t="s">
        <v>344</v>
      </c>
      <c r="Q65" s="5">
        <v>118022507</v>
      </c>
      <c r="R65" s="5" t="s">
        <v>199</v>
      </c>
      <c r="S65" s="5" t="s">
        <v>39</v>
      </c>
      <c r="T65" s="7">
        <v>1</v>
      </c>
      <c r="U65" s="15" t="s">
        <v>343</v>
      </c>
      <c r="V65" s="16" t="s">
        <v>344</v>
      </c>
      <c r="W65" s="17">
        <v>118022507</v>
      </c>
      <c r="X65" s="16" t="s">
        <v>2633</v>
      </c>
      <c r="Y65" s="17" t="s">
        <v>2634</v>
      </c>
      <c r="Z65" s="17" t="s">
        <v>39</v>
      </c>
      <c r="AA65" s="17" t="s">
        <v>2501</v>
      </c>
      <c r="AB65" s="29">
        <v>1037.08</v>
      </c>
      <c r="AC65" s="25">
        <v>1129.1300000000001</v>
      </c>
      <c r="AD65" s="25">
        <f>AC65*T65</f>
        <v>1129.1300000000001</v>
      </c>
      <c r="AE65" s="25">
        <f>AB65*T65</f>
        <v>1037.08</v>
      </c>
      <c r="AF65" s="25">
        <f>AD65-AE65</f>
        <v>92.050000000000182</v>
      </c>
      <c r="AG65" s="26">
        <f>AF65/AD65</f>
        <v>8.1522942442411567E-2</v>
      </c>
      <c r="AH65" s="27" t="str">
        <f>IF(AG65&lt;0,"Negative",IF(AG65=0,"Same",IF(AG65&gt;0.3,"30+%",IF(AG65&gt;0.2,"20-30%",IF(AG65&gt;0.1,"10-20%",IF(AG65&lt;=0.1,"0-10%"))))))</f>
        <v>0-10%</v>
      </c>
      <c r="AI65" s="32"/>
      <c r="AJ65" s="36" t="s">
        <v>3300</v>
      </c>
      <c r="AK65" s="32"/>
    </row>
    <row r="66" spans="1:37" s="1" customFormat="1" ht="19.7" customHeight="1" x14ac:dyDescent="0.25">
      <c r="A66" s="5" t="s">
        <v>22</v>
      </c>
      <c r="B66" s="5" t="s">
        <v>407</v>
      </c>
      <c r="C66" s="6">
        <v>44258</v>
      </c>
      <c r="D66" s="5" t="s">
        <v>24</v>
      </c>
      <c r="E66" s="5" t="s">
        <v>25</v>
      </c>
      <c r="F66" s="5" t="s">
        <v>26</v>
      </c>
      <c r="G66" s="5" t="s">
        <v>27</v>
      </c>
      <c r="H66" s="5" t="s">
        <v>28</v>
      </c>
      <c r="I66" s="5" t="s">
        <v>29</v>
      </c>
      <c r="J66" s="5" t="s">
        <v>30</v>
      </c>
      <c r="K66" s="5" t="s">
        <v>31</v>
      </c>
      <c r="L66" s="5" t="s">
        <v>32</v>
      </c>
      <c r="M66" s="5" t="s">
        <v>408</v>
      </c>
      <c r="N66" s="5" t="s">
        <v>369</v>
      </c>
      <c r="O66" s="5" t="s">
        <v>103</v>
      </c>
      <c r="P66" s="5" t="s">
        <v>409</v>
      </c>
      <c r="Q66" s="5">
        <v>113524551</v>
      </c>
      <c r="R66" s="5" t="s">
        <v>216</v>
      </c>
      <c r="S66" s="5" t="s">
        <v>39</v>
      </c>
      <c r="T66" s="7">
        <v>1</v>
      </c>
      <c r="U66" s="15" t="s">
        <v>103</v>
      </c>
      <c r="V66" s="16" t="s">
        <v>409</v>
      </c>
      <c r="W66" s="17">
        <v>113524551</v>
      </c>
      <c r="X66" s="16" t="s">
        <v>2661</v>
      </c>
      <c r="Y66" s="17" t="s">
        <v>2662</v>
      </c>
      <c r="Z66" s="17" t="s">
        <v>39</v>
      </c>
      <c r="AA66" s="17" t="s">
        <v>2501</v>
      </c>
      <c r="AB66" s="29">
        <v>34.68</v>
      </c>
      <c r="AC66" s="25">
        <v>47.5</v>
      </c>
      <c r="AD66" s="25">
        <f>AC66*T66</f>
        <v>47.5</v>
      </c>
      <c r="AE66" s="25">
        <f>AB66*T66</f>
        <v>34.68</v>
      </c>
      <c r="AF66" s="25">
        <f>AD66-AE66</f>
        <v>12.82</v>
      </c>
      <c r="AG66" s="26">
        <f>AF66/AD66</f>
        <v>0.26989473684210524</v>
      </c>
      <c r="AH66" s="27" t="str">
        <f>IF(AG66&lt;0,"Negative",IF(AG66=0,"Same",IF(AG66&gt;0.3,"30+%",IF(AG66&gt;0.2,"20-30%",IF(AG66&gt;0.1,"10-20%",IF(AG66&lt;=0.1,"0-10%"))))))</f>
        <v>20-30%</v>
      </c>
      <c r="AI66" s="32"/>
      <c r="AJ66" s="36" t="s">
        <v>3300</v>
      </c>
      <c r="AK66" s="32"/>
    </row>
    <row r="67" spans="1:37" s="1" customFormat="1" ht="19.7" customHeight="1" x14ac:dyDescent="0.25">
      <c r="A67" s="9" t="s">
        <v>22</v>
      </c>
      <c r="B67" s="9" t="s">
        <v>1105</v>
      </c>
      <c r="C67" s="10">
        <v>44340</v>
      </c>
      <c r="D67" s="9" t="s">
        <v>24</v>
      </c>
      <c r="E67" s="9" t="s">
        <v>25</v>
      </c>
      <c r="F67" s="9" t="s">
        <v>26</v>
      </c>
      <c r="G67" s="9" t="s">
        <v>27</v>
      </c>
      <c r="H67" s="9" t="s">
        <v>28</v>
      </c>
      <c r="I67" s="9" t="s">
        <v>29</v>
      </c>
      <c r="J67" s="9" t="s">
        <v>30</v>
      </c>
      <c r="K67" s="9" t="s">
        <v>31</v>
      </c>
      <c r="L67" s="9" t="s">
        <v>32</v>
      </c>
      <c r="M67" s="9" t="s">
        <v>261</v>
      </c>
      <c r="N67" s="9" t="s">
        <v>1106</v>
      </c>
      <c r="O67" s="9" t="s">
        <v>1107</v>
      </c>
      <c r="P67" s="9" t="s">
        <v>1108</v>
      </c>
      <c r="Q67" s="9">
        <v>118204785</v>
      </c>
      <c r="R67" s="9" t="s">
        <v>73</v>
      </c>
      <c r="S67" s="9" t="s">
        <v>39</v>
      </c>
      <c r="T67" s="11">
        <v>1</v>
      </c>
      <c r="U67" s="15" t="s">
        <v>1107</v>
      </c>
      <c r="V67" s="16" t="s">
        <v>1108</v>
      </c>
      <c r="W67" s="17">
        <v>118204785</v>
      </c>
      <c r="X67" s="16" t="s">
        <v>2603</v>
      </c>
      <c r="Y67" s="17" t="s">
        <v>2924</v>
      </c>
      <c r="Z67" s="17" t="s">
        <v>39</v>
      </c>
      <c r="AA67" s="17" t="s">
        <v>2501</v>
      </c>
      <c r="AB67" s="29">
        <v>3103.14</v>
      </c>
      <c r="AC67" s="25">
        <v>2983.68</v>
      </c>
      <c r="AD67" s="25">
        <f>AC67*T67</f>
        <v>2983.68</v>
      </c>
      <c r="AE67" s="25">
        <f>AB67*T67</f>
        <v>3103.14</v>
      </c>
      <c r="AF67" s="25">
        <f>AD67-AE67</f>
        <v>-119.46000000000004</v>
      </c>
      <c r="AG67" s="26">
        <f>AF67/AD67</f>
        <v>-4.0037805662805674E-2</v>
      </c>
      <c r="AH67" s="27" t="str">
        <f>IF(AG67&lt;0,"Negative",IF(AG67=0,"Same",IF(AG67&gt;0.3,"30+%",IF(AG67&gt;0.2,"20-30%",IF(AG67&gt;0.1,"10-20%",IF(AG67&lt;=0.1,"0-10%"))))))</f>
        <v>Negative</v>
      </c>
      <c r="AI67" s="32"/>
      <c r="AJ67" s="36" t="s">
        <v>3300</v>
      </c>
      <c r="AK67" s="32"/>
    </row>
    <row r="68" spans="1:37" s="1" customFormat="1" ht="19.7" customHeight="1" x14ac:dyDescent="0.25">
      <c r="A68" s="5" t="s">
        <v>22</v>
      </c>
      <c r="B68" s="5" t="s">
        <v>859</v>
      </c>
      <c r="C68" s="6">
        <v>44312</v>
      </c>
      <c r="D68" s="5" t="s">
        <v>24</v>
      </c>
      <c r="E68" s="5" t="s">
        <v>25</v>
      </c>
      <c r="F68" s="5" t="s">
        <v>26</v>
      </c>
      <c r="G68" s="5" t="s">
        <v>27</v>
      </c>
      <c r="H68" s="5" t="s">
        <v>28</v>
      </c>
      <c r="I68" s="5" t="s">
        <v>29</v>
      </c>
      <c r="J68" s="5" t="s">
        <v>30</v>
      </c>
      <c r="K68" s="5" t="s">
        <v>31</v>
      </c>
      <c r="L68" s="5" t="s">
        <v>32</v>
      </c>
      <c r="M68" s="5" t="s">
        <v>659</v>
      </c>
      <c r="N68" s="5" t="s">
        <v>697</v>
      </c>
      <c r="O68" s="5" t="s">
        <v>103</v>
      </c>
      <c r="P68" s="5" t="s">
        <v>661</v>
      </c>
      <c r="Q68" s="5">
        <v>117819894</v>
      </c>
      <c r="R68" s="5" t="s">
        <v>73</v>
      </c>
      <c r="S68" s="5" t="s">
        <v>39</v>
      </c>
      <c r="T68" s="7">
        <v>10</v>
      </c>
      <c r="U68" s="15" t="s">
        <v>103</v>
      </c>
      <c r="V68" s="16" t="s">
        <v>661</v>
      </c>
      <c r="W68" s="17">
        <v>117819894</v>
      </c>
      <c r="X68" s="16" t="s">
        <v>2771</v>
      </c>
      <c r="Y68" s="17" t="s">
        <v>2772</v>
      </c>
      <c r="Z68" s="17" t="s">
        <v>39</v>
      </c>
      <c r="AA68" s="17" t="s">
        <v>2501</v>
      </c>
      <c r="AB68" s="29">
        <v>61.28</v>
      </c>
      <c r="AC68" s="25">
        <v>58.92</v>
      </c>
      <c r="AD68" s="25">
        <f>AC68*T68</f>
        <v>589.20000000000005</v>
      </c>
      <c r="AE68" s="25">
        <f>AB68*T68</f>
        <v>612.79999999999995</v>
      </c>
      <c r="AF68" s="25">
        <f>AD68-AE68</f>
        <v>-23.599999999999909</v>
      </c>
      <c r="AG68" s="26">
        <f>AF68/AD68</f>
        <v>-4.005431093007452E-2</v>
      </c>
      <c r="AH68" s="27" t="str">
        <f>IF(AG68&lt;0,"Negative",IF(AG68=0,"Same",IF(AG68&gt;0.3,"30+%",IF(AG68&gt;0.2,"20-30%",IF(AG68&gt;0.1,"10-20%",IF(AG68&lt;=0.1,"0-10%"))))))</f>
        <v>Negative</v>
      </c>
      <c r="AI68" s="32"/>
      <c r="AJ68" s="36" t="s">
        <v>3300</v>
      </c>
      <c r="AK68" s="32"/>
    </row>
    <row r="69" spans="1:37" s="1" customFormat="1" ht="19.7" customHeight="1" x14ac:dyDescent="0.25">
      <c r="A69" s="5" t="s">
        <v>22</v>
      </c>
      <c r="B69" s="5" t="s">
        <v>658</v>
      </c>
      <c r="C69" s="6">
        <v>44285</v>
      </c>
      <c r="D69" s="5" t="s">
        <v>24</v>
      </c>
      <c r="E69" s="5" t="s">
        <v>25</v>
      </c>
      <c r="F69" s="5" t="s">
        <v>26</v>
      </c>
      <c r="G69" s="5" t="s">
        <v>27</v>
      </c>
      <c r="H69" s="5" t="s">
        <v>28</v>
      </c>
      <c r="I69" s="5" t="s">
        <v>29</v>
      </c>
      <c r="J69" s="5" t="s">
        <v>30</v>
      </c>
      <c r="K69" s="5" t="s">
        <v>31</v>
      </c>
      <c r="L69" s="5" t="s">
        <v>32</v>
      </c>
      <c r="M69" s="5" t="s">
        <v>659</v>
      </c>
      <c r="N69" s="5" t="s">
        <v>660</v>
      </c>
      <c r="O69" s="5" t="s">
        <v>103</v>
      </c>
      <c r="P69" s="5" t="s">
        <v>661</v>
      </c>
      <c r="Q69" s="5">
        <v>117819894</v>
      </c>
      <c r="R69" s="5" t="s">
        <v>73</v>
      </c>
      <c r="S69" s="5" t="s">
        <v>39</v>
      </c>
      <c r="T69" s="7">
        <v>7</v>
      </c>
      <c r="U69" s="15" t="s">
        <v>103</v>
      </c>
      <c r="V69" s="16" t="s">
        <v>661</v>
      </c>
      <c r="W69" s="17">
        <v>117819894</v>
      </c>
      <c r="X69" s="16" t="s">
        <v>2771</v>
      </c>
      <c r="Y69" s="17" t="s">
        <v>2772</v>
      </c>
      <c r="Z69" s="17" t="s">
        <v>39</v>
      </c>
      <c r="AA69" s="17" t="s">
        <v>2501</v>
      </c>
      <c r="AB69" s="29">
        <v>61.28</v>
      </c>
      <c r="AC69" s="25">
        <v>58.92</v>
      </c>
      <c r="AD69" s="25">
        <f>AC69*T69</f>
        <v>412.44</v>
      </c>
      <c r="AE69" s="25">
        <f>AB69*T69</f>
        <v>428.96000000000004</v>
      </c>
      <c r="AF69" s="25">
        <f>AD69-AE69</f>
        <v>-16.520000000000039</v>
      </c>
      <c r="AG69" s="26">
        <f>AF69/AD69</f>
        <v>-4.005431093007477E-2</v>
      </c>
      <c r="AH69" s="27" t="str">
        <f>IF(AG69&lt;0,"Negative",IF(AG69=0,"Same",IF(AG69&gt;0.3,"30+%",IF(AG69&gt;0.2,"20-30%",IF(AG69&gt;0.1,"10-20%",IF(AG69&lt;=0.1,"0-10%"))))))</f>
        <v>Negative</v>
      </c>
      <c r="AI69" s="32"/>
      <c r="AJ69" s="36" t="s">
        <v>3300</v>
      </c>
      <c r="AK69" s="32"/>
    </row>
    <row r="70" spans="1:37" s="1" customFormat="1" ht="19.7" customHeight="1" x14ac:dyDescent="0.25">
      <c r="A70" s="5" t="s">
        <v>22</v>
      </c>
      <c r="B70" s="5" t="s">
        <v>2211</v>
      </c>
      <c r="C70" s="6">
        <v>44540</v>
      </c>
      <c r="D70" s="5" t="s">
        <v>24</v>
      </c>
      <c r="E70" s="5" t="s">
        <v>25</v>
      </c>
      <c r="F70" s="5" t="s">
        <v>26</v>
      </c>
      <c r="G70" s="5" t="s">
        <v>67</v>
      </c>
      <c r="H70" s="5" t="s">
        <v>68</v>
      </c>
      <c r="I70" s="5" t="s">
        <v>29</v>
      </c>
      <c r="J70" s="5" t="s">
        <v>30</v>
      </c>
      <c r="K70" s="5" t="s">
        <v>31</v>
      </c>
      <c r="L70" s="5" t="s">
        <v>32</v>
      </c>
      <c r="M70" s="5" t="s">
        <v>283</v>
      </c>
      <c r="N70" s="5" t="s">
        <v>2212</v>
      </c>
      <c r="O70" s="5" t="s">
        <v>71</v>
      </c>
      <c r="P70" s="5" t="s">
        <v>285</v>
      </c>
      <c r="Q70" s="5">
        <v>102171280</v>
      </c>
      <c r="R70" s="5" t="s">
        <v>73</v>
      </c>
      <c r="S70" s="5" t="s">
        <v>39</v>
      </c>
      <c r="T70" s="7">
        <v>30</v>
      </c>
      <c r="U70" s="15" t="s">
        <v>71</v>
      </c>
      <c r="V70" s="16" t="s">
        <v>285</v>
      </c>
      <c r="W70" s="17">
        <v>102171280</v>
      </c>
      <c r="X70" s="16" t="s">
        <v>2510</v>
      </c>
      <c r="Y70" s="17" t="s">
        <v>2606</v>
      </c>
      <c r="Z70" s="17" t="s">
        <v>39</v>
      </c>
      <c r="AA70" s="17" t="s">
        <v>37</v>
      </c>
      <c r="AB70" s="29">
        <v>6.8</v>
      </c>
      <c r="AC70" s="25">
        <v>6.8</v>
      </c>
      <c r="AD70" s="25">
        <f>AC70*T70</f>
        <v>204</v>
      </c>
      <c r="AE70" s="25">
        <f>AB70*T70</f>
        <v>204</v>
      </c>
      <c r="AF70" s="25">
        <f>AD70-AE70</f>
        <v>0</v>
      </c>
      <c r="AG70" s="26">
        <f>AF70/AD70</f>
        <v>0</v>
      </c>
      <c r="AH70" s="27" t="str">
        <f>IF(AG70&lt;0,"Negative",IF(AG70=0,"Same",IF(AG70&gt;0.3,"30+%",IF(AG70&gt;0.2,"20-30%",IF(AG70&gt;0.1,"10-20%",IF(AG70&lt;=0.1,"0-10%"))))))</f>
        <v>Same</v>
      </c>
      <c r="AI70" s="32"/>
      <c r="AJ70" s="36" t="s">
        <v>3300</v>
      </c>
      <c r="AK70" s="32"/>
    </row>
    <row r="71" spans="1:37" s="1" customFormat="1" ht="19.7" customHeight="1" x14ac:dyDescent="0.25">
      <c r="A71" s="9" t="s">
        <v>22</v>
      </c>
      <c r="B71" s="9" t="s">
        <v>2252</v>
      </c>
      <c r="C71" s="10">
        <v>44552</v>
      </c>
      <c r="D71" s="9" t="s">
        <v>24</v>
      </c>
      <c r="E71" s="9" t="s">
        <v>25</v>
      </c>
      <c r="F71" s="9" t="s">
        <v>26</v>
      </c>
      <c r="G71" s="9" t="s">
        <v>27</v>
      </c>
      <c r="H71" s="9" t="s">
        <v>28</v>
      </c>
      <c r="I71" s="9" t="s">
        <v>29</v>
      </c>
      <c r="J71" s="9" t="s">
        <v>30</v>
      </c>
      <c r="K71" s="9" t="s">
        <v>31</v>
      </c>
      <c r="L71" s="9" t="s">
        <v>32</v>
      </c>
      <c r="M71" s="9" t="s">
        <v>2253</v>
      </c>
      <c r="N71" s="9" t="s">
        <v>2254</v>
      </c>
      <c r="O71" s="9" t="s">
        <v>169</v>
      </c>
      <c r="P71" s="9" t="s">
        <v>2255</v>
      </c>
      <c r="Q71" s="9">
        <v>100768784</v>
      </c>
      <c r="R71" s="9" t="s">
        <v>56</v>
      </c>
      <c r="S71" s="9" t="s">
        <v>39</v>
      </c>
      <c r="T71" s="11">
        <v>2</v>
      </c>
      <c r="U71" s="15" t="s">
        <v>169</v>
      </c>
      <c r="V71" s="16" t="s">
        <v>2255</v>
      </c>
      <c r="W71" s="17">
        <v>100768784</v>
      </c>
      <c r="X71" s="16" t="s">
        <v>2555</v>
      </c>
      <c r="Y71" s="17" t="s">
        <v>3235</v>
      </c>
      <c r="Z71" s="17" t="s">
        <v>39</v>
      </c>
      <c r="AA71" s="17" t="s">
        <v>37</v>
      </c>
      <c r="AB71" s="43">
        <v>3.01</v>
      </c>
      <c r="AC71" s="25">
        <v>3.13</v>
      </c>
      <c r="AD71" s="25">
        <f>AC71*T71</f>
        <v>6.26</v>
      </c>
      <c r="AE71" s="25">
        <f>AB71*T71</f>
        <v>6.02</v>
      </c>
      <c r="AF71" s="25">
        <f>AD71-AE71</f>
        <v>0.24000000000000021</v>
      </c>
      <c r="AG71" s="26">
        <f>AF71/AD71</f>
        <v>3.8338658146964889E-2</v>
      </c>
      <c r="AH71" s="27" t="str">
        <f>IF(AG71&lt;0,"Negative",IF(AG71=0,"Same",IF(AG71&gt;0.3,"30+%",IF(AG71&gt;0.2,"20-30%",IF(AG71&gt;0.1,"10-20%",IF(AG71&lt;=0.1,"0-10%"))))))</f>
        <v>0-10%</v>
      </c>
      <c r="AI71" s="32"/>
      <c r="AJ71" s="36" t="s">
        <v>3300</v>
      </c>
      <c r="AK71" s="32"/>
    </row>
    <row r="72" spans="1:37" s="1" customFormat="1" ht="19.7" customHeight="1" x14ac:dyDescent="0.25">
      <c r="A72" s="9" t="s">
        <v>22</v>
      </c>
      <c r="B72" s="9" t="s">
        <v>2345</v>
      </c>
      <c r="C72" s="10">
        <v>44568</v>
      </c>
      <c r="D72" s="9" t="s">
        <v>24</v>
      </c>
      <c r="E72" s="9" t="s">
        <v>25</v>
      </c>
      <c r="F72" s="9" t="s">
        <v>26</v>
      </c>
      <c r="G72" s="9" t="s">
        <v>67</v>
      </c>
      <c r="H72" s="9" t="s">
        <v>68</v>
      </c>
      <c r="I72" s="9" t="s">
        <v>29</v>
      </c>
      <c r="J72" s="9" t="s">
        <v>30</v>
      </c>
      <c r="K72" s="9" t="s">
        <v>31</v>
      </c>
      <c r="L72" s="9" t="s">
        <v>32</v>
      </c>
      <c r="M72" s="9" t="s">
        <v>897</v>
      </c>
      <c r="N72" s="9" t="s">
        <v>2346</v>
      </c>
      <c r="O72" s="9" t="s">
        <v>169</v>
      </c>
      <c r="P72" s="9" t="s">
        <v>898</v>
      </c>
      <c r="Q72" s="9">
        <v>100768772</v>
      </c>
      <c r="R72" s="9" t="s">
        <v>56</v>
      </c>
      <c r="S72" s="9" t="s">
        <v>39</v>
      </c>
      <c r="T72" s="11">
        <v>2</v>
      </c>
      <c r="U72" s="15" t="s">
        <v>169</v>
      </c>
      <c r="V72" s="16" t="s">
        <v>898</v>
      </c>
      <c r="W72" s="17">
        <v>100768772</v>
      </c>
      <c r="X72" s="16" t="s">
        <v>2555</v>
      </c>
      <c r="Y72" s="17" t="s">
        <v>2855</v>
      </c>
      <c r="Z72" s="17" t="s">
        <v>39</v>
      </c>
      <c r="AA72" s="17" t="s">
        <v>37</v>
      </c>
      <c r="AB72" s="43">
        <v>2.83</v>
      </c>
      <c r="AC72" s="25">
        <v>2.96</v>
      </c>
      <c r="AD72" s="25">
        <f>AC72*T72</f>
        <v>5.92</v>
      </c>
      <c r="AE72" s="25">
        <f>AB72*T72</f>
        <v>5.66</v>
      </c>
      <c r="AF72" s="25">
        <f>AD72-AE72</f>
        <v>0.25999999999999979</v>
      </c>
      <c r="AG72" s="26">
        <f>AF72/AD72</f>
        <v>4.3918918918918887E-2</v>
      </c>
      <c r="AH72" s="27" t="str">
        <f>IF(AG72&lt;0,"Negative",IF(AG72=0,"Same",IF(AG72&gt;0.3,"30+%",IF(AG72&gt;0.2,"20-30%",IF(AG72&gt;0.1,"10-20%",IF(AG72&lt;=0.1,"0-10%"))))))</f>
        <v>0-10%</v>
      </c>
      <c r="AI72" s="32"/>
      <c r="AJ72" s="36" t="s">
        <v>3300</v>
      </c>
      <c r="AK72" s="32"/>
    </row>
    <row r="73" spans="1:37" s="1" customFormat="1" ht="19.7" customHeight="1" x14ac:dyDescent="0.25">
      <c r="A73" s="5" t="s">
        <v>22</v>
      </c>
      <c r="B73" s="5" t="s">
        <v>2209</v>
      </c>
      <c r="C73" s="6">
        <v>44540</v>
      </c>
      <c r="D73" s="5" t="s">
        <v>24</v>
      </c>
      <c r="E73" s="5" t="s">
        <v>25</v>
      </c>
      <c r="F73" s="5" t="s">
        <v>26</v>
      </c>
      <c r="G73" s="5" t="s">
        <v>67</v>
      </c>
      <c r="H73" s="5" t="s">
        <v>68</v>
      </c>
      <c r="I73" s="5" t="s">
        <v>29</v>
      </c>
      <c r="J73" s="5" t="s">
        <v>30</v>
      </c>
      <c r="K73" s="5" t="s">
        <v>31</v>
      </c>
      <c r="L73" s="5" t="s">
        <v>32</v>
      </c>
      <c r="M73" s="5" t="s">
        <v>897</v>
      </c>
      <c r="N73" s="5" t="s">
        <v>2210</v>
      </c>
      <c r="O73" s="5" t="s">
        <v>169</v>
      </c>
      <c r="P73" s="5" t="s">
        <v>898</v>
      </c>
      <c r="Q73" s="5">
        <v>100768772</v>
      </c>
      <c r="R73" s="5" t="s">
        <v>56</v>
      </c>
      <c r="S73" s="5" t="s">
        <v>39</v>
      </c>
      <c r="T73" s="7">
        <v>2</v>
      </c>
      <c r="U73" s="15" t="s">
        <v>169</v>
      </c>
      <c r="V73" s="16" t="s">
        <v>898</v>
      </c>
      <c r="W73" s="17">
        <v>100768772</v>
      </c>
      <c r="X73" s="16" t="s">
        <v>2555</v>
      </c>
      <c r="Y73" s="17" t="s">
        <v>2855</v>
      </c>
      <c r="Z73" s="17" t="s">
        <v>39</v>
      </c>
      <c r="AA73" s="17" t="s">
        <v>37</v>
      </c>
      <c r="AB73" s="43">
        <v>2.83</v>
      </c>
      <c r="AC73" s="25">
        <v>2.96</v>
      </c>
      <c r="AD73" s="25">
        <f>AC73*T73</f>
        <v>5.92</v>
      </c>
      <c r="AE73" s="25">
        <f>AB73*T73</f>
        <v>5.66</v>
      </c>
      <c r="AF73" s="25">
        <f>AD73-AE73</f>
        <v>0.25999999999999979</v>
      </c>
      <c r="AG73" s="26">
        <f>AF73/AD73</f>
        <v>4.3918918918918887E-2</v>
      </c>
      <c r="AH73" s="27" t="str">
        <f>IF(AG73&lt;0,"Negative",IF(AG73=0,"Same",IF(AG73&gt;0.3,"30+%",IF(AG73&gt;0.2,"20-30%",IF(AG73&gt;0.1,"10-20%",IF(AG73&lt;=0.1,"0-10%"))))))</f>
        <v>0-10%</v>
      </c>
      <c r="AI73" s="32"/>
      <c r="AJ73" s="36" t="s">
        <v>3300</v>
      </c>
      <c r="AK73" s="32"/>
    </row>
    <row r="74" spans="1:37" s="1" customFormat="1" ht="19.7" customHeight="1" x14ac:dyDescent="0.25">
      <c r="A74" s="5" t="s">
        <v>22</v>
      </c>
      <c r="B74" s="5" t="s">
        <v>2268</v>
      </c>
      <c r="C74" s="6">
        <v>44559</v>
      </c>
      <c r="D74" s="5" t="s">
        <v>24</v>
      </c>
      <c r="E74" s="5" t="s">
        <v>25</v>
      </c>
      <c r="F74" s="5" t="s">
        <v>26</v>
      </c>
      <c r="G74" s="5" t="s">
        <v>67</v>
      </c>
      <c r="H74" s="5" t="s">
        <v>68</v>
      </c>
      <c r="I74" s="5" t="s">
        <v>29</v>
      </c>
      <c r="J74" s="5" t="s">
        <v>30</v>
      </c>
      <c r="K74" s="5" t="s">
        <v>31</v>
      </c>
      <c r="L74" s="5" t="s">
        <v>32</v>
      </c>
      <c r="M74" s="5" t="s">
        <v>2270</v>
      </c>
      <c r="N74" s="5" t="s">
        <v>2269</v>
      </c>
      <c r="O74" s="5" t="s">
        <v>169</v>
      </c>
      <c r="P74" s="5" t="s">
        <v>2271</v>
      </c>
      <c r="Q74" s="5">
        <v>100770832</v>
      </c>
      <c r="R74" s="5" t="s">
        <v>56</v>
      </c>
      <c r="S74" s="5" t="s">
        <v>39</v>
      </c>
      <c r="T74" s="7">
        <v>1</v>
      </c>
      <c r="U74" s="15" t="s">
        <v>169</v>
      </c>
      <c r="V74" s="16" t="s">
        <v>2271</v>
      </c>
      <c r="W74" s="17">
        <v>100770832</v>
      </c>
      <c r="X74" s="16" t="s">
        <v>2610</v>
      </c>
      <c r="Y74" s="17" t="s">
        <v>3240</v>
      </c>
      <c r="Z74" s="17" t="s">
        <v>39</v>
      </c>
      <c r="AA74" s="17" t="s">
        <v>37</v>
      </c>
      <c r="AB74" s="43">
        <v>6.47</v>
      </c>
      <c r="AC74" s="25">
        <v>6.74</v>
      </c>
      <c r="AD74" s="25">
        <f>AC74*T74</f>
        <v>6.74</v>
      </c>
      <c r="AE74" s="25">
        <f>AB74*T74</f>
        <v>6.47</v>
      </c>
      <c r="AF74" s="25">
        <f>AD74-AE74</f>
        <v>0.27000000000000046</v>
      </c>
      <c r="AG74" s="26">
        <f>AF74/AD74</f>
        <v>4.0059347181008967E-2</v>
      </c>
      <c r="AH74" s="27" t="str">
        <f>IF(AG74&lt;0,"Negative",IF(AG74=0,"Same",IF(AG74&gt;0.3,"30+%",IF(AG74&gt;0.2,"20-30%",IF(AG74&gt;0.1,"10-20%",IF(AG74&lt;=0.1,"0-10%"))))))</f>
        <v>0-10%</v>
      </c>
      <c r="AI74" s="32"/>
      <c r="AJ74" s="36" t="s">
        <v>3300</v>
      </c>
      <c r="AK74" s="32"/>
    </row>
    <row r="75" spans="1:37" s="1" customFormat="1" ht="19.7" customHeight="1" x14ac:dyDescent="0.25">
      <c r="A75" s="5" t="s">
        <v>22</v>
      </c>
      <c r="B75" s="5" t="s">
        <v>1593</v>
      </c>
      <c r="C75" s="6">
        <v>44421</v>
      </c>
      <c r="D75" s="5" t="s">
        <v>24</v>
      </c>
      <c r="E75" s="5" t="s">
        <v>25</v>
      </c>
      <c r="F75" s="5" t="s">
        <v>26</v>
      </c>
      <c r="G75" s="5" t="s">
        <v>67</v>
      </c>
      <c r="H75" s="5" t="s">
        <v>68</v>
      </c>
      <c r="I75" s="5" t="s">
        <v>29</v>
      </c>
      <c r="J75" s="5" t="s">
        <v>30</v>
      </c>
      <c r="K75" s="5" t="s">
        <v>31</v>
      </c>
      <c r="L75" s="5" t="s">
        <v>32</v>
      </c>
      <c r="M75" s="5" t="s">
        <v>1597</v>
      </c>
      <c r="N75" s="5" t="s">
        <v>1594</v>
      </c>
      <c r="O75" s="5" t="s">
        <v>259</v>
      </c>
      <c r="P75" s="5" t="s">
        <v>1598</v>
      </c>
      <c r="Q75" s="5">
        <v>101219995</v>
      </c>
      <c r="R75" s="5" t="s">
        <v>38</v>
      </c>
      <c r="S75" s="5" t="s">
        <v>39</v>
      </c>
      <c r="T75" s="7">
        <v>2</v>
      </c>
      <c r="U75" s="15" t="s">
        <v>259</v>
      </c>
      <c r="V75" s="16" t="s">
        <v>1598</v>
      </c>
      <c r="W75" s="17">
        <v>101219995</v>
      </c>
      <c r="X75" s="16" t="s">
        <v>2597</v>
      </c>
      <c r="Y75" s="17" t="s">
        <v>3087</v>
      </c>
      <c r="Z75" s="17" t="s">
        <v>39</v>
      </c>
      <c r="AA75" s="17" t="s">
        <v>2501</v>
      </c>
      <c r="AB75" s="29">
        <v>1.87</v>
      </c>
      <c r="AC75" s="25">
        <v>1.91</v>
      </c>
      <c r="AD75" s="25">
        <f>AC75*T75</f>
        <v>3.82</v>
      </c>
      <c r="AE75" s="25">
        <f>AB75*T75</f>
        <v>3.74</v>
      </c>
      <c r="AF75" s="25">
        <f>AD75-AE75</f>
        <v>7.9999999999999627E-2</v>
      </c>
      <c r="AG75" s="26">
        <f>AF75/AD75</f>
        <v>2.0942408376963255E-2</v>
      </c>
      <c r="AH75" s="27" t="str">
        <f>IF(AG75&lt;0,"Negative",IF(AG75=0,"Same",IF(AG75&gt;0.3,"30+%",IF(AG75&gt;0.2,"20-30%",IF(AG75&gt;0.1,"10-20%",IF(AG75&lt;=0.1,"0-10%"))))))</f>
        <v>0-10%</v>
      </c>
      <c r="AI75" s="32"/>
      <c r="AJ75" s="36" t="s">
        <v>3300</v>
      </c>
      <c r="AK75" s="32"/>
    </row>
    <row r="76" spans="1:37" s="1" customFormat="1" ht="19.7" customHeight="1" x14ac:dyDescent="0.25">
      <c r="A76" s="9" t="s">
        <v>22</v>
      </c>
      <c r="B76" s="9" t="s">
        <v>2100</v>
      </c>
      <c r="C76" s="10">
        <v>44519</v>
      </c>
      <c r="D76" s="9" t="s">
        <v>24</v>
      </c>
      <c r="E76" s="9" t="s">
        <v>25</v>
      </c>
      <c r="F76" s="9" t="s">
        <v>26</v>
      </c>
      <c r="G76" s="9" t="s">
        <v>27</v>
      </c>
      <c r="H76" s="9" t="s">
        <v>28</v>
      </c>
      <c r="I76" s="9" t="s">
        <v>29</v>
      </c>
      <c r="J76" s="9" t="s">
        <v>30</v>
      </c>
      <c r="K76" s="9" t="s">
        <v>31</v>
      </c>
      <c r="L76" s="9" t="s">
        <v>32</v>
      </c>
      <c r="M76" s="9" t="s">
        <v>2101</v>
      </c>
      <c r="N76" s="9" t="s">
        <v>2102</v>
      </c>
      <c r="O76" s="9" t="s">
        <v>103</v>
      </c>
      <c r="P76" s="9" t="s">
        <v>2103</v>
      </c>
      <c r="Q76" s="9">
        <v>114721447</v>
      </c>
      <c r="R76" s="9" t="s">
        <v>38</v>
      </c>
      <c r="S76" s="9" t="s">
        <v>39</v>
      </c>
      <c r="T76" s="11">
        <v>50</v>
      </c>
      <c r="U76" s="15" t="s">
        <v>103</v>
      </c>
      <c r="V76" s="16" t="s">
        <v>2103</v>
      </c>
      <c r="W76" s="17">
        <v>114721447</v>
      </c>
      <c r="X76" s="16" t="s">
        <v>3206</v>
      </c>
      <c r="Y76" s="17" t="s">
        <v>3207</v>
      </c>
      <c r="Z76" s="17" t="s">
        <v>39</v>
      </c>
      <c r="AA76" s="17" t="s">
        <v>2501</v>
      </c>
      <c r="AB76" s="29">
        <v>1.46</v>
      </c>
      <c r="AC76" s="25">
        <v>1.49</v>
      </c>
      <c r="AD76" s="25">
        <f>AC76*T76</f>
        <v>74.5</v>
      </c>
      <c r="AE76" s="25">
        <f>AB76*T76</f>
        <v>73</v>
      </c>
      <c r="AF76" s="25">
        <f>AD76-AE76</f>
        <v>1.5</v>
      </c>
      <c r="AG76" s="26">
        <f>AF76/AD76</f>
        <v>2.0134228187919462E-2</v>
      </c>
      <c r="AH76" s="27" t="str">
        <f>IF(AG76&lt;0,"Negative",IF(AG76=0,"Same",IF(AG76&gt;0.3,"30+%",IF(AG76&gt;0.2,"20-30%",IF(AG76&gt;0.1,"10-20%",IF(AG76&lt;=0.1,"0-10%"))))))</f>
        <v>0-10%</v>
      </c>
      <c r="AI76" s="32"/>
      <c r="AJ76" s="36" t="s">
        <v>3300</v>
      </c>
      <c r="AK76" s="32"/>
    </row>
    <row r="77" spans="1:37" s="1" customFormat="1" ht="19.7" customHeight="1" x14ac:dyDescent="0.25">
      <c r="A77" s="5" t="s">
        <v>22</v>
      </c>
      <c r="B77" s="5" t="s">
        <v>2252</v>
      </c>
      <c r="C77" s="6">
        <v>44552</v>
      </c>
      <c r="D77" s="5" t="s">
        <v>24</v>
      </c>
      <c r="E77" s="5" t="s">
        <v>25</v>
      </c>
      <c r="F77" s="5" t="s">
        <v>26</v>
      </c>
      <c r="G77" s="5" t="s">
        <v>27</v>
      </c>
      <c r="H77" s="5" t="s">
        <v>28</v>
      </c>
      <c r="I77" s="5" t="s">
        <v>29</v>
      </c>
      <c r="J77" s="5" t="s">
        <v>30</v>
      </c>
      <c r="K77" s="5" t="s">
        <v>31</v>
      </c>
      <c r="L77" s="5" t="s">
        <v>32</v>
      </c>
      <c r="M77" s="5" t="s">
        <v>2256</v>
      </c>
      <c r="N77" s="5" t="s">
        <v>2254</v>
      </c>
      <c r="O77" s="5" t="s">
        <v>169</v>
      </c>
      <c r="P77" s="5" t="s">
        <v>2257</v>
      </c>
      <c r="Q77" s="5">
        <v>100770867</v>
      </c>
      <c r="R77" s="5" t="s">
        <v>56</v>
      </c>
      <c r="S77" s="5" t="s">
        <v>39</v>
      </c>
      <c r="T77" s="7">
        <v>3</v>
      </c>
      <c r="U77" s="15" t="s">
        <v>169</v>
      </c>
      <c r="V77" s="16" t="s">
        <v>2257</v>
      </c>
      <c r="W77" s="17">
        <v>100770867</v>
      </c>
      <c r="X77" s="16" t="s">
        <v>2749</v>
      </c>
      <c r="Y77" s="17" t="s">
        <v>3236</v>
      </c>
      <c r="Z77" s="17" t="s">
        <v>39</v>
      </c>
      <c r="AA77" s="17" t="s">
        <v>37</v>
      </c>
      <c r="AB77" s="43">
        <v>6.06</v>
      </c>
      <c r="AC77" s="25">
        <v>6.31</v>
      </c>
      <c r="AD77" s="25">
        <f>AC77*T77</f>
        <v>18.93</v>
      </c>
      <c r="AE77" s="25">
        <f>AB77*T77</f>
        <v>18.18</v>
      </c>
      <c r="AF77" s="25">
        <f>AD77-AE77</f>
        <v>0.75</v>
      </c>
      <c r="AG77" s="26">
        <f>AF77/AD77</f>
        <v>3.9619651347068144E-2</v>
      </c>
      <c r="AH77" s="27" t="str">
        <f>IF(AG77&lt;0,"Negative",IF(AG77=0,"Same",IF(AG77&gt;0.3,"30+%",IF(AG77&gt;0.2,"20-30%",IF(AG77&gt;0.1,"10-20%",IF(AG77&lt;=0.1,"0-10%"))))))</f>
        <v>0-10%</v>
      </c>
      <c r="AI77" s="32"/>
      <c r="AJ77" s="36" t="s">
        <v>3300</v>
      </c>
      <c r="AK77" s="32"/>
    </row>
    <row r="78" spans="1:37" s="1" customFormat="1" ht="19.7" customHeight="1" x14ac:dyDescent="0.25">
      <c r="A78" s="5" t="s">
        <v>22</v>
      </c>
      <c r="B78" s="5" t="s">
        <v>257</v>
      </c>
      <c r="C78" s="6">
        <v>44246</v>
      </c>
      <c r="D78" s="5" t="s">
        <v>24</v>
      </c>
      <c r="E78" s="5" t="s">
        <v>25</v>
      </c>
      <c r="F78" s="5" t="s">
        <v>26</v>
      </c>
      <c r="G78" s="5" t="s">
        <v>27</v>
      </c>
      <c r="H78" s="5" t="s">
        <v>28</v>
      </c>
      <c r="I78" s="5" t="s">
        <v>29</v>
      </c>
      <c r="J78" s="5" t="s">
        <v>30</v>
      </c>
      <c r="K78" s="5" t="s">
        <v>31</v>
      </c>
      <c r="L78" s="5" t="s">
        <v>32</v>
      </c>
      <c r="M78" s="5" t="s">
        <v>258</v>
      </c>
      <c r="N78" s="5" t="s">
        <v>48</v>
      </c>
      <c r="O78" s="5" t="s">
        <v>259</v>
      </c>
      <c r="P78" s="5" t="s">
        <v>260</v>
      </c>
      <c r="Q78" s="5">
        <v>101219998</v>
      </c>
      <c r="R78" s="5" t="s">
        <v>38</v>
      </c>
      <c r="S78" s="5" t="s">
        <v>39</v>
      </c>
      <c r="T78" s="7">
        <v>1</v>
      </c>
      <c r="U78" s="15" t="s">
        <v>259</v>
      </c>
      <c r="V78" s="16" t="s">
        <v>260</v>
      </c>
      <c r="W78" s="17">
        <v>101219998</v>
      </c>
      <c r="X78" s="16" t="s">
        <v>2597</v>
      </c>
      <c r="Y78" s="17" t="s">
        <v>2598</v>
      </c>
      <c r="Z78" s="17" t="s">
        <v>39</v>
      </c>
      <c r="AA78" s="17" t="s">
        <v>2501</v>
      </c>
      <c r="AB78" s="29">
        <v>2.54</v>
      </c>
      <c r="AC78" s="25">
        <v>2.59</v>
      </c>
      <c r="AD78" s="25">
        <f>AC78*T78</f>
        <v>2.59</v>
      </c>
      <c r="AE78" s="25">
        <f>AB78*T78</f>
        <v>2.54</v>
      </c>
      <c r="AF78" s="25">
        <f>AD78-AE78</f>
        <v>4.9999999999999822E-2</v>
      </c>
      <c r="AG78" s="26">
        <f>AF78/AD78</f>
        <v>1.9305019305019239E-2</v>
      </c>
      <c r="AH78" s="27" t="str">
        <f>IF(AG78&lt;0,"Negative",IF(AG78=0,"Same",IF(AG78&gt;0.3,"30+%",IF(AG78&gt;0.2,"20-30%",IF(AG78&gt;0.1,"10-20%",IF(AG78&lt;=0.1,"0-10%"))))))</f>
        <v>0-10%</v>
      </c>
      <c r="AI78" s="32"/>
      <c r="AJ78" s="36" t="s">
        <v>3300</v>
      </c>
      <c r="AK78" s="32"/>
    </row>
    <row r="79" spans="1:37" s="1" customFormat="1" ht="19.7" customHeight="1" x14ac:dyDescent="0.25">
      <c r="A79" s="9" t="s">
        <v>22</v>
      </c>
      <c r="B79" s="9" t="s">
        <v>383</v>
      </c>
      <c r="C79" s="10">
        <v>44257</v>
      </c>
      <c r="D79" s="9" t="s">
        <v>24</v>
      </c>
      <c r="E79" s="9" t="s">
        <v>25</v>
      </c>
      <c r="F79" s="9" t="s">
        <v>26</v>
      </c>
      <c r="G79" s="9" t="s">
        <v>27</v>
      </c>
      <c r="H79" s="9" t="s">
        <v>28</v>
      </c>
      <c r="I79" s="9" t="s">
        <v>29</v>
      </c>
      <c r="J79" s="9" t="s">
        <v>30</v>
      </c>
      <c r="K79" s="9" t="s">
        <v>31</v>
      </c>
      <c r="L79" s="9" t="s">
        <v>32</v>
      </c>
      <c r="M79" s="9" t="s">
        <v>258</v>
      </c>
      <c r="N79" s="9" t="s">
        <v>384</v>
      </c>
      <c r="O79" s="9" t="s">
        <v>259</v>
      </c>
      <c r="P79" s="9" t="s">
        <v>260</v>
      </c>
      <c r="Q79" s="9">
        <v>101219998</v>
      </c>
      <c r="R79" s="9" t="s">
        <v>38</v>
      </c>
      <c r="S79" s="9" t="s">
        <v>39</v>
      </c>
      <c r="T79" s="11">
        <v>6</v>
      </c>
      <c r="U79" s="15" t="s">
        <v>259</v>
      </c>
      <c r="V79" s="16" t="s">
        <v>260</v>
      </c>
      <c r="W79" s="17">
        <v>101219998</v>
      </c>
      <c r="X79" s="16" t="s">
        <v>2597</v>
      </c>
      <c r="Y79" s="17" t="s">
        <v>2598</v>
      </c>
      <c r="Z79" s="17" t="s">
        <v>39</v>
      </c>
      <c r="AA79" s="17" t="s">
        <v>2501</v>
      </c>
      <c r="AB79" s="29">
        <v>2.54</v>
      </c>
      <c r="AC79" s="25">
        <v>2.59</v>
      </c>
      <c r="AD79" s="25">
        <f>AC79*T79</f>
        <v>15.54</v>
      </c>
      <c r="AE79" s="25">
        <f>AB79*T79</f>
        <v>15.24</v>
      </c>
      <c r="AF79" s="25">
        <f>AD79-AE79</f>
        <v>0.29999999999999893</v>
      </c>
      <c r="AG79" s="26">
        <f>AF79/AD79</f>
        <v>1.9305019305019239E-2</v>
      </c>
      <c r="AH79" s="27" t="str">
        <f>IF(AG79&lt;0,"Negative",IF(AG79=0,"Same",IF(AG79&gt;0.3,"30+%",IF(AG79&gt;0.2,"20-30%",IF(AG79&gt;0.1,"10-20%",IF(AG79&lt;=0.1,"0-10%"))))))</f>
        <v>0-10%</v>
      </c>
      <c r="AI79" s="32"/>
      <c r="AJ79" s="36" t="s">
        <v>3300</v>
      </c>
      <c r="AK79" s="32"/>
    </row>
    <row r="80" spans="1:37" s="1" customFormat="1" ht="19.7" customHeight="1" x14ac:dyDescent="0.25">
      <c r="A80" s="5" t="s">
        <v>22</v>
      </c>
      <c r="B80" s="5" t="s">
        <v>2235</v>
      </c>
      <c r="C80" s="6">
        <v>44547</v>
      </c>
      <c r="D80" s="5" t="s">
        <v>24</v>
      </c>
      <c r="E80" s="5" t="s">
        <v>25</v>
      </c>
      <c r="F80" s="5" t="s">
        <v>26</v>
      </c>
      <c r="G80" s="5" t="s">
        <v>27</v>
      </c>
      <c r="H80" s="5" t="s">
        <v>28</v>
      </c>
      <c r="I80" s="5" t="s">
        <v>29</v>
      </c>
      <c r="J80" s="5" t="s">
        <v>30</v>
      </c>
      <c r="K80" s="5" t="s">
        <v>31</v>
      </c>
      <c r="L80" s="5" t="s">
        <v>32</v>
      </c>
      <c r="M80" s="5" t="s">
        <v>1254</v>
      </c>
      <c r="N80" s="5" t="s">
        <v>2236</v>
      </c>
      <c r="O80" s="5" t="s">
        <v>169</v>
      </c>
      <c r="P80" s="5" t="s">
        <v>1255</v>
      </c>
      <c r="Q80" s="5">
        <v>100770792</v>
      </c>
      <c r="R80" s="5" t="s">
        <v>56</v>
      </c>
      <c r="S80" s="5" t="s">
        <v>39</v>
      </c>
      <c r="T80" s="7">
        <v>1</v>
      </c>
      <c r="U80" s="15" t="s">
        <v>169</v>
      </c>
      <c r="V80" s="16" t="s">
        <v>1255</v>
      </c>
      <c r="W80" s="17">
        <v>100770792</v>
      </c>
      <c r="X80" s="16" t="s">
        <v>2610</v>
      </c>
      <c r="Y80" s="17" t="s">
        <v>2977</v>
      </c>
      <c r="Z80" s="17" t="s">
        <v>39</v>
      </c>
      <c r="AA80" s="17" t="s">
        <v>37</v>
      </c>
      <c r="AB80" s="43">
        <v>4.74</v>
      </c>
      <c r="AC80" s="25">
        <v>4.9400000000000004</v>
      </c>
      <c r="AD80" s="25">
        <f>AC80*T80</f>
        <v>4.9400000000000004</v>
      </c>
      <c r="AE80" s="25">
        <f>AB80*T80</f>
        <v>4.74</v>
      </c>
      <c r="AF80" s="25">
        <f>AD80-AE80</f>
        <v>0.20000000000000018</v>
      </c>
      <c r="AG80" s="26">
        <f>AF80/AD80</f>
        <v>4.0485829959514205E-2</v>
      </c>
      <c r="AH80" s="27" t="str">
        <f>IF(AG80&lt;0,"Negative",IF(AG80=0,"Same",IF(AG80&gt;0.3,"30+%",IF(AG80&gt;0.2,"20-30%",IF(AG80&gt;0.1,"10-20%",IF(AG80&lt;=0.1,"0-10%"))))))</f>
        <v>0-10%</v>
      </c>
      <c r="AI80" s="32"/>
      <c r="AJ80" s="36" t="s">
        <v>3300</v>
      </c>
      <c r="AK80" s="32"/>
    </row>
    <row r="81" spans="1:37" s="1" customFormat="1" ht="19.7" customHeight="1" x14ac:dyDescent="0.25">
      <c r="A81" s="5" t="s">
        <v>22</v>
      </c>
      <c r="B81" s="5" t="s">
        <v>2202</v>
      </c>
      <c r="C81" s="6">
        <v>44539</v>
      </c>
      <c r="D81" s="5" t="s">
        <v>24</v>
      </c>
      <c r="E81" s="5" t="s">
        <v>25</v>
      </c>
      <c r="F81" s="5" t="s">
        <v>26</v>
      </c>
      <c r="G81" s="5" t="s">
        <v>27</v>
      </c>
      <c r="H81" s="5" t="s">
        <v>28</v>
      </c>
      <c r="I81" s="5" t="s">
        <v>29</v>
      </c>
      <c r="J81" s="5" t="s">
        <v>30</v>
      </c>
      <c r="K81" s="5" t="s">
        <v>31</v>
      </c>
      <c r="L81" s="5" t="s">
        <v>32</v>
      </c>
      <c r="M81" s="5" t="s">
        <v>2203</v>
      </c>
      <c r="N81" s="5" t="s">
        <v>2204</v>
      </c>
      <c r="O81" s="5" t="s">
        <v>169</v>
      </c>
      <c r="P81" s="5" t="s">
        <v>2205</v>
      </c>
      <c r="Q81" s="5">
        <v>100770799</v>
      </c>
      <c r="R81" s="5" t="s">
        <v>56</v>
      </c>
      <c r="S81" s="5" t="s">
        <v>39</v>
      </c>
      <c r="T81" s="7">
        <v>2</v>
      </c>
      <c r="U81" s="15" t="s">
        <v>169</v>
      </c>
      <c r="V81" s="16" t="s">
        <v>2205</v>
      </c>
      <c r="W81" s="17">
        <v>100770799</v>
      </c>
      <c r="X81" s="16" t="s">
        <v>2749</v>
      </c>
      <c r="Y81" s="17" t="s">
        <v>3229</v>
      </c>
      <c r="Z81" s="17" t="s">
        <v>39</v>
      </c>
      <c r="AA81" s="17" t="s">
        <v>37</v>
      </c>
      <c r="AB81" s="43">
        <v>4.0199999999999996</v>
      </c>
      <c r="AC81" s="25">
        <v>4.2</v>
      </c>
      <c r="AD81" s="25">
        <f>AC81*T81</f>
        <v>8.4</v>
      </c>
      <c r="AE81" s="25">
        <f>AB81*T81</f>
        <v>8.0399999999999991</v>
      </c>
      <c r="AF81" s="25">
        <f>AD81-AE81</f>
        <v>0.36000000000000121</v>
      </c>
      <c r="AG81" s="26">
        <f>AF81/AD81</f>
        <v>4.2857142857142996E-2</v>
      </c>
      <c r="AH81" s="27" t="str">
        <f>IF(AG81&lt;0,"Negative",IF(AG81=0,"Same",IF(AG81&gt;0.3,"30+%",IF(AG81&gt;0.2,"20-30%",IF(AG81&gt;0.1,"10-20%",IF(AG81&lt;=0.1,"0-10%"))))))</f>
        <v>0-10%</v>
      </c>
      <c r="AI81" s="32"/>
      <c r="AJ81" s="36" t="s">
        <v>3300</v>
      </c>
      <c r="AK81" s="32"/>
    </row>
    <row r="82" spans="1:37" s="1" customFormat="1" ht="19.7" customHeight="1" x14ac:dyDescent="0.25">
      <c r="A82" s="9" t="s">
        <v>22</v>
      </c>
      <c r="B82" s="9" t="s">
        <v>2034</v>
      </c>
      <c r="C82" s="10">
        <v>44503</v>
      </c>
      <c r="D82" s="9" t="s">
        <v>24</v>
      </c>
      <c r="E82" s="9" t="s">
        <v>25</v>
      </c>
      <c r="F82" s="9" t="s">
        <v>26</v>
      </c>
      <c r="G82" s="9" t="s">
        <v>27</v>
      </c>
      <c r="H82" s="9" t="s">
        <v>28</v>
      </c>
      <c r="I82" s="9" t="s">
        <v>29</v>
      </c>
      <c r="J82" s="9" t="s">
        <v>30</v>
      </c>
      <c r="K82" s="9" t="s">
        <v>31</v>
      </c>
      <c r="L82" s="9" t="s">
        <v>32</v>
      </c>
      <c r="M82" s="9" t="s">
        <v>2036</v>
      </c>
      <c r="N82" s="9" t="s">
        <v>2035</v>
      </c>
      <c r="O82" s="9" t="s">
        <v>169</v>
      </c>
      <c r="P82" s="9" t="s">
        <v>2037</v>
      </c>
      <c r="Q82" s="9">
        <v>100771067</v>
      </c>
      <c r="R82" s="9" t="s">
        <v>56</v>
      </c>
      <c r="S82" s="9" t="s">
        <v>39</v>
      </c>
      <c r="T82" s="11">
        <v>2</v>
      </c>
      <c r="U82" s="15" t="s">
        <v>169</v>
      </c>
      <c r="V82" s="16" t="s">
        <v>2037</v>
      </c>
      <c r="W82" s="17">
        <v>100771067</v>
      </c>
      <c r="X82" s="16" t="s">
        <v>2610</v>
      </c>
      <c r="Y82" s="17" t="s">
        <v>3191</v>
      </c>
      <c r="Z82" s="17" t="s">
        <v>39</v>
      </c>
      <c r="AA82" s="17" t="s">
        <v>37</v>
      </c>
      <c r="AB82" s="43">
        <v>10.57</v>
      </c>
      <c r="AC82" s="25">
        <v>11.35</v>
      </c>
      <c r="AD82" s="25">
        <f>AC82*T82</f>
        <v>22.7</v>
      </c>
      <c r="AE82" s="25">
        <f>AB82*T82</f>
        <v>21.14</v>
      </c>
      <c r="AF82" s="25">
        <f>AD82-AE82</f>
        <v>1.5599999999999987</v>
      </c>
      <c r="AG82" s="26">
        <f>AF82/AD82</f>
        <v>6.8722466960352363E-2</v>
      </c>
      <c r="AH82" s="27" t="str">
        <f>IF(AG82&lt;0,"Negative",IF(AG82=0,"Same",IF(AG82&gt;0.3,"30+%",IF(AG82&gt;0.2,"20-30%",IF(AG82&gt;0.1,"10-20%",IF(AG82&lt;=0.1,"0-10%"))))))</f>
        <v>0-10%</v>
      </c>
      <c r="AI82" s="32"/>
      <c r="AJ82" s="36" t="s">
        <v>3299</v>
      </c>
      <c r="AK82" s="32"/>
    </row>
    <row r="83" spans="1:37" s="1" customFormat="1" ht="19.7" customHeight="1" x14ac:dyDescent="0.25">
      <c r="A83" s="9" t="s">
        <v>22</v>
      </c>
      <c r="B83" s="9" t="s">
        <v>2447</v>
      </c>
      <c r="C83" s="10">
        <v>44588</v>
      </c>
      <c r="D83" s="9" t="s">
        <v>24</v>
      </c>
      <c r="E83" s="9" t="s">
        <v>25</v>
      </c>
      <c r="F83" s="9" t="s">
        <v>26</v>
      </c>
      <c r="G83" s="9" t="s">
        <v>27</v>
      </c>
      <c r="H83" s="9" t="s">
        <v>28</v>
      </c>
      <c r="I83" s="9" t="s">
        <v>29</v>
      </c>
      <c r="J83" s="9" t="s">
        <v>30</v>
      </c>
      <c r="K83" s="9" t="s">
        <v>31</v>
      </c>
      <c r="L83" s="9" t="s">
        <v>32</v>
      </c>
      <c r="M83" s="9" t="s">
        <v>2448</v>
      </c>
      <c r="N83" s="9" t="s">
        <v>2366</v>
      </c>
      <c r="O83" s="9" t="s">
        <v>169</v>
      </c>
      <c r="P83" s="9" t="s">
        <v>2449</v>
      </c>
      <c r="Q83" s="9">
        <v>100771130</v>
      </c>
      <c r="R83" s="9" t="s">
        <v>56</v>
      </c>
      <c r="S83" s="9" t="s">
        <v>39</v>
      </c>
      <c r="T83" s="11">
        <v>2</v>
      </c>
      <c r="U83" s="15" t="s">
        <v>169</v>
      </c>
      <c r="V83" s="16" t="s">
        <v>2449</v>
      </c>
      <c r="W83" s="17">
        <v>100771130</v>
      </c>
      <c r="X83" s="16" t="s">
        <v>2610</v>
      </c>
      <c r="Y83" s="17" t="s">
        <v>3275</v>
      </c>
      <c r="Z83" s="17" t="s">
        <v>39</v>
      </c>
      <c r="AA83" s="17" t="s">
        <v>37</v>
      </c>
      <c r="AB83" s="43">
        <v>13.59</v>
      </c>
      <c r="AC83" s="25">
        <v>14.59</v>
      </c>
      <c r="AD83" s="25">
        <f>AC83*T83</f>
        <v>29.18</v>
      </c>
      <c r="AE83" s="25">
        <f>AB83*T83</f>
        <v>27.18</v>
      </c>
      <c r="AF83" s="25">
        <f>AD83-AE83</f>
        <v>2</v>
      </c>
      <c r="AG83" s="26">
        <f>AF83/AD83</f>
        <v>6.8540095956134334E-2</v>
      </c>
      <c r="AH83" s="27" t="str">
        <f>IF(AG83&lt;0,"Negative",IF(AG83=0,"Same",IF(AG83&gt;0.3,"30+%",IF(AG83&gt;0.2,"20-30%",IF(AG83&gt;0.1,"10-20%",IF(AG83&lt;=0.1,"0-10%"))))))</f>
        <v>0-10%</v>
      </c>
      <c r="AI83" s="32"/>
      <c r="AJ83" s="36" t="s">
        <v>3299</v>
      </c>
      <c r="AK83" s="32"/>
    </row>
    <row r="84" spans="1:37" s="1" customFormat="1" ht="19.7" customHeight="1" x14ac:dyDescent="0.25">
      <c r="A84" s="5" t="s">
        <v>22</v>
      </c>
      <c r="B84" s="5" t="s">
        <v>926</v>
      </c>
      <c r="C84" s="6">
        <v>44316</v>
      </c>
      <c r="D84" s="5" t="s">
        <v>24</v>
      </c>
      <c r="E84" s="5" t="s">
        <v>25</v>
      </c>
      <c r="F84" s="5" t="s">
        <v>26</v>
      </c>
      <c r="G84" s="5" t="s">
        <v>67</v>
      </c>
      <c r="H84" s="5" t="s">
        <v>68</v>
      </c>
      <c r="I84" s="5" t="s">
        <v>29</v>
      </c>
      <c r="J84" s="5" t="s">
        <v>30</v>
      </c>
      <c r="K84" s="5" t="s">
        <v>31</v>
      </c>
      <c r="L84" s="5" t="s">
        <v>32</v>
      </c>
      <c r="M84" s="5" t="s">
        <v>927</v>
      </c>
      <c r="N84" s="5" t="s">
        <v>477</v>
      </c>
      <c r="O84" s="5" t="s">
        <v>928</v>
      </c>
      <c r="P84" s="5" t="s">
        <v>929</v>
      </c>
      <c r="Q84" s="5">
        <v>105041248</v>
      </c>
      <c r="R84" s="5" t="s">
        <v>116</v>
      </c>
      <c r="S84" s="5" t="s">
        <v>39</v>
      </c>
      <c r="T84" s="7">
        <v>80</v>
      </c>
      <c r="U84" s="15" t="s">
        <v>928</v>
      </c>
      <c r="V84" s="16" t="s">
        <v>929</v>
      </c>
      <c r="W84" s="17">
        <v>105041248</v>
      </c>
      <c r="X84" s="16" t="s">
        <v>2865</v>
      </c>
      <c r="Y84" s="17" t="s">
        <v>2866</v>
      </c>
      <c r="Z84" s="17" t="s">
        <v>39</v>
      </c>
      <c r="AA84" s="17" t="s">
        <v>2501</v>
      </c>
      <c r="AB84" s="29">
        <v>0.89</v>
      </c>
      <c r="AC84" s="25">
        <v>0.94</v>
      </c>
      <c r="AD84" s="25">
        <f>AC84*T84</f>
        <v>75.199999999999989</v>
      </c>
      <c r="AE84" s="25">
        <f>AB84*T84</f>
        <v>71.2</v>
      </c>
      <c r="AF84" s="25">
        <f>AD84-AE84</f>
        <v>3.9999999999999858</v>
      </c>
      <c r="AG84" s="26">
        <f>AF84/AD84</f>
        <v>5.3191489361701948E-2</v>
      </c>
      <c r="AH84" s="27" t="str">
        <f>IF(AG84&lt;0,"Negative",IF(AG84=0,"Same",IF(AG84&gt;0.3,"30+%",IF(AG84&gt;0.2,"20-30%",IF(AG84&gt;0.1,"10-20%",IF(AG84&lt;=0.1,"0-10%"))))))</f>
        <v>0-10%</v>
      </c>
      <c r="AI84" s="32"/>
      <c r="AJ84" s="36" t="s">
        <v>3300</v>
      </c>
      <c r="AK84" s="32"/>
    </row>
    <row r="85" spans="1:37" s="1" customFormat="1" ht="19.7" customHeight="1" x14ac:dyDescent="0.25">
      <c r="A85" s="5" t="s">
        <v>22</v>
      </c>
      <c r="B85" s="5" t="s">
        <v>2274</v>
      </c>
      <c r="C85" s="6">
        <v>44559</v>
      </c>
      <c r="D85" s="5" t="s">
        <v>24</v>
      </c>
      <c r="E85" s="5" t="s">
        <v>25</v>
      </c>
      <c r="F85" s="5" t="s">
        <v>26</v>
      </c>
      <c r="G85" s="5" t="s">
        <v>67</v>
      </c>
      <c r="H85" s="5" t="s">
        <v>68</v>
      </c>
      <c r="I85" s="5" t="s">
        <v>29</v>
      </c>
      <c r="J85" s="5" t="s">
        <v>30</v>
      </c>
      <c r="K85" s="5" t="s">
        <v>31</v>
      </c>
      <c r="L85" s="5" t="s">
        <v>32</v>
      </c>
      <c r="M85" s="5" t="s">
        <v>545</v>
      </c>
      <c r="N85" s="5" t="s">
        <v>2275</v>
      </c>
      <c r="O85" s="5" t="s">
        <v>259</v>
      </c>
      <c r="P85" s="5" t="s">
        <v>546</v>
      </c>
      <c r="Q85" s="5">
        <v>101220001</v>
      </c>
      <c r="R85" s="5" t="s">
        <v>38</v>
      </c>
      <c r="S85" s="5" t="s">
        <v>39</v>
      </c>
      <c r="T85" s="7">
        <v>2</v>
      </c>
      <c r="U85" s="15" t="s">
        <v>259</v>
      </c>
      <c r="V85" s="16" t="s">
        <v>546</v>
      </c>
      <c r="W85" s="17">
        <v>101220001</v>
      </c>
      <c r="X85" s="16" t="s">
        <v>2585</v>
      </c>
      <c r="Y85" s="17" t="s">
        <v>2725</v>
      </c>
      <c r="Z85" s="17" t="s">
        <v>39</v>
      </c>
      <c r="AA85" s="17" t="s">
        <v>2501</v>
      </c>
      <c r="AB85" s="29">
        <v>4.22</v>
      </c>
      <c r="AC85" s="25">
        <v>4.3099999999999996</v>
      </c>
      <c r="AD85" s="25">
        <f>AC85*T85</f>
        <v>8.6199999999999992</v>
      </c>
      <c r="AE85" s="25">
        <f>AB85*T85</f>
        <v>8.44</v>
      </c>
      <c r="AF85" s="25">
        <f>AD85-AE85</f>
        <v>0.17999999999999972</v>
      </c>
      <c r="AG85" s="26">
        <f>AF85/AD85</f>
        <v>2.0881670533642659E-2</v>
      </c>
      <c r="AH85" s="27" t="str">
        <f>IF(AG85&lt;0,"Negative",IF(AG85=0,"Same",IF(AG85&gt;0.3,"30+%",IF(AG85&gt;0.2,"20-30%",IF(AG85&gt;0.1,"10-20%",IF(AG85&lt;=0.1,"0-10%"))))))</f>
        <v>0-10%</v>
      </c>
      <c r="AI85" s="32"/>
      <c r="AJ85" s="36" t="s">
        <v>3300</v>
      </c>
      <c r="AK85" s="32"/>
    </row>
    <row r="86" spans="1:37" s="1" customFormat="1" ht="19.7" customHeight="1" x14ac:dyDescent="0.25">
      <c r="A86" s="9" t="s">
        <v>22</v>
      </c>
      <c r="B86" s="9" t="s">
        <v>2243</v>
      </c>
      <c r="C86" s="10">
        <v>44551</v>
      </c>
      <c r="D86" s="9" t="s">
        <v>24</v>
      </c>
      <c r="E86" s="9" t="s">
        <v>25</v>
      </c>
      <c r="F86" s="9" t="s">
        <v>26</v>
      </c>
      <c r="G86" s="9" t="s">
        <v>67</v>
      </c>
      <c r="H86" s="9" t="s">
        <v>68</v>
      </c>
      <c r="I86" s="9" t="s">
        <v>29</v>
      </c>
      <c r="J86" s="9" t="s">
        <v>30</v>
      </c>
      <c r="K86" s="9" t="s">
        <v>31</v>
      </c>
      <c r="L86" s="9" t="s">
        <v>32</v>
      </c>
      <c r="M86" s="9" t="s">
        <v>545</v>
      </c>
      <c r="N86" s="9" t="s">
        <v>1746</v>
      </c>
      <c r="O86" s="9" t="s">
        <v>259</v>
      </c>
      <c r="P86" s="9" t="s">
        <v>546</v>
      </c>
      <c r="Q86" s="9">
        <v>101220001</v>
      </c>
      <c r="R86" s="9" t="s">
        <v>38</v>
      </c>
      <c r="S86" s="9" t="s">
        <v>39</v>
      </c>
      <c r="T86" s="11">
        <v>3</v>
      </c>
      <c r="U86" s="15" t="s">
        <v>259</v>
      </c>
      <c r="V86" s="16" t="s">
        <v>546</v>
      </c>
      <c r="W86" s="17">
        <v>101220001</v>
      </c>
      <c r="X86" s="16" t="s">
        <v>2585</v>
      </c>
      <c r="Y86" s="17" t="s">
        <v>2725</v>
      </c>
      <c r="Z86" s="17" t="s">
        <v>39</v>
      </c>
      <c r="AA86" s="17" t="s">
        <v>2501</v>
      </c>
      <c r="AB86" s="29">
        <v>4.22</v>
      </c>
      <c r="AC86" s="25">
        <v>4.3099999999999996</v>
      </c>
      <c r="AD86" s="25">
        <f>AC86*T86</f>
        <v>12.93</v>
      </c>
      <c r="AE86" s="25">
        <f>AB86*T86</f>
        <v>12.66</v>
      </c>
      <c r="AF86" s="25">
        <f>AD86-AE86</f>
        <v>0.26999999999999957</v>
      </c>
      <c r="AG86" s="26">
        <f>AF86/AD86</f>
        <v>2.0881670533642659E-2</v>
      </c>
      <c r="AH86" s="27" t="str">
        <f>IF(AG86&lt;0,"Negative",IF(AG86=0,"Same",IF(AG86&gt;0.3,"30+%",IF(AG86&gt;0.2,"20-30%",IF(AG86&gt;0.1,"10-20%",IF(AG86&lt;=0.1,"0-10%"))))))</f>
        <v>0-10%</v>
      </c>
      <c r="AI86" s="32"/>
      <c r="AJ86" s="36" t="s">
        <v>3300</v>
      </c>
      <c r="AK86" s="32"/>
    </row>
    <row r="87" spans="1:37" s="1" customFormat="1" ht="19.7" customHeight="1" x14ac:dyDescent="0.25">
      <c r="A87" s="9" t="s">
        <v>22</v>
      </c>
      <c r="B87" s="9" t="s">
        <v>2252</v>
      </c>
      <c r="C87" s="10">
        <v>44552</v>
      </c>
      <c r="D87" s="9" t="s">
        <v>24</v>
      </c>
      <c r="E87" s="9" t="s">
        <v>25</v>
      </c>
      <c r="F87" s="9" t="s">
        <v>26</v>
      </c>
      <c r="G87" s="9" t="s">
        <v>27</v>
      </c>
      <c r="H87" s="9" t="s">
        <v>28</v>
      </c>
      <c r="I87" s="9" t="s">
        <v>29</v>
      </c>
      <c r="J87" s="9" t="s">
        <v>30</v>
      </c>
      <c r="K87" s="9" t="s">
        <v>31</v>
      </c>
      <c r="L87" s="9" t="s">
        <v>32</v>
      </c>
      <c r="M87" s="9" t="s">
        <v>2258</v>
      </c>
      <c r="N87" s="9" t="s">
        <v>2254</v>
      </c>
      <c r="O87" s="9" t="s">
        <v>169</v>
      </c>
      <c r="P87" s="9" t="s">
        <v>2259</v>
      </c>
      <c r="Q87" s="9">
        <v>100770878</v>
      </c>
      <c r="R87" s="9" t="s">
        <v>56</v>
      </c>
      <c r="S87" s="9" t="s">
        <v>39</v>
      </c>
      <c r="T87" s="11">
        <v>2</v>
      </c>
      <c r="U87" s="15" t="s">
        <v>169</v>
      </c>
      <c r="V87" s="16" t="s">
        <v>2259</v>
      </c>
      <c r="W87" s="17">
        <v>100770878</v>
      </c>
      <c r="X87" s="16" t="s">
        <v>2610</v>
      </c>
      <c r="Y87" s="17" t="s">
        <v>3237</v>
      </c>
      <c r="Z87" s="17" t="s">
        <v>39</v>
      </c>
      <c r="AA87" s="17" t="s">
        <v>37</v>
      </c>
      <c r="AB87" s="43">
        <v>8.52</v>
      </c>
      <c r="AC87" s="25">
        <v>8.89</v>
      </c>
      <c r="AD87" s="25">
        <f>AC87*T87</f>
        <v>17.78</v>
      </c>
      <c r="AE87" s="25">
        <f>AB87*T87</f>
        <v>17.04</v>
      </c>
      <c r="AF87" s="25">
        <f>AD87-AE87</f>
        <v>0.74000000000000199</v>
      </c>
      <c r="AG87" s="26">
        <f>AF87/AD87</f>
        <v>4.1619797525309449E-2</v>
      </c>
      <c r="AH87" s="27" t="str">
        <f>IF(AG87&lt;0,"Negative",IF(AG87=0,"Same",IF(AG87&gt;0.3,"30+%",IF(AG87&gt;0.2,"20-30%",IF(AG87&gt;0.1,"10-20%",IF(AG87&lt;=0.1,"0-10%"))))))</f>
        <v>0-10%</v>
      </c>
      <c r="AI87" s="32"/>
      <c r="AJ87" s="36" t="s">
        <v>3300</v>
      </c>
      <c r="AK87" s="32"/>
    </row>
    <row r="88" spans="1:37" s="1" customFormat="1" ht="19.7" customHeight="1" x14ac:dyDescent="0.25">
      <c r="A88" s="9" t="s">
        <v>22</v>
      </c>
      <c r="B88" s="9" t="s">
        <v>1652</v>
      </c>
      <c r="C88" s="10">
        <v>44431</v>
      </c>
      <c r="D88" s="9" t="s">
        <v>24</v>
      </c>
      <c r="E88" s="9" t="s">
        <v>25</v>
      </c>
      <c r="F88" s="9" t="s">
        <v>26</v>
      </c>
      <c r="G88" s="9" t="s">
        <v>27</v>
      </c>
      <c r="H88" s="9" t="s">
        <v>28</v>
      </c>
      <c r="I88" s="9" t="s">
        <v>29</v>
      </c>
      <c r="J88" s="9" t="s">
        <v>30</v>
      </c>
      <c r="K88" s="9" t="s">
        <v>31</v>
      </c>
      <c r="L88" s="9" t="s">
        <v>32</v>
      </c>
      <c r="M88" s="9" t="s">
        <v>1658</v>
      </c>
      <c r="N88" s="9" t="s">
        <v>1654</v>
      </c>
      <c r="O88" s="9" t="s">
        <v>178</v>
      </c>
      <c r="P88" s="9" t="s">
        <v>1659</v>
      </c>
      <c r="Q88" s="9">
        <v>110299377</v>
      </c>
      <c r="R88" s="9" t="s">
        <v>61</v>
      </c>
      <c r="S88" s="9" t="s">
        <v>39</v>
      </c>
      <c r="T88" s="11">
        <v>1</v>
      </c>
      <c r="U88" s="15" t="s">
        <v>178</v>
      </c>
      <c r="V88" s="16" t="s">
        <v>1659</v>
      </c>
      <c r="W88" s="17">
        <v>110299377</v>
      </c>
      <c r="X88" s="16" t="s">
        <v>2561</v>
      </c>
      <c r="Y88" s="17" t="s">
        <v>3103</v>
      </c>
      <c r="Z88" s="17" t="s">
        <v>39</v>
      </c>
      <c r="AA88" s="17" t="s">
        <v>37</v>
      </c>
      <c r="AB88" s="29">
        <v>0.65</v>
      </c>
      <c r="AC88" s="25">
        <v>0.67</v>
      </c>
      <c r="AD88" s="25">
        <f>AC88*T88</f>
        <v>0.67</v>
      </c>
      <c r="AE88" s="25">
        <f>AB88*T88</f>
        <v>0.65</v>
      </c>
      <c r="AF88" s="25">
        <f>AD88-AE88</f>
        <v>2.0000000000000018E-2</v>
      </c>
      <c r="AG88" s="26">
        <f>AF88/AD88</f>
        <v>2.985074626865674E-2</v>
      </c>
      <c r="AH88" s="27" t="str">
        <f>IF(AG88&lt;0,"Negative",IF(AG88=0,"Same",IF(AG88&gt;0.3,"30+%",IF(AG88&gt;0.2,"20-30%",IF(AG88&gt;0.1,"10-20%",IF(AG88&lt;=0.1,"0-10%"))))))</f>
        <v>0-10%</v>
      </c>
      <c r="AI88" s="32"/>
      <c r="AJ88" s="36" t="s">
        <v>3300</v>
      </c>
      <c r="AK88" s="32"/>
    </row>
    <row r="89" spans="1:37" s="1" customFormat="1" ht="19.7" customHeight="1" x14ac:dyDescent="0.25">
      <c r="A89" s="5" t="s">
        <v>22</v>
      </c>
      <c r="B89" s="5" t="s">
        <v>2484</v>
      </c>
      <c r="C89" s="6">
        <v>44589</v>
      </c>
      <c r="D89" s="5" t="s">
        <v>24</v>
      </c>
      <c r="E89" s="5" t="s">
        <v>25</v>
      </c>
      <c r="F89" s="5" t="s">
        <v>26</v>
      </c>
      <c r="G89" s="5" t="s">
        <v>67</v>
      </c>
      <c r="H89" s="5" t="s">
        <v>68</v>
      </c>
      <c r="I89" s="5" t="s">
        <v>29</v>
      </c>
      <c r="J89" s="5" t="s">
        <v>30</v>
      </c>
      <c r="K89" s="5" t="s">
        <v>31</v>
      </c>
      <c r="L89" s="5" t="s">
        <v>32</v>
      </c>
      <c r="M89" s="5" t="s">
        <v>812</v>
      </c>
      <c r="N89" s="5" t="s">
        <v>2407</v>
      </c>
      <c r="O89" s="5" t="s">
        <v>169</v>
      </c>
      <c r="P89" s="5" t="s">
        <v>814</v>
      </c>
      <c r="Q89" s="5">
        <v>100780832</v>
      </c>
      <c r="R89" s="5" t="s">
        <v>56</v>
      </c>
      <c r="S89" s="5" t="s">
        <v>39</v>
      </c>
      <c r="T89" s="7">
        <v>1</v>
      </c>
      <c r="U89" s="15" t="s">
        <v>169</v>
      </c>
      <c r="V89" s="16" t="s">
        <v>814</v>
      </c>
      <c r="W89" s="17">
        <v>100780832</v>
      </c>
      <c r="X89" s="16" t="s">
        <v>2568</v>
      </c>
      <c r="Y89" s="17" t="s">
        <v>2826</v>
      </c>
      <c r="Z89" s="17" t="s">
        <v>39</v>
      </c>
      <c r="AA89" s="17" t="s">
        <v>37</v>
      </c>
      <c r="AB89" s="43">
        <v>12.5</v>
      </c>
      <c r="AC89" s="25">
        <v>12.88</v>
      </c>
      <c r="AD89" s="25">
        <f>AC89*T89</f>
        <v>12.88</v>
      </c>
      <c r="AE89" s="25">
        <f>AB89*T89</f>
        <v>12.5</v>
      </c>
      <c r="AF89" s="25">
        <f>AD89-AE89</f>
        <v>0.38000000000000078</v>
      </c>
      <c r="AG89" s="26">
        <f>AF89/AD89</f>
        <v>2.9503105590062171E-2</v>
      </c>
      <c r="AH89" s="27" t="str">
        <f>IF(AG89&lt;0,"Negative",IF(AG89=0,"Same",IF(AG89&gt;0.3,"30+%",IF(AG89&gt;0.2,"20-30%",IF(AG89&gt;0.1,"10-20%",IF(AG89&lt;=0.1,"0-10%"))))))</f>
        <v>0-10%</v>
      </c>
      <c r="AI89" s="32"/>
      <c r="AJ89" s="36" t="s">
        <v>3299</v>
      </c>
      <c r="AK89" s="32"/>
    </row>
    <row r="90" spans="1:37" s="1" customFormat="1" ht="19.7" customHeight="1" x14ac:dyDescent="0.25">
      <c r="A90" s="9" t="s">
        <v>22</v>
      </c>
      <c r="B90" s="9" t="s">
        <v>2134</v>
      </c>
      <c r="C90" s="10">
        <v>44522</v>
      </c>
      <c r="D90" s="9" t="s">
        <v>24</v>
      </c>
      <c r="E90" s="9" t="s">
        <v>25</v>
      </c>
      <c r="F90" s="9" t="s">
        <v>26</v>
      </c>
      <c r="G90" s="9" t="s">
        <v>67</v>
      </c>
      <c r="H90" s="9" t="s">
        <v>68</v>
      </c>
      <c r="I90" s="9" t="s">
        <v>29</v>
      </c>
      <c r="J90" s="9" t="s">
        <v>30</v>
      </c>
      <c r="K90" s="9" t="s">
        <v>31</v>
      </c>
      <c r="L90" s="9" t="s">
        <v>32</v>
      </c>
      <c r="M90" s="9" t="s">
        <v>2136</v>
      </c>
      <c r="N90" s="9" t="s">
        <v>2135</v>
      </c>
      <c r="O90" s="9" t="s">
        <v>169</v>
      </c>
      <c r="P90" s="9" t="s">
        <v>2137</v>
      </c>
      <c r="Q90" s="9">
        <v>100780968</v>
      </c>
      <c r="R90" s="9" t="s">
        <v>56</v>
      </c>
      <c r="S90" s="9" t="s">
        <v>39</v>
      </c>
      <c r="T90" s="11">
        <v>1</v>
      </c>
      <c r="U90" s="15" t="s">
        <v>169</v>
      </c>
      <c r="V90" s="16" t="s">
        <v>2137</v>
      </c>
      <c r="W90" s="17">
        <v>100780968</v>
      </c>
      <c r="X90" s="16" t="s">
        <v>2568</v>
      </c>
      <c r="Y90" s="17" t="s">
        <v>3213</v>
      </c>
      <c r="Z90" s="17" t="s">
        <v>39</v>
      </c>
      <c r="AA90" s="17" t="s">
        <v>37</v>
      </c>
      <c r="AB90" s="43">
        <v>19.43</v>
      </c>
      <c r="AC90" s="25">
        <v>20</v>
      </c>
      <c r="AD90" s="25">
        <f>AC90*T90</f>
        <v>20</v>
      </c>
      <c r="AE90" s="25">
        <f>AB90*T90</f>
        <v>19.43</v>
      </c>
      <c r="AF90" s="25">
        <f>AD90-AE90</f>
        <v>0.57000000000000028</v>
      </c>
      <c r="AG90" s="26">
        <f>AF90/AD90</f>
        <v>2.8500000000000015E-2</v>
      </c>
      <c r="AH90" s="27" t="str">
        <f>IF(AG90&lt;0,"Negative",IF(AG90=0,"Same",IF(AG90&gt;0.3,"30+%",IF(AG90&gt;0.2,"20-30%",IF(AG90&gt;0.1,"10-20%",IF(AG90&lt;=0.1,"0-10%"))))))</f>
        <v>0-10%</v>
      </c>
      <c r="AI90" s="32"/>
      <c r="AJ90" s="36" t="s">
        <v>3299</v>
      </c>
      <c r="AK90" s="32"/>
    </row>
    <row r="91" spans="1:37" s="1" customFormat="1" ht="19.7" customHeight="1" x14ac:dyDescent="0.25">
      <c r="A91" s="5" t="s">
        <v>22</v>
      </c>
      <c r="B91" s="5" t="s">
        <v>2053</v>
      </c>
      <c r="C91" s="6">
        <v>44508</v>
      </c>
      <c r="D91" s="5" t="s">
        <v>24</v>
      </c>
      <c r="E91" s="5" t="s">
        <v>25</v>
      </c>
      <c r="F91" s="5" t="s">
        <v>26</v>
      </c>
      <c r="G91" s="5" t="s">
        <v>27</v>
      </c>
      <c r="H91" s="5" t="s">
        <v>28</v>
      </c>
      <c r="I91" s="5" t="s">
        <v>29</v>
      </c>
      <c r="J91" s="5" t="s">
        <v>30</v>
      </c>
      <c r="K91" s="5" t="s">
        <v>31</v>
      </c>
      <c r="L91" s="5" t="s">
        <v>32</v>
      </c>
      <c r="M91" s="5" t="s">
        <v>2054</v>
      </c>
      <c r="N91" s="5" t="s">
        <v>2055</v>
      </c>
      <c r="O91" s="5" t="s">
        <v>178</v>
      </c>
      <c r="P91" s="5" t="s">
        <v>2056</v>
      </c>
      <c r="Q91" s="5">
        <v>110362789</v>
      </c>
      <c r="R91" s="5" t="s">
        <v>61</v>
      </c>
      <c r="S91" s="5" t="s">
        <v>39</v>
      </c>
      <c r="T91" s="7">
        <v>20</v>
      </c>
      <c r="U91" s="15" t="s">
        <v>178</v>
      </c>
      <c r="V91" s="16" t="s">
        <v>2056</v>
      </c>
      <c r="W91" s="17">
        <v>110362789</v>
      </c>
      <c r="X91" s="16" t="s">
        <v>2561</v>
      </c>
      <c r="Y91" s="17" t="s">
        <v>3196</v>
      </c>
      <c r="Z91" s="17" t="s">
        <v>39</v>
      </c>
      <c r="AA91" s="17" t="s">
        <v>37</v>
      </c>
      <c r="AB91" s="29">
        <v>0.78</v>
      </c>
      <c r="AC91" s="25">
        <v>0.8</v>
      </c>
      <c r="AD91" s="25">
        <f>AC91*T91</f>
        <v>16</v>
      </c>
      <c r="AE91" s="25">
        <f>AB91*T91</f>
        <v>15.600000000000001</v>
      </c>
      <c r="AF91" s="25">
        <f>AD91-AE91</f>
        <v>0.39999999999999858</v>
      </c>
      <c r="AG91" s="26">
        <f>AF91/AD91</f>
        <v>2.4999999999999911E-2</v>
      </c>
      <c r="AH91" s="27" t="str">
        <f>IF(AG91&lt;0,"Negative",IF(AG91=0,"Same",IF(AG91&gt;0.3,"30+%",IF(AG91&gt;0.2,"20-30%",IF(AG91&gt;0.1,"10-20%",IF(AG91&lt;=0.1,"0-10%"))))))</f>
        <v>0-10%</v>
      </c>
      <c r="AI91" s="32"/>
      <c r="AJ91" s="36" t="s">
        <v>3300</v>
      </c>
      <c r="AK91" s="32"/>
    </row>
    <row r="92" spans="1:37" s="1" customFormat="1" ht="19.7" customHeight="1" x14ac:dyDescent="0.25">
      <c r="A92" s="9" t="s">
        <v>22</v>
      </c>
      <c r="B92" s="9" t="s">
        <v>2263</v>
      </c>
      <c r="C92" s="10">
        <v>44553</v>
      </c>
      <c r="D92" s="9" t="s">
        <v>24</v>
      </c>
      <c r="E92" s="9" t="s">
        <v>25</v>
      </c>
      <c r="F92" s="9" t="s">
        <v>26</v>
      </c>
      <c r="G92" s="9" t="s">
        <v>27</v>
      </c>
      <c r="H92" s="9" t="s">
        <v>28</v>
      </c>
      <c r="I92" s="9" t="s">
        <v>29</v>
      </c>
      <c r="J92" s="9" t="s">
        <v>30</v>
      </c>
      <c r="K92" s="9" t="s">
        <v>31</v>
      </c>
      <c r="L92" s="9" t="s">
        <v>32</v>
      </c>
      <c r="M92" s="9" t="s">
        <v>411</v>
      </c>
      <c r="N92" s="9" t="s">
        <v>2044</v>
      </c>
      <c r="O92" s="9" t="s">
        <v>122</v>
      </c>
      <c r="P92" s="9" t="s">
        <v>412</v>
      </c>
      <c r="Q92" s="9">
        <v>101516085</v>
      </c>
      <c r="R92" s="9" t="s">
        <v>84</v>
      </c>
      <c r="S92" s="9" t="s">
        <v>39</v>
      </c>
      <c r="T92" s="11">
        <v>11</v>
      </c>
      <c r="U92" s="15" t="s">
        <v>122</v>
      </c>
      <c r="V92" s="16" t="s">
        <v>412</v>
      </c>
      <c r="W92" s="17">
        <v>101516085</v>
      </c>
      <c r="X92" s="16" t="s">
        <v>2532</v>
      </c>
      <c r="Y92" s="17" t="s">
        <v>2663</v>
      </c>
      <c r="Z92" s="17" t="s">
        <v>39</v>
      </c>
      <c r="AA92" s="17" t="s">
        <v>37</v>
      </c>
      <c r="AB92" s="29">
        <v>11.4</v>
      </c>
      <c r="AC92" s="25">
        <v>11.21</v>
      </c>
      <c r="AD92" s="25">
        <f>AC92*T92</f>
        <v>123.31</v>
      </c>
      <c r="AE92" s="25">
        <f>AB92*T92</f>
        <v>125.4</v>
      </c>
      <c r="AF92" s="25">
        <f>AD92-AE92</f>
        <v>-2.0900000000000034</v>
      </c>
      <c r="AG92" s="26">
        <f>AF92/AD92</f>
        <v>-1.6949152542372909E-2</v>
      </c>
      <c r="AH92" s="27" t="str">
        <f>IF(AG92&lt;0,"Negative",IF(AG92=0,"Same",IF(AG92&gt;0.3,"30+%",IF(AG92&gt;0.2,"20-30%",IF(AG92&gt;0.1,"10-20%",IF(AG92&lt;=0.1,"0-10%"))))))</f>
        <v>Negative</v>
      </c>
      <c r="AI92" s="32"/>
      <c r="AJ92" s="36" t="s">
        <v>3300</v>
      </c>
      <c r="AK92" s="32"/>
    </row>
    <row r="93" spans="1:37" s="1" customFormat="1" ht="19.7" customHeight="1" x14ac:dyDescent="0.25">
      <c r="A93" s="5" t="s">
        <v>22</v>
      </c>
      <c r="B93" s="5" t="s">
        <v>990</v>
      </c>
      <c r="C93" s="6">
        <v>44323</v>
      </c>
      <c r="D93" s="5" t="s">
        <v>24</v>
      </c>
      <c r="E93" s="5" t="s">
        <v>25</v>
      </c>
      <c r="F93" s="5" t="s">
        <v>26</v>
      </c>
      <c r="G93" s="5" t="s">
        <v>27</v>
      </c>
      <c r="H93" s="5" t="s">
        <v>28</v>
      </c>
      <c r="I93" s="5" t="s">
        <v>29</v>
      </c>
      <c r="J93" s="5" t="s">
        <v>30</v>
      </c>
      <c r="K93" s="5" t="s">
        <v>31</v>
      </c>
      <c r="L93" s="5" t="s">
        <v>32</v>
      </c>
      <c r="M93" s="5" t="s">
        <v>991</v>
      </c>
      <c r="N93" s="5" t="s">
        <v>839</v>
      </c>
      <c r="O93" s="5" t="s">
        <v>992</v>
      </c>
      <c r="P93" s="5" t="s">
        <v>993</v>
      </c>
      <c r="Q93" s="5">
        <v>110925540</v>
      </c>
      <c r="R93" s="5" t="s">
        <v>38</v>
      </c>
      <c r="S93" s="5" t="s">
        <v>39</v>
      </c>
      <c r="T93" s="7">
        <v>4</v>
      </c>
      <c r="U93" s="15" t="s">
        <v>992</v>
      </c>
      <c r="V93" s="16" t="s">
        <v>993</v>
      </c>
      <c r="W93" s="17">
        <v>110925540</v>
      </c>
      <c r="X93" s="16" t="s">
        <v>2840</v>
      </c>
      <c r="Y93" s="17" t="s">
        <v>2889</v>
      </c>
      <c r="Z93" s="17" t="s">
        <v>39</v>
      </c>
      <c r="AA93" s="17" t="s">
        <v>2501</v>
      </c>
      <c r="AB93" s="29">
        <v>7.02</v>
      </c>
      <c r="AC93" s="25">
        <v>7.36</v>
      </c>
      <c r="AD93" s="25">
        <f>AC93*T93</f>
        <v>29.44</v>
      </c>
      <c r="AE93" s="25">
        <f>AB93*T93</f>
        <v>28.08</v>
      </c>
      <c r="AF93" s="25">
        <f>AD93-AE93</f>
        <v>1.360000000000003</v>
      </c>
      <c r="AG93" s="26">
        <f>AF93/AD93</f>
        <v>4.6195652173913145E-2</v>
      </c>
      <c r="AH93" s="27" t="str">
        <f>IF(AG93&lt;0,"Negative",IF(AG93=0,"Same",IF(AG93&gt;0.3,"30+%",IF(AG93&gt;0.2,"20-30%",IF(AG93&gt;0.1,"10-20%",IF(AG93&lt;=0.1,"0-10%"))))))</f>
        <v>0-10%</v>
      </c>
      <c r="AI93" s="32"/>
      <c r="AJ93" s="36" t="s">
        <v>3300</v>
      </c>
      <c r="AK93" s="32"/>
    </row>
    <row r="94" spans="1:37" s="1" customFormat="1" ht="19.7" customHeight="1" x14ac:dyDescent="0.25">
      <c r="A94" s="5" t="s">
        <v>22</v>
      </c>
      <c r="B94" s="5" t="s">
        <v>2310</v>
      </c>
      <c r="C94" s="6">
        <v>44566</v>
      </c>
      <c r="D94" s="5" t="s">
        <v>24</v>
      </c>
      <c r="E94" s="5" t="s">
        <v>25</v>
      </c>
      <c r="F94" s="5" t="s">
        <v>26</v>
      </c>
      <c r="G94" s="5" t="s">
        <v>27</v>
      </c>
      <c r="H94" s="5" t="s">
        <v>28</v>
      </c>
      <c r="I94" s="5" t="s">
        <v>29</v>
      </c>
      <c r="J94" s="5" t="s">
        <v>30</v>
      </c>
      <c r="K94" s="5" t="s">
        <v>31</v>
      </c>
      <c r="L94" s="5" t="s">
        <v>32</v>
      </c>
      <c r="M94" s="5" t="s">
        <v>1401</v>
      </c>
      <c r="N94" s="5" t="s">
        <v>2298</v>
      </c>
      <c r="O94" s="5" t="s">
        <v>169</v>
      </c>
      <c r="P94" s="5" t="s">
        <v>1402</v>
      </c>
      <c r="Q94" s="5">
        <v>100771190</v>
      </c>
      <c r="R94" s="5" t="s">
        <v>56</v>
      </c>
      <c r="S94" s="5" t="s">
        <v>39</v>
      </c>
      <c r="T94" s="7">
        <v>2</v>
      </c>
      <c r="U94" s="15" t="s">
        <v>169</v>
      </c>
      <c r="V94" s="16" t="s">
        <v>1402</v>
      </c>
      <c r="W94" s="17">
        <v>100771190</v>
      </c>
      <c r="X94" s="16" t="s">
        <v>2610</v>
      </c>
      <c r="Y94" s="17" t="s">
        <v>3025</v>
      </c>
      <c r="Z94" s="17" t="s">
        <v>39</v>
      </c>
      <c r="AA94" s="17" t="s">
        <v>37</v>
      </c>
      <c r="AB94" s="43">
        <v>17.55</v>
      </c>
      <c r="AC94" s="25">
        <v>18.86</v>
      </c>
      <c r="AD94" s="25">
        <f>AC94*T94</f>
        <v>37.72</v>
      </c>
      <c r="AE94" s="25">
        <f>AB94*T94</f>
        <v>35.1</v>
      </c>
      <c r="AF94" s="25">
        <f>AD94-AE94</f>
        <v>2.6199999999999974</v>
      </c>
      <c r="AG94" s="26">
        <f>AF94/AD94</f>
        <v>6.945917285259802E-2</v>
      </c>
      <c r="AH94" s="27" t="str">
        <f>IF(AG94&lt;0,"Negative",IF(AG94=0,"Same",IF(AG94&gt;0.3,"30+%",IF(AG94&gt;0.2,"20-30%",IF(AG94&gt;0.1,"10-20%",IF(AG94&lt;=0.1,"0-10%"))))))</f>
        <v>0-10%</v>
      </c>
      <c r="AI94" s="32"/>
      <c r="AJ94" s="36" t="s">
        <v>3299</v>
      </c>
      <c r="AK94" s="32"/>
    </row>
    <row r="95" spans="1:37" s="1" customFormat="1" ht="19.7" customHeight="1" x14ac:dyDescent="0.25">
      <c r="A95" s="5" t="s">
        <v>22</v>
      </c>
      <c r="B95" s="5" t="s">
        <v>1946</v>
      </c>
      <c r="C95" s="6">
        <v>44488</v>
      </c>
      <c r="D95" s="5" t="s">
        <v>24</v>
      </c>
      <c r="E95" s="5" t="s">
        <v>25</v>
      </c>
      <c r="F95" s="5" t="s">
        <v>26</v>
      </c>
      <c r="G95" s="5" t="s">
        <v>27</v>
      </c>
      <c r="H95" s="5" t="s">
        <v>28</v>
      </c>
      <c r="I95" s="5" t="s">
        <v>29</v>
      </c>
      <c r="J95" s="5" t="s">
        <v>30</v>
      </c>
      <c r="K95" s="5" t="s">
        <v>31</v>
      </c>
      <c r="L95" s="5" t="s">
        <v>32</v>
      </c>
      <c r="M95" s="5" t="s">
        <v>1947</v>
      </c>
      <c r="N95" s="5" t="s">
        <v>1924</v>
      </c>
      <c r="O95" s="5" t="s">
        <v>1948</v>
      </c>
      <c r="P95" s="5" t="s">
        <v>1949</v>
      </c>
      <c r="Q95" s="5">
        <v>118769369</v>
      </c>
      <c r="R95" s="5" t="s">
        <v>84</v>
      </c>
      <c r="S95" s="5" t="s">
        <v>39</v>
      </c>
      <c r="T95" s="7">
        <v>10</v>
      </c>
      <c r="U95" s="15" t="s">
        <v>1948</v>
      </c>
      <c r="V95" s="16" t="s">
        <v>1949</v>
      </c>
      <c r="W95" s="17">
        <v>118769369</v>
      </c>
      <c r="X95" s="16" t="s">
        <v>3171</v>
      </c>
      <c r="Y95" s="17" t="s">
        <v>3172</v>
      </c>
      <c r="Z95" s="17" t="s">
        <v>39</v>
      </c>
      <c r="AA95" s="17" t="s">
        <v>2501</v>
      </c>
      <c r="AB95" s="29">
        <v>13.25</v>
      </c>
      <c r="AC95" s="25">
        <v>13.04</v>
      </c>
      <c r="AD95" s="25">
        <f>AC95*T95</f>
        <v>130.39999999999998</v>
      </c>
      <c r="AE95" s="25">
        <f>AB95*T95</f>
        <v>132.5</v>
      </c>
      <c r="AF95" s="25">
        <f>AD95-AE95</f>
        <v>-2.1000000000000227</v>
      </c>
      <c r="AG95" s="26">
        <f>AF95/AD95</f>
        <v>-1.6104294478527785E-2</v>
      </c>
      <c r="AH95" s="27" t="str">
        <f>IF(AG95&lt;0,"Negative",IF(AG95=0,"Same",IF(AG95&gt;0.3,"30+%",IF(AG95&gt;0.2,"20-30%",IF(AG95&gt;0.1,"10-20%",IF(AG95&lt;=0.1,"0-10%"))))))</f>
        <v>Negative</v>
      </c>
      <c r="AI95" s="32"/>
      <c r="AJ95" s="36" t="s">
        <v>3300</v>
      </c>
      <c r="AK95" s="32"/>
    </row>
    <row r="96" spans="1:37" s="1" customFormat="1" ht="19.7" customHeight="1" x14ac:dyDescent="0.25">
      <c r="A96" s="9" t="s">
        <v>22</v>
      </c>
      <c r="B96" s="9" t="s">
        <v>1946</v>
      </c>
      <c r="C96" s="10">
        <v>44488</v>
      </c>
      <c r="D96" s="9" t="s">
        <v>24</v>
      </c>
      <c r="E96" s="9" t="s">
        <v>25</v>
      </c>
      <c r="F96" s="9" t="s">
        <v>26</v>
      </c>
      <c r="G96" s="9" t="s">
        <v>27</v>
      </c>
      <c r="H96" s="9" t="s">
        <v>28</v>
      </c>
      <c r="I96" s="9" t="s">
        <v>29</v>
      </c>
      <c r="J96" s="9" t="s">
        <v>30</v>
      </c>
      <c r="K96" s="9" t="s">
        <v>31</v>
      </c>
      <c r="L96" s="9" t="s">
        <v>32</v>
      </c>
      <c r="M96" s="9" t="s">
        <v>1950</v>
      </c>
      <c r="N96" s="9" t="s">
        <v>1924</v>
      </c>
      <c r="O96" s="9" t="s">
        <v>1948</v>
      </c>
      <c r="P96" s="9" t="s">
        <v>1951</v>
      </c>
      <c r="Q96" s="9">
        <v>118769823</v>
      </c>
      <c r="R96" s="9" t="s">
        <v>84</v>
      </c>
      <c r="S96" s="9" t="s">
        <v>39</v>
      </c>
      <c r="T96" s="11">
        <v>10</v>
      </c>
      <c r="U96" s="15" t="s">
        <v>1948</v>
      </c>
      <c r="V96" s="16" t="s">
        <v>1951</v>
      </c>
      <c r="W96" s="17">
        <v>118769823</v>
      </c>
      <c r="X96" s="16" t="s">
        <v>3171</v>
      </c>
      <c r="Y96" s="17" t="s">
        <v>3173</v>
      </c>
      <c r="Z96" s="17" t="s">
        <v>39</v>
      </c>
      <c r="AA96" s="17" t="s">
        <v>2501</v>
      </c>
      <c r="AB96" s="29">
        <v>13.25</v>
      </c>
      <c r="AC96" s="25">
        <v>13.04</v>
      </c>
      <c r="AD96" s="25">
        <f>AC96*T96</f>
        <v>130.39999999999998</v>
      </c>
      <c r="AE96" s="25">
        <f>AB96*T96</f>
        <v>132.5</v>
      </c>
      <c r="AF96" s="25">
        <f>AD96-AE96</f>
        <v>-2.1000000000000227</v>
      </c>
      <c r="AG96" s="26">
        <f>AF96/AD96</f>
        <v>-1.6104294478527785E-2</v>
      </c>
      <c r="AH96" s="27" t="str">
        <f>IF(AG96&lt;0,"Negative",IF(AG96=0,"Same",IF(AG96&gt;0.3,"30+%",IF(AG96&gt;0.2,"20-30%",IF(AG96&gt;0.1,"10-20%",IF(AG96&lt;=0.1,"0-10%"))))))</f>
        <v>Negative</v>
      </c>
      <c r="AI96" s="32"/>
      <c r="AJ96" s="36" t="s">
        <v>3300</v>
      </c>
      <c r="AK96" s="32"/>
    </row>
    <row r="97" spans="1:37" s="1" customFormat="1" ht="19.7" customHeight="1" x14ac:dyDescent="0.25">
      <c r="A97" s="5" t="s">
        <v>22</v>
      </c>
      <c r="B97" s="5" t="s">
        <v>1946</v>
      </c>
      <c r="C97" s="6">
        <v>44488</v>
      </c>
      <c r="D97" s="5" t="s">
        <v>24</v>
      </c>
      <c r="E97" s="5" t="s">
        <v>25</v>
      </c>
      <c r="F97" s="5" t="s">
        <v>26</v>
      </c>
      <c r="G97" s="5" t="s">
        <v>27</v>
      </c>
      <c r="H97" s="5" t="s">
        <v>28</v>
      </c>
      <c r="I97" s="5" t="s">
        <v>29</v>
      </c>
      <c r="J97" s="5" t="s">
        <v>30</v>
      </c>
      <c r="K97" s="5" t="s">
        <v>31</v>
      </c>
      <c r="L97" s="5" t="s">
        <v>32</v>
      </c>
      <c r="M97" s="5" t="s">
        <v>1952</v>
      </c>
      <c r="N97" s="5" t="s">
        <v>1924</v>
      </c>
      <c r="O97" s="5" t="s">
        <v>1948</v>
      </c>
      <c r="P97" s="5" t="s">
        <v>1953</v>
      </c>
      <c r="Q97" s="5">
        <v>118769826</v>
      </c>
      <c r="R97" s="5" t="s">
        <v>84</v>
      </c>
      <c r="S97" s="5" t="s">
        <v>39</v>
      </c>
      <c r="T97" s="7">
        <v>10</v>
      </c>
      <c r="U97" s="15" t="s">
        <v>1948</v>
      </c>
      <c r="V97" s="16" t="s">
        <v>1953</v>
      </c>
      <c r="W97" s="17">
        <v>118769826</v>
      </c>
      <c r="X97" s="16" t="s">
        <v>3171</v>
      </c>
      <c r="Y97" s="17" t="s">
        <v>3174</v>
      </c>
      <c r="Z97" s="17" t="s">
        <v>39</v>
      </c>
      <c r="AA97" s="17" t="s">
        <v>2501</v>
      </c>
      <c r="AB97" s="29">
        <v>13.25</v>
      </c>
      <c r="AC97" s="25">
        <v>13.04</v>
      </c>
      <c r="AD97" s="25">
        <f>AC97*T97</f>
        <v>130.39999999999998</v>
      </c>
      <c r="AE97" s="25">
        <f>AB97*T97</f>
        <v>132.5</v>
      </c>
      <c r="AF97" s="25">
        <f>AD97-AE97</f>
        <v>-2.1000000000000227</v>
      </c>
      <c r="AG97" s="26">
        <f>AF97/AD97</f>
        <v>-1.6104294478527785E-2</v>
      </c>
      <c r="AH97" s="27" t="str">
        <f>IF(AG97&lt;0,"Negative",IF(AG97=0,"Same",IF(AG97&gt;0.3,"30+%",IF(AG97&gt;0.2,"20-30%",IF(AG97&gt;0.1,"10-20%",IF(AG97&lt;=0.1,"0-10%"))))))</f>
        <v>Negative</v>
      </c>
      <c r="AI97" s="32"/>
      <c r="AJ97" s="36" t="s">
        <v>3300</v>
      </c>
      <c r="AK97" s="32"/>
    </row>
    <row r="98" spans="1:37" s="1" customFormat="1" ht="19.7" customHeight="1" x14ac:dyDescent="0.25">
      <c r="A98" s="9" t="s">
        <v>22</v>
      </c>
      <c r="B98" s="9" t="s">
        <v>1661</v>
      </c>
      <c r="C98" s="10">
        <v>44433</v>
      </c>
      <c r="D98" s="9" t="s">
        <v>24</v>
      </c>
      <c r="E98" s="9" t="s">
        <v>25</v>
      </c>
      <c r="F98" s="9" t="s">
        <v>26</v>
      </c>
      <c r="G98" s="9" t="s">
        <v>27</v>
      </c>
      <c r="H98" s="9" t="s">
        <v>28</v>
      </c>
      <c r="I98" s="9" t="s">
        <v>29</v>
      </c>
      <c r="J98" s="9" t="s">
        <v>30</v>
      </c>
      <c r="K98" s="9" t="s">
        <v>31</v>
      </c>
      <c r="L98" s="9" t="s">
        <v>32</v>
      </c>
      <c r="M98" s="9" t="s">
        <v>261</v>
      </c>
      <c r="N98" s="9" t="s">
        <v>565</v>
      </c>
      <c r="O98" s="9" t="s">
        <v>1662</v>
      </c>
      <c r="P98" s="9" t="s">
        <v>1663</v>
      </c>
      <c r="Q98" s="9">
        <v>104810070</v>
      </c>
      <c r="R98" s="9" t="s">
        <v>73</v>
      </c>
      <c r="S98" s="9" t="s">
        <v>39</v>
      </c>
      <c r="T98" s="11">
        <v>5</v>
      </c>
      <c r="U98" s="15" t="s">
        <v>1662</v>
      </c>
      <c r="V98" s="16" t="s">
        <v>1663</v>
      </c>
      <c r="W98" s="17">
        <v>104810070</v>
      </c>
      <c r="X98" s="16" t="s">
        <v>2951</v>
      </c>
      <c r="Y98" s="17" t="s">
        <v>3104</v>
      </c>
      <c r="Z98" s="17" t="s">
        <v>39</v>
      </c>
      <c r="AA98" s="17" t="s">
        <v>2501</v>
      </c>
      <c r="AB98" s="29">
        <v>9.48</v>
      </c>
      <c r="AC98" s="25">
        <v>9.1999999999999993</v>
      </c>
      <c r="AD98" s="25">
        <f>AC98*T98</f>
        <v>46</v>
      </c>
      <c r="AE98" s="25">
        <f>AB98*T98</f>
        <v>47.400000000000006</v>
      </c>
      <c r="AF98" s="25">
        <f>AD98-AE98</f>
        <v>-1.4000000000000057</v>
      </c>
      <c r="AG98" s="26">
        <f>AF98/AD98</f>
        <v>-3.0434782608695775E-2</v>
      </c>
      <c r="AH98" s="27" t="str">
        <f>IF(AG98&lt;0,"Negative",IF(AG98=0,"Same",IF(AG98&gt;0.3,"30+%",IF(AG98&gt;0.2,"20-30%",IF(AG98&gt;0.1,"10-20%",IF(AG98&lt;=0.1,"0-10%"))))))</f>
        <v>Negative</v>
      </c>
      <c r="AI98" s="32"/>
      <c r="AJ98" s="36" t="s">
        <v>3300</v>
      </c>
      <c r="AK98" s="32"/>
    </row>
    <row r="99" spans="1:37" s="1" customFormat="1" ht="19.7" customHeight="1" x14ac:dyDescent="0.25">
      <c r="A99" s="9" t="s">
        <v>22</v>
      </c>
      <c r="B99" s="9" t="s">
        <v>1057</v>
      </c>
      <c r="C99" s="10">
        <v>44333</v>
      </c>
      <c r="D99" s="9" t="s">
        <v>24</v>
      </c>
      <c r="E99" s="9" t="s">
        <v>25</v>
      </c>
      <c r="F99" s="9" t="s">
        <v>26</v>
      </c>
      <c r="G99" s="9" t="s">
        <v>27</v>
      </c>
      <c r="H99" s="9" t="s">
        <v>28</v>
      </c>
      <c r="I99" s="9" t="s">
        <v>29</v>
      </c>
      <c r="J99" s="9" t="s">
        <v>30</v>
      </c>
      <c r="K99" s="9" t="s">
        <v>31</v>
      </c>
      <c r="L99" s="9" t="s">
        <v>32</v>
      </c>
      <c r="M99" s="9" t="s">
        <v>1058</v>
      </c>
      <c r="N99" s="9" t="s">
        <v>1049</v>
      </c>
      <c r="O99" s="9" t="s">
        <v>1059</v>
      </c>
      <c r="P99" s="9" t="s">
        <v>1060</v>
      </c>
      <c r="Q99" s="9">
        <v>113401250</v>
      </c>
      <c r="R99" s="9" t="s">
        <v>299</v>
      </c>
      <c r="S99" s="9" t="s">
        <v>39</v>
      </c>
      <c r="T99" s="11">
        <v>12</v>
      </c>
      <c r="U99" s="15" t="s">
        <v>1059</v>
      </c>
      <c r="V99" s="16" t="s">
        <v>1060</v>
      </c>
      <c r="W99" s="17">
        <v>113401250</v>
      </c>
      <c r="X99" s="16" t="s">
        <v>2613</v>
      </c>
      <c r="Y99" s="17" t="s">
        <v>2911</v>
      </c>
      <c r="Z99" s="17" t="s">
        <v>39</v>
      </c>
      <c r="AA99" s="17" t="s">
        <v>2501</v>
      </c>
      <c r="AB99" s="29">
        <v>19.47</v>
      </c>
      <c r="AC99" s="25">
        <v>18.66</v>
      </c>
      <c r="AD99" s="25">
        <f>AC99*T99</f>
        <v>223.92000000000002</v>
      </c>
      <c r="AE99" s="25">
        <f>AB99*T99</f>
        <v>233.64</v>
      </c>
      <c r="AF99" s="25">
        <f>AD99-AE99</f>
        <v>-9.7199999999999704</v>
      </c>
      <c r="AG99" s="26">
        <f>AF99/AD99</f>
        <v>-4.3408360128617228E-2</v>
      </c>
      <c r="AH99" s="27" t="str">
        <f>IF(AG99&lt;0,"Negative",IF(AG99=0,"Same",IF(AG99&gt;0.3,"30+%",IF(AG99&gt;0.2,"20-30%",IF(AG99&gt;0.1,"10-20%",IF(AG99&lt;=0.1,"0-10%"))))))</f>
        <v>Negative</v>
      </c>
      <c r="AI99" s="32"/>
      <c r="AJ99" s="36" t="s">
        <v>3300</v>
      </c>
      <c r="AK99" s="32"/>
    </row>
    <row r="100" spans="1:37" s="1" customFormat="1" ht="19.7" customHeight="1" x14ac:dyDescent="0.25">
      <c r="A100" s="9" t="s">
        <v>22</v>
      </c>
      <c r="B100" s="9" t="s">
        <v>2049</v>
      </c>
      <c r="C100" s="10">
        <v>44505</v>
      </c>
      <c r="D100" s="9" t="s">
        <v>24</v>
      </c>
      <c r="E100" s="9" t="s">
        <v>25</v>
      </c>
      <c r="F100" s="9" t="s">
        <v>26</v>
      </c>
      <c r="G100" s="9" t="s">
        <v>27</v>
      </c>
      <c r="H100" s="9" t="s">
        <v>28</v>
      </c>
      <c r="I100" s="9" t="s">
        <v>29</v>
      </c>
      <c r="J100" s="9" t="s">
        <v>30</v>
      </c>
      <c r="K100" s="9" t="s">
        <v>31</v>
      </c>
      <c r="L100" s="9" t="s">
        <v>32</v>
      </c>
      <c r="M100" s="9" t="s">
        <v>2050</v>
      </c>
      <c r="N100" s="9" t="s">
        <v>1992</v>
      </c>
      <c r="O100" s="9" t="s">
        <v>2051</v>
      </c>
      <c r="P100" s="9" t="s">
        <v>2052</v>
      </c>
      <c r="Q100" s="9">
        <v>101996162</v>
      </c>
      <c r="R100" s="9" t="s">
        <v>38</v>
      </c>
      <c r="S100" s="9" t="s">
        <v>39</v>
      </c>
      <c r="T100" s="11">
        <v>10</v>
      </c>
      <c r="U100" s="15" t="s">
        <v>2051</v>
      </c>
      <c r="V100" s="16" t="s">
        <v>2052</v>
      </c>
      <c r="W100" s="17">
        <v>101996162</v>
      </c>
      <c r="X100" s="16" t="s">
        <v>2585</v>
      </c>
      <c r="Y100" s="17" t="s">
        <v>3195</v>
      </c>
      <c r="Z100" s="17" t="s">
        <v>39</v>
      </c>
      <c r="AA100" s="17" t="s">
        <v>2501</v>
      </c>
      <c r="AB100" s="29">
        <v>8.11</v>
      </c>
      <c r="AC100" s="25">
        <v>8.3000000000000007</v>
      </c>
      <c r="AD100" s="25">
        <f>AC100*T100</f>
        <v>83</v>
      </c>
      <c r="AE100" s="25">
        <f>AB100*T100</f>
        <v>81.099999999999994</v>
      </c>
      <c r="AF100" s="25">
        <f>AD100-AE100</f>
        <v>1.9000000000000057</v>
      </c>
      <c r="AG100" s="26">
        <f>AF100/AD100</f>
        <v>2.2891566265060309E-2</v>
      </c>
      <c r="AH100" s="27" t="str">
        <f>IF(AG100&lt;0,"Negative",IF(AG100=0,"Same",IF(AG100&gt;0.3,"30+%",IF(AG100&gt;0.2,"20-30%",IF(AG100&gt;0.1,"10-20%",IF(AG100&lt;=0.1,"0-10%"))))))</f>
        <v>0-10%</v>
      </c>
      <c r="AI100" s="32"/>
      <c r="AJ100" s="36" t="s">
        <v>3300</v>
      </c>
      <c r="AK100" s="32"/>
    </row>
    <row r="101" spans="1:37" s="1" customFormat="1" ht="19.7" customHeight="1" x14ac:dyDescent="0.25">
      <c r="A101" s="5" t="s">
        <v>22</v>
      </c>
      <c r="B101" s="5" t="s">
        <v>920</v>
      </c>
      <c r="C101" s="6">
        <v>44316</v>
      </c>
      <c r="D101" s="5" t="s">
        <v>24</v>
      </c>
      <c r="E101" s="5" t="s">
        <v>25</v>
      </c>
      <c r="F101" s="5" t="s">
        <v>26</v>
      </c>
      <c r="G101" s="5" t="s">
        <v>67</v>
      </c>
      <c r="H101" s="5" t="s">
        <v>68</v>
      </c>
      <c r="I101" s="5" t="s">
        <v>29</v>
      </c>
      <c r="J101" s="5" t="s">
        <v>30</v>
      </c>
      <c r="K101" s="5" t="s">
        <v>31</v>
      </c>
      <c r="L101" s="5" t="s">
        <v>32</v>
      </c>
      <c r="M101" s="5" t="s">
        <v>113</v>
      </c>
      <c r="N101" s="5" t="s">
        <v>921</v>
      </c>
      <c r="O101" s="5" t="s">
        <v>114</v>
      </c>
      <c r="P101" s="5" t="s">
        <v>115</v>
      </c>
      <c r="Q101" s="5">
        <v>102191417</v>
      </c>
      <c r="R101" s="5" t="s">
        <v>116</v>
      </c>
      <c r="S101" s="5" t="s">
        <v>39</v>
      </c>
      <c r="T101" s="7">
        <v>2</v>
      </c>
      <c r="U101" s="15" t="s">
        <v>114</v>
      </c>
      <c r="V101" s="16" t="s">
        <v>115</v>
      </c>
      <c r="W101" s="17">
        <v>102191417</v>
      </c>
      <c r="X101" s="16" t="s">
        <v>2529</v>
      </c>
      <c r="Y101" s="17" t="s">
        <v>2530</v>
      </c>
      <c r="Z101" s="17" t="s">
        <v>39</v>
      </c>
      <c r="AA101" s="17" t="s">
        <v>37</v>
      </c>
      <c r="AB101" s="29">
        <v>0.64</v>
      </c>
      <c r="AC101" s="25">
        <v>0.68</v>
      </c>
      <c r="AD101" s="25">
        <f>AC101*T101</f>
        <v>1.36</v>
      </c>
      <c r="AE101" s="25">
        <f>AB101*T101</f>
        <v>1.28</v>
      </c>
      <c r="AF101" s="25">
        <f>AD101-AE101</f>
        <v>8.0000000000000071E-2</v>
      </c>
      <c r="AG101" s="26">
        <f>AF101/AD101</f>
        <v>5.8823529411764754E-2</v>
      </c>
      <c r="AH101" s="27" t="str">
        <f>IF(AG101&lt;0,"Negative",IF(AG101=0,"Same",IF(AG101&gt;0.3,"30+%",IF(AG101&gt;0.2,"20-30%",IF(AG101&gt;0.1,"10-20%",IF(AG101&lt;=0.1,"0-10%"))))))</f>
        <v>0-10%</v>
      </c>
      <c r="AI101" s="32"/>
      <c r="AJ101" s="36" t="s">
        <v>3299</v>
      </c>
      <c r="AK101" s="32"/>
    </row>
    <row r="102" spans="1:37" s="1" customFormat="1" ht="19.7" customHeight="1" x14ac:dyDescent="0.25">
      <c r="A102" s="5" t="s">
        <v>22</v>
      </c>
      <c r="B102" s="5" t="s">
        <v>1418</v>
      </c>
      <c r="C102" s="6">
        <v>44393</v>
      </c>
      <c r="D102" s="5" t="s">
        <v>24</v>
      </c>
      <c r="E102" s="5" t="s">
        <v>25</v>
      </c>
      <c r="F102" s="5" t="s">
        <v>26</v>
      </c>
      <c r="G102" s="5" t="s">
        <v>67</v>
      </c>
      <c r="H102" s="5" t="s">
        <v>68</v>
      </c>
      <c r="I102" s="5" t="s">
        <v>29</v>
      </c>
      <c r="J102" s="5" t="s">
        <v>30</v>
      </c>
      <c r="K102" s="5" t="s">
        <v>31</v>
      </c>
      <c r="L102" s="5" t="s">
        <v>32</v>
      </c>
      <c r="M102" s="5" t="s">
        <v>113</v>
      </c>
      <c r="N102" s="5" t="s">
        <v>1419</v>
      </c>
      <c r="O102" s="5" t="s">
        <v>114</v>
      </c>
      <c r="P102" s="5" t="s">
        <v>115</v>
      </c>
      <c r="Q102" s="5">
        <v>102191417</v>
      </c>
      <c r="R102" s="5" t="s">
        <v>116</v>
      </c>
      <c r="S102" s="5" t="s">
        <v>39</v>
      </c>
      <c r="T102" s="7">
        <v>2</v>
      </c>
      <c r="U102" s="15" t="s">
        <v>114</v>
      </c>
      <c r="V102" s="16" t="s">
        <v>115</v>
      </c>
      <c r="W102" s="17">
        <v>102191417</v>
      </c>
      <c r="X102" s="16" t="s">
        <v>2529</v>
      </c>
      <c r="Y102" s="17" t="s">
        <v>2530</v>
      </c>
      <c r="Z102" s="17" t="s">
        <v>39</v>
      </c>
      <c r="AA102" s="17" t="s">
        <v>37</v>
      </c>
      <c r="AB102" s="29">
        <v>0.64</v>
      </c>
      <c r="AC102" s="25">
        <v>0.68</v>
      </c>
      <c r="AD102" s="25">
        <f>AC102*T102</f>
        <v>1.36</v>
      </c>
      <c r="AE102" s="25">
        <f>AB102*T102</f>
        <v>1.28</v>
      </c>
      <c r="AF102" s="25">
        <f>AD102-AE102</f>
        <v>8.0000000000000071E-2</v>
      </c>
      <c r="AG102" s="26">
        <f>AF102/AD102</f>
        <v>5.8823529411764754E-2</v>
      </c>
      <c r="AH102" s="27" t="str">
        <f>IF(AG102&lt;0,"Negative",IF(AG102=0,"Same",IF(AG102&gt;0.3,"30+%",IF(AG102&gt;0.2,"20-30%",IF(AG102&gt;0.1,"10-20%",IF(AG102&lt;=0.1,"0-10%"))))))</f>
        <v>0-10%</v>
      </c>
      <c r="AI102" s="32"/>
      <c r="AJ102" s="36" t="s">
        <v>3299</v>
      </c>
      <c r="AK102" s="32"/>
    </row>
    <row r="103" spans="1:37" s="1" customFormat="1" ht="19.7" customHeight="1" x14ac:dyDescent="0.25">
      <c r="A103" s="5" t="s">
        <v>22</v>
      </c>
      <c r="B103" s="5" t="s">
        <v>1216</v>
      </c>
      <c r="C103" s="6">
        <v>44361</v>
      </c>
      <c r="D103" s="5" t="s">
        <v>24</v>
      </c>
      <c r="E103" s="5" t="s">
        <v>25</v>
      </c>
      <c r="F103" s="5" t="s">
        <v>26</v>
      </c>
      <c r="G103" s="5" t="s">
        <v>67</v>
      </c>
      <c r="H103" s="5" t="s">
        <v>68</v>
      </c>
      <c r="I103" s="5" t="s">
        <v>29</v>
      </c>
      <c r="J103" s="5" t="s">
        <v>30</v>
      </c>
      <c r="K103" s="5" t="s">
        <v>31</v>
      </c>
      <c r="L103" s="5" t="s">
        <v>32</v>
      </c>
      <c r="M103" s="5" t="s">
        <v>113</v>
      </c>
      <c r="N103" s="5" t="s">
        <v>1217</v>
      </c>
      <c r="O103" s="5" t="s">
        <v>114</v>
      </c>
      <c r="P103" s="5" t="s">
        <v>115</v>
      </c>
      <c r="Q103" s="5">
        <v>102191417</v>
      </c>
      <c r="R103" s="5" t="s">
        <v>116</v>
      </c>
      <c r="S103" s="5" t="s">
        <v>39</v>
      </c>
      <c r="T103" s="7">
        <v>5</v>
      </c>
      <c r="U103" s="15" t="s">
        <v>114</v>
      </c>
      <c r="V103" s="16" t="s">
        <v>115</v>
      </c>
      <c r="W103" s="17">
        <v>102191417</v>
      </c>
      <c r="X103" s="16" t="s">
        <v>2529</v>
      </c>
      <c r="Y103" s="17" t="s">
        <v>2530</v>
      </c>
      <c r="Z103" s="17" t="s">
        <v>39</v>
      </c>
      <c r="AA103" s="17" t="s">
        <v>37</v>
      </c>
      <c r="AB103" s="29">
        <v>0.64</v>
      </c>
      <c r="AC103" s="25">
        <v>0.68</v>
      </c>
      <c r="AD103" s="25">
        <f>AC103*T103</f>
        <v>3.4000000000000004</v>
      </c>
      <c r="AE103" s="25">
        <f>AB103*T103</f>
        <v>3.2</v>
      </c>
      <c r="AF103" s="25">
        <f>AD103-AE103</f>
        <v>0.20000000000000018</v>
      </c>
      <c r="AG103" s="26">
        <f>AF103/AD103</f>
        <v>5.8823529411764754E-2</v>
      </c>
      <c r="AH103" s="27" t="str">
        <f>IF(AG103&lt;0,"Negative",IF(AG103=0,"Same",IF(AG103&gt;0.3,"30+%",IF(AG103&gt;0.2,"20-30%",IF(AG103&gt;0.1,"10-20%",IF(AG103&lt;=0.1,"0-10%"))))))</f>
        <v>0-10%</v>
      </c>
      <c r="AI103" s="32"/>
      <c r="AJ103" s="36" t="s">
        <v>3299</v>
      </c>
      <c r="AK103" s="32"/>
    </row>
    <row r="104" spans="1:37" s="1" customFormat="1" ht="19.7" customHeight="1" x14ac:dyDescent="0.25">
      <c r="A104" s="9" t="s">
        <v>22</v>
      </c>
      <c r="B104" s="9" t="s">
        <v>1479</v>
      </c>
      <c r="C104" s="10">
        <v>44403</v>
      </c>
      <c r="D104" s="9" t="s">
        <v>24</v>
      </c>
      <c r="E104" s="9" t="s">
        <v>25</v>
      </c>
      <c r="F104" s="9" t="s">
        <v>26</v>
      </c>
      <c r="G104" s="9" t="s">
        <v>67</v>
      </c>
      <c r="H104" s="9" t="s">
        <v>68</v>
      </c>
      <c r="I104" s="9" t="s">
        <v>29</v>
      </c>
      <c r="J104" s="9" t="s">
        <v>30</v>
      </c>
      <c r="K104" s="9" t="s">
        <v>31</v>
      </c>
      <c r="L104" s="9" t="s">
        <v>32</v>
      </c>
      <c r="M104" s="9" t="s">
        <v>113</v>
      </c>
      <c r="N104" s="9" t="s">
        <v>1480</v>
      </c>
      <c r="O104" s="9" t="s">
        <v>114</v>
      </c>
      <c r="P104" s="9" t="s">
        <v>115</v>
      </c>
      <c r="Q104" s="9">
        <v>102191417</v>
      </c>
      <c r="R104" s="9" t="s">
        <v>116</v>
      </c>
      <c r="S104" s="9" t="s">
        <v>39</v>
      </c>
      <c r="T104" s="11">
        <v>5</v>
      </c>
      <c r="U104" s="15" t="s">
        <v>114</v>
      </c>
      <c r="V104" s="16" t="s">
        <v>115</v>
      </c>
      <c r="W104" s="17">
        <v>102191417</v>
      </c>
      <c r="X104" s="16" t="s">
        <v>2529</v>
      </c>
      <c r="Y104" s="17" t="s">
        <v>2530</v>
      </c>
      <c r="Z104" s="17" t="s">
        <v>39</v>
      </c>
      <c r="AA104" s="17" t="s">
        <v>37</v>
      </c>
      <c r="AB104" s="29">
        <v>0.64</v>
      </c>
      <c r="AC104" s="25">
        <v>0.68</v>
      </c>
      <c r="AD104" s="25">
        <f>AC104*T104</f>
        <v>3.4000000000000004</v>
      </c>
      <c r="AE104" s="25">
        <f>AB104*T104</f>
        <v>3.2</v>
      </c>
      <c r="AF104" s="25">
        <f>AD104-AE104</f>
        <v>0.20000000000000018</v>
      </c>
      <c r="AG104" s="26">
        <f>AF104/AD104</f>
        <v>5.8823529411764754E-2</v>
      </c>
      <c r="AH104" s="27" t="str">
        <f>IF(AG104&lt;0,"Negative",IF(AG104=0,"Same",IF(AG104&gt;0.3,"30+%",IF(AG104&gt;0.2,"20-30%",IF(AG104&gt;0.1,"10-20%",IF(AG104&lt;=0.1,"0-10%"))))))</f>
        <v>0-10%</v>
      </c>
      <c r="AI104" s="32"/>
      <c r="AJ104" s="36" t="s">
        <v>3299</v>
      </c>
      <c r="AK104" s="32"/>
    </row>
    <row r="105" spans="1:37" s="1" customFormat="1" ht="19.7" customHeight="1" x14ac:dyDescent="0.25">
      <c r="A105" s="9" t="s">
        <v>22</v>
      </c>
      <c r="B105" s="9" t="s">
        <v>106</v>
      </c>
      <c r="C105" s="10">
        <v>44232</v>
      </c>
      <c r="D105" s="9" t="s">
        <v>24</v>
      </c>
      <c r="E105" s="9" t="s">
        <v>25</v>
      </c>
      <c r="F105" s="9" t="s">
        <v>26</v>
      </c>
      <c r="G105" s="9" t="s">
        <v>67</v>
      </c>
      <c r="H105" s="9" t="s">
        <v>68</v>
      </c>
      <c r="I105" s="9" t="s">
        <v>29</v>
      </c>
      <c r="J105" s="9" t="s">
        <v>30</v>
      </c>
      <c r="K105" s="9" t="s">
        <v>31</v>
      </c>
      <c r="L105" s="9" t="s">
        <v>32</v>
      </c>
      <c r="M105" s="9" t="s">
        <v>113</v>
      </c>
      <c r="N105" s="9" t="s">
        <v>107</v>
      </c>
      <c r="O105" s="9" t="s">
        <v>114</v>
      </c>
      <c r="P105" s="9" t="s">
        <v>115</v>
      </c>
      <c r="Q105" s="9">
        <v>102191417</v>
      </c>
      <c r="R105" s="9" t="s">
        <v>116</v>
      </c>
      <c r="S105" s="9" t="s">
        <v>39</v>
      </c>
      <c r="T105" s="11">
        <v>8</v>
      </c>
      <c r="U105" s="15" t="s">
        <v>114</v>
      </c>
      <c r="V105" s="16" t="s">
        <v>115</v>
      </c>
      <c r="W105" s="17">
        <v>102191417</v>
      </c>
      <c r="X105" s="16" t="s">
        <v>2529</v>
      </c>
      <c r="Y105" s="17" t="s">
        <v>2530</v>
      </c>
      <c r="Z105" s="17" t="s">
        <v>39</v>
      </c>
      <c r="AA105" s="17" t="s">
        <v>37</v>
      </c>
      <c r="AB105" s="29">
        <v>0.64</v>
      </c>
      <c r="AC105" s="25">
        <v>0.68</v>
      </c>
      <c r="AD105" s="25">
        <f>AC105*T105</f>
        <v>5.44</v>
      </c>
      <c r="AE105" s="25">
        <f>AB105*T105</f>
        <v>5.12</v>
      </c>
      <c r="AF105" s="25">
        <f>AD105-AE105</f>
        <v>0.32000000000000028</v>
      </c>
      <c r="AG105" s="26">
        <f>AF105/AD105</f>
        <v>5.8823529411764754E-2</v>
      </c>
      <c r="AH105" s="27" t="str">
        <f>IF(AG105&lt;0,"Negative",IF(AG105=0,"Same",IF(AG105&gt;0.3,"30+%",IF(AG105&gt;0.2,"20-30%",IF(AG105&gt;0.1,"10-20%",IF(AG105&lt;=0.1,"0-10%"))))))</f>
        <v>0-10%</v>
      </c>
      <c r="AI105" s="32"/>
      <c r="AJ105" s="36" t="s">
        <v>3299</v>
      </c>
      <c r="AK105" s="32"/>
    </row>
    <row r="106" spans="1:37" s="1" customFormat="1" ht="19.7" customHeight="1" x14ac:dyDescent="0.25">
      <c r="A106" s="5" t="s">
        <v>22</v>
      </c>
      <c r="B106" s="5" t="s">
        <v>1759</v>
      </c>
      <c r="C106" s="6">
        <v>44456</v>
      </c>
      <c r="D106" s="5" t="s">
        <v>24</v>
      </c>
      <c r="E106" s="5" t="s">
        <v>25</v>
      </c>
      <c r="F106" s="5" t="s">
        <v>26</v>
      </c>
      <c r="G106" s="5" t="s">
        <v>67</v>
      </c>
      <c r="H106" s="5" t="s">
        <v>68</v>
      </c>
      <c r="I106" s="5" t="s">
        <v>29</v>
      </c>
      <c r="J106" s="5" t="s">
        <v>30</v>
      </c>
      <c r="K106" s="5" t="s">
        <v>31</v>
      </c>
      <c r="L106" s="5" t="s">
        <v>32</v>
      </c>
      <c r="M106" s="5" t="s">
        <v>113</v>
      </c>
      <c r="N106" s="5" t="s">
        <v>1760</v>
      </c>
      <c r="O106" s="5" t="s">
        <v>114</v>
      </c>
      <c r="P106" s="5" t="s">
        <v>115</v>
      </c>
      <c r="Q106" s="5">
        <v>102191417</v>
      </c>
      <c r="R106" s="5" t="s">
        <v>116</v>
      </c>
      <c r="S106" s="5" t="s">
        <v>39</v>
      </c>
      <c r="T106" s="7">
        <v>10</v>
      </c>
      <c r="U106" s="15" t="s">
        <v>114</v>
      </c>
      <c r="V106" s="16" t="s">
        <v>115</v>
      </c>
      <c r="W106" s="17">
        <v>102191417</v>
      </c>
      <c r="X106" s="16" t="s">
        <v>2529</v>
      </c>
      <c r="Y106" s="17" t="s">
        <v>2530</v>
      </c>
      <c r="Z106" s="17" t="s">
        <v>39</v>
      </c>
      <c r="AA106" s="17" t="s">
        <v>37</v>
      </c>
      <c r="AB106" s="29">
        <v>0.64</v>
      </c>
      <c r="AC106" s="25">
        <v>0.68</v>
      </c>
      <c r="AD106" s="25">
        <f>AC106*T106</f>
        <v>6.8000000000000007</v>
      </c>
      <c r="AE106" s="25">
        <f>AB106*T106</f>
        <v>6.4</v>
      </c>
      <c r="AF106" s="25">
        <f>AD106-AE106</f>
        <v>0.40000000000000036</v>
      </c>
      <c r="AG106" s="26">
        <f>AF106/AD106</f>
        <v>5.8823529411764754E-2</v>
      </c>
      <c r="AH106" s="27" t="str">
        <f>IF(AG106&lt;0,"Negative",IF(AG106=0,"Same",IF(AG106&gt;0.3,"30+%",IF(AG106&gt;0.2,"20-30%",IF(AG106&gt;0.1,"10-20%",IF(AG106&lt;=0.1,"0-10%"))))))</f>
        <v>0-10%</v>
      </c>
      <c r="AI106" s="32"/>
      <c r="AJ106" s="36" t="s">
        <v>3299</v>
      </c>
      <c r="AK106" s="32"/>
    </row>
    <row r="107" spans="1:37" s="1" customFormat="1" ht="19.7" customHeight="1" x14ac:dyDescent="0.25">
      <c r="A107" s="9" t="s">
        <v>22</v>
      </c>
      <c r="B107" s="9" t="s">
        <v>2330</v>
      </c>
      <c r="C107" s="10">
        <v>44568</v>
      </c>
      <c r="D107" s="9" t="s">
        <v>24</v>
      </c>
      <c r="E107" s="9" t="s">
        <v>25</v>
      </c>
      <c r="F107" s="9" t="s">
        <v>26</v>
      </c>
      <c r="G107" s="9" t="s">
        <v>27</v>
      </c>
      <c r="H107" s="9" t="s">
        <v>28</v>
      </c>
      <c r="I107" s="9" t="s">
        <v>29</v>
      </c>
      <c r="J107" s="9" t="s">
        <v>30</v>
      </c>
      <c r="K107" s="9" t="s">
        <v>31</v>
      </c>
      <c r="L107" s="9" t="s">
        <v>32</v>
      </c>
      <c r="M107" s="9" t="s">
        <v>2331</v>
      </c>
      <c r="N107" s="9" t="s">
        <v>2332</v>
      </c>
      <c r="O107" s="9" t="s">
        <v>183</v>
      </c>
      <c r="P107" s="9" t="s">
        <v>2333</v>
      </c>
      <c r="Q107" s="9">
        <v>100439737</v>
      </c>
      <c r="R107" s="9" t="s">
        <v>56</v>
      </c>
      <c r="S107" s="9" t="s">
        <v>39</v>
      </c>
      <c r="T107" s="11">
        <v>3</v>
      </c>
      <c r="U107" s="15" t="s">
        <v>183</v>
      </c>
      <c r="V107" s="16" t="s">
        <v>2333</v>
      </c>
      <c r="W107" s="17">
        <v>100439737</v>
      </c>
      <c r="X107" s="16" t="s">
        <v>2565</v>
      </c>
      <c r="Y107" s="17" t="s">
        <v>3251</v>
      </c>
      <c r="Z107" s="17" t="s">
        <v>39</v>
      </c>
      <c r="AA107" s="17" t="s">
        <v>37</v>
      </c>
      <c r="AB107" s="29">
        <v>10.08</v>
      </c>
      <c r="AC107" s="25">
        <v>10.3</v>
      </c>
      <c r="AD107" s="25">
        <f>AC107*T107</f>
        <v>30.900000000000002</v>
      </c>
      <c r="AE107" s="25">
        <f>AB107*T107</f>
        <v>30.240000000000002</v>
      </c>
      <c r="AF107" s="25">
        <f>AD107-AE107</f>
        <v>0.66000000000000014</v>
      </c>
      <c r="AG107" s="26">
        <f>AF107/AD107</f>
        <v>2.1359223300970877E-2</v>
      </c>
      <c r="AH107" s="27" t="str">
        <f>IF(AG107&lt;0,"Negative",IF(AG107=0,"Same",IF(AG107&gt;0.3,"30+%",IF(AG107&gt;0.2,"20-30%",IF(AG107&gt;0.1,"10-20%",IF(AG107&lt;=0.1,"0-10%"))))))</f>
        <v>0-10%</v>
      </c>
      <c r="AI107" s="32"/>
      <c r="AJ107" s="36" t="s">
        <v>3300</v>
      </c>
      <c r="AK107" s="32"/>
    </row>
    <row r="108" spans="1:37" s="1" customFormat="1" ht="19.7" customHeight="1" x14ac:dyDescent="0.25">
      <c r="A108" s="5" t="s">
        <v>22</v>
      </c>
      <c r="B108" s="5" t="s">
        <v>2417</v>
      </c>
      <c r="C108" s="6">
        <v>44582</v>
      </c>
      <c r="D108" s="5" t="s">
        <v>24</v>
      </c>
      <c r="E108" s="5" t="s">
        <v>25</v>
      </c>
      <c r="F108" s="5" t="s">
        <v>26</v>
      </c>
      <c r="G108" s="5" t="s">
        <v>27</v>
      </c>
      <c r="H108" s="5" t="s">
        <v>28</v>
      </c>
      <c r="I108" s="5" t="s">
        <v>29</v>
      </c>
      <c r="J108" s="5" t="s">
        <v>30</v>
      </c>
      <c r="K108" s="5" t="s">
        <v>31</v>
      </c>
      <c r="L108" s="5" t="s">
        <v>32</v>
      </c>
      <c r="M108" s="5" t="s">
        <v>1501</v>
      </c>
      <c r="N108" s="5" t="s">
        <v>2397</v>
      </c>
      <c r="O108" s="5" t="s">
        <v>1487</v>
      </c>
      <c r="P108" s="5" t="s">
        <v>1502</v>
      </c>
      <c r="Q108" s="5">
        <v>101819502</v>
      </c>
      <c r="R108" s="5" t="s">
        <v>56</v>
      </c>
      <c r="S108" s="5" t="s">
        <v>39</v>
      </c>
      <c r="T108" s="7">
        <v>2</v>
      </c>
      <c r="U108" s="15" t="s">
        <v>1487</v>
      </c>
      <c r="V108" s="16" t="s">
        <v>1502</v>
      </c>
      <c r="W108" s="17">
        <v>101819502</v>
      </c>
      <c r="X108" s="16" t="s">
        <v>2998</v>
      </c>
      <c r="Y108" s="17" t="s">
        <v>3061</v>
      </c>
      <c r="Z108" s="17" t="s">
        <v>39</v>
      </c>
      <c r="AA108" s="17" t="s">
        <v>37</v>
      </c>
      <c r="AB108" s="29">
        <v>17.14</v>
      </c>
      <c r="AC108" s="25">
        <v>16.66</v>
      </c>
      <c r="AD108" s="25">
        <f>AC108*T108</f>
        <v>33.32</v>
      </c>
      <c r="AE108" s="25">
        <f>AB108*T108</f>
        <v>34.28</v>
      </c>
      <c r="AF108" s="25">
        <f>AD108-AE108</f>
        <v>-0.96000000000000085</v>
      </c>
      <c r="AG108" s="26">
        <f>AF108/AD108</f>
        <v>-2.8811524609843962E-2</v>
      </c>
      <c r="AH108" s="27" t="str">
        <f>IF(AG108&lt;0,"Negative",IF(AG108=0,"Same",IF(AG108&gt;0.3,"30+%",IF(AG108&gt;0.2,"20-30%",IF(AG108&gt;0.1,"10-20%",IF(AG108&lt;=0.1,"0-10%"))))))</f>
        <v>Negative</v>
      </c>
      <c r="AI108" s="32"/>
      <c r="AJ108" s="36" t="s">
        <v>3300</v>
      </c>
      <c r="AK108" s="32"/>
    </row>
    <row r="109" spans="1:37" s="1" customFormat="1" ht="19.7" customHeight="1" x14ac:dyDescent="0.25">
      <c r="A109" s="5" t="s">
        <v>22</v>
      </c>
      <c r="B109" s="5" t="s">
        <v>2213</v>
      </c>
      <c r="C109" s="6">
        <v>44540</v>
      </c>
      <c r="D109" s="5" t="s">
        <v>24</v>
      </c>
      <c r="E109" s="5" t="s">
        <v>25</v>
      </c>
      <c r="F109" s="5" t="s">
        <v>26</v>
      </c>
      <c r="G109" s="5" t="s">
        <v>67</v>
      </c>
      <c r="H109" s="5" t="s">
        <v>68</v>
      </c>
      <c r="I109" s="5" t="s">
        <v>29</v>
      </c>
      <c r="J109" s="5" t="s">
        <v>30</v>
      </c>
      <c r="K109" s="5" t="s">
        <v>31</v>
      </c>
      <c r="L109" s="5" t="s">
        <v>32</v>
      </c>
      <c r="M109" s="5" t="s">
        <v>270</v>
      </c>
      <c r="N109" s="5" t="s">
        <v>2214</v>
      </c>
      <c r="O109" s="5" t="s">
        <v>271</v>
      </c>
      <c r="P109" s="5" t="s">
        <v>272</v>
      </c>
      <c r="Q109" s="5">
        <v>101653991</v>
      </c>
      <c r="R109" s="5" t="s">
        <v>73</v>
      </c>
      <c r="S109" s="5" t="s">
        <v>39</v>
      </c>
      <c r="T109" s="7">
        <v>24</v>
      </c>
      <c r="U109" s="15" t="s">
        <v>271</v>
      </c>
      <c r="V109" s="16" t="s">
        <v>272</v>
      </c>
      <c r="W109" s="17">
        <v>101653991</v>
      </c>
      <c r="X109" s="16" t="s">
        <v>2510</v>
      </c>
      <c r="Y109" s="17" t="s">
        <v>2601</v>
      </c>
      <c r="Z109" s="17" t="s">
        <v>39</v>
      </c>
      <c r="AA109" s="17" t="s">
        <v>37</v>
      </c>
      <c r="AB109" s="29">
        <v>6.95</v>
      </c>
      <c r="AC109" s="25">
        <v>6.04</v>
      </c>
      <c r="AD109" s="25">
        <f>AC109*T109</f>
        <v>144.96</v>
      </c>
      <c r="AE109" s="25">
        <f>AB109*T109</f>
        <v>166.8</v>
      </c>
      <c r="AF109" s="25">
        <f>AD109-AE109</f>
        <v>-21.840000000000003</v>
      </c>
      <c r="AG109" s="26">
        <f>AF109/AD109</f>
        <v>-0.15066225165562916</v>
      </c>
      <c r="AH109" s="27" t="str">
        <f>IF(AG109&lt;0,"Negative",IF(AG109=0,"Same",IF(AG109&gt;0.3,"30+%",IF(AG109&gt;0.2,"20-30%",IF(AG109&gt;0.1,"10-20%",IF(AG109&lt;=0.1,"0-10%"))))))</f>
        <v>Negative</v>
      </c>
      <c r="AI109" s="32"/>
      <c r="AJ109" s="36" t="s">
        <v>3300</v>
      </c>
      <c r="AK109" s="32"/>
    </row>
    <row r="110" spans="1:37" s="1" customFormat="1" ht="19.7" customHeight="1" x14ac:dyDescent="0.25">
      <c r="A110" s="5" t="s">
        <v>22</v>
      </c>
      <c r="B110" s="5" t="s">
        <v>2274</v>
      </c>
      <c r="C110" s="6">
        <v>44559</v>
      </c>
      <c r="D110" s="5" t="s">
        <v>24</v>
      </c>
      <c r="E110" s="5" t="s">
        <v>25</v>
      </c>
      <c r="F110" s="5" t="s">
        <v>26</v>
      </c>
      <c r="G110" s="5" t="s">
        <v>67</v>
      </c>
      <c r="H110" s="5" t="s">
        <v>68</v>
      </c>
      <c r="I110" s="5" t="s">
        <v>29</v>
      </c>
      <c r="J110" s="5" t="s">
        <v>30</v>
      </c>
      <c r="K110" s="5" t="s">
        <v>31</v>
      </c>
      <c r="L110" s="5" t="s">
        <v>32</v>
      </c>
      <c r="M110" s="5" t="s">
        <v>470</v>
      </c>
      <c r="N110" s="5" t="s">
        <v>2275</v>
      </c>
      <c r="O110" s="5" t="s">
        <v>471</v>
      </c>
      <c r="P110" s="5" t="s">
        <v>472</v>
      </c>
      <c r="Q110" s="5">
        <v>112796061</v>
      </c>
      <c r="R110" s="5" t="s">
        <v>299</v>
      </c>
      <c r="S110" s="5" t="s">
        <v>39</v>
      </c>
      <c r="T110" s="7">
        <v>24</v>
      </c>
      <c r="U110" s="15" t="s">
        <v>471</v>
      </c>
      <c r="V110" s="16" t="s">
        <v>472</v>
      </c>
      <c r="W110" s="17">
        <v>112796061</v>
      </c>
      <c r="X110" s="16" t="s">
        <v>2688</v>
      </c>
      <c r="Y110" s="17" t="s">
        <v>2689</v>
      </c>
      <c r="Z110" s="17" t="s">
        <v>39</v>
      </c>
      <c r="AA110" s="17" t="s">
        <v>37</v>
      </c>
      <c r="AB110" s="29">
        <v>6.25</v>
      </c>
      <c r="AC110" s="25">
        <v>6</v>
      </c>
      <c r="AD110" s="25">
        <f>AC110*T110</f>
        <v>144</v>
      </c>
      <c r="AE110" s="25">
        <f>AB110*T110</f>
        <v>150</v>
      </c>
      <c r="AF110" s="25">
        <f>AD110-AE110</f>
        <v>-6</v>
      </c>
      <c r="AG110" s="26">
        <f>AF110/AD110</f>
        <v>-4.1666666666666664E-2</v>
      </c>
      <c r="AH110" s="27" t="str">
        <f>IF(AG110&lt;0,"Negative",IF(AG110=0,"Same",IF(AG110&gt;0.3,"30+%",IF(AG110&gt;0.2,"20-30%",IF(AG110&gt;0.1,"10-20%",IF(AG110&lt;=0.1,"0-10%"))))))</f>
        <v>Negative</v>
      </c>
      <c r="AI110" s="32"/>
      <c r="AJ110" s="36" t="s">
        <v>3300</v>
      </c>
      <c r="AK110" s="32"/>
    </row>
    <row r="111" spans="1:37" s="1" customFormat="1" ht="19.7" customHeight="1" x14ac:dyDescent="0.25">
      <c r="A111" s="9" t="s">
        <v>22</v>
      </c>
      <c r="B111" s="9" t="s">
        <v>493</v>
      </c>
      <c r="C111" s="10">
        <v>44267</v>
      </c>
      <c r="D111" s="9" t="s">
        <v>24</v>
      </c>
      <c r="E111" s="9" t="s">
        <v>25</v>
      </c>
      <c r="F111" s="9" t="s">
        <v>26</v>
      </c>
      <c r="G111" s="9" t="s">
        <v>67</v>
      </c>
      <c r="H111" s="9" t="s">
        <v>68</v>
      </c>
      <c r="I111" s="9" t="s">
        <v>29</v>
      </c>
      <c r="J111" s="9" t="s">
        <v>30</v>
      </c>
      <c r="K111" s="9" t="s">
        <v>31</v>
      </c>
      <c r="L111" s="9" t="s">
        <v>32</v>
      </c>
      <c r="M111" s="9" t="s">
        <v>101</v>
      </c>
      <c r="N111" s="9" t="s">
        <v>494</v>
      </c>
      <c r="O111" s="9" t="s">
        <v>103</v>
      </c>
      <c r="P111" s="9" t="s">
        <v>104</v>
      </c>
      <c r="Q111" s="9">
        <v>112198576</v>
      </c>
      <c r="R111" s="9" t="s">
        <v>105</v>
      </c>
      <c r="S111" s="9" t="s">
        <v>39</v>
      </c>
      <c r="T111" s="11">
        <v>36</v>
      </c>
      <c r="U111" s="15" t="s">
        <v>103</v>
      </c>
      <c r="V111" s="16" t="s">
        <v>104</v>
      </c>
      <c r="W111" s="17">
        <v>112198576</v>
      </c>
      <c r="X111" s="16" t="s">
        <v>2524</v>
      </c>
      <c r="Y111" s="17" t="s">
        <v>2525</v>
      </c>
      <c r="Z111" s="17" t="s">
        <v>39</v>
      </c>
      <c r="AA111" s="17" t="s">
        <v>2501</v>
      </c>
      <c r="AB111" s="29">
        <v>2.15</v>
      </c>
      <c r="AC111" s="25">
        <v>2.06</v>
      </c>
      <c r="AD111" s="25">
        <f>AC111*T111</f>
        <v>74.16</v>
      </c>
      <c r="AE111" s="25">
        <f>AB111*T111</f>
        <v>77.399999999999991</v>
      </c>
      <c r="AF111" s="25">
        <f>AD111-AE111</f>
        <v>-3.2399999999999949</v>
      </c>
      <c r="AG111" s="26">
        <f>AF111/AD111</f>
        <v>-4.3689320388349447E-2</v>
      </c>
      <c r="AH111" s="27" t="str">
        <f>IF(AG111&lt;0,"Negative",IF(AG111=0,"Same",IF(AG111&gt;0.3,"30+%",IF(AG111&gt;0.2,"20-30%",IF(AG111&gt;0.1,"10-20%",IF(AG111&lt;=0.1,"0-10%"))))))</f>
        <v>Negative</v>
      </c>
      <c r="AI111" s="32"/>
      <c r="AJ111" s="36" t="s">
        <v>3300</v>
      </c>
      <c r="AK111" s="32"/>
    </row>
    <row r="112" spans="1:37" s="1" customFormat="1" ht="19.7" customHeight="1" x14ac:dyDescent="0.25">
      <c r="A112" s="5" t="s">
        <v>22</v>
      </c>
      <c r="B112" s="5" t="s">
        <v>100</v>
      </c>
      <c r="C112" s="6">
        <v>44232</v>
      </c>
      <c r="D112" s="5" t="s">
        <v>24</v>
      </c>
      <c r="E112" s="5" t="s">
        <v>25</v>
      </c>
      <c r="F112" s="5" t="s">
        <v>26</v>
      </c>
      <c r="G112" s="5" t="s">
        <v>67</v>
      </c>
      <c r="H112" s="5" t="s">
        <v>68</v>
      </c>
      <c r="I112" s="5" t="s">
        <v>29</v>
      </c>
      <c r="J112" s="5" t="s">
        <v>30</v>
      </c>
      <c r="K112" s="5" t="s">
        <v>31</v>
      </c>
      <c r="L112" s="5" t="s">
        <v>32</v>
      </c>
      <c r="M112" s="5" t="s">
        <v>101</v>
      </c>
      <c r="N112" s="5" t="s">
        <v>102</v>
      </c>
      <c r="O112" s="5" t="s">
        <v>103</v>
      </c>
      <c r="P112" s="5" t="s">
        <v>104</v>
      </c>
      <c r="Q112" s="5">
        <v>112198576</v>
      </c>
      <c r="R112" s="5" t="s">
        <v>105</v>
      </c>
      <c r="S112" s="5" t="s">
        <v>39</v>
      </c>
      <c r="T112" s="7">
        <v>24</v>
      </c>
      <c r="U112" s="15" t="s">
        <v>103</v>
      </c>
      <c r="V112" s="16" t="s">
        <v>104</v>
      </c>
      <c r="W112" s="17">
        <v>112198576</v>
      </c>
      <c r="X112" s="16" t="s">
        <v>2524</v>
      </c>
      <c r="Y112" s="17" t="s">
        <v>2525</v>
      </c>
      <c r="Z112" s="17" t="s">
        <v>39</v>
      </c>
      <c r="AA112" s="17" t="s">
        <v>2501</v>
      </c>
      <c r="AB112" s="29">
        <v>2.15</v>
      </c>
      <c r="AC112" s="25">
        <v>2.06</v>
      </c>
      <c r="AD112" s="25">
        <f>AC112*T112</f>
        <v>49.44</v>
      </c>
      <c r="AE112" s="25">
        <f>AB112*T112</f>
        <v>51.599999999999994</v>
      </c>
      <c r="AF112" s="25">
        <f>AD112-AE112</f>
        <v>-2.1599999999999966</v>
      </c>
      <c r="AG112" s="26">
        <f>AF112/AD112</f>
        <v>-4.3689320388349447E-2</v>
      </c>
      <c r="AH112" s="27" t="str">
        <f>IF(AG112&lt;0,"Negative",IF(AG112=0,"Same",IF(AG112&gt;0.3,"30+%",IF(AG112&gt;0.2,"20-30%",IF(AG112&gt;0.1,"10-20%",IF(AG112&lt;=0.1,"0-10%"))))))</f>
        <v>Negative</v>
      </c>
      <c r="AI112" s="32"/>
      <c r="AJ112" s="36" t="s">
        <v>3300</v>
      </c>
      <c r="AK112" s="32"/>
    </row>
    <row r="113" spans="1:37" s="1" customFormat="1" ht="19.7" customHeight="1" x14ac:dyDescent="0.25">
      <c r="A113" s="9" t="s">
        <v>22</v>
      </c>
      <c r="B113" s="9" t="s">
        <v>208</v>
      </c>
      <c r="C113" s="10">
        <v>44242</v>
      </c>
      <c r="D113" s="9" t="s">
        <v>24</v>
      </c>
      <c r="E113" s="9" t="s">
        <v>25</v>
      </c>
      <c r="F113" s="9" t="s">
        <v>26</v>
      </c>
      <c r="G113" s="9" t="s">
        <v>67</v>
      </c>
      <c r="H113" s="9" t="s">
        <v>68</v>
      </c>
      <c r="I113" s="9" t="s">
        <v>29</v>
      </c>
      <c r="J113" s="9" t="s">
        <v>30</v>
      </c>
      <c r="K113" s="9" t="s">
        <v>31</v>
      </c>
      <c r="L113" s="9" t="s">
        <v>32</v>
      </c>
      <c r="M113" s="9" t="s">
        <v>101</v>
      </c>
      <c r="N113" s="9" t="s">
        <v>209</v>
      </c>
      <c r="O113" s="9" t="s">
        <v>103</v>
      </c>
      <c r="P113" s="9" t="s">
        <v>104</v>
      </c>
      <c r="Q113" s="9">
        <v>112198576</v>
      </c>
      <c r="R113" s="9" t="s">
        <v>105</v>
      </c>
      <c r="S113" s="9" t="s">
        <v>39</v>
      </c>
      <c r="T113" s="11">
        <v>24</v>
      </c>
      <c r="U113" s="15" t="s">
        <v>103</v>
      </c>
      <c r="V113" s="16" t="s">
        <v>104</v>
      </c>
      <c r="W113" s="17">
        <v>112198576</v>
      </c>
      <c r="X113" s="16" t="s">
        <v>2524</v>
      </c>
      <c r="Y113" s="17" t="s">
        <v>2525</v>
      </c>
      <c r="Z113" s="17" t="s">
        <v>39</v>
      </c>
      <c r="AA113" s="17" t="s">
        <v>2501</v>
      </c>
      <c r="AB113" s="29">
        <v>2.15</v>
      </c>
      <c r="AC113" s="25">
        <v>2.06</v>
      </c>
      <c r="AD113" s="25">
        <f>AC113*T113</f>
        <v>49.44</v>
      </c>
      <c r="AE113" s="25">
        <f>AB113*T113</f>
        <v>51.599999999999994</v>
      </c>
      <c r="AF113" s="25">
        <f>AD113-AE113</f>
        <v>-2.1599999999999966</v>
      </c>
      <c r="AG113" s="26">
        <f>AF113/AD113</f>
        <v>-4.3689320388349447E-2</v>
      </c>
      <c r="AH113" s="27" t="str">
        <f>IF(AG113&lt;0,"Negative",IF(AG113=0,"Same",IF(AG113&gt;0.3,"30+%",IF(AG113&gt;0.2,"20-30%",IF(AG113&gt;0.1,"10-20%",IF(AG113&lt;=0.1,"0-10%"))))))</f>
        <v>Negative</v>
      </c>
      <c r="AI113" s="32"/>
      <c r="AJ113" s="36" t="s">
        <v>3300</v>
      </c>
      <c r="AK113" s="32"/>
    </row>
    <row r="114" spans="1:37" s="1" customFormat="1" ht="19.7" customHeight="1" x14ac:dyDescent="0.25">
      <c r="A114" s="9" t="s">
        <v>22</v>
      </c>
      <c r="B114" s="9" t="s">
        <v>424</v>
      </c>
      <c r="C114" s="10">
        <v>44260</v>
      </c>
      <c r="D114" s="9" t="s">
        <v>24</v>
      </c>
      <c r="E114" s="9" t="s">
        <v>25</v>
      </c>
      <c r="F114" s="9" t="s">
        <v>26</v>
      </c>
      <c r="G114" s="9" t="s">
        <v>67</v>
      </c>
      <c r="H114" s="9" t="s">
        <v>68</v>
      </c>
      <c r="I114" s="9" t="s">
        <v>29</v>
      </c>
      <c r="J114" s="9" t="s">
        <v>30</v>
      </c>
      <c r="K114" s="9" t="s">
        <v>31</v>
      </c>
      <c r="L114" s="9" t="s">
        <v>32</v>
      </c>
      <c r="M114" s="9" t="s">
        <v>101</v>
      </c>
      <c r="N114" s="9" t="s">
        <v>425</v>
      </c>
      <c r="O114" s="9" t="s">
        <v>103</v>
      </c>
      <c r="P114" s="9" t="s">
        <v>104</v>
      </c>
      <c r="Q114" s="9">
        <v>112198576</v>
      </c>
      <c r="R114" s="9" t="s">
        <v>105</v>
      </c>
      <c r="S114" s="9" t="s">
        <v>39</v>
      </c>
      <c r="T114" s="11">
        <v>24</v>
      </c>
      <c r="U114" s="15" t="s">
        <v>103</v>
      </c>
      <c r="V114" s="16" t="s">
        <v>104</v>
      </c>
      <c r="W114" s="17">
        <v>112198576</v>
      </c>
      <c r="X114" s="16" t="s">
        <v>2524</v>
      </c>
      <c r="Y114" s="17" t="s">
        <v>2525</v>
      </c>
      <c r="Z114" s="17" t="s">
        <v>39</v>
      </c>
      <c r="AA114" s="17" t="s">
        <v>2501</v>
      </c>
      <c r="AB114" s="29">
        <v>2.15</v>
      </c>
      <c r="AC114" s="25">
        <v>2.06</v>
      </c>
      <c r="AD114" s="25">
        <f>AC114*T114</f>
        <v>49.44</v>
      </c>
      <c r="AE114" s="25">
        <f>AB114*T114</f>
        <v>51.599999999999994</v>
      </c>
      <c r="AF114" s="25">
        <f>AD114-AE114</f>
        <v>-2.1599999999999966</v>
      </c>
      <c r="AG114" s="26">
        <f>AF114/AD114</f>
        <v>-4.3689320388349447E-2</v>
      </c>
      <c r="AH114" s="27" t="str">
        <f>IF(AG114&lt;0,"Negative",IF(AG114=0,"Same",IF(AG114&gt;0.3,"30+%",IF(AG114&gt;0.2,"20-30%",IF(AG114&gt;0.1,"10-20%",IF(AG114&lt;=0.1,"0-10%"))))))</f>
        <v>Negative</v>
      </c>
      <c r="AI114" s="32"/>
      <c r="AJ114" s="36" t="s">
        <v>3300</v>
      </c>
      <c r="AK114" s="32"/>
    </row>
    <row r="115" spans="1:37" s="1" customFormat="1" ht="19.7" customHeight="1" x14ac:dyDescent="0.25">
      <c r="A115" s="5" t="s">
        <v>22</v>
      </c>
      <c r="B115" s="5" t="s">
        <v>618</v>
      </c>
      <c r="C115" s="6">
        <v>44281</v>
      </c>
      <c r="D115" s="5" t="s">
        <v>24</v>
      </c>
      <c r="E115" s="5" t="s">
        <v>25</v>
      </c>
      <c r="F115" s="5" t="s">
        <v>26</v>
      </c>
      <c r="G115" s="5" t="s">
        <v>67</v>
      </c>
      <c r="H115" s="5" t="s">
        <v>68</v>
      </c>
      <c r="I115" s="5" t="s">
        <v>29</v>
      </c>
      <c r="J115" s="5" t="s">
        <v>30</v>
      </c>
      <c r="K115" s="5" t="s">
        <v>31</v>
      </c>
      <c r="L115" s="5" t="s">
        <v>32</v>
      </c>
      <c r="M115" s="5" t="s">
        <v>101</v>
      </c>
      <c r="N115" s="5" t="s">
        <v>619</v>
      </c>
      <c r="O115" s="5" t="s">
        <v>103</v>
      </c>
      <c r="P115" s="5" t="s">
        <v>104</v>
      </c>
      <c r="Q115" s="5">
        <v>112198576</v>
      </c>
      <c r="R115" s="5" t="s">
        <v>105</v>
      </c>
      <c r="S115" s="5" t="s">
        <v>39</v>
      </c>
      <c r="T115" s="7">
        <v>24</v>
      </c>
      <c r="U115" s="15" t="s">
        <v>103</v>
      </c>
      <c r="V115" s="16" t="s">
        <v>104</v>
      </c>
      <c r="W115" s="17">
        <v>112198576</v>
      </c>
      <c r="X115" s="16" t="s">
        <v>2524</v>
      </c>
      <c r="Y115" s="17" t="s">
        <v>2525</v>
      </c>
      <c r="Z115" s="17" t="s">
        <v>39</v>
      </c>
      <c r="AA115" s="17" t="s">
        <v>2501</v>
      </c>
      <c r="AB115" s="29">
        <v>2.15</v>
      </c>
      <c r="AC115" s="25">
        <v>2.06</v>
      </c>
      <c r="AD115" s="25">
        <f>AC115*T115</f>
        <v>49.44</v>
      </c>
      <c r="AE115" s="25">
        <f>AB115*T115</f>
        <v>51.599999999999994</v>
      </c>
      <c r="AF115" s="25">
        <f>AD115-AE115</f>
        <v>-2.1599999999999966</v>
      </c>
      <c r="AG115" s="26">
        <f>AF115/AD115</f>
        <v>-4.3689320388349447E-2</v>
      </c>
      <c r="AH115" s="27" t="str">
        <f>IF(AG115&lt;0,"Negative",IF(AG115=0,"Same",IF(AG115&gt;0.3,"30+%",IF(AG115&gt;0.2,"20-30%",IF(AG115&gt;0.1,"10-20%",IF(AG115&lt;=0.1,"0-10%"))))))</f>
        <v>Negative</v>
      </c>
      <c r="AI115" s="32"/>
      <c r="AJ115" s="36" t="s">
        <v>3300</v>
      </c>
      <c r="AK115" s="32"/>
    </row>
    <row r="116" spans="1:37" s="1" customFormat="1" ht="19.7" customHeight="1" x14ac:dyDescent="0.25">
      <c r="A116" s="5" t="s">
        <v>22</v>
      </c>
      <c r="B116" s="5" t="s">
        <v>809</v>
      </c>
      <c r="C116" s="6">
        <v>44302</v>
      </c>
      <c r="D116" s="5" t="s">
        <v>24</v>
      </c>
      <c r="E116" s="5" t="s">
        <v>25</v>
      </c>
      <c r="F116" s="5" t="s">
        <v>26</v>
      </c>
      <c r="G116" s="5" t="s">
        <v>67</v>
      </c>
      <c r="H116" s="5" t="s">
        <v>68</v>
      </c>
      <c r="I116" s="5" t="s">
        <v>29</v>
      </c>
      <c r="J116" s="5" t="s">
        <v>30</v>
      </c>
      <c r="K116" s="5" t="s">
        <v>31</v>
      </c>
      <c r="L116" s="5" t="s">
        <v>32</v>
      </c>
      <c r="M116" s="5" t="s">
        <v>101</v>
      </c>
      <c r="N116" s="5" t="s">
        <v>810</v>
      </c>
      <c r="O116" s="5" t="s">
        <v>103</v>
      </c>
      <c r="P116" s="5" t="s">
        <v>104</v>
      </c>
      <c r="Q116" s="5">
        <v>112198576</v>
      </c>
      <c r="R116" s="5" t="s">
        <v>105</v>
      </c>
      <c r="S116" s="5" t="s">
        <v>39</v>
      </c>
      <c r="T116" s="7">
        <v>24</v>
      </c>
      <c r="U116" s="15" t="s">
        <v>103</v>
      </c>
      <c r="V116" s="16" t="s">
        <v>104</v>
      </c>
      <c r="W116" s="17">
        <v>112198576</v>
      </c>
      <c r="X116" s="16" t="s">
        <v>2524</v>
      </c>
      <c r="Y116" s="17" t="s">
        <v>2525</v>
      </c>
      <c r="Z116" s="17" t="s">
        <v>39</v>
      </c>
      <c r="AA116" s="17" t="s">
        <v>2501</v>
      </c>
      <c r="AB116" s="29">
        <v>2.15</v>
      </c>
      <c r="AC116" s="25">
        <v>2.06</v>
      </c>
      <c r="AD116" s="25">
        <f>AC116*T116</f>
        <v>49.44</v>
      </c>
      <c r="AE116" s="25">
        <f>AB116*T116</f>
        <v>51.599999999999994</v>
      </c>
      <c r="AF116" s="25">
        <f>AD116-AE116</f>
        <v>-2.1599999999999966</v>
      </c>
      <c r="AG116" s="26">
        <f>AF116/AD116</f>
        <v>-4.3689320388349447E-2</v>
      </c>
      <c r="AH116" s="27" t="str">
        <f>IF(AG116&lt;0,"Negative",IF(AG116=0,"Same",IF(AG116&gt;0.3,"30+%",IF(AG116&gt;0.2,"20-30%",IF(AG116&gt;0.1,"10-20%",IF(AG116&lt;=0.1,"0-10%"))))))</f>
        <v>Negative</v>
      </c>
      <c r="AI116" s="32"/>
      <c r="AJ116" s="36" t="s">
        <v>3300</v>
      </c>
      <c r="AK116" s="32"/>
    </row>
    <row r="117" spans="1:37" s="1" customFormat="1" ht="19.7" customHeight="1" x14ac:dyDescent="0.25">
      <c r="A117" s="9" t="s">
        <v>22</v>
      </c>
      <c r="B117" s="9" t="s">
        <v>920</v>
      </c>
      <c r="C117" s="10">
        <v>44316</v>
      </c>
      <c r="D117" s="9" t="s">
        <v>24</v>
      </c>
      <c r="E117" s="9" t="s">
        <v>25</v>
      </c>
      <c r="F117" s="9" t="s">
        <v>26</v>
      </c>
      <c r="G117" s="9" t="s">
        <v>67</v>
      </c>
      <c r="H117" s="9" t="s">
        <v>68</v>
      </c>
      <c r="I117" s="9" t="s">
        <v>29</v>
      </c>
      <c r="J117" s="9" t="s">
        <v>30</v>
      </c>
      <c r="K117" s="9" t="s">
        <v>31</v>
      </c>
      <c r="L117" s="9" t="s">
        <v>32</v>
      </c>
      <c r="M117" s="9" t="s">
        <v>101</v>
      </c>
      <c r="N117" s="9" t="s">
        <v>921</v>
      </c>
      <c r="O117" s="9" t="s">
        <v>103</v>
      </c>
      <c r="P117" s="9" t="s">
        <v>104</v>
      </c>
      <c r="Q117" s="9">
        <v>112198576</v>
      </c>
      <c r="R117" s="9" t="s">
        <v>105</v>
      </c>
      <c r="S117" s="9" t="s">
        <v>39</v>
      </c>
      <c r="T117" s="11">
        <v>24</v>
      </c>
      <c r="U117" s="15" t="s">
        <v>103</v>
      </c>
      <c r="V117" s="16" t="s">
        <v>104</v>
      </c>
      <c r="W117" s="17">
        <v>112198576</v>
      </c>
      <c r="X117" s="16" t="s">
        <v>2524</v>
      </c>
      <c r="Y117" s="17" t="s">
        <v>2525</v>
      </c>
      <c r="Z117" s="17" t="s">
        <v>39</v>
      </c>
      <c r="AA117" s="17" t="s">
        <v>2501</v>
      </c>
      <c r="AB117" s="29">
        <v>2.15</v>
      </c>
      <c r="AC117" s="25">
        <v>2.06</v>
      </c>
      <c r="AD117" s="25">
        <f>AC117*T117</f>
        <v>49.44</v>
      </c>
      <c r="AE117" s="25">
        <f>AB117*T117</f>
        <v>51.599999999999994</v>
      </c>
      <c r="AF117" s="25">
        <f>AD117-AE117</f>
        <v>-2.1599999999999966</v>
      </c>
      <c r="AG117" s="26">
        <f>AF117/AD117</f>
        <v>-4.3689320388349447E-2</v>
      </c>
      <c r="AH117" s="27" t="str">
        <f>IF(AG117&lt;0,"Negative",IF(AG117=0,"Same",IF(AG117&gt;0.3,"30+%",IF(AG117&gt;0.2,"20-30%",IF(AG117&gt;0.1,"10-20%",IF(AG117&lt;=0.1,"0-10%"))))))</f>
        <v>Negative</v>
      </c>
      <c r="AI117" s="32"/>
      <c r="AJ117" s="36" t="s">
        <v>3300</v>
      </c>
      <c r="AK117" s="32"/>
    </row>
    <row r="118" spans="1:37" s="1" customFormat="1" ht="19.7" customHeight="1" x14ac:dyDescent="0.25">
      <c r="A118" s="9" t="s">
        <v>22</v>
      </c>
      <c r="B118" s="9" t="s">
        <v>1087</v>
      </c>
      <c r="C118" s="10">
        <v>44337</v>
      </c>
      <c r="D118" s="9" t="s">
        <v>24</v>
      </c>
      <c r="E118" s="9" t="s">
        <v>25</v>
      </c>
      <c r="F118" s="9" t="s">
        <v>26</v>
      </c>
      <c r="G118" s="9" t="s">
        <v>67</v>
      </c>
      <c r="H118" s="9" t="s">
        <v>68</v>
      </c>
      <c r="I118" s="9" t="s">
        <v>29</v>
      </c>
      <c r="J118" s="9" t="s">
        <v>30</v>
      </c>
      <c r="K118" s="9" t="s">
        <v>31</v>
      </c>
      <c r="L118" s="9" t="s">
        <v>32</v>
      </c>
      <c r="M118" s="9" t="s">
        <v>101</v>
      </c>
      <c r="N118" s="9" t="s">
        <v>1088</v>
      </c>
      <c r="O118" s="9" t="s">
        <v>103</v>
      </c>
      <c r="P118" s="9" t="s">
        <v>104</v>
      </c>
      <c r="Q118" s="9">
        <v>112198576</v>
      </c>
      <c r="R118" s="9" t="s">
        <v>105</v>
      </c>
      <c r="S118" s="9" t="s">
        <v>39</v>
      </c>
      <c r="T118" s="11">
        <v>24</v>
      </c>
      <c r="U118" s="15" t="s">
        <v>103</v>
      </c>
      <c r="V118" s="16" t="s">
        <v>104</v>
      </c>
      <c r="W118" s="17">
        <v>112198576</v>
      </c>
      <c r="X118" s="16" t="s">
        <v>2524</v>
      </c>
      <c r="Y118" s="17" t="s">
        <v>2525</v>
      </c>
      <c r="Z118" s="17" t="s">
        <v>39</v>
      </c>
      <c r="AA118" s="17" t="s">
        <v>2501</v>
      </c>
      <c r="AB118" s="29">
        <v>2.15</v>
      </c>
      <c r="AC118" s="25">
        <v>2.06</v>
      </c>
      <c r="AD118" s="25">
        <f>AC118*T118</f>
        <v>49.44</v>
      </c>
      <c r="AE118" s="25">
        <f>AB118*T118</f>
        <v>51.599999999999994</v>
      </c>
      <c r="AF118" s="25">
        <f>AD118-AE118</f>
        <v>-2.1599999999999966</v>
      </c>
      <c r="AG118" s="26">
        <f>AF118/AD118</f>
        <v>-4.3689320388349447E-2</v>
      </c>
      <c r="AH118" s="27" t="str">
        <f>IF(AG118&lt;0,"Negative",IF(AG118=0,"Same",IF(AG118&gt;0.3,"30+%",IF(AG118&gt;0.2,"20-30%",IF(AG118&gt;0.1,"10-20%",IF(AG118&lt;=0.1,"0-10%"))))))</f>
        <v>Negative</v>
      </c>
      <c r="AI118" s="32"/>
      <c r="AJ118" s="36" t="s">
        <v>3300</v>
      </c>
      <c r="AK118" s="32"/>
    </row>
    <row r="119" spans="1:37" s="1" customFormat="1" ht="19.7" customHeight="1" x14ac:dyDescent="0.25">
      <c r="A119" s="5" t="s">
        <v>22</v>
      </c>
      <c r="B119" s="5" t="s">
        <v>1216</v>
      </c>
      <c r="C119" s="6">
        <v>44361</v>
      </c>
      <c r="D119" s="5" t="s">
        <v>24</v>
      </c>
      <c r="E119" s="5" t="s">
        <v>25</v>
      </c>
      <c r="F119" s="5" t="s">
        <v>26</v>
      </c>
      <c r="G119" s="5" t="s">
        <v>67</v>
      </c>
      <c r="H119" s="5" t="s">
        <v>68</v>
      </c>
      <c r="I119" s="5" t="s">
        <v>29</v>
      </c>
      <c r="J119" s="5" t="s">
        <v>30</v>
      </c>
      <c r="K119" s="5" t="s">
        <v>31</v>
      </c>
      <c r="L119" s="5" t="s">
        <v>32</v>
      </c>
      <c r="M119" s="5" t="s">
        <v>101</v>
      </c>
      <c r="N119" s="5" t="s">
        <v>1217</v>
      </c>
      <c r="O119" s="5" t="s">
        <v>103</v>
      </c>
      <c r="P119" s="5" t="s">
        <v>104</v>
      </c>
      <c r="Q119" s="5">
        <v>112198576</v>
      </c>
      <c r="R119" s="5" t="s">
        <v>105</v>
      </c>
      <c r="S119" s="5" t="s">
        <v>39</v>
      </c>
      <c r="T119" s="7">
        <v>24</v>
      </c>
      <c r="U119" s="15" t="s">
        <v>103</v>
      </c>
      <c r="V119" s="16" t="s">
        <v>104</v>
      </c>
      <c r="W119" s="17">
        <v>112198576</v>
      </c>
      <c r="X119" s="16" t="s">
        <v>2524</v>
      </c>
      <c r="Y119" s="17" t="s">
        <v>2525</v>
      </c>
      <c r="Z119" s="17" t="s">
        <v>39</v>
      </c>
      <c r="AA119" s="17" t="s">
        <v>2501</v>
      </c>
      <c r="AB119" s="29">
        <v>2.15</v>
      </c>
      <c r="AC119" s="25">
        <v>2.06</v>
      </c>
      <c r="AD119" s="25">
        <f>AC119*T119</f>
        <v>49.44</v>
      </c>
      <c r="AE119" s="25">
        <f>AB119*T119</f>
        <v>51.599999999999994</v>
      </c>
      <c r="AF119" s="25">
        <f>AD119-AE119</f>
        <v>-2.1599999999999966</v>
      </c>
      <c r="AG119" s="26">
        <f>AF119/AD119</f>
        <v>-4.3689320388349447E-2</v>
      </c>
      <c r="AH119" s="27" t="str">
        <f>IF(AG119&lt;0,"Negative",IF(AG119=0,"Same",IF(AG119&gt;0.3,"30+%",IF(AG119&gt;0.2,"20-30%",IF(AG119&gt;0.1,"10-20%",IF(AG119&lt;=0.1,"0-10%"))))))</f>
        <v>Negative</v>
      </c>
      <c r="AI119" s="32"/>
      <c r="AJ119" s="36" t="s">
        <v>3300</v>
      </c>
      <c r="AK119" s="32"/>
    </row>
    <row r="120" spans="1:37" s="1" customFormat="1" ht="19.7" customHeight="1" x14ac:dyDescent="0.25">
      <c r="A120" s="9" t="s">
        <v>22</v>
      </c>
      <c r="B120" s="9" t="s">
        <v>1533</v>
      </c>
      <c r="C120" s="10">
        <v>44407</v>
      </c>
      <c r="D120" s="9" t="s">
        <v>24</v>
      </c>
      <c r="E120" s="9" t="s">
        <v>25</v>
      </c>
      <c r="F120" s="9" t="s">
        <v>26</v>
      </c>
      <c r="G120" s="9" t="s">
        <v>67</v>
      </c>
      <c r="H120" s="9" t="s">
        <v>68</v>
      </c>
      <c r="I120" s="9" t="s">
        <v>29</v>
      </c>
      <c r="J120" s="9" t="s">
        <v>30</v>
      </c>
      <c r="K120" s="9" t="s">
        <v>31</v>
      </c>
      <c r="L120" s="9" t="s">
        <v>32</v>
      </c>
      <c r="M120" s="9" t="s">
        <v>101</v>
      </c>
      <c r="N120" s="9" t="s">
        <v>1534</v>
      </c>
      <c r="O120" s="9" t="s">
        <v>103</v>
      </c>
      <c r="P120" s="9" t="s">
        <v>104</v>
      </c>
      <c r="Q120" s="9">
        <v>112198576</v>
      </c>
      <c r="R120" s="9" t="s">
        <v>105</v>
      </c>
      <c r="S120" s="9" t="s">
        <v>39</v>
      </c>
      <c r="T120" s="11">
        <v>24</v>
      </c>
      <c r="U120" s="15" t="s">
        <v>103</v>
      </c>
      <c r="V120" s="16" t="s">
        <v>104</v>
      </c>
      <c r="W120" s="17">
        <v>112198576</v>
      </c>
      <c r="X120" s="16" t="s">
        <v>2524</v>
      </c>
      <c r="Y120" s="17" t="s">
        <v>2525</v>
      </c>
      <c r="Z120" s="17" t="s">
        <v>39</v>
      </c>
      <c r="AA120" s="17" t="s">
        <v>2501</v>
      </c>
      <c r="AB120" s="29">
        <v>2.15</v>
      </c>
      <c r="AC120" s="25">
        <v>2.06</v>
      </c>
      <c r="AD120" s="25">
        <f>AC120*T120</f>
        <v>49.44</v>
      </c>
      <c r="AE120" s="25">
        <f>AB120*T120</f>
        <v>51.599999999999994</v>
      </c>
      <c r="AF120" s="25">
        <f>AD120-AE120</f>
        <v>-2.1599999999999966</v>
      </c>
      <c r="AG120" s="26">
        <f>AF120/AD120</f>
        <v>-4.3689320388349447E-2</v>
      </c>
      <c r="AH120" s="27" t="str">
        <f>IF(AG120&lt;0,"Negative",IF(AG120=0,"Same",IF(AG120&gt;0.3,"30+%",IF(AG120&gt;0.2,"20-30%",IF(AG120&gt;0.1,"10-20%",IF(AG120&lt;=0.1,"0-10%"))))))</f>
        <v>Negative</v>
      </c>
      <c r="AI120" s="32"/>
      <c r="AJ120" s="36" t="s">
        <v>3300</v>
      </c>
      <c r="AK120" s="32"/>
    </row>
    <row r="121" spans="1:37" s="1" customFormat="1" ht="19.7" customHeight="1" x14ac:dyDescent="0.25">
      <c r="A121" s="5" t="s">
        <v>22</v>
      </c>
      <c r="B121" s="5" t="s">
        <v>1589</v>
      </c>
      <c r="C121" s="6">
        <v>44421</v>
      </c>
      <c r="D121" s="5" t="s">
        <v>24</v>
      </c>
      <c r="E121" s="5" t="s">
        <v>25</v>
      </c>
      <c r="F121" s="5" t="s">
        <v>26</v>
      </c>
      <c r="G121" s="5" t="s">
        <v>67</v>
      </c>
      <c r="H121" s="5" t="s">
        <v>68</v>
      </c>
      <c r="I121" s="5" t="s">
        <v>29</v>
      </c>
      <c r="J121" s="5" t="s">
        <v>30</v>
      </c>
      <c r="K121" s="5" t="s">
        <v>31</v>
      </c>
      <c r="L121" s="5" t="s">
        <v>32</v>
      </c>
      <c r="M121" s="5" t="s">
        <v>101</v>
      </c>
      <c r="N121" s="5" t="s">
        <v>1590</v>
      </c>
      <c r="O121" s="5" t="s">
        <v>103</v>
      </c>
      <c r="P121" s="5" t="s">
        <v>104</v>
      </c>
      <c r="Q121" s="5">
        <v>112198576</v>
      </c>
      <c r="R121" s="5" t="s">
        <v>105</v>
      </c>
      <c r="S121" s="5" t="s">
        <v>39</v>
      </c>
      <c r="T121" s="7">
        <v>24</v>
      </c>
      <c r="U121" s="15" t="s">
        <v>103</v>
      </c>
      <c r="V121" s="16" t="s">
        <v>104</v>
      </c>
      <c r="W121" s="17">
        <v>112198576</v>
      </c>
      <c r="X121" s="16" t="s">
        <v>2524</v>
      </c>
      <c r="Y121" s="17" t="s">
        <v>2525</v>
      </c>
      <c r="Z121" s="17" t="s">
        <v>39</v>
      </c>
      <c r="AA121" s="17" t="s">
        <v>2501</v>
      </c>
      <c r="AB121" s="29">
        <v>2.15</v>
      </c>
      <c r="AC121" s="25">
        <v>2.06</v>
      </c>
      <c r="AD121" s="25">
        <f>AC121*T121</f>
        <v>49.44</v>
      </c>
      <c r="AE121" s="25">
        <f>AB121*T121</f>
        <v>51.599999999999994</v>
      </c>
      <c r="AF121" s="25">
        <f>AD121-AE121</f>
        <v>-2.1599999999999966</v>
      </c>
      <c r="AG121" s="26">
        <f>AF121/AD121</f>
        <v>-4.3689320388349447E-2</v>
      </c>
      <c r="AH121" s="27" t="str">
        <f>IF(AG121&lt;0,"Negative",IF(AG121=0,"Same",IF(AG121&gt;0.3,"30+%",IF(AG121&gt;0.2,"20-30%",IF(AG121&gt;0.1,"10-20%",IF(AG121&lt;=0.1,"0-10%"))))))</f>
        <v>Negative</v>
      </c>
      <c r="AI121" s="32"/>
      <c r="AJ121" s="36" t="s">
        <v>3300</v>
      </c>
      <c r="AK121" s="32"/>
    </row>
    <row r="122" spans="1:37" s="1" customFormat="1" ht="19.7" customHeight="1" x14ac:dyDescent="0.25">
      <c r="A122" s="5" t="s">
        <v>22</v>
      </c>
      <c r="B122" s="5" t="s">
        <v>1671</v>
      </c>
      <c r="C122" s="6">
        <v>44435</v>
      </c>
      <c r="D122" s="5" t="s">
        <v>24</v>
      </c>
      <c r="E122" s="5" t="s">
        <v>25</v>
      </c>
      <c r="F122" s="5" t="s">
        <v>26</v>
      </c>
      <c r="G122" s="5" t="s">
        <v>67</v>
      </c>
      <c r="H122" s="5" t="s">
        <v>68</v>
      </c>
      <c r="I122" s="5" t="s">
        <v>29</v>
      </c>
      <c r="J122" s="5" t="s">
        <v>30</v>
      </c>
      <c r="K122" s="5" t="s">
        <v>31</v>
      </c>
      <c r="L122" s="5" t="s">
        <v>32</v>
      </c>
      <c r="M122" s="5" t="s">
        <v>101</v>
      </c>
      <c r="N122" s="5" t="s">
        <v>1672</v>
      </c>
      <c r="O122" s="5" t="s">
        <v>103</v>
      </c>
      <c r="P122" s="5" t="s">
        <v>104</v>
      </c>
      <c r="Q122" s="5">
        <v>112198576</v>
      </c>
      <c r="R122" s="5" t="s">
        <v>105</v>
      </c>
      <c r="S122" s="5" t="s">
        <v>39</v>
      </c>
      <c r="T122" s="7">
        <v>24</v>
      </c>
      <c r="U122" s="15" t="s">
        <v>103</v>
      </c>
      <c r="V122" s="16" t="s">
        <v>104</v>
      </c>
      <c r="W122" s="17">
        <v>112198576</v>
      </c>
      <c r="X122" s="16" t="s">
        <v>2524</v>
      </c>
      <c r="Y122" s="17" t="s">
        <v>2525</v>
      </c>
      <c r="Z122" s="17" t="s">
        <v>39</v>
      </c>
      <c r="AA122" s="17" t="s">
        <v>2501</v>
      </c>
      <c r="AB122" s="29">
        <v>2.15</v>
      </c>
      <c r="AC122" s="25">
        <v>2.06</v>
      </c>
      <c r="AD122" s="25">
        <f>AC122*T122</f>
        <v>49.44</v>
      </c>
      <c r="AE122" s="25">
        <f>AB122*T122</f>
        <v>51.599999999999994</v>
      </c>
      <c r="AF122" s="25">
        <f>AD122-AE122</f>
        <v>-2.1599999999999966</v>
      </c>
      <c r="AG122" s="26">
        <f>AF122/AD122</f>
        <v>-4.3689320388349447E-2</v>
      </c>
      <c r="AH122" s="27" t="str">
        <f>IF(AG122&lt;0,"Negative",IF(AG122=0,"Same",IF(AG122&gt;0.3,"30+%",IF(AG122&gt;0.2,"20-30%",IF(AG122&gt;0.1,"10-20%",IF(AG122&lt;=0.1,"0-10%"))))))</f>
        <v>Negative</v>
      </c>
      <c r="AI122" s="32"/>
      <c r="AJ122" s="36" t="s">
        <v>3300</v>
      </c>
      <c r="AK122" s="32"/>
    </row>
    <row r="123" spans="1:37" s="1" customFormat="1" ht="19.7" customHeight="1" x14ac:dyDescent="0.25">
      <c r="A123" s="9" t="s">
        <v>22</v>
      </c>
      <c r="B123" s="9" t="s">
        <v>318</v>
      </c>
      <c r="C123" s="10">
        <v>44250</v>
      </c>
      <c r="D123" s="9" t="s">
        <v>24</v>
      </c>
      <c r="E123" s="9" t="s">
        <v>25</v>
      </c>
      <c r="F123" s="9" t="s">
        <v>26</v>
      </c>
      <c r="G123" s="9" t="s">
        <v>27</v>
      </c>
      <c r="H123" s="9" t="s">
        <v>28</v>
      </c>
      <c r="I123" s="9" t="s">
        <v>29</v>
      </c>
      <c r="J123" s="9" t="s">
        <v>30</v>
      </c>
      <c r="K123" s="9" t="s">
        <v>31</v>
      </c>
      <c r="L123" s="9" t="s">
        <v>32</v>
      </c>
      <c r="M123" s="9" t="s">
        <v>101</v>
      </c>
      <c r="N123" s="9" t="s">
        <v>251</v>
      </c>
      <c r="O123" s="9" t="s">
        <v>103</v>
      </c>
      <c r="P123" s="9" t="s">
        <v>104</v>
      </c>
      <c r="Q123" s="9">
        <v>112198576</v>
      </c>
      <c r="R123" s="9" t="s">
        <v>105</v>
      </c>
      <c r="S123" s="9" t="s">
        <v>39</v>
      </c>
      <c r="T123" s="11">
        <v>24</v>
      </c>
      <c r="U123" s="15" t="s">
        <v>103</v>
      </c>
      <c r="V123" s="16" t="s">
        <v>104</v>
      </c>
      <c r="W123" s="17">
        <v>112198576</v>
      </c>
      <c r="X123" s="16" t="s">
        <v>2524</v>
      </c>
      <c r="Y123" s="17" t="s">
        <v>2525</v>
      </c>
      <c r="Z123" s="17" t="s">
        <v>39</v>
      </c>
      <c r="AA123" s="17" t="s">
        <v>2501</v>
      </c>
      <c r="AB123" s="29">
        <v>2.15</v>
      </c>
      <c r="AC123" s="25">
        <v>2.06</v>
      </c>
      <c r="AD123" s="25">
        <f>AC123*T123</f>
        <v>49.44</v>
      </c>
      <c r="AE123" s="25">
        <f>AB123*T123</f>
        <v>51.599999999999994</v>
      </c>
      <c r="AF123" s="25">
        <f>AD123-AE123</f>
        <v>-2.1599999999999966</v>
      </c>
      <c r="AG123" s="26">
        <f>AF123/AD123</f>
        <v>-4.3689320388349447E-2</v>
      </c>
      <c r="AH123" s="27" t="str">
        <f>IF(AG123&lt;0,"Negative",IF(AG123=0,"Same",IF(AG123&gt;0.3,"30+%",IF(AG123&gt;0.2,"20-30%",IF(AG123&gt;0.1,"10-20%",IF(AG123&lt;=0.1,"0-10%"))))))</f>
        <v>Negative</v>
      </c>
      <c r="AI123" s="32"/>
      <c r="AJ123" s="36" t="s">
        <v>3300</v>
      </c>
      <c r="AK123" s="32"/>
    </row>
    <row r="124" spans="1:37" s="1" customFormat="1" ht="19.7" customHeight="1" x14ac:dyDescent="0.25">
      <c r="A124" s="9" t="s">
        <v>22</v>
      </c>
      <c r="B124" s="9" t="s">
        <v>996</v>
      </c>
      <c r="C124" s="10">
        <v>44323</v>
      </c>
      <c r="D124" s="9" t="s">
        <v>24</v>
      </c>
      <c r="E124" s="9" t="s">
        <v>25</v>
      </c>
      <c r="F124" s="9" t="s">
        <v>26</v>
      </c>
      <c r="G124" s="9" t="s">
        <v>67</v>
      </c>
      <c r="H124" s="9" t="s">
        <v>68</v>
      </c>
      <c r="I124" s="9" t="s">
        <v>29</v>
      </c>
      <c r="J124" s="9" t="s">
        <v>30</v>
      </c>
      <c r="K124" s="9" t="s">
        <v>31</v>
      </c>
      <c r="L124" s="9" t="s">
        <v>32</v>
      </c>
      <c r="M124" s="9" t="s">
        <v>101</v>
      </c>
      <c r="N124" s="9" t="s">
        <v>995</v>
      </c>
      <c r="O124" s="9" t="s">
        <v>103</v>
      </c>
      <c r="P124" s="9" t="s">
        <v>104</v>
      </c>
      <c r="Q124" s="9">
        <v>112198576</v>
      </c>
      <c r="R124" s="9" t="s">
        <v>105</v>
      </c>
      <c r="S124" s="9" t="s">
        <v>39</v>
      </c>
      <c r="T124" s="11">
        <v>24</v>
      </c>
      <c r="U124" s="15" t="s">
        <v>103</v>
      </c>
      <c r="V124" s="16" t="s">
        <v>104</v>
      </c>
      <c r="W124" s="17">
        <v>112198576</v>
      </c>
      <c r="X124" s="16" t="s">
        <v>2524</v>
      </c>
      <c r="Y124" s="17" t="s">
        <v>2525</v>
      </c>
      <c r="Z124" s="17" t="s">
        <v>39</v>
      </c>
      <c r="AA124" s="17" t="s">
        <v>2501</v>
      </c>
      <c r="AB124" s="29">
        <v>2.15</v>
      </c>
      <c r="AC124" s="25">
        <v>2.06</v>
      </c>
      <c r="AD124" s="25">
        <f>AC124*T124</f>
        <v>49.44</v>
      </c>
      <c r="AE124" s="25">
        <f>AB124*T124</f>
        <v>51.599999999999994</v>
      </c>
      <c r="AF124" s="25">
        <f>AD124-AE124</f>
        <v>-2.1599999999999966</v>
      </c>
      <c r="AG124" s="26">
        <f>AF124/AD124</f>
        <v>-4.3689320388349447E-2</v>
      </c>
      <c r="AH124" s="27" t="str">
        <f>IF(AG124&lt;0,"Negative",IF(AG124=0,"Same",IF(AG124&gt;0.3,"30+%",IF(AG124&gt;0.2,"20-30%",IF(AG124&gt;0.1,"10-20%",IF(AG124&lt;=0.1,"0-10%"))))))</f>
        <v>Negative</v>
      </c>
      <c r="AI124" s="32"/>
      <c r="AJ124" s="36" t="s">
        <v>3300</v>
      </c>
      <c r="AK124" s="32"/>
    </row>
    <row r="125" spans="1:37" s="1" customFormat="1" ht="19.7" customHeight="1" x14ac:dyDescent="0.25">
      <c r="A125" s="5" t="s">
        <v>22</v>
      </c>
      <c r="B125" s="5" t="s">
        <v>1477</v>
      </c>
      <c r="C125" s="6">
        <v>44403</v>
      </c>
      <c r="D125" s="5" t="s">
        <v>24</v>
      </c>
      <c r="E125" s="5" t="s">
        <v>25</v>
      </c>
      <c r="F125" s="5" t="s">
        <v>26</v>
      </c>
      <c r="G125" s="5" t="s">
        <v>67</v>
      </c>
      <c r="H125" s="5" t="s">
        <v>68</v>
      </c>
      <c r="I125" s="5" t="s">
        <v>29</v>
      </c>
      <c r="J125" s="5" t="s">
        <v>30</v>
      </c>
      <c r="K125" s="5" t="s">
        <v>31</v>
      </c>
      <c r="L125" s="5" t="s">
        <v>32</v>
      </c>
      <c r="M125" s="5" t="s">
        <v>101</v>
      </c>
      <c r="N125" s="5" t="s">
        <v>1478</v>
      </c>
      <c r="O125" s="5" t="s">
        <v>103</v>
      </c>
      <c r="P125" s="5" t="s">
        <v>104</v>
      </c>
      <c r="Q125" s="5">
        <v>112198576</v>
      </c>
      <c r="R125" s="5" t="s">
        <v>105</v>
      </c>
      <c r="S125" s="5" t="s">
        <v>39</v>
      </c>
      <c r="T125" s="7">
        <v>24</v>
      </c>
      <c r="U125" s="15" t="s">
        <v>103</v>
      </c>
      <c r="V125" s="16" t="s">
        <v>104</v>
      </c>
      <c r="W125" s="17">
        <v>112198576</v>
      </c>
      <c r="X125" s="16" t="s">
        <v>2524</v>
      </c>
      <c r="Y125" s="17" t="s">
        <v>2525</v>
      </c>
      <c r="Z125" s="17" t="s">
        <v>39</v>
      </c>
      <c r="AA125" s="17" t="s">
        <v>2501</v>
      </c>
      <c r="AB125" s="29">
        <v>2.15</v>
      </c>
      <c r="AC125" s="25">
        <v>2.06</v>
      </c>
      <c r="AD125" s="25">
        <f>AC125*T125</f>
        <v>49.44</v>
      </c>
      <c r="AE125" s="25">
        <f>AB125*T125</f>
        <v>51.599999999999994</v>
      </c>
      <c r="AF125" s="25">
        <f>AD125-AE125</f>
        <v>-2.1599999999999966</v>
      </c>
      <c r="AG125" s="26">
        <f>AF125/AD125</f>
        <v>-4.3689320388349447E-2</v>
      </c>
      <c r="AH125" s="27" t="str">
        <f>IF(AG125&lt;0,"Negative",IF(AG125=0,"Same",IF(AG125&gt;0.3,"30+%",IF(AG125&gt;0.2,"20-30%",IF(AG125&gt;0.1,"10-20%",IF(AG125&lt;=0.1,"0-10%"))))))</f>
        <v>Negative</v>
      </c>
      <c r="AI125" s="32"/>
      <c r="AJ125" s="36" t="s">
        <v>3300</v>
      </c>
      <c r="AK125" s="32"/>
    </row>
    <row r="126" spans="1:37" s="1" customFormat="1" ht="19.7" customHeight="1" x14ac:dyDescent="0.25">
      <c r="A126" s="9" t="s">
        <v>22</v>
      </c>
      <c r="B126" s="9" t="s">
        <v>1479</v>
      </c>
      <c r="C126" s="10">
        <v>44403</v>
      </c>
      <c r="D126" s="9" t="s">
        <v>24</v>
      </c>
      <c r="E126" s="9" t="s">
        <v>25</v>
      </c>
      <c r="F126" s="9" t="s">
        <v>26</v>
      </c>
      <c r="G126" s="9" t="s">
        <v>67</v>
      </c>
      <c r="H126" s="9" t="s">
        <v>68</v>
      </c>
      <c r="I126" s="9" t="s">
        <v>29</v>
      </c>
      <c r="J126" s="9" t="s">
        <v>30</v>
      </c>
      <c r="K126" s="9" t="s">
        <v>31</v>
      </c>
      <c r="L126" s="9" t="s">
        <v>32</v>
      </c>
      <c r="M126" s="9" t="s">
        <v>101</v>
      </c>
      <c r="N126" s="9" t="s">
        <v>1480</v>
      </c>
      <c r="O126" s="9" t="s">
        <v>103</v>
      </c>
      <c r="P126" s="9" t="s">
        <v>104</v>
      </c>
      <c r="Q126" s="9">
        <v>112198576</v>
      </c>
      <c r="R126" s="9" t="s">
        <v>105</v>
      </c>
      <c r="S126" s="9" t="s">
        <v>39</v>
      </c>
      <c r="T126" s="11">
        <v>24</v>
      </c>
      <c r="U126" s="15" t="s">
        <v>103</v>
      </c>
      <c r="V126" s="16" t="s">
        <v>104</v>
      </c>
      <c r="W126" s="17">
        <v>112198576</v>
      </c>
      <c r="X126" s="16" t="s">
        <v>2524</v>
      </c>
      <c r="Y126" s="17" t="s">
        <v>2525</v>
      </c>
      <c r="Z126" s="17" t="s">
        <v>39</v>
      </c>
      <c r="AA126" s="17" t="s">
        <v>2501</v>
      </c>
      <c r="AB126" s="29">
        <v>2.15</v>
      </c>
      <c r="AC126" s="25">
        <v>2.06</v>
      </c>
      <c r="AD126" s="25">
        <f>AC126*T126</f>
        <v>49.44</v>
      </c>
      <c r="AE126" s="25">
        <f>AB126*T126</f>
        <v>51.599999999999994</v>
      </c>
      <c r="AF126" s="25">
        <f>AD126-AE126</f>
        <v>-2.1599999999999966</v>
      </c>
      <c r="AG126" s="26">
        <f>AF126/AD126</f>
        <v>-4.3689320388349447E-2</v>
      </c>
      <c r="AH126" s="27" t="str">
        <f>IF(AG126&lt;0,"Negative",IF(AG126=0,"Same",IF(AG126&gt;0.3,"30+%",IF(AG126&gt;0.2,"20-30%",IF(AG126&gt;0.1,"10-20%",IF(AG126&lt;=0.1,"0-10%"))))))</f>
        <v>Negative</v>
      </c>
      <c r="AI126" s="32"/>
      <c r="AJ126" s="36" t="s">
        <v>3300</v>
      </c>
      <c r="AK126" s="32"/>
    </row>
    <row r="127" spans="1:37" s="1" customFormat="1" ht="19.7" customHeight="1" x14ac:dyDescent="0.25">
      <c r="A127" s="5" t="s">
        <v>22</v>
      </c>
      <c r="B127" s="5" t="s">
        <v>1751</v>
      </c>
      <c r="C127" s="6">
        <v>44452</v>
      </c>
      <c r="D127" s="5" t="s">
        <v>24</v>
      </c>
      <c r="E127" s="5" t="s">
        <v>25</v>
      </c>
      <c r="F127" s="5" t="s">
        <v>26</v>
      </c>
      <c r="G127" s="5" t="s">
        <v>67</v>
      </c>
      <c r="H127" s="5" t="s">
        <v>68</v>
      </c>
      <c r="I127" s="5" t="s">
        <v>29</v>
      </c>
      <c r="J127" s="5" t="s">
        <v>30</v>
      </c>
      <c r="K127" s="5" t="s">
        <v>31</v>
      </c>
      <c r="L127" s="5" t="s">
        <v>32</v>
      </c>
      <c r="M127" s="5" t="s">
        <v>101</v>
      </c>
      <c r="N127" s="5" t="s">
        <v>1752</v>
      </c>
      <c r="O127" s="5" t="s">
        <v>103</v>
      </c>
      <c r="P127" s="5" t="s">
        <v>104</v>
      </c>
      <c r="Q127" s="5">
        <v>112198576</v>
      </c>
      <c r="R127" s="5" t="s">
        <v>105</v>
      </c>
      <c r="S127" s="5" t="s">
        <v>39</v>
      </c>
      <c r="T127" s="7">
        <v>24</v>
      </c>
      <c r="U127" s="15" t="s">
        <v>103</v>
      </c>
      <c r="V127" s="16" t="s">
        <v>104</v>
      </c>
      <c r="W127" s="17">
        <v>112198576</v>
      </c>
      <c r="X127" s="16" t="s">
        <v>2524</v>
      </c>
      <c r="Y127" s="17" t="s">
        <v>2525</v>
      </c>
      <c r="Z127" s="17" t="s">
        <v>39</v>
      </c>
      <c r="AA127" s="17" t="s">
        <v>2501</v>
      </c>
      <c r="AB127" s="29">
        <v>2.15</v>
      </c>
      <c r="AC127" s="25">
        <v>2.06</v>
      </c>
      <c r="AD127" s="25">
        <f>AC127*T127</f>
        <v>49.44</v>
      </c>
      <c r="AE127" s="25">
        <f>AB127*T127</f>
        <v>51.599999999999994</v>
      </c>
      <c r="AF127" s="25">
        <f>AD127-AE127</f>
        <v>-2.1599999999999966</v>
      </c>
      <c r="AG127" s="26">
        <f>AF127/AD127</f>
        <v>-4.3689320388349447E-2</v>
      </c>
      <c r="AH127" s="27" t="str">
        <f>IF(AG127&lt;0,"Negative",IF(AG127=0,"Same",IF(AG127&gt;0.3,"30+%",IF(AG127&gt;0.2,"20-30%",IF(AG127&gt;0.1,"10-20%",IF(AG127&lt;=0.1,"0-10%"))))))</f>
        <v>Negative</v>
      </c>
      <c r="AI127" s="32"/>
      <c r="AJ127" s="36" t="s">
        <v>3300</v>
      </c>
      <c r="AK127" s="32"/>
    </row>
    <row r="128" spans="1:37" s="1" customFormat="1" ht="19.7" customHeight="1" x14ac:dyDescent="0.25">
      <c r="A128" s="5" t="s">
        <v>22</v>
      </c>
      <c r="B128" s="5" t="s">
        <v>1591</v>
      </c>
      <c r="C128" s="6">
        <v>44421</v>
      </c>
      <c r="D128" s="5" t="s">
        <v>24</v>
      </c>
      <c r="E128" s="5" t="s">
        <v>25</v>
      </c>
      <c r="F128" s="5" t="s">
        <v>26</v>
      </c>
      <c r="G128" s="5" t="s">
        <v>67</v>
      </c>
      <c r="H128" s="5" t="s">
        <v>68</v>
      </c>
      <c r="I128" s="5" t="s">
        <v>29</v>
      </c>
      <c r="J128" s="5" t="s">
        <v>30</v>
      </c>
      <c r="K128" s="5" t="s">
        <v>31</v>
      </c>
      <c r="L128" s="5" t="s">
        <v>32</v>
      </c>
      <c r="M128" s="5" t="s">
        <v>101</v>
      </c>
      <c r="N128" s="5" t="s">
        <v>1592</v>
      </c>
      <c r="O128" s="5" t="s">
        <v>103</v>
      </c>
      <c r="P128" s="5" t="s">
        <v>104</v>
      </c>
      <c r="Q128" s="5">
        <v>112198576</v>
      </c>
      <c r="R128" s="5" t="s">
        <v>105</v>
      </c>
      <c r="S128" s="5" t="s">
        <v>39</v>
      </c>
      <c r="T128" s="7">
        <v>12</v>
      </c>
      <c r="U128" s="15" t="s">
        <v>103</v>
      </c>
      <c r="V128" s="16" t="s">
        <v>104</v>
      </c>
      <c r="W128" s="17">
        <v>112198576</v>
      </c>
      <c r="X128" s="16" t="s">
        <v>2524</v>
      </c>
      <c r="Y128" s="17" t="s">
        <v>2525</v>
      </c>
      <c r="Z128" s="17" t="s">
        <v>39</v>
      </c>
      <c r="AA128" s="17" t="s">
        <v>2501</v>
      </c>
      <c r="AB128" s="29">
        <v>2.15</v>
      </c>
      <c r="AC128" s="25">
        <v>2.06</v>
      </c>
      <c r="AD128" s="25">
        <f>AC128*T128</f>
        <v>24.72</v>
      </c>
      <c r="AE128" s="25">
        <f>AB128*T128</f>
        <v>25.799999999999997</v>
      </c>
      <c r="AF128" s="25">
        <f>AD128-AE128</f>
        <v>-1.0799999999999983</v>
      </c>
      <c r="AG128" s="26">
        <f>AF128/AD128</f>
        <v>-4.3689320388349447E-2</v>
      </c>
      <c r="AH128" s="27" t="str">
        <f>IF(AG128&lt;0,"Negative",IF(AG128=0,"Same",IF(AG128&gt;0.3,"30+%",IF(AG128&gt;0.2,"20-30%",IF(AG128&gt;0.1,"10-20%",IF(AG128&lt;=0.1,"0-10%"))))))</f>
        <v>Negative</v>
      </c>
      <c r="AI128" s="32"/>
      <c r="AJ128" s="36" t="s">
        <v>3300</v>
      </c>
      <c r="AK128" s="32"/>
    </row>
    <row r="129" spans="1:37" s="1" customFormat="1" ht="19.7" customHeight="1" x14ac:dyDescent="0.25">
      <c r="A129" s="5" t="s">
        <v>22</v>
      </c>
      <c r="B129" s="5" t="s">
        <v>1390</v>
      </c>
      <c r="C129" s="6">
        <v>44389</v>
      </c>
      <c r="D129" s="5" t="s">
        <v>24</v>
      </c>
      <c r="E129" s="5" t="s">
        <v>25</v>
      </c>
      <c r="F129" s="5" t="s">
        <v>26</v>
      </c>
      <c r="G129" s="5" t="s">
        <v>67</v>
      </c>
      <c r="H129" s="5" t="s">
        <v>68</v>
      </c>
      <c r="I129" s="5" t="s">
        <v>29</v>
      </c>
      <c r="J129" s="5" t="s">
        <v>30</v>
      </c>
      <c r="K129" s="5" t="s">
        <v>31</v>
      </c>
      <c r="L129" s="5" t="s">
        <v>32</v>
      </c>
      <c r="M129" s="5" t="s">
        <v>101</v>
      </c>
      <c r="N129" s="5" t="s">
        <v>1391</v>
      </c>
      <c r="O129" s="5" t="s">
        <v>103</v>
      </c>
      <c r="P129" s="5" t="s">
        <v>104</v>
      </c>
      <c r="Q129" s="5">
        <v>112198576</v>
      </c>
      <c r="R129" s="5" t="s">
        <v>105</v>
      </c>
      <c r="S129" s="5" t="s">
        <v>39</v>
      </c>
      <c r="T129" s="7">
        <v>12</v>
      </c>
      <c r="U129" s="15" t="s">
        <v>103</v>
      </c>
      <c r="V129" s="16" t="s">
        <v>104</v>
      </c>
      <c r="W129" s="17">
        <v>112198576</v>
      </c>
      <c r="X129" s="16" t="s">
        <v>2524</v>
      </c>
      <c r="Y129" s="17" t="s">
        <v>2525</v>
      </c>
      <c r="Z129" s="17" t="s">
        <v>39</v>
      </c>
      <c r="AA129" s="17" t="s">
        <v>2501</v>
      </c>
      <c r="AB129" s="29">
        <v>2.15</v>
      </c>
      <c r="AC129" s="25">
        <v>2.06</v>
      </c>
      <c r="AD129" s="25">
        <f>AC129*T129</f>
        <v>24.72</v>
      </c>
      <c r="AE129" s="25">
        <f>AB129*T129</f>
        <v>25.799999999999997</v>
      </c>
      <c r="AF129" s="25">
        <f>AD129-AE129</f>
        <v>-1.0799999999999983</v>
      </c>
      <c r="AG129" s="26">
        <f>AF129/AD129</f>
        <v>-4.3689320388349447E-2</v>
      </c>
      <c r="AH129" s="27" t="str">
        <f>IF(AG129&lt;0,"Negative",IF(AG129=0,"Same",IF(AG129&gt;0.3,"30+%",IF(AG129&gt;0.2,"20-30%",IF(AG129&gt;0.1,"10-20%",IF(AG129&lt;=0.1,"0-10%"))))))</f>
        <v>Negative</v>
      </c>
      <c r="AI129" s="32"/>
      <c r="AJ129" s="36" t="s">
        <v>3300</v>
      </c>
      <c r="AK129" s="32"/>
    </row>
    <row r="130" spans="1:37" s="1" customFormat="1" ht="19.7" customHeight="1" x14ac:dyDescent="0.25">
      <c r="A130" s="9" t="s">
        <v>22</v>
      </c>
      <c r="B130" s="9" t="s">
        <v>1639</v>
      </c>
      <c r="C130" s="10">
        <v>44427</v>
      </c>
      <c r="D130" s="9" t="s">
        <v>24</v>
      </c>
      <c r="E130" s="9" t="s">
        <v>25</v>
      </c>
      <c r="F130" s="9" t="s">
        <v>26</v>
      </c>
      <c r="G130" s="9" t="s">
        <v>67</v>
      </c>
      <c r="H130" s="9" t="s">
        <v>68</v>
      </c>
      <c r="I130" s="9" t="s">
        <v>29</v>
      </c>
      <c r="J130" s="9" t="s">
        <v>30</v>
      </c>
      <c r="K130" s="9" t="s">
        <v>31</v>
      </c>
      <c r="L130" s="9" t="s">
        <v>32</v>
      </c>
      <c r="M130" s="9" t="s">
        <v>101</v>
      </c>
      <c r="N130" s="9" t="s">
        <v>1640</v>
      </c>
      <c r="O130" s="9" t="s">
        <v>103</v>
      </c>
      <c r="P130" s="9" t="s">
        <v>104</v>
      </c>
      <c r="Q130" s="9">
        <v>112198576</v>
      </c>
      <c r="R130" s="9" t="s">
        <v>105</v>
      </c>
      <c r="S130" s="9" t="s">
        <v>39</v>
      </c>
      <c r="T130" s="11">
        <v>12</v>
      </c>
      <c r="U130" s="15" t="s">
        <v>103</v>
      </c>
      <c r="V130" s="16" t="s">
        <v>104</v>
      </c>
      <c r="W130" s="17">
        <v>112198576</v>
      </c>
      <c r="X130" s="16" t="s">
        <v>2524</v>
      </c>
      <c r="Y130" s="17" t="s">
        <v>2525</v>
      </c>
      <c r="Z130" s="17" t="s">
        <v>39</v>
      </c>
      <c r="AA130" s="17" t="s">
        <v>2501</v>
      </c>
      <c r="AB130" s="29">
        <v>2.15</v>
      </c>
      <c r="AC130" s="25">
        <v>2.06</v>
      </c>
      <c r="AD130" s="25">
        <f>AC130*T130</f>
        <v>24.72</v>
      </c>
      <c r="AE130" s="25">
        <f>AB130*T130</f>
        <v>25.799999999999997</v>
      </c>
      <c r="AF130" s="25">
        <f>AD130-AE130</f>
        <v>-1.0799999999999983</v>
      </c>
      <c r="AG130" s="26">
        <f>AF130/AD130</f>
        <v>-4.3689320388349447E-2</v>
      </c>
      <c r="AH130" s="27" t="str">
        <f>IF(AG130&lt;0,"Negative",IF(AG130=0,"Same",IF(AG130&gt;0.3,"30+%",IF(AG130&gt;0.2,"20-30%",IF(AG130&gt;0.1,"10-20%",IF(AG130&lt;=0.1,"0-10%"))))))</f>
        <v>Negative</v>
      </c>
      <c r="AI130" s="32"/>
      <c r="AJ130" s="36" t="s">
        <v>3300</v>
      </c>
      <c r="AK130" s="32"/>
    </row>
    <row r="131" spans="1:37" s="1" customFormat="1" ht="19.7" customHeight="1" x14ac:dyDescent="0.25">
      <c r="A131" s="5" t="s">
        <v>22</v>
      </c>
      <c r="B131" s="5" t="s">
        <v>2345</v>
      </c>
      <c r="C131" s="6">
        <v>44568</v>
      </c>
      <c r="D131" s="5" t="s">
        <v>24</v>
      </c>
      <c r="E131" s="5" t="s">
        <v>25</v>
      </c>
      <c r="F131" s="5" t="s">
        <v>26</v>
      </c>
      <c r="G131" s="5" t="s">
        <v>67</v>
      </c>
      <c r="H131" s="5" t="s">
        <v>68</v>
      </c>
      <c r="I131" s="5" t="s">
        <v>29</v>
      </c>
      <c r="J131" s="5" t="s">
        <v>30</v>
      </c>
      <c r="K131" s="5" t="s">
        <v>31</v>
      </c>
      <c r="L131" s="5" t="s">
        <v>32</v>
      </c>
      <c r="M131" s="5" t="s">
        <v>1302</v>
      </c>
      <c r="N131" s="5" t="s">
        <v>2346</v>
      </c>
      <c r="O131" s="5" t="s">
        <v>169</v>
      </c>
      <c r="P131" s="5" t="s">
        <v>1304</v>
      </c>
      <c r="Q131" s="5">
        <v>100772665</v>
      </c>
      <c r="R131" s="5" t="s">
        <v>56</v>
      </c>
      <c r="S131" s="5" t="s">
        <v>39</v>
      </c>
      <c r="T131" s="7">
        <v>1</v>
      </c>
      <c r="U131" s="15" t="s">
        <v>169</v>
      </c>
      <c r="V131" s="16" t="s">
        <v>1304</v>
      </c>
      <c r="W131" s="17">
        <v>100772665</v>
      </c>
      <c r="X131" s="16" t="s">
        <v>2812</v>
      </c>
      <c r="Y131" s="17" t="s">
        <v>2992</v>
      </c>
      <c r="Z131" s="17" t="s">
        <v>39</v>
      </c>
      <c r="AA131" s="17" t="s">
        <v>37</v>
      </c>
      <c r="AB131" s="43">
        <v>49.58</v>
      </c>
      <c r="AC131" s="25">
        <v>53.26</v>
      </c>
      <c r="AD131" s="25">
        <f>AC131*T131</f>
        <v>53.26</v>
      </c>
      <c r="AE131" s="25">
        <f>AB131*T131</f>
        <v>49.58</v>
      </c>
      <c r="AF131" s="25">
        <f>AD131-AE131</f>
        <v>3.6799999999999997</v>
      </c>
      <c r="AG131" s="26">
        <f>AF131/AD131</f>
        <v>6.9095005632745024E-2</v>
      </c>
      <c r="AH131" s="27" t="str">
        <f>IF(AG131&lt;0,"Negative",IF(AG131=0,"Same",IF(AG131&gt;0.3,"30+%",IF(AG131&gt;0.2,"20-30%",IF(AG131&gt;0.1,"10-20%",IF(AG131&lt;=0.1,"0-10%"))))))</f>
        <v>0-10%</v>
      </c>
      <c r="AI131" s="32"/>
      <c r="AJ131" s="36" t="s">
        <v>3299</v>
      </c>
      <c r="AK131" s="32"/>
    </row>
    <row r="132" spans="1:37" s="1" customFormat="1" ht="19.7" customHeight="1" x14ac:dyDescent="0.25">
      <c r="A132" s="5" t="s">
        <v>22</v>
      </c>
      <c r="B132" s="5" t="s">
        <v>782</v>
      </c>
      <c r="C132" s="6">
        <v>44301</v>
      </c>
      <c r="D132" s="5" t="s">
        <v>24</v>
      </c>
      <c r="E132" s="5" t="s">
        <v>25</v>
      </c>
      <c r="F132" s="5" t="s">
        <v>26</v>
      </c>
      <c r="G132" s="5" t="s">
        <v>27</v>
      </c>
      <c r="H132" s="5" t="s">
        <v>28</v>
      </c>
      <c r="I132" s="5" t="s">
        <v>29</v>
      </c>
      <c r="J132" s="5" t="s">
        <v>30</v>
      </c>
      <c r="K132" s="5" t="s">
        <v>31</v>
      </c>
      <c r="L132" s="5" t="s">
        <v>32</v>
      </c>
      <c r="M132" s="5" t="s">
        <v>787</v>
      </c>
      <c r="N132" s="5" t="s">
        <v>776</v>
      </c>
      <c r="O132" s="5" t="s">
        <v>103</v>
      </c>
      <c r="P132" s="5" t="s">
        <v>788</v>
      </c>
      <c r="Q132" s="5">
        <v>114441024</v>
      </c>
      <c r="R132" s="5" t="s">
        <v>56</v>
      </c>
      <c r="S132" s="5" t="s">
        <v>39</v>
      </c>
      <c r="T132" s="7">
        <v>56</v>
      </c>
      <c r="U132" s="15" t="s">
        <v>103</v>
      </c>
      <c r="V132" s="16" t="s">
        <v>788</v>
      </c>
      <c r="W132" s="17">
        <v>114441024</v>
      </c>
      <c r="X132" s="16" t="s">
        <v>2815</v>
      </c>
      <c r="Y132" s="17" t="s">
        <v>2818</v>
      </c>
      <c r="Z132" s="17" t="s">
        <v>39</v>
      </c>
      <c r="AA132" s="17" t="s">
        <v>2501</v>
      </c>
      <c r="AB132" s="29">
        <v>19.690000000000001</v>
      </c>
      <c r="AC132" s="25">
        <v>20.11</v>
      </c>
      <c r="AD132" s="25">
        <f>AC132*T132</f>
        <v>1126.1599999999999</v>
      </c>
      <c r="AE132" s="25">
        <f>AB132*T132</f>
        <v>1102.6400000000001</v>
      </c>
      <c r="AF132" s="25">
        <f>AD132-AE132</f>
        <v>23.519999999999754</v>
      </c>
      <c r="AG132" s="26">
        <f>AF132/AD132</f>
        <v>2.0885131775235984E-2</v>
      </c>
      <c r="AH132" s="27" t="str">
        <f>IF(AG132&lt;0,"Negative",IF(AG132=0,"Same",IF(AG132&gt;0.3,"30+%",IF(AG132&gt;0.2,"20-30%",IF(AG132&gt;0.1,"10-20%",IF(AG132&lt;=0.1,"0-10%"))))))</f>
        <v>0-10%</v>
      </c>
      <c r="AI132" s="32"/>
      <c r="AJ132" s="36" t="s">
        <v>3300</v>
      </c>
      <c r="AK132" s="32"/>
    </row>
    <row r="133" spans="1:37" s="1" customFormat="1" ht="19.7" customHeight="1" x14ac:dyDescent="0.25">
      <c r="A133" s="9" t="s">
        <v>22</v>
      </c>
      <c r="B133" s="9" t="s">
        <v>1974</v>
      </c>
      <c r="C133" s="10">
        <v>44494</v>
      </c>
      <c r="D133" s="9" t="s">
        <v>24</v>
      </c>
      <c r="E133" s="9" t="s">
        <v>25</v>
      </c>
      <c r="F133" s="9" t="s">
        <v>26</v>
      </c>
      <c r="G133" s="9" t="s">
        <v>67</v>
      </c>
      <c r="H133" s="9" t="s">
        <v>68</v>
      </c>
      <c r="I133" s="9" t="s">
        <v>29</v>
      </c>
      <c r="J133" s="9" t="s">
        <v>30</v>
      </c>
      <c r="K133" s="9" t="s">
        <v>31</v>
      </c>
      <c r="L133" s="9" t="s">
        <v>32</v>
      </c>
      <c r="M133" s="9" t="s">
        <v>214</v>
      </c>
      <c r="N133" s="9" t="s">
        <v>1975</v>
      </c>
      <c r="O133" s="9" t="s">
        <v>71</v>
      </c>
      <c r="P133" s="9" t="s">
        <v>215</v>
      </c>
      <c r="Q133" s="9">
        <v>101375052</v>
      </c>
      <c r="R133" s="9" t="s">
        <v>216</v>
      </c>
      <c r="S133" s="9" t="s">
        <v>39</v>
      </c>
      <c r="T133" s="11">
        <v>20</v>
      </c>
      <c r="U133" s="15" t="s">
        <v>71</v>
      </c>
      <c r="V133" s="44" t="s">
        <v>215</v>
      </c>
      <c r="W133" s="17">
        <v>101375052</v>
      </c>
      <c r="X133" s="16" t="s">
        <v>2577</v>
      </c>
      <c r="Y133" s="17" t="s">
        <v>2578</v>
      </c>
      <c r="Z133" s="17" t="s">
        <v>39</v>
      </c>
      <c r="AA133" s="17" t="s">
        <v>37</v>
      </c>
      <c r="AB133" s="29">
        <v>2.09</v>
      </c>
      <c r="AC133" s="25">
        <v>2.3199999999999998</v>
      </c>
      <c r="AD133" s="25">
        <f>AC133*T133</f>
        <v>46.4</v>
      </c>
      <c r="AE133" s="25">
        <f>AB133*T133</f>
        <v>41.8</v>
      </c>
      <c r="AF133" s="25">
        <f>AD133-AE133</f>
        <v>4.6000000000000014</v>
      </c>
      <c r="AG133" s="26">
        <f>AF133/AD133</f>
        <v>9.913793103448279E-2</v>
      </c>
      <c r="AH133" s="27" t="str">
        <f>IF(AG133&lt;0,"Negative",IF(AG133=0,"Same",IF(AG133&gt;0.3,"30+%",IF(AG133&gt;0.2,"20-30%",IF(AG133&gt;0.1,"10-20%",IF(AG133&lt;=0.1,"0-10%"))))))</f>
        <v>0-10%</v>
      </c>
      <c r="AI133" s="32"/>
      <c r="AJ133" s="36" t="s">
        <v>3300</v>
      </c>
      <c r="AK133" s="32"/>
    </row>
    <row r="134" spans="1:37" s="1" customFormat="1" ht="19.7" customHeight="1" x14ac:dyDescent="0.25">
      <c r="A134" s="9" t="s">
        <v>22</v>
      </c>
      <c r="B134" s="9" t="s">
        <v>899</v>
      </c>
      <c r="C134" s="10">
        <v>44316</v>
      </c>
      <c r="D134" s="9" t="s">
        <v>24</v>
      </c>
      <c r="E134" s="9" t="s">
        <v>25</v>
      </c>
      <c r="F134" s="9" t="s">
        <v>26</v>
      </c>
      <c r="G134" s="9" t="s">
        <v>67</v>
      </c>
      <c r="H134" s="9" t="s">
        <v>68</v>
      </c>
      <c r="I134" s="9" t="s">
        <v>29</v>
      </c>
      <c r="J134" s="9" t="s">
        <v>30</v>
      </c>
      <c r="K134" s="9" t="s">
        <v>31</v>
      </c>
      <c r="L134" s="9" t="s">
        <v>32</v>
      </c>
      <c r="M134" s="9" t="s">
        <v>214</v>
      </c>
      <c r="N134" s="9" t="s">
        <v>900</v>
      </c>
      <c r="O134" s="9" t="s">
        <v>71</v>
      </c>
      <c r="P134" s="9" t="s">
        <v>215</v>
      </c>
      <c r="Q134" s="9">
        <v>101375052</v>
      </c>
      <c r="R134" s="9" t="s">
        <v>216</v>
      </c>
      <c r="S134" s="9" t="s">
        <v>39</v>
      </c>
      <c r="T134" s="11">
        <v>40</v>
      </c>
      <c r="U134" s="15" t="s">
        <v>71</v>
      </c>
      <c r="V134" s="44" t="s">
        <v>215</v>
      </c>
      <c r="W134" s="17">
        <v>101375052</v>
      </c>
      <c r="X134" s="16" t="s">
        <v>2577</v>
      </c>
      <c r="Y134" s="17" t="s">
        <v>2578</v>
      </c>
      <c r="Z134" s="17" t="s">
        <v>39</v>
      </c>
      <c r="AA134" s="17" t="s">
        <v>37</v>
      </c>
      <c r="AB134" s="29">
        <v>2.09</v>
      </c>
      <c r="AC134" s="25">
        <v>2.3199999999999998</v>
      </c>
      <c r="AD134" s="25">
        <f>AC134*T134</f>
        <v>92.8</v>
      </c>
      <c r="AE134" s="25">
        <f>AB134*T134</f>
        <v>83.6</v>
      </c>
      <c r="AF134" s="25">
        <f>AD134-AE134</f>
        <v>9.2000000000000028</v>
      </c>
      <c r="AG134" s="26">
        <f>AF134/AD134</f>
        <v>9.913793103448279E-2</v>
      </c>
      <c r="AH134" s="27" t="str">
        <f>IF(AG134&lt;0,"Negative",IF(AG134=0,"Same",IF(AG134&gt;0.3,"30+%",IF(AG134&gt;0.2,"20-30%",IF(AG134&gt;0.1,"10-20%",IF(AG134&lt;=0.1,"0-10%"))))))</f>
        <v>0-10%</v>
      </c>
      <c r="AI134" s="32"/>
      <c r="AJ134" s="36" t="s">
        <v>3300</v>
      </c>
      <c r="AK134" s="32"/>
    </row>
    <row r="135" spans="1:37" s="1" customFormat="1" ht="19.7" customHeight="1" x14ac:dyDescent="0.25">
      <c r="A135" s="9" t="s">
        <v>22</v>
      </c>
      <c r="B135" s="9" t="s">
        <v>917</v>
      </c>
      <c r="C135" s="10">
        <v>44316</v>
      </c>
      <c r="D135" s="9" t="s">
        <v>24</v>
      </c>
      <c r="E135" s="9" t="s">
        <v>25</v>
      </c>
      <c r="F135" s="9" t="s">
        <v>26</v>
      </c>
      <c r="G135" s="9" t="s">
        <v>67</v>
      </c>
      <c r="H135" s="9" t="s">
        <v>68</v>
      </c>
      <c r="I135" s="9" t="s">
        <v>29</v>
      </c>
      <c r="J135" s="9" t="s">
        <v>30</v>
      </c>
      <c r="K135" s="9" t="s">
        <v>31</v>
      </c>
      <c r="L135" s="9" t="s">
        <v>32</v>
      </c>
      <c r="M135" s="9" t="s">
        <v>214</v>
      </c>
      <c r="N135" s="9" t="s">
        <v>918</v>
      </c>
      <c r="O135" s="9" t="s">
        <v>71</v>
      </c>
      <c r="P135" s="9" t="s">
        <v>215</v>
      </c>
      <c r="Q135" s="9">
        <v>101375052</v>
      </c>
      <c r="R135" s="9" t="s">
        <v>216</v>
      </c>
      <c r="S135" s="9" t="s">
        <v>39</v>
      </c>
      <c r="T135" s="11">
        <v>40</v>
      </c>
      <c r="U135" s="15" t="s">
        <v>71</v>
      </c>
      <c r="V135" s="44" t="s">
        <v>215</v>
      </c>
      <c r="W135" s="17">
        <v>101375052</v>
      </c>
      <c r="X135" s="16" t="s">
        <v>2577</v>
      </c>
      <c r="Y135" s="17" t="s">
        <v>2578</v>
      </c>
      <c r="Z135" s="17" t="s">
        <v>39</v>
      </c>
      <c r="AA135" s="17" t="s">
        <v>37</v>
      </c>
      <c r="AB135" s="29">
        <v>2.09</v>
      </c>
      <c r="AC135" s="25">
        <v>2.3199999999999998</v>
      </c>
      <c r="AD135" s="25">
        <f>AC135*T135</f>
        <v>92.8</v>
      </c>
      <c r="AE135" s="25">
        <f>AB135*T135</f>
        <v>83.6</v>
      </c>
      <c r="AF135" s="25">
        <f>AD135-AE135</f>
        <v>9.2000000000000028</v>
      </c>
      <c r="AG135" s="26">
        <f>AF135/AD135</f>
        <v>9.913793103448279E-2</v>
      </c>
      <c r="AH135" s="27" t="str">
        <f>IF(AG135&lt;0,"Negative",IF(AG135=0,"Same",IF(AG135&gt;0.3,"30+%",IF(AG135&gt;0.2,"20-30%",IF(AG135&gt;0.1,"10-20%",IF(AG135&lt;=0.1,"0-10%"))))))</f>
        <v>0-10%</v>
      </c>
      <c r="AI135" s="32"/>
      <c r="AJ135" s="36" t="s">
        <v>3300</v>
      </c>
      <c r="AK135" s="32"/>
    </row>
    <row r="136" spans="1:37" s="1" customFormat="1" ht="19.7" customHeight="1" x14ac:dyDescent="0.25">
      <c r="A136" s="9" t="s">
        <v>22</v>
      </c>
      <c r="B136" s="9" t="s">
        <v>210</v>
      </c>
      <c r="C136" s="10">
        <v>44242</v>
      </c>
      <c r="D136" s="9" t="s">
        <v>24</v>
      </c>
      <c r="E136" s="9" t="s">
        <v>25</v>
      </c>
      <c r="F136" s="9" t="s">
        <v>26</v>
      </c>
      <c r="G136" s="9" t="s">
        <v>67</v>
      </c>
      <c r="H136" s="9" t="s">
        <v>68</v>
      </c>
      <c r="I136" s="9" t="s">
        <v>29</v>
      </c>
      <c r="J136" s="9" t="s">
        <v>30</v>
      </c>
      <c r="K136" s="9" t="s">
        <v>31</v>
      </c>
      <c r="L136" s="9" t="s">
        <v>32</v>
      </c>
      <c r="M136" s="9" t="s">
        <v>214</v>
      </c>
      <c r="N136" s="9" t="s">
        <v>212</v>
      </c>
      <c r="O136" s="9" t="s">
        <v>71</v>
      </c>
      <c r="P136" s="9" t="s">
        <v>215</v>
      </c>
      <c r="Q136" s="9">
        <v>101375052</v>
      </c>
      <c r="R136" s="9" t="s">
        <v>216</v>
      </c>
      <c r="S136" s="9" t="s">
        <v>39</v>
      </c>
      <c r="T136" s="11">
        <v>40</v>
      </c>
      <c r="U136" s="15" t="s">
        <v>71</v>
      </c>
      <c r="V136" s="44" t="s">
        <v>215</v>
      </c>
      <c r="W136" s="17">
        <v>101375052</v>
      </c>
      <c r="X136" s="16" t="s">
        <v>2577</v>
      </c>
      <c r="Y136" s="17" t="s">
        <v>2578</v>
      </c>
      <c r="Z136" s="17" t="s">
        <v>39</v>
      </c>
      <c r="AA136" s="17" t="s">
        <v>37</v>
      </c>
      <c r="AB136" s="29">
        <v>2.09</v>
      </c>
      <c r="AC136" s="25">
        <v>2.3199999999999998</v>
      </c>
      <c r="AD136" s="25">
        <f>AC136*T136</f>
        <v>92.8</v>
      </c>
      <c r="AE136" s="25">
        <f>AB136*T136</f>
        <v>83.6</v>
      </c>
      <c r="AF136" s="25">
        <f>AD136-AE136</f>
        <v>9.2000000000000028</v>
      </c>
      <c r="AG136" s="26">
        <f>AF136/AD136</f>
        <v>9.913793103448279E-2</v>
      </c>
      <c r="AH136" s="27" t="str">
        <f>IF(AG136&lt;0,"Negative",IF(AG136=0,"Same",IF(AG136&gt;0.3,"30+%",IF(AG136&gt;0.2,"20-30%",IF(AG136&gt;0.1,"10-20%",IF(AG136&lt;=0.1,"0-10%"))))))</f>
        <v>0-10%</v>
      </c>
      <c r="AI136" s="32"/>
      <c r="AJ136" s="36" t="s">
        <v>3300</v>
      </c>
      <c r="AK136" s="32"/>
    </row>
    <row r="137" spans="1:37" s="1" customFormat="1" ht="19.7" customHeight="1" x14ac:dyDescent="0.25">
      <c r="A137" s="5" t="s">
        <v>22</v>
      </c>
      <c r="B137" s="5" t="s">
        <v>426</v>
      </c>
      <c r="C137" s="6">
        <v>44260</v>
      </c>
      <c r="D137" s="5" t="s">
        <v>24</v>
      </c>
      <c r="E137" s="5" t="s">
        <v>25</v>
      </c>
      <c r="F137" s="5" t="s">
        <v>26</v>
      </c>
      <c r="G137" s="5" t="s">
        <v>67</v>
      </c>
      <c r="H137" s="5" t="s">
        <v>68</v>
      </c>
      <c r="I137" s="5" t="s">
        <v>29</v>
      </c>
      <c r="J137" s="5" t="s">
        <v>30</v>
      </c>
      <c r="K137" s="5" t="s">
        <v>31</v>
      </c>
      <c r="L137" s="5" t="s">
        <v>32</v>
      </c>
      <c r="M137" s="5" t="s">
        <v>214</v>
      </c>
      <c r="N137" s="5" t="s">
        <v>428</v>
      </c>
      <c r="O137" s="5" t="s">
        <v>71</v>
      </c>
      <c r="P137" s="5" t="s">
        <v>215</v>
      </c>
      <c r="Q137" s="5">
        <v>101375052</v>
      </c>
      <c r="R137" s="5" t="s">
        <v>216</v>
      </c>
      <c r="S137" s="5" t="s">
        <v>39</v>
      </c>
      <c r="T137" s="7">
        <v>40</v>
      </c>
      <c r="U137" s="15" t="s">
        <v>71</v>
      </c>
      <c r="V137" s="44" t="s">
        <v>215</v>
      </c>
      <c r="W137" s="17">
        <v>101375052</v>
      </c>
      <c r="X137" s="16" t="s">
        <v>2577</v>
      </c>
      <c r="Y137" s="17" t="s">
        <v>2578</v>
      </c>
      <c r="Z137" s="17" t="s">
        <v>39</v>
      </c>
      <c r="AA137" s="17" t="s">
        <v>37</v>
      </c>
      <c r="AB137" s="29">
        <v>2.09</v>
      </c>
      <c r="AC137" s="25">
        <v>2.3199999999999998</v>
      </c>
      <c r="AD137" s="25">
        <f>AC137*T137</f>
        <v>92.8</v>
      </c>
      <c r="AE137" s="25">
        <f>AB137*T137</f>
        <v>83.6</v>
      </c>
      <c r="AF137" s="25">
        <f>AD137-AE137</f>
        <v>9.2000000000000028</v>
      </c>
      <c r="AG137" s="26">
        <f>AF137/AD137</f>
        <v>9.913793103448279E-2</v>
      </c>
      <c r="AH137" s="27" t="str">
        <f>IF(AG137&lt;0,"Negative",IF(AG137=0,"Same",IF(AG137&gt;0.3,"30+%",IF(AG137&gt;0.2,"20-30%",IF(AG137&gt;0.1,"10-20%",IF(AG137&lt;=0.1,"0-10%"))))))</f>
        <v>0-10%</v>
      </c>
      <c r="AI137" s="32"/>
      <c r="AJ137" s="36" t="s">
        <v>3300</v>
      </c>
      <c r="AK137" s="32"/>
    </row>
    <row r="138" spans="1:37" s="1" customFormat="1" ht="19.7" customHeight="1" x14ac:dyDescent="0.25">
      <c r="A138" s="5" t="s">
        <v>22</v>
      </c>
      <c r="B138" s="5" t="s">
        <v>620</v>
      </c>
      <c r="C138" s="6">
        <v>44281</v>
      </c>
      <c r="D138" s="5" t="s">
        <v>24</v>
      </c>
      <c r="E138" s="5" t="s">
        <v>25</v>
      </c>
      <c r="F138" s="5" t="s">
        <v>26</v>
      </c>
      <c r="G138" s="5" t="s">
        <v>67</v>
      </c>
      <c r="H138" s="5" t="s">
        <v>68</v>
      </c>
      <c r="I138" s="5" t="s">
        <v>29</v>
      </c>
      <c r="J138" s="5" t="s">
        <v>30</v>
      </c>
      <c r="K138" s="5" t="s">
        <v>31</v>
      </c>
      <c r="L138" s="5" t="s">
        <v>32</v>
      </c>
      <c r="M138" s="5" t="s">
        <v>214</v>
      </c>
      <c r="N138" s="5" t="s">
        <v>621</v>
      </c>
      <c r="O138" s="5" t="s">
        <v>71</v>
      </c>
      <c r="P138" s="5" t="s">
        <v>215</v>
      </c>
      <c r="Q138" s="5">
        <v>101375052</v>
      </c>
      <c r="R138" s="5" t="s">
        <v>216</v>
      </c>
      <c r="S138" s="5" t="s">
        <v>39</v>
      </c>
      <c r="T138" s="7">
        <v>40</v>
      </c>
      <c r="U138" s="15" t="s">
        <v>71</v>
      </c>
      <c r="V138" s="44" t="s">
        <v>215</v>
      </c>
      <c r="W138" s="17">
        <v>101375052</v>
      </c>
      <c r="X138" s="16" t="s">
        <v>2577</v>
      </c>
      <c r="Y138" s="17" t="s">
        <v>2578</v>
      </c>
      <c r="Z138" s="17" t="s">
        <v>39</v>
      </c>
      <c r="AA138" s="17" t="s">
        <v>37</v>
      </c>
      <c r="AB138" s="29">
        <v>2.09</v>
      </c>
      <c r="AC138" s="25">
        <v>2.3199999999999998</v>
      </c>
      <c r="AD138" s="25">
        <f>AC138*T138</f>
        <v>92.8</v>
      </c>
      <c r="AE138" s="25">
        <f>AB138*T138</f>
        <v>83.6</v>
      </c>
      <c r="AF138" s="25">
        <f>AD138-AE138</f>
        <v>9.2000000000000028</v>
      </c>
      <c r="AG138" s="26">
        <f>AF138/AD138</f>
        <v>9.913793103448279E-2</v>
      </c>
      <c r="AH138" s="27" t="str">
        <f>IF(AG138&lt;0,"Negative",IF(AG138=0,"Same",IF(AG138&gt;0.3,"30+%",IF(AG138&gt;0.2,"20-30%",IF(AG138&gt;0.1,"10-20%",IF(AG138&lt;=0.1,"0-10%"))))))</f>
        <v>0-10%</v>
      </c>
      <c r="AI138" s="32"/>
      <c r="AJ138" s="36" t="s">
        <v>3300</v>
      </c>
      <c r="AK138" s="32"/>
    </row>
    <row r="139" spans="1:37" s="1" customFormat="1" ht="19.7" customHeight="1" x14ac:dyDescent="0.25">
      <c r="A139" s="5" t="s">
        <v>22</v>
      </c>
      <c r="B139" s="5" t="s">
        <v>685</v>
      </c>
      <c r="C139" s="6">
        <v>44288</v>
      </c>
      <c r="D139" s="5" t="s">
        <v>24</v>
      </c>
      <c r="E139" s="5" t="s">
        <v>25</v>
      </c>
      <c r="F139" s="5" t="s">
        <v>26</v>
      </c>
      <c r="G139" s="5" t="s">
        <v>67</v>
      </c>
      <c r="H139" s="5" t="s">
        <v>68</v>
      </c>
      <c r="I139" s="5" t="s">
        <v>29</v>
      </c>
      <c r="J139" s="5" t="s">
        <v>30</v>
      </c>
      <c r="K139" s="5" t="s">
        <v>31</v>
      </c>
      <c r="L139" s="5" t="s">
        <v>32</v>
      </c>
      <c r="M139" s="5" t="s">
        <v>214</v>
      </c>
      <c r="N139" s="5" t="s">
        <v>686</v>
      </c>
      <c r="O139" s="5" t="s">
        <v>71</v>
      </c>
      <c r="P139" s="5" t="s">
        <v>215</v>
      </c>
      <c r="Q139" s="5">
        <v>101375052</v>
      </c>
      <c r="R139" s="5" t="s">
        <v>216</v>
      </c>
      <c r="S139" s="5" t="s">
        <v>39</v>
      </c>
      <c r="T139" s="7">
        <v>40</v>
      </c>
      <c r="U139" s="15" t="s">
        <v>71</v>
      </c>
      <c r="V139" s="44" t="s">
        <v>215</v>
      </c>
      <c r="W139" s="17">
        <v>101375052</v>
      </c>
      <c r="X139" s="16" t="s">
        <v>2577</v>
      </c>
      <c r="Y139" s="17" t="s">
        <v>2578</v>
      </c>
      <c r="Z139" s="17" t="s">
        <v>39</v>
      </c>
      <c r="AA139" s="17" t="s">
        <v>37</v>
      </c>
      <c r="AB139" s="29">
        <v>2.09</v>
      </c>
      <c r="AC139" s="25">
        <v>2.3199999999999998</v>
      </c>
      <c r="AD139" s="25">
        <f>AC139*T139</f>
        <v>92.8</v>
      </c>
      <c r="AE139" s="25">
        <f>AB139*T139</f>
        <v>83.6</v>
      </c>
      <c r="AF139" s="25">
        <f>AD139-AE139</f>
        <v>9.2000000000000028</v>
      </c>
      <c r="AG139" s="26">
        <f>AF139/AD139</f>
        <v>9.913793103448279E-2</v>
      </c>
      <c r="AH139" s="27" t="str">
        <f>IF(AG139&lt;0,"Negative",IF(AG139=0,"Same",IF(AG139&gt;0.3,"30+%",IF(AG139&gt;0.2,"20-30%",IF(AG139&gt;0.1,"10-20%",IF(AG139&lt;=0.1,"0-10%"))))))</f>
        <v>0-10%</v>
      </c>
      <c r="AI139" s="32"/>
      <c r="AJ139" s="36" t="s">
        <v>3300</v>
      </c>
      <c r="AK139" s="32"/>
    </row>
    <row r="140" spans="1:37" s="1" customFormat="1" ht="19.7" customHeight="1" x14ac:dyDescent="0.25">
      <c r="A140" s="9" t="s">
        <v>22</v>
      </c>
      <c r="B140" s="9" t="s">
        <v>796</v>
      </c>
      <c r="C140" s="10">
        <v>44302</v>
      </c>
      <c r="D140" s="9" t="s">
        <v>24</v>
      </c>
      <c r="E140" s="9" t="s">
        <v>25</v>
      </c>
      <c r="F140" s="9" t="s">
        <v>26</v>
      </c>
      <c r="G140" s="9" t="s">
        <v>67</v>
      </c>
      <c r="H140" s="9" t="s">
        <v>68</v>
      </c>
      <c r="I140" s="9" t="s">
        <v>29</v>
      </c>
      <c r="J140" s="9" t="s">
        <v>30</v>
      </c>
      <c r="K140" s="9" t="s">
        <v>31</v>
      </c>
      <c r="L140" s="9" t="s">
        <v>32</v>
      </c>
      <c r="M140" s="9" t="s">
        <v>214</v>
      </c>
      <c r="N140" s="9" t="s">
        <v>797</v>
      </c>
      <c r="O140" s="9" t="s">
        <v>71</v>
      </c>
      <c r="P140" s="9" t="s">
        <v>215</v>
      </c>
      <c r="Q140" s="9">
        <v>101375052</v>
      </c>
      <c r="R140" s="9" t="s">
        <v>216</v>
      </c>
      <c r="S140" s="9" t="s">
        <v>39</v>
      </c>
      <c r="T140" s="11">
        <v>40</v>
      </c>
      <c r="U140" s="15" t="s">
        <v>71</v>
      </c>
      <c r="V140" s="44" t="s">
        <v>215</v>
      </c>
      <c r="W140" s="17">
        <v>101375052</v>
      </c>
      <c r="X140" s="16" t="s">
        <v>2577</v>
      </c>
      <c r="Y140" s="17" t="s">
        <v>2578</v>
      </c>
      <c r="Z140" s="17" t="s">
        <v>39</v>
      </c>
      <c r="AA140" s="17" t="s">
        <v>37</v>
      </c>
      <c r="AB140" s="29">
        <v>2.09</v>
      </c>
      <c r="AC140" s="25">
        <v>2.3199999999999998</v>
      </c>
      <c r="AD140" s="25">
        <f>AC140*T140</f>
        <v>92.8</v>
      </c>
      <c r="AE140" s="25">
        <f>AB140*T140</f>
        <v>83.6</v>
      </c>
      <c r="AF140" s="25">
        <f>AD140-AE140</f>
        <v>9.2000000000000028</v>
      </c>
      <c r="AG140" s="26">
        <f>AF140/AD140</f>
        <v>9.913793103448279E-2</v>
      </c>
      <c r="AH140" s="27" t="str">
        <f>IF(AG140&lt;0,"Negative",IF(AG140=0,"Same",IF(AG140&gt;0.3,"30+%",IF(AG140&gt;0.2,"20-30%",IF(AG140&gt;0.1,"10-20%",IF(AG140&lt;=0.1,"0-10%"))))))</f>
        <v>0-10%</v>
      </c>
      <c r="AI140" s="32"/>
      <c r="AJ140" s="36" t="s">
        <v>3300</v>
      </c>
      <c r="AK140" s="32"/>
    </row>
    <row r="141" spans="1:37" s="1" customFormat="1" ht="19.7" customHeight="1" x14ac:dyDescent="0.25">
      <c r="A141" s="9" t="s">
        <v>22</v>
      </c>
      <c r="B141" s="9" t="s">
        <v>1981</v>
      </c>
      <c r="C141" s="10">
        <v>44495</v>
      </c>
      <c r="D141" s="9" t="s">
        <v>24</v>
      </c>
      <c r="E141" s="9" t="s">
        <v>25</v>
      </c>
      <c r="F141" s="9" t="s">
        <v>26</v>
      </c>
      <c r="G141" s="9" t="s">
        <v>67</v>
      </c>
      <c r="H141" s="9" t="s">
        <v>68</v>
      </c>
      <c r="I141" s="9" t="s">
        <v>29</v>
      </c>
      <c r="J141" s="9" t="s">
        <v>30</v>
      </c>
      <c r="K141" s="9" t="s">
        <v>31</v>
      </c>
      <c r="L141" s="9" t="s">
        <v>32</v>
      </c>
      <c r="M141" s="9" t="s">
        <v>214</v>
      </c>
      <c r="N141" s="9" t="s">
        <v>1635</v>
      </c>
      <c r="O141" s="9" t="s">
        <v>71</v>
      </c>
      <c r="P141" s="9" t="s">
        <v>215</v>
      </c>
      <c r="Q141" s="9">
        <v>101375052</v>
      </c>
      <c r="R141" s="9" t="s">
        <v>216</v>
      </c>
      <c r="S141" s="9" t="s">
        <v>39</v>
      </c>
      <c r="T141" s="11">
        <v>60</v>
      </c>
      <c r="U141" s="15" t="s">
        <v>71</v>
      </c>
      <c r="V141" s="44" t="s">
        <v>215</v>
      </c>
      <c r="W141" s="17">
        <v>101375052</v>
      </c>
      <c r="X141" s="16" t="s">
        <v>2577</v>
      </c>
      <c r="Y141" s="17" t="s">
        <v>2578</v>
      </c>
      <c r="Z141" s="17" t="s">
        <v>39</v>
      </c>
      <c r="AA141" s="17" t="s">
        <v>37</v>
      </c>
      <c r="AB141" s="29">
        <v>2.09</v>
      </c>
      <c r="AC141" s="25">
        <v>2.3199999999999998</v>
      </c>
      <c r="AD141" s="25">
        <f>AC141*T141</f>
        <v>139.19999999999999</v>
      </c>
      <c r="AE141" s="25">
        <f>AB141*T141</f>
        <v>125.39999999999999</v>
      </c>
      <c r="AF141" s="25">
        <f>AD141-AE141</f>
        <v>13.799999999999997</v>
      </c>
      <c r="AG141" s="26">
        <f>AF141/AD141</f>
        <v>9.9137931034482749E-2</v>
      </c>
      <c r="AH141" s="27" t="str">
        <f>IF(AG141&lt;0,"Negative",IF(AG141=0,"Same",IF(AG141&gt;0.3,"30+%",IF(AG141&gt;0.2,"20-30%",IF(AG141&gt;0.1,"10-20%",IF(AG141&lt;=0.1,"0-10%"))))))</f>
        <v>0-10%</v>
      </c>
      <c r="AI141" s="32"/>
      <c r="AJ141" s="36" t="s">
        <v>3300</v>
      </c>
      <c r="AK141" s="32"/>
    </row>
    <row r="142" spans="1:37" s="1" customFormat="1" ht="19.7" customHeight="1" x14ac:dyDescent="0.25">
      <c r="A142" s="5" t="s">
        <v>22</v>
      </c>
      <c r="B142" s="5" t="s">
        <v>1143</v>
      </c>
      <c r="C142" s="6">
        <v>44344</v>
      </c>
      <c r="D142" s="5" t="s">
        <v>24</v>
      </c>
      <c r="E142" s="5" t="s">
        <v>25</v>
      </c>
      <c r="F142" s="5" t="s">
        <v>26</v>
      </c>
      <c r="G142" s="5" t="s">
        <v>67</v>
      </c>
      <c r="H142" s="5" t="s">
        <v>68</v>
      </c>
      <c r="I142" s="5" t="s">
        <v>29</v>
      </c>
      <c r="J142" s="5" t="s">
        <v>30</v>
      </c>
      <c r="K142" s="5" t="s">
        <v>31</v>
      </c>
      <c r="L142" s="5" t="s">
        <v>32</v>
      </c>
      <c r="M142" s="5" t="s">
        <v>214</v>
      </c>
      <c r="N142" s="5" t="s">
        <v>1092</v>
      </c>
      <c r="O142" s="5" t="s">
        <v>71</v>
      </c>
      <c r="P142" s="5" t="s">
        <v>215</v>
      </c>
      <c r="Q142" s="5">
        <v>101375052</v>
      </c>
      <c r="R142" s="5" t="s">
        <v>216</v>
      </c>
      <c r="S142" s="5" t="s">
        <v>39</v>
      </c>
      <c r="T142" s="7">
        <v>60</v>
      </c>
      <c r="U142" s="15" t="s">
        <v>71</v>
      </c>
      <c r="V142" s="44" t="s">
        <v>215</v>
      </c>
      <c r="W142" s="17">
        <v>101375052</v>
      </c>
      <c r="X142" s="16" t="s">
        <v>2577</v>
      </c>
      <c r="Y142" s="17" t="s">
        <v>2578</v>
      </c>
      <c r="Z142" s="17" t="s">
        <v>39</v>
      </c>
      <c r="AA142" s="17" t="s">
        <v>37</v>
      </c>
      <c r="AB142" s="29">
        <v>2.09</v>
      </c>
      <c r="AC142" s="25">
        <v>2.3199999999999998</v>
      </c>
      <c r="AD142" s="25">
        <f>AC142*T142</f>
        <v>139.19999999999999</v>
      </c>
      <c r="AE142" s="25">
        <f>AB142*T142</f>
        <v>125.39999999999999</v>
      </c>
      <c r="AF142" s="25">
        <f>AD142-AE142</f>
        <v>13.799999999999997</v>
      </c>
      <c r="AG142" s="26">
        <f>AF142/AD142</f>
        <v>9.9137931034482749E-2</v>
      </c>
      <c r="AH142" s="27" t="str">
        <f>IF(AG142&lt;0,"Negative",IF(AG142=0,"Same",IF(AG142&gt;0.3,"30+%",IF(AG142&gt;0.2,"20-30%",IF(AG142&gt;0.1,"10-20%",IF(AG142&lt;=0.1,"0-10%"))))))</f>
        <v>0-10%</v>
      </c>
      <c r="AI142" s="32"/>
      <c r="AJ142" s="36" t="s">
        <v>3300</v>
      </c>
      <c r="AK142" s="32"/>
    </row>
    <row r="143" spans="1:37" s="1" customFormat="1" ht="19.7" customHeight="1" x14ac:dyDescent="0.25">
      <c r="A143" s="9" t="s">
        <v>22</v>
      </c>
      <c r="B143" s="9" t="s">
        <v>2025</v>
      </c>
      <c r="C143" s="10">
        <v>44500</v>
      </c>
      <c r="D143" s="9" t="s">
        <v>24</v>
      </c>
      <c r="E143" s="9" t="s">
        <v>25</v>
      </c>
      <c r="F143" s="9" t="s">
        <v>26</v>
      </c>
      <c r="G143" s="9" t="s">
        <v>67</v>
      </c>
      <c r="H143" s="9" t="s">
        <v>68</v>
      </c>
      <c r="I143" s="9" t="s">
        <v>29</v>
      </c>
      <c r="J143" s="9" t="s">
        <v>30</v>
      </c>
      <c r="K143" s="9" t="s">
        <v>31</v>
      </c>
      <c r="L143" s="9" t="s">
        <v>32</v>
      </c>
      <c r="M143" s="9" t="s">
        <v>214</v>
      </c>
      <c r="N143" s="9" t="s">
        <v>2026</v>
      </c>
      <c r="O143" s="9" t="s">
        <v>71</v>
      </c>
      <c r="P143" s="9" t="s">
        <v>215</v>
      </c>
      <c r="Q143" s="9">
        <v>101375052</v>
      </c>
      <c r="R143" s="9" t="s">
        <v>216</v>
      </c>
      <c r="S143" s="9" t="s">
        <v>39</v>
      </c>
      <c r="T143" s="11">
        <v>80</v>
      </c>
      <c r="U143" s="15" t="s">
        <v>71</v>
      </c>
      <c r="V143" s="44" t="s">
        <v>215</v>
      </c>
      <c r="W143" s="17">
        <v>101375052</v>
      </c>
      <c r="X143" s="16" t="s">
        <v>2577</v>
      </c>
      <c r="Y143" s="17" t="s">
        <v>2578</v>
      </c>
      <c r="Z143" s="17" t="s">
        <v>39</v>
      </c>
      <c r="AA143" s="17" t="s">
        <v>37</v>
      </c>
      <c r="AB143" s="29">
        <v>2.09</v>
      </c>
      <c r="AC143" s="25">
        <v>2.3199999999999998</v>
      </c>
      <c r="AD143" s="25">
        <f>AC143*T143</f>
        <v>185.6</v>
      </c>
      <c r="AE143" s="25">
        <f>AB143*T143</f>
        <v>167.2</v>
      </c>
      <c r="AF143" s="25">
        <f>AD143-AE143</f>
        <v>18.400000000000006</v>
      </c>
      <c r="AG143" s="26">
        <f>AF143/AD143</f>
        <v>9.913793103448279E-2</v>
      </c>
      <c r="AH143" s="27" t="str">
        <f>IF(AG143&lt;0,"Negative",IF(AG143=0,"Same",IF(AG143&gt;0.3,"30+%",IF(AG143&gt;0.2,"20-30%",IF(AG143&gt;0.1,"10-20%",IF(AG143&lt;=0.1,"0-10%"))))))</f>
        <v>0-10%</v>
      </c>
      <c r="AI143" s="32"/>
      <c r="AJ143" s="36" t="s">
        <v>3300</v>
      </c>
      <c r="AK143" s="32"/>
    </row>
    <row r="144" spans="1:37" s="1" customFormat="1" ht="19.7" customHeight="1" x14ac:dyDescent="0.25">
      <c r="A144" s="5" t="s">
        <v>22</v>
      </c>
      <c r="B144" s="5" t="s">
        <v>1444</v>
      </c>
      <c r="C144" s="6">
        <v>44398</v>
      </c>
      <c r="D144" s="5" t="s">
        <v>24</v>
      </c>
      <c r="E144" s="5" t="s">
        <v>25</v>
      </c>
      <c r="F144" s="5" t="s">
        <v>26</v>
      </c>
      <c r="G144" s="5" t="s">
        <v>27</v>
      </c>
      <c r="H144" s="5" t="s">
        <v>28</v>
      </c>
      <c r="I144" s="5" t="s">
        <v>29</v>
      </c>
      <c r="J144" s="5" t="s">
        <v>30</v>
      </c>
      <c r="K144" s="5" t="s">
        <v>31</v>
      </c>
      <c r="L144" s="5" t="s">
        <v>32</v>
      </c>
      <c r="M144" s="5" t="s">
        <v>261</v>
      </c>
      <c r="N144" s="5" t="s">
        <v>1445</v>
      </c>
      <c r="O144" s="5" t="s">
        <v>1446</v>
      </c>
      <c r="P144" s="5" t="s">
        <v>1447</v>
      </c>
      <c r="Q144" s="5">
        <v>105286695</v>
      </c>
      <c r="R144" s="5" t="s">
        <v>56</v>
      </c>
      <c r="S144" s="5" t="s">
        <v>39</v>
      </c>
      <c r="T144" s="7">
        <v>1</v>
      </c>
      <c r="U144" s="15" t="s">
        <v>1446</v>
      </c>
      <c r="V144" s="16" t="s">
        <v>1447</v>
      </c>
      <c r="W144" s="17">
        <v>105286695</v>
      </c>
      <c r="X144" s="16" t="s">
        <v>3042</v>
      </c>
      <c r="Y144" s="17" t="s">
        <v>3043</v>
      </c>
      <c r="Z144" s="17" t="s">
        <v>39</v>
      </c>
      <c r="AA144" s="17" t="s">
        <v>2501</v>
      </c>
      <c r="AB144" s="29">
        <v>6.05</v>
      </c>
      <c r="AC144" s="25">
        <v>6.17</v>
      </c>
      <c r="AD144" s="25">
        <f>AC144*T144</f>
        <v>6.17</v>
      </c>
      <c r="AE144" s="25">
        <f>AB144*T144</f>
        <v>6.05</v>
      </c>
      <c r="AF144" s="25">
        <f>AD144-AE144</f>
        <v>0.12000000000000011</v>
      </c>
      <c r="AG144" s="26">
        <f>AF144/AD144</f>
        <v>1.9448946515397102E-2</v>
      </c>
      <c r="AH144" s="27" t="str">
        <f>IF(AG144&lt;0,"Negative",IF(AG144=0,"Same",IF(AG144&gt;0.3,"30+%",IF(AG144&gt;0.2,"20-30%",IF(AG144&gt;0.1,"10-20%",IF(AG144&lt;=0.1,"0-10%"))))))</f>
        <v>0-10%</v>
      </c>
      <c r="AI144" s="32"/>
      <c r="AJ144" s="36" t="s">
        <v>3300</v>
      </c>
      <c r="AK144" s="32"/>
    </row>
    <row r="145" spans="1:37" s="1" customFormat="1" ht="19.7" customHeight="1" x14ac:dyDescent="0.25">
      <c r="A145" s="9" t="s">
        <v>22</v>
      </c>
      <c r="B145" s="9" t="s">
        <v>1444</v>
      </c>
      <c r="C145" s="10">
        <v>44398</v>
      </c>
      <c r="D145" s="9" t="s">
        <v>24</v>
      </c>
      <c r="E145" s="9" t="s">
        <v>25</v>
      </c>
      <c r="F145" s="9" t="s">
        <v>26</v>
      </c>
      <c r="G145" s="9" t="s">
        <v>27</v>
      </c>
      <c r="H145" s="9" t="s">
        <v>28</v>
      </c>
      <c r="I145" s="9" t="s">
        <v>29</v>
      </c>
      <c r="J145" s="9" t="s">
        <v>30</v>
      </c>
      <c r="K145" s="9" t="s">
        <v>31</v>
      </c>
      <c r="L145" s="9" t="s">
        <v>32</v>
      </c>
      <c r="M145" s="9" t="s">
        <v>261</v>
      </c>
      <c r="N145" s="9" t="s">
        <v>1445</v>
      </c>
      <c r="O145" s="9" t="s">
        <v>1446</v>
      </c>
      <c r="P145" s="9" t="s">
        <v>1448</v>
      </c>
      <c r="Q145" s="9">
        <v>105519990</v>
      </c>
      <c r="R145" s="9" t="s">
        <v>56</v>
      </c>
      <c r="S145" s="9" t="s">
        <v>39</v>
      </c>
      <c r="T145" s="11">
        <v>1</v>
      </c>
      <c r="U145" s="15" t="s">
        <v>1446</v>
      </c>
      <c r="V145" s="16" t="s">
        <v>1448</v>
      </c>
      <c r="W145" s="17">
        <v>105519990</v>
      </c>
      <c r="X145" s="16" t="s">
        <v>3042</v>
      </c>
      <c r="Y145" s="17" t="s">
        <v>3044</v>
      </c>
      <c r="Z145" s="17" t="s">
        <v>39</v>
      </c>
      <c r="AA145" s="17" t="s">
        <v>2501</v>
      </c>
      <c r="AB145" s="29">
        <v>6.28</v>
      </c>
      <c r="AC145" s="25">
        <v>6.41</v>
      </c>
      <c r="AD145" s="25">
        <f>AC145*T145</f>
        <v>6.41</v>
      </c>
      <c r="AE145" s="25">
        <f>AB145*T145</f>
        <v>6.28</v>
      </c>
      <c r="AF145" s="25">
        <f>AD145-AE145</f>
        <v>0.12999999999999989</v>
      </c>
      <c r="AG145" s="26">
        <f>AF145/AD145</f>
        <v>2.0280811232449281E-2</v>
      </c>
      <c r="AH145" s="27" t="str">
        <f>IF(AG145&lt;0,"Negative",IF(AG145=0,"Same",IF(AG145&gt;0.3,"30+%",IF(AG145&gt;0.2,"20-30%",IF(AG145&gt;0.1,"10-20%",IF(AG145&lt;=0.1,"0-10%"))))))</f>
        <v>0-10%</v>
      </c>
      <c r="AI145" s="32"/>
      <c r="AJ145" s="36" t="s">
        <v>3300</v>
      </c>
      <c r="AK145" s="32"/>
    </row>
    <row r="146" spans="1:37" s="1" customFormat="1" ht="19.7" customHeight="1" x14ac:dyDescent="0.25">
      <c r="A146" s="5" t="s">
        <v>22</v>
      </c>
      <c r="B146" s="5" t="s">
        <v>1025</v>
      </c>
      <c r="C146" s="6">
        <v>44333</v>
      </c>
      <c r="D146" s="5" t="s">
        <v>24</v>
      </c>
      <c r="E146" s="5" t="s">
        <v>25</v>
      </c>
      <c r="F146" s="5" t="s">
        <v>26</v>
      </c>
      <c r="G146" s="5" t="s">
        <v>67</v>
      </c>
      <c r="H146" s="5" t="s">
        <v>68</v>
      </c>
      <c r="I146" s="5" t="s">
        <v>29</v>
      </c>
      <c r="J146" s="5" t="s">
        <v>30</v>
      </c>
      <c r="K146" s="5" t="s">
        <v>31</v>
      </c>
      <c r="L146" s="5" t="s">
        <v>32</v>
      </c>
      <c r="M146" s="5" t="s">
        <v>897</v>
      </c>
      <c r="N146" s="5" t="s">
        <v>1027</v>
      </c>
      <c r="O146" s="5" t="s">
        <v>169</v>
      </c>
      <c r="P146" s="5" t="s">
        <v>898</v>
      </c>
      <c r="Q146" s="5">
        <v>100768772</v>
      </c>
      <c r="R146" s="5" t="s">
        <v>56</v>
      </c>
      <c r="S146" s="5" t="s">
        <v>39</v>
      </c>
      <c r="T146" s="7">
        <v>2</v>
      </c>
      <c r="U146" s="15" t="s">
        <v>169</v>
      </c>
      <c r="V146" s="16" t="s">
        <v>898</v>
      </c>
      <c r="W146" s="17">
        <v>100768772</v>
      </c>
      <c r="X146" s="16" t="s">
        <v>2555</v>
      </c>
      <c r="Y146" s="17" t="s">
        <v>2855</v>
      </c>
      <c r="Z146" s="17" t="s">
        <v>39</v>
      </c>
      <c r="AA146" s="17" t="s">
        <v>37</v>
      </c>
      <c r="AB146" s="43">
        <v>2.83</v>
      </c>
      <c r="AC146" s="25">
        <v>2.96</v>
      </c>
      <c r="AD146" s="25">
        <f>AC146*T146</f>
        <v>5.92</v>
      </c>
      <c r="AE146" s="25">
        <f>AB146*T146</f>
        <v>5.66</v>
      </c>
      <c r="AF146" s="25">
        <f>AD146-AE146</f>
        <v>0.25999999999999979</v>
      </c>
      <c r="AG146" s="26">
        <f>AF146/AD146</f>
        <v>4.3918918918918887E-2</v>
      </c>
      <c r="AH146" s="27" t="str">
        <f>IF(AG146&lt;0,"Negative",IF(AG146=0,"Same",IF(AG146&gt;0.3,"30+%",IF(AG146&gt;0.2,"20-30%",IF(AG146&gt;0.1,"10-20%",IF(AG146&lt;=0.1,"0-10%"))))))</f>
        <v>0-10%</v>
      </c>
      <c r="AI146" s="32"/>
      <c r="AJ146" s="36" t="s">
        <v>3300</v>
      </c>
      <c r="AK146" s="32"/>
    </row>
    <row r="147" spans="1:37" s="1" customFormat="1" ht="19.7" customHeight="1" x14ac:dyDescent="0.25">
      <c r="A147" s="5" t="s">
        <v>22</v>
      </c>
      <c r="B147" s="5" t="s">
        <v>889</v>
      </c>
      <c r="C147" s="6">
        <v>44316</v>
      </c>
      <c r="D147" s="5" t="s">
        <v>24</v>
      </c>
      <c r="E147" s="5" t="s">
        <v>25</v>
      </c>
      <c r="F147" s="5" t="s">
        <v>26</v>
      </c>
      <c r="G147" s="5" t="s">
        <v>67</v>
      </c>
      <c r="H147" s="5" t="s">
        <v>68</v>
      </c>
      <c r="I147" s="5" t="s">
        <v>29</v>
      </c>
      <c r="J147" s="5" t="s">
        <v>30</v>
      </c>
      <c r="K147" s="5" t="s">
        <v>31</v>
      </c>
      <c r="L147" s="5" t="s">
        <v>32</v>
      </c>
      <c r="M147" s="5" t="s">
        <v>897</v>
      </c>
      <c r="N147" s="5" t="s">
        <v>891</v>
      </c>
      <c r="O147" s="5" t="s">
        <v>169</v>
      </c>
      <c r="P147" s="5" t="s">
        <v>898</v>
      </c>
      <c r="Q147" s="5">
        <v>100768772</v>
      </c>
      <c r="R147" s="5" t="s">
        <v>56</v>
      </c>
      <c r="S147" s="5" t="s">
        <v>39</v>
      </c>
      <c r="T147" s="7">
        <v>2</v>
      </c>
      <c r="U147" s="15" t="s">
        <v>169</v>
      </c>
      <c r="V147" s="16" t="s">
        <v>898</v>
      </c>
      <c r="W147" s="17">
        <v>100768772</v>
      </c>
      <c r="X147" s="16" t="s">
        <v>2555</v>
      </c>
      <c r="Y147" s="17" t="s">
        <v>2855</v>
      </c>
      <c r="Z147" s="17" t="s">
        <v>39</v>
      </c>
      <c r="AA147" s="17" t="s">
        <v>37</v>
      </c>
      <c r="AB147" s="43">
        <v>2.83</v>
      </c>
      <c r="AC147" s="25">
        <v>2.96</v>
      </c>
      <c r="AD147" s="25">
        <f>AC147*T147</f>
        <v>5.92</v>
      </c>
      <c r="AE147" s="25">
        <f>AB147*T147</f>
        <v>5.66</v>
      </c>
      <c r="AF147" s="25">
        <f>AD147-AE147</f>
        <v>0.25999999999999979</v>
      </c>
      <c r="AG147" s="26">
        <f>AF147/AD147</f>
        <v>4.3918918918918887E-2</v>
      </c>
      <c r="AH147" s="27" t="str">
        <f>IF(AG147&lt;0,"Negative",IF(AG147=0,"Same",IF(AG147&gt;0.3,"30+%",IF(AG147&gt;0.2,"20-30%",IF(AG147&gt;0.1,"10-20%",IF(AG147&lt;=0.1,"0-10%"))))))</f>
        <v>0-10%</v>
      </c>
      <c r="AI147" s="32"/>
      <c r="AJ147" s="36" t="s">
        <v>3300</v>
      </c>
      <c r="AK147" s="32"/>
    </row>
    <row r="148" spans="1:37" s="1" customFormat="1" ht="19.7" customHeight="1" x14ac:dyDescent="0.25">
      <c r="A148" s="5" t="s">
        <v>22</v>
      </c>
      <c r="B148" s="5" t="s">
        <v>2427</v>
      </c>
      <c r="C148" s="6">
        <v>44585</v>
      </c>
      <c r="D148" s="5" t="s">
        <v>24</v>
      </c>
      <c r="E148" s="5" t="s">
        <v>25</v>
      </c>
      <c r="F148" s="5" t="s">
        <v>26</v>
      </c>
      <c r="G148" s="5" t="s">
        <v>27</v>
      </c>
      <c r="H148" s="5" t="s">
        <v>28</v>
      </c>
      <c r="I148" s="5" t="s">
        <v>29</v>
      </c>
      <c r="J148" s="5" t="s">
        <v>30</v>
      </c>
      <c r="K148" s="5" t="s">
        <v>31</v>
      </c>
      <c r="L148" s="5" t="s">
        <v>32</v>
      </c>
      <c r="M148" s="5" t="s">
        <v>1712</v>
      </c>
      <c r="N148" s="5" t="s">
        <v>2426</v>
      </c>
      <c r="O148" s="5" t="s">
        <v>1713</v>
      </c>
      <c r="P148" s="5" t="s">
        <v>1714</v>
      </c>
      <c r="Q148" s="5">
        <v>113576491</v>
      </c>
      <c r="R148" s="5" t="s">
        <v>216</v>
      </c>
      <c r="S148" s="5" t="s">
        <v>39</v>
      </c>
      <c r="T148" s="7">
        <v>1</v>
      </c>
      <c r="U148" s="15" t="s">
        <v>1713</v>
      </c>
      <c r="V148" s="16" t="s">
        <v>1714</v>
      </c>
      <c r="W148" s="17">
        <v>113576491</v>
      </c>
      <c r="X148" s="16" t="s">
        <v>2805</v>
      </c>
      <c r="Y148" s="17" t="s">
        <v>3114</v>
      </c>
      <c r="Z148" s="17" t="s">
        <v>39</v>
      </c>
      <c r="AA148" s="17" t="s">
        <v>2501</v>
      </c>
      <c r="AB148" s="29">
        <v>42.51</v>
      </c>
      <c r="AC148" s="25">
        <v>40.75</v>
      </c>
      <c r="AD148" s="25">
        <f>AC148*T148</f>
        <v>40.75</v>
      </c>
      <c r="AE148" s="25">
        <f>AB148*T148</f>
        <v>42.51</v>
      </c>
      <c r="AF148" s="25">
        <f>AD148-AE148</f>
        <v>-1.759999999999998</v>
      </c>
      <c r="AG148" s="26">
        <f>AF148/AD148</f>
        <v>-4.3190184049079705E-2</v>
      </c>
      <c r="AH148" s="27" t="str">
        <f>IF(AG148&lt;0,"Negative",IF(AG148=0,"Same",IF(AG148&gt;0.3,"30+%",IF(AG148&gt;0.2,"20-30%",IF(AG148&gt;0.1,"10-20%",IF(AG148&lt;=0.1,"0-10%"))))))</f>
        <v>Negative</v>
      </c>
      <c r="AI148" s="32"/>
      <c r="AJ148" s="36" t="s">
        <v>3300</v>
      </c>
      <c r="AK148" s="32"/>
    </row>
    <row r="149" spans="1:37" s="1" customFormat="1" ht="19.7" customHeight="1" x14ac:dyDescent="0.25">
      <c r="A149" s="9" t="s">
        <v>22</v>
      </c>
      <c r="B149" s="9" t="s">
        <v>560</v>
      </c>
      <c r="C149" s="10">
        <v>44274</v>
      </c>
      <c r="D149" s="9" t="s">
        <v>24</v>
      </c>
      <c r="E149" s="9" t="s">
        <v>25</v>
      </c>
      <c r="F149" s="9" t="s">
        <v>26</v>
      </c>
      <c r="G149" s="9" t="s">
        <v>27</v>
      </c>
      <c r="H149" s="9" t="s">
        <v>28</v>
      </c>
      <c r="I149" s="9" t="s">
        <v>29</v>
      </c>
      <c r="J149" s="9" t="s">
        <v>30</v>
      </c>
      <c r="K149" s="9" t="s">
        <v>31</v>
      </c>
      <c r="L149" s="9" t="s">
        <v>32</v>
      </c>
      <c r="M149" s="9" t="s">
        <v>561</v>
      </c>
      <c r="N149" s="9" t="s">
        <v>562</v>
      </c>
      <c r="O149" s="9" t="s">
        <v>169</v>
      </c>
      <c r="P149" s="9" t="s">
        <v>563</v>
      </c>
      <c r="Q149" s="9">
        <v>100768788</v>
      </c>
      <c r="R149" s="9" t="s">
        <v>56</v>
      </c>
      <c r="S149" s="9" t="s">
        <v>39</v>
      </c>
      <c r="T149" s="11">
        <v>1</v>
      </c>
      <c r="U149" s="15" t="s">
        <v>169</v>
      </c>
      <c r="V149" s="16" t="s">
        <v>563</v>
      </c>
      <c r="W149" s="17">
        <v>100768788</v>
      </c>
      <c r="X149" s="16" t="s">
        <v>2555</v>
      </c>
      <c r="Y149" s="17" t="s">
        <v>2730</v>
      </c>
      <c r="Z149" s="17" t="s">
        <v>39</v>
      </c>
      <c r="AA149" s="17" t="s">
        <v>37</v>
      </c>
      <c r="AB149" s="43">
        <v>3.1</v>
      </c>
      <c r="AC149" s="25">
        <v>3.23</v>
      </c>
      <c r="AD149" s="25">
        <f>AC149*T149</f>
        <v>3.23</v>
      </c>
      <c r="AE149" s="25">
        <f>AB149*T149</f>
        <v>3.1</v>
      </c>
      <c r="AF149" s="25">
        <f>AD149-AE149</f>
        <v>0.12999999999999989</v>
      </c>
      <c r="AG149" s="26">
        <f>AF149/AD149</f>
        <v>4.0247678018575817E-2</v>
      </c>
      <c r="AH149" s="27" t="str">
        <f>IF(AG149&lt;0,"Negative",IF(AG149=0,"Same",IF(AG149&gt;0.3,"30+%",IF(AG149&gt;0.2,"20-30%",IF(AG149&gt;0.1,"10-20%",IF(AG149&lt;=0.1,"0-10%"))))))</f>
        <v>0-10%</v>
      </c>
      <c r="AI149" s="32"/>
      <c r="AJ149" s="36" t="s">
        <v>3300</v>
      </c>
      <c r="AK149" s="32"/>
    </row>
    <row r="150" spans="1:37" s="1" customFormat="1" ht="19.7" customHeight="1" x14ac:dyDescent="0.25">
      <c r="A150" s="5" t="s">
        <v>22</v>
      </c>
      <c r="B150" s="5" t="s">
        <v>1899</v>
      </c>
      <c r="C150" s="6">
        <v>44477</v>
      </c>
      <c r="D150" s="5" t="s">
        <v>24</v>
      </c>
      <c r="E150" s="5" t="s">
        <v>25</v>
      </c>
      <c r="F150" s="5" t="s">
        <v>26</v>
      </c>
      <c r="G150" s="5" t="s">
        <v>27</v>
      </c>
      <c r="H150" s="5" t="s">
        <v>28</v>
      </c>
      <c r="I150" s="5" t="s">
        <v>29</v>
      </c>
      <c r="J150" s="5" t="s">
        <v>30</v>
      </c>
      <c r="K150" s="5" t="s">
        <v>31</v>
      </c>
      <c r="L150" s="5" t="s">
        <v>32</v>
      </c>
      <c r="M150" s="5" t="s">
        <v>1900</v>
      </c>
      <c r="N150" s="5" t="s">
        <v>1850</v>
      </c>
      <c r="O150" s="5" t="s">
        <v>1901</v>
      </c>
      <c r="P150" s="5" t="s">
        <v>1902</v>
      </c>
      <c r="Q150" s="5">
        <v>113584886</v>
      </c>
      <c r="R150" s="5" t="s">
        <v>299</v>
      </c>
      <c r="S150" s="5" t="s">
        <v>39</v>
      </c>
      <c r="T150" s="7">
        <v>30</v>
      </c>
      <c r="U150" s="15" t="s">
        <v>1901</v>
      </c>
      <c r="V150" s="16" t="s">
        <v>1902</v>
      </c>
      <c r="W150" s="17">
        <v>113584886</v>
      </c>
      <c r="X150" s="16" t="s">
        <v>2694</v>
      </c>
      <c r="Y150" s="17" t="s">
        <v>3164</v>
      </c>
      <c r="Z150" s="17" t="s">
        <v>39</v>
      </c>
      <c r="AA150" s="17" t="s">
        <v>2501</v>
      </c>
      <c r="AB150" s="29">
        <v>13.36</v>
      </c>
      <c r="AC150" s="25">
        <v>12.81</v>
      </c>
      <c r="AD150" s="25">
        <f>AC150*T150</f>
        <v>384.3</v>
      </c>
      <c r="AE150" s="25">
        <f>AB150*T150</f>
        <v>400.79999999999995</v>
      </c>
      <c r="AF150" s="25">
        <f>AD150-AE150</f>
        <v>-16.499999999999943</v>
      </c>
      <c r="AG150" s="26">
        <f>AF150/AD150</f>
        <v>-4.2935206869632953E-2</v>
      </c>
      <c r="AH150" s="27" t="str">
        <f>IF(AG150&lt;0,"Negative",IF(AG150=0,"Same",IF(AG150&gt;0.3,"30+%",IF(AG150&gt;0.2,"20-30%",IF(AG150&gt;0.1,"10-20%",IF(AG150&lt;=0.1,"0-10%"))))))</f>
        <v>Negative</v>
      </c>
      <c r="AI150" s="32"/>
      <c r="AJ150" s="36" t="s">
        <v>3300</v>
      </c>
      <c r="AK150" s="32"/>
    </row>
    <row r="151" spans="1:37" s="1" customFormat="1" ht="19.7" customHeight="1" x14ac:dyDescent="0.25">
      <c r="A151" s="5" t="s">
        <v>22</v>
      </c>
      <c r="B151" s="5" t="s">
        <v>57</v>
      </c>
      <c r="C151" s="6">
        <v>44230</v>
      </c>
      <c r="D151" s="5" t="s">
        <v>24</v>
      </c>
      <c r="E151" s="5" t="s">
        <v>25</v>
      </c>
      <c r="F151" s="5" t="s">
        <v>26</v>
      </c>
      <c r="G151" s="5" t="s">
        <v>27</v>
      </c>
      <c r="H151" s="5" t="s">
        <v>28</v>
      </c>
      <c r="I151" s="5" t="s">
        <v>29</v>
      </c>
      <c r="J151" s="5" t="s">
        <v>30</v>
      </c>
      <c r="K151" s="5" t="s">
        <v>31</v>
      </c>
      <c r="L151" s="5" t="s">
        <v>32</v>
      </c>
      <c r="M151" s="5" t="s">
        <v>58</v>
      </c>
      <c r="N151" s="5" t="s">
        <v>48</v>
      </c>
      <c r="O151" s="5" t="s">
        <v>59</v>
      </c>
      <c r="P151" s="5" t="s">
        <v>60</v>
      </c>
      <c r="Q151" s="5">
        <v>101654819</v>
      </c>
      <c r="R151" s="5" t="s">
        <v>61</v>
      </c>
      <c r="S151" s="5" t="s">
        <v>39</v>
      </c>
      <c r="T151" s="7">
        <v>1</v>
      </c>
      <c r="U151" s="15" t="s">
        <v>59</v>
      </c>
      <c r="V151" s="16" t="s">
        <v>60</v>
      </c>
      <c r="W151" s="17">
        <v>101654819</v>
      </c>
      <c r="X151" s="16" t="s">
        <v>2506</v>
      </c>
      <c r="Y151" s="17" t="s">
        <v>2507</v>
      </c>
      <c r="Z151" s="17" t="s">
        <v>39</v>
      </c>
      <c r="AA151" s="17" t="s">
        <v>37</v>
      </c>
      <c r="AB151" s="29">
        <v>10.49</v>
      </c>
      <c r="AC151" s="25">
        <v>10.18</v>
      </c>
      <c r="AD151" s="25">
        <f>AC151*T151</f>
        <v>10.18</v>
      </c>
      <c r="AE151" s="25">
        <f>AB151*T151</f>
        <v>10.49</v>
      </c>
      <c r="AF151" s="25">
        <f>AD151-AE151</f>
        <v>-0.3100000000000005</v>
      </c>
      <c r="AG151" s="26">
        <f>AF151/AD151</f>
        <v>-3.0451866404715179E-2</v>
      </c>
      <c r="AH151" s="27" t="str">
        <f>IF(AG151&lt;0,"Negative",IF(AG151=0,"Same",IF(AG151&gt;0.3,"30+%",IF(AG151&gt;0.2,"20-30%",IF(AG151&gt;0.1,"10-20%",IF(AG151&lt;=0.1,"0-10%"))))))</f>
        <v>Negative</v>
      </c>
      <c r="AI151" s="32"/>
      <c r="AJ151" s="36" t="s">
        <v>3299</v>
      </c>
      <c r="AK151" s="32"/>
    </row>
    <row r="152" spans="1:37" s="1" customFormat="1" ht="19.7" customHeight="1" x14ac:dyDescent="0.25">
      <c r="A152" s="9" t="s">
        <v>22</v>
      </c>
      <c r="B152" s="9" t="s">
        <v>541</v>
      </c>
      <c r="C152" s="10">
        <v>44274</v>
      </c>
      <c r="D152" s="9" t="s">
        <v>24</v>
      </c>
      <c r="E152" s="9" t="s">
        <v>25</v>
      </c>
      <c r="F152" s="9" t="s">
        <v>26</v>
      </c>
      <c r="G152" s="9" t="s">
        <v>67</v>
      </c>
      <c r="H152" s="9" t="s">
        <v>68</v>
      </c>
      <c r="I152" s="9" t="s">
        <v>29</v>
      </c>
      <c r="J152" s="9" t="s">
        <v>30</v>
      </c>
      <c r="K152" s="9" t="s">
        <v>31</v>
      </c>
      <c r="L152" s="9" t="s">
        <v>32</v>
      </c>
      <c r="M152" s="9" t="s">
        <v>545</v>
      </c>
      <c r="N152" s="9" t="s">
        <v>542</v>
      </c>
      <c r="O152" s="9" t="s">
        <v>259</v>
      </c>
      <c r="P152" s="9" t="s">
        <v>546</v>
      </c>
      <c r="Q152" s="9">
        <v>101220001</v>
      </c>
      <c r="R152" s="9" t="s">
        <v>38</v>
      </c>
      <c r="S152" s="9" t="s">
        <v>39</v>
      </c>
      <c r="T152" s="11">
        <v>1</v>
      </c>
      <c r="U152" s="15" t="s">
        <v>259</v>
      </c>
      <c r="V152" s="16" t="s">
        <v>546</v>
      </c>
      <c r="W152" s="17">
        <v>101220001</v>
      </c>
      <c r="X152" s="16" t="s">
        <v>2585</v>
      </c>
      <c r="Y152" s="17" t="s">
        <v>2725</v>
      </c>
      <c r="Z152" s="17" t="s">
        <v>39</v>
      </c>
      <c r="AA152" s="17" t="s">
        <v>2501</v>
      </c>
      <c r="AB152" s="29">
        <v>4.22</v>
      </c>
      <c r="AC152" s="25">
        <v>4.3099999999999996</v>
      </c>
      <c r="AD152" s="25">
        <f>AC152*T152</f>
        <v>4.3099999999999996</v>
      </c>
      <c r="AE152" s="25">
        <f>AB152*T152</f>
        <v>4.22</v>
      </c>
      <c r="AF152" s="25">
        <f>AD152-AE152</f>
        <v>8.9999999999999858E-2</v>
      </c>
      <c r="AG152" s="26">
        <f>AF152/AD152</f>
        <v>2.0881670533642659E-2</v>
      </c>
      <c r="AH152" s="27" t="str">
        <f>IF(AG152&lt;0,"Negative",IF(AG152=0,"Same",IF(AG152&gt;0.3,"30+%",IF(AG152&gt;0.2,"20-30%",IF(AG152&gt;0.1,"10-20%",IF(AG152&lt;=0.1,"0-10%"))))))</f>
        <v>0-10%</v>
      </c>
      <c r="AI152" s="32"/>
      <c r="AJ152" s="36" t="s">
        <v>3300</v>
      </c>
      <c r="AK152" s="32"/>
    </row>
    <row r="153" spans="1:37" s="1" customFormat="1" ht="19.7" customHeight="1" x14ac:dyDescent="0.25">
      <c r="A153" s="5" t="s">
        <v>22</v>
      </c>
      <c r="B153" s="5" t="s">
        <v>1444</v>
      </c>
      <c r="C153" s="6">
        <v>44398</v>
      </c>
      <c r="D153" s="5" t="s">
        <v>24</v>
      </c>
      <c r="E153" s="5" t="s">
        <v>25</v>
      </c>
      <c r="F153" s="5" t="s">
        <v>26</v>
      </c>
      <c r="G153" s="5" t="s">
        <v>27</v>
      </c>
      <c r="H153" s="5" t="s">
        <v>28</v>
      </c>
      <c r="I153" s="5" t="s">
        <v>29</v>
      </c>
      <c r="J153" s="5" t="s">
        <v>30</v>
      </c>
      <c r="K153" s="5" t="s">
        <v>31</v>
      </c>
      <c r="L153" s="5" t="s">
        <v>32</v>
      </c>
      <c r="M153" s="5" t="s">
        <v>261</v>
      </c>
      <c r="N153" s="5" t="s">
        <v>1445</v>
      </c>
      <c r="O153" s="5" t="s">
        <v>1446</v>
      </c>
      <c r="P153" s="5" t="s">
        <v>1449</v>
      </c>
      <c r="Q153" s="5">
        <v>105080757</v>
      </c>
      <c r="R153" s="5" t="s">
        <v>56</v>
      </c>
      <c r="S153" s="5" t="s">
        <v>39</v>
      </c>
      <c r="T153" s="7">
        <v>1</v>
      </c>
      <c r="U153" s="15" t="s">
        <v>1446</v>
      </c>
      <c r="V153" s="16" t="s">
        <v>1449</v>
      </c>
      <c r="W153" s="17">
        <v>105080757</v>
      </c>
      <c r="X153" s="16" t="s">
        <v>2555</v>
      </c>
      <c r="Y153" s="17" t="s">
        <v>3045</v>
      </c>
      <c r="Z153" s="17" t="s">
        <v>39</v>
      </c>
      <c r="AA153" s="17" t="s">
        <v>2501</v>
      </c>
      <c r="AB153" s="29">
        <v>8.34</v>
      </c>
      <c r="AC153" s="25">
        <v>8.51</v>
      </c>
      <c r="AD153" s="25">
        <f>AC153*T153</f>
        <v>8.51</v>
      </c>
      <c r="AE153" s="25">
        <f>AB153*T153</f>
        <v>8.34</v>
      </c>
      <c r="AF153" s="25">
        <f>AD153-AE153</f>
        <v>0.16999999999999993</v>
      </c>
      <c r="AG153" s="26">
        <f>AF153/AD153</f>
        <v>1.9976498237367794E-2</v>
      </c>
      <c r="AH153" s="27" t="str">
        <f>IF(AG153&lt;0,"Negative",IF(AG153=0,"Same",IF(AG153&gt;0.3,"30+%",IF(AG153&gt;0.2,"20-30%",IF(AG153&gt;0.1,"10-20%",IF(AG153&lt;=0.1,"0-10%"))))))</f>
        <v>0-10%</v>
      </c>
      <c r="AI153" s="32"/>
      <c r="AJ153" s="36" t="s">
        <v>3300</v>
      </c>
      <c r="AK153" s="32"/>
    </row>
    <row r="154" spans="1:37" s="1" customFormat="1" ht="19.7" customHeight="1" x14ac:dyDescent="0.25">
      <c r="A154" s="9" t="s">
        <v>22</v>
      </c>
      <c r="B154" s="9" t="s">
        <v>166</v>
      </c>
      <c r="C154" s="10">
        <v>44238</v>
      </c>
      <c r="D154" s="9" t="s">
        <v>24</v>
      </c>
      <c r="E154" s="9" t="s">
        <v>25</v>
      </c>
      <c r="F154" s="9" t="s">
        <v>26</v>
      </c>
      <c r="G154" s="9" t="s">
        <v>27</v>
      </c>
      <c r="H154" s="9" t="s">
        <v>28</v>
      </c>
      <c r="I154" s="9" t="s">
        <v>29</v>
      </c>
      <c r="J154" s="9" t="s">
        <v>30</v>
      </c>
      <c r="K154" s="9" t="s">
        <v>31</v>
      </c>
      <c r="L154" s="9" t="s">
        <v>32</v>
      </c>
      <c r="M154" s="9" t="s">
        <v>167</v>
      </c>
      <c r="N154" s="9" t="s">
        <v>168</v>
      </c>
      <c r="O154" s="9" t="s">
        <v>169</v>
      </c>
      <c r="P154" s="9" t="s">
        <v>170</v>
      </c>
      <c r="Q154" s="9">
        <v>100768798</v>
      </c>
      <c r="R154" s="9" t="s">
        <v>56</v>
      </c>
      <c r="S154" s="9" t="s">
        <v>39</v>
      </c>
      <c r="T154" s="11">
        <v>2</v>
      </c>
      <c r="U154" s="15" t="s">
        <v>169</v>
      </c>
      <c r="V154" s="16" t="s">
        <v>170</v>
      </c>
      <c r="W154" s="17">
        <v>100768798</v>
      </c>
      <c r="X154" s="16" t="s">
        <v>2555</v>
      </c>
      <c r="Y154" s="17" t="s">
        <v>2556</v>
      </c>
      <c r="Z154" s="17" t="s">
        <v>39</v>
      </c>
      <c r="AA154" s="17" t="s">
        <v>37</v>
      </c>
      <c r="AB154" s="43">
        <v>3.38</v>
      </c>
      <c r="AC154" s="25">
        <v>3.53</v>
      </c>
      <c r="AD154" s="25">
        <f>AC154*T154</f>
        <v>7.06</v>
      </c>
      <c r="AE154" s="25">
        <f>AB154*T154</f>
        <v>6.76</v>
      </c>
      <c r="AF154" s="25">
        <f>AD154-AE154</f>
        <v>0.29999999999999982</v>
      </c>
      <c r="AG154" s="26">
        <f>AF154/AD154</f>
        <v>4.2492917847025476E-2</v>
      </c>
      <c r="AH154" s="27" t="str">
        <f>IF(AG154&lt;0,"Negative",IF(AG154=0,"Same",IF(AG154&gt;0.3,"30+%",IF(AG154&gt;0.2,"20-30%",IF(AG154&gt;0.1,"10-20%",IF(AG154&lt;=0.1,"0-10%"))))))</f>
        <v>0-10%</v>
      </c>
      <c r="AI154" s="32"/>
      <c r="AJ154" s="36" t="s">
        <v>3300</v>
      </c>
      <c r="AK154" s="32"/>
    </row>
    <row r="155" spans="1:37" s="1" customFormat="1" ht="19.7" customHeight="1" x14ac:dyDescent="0.25">
      <c r="A155" s="9" t="s">
        <v>22</v>
      </c>
      <c r="B155" s="9" t="s">
        <v>2130</v>
      </c>
      <c r="C155" s="10">
        <v>44522</v>
      </c>
      <c r="D155" s="9" t="s">
        <v>24</v>
      </c>
      <c r="E155" s="9" t="s">
        <v>25</v>
      </c>
      <c r="F155" s="9" t="s">
        <v>26</v>
      </c>
      <c r="G155" s="9" t="s">
        <v>67</v>
      </c>
      <c r="H155" s="9" t="s">
        <v>68</v>
      </c>
      <c r="I155" s="9" t="s">
        <v>29</v>
      </c>
      <c r="J155" s="9" t="s">
        <v>30</v>
      </c>
      <c r="K155" s="9" t="s">
        <v>31</v>
      </c>
      <c r="L155" s="9" t="s">
        <v>32</v>
      </c>
      <c r="M155" s="9" t="s">
        <v>361</v>
      </c>
      <c r="N155" s="9" t="s">
        <v>2131</v>
      </c>
      <c r="O155" s="9" t="s">
        <v>271</v>
      </c>
      <c r="P155" s="9" t="s">
        <v>362</v>
      </c>
      <c r="Q155" s="9">
        <v>101545015</v>
      </c>
      <c r="R155" s="9" t="s">
        <v>73</v>
      </c>
      <c r="S155" s="9" t="s">
        <v>39</v>
      </c>
      <c r="T155" s="11">
        <v>16</v>
      </c>
      <c r="U155" s="15" t="s">
        <v>271</v>
      </c>
      <c r="V155" s="41" t="s">
        <v>362</v>
      </c>
      <c r="W155" s="17">
        <v>101545015</v>
      </c>
      <c r="X155" s="16" t="s">
        <v>2510</v>
      </c>
      <c r="Y155" s="17" t="s">
        <v>2642</v>
      </c>
      <c r="Z155" s="17" t="s">
        <v>39</v>
      </c>
      <c r="AA155" s="17" t="s">
        <v>37</v>
      </c>
      <c r="AB155" s="29">
        <v>11.91</v>
      </c>
      <c r="AC155" s="25">
        <v>10.86</v>
      </c>
      <c r="AD155" s="25">
        <f>AC155*T155</f>
        <v>173.76</v>
      </c>
      <c r="AE155" s="25">
        <f>AB155*T155</f>
        <v>190.56</v>
      </c>
      <c r="AF155" s="25">
        <f>AD155-AE155</f>
        <v>-16.800000000000011</v>
      </c>
      <c r="AG155" s="26">
        <f>AF155/AD155</f>
        <v>-9.6685082872928249E-2</v>
      </c>
      <c r="AH155" s="27" t="str">
        <f>IF(AG155&lt;0,"Negative",IF(AG155=0,"Same",IF(AG155&gt;0.3,"30+%",IF(AG155&gt;0.2,"20-30%",IF(AG155&gt;0.1,"10-20%",IF(AG155&lt;=0.1,"0-10%"))))))</f>
        <v>Negative</v>
      </c>
      <c r="AI155" s="32"/>
      <c r="AJ155" s="36" t="s">
        <v>3299</v>
      </c>
      <c r="AK155" s="32"/>
    </row>
    <row r="156" spans="1:37" s="1" customFormat="1" ht="19.7" customHeight="1" x14ac:dyDescent="0.25">
      <c r="A156" s="9" t="s">
        <v>22</v>
      </c>
      <c r="B156" s="9" t="s">
        <v>1194</v>
      </c>
      <c r="C156" s="10">
        <v>44355</v>
      </c>
      <c r="D156" s="9" t="s">
        <v>24</v>
      </c>
      <c r="E156" s="9" t="s">
        <v>25</v>
      </c>
      <c r="F156" s="9" t="s">
        <v>26</v>
      </c>
      <c r="G156" s="9" t="s">
        <v>27</v>
      </c>
      <c r="H156" s="9" t="s">
        <v>28</v>
      </c>
      <c r="I156" s="9" t="s">
        <v>29</v>
      </c>
      <c r="J156" s="9" t="s">
        <v>30</v>
      </c>
      <c r="K156" s="9" t="s">
        <v>31</v>
      </c>
      <c r="L156" s="9" t="s">
        <v>32</v>
      </c>
      <c r="M156" s="9" t="s">
        <v>1195</v>
      </c>
      <c r="N156" s="9" t="s">
        <v>1196</v>
      </c>
      <c r="O156" s="9" t="s">
        <v>169</v>
      </c>
      <c r="P156" s="9" t="s">
        <v>1197</v>
      </c>
      <c r="Q156" s="9">
        <v>100768810</v>
      </c>
      <c r="R156" s="9" t="s">
        <v>56</v>
      </c>
      <c r="S156" s="9" t="s">
        <v>39</v>
      </c>
      <c r="T156" s="11">
        <v>2</v>
      </c>
      <c r="U156" s="15" t="s">
        <v>169</v>
      </c>
      <c r="V156" s="16" t="s">
        <v>1197</v>
      </c>
      <c r="W156" s="17">
        <v>100768810</v>
      </c>
      <c r="X156" s="16" t="s">
        <v>2555</v>
      </c>
      <c r="Y156" s="17" t="s">
        <v>2959</v>
      </c>
      <c r="Z156" s="17" t="s">
        <v>39</v>
      </c>
      <c r="AA156" s="17" t="s">
        <v>37</v>
      </c>
      <c r="AB156" s="43">
        <v>3.77</v>
      </c>
      <c r="AC156" s="25">
        <v>3.93</v>
      </c>
      <c r="AD156" s="25">
        <f>AC156*T156</f>
        <v>7.86</v>
      </c>
      <c r="AE156" s="25">
        <f>AB156*T156</f>
        <v>7.54</v>
      </c>
      <c r="AF156" s="25">
        <f>AD156-AE156</f>
        <v>0.32000000000000028</v>
      </c>
      <c r="AG156" s="26">
        <f>AF156/AD156</f>
        <v>4.0712468193384262E-2</v>
      </c>
      <c r="AH156" s="27" t="str">
        <f>IF(AG156&lt;0,"Negative",IF(AG156=0,"Same",IF(AG156&gt;0.3,"30+%",IF(AG156&gt;0.2,"20-30%",IF(AG156&gt;0.1,"10-20%",IF(AG156&lt;=0.1,"0-10%"))))))</f>
        <v>0-10%</v>
      </c>
      <c r="AI156" s="32"/>
      <c r="AJ156" s="36" t="s">
        <v>3300</v>
      </c>
      <c r="AK156" s="32"/>
    </row>
    <row r="157" spans="1:37" s="1" customFormat="1" ht="19.7" customHeight="1" x14ac:dyDescent="0.25">
      <c r="A157" s="9" t="s">
        <v>22</v>
      </c>
      <c r="B157" s="9" t="s">
        <v>1652</v>
      </c>
      <c r="C157" s="10">
        <v>44431</v>
      </c>
      <c r="D157" s="9" t="s">
        <v>24</v>
      </c>
      <c r="E157" s="9" t="s">
        <v>25</v>
      </c>
      <c r="F157" s="9" t="s">
        <v>26</v>
      </c>
      <c r="G157" s="9" t="s">
        <v>27</v>
      </c>
      <c r="H157" s="9" t="s">
        <v>28</v>
      </c>
      <c r="I157" s="9" t="s">
        <v>29</v>
      </c>
      <c r="J157" s="9" t="s">
        <v>30</v>
      </c>
      <c r="K157" s="9" t="s">
        <v>31</v>
      </c>
      <c r="L157" s="9" t="s">
        <v>32</v>
      </c>
      <c r="M157" s="9" t="s">
        <v>1653</v>
      </c>
      <c r="N157" s="9" t="s">
        <v>1654</v>
      </c>
      <c r="O157" s="9" t="s">
        <v>169</v>
      </c>
      <c r="P157" s="9" t="s">
        <v>1655</v>
      </c>
      <c r="Q157" s="9">
        <v>100768820</v>
      </c>
      <c r="R157" s="9" t="s">
        <v>56</v>
      </c>
      <c r="S157" s="9" t="s">
        <v>39</v>
      </c>
      <c r="T157" s="11">
        <v>2</v>
      </c>
      <c r="U157" s="15" t="s">
        <v>169</v>
      </c>
      <c r="V157" s="16" t="s">
        <v>1655</v>
      </c>
      <c r="W157" s="17">
        <v>100768820</v>
      </c>
      <c r="X157" s="16" t="s">
        <v>2555</v>
      </c>
      <c r="Y157" s="17" t="s">
        <v>3101</v>
      </c>
      <c r="Z157" s="17" t="s">
        <v>39</v>
      </c>
      <c r="AA157" s="17" t="s">
        <v>37</v>
      </c>
      <c r="AB157" s="43">
        <v>4.07</v>
      </c>
      <c r="AC157" s="25">
        <v>4.24</v>
      </c>
      <c r="AD157" s="25">
        <f>AC157*T157</f>
        <v>8.48</v>
      </c>
      <c r="AE157" s="25">
        <f>AB157*T157</f>
        <v>8.14</v>
      </c>
      <c r="AF157" s="25">
        <f>AD157-AE157</f>
        <v>0.33999999999999986</v>
      </c>
      <c r="AG157" s="26">
        <f>AF157/AD157</f>
        <v>4.0094339622641494E-2</v>
      </c>
      <c r="AH157" s="27" t="str">
        <f>IF(AG157&lt;0,"Negative",IF(AG157=0,"Same",IF(AG157&gt;0.3,"30+%",IF(AG157&gt;0.2,"20-30%",IF(AG157&gt;0.1,"10-20%",IF(AG157&lt;=0.1,"0-10%"))))))</f>
        <v>0-10%</v>
      </c>
      <c r="AI157" s="32"/>
      <c r="AJ157" s="36" t="s">
        <v>3300</v>
      </c>
      <c r="AK157" s="32"/>
    </row>
    <row r="158" spans="1:37" s="1" customFormat="1" ht="19.7" customHeight="1" x14ac:dyDescent="0.25">
      <c r="A158" s="5" t="s">
        <v>22</v>
      </c>
      <c r="B158" s="5" t="s">
        <v>1248</v>
      </c>
      <c r="C158" s="6">
        <v>44368</v>
      </c>
      <c r="D158" s="5" t="s">
        <v>24</v>
      </c>
      <c r="E158" s="5" t="s">
        <v>25</v>
      </c>
      <c r="F158" s="5" t="s">
        <v>26</v>
      </c>
      <c r="G158" s="5" t="s">
        <v>27</v>
      </c>
      <c r="H158" s="5" t="s">
        <v>28</v>
      </c>
      <c r="I158" s="5" t="s">
        <v>29</v>
      </c>
      <c r="J158" s="5" t="s">
        <v>30</v>
      </c>
      <c r="K158" s="5" t="s">
        <v>31</v>
      </c>
      <c r="L158" s="5" t="s">
        <v>32</v>
      </c>
      <c r="M158" s="5" t="s">
        <v>261</v>
      </c>
      <c r="N158" s="5" t="s">
        <v>1249</v>
      </c>
      <c r="O158" s="5" t="s">
        <v>169</v>
      </c>
      <c r="P158" s="5" t="s">
        <v>1250</v>
      </c>
      <c r="Q158" s="5">
        <v>100770901</v>
      </c>
      <c r="R158" s="5" t="s">
        <v>56</v>
      </c>
      <c r="S158" s="5" t="s">
        <v>39</v>
      </c>
      <c r="T158" s="7">
        <v>3</v>
      </c>
      <c r="U158" s="15" t="s">
        <v>169</v>
      </c>
      <c r="V158" s="16" t="s">
        <v>1250</v>
      </c>
      <c r="W158" s="17">
        <v>100770901</v>
      </c>
      <c r="X158" s="16" t="s">
        <v>2749</v>
      </c>
      <c r="Y158" s="17" t="s">
        <v>2975</v>
      </c>
      <c r="Z158" s="17" t="s">
        <v>39</v>
      </c>
      <c r="AA158" s="17" t="s">
        <v>37</v>
      </c>
      <c r="AB158" s="43">
        <v>7.65</v>
      </c>
      <c r="AC158" s="25">
        <v>7.97</v>
      </c>
      <c r="AD158" s="25">
        <f>AC158*T158</f>
        <v>23.91</v>
      </c>
      <c r="AE158" s="25">
        <f>AB158*T158</f>
        <v>22.950000000000003</v>
      </c>
      <c r="AF158" s="25">
        <f>AD158-AE158</f>
        <v>0.9599999999999973</v>
      </c>
      <c r="AG158" s="26">
        <f>AF158/AD158</f>
        <v>4.0150564617314817E-2</v>
      </c>
      <c r="AH158" s="27" t="str">
        <f>IF(AG158&lt;0,"Negative",IF(AG158=0,"Same",IF(AG158&gt;0.3,"30+%",IF(AG158&gt;0.2,"20-30%",IF(AG158&gt;0.1,"10-20%",IF(AG158&lt;=0.1,"0-10%"))))))</f>
        <v>0-10%</v>
      </c>
      <c r="AI158" s="32"/>
      <c r="AJ158" s="36" t="s">
        <v>3300</v>
      </c>
      <c r="AK158" s="32"/>
    </row>
    <row r="159" spans="1:37" s="1" customFormat="1" ht="19.7" customHeight="1" x14ac:dyDescent="0.25">
      <c r="A159" s="9" t="s">
        <v>22</v>
      </c>
      <c r="B159" s="9" t="s">
        <v>1618</v>
      </c>
      <c r="C159" s="10">
        <v>44425</v>
      </c>
      <c r="D159" s="9" t="s">
        <v>24</v>
      </c>
      <c r="E159" s="9" t="s">
        <v>25</v>
      </c>
      <c r="F159" s="9" t="s">
        <v>26</v>
      </c>
      <c r="G159" s="9" t="s">
        <v>27</v>
      </c>
      <c r="H159" s="9" t="s">
        <v>28</v>
      </c>
      <c r="I159" s="9" t="s">
        <v>29</v>
      </c>
      <c r="J159" s="9" t="s">
        <v>30</v>
      </c>
      <c r="K159" s="9" t="s">
        <v>31</v>
      </c>
      <c r="L159" s="9" t="s">
        <v>32</v>
      </c>
      <c r="M159" s="9" t="s">
        <v>1173</v>
      </c>
      <c r="N159" s="9" t="s">
        <v>1572</v>
      </c>
      <c r="O159" s="9" t="s">
        <v>1174</v>
      </c>
      <c r="P159" s="9" t="s">
        <v>1175</v>
      </c>
      <c r="Q159" s="9">
        <v>114256091</v>
      </c>
      <c r="R159" s="9" t="s">
        <v>73</v>
      </c>
      <c r="S159" s="9" t="s">
        <v>39</v>
      </c>
      <c r="T159" s="11">
        <v>2</v>
      </c>
      <c r="U159" s="15" t="s">
        <v>1174</v>
      </c>
      <c r="V159" s="16" t="s">
        <v>1175</v>
      </c>
      <c r="W159" s="17">
        <v>114256091</v>
      </c>
      <c r="X159" s="16" t="s">
        <v>2951</v>
      </c>
      <c r="Y159" s="17" t="s">
        <v>2952</v>
      </c>
      <c r="Z159" s="17" t="s">
        <v>39</v>
      </c>
      <c r="AA159" s="17" t="s">
        <v>2501</v>
      </c>
      <c r="AB159" s="29">
        <v>31.83</v>
      </c>
      <c r="AC159" s="25">
        <v>30.9</v>
      </c>
      <c r="AD159" s="25">
        <f>AC159*T159</f>
        <v>61.8</v>
      </c>
      <c r="AE159" s="25">
        <f>AB159*T159</f>
        <v>63.66</v>
      </c>
      <c r="AF159" s="25">
        <f>AD159-AE159</f>
        <v>-1.8599999999999994</v>
      </c>
      <c r="AG159" s="26">
        <f>AF159/AD159</f>
        <v>-3.009708737864077E-2</v>
      </c>
      <c r="AH159" s="27" t="str">
        <f>IF(AG159&lt;0,"Negative",IF(AG159=0,"Same",IF(AG159&gt;0.3,"30+%",IF(AG159&gt;0.2,"20-30%",IF(AG159&gt;0.1,"10-20%",IF(AG159&lt;=0.1,"0-10%"))))))</f>
        <v>Negative</v>
      </c>
      <c r="AI159" s="32"/>
      <c r="AJ159" s="36" t="s">
        <v>3300</v>
      </c>
      <c r="AK159" s="32"/>
    </row>
    <row r="160" spans="1:37" s="1" customFormat="1" ht="19.7" customHeight="1" x14ac:dyDescent="0.25">
      <c r="A160" s="5" t="s">
        <v>22</v>
      </c>
      <c r="B160" s="5" t="s">
        <v>1172</v>
      </c>
      <c r="C160" s="6">
        <v>44350</v>
      </c>
      <c r="D160" s="5" t="s">
        <v>24</v>
      </c>
      <c r="E160" s="5" t="s">
        <v>25</v>
      </c>
      <c r="F160" s="5" t="s">
        <v>26</v>
      </c>
      <c r="G160" s="5" t="s">
        <v>27</v>
      </c>
      <c r="H160" s="5" t="s">
        <v>28</v>
      </c>
      <c r="I160" s="5" t="s">
        <v>29</v>
      </c>
      <c r="J160" s="5" t="s">
        <v>30</v>
      </c>
      <c r="K160" s="5" t="s">
        <v>31</v>
      </c>
      <c r="L160" s="5" t="s">
        <v>32</v>
      </c>
      <c r="M160" s="5" t="s">
        <v>1173</v>
      </c>
      <c r="N160" s="5" t="s">
        <v>1146</v>
      </c>
      <c r="O160" s="5" t="s">
        <v>1174</v>
      </c>
      <c r="P160" s="5" t="s">
        <v>1175</v>
      </c>
      <c r="Q160" s="5">
        <v>114256091</v>
      </c>
      <c r="R160" s="5" t="s">
        <v>73</v>
      </c>
      <c r="S160" s="5" t="s">
        <v>39</v>
      </c>
      <c r="T160" s="7">
        <v>2</v>
      </c>
      <c r="U160" s="15" t="s">
        <v>1174</v>
      </c>
      <c r="V160" s="16" t="s">
        <v>1175</v>
      </c>
      <c r="W160" s="17">
        <v>114256091</v>
      </c>
      <c r="X160" s="16" t="s">
        <v>2951</v>
      </c>
      <c r="Y160" s="17" t="s">
        <v>2952</v>
      </c>
      <c r="Z160" s="17" t="s">
        <v>39</v>
      </c>
      <c r="AA160" s="17" t="s">
        <v>2501</v>
      </c>
      <c r="AB160" s="29">
        <v>31.83</v>
      </c>
      <c r="AC160" s="25">
        <v>30.9</v>
      </c>
      <c r="AD160" s="25">
        <f>AC160*T160</f>
        <v>61.8</v>
      </c>
      <c r="AE160" s="25">
        <f>AB160*T160</f>
        <v>63.66</v>
      </c>
      <c r="AF160" s="25">
        <f>AD160-AE160</f>
        <v>-1.8599999999999994</v>
      </c>
      <c r="AG160" s="26">
        <f>AF160/AD160</f>
        <v>-3.009708737864077E-2</v>
      </c>
      <c r="AH160" s="27" t="str">
        <f>IF(AG160&lt;0,"Negative",IF(AG160=0,"Same",IF(AG160&gt;0.3,"30+%",IF(AG160&gt;0.2,"20-30%",IF(AG160&gt;0.1,"10-20%",IF(AG160&lt;=0.1,"0-10%"))))))</f>
        <v>Negative</v>
      </c>
      <c r="AI160" s="32"/>
      <c r="AJ160" s="36" t="s">
        <v>3300</v>
      </c>
      <c r="AK160" s="32"/>
    </row>
    <row r="161" spans="1:37" s="1" customFormat="1" ht="19.7" customHeight="1" x14ac:dyDescent="0.25">
      <c r="A161" s="5" t="s">
        <v>22</v>
      </c>
      <c r="B161" s="5" t="s">
        <v>750</v>
      </c>
      <c r="C161" s="6">
        <v>44298</v>
      </c>
      <c r="D161" s="5" t="s">
        <v>24</v>
      </c>
      <c r="E161" s="5" t="s">
        <v>25</v>
      </c>
      <c r="F161" s="5" t="s">
        <v>26</v>
      </c>
      <c r="G161" s="5" t="s">
        <v>67</v>
      </c>
      <c r="H161" s="5" t="s">
        <v>68</v>
      </c>
      <c r="I161" s="5" t="s">
        <v>29</v>
      </c>
      <c r="J161" s="5" t="s">
        <v>30</v>
      </c>
      <c r="K161" s="5" t="s">
        <v>31</v>
      </c>
      <c r="L161" s="5" t="s">
        <v>32</v>
      </c>
      <c r="M161" s="5" t="s">
        <v>751</v>
      </c>
      <c r="N161" s="5" t="s">
        <v>752</v>
      </c>
      <c r="O161" s="5" t="s">
        <v>753</v>
      </c>
      <c r="P161" s="5" t="s">
        <v>754</v>
      </c>
      <c r="Q161" s="5">
        <v>101743581</v>
      </c>
      <c r="R161" s="5" t="s">
        <v>61</v>
      </c>
      <c r="S161" s="5" t="s">
        <v>39</v>
      </c>
      <c r="T161" s="7">
        <v>2</v>
      </c>
      <c r="U161" s="15" t="s">
        <v>753</v>
      </c>
      <c r="V161" s="16" t="s">
        <v>754</v>
      </c>
      <c r="W161" s="17">
        <v>101743581</v>
      </c>
      <c r="X161" s="16" t="s">
        <v>2803</v>
      </c>
      <c r="Y161" s="17" t="s">
        <v>2804</v>
      </c>
      <c r="Z161" s="17" t="s">
        <v>39</v>
      </c>
      <c r="AA161" s="17" t="s">
        <v>37</v>
      </c>
      <c r="AB161" s="29">
        <v>4.8499999999999996</v>
      </c>
      <c r="AC161" s="25">
        <v>4.95</v>
      </c>
      <c r="AD161" s="25">
        <f>AC161*T161</f>
        <v>9.9</v>
      </c>
      <c r="AE161" s="25">
        <f>AB161*T161</f>
        <v>9.6999999999999993</v>
      </c>
      <c r="AF161" s="25">
        <f>AD161-AE161</f>
        <v>0.20000000000000107</v>
      </c>
      <c r="AG161" s="26">
        <f>AF161/AD161</f>
        <v>2.0202020202020308E-2</v>
      </c>
      <c r="AH161" s="27" t="str">
        <f>IF(AG161&lt;0,"Negative",IF(AG161=0,"Same",IF(AG161&gt;0.3,"30+%",IF(AG161&gt;0.2,"20-30%",IF(AG161&gt;0.1,"10-20%",IF(AG161&lt;=0.1,"0-10%"))))))</f>
        <v>0-10%</v>
      </c>
      <c r="AI161" s="32"/>
      <c r="AJ161" s="36" t="s">
        <v>3300</v>
      </c>
      <c r="AK161" s="32"/>
    </row>
    <row r="162" spans="1:37" s="1" customFormat="1" ht="19.7" customHeight="1" x14ac:dyDescent="0.25">
      <c r="A162" s="5" t="s">
        <v>22</v>
      </c>
      <c r="B162" s="5" t="s">
        <v>1715</v>
      </c>
      <c r="C162" s="6">
        <v>44441</v>
      </c>
      <c r="D162" s="5" t="s">
        <v>24</v>
      </c>
      <c r="E162" s="5" t="s">
        <v>25</v>
      </c>
      <c r="F162" s="5" t="s">
        <v>26</v>
      </c>
      <c r="G162" s="5" t="s">
        <v>27</v>
      </c>
      <c r="H162" s="5" t="s">
        <v>28</v>
      </c>
      <c r="I162" s="5" t="s">
        <v>29</v>
      </c>
      <c r="J162" s="5" t="s">
        <v>30</v>
      </c>
      <c r="K162" s="5" t="s">
        <v>31</v>
      </c>
      <c r="L162" s="5" t="s">
        <v>32</v>
      </c>
      <c r="M162" s="5" t="s">
        <v>1716</v>
      </c>
      <c r="N162" s="5" t="s">
        <v>1608</v>
      </c>
      <c r="O162" s="5" t="s">
        <v>35</v>
      </c>
      <c r="P162" s="5" t="s">
        <v>1717</v>
      </c>
      <c r="Q162" s="5">
        <v>100489879</v>
      </c>
      <c r="R162" s="5" t="s">
        <v>38</v>
      </c>
      <c r="S162" s="5" t="s">
        <v>39</v>
      </c>
      <c r="T162" s="7">
        <v>2</v>
      </c>
      <c r="U162" s="15" t="s">
        <v>35</v>
      </c>
      <c r="V162" s="16" t="s">
        <v>1717</v>
      </c>
      <c r="W162" s="17">
        <v>100489879</v>
      </c>
      <c r="X162" s="16" t="s">
        <v>2677</v>
      </c>
      <c r="Y162" s="17" t="s">
        <v>3115</v>
      </c>
      <c r="Z162" s="17" t="s">
        <v>39</v>
      </c>
      <c r="AA162" s="17" t="s">
        <v>37</v>
      </c>
      <c r="AB162" s="29">
        <v>1.88</v>
      </c>
      <c r="AC162" s="25">
        <v>1.93</v>
      </c>
      <c r="AD162" s="25">
        <f>AC162*T162</f>
        <v>3.86</v>
      </c>
      <c r="AE162" s="25">
        <f>AB162*T162</f>
        <v>3.76</v>
      </c>
      <c r="AF162" s="25">
        <f>AD162-AE162</f>
        <v>0.10000000000000009</v>
      </c>
      <c r="AG162" s="26">
        <f>AF162/AD162</f>
        <v>2.5906735751295359E-2</v>
      </c>
      <c r="AH162" s="27" t="str">
        <f>IF(AG162&lt;0,"Negative",IF(AG162=0,"Same",IF(AG162&gt;0.3,"30+%",IF(AG162&gt;0.2,"20-30%",IF(AG162&gt;0.1,"10-20%",IF(AG162&lt;=0.1,"0-10%"))))))</f>
        <v>0-10%</v>
      </c>
      <c r="AI162" s="32"/>
      <c r="AJ162" s="36" t="s">
        <v>3300</v>
      </c>
      <c r="AK162" s="32"/>
    </row>
    <row r="163" spans="1:37" s="1" customFormat="1" ht="19.7" customHeight="1" x14ac:dyDescent="0.25">
      <c r="A163" s="5" t="s">
        <v>22</v>
      </c>
      <c r="B163" s="5" t="s">
        <v>2329</v>
      </c>
      <c r="C163" s="6">
        <v>44568</v>
      </c>
      <c r="D163" s="5" t="s">
        <v>24</v>
      </c>
      <c r="E163" s="5" t="s">
        <v>25</v>
      </c>
      <c r="F163" s="5" t="s">
        <v>26</v>
      </c>
      <c r="G163" s="5" t="s">
        <v>27</v>
      </c>
      <c r="H163" s="5" t="s">
        <v>28</v>
      </c>
      <c r="I163" s="5" t="s">
        <v>29</v>
      </c>
      <c r="J163" s="5" t="s">
        <v>30</v>
      </c>
      <c r="K163" s="5" t="s">
        <v>31</v>
      </c>
      <c r="L163" s="5" t="s">
        <v>32</v>
      </c>
      <c r="M163" s="5" t="s">
        <v>1997</v>
      </c>
      <c r="N163" s="5" t="s">
        <v>2323</v>
      </c>
      <c r="O163" s="5" t="s">
        <v>35</v>
      </c>
      <c r="P163" s="5" t="s">
        <v>1998</v>
      </c>
      <c r="Q163" s="5">
        <v>100490743</v>
      </c>
      <c r="R163" s="5" t="s">
        <v>38</v>
      </c>
      <c r="S163" s="5" t="s">
        <v>39</v>
      </c>
      <c r="T163" s="7">
        <v>1</v>
      </c>
      <c r="U163" s="15" t="s">
        <v>35</v>
      </c>
      <c r="V163" s="16" t="s">
        <v>1998</v>
      </c>
      <c r="W163" s="17">
        <v>100490743</v>
      </c>
      <c r="X163" s="16" t="s">
        <v>2710</v>
      </c>
      <c r="Y163" s="17" t="s">
        <v>3184</v>
      </c>
      <c r="Z163" s="17" t="s">
        <v>39</v>
      </c>
      <c r="AA163" s="17" t="s">
        <v>37</v>
      </c>
      <c r="AB163" s="29">
        <v>32.11</v>
      </c>
      <c r="AC163" s="25">
        <v>31.27</v>
      </c>
      <c r="AD163" s="25">
        <f>AC163*T163</f>
        <v>31.27</v>
      </c>
      <c r="AE163" s="25">
        <f>AB163*T163</f>
        <v>32.11</v>
      </c>
      <c r="AF163" s="25">
        <f>AD163-AE163</f>
        <v>-0.83999999999999986</v>
      </c>
      <c r="AG163" s="26">
        <f>AF163/AD163</f>
        <v>-2.686280780300607E-2</v>
      </c>
      <c r="AH163" s="27" t="str">
        <f>IF(AG163&lt;0,"Negative",IF(AG163=0,"Same",IF(AG163&gt;0.3,"30+%",IF(AG163&gt;0.2,"20-30%",IF(AG163&gt;0.1,"10-20%",IF(AG163&lt;=0.1,"0-10%"))))))</f>
        <v>Negative</v>
      </c>
      <c r="AI163" s="32"/>
      <c r="AJ163" s="36" t="s">
        <v>3299</v>
      </c>
      <c r="AK163" s="32"/>
    </row>
    <row r="164" spans="1:37" s="1" customFormat="1" ht="19.7" customHeight="1" x14ac:dyDescent="0.25">
      <c r="A164" s="9" t="s">
        <v>22</v>
      </c>
      <c r="B164" s="9" t="s">
        <v>1313</v>
      </c>
      <c r="C164" s="10">
        <v>44375</v>
      </c>
      <c r="D164" s="9" t="s">
        <v>24</v>
      </c>
      <c r="E164" s="9" t="s">
        <v>25</v>
      </c>
      <c r="F164" s="9" t="s">
        <v>26</v>
      </c>
      <c r="G164" s="9" t="s">
        <v>27</v>
      </c>
      <c r="H164" s="9" t="s">
        <v>28</v>
      </c>
      <c r="I164" s="9" t="s">
        <v>29</v>
      </c>
      <c r="J164" s="9" t="s">
        <v>30</v>
      </c>
      <c r="K164" s="9" t="s">
        <v>31</v>
      </c>
      <c r="L164" s="9" t="s">
        <v>32</v>
      </c>
      <c r="M164" s="9" t="s">
        <v>592</v>
      </c>
      <c r="N164" s="9" t="s">
        <v>1244</v>
      </c>
      <c r="O164" s="9" t="s">
        <v>71</v>
      </c>
      <c r="P164" s="9" t="s">
        <v>593</v>
      </c>
      <c r="Q164" s="9">
        <v>112038897</v>
      </c>
      <c r="R164" s="9" t="s">
        <v>73</v>
      </c>
      <c r="S164" s="9" t="s">
        <v>39</v>
      </c>
      <c r="T164" s="11">
        <v>48</v>
      </c>
      <c r="U164" s="15" t="s">
        <v>71</v>
      </c>
      <c r="V164" s="41" t="s">
        <v>593</v>
      </c>
      <c r="W164" s="17">
        <v>112038897</v>
      </c>
      <c r="X164" s="16" t="s">
        <v>2510</v>
      </c>
      <c r="Y164" s="17" t="s">
        <v>2743</v>
      </c>
      <c r="Z164" s="17" t="s">
        <v>39</v>
      </c>
      <c r="AA164" s="17" t="s">
        <v>2501</v>
      </c>
      <c r="AB164" s="29">
        <v>4.01</v>
      </c>
      <c r="AC164" s="25">
        <v>4.01</v>
      </c>
      <c r="AD164" s="25">
        <f>AC164*T164</f>
        <v>192.48</v>
      </c>
      <c r="AE164" s="25">
        <f>AB164*T164</f>
        <v>192.48</v>
      </c>
      <c r="AF164" s="25">
        <f>AD164-AE164</f>
        <v>0</v>
      </c>
      <c r="AG164" s="26">
        <f>AF164/AD164</f>
        <v>0</v>
      </c>
      <c r="AH164" s="27" t="str">
        <f>IF(AG164&lt;0,"Negative",IF(AG164=0,"Same",IF(AG164&gt;0.3,"30+%",IF(AG164&gt;0.2,"20-30%",IF(AG164&gt;0.1,"10-20%",IF(AG164&lt;=0.1,"0-10%"))))))</f>
        <v>Same</v>
      </c>
      <c r="AI164" s="32"/>
      <c r="AJ164" s="36" t="s">
        <v>3300</v>
      </c>
      <c r="AK164" s="32"/>
    </row>
    <row r="165" spans="1:37" s="1" customFormat="1" ht="19.7" customHeight="1" x14ac:dyDescent="0.25">
      <c r="A165" s="9" t="s">
        <v>22</v>
      </c>
      <c r="B165" s="9" t="s">
        <v>449</v>
      </c>
      <c r="C165" s="10">
        <v>44266</v>
      </c>
      <c r="D165" s="9" t="s">
        <v>24</v>
      </c>
      <c r="E165" s="9" t="s">
        <v>25</v>
      </c>
      <c r="F165" s="9" t="s">
        <v>26</v>
      </c>
      <c r="G165" s="9" t="s">
        <v>27</v>
      </c>
      <c r="H165" s="9" t="s">
        <v>28</v>
      </c>
      <c r="I165" s="9" t="s">
        <v>29</v>
      </c>
      <c r="J165" s="9" t="s">
        <v>30</v>
      </c>
      <c r="K165" s="9" t="s">
        <v>31</v>
      </c>
      <c r="L165" s="9" t="s">
        <v>32</v>
      </c>
      <c r="M165" s="9" t="s">
        <v>261</v>
      </c>
      <c r="N165" s="9" t="s">
        <v>450</v>
      </c>
      <c r="O165" s="9" t="s">
        <v>451</v>
      </c>
      <c r="P165" s="9" t="s">
        <v>452</v>
      </c>
      <c r="Q165" s="9">
        <v>102097991</v>
      </c>
      <c r="R165" s="9" t="s">
        <v>38</v>
      </c>
      <c r="S165" s="9" t="s">
        <v>39</v>
      </c>
      <c r="T165" s="11">
        <v>30</v>
      </c>
      <c r="U165" s="15" t="s">
        <v>451</v>
      </c>
      <c r="V165" s="16" t="s">
        <v>452</v>
      </c>
      <c r="W165" s="17">
        <v>102097991</v>
      </c>
      <c r="X165" s="16" t="s">
        <v>2677</v>
      </c>
      <c r="Y165" s="17" t="s">
        <v>2678</v>
      </c>
      <c r="Z165" s="17" t="s">
        <v>39</v>
      </c>
      <c r="AA165" s="17" t="s">
        <v>37</v>
      </c>
      <c r="AB165" s="29">
        <v>2.2599999999999998</v>
      </c>
      <c r="AC165" s="25">
        <v>2.31</v>
      </c>
      <c r="AD165" s="25">
        <f>AC165*T165</f>
        <v>69.3</v>
      </c>
      <c r="AE165" s="25">
        <f>AB165*T165</f>
        <v>67.8</v>
      </c>
      <c r="AF165" s="25">
        <f>AD165-AE165</f>
        <v>1.5</v>
      </c>
      <c r="AG165" s="26">
        <f>AF165/AD165</f>
        <v>2.1645021645021648E-2</v>
      </c>
      <c r="AH165" s="27" t="str">
        <f>IF(AG165&lt;0,"Negative",IF(AG165=0,"Same",IF(AG165&gt;0.3,"30+%",IF(AG165&gt;0.2,"20-30%",IF(AG165&gt;0.1,"10-20%",IF(AG165&lt;=0.1,"0-10%"))))))</f>
        <v>0-10%</v>
      </c>
      <c r="AI165" s="32"/>
      <c r="AJ165" s="36" t="s">
        <v>3299</v>
      </c>
      <c r="AK165" s="32"/>
    </row>
    <row r="166" spans="1:37" s="1" customFormat="1" ht="19.7" customHeight="1" x14ac:dyDescent="0.25">
      <c r="A166" s="9" t="s">
        <v>22</v>
      </c>
      <c r="B166" s="9" t="s">
        <v>2339</v>
      </c>
      <c r="C166" s="10">
        <v>44568</v>
      </c>
      <c r="D166" s="9" t="s">
        <v>24</v>
      </c>
      <c r="E166" s="9" t="s">
        <v>25</v>
      </c>
      <c r="F166" s="9" t="s">
        <v>26</v>
      </c>
      <c r="G166" s="9" t="s">
        <v>67</v>
      </c>
      <c r="H166" s="9" t="s">
        <v>68</v>
      </c>
      <c r="I166" s="9" t="s">
        <v>29</v>
      </c>
      <c r="J166" s="9" t="s">
        <v>30</v>
      </c>
      <c r="K166" s="9" t="s">
        <v>31</v>
      </c>
      <c r="L166" s="9" t="s">
        <v>32</v>
      </c>
      <c r="M166" s="9" t="s">
        <v>499</v>
      </c>
      <c r="N166" s="9" t="s">
        <v>2340</v>
      </c>
      <c r="O166" s="9" t="s">
        <v>128</v>
      </c>
      <c r="P166" s="9" t="s">
        <v>500</v>
      </c>
      <c r="Q166" s="9">
        <v>100867383</v>
      </c>
      <c r="R166" s="9" t="s">
        <v>299</v>
      </c>
      <c r="S166" s="9" t="s">
        <v>39</v>
      </c>
      <c r="T166" s="11">
        <v>2</v>
      </c>
      <c r="U166" s="15" t="s">
        <v>128</v>
      </c>
      <c r="V166" s="16" t="s">
        <v>500</v>
      </c>
      <c r="W166" s="17">
        <v>100867383</v>
      </c>
      <c r="X166" s="16" t="s">
        <v>2701</v>
      </c>
      <c r="Y166" s="17" t="s">
        <v>2702</v>
      </c>
      <c r="Z166" s="17" t="s">
        <v>39</v>
      </c>
      <c r="AA166" s="17" t="s">
        <v>37</v>
      </c>
      <c r="AB166" s="29">
        <v>6.41</v>
      </c>
      <c r="AC166" s="25">
        <v>6.15</v>
      </c>
      <c r="AD166" s="25">
        <f>AC166*T166</f>
        <v>12.3</v>
      </c>
      <c r="AE166" s="25">
        <f>AB166*T166</f>
        <v>12.82</v>
      </c>
      <c r="AF166" s="25">
        <f>AD166-AE166</f>
        <v>-0.51999999999999957</v>
      </c>
      <c r="AG166" s="26">
        <f>AF166/AD166</f>
        <v>-4.2276422764227606E-2</v>
      </c>
      <c r="AH166" s="27" t="str">
        <f>IF(AG166&lt;0,"Negative",IF(AG166=0,"Same",IF(AG166&gt;0.3,"30+%",IF(AG166&gt;0.2,"20-30%",IF(AG166&gt;0.1,"10-20%",IF(AG166&lt;=0.1,"0-10%"))))))</f>
        <v>Negative</v>
      </c>
      <c r="AI166" s="32"/>
      <c r="AJ166" s="36" t="s">
        <v>3300</v>
      </c>
      <c r="AK166" s="32"/>
    </row>
    <row r="167" spans="1:37" s="1" customFormat="1" ht="19.7" customHeight="1" x14ac:dyDescent="0.25">
      <c r="A167" s="5" t="s">
        <v>22</v>
      </c>
      <c r="B167" s="5" t="s">
        <v>2145</v>
      </c>
      <c r="C167" s="6">
        <v>44524</v>
      </c>
      <c r="D167" s="5" t="s">
        <v>24</v>
      </c>
      <c r="E167" s="5" t="s">
        <v>25</v>
      </c>
      <c r="F167" s="5" t="s">
        <v>26</v>
      </c>
      <c r="G167" s="5" t="s">
        <v>27</v>
      </c>
      <c r="H167" s="5" t="s">
        <v>28</v>
      </c>
      <c r="I167" s="5" t="s">
        <v>29</v>
      </c>
      <c r="J167" s="5" t="s">
        <v>30</v>
      </c>
      <c r="K167" s="5" t="s">
        <v>31</v>
      </c>
      <c r="L167" s="5" t="s">
        <v>32</v>
      </c>
      <c r="M167" s="5" t="s">
        <v>2146</v>
      </c>
      <c r="N167" s="5" t="s">
        <v>2144</v>
      </c>
      <c r="O167" s="5" t="s">
        <v>109</v>
      </c>
      <c r="P167" s="5" t="s">
        <v>2147</v>
      </c>
      <c r="Q167" s="5">
        <v>100721312</v>
      </c>
      <c r="R167" s="5" t="s">
        <v>61</v>
      </c>
      <c r="S167" s="5" t="s">
        <v>39</v>
      </c>
      <c r="T167" s="7">
        <v>2</v>
      </c>
      <c r="U167" s="15" t="s">
        <v>109</v>
      </c>
      <c r="V167" s="16" t="s">
        <v>2147</v>
      </c>
      <c r="W167" s="17">
        <v>100721312</v>
      </c>
      <c r="X167" s="16" t="s">
        <v>2526</v>
      </c>
      <c r="Y167" s="17" t="s">
        <v>3214</v>
      </c>
      <c r="Z167" s="17" t="s">
        <v>39</v>
      </c>
      <c r="AA167" s="17" t="s">
        <v>37</v>
      </c>
      <c r="AB167" s="43">
        <v>4.3</v>
      </c>
      <c r="AC167" s="25">
        <v>4.4000000000000004</v>
      </c>
      <c r="AD167" s="25">
        <f>AC167*T167</f>
        <v>8.8000000000000007</v>
      </c>
      <c r="AE167" s="25">
        <f>AB167*T167</f>
        <v>8.6</v>
      </c>
      <c r="AF167" s="25">
        <f>AD167-AE167</f>
        <v>0.20000000000000107</v>
      </c>
      <c r="AG167" s="26">
        <f>AF167/AD167</f>
        <v>2.2727272727272846E-2</v>
      </c>
      <c r="AH167" s="27" t="str">
        <f>IF(AG167&lt;0,"Negative",IF(AG167=0,"Same",IF(AG167&gt;0.3,"30+%",IF(AG167&gt;0.2,"20-30%",IF(AG167&gt;0.1,"10-20%",IF(AG167&lt;=0.1,"0-10%"))))))</f>
        <v>0-10%</v>
      </c>
      <c r="AI167" s="32"/>
      <c r="AJ167" s="36" t="s">
        <v>3300</v>
      </c>
      <c r="AK167" s="32"/>
    </row>
    <row r="168" spans="1:37" s="1" customFormat="1" ht="19.7" customHeight="1" x14ac:dyDescent="0.25">
      <c r="A168" s="9" t="s">
        <v>22</v>
      </c>
      <c r="B168" s="9" t="s">
        <v>1278</v>
      </c>
      <c r="C168" s="10">
        <v>44370</v>
      </c>
      <c r="D168" s="9" t="s">
        <v>24</v>
      </c>
      <c r="E168" s="9" t="s">
        <v>25</v>
      </c>
      <c r="F168" s="9" t="s">
        <v>26</v>
      </c>
      <c r="G168" s="9" t="s">
        <v>27</v>
      </c>
      <c r="H168" s="9" t="s">
        <v>28</v>
      </c>
      <c r="I168" s="9" t="s">
        <v>29</v>
      </c>
      <c r="J168" s="9" t="s">
        <v>30</v>
      </c>
      <c r="K168" s="9" t="s">
        <v>31</v>
      </c>
      <c r="L168" s="9" t="s">
        <v>32</v>
      </c>
      <c r="M168" s="9" t="s">
        <v>261</v>
      </c>
      <c r="N168" s="9" t="s">
        <v>1279</v>
      </c>
      <c r="O168" s="9" t="s">
        <v>731</v>
      </c>
      <c r="P168" s="9" t="s">
        <v>1281</v>
      </c>
      <c r="Q168" s="9">
        <v>102350483</v>
      </c>
      <c r="R168" s="9" t="s">
        <v>38</v>
      </c>
      <c r="S168" s="9" t="s">
        <v>39</v>
      </c>
      <c r="T168" s="11">
        <v>1</v>
      </c>
      <c r="U168" s="15" t="s">
        <v>731</v>
      </c>
      <c r="V168" s="16" t="s">
        <v>1281</v>
      </c>
      <c r="W168" s="17">
        <v>102350483</v>
      </c>
      <c r="X168" s="16" t="s">
        <v>2629</v>
      </c>
      <c r="Y168" s="17" t="s">
        <v>2984</v>
      </c>
      <c r="Z168" s="17" t="s">
        <v>39</v>
      </c>
      <c r="AA168" s="17" t="s">
        <v>2501</v>
      </c>
      <c r="AB168" s="29">
        <v>34.04</v>
      </c>
      <c r="AC168" s="25">
        <v>34.799999999999997</v>
      </c>
      <c r="AD168" s="25">
        <f>AC168*T168</f>
        <v>34.799999999999997</v>
      </c>
      <c r="AE168" s="25">
        <f>AB168*T168</f>
        <v>34.04</v>
      </c>
      <c r="AF168" s="25">
        <f>AD168-AE168</f>
        <v>0.75999999999999801</v>
      </c>
      <c r="AG168" s="26">
        <f>AF168/AD168</f>
        <v>2.1839080459770059E-2</v>
      </c>
      <c r="AH168" s="27" t="str">
        <f>IF(AG168&lt;0,"Negative",IF(AG168=0,"Same",IF(AG168&gt;0.3,"30+%",IF(AG168&gt;0.2,"20-30%",IF(AG168&gt;0.1,"10-20%",IF(AG168&lt;=0.1,"0-10%"))))))</f>
        <v>0-10%</v>
      </c>
      <c r="AI168" s="32"/>
      <c r="AJ168" s="36" t="s">
        <v>3300</v>
      </c>
      <c r="AK168" s="32"/>
    </row>
    <row r="169" spans="1:37" s="1" customFormat="1" ht="19.7" customHeight="1" x14ac:dyDescent="0.25">
      <c r="A169" s="9" t="s">
        <v>22</v>
      </c>
      <c r="B169" s="9" t="s">
        <v>507</v>
      </c>
      <c r="C169" s="10">
        <v>44271</v>
      </c>
      <c r="D169" s="9" t="s">
        <v>24</v>
      </c>
      <c r="E169" s="9" t="s">
        <v>25</v>
      </c>
      <c r="F169" s="9" t="s">
        <v>26</v>
      </c>
      <c r="G169" s="9" t="s">
        <v>27</v>
      </c>
      <c r="H169" s="9" t="s">
        <v>28</v>
      </c>
      <c r="I169" s="9" t="s">
        <v>29</v>
      </c>
      <c r="J169" s="9" t="s">
        <v>30</v>
      </c>
      <c r="K169" s="9" t="s">
        <v>31</v>
      </c>
      <c r="L169" s="9" t="s">
        <v>32</v>
      </c>
      <c r="M169" s="9" t="s">
        <v>261</v>
      </c>
      <c r="N169" s="9" t="s">
        <v>508</v>
      </c>
      <c r="O169" s="9" t="s">
        <v>169</v>
      </c>
      <c r="P169" s="9" t="s">
        <v>509</v>
      </c>
      <c r="Q169" s="9">
        <v>100780759</v>
      </c>
      <c r="R169" s="9" t="s">
        <v>56</v>
      </c>
      <c r="S169" s="9" t="s">
        <v>39</v>
      </c>
      <c r="T169" s="11">
        <v>1</v>
      </c>
      <c r="U169" s="15" t="s">
        <v>169</v>
      </c>
      <c r="V169" s="16" t="s">
        <v>509</v>
      </c>
      <c r="W169" s="17">
        <v>100780759</v>
      </c>
      <c r="X169" s="16" t="s">
        <v>2568</v>
      </c>
      <c r="Y169" s="17" t="s">
        <v>2707</v>
      </c>
      <c r="Z169" s="17" t="s">
        <v>39</v>
      </c>
      <c r="AA169" s="17" t="s">
        <v>37</v>
      </c>
      <c r="AB169" s="43">
        <v>4.51</v>
      </c>
      <c r="AC169" s="25">
        <v>4.51</v>
      </c>
      <c r="AD169" s="25">
        <f>AC169*T169</f>
        <v>4.51</v>
      </c>
      <c r="AE169" s="25">
        <f>AB169*T169</f>
        <v>4.51</v>
      </c>
      <c r="AF169" s="25">
        <f>AD169-AE169</f>
        <v>0</v>
      </c>
      <c r="AG169" s="26">
        <f>AF169/AD169</f>
        <v>0</v>
      </c>
      <c r="AH169" s="27" t="str">
        <f>IF(AG169&lt;0,"Negative",IF(AG169=0,"Same",IF(AG169&gt;0.3,"30+%",IF(AG169&gt;0.2,"20-30%",IF(AG169&gt;0.1,"10-20%",IF(AG169&lt;=0.1,"0-10%"))))))</f>
        <v>Same</v>
      </c>
      <c r="AI169" s="32"/>
      <c r="AJ169" s="36" t="s">
        <v>3300</v>
      </c>
      <c r="AK169" s="32"/>
    </row>
    <row r="170" spans="1:37" s="1" customFormat="1" ht="19.7" customHeight="1" x14ac:dyDescent="0.25">
      <c r="A170" s="5" t="s">
        <v>22</v>
      </c>
      <c r="B170" s="5" t="s">
        <v>1194</v>
      </c>
      <c r="C170" s="6">
        <v>44355</v>
      </c>
      <c r="D170" s="5" t="s">
        <v>24</v>
      </c>
      <c r="E170" s="5" t="s">
        <v>25</v>
      </c>
      <c r="F170" s="5" t="s">
        <v>26</v>
      </c>
      <c r="G170" s="5" t="s">
        <v>27</v>
      </c>
      <c r="H170" s="5" t="s">
        <v>28</v>
      </c>
      <c r="I170" s="5" t="s">
        <v>29</v>
      </c>
      <c r="J170" s="5" t="s">
        <v>30</v>
      </c>
      <c r="K170" s="5" t="s">
        <v>31</v>
      </c>
      <c r="L170" s="5" t="s">
        <v>32</v>
      </c>
      <c r="M170" s="5" t="s">
        <v>1198</v>
      </c>
      <c r="N170" s="5" t="s">
        <v>1196</v>
      </c>
      <c r="O170" s="5" t="s">
        <v>169</v>
      </c>
      <c r="P170" s="5" t="s">
        <v>1199</v>
      </c>
      <c r="Q170" s="5">
        <v>100770788</v>
      </c>
      <c r="R170" s="5" t="s">
        <v>56</v>
      </c>
      <c r="S170" s="5" t="s">
        <v>39</v>
      </c>
      <c r="T170" s="7">
        <v>1</v>
      </c>
      <c r="U170" s="15" t="s">
        <v>169</v>
      </c>
      <c r="V170" s="16" t="s">
        <v>1199</v>
      </c>
      <c r="W170" s="17">
        <v>100770788</v>
      </c>
      <c r="X170" s="16" t="s">
        <v>2610</v>
      </c>
      <c r="Y170" s="17" t="s">
        <v>2960</v>
      </c>
      <c r="Z170" s="17" t="s">
        <v>39</v>
      </c>
      <c r="AA170" s="17" t="s">
        <v>37</v>
      </c>
      <c r="AB170" s="43">
        <v>4.58</v>
      </c>
      <c r="AC170" s="25">
        <v>4.78</v>
      </c>
      <c r="AD170" s="25">
        <f>AC170*T170</f>
        <v>4.78</v>
      </c>
      <c r="AE170" s="25">
        <f>AB170*T170</f>
        <v>4.58</v>
      </c>
      <c r="AF170" s="25">
        <f>AD170-AE170</f>
        <v>0.20000000000000018</v>
      </c>
      <c r="AG170" s="26">
        <f>AF170/AD170</f>
        <v>4.1841004184100451E-2</v>
      </c>
      <c r="AH170" s="27" t="str">
        <f>IF(AG170&lt;0,"Negative",IF(AG170=0,"Same",IF(AG170&gt;0.3,"30+%",IF(AG170&gt;0.2,"20-30%",IF(AG170&gt;0.1,"10-20%",IF(AG170&lt;=0.1,"0-10%"))))))</f>
        <v>0-10%</v>
      </c>
      <c r="AI170" s="32"/>
      <c r="AJ170" s="36" t="s">
        <v>3300</v>
      </c>
      <c r="AK170" s="32"/>
    </row>
    <row r="171" spans="1:37" s="1" customFormat="1" ht="19.7" customHeight="1" x14ac:dyDescent="0.25">
      <c r="A171" s="9" t="s">
        <v>22</v>
      </c>
      <c r="B171" s="9" t="s">
        <v>2442</v>
      </c>
      <c r="C171" s="10">
        <v>44588</v>
      </c>
      <c r="D171" s="9" t="s">
        <v>24</v>
      </c>
      <c r="E171" s="9" t="s">
        <v>25</v>
      </c>
      <c r="F171" s="9" t="s">
        <v>26</v>
      </c>
      <c r="G171" s="9" t="s">
        <v>27</v>
      </c>
      <c r="H171" s="9" t="s">
        <v>28</v>
      </c>
      <c r="I171" s="9" t="s">
        <v>29</v>
      </c>
      <c r="J171" s="9" t="s">
        <v>30</v>
      </c>
      <c r="K171" s="9" t="s">
        <v>31</v>
      </c>
      <c r="L171" s="9" t="s">
        <v>32</v>
      </c>
      <c r="M171" s="9" t="s">
        <v>1323</v>
      </c>
      <c r="N171" s="9" t="s">
        <v>2443</v>
      </c>
      <c r="O171" s="9" t="s">
        <v>59</v>
      </c>
      <c r="P171" s="9" t="s">
        <v>1324</v>
      </c>
      <c r="Q171" s="9">
        <v>110511510</v>
      </c>
      <c r="R171" s="9" t="s">
        <v>56</v>
      </c>
      <c r="S171" s="9" t="s">
        <v>39</v>
      </c>
      <c r="T171" s="11">
        <v>1</v>
      </c>
      <c r="U171" s="15" t="s">
        <v>59</v>
      </c>
      <c r="V171" s="16" t="s">
        <v>1324</v>
      </c>
      <c r="W171" s="17">
        <v>110511510</v>
      </c>
      <c r="X171" s="16" t="s">
        <v>2998</v>
      </c>
      <c r="Y171" s="17" t="s">
        <v>3000</v>
      </c>
      <c r="Z171" s="17" t="s">
        <v>39</v>
      </c>
      <c r="AA171" s="17" t="s">
        <v>37</v>
      </c>
      <c r="AB171" s="29">
        <v>36.770000000000003</v>
      </c>
      <c r="AC171" s="25">
        <v>37.549999999999997</v>
      </c>
      <c r="AD171" s="25">
        <f>AC171*T171</f>
        <v>37.549999999999997</v>
      </c>
      <c r="AE171" s="25">
        <f>AB171*T171</f>
        <v>36.770000000000003</v>
      </c>
      <c r="AF171" s="25">
        <f>AD171-AE171</f>
        <v>0.77999999999999403</v>
      </c>
      <c r="AG171" s="26">
        <f>AF171/AD171</f>
        <v>2.0772303595206234E-2</v>
      </c>
      <c r="AH171" s="27" t="str">
        <f>IF(AG171&lt;0,"Negative",IF(AG171=0,"Same",IF(AG171&gt;0.3,"30+%",IF(AG171&gt;0.2,"20-30%",IF(AG171&gt;0.1,"10-20%",IF(AG171&lt;=0.1,"0-10%"))))))</f>
        <v>0-10%</v>
      </c>
      <c r="AI171" s="32"/>
      <c r="AJ171" s="36" t="s">
        <v>3299</v>
      </c>
      <c r="AK171" s="32"/>
    </row>
    <row r="172" spans="1:37" s="1" customFormat="1" ht="19.7" customHeight="1" x14ac:dyDescent="0.25">
      <c r="A172" s="9" t="s">
        <v>22</v>
      </c>
      <c r="B172" s="9" t="s">
        <v>1870</v>
      </c>
      <c r="C172" s="10">
        <v>44473</v>
      </c>
      <c r="D172" s="9" t="s">
        <v>24</v>
      </c>
      <c r="E172" s="9" t="s">
        <v>25</v>
      </c>
      <c r="F172" s="9" t="s">
        <v>26</v>
      </c>
      <c r="G172" s="9" t="s">
        <v>67</v>
      </c>
      <c r="H172" s="9" t="s">
        <v>68</v>
      </c>
      <c r="I172" s="9" t="s">
        <v>29</v>
      </c>
      <c r="J172" s="9" t="s">
        <v>30</v>
      </c>
      <c r="K172" s="9" t="s">
        <v>31</v>
      </c>
      <c r="L172" s="9" t="s">
        <v>32</v>
      </c>
      <c r="M172" s="9" t="s">
        <v>1872</v>
      </c>
      <c r="N172" s="9" t="s">
        <v>1871</v>
      </c>
      <c r="O172" s="9" t="s">
        <v>1873</v>
      </c>
      <c r="P172" s="9" t="s">
        <v>1874</v>
      </c>
      <c r="Q172" s="9">
        <v>102056417</v>
      </c>
      <c r="R172" s="9" t="s">
        <v>61</v>
      </c>
      <c r="S172" s="9" t="s">
        <v>39</v>
      </c>
      <c r="T172" s="11">
        <v>5</v>
      </c>
      <c r="U172" s="15" t="s">
        <v>1873</v>
      </c>
      <c r="V172" s="16" t="s">
        <v>1874</v>
      </c>
      <c r="W172" s="17">
        <v>102056417</v>
      </c>
      <c r="X172" s="16" t="s">
        <v>2947</v>
      </c>
      <c r="Y172" s="17" t="s">
        <v>3156</v>
      </c>
      <c r="Z172" s="17" t="s">
        <v>39</v>
      </c>
      <c r="AA172" s="17" t="s">
        <v>37</v>
      </c>
      <c r="AB172" s="29">
        <v>36.71</v>
      </c>
      <c r="AC172" s="25">
        <v>37.479999999999997</v>
      </c>
      <c r="AD172" s="25">
        <f>AC172*T172</f>
        <v>187.39999999999998</v>
      </c>
      <c r="AE172" s="25">
        <f>AB172*T172</f>
        <v>183.55</v>
      </c>
      <c r="AF172" s="25">
        <f>AD172-AE172</f>
        <v>3.8499999999999659</v>
      </c>
      <c r="AG172" s="26">
        <f>AF172/AD172</f>
        <v>2.0544290288153501E-2</v>
      </c>
      <c r="AH172" s="27" t="str">
        <f>IF(AG172&lt;0,"Negative",IF(AG172=0,"Same",IF(AG172&gt;0.3,"30+%",IF(AG172&gt;0.2,"20-30%",IF(AG172&gt;0.1,"10-20%",IF(AG172&lt;=0.1,"0-10%"))))))</f>
        <v>0-10%</v>
      </c>
      <c r="AI172" s="32"/>
      <c r="AJ172" s="36" t="s">
        <v>3299</v>
      </c>
      <c r="AK172" s="32"/>
    </row>
    <row r="173" spans="1:37" s="1" customFormat="1" ht="19.7" customHeight="1" x14ac:dyDescent="0.25">
      <c r="A173" s="5" t="s">
        <v>22</v>
      </c>
      <c r="B173" s="5" t="s">
        <v>1251</v>
      </c>
      <c r="C173" s="6">
        <v>44365</v>
      </c>
      <c r="D173" s="5" t="s">
        <v>24</v>
      </c>
      <c r="E173" s="5" t="s">
        <v>25</v>
      </c>
      <c r="F173" s="5" t="s">
        <v>26</v>
      </c>
      <c r="G173" s="5" t="s">
        <v>27</v>
      </c>
      <c r="H173" s="5" t="s">
        <v>28</v>
      </c>
      <c r="I173" s="5" t="s">
        <v>29</v>
      </c>
      <c r="J173" s="5" t="s">
        <v>30</v>
      </c>
      <c r="K173" s="5" t="s">
        <v>31</v>
      </c>
      <c r="L173" s="5" t="s">
        <v>32</v>
      </c>
      <c r="M173" s="5" t="s">
        <v>1254</v>
      </c>
      <c r="N173" s="5" t="s">
        <v>1244</v>
      </c>
      <c r="O173" s="5" t="s">
        <v>169</v>
      </c>
      <c r="P173" s="5" t="s">
        <v>1255</v>
      </c>
      <c r="Q173" s="5">
        <v>100770792</v>
      </c>
      <c r="R173" s="5" t="s">
        <v>56</v>
      </c>
      <c r="S173" s="5" t="s">
        <v>39</v>
      </c>
      <c r="T173" s="7">
        <v>1</v>
      </c>
      <c r="U173" s="15" t="s">
        <v>169</v>
      </c>
      <c r="V173" s="16" t="s">
        <v>1255</v>
      </c>
      <c r="W173" s="17">
        <v>100770792</v>
      </c>
      <c r="X173" s="16" t="s">
        <v>2610</v>
      </c>
      <c r="Y173" s="17" t="s">
        <v>2977</v>
      </c>
      <c r="Z173" s="17" t="s">
        <v>39</v>
      </c>
      <c r="AA173" s="17" t="s">
        <v>37</v>
      </c>
      <c r="AB173" s="43">
        <v>4.74</v>
      </c>
      <c r="AC173" s="25">
        <v>4.9400000000000004</v>
      </c>
      <c r="AD173" s="25">
        <f>AC173*T173</f>
        <v>4.9400000000000004</v>
      </c>
      <c r="AE173" s="25">
        <f>AB173*T173</f>
        <v>4.74</v>
      </c>
      <c r="AF173" s="25">
        <f>AD173-AE173</f>
        <v>0.20000000000000018</v>
      </c>
      <c r="AG173" s="26">
        <f>AF173/AD173</f>
        <v>4.0485829959514205E-2</v>
      </c>
      <c r="AH173" s="27" t="str">
        <f>IF(AG173&lt;0,"Negative",IF(AG173=0,"Same",IF(AG173&gt;0.3,"30+%",IF(AG173&gt;0.2,"20-30%",IF(AG173&gt;0.1,"10-20%",IF(AG173&lt;=0.1,"0-10%"))))))</f>
        <v>0-10%</v>
      </c>
      <c r="AI173" s="32"/>
      <c r="AJ173" s="36" t="s">
        <v>3300</v>
      </c>
      <c r="AK173" s="32"/>
    </row>
    <row r="174" spans="1:37" s="1" customFormat="1" ht="19.7" customHeight="1" x14ac:dyDescent="0.25">
      <c r="A174" s="9" t="s">
        <v>22</v>
      </c>
      <c r="B174" s="9" t="s">
        <v>1427</v>
      </c>
      <c r="C174" s="10">
        <v>44396</v>
      </c>
      <c r="D174" s="9" t="s">
        <v>24</v>
      </c>
      <c r="E174" s="9" t="s">
        <v>25</v>
      </c>
      <c r="F174" s="9" t="s">
        <v>26</v>
      </c>
      <c r="G174" s="9" t="s">
        <v>27</v>
      </c>
      <c r="H174" s="9" t="s">
        <v>28</v>
      </c>
      <c r="I174" s="9" t="s">
        <v>29</v>
      </c>
      <c r="J174" s="9" t="s">
        <v>30</v>
      </c>
      <c r="K174" s="9" t="s">
        <v>31</v>
      </c>
      <c r="L174" s="9" t="s">
        <v>32</v>
      </c>
      <c r="M174" s="9" t="s">
        <v>1428</v>
      </c>
      <c r="N174" s="9" t="s">
        <v>1429</v>
      </c>
      <c r="O174" s="9" t="s">
        <v>169</v>
      </c>
      <c r="P174" s="9" t="s">
        <v>1430</v>
      </c>
      <c r="Q174" s="9">
        <v>100770798</v>
      </c>
      <c r="R174" s="9" t="s">
        <v>56</v>
      </c>
      <c r="S174" s="9" t="s">
        <v>39</v>
      </c>
      <c r="T174" s="11">
        <v>2</v>
      </c>
      <c r="U174" s="15" t="s">
        <v>169</v>
      </c>
      <c r="V174" s="16" t="s">
        <v>1430</v>
      </c>
      <c r="W174" s="17">
        <v>100770798</v>
      </c>
      <c r="X174" s="16" t="s">
        <v>2610</v>
      </c>
      <c r="Y174" s="17" t="s">
        <v>3035</v>
      </c>
      <c r="Z174" s="17" t="s">
        <v>39</v>
      </c>
      <c r="AA174" s="17" t="s">
        <v>37</v>
      </c>
      <c r="AB174" s="43">
        <v>5.07</v>
      </c>
      <c r="AC174" s="25">
        <v>5.29</v>
      </c>
      <c r="AD174" s="25">
        <f>AC174*T174</f>
        <v>10.58</v>
      </c>
      <c r="AE174" s="25">
        <f>AB174*T174</f>
        <v>10.14</v>
      </c>
      <c r="AF174" s="25">
        <f>AD174-AE174</f>
        <v>0.4399999999999995</v>
      </c>
      <c r="AG174" s="26">
        <f>AF174/AD174</f>
        <v>4.1587901701323204E-2</v>
      </c>
      <c r="AH174" s="27" t="str">
        <f>IF(AG174&lt;0,"Negative",IF(AG174=0,"Same",IF(AG174&gt;0.3,"30+%",IF(AG174&gt;0.2,"20-30%",IF(AG174&gt;0.1,"10-20%",IF(AG174&lt;=0.1,"0-10%"))))))</f>
        <v>0-10%</v>
      </c>
      <c r="AI174" s="32"/>
      <c r="AJ174" s="36" t="s">
        <v>3300</v>
      </c>
      <c r="AK174" s="32"/>
    </row>
    <row r="175" spans="1:37" s="1" customFormat="1" ht="19.7" customHeight="1" x14ac:dyDescent="0.25">
      <c r="A175" s="9" t="s">
        <v>22</v>
      </c>
      <c r="B175" s="9" t="s">
        <v>920</v>
      </c>
      <c r="C175" s="10">
        <v>44316</v>
      </c>
      <c r="D175" s="9" t="s">
        <v>24</v>
      </c>
      <c r="E175" s="9" t="s">
        <v>25</v>
      </c>
      <c r="F175" s="9" t="s">
        <v>26</v>
      </c>
      <c r="G175" s="9" t="s">
        <v>67</v>
      </c>
      <c r="H175" s="9" t="s">
        <v>68</v>
      </c>
      <c r="I175" s="9" t="s">
        <v>29</v>
      </c>
      <c r="J175" s="9" t="s">
        <v>30</v>
      </c>
      <c r="K175" s="9" t="s">
        <v>31</v>
      </c>
      <c r="L175" s="9" t="s">
        <v>32</v>
      </c>
      <c r="M175" s="9" t="s">
        <v>924</v>
      </c>
      <c r="N175" s="9" t="s">
        <v>921</v>
      </c>
      <c r="O175" s="9" t="s">
        <v>114</v>
      </c>
      <c r="P175" s="9" t="s">
        <v>925</v>
      </c>
      <c r="Q175" s="9">
        <v>101893133</v>
      </c>
      <c r="R175" s="9" t="s">
        <v>116</v>
      </c>
      <c r="S175" s="9" t="s">
        <v>39</v>
      </c>
      <c r="T175" s="11">
        <v>4</v>
      </c>
      <c r="U175" s="15" t="s">
        <v>114</v>
      </c>
      <c r="V175" s="16" t="s">
        <v>925</v>
      </c>
      <c r="W175" s="17">
        <v>101893133</v>
      </c>
      <c r="X175" s="16" t="s">
        <v>2863</v>
      </c>
      <c r="Y175" s="17" t="s">
        <v>2864</v>
      </c>
      <c r="Z175" s="17" t="s">
        <v>39</v>
      </c>
      <c r="AA175" s="17" t="s">
        <v>37</v>
      </c>
      <c r="AB175" s="29">
        <v>3.33</v>
      </c>
      <c r="AC175" s="25">
        <v>3.5</v>
      </c>
      <c r="AD175" s="25">
        <f>AC175*T175</f>
        <v>14</v>
      </c>
      <c r="AE175" s="25">
        <f>AB175*T175</f>
        <v>13.32</v>
      </c>
      <c r="AF175" s="25">
        <f>AD175-AE175</f>
        <v>0.67999999999999972</v>
      </c>
      <c r="AG175" s="26">
        <f>AF175/AD175</f>
        <v>4.857142857142855E-2</v>
      </c>
      <c r="AH175" s="27" t="str">
        <f>IF(AG175&lt;0,"Negative",IF(AG175=0,"Same",IF(AG175&gt;0.3,"30+%",IF(AG175&gt;0.2,"20-30%",IF(AG175&gt;0.1,"10-20%",IF(AG175&lt;=0.1,"0-10%"))))))</f>
        <v>0-10%</v>
      </c>
      <c r="AI175" s="32"/>
      <c r="AJ175" s="36" t="s">
        <v>3300</v>
      </c>
      <c r="AK175" s="32"/>
    </row>
    <row r="176" spans="1:37" s="1" customFormat="1" ht="19.7" customHeight="1" x14ac:dyDescent="0.25">
      <c r="A176" s="9" t="s">
        <v>22</v>
      </c>
      <c r="B176" s="9" t="s">
        <v>1641</v>
      </c>
      <c r="C176" s="10">
        <v>44427</v>
      </c>
      <c r="D176" s="9" t="s">
        <v>24</v>
      </c>
      <c r="E176" s="9" t="s">
        <v>25</v>
      </c>
      <c r="F176" s="9" t="s">
        <v>26</v>
      </c>
      <c r="G176" s="9" t="s">
        <v>67</v>
      </c>
      <c r="H176" s="9" t="s">
        <v>68</v>
      </c>
      <c r="I176" s="9" t="s">
        <v>29</v>
      </c>
      <c r="J176" s="9" t="s">
        <v>30</v>
      </c>
      <c r="K176" s="9" t="s">
        <v>31</v>
      </c>
      <c r="L176" s="9" t="s">
        <v>32</v>
      </c>
      <c r="M176" s="9" t="s">
        <v>755</v>
      </c>
      <c r="N176" s="9" t="s">
        <v>1643</v>
      </c>
      <c r="O176" s="9" t="s">
        <v>756</v>
      </c>
      <c r="P176" s="9" t="s">
        <v>757</v>
      </c>
      <c r="Q176" s="9">
        <v>101583223</v>
      </c>
      <c r="R176" s="9" t="s">
        <v>216</v>
      </c>
      <c r="S176" s="9" t="s">
        <v>39</v>
      </c>
      <c r="T176" s="11">
        <v>15</v>
      </c>
      <c r="U176" s="15" t="s">
        <v>756</v>
      </c>
      <c r="V176" s="16" t="s">
        <v>757</v>
      </c>
      <c r="W176" s="17">
        <v>101583223</v>
      </c>
      <c r="X176" s="16" t="s">
        <v>2805</v>
      </c>
      <c r="Y176" s="17" t="s">
        <v>2806</v>
      </c>
      <c r="Z176" s="17" t="s">
        <v>39</v>
      </c>
      <c r="AA176" s="17" t="s">
        <v>2501</v>
      </c>
      <c r="AB176" s="29">
        <v>6.35</v>
      </c>
      <c r="AC176" s="25">
        <v>6.09</v>
      </c>
      <c r="AD176" s="25">
        <f>AC176*T176</f>
        <v>91.35</v>
      </c>
      <c r="AE176" s="25">
        <f>AB176*T176</f>
        <v>95.25</v>
      </c>
      <c r="AF176" s="25">
        <f>AD176-AE176</f>
        <v>-3.9000000000000057</v>
      </c>
      <c r="AG176" s="26">
        <f>AF176/AD176</f>
        <v>-4.2692939244663448E-2</v>
      </c>
      <c r="AH176" s="27" t="str">
        <f>IF(AG176&lt;0,"Negative",IF(AG176=0,"Same",IF(AG176&gt;0.3,"30+%",IF(AG176&gt;0.2,"20-30%",IF(AG176&gt;0.1,"10-20%",IF(AG176&lt;=0.1,"0-10%"))))))</f>
        <v>Negative</v>
      </c>
      <c r="AI176" s="32"/>
      <c r="AJ176" s="36" t="s">
        <v>3300</v>
      </c>
      <c r="AK176" s="32"/>
    </row>
    <row r="177" spans="1:37" s="1" customFormat="1" ht="19.7" customHeight="1" x14ac:dyDescent="0.25">
      <c r="A177" s="5" t="s">
        <v>22</v>
      </c>
      <c r="B177" s="5" t="s">
        <v>1678</v>
      </c>
      <c r="C177" s="6">
        <v>44435</v>
      </c>
      <c r="D177" s="5" t="s">
        <v>24</v>
      </c>
      <c r="E177" s="5" t="s">
        <v>25</v>
      </c>
      <c r="F177" s="5" t="s">
        <v>26</v>
      </c>
      <c r="G177" s="5" t="s">
        <v>67</v>
      </c>
      <c r="H177" s="5" t="s">
        <v>68</v>
      </c>
      <c r="I177" s="5" t="s">
        <v>29</v>
      </c>
      <c r="J177" s="5" t="s">
        <v>30</v>
      </c>
      <c r="K177" s="5" t="s">
        <v>31</v>
      </c>
      <c r="L177" s="5" t="s">
        <v>32</v>
      </c>
      <c r="M177" s="5" t="s">
        <v>755</v>
      </c>
      <c r="N177" s="5" t="s">
        <v>1679</v>
      </c>
      <c r="O177" s="5" t="s">
        <v>756</v>
      </c>
      <c r="P177" s="5" t="s">
        <v>757</v>
      </c>
      <c r="Q177" s="5">
        <v>101583223</v>
      </c>
      <c r="R177" s="5" t="s">
        <v>216</v>
      </c>
      <c r="S177" s="5" t="s">
        <v>39</v>
      </c>
      <c r="T177" s="7">
        <v>12</v>
      </c>
      <c r="U177" s="15" t="s">
        <v>756</v>
      </c>
      <c r="V177" s="16" t="s">
        <v>757</v>
      </c>
      <c r="W177" s="17">
        <v>101583223</v>
      </c>
      <c r="X177" s="16" t="s">
        <v>2805</v>
      </c>
      <c r="Y177" s="17" t="s">
        <v>2806</v>
      </c>
      <c r="Z177" s="17" t="s">
        <v>39</v>
      </c>
      <c r="AA177" s="17" t="s">
        <v>2501</v>
      </c>
      <c r="AB177" s="29">
        <v>6.35</v>
      </c>
      <c r="AC177" s="25">
        <v>6.09</v>
      </c>
      <c r="AD177" s="25">
        <f>AC177*T177</f>
        <v>73.08</v>
      </c>
      <c r="AE177" s="25">
        <f>AB177*T177</f>
        <v>76.199999999999989</v>
      </c>
      <c r="AF177" s="25">
        <f>AD177-AE177</f>
        <v>-3.1199999999999903</v>
      </c>
      <c r="AG177" s="26">
        <f>AF177/AD177</f>
        <v>-4.2692939244663254E-2</v>
      </c>
      <c r="AH177" s="27" t="str">
        <f>IF(AG177&lt;0,"Negative",IF(AG177=0,"Same",IF(AG177&gt;0.3,"30+%",IF(AG177&gt;0.2,"20-30%",IF(AG177&gt;0.1,"10-20%",IF(AG177&lt;=0.1,"0-10%"))))))</f>
        <v>Negative</v>
      </c>
      <c r="AI177" s="32"/>
      <c r="AJ177" s="36" t="s">
        <v>3300</v>
      </c>
      <c r="AK177" s="32"/>
    </row>
    <row r="178" spans="1:37" s="1" customFormat="1" ht="19.7" customHeight="1" x14ac:dyDescent="0.25">
      <c r="A178" s="9" t="s">
        <v>22</v>
      </c>
      <c r="B178" s="9" t="s">
        <v>1141</v>
      </c>
      <c r="C178" s="10">
        <v>44344</v>
      </c>
      <c r="D178" s="9" t="s">
        <v>24</v>
      </c>
      <c r="E178" s="9" t="s">
        <v>25</v>
      </c>
      <c r="F178" s="9" t="s">
        <v>26</v>
      </c>
      <c r="G178" s="9" t="s">
        <v>67</v>
      </c>
      <c r="H178" s="9" t="s">
        <v>68</v>
      </c>
      <c r="I178" s="9" t="s">
        <v>29</v>
      </c>
      <c r="J178" s="9" t="s">
        <v>30</v>
      </c>
      <c r="K178" s="9" t="s">
        <v>31</v>
      </c>
      <c r="L178" s="9" t="s">
        <v>32</v>
      </c>
      <c r="M178" s="9" t="s">
        <v>755</v>
      </c>
      <c r="N178" s="9" t="s">
        <v>1142</v>
      </c>
      <c r="O178" s="9" t="s">
        <v>756</v>
      </c>
      <c r="P178" s="9" t="s">
        <v>757</v>
      </c>
      <c r="Q178" s="9">
        <v>101583223</v>
      </c>
      <c r="R178" s="9" t="s">
        <v>216</v>
      </c>
      <c r="S178" s="9" t="s">
        <v>39</v>
      </c>
      <c r="T178" s="11">
        <v>10</v>
      </c>
      <c r="U178" s="15" t="s">
        <v>756</v>
      </c>
      <c r="V178" s="16" t="s">
        <v>757</v>
      </c>
      <c r="W178" s="17">
        <v>101583223</v>
      </c>
      <c r="X178" s="16" t="s">
        <v>2805</v>
      </c>
      <c r="Y178" s="17" t="s">
        <v>2806</v>
      </c>
      <c r="Z178" s="17" t="s">
        <v>39</v>
      </c>
      <c r="AA178" s="17" t="s">
        <v>2501</v>
      </c>
      <c r="AB178" s="29">
        <v>6.35</v>
      </c>
      <c r="AC178" s="25">
        <v>6.09</v>
      </c>
      <c r="AD178" s="25">
        <f>AC178*T178</f>
        <v>60.9</v>
      </c>
      <c r="AE178" s="25">
        <f>AB178*T178</f>
        <v>63.5</v>
      </c>
      <c r="AF178" s="25">
        <f>AD178-AE178</f>
        <v>-2.6000000000000014</v>
      </c>
      <c r="AG178" s="26">
        <f>AF178/AD178</f>
        <v>-4.2692939244663407E-2</v>
      </c>
      <c r="AH178" s="27" t="str">
        <f>IF(AG178&lt;0,"Negative",IF(AG178=0,"Same",IF(AG178&gt;0.3,"30+%",IF(AG178&gt;0.2,"20-30%",IF(AG178&gt;0.1,"10-20%",IF(AG178&lt;=0.1,"0-10%"))))))</f>
        <v>Negative</v>
      </c>
      <c r="AI178" s="32"/>
      <c r="AJ178" s="36" t="s">
        <v>3300</v>
      </c>
      <c r="AK178" s="32"/>
    </row>
    <row r="179" spans="1:37" s="1" customFormat="1" ht="19.7" customHeight="1" x14ac:dyDescent="0.25">
      <c r="A179" s="9" t="s">
        <v>22</v>
      </c>
      <c r="B179" s="9" t="s">
        <v>750</v>
      </c>
      <c r="C179" s="10">
        <v>44298</v>
      </c>
      <c r="D179" s="9" t="s">
        <v>24</v>
      </c>
      <c r="E179" s="9" t="s">
        <v>25</v>
      </c>
      <c r="F179" s="9" t="s">
        <v>26</v>
      </c>
      <c r="G179" s="9" t="s">
        <v>67</v>
      </c>
      <c r="H179" s="9" t="s">
        <v>68</v>
      </c>
      <c r="I179" s="9" t="s">
        <v>29</v>
      </c>
      <c r="J179" s="9" t="s">
        <v>30</v>
      </c>
      <c r="K179" s="9" t="s">
        <v>31</v>
      </c>
      <c r="L179" s="9" t="s">
        <v>32</v>
      </c>
      <c r="M179" s="9" t="s">
        <v>755</v>
      </c>
      <c r="N179" s="9" t="s">
        <v>752</v>
      </c>
      <c r="O179" s="9" t="s">
        <v>756</v>
      </c>
      <c r="P179" s="9" t="s">
        <v>757</v>
      </c>
      <c r="Q179" s="9">
        <v>101583223</v>
      </c>
      <c r="R179" s="9" t="s">
        <v>216</v>
      </c>
      <c r="S179" s="9" t="s">
        <v>39</v>
      </c>
      <c r="T179" s="11">
        <v>8</v>
      </c>
      <c r="U179" s="15" t="s">
        <v>756</v>
      </c>
      <c r="V179" s="16" t="s">
        <v>757</v>
      </c>
      <c r="W179" s="17">
        <v>101583223</v>
      </c>
      <c r="X179" s="16" t="s">
        <v>2805</v>
      </c>
      <c r="Y179" s="17" t="s">
        <v>2806</v>
      </c>
      <c r="Z179" s="17" t="s">
        <v>39</v>
      </c>
      <c r="AA179" s="17" t="s">
        <v>2501</v>
      </c>
      <c r="AB179" s="29">
        <v>6.35</v>
      </c>
      <c r="AC179" s="25">
        <v>6.09</v>
      </c>
      <c r="AD179" s="25">
        <f>AC179*T179</f>
        <v>48.72</v>
      </c>
      <c r="AE179" s="25">
        <f>AB179*T179</f>
        <v>50.8</v>
      </c>
      <c r="AF179" s="25">
        <f>AD179-AE179</f>
        <v>-2.0799999999999983</v>
      </c>
      <c r="AG179" s="26">
        <f>AF179/AD179</f>
        <v>-4.2692939244663351E-2</v>
      </c>
      <c r="AH179" s="27" t="str">
        <f>IF(AG179&lt;0,"Negative",IF(AG179=0,"Same",IF(AG179&gt;0.3,"30+%",IF(AG179&gt;0.2,"20-30%",IF(AG179&gt;0.1,"10-20%",IF(AG179&lt;=0.1,"0-10%"))))))</f>
        <v>Negative</v>
      </c>
      <c r="AI179" s="32"/>
      <c r="AJ179" s="36" t="s">
        <v>3300</v>
      </c>
      <c r="AK179" s="32"/>
    </row>
    <row r="180" spans="1:37" s="1" customFormat="1" ht="19.7" customHeight="1" x14ac:dyDescent="0.25">
      <c r="A180" s="9" t="s">
        <v>22</v>
      </c>
      <c r="B180" s="9" t="s">
        <v>1697</v>
      </c>
      <c r="C180" s="10">
        <v>44439</v>
      </c>
      <c r="D180" s="9" t="s">
        <v>24</v>
      </c>
      <c r="E180" s="9" t="s">
        <v>25</v>
      </c>
      <c r="F180" s="9" t="s">
        <v>26</v>
      </c>
      <c r="G180" s="9" t="s">
        <v>27</v>
      </c>
      <c r="H180" s="9" t="s">
        <v>28</v>
      </c>
      <c r="I180" s="9" t="s">
        <v>29</v>
      </c>
      <c r="J180" s="9" t="s">
        <v>30</v>
      </c>
      <c r="K180" s="9" t="s">
        <v>31</v>
      </c>
      <c r="L180" s="9" t="s">
        <v>32</v>
      </c>
      <c r="M180" s="9" t="s">
        <v>1698</v>
      </c>
      <c r="N180" s="9" t="s">
        <v>1699</v>
      </c>
      <c r="O180" s="9" t="s">
        <v>169</v>
      </c>
      <c r="P180" s="9" t="s">
        <v>1700</v>
      </c>
      <c r="Q180" s="9">
        <v>100772544</v>
      </c>
      <c r="R180" s="9" t="s">
        <v>56</v>
      </c>
      <c r="S180" s="9" t="s">
        <v>39</v>
      </c>
      <c r="T180" s="11">
        <v>1</v>
      </c>
      <c r="U180" s="15" t="s">
        <v>169</v>
      </c>
      <c r="V180" s="16" t="s">
        <v>1700</v>
      </c>
      <c r="W180" s="17">
        <v>100772544</v>
      </c>
      <c r="X180" s="16" t="s">
        <v>2812</v>
      </c>
      <c r="Y180" s="17" t="s">
        <v>3110</v>
      </c>
      <c r="Z180" s="17" t="s">
        <v>39</v>
      </c>
      <c r="AA180" s="17" t="s">
        <v>37</v>
      </c>
      <c r="AB180" s="43">
        <v>5.82</v>
      </c>
      <c r="AC180" s="25">
        <v>6.06</v>
      </c>
      <c r="AD180" s="25">
        <f>AC180*T180</f>
        <v>6.06</v>
      </c>
      <c r="AE180" s="25">
        <f>AB180*T180</f>
        <v>5.82</v>
      </c>
      <c r="AF180" s="25">
        <f>AD180-AE180</f>
        <v>0.23999999999999932</v>
      </c>
      <c r="AG180" s="26">
        <f>AF180/AD180</f>
        <v>3.9603960396039493E-2</v>
      </c>
      <c r="AH180" s="27" t="str">
        <f>IF(AG180&lt;0,"Negative",IF(AG180=0,"Same",IF(AG180&gt;0.3,"30+%",IF(AG180&gt;0.2,"20-30%",IF(AG180&gt;0.1,"10-20%",IF(AG180&lt;=0.1,"0-10%"))))))</f>
        <v>0-10%</v>
      </c>
      <c r="AI180" s="32"/>
      <c r="AJ180" s="36" t="s">
        <v>3300</v>
      </c>
      <c r="AK180" s="32"/>
    </row>
    <row r="181" spans="1:37" s="1" customFormat="1" ht="19.7" customHeight="1" x14ac:dyDescent="0.25">
      <c r="A181" s="5" t="s">
        <v>22</v>
      </c>
      <c r="B181" s="5" t="s">
        <v>1398</v>
      </c>
      <c r="C181" s="6">
        <v>44390</v>
      </c>
      <c r="D181" s="5" t="s">
        <v>24</v>
      </c>
      <c r="E181" s="5" t="s">
        <v>25</v>
      </c>
      <c r="F181" s="5" t="s">
        <v>26</v>
      </c>
      <c r="G181" s="5" t="s">
        <v>27</v>
      </c>
      <c r="H181" s="5" t="s">
        <v>28</v>
      </c>
      <c r="I181" s="5" t="s">
        <v>29</v>
      </c>
      <c r="J181" s="5" t="s">
        <v>30</v>
      </c>
      <c r="K181" s="5" t="s">
        <v>31</v>
      </c>
      <c r="L181" s="5" t="s">
        <v>32</v>
      </c>
      <c r="M181" s="5" t="s">
        <v>1204</v>
      </c>
      <c r="N181" s="5" t="s">
        <v>1399</v>
      </c>
      <c r="O181" s="5" t="s">
        <v>169</v>
      </c>
      <c r="P181" s="5" t="s">
        <v>1206</v>
      </c>
      <c r="Q181" s="5">
        <v>100770814</v>
      </c>
      <c r="R181" s="5" t="s">
        <v>56</v>
      </c>
      <c r="S181" s="5" t="s">
        <v>39</v>
      </c>
      <c r="T181" s="7">
        <v>1</v>
      </c>
      <c r="U181" s="15" t="s">
        <v>169</v>
      </c>
      <c r="V181" s="16" t="s">
        <v>1206</v>
      </c>
      <c r="W181" s="17">
        <v>100770814</v>
      </c>
      <c r="X181" s="16" t="s">
        <v>2610</v>
      </c>
      <c r="Y181" s="17" t="s">
        <v>2962</v>
      </c>
      <c r="Z181" s="17" t="s">
        <v>39</v>
      </c>
      <c r="AA181" s="17" t="s">
        <v>37</v>
      </c>
      <c r="AB181" s="43">
        <v>5.7</v>
      </c>
      <c r="AC181" s="25">
        <v>5.95</v>
      </c>
      <c r="AD181" s="25">
        <f>AC181*T181</f>
        <v>5.95</v>
      </c>
      <c r="AE181" s="25">
        <f>AB181*T181</f>
        <v>5.7</v>
      </c>
      <c r="AF181" s="25">
        <f>AD181-AE181</f>
        <v>0.25</v>
      </c>
      <c r="AG181" s="26">
        <f>AF181/AD181</f>
        <v>4.2016806722689072E-2</v>
      </c>
      <c r="AH181" s="27" t="str">
        <f>IF(AG181&lt;0,"Negative",IF(AG181=0,"Same",IF(AG181&gt;0.3,"30+%",IF(AG181&gt;0.2,"20-30%",IF(AG181&gt;0.1,"10-20%",IF(AG181&lt;=0.1,"0-10%"))))))</f>
        <v>0-10%</v>
      </c>
      <c r="AI181" s="32"/>
      <c r="AJ181" s="36" t="s">
        <v>3300</v>
      </c>
      <c r="AK181" s="32"/>
    </row>
    <row r="182" spans="1:37" s="1" customFormat="1" ht="19.7" customHeight="1" x14ac:dyDescent="0.25">
      <c r="A182" s="9" t="s">
        <v>22</v>
      </c>
      <c r="B182" s="9" t="s">
        <v>1203</v>
      </c>
      <c r="C182" s="10">
        <v>44357</v>
      </c>
      <c r="D182" s="9" t="s">
        <v>24</v>
      </c>
      <c r="E182" s="9" t="s">
        <v>25</v>
      </c>
      <c r="F182" s="9" t="s">
        <v>26</v>
      </c>
      <c r="G182" s="9" t="s">
        <v>27</v>
      </c>
      <c r="H182" s="9" t="s">
        <v>28</v>
      </c>
      <c r="I182" s="9" t="s">
        <v>29</v>
      </c>
      <c r="J182" s="9" t="s">
        <v>30</v>
      </c>
      <c r="K182" s="9" t="s">
        <v>31</v>
      </c>
      <c r="L182" s="9" t="s">
        <v>32</v>
      </c>
      <c r="M182" s="9" t="s">
        <v>1204</v>
      </c>
      <c r="N182" s="9" t="s">
        <v>1205</v>
      </c>
      <c r="O182" s="9" t="s">
        <v>169</v>
      </c>
      <c r="P182" s="9" t="s">
        <v>1206</v>
      </c>
      <c r="Q182" s="9">
        <v>100770814</v>
      </c>
      <c r="R182" s="9" t="s">
        <v>56</v>
      </c>
      <c r="S182" s="9" t="s">
        <v>39</v>
      </c>
      <c r="T182" s="11">
        <v>1</v>
      </c>
      <c r="U182" s="15" t="s">
        <v>169</v>
      </c>
      <c r="V182" s="16" t="s">
        <v>1206</v>
      </c>
      <c r="W182" s="17">
        <v>100770814</v>
      </c>
      <c r="X182" s="16" t="s">
        <v>2610</v>
      </c>
      <c r="Y182" s="17" t="s">
        <v>2962</v>
      </c>
      <c r="Z182" s="17" t="s">
        <v>39</v>
      </c>
      <c r="AA182" s="17" t="s">
        <v>37</v>
      </c>
      <c r="AB182" s="43">
        <v>5.7</v>
      </c>
      <c r="AC182" s="25">
        <v>5.95</v>
      </c>
      <c r="AD182" s="25">
        <f>AC182*T182</f>
        <v>5.95</v>
      </c>
      <c r="AE182" s="25">
        <f>AB182*T182</f>
        <v>5.7</v>
      </c>
      <c r="AF182" s="25">
        <f>AD182-AE182</f>
        <v>0.25</v>
      </c>
      <c r="AG182" s="26">
        <f>AF182/AD182</f>
        <v>4.2016806722689072E-2</v>
      </c>
      <c r="AH182" s="27" t="str">
        <f>IF(AG182&lt;0,"Negative",IF(AG182=0,"Same",IF(AG182&gt;0.3,"30+%",IF(AG182&gt;0.2,"20-30%",IF(AG182&gt;0.1,"10-20%",IF(AG182&lt;=0.1,"0-10%"))))))</f>
        <v>0-10%</v>
      </c>
      <c r="AI182" s="32"/>
      <c r="AJ182" s="36" t="s">
        <v>3300</v>
      </c>
      <c r="AK182" s="32"/>
    </row>
    <row r="183" spans="1:37" s="1" customFormat="1" ht="19.7" customHeight="1" x14ac:dyDescent="0.25">
      <c r="A183" s="5" t="s">
        <v>22</v>
      </c>
      <c r="B183" s="5" t="s">
        <v>1606</v>
      </c>
      <c r="C183" s="6">
        <v>44424</v>
      </c>
      <c r="D183" s="5" t="s">
        <v>24</v>
      </c>
      <c r="E183" s="5" t="s">
        <v>25</v>
      </c>
      <c r="F183" s="5" t="s">
        <v>26</v>
      </c>
      <c r="G183" s="5" t="s">
        <v>27</v>
      </c>
      <c r="H183" s="5" t="s">
        <v>28</v>
      </c>
      <c r="I183" s="5" t="s">
        <v>29</v>
      </c>
      <c r="J183" s="5" t="s">
        <v>30</v>
      </c>
      <c r="K183" s="5" t="s">
        <v>31</v>
      </c>
      <c r="L183" s="5" t="s">
        <v>32</v>
      </c>
      <c r="M183" s="5" t="s">
        <v>1607</v>
      </c>
      <c r="N183" s="5" t="s">
        <v>1608</v>
      </c>
      <c r="O183" s="5" t="s">
        <v>172</v>
      </c>
      <c r="P183" s="5" t="s">
        <v>1609</v>
      </c>
      <c r="Q183" s="5">
        <v>100800841</v>
      </c>
      <c r="R183" s="5" t="s">
        <v>56</v>
      </c>
      <c r="S183" s="5" t="s">
        <v>39</v>
      </c>
      <c r="T183" s="7">
        <v>9</v>
      </c>
      <c r="U183" s="15" t="s">
        <v>172</v>
      </c>
      <c r="V183" s="16" t="s">
        <v>1609</v>
      </c>
      <c r="W183" s="17">
        <v>100800841</v>
      </c>
      <c r="X183" s="16" t="s">
        <v>2557</v>
      </c>
      <c r="Y183" s="17" t="s">
        <v>3089</v>
      </c>
      <c r="Z183" s="17" t="s">
        <v>39</v>
      </c>
      <c r="AA183" s="17" t="s">
        <v>37</v>
      </c>
      <c r="AB183" s="43">
        <v>1.93</v>
      </c>
      <c r="AC183" s="25">
        <v>1.98</v>
      </c>
      <c r="AD183" s="25">
        <f>AC183*T183</f>
        <v>17.82</v>
      </c>
      <c r="AE183" s="25">
        <f>AB183*T183</f>
        <v>17.37</v>
      </c>
      <c r="AF183" s="25">
        <f>AD183-AE183</f>
        <v>0.44999999999999929</v>
      </c>
      <c r="AG183" s="26">
        <f>AF183/AD183</f>
        <v>2.5252525252525214E-2</v>
      </c>
      <c r="AH183" s="27" t="str">
        <f>IF(AG183&lt;0,"Negative",IF(AG183=0,"Same",IF(AG183&gt;0.3,"30+%",IF(AG183&gt;0.2,"20-30%",IF(AG183&gt;0.1,"10-20%",IF(AG183&lt;=0.1,"0-10%"))))))</f>
        <v>0-10%</v>
      </c>
      <c r="AI183" s="32"/>
      <c r="AJ183" s="36" t="s">
        <v>3300</v>
      </c>
      <c r="AK183" s="32"/>
    </row>
    <row r="184" spans="1:37" s="1" customFormat="1" ht="19.7" customHeight="1" x14ac:dyDescent="0.25">
      <c r="A184" s="5" t="s">
        <v>22</v>
      </c>
      <c r="B184" s="5" t="s">
        <v>2238</v>
      </c>
      <c r="C184" s="6">
        <v>44550</v>
      </c>
      <c r="D184" s="5" t="s">
        <v>24</v>
      </c>
      <c r="E184" s="5" t="s">
        <v>25</v>
      </c>
      <c r="F184" s="5" t="s">
        <v>26</v>
      </c>
      <c r="G184" s="5" t="s">
        <v>27</v>
      </c>
      <c r="H184" s="5" t="s">
        <v>28</v>
      </c>
      <c r="I184" s="5" t="s">
        <v>29</v>
      </c>
      <c r="J184" s="5" t="s">
        <v>30</v>
      </c>
      <c r="K184" s="5" t="s">
        <v>31</v>
      </c>
      <c r="L184" s="5" t="s">
        <v>32</v>
      </c>
      <c r="M184" s="5" t="s">
        <v>177</v>
      </c>
      <c r="N184" s="5" t="s">
        <v>2230</v>
      </c>
      <c r="O184" s="5" t="s">
        <v>178</v>
      </c>
      <c r="P184" s="5" t="s">
        <v>179</v>
      </c>
      <c r="Q184" s="5">
        <v>102182871</v>
      </c>
      <c r="R184" s="5" t="s">
        <v>61</v>
      </c>
      <c r="S184" s="5" t="s">
        <v>39</v>
      </c>
      <c r="T184" s="7">
        <v>1</v>
      </c>
      <c r="U184" s="15" t="s">
        <v>178</v>
      </c>
      <c r="V184" s="16" t="s">
        <v>179</v>
      </c>
      <c r="W184" s="17">
        <v>102182871</v>
      </c>
      <c r="X184" s="16" t="s">
        <v>2561</v>
      </c>
      <c r="Y184" s="17" t="s">
        <v>2562</v>
      </c>
      <c r="Z184" s="17" t="s">
        <v>39</v>
      </c>
      <c r="AA184" s="17" t="s">
        <v>37</v>
      </c>
      <c r="AB184" s="29">
        <v>4.3600000000000003</v>
      </c>
      <c r="AC184" s="25">
        <v>4.5599999999999996</v>
      </c>
      <c r="AD184" s="25">
        <f>AC184*T184</f>
        <v>4.5599999999999996</v>
      </c>
      <c r="AE184" s="25">
        <f>AB184*T184</f>
        <v>4.3600000000000003</v>
      </c>
      <c r="AF184" s="25">
        <f>AD184-AE184</f>
        <v>0.19999999999999929</v>
      </c>
      <c r="AG184" s="26">
        <f>AF184/AD184</f>
        <v>4.3859649122806862E-2</v>
      </c>
      <c r="AH184" s="27" t="str">
        <f>IF(AG184&lt;0,"Negative",IF(AG184=0,"Same",IF(AG184&gt;0.3,"30+%",IF(AG184&gt;0.2,"20-30%",IF(AG184&gt;0.1,"10-20%",IF(AG184&lt;=0.1,"0-10%"))))))</f>
        <v>0-10%</v>
      </c>
      <c r="AI184" s="32"/>
      <c r="AJ184" s="36" t="s">
        <v>3300</v>
      </c>
      <c r="AK184" s="32"/>
    </row>
    <row r="185" spans="1:37" s="1" customFormat="1" ht="19.7" customHeight="1" x14ac:dyDescent="0.25">
      <c r="A185" s="9" t="s">
        <v>22</v>
      </c>
      <c r="B185" s="9" t="s">
        <v>2229</v>
      </c>
      <c r="C185" s="10">
        <v>44544</v>
      </c>
      <c r="D185" s="9" t="s">
        <v>24</v>
      </c>
      <c r="E185" s="9" t="s">
        <v>25</v>
      </c>
      <c r="F185" s="9" t="s">
        <v>26</v>
      </c>
      <c r="G185" s="9" t="s">
        <v>27</v>
      </c>
      <c r="H185" s="9" t="s">
        <v>28</v>
      </c>
      <c r="I185" s="9" t="s">
        <v>29</v>
      </c>
      <c r="J185" s="9" t="s">
        <v>30</v>
      </c>
      <c r="K185" s="9" t="s">
        <v>31</v>
      </c>
      <c r="L185" s="9" t="s">
        <v>32</v>
      </c>
      <c r="M185" s="9" t="s">
        <v>177</v>
      </c>
      <c r="N185" s="9" t="s">
        <v>2230</v>
      </c>
      <c r="O185" s="9" t="s">
        <v>178</v>
      </c>
      <c r="P185" s="9" t="s">
        <v>179</v>
      </c>
      <c r="Q185" s="9">
        <v>102182871</v>
      </c>
      <c r="R185" s="9" t="s">
        <v>61</v>
      </c>
      <c r="S185" s="9" t="s">
        <v>39</v>
      </c>
      <c r="T185" s="11">
        <v>1</v>
      </c>
      <c r="U185" s="15" t="s">
        <v>178</v>
      </c>
      <c r="V185" s="16" t="s">
        <v>179</v>
      </c>
      <c r="W185" s="17">
        <v>102182871</v>
      </c>
      <c r="X185" s="16" t="s">
        <v>2561</v>
      </c>
      <c r="Y185" s="17" t="s">
        <v>2562</v>
      </c>
      <c r="Z185" s="17" t="s">
        <v>39</v>
      </c>
      <c r="AA185" s="17" t="s">
        <v>37</v>
      </c>
      <c r="AB185" s="29">
        <v>4.3600000000000003</v>
      </c>
      <c r="AC185" s="25">
        <v>4.5599999999999996</v>
      </c>
      <c r="AD185" s="25">
        <f>AC185*T185</f>
        <v>4.5599999999999996</v>
      </c>
      <c r="AE185" s="25">
        <f>AB185*T185</f>
        <v>4.3600000000000003</v>
      </c>
      <c r="AF185" s="25">
        <f>AD185-AE185</f>
        <v>0.19999999999999929</v>
      </c>
      <c r="AG185" s="26">
        <f>AF185/AD185</f>
        <v>4.3859649122806862E-2</v>
      </c>
      <c r="AH185" s="27" t="str">
        <f>IF(AG185&lt;0,"Negative",IF(AG185=0,"Same",IF(AG185&gt;0.3,"30+%",IF(AG185&gt;0.2,"20-30%",IF(AG185&gt;0.1,"10-20%",IF(AG185&lt;=0.1,"0-10%"))))))</f>
        <v>0-10%</v>
      </c>
      <c r="AI185" s="32"/>
      <c r="AJ185" s="36" t="s">
        <v>3300</v>
      </c>
      <c r="AK185" s="32"/>
    </row>
    <row r="186" spans="1:37" s="1" customFormat="1" ht="19.7" customHeight="1" x14ac:dyDescent="0.25">
      <c r="A186" s="9" t="s">
        <v>22</v>
      </c>
      <c r="B186" s="9" t="s">
        <v>1725</v>
      </c>
      <c r="C186" s="10">
        <v>44442</v>
      </c>
      <c r="D186" s="9" t="s">
        <v>24</v>
      </c>
      <c r="E186" s="9" t="s">
        <v>25</v>
      </c>
      <c r="F186" s="9" t="s">
        <v>26</v>
      </c>
      <c r="G186" s="9" t="s">
        <v>27</v>
      </c>
      <c r="H186" s="9" t="s">
        <v>28</v>
      </c>
      <c r="I186" s="9" t="s">
        <v>29</v>
      </c>
      <c r="J186" s="9" t="s">
        <v>30</v>
      </c>
      <c r="K186" s="9" t="s">
        <v>31</v>
      </c>
      <c r="L186" s="9" t="s">
        <v>32</v>
      </c>
      <c r="M186" s="9" t="s">
        <v>1726</v>
      </c>
      <c r="N186" s="9" t="s">
        <v>1727</v>
      </c>
      <c r="O186" s="9" t="s">
        <v>178</v>
      </c>
      <c r="P186" s="9" t="s">
        <v>1728</v>
      </c>
      <c r="Q186" s="9">
        <v>110330321</v>
      </c>
      <c r="R186" s="9" t="s">
        <v>61</v>
      </c>
      <c r="S186" s="9" t="s">
        <v>39</v>
      </c>
      <c r="T186" s="11">
        <v>2</v>
      </c>
      <c r="U186" s="15" t="s">
        <v>178</v>
      </c>
      <c r="V186" s="16" t="s">
        <v>1728</v>
      </c>
      <c r="W186" s="17">
        <v>110330321</v>
      </c>
      <c r="X186" s="16" t="s">
        <v>2561</v>
      </c>
      <c r="Y186" s="17" t="s">
        <v>3117</v>
      </c>
      <c r="Z186" s="17" t="s">
        <v>39</v>
      </c>
      <c r="AA186" s="17" t="s">
        <v>37</v>
      </c>
      <c r="AB186" s="29">
        <v>4.3600000000000003</v>
      </c>
      <c r="AC186" s="25">
        <v>4.5599999999999996</v>
      </c>
      <c r="AD186" s="25">
        <f>AC186*T186</f>
        <v>9.1199999999999992</v>
      </c>
      <c r="AE186" s="25">
        <f>AB186*T186</f>
        <v>8.7200000000000006</v>
      </c>
      <c r="AF186" s="25">
        <f>AD186-AE186</f>
        <v>0.39999999999999858</v>
      </c>
      <c r="AG186" s="26">
        <f>AF186/AD186</f>
        <v>4.3859649122806862E-2</v>
      </c>
      <c r="AH186" s="27" t="str">
        <f>IF(AG186&lt;0,"Negative",IF(AG186=0,"Same",IF(AG186&gt;0.3,"30+%",IF(AG186&gt;0.2,"20-30%",IF(AG186&gt;0.1,"10-20%",IF(AG186&lt;=0.1,"0-10%"))))))</f>
        <v>0-10%</v>
      </c>
      <c r="AI186" s="32"/>
      <c r="AJ186" s="36" t="s">
        <v>3300</v>
      </c>
      <c r="AK186" s="32"/>
    </row>
    <row r="187" spans="1:37" s="1" customFormat="1" ht="19.7" customHeight="1" x14ac:dyDescent="0.25">
      <c r="A187" s="5" t="s">
        <v>22</v>
      </c>
      <c r="B187" s="5" t="s">
        <v>2083</v>
      </c>
      <c r="C187" s="6">
        <v>44516</v>
      </c>
      <c r="D187" s="5" t="s">
        <v>24</v>
      </c>
      <c r="E187" s="5" t="s">
        <v>25</v>
      </c>
      <c r="F187" s="5" t="s">
        <v>26</v>
      </c>
      <c r="G187" s="5" t="s">
        <v>27</v>
      </c>
      <c r="H187" s="5" t="s">
        <v>28</v>
      </c>
      <c r="I187" s="5" t="s">
        <v>29</v>
      </c>
      <c r="J187" s="5" t="s">
        <v>30</v>
      </c>
      <c r="K187" s="5" t="s">
        <v>31</v>
      </c>
      <c r="L187" s="5" t="s">
        <v>32</v>
      </c>
      <c r="M187" s="5" t="s">
        <v>1726</v>
      </c>
      <c r="N187" s="5" t="s">
        <v>2070</v>
      </c>
      <c r="O187" s="5" t="s">
        <v>178</v>
      </c>
      <c r="P187" s="5" t="s">
        <v>1728</v>
      </c>
      <c r="Q187" s="5">
        <v>110330321</v>
      </c>
      <c r="R187" s="5" t="s">
        <v>61</v>
      </c>
      <c r="S187" s="5" t="s">
        <v>39</v>
      </c>
      <c r="T187" s="7">
        <v>4</v>
      </c>
      <c r="U187" s="15" t="s">
        <v>178</v>
      </c>
      <c r="V187" s="16" t="s">
        <v>1728</v>
      </c>
      <c r="W187" s="17">
        <v>110330321</v>
      </c>
      <c r="X187" s="16" t="s">
        <v>2561</v>
      </c>
      <c r="Y187" s="17" t="s">
        <v>3117</v>
      </c>
      <c r="Z187" s="17" t="s">
        <v>39</v>
      </c>
      <c r="AA187" s="17" t="s">
        <v>37</v>
      </c>
      <c r="AB187" s="29">
        <v>4.3600000000000003</v>
      </c>
      <c r="AC187" s="25">
        <v>4.5599999999999996</v>
      </c>
      <c r="AD187" s="25">
        <f>AC187*T187</f>
        <v>18.239999999999998</v>
      </c>
      <c r="AE187" s="25">
        <f>AB187*T187</f>
        <v>17.440000000000001</v>
      </c>
      <c r="AF187" s="25">
        <f>AD187-AE187</f>
        <v>0.79999999999999716</v>
      </c>
      <c r="AG187" s="26">
        <f>AF187/AD187</f>
        <v>4.3859649122806862E-2</v>
      </c>
      <c r="AH187" s="27" t="str">
        <f>IF(AG187&lt;0,"Negative",IF(AG187=0,"Same",IF(AG187&gt;0.3,"30+%",IF(AG187&gt;0.2,"20-30%",IF(AG187&gt;0.1,"10-20%",IF(AG187&lt;=0.1,"0-10%"))))))</f>
        <v>0-10%</v>
      </c>
      <c r="AI187" s="32"/>
      <c r="AJ187" s="36" t="s">
        <v>3300</v>
      </c>
      <c r="AK187" s="32"/>
    </row>
    <row r="188" spans="1:37" s="1" customFormat="1" ht="19.7" customHeight="1" x14ac:dyDescent="0.25">
      <c r="A188" s="9" t="s">
        <v>22</v>
      </c>
      <c r="B188" s="9" t="s">
        <v>1305</v>
      </c>
      <c r="C188" s="10">
        <v>44372</v>
      </c>
      <c r="D188" s="9" t="s">
        <v>24</v>
      </c>
      <c r="E188" s="9" t="s">
        <v>25</v>
      </c>
      <c r="F188" s="9" t="s">
        <v>26</v>
      </c>
      <c r="G188" s="9" t="s">
        <v>27</v>
      </c>
      <c r="H188" s="9" t="s">
        <v>28</v>
      </c>
      <c r="I188" s="9" t="s">
        <v>29</v>
      </c>
      <c r="J188" s="9" t="s">
        <v>30</v>
      </c>
      <c r="K188" s="9" t="s">
        <v>31</v>
      </c>
      <c r="L188" s="9" t="s">
        <v>32</v>
      </c>
      <c r="M188" s="9" t="s">
        <v>261</v>
      </c>
      <c r="N188" s="9" t="s">
        <v>1306</v>
      </c>
      <c r="O188" s="9" t="s">
        <v>1307</v>
      </c>
      <c r="P188" s="9" t="s">
        <v>1308</v>
      </c>
      <c r="Q188" s="9">
        <v>105767383</v>
      </c>
      <c r="R188" s="9" t="s">
        <v>51</v>
      </c>
      <c r="S188" s="9" t="s">
        <v>39</v>
      </c>
      <c r="T188" s="11">
        <v>10</v>
      </c>
      <c r="U188" s="15" t="s">
        <v>1307</v>
      </c>
      <c r="V188" s="16" t="s">
        <v>1308</v>
      </c>
      <c r="W188" s="17">
        <v>105767383</v>
      </c>
      <c r="X188" s="16" t="s">
        <v>2673</v>
      </c>
      <c r="Y188" s="17" t="s">
        <v>2993</v>
      </c>
      <c r="Z188" s="17" t="s">
        <v>39</v>
      </c>
      <c r="AA188" s="17" t="s">
        <v>2501</v>
      </c>
      <c r="AB188" s="29">
        <v>7.28</v>
      </c>
      <c r="AC188" s="25">
        <v>7.97</v>
      </c>
      <c r="AD188" s="31">
        <f>AC188*T188</f>
        <v>79.7</v>
      </c>
      <c r="AE188" s="25">
        <f>AB188*T188</f>
        <v>72.8</v>
      </c>
      <c r="AF188" s="25">
        <f>AD188-AE188</f>
        <v>6.9000000000000057</v>
      </c>
      <c r="AG188" s="26">
        <f>AF188/AD188</f>
        <v>8.6574654956085392E-2</v>
      </c>
      <c r="AH188" s="27" t="str">
        <f>IF(AG188&lt;0,"Negative",IF(AG188=0,"Same",IF(AG188&gt;0.3,"30+%",IF(AG188&gt;0.2,"20-30%",IF(AG188&gt;0.1,"10-20%",IF(AG188&lt;=0.1,"0-10%"))))))</f>
        <v>0-10%</v>
      </c>
      <c r="AI188" s="32"/>
      <c r="AJ188" s="36" t="s">
        <v>3300</v>
      </c>
      <c r="AK188" s="32"/>
    </row>
    <row r="189" spans="1:37" s="1" customFormat="1" ht="19.7" customHeight="1" x14ac:dyDescent="0.25">
      <c r="A189" s="9" t="s">
        <v>22</v>
      </c>
      <c r="B189" s="9" t="s">
        <v>713</v>
      </c>
      <c r="C189" s="10">
        <v>44293</v>
      </c>
      <c r="D189" s="9" t="s">
        <v>24</v>
      </c>
      <c r="E189" s="9" t="s">
        <v>25</v>
      </c>
      <c r="F189" s="9" t="s">
        <v>26</v>
      </c>
      <c r="G189" s="9" t="s">
        <v>27</v>
      </c>
      <c r="H189" s="9" t="s">
        <v>28</v>
      </c>
      <c r="I189" s="9" t="s">
        <v>29</v>
      </c>
      <c r="J189" s="9" t="s">
        <v>30</v>
      </c>
      <c r="K189" s="9" t="s">
        <v>31</v>
      </c>
      <c r="L189" s="9" t="s">
        <v>32</v>
      </c>
      <c r="M189" s="9" t="s">
        <v>714</v>
      </c>
      <c r="N189" s="9" t="s">
        <v>715</v>
      </c>
      <c r="O189" s="9" t="s">
        <v>716</v>
      </c>
      <c r="P189" s="9" t="s">
        <v>717</v>
      </c>
      <c r="Q189" s="9">
        <v>102182662</v>
      </c>
      <c r="R189" s="9" t="s">
        <v>116</v>
      </c>
      <c r="S189" s="9" t="s">
        <v>718</v>
      </c>
      <c r="T189" s="11">
        <v>100</v>
      </c>
      <c r="U189" s="15" t="s">
        <v>716</v>
      </c>
      <c r="V189" s="16" t="s">
        <v>717</v>
      </c>
      <c r="W189" s="17">
        <v>102182662</v>
      </c>
      <c r="X189" s="16" t="s">
        <v>2789</v>
      </c>
      <c r="Y189" s="17" t="s">
        <v>2790</v>
      </c>
      <c r="Z189" s="17" t="s">
        <v>718</v>
      </c>
      <c r="AA189" s="17" t="s">
        <v>37</v>
      </c>
      <c r="AB189" s="29">
        <v>1.81</v>
      </c>
      <c r="AC189" s="25">
        <v>1.89</v>
      </c>
      <c r="AD189" s="25">
        <f>AC189*T189</f>
        <v>189</v>
      </c>
      <c r="AE189" s="25">
        <f>AB189*T189</f>
        <v>181</v>
      </c>
      <c r="AF189" s="25">
        <f>AD189-AE189</f>
        <v>8</v>
      </c>
      <c r="AG189" s="26">
        <f>AF189/AD189</f>
        <v>4.2328042328042326E-2</v>
      </c>
      <c r="AH189" s="27" t="str">
        <f>IF(AG189&lt;0,"Negative",IF(AG189=0,"Same",IF(AG189&gt;0.3,"30+%",IF(AG189&gt;0.2,"20-30%",IF(AG189&gt;0.1,"10-20%",IF(AG189&lt;=0.1,"0-10%"))))))</f>
        <v>0-10%</v>
      </c>
      <c r="AI189" s="32"/>
      <c r="AJ189" s="36" t="s">
        <v>3300</v>
      </c>
      <c r="AK189" s="32"/>
    </row>
    <row r="190" spans="1:37" s="1" customFormat="1" ht="19.7" customHeight="1" x14ac:dyDescent="0.25">
      <c r="A190" s="9" t="s">
        <v>22</v>
      </c>
      <c r="B190" s="9" t="s">
        <v>229</v>
      </c>
      <c r="C190" s="10">
        <v>44242</v>
      </c>
      <c r="D190" s="9" t="s">
        <v>24</v>
      </c>
      <c r="E190" s="9" t="s">
        <v>25</v>
      </c>
      <c r="F190" s="9" t="s">
        <v>26</v>
      </c>
      <c r="G190" s="9" t="s">
        <v>27</v>
      </c>
      <c r="H190" s="9" t="s">
        <v>28</v>
      </c>
      <c r="I190" s="9" t="s">
        <v>29</v>
      </c>
      <c r="J190" s="9" t="s">
        <v>30</v>
      </c>
      <c r="K190" s="9" t="s">
        <v>31</v>
      </c>
      <c r="L190" s="9" t="s">
        <v>32</v>
      </c>
      <c r="M190" s="9" t="s">
        <v>230</v>
      </c>
      <c r="N190" s="9" t="s">
        <v>48</v>
      </c>
      <c r="O190" s="9" t="s">
        <v>231</v>
      </c>
      <c r="P190" s="9" t="s">
        <v>232</v>
      </c>
      <c r="Q190" s="9">
        <v>102975074</v>
      </c>
      <c r="R190" s="9" t="s">
        <v>38</v>
      </c>
      <c r="S190" s="9" t="s">
        <v>39</v>
      </c>
      <c r="T190" s="11">
        <v>2</v>
      </c>
      <c r="U190" s="15" t="s">
        <v>231</v>
      </c>
      <c r="V190" s="16" t="s">
        <v>232</v>
      </c>
      <c r="W190" s="17">
        <v>102975074</v>
      </c>
      <c r="X190" s="16" t="s">
        <v>2585</v>
      </c>
      <c r="Y190" s="17" t="s">
        <v>2586</v>
      </c>
      <c r="Z190" s="17" t="s">
        <v>39</v>
      </c>
      <c r="AA190" s="17" t="s">
        <v>2501</v>
      </c>
      <c r="AB190" s="29">
        <v>4.49</v>
      </c>
      <c r="AC190" s="25">
        <v>4.59</v>
      </c>
      <c r="AD190" s="25">
        <f>AC190*T190</f>
        <v>9.18</v>
      </c>
      <c r="AE190" s="25">
        <f>AB190*T190</f>
        <v>8.98</v>
      </c>
      <c r="AF190" s="25">
        <f>AD190-AE190</f>
        <v>0.19999999999999929</v>
      </c>
      <c r="AG190" s="26">
        <f>AF190/AD190</f>
        <v>2.1786492374727594E-2</v>
      </c>
      <c r="AH190" s="27" t="str">
        <f>IF(AG190&lt;0,"Negative",IF(AG190=0,"Same",IF(AG190&gt;0.3,"30+%",IF(AG190&gt;0.2,"20-30%",IF(AG190&gt;0.1,"10-20%",IF(AG190&lt;=0.1,"0-10%"))))))</f>
        <v>0-10%</v>
      </c>
      <c r="AI190" s="32"/>
      <c r="AJ190" s="36" t="s">
        <v>3300</v>
      </c>
      <c r="AK190" s="32"/>
    </row>
    <row r="191" spans="1:37" s="1" customFormat="1" ht="19.7" customHeight="1" x14ac:dyDescent="0.25">
      <c r="A191" s="5" t="s">
        <v>22</v>
      </c>
      <c r="B191" s="5" t="s">
        <v>1372</v>
      </c>
      <c r="C191" s="6">
        <v>44384</v>
      </c>
      <c r="D191" s="5" t="s">
        <v>24</v>
      </c>
      <c r="E191" s="5" t="s">
        <v>25</v>
      </c>
      <c r="F191" s="5" t="s">
        <v>26</v>
      </c>
      <c r="G191" s="5" t="s">
        <v>27</v>
      </c>
      <c r="H191" s="5" t="s">
        <v>28</v>
      </c>
      <c r="I191" s="5" t="s">
        <v>29</v>
      </c>
      <c r="J191" s="5" t="s">
        <v>30</v>
      </c>
      <c r="K191" s="5" t="s">
        <v>31</v>
      </c>
      <c r="L191" s="5" t="s">
        <v>32</v>
      </c>
      <c r="M191" s="5" t="s">
        <v>1373</v>
      </c>
      <c r="N191" s="5" t="s">
        <v>1350</v>
      </c>
      <c r="O191" s="5" t="s">
        <v>1374</v>
      </c>
      <c r="P191" s="5" t="s">
        <v>1375</v>
      </c>
      <c r="Q191" s="5">
        <v>101556690</v>
      </c>
      <c r="R191" s="5" t="s">
        <v>299</v>
      </c>
      <c r="S191" s="5" t="s">
        <v>39</v>
      </c>
      <c r="T191" s="7">
        <v>12</v>
      </c>
      <c r="U191" s="15" t="s">
        <v>1374</v>
      </c>
      <c r="V191" s="16" t="s">
        <v>1375</v>
      </c>
      <c r="W191" s="17">
        <v>101556690</v>
      </c>
      <c r="X191" s="16" t="s">
        <v>2688</v>
      </c>
      <c r="Y191" s="17" t="s">
        <v>3018</v>
      </c>
      <c r="Z191" s="17" t="s">
        <v>39</v>
      </c>
      <c r="AA191" s="17" t="s">
        <v>2501</v>
      </c>
      <c r="AB191" s="29">
        <v>9.39</v>
      </c>
      <c r="AC191" s="25">
        <v>9</v>
      </c>
      <c r="AD191" s="30">
        <f>AC191*T191</f>
        <v>108</v>
      </c>
      <c r="AE191" s="25">
        <f>AB191*T191</f>
        <v>112.68</v>
      </c>
      <c r="AF191" s="25">
        <f>AD191-AE191</f>
        <v>-4.6800000000000068</v>
      </c>
      <c r="AG191" s="26">
        <f>AF191/AD191</f>
        <v>-4.3333333333333397E-2</v>
      </c>
      <c r="AH191" s="27" t="str">
        <f>IF(AG191&lt;0,"Negative",IF(AG191=0,"Same",IF(AG191&gt;0.3,"30+%",IF(AG191&gt;0.2,"20-30%",IF(AG191&gt;0.1,"10-20%",IF(AG191&lt;=0.1,"0-10%"))))))</f>
        <v>Negative</v>
      </c>
      <c r="AI191" s="32"/>
      <c r="AJ191" s="36" t="s">
        <v>3300</v>
      </c>
      <c r="AK191" s="32"/>
    </row>
    <row r="192" spans="1:37" s="1" customFormat="1" ht="19.7" customHeight="1" x14ac:dyDescent="0.25">
      <c r="A192" s="5" t="s">
        <v>22</v>
      </c>
      <c r="B192" s="5" t="s">
        <v>1827</v>
      </c>
      <c r="C192" s="6">
        <v>44467</v>
      </c>
      <c r="D192" s="5" t="s">
        <v>24</v>
      </c>
      <c r="E192" s="5" t="s">
        <v>25</v>
      </c>
      <c r="F192" s="5" t="s">
        <v>26</v>
      </c>
      <c r="G192" s="5" t="s">
        <v>27</v>
      </c>
      <c r="H192" s="5" t="s">
        <v>28</v>
      </c>
      <c r="I192" s="5" t="s">
        <v>29</v>
      </c>
      <c r="J192" s="5" t="s">
        <v>30</v>
      </c>
      <c r="K192" s="5" t="s">
        <v>31</v>
      </c>
      <c r="L192" s="5" t="s">
        <v>32</v>
      </c>
      <c r="M192" s="5" t="s">
        <v>1373</v>
      </c>
      <c r="N192" s="5" t="s">
        <v>1825</v>
      </c>
      <c r="O192" s="5" t="s">
        <v>1374</v>
      </c>
      <c r="P192" s="5" t="s">
        <v>1375</v>
      </c>
      <c r="Q192" s="5">
        <v>101556690</v>
      </c>
      <c r="R192" s="5" t="s">
        <v>299</v>
      </c>
      <c r="S192" s="5" t="s">
        <v>39</v>
      </c>
      <c r="T192" s="7">
        <v>12</v>
      </c>
      <c r="U192" s="15" t="s">
        <v>1374</v>
      </c>
      <c r="V192" s="16" t="s">
        <v>1375</v>
      </c>
      <c r="W192" s="17">
        <v>101556690</v>
      </c>
      <c r="X192" s="16" t="s">
        <v>2688</v>
      </c>
      <c r="Y192" s="17" t="s">
        <v>3018</v>
      </c>
      <c r="Z192" s="17" t="s">
        <v>39</v>
      </c>
      <c r="AA192" s="17" t="s">
        <v>2501</v>
      </c>
      <c r="AB192" s="29">
        <v>9.39</v>
      </c>
      <c r="AC192" s="25">
        <v>9</v>
      </c>
      <c r="AD192" s="25">
        <f>AC192*T192</f>
        <v>108</v>
      </c>
      <c r="AE192" s="25">
        <f>AB192*T192</f>
        <v>112.68</v>
      </c>
      <c r="AF192" s="25">
        <f>AD192-AE192</f>
        <v>-4.6800000000000068</v>
      </c>
      <c r="AG192" s="26">
        <f>AF192/AD192</f>
        <v>-4.3333333333333397E-2</v>
      </c>
      <c r="AH192" s="27" t="str">
        <f>IF(AG192&lt;0,"Negative",IF(AG192=0,"Same",IF(AG192&gt;0.3,"30+%",IF(AG192&gt;0.2,"20-30%",IF(AG192&gt;0.1,"10-20%",IF(AG192&lt;=0.1,"0-10%"))))))</f>
        <v>Negative</v>
      </c>
      <c r="AI192" s="32"/>
      <c r="AJ192" s="36" t="s">
        <v>3300</v>
      </c>
      <c r="AK192" s="32"/>
    </row>
    <row r="193" spans="1:37" s="1" customFormat="1" ht="19.7" customHeight="1" x14ac:dyDescent="0.25">
      <c r="A193" s="5" t="s">
        <v>22</v>
      </c>
      <c r="B193" s="5" t="s">
        <v>2058</v>
      </c>
      <c r="C193" s="6">
        <v>44510</v>
      </c>
      <c r="D193" s="5" t="s">
        <v>24</v>
      </c>
      <c r="E193" s="5" t="s">
        <v>25</v>
      </c>
      <c r="F193" s="5" t="s">
        <v>26</v>
      </c>
      <c r="G193" s="5" t="s">
        <v>27</v>
      </c>
      <c r="H193" s="5" t="s">
        <v>28</v>
      </c>
      <c r="I193" s="5" t="s">
        <v>29</v>
      </c>
      <c r="J193" s="5" t="s">
        <v>30</v>
      </c>
      <c r="K193" s="5" t="s">
        <v>31</v>
      </c>
      <c r="L193" s="5" t="s">
        <v>32</v>
      </c>
      <c r="M193" s="5" t="s">
        <v>417</v>
      </c>
      <c r="N193" s="5" t="s">
        <v>2059</v>
      </c>
      <c r="O193" s="5" t="s">
        <v>172</v>
      </c>
      <c r="P193" s="5" t="s">
        <v>418</v>
      </c>
      <c r="Q193" s="5">
        <v>100800860</v>
      </c>
      <c r="R193" s="5" t="s">
        <v>56</v>
      </c>
      <c r="S193" s="5" t="s">
        <v>39</v>
      </c>
      <c r="T193" s="7">
        <v>2</v>
      </c>
      <c r="U193" s="15" t="s">
        <v>172</v>
      </c>
      <c r="V193" s="16" t="s">
        <v>418</v>
      </c>
      <c r="W193" s="17">
        <v>100800860</v>
      </c>
      <c r="X193" s="16" t="s">
        <v>2557</v>
      </c>
      <c r="Y193" s="17" t="s">
        <v>2665</v>
      </c>
      <c r="Z193" s="17" t="s">
        <v>39</v>
      </c>
      <c r="AA193" s="17" t="s">
        <v>37</v>
      </c>
      <c r="AB193" s="43">
        <v>3.19</v>
      </c>
      <c r="AC193" s="25">
        <v>3.26</v>
      </c>
      <c r="AD193" s="25">
        <f>AC193*T193</f>
        <v>6.52</v>
      </c>
      <c r="AE193" s="25">
        <f>AB193*T193</f>
        <v>6.38</v>
      </c>
      <c r="AF193" s="25">
        <f>AD193-AE193</f>
        <v>0.13999999999999968</v>
      </c>
      <c r="AG193" s="26">
        <f>AF193/AD193</f>
        <v>2.1472392638036762E-2</v>
      </c>
      <c r="AH193" s="27" t="str">
        <f>IF(AG193&lt;0,"Negative",IF(AG193=0,"Same",IF(AG193&gt;0.3,"30+%",IF(AG193&gt;0.2,"20-30%",IF(AG193&gt;0.1,"10-20%",IF(AG193&lt;=0.1,"0-10%"))))))</f>
        <v>0-10%</v>
      </c>
      <c r="AI193" s="32"/>
      <c r="AJ193" s="36" t="s">
        <v>3300</v>
      </c>
      <c r="AK193" s="32"/>
    </row>
    <row r="194" spans="1:37" s="1" customFormat="1" ht="19.7" customHeight="1" x14ac:dyDescent="0.25">
      <c r="A194" s="5" t="s">
        <v>22</v>
      </c>
      <c r="B194" s="5" t="s">
        <v>1348</v>
      </c>
      <c r="C194" s="6">
        <v>44379</v>
      </c>
      <c r="D194" s="5" t="s">
        <v>24</v>
      </c>
      <c r="E194" s="5" t="s">
        <v>25</v>
      </c>
      <c r="F194" s="5" t="s">
        <v>26</v>
      </c>
      <c r="G194" s="5" t="s">
        <v>27</v>
      </c>
      <c r="H194" s="5" t="s">
        <v>28</v>
      </c>
      <c r="I194" s="5" t="s">
        <v>29</v>
      </c>
      <c r="J194" s="5" t="s">
        <v>30</v>
      </c>
      <c r="K194" s="5" t="s">
        <v>31</v>
      </c>
      <c r="L194" s="5" t="s">
        <v>32</v>
      </c>
      <c r="M194" s="5" t="s">
        <v>1352</v>
      </c>
      <c r="N194" s="5" t="s">
        <v>1350</v>
      </c>
      <c r="O194" s="5" t="s">
        <v>169</v>
      </c>
      <c r="P194" s="5" t="s">
        <v>1353</v>
      </c>
      <c r="Q194" s="5">
        <v>100770965</v>
      </c>
      <c r="R194" s="5" t="s">
        <v>56</v>
      </c>
      <c r="S194" s="5" t="s">
        <v>39</v>
      </c>
      <c r="T194" s="7">
        <v>1</v>
      </c>
      <c r="U194" s="15" t="s">
        <v>169</v>
      </c>
      <c r="V194" s="16" t="s">
        <v>1353</v>
      </c>
      <c r="W194" s="17">
        <v>100770965</v>
      </c>
      <c r="X194" s="16" t="s">
        <v>2610</v>
      </c>
      <c r="Y194" s="17" t="s">
        <v>3009</v>
      </c>
      <c r="Z194" s="17" t="s">
        <v>39</v>
      </c>
      <c r="AA194" s="17" t="s">
        <v>37</v>
      </c>
      <c r="AB194" s="43">
        <v>6.52</v>
      </c>
      <c r="AC194" s="25">
        <v>6.81</v>
      </c>
      <c r="AD194" s="25">
        <f>AC194*T194</f>
        <v>6.81</v>
      </c>
      <c r="AE194" s="25">
        <f>AB194*T194</f>
        <v>6.52</v>
      </c>
      <c r="AF194" s="25">
        <f>AD194-AE194</f>
        <v>0.29000000000000004</v>
      </c>
      <c r="AG194" s="26">
        <f>AF194/AD194</f>
        <v>4.2584434654919241E-2</v>
      </c>
      <c r="AH194" s="27" t="str">
        <f>IF(AG194&lt;0,"Negative",IF(AG194=0,"Same",IF(AG194&gt;0.3,"30+%",IF(AG194&gt;0.2,"20-30%",IF(AG194&gt;0.1,"10-20%",IF(AG194&lt;=0.1,"0-10%"))))))</f>
        <v>0-10%</v>
      </c>
      <c r="AI194" s="32"/>
      <c r="AJ194" s="36" t="s">
        <v>3300</v>
      </c>
      <c r="AK194" s="32"/>
    </row>
    <row r="195" spans="1:37" s="1" customFormat="1" ht="19.7" customHeight="1" x14ac:dyDescent="0.25">
      <c r="A195" s="9" t="s">
        <v>22</v>
      </c>
      <c r="B195" s="9" t="s">
        <v>591</v>
      </c>
      <c r="C195" s="10">
        <v>44280</v>
      </c>
      <c r="D195" s="9" t="s">
        <v>24</v>
      </c>
      <c r="E195" s="9" t="s">
        <v>25</v>
      </c>
      <c r="F195" s="9" t="s">
        <v>26</v>
      </c>
      <c r="G195" s="9" t="s">
        <v>27</v>
      </c>
      <c r="H195" s="9" t="s">
        <v>28</v>
      </c>
      <c r="I195" s="9" t="s">
        <v>29</v>
      </c>
      <c r="J195" s="9" t="s">
        <v>30</v>
      </c>
      <c r="K195" s="9" t="s">
        <v>31</v>
      </c>
      <c r="L195" s="9" t="s">
        <v>32</v>
      </c>
      <c r="M195" s="9" t="s">
        <v>592</v>
      </c>
      <c r="N195" s="9" t="s">
        <v>415</v>
      </c>
      <c r="O195" s="9" t="s">
        <v>71</v>
      </c>
      <c r="P195" s="9" t="s">
        <v>593</v>
      </c>
      <c r="Q195" s="9">
        <v>112038897</v>
      </c>
      <c r="R195" s="9" t="s">
        <v>73</v>
      </c>
      <c r="S195" s="9" t="s">
        <v>39</v>
      </c>
      <c r="T195" s="11">
        <v>48</v>
      </c>
      <c r="U195" s="15" t="s">
        <v>71</v>
      </c>
      <c r="V195" s="41" t="s">
        <v>593</v>
      </c>
      <c r="W195" s="17">
        <v>112038897</v>
      </c>
      <c r="X195" s="16" t="s">
        <v>2510</v>
      </c>
      <c r="Y195" s="17" t="s">
        <v>2743</v>
      </c>
      <c r="Z195" s="17" t="s">
        <v>39</v>
      </c>
      <c r="AA195" s="17" t="s">
        <v>2501</v>
      </c>
      <c r="AB195" s="29">
        <v>4.01</v>
      </c>
      <c r="AC195" s="25">
        <v>4.01</v>
      </c>
      <c r="AD195" s="25">
        <f>AC195*T195</f>
        <v>192.48</v>
      </c>
      <c r="AE195" s="25">
        <f>AB195*T195</f>
        <v>192.48</v>
      </c>
      <c r="AF195" s="25">
        <f>AD195-AE195</f>
        <v>0</v>
      </c>
      <c r="AG195" s="26">
        <f>AF195/AD195</f>
        <v>0</v>
      </c>
      <c r="AH195" s="27" t="str">
        <f>IF(AG195&lt;0,"Negative",IF(AG195=0,"Same",IF(AG195&gt;0.3,"30+%",IF(AG195&gt;0.2,"20-30%",IF(AG195&gt;0.1,"10-20%",IF(AG195&lt;=0.1,"0-10%"))))))</f>
        <v>Same</v>
      </c>
      <c r="AI195" s="32"/>
      <c r="AJ195" s="36" t="s">
        <v>3300</v>
      </c>
      <c r="AK195" s="32"/>
    </row>
    <row r="196" spans="1:37" s="1" customFormat="1" ht="19.7" customHeight="1" x14ac:dyDescent="0.25">
      <c r="A196" s="9" t="s">
        <v>22</v>
      </c>
      <c r="B196" s="9" t="s">
        <v>939</v>
      </c>
      <c r="C196" s="10">
        <v>44320</v>
      </c>
      <c r="D196" s="9" t="s">
        <v>24</v>
      </c>
      <c r="E196" s="9" t="s">
        <v>25</v>
      </c>
      <c r="F196" s="9" t="s">
        <v>26</v>
      </c>
      <c r="G196" s="9" t="s">
        <v>27</v>
      </c>
      <c r="H196" s="9" t="s">
        <v>28</v>
      </c>
      <c r="I196" s="9" t="s">
        <v>29</v>
      </c>
      <c r="J196" s="9" t="s">
        <v>30</v>
      </c>
      <c r="K196" s="9" t="s">
        <v>31</v>
      </c>
      <c r="L196" s="9" t="s">
        <v>32</v>
      </c>
      <c r="M196" s="9" t="s">
        <v>261</v>
      </c>
      <c r="N196" s="9" t="s">
        <v>940</v>
      </c>
      <c r="O196" s="9" t="s">
        <v>89</v>
      </c>
      <c r="P196" s="9" t="s">
        <v>941</v>
      </c>
      <c r="Q196" s="9">
        <v>101008231</v>
      </c>
      <c r="R196" s="9" t="s">
        <v>45</v>
      </c>
      <c r="S196" s="9" t="s">
        <v>39</v>
      </c>
      <c r="T196" s="11">
        <v>2</v>
      </c>
      <c r="U196" s="15" t="s">
        <v>89</v>
      </c>
      <c r="V196" s="16" t="s">
        <v>941</v>
      </c>
      <c r="W196" s="17">
        <v>101008231</v>
      </c>
      <c r="X196" s="16" t="s">
        <v>2520</v>
      </c>
      <c r="Y196" s="17" t="s">
        <v>2870</v>
      </c>
      <c r="Z196" s="17" t="s">
        <v>39</v>
      </c>
      <c r="AA196" s="17" t="s">
        <v>37</v>
      </c>
      <c r="AB196" s="43">
        <v>1.85</v>
      </c>
      <c r="AC196" s="25">
        <v>2.1800000000000002</v>
      </c>
      <c r="AD196" s="25">
        <f>AC196*T196</f>
        <v>4.3600000000000003</v>
      </c>
      <c r="AE196" s="25">
        <f>AB196*T196</f>
        <v>3.7</v>
      </c>
      <c r="AF196" s="25">
        <f>AD196-AE196</f>
        <v>0.66000000000000014</v>
      </c>
      <c r="AG196" s="26">
        <f>AF196/AD196</f>
        <v>0.15137614678899083</v>
      </c>
      <c r="AH196" s="27" t="str">
        <f>IF(AG196&lt;0,"Negative",IF(AG196=0,"Same",IF(AG196&gt;0.3,"30+%",IF(AG196&gt;0.2,"20-30%",IF(AG196&gt;0.1,"10-20%",IF(AG196&lt;=0.1,"0-10%"))))))</f>
        <v>10-20%</v>
      </c>
      <c r="AI196" s="32"/>
      <c r="AJ196" s="36" t="s">
        <v>3300</v>
      </c>
      <c r="AK196" s="32"/>
    </row>
    <row r="197" spans="1:37" s="1" customFormat="1" ht="19.7" customHeight="1" x14ac:dyDescent="0.25">
      <c r="A197" s="5" t="s">
        <v>22</v>
      </c>
      <c r="B197" s="5" t="s">
        <v>949</v>
      </c>
      <c r="C197" s="6">
        <v>44321</v>
      </c>
      <c r="D197" s="5" t="s">
        <v>24</v>
      </c>
      <c r="E197" s="5" t="s">
        <v>25</v>
      </c>
      <c r="F197" s="5" t="s">
        <v>26</v>
      </c>
      <c r="G197" s="5" t="s">
        <v>27</v>
      </c>
      <c r="H197" s="5" t="s">
        <v>28</v>
      </c>
      <c r="I197" s="5" t="s">
        <v>29</v>
      </c>
      <c r="J197" s="5" t="s">
        <v>30</v>
      </c>
      <c r="K197" s="5" t="s">
        <v>31</v>
      </c>
      <c r="L197" s="5" t="s">
        <v>32</v>
      </c>
      <c r="M197" s="5" t="s">
        <v>261</v>
      </c>
      <c r="N197" s="5" t="s">
        <v>940</v>
      </c>
      <c r="O197" s="5" t="s">
        <v>89</v>
      </c>
      <c r="P197" s="5" t="s">
        <v>941</v>
      </c>
      <c r="Q197" s="5">
        <v>101008231</v>
      </c>
      <c r="R197" s="5" t="s">
        <v>45</v>
      </c>
      <c r="S197" s="5" t="s">
        <v>39</v>
      </c>
      <c r="T197" s="7">
        <v>2</v>
      </c>
      <c r="U197" s="15" t="s">
        <v>89</v>
      </c>
      <c r="V197" s="16" t="s">
        <v>941</v>
      </c>
      <c r="W197" s="17">
        <v>101008231</v>
      </c>
      <c r="X197" s="16" t="s">
        <v>2520</v>
      </c>
      <c r="Y197" s="17" t="s">
        <v>2870</v>
      </c>
      <c r="Z197" s="17" t="s">
        <v>39</v>
      </c>
      <c r="AA197" s="17" t="s">
        <v>37</v>
      </c>
      <c r="AB197" s="43">
        <v>1.85</v>
      </c>
      <c r="AC197" s="25">
        <v>2.1800000000000002</v>
      </c>
      <c r="AD197" s="25">
        <f>AC197*T197</f>
        <v>4.3600000000000003</v>
      </c>
      <c r="AE197" s="25">
        <f>AB197*T197</f>
        <v>3.7</v>
      </c>
      <c r="AF197" s="25">
        <f>AD197-AE197</f>
        <v>0.66000000000000014</v>
      </c>
      <c r="AG197" s="26">
        <f>AF197/AD197</f>
        <v>0.15137614678899083</v>
      </c>
      <c r="AH197" s="27" t="str">
        <f>IF(AG197&lt;0,"Negative",IF(AG197=0,"Same",IF(AG197&gt;0.3,"30+%",IF(AG197&gt;0.2,"20-30%",IF(AG197&gt;0.1,"10-20%",IF(AG197&lt;=0.1,"0-10%"))))))</f>
        <v>10-20%</v>
      </c>
      <c r="AI197" s="32"/>
      <c r="AJ197" s="36" t="s">
        <v>3300</v>
      </c>
      <c r="AK197" s="32"/>
    </row>
    <row r="198" spans="1:37" s="1" customFormat="1" ht="19.7" customHeight="1" x14ac:dyDescent="0.25">
      <c r="A198" s="5" t="s">
        <v>22</v>
      </c>
      <c r="B198" s="5" t="s">
        <v>603</v>
      </c>
      <c r="C198" s="6">
        <v>44281</v>
      </c>
      <c r="D198" s="5" t="s">
        <v>24</v>
      </c>
      <c r="E198" s="5" t="s">
        <v>25</v>
      </c>
      <c r="F198" s="5" t="s">
        <v>26</v>
      </c>
      <c r="G198" s="5" t="s">
        <v>27</v>
      </c>
      <c r="H198" s="5" t="s">
        <v>28</v>
      </c>
      <c r="I198" s="5" t="s">
        <v>29</v>
      </c>
      <c r="J198" s="5" t="s">
        <v>30</v>
      </c>
      <c r="K198" s="5" t="s">
        <v>31</v>
      </c>
      <c r="L198" s="5" t="s">
        <v>32</v>
      </c>
      <c r="M198" s="5" t="s">
        <v>607</v>
      </c>
      <c r="N198" s="5" t="s">
        <v>605</v>
      </c>
      <c r="O198" s="5" t="s">
        <v>169</v>
      </c>
      <c r="P198" s="5" t="s">
        <v>608</v>
      </c>
      <c r="Q198" s="5">
        <v>100771012</v>
      </c>
      <c r="R198" s="5" t="s">
        <v>56</v>
      </c>
      <c r="S198" s="5" t="s">
        <v>39</v>
      </c>
      <c r="T198" s="7">
        <v>2</v>
      </c>
      <c r="U198" s="15" t="s">
        <v>169</v>
      </c>
      <c r="V198" s="16" t="s">
        <v>608</v>
      </c>
      <c r="W198" s="17">
        <v>100771012</v>
      </c>
      <c r="X198" s="16" t="s">
        <v>2749</v>
      </c>
      <c r="Y198" s="17" t="s">
        <v>2750</v>
      </c>
      <c r="Z198" s="17" t="s">
        <v>39</v>
      </c>
      <c r="AA198" s="17" t="s">
        <v>37</v>
      </c>
      <c r="AB198" s="43">
        <v>6.93</v>
      </c>
      <c r="AC198" s="25">
        <v>7.23</v>
      </c>
      <c r="AD198" s="25">
        <f>AC198*T198</f>
        <v>14.46</v>
      </c>
      <c r="AE198" s="25">
        <f>AB198*T198</f>
        <v>13.86</v>
      </c>
      <c r="AF198" s="25">
        <f>AD198-AE198</f>
        <v>0.60000000000000142</v>
      </c>
      <c r="AG198" s="26">
        <f>AF198/AD198</f>
        <v>4.1493775933610054E-2</v>
      </c>
      <c r="AH198" s="27" t="str">
        <f>IF(AG198&lt;0,"Negative",IF(AG198=0,"Same",IF(AG198&gt;0.3,"30+%",IF(AG198&gt;0.2,"20-30%",IF(AG198&gt;0.1,"10-20%",IF(AG198&lt;=0.1,"0-10%"))))))</f>
        <v>0-10%</v>
      </c>
      <c r="AI198" s="32"/>
      <c r="AJ198" s="36" t="s">
        <v>3300</v>
      </c>
      <c r="AK198" s="32"/>
    </row>
    <row r="199" spans="1:37" s="1" customFormat="1" ht="19.7" customHeight="1" x14ac:dyDescent="0.25">
      <c r="A199" s="9" t="s">
        <v>22</v>
      </c>
      <c r="B199" s="9" t="s">
        <v>901</v>
      </c>
      <c r="C199" s="10">
        <v>44316</v>
      </c>
      <c r="D199" s="9" t="s">
        <v>24</v>
      </c>
      <c r="E199" s="9" t="s">
        <v>25</v>
      </c>
      <c r="F199" s="9" t="s">
        <v>26</v>
      </c>
      <c r="G199" s="9" t="s">
        <v>67</v>
      </c>
      <c r="H199" s="9" t="s">
        <v>68</v>
      </c>
      <c r="I199" s="9" t="s">
        <v>29</v>
      </c>
      <c r="J199" s="9" t="s">
        <v>30</v>
      </c>
      <c r="K199" s="9" t="s">
        <v>31</v>
      </c>
      <c r="L199" s="9" t="s">
        <v>32</v>
      </c>
      <c r="M199" s="9" t="s">
        <v>903</v>
      </c>
      <c r="N199" s="9" t="s">
        <v>902</v>
      </c>
      <c r="O199" s="9" t="s">
        <v>169</v>
      </c>
      <c r="P199" s="9" t="s">
        <v>904</v>
      </c>
      <c r="Q199" s="9">
        <v>100772553</v>
      </c>
      <c r="R199" s="9" t="s">
        <v>56</v>
      </c>
      <c r="S199" s="9" t="s">
        <v>39</v>
      </c>
      <c r="T199" s="11">
        <v>1</v>
      </c>
      <c r="U199" s="15" t="s">
        <v>169</v>
      </c>
      <c r="V199" s="16" t="s">
        <v>904</v>
      </c>
      <c r="W199" s="17">
        <v>100772553</v>
      </c>
      <c r="X199" s="16" t="s">
        <v>2812</v>
      </c>
      <c r="Y199" s="17" t="s">
        <v>2856</v>
      </c>
      <c r="Z199" s="17" t="s">
        <v>39</v>
      </c>
      <c r="AA199" s="17" t="s">
        <v>37</v>
      </c>
      <c r="AB199" s="43">
        <v>6.85</v>
      </c>
      <c r="AC199" s="25">
        <v>7.15</v>
      </c>
      <c r="AD199" s="25">
        <f>AC199*T199</f>
        <v>7.15</v>
      </c>
      <c r="AE199" s="25">
        <f>AB199*T199</f>
        <v>6.85</v>
      </c>
      <c r="AF199" s="25">
        <f>AD199-AE199</f>
        <v>0.30000000000000071</v>
      </c>
      <c r="AG199" s="26">
        <f>AF199/AD199</f>
        <v>4.1958041958042057E-2</v>
      </c>
      <c r="AH199" s="27" t="str">
        <f>IF(AG199&lt;0,"Negative",IF(AG199=0,"Same",IF(AG199&gt;0.3,"30+%",IF(AG199&gt;0.2,"20-30%",IF(AG199&gt;0.1,"10-20%",IF(AG199&lt;=0.1,"0-10%"))))))</f>
        <v>0-10%</v>
      </c>
      <c r="AI199" s="32"/>
      <c r="AJ199" s="36" t="s">
        <v>3300</v>
      </c>
      <c r="AK199" s="32"/>
    </row>
    <row r="200" spans="1:37" s="1" customFormat="1" ht="19.7" customHeight="1" x14ac:dyDescent="0.25">
      <c r="A200" s="9" t="s">
        <v>22</v>
      </c>
      <c r="B200" s="9" t="s">
        <v>324</v>
      </c>
      <c r="C200" s="10">
        <v>44251</v>
      </c>
      <c r="D200" s="9" t="s">
        <v>24</v>
      </c>
      <c r="E200" s="9" t="s">
        <v>25</v>
      </c>
      <c r="F200" s="9" t="s">
        <v>26</v>
      </c>
      <c r="G200" s="9" t="s">
        <v>27</v>
      </c>
      <c r="H200" s="9" t="s">
        <v>28</v>
      </c>
      <c r="I200" s="9" t="s">
        <v>29</v>
      </c>
      <c r="J200" s="9" t="s">
        <v>30</v>
      </c>
      <c r="K200" s="9" t="s">
        <v>31</v>
      </c>
      <c r="L200" s="9" t="s">
        <v>32</v>
      </c>
      <c r="M200" s="9" t="s">
        <v>325</v>
      </c>
      <c r="N200" s="9" t="s">
        <v>309</v>
      </c>
      <c r="O200" s="9" t="s">
        <v>178</v>
      </c>
      <c r="P200" s="9" t="s">
        <v>326</v>
      </c>
      <c r="Q200" s="9">
        <v>110399758</v>
      </c>
      <c r="R200" s="9" t="s">
        <v>73</v>
      </c>
      <c r="S200" s="9" t="s">
        <v>39</v>
      </c>
      <c r="T200" s="11">
        <v>1</v>
      </c>
      <c r="U200" s="15" t="s">
        <v>178</v>
      </c>
      <c r="V200" s="16" t="s">
        <v>326</v>
      </c>
      <c r="W200" s="17">
        <v>110399758</v>
      </c>
      <c r="X200" s="16" t="s">
        <v>2626</v>
      </c>
      <c r="Y200" s="17" t="s">
        <v>2627</v>
      </c>
      <c r="Z200" s="17" t="s">
        <v>39</v>
      </c>
      <c r="AA200" s="17" t="s">
        <v>37</v>
      </c>
      <c r="AB200" s="29">
        <v>4.55</v>
      </c>
      <c r="AC200" s="25">
        <v>4.1900000000000004</v>
      </c>
      <c r="AD200" s="25">
        <f>AC200*T200</f>
        <v>4.1900000000000004</v>
      </c>
      <c r="AE200" s="25">
        <f>AB200*T200</f>
        <v>4.55</v>
      </c>
      <c r="AF200" s="25">
        <f>AD200-AE200</f>
        <v>-0.35999999999999943</v>
      </c>
      <c r="AG200" s="26">
        <f>AF200/AD200</f>
        <v>-8.5918854415274318E-2</v>
      </c>
      <c r="AH200" s="27" t="str">
        <f>IF(AG200&lt;0,"Negative",IF(AG200=0,"Same",IF(AG200&gt;0.3,"30+%",IF(AG200&gt;0.2,"20-30%",IF(AG200&gt;0.1,"10-20%",IF(AG200&lt;=0.1,"0-10%"))))))</f>
        <v>Negative</v>
      </c>
      <c r="AI200" s="32"/>
      <c r="AJ200" s="36" t="s">
        <v>3300</v>
      </c>
      <c r="AK200" s="32"/>
    </row>
    <row r="201" spans="1:37" s="1" customFormat="1" ht="19.7" customHeight="1" x14ac:dyDescent="0.25">
      <c r="A201" s="5" t="s">
        <v>22</v>
      </c>
      <c r="B201" s="5" t="s">
        <v>2134</v>
      </c>
      <c r="C201" s="6">
        <v>44522</v>
      </c>
      <c r="D201" s="5" t="s">
        <v>24</v>
      </c>
      <c r="E201" s="5" t="s">
        <v>25</v>
      </c>
      <c r="F201" s="5" t="s">
        <v>26</v>
      </c>
      <c r="G201" s="5" t="s">
        <v>67</v>
      </c>
      <c r="H201" s="5" t="s">
        <v>68</v>
      </c>
      <c r="I201" s="5" t="s">
        <v>29</v>
      </c>
      <c r="J201" s="5" t="s">
        <v>30</v>
      </c>
      <c r="K201" s="5" t="s">
        <v>31</v>
      </c>
      <c r="L201" s="5" t="s">
        <v>32</v>
      </c>
      <c r="M201" s="5" t="s">
        <v>2138</v>
      </c>
      <c r="N201" s="5" t="s">
        <v>2135</v>
      </c>
      <c r="O201" s="5" t="s">
        <v>169</v>
      </c>
      <c r="P201" s="5" t="s">
        <v>1129</v>
      </c>
      <c r="Q201" s="5">
        <v>101940040</v>
      </c>
      <c r="R201" s="5" t="s">
        <v>56</v>
      </c>
      <c r="S201" s="5" t="s">
        <v>39</v>
      </c>
      <c r="T201" s="7">
        <v>1</v>
      </c>
      <c r="U201" s="15" t="s">
        <v>169</v>
      </c>
      <c r="V201" s="16" t="s">
        <v>1129</v>
      </c>
      <c r="W201" s="17">
        <v>101940040</v>
      </c>
      <c r="X201" s="16" t="s">
        <v>2845</v>
      </c>
      <c r="Y201" s="17" t="s">
        <v>2932</v>
      </c>
      <c r="Z201" s="17" t="s">
        <v>39</v>
      </c>
      <c r="AA201" s="17" t="s">
        <v>37</v>
      </c>
      <c r="AB201" s="43">
        <v>152.21</v>
      </c>
      <c r="AC201" s="25">
        <v>167.24</v>
      </c>
      <c r="AD201" s="25">
        <f>AC201*T201</f>
        <v>167.24</v>
      </c>
      <c r="AE201" s="25">
        <f>AB201*T201</f>
        <v>152.21</v>
      </c>
      <c r="AF201" s="25">
        <f>AD201-AE201</f>
        <v>15.030000000000001</v>
      </c>
      <c r="AG201" s="26">
        <f>AF201/AD201</f>
        <v>8.9870844295623059E-2</v>
      </c>
      <c r="AH201" s="27" t="str">
        <f>IF(AG201&lt;0,"Negative",IF(AG201=0,"Same",IF(AG201&gt;0.3,"30+%",IF(AG201&gt;0.2,"20-30%",IF(AG201&gt;0.1,"10-20%",IF(AG201&lt;=0.1,"0-10%"))))))</f>
        <v>0-10%</v>
      </c>
      <c r="AI201" s="32"/>
      <c r="AJ201" s="36" t="s">
        <v>3299</v>
      </c>
      <c r="AK201" s="32"/>
    </row>
    <row r="202" spans="1:37" s="1" customFormat="1" ht="19.7" customHeight="1" x14ac:dyDescent="0.25">
      <c r="A202" s="5" t="s">
        <v>22</v>
      </c>
      <c r="B202" s="5" t="s">
        <v>2042</v>
      </c>
      <c r="C202" s="6">
        <v>44504</v>
      </c>
      <c r="D202" s="5" t="s">
        <v>24</v>
      </c>
      <c r="E202" s="5" t="s">
        <v>25</v>
      </c>
      <c r="F202" s="5" t="s">
        <v>26</v>
      </c>
      <c r="G202" s="5" t="s">
        <v>27</v>
      </c>
      <c r="H202" s="5" t="s">
        <v>28</v>
      </c>
      <c r="I202" s="5" t="s">
        <v>29</v>
      </c>
      <c r="J202" s="5" t="s">
        <v>30</v>
      </c>
      <c r="K202" s="5" t="s">
        <v>31</v>
      </c>
      <c r="L202" s="5" t="s">
        <v>32</v>
      </c>
      <c r="M202" s="5" t="s">
        <v>1127</v>
      </c>
      <c r="N202" s="5" t="s">
        <v>2044</v>
      </c>
      <c r="O202" s="5" t="s">
        <v>169</v>
      </c>
      <c r="P202" s="5" t="s">
        <v>1129</v>
      </c>
      <c r="Q202" s="5">
        <v>101940040</v>
      </c>
      <c r="R202" s="5" t="s">
        <v>56</v>
      </c>
      <c r="S202" s="5" t="s">
        <v>39</v>
      </c>
      <c r="T202" s="7">
        <v>1</v>
      </c>
      <c r="U202" s="15" t="s">
        <v>169</v>
      </c>
      <c r="V202" s="16" t="s">
        <v>1129</v>
      </c>
      <c r="W202" s="17">
        <v>101940040</v>
      </c>
      <c r="X202" s="16" t="s">
        <v>2845</v>
      </c>
      <c r="Y202" s="17" t="s">
        <v>2932</v>
      </c>
      <c r="Z202" s="17" t="s">
        <v>39</v>
      </c>
      <c r="AA202" s="17" t="s">
        <v>37</v>
      </c>
      <c r="AB202" s="43">
        <v>152.21</v>
      </c>
      <c r="AC202" s="25">
        <v>167.24</v>
      </c>
      <c r="AD202" s="25">
        <f>AC202*T202</f>
        <v>167.24</v>
      </c>
      <c r="AE202" s="25">
        <f>AB202*T202</f>
        <v>152.21</v>
      </c>
      <c r="AF202" s="25">
        <f>AD202-AE202</f>
        <v>15.030000000000001</v>
      </c>
      <c r="AG202" s="26">
        <f>AF202/AD202</f>
        <v>8.9870844295623059E-2</v>
      </c>
      <c r="AH202" s="27" t="str">
        <f>IF(AG202&lt;0,"Negative",IF(AG202=0,"Same",IF(AG202&gt;0.3,"30+%",IF(AG202&gt;0.2,"20-30%",IF(AG202&gt;0.1,"10-20%",IF(AG202&lt;=0.1,"0-10%"))))))</f>
        <v>0-10%</v>
      </c>
      <c r="AI202" s="32"/>
      <c r="AJ202" s="36" t="s">
        <v>3299</v>
      </c>
      <c r="AK202" s="32"/>
    </row>
    <row r="203" spans="1:37" s="1" customFormat="1" ht="19.7" customHeight="1" x14ac:dyDescent="0.25">
      <c r="A203" s="9" t="s">
        <v>22</v>
      </c>
      <c r="B203" s="9" t="s">
        <v>2031</v>
      </c>
      <c r="C203" s="10">
        <v>44502</v>
      </c>
      <c r="D203" s="9" t="s">
        <v>24</v>
      </c>
      <c r="E203" s="9" t="s">
        <v>25</v>
      </c>
      <c r="F203" s="9" t="s">
        <v>26</v>
      </c>
      <c r="G203" s="9" t="s">
        <v>27</v>
      </c>
      <c r="H203" s="9" t="s">
        <v>28</v>
      </c>
      <c r="I203" s="9" t="s">
        <v>29</v>
      </c>
      <c r="J203" s="9" t="s">
        <v>30</v>
      </c>
      <c r="K203" s="9" t="s">
        <v>31</v>
      </c>
      <c r="L203" s="9" t="s">
        <v>32</v>
      </c>
      <c r="M203" s="9" t="s">
        <v>1127</v>
      </c>
      <c r="N203" s="9" t="s">
        <v>2032</v>
      </c>
      <c r="O203" s="9" t="s">
        <v>169</v>
      </c>
      <c r="P203" s="9" t="s">
        <v>1129</v>
      </c>
      <c r="Q203" s="9">
        <v>101940040</v>
      </c>
      <c r="R203" s="9" t="s">
        <v>56</v>
      </c>
      <c r="S203" s="9" t="s">
        <v>39</v>
      </c>
      <c r="T203" s="11">
        <v>1</v>
      </c>
      <c r="U203" s="15" t="s">
        <v>169</v>
      </c>
      <c r="V203" s="16" t="s">
        <v>1129</v>
      </c>
      <c r="W203" s="17">
        <v>101940040</v>
      </c>
      <c r="X203" s="16" t="s">
        <v>2845</v>
      </c>
      <c r="Y203" s="17" t="s">
        <v>2932</v>
      </c>
      <c r="Z203" s="17" t="s">
        <v>39</v>
      </c>
      <c r="AA203" s="17" t="s">
        <v>37</v>
      </c>
      <c r="AB203" s="43">
        <v>152.21</v>
      </c>
      <c r="AC203" s="25">
        <v>167.24</v>
      </c>
      <c r="AD203" s="25">
        <f>AC203*T203</f>
        <v>167.24</v>
      </c>
      <c r="AE203" s="25">
        <f>AB203*T203</f>
        <v>152.21</v>
      </c>
      <c r="AF203" s="25">
        <f>AD203-AE203</f>
        <v>15.030000000000001</v>
      </c>
      <c r="AG203" s="26">
        <f>AF203/AD203</f>
        <v>8.9870844295623059E-2</v>
      </c>
      <c r="AH203" s="27" t="str">
        <f>IF(AG203&lt;0,"Negative",IF(AG203=0,"Same",IF(AG203&gt;0.3,"30+%",IF(AG203&gt;0.2,"20-30%",IF(AG203&gt;0.1,"10-20%",IF(AG203&lt;=0.1,"0-10%"))))))</f>
        <v>0-10%</v>
      </c>
      <c r="AI203" s="32"/>
      <c r="AJ203" s="36" t="s">
        <v>3299</v>
      </c>
      <c r="AK203" s="32"/>
    </row>
    <row r="204" spans="1:37" s="1" customFormat="1" ht="19.7" customHeight="1" x14ac:dyDescent="0.25">
      <c r="A204" s="9" t="s">
        <v>22</v>
      </c>
      <c r="B204" s="9" t="s">
        <v>2145</v>
      </c>
      <c r="C204" s="10">
        <v>44524</v>
      </c>
      <c r="D204" s="9" t="s">
        <v>24</v>
      </c>
      <c r="E204" s="9" t="s">
        <v>25</v>
      </c>
      <c r="F204" s="9" t="s">
        <v>26</v>
      </c>
      <c r="G204" s="9" t="s">
        <v>27</v>
      </c>
      <c r="H204" s="9" t="s">
        <v>28</v>
      </c>
      <c r="I204" s="9" t="s">
        <v>29</v>
      </c>
      <c r="J204" s="9" t="s">
        <v>30</v>
      </c>
      <c r="K204" s="9" t="s">
        <v>31</v>
      </c>
      <c r="L204" s="9" t="s">
        <v>32</v>
      </c>
      <c r="M204" s="9" t="s">
        <v>2148</v>
      </c>
      <c r="N204" s="9" t="s">
        <v>2144</v>
      </c>
      <c r="O204" s="9" t="s">
        <v>109</v>
      </c>
      <c r="P204" s="9" t="s">
        <v>2149</v>
      </c>
      <c r="Q204" s="9">
        <v>100721314</v>
      </c>
      <c r="R204" s="9" t="s">
        <v>61</v>
      </c>
      <c r="S204" s="9" t="s">
        <v>39</v>
      </c>
      <c r="T204" s="11">
        <v>2</v>
      </c>
      <c r="U204" s="15" t="s">
        <v>109</v>
      </c>
      <c r="V204" s="16" t="s">
        <v>2149</v>
      </c>
      <c r="W204" s="17">
        <v>100721314</v>
      </c>
      <c r="X204" s="16" t="s">
        <v>2526</v>
      </c>
      <c r="Y204" s="17" t="s">
        <v>3215</v>
      </c>
      <c r="Z204" s="17" t="s">
        <v>39</v>
      </c>
      <c r="AA204" s="17" t="s">
        <v>37</v>
      </c>
      <c r="AB204" s="43">
        <v>8.02</v>
      </c>
      <c r="AC204" s="25">
        <v>8.19</v>
      </c>
      <c r="AD204" s="25">
        <f>AC204*T204</f>
        <v>16.38</v>
      </c>
      <c r="AE204" s="25">
        <f>AB204*T204</f>
        <v>16.04</v>
      </c>
      <c r="AF204" s="25">
        <f>AD204-AE204</f>
        <v>0.33999999999999986</v>
      </c>
      <c r="AG204" s="26">
        <f>AF204/AD204</f>
        <v>2.0757020757020749E-2</v>
      </c>
      <c r="AH204" s="27" t="str">
        <f>IF(AG204&lt;0,"Negative",IF(AG204=0,"Same",IF(AG204&gt;0.3,"30+%",IF(AG204&gt;0.2,"20-30%",IF(AG204&gt;0.1,"10-20%",IF(AG204&lt;=0.1,"0-10%"))))))</f>
        <v>0-10%</v>
      </c>
      <c r="AI204" s="32"/>
      <c r="AJ204" s="36" t="s">
        <v>3300</v>
      </c>
      <c r="AK204" s="32"/>
    </row>
    <row r="205" spans="1:37" s="1" customFormat="1" ht="19.7" customHeight="1" x14ac:dyDescent="0.25">
      <c r="A205" s="5" t="s">
        <v>22</v>
      </c>
      <c r="B205" s="5" t="s">
        <v>2347</v>
      </c>
      <c r="C205" s="6">
        <v>44568</v>
      </c>
      <c r="D205" s="5" t="s">
        <v>24</v>
      </c>
      <c r="E205" s="5" t="s">
        <v>25</v>
      </c>
      <c r="F205" s="5" t="s">
        <v>26</v>
      </c>
      <c r="G205" s="5" t="s">
        <v>67</v>
      </c>
      <c r="H205" s="5" t="s">
        <v>68</v>
      </c>
      <c r="I205" s="5" t="s">
        <v>29</v>
      </c>
      <c r="J205" s="5" t="s">
        <v>30</v>
      </c>
      <c r="K205" s="5" t="s">
        <v>31</v>
      </c>
      <c r="L205" s="5" t="s">
        <v>32</v>
      </c>
      <c r="M205" s="5" t="s">
        <v>890</v>
      </c>
      <c r="N205" s="5" t="s">
        <v>2348</v>
      </c>
      <c r="O205" s="5" t="s">
        <v>71</v>
      </c>
      <c r="P205" s="5" t="s">
        <v>892</v>
      </c>
      <c r="Q205" s="5">
        <v>111449545</v>
      </c>
      <c r="R205" s="5" t="s">
        <v>73</v>
      </c>
      <c r="S205" s="5" t="s">
        <v>39</v>
      </c>
      <c r="T205" s="7">
        <v>48</v>
      </c>
      <c r="U205" s="15" t="s">
        <v>71</v>
      </c>
      <c r="V205" s="41" t="s">
        <v>892</v>
      </c>
      <c r="W205" s="17">
        <v>111449545</v>
      </c>
      <c r="X205" s="16" t="s">
        <v>2603</v>
      </c>
      <c r="Y205" s="17" t="s">
        <v>2852</v>
      </c>
      <c r="Z205" s="17" t="s">
        <v>39</v>
      </c>
      <c r="AA205" s="17" t="s">
        <v>2501</v>
      </c>
      <c r="AB205" s="29">
        <v>4.78</v>
      </c>
      <c r="AC205" s="25">
        <v>4.78</v>
      </c>
      <c r="AD205" s="25">
        <f>AC205*T205</f>
        <v>229.44</v>
      </c>
      <c r="AE205" s="25">
        <f>AB205*T205</f>
        <v>229.44</v>
      </c>
      <c r="AF205" s="25">
        <f>AD205-AE205</f>
        <v>0</v>
      </c>
      <c r="AG205" s="26">
        <f>AF205/AD205</f>
        <v>0</v>
      </c>
      <c r="AH205" s="27" t="str">
        <f>IF(AG205&lt;0,"Negative",IF(AG205=0,"Same",IF(AG205&gt;0.3,"30+%",IF(AG205&gt;0.2,"20-30%",IF(AG205&gt;0.1,"10-20%",IF(AG205&lt;=0.1,"0-10%"))))))</f>
        <v>Same</v>
      </c>
      <c r="AI205" s="32"/>
      <c r="AJ205" s="36" t="s">
        <v>3300</v>
      </c>
      <c r="AK205" s="32"/>
    </row>
    <row r="206" spans="1:37" s="1" customFormat="1" ht="19.7" customHeight="1" x14ac:dyDescent="0.25">
      <c r="A206" s="9" t="s">
        <v>22</v>
      </c>
      <c r="B206" s="9" t="s">
        <v>2213</v>
      </c>
      <c r="C206" s="10">
        <v>44540</v>
      </c>
      <c r="D206" s="9" t="s">
        <v>24</v>
      </c>
      <c r="E206" s="9" t="s">
        <v>25</v>
      </c>
      <c r="F206" s="9" t="s">
        <v>26</v>
      </c>
      <c r="G206" s="9" t="s">
        <v>67</v>
      </c>
      <c r="H206" s="9" t="s">
        <v>68</v>
      </c>
      <c r="I206" s="9" t="s">
        <v>29</v>
      </c>
      <c r="J206" s="9" t="s">
        <v>30</v>
      </c>
      <c r="K206" s="9" t="s">
        <v>31</v>
      </c>
      <c r="L206" s="9" t="s">
        <v>32</v>
      </c>
      <c r="M206" s="9" t="s">
        <v>890</v>
      </c>
      <c r="N206" s="9" t="s">
        <v>2214</v>
      </c>
      <c r="O206" s="9" t="s">
        <v>71</v>
      </c>
      <c r="P206" s="9" t="s">
        <v>892</v>
      </c>
      <c r="Q206" s="9">
        <v>111449545</v>
      </c>
      <c r="R206" s="9" t="s">
        <v>73</v>
      </c>
      <c r="S206" s="9" t="s">
        <v>39</v>
      </c>
      <c r="T206" s="11">
        <v>48</v>
      </c>
      <c r="U206" s="15" t="s">
        <v>71</v>
      </c>
      <c r="V206" s="41" t="s">
        <v>892</v>
      </c>
      <c r="W206" s="17">
        <v>111449545</v>
      </c>
      <c r="X206" s="16" t="s">
        <v>2603</v>
      </c>
      <c r="Y206" s="17" t="s">
        <v>2852</v>
      </c>
      <c r="Z206" s="17" t="s">
        <v>39</v>
      </c>
      <c r="AA206" s="17" t="s">
        <v>2501</v>
      </c>
      <c r="AB206" s="29">
        <v>4.78</v>
      </c>
      <c r="AC206" s="25">
        <v>4.78</v>
      </c>
      <c r="AD206" s="25">
        <f>AC206*T206</f>
        <v>229.44</v>
      </c>
      <c r="AE206" s="25">
        <f>AB206*T206</f>
        <v>229.44</v>
      </c>
      <c r="AF206" s="25">
        <f>AD206-AE206</f>
        <v>0</v>
      </c>
      <c r="AG206" s="26">
        <f>AF206/AD206</f>
        <v>0</v>
      </c>
      <c r="AH206" s="27" t="str">
        <f>IF(AG206&lt;0,"Negative",IF(AG206=0,"Same",IF(AG206&gt;0.3,"30+%",IF(AG206&gt;0.2,"20-30%",IF(AG206&gt;0.1,"10-20%",IF(AG206&lt;=0.1,"0-10%"))))))</f>
        <v>Same</v>
      </c>
      <c r="AI206" s="32"/>
      <c r="AJ206" s="36" t="s">
        <v>3300</v>
      </c>
      <c r="AK206" s="32"/>
    </row>
    <row r="207" spans="1:37" s="1" customFormat="1" ht="19.7" customHeight="1" x14ac:dyDescent="0.25">
      <c r="A207" s="9" t="s">
        <v>22</v>
      </c>
      <c r="B207" s="9" t="s">
        <v>1363</v>
      </c>
      <c r="C207" s="10">
        <v>44384</v>
      </c>
      <c r="D207" s="9" t="s">
        <v>24</v>
      </c>
      <c r="E207" s="9" t="s">
        <v>25</v>
      </c>
      <c r="F207" s="9" t="s">
        <v>26</v>
      </c>
      <c r="G207" s="9" t="s">
        <v>27</v>
      </c>
      <c r="H207" s="9" t="s">
        <v>28</v>
      </c>
      <c r="I207" s="9" t="s">
        <v>29</v>
      </c>
      <c r="J207" s="9" t="s">
        <v>30</v>
      </c>
      <c r="K207" s="9" t="s">
        <v>31</v>
      </c>
      <c r="L207" s="9" t="s">
        <v>32</v>
      </c>
      <c r="M207" s="9" t="s">
        <v>1364</v>
      </c>
      <c r="N207" s="9" t="s">
        <v>1365</v>
      </c>
      <c r="O207" s="9" t="s">
        <v>109</v>
      </c>
      <c r="P207" s="9" t="s">
        <v>1366</v>
      </c>
      <c r="Q207" s="9">
        <v>100721308</v>
      </c>
      <c r="R207" s="9" t="s">
        <v>61</v>
      </c>
      <c r="S207" s="9" t="s">
        <v>39</v>
      </c>
      <c r="T207" s="11">
        <v>1</v>
      </c>
      <c r="U207" s="15" t="s">
        <v>109</v>
      </c>
      <c r="V207" s="16" t="s">
        <v>1366</v>
      </c>
      <c r="W207" s="17">
        <v>100721308</v>
      </c>
      <c r="X207" s="16" t="s">
        <v>2526</v>
      </c>
      <c r="Y207" s="17" t="s">
        <v>3015</v>
      </c>
      <c r="Z207" s="17" t="s">
        <v>39</v>
      </c>
      <c r="AA207" s="17" t="s">
        <v>37</v>
      </c>
      <c r="AB207" s="43">
        <v>4.6500000000000004</v>
      </c>
      <c r="AC207" s="25">
        <v>4.75</v>
      </c>
      <c r="AD207" s="25">
        <f>AC207*T207</f>
        <v>4.75</v>
      </c>
      <c r="AE207" s="25">
        <f>AB207*T207</f>
        <v>4.6500000000000004</v>
      </c>
      <c r="AF207" s="25">
        <f>AD207-AE207</f>
        <v>9.9999999999999645E-2</v>
      </c>
      <c r="AG207" s="26">
        <f>AF207/AD207</f>
        <v>2.1052631578947295E-2</v>
      </c>
      <c r="AH207" s="27" t="str">
        <f>IF(AG207&lt;0,"Negative",IF(AG207=0,"Same",IF(AG207&gt;0.3,"30+%",IF(AG207&gt;0.2,"20-30%",IF(AG207&gt;0.1,"10-20%",IF(AG207&lt;=0.1,"0-10%"))))))</f>
        <v>0-10%</v>
      </c>
      <c r="AI207" s="32"/>
      <c r="AJ207" s="36" t="s">
        <v>3300</v>
      </c>
      <c r="AK207" s="32"/>
    </row>
    <row r="208" spans="1:37" s="1" customFormat="1" ht="19.7" customHeight="1" x14ac:dyDescent="0.25">
      <c r="A208" s="5" t="s">
        <v>22</v>
      </c>
      <c r="B208" s="5" t="s">
        <v>1870</v>
      </c>
      <c r="C208" s="6">
        <v>44473</v>
      </c>
      <c r="D208" s="5" t="s">
        <v>24</v>
      </c>
      <c r="E208" s="5" t="s">
        <v>25</v>
      </c>
      <c r="F208" s="5" t="s">
        <v>26</v>
      </c>
      <c r="G208" s="5" t="s">
        <v>67</v>
      </c>
      <c r="H208" s="5" t="s">
        <v>68</v>
      </c>
      <c r="I208" s="5" t="s">
        <v>29</v>
      </c>
      <c r="J208" s="5" t="s">
        <v>30</v>
      </c>
      <c r="K208" s="5" t="s">
        <v>31</v>
      </c>
      <c r="L208" s="5" t="s">
        <v>32</v>
      </c>
      <c r="M208" s="5" t="s">
        <v>1875</v>
      </c>
      <c r="N208" s="5" t="s">
        <v>1871</v>
      </c>
      <c r="O208" s="5" t="s">
        <v>114</v>
      </c>
      <c r="P208" s="5" t="s">
        <v>1876</v>
      </c>
      <c r="Q208" s="5">
        <v>101895423</v>
      </c>
      <c r="R208" s="5" t="s">
        <v>38</v>
      </c>
      <c r="S208" s="5" t="s">
        <v>39</v>
      </c>
      <c r="T208" s="7">
        <v>1</v>
      </c>
      <c r="U208" s="15" t="s">
        <v>114</v>
      </c>
      <c r="V208" s="16" t="s">
        <v>1876</v>
      </c>
      <c r="W208" s="17">
        <v>101895423</v>
      </c>
      <c r="X208" s="16" t="s">
        <v>3074</v>
      </c>
      <c r="Y208" s="17" t="s">
        <v>3157</v>
      </c>
      <c r="Z208" s="17" t="s">
        <v>39</v>
      </c>
      <c r="AA208" s="17" t="s">
        <v>37</v>
      </c>
      <c r="AB208" s="29">
        <v>4.24</v>
      </c>
      <c r="AC208" s="25">
        <v>4.33</v>
      </c>
      <c r="AD208" s="25">
        <f>AC208*T208</f>
        <v>4.33</v>
      </c>
      <c r="AE208" s="25">
        <f>AB208*T208</f>
        <v>4.24</v>
      </c>
      <c r="AF208" s="25">
        <f>AD208-AE208</f>
        <v>8.9999999999999858E-2</v>
      </c>
      <c r="AG208" s="26">
        <f>AF208/AD208</f>
        <v>2.0785219399538073E-2</v>
      </c>
      <c r="AH208" s="27" t="str">
        <f>IF(AG208&lt;0,"Negative",IF(AG208=0,"Same",IF(AG208&gt;0.3,"30+%",IF(AG208&gt;0.2,"20-30%",IF(AG208&gt;0.1,"10-20%",IF(AG208&lt;=0.1,"0-10%"))))))</f>
        <v>0-10%</v>
      </c>
      <c r="AI208" s="32"/>
      <c r="AJ208" s="36" t="s">
        <v>3300</v>
      </c>
      <c r="AK208" s="32"/>
    </row>
    <row r="209" spans="1:37" s="1" customFormat="1" ht="19.7" customHeight="1" x14ac:dyDescent="0.25">
      <c r="A209" s="9" t="s">
        <v>22</v>
      </c>
      <c r="B209" s="9" t="s">
        <v>1317</v>
      </c>
      <c r="C209" s="10">
        <v>44376</v>
      </c>
      <c r="D209" s="9" t="s">
        <v>24</v>
      </c>
      <c r="E209" s="9" t="s">
        <v>25</v>
      </c>
      <c r="F209" s="9" t="s">
        <v>26</v>
      </c>
      <c r="G209" s="9" t="s">
        <v>27</v>
      </c>
      <c r="H209" s="9" t="s">
        <v>28</v>
      </c>
      <c r="I209" s="9" t="s">
        <v>29</v>
      </c>
      <c r="J209" s="9" t="s">
        <v>30</v>
      </c>
      <c r="K209" s="9" t="s">
        <v>31</v>
      </c>
      <c r="L209" s="9" t="s">
        <v>32</v>
      </c>
      <c r="M209" s="9" t="s">
        <v>1318</v>
      </c>
      <c r="N209" s="9" t="s">
        <v>1319</v>
      </c>
      <c r="O209" s="9" t="s">
        <v>178</v>
      </c>
      <c r="P209" s="9" t="s">
        <v>1320</v>
      </c>
      <c r="Q209" s="9">
        <v>102152269</v>
      </c>
      <c r="R209" s="9" t="s">
        <v>61</v>
      </c>
      <c r="S209" s="9" t="s">
        <v>39</v>
      </c>
      <c r="T209" s="11">
        <v>4</v>
      </c>
      <c r="U209" s="15" t="s">
        <v>178</v>
      </c>
      <c r="V209" s="16" t="s">
        <v>1320</v>
      </c>
      <c r="W209" s="17">
        <v>102152269</v>
      </c>
      <c r="X209" s="16" t="s">
        <v>2561</v>
      </c>
      <c r="Y209" s="17" t="s">
        <v>2997</v>
      </c>
      <c r="Z209" s="17" t="s">
        <v>39</v>
      </c>
      <c r="AA209" s="17" t="s">
        <v>37</v>
      </c>
      <c r="AB209" s="29">
        <v>4.51</v>
      </c>
      <c r="AC209" s="25">
        <v>4.5999999999999996</v>
      </c>
      <c r="AD209" s="25">
        <f>AC209*T209</f>
        <v>18.399999999999999</v>
      </c>
      <c r="AE209" s="25">
        <f>AB209*T209</f>
        <v>18.04</v>
      </c>
      <c r="AF209" s="25">
        <f>AD209-AE209</f>
        <v>0.35999999999999943</v>
      </c>
      <c r="AG209" s="26">
        <f>AF209/AD209</f>
        <v>1.9565217391304318E-2</v>
      </c>
      <c r="AH209" s="27" t="str">
        <f>IF(AG209&lt;0,"Negative",IF(AG209=0,"Same",IF(AG209&gt;0.3,"30+%",IF(AG209&gt;0.2,"20-30%",IF(AG209&gt;0.1,"10-20%",IF(AG209&lt;=0.1,"0-10%"))))))</f>
        <v>0-10%</v>
      </c>
      <c r="AI209" s="32"/>
      <c r="AJ209" s="36" t="s">
        <v>3300</v>
      </c>
      <c r="AK209" s="32"/>
    </row>
    <row r="210" spans="1:37" s="1" customFormat="1" ht="19.7" customHeight="1" x14ac:dyDescent="0.25">
      <c r="A210" s="9" t="s">
        <v>22</v>
      </c>
      <c r="B210" s="9" t="s">
        <v>1986</v>
      </c>
      <c r="C210" s="10">
        <v>44495</v>
      </c>
      <c r="D210" s="9" t="s">
        <v>24</v>
      </c>
      <c r="E210" s="9" t="s">
        <v>25</v>
      </c>
      <c r="F210" s="9" t="s">
        <v>26</v>
      </c>
      <c r="G210" s="9" t="s">
        <v>27</v>
      </c>
      <c r="H210" s="9" t="s">
        <v>28</v>
      </c>
      <c r="I210" s="9" t="s">
        <v>29</v>
      </c>
      <c r="J210" s="9" t="s">
        <v>30</v>
      </c>
      <c r="K210" s="9" t="s">
        <v>31</v>
      </c>
      <c r="L210" s="9" t="s">
        <v>32</v>
      </c>
      <c r="M210" s="9" t="s">
        <v>1318</v>
      </c>
      <c r="N210" s="9" t="s">
        <v>1988</v>
      </c>
      <c r="O210" s="9" t="s">
        <v>178</v>
      </c>
      <c r="P210" s="9" t="s">
        <v>1320</v>
      </c>
      <c r="Q210" s="9">
        <v>102152269</v>
      </c>
      <c r="R210" s="9" t="s">
        <v>61</v>
      </c>
      <c r="S210" s="9" t="s">
        <v>39</v>
      </c>
      <c r="T210" s="11">
        <v>6</v>
      </c>
      <c r="U210" s="15" t="s">
        <v>178</v>
      </c>
      <c r="V210" s="16" t="s">
        <v>1320</v>
      </c>
      <c r="W210" s="17">
        <v>102152269</v>
      </c>
      <c r="X210" s="16" t="s">
        <v>2561</v>
      </c>
      <c r="Y210" s="17" t="s">
        <v>2997</v>
      </c>
      <c r="Z210" s="17" t="s">
        <v>39</v>
      </c>
      <c r="AA210" s="17" t="s">
        <v>37</v>
      </c>
      <c r="AB210" s="29">
        <v>4.51</v>
      </c>
      <c r="AC210" s="25">
        <v>4.5999999999999996</v>
      </c>
      <c r="AD210" s="25">
        <f>AC210*T210</f>
        <v>27.599999999999998</v>
      </c>
      <c r="AE210" s="25">
        <f>AB210*T210</f>
        <v>27.06</v>
      </c>
      <c r="AF210" s="25">
        <f>AD210-AE210</f>
        <v>0.53999999999999915</v>
      </c>
      <c r="AG210" s="26">
        <f>AF210/AD210</f>
        <v>1.9565217391304318E-2</v>
      </c>
      <c r="AH210" s="27" t="str">
        <f>IF(AG210&lt;0,"Negative",IF(AG210=0,"Same",IF(AG210&gt;0.3,"30+%",IF(AG210&gt;0.2,"20-30%",IF(AG210&gt;0.1,"10-20%",IF(AG210&lt;=0.1,"0-10%"))))))</f>
        <v>0-10%</v>
      </c>
      <c r="AI210" s="32"/>
      <c r="AJ210" s="36" t="s">
        <v>3300</v>
      </c>
      <c r="AK210" s="32"/>
    </row>
    <row r="211" spans="1:37" s="1" customFormat="1" ht="19.7" customHeight="1" x14ac:dyDescent="0.25">
      <c r="A211" s="5" t="s">
        <v>22</v>
      </c>
      <c r="B211" s="5" t="s">
        <v>2200</v>
      </c>
      <c r="C211" s="6">
        <v>44538</v>
      </c>
      <c r="D211" s="5" t="s">
        <v>24</v>
      </c>
      <c r="E211" s="5" t="s">
        <v>25</v>
      </c>
      <c r="F211" s="5" t="s">
        <v>26</v>
      </c>
      <c r="G211" s="5" t="s">
        <v>27</v>
      </c>
      <c r="H211" s="5" t="s">
        <v>28</v>
      </c>
      <c r="I211" s="5" t="s">
        <v>29</v>
      </c>
      <c r="J211" s="5" t="s">
        <v>30</v>
      </c>
      <c r="K211" s="5" t="s">
        <v>31</v>
      </c>
      <c r="L211" s="5" t="s">
        <v>32</v>
      </c>
      <c r="M211" s="5" t="s">
        <v>1650</v>
      </c>
      <c r="N211" s="5" t="s">
        <v>2171</v>
      </c>
      <c r="O211" s="5" t="s">
        <v>169</v>
      </c>
      <c r="P211" s="5" t="s">
        <v>1651</v>
      </c>
      <c r="Q211" s="5">
        <v>101963297</v>
      </c>
      <c r="R211" s="5" t="s">
        <v>56</v>
      </c>
      <c r="S211" s="5" t="s">
        <v>39</v>
      </c>
      <c r="T211" s="7">
        <v>1</v>
      </c>
      <c r="U211" s="15" t="s">
        <v>169</v>
      </c>
      <c r="V211" s="16" t="s">
        <v>1651</v>
      </c>
      <c r="W211" s="17">
        <v>101963297</v>
      </c>
      <c r="X211" s="16" t="s">
        <v>2845</v>
      </c>
      <c r="Y211" s="17" t="s">
        <v>3100</v>
      </c>
      <c r="Z211" s="17" t="s">
        <v>39</v>
      </c>
      <c r="AA211" s="17" t="s">
        <v>37</v>
      </c>
      <c r="AB211" s="43">
        <v>161.56</v>
      </c>
      <c r="AC211" s="25">
        <v>177.52</v>
      </c>
      <c r="AD211" s="25">
        <f>AC211*T211</f>
        <v>177.52</v>
      </c>
      <c r="AE211" s="25">
        <f>AB211*T211</f>
        <v>161.56</v>
      </c>
      <c r="AF211" s="25">
        <f>AD211-AE211</f>
        <v>15.960000000000008</v>
      </c>
      <c r="AG211" s="26">
        <f>AF211/AD211</f>
        <v>8.9905362776025274E-2</v>
      </c>
      <c r="AH211" s="27" t="str">
        <f>IF(AG211&lt;0,"Negative",IF(AG211=0,"Same",IF(AG211&gt;0.3,"30+%",IF(AG211&gt;0.2,"20-30%",IF(AG211&gt;0.1,"10-20%",IF(AG211&lt;=0.1,"0-10%"))))))</f>
        <v>0-10%</v>
      </c>
      <c r="AI211" s="32"/>
      <c r="AJ211" s="36" t="s">
        <v>3299</v>
      </c>
      <c r="AK211" s="32"/>
    </row>
    <row r="212" spans="1:37" s="1" customFormat="1" ht="19.7" customHeight="1" x14ac:dyDescent="0.25">
      <c r="A212" s="5" t="s">
        <v>22</v>
      </c>
      <c r="B212" s="5" t="s">
        <v>2034</v>
      </c>
      <c r="C212" s="6">
        <v>44503</v>
      </c>
      <c r="D212" s="5" t="s">
        <v>24</v>
      </c>
      <c r="E212" s="5" t="s">
        <v>25</v>
      </c>
      <c r="F212" s="5" t="s">
        <v>26</v>
      </c>
      <c r="G212" s="5" t="s">
        <v>27</v>
      </c>
      <c r="H212" s="5" t="s">
        <v>28</v>
      </c>
      <c r="I212" s="5" t="s">
        <v>29</v>
      </c>
      <c r="J212" s="5" t="s">
        <v>30</v>
      </c>
      <c r="K212" s="5" t="s">
        <v>31</v>
      </c>
      <c r="L212" s="5" t="s">
        <v>32</v>
      </c>
      <c r="M212" s="5" t="s">
        <v>1650</v>
      </c>
      <c r="N212" s="5" t="s">
        <v>2035</v>
      </c>
      <c r="O212" s="5" t="s">
        <v>169</v>
      </c>
      <c r="P212" s="5" t="s">
        <v>1651</v>
      </c>
      <c r="Q212" s="5">
        <v>101963297</v>
      </c>
      <c r="R212" s="5" t="s">
        <v>56</v>
      </c>
      <c r="S212" s="5" t="s">
        <v>39</v>
      </c>
      <c r="T212" s="7">
        <v>1</v>
      </c>
      <c r="U212" s="15" t="s">
        <v>169</v>
      </c>
      <c r="V212" s="16" t="s">
        <v>1651</v>
      </c>
      <c r="W212" s="17">
        <v>101963297</v>
      </c>
      <c r="X212" s="16" t="s">
        <v>2845</v>
      </c>
      <c r="Y212" s="17" t="s">
        <v>3100</v>
      </c>
      <c r="Z212" s="17" t="s">
        <v>39</v>
      </c>
      <c r="AA212" s="17" t="s">
        <v>37</v>
      </c>
      <c r="AB212" s="43">
        <v>161.56</v>
      </c>
      <c r="AC212" s="25">
        <v>177.52</v>
      </c>
      <c r="AD212" s="25">
        <f>AC212*T212</f>
        <v>177.52</v>
      </c>
      <c r="AE212" s="25">
        <f>AB212*T212</f>
        <v>161.56</v>
      </c>
      <c r="AF212" s="25">
        <f>AD212-AE212</f>
        <v>15.960000000000008</v>
      </c>
      <c r="AG212" s="26">
        <f>AF212/AD212</f>
        <v>8.9905362776025274E-2</v>
      </c>
      <c r="AH212" s="27" t="str">
        <f>IF(AG212&lt;0,"Negative",IF(AG212=0,"Same",IF(AG212&gt;0.3,"30+%",IF(AG212&gt;0.2,"20-30%",IF(AG212&gt;0.1,"10-20%",IF(AG212&lt;=0.1,"0-10%"))))))</f>
        <v>0-10%</v>
      </c>
      <c r="AI212" s="32"/>
      <c r="AJ212" s="36" t="s">
        <v>3299</v>
      </c>
      <c r="AK212" s="32"/>
    </row>
    <row r="213" spans="1:37" s="1" customFormat="1" ht="19.7" customHeight="1" x14ac:dyDescent="0.25">
      <c r="A213" s="9" t="s">
        <v>22</v>
      </c>
      <c r="B213" s="9" t="s">
        <v>2374</v>
      </c>
      <c r="C213" s="10">
        <v>44575</v>
      </c>
      <c r="D213" s="9" t="s">
        <v>24</v>
      </c>
      <c r="E213" s="9" t="s">
        <v>25</v>
      </c>
      <c r="F213" s="9" t="s">
        <v>26</v>
      </c>
      <c r="G213" s="9" t="s">
        <v>27</v>
      </c>
      <c r="H213" s="9" t="s">
        <v>28</v>
      </c>
      <c r="I213" s="9" t="s">
        <v>29</v>
      </c>
      <c r="J213" s="9" t="s">
        <v>30</v>
      </c>
      <c r="K213" s="9" t="s">
        <v>31</v>
      </c>
      <c r="L213" s="9" t="s">
        <v>32</v>
      </c>
      <c r="M213" s="9" t="s">
        <v>706</v>
      </c>
      <c r="N213" s="9" t="s">
        <v>2375</v>
      </c>
      <c r="O213" s="9" t="s">
        <v>186</v>
      </c>
      <c r="P213" s="9" t="s">
        <v>707</v>
      </c>
      <c r="Q213" s="9">
        <v>101085946</v>
      </c>
      <c r="R213" s="9" t="s">
        <v>56</v>
      </c>
      <c r="S213" s="9" t="s">
        <v>39</v>
      </c>
      <c r="T213" s="11">
        <v>2</v>
      </c>
      <c r="U213" s="15" t="s">
        <v>186</v>
      </c>
      <c r="V213" s="16" t="s">
        <v>707</v>
      </c>
      <c r="W213" s="17">
        <v>101085946</v>
      </c>
      <c r="X213" s="16" t="s">
        <v>2565</v>
      </c>
      <c r="Y213" s="17" t="s">
        <v>2786</v>
      </c>
      <c r="Z213" s="17" t="s">
        <v>39</v>
      </c>
      <c r="AA213" s="17" t="s">
        <v>37</v>
      </c>
      <c r="AB213" s="43">
        <v>4.9400000000000004</v>
      </c>
      <c r="AC213" s="25">
        <v>5.16</v>
      </c>
      <c r="AD213" s="25">
        <f>AC213*T213</f>
        <v>10.32</v>
      </c>
      <c r="AE213" s="25">
        <f>AB213*T213</f>
        <v>9.8800000000000008</v>
      </c>
      <c r="AF213" s="25">
        <f>AD213-AE213</f>
        <v>0.4399999999999995</v>
      </c>
      <c r="AG213" s="26">
        <f>AF213/AD213</f>
        <v>4.2635658914728633E-2</v>
      </c>
      <c r="AH213" s="27" t="str">
        <f>IF(AG213&lt;0,"Negative",IF(AG213=0,"Same",IF(AG213&gt;0.3,"30+%",IF(AG213&gt;0.2,"20-30%",IF(AG213&gt;0.1,"10-20%",IF(AG213&lt;=0.1,"0-10%"))))))</f>
        <v>0-10%</v>
      </c>
      <c r="AI213" s="32"/>
      <c r="AJ213" s="36" t="s">
        <v>3300</v>
      </c>
      <c r="AK213" s="32"/>
    </row>
    <row r="214" spans="1:37" s="1" customFormat="1" ht="19.7" customHeight="1" x14ac:dyDescent="0.25">
      <c r="A214" s="9" t="s">
        <v>22</v>
      </c>
      <c r="B214" s="9" t="s">
        <v>1216</v>
      </c>
      <c r="C214" s="10">
        <v>44361</v>
      </c>
      <c r="D214" s="9" t="s">
        <v>24</v>
      </c>
      <c r="E214" s="9" t="s">
        <v>25</v>
      </c>
      <c r="F214" s="9" t="s">
        <v>26</v>
      </c>
      <c r="G214" s="9" t="s">
        <v>67</v>
      </c>
      <c r="H214" s="9" t="s">
        <v>68</v>
      </c>
      <c r="I214" s="9" t="s">
        <v>29</v>
      </c>
      <c r="J214" s="9" t="s">
        <v>30</v>
      </c>
      <c r="K214" s="9" t="s">
        <v>31</v>
      </c>
      <c r="L214" s="9" t="s">
        <v>32</v>
      </c>
      <c r="M214" s="9" t="s">
        <v>470</v>
      </c>
      <c r="N214" s="9" t="s">
        <v>1217</v>
      </c>
      <c r="O214" s="9" t="s">
        <v>471</v>
      </c>
      <c r="P214" s="9" t="s">
        <v>472</v>
      </c>
      <c r="Q214" s="9">
        <v>112796061</v>
      </c>
      <c r="R214" s="9" t="s">
        <v>299</v>
      </c>
      <c r="S214" s="9" t="s">
        <v>39</v>
      </c>
      <c r="T214" s="11">
        <v>24</v>
      </c>
      <c r="U214" s="15" t="s">
        <v>471</v>
      </c>
      <c r="V214" s="16" t="s">
        <v>472</v>
      </c>
      <c r="W214" s="17">
        <v>112796061</v>
      </c>
      <c r="X214" s="16" t="s">
        <v>2688</v>
      </c>
      <c r="Y214" s="17" t="s">
        <v>2689</v>
      </c>
      <c r="Z214" s="17" t="s">
        <v>39</v>
      </c>
      <c r="AA214" s="17" t="s">
        <v>37</v>
      </c>
      <c r="AB214" s="29">
        <v>6.25</v>
      </c>
      <c r="AC214" s="25">
        <v>6</v>
      </c>
      <c r="AD214" s="25">
        <f>AC214*T214</f>
        <v>144</v>
      </c>
      <c r="AE214" s="25">
        <f>AB214*T214</f>
        <v>150</v>
      </c>
      <c r="AF214" s="25">
        <f>AD214-AE214</f>
        <v>-6</v>
      </c>
      <c r="AG214" s="26">
        <f>AF214/AD214</f>
        <v>-4.1666666666666664E-2</v>
      </c>
      <c r="AH214" s="27" t="str">
        <f>IF(AG214&lt;0,"Negative",IF(AG214=0,"Same",IF(AG214&gt;0.3,"30+%",IF(AG214&gt;0.2,"20-30%",IF(AG214&gt;0.1,"10-20%",IF(AG214&lt;=0.1,"0-10%"))))))</f>
        <v>Negative</v>
      </c>
      <c r="AI214" s="32"/>
      <c r="AJ214" s="36" t="s">
        <v>3300</v>
      </c>
      <c r="AK214" s="32"/>
    </row>
    <row r="215" spans="1:37" s="1" customFormat="1" ht="19.7" customHeight="1" x14ac:dyDescent="0.25">
      <c r="A215" s="9" t="s">
        <v>22</v>
      </c>
      <c r="B215" s="9" t="s">
        <v>466</v>
      </c>
      <c r="C215" s="10">
        <v>44267</v>
      </c>
      <c r="D215" s="9" t="s">
        <v>24</v>
      </c>
      <c r="E215" s="9" t="s">
        <v>25</v>
      </c>
      <c r="F215" s="9" t="s">
        <v>26</v>
      </c>
      <c r="G215" s="9" t="s">
        <v>67</v>
      </c>
      <c r="H215" s="9" t="s">
        <v>68</v>
      </c>
      <c r="I215" s="9" t="s">
        <v>29</v>
      </c>
      <c r="J215" s="9" t="s">
        <v>30</v>
      </c>
      <c r="K215" s="9" t="s">
        <v>31</v>
      </c>
      <c r="L215" s="9" t="s">
        <v>32</v>
      </c>
      <c r="M215" s="9" t="s">
        <v>470</v>
      </c>
      <c r="N215" s="9" t="s">
        <v>467</v>
      </c>
      <c r="O215" s="9" t="s">
        <v>471</v>
      </c>
      <c r="P215" s="9" t="s">
        <v>472</v>
      </c>
      <c r="Q215" s="9">
        <v>112796061</v>
      </c>
      <c r="R215" s="9" t="s">
        <v>299</v>
      </c>
      <c r="S215" s="9" t="s">
        <v>39</v>
      </c>
      <c r="T215" s="11">
        <v>24</v>
      </c>
      <c r="U215" s="15" t="s">
        <v>471</v>
      </c>
      <c r="V215" s="16" t="s">
        <v>472</v>
      </c>
      <c r="W215" s="17">
        <v>112796061</v>
      </c>
      <c r="X215" s="16" t="s">
        <v>2688</v>
      </c>
      <c r="Y215" s="17" t="s">
        <v>2689</v>
      </c>
      <c r="Z215" s="17" t="s">
        <v>39</v>
      </c>
      <c r="AA215" s="17" t="s">
        <v>37</v>
      </c>
      <c r="AB215" s="29">
        <v>6.25</v>
      </c>
      <c r="AC215" s="25">
        <v>6</v>
      </c>
      <c r="AD215" s="25">
        <f>AC215*T215</f>
        <v>144</v>
      </c>
      <c r="AE215" s="25">
        <f>AB215*T215</f>
        <v>150</v>
      </c>
      <c r="AF215" s="25">
        <f>AD215-AE215</f>
        <v>-6</v>
      </c>
      <c r="AG215" s="26">
        <f>AF215/AD215</f>
        <v>-4.1666666666666664E-2</v>
      </c>
      <c r="AH215" s="27" t="str">
        <f>IF(AG215&lt;0,"Negative",IF(AG215=0,"Same",IF(AG215&gt;0.3,"30+%",IF(AG215&gt;0.2,"20-30%",IF(AG215&gt;0.1,"10-20%",IF(AG215&lt;=0.1,"0-10%"))))))</f>
        <v>Negative</v>
      </c>
      <c r="AI215" s="32"/>
      <c r="AJ215" s="36" t="s">
        <v>3300</v>
      </c>
      <c r="AK215" s="32"/>
    </row>
    <row r="216" spans="1:37" s="1" customFormat="1" ht="19.7" customHeight="1" x14ac:dyDescent="0.25">
      <c r="A216" s="5" t="s">
        <v>22</v>
      </c>
      <c r="B216" s="5" t="s">
        <v>800</v>
      </c>
      <c r="C216" s="6">
        <v>44302</v>
      </c>
      <c r="D216" s="5" t="s">
        <v>24</v>
      </c>
      <c r="E216" s="5" t="s">
        <v>25</v>
      </c>
      <c r="F216" s="5" t="s">
        <v>26</v>
      </c>
      <c r="G216" s="5" t="s">
        <v>67</v>
      </c>
      <c r="H216" s="5" t="s">
        <v>68</v>
      </c>
      <c r="I216" s="5" t="s">
        <v>29</v>
      </c>
      <c r="J216" s="5" t="s">
        <v>30</v>
      </c>
      <c r="K216" s="5" t="s">
        <v>31</v>
      </c>
      <c r="L216" s="5" t="s">
        <v>32</v>
      </c>
      <c r="M216" s="5" t="s">
        <v>804</v>
      </c>
      <c r="N216" s="5" t="s">
        <v>801</v>
      </c>
      <c r="O216" s="5" t="s">
        <v>805</v>
      </c>
      <c r="P216" s="5" t="s">
        <v>806</v>
      </c>
      <c r="Q216" s="5">
        <v>112834539</v>
      </c>
      <c r="R216" s="5" t="s">
        <v>38</v>
      </c>
      <c r="S216" s="5" t="s">
        <v>39</v>
      </c>
      <c r="T216" s="7">
        <v>1</v>
      </c>
      <c r="U216" s="15" t="s">
        <v>805</v>
      </c>
      <c r="V216" s="16" t="s">
        <v>806</v>
      </c>
      <c r="W216" s="17">
        <v>112834539</v>
      </c>
      <c r="X216" s="16" t="s">
        <v>2823</v>
      </c>
      <c r="Y216" s="17" t="s">
        <v>2824</v>
      </c>
      <c r="Z216" s="17" t="s">
        <v>39</v>
      </c>
      <c r="AA216" s="17" t="s">
        <v>2501</v>
      </c>
      <c r="AB216" s="29">
        <v>21.12</v>
      </c>
      <c r="AC216" s="25">
        <v>22.02</v>
      </c>
      <c r="AD216" s="25">
        <f>AC216*T216</f>
        <v>22.02</v>
      </c>
      <c r="AE216" s="25">
        <f>AB216*T216</f>
        <v>21.12</v>
      </c>
      <c r="AF216" s="25">
        <f>AD216-AE216</f>
        <v>0.89999999999999858</v>
      </c>
      <c r="AG216" s="26">
        <f>AF216/AD216</f>
        <v>4.087193460490457E-2</v>
      </c>
      <c r="AH216" s="27" t="str">
        <f>IF(AG216&lt;0,"Negative",IF(AG216=0,"Same",IF(AG216&gt;0.3,"30+%",IF(AG216&gt;0.2,"20-30%",IF(AG216&gt;0.1,"10-20%",IF(AG216&lt;=0.1,"0-10%"))))))</f>
        <v>0-10%</v>
      </c>
      <c r="AI216" s="32"/>
      <c r="AJ216" s="36" t="s">
        <v>3300</v>
      </c>
      <c r="AK216" s="32"/>
    </row>
    <row r="217" spans="1:37" s="1" customFormat="1" ht="19.7" customHeight="1" x14ac:dyDescent="0.25">
      <c r="A217" s="9" t="s">
        <v>22</v>
      </c>
      <c r="B217" s="9" t="s">
        <v>994</v>
      </c>
      <c r="C217" s="10">
        <v>44323</v>
      </c>
      <c r="D217" s="9" t="s">
        <v>24</v>
      </c>
      <c r="E217" s="9" t="s">
        <v>25</v>
      </c>
      <c r="F217" s="9" t="s">
        <v>26</v>
      </c>
      <c r="G217" s="9" t="s">
        <v>67</v>
      </c>
      <c r="H217" s="9" t="s">
        <v>68</v>
      </c>
      <c r="I217" s="9" t="s">
        <v>29</v>
      </c>
      <c r="J217" s="9" t="s">
        <v>30</v>
      </c>
      <c r="K217" s="9" t="s">
        <v>31</v>
      </c>
      <c r="L217" s="9" t="s">
        <v>32</v>
      </c>
      <c r="M217" s="9" t="s">
        <v>804</v>
      </c>
      <c r="N217" s="9" t="s">
        <v>995</v>
      </c>
      <c r="O217" s="9" t="s">
        <v>805</v>
      </c>
      <c r="P217" s="9" t="s">
        <v>806</v>
      </c>
      <c r="Q217" s="9">
        <v>112834539</v>
      </c>
      <c r="R217" s="9" t="s">
        <v>38</v>
      </c>
      <c r="S217" s="9" t="s">
        <v>39</v>
      </c>
      <c r="T217" s="11">
        <v>1</v>
      </c>
      <c r="U217" s="15" t="s">
        <v>805</v>
      </c>
      <c r="V217" s="16" t="s">
        <v>806</v>
      </c>
      <c r="W217" s="17">
        <v>112834539</v>
      </c>
      <c r="X217" s="16" t="s">
        <v>2823</v>
      </c>
      <c r="Y217" s="17" t="s">
        <v>2824</v>
      </c>
      <c r="Z217" s="17" t="s">
        <v>39</v>
      </c>
      <c r="AA217" s="17" t="s">
        <v>2501</v>
      </c>
      <c r="AB217" s="29">
        <v>21.12</v>
      </c>
      <c r="AC217" s="25">
        <v>22.02</v>
      </c>
      <c r="AD217" s="25">
        <f>AC217*T217</f>
        <v>22.02</v>
      </c>
      <c r="AE217" s="25">
        <f>AB217*T217</f>
        <v>21.12</v>
      </c>
      <c r="AF217" s="25">
        <f>AD217-AE217</f>
        <v>0.89999999999999858</v>
      </c>
      <c r="AG217" s="26">
        <f>AF217/AD217</f>
        <v>4.087193460490457E-2</v>
      </c>
      <c r="AH217" s="27" t="str">
        <f>IF(AG217&lt;0,"Negative",IF(AG217=0,"Same",IF(AG217&gt;0.3,"30+%",IF(AG217&gt;0.2,"20-30%",IF(AG217&gt;0.1,"10-20%",IF(AG217&lt;=0.1,"0-10%"))))))</f>
        <v>0-10%</v>
      </c>
      <c r="AI217" s="32"/>
      <c r="AJ217" s="36" t="s">
        <v>3300</v>
      </c>
      <c r="AK217" s="32"/>
    </row>
    <row r="218" spans="1:37" s="1" customFormat="1" ht="19.7" customHeight="1" x14ac:dyDescent="0.25">
      <c r="A218" s="5" t="s">
        <v>22</v>
      </c>
      <c r="B218" s="5" t="s">
        <v>1211</v>
      </c>
      <c r="C218" s="6">
        <v>44358</v>
      </c>
      <c r="D218" s="5" t="s">
        <v>24</v>
      </c>
      <c r="E218" s="5" t="s">
        <v>25</v>
      </c>
      <c r="F218" s="5" t="s">
        <v>26</v>
      </c>
      <c r="G218" s="5" t="s">
        <v>67</v>
      </c>
      <c r="H218" s="5" t="s">
        <v>68</v>
      </c>
      <c r="I218" s="5" t="s">
        <v>29</v>
      </c>
      <c r="J218" s="5" t="s">
        <v>30</v>
      </c>
      <c r="K218" s="5" t="s">
        <v>31</v>
      </c>
      <c r="L218" s="5" t="s">
        <v>32</v>
      </c>
      <c r="M218" s="5" t="s">
        <v>804</v>
      </c>
      <c r="N218" s="5" t="s">
        <v>1212</v>
      </c>
      <c r="O218" s="5" t="s">
        <v>805</v>
      </c>
      <c r="P218" s="5" t="s">
        <v>806</v>
      </c>
      <c r="Q218" s="5">
        <v>112834539</v>
      </c>
      <c r="R218" s="5" t="s">
        <v>38</v>
      </c>
      <c r="S218" s="5" t="s">
        <v>39</v>
      </c>
      <c r="T218" s="7">
        <v>1</v>
      </c>
      <c r="U218" s="15" t="s">
        <v>805</v>
      </c>
      <c r="V218" s="16" t="s">
        <v>806</v>
      </c>
      <c r="W218" s="17">
        <v>112834539</v>
      </c>
      <c r="X218" s="16" t="s">
        <v>2823</v>
      </c>
      <c r="Y218" s="17" t="s">
        <v>2824</v>
      </c>
      <c r="Z218" s="17" t="s">
        <v>39</v>
      </c>
      <c r="AA218" s="17" t="s">
        <v>2501</v>
      </c>
      <c r="AB218" s="29">
        <v>21.12</v>
      </c>
      <c r="AC218" s="25">
        <v>22.02</v>
      </c>
      <c r="AD218" s="25">
        <f>AC218*T218</f>
        <v>22.02</v>
      </c>
      <c r="AE218" s="25">
        <f>AB218*T218</f>
        <v>21.12</v>
      </c>
      <c r="AF218" s="25">
        <f>AD218-AE218</f>
        <v>0.89999999999999858</v>
      </c>
      <c r="AG218" s="26">
        <f>AF218/AD218</f>
        <v>4.087193460490457E-2</v>
      </c>
      <c r="AH218" s="27" t="str">
        <f>IF(AG218&lt;0,"Negative",IF(AG218=0,"Same",IF(AG218&gt;0.3,"30+%",IF(AG218&gt;0.2,"20-30%",IF(AG218&gt;0.1,"10-20%",IF(AG218&lt;=0.1,"0-10%"))))))</f>
        <v>0-10%</v>
      </c>
      <c r="AI218" s="32"/>
      <c r="AJ218" s="36" t="s">
        <v>3300</v>
      </c>
      <c r="AK218" s="32"/>
    </row>
    <row r="219" spans="1:37" s="1" customFormat="1" ht="19.7" customHeight="1" x14ac:dyDescent="0.25">
      <c r="A219" s="5" t="s">
        <v>22</v>
      </c>
      <c r="B219" s="5" t="s">
        <v>1392</v>
      </c>
      <c r="C219" s="6">
        <v>44389</v>
      </c>
      <c r="D219" s="5" t="s">
        <v>24</v>
      </c>
      <c r="E219" s="5" t="s">
        <v>25</v>
      </c>
      <c r="F219" s="5" t="s">
        <v>26</v>
      </c>
      <c r="G219" s="5" t="s">
        <v>67</v>
      </c>
      <c r="H219" s="5" t="s">
        <v>68</v>
      </c>
      <c r="I219" s="5" t="s">
        <v>29</v>
      </c>
      <c r="J219" s="5" t="s">
        <v>30</v>
      </c>
      <c r="K219" s="5" t="s">
        <v>31</v>
      </c>
      <c r="L219" s="5" t="s">
        <v>32</v>
      </c>
      <c r="M219" s="5" t="s">
        <v>804</v>
      </c>
      <c r="N219" s="5" t="s">
        <v>1393</v>
      </c>
      <c r="O219" s="5" t="s">
        <v>805</v>
      </c>
      <c r="P219" s="5" t="s">
        <v>806</v>
      </c>
      <c r="Q219" s="5">
        <v>112834539</v>
      </c>
      <c r="R219" s="5" t="s">
        <v>38</v>
      </c>
      <c r="S219" s="5" t="s">
        <v>39</v>
      </c>
      <c r="T219" s="7">
        <v>1</v>
      </c>
      <c r="U219" s="15" t="s">
        <v>805</v>
      </c>
      <c r="V219" s="16" t="s">
        <v>806</v>
      </c>
      <c r="W219" s="17">
        <v>112834539</v>
      </c>
      <c r="X219" s="16" t="s">
        <v>2823</v>
      </c>
      <c r="Y219" s="17" t="s">
        <v>2824</v>
      </c>
      <c r="Z219" s="17" t="s">
        <v>39</v>
      </c>
      <c r="AA219" s="17" t="s">
        <v>2501</v>
      </c>
      <c r="AB219" s="29">
        <v>21.12</v>
      </c>
      <c r="AC219" s="25">
        <v>22.02</v>
      </c>
      <c r="AD219" s="25">
        <f>AC219*T219</f>
        <v>22.02</v>
      </c>
      <c r="AE219" s="25">
        <f>AB219*T219</f>
        <v>21.12</v>
      </c>
      <c r="AF219" s="25">
        <f>AD219-AE219</f>
        <v>0.89999999999999858</v>
      </c>
      <c r="AG219" s="26">
        <f>AF219/AD219</f>
        <v>4.087193460490457E-2</v>
      </c>
      <c r="AH219" s="27" t="str">
        <f>IF(AG219&lt;0,"Negative",IF(AG219=0,"Same",IF(AG219&gt;0.3,"30+%",IF(AG219&gt;0.2,"20-30%",IF(AG219&gt;0.1,"10-20%",IF(AG219&lt;=0.1,"0-10%"))))))</f>
        <v>0-10%</v>
      </c>
      <c r="AI219" s="32"/>
      <c r="AJ219" s="36" t="s">
        <v>3300</v>
      </c>
      <c r="AK219" s="32"/>
    </row>
    <row r="220" spans="1:37" s="1" customFormat="1" ht="19.7" customHeight="1" x14ac:dyDescent="0.25">
      <c r="A220" s="9" t="s">
        <v>22</v>
      </c>
      <c r="B220" s="9" t="s">
        <v>1641</v>
      </c>
      <c r="C220" s="10">
        <v>44427</v>
      </c>
      <c r="D220" s="9" t="s">
        <v>24</v>
      </c>
      <c r="E220" s="9" t="s">
        <v>25</v>
      </c>
      <c r="F220" s="9" t="s">
        <v>26</v>
      </c>
      <c r="G220" s="9" t="s">
        <v>67</v>
      </c>
      <c r="H220" s="9" t="s">
        <v>68</v>
      </c>
      <c r="I220" s="9" t="s">
        <v>29</v>
      </c>
      <c r="J220" s="9" t="s">
        <v>30</v>
      </c>
      <c r="K220" s="9" t="s">
        <v>31</v>
      </c>
      <c r="L220" s="9" t="s">
        <v>32</v>
      </c>
      <c r="M220" s="9" t="s">
        <v>804</v>
      </c>
      <c r="N220" s="9" t="s">
        <v>1643</v>
      </c>
      <c r="O220" s="9" t="s">
        <v>805</v>
      </c>
      <c r="P220" s="9" t="s">
        <v>806</v>
      </c>
      <c r="Q220" s="9">
        <v>112834539</v>
      </c>
      <c r="R220" s="9" t="s">
        <v>38</v>
      </c>
      <c r="S220" s="9" t="s">
        <v>39</v>
      </c>
      <c r="T220" s="11">
        <v>1</v>
      </c>
      <c r="U220" s="15" t="s">
        <v>805</v>
      </c>
      <c r="V220" s="16" t="s">
        <v>806</v>
      </c>
      <c r="W220" s="17">
        <v>112834539</v>
      </c>
      <c r="X220" s="16" t="s">
        <v>2823</v>
      </c>
      <c r="Y220" s="17" t="s">
        <v>2824</v>
      </c>
      <c r="Z220" s="17" t="s">
        <v>39</v>
      </c>
      <c r="AA220" s="17" t="s">
        <v>2501</v>
      </c>
      <c r="AB220" s="29">
        <v>21.12</v>
      </c>
      <c r="AC220" s="25">
        <v>22.02</v>
      </c>
      <c r="AD220" s="25">
        <f>AC220*T220</f>
        <v>22.02</v>
      </c>
      <c r="AE220" s="25">
        <f>AB220*T220</f>
        <v>21.12</v>
      </c>
      <c r="AF220" s="25">
        <f>AD220-AE220</f>
        <v>0.89999999999999858</v>
      </c>
      <c r="AG220" s="26">
        <f>AF220/AD220</f>
        <v>4.087193460490457E-2</v>
      </c>
      <c r="AH220" s="27" t="str">
        <f>IF(AG220&lt;0,"Negative",IF(AG220=0,"Same",IF(AG220&gt;0.3,"30+%",IF(AG220&gt;0.2,"20-30%",IF(AG220&gt;0.1,"10-20%",IF(AG220&lt;=0.1,"0-10%"))))))</f>
        <v>0-10%</v>
      </c>
      <c r="AI220" s="32"/>
      <c r="AJ220" s="36" t="s">
        <v>3300</v>
      </c>
      <c r="AK220" s="32"/>
    </row>
    <row r="221" spans="1:37" s="1" customFormat="1" ht="19.7" customHeight="1" x14ac:dyDescent="0.25">
      <c r="A221" s="5" t="s">
        <v>22</v>
      </c>
      <c r="B221" s="5" t="s">
        <v>1934</v>
      </c>
      <c r="C221" s="6">
        <v>44484</v>
      </c>
      <c r="D221" s="5" t="s">
        <v>24</v>
      </c>
      <c r="E221" s="5" t="s">
        <v>25</v>
      </c>
      <c r="F221" s="5" t="s">
        <v>26</v>
      </c>
      <c r="G221" s="5" t="s">
        <v>67</v>
      </c>
      <c r="H221" s="5" t="s">
        <v>68</v>
      </c>
      <c r="I221" s="5" t="s">
        <v>29</v>
      </c>
      <c r="J221" s="5" t="s">
        <v>30</v>
      </c>
      <c r="K221" s="5" t="s">
        <v>31</v>
      </c>
      <c r="L221" s="5" t="s">
        <v>32</v>
      </c>
      <c r="M221" s="5" t="s">
        <v>804</v>
      </c>
      <c r="N221" s="5" t="s">
        <v>1935</v>
      </c>
      <c r="O221" s="5" t="s">
        <v>805</v>
      </c>
      <c r="P221" s="5" t="s">
        <v>806</v>
      </c>
      <c r="Q221" s="5">
        <v>112834539</v>
      </c>
      <c r="R221" s="5" t="s">
        <v>38</v>
      </c>
      <c r="S221" s="5" t="s">
        <v>39</v>
      </c>
      <c r="T221" s="7">
        <v>1</v>
      </c>
      <c r="U221" s="15" t="s">
        <v>805</v>
      </c>
      <c r="V221" s="16" t="s">
        <v>806</v>
      </c>
      <c r="W221" s="17">
        <v>112834539</v>
      </c>
      <c r="X221" s="16" t="s">
        <v>2823</v>
      </c>
      <c r="Y221" s="17" t="s">
        <v>2824</v>
      </c>
      <c r="Z221" s="17" t="s">
        <v>39</v>
      </c>
      <c r="AA221" s="17" t="s">
        <v>2501</v>
      </c>
      <c r="AB221" s="29">
        <v>21.12</v>
      </c>
      <c r="AC221" s="25">
        <v>22.02</v>
      </c>
      <c r="AD221" s="25">
        <f>AC221*T221</f>
        <v>22.02</v>
      </c>
      <c r="AE221" s="25">
        <f>AB221*T221</f>
        <v>21.12</v>
      </c>
      <c r="AF221" s="25">
        <f>AD221-AE221</f>
        <v>0.89999999999999858</v>
      </c>
      <c r="AG221" s="26">
        <f>AF221/AD221</f>
        <v>4.087193460490457E-2</v>
      </c>
      <c r="AH221" s="27" t="str">
        <f>IF(AG221&lt;0,"Negative",IF(AG221=0,"Same",IF(AG221&gt;0.3,"30+%",IF(AG221&gt;0.2,"20-30%",IF(AG221&gt;0.1,"10-20%",IF(AG221&lt;=0.1,"0-10%"))))))</f>
        <v>0-10%</v>
      </c>
      <c r="AI221" s="32"/>
      <c r="AJ221" s="36" t="s">
        <v>3300</v>
      </c>
      <c r="AK221" s="32"/>
    </row>
    <row r="222" spans="1:37" s="1" customFormat="1" ht="19.7" customHeight="1" x14ac:dyDescent="0.25">
      <c r="A222" s="9" t="s">
        <v>22</v>
      </c>
      <c r="B222" s="9" t="s">
        <v>1936</v>
      </c>
      <c r="C222" s="10">
        <v>44487</v>
      </c>
      <c r="D222" s="9" t="s">
        <v>24</v>
      </c>
      <c r="E222" s="9" t="s">
        <v>25</v>
      </c>
      <c r="F222" s="9" t="s">
        <v>26</v>
      </c>
      <c r="G222" s="9" t="s">
        <v>67</v>
      </c>
      <c r="H222" s="9" t="s">
        <v>68</v>
      </c>
      <c r="I222" s="9" t="s">
        <v>29</v>
      </c>
      <c r="J222" s="9" t="s">
        <v>30</v>
      </c>
      <c r="K222" s="9" t="s">
        <v>31</v>
      </c>
      <c r="L222" s="9" t="s">
        <v>32</v>
      </c>
      <c r="M222" s="9" t="s">
        <v>804</v>
      </c>
      <c r="N222" s="9" t="s">
        <v>1937</v>
      </c>
      <c r="O222" s="9" t="s">
        <v>805</v>
      </c>
      <c r="P222" s="9" t="s">
        <v>806</v>
      </c>
      <c r="Q222" s="9">
        <v>112834539</v>
      </c>
      <c r="R222" s="9" t="s">
        <v>38</v>
      </c>
      <c r="S222" s="9" t="s">
        <v>39</v>
      </c>
      <c r="T222" s="11">
        <v>1</v>
      </c>
      <c r="U222" s="15" t="s">
        <v>805</v>
      </c>
      <c r="V222" s="16" t="s">
        <v>806</v>
      </c>
      <c r="W222" s="17">
        <v>112834539</v>
      </c>
      <c r="X222" s="16" t="s">
        <v>2823</v>
      </c>
      <c r="Y222" s="17" t="s">
        <v>2824</v>
      </c>
      <c r="Z222" s="17" t="s">
        <v>39</v>
      </c>
      <c r="AA222" s="17" t="s">
        <v>2501</v>
      </c>
      <c r="AB222" s="29">
        <v>21.12</v>
      </c>
      <c r="AC222" s="25">
        <v>22.02</v>
      </c>
      <c r="AD222" s="25">
        <f>AC222*T222</f>
        <v>22.02</v>
      </c>
      <c r="AE222" s="25">
        <f>AB222*T222</f>
        <v>21.12</v>
      </c>
      <c r="AF222" s="25">
        <f>AD222-AE222</f>
        <v>0.89999999999999858</v>
      </c>
      <c r="AG222" s="26">
        <f>AF222/AD222</f>
        <v>4.087193460490457E-2</v>
      </c>
      <c r="AH222" s="27" t="str">
        <f>IF(AG222&lt;0,"Negative",IF(AG222=0,"Same",IF(AG222&gt;0.3,"30+%",IF(AG222&gt;0.2,"20-30%",IF(AG222&gt;0.1,"10-20%",IF(AG222&lt;=0.1,"0-10%"))))))</f>
        <v>0-10%</v>
      </c>
      <c r="AI222" s="32"/>
      <c r="AJ222" s="36" t="s">
        <v>3300</v>
      </c>
      <c r="AK222" s="32"/>
    </row>
    <row r="223" spans="1:37" s="1" customFormat="1" ht="19.7" customHeight="1" x14ac:dyDescent="0.25">
      <c r="A223" s="9" t="s">
        <v>22</v>
      </c>
      <c r="B223" s="9" t="s">
        <v>1637</v>
      </c>
      <c r="C223" s="10">
        <v>44427</v>
      </c>
      <c r="D223" s="9" t="s">
        <v>24</v>
      </c>
      <c r="E223" s="9" t="s">
        <v>25</v>
      </c>
      <c r="F223" s="9" t="s">
        <v>26</v>
      </c>
      <c r="G223" s="9" t="s">
        <v>67</v>
      </c>
      <c r="H223" s="9" t="s">
        <v>68</v>
      </c>
      <c r="I223" s="9" t="s">
        <v>29</v>
      </c>
      <c r="J223" s="9" t="s">
        <v>30</v>
      </c>
      <c r="K223" s="9" t="s">
        <v>31</v>
      </c>
      <c r="L223" s="9" t="s">
        <v>32</v>
      </c>
      <c r="M223" s="9" t="s">
        <v>499</v>
      </c>
      <c r="N223" s="9" t="s">
        <v>1638</v>
      </c>
      <c r="O223" s="9" t="s">
        <v>128</v>
      </c>
      <c r="P223" s="9" t="s">
        <v>500</v>
      </c>
      <c r="Q223" s="9">
        <v>100867383</v>
      </c>
      <c r="R223" s="9" t="s">
        <v>299</v>
      </c>
      <c r="S223" s="9" t="s">
        <v>39</v>
      </c>
      <c r="T223" s="11">
        <v>2</v>
      </c>
      <c r="U223" s="15" t="s">
        <v>128</v>
      </c>
      <c r="V223" s="16" t="s">
        <v>500</v>
      </c>
      <c r="W223" s="17">
        <v>100867383</v>
      </c>
      <c r="X223" s="16" t="s">
        <v>2701</v>
      </c>
      <c r="Y223" s="17" t="s">
        <v>2702</v>
      </c>
      <c r="Z223" s="17" t="s">
        <v>39</v>
      </c>
      <c r="AA223" s="17" t="s">
        <v>37</v>
      </c>
      <c r="AB223" s="29">
        <v>6.41</v>
      </c>
      <c r="AC223" s="25">
        <v>6.15</v>
      </c>
      <c r="AD223" s="25">
        <f>AC223*T223</f>
        <v>12.3</v>
      </c>
      <c r="AE223" s="25">
        <f>AB223*T223</f>
        <v>12.82</v>
      </c>
      <c r="AF223" s="25">
        <f>AD223-AE223</f>
        <v>-0.51999999999999957</v>
      </c>
      <c r="AG223" s="26">
        <f>AF223/AD223</f>
        <v>-4.2276422764227606E-2</v>
      </c>
      <c r="AH223" s="27" t="str">
        <f>IF(AG223&lt;0,"Negative",IF(AG223=0,"Same",IF(AG223&gt;0.3,"30+%",IF(AG223&gt;0.2,"20-30%",IF(AG223&gt;0.1,"10-20%",IF(AG223&lt;=0.1,"0-10%"))))))</f>
        <v>Negative</v>
      </c>
      <c r="AI223" s="32"/>
      <c r="AJ223" s="36" t="s">
        <v>3300</v>
      </c>
      <c r="AK223" s="32"/>
    </row>
    <row r="224" spans="1:37" s="1" customFormat="1" ht="19.7" customHeight="1" x14ac:dyDescent="0.25">
      <c r="A224" s="9" t="s">
        <v>22</v>
      </c>
      <c r="B224" s="9" t="s">
        <v>885</v>
      </c>
      <c r="C224" s="10">
        <v>44316</v>
      </c>
      <c r="D224" s="9" t="s">
        <v>24</v>
      </c>
      <c r="E224" s="9" t="s">
        <v>25</v>
      </c>
      <c r="F224" s="9" t="s">
        <v>26</v>
      </c>
      <c r="G224" s="9" t="s">
        <v>67</v>
      </c>
      <c r="H224" s="9" t="s">
        <v>68</v>
      </c>
      <c r="I224" s="9" t="s">
        <v>29</v>
      </c>
      <c r="J224" s="9" t="s">
        <v>30</v>
      </c>
      <c r="K224" s="9" t="s">
        <v>31</v>
      </c>
      <c r="L224" s="9" t="s">
        <v>32</v>
      </c>
      <c r="M224" s="9" t="s">
        <v>499</v>
      </c>
      <c r="N224" s="9" t="s">
        <v>886</v>
      </c>
      <c r="O224" s="9" t="s">
        <v>128</v>
      </c>
      <c r="P224" s="9" t="s">
        <v>500</v>
      </c>
      <c r="Q224" s="9">
        <v>100867383</v>
      </c>
      <c r="R224" s="9" t="s">
        <v>299</v>
      </c>
      <c r="S224" s="9" t="s">
        <v>39</v>
      </c>
      <c r="T224" s="11">
        <v>2</v>
      </c>
      <c r="U224" s="15" t="s">
        <v>128</v>
      </c>
      <c r="V224" s="16" t="s">
        <v>500</v>
      </c>
      <c r="W224" s="17">
        <v>100867383</v>
      </c>
      <c r="X224" s="16" t="s">
        <v>2701</v>
      </c>
      <c r="Y224" s="17" t="s">
        <v>2702</v>
      </c>
      <c r="Z224" s="17" t="s">
        <v>39</v>
      </c>
      <c r="AA224" s="17" t="s">
        <v>37</v>
      </c>
      <c r="AB224" s="29">
        <v>6.41</v>
      </c>
      <c r="AC224" s="25">
        <v>6.15</v>
      </c>
      <c r="AD224" s="25">
        <f>AC224*T224</f>
        <v>12.3</v>
      </c>
      <c r="AE224" s="25">
        <f>AB224*T224</f>
        <v>12.82</v>
      </c>
      <c r="AF224" s="25">
        <f>AD224-AE224</f>
        <v>-0.51999999999999957</v>
      </c>
      <c r="AG224" s="26">
        <f>AF224/AD224</f>
        <v>-4.2276422764227606E-2</v>
      </c>
      <c r="AH224" s="27" t="str">
        <f>IF(AG224&lt;0,"Negative",IF(AG224=0,"Same",IF(AG224&gt;0.3,"30+%",IF(AG224&gt;0.2,"20-30%",IF(AG224&gt;0.1,"10-20%",IF(AG224&lt;=0.1,"0-10%"))))))</f>
        <v>Negative</v>
      </c>
      <c r="AI224" s="32"/>
      <c r="AJ224" s="36" t="s">
        <v>3300</v>
      </c>
      <c r="AK224" s="32"/>
    </row>
    <row r="225" spans="1:37" s="1" customFormat="1" ht="19.7" customHeight="1" x14ac:dyDescent="0.25">
      <c r="A225" s="5" t="s">
        <v>22</v>
      </c>
      <c r="B225" s="5" t="s">
        <v>495</v>
      </c>
      <c r="C225" s="6">
        <v>44267</v>
      </c>
      <c r="D225" s="5" t="s">
        <v>24</v>
      </c>
      <c r="E225" s="5" t="s">
        <v>25</v>
      </c>
      <c r="F225" s="5" t="s">
        <v>26</v>
      </c>
      <c r="G225" s="5" t="s">
        <v>67</v>
      </c>
      <c r="H225" s="5" t="s">
        <v>68</v>
      </c>
      <c r="I225" s="5" t="s">
        <v>29</v>
      </c>
      <c r="J225" s="5" t="s">
        <v>30</v>
      </c>
      <c r="K225" s="5" t="s">
        <v>31</v>
      </c>
      <c r="L225" s="5" t="s">
        <v>32</v>
      </c>
      <c r="M225" s="5" t="s">
        <v>499</v>
      </c>
      <c r="N225" s="5" t="s">
        <v>496</v>
      </c>
      <c r="O225" s="5" t="s">
        <v>128</v>
      </c>
      <c r="P225" s="5" t="s">
        <v>500</v>
      </c>
      <c r="Q225" s="5">
        <v>100867383</v>
      </c>
      <c r="R225" s="5" t="s">
        <v>299</v>
      </c>
      <c r="S225" s="5" t="s">
        <v>39</v>
      </c>
      <c r="T225" s="7">
        <v>2</v>
      </c>
      <c r="U225" s="15" t="s">
        <v>128</v>
      </c>
      <c r="V225" s="16" t="s">
        <v>500</v>
      </c>
      <c r="W225" s="17">
        <v>100867383</v>
      </c>
      <c r="X225" s="16" t="s">
        <v>2701</v>
      </c>
      <c r="Y225" s="17" t="s">
        <v>2702</v>
      </c>
      <c r="Z225" s="17" t="s">
        <v>39</v>
      </c>
      <c r="AA225" s="17" t="s">
        <v>37</v>
      </c>
      <c r="AB225" s="29">
        <v>6.41</v>
      </c>
      <c r="AC225" s="25">
        <v>6.15</v>
      </c>
      <c r="AD225" s="25">
        <f>AC225*T225</f>
        <v>12.3</v>
      </c>
      <c r="AE225" s="25">
        <f>AB225*T225</f>
        <v>12.82</v>
      </c>
      <c r="AF225" s="25">
        <f>AD225-AE225</f>
        <v>-0.51999999999999957</v>
      </c>
      <c r="AG225" s="26">
        <f>AF225/AD225</f>
        <v>-4.2276422764227606E-2</v>
      </c>
      <c r="AH225" s="27" t="str">
        <f>IF(AG225&lt;0,"Negative",IF(AG225=0,"Same",IF(AG225&gt;0.3,"30+%",IF(AG225&gt;0.2,"20-30%",IF(AG225&gt;0.1,"10-20%",IF(AG225&lt;=0.1,"0-10%"))))))</f>
        <v>Negative</v>
      </c>
      <c r="AI225" s="32"/>
      <c r="AJ225" s="36" t="s">
        <v>3300</v>
      </c>
      <c r="AK225" s="32"/>
    </row>
    <row r="226" spans="1:37" s="1" customFormat="1" ht="19.7" customHeight="1" x14ac:dyDescent="0.25">
      <c r="A226" s="9" t="s">
        <v>22</v>
      </c>
      <c r="B226" s="9" t="s">
        <v>2017</v>
      </c>
      <c r="C226" s="10">
        <v>44498</v>
      </c>
      <c r="D226" s="9" t="s">
        <v>24</v>
      </c>
      <c r="E226" s="9" t="s">
        <v>25</v>
      </c>
      <c r="F226" s="9" t="s">
        <v>26</v>
      </c>
      <c r="G226" s="9" t="s">
        <v>67</v>
      </c>
      <c r="H226" s="9" t="s">
        <v>68</v>
      </c>
      <c r="I226" s="9" t="s">
        <v>29</v>
      </c>
      <c r="J226" s="9" t="s">
        <v>30</v>
      </c>
      <c r="K226" s="9" t="s">
        <v>31</v>
      </c>
      <c r="L226" s="9" t="s">
        <v>32</v>
      </c>
      <c r="M226" s="9" t="s">
        <v>499</v>
      </c>
      <c r="N226" s="9" t="s">
        <v>2018</v>
      </c>
      <c r="O226" s="9" t="s">
        <v>128</v>
      </c>
      <c r="P226" s="9" t="s">
        <v>500</v>
      </c>
      <c r="Q226" s="9">
        <v>100867383</v>
      </c>
      <c r="R226" s="9" t="s">
        <v>299</v>
      </c>
      <c r="S226" s="9" t="s">
        <v>39</v>
      </c>
      <c r="T226" s="11">
        <v>1</v>
      </c>
      <c r="U226" s="15" t="s">
        <v>128</v>
      </c>
      <c r="V226" s="16" t="s">
        <v>500</v>
      </c>
      <c r="W226" s="17">
        <v>100867383</v>
      </c>
      <c r="X226" s="16" t="s">
        <v>2701</v>
      </c>
      <c r="Y226" s="17" t="s">
        <v>2702</v>
      </c>
      <c r="Z226" s="17" t="s">
        <v>39</v>
      </c>
      <c r="AA226" s="17" t="s">
        <v>37</v>
      </c>
      <c r="AB226" s="29">
        <v>6.41</v>
      </c>
      <c r="AC226" s="25">
        <v>6.15</v>
      </c>
      <c r="AD226" s="25">
        <f>AC226*T226</f>
        <v>6.15</v>
      </c>
      <c r="AE226" s="25">
        <f>AB226*T226</f>
        <v>6.41</v>
      </c>
      <c r="AF226" s="25">
        <f>AD226-AE226</f>
        <v>-0.25999999999999979</v>
      </c>
      <c r="AG226" s="26">
        <f>AF226/AD226</f>
        <v>-4.2276422764227606E-2</v>
      </c>
      <c r="AH226" s="27" t="str">
        <f>IF(AG226&lt;0,"Negative",IF(AG226=0,"Same",IF(AG226&gt;0.3,"30+%",IF(AG226&gt;0.2,"20-30%",IF(AG226&gt;0.1,"10-20%",IF(AG226&lt;=0.1,"0-10%"))))))</f>
        <v>Negative</v>
      </c>
      <c r="AI226" s="32"/>
      <c r="AJ226" s="36" t="s">
        <v>3300</v>
      </c>
      <c r="AK226" s="32"/>
    </row>
    <row r="227" spans="1:37" s="1" customFormat="1" ht="19.7" customHeight="1" x14ac:dyDescent="0.25">
      <c r="A227" s="9" t="s">
        <v>22</v>
      </c>
      <c r="B227" s="9" t="s">
        <v>1023</v>
      </c>
      <c r="C227" s="10">
        <v>44333</v>
      </c>
      <c r="D227" s="9" t="s">
        <v>24</v>
      </c>
      <c r="E227" s="9" t="s">
        <v>25</v>
      </c>
      <c r="F227" s="9" t="s">
        <v>26</v>
      </c>
      <c r="G227" s="9" t="s">
        <v>67</v>
      </c>
      <c r="H227" s="9" t="s">
        <v>68</v>
      </c>
      <c r="I227" s="9" t="s">
        <v>29</v>
      </c>
      <c r="J227" s="9" t="s">
        <v>30</v>
      </c>
      <c r="K227" s="9" t="s">
        <v>31</v>
      </c>
      <c r="L227" s="9" t="s">
        <v>32</v>
      </c>
      <c r="M227" s="9" t="s">
        <v>499</v>
      </c>
      <c r="N227" s="9" t="s">
        <v>1024</v>
      </c>
      <c r="O227" s="9" t="s">
        <v>128</v>
      </c>
      <c r="P227" s="9" t="s">
        <v>500</v>
      </c>
      <c r="Q227" s="9">
        <v>100867383</v>
      </c>
      <c r="R227" s="9" t="s">
        <v>299</v>
      </c>
      <c r="S227" s="9" t="s">
        <v>39</v>
      </c>
      <c r="T227" s="11">
        <v>1</v>
      </c>
      <c r="U227" s="15" t="s">
        <v>128</v>
      </c>
      <c r="V227" s="16" t="s">
        <v>500</v>
      </c>
      <c r="W227" s="17">
        <v>100867383</v>
      </c>
      <c r="X227" s="16" t="s">
        <v>2701</v>
      </c>
      <c r="Y227" s="17" t="s">
        <v>2702</v>
      </c>
      <c r="Z227" s="17" t="s">
        <v>39</v>
      </c>
      <c r="AA227" s="17" t="s">
        <v>37</v>
      </c>
      <c r="AB227" s="29">
        <v>6.41</v>
      </c>
      <c r="AC227" s="25">
        <v>6.15</v>
      </c>
      <c r="AD227" s="25">
        <f>AC227*T227</f>
        <v>6.15</v>
      </c>
      <c r="AE227" s="25">
        <f>AB227*T227</f>
        <v>6.41</v>
      </c>
      <c r="AF227" s="25">
        <f>AD227-AE227</f>
        <v>-0.25999999999999979</v>
      </c>
      <c r="AG227" s="26">
        <f>AF227/AD227</f>
        <v>-4.2276422764227606E-2</v>
      </c>
      <c r="AH227" s="27" t="str">
        <f>IF(AG227&lt;0,"Negative",IF(AG227=0,"Same",IF(AG227&gt;0.3,"30+%",IF(AG227&gt;0.2,"20-30%",IF(AG227&gt;0.1,"10-20%",IF(AG227&lt;=0.1,"0-10%"))))))</f>
        <v>Negative</v>
      </c>
      <c r="AI227" s="32"/>
      <c r="AJ227" s="36" t="s">
        <v>3300</v>
      </c>
      <c r="AK227" s="32"/>
    </row>
    <row r="228" spans="1:37" s="1" customFormat="1" ht="19.7" customHeight="1" x14ac:dyDescent="0.25">
      <c r="A228" s="5" t="s">
        <v>22</v>
      </c>
      <c r="B228" s="5" t="s">
        <v>815</v>
      </c>
      <c r="C228" s="6">
        <v>44302</v>
      </c>
      <c r="D228" s="5" t="s">
        <v>24</v>
      </c>
      <c r="E228" s="5" t="s">
        <v>25</v>
      </c>
      <c r="F228" s="5" t="s">
        <v>26</v>
      </c>
      <c r="G228" s="5" t="s">
        <v>67</v>
      </c>
      <c r="H228" s="5" t="s">
        <v>68</v>
      </c>
      <c r="I228" s="5" t="s">
        <v>29</v>
      </c>
      <c r="J228" s="5" t="s">
        <v>30</v>
      </c>
      <c r="K228" s="5" t="s">
        <v>31</v>
      </c>
      <c r="L228" s="5" t="s">
        <v>32</v>
      </c>
      <c r="M228" s="5" t="s">
        <v>499</v>
      </c>
      <c r="N228" s="5" t="s">
        <v>816</v>
      </c>
      <c r="O228" s="5" t="s">
        <v>128</v>
      </c>
      <c r="P228" s="5" t="s">
        <v>500</v>
      </c>
      <c r="Q228" s="5">
        <v>100867383</v>
      </c>
      <c r="R228" s="5" t="s">
        <v>299</v>
      </c>
      <c r="S228" s="5" t="s">
        <v>39</v>
      </c>
      <c r="T228" s="7">
        <v>1</v>
      </c>
      <c r="U228" s="15" t="s">
        <v>128</v>
      </c>
      <c r="V228" s="16" t="s">
        <v>500</v>
      </c>
      <c r="W228" s="17">
        <v>100867383</v>
      </c>
      <c r="X228" s="16" t="s">
        <v>2701</v>
      </c>
      <c r="Y228" s="17" t="s">
        <v>2702</v>
      </c>
      <c r="Z228" s="17" t="s">
        <v>39</v>
      </c>
      <c r="AA228" s="17" t="s">
        <v>37</v>
      </c>
      <c r="AB228" s="29">
        <v>6.41</v>
      </c>
      <c r="AC228" s="25">
        <v>6.15</v>
      </c>
      <c r="AD228" s="25">
        <f>AC228*T228</f>
        <v>6.15</v>
      </c>
      <c r="AE228" s="25">
        <f>AB228*T228</f>
        <v>6.41</v>
      </c>
      <c r="AF228" s="25">
        <f>AD228-AE228</f>
        <v>-0.25999999999999979</v>
      </c>
      <c r="AG228" s="26">
        <f>AF228/AD228</f>
        <v>-4.2276422764227606E-2</v>
      </c>
      <c r="AH228" s="27" t="str">
        <f>IF(AG228&lt;0,"Negative",IF(AG228=0,"Same",IF(AG228&gt;0.3,"30+%",IF(AG228&gt;0.2,"20-30%",IF(AG228&gt;0.1,"10-20%",IF(AG228&lt;=0.1,"0-10%"))))))</f>
        <v>Negative</v>
      </c>
      <c r="AI228" s="32"/>
      <c r="AJ228" s="36" t="s">
        <v>3300</v>
      </c>
      <c r="AK228" s="32"/>
    </row>
    <row r="229" spans="1:37" s="1" customFormat="1" ht="19.7" customHeight="1" x14ac:dyDescent="0.25">
      <c r="A229" s="9" t="s">
        <v>22</v>
      </c>
      <c r="B229" s="9" t="s">
        <v>1976</v>
      </c>
      <c r="C229" s="10">
        <v>44494</v>
      </c>
      <c r="D229" s="9" t="s">
        <v>24</v>
      </c>
      <c r="E229" s="9" t="s">
        <v>25</v>
      </c>
      <c r="F229" s="9" t="s">
        <v>26</v>
      </c>
      <c r="G229" s="9" t="s">
        <v>27</v>
      </c>
      <c r="H229" s="9" t="s">
        <v>28</v>
      </c>
      <c r="I229" s="9" t="s">
        <v>29</v>
      </c>
      <c r="J229" s="9" t="s">
        <v>30</v>
      </c>
      <c r="K229" s="9" t="s">
        <v>31</v>
      </c>
      <c r="L229" s="9" t="s">
        <v>32</v>
      </c>
      <c r="M229" s="9" t="s">
        <v>1576</v>
      </c>
      <c r="N229" s="9" t="s">
        <v>1977</v>
      </c>
      <c r="O229" s="9" t="s">
        <v>169</v>
      </c>
      <c r="P229" s="9" t="s">
        <v>1577</v>
      </c>
      <c r="Q229" s="9">
        <v>100770998</v>
      </c>
      <c r="R229" s="9" t="s">
        <v>56</v>
      </c>
      <c r="S229" s="9" t="s">
        <v>39</v>
      </c>
      <c r="T229" s="11">
        <v>2</v>
      </c>
      <c r="U229" s="15" t="s">
        <v>169</v>
      </c>
      <c r="V229" s="16" t="s">
        <v>1577</v>
      </c>
      <c r="W229" s="17">
        <v>100770998</v>
      </c>
      <c r="X229" s="16" t="s">
        <v>2610</v>
      </c>
      <c r="Y229" s="17" t="s">
        <v>3081</v>
      </c>
      <c r="Z229" s="17" t="s">
        <v>39</v>
      </c>
      <c r="AA229" s="17" t="s">
        <v>37</v>
      </c>
      <c r="AB229" s="43">
        <v>8.4600000000000009</v>
      </c>
      <c r="AC229" s="25">
        <v>8.81</v>
      </c>
      <c r="AD229" s="25">
        <f>AC229*T229</f>
        <v>17.62</v>
      </c>
      <c r="AE229" s="25">
        <f>AB229*T229</f>
        <v>16.920000000000002</v>
      </c>
      <c r="AF229" s="25">
        <f>AD229-AE229</f>
        <v>0.69999999999999929</v>
      </c>
      <c r="AG229" s="26">
        <f>AF229/AD229</f>
        <v>3.9727582292848992E-2</v>
      </c>
      <c r="AH229" s="27" t="str">
        <f>IF(AG229&lt;0,"Negative",IF(AG229=0,"Same",IF(AG229&gt;0.3,"30+%",IF(AG229&gt;0.2,"20-30%",IF(AG229&gt;0.1,"10-20%",IF(AG229&lt;=0.1,"0-10%"))))))</f>
        <v>0-10%</v>
      </c>
      <c r="AI229" s="32"/>
      <c r="AJ229" s="36" t="s">
        <v>3300</v>
      </c>
      <c r="AK229" s="32"/>
    </row>
    <row r="230" spans="1:37" s="1" customFormat="1" ht="19.7" customHeight="1" x14ac:dyDescent="0.25">
      <c r="A230" s="5" t="s">
        <v>22</v>
      </c>
      <c r="B230" s="5" t="s">
        <v>1570</v>
      </c>
      <c r="C230" s="6">
        <v>44420</v>
      </c>
      <c r="D230" s="5" t="s">
        <v>24</v>
      </c>
      <c r="E230" s="5" t="s">
        <v>25</v>
      </c>
      <c r="F230" s="5" t="s">
        <v>26</v>
      </c>
      <c r="G230" s="5" t="s">
        <v>27</v>
      </c>
      <c r="H230" s="5" t="s">
        <v>28</v>
      </c>
      <c r="I230" s="5" t="s">
        <v>29</v>
      </c>
      <c r="J230" s="5" t="s">
        <v>30</v>
      </c>
      <c r="K230" s="5" t="s">
        <v>31</v>
      </c>
      <c r="L230" s="5" t="s">
        <v>32</v>
      </c>
      <c r="M230" s="5" t="s">
        <v>1576</v>
      </c>
      <c r="N230" s="5" t="s">
        <v>1572</v>
      </c>
      <c r="O230" s="5" t="s">
        <v>169</v>
      </c>
      <c r="P230" s="5" t="s">
        <v>1577</v>
      </c>
      <c r="Q230" s="5">
        <v>100770998</v>
      </c>
      <c r="R230" s="5" t="s">
        <v>56</v>
      </c>
      <c r="S230" s="5" t="s">
        <v>39</v>
      </c>
      <c r="T230" s="7">
        <v>2</v>
      </c>
      <c r="U230" s="15" t="s">
        <v>169</v>
      </c>
      <c r="V230" s="16" t="s">
        <v>1577</v>
      </c>
      <c r="W230" s="17">
        <v>100770998</v>
      </c>
      <c r="X230" s="16" t="s">
        <v>2610</v>
      </c>
      <c r="Y230" s="17" t="s">
        <v>3081</v>
      </c>
      <c r="Z230" s="17" t="s">
        <v>39</v>
      </c>
      <c r="AA230" s="17" t="s">
        <v>37</v>
      </c>
      <c r="AB230" s="43">
        <v>8.4600000000000009</v>
      </c>
      <c r="AC230" s="25">
        <v>8.81</v>
      </c>
      <c r="AD230" s="25">
        <f>AC230*T230</f>
        <v>17.62</v>
      </c>
      <c r="AE230" s="25">
        <f>AB230*T230</f>
        <v>16.920000000000002</v>
      </c>
      <c r="AF230" s="25">
        <f>AD230-AE230</f>
        <v>0.69999999999999929</v>
      </c>
      <c r="AG230" s="26">
        <f>AF230/AD230</f>
        <v>3.9727582292848992E-2</v>
      </c>
      <c r="AH230" s="27" t="str">
        <f>IF(AG230&lt;0,"Negative",IF(AG230=0,"Same",IF(AG230&gt;0.3,"30+%",IF(AG230&gt;0.2,"20-30%",IF(AG230&gt;0.1,"10-20%",IF(AG230&lt;=0.1,"0-10%"))))))</f>
        <v>0-10%</v>
      </c>
      <c r="AI230" s="32"/>
      <c r="AJ230" s="36" t="s">
        <v>3300</v>
      </c>
      <c r="AK230" s="32"/>
    </row>
    <row r="231" spans="1:37" s="1" customFormat="1" ht="19.7" customHeight="1" x14ac:dyDescent="0.25">
      <c r="A231" s="5" t="s">
        <v>22</v>
      </c>
      <c r="B231" s="5" t="s">
        <v>1309</v>
      </c>
      <c r="C231" s="6">
        <v>44372</v>
      </c>
      <c r="D231" s="5" t="s">
        <v>24</v>
      </c>
      <c r="E231" s="5" t="s">
        <v>25</v>
      </c>
      <c r="F231" s="5" t="s">
        <v>26</v>
      </c>
      <c r="G231" s="5" t="s">
        <v>27</v>
      </c>
      <c r="H231" s="5" t="s">
        <v>28</v>
      </c>
      <c r="I231" s="5" t="s">
        <v>29</v>
      </c>
      <c r="J231" s="5" t="s">
        <v>30</v>
      </c>
      <c r="K231" s="5" t="s">
        <v>31</v>
      </c>
      <c r="L231" s="5" t="s">
        <v>32</v>
      </c>
      <c r="M231" s="5" t="s">
        <v>1310</v>
      </c>
      <c r="N231" s="5" t="s">
        <v>1268</v>
      </c>
      <c r="O231" s="5" t="s">
        <v>1311</v>
      </c>
      <c r="P231" s="5" t="s">
        <v>1312</v>
      </c>
      <c r="Q231" s="5">
        <v>101824195</v>
      </c>
      <c r="R231" s="5" t="s">
        <v>38</v>
      </c>
      <c r="S231" s="5" t="s">
        <v>39</v>
      </c>
      <c r="T231" s="7">
        <v>1</v>
      </c>
      <c r="U231" s="15" t="s">
        <v>1311</v>
      </c>
      <c r="V231" s="16" t="s">
        <v>1312</v>
      </c>
      <c r="W231" s="17">
        <v>101824195</v>
      </c>
      <c r="X231" s="16" t="s">
        <v>2982</v>
      </c>
      <c r="Y231" s="17" t="s">
        <v>2994</v>
      </c>
      <c r="Z231" s="17" t="s">
        <v>39</v>
      </c>
      <c r="AA231" s="17" t="s">
        <v>2501</v>
      </c>
      <c r="AB231" s="29">
        <v>65.5</v>
      </c>
      <c r="AC231" s="25">
        <v>66.989999999999995</v>
      </c>
      <c r="AD231" s="25">
        <f>AC231*T231</f>
        <v>66.989999999999995</v>
      </c>
      <c r="AE231" s="25">
        <f>AB231*T231</f>
        <v>65.5</v>
      </c>
      <c r="AF231" s="25">
        <f>AD231-AE231</f>
        <v>1.4899999999999949</v>
      </c>
      <c r="AG231" s="26">
        <f>AF231/AD231</f>
        <v>2.2242125690401477E-2</v>
      </c>
      <c r="AH231" s="27" t="str">
        <f>IF(AG231&lt;0,"Negative",IF(AG231=0,"Same",IF(AG231&gt;0.3,"30+%",IF(AG231&gt;0.2,"20-30%",IF(AG231&gt;0.1,"10-20%",IF(AG231&lt;=0.1,"0-10%"))))))</f>
        <v>0-10%</v>
      </c>
      <c r="AI231" s="32"/>
      <c r="AJ231" s="36" t="s">
        <v>3300</v>
      </c>
      <c r="AK231" s="32"/>
    </row>
    <row r="232" spans="1:37" s="1" customFormat="1" ht="19.7" customHeight="1" x14ac:dyDescent="0.25">
      <c r="A232" s="9" t="s">
        <v>22</v>
      </c>
      <c r="B232" s="9" t="s">
        <v>1287</v>
      </c>
      <c r="C232" s="10">
        <v>44371</v>
      </c>
      <c r="D232" s="9" t="s">
        <v>24</v>
      </c>
      <c r="E232" s="9" t="s">
        <v>25</v>
      </c>
      <c r="F232" s="9" t="s">
        <v>26</v>
      </c>
      <c r="G232" s="9" t="s">
        <v>27</v>
      </c>
      <c r="H232" s="9" t="s">
        <v>28</v>
      </c>
      <c r="I232" s="9" t="s">
        <v>29</v>
      </c>
      <c r="J232" s="9" t="s">
        <v>30</v>
      </c>
      <c r="K232" s="9" t="s">
        <v>31</v>
      </c>
      <c r="L232" s="9" t="s">
        <v>32</v>
      </c>
      <c r="M232" s="9" t="s">
        <v>1288</v>
      </c>
      <c r="N232" s="9" t="s">
        <v>1289</v>
      </c>
      <c r="O232" s="9" t="s">
        <v>183</v>
      </c>
      <c r="P232" s="9" t="s">
        <v>1290</v>
      </c>
      <c r="Q232" s="9">
        <v>100439613</v>
      </c>
      <c r="R232" s="9" t="s">
        <v>56</v>
      </c>
      <c r="S232" s="9" t="s">
        <v>39</v>
      </c>
      <c r="T232" s="11">
        <v>5</v>
      </c>
      <c r="U232" s="15" t="s">
        <v>183</v>
      </c>
      <c r="V232" s="16" t="s">
        <v>1290</v>
      </c>
      <c r="W232" s="17">
        <v>100439613</v>
      </c>
      <c r="X232" s="16" t="s">
        <v>2565</v>
      </c>
      <c r="Y232" s="17" t="s">
        <v>2988</v>
      </c>
      <c r="Z232" s="17" t="s">
        <v>39</v>
      </c>
      <c r="AA232" s="17" t="s">
        <v>37</v>
      </c>
      <c r="AB232" s="29">
        <v>6.52</v>
      </c>
      <c r="AC232" s="25">
        <v>6.67</v>
      </c>
      <c r="AD232" s="25">
        <f>AC232*T232</f>
        <v>33.35</v>
      </c>
      <c r="AE232" s="25">
        <f>AB232*T232</f>
        <v>32.599999999999994</v>
      </c>
      <c r="AF232" s="25">
        <f>AD232-AE232</f>
        <v>0.75000000000000711</v>
      </c>
      <c r="AG232" s="26">
        <f>AF232/AD232</f>
        <v>2.2488755622189119E-2</v>
      </c>
      <c r="AH232" s="27" t="str">
        <f>IF(AG232&lt;0,"Negative",IF(AG232=0,"Same",IF(AG232&gt;0.3,"30+%",IF(AG232&gt;0.2,"20-30%",IF(AG232&gt;0.1,"10-20%",IF(AG232&lt;=0.1,"0-10%"))))))</f>
        <v>0-10%</v>
      </c>
      <c r="AI232" s="32"/>
      <c r="AJ232" s="36" t="s">
        <v>3300</v>
      </c>
      <c r="AK232" s="32"/>
    </row>
    <row r="233" spans="1:37" s="1" customFormat="1" ht="19.7" customHeight="1" x14ac:dyDescent="0.25">
      <c r="A233" s="9" t="s">
        <v>22</v>
      </c>
      <c r="B233" s="9" t="s">
        <v>1606</v>
      </c>
      <c r="C233" s="10">
        <v>44424</v>
      </c>
      <c r="D233" s="9" t="s">
        <v>24</v>
      </c>
      <c r="E233" s="9" t="s">
        <v>25</v>
      </c>
      <c r="F233" s="9" t="s">
        <v>26</v>
      </c>
      <c r="G233" s="9" t="s">
        <v>27</v>
      </c>
      <c r="H233" s="9" t="s">
        <v>28</v>
      </c>
      <c r="I233" s="9" t="s">
        <v>29</v>
      </c>
      <c r="J233" s="9" t="s">
        <v>30</v>
      </c>
      <c r="K233" s="9" t="s">
        <v>31</v>
      </c>
      <c r="L233" s="9" t="s">
        <v>32</v>
      </c>
      <c r="M233" s="9" t="s">
        <v>1610</v>
      </c>
      <c r="N233" s="9" t="s">
        <v>1608</v>
      </c>
      <c r="O233" s="9" t="s">
        <v>183</v>
      </c>
      <c r="P233" s="9" t="s">
        <v>1611</v>
      </c>
      <c r="Q233" s="9">
        <v>100439679</v>
      </c>
      <c r="R233" s="9" t="s">
        <v>56</v>
      </c>
      <c r="S233" s="9" t="s">
        <v>39</v>
      </c>
      <c r="T233" s="11">
        <v>1</v>
      </c>
      <c r="U233" s="15" t="s">
        <v>183</v>
      </c>
      <c r="V233" s="16" t="s">
        <v>1611</v>
      </c>
      <c r="W233" s="17">
        <v>100439679</v>
      </c>
      <c r="X233" s="16" t="s">
        <v>2565</v>
      </c>
      <c r="Y233" s="17" t="s">
        <v>3090</v>
      </c>
      <c r="Z233" s="17" t="s">
        <v>39</v>
      </c>
      <c r="AA233" s="17" t="s">
        <v>37</v>
      </c>
      <c r="AB233" s="29">
        <v>7.71</v>
      </c>
      <c r="AC233" s="25">
        <v>7.88</v>
      </c>
      <c r="AD233" s="25">
        <f>AC233*T233</f>
        <v>7.88</v>
      </c>
      <c r="AE233" s="25">
        <f>AB233*T233</f>
        <v>7.71</v>
      </c>
      <c r="AF233" s="25">
        <f>AD233-AE233</f>
        <v>0.16999999999999993</v>
      </c>
      <c r="AG233" s="26">
        <f>AF233/AD233</f>
        <v>2.1573604060913697E-2</v>
      </c>
      <c r="AH233" s="27" t="str">
        <f>IF(AG233&lt;0,"Negative",IF(AG233=0,"Same",IF(AG233&gt;0.3,"30+%",IF(AG233&gt;0.2,"20-30%",IF(AG233&gt;0.1,"10-20%",IF(AG233&lt;=0.1,"0-10%"))))))</f>
        <v>0-10%</v>
      </c>
      <c r="AI233" s="32"/>
      <c r="AJ233" s="36" t="s">
        <v>3300</v>
      </c>
      <c r="AK233" s="32"/>
    </row>
    <row r="234" spans="1:37" s="1" customFormat="1" ht="19.7" customHeight="1" x14ac:dyDescent="0.25">
      <c r="A234" s="9" t="s">
        <v>22</v>
      </c>
      <c r="B234" s="9" t="s">
        <v>1348</v>
      </c>
      <c r="C234" s="10">
        <v>44379</v>
      </c>
      <c r="D234" s="9" t="s">
        <v>24</v>
      </c>
      <c r="E234" s="9" t="s">
        <v>25</v>
      </c>
      <c r="F234" s="9" t="s">
        <v>26</v>
      </c>
      <c r="G234" s="9" t="s">
        <v>27</v>
      </c>
      <c r="H234" s="9" t="s">
        <v>28</v>
      </c>
      <c r="I234" s="9" t="s">
        <v>29</v>
      </c>
      <c r="J234" s="9" t="s">
        <v>30</v>
      </c>
      <c r="K234" s="9" t="s">
        <v>31</v>
      </c>
      <c r="L234" s="9" t="s">
        <v>32</v>
      </c>
      <c r="M234" s="9" t="s">
        <v>1240</v>
      </c>
      <c r="N234" s="9" t="s">
        <v>1350</v>
      </c>
      <c r="O234" s="9" t="s">
        <v>169</v>
      </c>
      <c r="P234" s="9" t="s">
        <v>1241</v>
      </c>
      <c r="Q234" s="9">
        <v>100771010</v>
      </c>
      <c r="R234" s="9" t="s">
        <v>56</v>
      </c>
      <c r="S234" s="9" t="s">
        <v>39</v>
      </c>
      <c r="T234" s="11">
        <v>1</v>
      </c>
      <c r="U234" s="15" t="s">
        <v>169</v>
      </c>
      <c r="V234" s="16" t="s">
        <v>1241</v>
      </c>
      <c r="W234" s="17">
        <v>100771010</v>
      </c>
      <c r="X234" s="16" t="s">
        <v>2610</v>
      </c>
      <c r="Y234" s="17" t="s">
        <v>2973</v>
      </c>
      <c r="Z234" s="17" t="s">
        <v>39</v>
      </c>
      <c r="AA234" s="17" t="s">
        <v>37</v>
      </c>
      <c r="AB234" s="43">
        <v>8.98</v>
      </c>
      <c r="AC234" s="25">
        <v>9.3699999999999992</v>
      </c>
      <c r="AD234" s="25">
        <f>AC234*T234</f>
        <v>9.3699999999999992</v>
      </c>
      <c r="AE234" s="25">
        <f>AB234*T234</f>
        <v>8.98</v>
      </c>
      <c r="AF234" s="25">
        <f>AD234-AE234</f>
        <v>0.38999999999999879</v>
      </c>
      <c r="AG234" s="26">
        <f>AF234/AD234</f>
        <v>4.1622198505869672E-2</v>
      </c>
      <c r="AH234" s="27" t="str">
        <f>IF(AG234&lt;0,"Negative",IF(AG234=0,"Same",IF(AG234&gt;0.3,"30+%",IF(AG234&gt;0.2,"20-30%",IF(AG234&gt;0.1,"10-20%",IF(AG234&lt;=0.1,"0-10%"))))))</f>
        <v>0-10%</v>
      </c>
      <c r="AI234" s="32"/>
      <c r="AJ234" s="36" t="s">
        <v>3300</v>
      </c>
      <c r="AK234" s="32"/>
    </row>
    <row r="235" spans="1:37" s="1" customFormat="1" ht="19.7" customHeight="1" x14ac:dyDescent="0.25">
      <c r="A235" s="5" t="s">
        <v>22</v>
      </c>
      <c r="B235" s="5" t="s">
        <v>1297</v>
      </c>
      <c r="C235" s="6">
        <v>44371</v>
      </c>
      <c r="D235" s="5" t="s">
        <v>24</v>
      </c>
      <c r="E235" s="5" t="s">
        <v>25</v>
      </c>
      <c r="F235" s="5" t="s">
        <v>26</v>
      </c>
      <c r="G235" s="5" t="s">
        <v>27</v>
      </c>
      <c r="H235" s="5" t="s">
        <v>28</v>
      </c>
      <c r="I235" s="5" t="s">
        <v>29</v>
      </c>
      <c r="J235" s="5" t="s">
        <v>30</v>
      </c>
      <c r="K235" s="5" t="s">
        <v>31</v>
      </c>
      <c r="L235" s="5" t="s">
        <v>32</v>
      </c>
      <c r="M235" s="5" t="s">
        <v>1240</v>
      </c>
      <c r="N235" s="5" t="s">
        <v>1298</v>
      </c>
      <c r="O235" s="5" t="s">
        <v>169</v>
      </c>
      <c r="P235" s="5" t="s">
        <v>1241</v>
      </c>
      <c r="Q235" s="5">
        <v>100771010</v>
      </c>
      <c r="R235" s="5" t="s">
        <v>56</v>
      </c>
      <c r="S235" s="5" t="s">
        <v>39</v>
      </c>
      <c r="T235" s="7">
        <v>1</v>
      </c>
      <c r="U235" s="15" t="s">
        <v>169</v>
      </c>
      <c r="V235" s="16" t="s">
        <v>1241</v>
      </c>
      <c r="W235" s="17">
        <v>100771010</v>
      </c>
      <c r="X235" s="16" t="s">
        <v>2610</v>
      </c>
      <c r="Y235" s="17" t="s">
        <v>2973</v>
      </c>
      <c r="Z235" s="17" t="s">
        <v>39</v>
      </c>
      <c r="AA235" s="17" t="s">
        <v>37</v>
      </c>
      <c r="AB235" s="43">
        <v>8.98</v>
      </c>
      <c r="AC235" s="25">
        <v>9.3699999999999992</v>
      </c>
      <c r="AD235" s="25">
        <f>AC235*T235</f>
        <v>9.3699999999999992</v>
      </c>
      <c r="AE235" s="25">
        <f>AB235*T235</f>
        <v>8.98</v>
      </c>
      <c r="AF235" s="25">
        <f>AD235-AE235</f>
        <v>0.38999999999999879</v>
      </c>
      <c r="AG235" s="26">
        <f>AF235/AD235</f>
        <v>4.1622198505869672E-2</v>
      </c>
      <c r="AH235" s="27" t="str">
        <f>IF(AG235&lt;0,"Negative",IF(AG235=0,"Same",IF(AG235&gt;0.3,"30+%",IF(AG235&gt;0.2,"20-30%",IF(AG235&gt;0.1,"10-20%",IF(AG235&lt;=0.1,"0-10%"))))))</f>
        <v>0-10%</v>
      </c>
      <c r="AI235" s="32"/>
      <c r="AJ235" s="36" t="s">
        <v>3300</v>
      </c>
      <c r="AK235" s="32"/>
    </row>
    <row r="236" spans="1:37" s="1" customFormat="1" ht="19.7" customHeight="1" x14ac:dyDescent="0.25">
      <c r="A236" s="5" t="s">
        <v>22</v>
      </c>
      <c r="B236" s="5" t="s">
        <v>1234</v>
      </c>
      <c r="C236" s="6">
        <v>44364</v>
      </c>
      <c r="D236" s="5" t="s">
        <v>24</v>
      </c>
      <c r="E236" s="5" t="s">
        <v>25</v>
      </c>
      <c r="F236" s="5" t="s">
        <v>26</v>
      </c>
      <c r="G236" s="5" t="s">
        <v>27</v>
      </c>
      <c r="H236" s="5" t="s">
        <v>28</v>
      </c>
      <c r="I236" s="5" t="s">
        <v>29</v>
      </c>
      <c r="J236" s="5" t="s">
        <v>30</v>
      </c>
      <c r="K236" s="5" t="s">
        <v>31</v>
      </c>
      <c r="L236" s="5" t="s">
        <v>32</v>
      </c>
      <c r="M236" s="5" t="s">
        <v>1240</v>
      </c>
      <c r="N236" s="5" t="s">
        <v>1236</v>
      </c>
      <c r="O236" s="5" t="s">
        <v>169</v>
      </c>
      <c r="P236" s="5" t="s">
        <v>1241</v>
      </c>
      <c r="Q236" s="5">
        <v>100771010</v>
      </c>
      <c r="R236" s="5" t="s">
        <v>56</v>
      </c>
      <c r="S236" s="5" t="s">
        <v>39</v>
      </c>
      <c r="T236" s="7">
        <v>3</v>
      </c>
      <c r="U236" s="15" t="s">
        <v>169</v>
      </c>
      <c r="V236" s="16" t="s">
        <v>1241</v>
      </c>
      <c r="W236" s="17">
        <v>100771010</v>
      </c>
      <c r="X236" s="16" t="s">
        <v>2610</v>
      </c>
      <c r="Y236" s="17" t="s">
        <v>2973</v>
      </c>
      <c r="Z236" s="17" t="s">
        <v>39</v>
      </c>
      <c r="AA236" s="17" t="s">
        <v>37</v>
      </c>
      <c r="AB236" s="43">
        <v>8.98</v>
      </c>
      <c r="AC236" s="25">
        <v>9.3699999999999992</v>
      </c>
      <c r="AD236" s="25">
        <f>AC236*T236</f>
        <v>28.11</v>
      </c>
      <c r="AE236" s="25">
        <f>AB236*T236</f>
        <v>26.94</v>
      </c>
      <c r="AF236" s="25">
        <f>AD236-AE236</f>
        <v>1.1699999999999982</v>
      </c>
      <c r="AG236" s="26">
        <f>AF236/AD236</f>
        <v>4.1622198505869734E-2</v>
      </c>
      <c r="AH236" s="27" t="str">
        <f>IF(AG236&lt;0,"Negative",IF(AG236=0,"Same",IF(AG236&gt;0.3,"30+%",IF(AG236&gt;0.2,"20-30%",IF(AG236&gt;0.1,"10-20%",IF(AG236&lt;=0.1,"0-10%"))))))</f>
        <v>0-10%</v>
      </c>
      <c r="AI236" s="32"/>
      <c r="AJ236" s="36" t="s">
        <v>3300</v>
      </c>
      <c r="AK236" s="32"/>
    </row>
    <row r="237" spans="1:37" s="1" customFormat="1" ht="19.7" customHeight="1" x14ac:dyDescent="0.25">
      <c r="A237" s="5" t="s">
        <v>22</v>
      </c>
      <c r="B237" s="5" t="s">
        <v>1278</v>
      </c>
      <c r="C237" s="6">
        <v>44370</v>
      </c>
      <c r="D237" s="5" t="s">
        <v>24</v>
      </c>
      <c r="E237" s="5" t="s">
        <v>25</v>
      </c>
      <c r="F237" s="5" t="s">
        <v>26</v>
      </c>
      <c r="G237" s="5" t="s">
        <v>27</v>
      </c>
      <c r="H237" s="5" t="s">
        <v>28</v>
      </c>
      <c r="I237" s="5" t="s">
        <v>29</v>
      </c>
      <c r="J237" s="5" t="s">
        <v>30</v>
      </c>
      <c r="K237" s="5" t="s">
        <v>31</v>
      </c>
      <c r="L237" s="5" t="s">
        <v>32</v>
      </c>
      <c r="M237" s="5" t="s">
        <v>261</v>
      </c>
      <c r="N237" s="5" t="s">
        <v>1279</v>
      </c>
      <c r="O237" s="5" t="s">
        <v>731</v>
      </c>
      <c r="P237" s="5" t="s">
        <v>1280</v>
      </c>
      <c r="Q237" s="5">
        <v>105619293</v>
      </c>
      <c r="R237" s="5" t="s">
        <v>38</v>
      </c>
      <c r="S237" s="5" t="s">
        <v>39</v>
      </c>
      <c r="T237" s="7">
        <v>1</v>
      </c>
      <c r="U237" s="15" t="s">
        <v>731</v>
      </c>
      <c r="V237" s="16" t="s">
        <v>1280</v>
      </c>
      <c r="W237" s="17">
        <v>105619293</v>
      </c>
      <c r="X237" s="16" t="s">
        <v>2982</v>
      </c>
      <c r="Y237" s="17" t="s">
        <v>2983</v>
      </c>
      <c r="Z237" s="17" t="s">
        <v>39</v>
      </c>
      <c r="AA237" s="17" t="s">
        <v>2501</v>
      </c>
      <c r="AB237" s="29">
        <v>68.510000000000005</v>
      </c>
      <c r="AC237" s="25">
        <v>70.06</v>
      </c>
      <c r="AD237" s="25">
        <f>AC237*T237</f>
        <v>70.06</v>
      </c>
      <c r="AE237" s="25">
        <f>AB237*T237</f>
        <v>68.510000000000005</v>
      </c>
      <c r="AF237" s="25">
        <f>AD237-AE237</f>
        <v>1.5499999999999972</v>
      </c>
      <c r="AG237" s="26">
        <f>AF237/AD237</f>
        <v>2.2123893805309693E-2</v>
      </c>
      <c r="AH237" s="27" t="str">
        <f>IF(AG237&lt;0,"Negative",IF(AG237=0,"Same",IF(AG237&gt;0.3,"30+%",IF(AG237&gt;0.2,"20-30%",IF(AG237&gt;0.1,"10-20%",IF(AG237&lt;=0.1,"0-10%"))))))</f>
        <v>0-10%</v>
      </c>
      <c r="AI237" s="32"/>
      <c r="AJ237" s="36" t="s">
        <v>3300</v>
      </c>
      <c r="AK237" s="32"/>
    </row>
    <row r="238" spans="1:37" s="1" customFormat="1" ht="19.7" customHeight="1" x14ac:dyDescent="0.25">
      <c r="A238" s="5" t="s">
        <v>22</v>
      </c>
      <c r="B238" s="5" t="s">
        <v>166</v>
      </c>
      <c r="C238" s="6">
        <v>44238</v>
      </c>
      <c r="D238" s="5" t="s">
        <v>24</v>
      </c>
      <c r="E238" s="5" t="s">
        <v>25</v>
      </c>
      <c r="F238" s="5" t="s">
        <v>26</v>
      </c>
      <c r="G238" s="5" t="s">
        <v>27</v>
      </c>
      <c r="H238" s="5" t="s">
        <v>28</v>
      </c>
      <c r="I238" s="5" t="s">
        <v>29</v>
      </c>
      <c r="J238" s="5" t="s">
        <v>30</v>
      </c>
      <c r="K238" s="5" t="s">
        <v>31</v>
      </c>
      <c r="L238" s="5" t="s">
        <v>32</v>
      </c>
      <c r="M238" s="5" t="s">
        <v>177</v>
      </c>
      <c r="N238" s="5" t="s">
        <v>168</v>
      </c>
      <c r="O238" s="5" t="s">
        <v>178</v>
      </c>
      <c r="P238" s="5" t="s">
        <v>179</v>
      </c>
      <c r="Q238" s="5">
        <v>102182871</v>
      </c>
      <c r="R238" s="5" t="s">
        <v>61</v>
      </c>
      <c r="S238" s="5" t="s">
        <v>39</v>
      </c>
      <c r="T238" s="7">
        <v>3</v>
      </c>
      <c r="U238" s="15" t="s">
        <v>178</v>
      </c>
      <c r="V238" s="16" t="s">
        <v>179</v>
      </c>
      <c r="W238" s="17">
        <v>102182871</v>
      </c>
      <c r="X238" s="16" t="s">
        <v>2561</v>
      </c>
      <c r="Y238" s="17" t="s">
        <v>2562</v>
      </c>
      <c r="Z238" s="17" t="s">
        <v>39</v>
      </c>
      <c r="AA238" s="17" t="s">
        <v>37</v>
      </c>
      <c r="AB238" s="29">
        <v>4.3600000000000003</v>
      </c>
      <c r="AC238" s="25">
        <v>4.5599999999999996</v>
      </c>
      <c r="AD238" s="25">
        <f>AC238*T238</f>
        <v>13.68</v>
      </c>
      <c r="AE238" s="25">
        <f>AB238*T238</f>
        <v>13.080000000000002</v>
      </c>
      <c r="AF238" s="25">
        <f>AD238-AE238</f>
        <v>0.59999999999999787</v>
      </c>
      <c r="AG238" s="26">
        <f>AF238/AD238</f>
        <v>4.3859649122806862E-2</v>
      </c>
      <c r="AH238" s="27" t="str">
        <f>IF(AG238&lt;0,"Negative",IF(AG238=0,"Same",IF(AG238&gt;0.3,"30+%",IF(AG238&gt;0.2,"20-30%",IF(AG238&gt;0.1,"10-20%",IF(AG238&lt;=0.1,"0-10%"))))))</f>
        <v>0-10%</v>
      </c>
      <c r="AI238" s="32"/>
      <c r="AJ238" s="36" t="s">
        <v>3300</v>
      </c>
      <c r="AK238" s="32"/>
    </row>
    <row r="239" spans="1:37" s="1" customFormat="1" ht="19.7" customHeight="1" x14ac:dyDescent="0.25">
      <c r="A239" s="5" t="s">
        <v>22</v>
      </c>
      <c r="B239" s="5" t="s">
        <v>1101</v>
      </c>
      <c r="C239" s="6">
        <v>44340</v>
      </c>
      <c r="D239" s="5" t="s">
        <v>24</v>
      </c>
      <c r="E239" s="5" t="s">
        <v>25</v>
      </c>
      <c r="F239" s="5" t="s">
        <v>26</v>
      </c>
      <c r="G239" s="5" t="s">
        <v>27</v>
      </c>
      <c r="H239" s="5" t="s">
        <v>28</v>
      </c>
      <c r="I239" s="5" t="s">
        <v>29</v>
      </c>
      <c r="J239" s="5" t="s">
        <v>30</v>
      </c>
      <c r="K239" s="5" t="s">
        <v>31</v>
      </c>
      <c r="L239" s="5" t="s">
        <v>32</v>
      </c>
      <c r="M239" s="5" t="s">
        <v>328</v>
      </c>
      <c r="N239" s="5" t="s">
        <v>1081</v>
      </c>
      <c r="O239" s="5" t="s">
        <v>329</v>
      </c>
      <c r="P239" s="5" t="s">
        <v>330</v>
      </c>
      <c r="Q239" s="5">
        <v>101105984</v>
      </c>
      <c r="R239" s="5" t="s">
        <v>61</v>
      </c>
      <c r="S239" s="5" t="s">
        <v>39</v>
      </c>
      <c r="T239" s="7">
        <v>4</v>
      </c>
      <c r="U239" s="15" t="s">
        <v>329</v>
      </c>
      <c r="V239" s="16" t="s">
        <v>330</v>
      </c>
      <c r="W239" s="17">
        <v>101105984</v>
      </c>
      <c r="X239" s="16" t="s">
        <v>2540</v>
      </c>
      <c r="Y239" s="17" t="s">
        <v>2628</v>
      </c>
      <c r="Z239" s="17" t="s">
        <v>39</v>
      </c>
      <c r="AA239" s="17" t="s">
        <v>37</v>
      </c>
      <c r="AB239" s="29">
        <v>7.29</v>
      </c>
      <c r="AC239" s="25">
        <v>7.78</v>
      </c>
      <c r="AD239" s="25">
        <f>AC239*T239</f>
        <v>31.12</v>
      </c>
      <c r="AE239" s="25">
        <f>AB239*T239</f>
        <v>29.16</v>
      </c>
      <c r="AF239" s="25">
        <f>AD239-AE239</f>
        <v>1.9600000000000009</v>
      </c>
      <c r="AG239" s="26">
        <f>AF239/AD239</f>
        <v>6.29820051413882E-2</v>
      </c>
      <c r="AH239" s="27" t="str">
        <f>IF(AG239&lt;0,"Negative",IF(AG239=0,"Same",IF(AG239&gt;0.3,"30+%",IF(AG239&gt;0.2,"20-30%",IF(AG239&gt;0.1,"10-20%",IF(AG239&lt;=0.1,"0-10%"))))))</f>
        <v>0-10%</v>
      </c>
      <c r="AI239" s="32"/>
      <c r="AJ239" s="36" t="s">
        <v>3300</v>
      </c>
      <c r="AK239" s="32"/>
    </row>
    <row r="240" spans="1:37" s="1" customFormat="1" ht="19.7" customHeight="1" x14ac:dyDescent="0.25">
      <c r="A240" s="9" t="s">
        <v>22</v>
      </c>
      <c r="B240" s="9" t="s">
        <v>2303</v>
      </c>
      <c r="C240" s="10">
        <v>44565</v>
      </c>
      <c r="D240" s="9" t="s">
        <v>24</v>
      </c>
      <c r="E240" s="9" t="s">
        <v>25</v>
      </c>
      <c r="F240" s="9" t="s">
        <v>26</v>
      </c>
      <c r="G240" s="9" t="s">
        <v>27</v>
      </c>
      <c r="H240" s="9" t="s">
        <v>28</v>
      </c>
      <c r="I240" s="9" t="s">
        <v>29</v>
      </c>
      <c r="J240" s="9" t="s">
        <v>30</v>
      </c>
      <c r="K240" s="9" t="s">
        <v>31</v>
      </c>
      <c r="L240" s="9" t="s">
        <v>32</v>
      </c>
      <c r="M240" s="9" t="s">
        <v>261</v>
      </c>
      <c r="N240" s="9" t="s">
        <v>2304</v>
      </c>
      <c r="O240" s="9" t="s">
        <v>89</v>
      </c>
      <c r="P240" s="9" t="s">
        <v>2305</v>
      </c>
      <c r="Q240" s="9">
        <v>100913329</v>
      </c>
      <c r="R240" s="9" t="s">
        <v>45</v>
      </c>
      <c r="S240" s="9" t="s">
        <v>39</v>
      </c>
      <c r="T240" s="11">
        <v>4</v>
      </c>
      <c r="U240" s="15" t="s">
        <v>89</v>
      </c>
      <c r="V240" s="16" t="s">
        <v>2305</v>
      </c>
      <c r="W240" s="17">
        <v>100913329</v>
      </c>
      <c r="X240" s="16" t="s">
        <v>2518</v>
      </c>
      <c r="Y240" s="17" t="s">
        <v>3243</v>
      </c>
      <c r="Z240" s="17" t="s">
        <v>39</v>
      </c>
      <c r="AA240" s="17" t="s">
        <v>37</v>
      </c>
      <c r="AB240" s="43">
        <v>3.1</v>
      </c>
      <c r="AC240" s="25">
        <v>3.64</v>
      </c>
      <c r="AD240" s="25">
        <f>AC240*T240</f>
        <v>14.56</v>
      </c>
      <c r="AE240" s="25">
        <f>AB240*T240</f>
        <v>12.4</v>
      </c>
      <c r="AF240" s="25">
        <f>AD240-AE240</f>
        <v>2.16</v>
      </c>
      <c r="AG240" s="26">
        <f>AF240/AD240</f>
        <v>0.14835164835164835</v>
      </c>
      <c r="AH240" s="27" t="str">
        <f>IF(AG240&lt;0,"Negative",IF(AG240=0,"Same",IF(AG240&gt;0.3,"30+%",IF(AG240&gt;0.2,"20-30%",IF(AG240&gt;0.1,"10-20%",IF(AG240&lt;=0.1,"0-10%"))))))</f>
        <v>10-20%</v>
      </c>
      <c r="AI240" s="32"/>
      <c r="AJ240" s="36" t="s">
        <v>3300</v>
      </c>
      <c r="AK240" s="32"/>
    </row>
    <row r="241" spans="1:37" s="1" customFormat="1" ht="19.7" customHeight="1" x14ac:dyDescent="0.25">
      <c r="A241" s="5" t="s">
        <v>22</v>
      </c>
      <c r="B241" s="5" t="s">
        <v>1347</v>
      </c>
      <c r="C241" s="6">
        <v>44379</v>
      </c>
      <c r="D241" s="5" t="s">
        <v>24</v>
      </c>
      <c r="E241" s="5" t="s">
        <v>25</v>
      </c>
      <c r="F241" s="5" t="s">
        <v>26</v>
      </c>
      <c r="G241" s="5" t="s">
        <v>27</v>
      </c>
      <c r="H241" s="5" t="s">
        <v>28</v>
      </c>
      <c r="I241" s="5" t="s">
        <v>29</v>
      </c>
      <c r="J241" s="5" t="s">
        <v>30</v>
      </c>
      <c r="K241" s="5" t="s">
        <v>31</v>
      </c>
      <c r="L241" s="5" t="s">
        <v>32</v>
      </c>
      <c r="M241" s="5" t="s">
        <v>328</v>
      </c>
      <c r="N241" s="5" t="s">
        <v>1319</v>
      </c>
      <c r="O241" s="5" t="s">
        <v>329</v>
      </c>
      <c r="P241" s="5" t="s">
        <v>330</v>
      </c>
      <c r="Q241" s="5">
        <v>101105984</v>
      </c>
      <c r="R241" s="5" t="s">
        <v>61</v>
      </c>
      <c r="S241" s="5" t="s">
        <v>39</v>
      </c>
      <c r="T241" s="7">
        <v>6</v>
      </c>
      <c r="U241" s="15" t="s">
        <v>329</v>
      </c>
      <c r="V241" s="16" t="s">
        <v>330</v>
      </c>
      <c r="W241" s="17">
        <v>101105984</v>
      </c>
      <c r="X241" s="16" t="s">
        <v>2540</v>
      </c>
      <c r="Y241" s="17" t="s">
        <v>2628</v>
      </c>
      <c r="Z241" s="17" t="s">
        <v>39</v>
      </c>
      <c r="AA241" s="17" t="s">
        <v>37</v>
      </c>
      <c r="AB241" s="29">
        <v>7.29</v>
      </c>
      <c r="AC241" s="25">
        <v>7.78</v>
      </c>
      <c r="AD241" s="25">
        <f>AC241*T241</f>
        <v>46.68</v>
      </c>
      <c r="AE241" s="25">
        <f>AB241*T241</f>
        <v>43.74</v>
      </c>
      <c r="AF241" s="25">
        <f>AD241-AE241</f>
        <v>2.9399999999999977</v>
      </c>
      <c r="AG241" s="26">
        <f>AF241/AD241</f>
        <v>6.2982005141388131E-2</v>
      </c>
      <c r="AH241" s="27" t="str">
        <f>IF(AG241&lt;0,"Negative",IF(AG241=0,"Same",IF(AG241&gt;0.3,"30+%",IF(AG241&gt;0.2,"20-30%",IF(AG241&gt;0.1,"10-20%",IF(AG241&lt;=0.1,"0-10%"))))))</f>
        <v>0-10%</v>
      </c>
      <c r="AI241" s="32"/>
      <c r="AJ241" s="36" t="s">
        <v>3300</v>
      </c>
      <c r="AK241" s="32"/>
    </row>
    <row r="242" spans="1:37" s="1" customFormat="1" ht="19.7" customHeight="1" x14ac:dyDescent="0.25">
      <c r="A242" s="5" t="s">
        <v>22</v>
      </c>
      <c r="B242" s="5" t="s">
        <v>327</v>
      </c>
      <c r="C242" s="6">
        <v>44251</v>
      </c>
      <c r="D242" s="5" t="s">
        <v>24</v>
      </c>
      <c r="E242" s="5" t="s">
        <v>25</v>
      </c>
      <c r="F242" s="5" t="s">
        <v>26</v>
      </c>
      <c r="G242" s="5" t="s">
        <v>27</v>
      </c>
      <c r="H242" s="5" t="s">
        <v>28</v>
      </c>
      <c r="I242" s="5" t="s">
        <v>29</v>
      </c>
      <c r="J242" s="5" t="s">
        <v>30</v>
      </c>
      <c r="K242" s="5" t="s">
        <v>31</v>
      </c>
      <c r="L242" s="5" t="s">
        <v>32</v>
      </c>
      <c r="M242" s="5" t="s">
        <v>328</v>
      </c>
      <c r="N242" s="5" t="s">
        <v>309</v>
      </c>
      <c r="O242" s="5" t="s">
        <v>329</v>
      </c>
      <c r="P242" s="5" t="s">
        <v>330</v>
      </c>
      <c r="Q242" s="5">
        <v>101105984</v>
      </c>
      <c r="R242" s="5" t="s">
        <v>61</v>
      </c>
      <c r="S242" s="5" t="s">
        <v>39</v>
      </c>
      <c r="T242" s="7">
        <v>12</v>
      </c>
      <c r="U242" s="15" t="s">
        <v>329</v>
      </c>
      <c r="V242" s="16" t="s">
        <v>330</v>
      </c>
      <c r="W242" s="17">
        <v>101105984</v>
      </c>
      <c r="X242" s="16" t="s">
        <v>2540</v>
      </c>
      <c r="Y242" s="17" t="s">
        <v>2628</v>
      </c>
      <c r="Z242" s="17" t="s">
        <v>39</v>
      </c>
      <c r="AA242" s="17" t="s">
        <v>37</v>
      </c>
      <c r="AB242" s="29">
        <v>7.29</v>
      </c>
      <c r="AC242" s="25">
        <v>7.78</v>
      </c>
      <c r="AD242" s="25">
        <f>AC242*T242</f>
        <v>93.36</v>
      </c>
      <c r="AE242" s="25">
        <f>AB242*T242</f>
        <v>87.48</v>
      </c>
      <c r="AF242" s="25">
        <f>AD242-AE242</f>
        <v>5.8799999999999955</v>
      </c>
      <c r="AG242" s="26">
        <f>AF242/AD242</f>
        <v>6.2982005141388131E-2</v>
      </c>
      <c r="AH242" s="27" t="str">
        <f>IF(AG242&lt;0,"Negative",IF(AG242=0,"Same",IF(AG242&gt;0.3,"30+%",IF(AG242&gt;0.2,"20-30%",IF(AG242&gt;0.1,"10-20%",IF(AG242&lt;=0.1,"0-10%"))))))</f>
        <v>0-10%</v>
      </c>
      <c r="AI242" s="32"/>
      <c r="AJ242" s="36" t="s">
        <v>3300</v>
      </c>
      <c r="AK242" s="32"/>
    </row>
    <row r="243" spans="1:37" s="1" customFormat="1" ht="19.7" customHeight="1" x14ac:dyDescent="0.25">
      <c r="A243" s="5" t="s">
        <v>22</v>
      </c>
      <c r="B243" s="5" t="s">
        <v>1435</v>
      </c>
      <c r="C243" s="6">
        <v>44397</v>
      </c>
      <c r="D243" s="5" t="s">
        <v>24</v>
      </c>
      <c r="E243" s="5" t="s">
        <v>25</v>
      </c>
      <c r="F243" s="5" t="s">
        <v>26</v>
      </c>
      <c r="G243" s="5" t="s">
        <v>27</v>
      </c>
      <c r="H243" s="5" t="s">
        <v>28</v>
      </c>
      <c r="I243" s="5" t="s">
        <v>29</v>
      </c>
      <c r="J243" s="5" t="s">
        <v>30</v>
      </c>
      <c r="K243" s="5" t="s">
        <v>31</v>
      </c>
      <c r="L243" s="5" t="s">
        <v>32</v>
      </c>
      <c r="M243" s="5" t="s">
        <v>874</v>
      </c>
      <c r="N243" s="5" t="s">
        <v>1437</v>
      </c>
      <c r="O243" s="5" t="s">
        <v>169</v>
      </c>
      <c r="P243" s="5" t="s">
        <v>875</v>
      </c>
      <c r="Q243" s="5">
        <v>100771020</v>
      </c>
      <c r="R243" s="5" t="s">
        <v>56</v>
      </c>
      <c r="S243" s="5" t="s">
        <v>39</v>
      </c>
      <c r="T243" s="7">
        <v>2</v>
      </c>
      <c r="U243" s="15" t="s">
        <v>169</v>
      </c>
      <c r="V243" s="16" t="s">
        <v>875</v>
      </c>
      <c r="W243" s="17">
        <v>100771020</v>
      </c>
      <c r="X243" s="16" t="s">
        <v>2610</v>
      </c>
      <c r="Y243" s="17" t="s">
        <v>2847</v>
      </c>
      <c r="Z243" s="17" t="s">
        <v>39</v>
      </c>
      <c r="AA243" s="17" t="s">
        <v>37</v>
      </c>
      <c r="AB243" s="43">
        <v>9.2899999999999991</v>
      </c>
      <c r="AC243" s="25">
        <v>9.69</v>
      </c>
      <c r="AD243" s="25">
        <f>AC243*T243</f>
        <v>19.38</v>
      </c>
      <c r="AE243" s="25">
        <f>AB243*T243</f>
        <v>18.579999999999998</v>
      </c>
      <c r="AF243" s="25">
        <f>AD243-AE243</f>
        <v>0.80000000000000071</v>
      </c>
      <c r="AG243" s="26">
        <f>AF243/AD243</f>
        <v>4.1279669762641941E-2</v>
      </c>
      <c r="AH243" s="27" t="str">
        <f>IF(AG243&lt;0,"Negative",IF(AG243=0,"Same",IF(AG243&gt;0.3,"30+%",IF(AG243&gt;0.2,"20-30%",IF(AG243&gt;0.1,"10-20%",IF(AG243&lt;=0.1,"0-10%"))))))</f>
        <v>0-10%</v>
      </c>
      <c r="AI243" s="32"/>
      <c r="AJ243" s="36" t="s">
        <v>3300</v>
      </c>
      <c r="AK243" s="32"/>
    </row>
    <row r="244" spans="1:37" s="1" customFormat="1" ht="19.7" customHeight="1" x14ac:dyDescent="0.25">
      <c r="A244" s="5" t="s">
        <v>22</v>
      </c>
      <c r="B244" s="5" t="s">
        <v>870</v>
      </c>
      <c r="C244" s="6">
        <v>44315</v>
      </c>
      <c r="D244" s="5" t="s">
        <v>24</v>
      </c>
      <c r="E244" s="5" t="s">
        <v>25</v>
      </c>
      <c r="F244" s="5" t="s">
        <v>26</v>
      </c>
      <c r="G244" s="5" t="s">
        <v>27</v>
      </c>
      <c r="H244" s="5" t="s">
        <v>28</v>
      </c>
      <c r="I244" s="5" t="s">
        <v>29</v>
      </c>
      <c r="J244" s="5" t="s">
        <v>30</v>
      </c>
      <c r="K244" s="5" t="s">
        <v>31</v>
      </c>
      <c r="L244" s="5" t="s">
        <v>32</v>
      </c>
      <c r="M244" s="5" t="s">
        <v>874</v>
      </c>
      <c r="N244" s="5" t="s">
        <v>872</v>
      </c>
      <c r="O244" s="5" t="s">
        <v>169</v>
      </c>
      <c r="P244" s="5" t="s">
        <v>875</v>
      </c>
      <c r="Q244" s="5">
        <v>100771020</v>
      </c>
      <c r="R244" s="5" t="s">
        <v>56</v>
      </c>
      <c r="S244" s="5" t="s">
        <v>39</v>
      </c>
      <c r="T244" s="7">
        <v>2</v>
      </c>
      <c r="U244" s="15" t="s">
        <v>169</v>
      </c>
      <c r="V244" s="16" t="s">
        <v>875</v>
      </c>
      <c r="W244" s="17">
        <v>100771020</v>
      </c>
      <c r="X244" s="16" t="s">
        <v>2610</v>
      </c>
      <c r="Y244" s="17" t="s">
        <v>2847</v>
      </c>
      <c r="Z244" s="17" t="s">
        <v>39</v>
      </c>
      <c r="AA244" s="17" t="s">
        <v>37</v>
      </c>
      <c r="AB244" s="43">
        <v>9.2899999999999991</v>
      </c>
      <c r="AC244" s="25">
        <v>9.69</v>
      </c>
      <c r="AD244" s="25">
        <f>AC244*T244</f>
        <v>19.38</v>
      </c>
      <c r="AE244" s="25">
        <f>AB244*T244</f>
        <v>18.579999999999998</v>
      </c>
      <c r="AF244" s="25">
        <f>AD244-AE244</f>
        <v>0.80000000000000071</v>
      </c>
      <c r="AG244" s="26">
        <f>AF244/AD244</f>
        <v>4.1279669762641941E-2</v>
      </c>
      <c r="AH244" s="27" t="str">
        <f>IF(AG244&lt;0,"Negative",IF(AG244=0,"Same",IF(AG244&gt;0.3,"30+%",IF(AG244&gt;0.2,"20-30%",IF(AG244&gt;0.1,"10-20%",IF(AG244&lt;=0.1,"0-10%"))))))</f>
        <v>0-10%</v>
      </c>
      <c r="AI244" s="32"/>
      <c r="AJ244" s="36" t="s">
        <v>3300</v>
      </c>
      <c r="AK244" s="32"/>
    </row>
    <row r="245" spans="1:37" s="1" customFormat="1" ht="19.7" customHeight="1" x14ac:dyDescent="0.25">
      <c r="A245" s="9" t="s">
        <v>22</v>
      </c>
      <c r="B245" s="9" t="s">
        <v>2417</v>
      </c>
      <c r="C245" s="10">
        <v>44582</v>
      </c>
      <c r="D245" s="9" t="s">
        <v>24</v>
      </c>
      <c r="E245" s="9" t="s">
        <v>25</v>
      </c>
      <c r="F245" s="9" t="s">
        <v>26</v>
      </c>
      <c r="G245" s="9" t="s">
        <v>27</v>
      </c>
      <c r="H245" s="9" t="s">
        <v>28</v>
      </c>
      <c r="I245" s="9" t="s">
        <v>29</v>
      </c>
      <c r="J245" s="9" t="s">
        <v>30</v>
      </c>
      <c r="K245" s="9" t="s">
        <v>31</v>
      </c>
      <c r="L245" s="9" t="s">
        <v>32</v>
      </c>
      <c r="M245" s="9" t="s">
        <v>2418</v>
      </c>
      <c r="N245" s="9" t="s">
        <v>2397</v>
      </c>
      <c r="O245" s="9" t="s">
        <v>1487</v>
      </c>
      <c r="P245" s="9" t="s">
        <v>2419</v>
      </c>
      <c r="Q245" s="9">
        <v>101819255</v>
      </c>
      <c r="R245" s="9" t="s">
        <v>56</v>
      </c>
      <c r="S245" s="9" t="s">
        <v>39</v>
      </c>
      <c r="T245" s="11">
        <v>2</v>
      </c>
      <c r="U245" s="15" t="s">
        <v>1487</v>
      </c>
      <c r="V245" s="16" t="s">
        <v>2419</v>
      </c>
      <c r="W245" s="17">
        <v>101819255</v>
      </c>
      <c r="X245" s="16" t="s">
        <v>2998</v>
      </c>
      <c r="Y245" s="17" t="s">
        <v>3270</v>
      </c>
      <c r="Z245" s="17" t="s">
        <v>39</v>
      </c>
      <c r="AA245" s="17" t="s">
        <v>37</v>
      </c>
      <c r="AB245" s="29">
        <v>74.099999999999994</v>
      </c>
      <c r="AC245" s="25">
        <v>72.09</v>
      </c>
      <c r="AD245" s="25">
        <f>AC245*T245</f>
        <v>144.18</v>
      </c>
      <c r="AE245" s="25">
        <f>AB245*T245</f>
        <v>148.19999999999999</v>
      </c>
      <c r="AF245" s="25">
        <f>AD245-AE245</f>
        <v>-4.0199999999999818</v>
      </c>
      <c r="AG245" s="26">
        <f>AF245/AD245</f>
        <v>-2.7881814398668204E-2</v>
      </c>
      <c r="AH245" s="27" t="str">
        <f>IF(AG245&lt;0,"Negative",IF(AG245=0,"Same",IF(AG245&gt;0.3,"30+%",IF(AG245&gt;0.2,"20-30%",IF(AG245&gt;0.1,"10-20%",IF(AG245&lt;=0.1,"0-10%"))))))</f>
        <v>Negative</v>
      </c>
      <c r="AI245" s="32"/>
      <c r="AJ245" s="36" t="s">
        <v>3300</v>
      </c>
      <c r="AK245" s="32"/>
    </row>
    <row r="246" spans="1:37" s="1" customFormat="1" ht="19.7" customHeight="1" x14ac:dyDescent="0.25">
      <c r="A246" s="9" t="s">
        <v>22</v>
      </c>
      <c r="B246" s="9" t="s">
        <v>2172</v>
      </c>
      <c r="C246" s="10">
        <v>44532</v>
      </c>
      <c r="D246" s="9" t="s">
        <v>24</v>
      </c>
      <c r="E246" s="9" t="s">
        <v>25</v>
      </c>
      <c r="F246" s="9" t="s">
        <v>26</v>
      </c>
      <c r="G246" s="9" t="s">
        <v>27</v>
      </c>
      <c r="H246" s="9" t="s">
        <v>28</v>
      </c>
      <c r="I246" s="9" t="s">
        <v>29</v>
      </c>
      <c r="J246" s="9" t="s">
        <v>30</v>
      </c>
      <c r="K246" s="9" t="s">
        <v>31</v>
      </c>
      <c r="L246" s="9" t="s">
        <v>32</v>
      </c>
      <c r="M246" s="9" t="s">
        <v>2176</v>
      </c>
      <c r="N246" s="9" t="s">
        <v>2171</v>
      </c>
      <c r="O246" s="9" t="s">
        <v>169</v>
      </c>
      <c r="P246" s="9" t="s">
        <v>2177</v>
      </c>
      <c r="Q246" s="9">
        <v>101935273</v>
      </c>
      <c r="R246" s="9" t="s">
        <v>56</v>
      </c>
      <c r="S246" s="9" t="s">
        <v>39</v>
      </c>
      <c r="T246" s="11">
        <v>1</v>
      </c>
      <c r="U246" s="15" t="s">
        <v>169</v>
      </c>
      <c r="V246" s="16" t="s">
        <v>2177</v>
      </c>
      <c r="W246" s="17">
        <v>101935273</v>
      </c>
      <c r="X246" s="16" t="s">
        <v>2845</v>
      </c>
      <c r="Y246" s="17" t="s">
        <v>3223</v>
      </c>
      <c r="Z246" s="17" t="s">
        <v>39</v>
      </c>
      <c r="AA246" s="17" t="s">
        <v>37</v>
      </c>
      <c r="AB246" s="43">
        <v>188.19</v>
      </c>
      <c r="AC246" s="25">
        <v>206.78</v>
      </c>
      <c r="AD246" s="25">
        <f>AC246*T246</f>
        <v>206.78</v>
      </c>
      <c r="AE246" s="25">
        <f>AB246*T246</f>
        <v>188.19</v>
      </c>
      <c r="AF246" s="25">
        <f>AD246-AE246</f>
        <v>18.590000000000003</v>
      </c>
      <c r="AG246" s="26">
        <f>AF246/AD246</f>
        <v>8.9902311635554719E-2</v>
      </c>
      <c r="AH246" s="27" t="str">
        <f>IF(AG246&lt;0,"Negative",IF(AG246=0,"Same",IF(AG246&gt;0.3,"30+%",IF(AG246&gt;0.2,"20-30%",IF(AG246&gt;0.1,"10-20%",IF(AG246&lt;=0.1,"0-10%"))))))</f>
        <v>0-10%</v>
      </c>
      <c r="AI246" s="32"/>
      <c r="AJ246" s="36" t="s">
        <v>3299</v>
      </c>
      <c r="AK246" s="32"/>
    </row>
    <row r="247" spans="1:37" s="1" customFormat="1" ht="19.7" customHeight="1" x14ac:dyDescent="0.25">
      <c r="A247" s="5" t="s">
        <v>22</v>
      </c>
      <c r="B247" s="5" t="s">
        <v>1664</v>
      </c>
      <c r="C247" s="6">
        <v>44433</v>
      </c>
      <c r="D247" s="5" t="s">
        <v>24</v>
      </c>
      <c r="E247" s="5" t="s">
        <v>25</v>
      </c>
      <c r="F247" s="5" t="s">
        <v>26</v>
      </c>
      <c r="G247" s="5" t="s">
        <v>27</v>
      </c>
      <c r="H247" s="5" t="s">
        <v>28</v>
      </c>
      <c r="I247" s="5" t="s">
        <v>29</v>
      </c>
      <c r="J247" s="5" t="s">
        <v>30</v>
      </c>
      <c r="K247" s="5" t="s">
        <v>31</v>
      </c>
      <c r="L247" s="5" t="s">
        <v>32</v>
      </c>
      <c r="M247" s="5" t="s">
        <v>1299</v>
      </c>
      <c r="N247" s="5" t="s">
        <v>1654</v>
      </c>
      <c r="O247" s="5" t="s">
        <v>89</v>
      </c>
      <c r="P247" s="5" t="s">
        <v>1300</v>
      </c>
      <c r="Q247" s="5">
        <v>100913571</v>
      </c>
      <c r="R247" s="5" t="s">
        <v>45</v>
      </c>
      <c r="S247" s="5" t="s">
        <v>39</v>
      </c>
      <c r="T247" s="7">
        <v>1</v>
      </c>
      <c r="U247" s="15" t="s">
        <v>89</v>
      </c>
      <c r="V247" s="16" t="s">
        <v>1300</v>
      </c>
      <c r="W247" s="17">
        <v>100913571</v>
      </c>
      <c r="X247" s="16" t="s">
        <v>2518</v>
      </c>
      <c r="Y247" s="17" t="s">
        <v>2991</v>
      </c>
      <c r="Z247" s="17" t="s">
        <v>39</v>
      </c>
      <c r="AA247" s="17" t="s">
        <v>37</v>
      </c>
      <c r="AB247" s="43">
        <v>2.4</v>
      </c>
      <c r="AC247" s="25">
        <v>2.81</v>
      </c>
      <c r="AD247" s="25">
        <f>AC247*T247</f>
        <v>2.81</v>
      </c>
      <c r="AE247" s="25">
        <f>AB247*T247</f>
        <v>2.4</v>
      </c>
      <c r="AF247" s="25">
        <f>AD247-AE247</f>
        <v>0.41000000000000014</v>
      </c>
      <c r="AG247" s="26">
        <f>AF247/AD247</f>
        <v>0.1459074733096086</v>
      </c>
      <c r="AH247" s="27" t="str">
        <f>IF(AG247&lt;0,"Negative",IF(AG247=0,"Same",IF(AG247&gt;0.3,"30+%",IF(AG247&gt;0.2,"20-30%",IF(AG247&gt;0.1,"10-20%",IF(AG247&lt;=0.1,"0-10%"))))))</f>
        <v>10-20%</v>
      </c>
      <c r="AI247" s="32"/>
      <c r="AJ247" s="36" t="s">
        <v>3300</v>
      </c>
      <c r="AK247" s="32"/>
    </row>
    <row r="248" spans="1:37" s="1" customFormat="1" ht="19.7" customHeight="1" x14ac:dyDescent="0.25">
      <c r="A248" s="5" t="s">
        <v>22</v>
      </c>
      <c r="B248" s="5" t="s">
        <v>1697</v>
      </c>
      <c r="C248" s="6">
        <v>44439</v>
      </c>
      <c r="D248" s="5" t="s">
        <v>24</v>
      </c>
      <c r="E248" s="5" t="s">
        <v>25</v>
      </c>
      <c r="F248" s="5" t="s">
        <v>26</v>
      </c>
      <c r="G248" s="5" t="s">
        <v>27</v>
      </c>
      <c r="H248" s="5" t="s">
        <v>28</v>
      </c>
      <c r="I248" s="5" t="s">
        <v>29</v>
      </c>
      <c r="J248" s="5" t="s">
        <v>30</v>
      </c>
      <c r="K248" s="5" t="s">
        <v>31</v>
      </c>
      <c r="L248" s="5" t="s">
        <v>32</v>
      </c>
      <c r="M248" s="5" t="s">
        <v>1299</v>
      </c>
      <c r="N248" s="5" t="s">
        <v>1699</v>
      </c>
      <c r="O248" s="5" t="s">
        <v>89</v>
      </c>
      <c r="P248" s="5" t="s">
        <v>1300</v>
      </c>
      <c r="Q248" s="5">
        <v>100913571</v>
      </c>
      <c r="R248" s="5" t="s">
        <v>45</v>
      </c>
      <c r="S248" s="5" t="s">
        <v>39</v>
      </c>
      <c r="T248" s="7">
        <v>1</v>
      </c>
      <c r="U248" s="15" t="s">
        <v>89</v>
      </c>
      <c r="V248" s="16" t="s">
        <v>1300</v>
      </c>
      <c r="W248" s="17">
        <v>100913571</v>
      </c>
      <c r="X248" s="16" t="s">
        <v>2518</v>
      </c>
      <c r="Y248" s="17" t="s">
        <v>2991</v>
      </c>
      <c r="Z248" s="17" t="s">
        <v>39</v>
      </c>
      <c r="AA248" s="17" t="s">
        <v>37</v>
      </c>
      <c r="AB248" s="43">
        <v>2.4</v>
      </c>
      <c r="AC248" s="25">
        <v>2.81</v>
      </c>
      <c r="AD248" s="25">
        <f>AC248*T248</f>
        <v>2.81</v>
      </c>
      <c r="AE248" s="25">
        <f>AB248*T248</f>
        <v>2.4</v>
      </c>
      <c r="AF248" s="25">
        <f>AD248-AE248</f>
        <v>0.41000000000000014</v>
      </c>
      <c r="AG248" s="26">
        <f>AF248/AD248</f>
        <v>0.1459074733096086</v>
      </c>
      <c r="AH248" s="27" t="str">
        <f>IF(AG248&lt;0,"Negative",IF(AG248=0,"Same",IF(AG248&gt;0.3,"30+%",IF(AG248&gt;0.2,"20-30%",IF(AG248&gt;0.1,"10-20%",IF(AG248&lt;=0.1,"0-10%"))))))</f>
        <v>10-20%</v>
      </c>
      <c r="AI248" s="32"/>
      <c r="AJ248" s="36" t="s">
        <v>3300</v>
      </c>
      <c r="AK248" s="32"/>
    </row>
    <row r="249" spans="1:37" s="1" customFormat="1" ht="19.7" customHeight="1" x14ac:dyDescent="0.25">
      <c r="A249" s="9" t="s">
        <v>22</v>
      </c>
      <c r="B249" s="9" t="s">
        <v>1297</v>
      </c>
      <c r="C249" s="10">
        <v>44371</v>
      </c>
      <c r="D249" s="9" t="s">
        <v>24</v>
      </c>
      <c r="E249" s="9" t="s">
        <v>25</v>
      </c>
      <c r="F249" s="9" t="s">
        <v>26</v>
      </c>
      <c r="G249" s="9" t="s">
        <v>27</v>
      </c>
      <c r="H249" s="9" t="s">
        <v>28</v>
      </c>
      <c r="I249" s="9" t="s">
        <v>29</v>
      </c>
      <c r="J249" s="9" t="s">
        <v>30</v>
      </c>
      <c r="K249" s="9" t="s">
        <v>31</v>
      </c>
      <c r="L249" s="9" t="s">
        <v>32</v>
      </c>
      <c r="M249" s="9" t="s">
        <v>1299</v>
      </c>
      <c r="N249" s="9" t="s">
        <v>1298</v>
      </c>
      <c r="O249" s="9" t="s">
        <v>89</v>
      </c>
      <c r="P249" s="9" t="s">
        <v>1300</v>
      </c>
      <c r="Q249" s="9">
        <v>100913571</v>
      </c>
      <c r="R249" s="9" t="s">
        <v>45</v>
      </c>
      <c r="S249" s="9" t="s">
        <v>39</v>
      </c>
      <c r="T249" s="11">
        <v>1</v>
      </c>
      <c r="U249" s="15" t="s">
        <v>89</v>
      </c>
      <c r="V249" s="16" t="s">
        <v>1300</v>
      </c>
      <c r="W249" s="17">
        <v>100913571</v>
      </c>
      <c r="X249" s="16" t="s">
        <v>2518</v>
      </c>
      <c r="Y249" s="17" t="s">
        <v>2991</v>
      </c>
      <c r="Z249" s="17" t="s">
        <v>39</v>
      </c>
      <c r="AA249" s="17" t="s">
        <v>37</v>
      </c>
      <c r="AB249" s="43">
        <v>2.4</v>
      </c>
      <c r="AC249" s="25">
        <v>2.81</v>
      </c>
      <c r="AD249" s="25">
        <f>AC249*T249</f>
        <v>2.81</v>
      </c>
      <c r="AE249" s="25">
        <f>AB249*T249</f>
        <v>2.4</v>
      </c>
      <c r="AF249" s="25">
        <f>AD249-AE249</f>
        <v>0.41000000000000014</v>
      </c>
      <c r="AG249" s="26">
        <f>AF249/AD249</f>
        <v>0.1459074733096086</v>
      </c>
      <c r="AH249" s="27" t="str">
        <f>IF(AG249&lt;0,"Negative",IF(AG249=0,"Same",IF(AG249&gt;0.3,"30+%",IF(AG249&gt;0.2,"20-30%",IF(AG249&gt;0.1,"10-20%",IF(AG249&lt;=0.1,"0-10%"))))))</f>
        <v>10-20%</v>
      </c>
      <c r="AI249" s="32"/>
      <c r="AJ249" s="36" t="s">
        <v>3300</v>
      </c>
      <c r="AK249" s="32"/>
    </row>
    <row r="250" spans="1:37" s="1" customFormat="1" ht="19.7" customHeight="1" x14ac:dyDescent="0.25">
      <c r="A250" s="9" t="s">
        <v>22</v>
      </c>
      <c r="B250" s="9" t="s">
        <v>1348</v>
      </c>
      <c r="C250" s="10">
        <v>44379</v>
      </c>
      <c r="D250" s="9" t="s">
        <v>24</v>
      </c>
      <c r="E250" s="9" t="s">
        <v>25</v>
      </c>
      <c r="F250" s="9" t="s">
        <v>26</v>
      </c>
      <c r="G250" s="9" t="s">
        <v>27</v>
      </c>
      <c r="H250" s="9" t="s">
        <v>28</v>
      </c>
      <c r="I250" s="9" t="s">
        <v>29</v>
      </c>
      <c r="J250" s="9" t="s">
        <v>30</v>
      </c>
      <c r="K250" s="9" t="s">
        <v>31</v>
      </c>
      <c r="L250" s="9" t="s">
        <v>32</v>
      </c>
      <c r="M250" s="9" t="s">
        <v>1357</v>
      </c>
      <c r="N250" s="9" t="s">
        <v>1350</v>
      </c>
      <c r="O250" s="9" t="s">
        <v>89</v>
      </c>
      <c r="P250" s="9" t="s">
        <v>1358</v>
      </c>
      <c r="Q250" s="9">
        <v>100000718</v>
      </c>
      <c r="R250" s="9" t="s">
        <v>45</v>
      </c>
      <c r="S250" s="9" t="s">
        <v>39</v>
      </c>
      <c r="T250" s="11">
        <v>2</v>
      </c>
      <c r="U250" s="15" t="s">
        <v>89</v>
      </c>
      <c r="V250" s="16" t="s">
        <v>1358</v>
      </c>
      <c r="W250" s="17">
        <v>100000718</v>
      </c>
      <c r="X250" s="16" t="s">
        <v>2520</v>
      </c>
      <c r="Y250" s="17" t="s">
        <v>3012</v>
      </c>
      <c r="Z250" s="17" t="s">
        <v>39</v>
      </c>
      <c r="AA250" s="17" t="s">
        <v>37</v>
      </c>
      <c r="AB250" s="43">
        <v>2.4</v>
      </c>
      <c r="AC250" s="25">
        <v>2.81</v>
      </c>
      <c r="AD250" s="25">
        <f>AC250*T250</f>
        <v>5.62</v>
      </c>
      <c r="AE250" s="25">
        <f>AB250*T250</f>
        <v>4.8</v>
      </c>
      <c r="AF250" s="25">
        <f>AD250-AE250</f>
        <v>0.82000000000000028</v>
      </c>
      <c r="AG250" s="26">
        <f>AF250/AD250</f>
        <v>0.1459074733096086</v>
      </c>
      <c r="AH250" s="27" t="str">
        <f>IF(AG250&lt;0,"Negative",IF(AG250=0,"Same",IF(AG250&gt;0.3,"30+%",IF(AG250&gt;0.2,"20-30%",IF(AG250&gt;0.1,"10-20%",IF(AG250&lt;=0.1,"0-10%"))))))</f>
        <v>10-20%</v>
      </c>
      <c r="AI250" s="32"/>
      <c r="AJ250" s="36" t="s">
        <v>3300</v>
      </c>
      <c r="AK250" s="32"/>
    </row>
    <row r="251" spans="1:37" s="1" customFormat="1" ht="19.7" customHeight="1" x14ac:dyDescent="0.25">
      <c r="A251" s="9" t="s">
        <v>22</v>
      </c>
      <c r="B251" s="9" t="s">
        <v>774</v>
      </c>
      <c r="C251" s="10">
        <v>44301</v>
      </c>
      <c r="D251" s="9" t="s">
        <v>24</v>
      </c>
      <c r="E251" s="9" t="s">
        <v>25</v>
      </c>
      <c r="F251" s="9" t="s">
        <v>26</v>
      </c>
      <c r="G251" s="9" t="s">
        <v>27</v>
      </c>
      <c r="H251" s="9" t="s">
        <v>28</v>
      </c>
      <c r="I251" s="9" t="s">
        <v>29</v>
      </c>
      <c r="J251" s="9" t="s">
        <v>30</v>
      </c>
      <c r="K251" s="9" t="s">
        <v>31</v>
      </c>
      <c r="L251" s="9" t="s">
        <v>32</v>
      </c>
      <c r="M251" s="9" t="s">
        <v>780</v>
      </c>
      <c r="N251" s="9" t="s">
        <v>776</v>
      </c>
      <c r="O251" s="9" t="s">
        <v>169</v>
      </c>
      <c r="P251" s="9" t="s">
        <v>781</v>
      </c>
      <c r="Q251" s="9">
        <v>100771041</v>
      </c>
      <c r="R251" s="9" t="s">
        <v>56</v>
      </c>
      <c r="S251" s="9" t="s">
        <v>39</v>
      </c>
      <c r="T251" s="11">
        <v>1</v>
      </c>
      <c r="U251" s="15" t="s">
        <v>169</v>
      </c>
      <c r="V251" s="16" t="s">
        <v>781</v>
      </c>
      <c r="W251" s="17">
        <v>100771041</v>
      </c>
      <c r="X251" s="16" t="s">
        <v>2610</v>
      </c>
      <c r="Y251" s="17" t="s">
        <v>2814</v>
      </c>
      <c r="Z251" s="17" t="s">
        <v>39</v>
      </c>
      <c r="AA251" s="17" t="s">
        <v>37</v>
      </c>
      <c r="AB251" s="43">
        <v>9.77</v>
      </c>
      <c r="AC251" s="25">
        <v>10.18</v>
      </c>
      <c r="AD251" s="25">
        <f>AC251*T251</f>
        <v>10.18</v>
      </c>
      <c r="AE251" s="25">
        <f>AB251*T251</f>
        <v>9.77</v>
      </c>
      <c r="AF251" s="25">
        <f>AD251-AE251</f>
        <v>0.41000000000000014</v>
      </c>
      <c r="AG251" s="26">
        <f>AF251/AD251</f>
        <v>4.0275049115913571E-2</v>
      </c>
      <c r="AH251" s="27" t="str">
        <f>IF(AG251&lt;0,"Negative",IF(AG251=0,"Same",IF(AG251&gt;0.3,"30+%",IF(AG251&gt;0.2,"20-30%",IF(AG251&gt;0.1,"10-20%",IF(AG251&lt;=0.1,"0-10%"))))))</f>
        <v>0-10%</v>
      </c>
      <c r="AI251" s="32"/>
      <c r="AJ251" s="36" t="s">
        <v>3300</v>
      </c>
      <c r="AK251" s="32"/>
    </row>
    <row r="252" spans="1:37" s="1" customFormat="1" ht="19.7" customHeight="1" x14ac:dyDescent="0.25">
      <c r="A252" s="9" t="s">
        <v>22</v>
      </c>
      <c r="B252" s="9" t="s">
        <v>2380</v>
      </c>
      <c r="C252" s="10">
        <v>44578</v>
      </c>
      <c r="D252" s="9" t="s">
        <v>24</v>
      </c>
      <c r="E252" s="9" t="s">
        <v>25</v>
      </c>
      <c r="F252" s="9" t="s">
        <v>26</v>
      </c>
      <c r="G252" s="9" t="s">
        <v>27</v>
      </c>
      <c r="H252" s="9" t="s">
        <v>28</v>
      </c>
      <c r="I252" s="9" t="s">
        <v>29</v>
      </c>
      <c r="J252" s="9" t="s">
        <v>30</v>
      </c>
      <c r="K252" s="9" t="s">
        <v>31</v>
      </c>
      <c r="L252" s="9" t="s">
        <v>32</v>
      </c>
      <c r="M252" s="9" t="s">
        <v>261</v>
      </c>
      <c r="N252" s="9" t="s">
        <v>2381</v>
      </c>
      <c r="O252" s="9" t="s">
        <v>172</v>
      </c>
      <c r="P252" s="9" t="s">
        <v>2382</v>
      </c>
      <c r="Q252" s="9">
        <v>116372096</v>
      </c>
      <c r="R252" s="9" t="s">
        <v>56</v>
      </c>
      <c r="S252" s="9" t="s">
        <v>39</v>
      </c>
      <c r="T252" s="11">
        <v>12</v>
      </c>
      <c r="U252" s="15" t="s">
        <v>172</v>
      </c>
      <c r="V252" s="16" t="s">
        <v>2382</v>
      </c>
      <c r="W252" s="17">
        <v>116372096</v>
      </c>
      <c r="X252" s="16" t="s">
        <v>3260</v>
      </c>
      <c r="Y252" s="17" t="s">
        <v>3261</v>
      </c>
      <c r="Z252" s="17" t="s">
        <v>39</v>
      </c>
      <c r="AA252" s="17" t="s">
        <v>2501</v>
      </c>
      <c r="AB252" s="29">
        <v>6.37</v>
      </c>
      <c r="AC252" s="25">
        <v>6.5</v>
      </c>
      <c r="AD252" s="25">
        <f>AC252*T252</f>
        <v>78</v>
      </c>
      <c r="AE252" s="25">
        <f>AB252*T252</f>
        <v>76.44</v>
      </c>
      <c r="AF252" s="25">
        <f>AD252-AE252</f>
        <v>1.5600000000000023</v>
      </c>
      <c r="AG252" s="26">
        <f>AF252/AD252</f>
        <v>2.0000000000000028E-2</v>
      </c>
      <c r="AH252" s="27" t="str">
        <f>IF(AG252&lt;0,"Negative",IF(AG252=0,"Same",IF(AG252&gt;0.3,"30+%",IF(AG252&gt;0.2,"20-30%",IF(AG252&gt;0.1,"10-20%",IF(AG252&lt;=0.1,"0-10%"))))))</f>
        <v>0-10%</v>
      </c>
      <c r="AI252" s="32"/>
      <c r="AJ252" s="36" t="s">
        <v>3300</v>
      </c>
      <c r="AK252" s="32"/>
    </row>
    <row r="253" spans="1:37" s="1" customFormat="1" ht="19.7" customHeight="1" x14ac:dyDescent="0.25">
      <c r="A253" s="5" t="s">
        <v>22</v>
      </c>
      <c r="B253" s="5" t="s">
        <v>1673</v>
      </c>
      <c r="C253" s="6">
        <v>44435</v>
      </c>
      <c r="D253" s="5" t="s">
        <v>24</v>
      </c>
      <c r="E253" s="5" t="s">
        <v>25</v>
      </c>
      <c r="F253" s="5" t="s">
        <v>26</v>
      </c>
      <c r="G253" s="5" t="s">
        <v>67</v>
      </c>
      <c r="H253" s="5" t="s">
        <v>68</v>
      </c>
      <c r="I253" s="5" t="s">
        <v>29</v>
      </c>
      <c r="J253" s="5" t="s">
        <v>30</v>
      </c>
      <c r="K253" s="5" t="s">
        <v>31</v>
      </c>
      <c r="L253" s="5" t="s">
        <v>32</v>
      </c>
      <c r="M253" s="5" t="s">
        <v>1387</v>
      </c>
      <c r="N253" s="5" t="s">
        <v>1674</v>
      </c>
      <c r="O253" s="5" t="s">
        <v>753</v>
      </c>
      <c r="P253" s="5" t="s">
        <v>1389</v>
      </c>
      <c r="Q253" s="5">
        <v>101738330</v>
      </c>
      <c r="R253" s="5" t="s">
        <v>61</v>
      </c>
      <c r="S253" s="5" t="s">
        <v>39</v>
      </c>
      <c r="T253" s="7">
        <v>2</v>
      </c>
      <c r="U253" s="15" t="s">
        <v>753</v>
      </c>
      <c r="V253" s="16" t="s">
        <v>1389</v>
      </c>
      <c r="W253" s="17">
        <v>101738330</v>
      </c>
      <c r="X253" s="16" t="s">
        <v>2803</v>
      </c>
      <c r="Y253" s="17" t="s">
        <v>3022</v>
      </c>
      <c r="Z253" s="17" t="s">
        <v>39</v>
      </c>
      <c r="AA253" s="17" t="s">
        <v>37</v>
      </c>
      <c r="AB253" s="29">
        <v>8.07</v>
      </c>
      <c r="AC253" s="25">
        <v>8.24</v>
      </c>
      <c r="AD253" s="25">
        <f>AC253*T253</f>
        <v>16.48</v>
      </c>
      <c r="AE253" s="25">
        <f>AB253*T253</f>
        <v>16.14</v>
      </c>
      <c r="AF253" s="25">
        <f>AD253-AE253</f>
        <v>0.33999999999999986</v>
      </c>
      <c r="AG253" s="26">
        <f>AF253/AD253</f>
        <v>2.0631067961165039E-2</v>
      </c>
      <c r="AH253" s="27" t="str">
        <f>IF(AG253&lt;0,"Negative",IF(AG253=0,"Same",IF(AG253&gt;0.3,"30+%",IF(AG253&gt;0.2,"20-30%",IF(AG253&gt;0.1,"10-20%",IF(AG253&lt;=0.1,"0-10%"))))))</f>
        <v>0-10%</v>
      </c>
      <c r="AI253" s="32"/>
      <c r="AJ253" s="36" t="s">
        <v>3300</v>
      </c>
      <c r="AK253" s="32"/>
    </row>
    <row r="254" spans="1:37" s="1" customFormat="1" ht="19.7" customHeight="1" x14ac:dyDescent="0.25">
      <c r="A254" s="9" t="s">
        <v>22</v>
      </c>
      <c r="B254" s="9" t="s">
        <v>1386</v>
      </c>
      <c r="C254" s="10">
        <v>44389</v>
      </c>
      <c r="D254" s="9" t="s">
        <v>24</v>
      </c>
      <c r="E254" s="9" t="s">
        <v>25</v>
      </c>
      <c r="F254" s="9" t="s">
        <v>26</v>
      </c>
      <c r="G254" s="9" t="s">
        <v>67</v>
      </c>
      <c r="H254" s="9" t="s">
        <v>68</v>
      </c>
      <c r="I254" s="9" t="s">
        <v>29</v>
      </c>
      <c r="J254" s="9" t="s">
        <v>30</v>
      </c>
      <c r="K254" s="9" t="s">
        <v>31</v>
      </c>
      <c r="L254" s="9" t="s">
        <v>32</v>
      </c>
      <c r="M254" s="9" t="s">
        <v>1387</v>
      </c>
      <c r="N254" s="9" t="s">
        <v>1388</v>
      </c>
      <c r="O254" s="9" t="s">
        <v>753</v>
      </c>
      <c r="P254" s="9" t="s">
        <v>1389</v>
      </c>
      <c r="Q254" s="9">
        <v>101738330</v>
      </c>
      <c r="R254" s="9" t="s">
        <v>61</v>
      </c>
      <c r="S254" s="9" t="s">
        <v>39</v>
      </c>
      <c r="T254" s="11">
        <v>2</v>
      </c>
      <c r="U254" s="15" t="s">
        <v>753</v>
      </c>
      <c r="V254" s="16" t="s">
        <v>1389</v>
      </c>
      <c r="W254" s="17">
        <v>101738330</v>
      </c>
      <c r="X254" s="16" t="s">
        <v>2803</v>
      </c>
      <c r="Y254" s="17" t="s">
        <v>3022</v>
      </c>
      <c r="Z254" s="17" t="s">
        <v>39</v>
      </c>
      <c r="AA254" s="17" t="s">
        <v>37</v>
      </c>
      <c r="AB254" s="29">
        <v>8.07</v>
      </c>
      <c r="AC254" s="25">
        <v>8.24</v>
      </c>
      <c r="AD254" s="25">
        <f>AC254*T254</f>
        <v>16.48</v>
      </c>
      <c r="AE254" s="25">
        <f>AB254*T254</f>
        <v>16.14</v>
      </c>
      <c r="AF254" s="25">
        <f>AD254-AE254</f>
        <v>0.33999999999999986</v>
      </c>
      <c r="AG254" s="26">
        <f>AF254/AD254</f>
        <v>2.0631067961165039E-2</v>
      </c>
      <c r="AH254" s="27" t="str">
        <f>IF(AG254&lt;0,"Negative",IF(AG254=0,"Same",IF(AG254&gt;0.3,"30+%",IF(AG254&gt;0.2,"20-30%",IF(AG254&gt;0.1,"10-20%",IF(AG254&lt;=0.1,"0-10%"))))))</f>
        <v>0-10%</v>
      </c>
      <c r="AI254" s="32"/>
      <c r="AJ254" s="36" t="s">
        <v>3300</v>
      </c>
      <c r="AK254" s="32"/>
    </row>
    <row r="255" spans="1:37" s="1" customFormat="1" ht="19.7" customHeight="1" x14ac:dyDescent="0.25">
      <c r="A255" s="5" t="s">
        <v>22</v>
      </c>
      <c r="B255" s="5" t="s">
        <v>2172</v>
      </c>
      <c r="C255" s="6">
        <v>44532</v>
      </c>
      <c r="D255" s="5" t="s">
        <v>24</v>
      </c>
      <c r="E255" s="5" t="s">
        <v>25</v>
      </c>
      <c r="F255" s="5" t="s">
        <v>26</v>
      </c>
      <c r="G255" s="5" t="s">
        <v>27</v>
      </c>
      <c r="H255" s="5" t="s">
        <v>28</v>
      </c>
      <c r="I255" s="5" t="s">
        <v>29</v>
      </c>
      <c r="J255" s="5" t="s">
        <v>30</v>
      </c>
      <c r="K255" s="5" t="s">
        <v>31</v>
      </c>
      <c r="L255" s="5" t="s">
        <v>32</v>
      </c>
      <c r="M255" s="5" t="s">
        <v>1574</v>
      </c>
      <c r="N255" s="5" t="s">
        <v>2171</v>
      </c>
      <c r="O255" s="5" t="s">
        <v>169</v>
      </c>
      <c r="P255" s="5" t="s">
        <v>1575</v>
      </c>
      <c r="Q255" s="5">
        <v>101936808</v>
      </c>
      <c r="R255" s="5" t="s">
        <v>56</v>
      </c>
      <c r="S255" s="5" t="s">
        <v>39</v>
      </c>
      <c r="T255" s="7">
        <v>1</v>
      </c>
      <c r="U255" s="15" t="s">
        <v>169</v>
      </c>
      <c r="V255" s="16" t="s">
        <v>1575</v>
      </c>
      <c r="W255" s="17">
        <v>101936808</v>
      </c>
      <c r="X255" s="16" t="s">
        <v>2845</v>
      </c>
      <c r="Y255" s="17" t="s">
        <v>3080</v>
      </c>
      <c r="Z255" s="17" t="s">
        <v>39</v>
      </c>
      <c r="AA255" s="17" t="s">
        <v>37</v>
      </c>
      <c r="AB255" s="43">
        <v>201.73</v>
      </c>
      <c r="AC255" s="25">
        <v>221.66</v>
      </c>
      <c r="AD255" s="25">
        <f>AC255*T255</f>
        <v>221.66</v>
      </c>
      <c r="AE255" s="25">
        <f>AB255*T255</f>
        <v>201.73</v>
      </c>
      <c r="AF255" s="25">
        <f>AD255-AE255</f>
        <v>19.930000000000007</v>
      </c>
      <c r="AG255" s="26">
        <f>AF255/AD255</f>
        <v>8.9912478570784118E-2</v>
      </c>
      <c r="AH255" s="27" t="str">
        <f>IF(AG255&lt;0,"Negative",IF(AG255=0,"Same",IF(AG255&gt;0.3,"30+%",IF(AG255&gt;0.2,"20-30%",IF(AG255&gt;0.1,"10-20%",IF(AG255&lt;=0.1,"0-10%"))))))</f>
        <v>0-10%</v>
      </c>
      <c r="AI255" s="32"/>
      <c r="AJ255" s="36" t="s">
        <v>3299</v>
      </c>
      <c r="AK255" s="32"/>
    </row>
    <row r="256" spans="1:37" s="1" customFormat="1" ht="19.7" customHeight="1" x14ac:dyDescent="0.25">
      <c r="A256" s="9" t="s">
        <v>22</v>
      </c>
      <c r="B256" s="9" t="s">
        <v>413</v>
      </c>
      <c r="C256" s="10">
        <v>44260</v>
      </c>
      <c r="D256" s="9" t="s">
        <v>24</v>
      </c>
      <c r="E256" s="9" t="s">
        <v>25</v>
      </c>
      <c r="F256" s="9" t="s">
        <v>26</v>
      </c>
      <c r="G256" s="9" t="s">
        <v>27</v>
      </c>
      <c r="H256" s="9" t="s">
        <v>28</v>
      </c>
      <c r="I256" s="9" t="s">
        <v>29</v>
      </c>
      <c r="J256" s="9" t="s">
        <v>30</v>
      </c>
      <c r="K256" s="9" t="s">
        <v>31</v>
      </c>
      <c r="L256" s="9" t="s">
        <v>32</v>
      </c>
      <c r="M256" s="9" t="s">
        <v>417</v>
      </c>
      <c r="N256" s="9" t="s">
        <v>415</v>
      </c>
      <c r="O256" s="9" t="s">
        <v>172</v>
      </c>
      <c r="P256" s="9" t="s">
        <v>418</v>
      </c>
      <c r="Q256" s="9">
        <v>100800860</v>
      </c>
      <c r="R256" s="9" t="s">
        <v>56</v>
      </c>
      <c r="S256" s="9" t="s">
        <v>39</v>
      </c>
      <c r="T256" s="11">
        <v>1</v>
      </c>
      <c r="U256" s="15" t="s">
        <v>172</v>
      </c>
      <c r="V256" s="16" t="s">
        <v>418</v>
      </c>
      <c r="W256" s="17">
        <v>100800860</v>
      </c>
      <c r="X256" s="16" t="s">
        <v>2557</v>
      </c>
      <c r="Y256" s="17" t="s">
        <v>2665</v>
      </c>
      <c r="Z256" s="17" t="s">
        <v>39</v>
      </c>
      <c r="AA256" s="17" t="s">
        <v>37</v>
      </c>
      <c r="AB256" s="43">
        <v>3.19</v>
      </c>
      <c r="AC256" s="25">
        <v>3.26</v>
      </c>
      <c r="AD256" s="25">
        <f>AC256*T256</f>
        <v>3.26</v>
      </c>
      <c r="AE256" s="25">
        <f>AB256*T256</f>
        <v>3.19</v>
      </c>
      <c r="AF256" s="25">
        <f>AD256-AE256</f>
        <v>6.999999999999984E-2</v>
      </c>
      <c r="AG256" s="26">
        <f>AF256/AD256</f>
        <v>2.1472392638036762E-2</v>
      </c>
      <c r="AH256" s="27" t="str">
        <f>IF(AG256&lt;0,"Negative",IF(AG256=0,"Same",IF(AG256&gt;0.3,"30+%",IF(AG256&gt;0.2,"20-30%",IF(AG256&gt;0.1,"10-20%",IF(AG256&lt;=0.1,"0-10%"))))))</f>
        <v>0-10%</v>
      </c>
      <c r="AI256" s="32"/>
      <c r="AJ256" s="36" t="s">
        <v>3300</v>
      </c>
      <c r="AK256" s="32"/>
    </row>
    <row r="257" spans="1:37" s="1" customFormat="1" ht="19.7" customHeight="1" x14ac:dyDescent="0.25">
      <c r="A257" s="9" t="s">
        <v>22</v>
      </c>
      <c r="B257" s="9" t="s">
        <v>774</v>
      </c>
      <c r="C257" s="10">
        <v>44301</v>
      </c>
      <c r="D257" s="9" t="s">
        <v>24</v>
      </c>
      <c r="E257" s="9" t="s">
        <v>25</v>
      </c>
      <c r="F257" s="9" t="s">
        <v>26</v>
      </c>
      <c r="G257" s="9" t="s">
        <v>27</v>
      </c>
      <c r="H257" s="9" t="s">
        <v>28</v>
      </c>
      <c r="I257" s="9" t="s">
        <v>29</v>
      </c>
      <c r="J257" s="9" t="s">
        <v>30</v>
      </c>
      <c r="K257" s="9" t="s">
        <v>31</v>
      </c>
      <c r="L257" s="9" t="s">
        <v>32</v>
      </c>
      <c r="M257" s="9" t="s">
        <v>778</v>
      </c>
      <c r="N257" s="9" t="s">
        <v>776</v>
      </c>
      <c r="O257" s="9" t="s">
        <v>169</v>
      </c>
      <c r="P257" s="9" t="s">
        <v>779</v>
      </c>
      <c r="Q257" s="9">
        <v>100772573</v>
      </c>
      <c r="R257" s="9" t="s">
        <v>56</v>
      </c>
      <c r="S257" s="9" t="s">
        <v>39</v>
      </c>
      <c r="T257" s="11">
        <v>2</v>
      </c>
      <c r="U257" s="15" t="s">
        <v>169</v>
      </c>
      <c r="V257" s="16" t="s">
        <v>779</v>
      </c>
      <c r="W257" s="17">
        <v>100772573</v>
      </c>
      <c r="X257" s="16" t="s">
        <v>2812</v>
      </c>
      <c r="Y257" s="17" t="s">
        <v>2813</v>
      </c>
      <c r="Z257" s="17" t="s">
        <v>39</v>
      </c>
      <c r="AA257" s="17" t="s">
        <v>37</v>
      </c>
      <c r="AB257" s="43">
        <v>10.07</v>
      </c>
      <c r="AC257" s="25">
        <v>10.5</v>
      </c>
      <c r="AD257" s="25">
        <f>AC257*T257</f>
        <v>21</v>
      </c>
      <c r="AE257" s="25">
        <f>AB257*T257</f>
        <v>20.14</v>
      </c>
      <c r="AF257" s="25">
        <f>AD257-AE257</f>
        <v>0.85999999999999943</v>
      </c>
      <c r="AG257" s="26">
        <f>AF257/AD257</f>
        <v>4.0952380952380928E-2</v>
      </c>
      <c r="AH257" s="27" t="str">
        <f>IF(AG257&lt;0,"Negative",IF(AG257=0,"Same",IF(AG257&gt;0.3,"30+%",IF(AG257&gt;0.2,"20-30%",IF(AG257&gt;0.1,"10-20%",IF(AG257&lt;=0.1,"0-10%"))))))</f>
        <v>0-10%</v>
      </c>
      <c r="AI257" s="32"/>
      <c r="AJ257" s="36" t="s">
        <v>3300</v>
      </c>
      <c r="AK257" s="32"/>
    </row>
    <row r="258" spans="1:37" s="1" customFormat="1" ht="19.7" customHeight="1" x14ac:dyDescent="0.25">
      <c r="A258" s="5" t="s">
        <v>22</v>
      </c>
      <c r="B258" s="5" t="s">
        <v>1593</v>
      </c>
      <c r="C258" s="6">
        <v>44421</v>
      </c>
      <c r="D258" s="5" t="s">
        <v>24</v>
      </c>
      <c r="E258" s="5" t="s">
        <v>25</v>
      </c>
      <c r="F258" s="5" t="s">
        <v>26</v>
      </c>
      <c r="G258" s="5" t="s">
        <v>67</v>
      </c>
      <c r="H258" s="5" t="s">
        <v>68</v>
      </c>
      <c r="I258" s="5" t="s">
        <v>29</v>
      </c>
      <c r="J258" s="5" t="s">
        <v>30</v>
      </c>
      <c r="K258" s="5" t="s">
        <v>31</v>
      </c>
      <c r="L258" s="5" t="s">
        <v>32</v>
      </c>
      <c r="M258" s="5" t="s">
        <v>270</v>
      </c>
      <c r="N258" s="5" t="s">
        <v>1594</v>
      </c>
      <c r="O258" s="5" t="s">
        <v>271</v>
      </c>
      <c r="P258" s="5" t="s">
        <v>272</v>
      </c>
      <c r="Q258" s="5">
        <v>101653991</v>
      </c>
      <c r="R258" s="5" t="s">
        <v>73</v>
      </c>
      <c r="S258" s="5" t="s">
        <v>39</v>
      </c>
      <c r="T258" s="7">
        <v>24</v>
      </c>
      <c r="U258" s="15" t="s">
        <v>271</v>
      </c>
      <c r="V258" s="16" t="s">
        <v>272</v>
      </c>
      <c r="W258" s="17">
        <v>101653991</v>
      </c>
      <c r="X258" s="16" t="s">
        <v>2510</v>
      </c>
      <c r="Y258" s="17" t="s">
        <v>2601</v>
      </c>
      <c r="Z258" s="17" t="s">
        <v>39</v>
      </c>
      <c r="AA258" s="17" t="s">
        <v>37</v>
      </c>
      <c r="AB258" s="29">
        <v>6.95</v>
      </c>
      <c r="AC258" s="25">
        <v>6.04</v>
      </c>
      <c r="AD258" s="25">
        <f>AC258*T258</f>
        <v>144.96</v>
      </c>
      <c r="AE258" s="25">
        <f>AB258*T258</f>
        <v>166.8</v>
      </c>
      <c r="AF258" s="25">
        <f>AD258-AE258</f>
        <v>-21.840000000000003</v>
      </c>
      <c r="AG258" s="26">
        <f>AF258/AD258</f>
        <v>-0.15066225165562916</v>
      </c>
      <c r="AH258" s="27" t="str">
        <f>IF(AG258&lt;0,"Negative",IF(AG258=0,"Same",IF(AG258&gt;0.3,"30+%",IF(AG258&gt;0.2,"20-30%",IF(AG258&gt;0.1,"10-20%",IF(AG258&lt;=0.1,"0-10%"))))))</f>
        <v>Negative</v>
      </c>
      <c r="AI258" s="32"/>
      <c r="AJ258" s="36" t="s">
        <v>3300</v>
      </c>
      <c r="AK258" s="32"/>
    </row>
    <row r="259" spans="1:37" s="1" customFormat="1" ht="19.7" customHeight="1" x14ac:dyDescent="0.25">
      <c r="A259" s="9" t="s">
        <v>22</v>
      </c>
      <c r="B259" s="9" t="s">
        <v>268</v>
      </c>
      <c r="C259" s="10">
        <v>44246</v>
      </c>
      <c r="D259" s="9" t="s">
        <v>24</v>
      </c>
      <c r="E259" s="9" t="s">
        <v>25</v>
      </c>
      <c r="F259" s="9" t="s">
        <v>26</v>
      </c>
      <c r="G259" s="9" t="s">
        <v>67</v>
      </c>
      <c r="H259" s="9" t="s">
        <v>68</v>
      </c>
      <c r="I259" s="9" t="s">
        <v>29</v>
      </c>
      <c r="J259" s="9" t="s">
        <v>30</v>
      </c>
      <c r="K259" s="9" t="s">
        <v>31</v>
      </c>
      <c r="L259" s="9" t="s">
        <v>32</v>
      </c>
      <c r="M259" s="9" t="s">
        <v>270</v>
      </c>
      <c r="N259" s="9" t="s">
        <v>269</v>
      </c>
      <c r="O259" s="9" t="s">
        <v>271</v>
      </c>
      <c r="P259" s="9" t="s">
        <v>272</v>
      </c>
      <c r="Q259" s="9">
        <v>101653991</v>
      </c>
      <c r="R259" s="9" t="s">
        <v>73</v>
      </c>
      <c r="S259" s="9" t="s">
        <v>39</v>
      </c>
      <c r="T259" s="11">
        <v>24</v>
      </c>
      <c r="U259" s="15" t="s">
        <v>271</v>
      </c>
      <c r="V259" s="16" t="s">
        <v>272</v>
      </c>
      <c r="W259" s="17">
        <v>101653991</v>
      </c>
      <c r="X259" s="16" t="s">
        <v>2510</v>
      </c>
      <c r="Y259" s="17" t="s">
        <v>2601</v>
      </c>
      <c r="Z259" s="17" t="s">
        <v>39</v>
      </c>
      <c r="AA259" s="17" t="s">
        <v>37</v>
      </c>
      <c r="AB259" s="29">
        <v>6.95</v>
      </c>
      <c r="AC259" s="25">
        <v>6.04</v>
      </c>
      <c r="AD259" s="25">
        <f>AC259*T259</f>
        <v>144.96</v>
      </c>
      <c r="AE259" s="25">
        <f>AB259*T259</f>
        <v>166.8</v>
      </c>
      <c r="AF259" s="25">
        <f>AD259-AE259</f>
        <v>-21.840000000000003</v>
      </c>
      <c r="AG259" s="26">
        <f>AF259/AD259</f>
        <v>-0.15066225165562916</v>
      </c>
      <c r="AH259" s="27" t="str">
        <f>IF(AG259&lt;0,"Negative",IF(AG259=0,"Same",IF(AG259&gt;0.3,"30+%",IF(AG259&gt;0.2,"20-30%",IF(AG259&gt;0.1,"10-20%",IF(AG259&lt;=0.1,"0-10%"))))))</f>
        <v>Negative</v>
      </c>
      <c r="AI259" s="32"/>
      <c r="AJ259" s="36" t="s">
        <v>3300</v>
      </c>
      <c r="AK259" s="32"/>
    </row>
    <row r="260" spans="1:37" s="1" customFormat="1" ht="19.7" customHeight="1" x14ac:dyDescent="0.25">
      <c r="A260" s="9" t="s">
        <v>22</v>
      </c>
      <c r="B260" s="9" t="s">
        <v>956</v>
      </c>
      <c r="C260" s="10">
        <v>44322</v>
      </c>
      <c r="D260" s="9" t="s">
        <v>24</v>
      </c>
      <c r="E260" s="9" t="s">
        <v>25</v>
      </c>
      <c r="F260" s="9" t="s">
        <v>26</v>
      </c>
      <c r="G260" s="9" t="s">
        <v>27</v>
      </c>
      <c r="H260" s="9" t="s">
        <v>28</v>
      </c>
      <c r="I260" s="9" t="s">
        <v>29</v>
      </c>
      <c r="J260" s="9" t="s">
        <v>30</v>
      </c>
      <c r="K260" s="9" t="s">
        <v>31</v>
      </c>
      <c r="L260" s="9" t="s">
        <v>32</v>
      </c>
      <c r="M260" s="9" t="s">
        <v>962</v>
      </c>
      <c r="N260" s="9" t="s">
        <v>958</v>
      </c>
      <c r="O260" s="9" t="s">
        <v>169</v>
      </c>
      <c r="P260" s="9" t="s">
        <v>963</v>
      </c>
      <c r="Q260" s="9">
        <v>100771052</v>
      </c>
      <c r="R260" s="9" t="s">
        <v>56</v>
      </c>
      <c r="S260" s="9" t="s">
        <v>39</v>
      </c>
      <c r="T260" s="11">
        <v>1</v>
      </c>
      <c r="U260" s="15" t="s">
        <v>169</v>
      </c>
      <c r="V260" s="16" t="s">
        <v>963</v>
      </c>
      <c r="W260" s="17">
        <v>100771052</v>
      </c>
      <c r="X260" s="16" t="s">
        <v>2610</v>
      </c>
      <c r="Y260" s="17" t="s">
        <v>2877</v>
      </c>
      <c r="Z260" s="17" t="s">
        <v>39</v>
      </c>
      <c r="AA260" s="17" t="s">
        <v>37</v>
      </c>
      <c r="AB260" s="43">
        <v>10.28</v>
      </c>
      <c r="AC260" s="25">
        <v>10.72</v>
      </c>
      <c r="AD260" s="25">
        <f>AC260*T260</f>
        <v>10.72</v>
      </c>
      <c r="AE260" s="25">
        <f>AB260*T260</f>
        <v>10.28</v>
      </c>
      <c r="AF260" s="25">
        <f>AD260-AE260</f>
        <v>0.44000000000000128</v>
      </c>
      <c r="AG260" s="26">
        <f>AF260/AD260</f>
        <v>4.1044776119403104E-2</v>
      </c>
      <c r="AH260" s="27" t="str">
        <f>IF(AG260&lt;0,"Negative",IF(AG260=0,"Same",IF(AG260&gt;0.3,"30+%",IF(AG260&gt;0.2,"20-30%",IF(AG260&gt;0.1,"10-20%",IF(AG260&lt;=0.1,"0-10%"))))))</f>
        <v>0-10%</v>
      </c>
      <c r="AI260" s="32"/>
      <c r="AJ260" s="36" t="s">
        <v>3300</v>
      </c>
      <c r="AK260" s="32"/>
    </row>
    <row r="261" spans="1:37" s="1" customFormat="1" ht="19.7" customHeight="1" x14ac:dyDescent="0.25">
      <c r="A261" s="5" t="s">
        <v>22</v>
      </c>
      <c r="B261" s="5" t="s">
        <v>2104</v>
      </c>
      <c r="C261" s="6">
        <v>44519</v>
      </c>
      <c r="D261" s="5" t="s">
        <v>24</v>
      </c>
      <c r="E261" s="5" t="s">
        <v>25</v>
      </c>
      <c r="F261" s="5" t="s">
        <v>26</v>
      </c>
      <c r="G261" s="5" t="s">
        <v>27</v>
      </c>
      <c r="H261" s="5" t="s">
        <v>28</v>
      </c>
      <c r="I261" s="5" t="s">
        <v>29</v>
      </c>
      <c r="J261" s="5" t="s">
        <v>30</v>
      </c>
      <c r="K261" s="5" t="s">
        <v>31</v>
      </c>
      <c r="L261" s="5" t="s">
        <v>32</v>
      </c>
      <c r="M261" s="5" t="s">
        <v>2105</v>
      </c>
      <c r="N261" s="5" t="s">
        <v>2044</v>
      </c>
      <c r="O261" s="5" t="s">
        <v>480</v>
      </c>
      <c r="P261" s="5" t="s">
        <v>2106</v>
      </c>
      <c r="Q261" s="5">
        <v>110968215</v>
      </c>
      <c r="R261" s="5" t="s">
        <v>116</v>
      </c>
      <c r="S261" s="5" t="s">
        <v>39</v>
      </c>
      <c r="T261" s="7">
        <v>1</v>
      </c>
      <c r="U261" s="15" t="s">
        <v>480</v>
      </c>
      <c r="V261" s="16" t="s">
        <v>2106</v>
      </c>
      <c r="W261" s="17">
        <v>110968215</v>
      </c>
      <c r="X261" s="16" t="s">
        <v>2692</v>
      </c>
      <c r="Y261" s="17" t="s">
        <v>3208</v>
      </c>
      <c r="Z261" s="17" t="s">
        <v>39</v>
      </c>
      <c r="AA261" s="17" t="s">
        <v>2501</v>
      </c>
      <c r="AB261" s="29">
        <v>26.79</v>
      </c>
      <c r="AC261" s="25">
        <v>28.06</v>
      </c>
      <c r="AD261" s="25">
        <f>AC261*T261</f>
        <v>28.06</v>
      </c>
      <c r="AE261" s="25">
        <f>AB261*T261</f>
        <v>26.79</v>
      </c>
      <c r="AF261" s="25">
        <f>AD261-AE261</f>
        <v>1.2699999999999996</v>
      </c>
      <c r="AG261" s="26">
        <f>AF261/AD261</f>
        <v>4.5260156806842471E-2</v>
      </c>
      <c r="AH261" s="27" t="str">
        <f>IF(AG261&lt;0,"Negative",IF(AG261=0,"Same",IF(AG261&gt;0.3,"30+%",IF(AG261&gt;0.2,"20-30%",IF(AG261&gt;0.1,"10-20%",IF(AG261&lt;=0.1,"0-10%"))))))</f>
        <v>0-10%</v>
      </c>
      <c r="AI261" s="32"/>
      <c r="AJ261" s="36" t="s">
        <v>3300</v>
      </c>
      <c r="AK261" s="32"/>
    </row>
    <row r="262" spans="1:37" s="1" customFormat="1" ht="19.7" customHeight="1" x14ac:dyDescent="0.25">
      <c r="A262" s="5" t="s">
        <v>22</v>
      </c>
      <c r="B262" s="5" t="s">
        <v>1652</v>
      </c>
      <c r="C262" s="6">
        <v>44431</v>
      </c>
      <c r="D262" s="5" t="s">
        <v>24</v>
      </c>
      <c r="E262" s="5" t="s">
        <v>25</v>
      </c>
      <c r="F262" s="5" t="s">
        <v>26</v>
      </c>
      <c r="G262" s="5" t="s">
        <v>27</v>
      </c>
      <c r="H262" s="5" t="s">
        <v>28</v>
      </c>
      <c r="I262" s="5" t="s">
        <v>29</v>
      </c>
      <c r="J262" s="5" t="s">
        <v>30</v>
      </c>
      <c r="K262" s="5" t="s">
        <v>31</v>
      </c>
      <c r="L262" s="5" t="s">
        <v>32</v>
      </c>
      <c r="M262" s="5" t="s">
        <v>1656</v>
      </c>
      <c r="N262" s="5" t="s">
        <v>1654</v>
      </c>
      <c r="O262" s="5" t="s">
        <v>169</v>
      </c>
      <c r="P262" s="5" t="s">
        <v>1657</v>
      </c>
      <c r="Q262" s="5">
        <v>100771120</v>
      </c>
      <c r="R262" s="5" t="s">
        <v>56</v>
      </c>
      <c r="S262" s="5" t="s">
        <v>39</v>
      </c>
      <c r="T262" s="7">
        <v>6</v>
      </c>
      <c r="U262" s="15" t="s">
        <v>169</v>
      </c>
      <c r="V262" s="16" t="s">
        <v>1657</v>
      </c>
      <c r="W262" s="17">
        <v>100771120</v>
      </c>
      <c r="X262" s="16" t="s">
        <v>2749</v>
      </c>
      <c r="Y262" s="17" t="s">
        <v>3102</v>
      </c>
      <c r="Z262" s="17" t="s">
        <v>39</v>
      </c>
      <c r="AA262" s="17" t="s">
        <v>37</v>
      </c>
      <c r="AB262" s="43">
        <v>10.050000000000001</v>
      </c>
      <c r="AC262" s="25">
        <v>10.8</v>
      </c>
      <c r="AD262" s="25">
        <f>AC262*T262</f>
        <v>64.800000000000011</v>
      </c>
      <c r="AE262" s="25">
        <f>AB262*T262</f>
        <v>60.300000000000004</v>
      </c>
      <c r="AF262" s="25">
        <f>AD262-AE262</f>
        <v>4.5000000000000071</v>
      </c>
      <c r="AG262" s="26">
        <f>AF262/AD262</f>
        <v>6.9444444444444545E-2</v>
      </c>
      <c r="AH262" s="27" t="str">
        <f>IF(AG262&lt;0,"Negative",IF(AG262=0,"Same",IF(AG262&gt;0.3,"30+%",IF(AG262&gt;0.2,"20-30%",IF(AG262&gt;0.1,"10-20%",IF(AG262&lt;=0.1,"0-10%"))))))</f>
        <v>0-10%</v>
      </c>
      <c r="AI262" s="32"/>
      <c r="AJ262" s="36" t="s">
        <v>3299</v>
      </c>
      <c r="AK262" s="32"/>
    </row>
    <row r="263" spans="1:37" s="1" customFormat="1" ht="19.7" customHeight="1" x14ac:dyDescent="0.25">
      <c r="A263" s="9" t="s">
        <v>22</v>
      </c>
      <c r="B263" s="9" t="s">
        <v>729</v>
      </c>
      <c r="C263" s="10">
        <v>44293</v>
      </c>
      <c r="D263" s="9" t="s">
        <v>24</v>
      </c>
      <c r="E263" s="9" t="s">
        <v>25</v>
      </c>
      <c r="F263" s="9" t="s">
        <v>26</v>
      </c>
      <c r="G263" s="9" t="s">
        <v>27</v>
      </c>
      <c r="H263" s="9" t="s">
        <v>28</v>
      </c>
      <c r="I263" s="9" t="s">
        <v>29</v>
      </c>
      <c r="J263" s="9" t="s">
        <v>30</v>
      </c>
      <c r="K263" s="9" t="s">
        <v>31</v>
      </c>
      <c r="L263" s="9" t="s">
        <v>32</v>
      </c>
      <c r="M263" s="9" t="s">
        <v>730</v>
      </c>
      <c r="N263" s="9" t="s">
        <v>704</v>
      </c>
      <c r="O263" s="9" t="s">
        <v>731</v>
      </c>
      <c r="P263" s="9" t="s">
        <v>732</v>
      </c>
      <c r="Q263" s="9">
        <v>101814231</v>
      </c>
      <c r="R263" s="9" t="s">
        <v>38</v>
      </c>
      <c r="S263" s="9" t="s">
        <v>39</v>
      </c>
      <c r="T263" s="11">
        <v>1</v>
      </c>
      <c r="U263" s="15" t="s">
        <v>731</v>
      </c>
      <c r="V263" s="16" t="s">
        <v>732</v>
      </c>
      <c r="W263" s="17">
        <v>101814231</v>
      </c>
      <c r="X263" s="16" t="s">
        <v>2629</v>
      </c>
      <c r="Y263" s="17" t="s">
        <v>2797</v>
      </c>
      <c r="Z263" s="17" t="s">
        <v>39</v>
      </c>
      <c r="AA263" s="17" t="s">
        <v>2501</v>
      </c>
      <c r="AB263" s="29">
        <v>80.260000000000005</v>
      </c>
      <c r="AC263" s="25">
        <v>82.08</v>
      </c>
      <c r="AD263" s="25">
        <f>AC263*T263</f>
        <v>82.08</v>
      </c>
      <c r="AE263" s="25">
        <f>AB263*T263</f>
        <v>80.260000000000005</v>
      </c>
      <c r="AF263" s="25">
        <f>AD263-AE263</f>
        <v>1.8199999999999932</v>
      </c>
      <c r="AG263" s="26">
        <f>AF263/AD263</f>
        <v>2.2173489278752356E-2</v>
      </c>
      <c r="AH263" s="27" t="str">
        <f>IF(AG263&lt;0,"Negative",IF(AG263=0,"Same",IF(AG263&gt;0.3,"30+%",IF(AG263&gt;0.2,"20-30%",IF(AG263&gt;0.1,"10-20%",IF(AG263&lt;=0.1,"0-10%"))))))</f>
        <v>0-10%</v>
      </c>
      <c r="AI263" s="32"/>
      <c r="AJ263" s="36" t="s">
        <v>3300</v>
      </c>
      <c r="AK263" s="32"/>
    </row>
    <row r="264" spans="1:37" s="1" customFormat="1" ht="19.7" customHeight="1" x14ac:dyDescent="0.25">
      <c r="A264" s="5" t="s">
        <v>22</v>
      </c>
      <c r="B264" s="5" t="s">
        <v>1932</v>
      </c>
      <c r="C264" s="6">
        <v>44484</v>
      </c>
      <c r="D264" s="5" t="s">
        <v>24</v>
      </c>
      <c r="E264" s="5" t="s">
        <v>25</v>
      </c>
      <c r="F264" s="5" t="s">
        <v>26</v>
      </c>
      <c r="G264" s="5" t="s">
        <v>67</v>
      </c>
      <c r="H264" s="5" t="s">
        <v>68</v>
      </c>
      <c r="I264" s="5" t="s">
        <v>29</v>
      </c>
      <c r="J264" s="5" t="s">
        <v>30</v>
      </c>
      <c r="K264" s="5" t="s">
        <v>31</v>
      </c>
      <c r="L264" s="5" t="s">
        <v>32</v>
      </c>
      <c r="M264" s="5" t="s">
        <v>356</v>
      </c>
      <c r="N264" s="5" t="s">
        <v>1933</v>
      </c>
      <c r="O264" s="5" t="s">
        <v>71</v>
      </c>
      <c r="P264" s="5" t="s">
        <v>358</v>
      </c>
      <c r="Q264" s="5">
        <v>112691205</v>
      </c>
      <c r="R264" s="5" t="s">
        <v>76</v>
      </c>
      <c r="S264" s="5" t="s">
        <v>77</v>
      </c>
      <c r="T264" s="7">
        <v>48</v>
      </c>
      <c r="U264" s="15" t="s">
        <v>71</v>
      </c>
      <c r="V264" s="41" t="s">
        <v>358</v>
      </c>
      <c r="W264" s="17">
        <v>112691205</v>
      </c>
      <c r="X264" s="16" t="s">
        <v>2512</v>
      </c>
      <c r="Y264" s="17" t="s">
        <v>2640</v>
      </c>
      <c r="Z264" s="17" t="s">
        <v>77</v>
      </c>
      <c r="AA264" s="17" t="s">
        <v>37</v>
      </c>
      <c r="AB264" s="29">
        <v>3.59</v>
      </c>
      <c r="AC264" s="25">
        <v>3.59</v>
      </c>
      <c r="AD264" s="25">
        <f>AC264*T264</f>
        <v>172.32</v>
      </c>
      <c r="AE264" s="25">
        <f>AB264*T264</f>
        <v>172.32</v>
      </c>
      <c r="AF264" s="25">
        <f>AD264-AE264</f>
        <v>0</v>
      </c>
      <c r="AG264" s="26">
        <f>AF264/AD264</f>
        <v>0</v>
      </c>
      <c r="AH264" s="27" t="str">
        <f>IF(AG264&lt;0,"Negative",IF(AG264=0,"Same",IF(AG264&gt;0.3,"30+%",IF(AG264&gt;0.2,"20-30%",IF(AG264&gt;0.1,"10-20%",IF(AG264&lt;=0.1,"0-10%"))))))</f>
        <v>Same</v>
      </c>
      <c r="AI264" s="32"/>
      <c r="AJ264" s="36" t="s">
        <v>3300</v>
      </c>
      <c r="AK264" s="32"/>
    </row>
    <row r="265" spans="1:37" s="1" customFormat="1" ht="19.7" customHeight="1" x14ac:dyDescent="0.25">
      <c r="A265" s="5" t="s">
        <v>22</v>
      </c>
      <c r="B265" s="5" t="s">
        <v>2189</v>
      </c>
      <c r="C265" s="6">
        <v>44536</v>
      </c>
      <c r="D265" s="5" t="s">
        <v>24</v>
      </c>
      <c r="E265" s="5" t="s">
        <v>25</v>
      </c>
      <c r="F265" s="5" t="s">
        <v>26</v>
      </c>
      <c r="G265" s="5" t="s">
        <v>67</v>
      </c>
      <c r="H265" s="5" t="s">
        <v>68</v>
      </c>
      <c r="I265" s="5" t="s">
        <v>29</v>
      </c>
      <c r="J265" s="5" t="s">
        <v>30</v>
      </c>
      <c r="K265" s="5" t="s">
        <v>31</v>
      </c>
      <c r="L265" s="5" t="s">
        <v>32</v>
      </c>
      <c r="M265" s="5" t="s">
        <v>356</v>
      </c>
      <c r="N265" s="5" t="s">
        <v>2190</v>
      </c>
      <c r="O265" s="5" t="s">
        <v>71</v>
      </c>
      <c r="P265" s="5" t="s">
        <v>358</v>
      </c>
      <c r="Q265" s="5">
        <v>112691205</v>
      </c>
      <c r="R265" s="5" t="s">
        <v>76</v>
      </c>
      <c r="S265" s="5" t="s">
        <v>77</v>
      </c>
      <c r="T265" s="7">
        <v>96</v>
      </c>
      <c r="U265" s="15" t="s">
        <v>71</v>
      </c>
      <c r="V265" s="41" t="s">
        <v>358</v>
      </c>
      <c r="W265" s="17">
        <v>112691205</v>
      </c>
      <c r="X265" s="16" t="s">
        <v>2512</v>
      </c>
      <c r="Y265" s="17" t="s">
        <v>2640</v>
      </c>
      <c r="Z265" s="17" t="s">
        <v>77</v>
      </c>
      <c r="AA265" s="17" t="s">
        <v>37</v>
      </c>
      <c r="AB265" s="29">
        <v>3.59</v>
      </c>
      <c r="AC265" s="25">
        <v>3.59</v>
      </c>
      <c r="AD265" s="25">
        <f>AC265*T265</f>
        <v>344.64</v>
      </c>
      <c r="AE265" s="25">
        <f>AB265*T265</f>
        <v>344.64</v>
      </c>
      <c r="AF265" s="25">
        <f>AD265-AE265</f>
        <v>0</v>
      </c>
      <c r="AG265" s="26">
        <f>AF265/AD265</f>
        <v>0</v>
      </c>
      <c r="AH265" s="27" t="str">
        <f>IF(AG265&lt;0,"Negative",IF(AG265=0,"Same",IF(AG265&gt;0.3,"30+%",IF(AG265&gt;0.2,"20-30%",IF(AG265&gt;0.1,"10-20%",IF(AG265&lt;=0.1,"0-10%"))))))</f>
        <v>Same</v>
      </c>
      <c r="AI265" s="32"/>
      <c r="AJ265" s="36" t="s">
        <v>3300</v>
      </c>
      <c r="AK265" s="32"/>
    </row>
    <row r="266" spans="1:37" s="1" customFormat="1" ht="19.7" customHeight="1" x14ac:dyDescent="0.25">
      <c r="A266" s="9" t="s">
        <v>22</v>
      </c>
      <c r="B266" s="9" t="s">
        <v>822</v>
      </c>
      <c r="C266" s="10">
        <v>44305</v>
      </c>
      <c r="D266" s="9" t="s">
        <v>24</v>
      </c>
      <c r="E266" s="9" t="s">
        <v>25</v>
      </c>
      <c r="F266" s="9" t="s">
        <v>26</v>
      </c>
      <c r="G266" s="9" t="s">
        <v>27</v>
      </c>
      <c r="H266" s="9" t="s">
        <v>28</v>
      </c>
      <c r="I266" s="9" t="s">
        <v>29</v>
      </c>
      <c r="J266" s="9" t="s">
        <v>30</v>
      </c>
      <c r="K266" s="9" t="s">
        <v>31</v>
      </c>
      <c r="L266" s="9" t="s">
        <v>32</v>
      </c>
      <c r="M266" s="9" t="s">
        <v>825</v>
      </c>
      <c r="N266" s="9" t="s">
        <v>791</v>
      </c>
      <c r="O266" s="9" t="s">
        <v>109</v>
      </c>
      <c r="P266" s="9" t="s">
        <v>826</v>
      </c>
      <c r="Q266" s="9">
        <v>100721941</v>
      </c>
      <c r="R266" s="9" t="s">
        <v>61</v>
      </c>
      <c r="S266" s="9" t="s">
        <v>39</v>
      </c>
      <c r="T266" s="11">
        <v>4</v>
      </c>
      <c r="U266" s="15" t="s">
        <v>109</v>
      </c>
      <c r="V266" s="16" t="s">
        <v>826</v>
      </c>
      <c r="W266" s="17">
        <v>100721941</v>
      </c>
      <c r="X266" s="16" t="s">
        <v>2526</v>
      </c>
      <c r="Y266" s="17" t="s">
        <v>2831</v>
      </c>
      <c r="Z266" s="17" t="s">
        <v>39</v>
      </c>
      <c r="AA266" s="17" t="s">
        <v>37</v>
      </c>
      <c r="AB266" s="43">
        <v>4.76</v>
      </c>
      <c r="AC266" s="25">
        <v>4.99</v>
      </c>
      <c r="AD266" s="25">
        <f>AC266*T266</f>
        <v>19.96</v>
      </c>
      <c r="AE266" s="25">
        <f>AB266*T266</f>
        <v>19.04</v>
      </c>
      <c r="AF266" s="25">
        <f>AD266-AE266</f>
        <v>0.92000000000000171</v>
      </c>
      <c r="AG266" s="26">
        <f>AF266/AD266</f>
        <v>4.6092184368737556E-2</v>
      </c>
      <c r="AH266" s="27" t="str">
        <f>IF(AG266&lt;0,"Negative",IF(AG266=0,"Same",IF(AG266&gt;0.3,"30+%",IF(AG266&gt;0.2,"20-30%",IF(AG266&gt;0.1,"10-20%",IF(AG266&lt;=0.1,"0-10%"))))))</f>
        <v>0-10%</v>
      </c>
      <c r="AI266" s="32"/>
      <c r="AJ266" s="36" t="s">
        <v>3300</v>
      </c>
      <c r="AK266" s="32"/>
    </row>
    <row r="267" spans="1:37" s="1" customFormat="1" ht="19.7" customHeight="1" x14ac:dyDescent="0.25">
      <c r="A267" s="5" t="s">
        <v>22</v>
      </c>
      <c r="B267" s="5" t="s">
        <v>188</v>
      </c>
      <c r="C267" s="6">
        <v>44239</v>
      </c>
      <c r="D267" s="5" t="s">
        <v>24</v>
      </c>
      <c r="E267" s="5" t="s">
        <v>25</v>
      </c>
      <c r="F267" s="5" t="s">
        <v>26</v>
      </c>
      <c r="G267" s="5" t="s">
        <v>27</v>
      </c>
      <c r="H267" s="5" t="s">
        <v>28</v>
      </c>
      <c r="I267" s="5" t="s">
        <v>29</v>
      </c>
      <c r="J267" s="5" t="s">
        <v>30</v>
      </c>
      <c r="K267" s="5" t="s">
        <v>31</v>
      </c>
      <c r="L267" s="5" t="s">
        <v>32</v>
      </c>
      <c r="M267" s="5" t="s">
        <v>189</v>
      </c>
      <c r="N267" s="5" t="s">
        <v>190</v>
      </c>
      <c r="O267" s="5" t="s">
        <v>169</v>
      </c>
      <c r="P267" s="5" t="s">
        <v>191</v>
      </c>
      <c r="Q267" s="5">
        <v>100780860</v>
      </c>
      <c r="R267" s="5" t="s">
        <v>56</v>
      </c>
      <c r="S267" s="5" t="s">
        <v>39</v>
      </c>
      <c r="T267" s="7">
        <v>1</v>
      </c>
      <c r="U267" s="15" t="s">
        <v>169</v>
      </c>
      <c r="V267" s="16" t="s">
        <v>191</v>
      </c>
      <c r="W267" s="17">
        <v>100780860</v>
      </c>
      <c r="X267" s="16" t="s">
        <v>2568</v>
      </c>
      <c r="Y267" s="17" t="s">
        <v>2569</v>
      </c>
      <c r="Z267" s="17" t="s">
        <v>39</v>
      </c>
      <c r="AA267" s="17" t="s">
        <v>37</v>
      </c>
      <c r="AB267" s="43">
        <v>11.42</v>
      </c>
      <c r="AC267" s="25">
        <v>11.76</v>
      </c>
      <c r="AD267" s="25">
        <f>AC267*T267</f>
        <v>11.76</v>
      </c>
      <c r="AE267" s="25">
        <f>AB267*T267</f>
        <v>11.42</v>
      </c>
      <c r="AF267" s="25">
        <f>AD267-AE267</f>
        <v>0.33999999999999986</v>
      </c>
      <c r="AG267" s="26">
        <f>AF267/AD267</f>
        <v>2.8911564625850327E-2</v>
      </c>
      <c r="AH267" s="27" t="str">
        <f>IF(AG267&lt;0,"Negative",IF(AG267=0,"Same",IF(AG267&gt;0.3,"30+%",IF(AG267&gt;0.2,"20-30%",IF(AG267&gt;0.1,"10-20%",IF(AG267&lt;=0.1,"0-10%"))))))</f>
        <v>0-10%</v>
      </c>
      <c r="AI267" s="32"/>
      <c r="AJ267" s="36" t="s">
        <v>3299</v>
      </c>
      <c r="AK267" s="32"/>
    </row>
    <row r="268" spans="1:37" s="1" customFormat="1" ht="19.7" customHeight="1" x14ac:dyDescent="0.25">
      <c r="A268" s="9" t="s">
        <v>22</v>
      </c>
      <c r="B268" s="9" t="s">
        <v>1805</v>
      </c>
      <c r="C268" s="10">
        <v>44466</v>
      </c>
      <c r="D268" s="9" t="s">
        <v>24</v>
      </c>
      <c r="E268" s="9" t="s">
        <v>25</v>
      </c>
      <c r="F268" s="9" t="s">
        <v>26</v>
      </c>
      <c r="G268" s="9" t="s">
        <v>67</v>
      </c>
      <c r="H268" s="9" t="s">
        <v>68</v>
      </c>
      <c r="I268" s="9" t="s">
        <v>29</v>
      </c>
      <c r="J268" s="9" t="s">
        <v>30</v>
      </c>
      <c r="K268" s="9" t="s">
        <v>31</v>
      </c>
      <c r="L268" s="9" t="s">
        <v>32</v>
      </c>
      <c r="M268" s="9" t="s">
        <v>290</v>
      </c>
      <c r="N268" s="9" t="s">
        <v>1767</v>
      </c>
      <c r="O268" s="9" t="s">
        <v>169</v>
      </c>
      <c r="P268" s="9" t="s">
        <v>291</v>
      </c>
      <c r="Q268" s="9">
        <v>100771085</v>
      </c>
      <c r="R268" s="9" t="s">
        <v>56</v>
      </c>
      <c r="S268" s="9" t="s">
        <v>39</v>
      </c>
      <c r="T268" s="11">
        <v>2</v>
      </c>
      <c r="U268" s="15" t="s">
        <v>169</v>
      </c>
      <c r="V268" s="16" t="s">
        <v>291</v>
      </c>
      <c r="W268" s="17">
        <v>100771085</v>
      </c>
      <c r="X268" s="16" t="s">
        <v>2610</v>
      </c>
      <c r="Y268" s="17" t="s">
        <v>2611</v>
      </c>
      <c r="Z268" s="17" t="s">
        <v>39</v>
      </c>
      <c r="AA268" s="17" t="s">
        <v>37</v>
      </c>
      <c r="AB268" s="43">
        <v>11.37</v>
      </c>
      <c r="AC268" s="25">
        <v>12.22</v>
      </c>
      <c r="AD268" s="25">
        <f>AC268*T268</f>
        <v>24.44</v>
      </c>
      <c r="AE268" s="25">
        <f>AB268*T268</f>
        <v>22.74</v>
      </c>
      <c r="AF268" s="25">
        <f>AD268-AE268</f>
        <v>1.7000000000000028</v>
      </c>
      <c r="AG268" s="26">
        <f>AF268/AD268</f>
        <v>6.9558101472995196E-2</v>
      </c>
      <c r="AH268" s="27" t="str">
        <f>IF(AG268&lt;0,"Negative",IF(AG268=0,"Same",IF(AG268&gt;0.3,"30+%",IF(AG268&gt;0.2,"20-30%",IF(AG268&gt;0.1,"10-20%",IF(AG268&lt;=0.1,"0-10%"))))))</f>
        <v>0-10%</v>
      </c>
      <c r="AI268" s="32"/>
      <c r="AJ268" s="36" t="s">
        <v>3299</v>
      </c>
      <c r="AK268" s="32"/>
    </row>
    <row r="269" spans="1:37" s="1" customFormat="1" ht="19.7" customHeight="1" x14ac:dyDescent="0.25">
      <c r="A269" s="5" t="s">
        <v>22</v>
      </c>
      <c r="B269" s="5" t="s">
        <v>282</v>
      </c>
      <c r="C269" s="6">
        <v>44246</v>
      </c>
      <c r="D269" s="5" t="s">
        <v>24</v>
      </c>
      <c r="E269" s="5" t="s">
        <v>25</v>
      </c>
      <c r="F269" s="5" t="s">
        <v>26</v>
      </c>
      <c r="G269" s="5" t="s">
        <v>67</v>
      </c>
      <c r="H269" s="5" t="s">
        <v>68</v>
      </c>
      <c r="I269" s="5" t="s">
        <v>29</v>
      </c>
      <c r="J269" s="5" t="s">
        <v>30</v>
      </c>
      <c r="K269" s="5" t="s">
        <v>31</v>
      </c>
      <c r="L269" s="5" t="s">
        <v>32</v>
      </c>
      <c r="M269" s="5" t="s">
        <v>290</v>
      </c>
      <c r="N269" s="5" t="s">
        <v>284</v>
      </c>
      <c r="O269" s="5" t="s">
        <v>169</v>
      </c>
      <c r="P269" s="5" t="s">
        <v>291</v>
      </c>
      <c r="Q269" s="5">
        <v>100771085</v>
      </c>
      <c r="R269" s="5" t="s">
        <v>56</v>
      </c>
      <c r="S269" s="5" t="s">
        <v>39</v>
      </c>
      <c r="T269" s="7">
        <v>4</v>
      </c>
      <c r="U269" s="15" t="s">
        <v>169</v>
      </c>
      <c r="V269" s="16" t="s">
        <v>291</v>
      </c>
      <c r="W269" s="17">
        <v>100771085</v>
      </c>
      <c r="X269" s="16" t="s">
        <v>2610</v>
      </c>
      <c r="Y269" s="17" t="s">
        <v>2611</v>
      </c>
      <c r="Z269" s="17" t="s">
        <v>39</v>
      </c>
      <c r="AA269" s="17" t="s">
        <v>37</v>
      </c>
      <c r="AB269" s="43">
        <v>11.37</v>
      </c>
      <c r="AC269" s="25">
        <v>12.22</v>
      </c>
      <c r="AD269" s="25">
        <f>AC269*T269</f>
        <v>48.88</v>
      </c>
      <c r="AE269" s="25">
        <f>AB269*T269</f>
        <v>45.48</v>
      </c>
      <c r="AF269" s="25">
        <f>AD269-AE269</f>
        <v>3.4000000000000057</v>
      </c>
      <c r="AG269" s="26">
        <f>AF269/AD269</f>
        <v>6.9558101472995196E-2</v>
      </c>
      <c r="AH269" s="27" t="str">
        <f>IF(AG269&lt;0,"Negative",IF(AG269=0,"Same",IF(AG269&gt;0.3,"30+%",IF(AG269&gt;0.2,"20-30%",IF(AG269&gt;0.1,"10-20%",IF(AG269&lt;=0.1,"0-10%"))))))</f>
        <v>0-10%</v>
      </c>
      <c r="AI269" s="32"/>
      <c r="AJ269" s="36" t="s">
        <v>3299</v>
      </c>
      <c r="AK269" s="32"/>
    </row>
    <row r="270" spans="1:37" s="1" customFormat="1" ht="19.7" customHeight="1" x14ac:dyDescent="0.25">
      <c r="A270" s="5" t="s">
        <v>22</v>
      </c>
      <c r="B270" s="5" t="s">
        <v>677</v>
      </c>
      <c r="C270" s="6">
        <v>44286</v>
      </c>
      <c r="D270" s="5" t="s">
        <v>24</v>
      </c>
      <c r="E270" s="5" t="s">
        <v>25</v>
      </c>
      <c r="F270" s="5" t="s">
        <v>26</v>
      </c>
      <c r="G270" s="5" t="s">
        <v>27</v>
      </c>
      <c r="H270" s="5" t="s">
        <v>28</v>
      </c>
      <c r="I270" s="5" t="s">
        <v>29</v>
      </c>
      <c r="J270" s="5" t="s">
        <v>30</v>
      </c>
      <c r="K270" s="5" t="s">
        <v>31</v>
      </c>
      <c r="L270" s="5" t="s">
        <v>32</v>
      </c>
      <c r="M270" s="5" t="s">
        <v>678</v>
      </c>
      <c r="N270" s="5" t="s">
        <v>255</v>
      </c>
      <c r="O270" s="5" t="s">
        <v>679</v>
      </c>
      <c r="P270" s="5" t="s">
        <v>680</v>
      </c>
      <c r="Q270" s="5">
        <v>114902826</v>
      </c>
      <c r="R270" s="5" t="s">
        <v>199</v>
      </c>
      <c r="S270" s="5" t="s">
        <v>39</v>
      </c>
      <c r="T270" s="7">
        <v>3</v>
      </c>
      <c r="U270" s="15" t="s">
        <v>679</v>
      </c>
      <c r="V270" s="16" t="s">
        <v>680</v>
      </c>
      <c r="W270" s="17">
        <v>114902826</v>
      </c>
      <c r="X270" s="16" t="s">
        <v>2571</v>
      </c>
      <c r="Y270" s="17" t="s">
        <v>2776</v>
      </c>
      <c r="Z270" s="17" t="s">
        <v>39</v>
      </c>
      <c r="AA270" s="17" t="s">
        <v>2501</v>
      </c>
      <c r="AB270" s="29">
        <v>157.35</v>
      </c>
      <c r="AC270" s="25">
        <v>171.32</v>
      </c>
      <c r="AD270" s="25">
        <f>AC270*T270</f>
        <v>513.96</v>
      </c>
      <c r="AE270" s="25">
        <f>AB270*T270</f>
        <v>472.04999999999995</v>
      </c>
      <c r="AF270" s="25">
        <f>AD270-AE270</f>
        <v>41.910000000000082</v>
      </c>
      <c r="AG270" s="26">
        <f>AF270/AD270</f>
        <v>8.1543310763483687E-2</v>
      </c>
      <c r="AH270" s="27" t="str">
        <f>IF(AG270&lt;0,"Negative",IF(AG270=0,"Same",IF(AG270&gt;0.3,"30+%",IF(AG270&gt;0.2,"20-30%",IF(AG270&gt;0.1,"10-20%",IF(AG270&lt;=0.1,"0-10%"))))))</f>
        <v>0-10%</v>
      </c>
      <c r="AI270" s="32"/>
      <c r="AJ270" s="36" t="s">
        <v>3300</v>
      </c>
      <c r="AK270" s="32"/>
    </row>
    <row r="271" spans="1:37" s="1" customFormat="1" ht="19.7" customHeight="1" x14ac:dyDescent="0.25">
      <c r="A271" s="5" t="s">
        <v>22</v>
      </c>
      <c r="B271" s="5" t="s">
        <v>1675</v>
      </c>
      <c r="C271" s="6">
        <v>44435</v>
      </c>
      <c r="D271" s="5" t="s">
        <v>24</v>
      </c>
      <c r="E271" s="5" t="s">
        <v>25</v>
      </c>
      <c r="F271" s="5" t="s">
        <v>26</v>
      </c>
      <c r="G271" s="5" t="s">
        <v>67</v>
      </c>
      <c r="H271" s="5" t="s">
        <v>68</v>
      </c>
      <c r="I271" s="5" t="s">
        <v>29</v>
      </c>
      <c r="J271" s="5" t="s">
        <v>30</v>
      </c>
      <c r="K271" s="5" t="s">
        <v>31</v>
      </c>
      <c r="L271" s="5" t="s">
        <v>32</v>
      </c>
      <c r="M271" s="5" t="s">
        <v>812</v>
      </c>
      <c r="N271" s="5" t="s">
        <v>1630</v>
      </c>
      <c r="O271" s="5" t="s">
        <v>169</v>
      </c>
      <c r="P271" s="5" t="s">
        <v>814</v>
      </c>
      <c r="Q271" s="5">
        <v>100780832</v>
      </c>
      <c r="R271" s="5" t="s">
        <v>56</v>
      </c>
      <c r="S271" s="5" t="s">
        <v>39</v>
      </c>
      <c r="T271" s="7">
        <v>1</v>
      </c>
      <c r="U271" s="15" t="s">
        <v>169</v>
      </c>
      <c r="V271" s="16" t="s">
        <v>814</v>
      </c>
      <c r="W271" s="17">
        <v>100780832</v>
      </c>
      <c r="X271" s="16" t="s">
        <v>2568</v>
      </c>
      <c r="Y271" s="17" t="s">
        <v>2826</v>
      </c>
      <c r="Z271" s="17" t="s">
        <v>39</v>
      </c>
      <c r="AA271" s="17" t="s">
        <v>37</v>
      </c>
      <c r="AB271" s="43">
        <v>12.5</v>
      </c>
      <c r="AC271" s="25">
        <v>12.88</v>
      </c>
      <c r="AD271" s="25">
        <f>AC271*T271</f>
        <v>12.88</v>
      </c>
      <c r="AE271" s="25">
        <f>AB271*T271</f>
        <v>12.5</v>
      </c>
      <c r="AF271" s="25">
        <f>AD271-AE271</f>
        <v>0.38000000000000078</v>
      </c>
      <c r="AG271" s="26">
        <f>AF271/AD271</f>
        <v>2.9503105590062171E-2</v>
      </c>
      <c r="AH271" s="27" t="str">
        <f>IF(AG271&lt;0,"Negative",IF(AG271=0,"Same",IF(AG271&gt;0.3,"30+%",IF(AG271&gt;0.2,"20-30%",IF(AG271&gt;0.1,"10-20%",IF(AG271&lt;=0.1,"0-10%"))))))</f>
        <v>0-10%</v>
      </c>
      <c r="AI271" s="32"/>
      <c r="AJ271" s="36" t="s">
        <v>3299</v>
      </c>
      <c r="AK271" s="32"/>
    </row>
    <row r="272" spans="1:37" s="1" customFormat="1" ht="19.7" customHeight="1" x14ac:dyDescent="0.25">
      <c r="A272" s="5" t="s">
        <v>22</v>
      </c>
      <c r="B272" s="5" t="s">
        <v>899</v>
      </c>
      <c r="C272" s="6">
        <v>44316</v>
      </c>
      <c r="D272" s="5" t="s">
        <v>24</v>
      </c>
      <c r="E272" s="5" t="s">
        <v>25</v>
      </c>
      <c r="F272" s="5" t="s">
        <v>26</v>
      </c>
      <c r="G272" s="5" t="s">
        <v>67</v>
      </c>
      <c r="H272" s="5" t="s">
        <v>68</v>
      </c>
      <c r="I272" s="5" t="s">
        <v>29</v>
      </c>
      <c r="J272" s="5" t="s">
        <v>30</v>
      </c>
      <c r="K272" s="5" t="s">
        <v>31</v>
      </c>
      <c r="L272" s="5" t="s">
        <v>32</v>
      </c>
      <c r="M272" s="5" t="s">
        <v>812</v>
      </c>
      <c r="N272" s="5" t="s">
        <v>900</v>
      </c>
      <c r="O272" s="5" t="s">
        <v>169</v>
      </c>
      <c r="P272" s="5" t="s">
        <v>814</v>
      </c>
      <c r="Q272" s="5">
        <v>100780832</v>
      </c>
      <c r="R272" s="5" t="s">
        <v>56</v>
      </c>
      <c r="S272" s="5" t="s">
        <v>39</v>
      </c>
      <c r="T272" s="7">
        <v>1</v>
      </c>
      <c r="U272" s="15" t="s">
        <v>169</v>
      </c>
      <c r="V272" s="16" t="s">
        <v>814</v>
      </c>
      <c r="W272" s="17">
        <v>100780832</v>
      </c>
      <c r="X272" s="16" t="s">
        <v>2568</v>
      </c>
      <c r="Y272" s="17" t="s">
        <v>2826</v>
      </c>
      <c r="Z272" s="17" t="s">
        <v>39</v>
      </c>
      <c r="AA272" s="17" t="s">
        <v>37</v>
      </c>
      <c r="AB272" s="43">
        <v>12.5</v>
      </c>
      <c r="AC272" s="25">
        <v>12.88</v>
      </c>
      <c r="AD272" s="25">
        <f>AC272*T272</f>
        <v>12.88</v>
      </c>
      <c r="AE272" s="25">
        <f>AB272*T272</f>
        <v>12.5</v>
      </c>
      <c r="AF272" s="25">
        <f>AD272-AE272</f>
        <v>0.38000000000000078</v>
      </c>
      <c r="AG272" s="26">
        <f>AF272/AD272</f>
        <v>2.9503105590062171E-2</v>
      </c>
      <c r="AH272" s="27" t="str">
        <f>IF(AG272&lt;0,"Negative",IF(AG272=0,"Same",IF(AG272&gt;0.3,"30+%",IF(AG272&gt;0.2,"20-30%",IF(AG272&gt;0.1,"10-20%",IF(AG272&lt;=0.1,"0-10%"))))))</f>
        <v>0-10%</v>
      </c>
      <c r="AI272" s="32"/>
      <c r="AJ272" s="36" t="s">
        <v>3299</v>
      </c>
      <c r="AK272" s="32"/>
    </row>
    <row r="273" spans="1:37" s="1" customFormat="1" ht="19.7" customHeight="1" x14ac:dyDescent="0.25">
      <c r="A273" s="9" t="s">
        <v>22</v>
      </c>
      <c r="B273" s="9" t="s">
        <v>811</v>
      </c>
      <c r="C273" s="10">
        <v>44302</v>
      </c>
      <c r="D273" s="9" t="s">
        <v>24</v>
      </c>
      <c r="E273" s="9" t="s">
        <v>25</v>
      </c>
      <c r="F273" s="9" t="s">
        <v>26</v>
      </c>
      <c r="G273" s="9" t="s">
        <v>67</v>
      </c>
      <c r="H273" s="9" t="s">
        <v>68</v>
      </c>
      <c r="I273" s="9" t="s">
        <v>29</v>
      </c>
      <c r="J273" s="9" t="s">
        <v>30</v>
      </c>
      <c r="K273" s="9" t="s">
        <v>31</v>
      </c>
      <c r="L273" s="9" t="s">
        <v>32</v>
      </c>
      <c r="M273" s="9" t="s">
        <v>812</v>
      </c>
      <c r="N273" s="9" t="s">
        <v>813</v>
      </c>
      <c r="O273" s="9" t="s">
        <v>169</v>
      </c>
      <c r="P273" s="9" t="s">
        <v>814</v>
      </c>
      <c r="Q273" s="9">
        <v>100780832</v>
      </c>
      <c r="R273" s="9" t="s">
        <v>56</v>
      </c>
      <c r="S273" s="9" t="s">
        <v>39</v>
      </c>
      <c r="T273" s="11">
        <v>1</v>
      </c>
      <c r="U273" s="15" t="s">
        <v>169</v>
      </c>
      <c r="V273" s="16" t="s">
        <v>814</v>
      </c>
      <c r="W273" s="17">
        <v>100780832</v>
      </c>
      <c r="X273" s="16" t="s">
        <v>2568</v>
      </c>
      <c r="Y273" s="17" t="s">
        <v>2826</v>
      </c>
      <c r="Z273" s="17" t="s">
        <v>39</v>
      </c>
      <c r="AA273" s="17" t="s">
        <v>37</v>
      </c>
      <c r="AB273" s="43">
        <v>12.5</v>
      </c>
      <c r="AC273" s="25">
        <v>12.88</v>
      </c>
      <c r="AD273" s="25">
        <f>AC273*T273</f>
        <v>12.88</v>
      </c>
      <c r="AE273" s="25">
        <f>AB273*T273</f>
        <v>12.5</v>
      </c>
      <c r="AF273" s="25">
        <f>AD273-AE273</f>
        <v>0.38000000000000078</v>
      </c>
      <c r="AG273" s="26">
        <f>AF273/AD273</f>
        <v>2.9503105590062171E-2</v>
      </c>
      <c r="AH273" s="27" t="str">
        <f>IF(AG273&lt;0,"Negative",IF(AG273=0,"Same",IF(AG273&gt;0.3,"30+%",IF(AG273&gt;0.2,"20-30%",IF(AG273&gt;0.1,"10-20%",IF(AG273&lt;=0.1,"0-10%"))))))</f>
        <v>0-10%</v>
      </c>
      <c r="AI273" s="32"/>
      <c r="AJ273" s="36" t="s">
        <v>3299</v>
      </c>
      <c r="AK273" s="32"/>
    </row>
    <row r="274" spans="1:37" s="1" customFormat="1" ht="19.7" customHeight="1" x14ac:dyDescent="0.25">
      <c r="A274" s="9" t="s">
        <v>22</v>
      </c>
      <c r="B274" s="9" t="s">
        <v>1599</v>
      </c>
      <c r="C274" s="10">
        <v>44421</v>
      </c>
      <c r="D274" s="9" t="s">
        <v>24</v>
      </c>
      <c r="E274" s="9" t="s">
        <v>25</v>
      </c>
      <c r="F274" s="9" t="s">
        <v>26</v>
      </c>
      <c r="G274" s="9" t="s">
        <v>67</v>
      </c>
      <c r="H274" s="9" t="s">
        <v>68</v>
      </c>
      <c r="I274" s="9" t="s">
        <v>29</v>
      </c>
      <c r="J274" s="9" t="s">
        <v>30</v>
      </c>
      <c r="K274" s="9" t="s">
        <v>31</v>
      </c>
      <c r="L274" s="9" t="s">
        <v>32</v>
      </c>
      <c r="M274" s="9" t="s">
        <v>812</v>
      </c>
      <c r="N274" s="9" t="s">
        <v>1600</v>
      </c>
      <c r="O274" s="9" t="s">
        <v>169</v>
      </c>
      <c r="P274" s="9" t="s">
        <v>814</v>
      </c>
      <c r="Q274" s="9">
        <v>100780832</v>
      </c>
      <c r="R274" s="9" t="s">
        <v>56</v>
      </c>
      <c r="S274" s="9" t="s">
        <v>39</v>
      </c>
      <c r="T274" s="11">
        <v>3</v>
      </c>
      <c r="U274" s="15" t="s">
        <v>169</v>
      </c>
      <c r="V274" s="16" t="s">
        <v>814</v>
      </c>
      <c r="W274" s="17">
        <v>100780832</v>
      </c>
      <c r="X274" s="16" t="s">
        <v>2568</v>
      </c>
      <c r="Y274" s="17" t="s">
        <v>2826</v>
      </c>
      <c r="Z274" s="17" t="s">
        <v>39</v>
      </c>
      <c r="AA274" s="17" t="s">
        <v>37</v>
      </c>
      <c r="AB274" s="43">
        <v>12.5</v>
      </c>
      <c r="AC274" s="25">
        <v>12.88</v>
      </c>
      <c r="AD274" s="25">
        <f>AC274*T274</f>
        <v>38.64</v>
      </c>
      <c r="AE274" s="25">
        <f>AB274*T274</f>
        <v>37.5</v>
      </c>
      <c r="AF274" s="25">
        <f>AD274-AE274</f>
        <v>1.1400000000000006</v>
      </c>
      <c r="AG274" s="26">
        <f>AF274/AD274</f>
        <v>2.9503105590062126E-2</v>
      </c>
      <c r="AH274" s="27" t="str">
        <f>IF(AG274&lt;0,"Negative",IF(AG274=0,"Same",IF(AG274&gt;0.3,"30+%",IF(AG274&gt;0.2,"20-30%",IF(AG274&gt;0.1,"10-20%",IF(AG274&lt;=0.1,"0-10%"))))))</f>
        <v>0-10%</v>
      </c>
      <c r="AI274" s="32"/>
      <c r="AJ274" s="36" t="s">
        <v>3299</v>
      </c>
      <c r="AK274" s="32"/>
    </row>
    <row r="275" spans="1:37" s="1" customFormat="1" ht="19.7" customHeight="1" x14ac:dyDescent="0.25">
      <c r="A275" s="5" t="s">
        <v>22</v>
      </c>
      <c r="B275" s="5" t="s">
        <v>2406</v>
      </c>
      <c r="C275" s="6">
        <v>44580</v>
      </c>
      <c r="D275" s="5" t="s">
        <v>24</v>
      </c>
      <c r="E275" s="5" t="s">
        <v>25</v>
      </c>
      <c r="F275" s="5" t="s">
        <v>26</v>
      </c>
      <c r="G275" s="5" t="s">
        <v>67</v>
      </c>
      <c r="H275" s="5" t="s">
        <v>68</v>
      </c>
      <c r="I275" s="5" t="s">
        <v>29</v>
      </c>
      <c r="J275" s="5" t="s">
        <v>30</v>
      </c>
      <c r="K275" s="5" t="s">
        <v>31</v>
      </c>
      <c r="L275" s="5" t="s">
        <v>32</v>
      </c>
      <c r="M275" s="5" t="s">
        <v>1788</v>
      </c>
      <c r="N275" s="5" t="s">
        <v>2407</v>
      </c>
      <c r="O275" s="5" t="s">
        <v>1790</v>
      </c>
      <c r="P275" s="5" t="s">
        <v>1791</v>
      </c>
      <c r="Q275" s="5">
        <v>101853408</v>
      </c>
      <c r="R275" s="5" t="s">
        <v>105</v>
      </c>
      <c r="S275" s="5" t="s">
        <v>39</v>
      </c>
      <c r="T275" s="7">
        <v>24</v>
      </c>
      <c r="U275" s="15" t="s">
        <v>1790</v>
      </c>
      <c r="V275" s="41" t="s">
        <v>1791</v>
      </c>
      <c r="W275" s="17">
        <v>101853408</v>
      </c>
      <c r="X275" s="16" t="s">
        <v>3131</v>
      </c>
      <c r="Y275" s="17" t="s">
        <v>3132</v>
      </c>
      <c r="Z275" s="17" t="s">
        <v>39</v>
      </c>
      <c r="AA275" s="17" t="s">
        <v>37</v>
      </c>
      <c r="AB275" s="29">
        <v>9.68</v>
      </c>
      <c r="AC275" s="25">
        <v>9.4700000000000006</v>
      </c>
      <c r="AD275" s="25">
        <f>AC275*T275</f>
        <v>227.28000000000003</v>
      </c>
      <c r="AE275" s="25">
        <f>AB275*T275</f>
        <v>232.32</v>
      </c>
      <c r="AF275" s="25">
        <f>AD275-AE275</f>
        <v>-5.0399999999999636</v>
      </c>
      <c r="AG275" s="26">
        <f>AF275/AD275</f>
        <v>-2.2175290390707335E-2</v>
      </c>
      <c r="AH275" s="27" t="str">
        <f>IF(AG275&lt;0,"Negative",IF(AG275=0,"Same",IF(AG275&gt;0.3,"30+%",IF(AG275&gt;0.2,"20-30%",IF(AG275&gt;0.1,"10-20%",IF(AG275&lt;=0.1,"0-10%"))))))</f>
        <v>Negative</v>
      </c>
      <c r="AI275" s="32"/>
      <c r="AJ275" s="36" t="s">
        <v>3300</v>
      </c>
      <c r="AK275" s="32"/>
    </row>
    <row r="276" spans="1:37" s="1" customFormat="1" ht="19.7" customHeight="1" x14ac:dyDescent="0.25">
      <c r="A276" s="5" t="s">
        <v>22</v>
      </c>
      <c r="B276" s="5" t="s">
        <v>1500</v>
      </c>
      <c r="C276" s="6">
        <v>44404</v>
      </c>
      <c r="D276" s="5" t="s">
        <v>24</v>
      </c>
      <c r="E276" s="5" t="s">
        <v>25</v>
      </c>
      <c r="F276" s="5" t="s">
        <v>26</v>
      </c>
      <c r="G276" s="5" t="s">
        <v>27</v>
      </c>
      <c r="H276" s="5" t="s">
        <v>28</v>
      </c>
      <c r="I276" s="5" t="s">
        <v>29</v>
      </c>
      <c r="J276" s="5" t="s">
        <v>30</v>
      </c>
      <c r="K276" s="5" t="s">
        <v>31</v>
      </c>
      <c r="L276" s="5" t="s">
        <v>32</v>
      </c>
      <c r="M276" s="5" t="s">
        <v>1501</v>
      </c>
      <c r="N276" s="5" t="s">
        <v>1437</v>
      </c>
      <c r="O276" s="5" t="s">
        <v>1487</v>
      </c>
      <c r="P276" s="5" t="s">
        <v>1502</v>
      </c>
      <c r="Q276" s="5">
        <v>101819502</v>
      </c>
      <c r="R276" s="5" t="s">
        <v>56</v>
      </c>
      <c r="S276" s="5" t="s">
        <v>39</v>
      </c>
      <c r="T276" s="7">
        <v>2</v>
      </c>
      <c r="U276" s="15" t="s">
        <v>1487</v>
      </c>
      <c r="V276" s="16" t="s">
        <v>1502</v>
      </c>
      <c r="W276" s="17">
        <v>101819502</v>
      </c>
      <c r="X276" s="16" t="s">
        <v>2998</v>
      </c>
      <c r="Y276" s="17" t="s">
        <v>3061</v>
      </c>
      <c r="Z276" s="17" t="s">
        <v>39</v>
      </c>
      <c r="AA276" s="17" t="s">
        <v>37</v>
      </c>
      <c r="AB276" s="29">
        <v>17.14</v>
      </c>
      <c r="AC276" s="25">
        <v>16.66</v>
      </c>
      <c r="AD276" s="25">
        <f>AC276*T276</f>
        <v>33.32</v>
      </c>
      <c r="AE276" s="25">
        <f>AB276*T276</f>
        <v>34.28</v>
      </c>
      <c r="AF276" s="25">
        <f>AD276-AE276</f>
        <v>-0.96000000000000085</v>
      </c>
      <c r="AG276" s="26">
        <f>AF276/AD276</f>
        <v>-2.8811524609843962E-2</v>
      </c>
      <c r="AH276" s="27" t="str">
        <f>IF(AG276&lt;0,"Negative",IF(AG276=0,"Same",IF(AG276&gt;0.3,"30+%",IF(AG276&gt;0.2,"20-30%",IF(AG276&gt;0.1,"10-20%",IF(AG276&lt;=0.1,"0-10%"))))))</f>
        <v>Negative</v>
      </c>
      <c r="AI276" s="32"/>
      <c r="AJ276" s="36" t="s">
        <v>3300</v>
      </c>
      <c r="AK276" s="32"/>
    </row>
    <row r="277" spans="1:37" s="1" customFormat="1" ht="19.7" customHeight="1" x14ac:dyDescent="0.25">
      <c r="A277" s="5" t="s">
        <v>22</v>
      </c>
      <c r="B277" s="5" t="s">
        <v>702</v>
      </c>
      <c r="C277" s="6">
        <v>44292</v>
      </c>
      <c r="D277" s="5" t="s">
        <v>24</v>
      </c>
      <c r="E277" s="5" t="s">
        <v>25</v>
      </c>
      <c r="F277" s="5" t="s">
        <v>26</v>
      </c>
      <c r="G277" s="5" t="s">
        <v>27</v>
      </c>
      <c r="H277" s="5" t="s">
        <v>28</v>
      </c>
      <c r="I277" s="5" t="s">
        <v>29</v>
      </c>
      <c r="J277" s="5" t="s">
        <v>30</v>
      </c>
      <c r="K277" s="5" t="s">
        <v>31</v>
      </c>
      <c r="L277" s="5" t="s">
        <v>32</v>
      </c>
      <c r="M277" s="5" t="s">
        <v>706</v>
      </c>
      <c r="N277" s="5" t="s">
        <v>704</v>
      </c>
      <c r="O277" s="5" t="s">
        <v>186</v>
      </c>
      <c r="P277" s="5" t="s">
        <v>707</v>
      </c>
      <c r="Q277" s="5">
        <v>101085946</v>
      </c>
      <c r="R277" s="5" t="s">
        <v>56</v>
      </c>
      <c r="S277" s="5" t="s">
        <v>39</v>
      </c>
      <c r="T277" s="7">
        <v>1</v>
      </c>
      <c r="U277" s="15" t="s">
        <v>186</v>
      </c>
      <c r="V277" s="16" t="s">
        <v>707</v>
      </c>
      <c r="W277" s="17">
        <v>101085946</v>
      </c>
      <c r="X277" s="16" t="s">
        <v>2565</v>
      </c>
      <c r="Y277" s="17" t="s">
        <v>2786</v>
      </c>
      <c r="Z277" s="17" t="s">
        <v>39</v>
      </c>
      <c r="AA277" s="17" t="s">
        <v>37</v>
      </c>
      <c r="AB277" s="43">
        <v>4.9400000000000004</v>
      </c>
      <c r="AC277" s="25">
        <v>5.16</v>
      </c>
      <c r="AD277" s="25">
        <f>AC277*T277</f>
        <v>5.16</v>
      </c>
      <c r="AE277" s="25">
        <f>AB277*T277</f>
        <v>4.9400000000000004</v>
      </c>
      <c r="AF277" s="25">
        <f>AD277-AE277</f>
        <v>0.21999999999999975</v>
      </c>
      <c r="AG277" s="26">
        <f>AF277/AD277</f>
        <v>4.2635658914728633E-2</v>
      </c>
      <c r="AH277" s="27" t="str">
        <f>IF(AG277&lt;0,"Negative",IF(AG277=0,"Same",IF(AG277&gt;0.3,"30+%",IF(AG277&gt;0.2,"20-30%",IF(AG277&gt;0.1,"10-20%",IF(AG277&lt;=0.1,"0-10%"))))))</f>
        <v>0-10%</v>
      </c>
      <c r="AI277" s="32"/>
      <c r="AJ277" s="36" t="s">
        <v>3300</v>
      </c>
      <c r="AK277" s="32"/>
    </row>
    <row r="278" spans="1:37" s="1" customFormat="1" ht="19.7" customHeight="1" x14ac:dyDescent="0.25">
      <c r="A278" s="5" t="s">
        <v>22</v>
      </c>
      <c r="B278" s="5" t="s">
        <v>475</v>
      </c>
      <c r="C278" s="6">
        <v>44267</v>
      </c>
      <c r="D278" s="5" t="s">
        <v>24</v>
      </c>
      <c r="E278" s="5" t="s">
        <v>25</v>
      </c>
      <c r="F278" s="5" t="s">
        <v>26</v>
      </c>
      <c r="G278" s="5" t="s">
        <v>67</v>
      </c>
      <c r="H278" s="5" t="s">
        <v>68</v>
      </c>
      <c r="I278" s="5" t="s">
        <v>29</v>
      </c>
      <c r="J278" s="5" t="s">
        <v>30</v>
      </c>
      <c r="K278" s="5" t="s">
        <v>31</v>
      </c>
      <c r="L278" s="5" t="s">
        <v>32</v>
      </c>
      <c r="M278" s="5" t="s">
        <v>479</v>
      </c>
      <c r="N278" s="5" t="s">
        <v>477</v>
      </c>
      <c r="O278" s="5" t="s">
        <v>480</v>
      </c>
      <c r="P278" s="5" t="s">
        <v>481</v>
      </c>
      <c r="Q278" s="5">
        <v>112189277</v>
      </c>
      <c r="R278" s="5" t="s">
        <v>116</v>
      </c>
      <c r="S278" s="5" t="s">
        <v>39</v>
      </c>
      <c r="T278" s="7">
        <v>10</v>
      </c>
      <c r="U278" s="15" t="s">
        <v>480</v>
      </c>
      <c r="V278" s="16" t="s">
        <v>481</v>
      </c>
      <c r="W278" s="17">
        <v>112189277</v>
      </c>
      <c r="X278" s="16" t="s">
        <v>2692</v>
      </c>
      <c r="Y278" s="17" t="s">
        <v>2693</v>
      </c>
      <c r="Z278" s="17" t="s">
        <v>39</v>
      </c>
      <c r="AA278" s="17" t="s">
        <v>2501</v>
      </c>
      <c r="AB278" s="29">
        <v>32.369999999999997</v>
      </c>
      <c r="AC278" s="25">
        <v>33.909999999999997</v>
      </c>
      <c r="AD278" s="25">
        <f>AC278*T278</f>
        <v>339.09999999999997</v>
      </c>
      <c r="AE278" s="25">
        <f>AB278*T278</f>
        <v>323.7</v>
      </c>
      <c r="AF278" s="25">
        <f>AD278-AE278</f>
        <v>15.399999999999977</v>
      </c>
      <c r="AG278" s="26">
        <f>AF278/AD278</f>
        <v>4.5414332055440813E-2</v>
      </c>
      <c r="AH278" s="27" t="str">
        <f>IF(AG278&lt;0,"Negative",IF(AG278=0,"Same",IF(AG278&gt;0.3,"30+%",IF(AG278&gt;0.2,"20-30%",IF(AG278&gt;0.1,"10-20%",IF(AG278&lt;=0.1,"0-10%"))))))</f>
        <v>0-10%</v>
      </c>
      <c r="AI278" s="32"/>
      <c r="AJ278" s="36" t="s">
        <v>3300</v>
      </c>
      <c r="AK278" s="32"/>
    </row>
    <row r="279" spans="1:37" s="1" customFormat="1" ht="19.7" customHeight="1" x14ac:dyDescent="0.25">
      <c r="A279" s="9" t="s">
        <v>22</v>
      </c>
      <c r="B279" s="9" t="s">
        <v>1591</v>
      </c>
      <c r="C279" s="10">
        <v>44421</v>
      </c>
      <c r="D279" s="9" t="s">
        <v>24</v>
      </c>
      <c r="E279" s="9" t="s">
        <v>25</v>
      </c>
      <c r="F279" s="9" t="s">
        <v>26</v>
      </c>
      <c r="G279" s="9" t="s">
        <v>67</v>
      </c>
      <c r="H279" s="9" t="s">
        <v>68</v>
      </c>
      <c r="I279" s="9" t="s">
        <v>29</v>
      </c>
      <c r="J279" s="9" t="s">
        <v>30</v>
      </c>
      <c r="K279" s="9" t="s">
        <v>31</v>
      </c>
      <c r="L279" s="9" t="s">
        <v>32</v>
      </c>
      <c r="M279" s="9" t="s">
        <v>890</v>
      </c>
      <c r="N279" s="9" t="s">
        <v>1592</v>
      </c>
      <c r="O279" s="9" t="s">
        <v>71</v>
      </c>
      <c r="P279" s="9" t="s">
        <v>892</v>
      </c>
      <c r="Q279" s="9">
        <v>111449545</v>
      </c>
      <c r="R279" s="9" t="s">
        <v>73</v>
      </c>
      <c r="S279" s="9" t="s">
        <v>39</v>
      </c>
      <c r="T279" s="11">
        <v>48</v>
      </c>
      <c r="U279" s="15" t="s">
        <v>71</v>
      </c>
      <c r="V279" s="41" t="s">
        <v>892</v>
      </c>
      <c r="W279" s="17">
        <v>111449545</v>
      </c>
      <c r="X279" s="16" t="s">
        <v>2603</v>
      </c>
      <c r="Y279" s="17" t="s">
        <v>2852</v>
      </c>
      <c r="Z279" s="17" t="s">
        <v>39</v>
      </c>
      <c r="AA279" s="17" t="s">
        <v>2501</v>
      </c>
      <c r="AB279" s="29">
        <v>4.78</v>
      </c>
      <c r="AC279" s="25">
        <v>4.78</v>
      </c>
      <c r="AD279" s="25">
        <f>AC279*T279</f>
        <v>229.44</v>
      </c>
      <c r="AE279" s="25">
        <f>AB279*T279</f>
        <v>229.44</v>
      </c>
      <c r="AF279" s="25">
        <f>AD279-AE279</f>
        <v>0</v>
      </c>
      <c r="AG279" s="26">
        <f>AF279/AD279</f>
        <v>0</v>
      </c>
      <c r="AH279" s="27" t="str">
        <f>IF(AG279&lt;0,"Negative",IF(AG279=0,"Same",IF(AG279&gt;0.3,"30+%",IF(AG279&gt;0.2,"20-30%",IF(AG279&gt;0.1,"10-20%",IF(AG279&lt;=0.1,"0-10%"))))))</f>
        <v>Same</v>
      </c>
      <c r="AI279" s="32"/>
      <c r="AJ279" s="36" t="s">
        <v>3300</v>
      </c>
      <c r="AK279" s="32"/>
    </row>
    <row r="280" spans="1:37" s="1" customFormat="1" ht="19.7" customHeight="1" x14ac:dyDescent="0.25">
      <c r="A280" s="9" t="s">
        <v>22</v>
      </c>
      <c r="B280" s="9" t="s">
        <v>889</v>
      </c>
      <c r="C280" s="10">
        <v>44316</v>
      </c>
      <c r="D280" s="9" t="s">
        <v>24</v>
      </c>
      <c r="E280" s="9" t="s">
        <v>25</v>
      </c>
      <c r="F280" s="9" t="s">
        <v>26</v>
      </c>
      <c r="G280" s="9" t="s">
        <v>67</v>
      </c>
      <c r="H280" s="9" t="s">
        <v>68</v>
      </c>
      <c r="I280" s="9" t="s">
        <v>29</v>
      </c>
      <c r="J280" s="9" t="s">
        <v>30</v>
      </c>
      <c r="K280" s="9" t="s">
        <v>31</v>
      </c>
      <c r="L280" s="9" t="s">
        <v>32</v>
      </c>
      <c r="M280" s="9" t="s">
        <v>890</v>
      </c>
      <c r="N280" s="9" t="s">
        <v>891</v>
      </c>
      <c r="O280" s="9" t="s">
        <v>71</v>
      </c>
      <c r="P280" s="9" t="s">
        <v>892</v>
      </c>
      <c r="Q280" s="9">
        <v>111449545</v>
      </c>
      <c r="R280" s="9" t="s">
        <v>73</v>
      </c>
      <c r="S280" s="9" t="s">
        <v>39</v>
      </c>
      <c r="T280" s="11">
        <v>48</v>
      </c>
      <c r="U280" s="15" t="s">
        <v>71</v>
      </c>
      <c r="V280" s="41" t="s">
        <v>892</v>
      </c>
      <c r="W280" s="17">
        <v>111449545</v>
      </c>
      <c r="X280" s="16" t="s">
        <v>2603</v>
      </c>
      <c r="Y280" s="17" t="s">
        <v>2852</v>
      </c>
      <c r="Z280" s="17" t="s">
        <v>39</v>
      </c>
      <c r="AA280" s="17" t="s">
        <v>2501</v>
      </c>
      <c r="AB280" s="29">
        <v>4.78</v>
      </c>
      <c r="AC280" s="25">
        <v>4.78</v>
      </c>
      <c r="AD280" s="25">
        <f>AC280*T280</f>
        <v>229.44</v>
      </c>
      <c r="AE280" s="25">
        <f>AB280*T280</f>
        <v>229.44</v>
      </c>
      <c r="AF280" s="25">
        <f>AD280-AE280</f>
        <v>0</v>
      </c>
      <c r="AG280" s="26">
        <f>AF280/AD280</f>
        <v>0</v>
      </c>
      <c r="AH280" s="27" t="str">
        <f>IF(AG280&lt;0,"Negative",IF(AG280=0,"Same",IF(AG280&gt;0.3,"30+%",IF(AG280&gt;0.2,"20-30%",IF(AG280&gt;0.1,"10-20%",IF(AG280&lt;=0.1,"0-10%"))))))</f>
        <v>Same</v>
      </c>
      <c r="AI280" s="32"/>
      <c r="AJ280" s="36" t="s">
        <v>3300</v>
      </c>
      <c r="AK280" s="32"/>
    </row>
    <row r="281" spans="1:37" s="1" customFormat="1" ht="19.7" customHeight="1" x14ac:dyDescent="0.25">
      <c r="A281" s="5" t="s">
        <v>22</v>
      </c>
      <c r="B281" s="5" t="s">
        <v>1216</v>
      </c>
      <c r="C281" s="6">
        <v>44361</v>
      </c>
      <c r="D281" s="5" t="s">
        <v>24</v>
      </c>
      <c r="E281" s="5" t="s">
        <v>25</v>
      </c>
      <c r="F281" s="5" t="s">
        <v>26</v>
      </c>
      <c r="G281" s="5" t="s">
        <v>67</v>
      </c>
      <c r="H281" s="5" t="s">
        <v>68</v>
      </c>
      <c r="I281" s="5" t="s">
        <v>29</v>
      </c>
      <c r="J281" s="5" t="s">
        <v>30</v>
      </c>
      <c r="K281" s="5" t="s">
        <v>31</v>
      </c>
      <c r="L281" s="5" t="s">
        <v>32</v>
      </c>
      <c r="M281" s="5" t="s">
        <v>1220</v>
      </c>
      <c r="N281" s="5" t="s">
        <v>1217</v>
      </c>
      <c r="O281" s="5" t="s">
        <v>197</v>
      </c>
      <c r="P281" s="5" t="s">
        <v>1221</v>
      </c>
      <c r="Q281" s="5">
        <v>105787495</v>
      </c>
      <c r="R281" s="5" t="s">
        <v>199</v>
      </c>
      <c r="S281" s="5" t="s">
        <v>39</v>
      </c>
      <c r="T281" s="7">
        <v>2</v>
      </c>
      <c r="U281" s="15" t="s">
        <v>197</v>
      </c>
      <c r="V281" s="16" t="s">
        <v>1221</v>
      </c>
      <c r="W281" s="17">
        <v>105787495</v>
      </c>
      <c r="X281" s="16" t="s">
        <v>2571</v>
      </c>
      <c r="Y281" s="17" t="s">
        <v>2965</v>
      </c>
      <c r="Z281" s="17" t="s">
        <v>39</v>
      </c>
      <c r="AA281" s="17" t="s">
        <v>2501</v>
      </c>
      <c r="AB281" s="29">
        <v>18.079999999999998</v>
      </c>
      <c r="AC281" s="25">
        <v>19.39</v>
      </c>
      <c r="AD281" s="25">
        <f>AC281*T281</f>
        <v>38.78</v>
      </c>
      <c r="AE281" s="25">
        <f>AB281*T281</f>
        <v>36.159999999999997</v>
      </c>
      <c r="AF281" s="25">
        <f>AD281-AE281</f>
        <v>2.6200000000000045</v>
      </c>
      <c r="AG281" s="26">
        <f>AF281/AD281</f>
        <v>6.7560598246518944E-2</v>
      </c>
      <c r="AH281" s="27" t="str">
        <f>IF(AG281&lt;0,"Negative",IF(AG281=0,"Same",IF(AG281&gt;0.3,"30+%",IF(AG281&gt;0.2,"20-30%",IF(AG281&gt;0.1,"10-20%",IF(AG281&lt;=0.1,"0-10%"))))))</f>
        <v>0-10%</v>
      </c>
      <c r="AI281" s="32"/>
      <c r="AJ281" s="36" t="s">
        <v>3300</v>
      </c>
      <c r="AK281" s="32"/>
    </row>
    <row r="282" spans="1:37" s="1" customFormat="1" ht="19.7" customHeight="1" x14ac:dyDescent="0.25">
      <c r="A282" s="9" t="s">
        <v>22</v>
      </c>
      <c r="B282" s="9" t="s">
        <v>40</v>
      </c>
      <c r="C282" s="10">
        <v>44229</v>
      </c>
      <c r="D282" s="9" t="s">
        <v>24</v>
      </c>
      <c r="E282" s="9" t="s">
        <v>25</v>
      </c>
      <c r="F282" s="9" t="s">
        <v>26</v>
      </c>
      <c r="G282" s="9" t="s">
        <v>27</v>
      </c>
      <c r="H282" s="9" t="s">
        <v>28</v>
      </c>
      <c r="I282" s="9" t="s">
        <v>29</v>
      </c>
      <c r="J282" s="9" t="s">
        <v>30</v>
      </c>
      <c r="K282" s="9" t="s">
        <v>31</v>
      </c>
      <c r="L282" s="9" t="s">
        <v>32</v>
      </c>
      <c r="M282" s="9" t="s">
        <v>41</v>
      </c>
      <c r="N282" s="9" t="s">
        <v>42</v>
      </c>
      <c r="O282" s="9" t="s">
        <v>43</v>
      </c>
      <c r="P282" s="9" t="s">
        <v>44</v>
      </c>
      <c r="Q282" s="9">
        <v>114728075</v>
      </c>
      <c r="R282" s="9" t="s">
        <v>45</v>
      </c>
      <c r="S282" s="9" t="s">
        <v>39</v>
      </c>
      <c r="T282" s="11">
        <v>4</v>
      </c>
      <c r="U282" s="15" t="s">
        <v>43</v>
      </c>
      <c r="V282" s="16" t="s">
        <v>44</v>
      </c>
      <c r="W282" s="17">
        <v>114728075</v>
      </c>
      <c r="X282" s="16" t="s">
        <v>2499</v>
      </c>
      <c r="Y282" s="17" t="s">
        <v>2500</v>
      </c>
      <c r="Z282" s="17" t="s">
        <v>39</v>
      </c>
      <c r="AA282" s="17" t="s">
        <v>2501</v>
      </c>
      <c r="AB282" s="29">
        <v>12.27</v>
      </c>
      <c r="AC282" s="25">
        <v>13.29</v>
      </c>
      <c r="AD282" s="25">
        <f>AC282*T282</f>
        <v>53.16</v>
      </c>
      <c r="AE282" s="25">
        <f>AB282*T282</f>
        <v>49.08</v>
      </c>
      <c r="AF282" s="25">
        <f>AD282-AE282</f>
        <v>4.0799999999999983</v>
      </c>
      <c r="AG282" s="26">
        <f>AF282/AD282</f>
        <v>7.674943566591419E-2</v>
      </c>
      <c r="AH282" s="27" t="str">
        <f>IF(AG282&lt;0,"Negative",IF(AG282=0,"Same",IF(AG282&gt;0.3,"30+%",IF(AG282&gt;0.2,"20-30%",IF(AG282&gt;0.1,"10-20%",IF(AG282&lt;=0.1,"0-10%"))))))</f>
        <v>0-10%</v>
      </c>
      <c r="AI282" s="32"/>
      <c r="AJ282" s="36" t="s">
        <v>3300</v>
      </c>
      <c r="AK282" s="32"/>
    </row>
    <row r="283" spans="1:37" s="1" customFormat="1" ht="19.7" customHeight="1" x14ac:dyDescent="0.25">
      <c r="A283" s="5" t="s">
        <v>22</v>
      </c>
      <c r="B283" s="5" t="s">
        <v>355</v>
      </c>
      <c r="C283" s="6">
        <v>44253</v>
      </c>
      <c r="D283" s="5" t="s">
        <v>24</v>
      </c>
      <c r="E283" s="5" t="s">
        <v>25</v>
      </c>
      <c r="F283" s="5" t="s">
        <v>26</v>
      </c>
      <c r="G283" s="5" t="s">
        <v>67</v>
      </c>
      <c r="H283" s="5" t="s">
        <v>68</v>
      </c>
      <c r="I283" s="5" t="s">
        <v>29</v>
      </c>
      <c r="J283" s="5" t="s">
        <v>30</v>
      </c>
      <c r="K283" s="5" t="s">
        <v>31</v>
      </c>
      <c r="L283" s="5" t="s">
        <v>32</v>
      </c>
      <c r="M283" s="5" t="s">
        <v>356</v>
      </c>
      <c r="N283" s="5" t="s">
        <v>357</v>
      </c>
      <c r="O283" s="5" t="s">
        <v>71</v>
      </c>
      <c r="P283" s="5" t="s">
        <v>358</v>
      </c>
      <c r="Q283" s="5">
        <v>112691205</v>
      </c>
      <c r="R283" s="5" t="s">
        <v>76</v>
      </c>
      <c r="S283" s="5" t="s">
        <v>77</v>
      </c>
      <c r="T283" s="7">
        <v>96</v>
      </c>
      <c r="U283" s="15" t="s">
        <v>71</v>
      </c>
      <c r="V283" s="41" t="s">
        <v>358</v>
      </c>
      <c r="W283" s="17">
        <v>112691205</v>
      </c>
      <c r="X283" s="16" t="s">
        <v>2512</v>
      </c>
      <c r="Y283" s="17" t="s">
        <v>2640</v>
      </c>
      <c r="Z283" s="17" t="s">
        <v>77</v>
      </c>
      <c r="AA283" s="17" t="s">
        <v>37</v>
      </c>
      <c r="AB283" s="29">
        <v>3.59</v>
      </c>
      <c r="AC283" s="25">
        <v>3.59</v>
      </c>
      <c r="AD283" s="25">
        <f>AC283*T283</f>
        <v>344.64</v>
      </c>
      <c r="AE283" s="25">
        <f>AB283*T283</f>
        <v>344.64</v>
      </c>
      <c r="AF283" s="25">
        <f>AD283-AE283</f>
        <v>0</v>
      </c>
      <c r="AG283" s="26">
        <f>AF283/AD283</f>
        <v>0</v>
      </c>
      <c r="AH283" s="27" t="str">
        <f>IF(AG283&lt;0,"Negative",IF(AG283=0,"Same",IF(AG283&gt;0.3,"30+%",IF(AG283&gt;0.2,"20-30%",IF(AG283&gt;0.1,"10-20%",IF(AG283&lt;=0.1,"0-10%"))))))</f>
        <v>Same</v>
      </c>
      <c r="AI283" s="32"/>
      <c r="AJ283" s="36" t="s">
        <v>3300</v>
      </c>
      <c r="AK283" s="32"/>
    </row>
    <row r="284" spans="1:37" s="1" customFormat="1" ht="19.7" customHeight="1" x14ac:dyDescent="0.25">
      <c r="A284" s="9" t="s">
        <v>22</v>
      </c>
      <c r="B284" s="9" t="s">
        <v>1970</v>
      </c>
      <c r="C284" s="10">
        <v>44491</v>
      </c>
      <c r="D284" s="9" t="s">
        <v>24</v>
      </c>
      <c r="E284" s="9" t="s">
        <v>25</v>
      </c>
      <c r="F284" s="9" t="s">
        <v>26</v>
      </c>
      <c r="G284" s="9" t="s">
        <v>27</v>
      </c>
      <c r="H284" s="9" t="s">
        <v>28</v>
      </c>
      <c r="I284" s="9" t="s">
        <v>29</v>
      </c>
      <c r="J284" s="9" t="s">
        <v>30</v>
      </c>
      <c r="K284" s="9" t="s">
        <v>31</v>
      </c>
      <c r="L284" s="9" t="s">
        <v>32</v>
      </c>
      <c r="M284" s="9" t="s">
        <v>1546</v>
      </c>
      <c r="N284" s="9" t="s">
        <v>1916</v>
      </c>
      <c r="O284" s="9" t="s">
        <v>89</v>
      </c>
      <c r="P284" s="9" t="s">
        <v>1005</v>
      </c>
      <c r="Q284" s="9">
        <v>100000780</v>
      </c>
      <c r="R284" s="9" t="s">
        <v>45</v>
      </c>
      <c r="S284" s="9" t="s">
        <v>39</v>
      </c>
      <c r="T284" s="11">
        <v>1</v>
      </c>
      <c r="U284" s="15" t="s">
        <v>89</v>
      </c>
      <c r="V284" s="16" t="s">
        <v>1005</v>
      </c>
      <c r="W284" s="17">
        <v>100000780</v>
      </c>
      <c r="X284" s="16" t="s">
        <v>2520</v>
      </c>
      <c r="Y284" s="17" t="s">
        <v>2893</v>
      </c>
      <c r="Z284" s="17" t="s">
        <v>39</v>
      </c>
      <c r="AA284" s="17" t="s">
        <v>37</v>
      </c>
      <c r="AB284" s="43">
        <v>4.3499999999999996</v>
      </c>
      <c r="AC284" s="25">
        <v>5.1100000000000003</v>
      </c>
      <c r="AD284" s="25">
        <f>AC284*T284</f>
        <v>5.1100000000000003</v>
      </c>
      <c r="AE284" s="25">
        <f>AB284*T284</f>
        <v>4.3499999999999996</v>
      </c>
      <c r="AF284" s="25">
        <f>AD284-AE284</f>
        <v>0.76000000000000068</v>
      </c>
      <c r="AG284" s="26">
        <f>AF284/AD284</f>
        <v>0.14872798434442283</v>
      </c>
      <c r="AH284" s="27" t="str">
        <f>IF(AG284&lt;0,"Negative",IF(AG284=0,"Same",IF(AG284&gt;0.3,"30+%",IF(AG284&gt;0.2,"20-30%",IF(AG284&gt;0.1,"10-20%",IF(AG284&lt;=0.1,"0-10%"))))))</f>
        <v>10-20%</v>
      </c>
      <c r="AI284" s="32"/>
      <c r="AJ284" s="36" t="s">
        <v>3300</v>
      </c>
      <c r="AK284" s="32"/>
    </row>
    <row r="285" spans="1:37" s="1" customFormat="1" ht="19.7" customHeight="1" x14ac:dyDescent="0.25">
      <c r="A285" s="9" t="s">
        <v>22</v>
      </c>
      <c r="B285" s="9" t="s">
        <v>1921</v>
      </c>
      <c r="C285" s="10">
        <v>44484</v>
      </c>
      <c r="D285" s="9" t="s">
        <v>24</v>
      </c>
      <c r="E285" s="9" t="s">
        <v>25</v>
      </c>
      <c r="F285" s="9" t="s">
        <v>26</v>
      </c>
      <c r="G285" s="9" t="s">
        <v>27</v>
      </c>
      <c r="H285" s="9" t="s">
        <v>28</v>
      </c>
      <c r="I285" s="9" t="s">
        <v>29</v>
      </c>
      <c r="J285" s="9" t="s">
        <v>30</v>
      </c>
      <c r="K285" s="9" t="s">
        <v>31</v>
      </c>
      <c r="L285" s="9" t="s">
        <v>32</v>
      </c>
      <c r="M285" s="9" t="s">
        <v>1546</v>
      </c>
      <c r="N285" s="9" t="s">
        <v>1916</v>
      </c>
      <c r="O285" s="9" t="s">
        <v>89</v>
      </c>
      <c r="P285" s="9" t="s">
        <v>1005</v>
      </c>
      <c r="Q285" s="9">
        <v>100000780</v>
      </c>
      <c r="R285" s="9" t="s">
        <v>45</v>
      </c>
      <c r="S285" s="9" t="s">
        <v>39</v>
      </c>
      <c r="T285" s="11">
        <v>3</v>
      </c>
      <c r="U285" s="15" t="s">
        <v>89</v>
      </c>
      <c r="V285" s="16" t="s">
        <v>1005</v>
      </c>
      <c r="W285" s="17">
        <v>100000780</v>
      </c>
      <c r="X285" s="16" t="s">
        <v>2520</v>
      </c>
      <c r="Y285" s="17" t="s">
        <v>2893</v>
      </c>
      <c r="Z285" s="17" t="s">
        <v>39</v>
      </c>
      <c r="AA285" s="17" t="s">
        <v>37</v>
      </c>
      <c r="AB285" s="43">
        <v>4.3499999999999996</v>
      </c>
      <c r="AC285" s="25">
        <v>5.1100000000000003</v>
      </c>
      <c r="AD285" s="25">
        <f>AC285*T285</f>
        <v>15.330000000000002</v>
      </c>
      <c r="AE285" s="25">
        <f>AB285*T285</f>
        <v>13.049999999999999</v>
      </c>
      <c r="AF285" s="25">
        <f>AD285-AE285</f>
        <v>2.2800000000000029</v>
      </c>
      <c r="AG285" s="26">
        <f>AF285/AD285</f>
        <v>0.14872798434442286</v>
      </c>
      <c r="AH285" s="27" t="str">
        <f>IF(AG285&lt;0,"Negative",IF(AG285=0,"Same",IF(AG285&gt;0.3,"30+%",IF(AG285&gt;0.2,"20-30%",IF(AG285&gt;0.1,"10-20%",IF(AG285&lt;=0.1,"0-10%"))))))</f>
        <v>10-20%</v>
      </c>
      <c r="AI285" s="32"/>
      <c r="AJ285" s="36" t="s">
        <v>3300</v>
      </c>
      <c r="AK285" s="32"/>
    </row>
    <row r="286" spans="1:37" s="1" customFormat="1" ht="19.7" customHeight="1" x14ac:dyDescent="0.25">
      <c r="A286" s="5" t="s">
        <v>22</v>
      </c>
      <c r="B286" s="5" t="s">
        <v>2379</v>
      </c>
      <c r="C286" s="6">
        <v>44575</v>
      </c>
      <c r="D286" s="5" t="s">
        <v>24</v>
      </c>
      <c r="E286" s="5" t="s">
        <v>25</v>
      </c>
      <c r="F286" s="5" t="s">
        <v>26</v>
      </c>
      <c r="G286" s="5" t="s">
        <v>27</v>
      </c>
      <c r="H286" s="5" t="s">
        <v>28</v>
      </c>
      <c r="I286" s="5" t="s">
        <v>29</v>
      </c>
      <c r="J286" s="5" t="s">
        <v>30</v>
      </c>
      <c r="K286" s="5" t="s">
        <v>31</v>
      </c>
      <c r="L286" s="5" t="s">
        <v>32</v>
      </c>
      <c r="M286" s="5" t="s">
        <v>2187</v>
      </c>
      <c r="N286" s="5" t="s">
        <v>2366</v>
      </c>
      <c r="O286" s="5" t="s">
        <v>1487</v>
      </c>
      <c r="P286" s="5" t="s">
        <v>2188</v>
      </c>
      <c r="Q286" s="5">
        <v>101818875</v>
      </c>
      <c r="R286" s="5" t="s">
        <v>56</v>
      </c>
      <c r="S286" s="5" t="s">
        <v>39</v>
      </c>
      <c r="T286" s="7">
        <v>1</v>
      </c>
      <c r="U286" s="15" t="s">
        <v>1487</v>
      </c>
      <c r="V286" s="16" t="s">
        <v>2188</v>
      </c>
      <c r="W286" s="17">
        <v>101818875</v>
      </c>
      <c r="X286" s="16" t="s">
        <v>2998</v>
      </c>
      <c r="Y286" s="17" t="s">
        <v>3227</v>
      </c>
      <c r="Z286" s="17" t="s">
        <v>39</v>
      </c>
      <c r="AA286" s="17" t="s">
        <v>37</v>
      </c>
      <c r="AB286" s="29">
        <v>105.6</v>
      </c>
      <c r="AC286" s="25">
        <v>102.71</v>
      </c>
      <c r="AD286" s="25">
        <f>AC286*T286</f>
        <v>102.71</v>
      </c>
      <c r="AE286" s="25">
        <f>AB286*T286</f>
        <v>105.6</v>
      </c>
      <c r="AF286" s="25">
        <f>AD286-AE286</f>
        <v>-2.8900000000000006</v>
      </c>
      <c r="AG286" s="26">
        <f>AF286/AD286</f>
        <v>-2.8137474442605399E-2</v>
      </c>
      <c r="AH286" s="27" t="str">
        <f>IF(AG286&lt;0,"Negative",IF(AG286=0,"Same",IF(AG286&gt;0.3,"30+%",IF(AG286&gt;0.2,"20-30%",IF(AG286&gt;0.1,"10-20%",IF(AG286&lt;=0.1,"0-10%"))))))</f>
        <v>Negative</v>
      </c>
      <c r="AI286" s="32"/>
      <c r="AJ286" s="36" t="s">
        <v>3300</v>
      </c>
      <c r="AK286" s="32"/>
    </row>
    <row r="287" spans="1:37" s="1" customFormat="1" ht="19.7" customHeight="1" x14ac:dyDescent="0.25">
      <c r="A287" s="9" t="s">
        <v>22</v>
      </c>
      <c r="B287" s="9" t="s">
        <v>2186</v>
      </c>
      <c r="C287" s="10">
        <v>44536</v>
      </c>
      <c r="D287" s="9" t="s">
        <v>24</v>
      </c>
      <c r="E287" s="9" t="s">
        <v>25</v>
      </c>
      <c r="F287" s="9" t="s">
        <v>26</v>
      </c>
      <c r="G287" s="9" t="s">
        <v>27</v>
      </c>
      <c r="H287" s="9" t="s">
        <v>28</v>
      </c>
      <c r="I287" s="9" t="s">
        <v>29</v>
      </c>
      <c r="J287" s="9" t="s">
        <v>30</v>
      </c>
      <c r="K287" s="9" t="s">
        <v>31</v>
      </c>
      <c r="L287" s="9" t="s">
        <v>32</v>
      </c>
      <c r="M287" s="9" t="s">
        <v>2187</v>
      </c>
      <c r="N287" s="9" t="s">
        <v>2171</v>
      </c>
      <c r="O287" s="9" t="s">
        <v>1487</v>
      </c>
      <c r="P287" s="9" t="s">
        <v>2188</v>
      </c>
      <c r="Q287" s="9">
        <v>101818875</v>
      </c>
      <c r="R287" s="9" t="s">
        <v>56</v>
      </c>
      <c r="S287" s="9" t="s">
        <v>39</v>
      </c>
      <c r="T287" s="11">
        <v>1</v>
      </c>
      <c r="U287" s="15" t="s">
        <v>1487</v>
      </c>
      <c r="V287" s="16" t="s">
        <v>2188</v>
      </c>
      <c r="W287" s="17">
        <v>101818875</v>
      </c>
      <c r="X287" s="16" t="s">
        <v>2998</v>
      </c>
      <c r="Y287" s="17" t="s">
        <v>3227</v>
      </c>
      <c r="Z287" s="17" t="s">
        <v>39</v>
      </c>
      <c r="AA287" s="17" t="s">
        <v>37</v>
      </c>
      <c r="AB287" s="29">
        <v>105.6</v>
      </c>
      <c r="AC287" s="25">
        <v>102.71</v>
      </c>
      <c r="AD287" s="25">
        <f>AC287*T287</f>
        <v>102.71</v>
      </c>
      <c r="AE287" s="25">
        <f>AB287*T287</f>
        <v>105.6</v>
      </c>
      <c r="AF287" s="25">
        <f>AD287-AE287</f>
        <v>-2.8900000000000006</v>
      </c>
      <c r="AG287" s="26">
        <f>AF287/AD287</f>
        <v>-2.8137474442605399E-2</v>
      </c>
      <c r="AH287" s="27" t="str">
        <f>IF(AG287&lt;0,"Negative",IF(AG287=0,"Same",IF(AG287&gt;0.3,"30+%",IF(AG287&gt;0.2,"20-30%",IF(AG287&gt;0.1,"10-20%",IF(AG287&lt;=0.1,"0-10%"))))))</f>
        <v>Negative</v>
      </c>
      <c r="AI287" s="32"/>
      <c r="AJ287" s="36" t="s">
        <v>3300</v>
      </c>
      <c r="AK287" s="32"/>
    </row>
    <row r="288" spans="1:37" s="1" customFormat="1" ht="19.7" customHeight="1" x14ac:dyDescent="0.25">
      <c r="A288" s="9" t="s">
        <v>22</v>
      </c>
      <c r="B288" s="9" t="s">
        <v>2433</v>
      </c>
      <c r="C288" s="10">
        <v>44568</v>
      </c>
      <c r="D288" s="9" t="s">
        <v>24</v>
      </c>
      <c r="E288" s="9" t="s">
        <v>25</v>
      </c>
      <c r="F288" s="9" t="s">
        <v>26</v>
      </c>
      <c r="G288" s="9" t="s">
        <v>67</v>
      </c>
      <c r="H288" s="9" t="s">
        <v>68</v>
      </c>
      <c r="I288" s="9" t="s">
        <v>29</v>
      </c>
      <c r="J288" s="9" t="s">
        <v>30</v>
      </c>
      <c r="K288" s="9" t="s">
        <v>31</v>
      </c>
      <c r="L288" s="9" t="s">
        <v>32</v>
      </c>
      <c r="M288" s="9" t="s">
        <v>74</v>
      </c>
      <c r="N288" s="9" t="s">
        <v>2237</v>
      </c>
      <c r="O288" s="9" t="s">
        <v>71</v>
      </c>
      <c r="P288" s="9" t="s">
        <v>75</v>
      </c>
      <c r="Q288" s="9">
        <v>112691098</v>
      </c>
      <c r="R288" s="9" t="s">
        <v>76</v>
      </c>
      <c r="S288" s="9" t="s">
        <v>77</v>
      </c>
      <c r="T288" s="11">
        <v>216</v>
      </c>
      <c r="U288" s="15" t="s">
        <v>71</v>
      </c>
      <c r="V288" s="41" t="s">
        <v>75</v>
      </c>
      <c r="W288" s="17">
        <v>112691098</v>
      </c>
      <c r="X288" s="16" t="s">
        <v>2512</v>
      </c>
      <c r="Y288" s="17" t="s">
        <v>2513</v>
      </c>
      <c r="Z288" s="17" t="s">
        <v>77</v>
      </c>
      <c r="AA288" s="17" t="s">
        <v>37</v>
      </c>
      <c r="AB288" s="29">
        <v>13.55</v>
      </c>
      <c r="AC288" s="25">
        <v>13.55</v>
      </c>
      <c r="AD288" s="25">
        <f>AC288*T288</f>
        <v>2926.8</v>
      </c>
      <c r="AE288" s="25">
        <f>AB288*T288</f>
        <v>2926.8</v>
      </c>
      <c r="AF288" s="25">
        <f>AD288-AE288</f>
        <v>0</v>
      </c>
      <c r="AG288" s="26">
        <f>AF288/AD288</f>
        <v>0</v>
      </c>
      <c r="AH288" s="27" t="str">
        <f>IF(AG288&lt;0,"Negative",IF(AG288=0,"Same",IF(AG288&gt;0.3,"30+%",IF(AG288&gt;0.2,"20-30%",IF(AG288&gt;0.1,"10-20%",IF(AG288&lt;=0.1,"0-10%"))))))</f>
        <v>Same</v>
      </c>
      <c r="AI288" s="32"/>
      <c r="AJ288" s="36" t="s">
        <v>3300</v>
      </c>
      <c r="AK288" s="32"/>
    </row>
    <row r="289" spans="1:37" s="1" customFormat="1" ht="19.7" customHeight="1" x14ac:dyDescent="0.25">
      <c r="A289" s="9" t="s">
        <v>22</v>
      </c>
      <c r="B289" s="9" t="s">
        <v>482</v>
      </c>
      <c r="C289" s="10">
        <v>44267</v>
      </c>
      <c r="D289" s="9" t="s">
        <v>24</v>
      </c>
      <c r="E289" s="9" t="s">
        <v>25</v>
      </c>
      <c r="F289" s="9" t="s">
        <v>26</v>
      </c>
      <c r="G289" s="9" t="s">
        <v>67</v>
      </c>
      <c r="H289" s="9" t="s">
        <v>68</v>
      </c>
      <c r="I289" s="9" t="s">
        <v>29</v>
      </c>
      <c r="J289" s="9" t="s">
        <v>30</v>
      </c>
      <c r="K289" s="9" t="s">
        <v>31</v>
      </c>
      <c r="L289" s="9" t="s">
        <v>32</v>
      </c>
      <c r="M289" s="9" t="s">
        <v>489</v>
      </c>
      <c r="N289" s="9" t="s">
        <v>483</v>
      </c>
      <c r="O289" s="9" t="s">
        <v>128</v>
      </c>
      <c r="P289" s="9" t="s">
        <v>490</v>
      </c>
      <c r="Q289" s="9">
        <v>112690422</v>
      </c>
      <c r="R289" s="9" t="s">
        <v>76</v>
      </c>
      <c r="S289" s="9" t="s">
        <v>39</v>
      </c>
      <c r="T289" s="11">
        <v>10</v>
      </c>
      <c r="U289" s="15" t="s">
        <v>128</v>
      </c>
      <c r="V289" s="16" t="s">
        <v>490</v>
      </c>
      <c r="W289" s="17">
        <v>112690422</v>
      </c>
      <c r="X289" s="16" t="s">
        <v>2697</v>
      </c>
      <c r="Y289" s="17" t="s">
        <v>2698</v>
      </c>
      <c r="Z289" s="17" t="s">
        <v>39</v>
      </c>
      <c r="AA289" s="17" t="s">
        <v>37</v>
      </c>
      <c r="AB289" s="29">
        <v>17.77</v>
      </c>
      <c r="AC289" s="25">
        <v>17.89</v>
      </c>
      <c r="AD289" s="25">
        <f>AC289*T289</f>
        <v>178.9</v>
      </c>
      <c r="AE289" s="25">
        <f>AB289*T289</f>
        <v>177.7</v>
      </c>
      <c r="AF289" s="25">
        <f>AD289-AE289</f>
        <v>1.2000000000000171</v>
      </c>
      <c r="AG289" s="26">
        <f>AF289/AD289</f>
        <v>6.7076579094467129E-3</v>
      </c>
      <c r="AH289" s="27" t="str">
        <f>IF(AG289&lt;0,"Negative",IF(AG289=0,"Same",IF(AG289&gt;0.3,"30+%",IF(AG289&gt;0.2,"20-30%",IF(AG289&gt;0.1,"10-20%",IF(AG289&lt;=0.1,"0-10%"))))))</f>
        <v>0-10%</v>
      </c>
      <c r="AI289" s="32"/>
      <c r="AJ289" s="36" t="s">
        <v>3299</v>
      </c>
      <c r="AK289" s="32"/>
    </row>
    <row r="290" spans="1:37" s="1" customFormat="1" ht="19.7" customHeight="1" x14ac:dyDescent="0.25">
      <c r="A290" s="5" t="s">
        <v>22</v>
      </c>
      <c r="B290" s="5" t="s">
        <v>885</v>
      </c>
      <c r="C290" s="6">
        <v>44316</v>
      </c>
      <c r="D290" s="5" t="s">
        <v>24</v>
      </c>
      <c r="E290" s="5" t="s">
        <v>25</v>
      </c>
      <c r="F290" s="5" t="s">
        <v>26</v>
      </c>
      <c r="G290" s="5" t="s">
        <v>67</v>
      </c>
      <c r="H290" s="5" t="s">
        <v>68</v>
      </c>
      <c r="I290" s="5" t="s">
        <v>29</v>
      </c>
      <c r="J290" s="5" t="s">
        <v>30</v>
      </c>
      <c r="K290" s="5" t="s">
        <v>31</v>
      </c>
      <c r="L290" s="5" t="s">
        <v>32</v>
      </c>
      <c r="M290" s="5" t="s">
        <v>489</v>
      </c>
      <c r="N290" s="5" t="s">
        <v>886</v>
      </c>
      <c r="O290" s="5" t="s">
        <v>128</v>
      </c>
      <c r="P290" s="5" t="s">
        <v>490</v>
      </c>
      <c r="Q290" s="5">
        <v>112690422</v>
      </c>
      <c r="R290" s="5" t="s">
        <v>76</v>
      </c>
      <c r="S290" s="5" t="s">
        <v>39</v>
      </c>
      <c r="T290" s="7">
        <v>10</v>
      </c>
      <c r="U290" s="15" t="s">
        <v>128</v>
      </c>
      <c r="V290" s="16" t="s">
        <v>490</v>
      </c>
      <c r="W290" s="17">
        <v>112690422</v>
      </c>
      <c r="X290" s="16" t="s">
        <v>2697</v>
      </c>
      <c r="Y290" s="17" t="s">
        <v>2698</v>
      </c>
      <c r="Z290" s="17" t="s">
        <v>39</v>
      </c>
      <c r="AA290" s="17" t="s">
        <v>37</v>
      </c>
      <c r="AB290" s="29">
        <v>17.77</v>
      </c>
      <c r="AC290" s="25">
        <v>17.89</v>
      </c>
      <c r="AD290" s="25">
        <f>AC290*T290</f>
        <v>178.9</v>
      </c>
      <c r="AE290" s="25">
        <f>AB290*T290</f>
        <v>177.7</v>
      </c>
      <c r="AF290" s="25">
        <f>AD290-AE290</f>
        <v>1.2000000000000171</v>
      </c>
      <c r="AG290" s="26">
        <f>AF290/AD290</f>
        <v>6.7076579094467129E-3</v>
      </c>
      <c r="AH290" s="27" t="str">
        <f>IF(AG290&lt;0,"Negative",IF(AG290=0,"Same",IF(AG290&gt;0.3,"30+%",IF(AG290&gt;0.2,"20-30%",IF(AG290&gt;0.1,"10-20%",IF(AG290&lt;=0.1,"0-10%"))))))</f>
        <v>0-10%</v>
      </c>
      <c r="AI290" s="32"/>
      <c r="AJ290" s="36" t="s">
        <v>3299</v>
      </c>
      <c r="AK290" s="32"/>
    </row>
    <row r="291" spans="1:37" s="1" customFormat="1" ht="19.7" customHeight="1" x14ac:dyDescent="0.25">
      <c r="A291" s="9" t="s">
        <v>22</v>
      </c>
      <c r="B291" s="9" t="s">
        <v>1392</v>
      </c>
      <c r="C291" s="10">
        <v>44389</v>
      </c>
      <c r="D291" s="9" t="s">
        <v>24</v>
      </c>
      <c r="E291" s="9" t="s">
        <v>25</v>
      </c>
      <c r="F291" s="9" t="s">
        <v>26</v>
      </c>
      <c r="G291" s="9" t="s">
        <v>67</v>
      </c>
      <c r="H291" s="9" t="s">
        <v>68</v>
      </c>
      <c r="I291" s="9" t="s">
        <v>29</v>
      </c>
      <c r="J291" s="9" t="s">
        <v>30</v>
      </c>
      <c r="K291" s="9" t="s">
        <v>31</v>
      </c>
      <c r="L291" s="9" t="s">
        <v>32</v>
      </c>
      <c r="M291" s="9" t="s">
        <v>489</v>
      </c>
      <c r="N291" s="9" t="s">
        <v>1393</v>
      </c>
      <c r="O291" s="9" t="s">
        <v>128</v>
      </c>
      <c r="P291" s="9" t="s">
        <v>490</v>
      </c>
      <c r="Q291" s="9">
        <v>112690422</v>
      </c>
      <c r="R291" s="9" t="s">
        <v>76</v>
      </c>
      <c r="S291" s="9" t="s">
        <v>39</v>
      </c>
      <c r="T291" s="11">
        <v>10</v>
      </c>
      <c r="U291" s="15" t="s">
        <v>128</v>
      </c>
      <c r="V291" s="16" t="s">
        <v>490</v>
      </c>
      <c r="W291" s="17">
        <v>112690422</v>
      </c>
      <c r="X291" s="16" t="s">
        <v>2697</v>
      </c>
      <c r="Y291" s="17" t="s">
        <v>2698</v>
      </c>
      <c r="Z291" s="17" t="s">
        <v>39</v>
      </c>
      <c r="AA291" s="17" t="s">
        <v>37</v>
      </c>
      <c r="AB291" s="29">
        <v>17.77</v>
      </c>
      <c r="AC291" s="25">
        <v>17.89</v>
      </c>
      <c r="AD291" s="25">
        <f>AC291*T291</f>
        <v>178.9</v>
      </c>
      <c r="AE291" s="25">
        <f>AB291*T291</f>
        <v>177.7</v>
      </c>
      <c r="AF291" s="25">
        <f>AD291-AE291</f>
        <v>1.2000000000000171</v>
      </c>
      <c r="AG291" s="26">
        <f>AF291/AD291</f>
        <v>6.7076579094467129E-3</v>
      </c>
      <c r="AH291" s="27" t="str">
        <f>IF(AG291&lt;0,"Negative",IF(AG291=0,"Same",IF(AG291&gt;0.3,"30+%",IF(AG291&gt;0.2,"20-30%",IF(AG291&gt;0.1,"10-20%",IF(AG291&lt;=0.1,"0-10%"))))))</f>
        <v>0-10%</v>
      </c>
      <c r="AI291" s="32"/>
      <c r="AJ291" s="36" t="s">
        <v>3299</v>
      </c>
      <c r="AK291" s="32"/>
    </row>
    <row r="292" spans="1:37" s="1" customFormat="1" ht="19.7" customHeight="1" x14ac:dyDescent="0.25">
      <c r="A292" s="9" t="s">
        <v>22</v>
      </c>
      <c r="B292" s="9" t="s">
        <v>1633</v>
      </c>
      <c r="C292" s="10">
        <v>44427</v>
      </c>
      <c r="D292" s="9" t="s">
        <v>24</v>
      </c>
      <c r="E292" s="9" t="s">
        <v>25</v>
      </c>
      <c r="F292" s="9" t="s">
        <v>26</v>
      </c>
      <c r="G292" s="9" t="s">
        <v>67</v>
      </c>
      <c r="H292" s="9" t="s">
        <v>68</v>
      </c>
      <c r="I292" s="9" t="s">
        <v>29</v>
      </c>
      <c r="J292" s="9" t="s">
        <v>30</v>
      </c>
      <c r="K292" s="9" t="s">
        <v>31</v>
      </c>
      <c r="L292" s="9" t="s">
        <v>32</v>
      </c>
      <c r="M292" s="9" t="s">
        <v>489</v>
      </c>
      <c r="N292" s="9" t="s">
        <v>1635</v>
      </c>
      <c r="O292" s="9" t="s">
        <v>128</v>
      </c>
      <c r="P292" s="9" t="s">
        <v>490</v>
      </c>
      <c r="Q292" s="9">
        <v>112690422</v>
      </c>
      <c r="R292" s="9" t="s">
        <v>76</v>
      </c>
      <c r="S292" s="9" t="s">
        <v>39</v>
      </c>
      <c r="T292" s="11">
        <v>10</v>
      </c>
      <c r="U292" s="15" t="s">
        <v>128</v>
      </c>
      <c r="V292" s="16" t="s">
        <v>490</v>
      </c>
      <c r="W292" s="17">
        <v>112690422</v>
      </c>
      <c r="X292" s="16" t="s">
        <v>2697</v>
      </c>
      <c r="Y292" s="17" t="s">
        <v>2698</v>
      </c>
      <c r="Z292" s="17" t="s">
        <v>39</v>
      </c>
      <c r="AA292" s="17" t="s">
        <v>37</v>
      </c>
      <c r="AB292" s="29">
        <v>17.77</v>
      </c>
      <c r="AC292" s="25">
        <v>17.89</v>
      </c>
      <c r="AD292" s="25">
        <f>AC292*T292</f>
        <v>178.9</v>
      </c>
      <c r="AE292" s="25">
        <f>AB292*T292</f>
        <v>177.7</v>
      </c>
      <c r="AF292" s="25">
        <f>AD292-AE292</f>
        <v>1.2000000000000171</v>
      </c>
      <c r="AG292" s="26">
        <f>AF292/AD292</f>
        <v>6.7076579094467129E-3</v>
      </c>
      <c r="AH292" s="27" t="str">
        <f>IF(AG292&lt;0,"Negative",IF(AG292=0,"Same",IF(AG292&gt;0.3,"30+%",IF(AG292&gt;0.2,"20-30%",IF(AG292&gt;0.1,"10-20%",IF(AG292&lt;=0.1,"0-10%"))))))</f>
        <v>0-10%</v>
      </c>
      <c r="AI292" s="32"/>
      <c r="AJ292" s="36" t="s">
        <v>3299</v>
      </c>
      <c r="AK292" s="32"/>
    </row>
    <row r="293" spans="1:37" s="1" customFormat="1" ht="19.7" customHeight="1" x14ac:dyDescent="0.25">
      <c r="A293" s="5" t="s">
        <v>22</v>
      </c>
      <c r="B293" s="5" t="s">
        <v>2013</v>
      </c>
      <c r="C293" s="6">
        <v>44498</v>
      </c>
      <c r="D293" s="5" t="s">
        <v>24</v>
      </c>
      <c r="E293" s="5" t="s">
        <v>25</v>
      </c>
      <c r="F293" s="5" t="s">
        <v>26</v>
      </c>
      <c r="G293" s="5" t="s">
        <v>67</v>
      </c>
      <c r="H293" s="5" t="s">
        <v>68</v>
      </c>
      <c r="I293" s="5" t="s">
        <v>29</v>
      </c>
      <c r="J293" s="5" t="s">
        <v>30</v>
      </c>
      <c r="K293" s="5" t="s">
        <v>31</v>
      </c>
      <c r="L293" s="5" t="s">
        <v>32</v>
      </c>
      <c r="M293" s="5" t="s">
        <v>489</v>
      </c>
      <c r="N293" s="5" t="s">
        <v>2014</v>
      </c>
      <c r="O293" s="5" t="s">
        <v>128</v>
      </c>
      <c r="P293" s="5" t="s">
        <v>490</v>
      </c>
      <c r="Q293" s="5">
        <v>112690422</v>
      </c>
      <c r="R293" s="5" t="s">
        <v>76</v>
      </c>
      <c r="S293" s="5" t="s">
        <v>39</v>
      </c>
      <c r="T293" s="7">
        <v>10</v>
      </c>
      <c r="U293" s="15" t="s">
        <v>128</v>
      </c>
      <c r="V293" s="16" t="s">
        <v>490</v>
      </c>
      <c r="W293" s="17">
        <v>112690422</v>
      </c>
      <c r="X293" s="16" t="s">
        <v>2697</v>
      </c>
      <c r="Y293" s="17" t="s">
        <v>2698</v>
      </c>
      <c r="Z293" s="17" t="s">
        <v>39</v>
      </c>
      <c r="AA293" s="17" t="s">
        <v>37</v>
      </c>
      <c r="AB293" s="29">
        <v>17.77</v>
      </c>
      <c r="AC293" s="25">
        <v>17.89</v>
      </c>
      <c r="AD293" s="25">
        <f>AC293*T293</f>
        <v>178.9</v>
      </c>
      <c r="AE293" s="25">
        <f>AB293*T293</f>
        <v>177.7</v>
      </c>
      <c r="AF293" s="25">
        <f>AD293-AE293</f>
        <v>1.2000000000000171</v>
      </c>
      <c r="AG293" s="26">
        <f>AF293/AD293</f>
        <v>6.7076579094467129E-3</v>
      </c>
      <c r="AH293" s="27" t="str">
        <f>IF(AG293&lt;0,"Negative",IF(AG293=0,"Same",IF(AG293&gt;0.3,"30+%",IF(AG293&gt;0.2,"20-30%",IF(AG293&gt;0.1,"10-20%",IF(AG293&lt;=0.1,"0-10%"))))))</f>
        <v>0-10%</v>
      </c>
      <c r="AI293" s="32"/>
      <c r="AJ293" s="36" t="s">
        <v>3299</v>
      </c>
      <c r="AK293" s="32"/>
    </row>
    <row r="294" spans="1:37" s="1" customFormat="1" ht="19.7" customHeight="1" x14ac:dyDescent="0.25">
      <c r="A294" s="9" t="s">
        <v>22</v>
      </c>
      <c r="B294" s="9" t="s">
        <v>2118</v>
      </c>
      <c r="C294" s="10">
        <v>44519</v>
      </c>
      <c r="D294" s="9" t="s">
        <v>24</v>
      </c>
      <c r="E294" s="9" t="s">
        <v>25</v>
      </c>
      <c r="F294" s="9" t="s">
        <v>26</v>
      </c>
      <c r="G294" s="9" t="s">
        <v>67</v>
      </c>
      <c r="H294" s="9" t="s">
        <v>68</v>
      </c>
      <c r="I294" s="9" t="s">
        <v>29</v>
      </c>
      <c r="J294" s="9" t="s">
        <v>30</v>
      </c>
      <c r="K294" s="9" t="s">
        <v>31</v>
      </c>
      <c r="L294" s="9" t="s">
        <v>32</v>
      </c>
      <c r="M294" s="9" t="s">
        <v>489</v>
      </c>
      <c r="N294" s="9" t="s">
        <v>2119</v>
      </c>
      <c r="O294" s="9" t="s">
        <v>128</v>
      </c>
      <c r="P294" s="9" t="s">
        <v>490</v>
      </c>
      <c r="Q294" s="9">
        <v>112690422</v>
      </c>
      <c r="R294" s="9" t="s">
        <v>76</v>
      </c>
      <c r="S294" s="9" t="s">
        <v>39</v>
      </c>
      <c r="T294" s="11">
        <v>10</v>
      </c>
      <c r="U294" s="15" t="s">
        <v>128</v>
      </c>
      <c r="V294" s="16" t="s">
        <v>490</v>
      </c>
      <c r="W294" s="17">
        <v>112690422</v>
      </c>
      <c r="X294" s="16" t="s">
        <v>2697</v>
      </c>
      <c r="Y294" s="17" t="s">
        <v>2698</v>
      </c>
      <c r="Z294" s="17" t="s">
        <v>39</v>
      </c>
      <c r="AA294" s="17" t="s">
        <v>37</v>
      </c>
      <c r="AB294" s="29">
        <v>17.77</v>
      </c>
      <c r="AC294" s="25">
        <v>17.89</v>
      </c>
      <c r="AD294" s="25">
        <f>AC294*T294</f>
        <v>178.9</v>
      </c>
      <c r="AE294" s="25">
        <f>AB294*T294</f>
        <v>177.7</v>
      </c>
      <c r="AF294" s="25">
        <f>AD294-AE294</f>
        <v>1.2000000000000171</v>
      </c>
      <c r="AG294" s="26">
        <f>AF294/AD294</f>
        <v>6.7076579094467129E-3</v>
      </c>
      <c r="AH294" s="27" t="str">
        <f>IF(AG294&lt;0,"Negative",IF(AG294=0,"Same",IF(AG294&gt;0.3,"30+%",IF(AG294&gt;0.2,"20-30%",IF(AG294&gt;0.1,"10-20%",IF(AG294&lt;=0.1,"0-10%"))))))</f>
        <v>0-10%</v>
      </c>
      <c r="AI294" s="32"/>
      <c r="AJ294" s="36" t="s">
        <v>3299</v>
      </c>
      <c r="AK294" s="32"/>
    </row>
    <row r="295" spans="1:37" s="1" customFormat="1" ht="19.7" customHeight="1" x14ac:dyDescent="0.25">
      <c r="A295" s="5" t="s">
        <v>22</v>
      </c>
      <c r="B295" s="5" t="s">
        <v>2211</v>
      </c>
      <c r="C295" s="6">
        <v>44540</v>
      </c>
      <c r="D295" s="5" t="s">
        <v>24</v>
      </c>
      <c r="E295" s="5" t="s">
        <v>25</v>
      </c>
      <c r="F295" s="5" t="s">
        <v>26</v>
      </c>
      <c r="G295" s="5" t="s">
        <v>67</v>
      </c>
      <c r="H295" s="5" t="s">
        <v>68</v>
      </c>
      <c r="I295" s="5" t="s">
        <v>29</v>
      </c>
      <c r="J295" s="5" t="s">
        <v>30</v>
      </c>
      <c r="K295" s="5" t="s">
        <v>31</v>
      </c>
      <c r="L295" s="5" t="s">
        <v>32</v>
      </c>
      <c r="M295" s="5" t="s">
        <v>489</v>
      </c>
      <c r="N295" s="5" t="s">
        <v>2212</v>
      </c>
      <c r="O295" s="5" t="s">
        <v>128</v>
      </c>
      <c r="P295" s="5" t="s">
        <v>490</v>
      </c>
      <c r="Q295" s="5">
        <v>112690422</v>
      </c>
      <c r="R295" s="5" t="s">
        <v>76</v>
      </c>
      <c r="S295" s="5" t="s">
        <v>39</v>
      </c>
      <c r="T295" s="7">
        <v>10</v>
      </c>
      <c r="U295" s="15" t="s">
        <v>128</v>
      </c>
      <c r="V295" s="16" t="s">
        <v>490</v>
      </c>
      <c r="W295" s="17">
        <v>112690422</v>
      </c>
      <c r="X295" s="16" t="s">
        <v>2697</v>
      </c>
      <c r="Y295" s="17" t="s">
        <v>2698</v>
      </c>
      <c r="Z295" s="17" t="s">
        <v>39</v>
      </c>
      <c r="AA295" s="17" t="s">
        <v>37</v>
      </c>
      <c r="AB295" s="29">
        <v>17.77</v>
      </c>
      <c r="AC295" s="25">
        <v>17.89</v>
      </c>
      <c r="AD295" s="25">
        <f>AC295*T295</f>
        <v>178.9</v>
      </c>
      <c r="AE295" s="25">
        <f>AB295*T295</f>
        <v>177.7</v>
      </c>
      <c r="AF295" s="25">
        <f>AD295-AE295</f>
        <v>1.2000000000000171</v>
      </c>
      <c r="AG295" s="26">
        <f>AF295/AD295</f>
        <v>6.7076579094467129E-3</v>
      </c>
      <c r="AH295" s="27" t="str">
        <f>IF(AG295&lt;0,"Negative",IF(AG295=0,"Same",IF(AG295&gt;0.3,"30+%",IF(AG295&gt;0.2,"20-30%",IF(AG295&gt;0.1,"10-20%",IF(AG295&lt;=0.1,"0-10%"))))))</f>
        <v>0-10%</v>
      </c>
      <c r="AI295" s="32"/>
      <c r="AJ295" s="36" t="s">
        <v>3299</v>
      </c>
      <c r="AK295" s="32"/>
    </row>
    <row r="296" spans="1:37" s="1" customFormat="1" ht="19.7" customHeight="1" x14ac:dyDescent="0.25">
      <c r="A296" s="5" t="s">
        <v>22</v>
      </c>
      <c r="B296" s="5" t="s">
        <v>241</v>
      </c>
      <c r="C296" s="6">
        <v>44244</v>
      </c>
      <c r="D296" s="5" t="s">
        <v>24</v>
      </c>
      <c r="E296" s="5" t="s">
        <v>25</v>
      </c>
      <c r="F296" s="5" t="s">
        <v>26</v>
      </c>
      <c r="G296" s="5" t="s">
        <v>27</v>
      </c>
      <c r="H296" s="5" t="s">
        <v>28</v>
      </c>
      <c r="I296" s="5" t="s">
        <v>29</v>
      </c>
      <c r="J296" s="5" t="s">
        <v>30</v>
      </c>
      <c r="K296" s="5" t="s">
        <v>31</v>
      </c>
      <c r="L296" s="5" t="s">
        <v>32</v>
      </c>
      <c r="M296" s="5" t="s">
        <v>242</v>
      </c>
      <c r="N296" s="5" t="s">
        <v>168</v>
      </c>
      <c r="O296" s="5" t="s">
        <v>243</v>
      </c>
      <c r="P296" s="5" t="s">
        <v>244</v>
      </c>
      <c r="Q296" s="5">
        <v>114325094</v>
      </c>
      <c r="R296" s="5" t="s">
        <v>38</v>
      </c>
      <c r="S296" s="5" t="s">
        <v>39</v>
      </c>
      <c r="T296" s="7">
        <v>1</v>
      </c>
      <c r="U296" s="15" t="s">
        <v>243</v>
      </c>
      <c r="V296" s="16" t="s">
        <v>244</v>
      </c>
      <c r="W296" s="17">
        <v>114325094</v>
      </c>
      <c r="X296" s="16" t="s">
        <v>2591</v>
      </c>
      <c r="Y296" s="17" t="s">
        <v>2592</v>
      </c>
      <c r="Z296" s="17" t="s">
        <v>39</v>
      </c>
      <c r="AA296" s="17" t="s">
        <v>2501</v>
      </c>
      <c r="AB296" s="29">
        <v>102.09</v>
      </c>
      <c r="AC296" s="25">
        <v>104.39</v>
      </c>
      <c r="AD296" s="25">
        <f>AC296*T296</f>
        <v>104.39</v>
      </c>
      <c r="AE296" s="25">
        <f>AB296*T296</f>
        <v>102.09</v>
      </c>
      <c r="AF296" s="25">
        <f>AD296-AE296</f>
        <v>2.2999999999999972</v>
      </c>
      <c r="AG296" s="26">
        <f>AF296/AD296</f>
        <v>2.203276175878913E-2</v>
      </c>
      <c r="AH296" s="27" t="str">
        <f>IF(AG296&lt;0,"Negative",IF(AG296=0,"Same",IF(AG296&gt;0.3,"30+%",IF(AG296&gt;0.2,"20-30%",IF(AG296&gt;0.1,"10-20%",IF(AG296&lt;=0.1,"0-10%"))))))</f>
        <v>0-10%</v>
      </c>
      <c r="AI296" s="32"/>
      <c r="AJ296" s="36" t="s">
        <v>3300</v>
      </c>
      <c r="AK296" s="32"/>
    </row>
    <row r="297" spans="1:37" s="1" customFormat="1" ht="19.7" customHeight="1" x14ac:dyDescent="0.25">
      <c r="A297" s="5" t="s">
        <v>22</v>
      </c>
      <c r="B297" s="5" t="s">
        <v>2068</v>
      </c>
      <c r="C297" s="6">
        <v>44512</v>
      </c>
      <c r="D297" s="5" t="s">
        <v>24</v>
      </c>
      <c r="E297" s="5" t="s">
        <v>25</v>
      </c>
      <c r="F297" s="5" t="s">
        <v>26</v>
      </c>
      <c r="G297" s="5" t="s">
        <v>27</v>
      </c>
      <c r="H297" s="5" t="s">
        <v>28</v>
      </c>
      <c r="I297" s="5" t="s">
        <v>29</v>
      </c>
      <c r="J297" s="5" t="s">
        <v>30</v>
      </c>
      <c r="K297" s="5" t="s">
        <v>31</v>
      </c>
      <c r="L297" s="5" t="s">
        <v>32</v>
      </c>
      <c r="M297" s="5" t="s">
        <v>2069</v>
      </c>
      <c r="N297" s="5" t="s">
        <v>2070</v>
      </c>
      <c r="O297" s="5" t="s">
        <v>175</v>
      </c>
      <c r="P297" s="5" t="s">
        <v>2071</v>
      </c>
      <c r="Q297" s="5">
        <v>102196428</v>
      </c>
      <c r="R297" s="5" t="s">
        <v>61</v>
      </c>
      <c r="S297" s="5" t="s">
        <v>39</v>
      </c>
      <c r="T297" s="7">
        <v>4</v>
      </c>
      <c r="U297" s="15" t="s">
        <v>175</v>
      </c>
      <c r="V297" s="16" t="s">
        <v>2071</v>
      </c>
      <c r="W297" s="17">
        <v>102196428</v>
      </c>
      <c r="X297" s="16" t="s">
        <v>2559</v>
      </c>
      <c r="Y297" s="17" t="s">
        <v>3199</v>
      </c>
      <c r="Z297" s="17" t="s">
        <v>39</v>
      </c>
      <c r="AA297" s="17" t="s">
        <v>37</v>
      </c>
      <c r="AB297" s="29">
        <v>11.39</v>
      </c>
      <c r="AC297" s="25">
        <v>13.02</v>
      </c>
      <c r="AD297" s="25">
        <f>AC297*T297</f>
        <v>52.08</v>
      </c>
      <c r="AE297" s="25">
        <f>AB297*T297</f>
        <v>45.56</v>
      </c>
      <c r="AF297" s="25">
        <f>AD297-AE297</f>
        <v>6.519999999999996</v>
      </c>
      <c r="AG297" s="26">
        <f>AF297/AD297</f>
        <v>0.1251920122887864</v>
      </c>
      <c r="AH297" s="27" t="str">
        <f>IF(AG297&lt;0,"Negative",IF(AG297=0,"Same",IF(AG297&gt;0.3,"30+%",IF(AG297&gt;0.2,"20-30%",IF(AG297&gt;0.1,"10-20%",IF(AG297&lt;=0.1,"0-10%"))))))</f>
        <v>10-20%</v>
      </c>
      <c r="AI297" s="32"/>
      <c r="AJ297" s="36" t="s">
        <v>3299</v>
      </c>
      <c r="AK297" s="32"/>
    </row>
    <row r="298" spans="1:37" s="1" customFormat="1" ht="19.7" customHeight="1" x14ac:dyDescent="0.25">
      <c r="A298" s="9" t="s">
        <v>22</v>
      </c>
      <c r="B298" s="9" t="s">
        <v>789</v>
      </c>
      <c r="C298" s="10">
        <v>44301</v>
      </c>
      <c r="D298" s="9" t="s">
        <v>24</v>
      </c>
      <c r="E298" s="9" t="s">
        <v>25</v>
      </c>
      <c r="F298" s="9" t="s">
        <v>26</v>
      </c>
      <c r="G298" s="9" t="s">
        <v>27</v>
      </c>
      <c r="H298" s="9" t="s">
        <v>28</v>
      </c>
      <c r="I298" s="9" t="s">
        <v>29</v>
      </c>
      <c r="J298" s="9" t="s">
        <v>30</v>
      </c>
      <c r="K298" s="9" t="s">
        <v>31</v>
      </c>
      <c r="L298" s="9" t="s">
        <v>32</v>
      </c>
      <c r="M298" s="9" t="s">
        <v>790</v>
      </c>
      <c r="N298" s="9" t="s">
        <v>791</v>
      </c>
      <c r="O298" s="9" t="s">
        <v>169</v>
      </c>
      <c r="P298" s="9" t="s">
        <v>792</v>
      </c>
      <c r="Q298" s="9">
        <v>100771124</v>
      </c>
      <c r="R298" s="9" t="s">
        <v>56</v>
      </c>
      <c r="S298" s="9" t="s">
        <v>39</v>
      </c>
      <c r="T298" s="11">
        <v>1</v>
      </c>
      <c r="U298" s="15" t="s">
        <v>169</v>
      </c>
      <c r="V298" s="16" t="s">
        <v>792</v>
      </c>
      <c r="W298" s="17">
        <v>100771124</v>
      </c>
      <c r="X298" s="16" t="s">
        <v>2610</v>
      </c>
      <c r="Y298" s="17" t="s">
        <v>2819</v>
      </c>
      <c r="Z298" s="17" t="s">
        <v>39</v>
      </c>
      <c r="AA298" s="17" t="s">
        <v>37</v>
      </c>
      <c r="AB298" s="43">
        <v>13.34</v>
      </c>
      <c r="AC298" s="25">
        <v>14.34</v>
      </c>
      <c r="AD298" s="25">
        <f>AC298*T298</f>
        <v>14.34</v>
      </c>
      <c r="AE298" s="25">
        <f>AB298*T298</f>
        <v>13.34</v>
      </c>
      <c r="AF298" s="25">
        <f>AD298-AE298</f>
        <v>1</v>
      </c>
      <c r="AG298" s="26">
        <f>AF298/AD298</f>
        <v>6.9735006973500699E-2</v>
      </c>
      <c r="AH298" s="27" t="str">
        <f>IF(AG298&lt;0,"Negative",IF(AG298=0,"Same",IF(AG298&gt;0.3,"30+%",IF(AG298&gt;0.2,"20-30%",IF(AG298&gt;0.1,"10-20%",IF(AG298&lt;=0.1,"0-10%"))))))</f>
        <v>0-10%</v>
      </c>
      <c r="AI298" s="32"/>
      <c r="AJ298" s="36" t="s">
        <v>3299</v>
      </c>
      <c r="AK298" s="32"/>
    </row>
    <row r="299" spans="1:37" s="1" customFormat="1" ht="19.7" customHeight="1" x14ac:dyDescent="0.25">
      <c r="A299" s="5" t="s">
        <v>22</v>
      </c>
      <c r="B299" s="5" t="s">
        <v>1512</v>
      </c>
      <c r="C299" s="6">
        <v>44406</v>
      </c>
      <c r="D299" s="5" t="s">
        <v>24</v>
      </c>
      <c r="E299" s="5" t="s">
        <v>25</v>
      </c>
      <c r="F299" s="5" t="s">
        <v>26</v>
      </c>
      <c r="G299" s="5" t="s">
        <v>27</v>
      </c>
      <c r="H299" s="5" t="s">
        <v>28</v>
      </c>
      <c r="I299" s="5" t="s">
        <v>29</v>
      </c>
      <c r="J299" s="5" t="s">
        <v>30</v>
      </c>
      <c r="K299" s="5" t="s">
        <v>31</v>
      </c>
      <c r="L299" s="5" t="s">
        <v>32</v>
      </c>
      <c r="M299" s="5" t="s">
        <v>1513</v>
      </c>
      <c r="N299" s="5" t="s">
        <v>1350</v>
      </c>
      <c r="O299" s="5" t="s">
        <v>89</v>
      </c>
      <c r="P299" s="5" t="s">
        <v>1514</v>
      </c>
      <c r="Q299" s="5">
        <v>100000740</v>
      </c>
      <c r="R299" s="5" t="s">
        <v>45</v>
      </c>
      <c r="S299" s="5" t="s">
        <v>39</v>
      </c>
      <c r="T299" s="7">
        <v>1</v>
      </c>
      <c r="U299" s="15" t="s">
        <v>89</v>
      </c>
      <c r="V299" s="16" t="s">
        <v>1514</v>
      </c>
      <c r="W299" s="17">
        <v>100000740</v>
      </c>
      <c r="X299" s="16" t="s">
        <v>2520</v>
      </c>
      <c r="Y299" s="17" t="s">
        <v>3064</v>
      </c>
      <c r="Z299" s="17" t="s">
        <v>39</v>
      </c>
      <c r="AA299" s="17" t="s">
        <v>37</v>
      </c>
      <c r="AB299" s="43">
        <v>3.5</v>
      </c>
      <c r="AC299" s="25">
        <v>4.1100000000000003</v>
      </c>
      <c r="AD299" s="25">
        <f>AC299*T299</f>
        <v>4.1100000000000003</v>
      </c>
      <c r="AE299" s="25">
        <f>AB299*T299</f>
        <v>3.5</v>
      </c>
      <c r="AF299" s="25">
        <f>AD299-AE299</f>
        <v>0.61000000000000032</v>
      </c>
      <c r="AG299" s="26">
        <f>AF299/AD299</f>
        <v>0.14841849148418498</v>
      </c>
      <c r="AH299" s="27" t="str">
        <f>IF(AG299&lt;0,"Negative",IF(AG299=0,"Same",IF(AG299&gt;0.3,"30+%",IF(AG299&gt;0.2,"20-30%",IF(AG299&gt;0.1,"10-20%",IF(AG299&lt;=0.1,"0-10%"))))))</f>
        <v>10-20%</v>
      </c>
      <c r="AI299" s="32"/>
      <c r="AJ299" s="36" t="s">
        <v>3300</v>
      </c>
      <c r="AK299" s="32"/>
    </row>
    <row r="300" spans="1:37" s="1" customFormat="1" ht="19.7" customHeight="1" x14ac:dyDescent="0.25">
      <c r="A300" s="5" t="s">
        <v>22</v>
      </c>
      <c r="B300" s="5" t="s">
        <v>1761</v>
      </c>
      <c r="C300" s="6">
        <v>44459</v>
      </c>
      <c r="D300" s="5" t="s">
        <v>24</v>
      </c>
      <c r="E300" s="5" t="s">
        <v>25</v>
      </c>
      <c r="F300" s="5" t="s">
        <v>26</v>
      </c>
      <c r="G300" s="5" t="s">
        <v>27</v>
      </c>
      <c r="H300" s="5" t="s">
        <v>28</v>
      </c>
      <c r="I300" s="5" t="s">
        <v>29</v>
      </c>
      <c r="J300" s="5" t="s">
        <v>30</v>
      </c>
      <c r="K300" s="5" t="s">
        <v>31</v>
      </c>
      <c r="L300" s="5" t="s">
        <v>32</v>
      </c>
      <c r="M300" s="5" t="s">
        <v>1762</v>
      </c>
      <c r="N300" s="5" t="s">
        <v>1763</v>
      </c>
      <c r="O300" s="5" t="s">
        <v>169</v>
      </c>
      <c r="P300" s="5" t="s">
        <v>1764</v>
      </c>
      <c r="Q300" s="5">
        <v>100772585</v>
      </c>
      <c r="R300" s="5" t="s">
        <v>56</v>
      </c>
      <c r="S300" s="5" t="s">
        <v>39</v>
      </c>
      <c r="T300" s="7">
        <v>6</v>
      </c>
      <c r="U300" s="15" t="s">
        <v>169</v>
      </c>
      <c r="V300" s="16" t="s">
        <v>1764</v>
      </c>
      <c r="W300" s="17">
        <v>100772585</v>
      </c>
      <c r="X300" s="16" t="s">
        <v>2812</v>
      </c>
      <c r="Y300" s="17" t="s">
        <v>3122</v>
      </c>
      <c r="Z300" s="17" t="s">
        <v>39</v>
      </c>
      <c r="AA300" s="17" t="s">
        <v>37</v>
      </c>
      <c r="AB300" s="43">
        <v>14.18</v>
      </c>
      <c r="AC300" s="25">
        <v>15.23</v>
      </c>
      <c r="AD300" s="25">
        <f>AC300*T300</f>
        <v>91.38</v>
      </c>
      <c r="AE300" s="25">
        <f>AB300*T300</f>
        <v>85.08</v>
      </c>
      <c r="AF300" s="25">
        <f>AD300-AE300</f>
        <v>6.2999999999999972</v>
      </c>
      <c r="AG300" s="26">
        <f>AF300/AD300</f>
        <v>6.8942875902823345E-2</v>
      </c>
      <c r="AH300" s="27" t="str">
        <f>IF(AG300&lt;0,"Negative",IF(AG300=0,"Same",IF(AG300&gt;0.3,"30+%",IF(AG300&gt;0.2,"20-30%",IF(AG300&gt;0.1,"10-20%",IF(AG300&lt;=0.1,"0-10%"))))))</f>
        <v>0-10%</v>
      </c>
      <c r="AI300" s="32"/>
      <c r="AJ300" s="36" t="s">
        <v>3299</v>
      </c>
      <c r="AK300" s="32"/>
    </row>
    <row r="301" spans="1:37" s="1" customFormat="1" ht="19.7" customHeight="1" x14ac:dyDescent="0.25">
      <c r="A301" s="9" t="s">
        <v>22</v>
      </c>
      <c r="B301" s="9" t="s">
        <v>2154</v>
      </c>
      <c r="C301" s="10">
        <v>44529</v>
      </c>
      <c r="D301" s="9" t="s">
        <v>24</v>
      </c>
      <c r="E301" s="9" t="s">
        <v>25</v>
      </c>
      <c r="F301" s="9" t="s">
        <v>26</v>
      </c>
      <c r="G301" s="9" t="s">
        <v>27</v>
      </c>
      <c r="H301" s="9" t="s">
        <v>28</v>
      </c>
      <c r="I301" s="9" t="s">
        <v>29</v>
      </c>
      <c r="J301" s="9" t="s">
        <v>30</v>
      </c>
      <c r="K301" s="9" t="s">
        <v>31</v>
      </c>
      <c r="L301" s="9" t="s">
        <v>32</v>
      </c>
      <c r="M301" s="9" t="s">
        <v>2155</v>
      </c>
      <c r="N301" s="9" t="s">
        <v>1710</v>
      </c>
      <c r="O301" s="9" t="s">
        <v>169</v>
      </c>
      <c r="P301" s="9" t="s">
        <v>2156</v>
      </c>
      <c r="Q301" s="9">
        <v>100850211</v>
      </c>
      <c r="R301" s="9" t="s">
        <v>116</v>
      </c>
      <c r="S301" s="9" t="s">
        <v>718</v>
      </c>
      <c r="T301" s="11">
        <v>450</v>
      </c>
      <c r="U301" s="15" t="s">
        <v>169</v>
      </c>
      <c r="V301" s="16" t="s">
        <v>2156</v>
      </c>
      <c r="W301" s="17">
        <v>100850211</v>
      </c>
      <c r="X301" s="16" t="s">
        <v>2865</v>
      </c>
      <c r="Y301" s="17" t="s">
        <v>3217</v>
      </c>
      <c r="Z301" s="17" t="s">
        <v>718</v>
      </c>
      <c r="AA301" s="17" t="s">
        <v>37</v>
      </c>
      <c r="AB301" s="29">
        <v>3.73</v>
      </c>
      <c r="AC301" s="25">
        <v>3.9</v>
      </c>
      <c r="AD301" s="25">
        <f>AC301*T301</f>
        <v>1755</v>
      </c>
      <c r="AE301" s="25">
        <f>AB301*T301</f>
        <v>1678.5</v>
      </c>
      <c r="AF301" s="25">
        <f>AD301-AE301</f>
        <v>76.5</v>
      </c>
      <c r="AG301" s="26">
        <f>AF301/AD301</f>
        <v>4.3589743589743588E-2</v>
      </c>
      <c r="AH301" s="27" t="str">
        <f>IF(AG301&lt;0,"Negative",IF(AG301=0,"Same",IF(AG301&gt;0.3,"30+%",IF(AG301&gt;0.2,"20-30%",IF(AG301&gt;0.1,"10-20%",IF(AG301&lt;=0.1,"0-10%"))))))</f>
        <v>0-10%</v>
      </c>
      <c r="AI301" s="32"/>
      <c r="AJ301" s="36" t="s">
        <v>3300</v>
      </c>
      <c r="AK301" s="32"/>
    </row>
    <row r="302" spans="1:37" s="1" customFormat="1" ht="19.7" customHeight="1" x14ac:dyDescent="0.25">
      <c r="A302" s="5" t="s">
        <v>22</v>
      </c>
      <c r="B302" s="5" t="s">
        <v>1519</v>
      </c>
      <c r="C302" s="6">
        <v>44407</v>
      </c>
      <c r="D302" s="5" t="s">
        <v>24</v>
      </c>
      <c r="E302" s="5" t="s">
        <v>25</v>
      </c>
      <c r="F302" s="5" t="s">
        <v>26</v>
      </c>
      <c r="G302" s="5" t="s">
        <v>27</v>
      </c>
      <c r="H302" s="5" t="s">
        <v>28</v>
      </c>
      <c r="I302" s="5" t="s">
        <v>29</v>
      </c>
      <c r="J302" s="5" t="s">
        <v>30</v>
      </c>
      <c r="K302" s="5" t="s">
        <v>31</v>
      </c>
      <c r="L302" s="5" t="s">
        <v>32</v>
      </c>
      <c r="M302" s="5" t="s">
        <v>1520</v>
      </c>
      <c r="N302" s="5" t="s">
        <v>1399</v>
      </c>
      <c r="O302" s="5" t="s">
        <v>169</v>
      </c>
      <c r="P302" s="5" t="s">
        <v>1521</v>
      </c>
      <c r="Q302" s="5">
        <v>100850201</v>
      </c>
      <c r="R302" s="5" t="s">
        <v>116</v>
      </c>
      <c r="S302" s="5" t="s">
        <v>718</v>
      </c>
      <c r="T302" s="7">
        <v>500</v>
      </c>
      <c r="U302" s="15" t="s">
        <v>169</v>
      </c>
      <c r="V302" s="16" t="s">
        <v>1521</v>
      </c>
      <c r="W302" s="17">
        <v>100850201</v>
      </c>
      <c r="X302" s="16" t="s">
        <v>2865</v>
      </c>
      <c r="Y302" s="17" t="s">
        <v>3066</v>
      </c>
      <c r="Z302" s="17" t="s">
        <v>718</v>
      </c>
      <c r="AA302" s="17" t="s">
        <v>37</v>
      </c>
      <c r="AB302" s="43">
        <v>3.36</v>
      </c>
      <c r="AC302" s="25">
        <v>3.52</v>
      </c>
      <c r="AD302" s="25">
        <f>AC302*T302</f>
        <v>1760</v>
      </c>
      <c r="AE302" s="25">
        <f>AB302*T302</f>
        <v>1680</v>
      </c>
      <c r="AF302" s="25">
        <f>AD302-AE302</f>
        <v>80</v>
      </c>
      <c r="AG302" s="26">
        <f>AF302/AD302</f>
        <v>4.5454545454545456E-2</v>
      </c>
      <c r="AH302" s="27" t="str">
        <f>IF(AG302&lt;0,"Negative",IF(AG302=0,"Same",IF(AG302&gt;0.3,"30+%",IF(AG302&gt;0.2,"20-30%",IF(AG302&gt;0.1,"10-20%",IF(AG302&lt;=0.1,"0-10%"))))))</f>
        <v>0-10%</v>
      </c>
      <c r="AI302" s="32"/>
      <c r="AJ302" s="36" t="s">
        <v>3300</v>
      </c>
      <c r="AK302" s="32"/>
    </row>
    <row r="303" spans="1:37" s="1" customFormat="1" ht="19.7" customHeight="1" x14ac:dyDescent="0.25">
      <c r="A303" s="5" t="s">
        <v>22</v>
      </c>
      <c r="B303" s="5" t="s">
        <v>2425</v>
      </c>
      <c r="C303" s="6">
        <v>44585</v>
      </c>
      <c r="D303" s="5" t="s">
        <v>24</v>
      </c>
      <c r="E303" s="5" t="s">
        <v>25</v>
      </c>
      <c r="F303" s="5" t="s">
        <v>26</v>
      </c>
      <c r="G303" s="5" t="s">
        <v>27</v>
      </c>
      <c r="H303" s="5" t="s">
        <v>28</v>
      </c>
      <c r="I303" s="5" t="s">
        <v>29</v>
      </c>
      <c r="J303" s="5" t="s">
        <v>30</v>
      </c>
      <c r="K303" s="5" t="s">
        <v>31</v>
      </c>
      <c r="L303" s="5" t="s">
        <v>32</v>
      </c>
      <c r="M303" s="5" t="s">
        <v>174</v>
      </c>
      <c r="N303" s="5" t="s">
        <v>2426</v>
      </c>
      <c r="O303" s="5" t="s">
        <v>175</v>
      </c>
      <c r="P303" s="5" t="s">
        <v>176</v>
      </c>
      <c r="Q303" s="5">
        <v>102195231</v>
      </c>
      <c r="R303" s="5" t="s">
        <v>61</v>
      </c>
      <c r="S303" s="5" t="s">
        <v>39</v>
      </c>
      <c r="T303" s="7">
        <v>1</v>
      </c>
      <c r="U303" s="15" t="s">
        <v>175</v>
      </c>
      <c r="V303" s="16" t="s">
        <v>176</v>
      </c>
      <c r="W303" s="17">
        <v>102195231</v>
      </c>
      <c r="X303" s="16" t="s">
        <v>2559</v>
      </c>
      <c r="Y303" s="17" t="s">
        <v>2560</v>
      </c>
      <c r="Z303" s="17" t="s">
        <v>39</v>
      </c>
      <c r="AA303" s="17" t="s">
        <v>37</v>
      </c>
      <c r="AB303" s="29">
        <v>12.2</v>
      </c>
      <c r="AC303" s="25">
        <v>13.96</v>
      </c>
      <c r="AD303" s="25">
        <f>AC303*T303</f>
        <v>13.96</v>
      </c>
      <c r="AE303" s="25">
        <f>AB303*T303</f>
        <v>12.2</v>
      </c>
      <c r="AF303" s="25">
        <f>AD303-AE303</f>
        <v>1.7600000000000016</v>
      </c>
      <c r="AG303" s="26">
        <f>AF303/AD303</f>
        <v>0.12607449856733535</v>
      </c>
      <c r="AH303" s="27" t="str">
        <f>IF(AG303&lt;0,"Negative",IF(AG303=0,"Same",IF(AG303&gt;0.3,"30+%",IF(AG303&gt;0.2,"20-30%",IF(AG303&gt;0.1,"10-20%",IF(AG303&lt;=0.1,"0-10%"))))))</f>
        <v>10-20%</v>
      </c>
      <c r="AI303" s="32"/>
      <c r="AJ303" s="36" t="s">
        <v>3299</v>
      </c>
      <c r="AK303" s="32"/>
    </row>
    <row r="304" spans="1:37" s="1" customFormat="1" ht="19.7" customHeight="1" x14ac:dyDescent="0.25">
      <c r="A304" s="9" t="s">
        <v>22</v>
      </c>
      <c r="B304" s="9" t="s">
        <v>2238</v>
      </c>
      <c r="C304" s="10">
        <v>44550</v>
      </c>
      <c r="D304" s="9" t="s">
        <v>24</v>
      </c>
      <c r="E304" s="9" t="s">
        <v>25</v>
      </c>
      <c r="F304" s="9" t="s">
        <v>26</v>
      </c>
      <c r="G304" s="9" t="s">
        <v>27</v>
      </c>
      <c r="H304" s="9" t="s">
        <v>28</v>
      </c>
      <c r="I304" s="9" t="s">
        <v>29</v>
      </c>
      <c r="J304" s="9" t="s">
        <v>30</v>
      </c>
      <c r="K304" s="9" t="s">
        <v>31</v>
      </c>
      <c r="L304" s="9" t="s">
        <v>32</v>
      </c>
      <c r="M304" s="9" t="s">
        <v>174</v>
      </c>
      <c r="N304" s="9" t="s">
        <v>2230</v>
      </c>
      <c r="O304" s="9" t="s">
        <v>175</v>
      </c>
      <c r="P304" s="9" t="s">
        <v>176</v>
      </c>
      <c r="Q304" s="9">
        <v>102195231</v>
      </c>
      <c r="R304" s="9" t="s">
        <v>61</v>
      </c>
      <c r="S304" s="9" t="s">
        <v>39</v>
      </c>
      <c r="T304" s="11">
        <v>1</v>
      </c>
      <c r="U304" s="15" t="s">
        <v>175</v>
      </c>
      <c r="V304" s="16" t="s">
        <v>176</v>
      </c>
      <c r="W304" s="17">
        <v>102195231</v>
      </c>
      <c r="X304" s="16" t="s">
        <v>2559</v>
      </c>
      <c r="Y304" s="17" t="s">
        <v>2560</v>
      </c>
      <c r="Z304" s="17" t="s">
        <v>39</v>
      </c>
      <c r="AA304" s="17" t="s">
        <v>37</v>
      </c>
      <c r="AB304" s="29">
        <v>12.2</v>
      </c>
      <c r="AC304" s="25">
        <v>13.96</v>
      </c>
      <c r="AD304" s="25">
        <f>AC304*T304</f>
        <v>13.96</v>
      </c>
      <c r="AE304" s="25">
        <f>AB304*T304</f>
        <v>12.2</v>
      </c>
      <c r="AF304" s="25">
        <f>AD304-AE304</f>
        <v>1.7600000000000016</v>
      </c>
      <c r="AG304" s="26">
        <f>AF304/AD304</f>
        <v>0.12607449856733535</v>
      </c>
      <c r="AH304" s="27" t="str">
        <f>IF(AG304&lt;0,"Negative",IF(AG304=0,"Same",IF(AG304&gt;0.3,"30+%",IF(AG304&gt;0.2,"20-30%",IF(AG304&gt;0.1,"10-20%",IF(AG304&lt;=0.1,"0-10%"))))))</f>
        <v>10-20%</v>
      </c>
      <c r="AI304" s="32"/>
      <c r="AJ304" s="36" t="s">
        <v>3299</v>
      </c>
      <c r="AK304" s="32"/>
    </row>
    <row r="305" spans="1:37" s="1" customFormat="1" ht="19.7" customHeight="1" x14ac:dyDescent="0.25">
      <c r="A305" s="5" t="s">
        <v>22</v>
      </c>
      <c r="B305" s="5" t="s">
        <v>2087</v>
      </c>
      <c r="C305" s="6">
        <v>44517</v>
      </c>
      <c r="D305" s="5" t="s">
        <v>24</v>
      </c>
      <c r="E305" s="5" t="s">
        <v>25</v>
      </c>
      <c r="F305" s="5" t="s">
        <v>26</v>
      </c>
      <c r="G305" s="5" t="s">
        <v>27</v>
      </c>
      <c r="H305" s="5" t="s">
        <v>28</v>
      </c>
      <c r="I305" s="5" t="s">
        <v>29</v>
      </c>
      <c r="J305" s="5" t="s">
        <v>30</v>
      </c>
      <c r="K305" s="5" t="s">
        <v>31</v>
      </c>
      <c r="L305" s="5" t="s">
        <v>32</v>
      </c>
      <c r="M305" s="5" t="s">
        <v>174</v>
      </c>
      <c r="N305" s="5" t="s">
        <v>2075</v>
      </c>
      <c r="O305" s="5" t="s">
        <v>175</v>
      </c>
      <c r="P305" s="5" t="s">
        <v>176</v>
      </c>
      <c r="Q305" s="5">
        <v>102195231</v>
      </c>
      <c r="R305" s="5" t="s">
        <v>61</v>
      </c>
      <c r="S305" s="5" t="s">
        <v>39</v>
      </c>
      <c r="T305" s="7">
        <v>1</v>
      </c>
      <c r="U305" s="15" t="s">
        <v>175</v>
      </c>
      <c r="V305" s="16" t="s">
        <v>176</v>
      </c>
      <c r="W305" s="17">
        <v>102195231</v>
      </c>
      <c r="X305" s="16" t="s">
        <v>2559</v>
      </c>
      <c r="Y305" s="17" t="s">
        <v>2560</v>
      </c>
      <c r="Z305" s="17" t="s">
        <v>39</v>
      </c>
      <c r="AA305" s="17" t="s">
        <v>37</v>
      </c>
      <c r="AB305" s="29">
        <v>12.2</v>
      </c>
      <c r="AC305" s="25">
        <v>13.96</v>
      </c>
      <c r="AD305" s="25">
        <f>AC305*T305</f>
        <v>13.96</v>
      </c>
      <c r="AE305" s="25">
        <f>AB305*T305</f>
        <v>12.2</v>
      </c>
      <c r="AF305" s="25">
        <f>AD305-AE305</f>
        <v>1.7600000000000016</v>
      </c>
      <c r="AG305" s="26">
        <f>AF305/AD305</f>
        <v>0.12607449856733535</v>
      </c>
      <c r="AH305" s="27" t="str">
        <f>IF(AG305&lt;0,"Negative",IF(AG305=0,"Same",IF(AG305&gt;0.3,"30+%",IF(AG305&gt;0.2,"20-30%",IF(AG305&gt;0.1,"10-20%",IF(AG305&lt;=0.1,"0-10%"))))))</f>
        <v>10-20%</v>
      </c>
      <c r="AI305" s="32"/>
      <c r="AJ305" s="36" t="s">
        <v>3299</v>
      </c>
      <c r="AK305" s="32"/>
    </row>
    <row r="306" spans="1:37" s="1" customFormat="1" ht="19.7" customHeight="1" x14ac:dyDescent="0.25">
      <c r="A306" s="9" t="s">
        <v>22</v>
      </c>
      <c r="B306" s="9" t="s">
        <v>1877</v>
      </c>
      <c r="C306" s="10">
        <v>44473</v>
      </c>
      <c r="D306" s="9" t="s">
        <v>24</v>
      </c>
      <c r="E306" s="9" t="s">
        <v>25</v>
      </c>
      <c r="F306" s="9" t="s">
        <v>26</v>
      </c>
      <c r="G306" s="9" t="s">
        <v>27</v>
      </c>
      <c r="H306" s="9" t="s">
        <v>28</v>
      </c>
      <c r="I306" s="9" t="s">
        <v>29</v>
      </c>
      <c r="J306" s="9" t="s">
        <v>30</v>
      </c>
      <c r="K306" s="9" t="s">
        <v>31</v>
      </c>
      <c r="L306" s="9" t="s">
        <v>32</v>
      </c>
      <c r="M306" s="9" t="s">
        <v>1735</v>
      </c>
      <c r="N306" s="9" t="s">
        <v>1733</v>
      </c>
      <c r="O306" s="9" t="s">
        <v>1736</v>
      </c>
      <c r="P306" s="9" t="s">
        <v>1737</v>
      </c>
      <c r="Q306" s="9">
        <v>111509596</v>
      </c>
      <c r="R306" s="9" t="s">
        <v>299</v>
      </c>
      <c r="S306" s="9" t="s">
        <v>39</v>
      </c>
      <c r="T306" s="11">
        <v>11</v>
      </c>
      <c r="U306" s="15" t="s">
        <v>1736</v>
      </c>
      <c r="V306" s="16" t="s">
        <v>1737</v>
      </c>
      <c r="W306" s="17">
        <v>111509596</v>
      </c>
      <c r="X306" s="16" t="s">
        <v>2688</v>
      </c>
      <c r="Y306" s="17" t="s">
        <v>3119</v>
      </c>
      <c r="Z306" s="17" t="s">
        <v>39</v>
      </c>
      <c r="AA306" s="17" t="s">
        <v>37</v>
      </c>
      <c r="AB306" s="29">
        <v>4.8899999999999997</v>
      </c>
      <c r="AC306" s="25">
        <v>4.7</v>
      </c>
      <c r="AD306" s="25">
        <f>AC306*T306</f>
        <v>51.7</v>
      </c>
      <c r="AE306" s="25">
        <f>AB306*T306</f>
        <v>53.79</v>
      </c>
      <c r="AF306" s="25">
        <f>AD306-AE306</f>
        <v>-2.0899999999999963</v>
      </c>
      <c r="AG306" s="26">
        <f>AF306/AD306</f>
        <v>-4.0425531914893544E-2</v>
      </c>
      <c r="AH306" s="27" t="str">
        <f>IF(AG306&lt;0,"Negative",IF(AG306=0,"Same",IF(AG306&gt;0.3,"30+%",IF(AG306&gt;0.2,"20-30%",IF(AG306&gt;0.1,"10-20%",IF(AG306&lt;=0.1,"0-10%"))))))</f>
        <v>Negative</v>
      </c>
      <c r="AI306" s="32"/>
      <c r="AJ306" s="36" t="s">
        <v>3300</v>
      </c>
      <c r="AK306" s="32"/>
    </row>
    <row r="307" spans="1:37" s="1" customFormat="1" ht="19.7" customHeight="1" x14ac:dyDescent="0.25">
      <c r="A307" s="5" t="s">
        <v>22</v>
      </c>
      <c r="B307" s="5" t="s">
        <v>1734</v>
      </c>
      <c r="C307" s="6">
        <v>44449</v>
      </c>
      <c r="D307" s="5" t="s">
        <v>24</v>
      </c>
      <c r="E307" s="5" t="s">
        <v>25</v>
      </c>
      <c r="F307" s="5" t="s">
        <v>26</v>
      </c>
      <c r="G307" s="5" t="s">
        <v>27</v>
      </c>
      <c r="H307" s="5" t="s">
        <v>28</v>
      </c>
      <c r="I307" s="5" t="s">
        <v>29</v>
      </c>
      <c r="J307" s="5" t="s">
        <v>30</v>
      </c>
      <c r="K307" s="5" t="s">
        <v>31</v>
      </c>
      <c r="L307" s="5" t="s">
        <v>32</v>
      </c>
      <c r="M307" s="5" t="s">
        <v>1735</v>
      </c>
      <c r="N307" s="5" t="s">
        <v>1733</v>
      </c>
      <c r="O307" s="5" t="s">
        <v>1736</v>
      </c>
      <c r="P307" s="5" t="s">
        <v>1737</v>
      </c>
      <c r="Q307" s="5">
        <v>111509596</v>
      </c>
      <c r="R307" s="5" t="s">
        <v>299</v>
      </c>
      <c r="S307" s="5" t="s">
        <v>39</v>
      </c>
      <c r="T307" s="7">
        <v>1</v>
      </c>
      <c r="U307" s="15" t="s">
        <v>1736</v>
      </c>
      <c r="V307" s="16" t="s">
        <v>1737</v>
      </c>
      <c r="W307" s="17">
        <v>111509596</v>
      </c>
      <c r="X307" s="16" t="s">
        <v>2688</v>
      </c>
      <c r="Y307" s="17" t="s">
        <v>3119</v>
      </c>
      <c r="Z307" s="17" t="s">
        <v>39</v>
      </c>
      <c r="AA307" s="17" t="s">
        <v>37</v>
      </c>
      <c r="AB307" s="29">
        <v>4.8899999999999997</v>
      </c>
      <c r="AC307" s="25">
        <v>4.7</v>
      </c>
      <c r="AD307" s="25">
        <f>AC307*T307</f>
        <v>4.7</v>
      </c>
      <c r="AE307" s="25">
        <f>AB307*T307</f>
        <v>4.8899999999999997</v>
      </c>
      <c r="AF307" s="25">
        <f>AD307-AE307</f>
        <v>-0.1899999999999995</v>
      </c>
      <c r="AG307" s="26">
        <f>AF307/AD307</f>
        <v>-4.0425531914893509E-2</v>
      </c>
      <c r="AH307" s="27" t="str">
        <f>IF(AG307&lt;0,"Negative",IF(AG307=0,"Same",IF(AG307&gt;0.3,"30+%",IF(AG307&gt;0.2,"20-30%",IF(AG307&gt;0.1,"10-20%",IF(AG307&lt;=0.1,"0-10%"))))))</f>
        <v>Negative</v>
      </c>
      <c r="AI307" s="32"/>
      <c r="AJ307" s="36" t="s">
        <v>3300</v>
      </c>
      <c r="AK307" s="32"/>
    </row>
    <row r="308" spans="1:37" s="1" customFormat="1" ht="19.7" customHeight="1" x14ac:dyDescent="0.25">
      <c r="A308" s="5" t="s">
        <v>22</v>
      </c>
      <c r="B308" s="5" t="s">
        <v>889</v>
      </c>
      <c r="C308" s="6">
        <v>44316</v>
      </c>
      <c r="D308" s="5" t="s">
        <v>24</v>
      </c>
      <c r="E308" s="5" t="s">
        <v>25</v>
      </c>
      <c r="F308" s="5" t="s">
        <v>26</v>
      </c>
      <c r="G308" s="5" t="s">
        <v>67</v>
      </c>
      <c r="H308" s="5" t="s">
        <v>68</v>
      </c>
      <c r="I308" s="5" t="s">
        <v>29</v>
      </c>
      <c r="J308" s="5" t="s">
        <v>30</v>
      </c>
      <c r="K308" s="5" t="s">
        <v>31</v>
      </c>
      <c r="L308" s="5" t="s">
        <v>32</v>
      </c>
      <c r="M308" s="5" t="s">
        <v>893</v>
      </c>
      <c r="N308" s="5" t="s">
        <v>891</v>
      </c>
      <c r="O308" s="5" t="s">
        <v>128</v>
      </c>
      <c r="P308" s="5" t="s">
        <v>894</v>
      </c>
      <c r="Q308" s="5">
        <v>100867995</v>
      </c>
      <c r="R308" s="5" t="s">
        <v>76</v>
      </c>
      <c r="S308" s="5" t="s">
        <v>39</v>
      </c>
      <c r="T308" s="7">
        <v>5</v>
      </c>
      <c r="U308" s="15" t="s">
        <v>128</v>
      </c>
      <c r="V308" s="16" t="s">
        <v>894</v>
      </c>
      <c r="W308" s="17">
        <v>100867995</v>
      </c>
      <c r="X308" s="16" t="s">
        <v>2542</v>
      </c>
      <c r="Y308" s="17" t="s">
        <v>2853</v>
      </c>
      <c r="Z308" s="17" t="s">
        <v>39</v>
      </c>
      <c r="AA308" s="17" t="s">
        <v>37</v>
      </c>
      <c r="AB308" s="29">
        <v>21.2</v>
      </c>
      <c r="AC308" s="25">
        <v>20.329999999999998</v>
      </c>
      <c r="AD308" s="25">
        <f>AC308*T308</f>
        <v>101.64999999999999</v>
      </c>
      <c r="AE308" s="25">
        <f>AB308*T308</f>
        <v>106</v>
      </c>
      <c r="AF308" s="25">
        <f>AD308-AE308</f>
        <v>-4.3500000000000085</v>
      </c>
      <c r="AG308" s="26">
        <f>AF308/AD308</f>
        <v>-4.2793900639449177E-2</v>
      </c>
      <c r="AH308" s="27" t="str">
        <f>IF(AG308&lt;0,"Negative",IF(AG308=0,"Same",IF(AG308&gt;0.3,"30+%",IF(AG308&gt;0.2,"20-30%",IF(AG308&gt;0.1,"10-20%",IF(AG308&lt;=0.1,"0-10%"))))))</f>
        <v>Negative</v>
      </c>
      <c r="AI308" s="32"/>
      <c r="AJ308" s="36" t="s">
        <v>3300</v>
      </c>
      <c r="AK308" s="32"/>
    </row>
    <row r="309" spans="1:37" s="1" customFormat="1" ht="19.7" customHeight="1" x14ac:dyDescent="0.25">
      <c r="A309" s="9" t="s">
        <v>22</v>
      </c>
      <c r="B309" s="9" t="s">
        <v>1473</v>
      </c>
      <c r="C309" s="10">
        <v>44403</v>
      </c>
      <c r="D309" s="9" t="s">
        <v>24</v>
      </c>
      <c r="E309" s="9" t="s">
        <v>25</v>
      </c>
      <c r="F309" s="9" t="s">
        <v>26</v>
      </c>
      <c r="G309" s="9" t="s">
        <v>67</v>
      </c>
      <c r="H309" s="9" t="s">
        <v>68</v>
      </c>
      <c r="I309" s="9" t="s">
        <v>29</v>
      </c>
      <c r="J309" s="9" t="s">
        <v>30</v>
      </c>
      <c r="K309" s="9" t="s">
        <v>31</v>
      </c>
      <c r="L309" s="9" t="s">
        <v>32</v>
      </c>
      <c r="M309" s="9" t="s">
        <v>893</v>
      </c>
      <c r="N309" s="9" t="s">
        <v>1474</v>
      </c>
      <c r="O309" s="9" t="s">
        <v>128</v>
      </c>
      <c r="P309" s="9" t="s">
        <v>894</v>
      </c>
      <c r="Q309" s="9">
        <v>100867995</v>
      </c>
      <c r="R309" s="9" t="s">
        <v>76</v>
      </c>
      <c r="S309" s="9" t="s">
        <v>39</v>
      </c>
      <c r="T309" s="11">
        <v>4</v>
      </c>
      <c r="U309" s="15" t="s">
        <v>128</v>
      </c>
      <c r="V309" s="16" t="s">
        <v>894</v>
      </c>
      <c r="W309" s="17">
        <v>100867995</v>
      </c>
      <c r="X309" s="16" t="s">
        <v>2542</v>
      </c>
      <c r="Y309" s="17" t="s">
        <v>2853</v>
      </c>
      <c r="Z309" s="17" t="s">
        <v>39</v>
      </c>
      <c r="AA309" s="17" t="s">
        <v>37</v>
      </c>
      <c r="AB309" s="29">
        <v>21.2</v>
      </c>
      <c r="AC309" s="25">
        <v>20.329999999999998</v>
      </c>
      <c r="AD309" s="25">
        <f>AC309*T309</f>
        <v>81.319999999999993</v>
      </c>
      <c r="AE309" s="25">
        <f>AB309*T309</f>
        <v>84.8</v>
      </c>
      <c r="AF309" s="25">
        <f>AD309-AE309</f>
        <v>-3.480000000000004</v>
      </c>
      <c r="AG309" s="26">
        <f>AF309/AD309</f>
        <v>-4.2793900639449142E-2</v>
      </c>
      <c r="AH309" s="27" t="str">
        <f>IF(AG309&lt;0,"Negative",IF(AG309=0,"Same",IF(AG309&gt;0.3,"30+%",IF(AG309&gt;0.2,"20-30%",IF(AG309&gt;0.1,"10-20%",IF(AG309&lt;=0.1,"0-10%"))))))</f>
        <v>Negative</v>
      </c>
      <c r="AI309" s="32"/>
      <c r="AJ309" s="36" t="s">
        <v>3300</v>
      </c>
      <c r="AK309" s="32"/>
    </row>
    <row r="310" spans="1:37" s="1" customFormat="1" ht="19.7" customHeight="1" x14ac:dyDescent="0.25">
      <c r="A310" s="5" t="s">
        <v>22</v>
      </c>
      <c r="B310" s="5" t="s">
        <v>1870</v>
      </c>
      <c r="C310" s="6">
        <v>44473</v>
      </c>
      <c r="D310" s="5" t="s">
        <v>24</v>
      </c>
      <c r="E310" s="5" t="s">
        <v>25</v>
      </c>
      <c r="F310" s="5" t="s">
        <v>26</v>
      </c>
      <c r="G310" s="5" t="s">
        <v>67</v>
      </c>
      <c r="H310" s="5" t="s">
        <v>68</v>
      </c>
      <c r="I310" s="5" t="s">
        <v>29</v>
      </c>
      <c r="J310" s="5" t="s">
        <v>30</v>
      </c>
      <c r="K310" s="5" t="s">
        <v>31</v>
      </c>
      <c r="L310" s="5" t="s">
        <v>32</v>
      </c>
      <c r="M310" s="5" t="s">
        <v>893</v>
      </c>
      <c r="N310" s="5" t="s">
        <v>1871</v>
      </c>
      <c r="O310" s="5" t="s">
        <v>128</v>
      </c>
      <c r="P310" s="5" t="s">
        <v>894</v>
      </c>
      <c r="Q310" s="5">
        <v>100867995</v>
      </c>
      <c r="R310" s="5" t="s">
        <v>76</v>
      </c>
      <c r="S310" s="5" t="s">
        <v>39</v>
      </c>
      <c r="T310" s="7">
        <v>4</v>
      </c>
      <c r="U310" s="15" t="s">
        <v>128</v>
      </c>
      <c r="V310" s="16" t="s">
        <v>894</v>
      </c>
      <c r="W310" s="17">
        <v>100867995</v>
      </c>
      <c r="X310" s="16" t="s">
        <v>2542</v>
      </c>
      <c r="Y310" s="17" t="s">
        <v>2853</v>
      </c>
      <c r="Z310" s="17" t="s">
        <v>39</v>
      </c>
      <c r="AA310" s="17" t="s">
        <v>37</v>
      </c>
      <c r="AB310" s="29">
        <v>21.2</v>
      </c>
      <c r="AC310" s="25">
        <v>20.329999999999998</v>
      </c>
      <c r="AD310" s="25">
        <f>AC310*T310</f>
        <v>81.319999999999993</v>
      </c>
      <c r="AE310" s="25">
        <f>AB310*T310</f>
        <v>84.8</v>
      </c>
      <c r="AF310" s="25">
        <f>AD310-AE310</f>
        <v>-3.480000000000004</v>
      </c>
      <c r="AG310" s="26">
        <f>AF310/AD310</f>
        <v>-4.2793900639449142E-2</v>
      </c>
      <c r="AH310" s="27" t="str">
        <f>IF(AG310&lt;0,"Negative",IF(AG310=0,"Same",IF(AG310&gt;0.3,"30+%",IF(AG310&gt;0.2,"20-30%",IF(AG310&gt;0.1,"10-20%",IF(AG310&lt;=0.1,"0-10%"))))))</f>
        <v>Negative</v>
      </c>
      <c r="AI310" s="32"/>
      <c r="AJ310" s="36" t="s">
        <v>3300</v>
      </c>
      <c r="AK310" s="32"/>
    </row>
    <row r="311" spans="1:37" s="1" customFormat="1" ht="19.7" customHeight="1" x14ac:dyDescent="0.25">
      <c r="A311" s="5" t="s">
        <v>22</v>
      </c>
      <c r="B311" s="5" t="s">
        <v>2345</v>
      </c>
      <c r="C311" s="6">
        <v>44568</v>
      </c>
      <c r="D311" s="5" t="s">
        <v>24</v>
      </c>
      <c r="E311" s="5" t="s">
        <v>25</v>
      </c>
      <c r="F311" s="5" t="s">
        <v>26</v>
      </c>
      <c r="G311" s="5" t="s">
        <v>67</v>
      </c>
      <c r="H311" s="5" t="s">
        <v>68</v>
      </c>
      <c r="I311" s="5" t="s">
        <v>29</v>
      </c>
      <c r="J311" s="5" t="s">
        <v>30</v>
      </c>
      <c r="K311" s="5" t="s">
        <v>31</v>
      </c>
      <c r="L311" s="5" t="s">
        <v>32</v>
      </c>
      <c r="M311" s="5" t="s">
        <v>893</v>
      </c>
      <c r="N311" s="5" t="s">
        <v>2346</v>
      </c>
      <c r="O311" s="5" t="s">
        <v>128</v>
      </c>
      <c r="P311" s="5" t="s">
        <v>894</v>
      </c>
      <c r="Q311" s="5">
        <v>100867995</v>
      </c>
      <c r="R311" s="5" t="s">
        <v>76</v>
      </c>
      <c r="S311" s="5" t="s">
        <v>39</v>
      </c>
      <c r="T311" s="7">
        <v>3</v>
      </c>
      <c r="U311" s="15" t="s">
        <v>128</v>
      </c>
      <c r="V311" s="16" t="s">
        <v>894</v>
      </c>
      <c r="W311" s="17">
        <v>100867995</v>
      </c>
      <c r="X311" s="16" t="s">
        <v>2542</v>
      </c>
      <c r="Y311" s="17" t="s">
        <v>2853</v>
      </c>
      <c r="Z311" s="17" t="s">
        <v>39</v>
      </c>
      <c r="AA311" s="17" t="s">
        <v>37</v>
      </c>
      <c r="AB311" s="29">
        <v>21.2</v>
      </c>
      <c r="AC311" s="25">
        <v>20.329999999999998</v>
      </c>
      <c r="AD311" s="25">
        <f>AC311*T311</f>
        <v>60.989999999999995</v>
      </c>
      <c r="AE311" s="25">
        <f>AB311*T311</f>
        <v>63.599999999999994</v>
      </c>
      <c r="AF311" s="25">
        <f>AD311-AE311</f>
        <v>-2.6099999999999994</v>
      </c>
      <c r="AG311" s="26">
        <f>AF311/AD311</f>
        <v>-4.2793900639449087E-2</v>
      </c>
      <c r="AH311" s="27" t="str">
        <f>IF(AG311&lt;0,"Negative",IF(AG311=0,"Same",IF(AG311&gt;0.3,"30+%",IF(AG311&gt;0.2,"20-30%",IF(AG311&gt;0.1,"10-20%",IF(AG311&lt;=0.1,"0-10%"))))))</f>
        <v>Negative</v>
      </c>
      <c r="AI311" s="32"/>
      <c r="AJ311" s="36" t="s">
        <v>3300</v>
      </c>
      <c r="AK311" s="32"/>
    </row>
    <row r="312" spans="1:37" s="1" customFormat="1" ht="19.7" customHeight="1" x14ac:dyDescent="0.25">
      <c r="A312" s="5" t="s">
        <v>22</v>
      </c>
      <c r="B312" s="5" t="s">
        <v>1278</v>
      </c>
      <c r="C312" s="6">
        <v>44370</v>
      </c>
      <c r="D312" s="5" t="s">
        <v>24</v>
      </c>
      <c r="E312" s="5" t="s">
        <v>25</v>
      </c>
      <c r="F312" s="5" t="s">
        <v>26</v>
      </c>
      <c r="G312" s="5" t="s">
        <v>27</v>
      </c>
      <c r="H312" s="5" t="s">
        <v>28</v>
      </c>
      <c r="I312" s="5" t="s">
        <v>29</v>
      </c>
      <c r="J312" s="5" t="s">
        <v>30</v>
      </c>
      <c r="K312" s="5" t="s">
        <v>31</v>
      </c>
      <c r="L312" s="5" t="s">
        <v>32</v>
      </c>
      <c r="M312" s="5" t="s">
        <v>261</v>
      </c>
      <c r="N312" s="5" t="s">
        <v>1279</v>
      </c>
      <c r="O312" s="5" t="s">
        <v>731</v>
      </c>
      <c r="P312" s="5" t="s">
        <v>1282</v>
      </c>
      <c r="Q312" s="5">
        <v>105080169</v>
      </c>
      <c r="R312" s="5" t="s">
        <v>38</v>
      </c>
      <c r="S312" s="5" t="s">
        <v>39</v>
      </c>
      <c r="T312" s="7">
        <v>1</v>
      </c>
      <c r="U312" s="15" t="s">
        <v>731</v>
      </c>
      <c r="V312" s="16" t="s">
        <v>1282</v>
      </c>
      <c r="W312" s="17">
        <v>105080169</v>
      </c>
      <c r="X312" s="16" t="s">
        <v>2629</v>
      </c>
      <c r="Y312" s="17" t="s">
        <v>2985</v>
      </c>
      <c r="Z312" s="17" t="s">
        <v>39</v>
      </c>
      <c r="AA312" s="17" t="s">
        <v>2501</v>
      </c>
      <c r="AB312" s="29">
        <v>116.39</v>
      </c>
      <c r="AC312" s="25">
        <v>119.03</v>
      </c>
      <c r="AD312" s="25">
        <f>AC312*T312</f>
        <v>119.03</v>
      </c>
      <c r="AE312" s="25">
        <f>AB312*T312</f>
        <v>116.39</v>
      </c>
      <c r="AF312" s="25">
        <f>AD312-AE312</f>
        <v>2.6400000000000006</v>
      </c>
      <c r="AG312" s="26">
        <f>AF312/AD312</f>
        <v>2.2179282533815008E-2</v>
      </c>
      <c r="AH312" s="27" t="str">
        <f>IF(AG312&lt;0,"Negative",IF(AG312=0,"Same",IF(AG312&gt;0.3,"30+%",IF(AG312&gt;0.2,"20-30%",IF(AG312&gt;0.1,"10-20%",IF(AG312&lt;=0.1,"0-10%"))))))</f>
        <v>0-10%</v>
      </c>
      <c r="AI312" s="32"/>
      <c r="AJ312" s="36" t="s">
        <v>3300</v>
      </c>
      <c r="AK312" s="32"/>
    </row>
    <row r="313" spans="1:37" s="1" customFormat="1" ht="19.7" customHeight="1" x14ac:dyDescent="0.25">
      <c r="A313" s="9" t="s">
        <v>22</v>
      </c>
      <c r="B313" s="9" t="s">
        <v>2128</v>
      </c>
      <c r="C313" s="10">
        <v>44519</v>
      </c>
      <c r="D313" s="9" t="s">
        <v>24</v>
      </c>
      <c r="E313" s="9" t="s">
        <v>25</v>
      </c>
      <c r="F313" s="9" t="s">
        <v>26</v>
      </c>
      <c r="G313" s="9" t="s">
        <v>67</v>
      </c>
      <c r="H313" s="9" t="s">
        <v>68</v>
      </c>
      <c r="I313" s="9" t="s">
        <v>29</v>
      </c>
      <c r="J313" s="9" t="s">
        <v>30</v>
      </c>
      <c r="K313" s="9" t="s">
        <v>31</v>
      </c>
      <c r="L313" s="9" t="s">
        <v>32</v>
      </c>
      <c r="M313" s="9" t="s">
        <v>479</v>
      </c>
      <c r="N313" s="9" t="s">
        <v>2129</v>
      </c>
      <c r="O313" s="9" t="s">
        <v>480</v>
      </c>
      <c r="P313" s="9" t="s">
        <v>481</v>
      </c>
      <c r="Q313" s="9">
        <v>112189277</v>
      </c>
      <c r="R313" s="9" t="s">
        <v>116</v>
      </c>
      <c r="S313" s="9" t="s">
        <v>39</v>
      </c>
      <c r="T313" s="11">
        <v>8</v>
      </c>
      <c r="U313" s="15" t="s">
        <v>480</v>
      </c>
      <c r="V313" s="16" t="s">
        <v>481</v>
      </c>
      <c r="W313" s="17">
        <v>112189277</v>
      </c>
      <c r="X313" s="16" t="s">
        <v>2692</v>
      </c>
      <c r="Y313" s="17" t="s">
        <v>2693</v>
      </c>
      <c r="Z313" s="17" t="s">
        <v>39</v>
      </c>
      <c r="AA313" s="17" t="s">
        <v>2501</v>
      </c>
      <c r="AB313" s="29">
        <v>32.369999999999997</v>
      </c>
      <c r="AC313" s="25">
        <v>33.909999999999997</v>
      </c>
      <c r="AD313" s="25">
        <f>AC313*T313</f>
        <v>271.27999999999997</v>
      </c>
      <c r="AE313" s="25">
        <f>AB313*T313</f>
        <v>258.95999999999998</v>
      </c>
      <c r="AF313" s="25">
        <f>AD313-AE313</f>
        <v>12.319999999999993</v>
      </c>
      <c r="AG313" s="26">
        <f>AF313/AD313</f>
        <v>4.5414332055440855E-2</v>
      </c>
      <c r="AH313" s="27" t="str">
        <f>IF(AG313&lt;0,"Negative",IF(AG313=0,"Same",IF(AG313&gt;0.3,"30+%",IF(AG313&gt;0.2,"20-30%",IF(AG313&gt;0.1,"10-20%",IF(AG313&lt;=0.1,"0-10%"))))))</f>
        <v>0-10%</v>
      </c>
      <c r="AI313" s="32"/>
      <c r="AJ313" s="36" t="s">
        <v>3300</v>
      </c>
      <c r="AK313" s="32"/>
    </row>
    <row r="314" spans="1:37" s="1" customFormat="1" ht="19.7" customHeight="1" x14ac:dyDescent="0.25">
      <c r="A314" s="9" t="s">
        <v>22</v>
      </c>
      <c r="B314" s="9" t="s">
        <v>2282</v>
      </c>
      <c r="C314" s="10">
        <v>44559</v>
      </c>
      <c r="D314" s="9" t="s">
        <v>24</v>
      </c>
      <c r="E314" s="9" t="s">
        <v>25</v>
      </c>
      <c r="F314" s="9" t="s">
        <v>26</v>
      </c>
      <c r="G314" s="9" t="s">
        <v>67</v>
      </c>
      <c r="H314" s="9" t="s">
        <v>68</v>
      </c>
      <c r="I314" s="9" t="s">
        <v>29</v>
      </c>
      <c r="J314" s="9" t="s">
        <v>30</v>
      </c>
      <c r="K314" s="9" t="s">
        <v>31</v>
      </c>
      <c r="L314" s="9" t="s">
        <v>32</v>
      </c>
      <c r="M314" s="9" t="s">
        <v>1179</v>
      </c>
      <c r="N314" s="9" t="s">
        <v>2131</v>
      </c>
      <c r="O314" s="9" t="s">
        <v>1180</v>
      </c>
      <c r="P314" s="9" t="s">
        <v>1181</v>
      </c>
      <c r="Q314" s="9">
        <v>101951759</v>
      </c>
      <c r="R314" s="9" t="s">
        <v>76</v>
      </c>
      <c r="S314" s="9" t="s">
        <v>39</v>
      </c>
      <c r="T314" s="11">
        <v>24</v>
      </c>
      <c r="U314" s="15" t="s">
        <v>1180</v>
      </c>
      <c r="V314" s="16" t="s">
        <v>1181</v>
      </c>
      <c r="W314" s="17">
        <v>101951759</v>
      </c>
      <c r="X314" s="16" t="s">
        <v>2953</v>
      </c>
      <c r="Y314" s="17" t="s">
        <v>2954</v>
      </c>
      <c r="Z314" s="17" t="s">
        <v>39</v>
      </c>
      <c r="AA314" s="17" t="s">
        <v>37</v>
      </c>
      <c r="AB314" s="29">
        <v>5.03</v>
      </c>
      <c r="AC314" s="25">
        <v>4.82</v>
      </c>
      <c r="AD314" s="25">
        <f>AC314*T314</f>
        <v>115.68</v>
      </c>
      <c r="AE314" s="25">
        <f>AB314*T314</f>
        <v>120.72</v>
      </c>
      <c r="AF314" s="25">
        <f>AD314-AE314</f>
        <v>-5.039999999999992</v>
      </c>
      <c r="AG314" s="26">
        <f>AF314/AD314</f>
        <v>-4.3568464730290385E-2</v>
      </c>
      <c r="AH314" s="27" t="str">
        <f>IF(AG314&lt;0,"Negative",IF(AG314=0,"Same",IF(AG314&gt;0.3,"30+%",IF(AG314&gt;0.2,"20-30%",IF(AG314&gt;0.1,"10-20%",IF(AG314&lt;=0.1,"0-10%"))))))</f>
        <v>Negative</v>
      </c>
      <c r="AI314" s="32"/>
      <c r="AJ314" s="36" t="s">
        <v>3300</v>
      </c>
      <c r="AK314" s="32"/>
    </row>
    <row r="315" spans="1:37" s="1" customFormat="1" ht="19.7" customHeight="1" x14ac:dyDescent="0.25">
      <c r="A315" s="5" t="s">
        <v>22</v>
      </c>
      <c r="B315" s="5" t="s">
        <v>385</v>
      </c>
      <c r="C315" s="6">
        <v>44257</v>
      </c>
      <c r="D315" s="5" t="s">
        <v>24</v>
      </c>
      <c r="E315" s="5" t="s">
        <v>25</v>
      </c>
      <c r="F315" s="5" t="s">
        <v>26</v>
      </c>
      <c r="G315" s="5" t="s">
        <v>27</v>
      </c>
      <c r="H315" s="5" t="s">
        <v>28</v>
      </c>
      <c r="I315" s="5" t="s">
        <v>29</v>
      </c>
      <c r="J315" s="5" t="s">
        <v>30</v>
      </c>
      <c r="K315" s="5" t="s">
        <v>31</v>
      </c>
      <c r="L315" s="5" t="s">
        <v>32</v>
      </c>
      <c r="M315" s="5" t="s">
        <v>386</v>
      </c>
      <c r="N315" s="5" t="s">
        <v>321</v>
      </c>
      <c r="O315" s="5" t="s">
        <v>49</v>
      </c>
      <c r="P315" s="5" t="s">
        <v>387</v>
      </c>
      <c r="Q315" s="5">
        <v>115347232</v>
      </c>
      <c r="R315" s="5" t="s">
        <v>38</v>
      </c>
      <c r="S315" s="5" t="s">
        <v>39</v>
      </c>
      <c r="T315" s="7">
        <v>1</v>
      </c>
      <c r="U315" s="15" t="s">
        <v>49</v>
      </c>
      <c r="V315" s="16" t="s">
        <v>387</v>
      </c>
      <c r="W315" s="17">
        <v>115347232</v>
      </c>
      <c r="X315" s="16" t="s">
        <v>2650</v>
      </c>
      <c r="Y315" s="17" t="s">
        <v>2651</v>
      </c>
      <c r="Z315" s="17" t="s">
        <v>39</v>
      </c>
      <c r="AA315" s="17" t="s">
        <v>2501</v>
      </c>
      <c r="AB315" s="29">
        <v>116.89</v>
      </c>
      <c r="AC315" s="25">
        <v>119.54</v>
      </c>
      <c r="AD315" s="25">
        <f>AC315*T315</f>
        <v>119.54</v>
      </c>
      <c r="AE315" s="25">
        <f>AB315*T315</f>
        <v>116.89</v>
      </c>
      <c r="AF315" s="25">
        <f>AD315-AE315</f>
        <v>2.6500000000000057</v>
      </c>
      <c r="AG315" s="26">
        <f>AF315/AD315</f>
        <v>2.2168311862138242E-2</v>
      </c>
      <c r="AH315" s="27" t="str">
        <f>IF(AG315&lt;0,"Negative",IF(AG315=0,"Same",IF(AG315&gt;0.3,"30+%",IF(AG315&gt;0.2,"20-30%",IF(AG315&gt;0.1,"10-20%",IF(AG315&lt;=0.1,"0-10%"))))))</f>
        <v>0-10%</v>
      </c>
      <c r="AI315" s="32"/>
      <c r="AJ315" s="36" t="s">
        <v>3300</v>
      </c>
      <c r="AK315" s="32"/>
    </row>
    <row r="316" spans="1:37" s="1" customFormat="1" ht="19.7" customHeight="1" x14ac:dyDescent="0.25">
      <c r="A316" s="9" t="s">
        <v>22</v>
      </c>
      <c r="B316" s="9" t="s">
        <v>622</v>
      </c>
      <c r="C316" s="10">
        <v>44281</v>
      </c>
      <c r="D316" s="9" t="s">
        <v>24</v>
      </c>
      <c r="E316" s="9" t="s">
        <v>25</v>
      </c>
      <c r="F316" s="9" t="s">
        <v>26</v>
      </c>
      <c r="G316" s="9" t="s">
        <v>67</v>
      </c>
      <c r="H316" s="9" t="s">
        <v>68</v>
      </c>
      <c r="I316" s="9" t="s">
        <v>29</v>
      </c>
      <c r="J316" s="9" t="s">
        <v>30</v>
      </c>
      <c r="K316" s="9" t="s">
        <v>31</v>
      </c>
      <c r="L316" s="9" t="s">
        <v>32</v>
      </c>
      <c r="M316" s="9" t="s">
        <v>623</v>
      </c>
      <c r="N316" s="9" t="s">
        <v>624</v>
      </c>
      <c r="O316" s="9" t="s">
        <v>128</v>
      </c>
      <c r="P316" s="9" t="s">
        <v>625</v>
      </c>
      <c r="Q316" s="9">
        <v>100867413</v>
      </c>
      <c r="R316" s="9" t="s">
        <v>76</v>
      </c>
      <c r="S316" s="9" t="s">
        <v>39</v>
      </c>
      <c r="T316" s="11">
        <v>4</v>
      </c>
      <c r="U316" s="15" t="s">
        <v>128</v>
      </c>
      <c r="V316" s="16" t="s">
        <v>625</v>
      </c>
      <c r="W316" s="17">
        <v>100867413</v>
      </c>
      <c r="X316" s="16" t="s">
        <v>2542</v>
      </c>
      <c r="Y316" s="17" t="s">
        <v>2754</v>
      </c>
      <c r="Z316" s="17" t="s">
        <v>39</v>
      </c>
      <c r="AA316" s="17" t="s">
        <v>37</v>
      </c>
      <c r="AB316" s="29">
        <v>18.59</v>
      </c>
      <c r="AC316" s="25">
        <v>20.71</v>
      </c>
      <c r="AD316" s="25">
        <f>AC316*T316</f>
        <v>82.84</v>
      </c>
      <c r="AE316" s="25">
        <f>AB316*T316</f>
        <v>74.36</v>
      </c>
      <c r="AF316" s="25">
        <f>AD316-AE316</f>
        <v>8.480000000000004</v>
      </c>
      <c r="AG316" s="26">
        <f>AF316/AD316</f>
        <v>0.10236600676001936</v>
      </c>
      <c r="AH316" s="27" t="str">
        <f>IF(AG316&lt;0,"Negative",IF(AG316=0,"Same",IF(AG316&gt;0.3,"30+%",IF(AG316&gt;0.2,"20-30%",IF(AG316&gt;0.1,"10-20%",IF(AG316&lt;=0.1,"0-10%"))))))</f>
        <v>10-20%</v>
      </c>
      <c r="AI316" s="32"/>
      <c r="AJ316" s="36" t="s">
        <v>3299</v>
      </c>
      <c r="AK316" s="32"/>
    </row>
    <row r="317" spans="1:37" s="1" customFormat="1" ht="19.7" customHeight="1" x14ac:dyDescent="0.25">
      <c r="A317" s="9" t="s">
        <v>22</v>
      </c>
      <c r="B317" s="9" t="s">
        <v>2191</v>
      </c>
      <c r="C317" s="10">
        <v>44536</v>
      </c>
      <c r="D317" s="9" t="s">
        <v>24</v>
      </c>
      <c r="E317" s="9" t="s">
        <v>25</v>
      </c>
      <c r="F317" s="9" t="s">
        <v>26</v>
      </c>
      <c r="G317" s="9" t="s">
        <v>67</v>
      </c>
      <c r="H317" s="9" t="s">
        <v>68</v>
      </c>
      <c r="I317" s="9" t="s">
        <v>29</v>
      </c>
      <c r="J317" s="9" t="s">
        <v>30</v>
      </c>
      <c r="K317" s="9" t="s">
        <v>31</v>
      </c>
      <c r="L317" s="9" t="s">
        <v>32</v>
      </c>
      <c r="M317" s="9" t="s">
        <v>623</v>
      </c>
      <c r="N317" s="9" t="s">
        <v>2192</v>
      </c>
      <c r="O317" s="9" t="s">
        <v>128</v>
      </c>
      <c r="P317" s="9" t="s">
        <v>625</v>
      </c>
      <c r="Q317" s="9">
        <v>100867413</v>
      </c>
      <c r="R317" s="9" t="s">
        <v>76</v>
      </c>
      <c r="S317" s="9" t="s">
        <v>39</v>
      </c>
      <c r="T317" s="11">
        <v>4</v>
      </c>
      <c r="U317" s="15" t="s">
        <v>128</v>
      </c>
      <c r="V317" s="16" t="s">
        <v>625</v>
      </c>
      <c r="W317" s="17">
        <v>100867413</v>
      </c>
      <c r="X317" s="16" t="s">
        <v>2542</v>
      </c>
      <c r="Y317" s="17" t="s">
        <v>2754</v>
      </c>
      <c r="Z317" s="17" t="s">
        <v>39</v>
      </c>
      <c r="AA317" s="17" t="s">
        <v>37</v>
      </c>
      <c r="AB317" s="29">
        <v>18.59</v>
      </c>
      <c r="AC317" s="25">
        <v>20.71</v>
      </c>
      <c r="AD317" s="25">
        <f>AC317*T317</f>
        <v>82.84</v>
      </c>
      <c r="AE317" s="25">
        <f>AB317*T317</f>
        <v>74.36</v>
      </c>
      <c r="AF317" s="25">
        <f>AD317-AE317</f>
        <v>8.480000000000004</v>
      </c>
      <c r="AG317" s="26">
        <f>AF317/AD317</f>
        <v>0.10236600676001936</v>
      </c>
      <c r="AH317" s="27" t="str">
        <f>IF(AG317&lt;0,"Negative",IF(AG317=0,"Same",IF(AG317&gt;0.3,"30+%",IF(AG317&gt;0.2,"20-30%",IF(AG317&gt;0.1,"10-20%",IF(AG317&lt;=0.1,"0-10%"))))))</f>
        <v>10-20%</v>
      </c>
      <c r="AI317" s="32"/>
      <c r="AJ317" s="36" t="s">
        <v>3299</v>
      </c>
      <c r="AK317" s="32"/>
    </row>
    <row r="318" spans="1:37" s="1" customFormat="1" ht="19.7" customHeight="1" x14ac:dyDescent="0.25">
      <c r="A318" s="5" t="s">
        <v>22</v>
      </c>
      <c r="B318" s="5" t="s">
        <v>1473</v>
      </c>
      <c r="C318" s="6">
        <v>44403</v>
      </c>
      <c r="D318" s="5" t="s">
        <v>24</v>
      </c>
      <c r="E318" s="5" t="s">
        <v>25</v>
      </c>
      <c r="F318" s="5" t="s">
        <v>26</v>
      </c>
      <c r="G318" s="5" t="s">
        <v>67</v>
      </c>
      <c r="H318" s="5" t="s">
        <v>68</v>
      </c>
      <c r="I318" s="5" t="s">
        <v>29</v>
      </c>
      <c r="J318" s="5" t="s">
        <v>30</v>
      </c>
      <c r="K318" s="5" t="s">
        <v>31</v>
      </c>
      <c r="L318" s="5" t="s">
        <v>32</v>
      </c>
      <c r="M318" s="5" t="s">
        <v>623</v>
      </c>
      <c r="N318" s="5" t="s">
        <v>1474</v>
      </c>
      <c r="O318" s="5" t="s">
        <v>128</v>
      </c>
      <c r="P318" s="5" t="s">
        <v>625</v>
      </c>
      <c r="Q318" s="5">
        <v>100867413</v>
      </c>
      <c r="R318" s="5" t="s">
        <v>76</v>
      </c>
      <c r="S318" s="5" t="s">
        <v>39</v>
      </c>
      <c r="T318" s="7">
        <v>6</v>
      </c>
      <c r="U318" s="15" t="s">
        <v>128</v>
      </c>
      <c r="V318" s="16" t="s">
        <v>625</v>
      </c>
      <c r="W318" s="17">
        <v>100867413</v>
      </c>
      <c r="X318" s="16" t="s">
        <v>2542</v>
      </c>
      <c r="Y318" s="17" t="s">
        <v>2754</v>
      </c>
      <c r="Z318" s="17" t="s">
        <v>39</v>
      </c>
      <c r="AA318" s="17" t="s">
        <v>37</v>
      </c>
      <c r="AB318" s="29">
        <v>18.59</v>
      </c>
      <c r="AC318" s="25">
        <v>20.71</v>
      </c>
      <c r="AD318" s="25">
        <f>AC318*T318</f>
        <v>124.26</v>
      </c>
      <c r="AE318" s="25">
        <f>AB318*T318</f>
        <v>111.53999999999999</v>
      </c>
      <c r="AF318" s="25">
        <f>AD318-AE318</f>
        <v>12.720000000000013</v>
      </c>
      <c r="AG318" s="26">
        <f>AF318/AD318</f>
        <v>0.10236600676001942</v>
      </c>
      <c r="AH318" s="27" t="str">
        <f>IF(AG318&lt;0,"Negative",IF(AG318=0,"Same",IF(AG318&gt;0.3,"30+%",IF(AG318&gt;0.2,"20-30%",IF(AG318&gt;0.1,"10-20%",IF(AG318&lt;=0.1,"0-10%"))))))</f>
        <v>10-20%</v>
      </c>
      <c r="AI318" s="32"/>
      <c r="AJ318" s="36" t="s">
        <v>3299</v>
      </c>
      <c r="AK318" s="32"/>
    </row>
    <row r="319" spans="1:37" s="1" customFormat="1" ht="19.7" customHeight="1" x14ac:dyDescent="0.25">
      <c r="A319" s="9" t="s">
        <v>22</v>
      </c>
      <c r="B319" s="9" t="s">
        <v>1098</v>
      </c>
      <c r="C319" s="10">
        <v>44340</v>
      </c>
      <c r="D319" s="9" t="s">
        <v>24</v>
      </c>
      <c r="E319" s="9" t="s">
        <v>25</v>
      </c>
      <c r="F319" s="9" t="s">
        <v>26</v>
      </c>
      <c r="G319" s="9" t="s">
        <v>27</v>
      </c>
      <c r="H319" s="9" t="s">
        <v>28</v>
      </c>
      <c r="I319" s="9" t="s">
        <v>29</v>
      </c>
      <c r="J319" s="9" t="s">
        <v>30</v>
      </c>
      <c r="K319" s="9" t="s">
        <v>31</v>
      </c>
      <c r="L319" s="9" t="s">
        <v>32</v>
      </c>
      <c r="M319" s="9" t="s">
        <v>261</v>
      </c>
      <c r="N319" s="9" t="s">
        <v>1004</v>
      </c>
      <c r="O319" s="9" t="s">
        <v>89</v>
      </c>
      <c r="P319" s="9" t="s">
        <v>1005</v>
      </c>
      <c r="Q319" s="9">
        <v>100000780</v>
      </c>
      <c r="R319" s="9" t="s">
        <v>45</v>
      </c>
      <c r="S319" s="9" t="s">
        <v>39</v>
      </c>
      <c r="T319" s="11">
        <v>3</v>
      </c>
      <c r="U319" s="15" t="s">
        <v>89</v>
      </c>
      <c r="V319" s="16" t="s">
        <v>1005</v>
      </c>
      <c r="W319" s="17">
        <v>100000780</v>
      </c>
      <c r="X319" s="16" t="s">
        <v>2520</v>
      </c>
      <c r="Y319" s="17" t="s">
        <v>2893</v>
      </c>
      <c r="Z319" s="17" t="s">
        <v>39</v>
      </c>
      <c r="AA319" s="17" t="s">
        <v>37</v>
      </c>
      <c r="AB319" s="43">
        <v>4.3499999999999996</v>
      </c>
      <c r="AC319" s="25">
        <v>5.1100000000000003</v>
      </c>
      <c r="AD319" s="25">
        <f>AC319*T319</f>
        <v>15.330000000000002</v>
      </c>
      <c r="AE319" s="25">
        <f>AB319*T319</f>
        <v>13.049999999999999</v>
      </c>
      <c r="AF319" s="25">
        <f>AD319-AE319</f>
        <v>2.2800000000000029</v>
      </c>
      <c r="AG319" s="26">
        <f>AF319/AD319</f>
        <v>0.14872798434442286</v>
      </c>
      <c r="AH319" s="27" t="str">
        <f>IF(AG319&lt;0,"Negative",IF(AG319=0,"Same",IF(AG319&gt;0.3,"30+%",IF(AG319&gt;0.2,"20-30%",IF(AG319&gt;0.1,"10-20%",IF(AG319&lt;=0.1,"0-10%"))))))</f>
        <v>10-20%</v>
      </c>
      <c r="AI319" s="32"/>
      <c r="AJ319" s="36" t="s">
        <v>3300</v>
      </c>
      <c r="AK319" s="32"/>
    </row>
    <row r="320" spans="1:37" s="1" customFormat="1" ht="19.7" customHeight="1" x14ac:dyDescent="0.25">
      <c r="A320" s="9" t="s">
        <v>22</v>
      </c>
      <c r="B320" s="9" t="s">
        <v>1003</v>
      </c>
      <c r="C320" s="10">
        <v>44328</v>
      </c>
      <c r="D320" s="9" t="s">
        <v>24</v>
      </c>
      <c r="E320" s="9" t="s">
        <v>25</v>
      </c>
      <c r="F320" s="9" t="s">
        <v>26</v>
      </c>
      <c r="G320" s="9" t="s">
        <v>27</v>
      </c>
      <c r="H320" s="9" t="s">
        <v>28</v>
      </c>
      <c r="I320" s="9" t="s">
        <v>29</v>
      </c>
      <c r="J320" s="9" t="s">
        <v>30</v>
      </c>
      <c r="K320" s="9" t="s">
        <v>31</v>
      </c>
      <c r="L320" s="9" t="s">
        <v>32</v>
      </c>
      <c r="M320" s="9" t="s">
        <v>261</v>
      </c>
      <c r="N320" s="9" t="s">
        <v>1004</v>
      </c>
      <c r="O320" s="9" t="s">
        <v>89</v>
      </c>
      <c r="P320" s="9" t="s">
        <v>1005</v>
      </c>
      <c r="Q320" s="9">
        <v>100000780</v>
      </c>
      <c r="R320" s="9" t="s">
        <v>45</v>
      </c>
      <c r="S320" s="9" t="s">
        <v>39</v>
      </c>
      <c r="T320" s="11">
        <v>4</v>
      </c>
      <c r="U320" s="15" t="s">
        <v>89</v>
      </c>
      <c r="V320" s="16" t="s">
        <v>1005</v>
      </c>
      <c r="W320" s="17">
        <v>100000780</v>
      </c>
      <c r="X320" s="16" t="s">
        <v>2520</v>
      </c>
      <c r="Y320" s="17" t="s">
        <v>2893</v>
      </c>
      <c r="Z320" s="17" t="s">
        <v>39</v>
      </c>
      <c r="AA320" s="17" t="s">
        <v>37</v>
      </c>
      <c r="AB320" s="43">
        <v>4.3499999999999996</v>
      </c>
      <c r="AC320" s="25">
        <v>5.1100000000000003</v>
      </c>
      <c r="AD320" s="25">
        <f>AC320*T320</f>
        <v>20.440000000000001</v>
      </c>
      <c r="AE320" s="25">
        <f>AB320*T320</f>
        <v>17.399999999999999</v>
      </c>
      <c r="AF320" s="25">
        <f>AD320-AE320</f>
        <v>3.0400000000000027</v>
      </c>
      <c r="AG320" s="26">
        <f>AF320/AD320</f>
        <v>0.14872798434442283</v>
      </c>
      <c r="AH320" s="27" t="str">
        <f>IF(AG320&lt;0,"Negative",IF(AG320=0,"Same",IF(AG320&gt;0.3,"30+%",IF(AG320&gt;0.2,"20-30%",IF(AG320&gt;0.1,"10-20%",IF(AG320&lt;=0.1,"0-10%"))))))</f>
        <v>10-20%</v>
      </c>
      <c r="AI320" s="32"/>
      <c r="AJ320" s="36" t="s">
        <v>3300</v>
      </c>
      <c r="AK320" s="32"/>
    </row>
    <row r="321" spans="1:37" s="1" customFormat="1" ht="19.7" customHeight="1" x14ac:dyDescent="0.25">
      <c r="A321" s="5" t="s">
        <v>22</v>
      </c>
      <c r="B321" s="5" t="s">
        <v>1008</v>
      </c>
      <c r="C321" s="6">
        <v>44328</v>
      </c>
      <c r="D321" s="5" t="s">
        <v>24</v>
      </c>
      <c r="E321" s="5" t="s">
        <v>25</v>
      </c>
      <c r="F321" s="5" t="s">
        <v>26</v>
      </c>
      <c r="G321" s="5" t="s">
        <v>27</v>
      </c>
      <c r="H321" s="5" t="s">
        <v>28</v>
      </c>
      <c r="I321" s="5" t="s">
        <v>29</v>
      </c>
      <c r="J321" s="5" t="s">
        <v>30</v>
      </c>
      <c r="K321" s="5" t="s">
        <v>31</v>
      </c>
      <c r="L321" s="5" t="s">
        <v>32</v>
      </c>
      <c r="M321" s="5" t="s">
        <v>261</v>
      </c>
      <c r="N321" s="5" t="s">
        <v>1004</v>
      </c>
      <c r="O321" s="5" t="s">
        <v>89</v>
      </c>
      <c r="P321" s="5" t="s">
        <v>1005</v>
      </c>
      <c r="Q321" s="5">
        <v>100000780</v>
      </c>
      <c r="R321" s="5" t="s">
        <v>45</v>
      </c>
      <c r="S321" s="5" t="s">
        <v>39</v>
      </c>
      <c r="T321" s="7">
        <v>5</v>
      </c>
      <c r="U321" s="15" t="s">
        <v>89</v>
      </c>
      <c r="V321" s="16" t="s">
        <v>1005</v>
      </c>
      <c r="W321" s="17">
        <v>100000780</v>
      </c>
      <c r="X321" s="16" t="s">
        <v>2520</v>
      </c>
      <c r="Y321" s="17" t="s">
        <v>2893</v>
      </c>
      <c r="Z321" s="17" t="s">
        <v>39</v>
      </c>
      <c r="AA321" s="17" t="s">
        <v>37</v>
      </c>
      <c r="AB321" s="43">
        <v>4.3499999999999996</v>
      </c>
      <c r="AC321" s="25">
        <v>5.1100000000000003</v>
      </c>
      <c r="AD321" s="25">
        <f>AC321*T321</f>
        <v>25.55</v>
      </c>
      <c r="AE321" s="25">
        <f>AB321*T321</f>
        <v>21.75</v>
      </c>
      <c r="AF321" s="25">
        <f>AD321-AE321</f>
        <v>3.8000000000000007</v>
      </c>
      <c r="AG321" s="26">
        <f>AF321/AD321</f>
        <v>0.14872798434442272</v>
      </c>
      <c r="AH321" s="27" t="str">
        <f>IF(AG321&lt;0,"Negative",IF(AG321=0,"Same",IF(AG321&gt;0.3,"30+%",IF(AG321&gt;0.2,"20-30%",IF(AG321&gt;0.1,"10-20%",IF(AG321&lt;=0.1,"0-10%"))))))</f>
        <v>10-20%</v>
      </c>
      <c r="AI321" s="32"/>
      <c r="AJ321" s="36" t="s">
        <v>3300</v>
      </c>
      <c r="AK321" s="32"/>
    </row>
    <row r="322" spans="1:37" s="1" customFormat="1" ht="19.7" customHeight="1" x14ac:dyDescent="0.25">
      <c r="A322" s="9" t="s">
        <v>22</v>
      </c>
      <c r="B322" s="9" t="s">
        <v>1545</v>
      </c>
      <c r="C322" s="10">
        <v>44410</v>
      </c>
      <c r="D322" s="9" t="s">
        <v>24</v>
      </c>
      <c r="E322" s="9" t="s">
        <v>25</v>
      </c>
      <c r="F322" s="9" t="s">
        <v>26</v>
      </c>
      <c r="G322" s="9" t="s">
        <v>27</v>
      </c>
      <c r="H322" s="9" t="s">
        <v>28</v>
      </c>
      <c r="I322" s="9" t="s">
        <v>29</v>
      </c>
      <c r="J322" s="9" t="s">
        <v>30</v>
      </c>
      <c r="K322" s="9" t="s">
        <v>31</v>
      </c>
      <c r="L322" s="9" t="s">
        <v>32</v>
      </c>
      <c r="M322" s="9" t="s">
        <v>1546</v>
      </c>
      <c r="N322" s="9" t="s">
        <v>1429</v>
      </c>
      <c r="O322" s="9" t="s">
        <v>89</v>
      </c>
      <c r="P322" s="9" t="s">
        <v>1005</v>
      </c>
      <c r="Q322" s="9">
        <v>100000780</v>
      </c>
      <c r="R322" s="9" t="s">
        <v>45</v>
      </c>
      <c r="S322" s="9" t="s">
        <v>39</v>
      </c>
      <c r="T322" s="11">
        <v>8</v>
      </c>
      <c r="U322" s="15" t="s">
        <v>89</v>
      </c>
      <c r="V322" s="16" t="s">
        <v>1005</v>
      </c>
      <c r="W322" s="17">
        <v>100000780</v>
      </c>
      <c r="X322" s="16" t="s">
        <v>2520</v>
      </c>
      <c r="Y322" s="17" t="s">
        <v>2893</v>
      </c>
      <c r="Z322" s="17" t="s">
        <v>39</v>
      </c>
      <c r="AA322" s="17" t="s">
        <v>37</v>
      </c>
      <c r="AB322" s="43">
        <v>4.3499999999999996</v>
      </c>
      <c r="AC322" s="25">
        <v>5.1100000000000003</v>
      </c>
      <c r="AD322" s="25">
        <f>AC322*T322</f>
        <v>40.880000000000003</v>
      </c>
      <c r="AE322" s="25">
        <f>AB322*T322</f>
        <v>34.799999999999997</v>
      </c>
      <c r="AF322" s="25">
        <f>AD322-AE322</f>
        <v>6.0800000000000054</v>
      </c>
      <c r="AG322" s="26">
        <f>AF322/AD322</f>
        <v>0.14872798434442283</v>
      </c>
      <c r="AH322" s="27" t="str">
        <f>IF(AG322&lt;0,"Negative",IF(AG322=0,"Same",IF(AG322&gt;0.3,"30+%",IF(AG322&gt;0.2,"20-30%",IF(AG322&gt;0.1,"10-20%",IF(AG322&lt;=0.1,"0-10%"))))))</f>
        <v>10-20%</v>
      </c>
      <c r="AI322" s="32"/>
      <c r="AJ322" s="36" t="s">
        <v>3300</v>
      </c>
      <c r="AK322" s="32"/>
    </row>
    <row r="323" spans="1:37" s="1" customFormat="1" ht="19.7" customHeight="1" x14ac:dyDescent="0.25">
      <c r="A323" s="9" t="s">
        <v>22</v>
      </c>
      <c r="B323" s="9" t="s">
        <v>1887</v>
      </c>
      <c r="C323" s="10">
        <v>44476</v>
      </c>
      <c r="D323" s="9" t="s">
        <v>24</v>
      </c>
      <c r="E323" s="9" t="s">
        <v>25</v>
      </c>
      <c r="F323" s="9" t="s">
        <v>26</v>
      </c>
      <c r="G323" s="9" t="s">
        <v>27</v>
      </c>
      <c r="H323" s="9" t="s">
        <v>28</v>
      </c>
      <c r="I323" s="9" t="s">
        <v>29</v>
      </c>
      <c r="J323" s="9" t="s">
        <v>30</v>
      </c>
      <c r="K323" s="9" t="s">
        <v>31</v>
      </c>
      <c r="L323" s="9" t="s">
        <v>32</v>
      </c>
      <c r="M323" s="9" t="s">
        <v>1888</v>
      </c>
      <c r="N323" s="9" t="s">
        <v>1883</v>
      </c>
      <c r="O323" s="9" t="s">
        <v>178</v>
      </c>
      <c r="P323" s="9" t="s">
        <v>1889</v>
      </c>
      <c r="Q323" s="9">
        <v>110410121</v>
      </c>
      <c r="R323" s="9" t="s">
        <v>56</v>
      </c>
      <c r="S323" s="9" t="s">
        <v>39</v>
      </c>
      <c r="T323" s="11">
        <v>3</v>
      </c>
      <c r="U323" s="15" t="s">
        <v>178</v>
      </c>
      <c r="V323" s="16" t="s">
        <v>1889</v>
      </c>
      <c r="W323" s="17">
        <v>110410121</v>
      </c>
      <c r="X323" s="16" t="s">
        <v>2815</v>
      </c>
      <c r="Y323" s="17" t="s">
        <v>3162</v>
      </c>
      <c r="Z323" s="17" t="s">
        <v>39</v>
      </c>
      <c r="AA323" s="17" t="s">
        <v>37</v>
      </c>
      <c r="AB323" s="29">
        <v>5.79</v>
      </c>
      <c r="AC323" s="25">
        <v>6.13</v>
      </c>
      <c r="AD323" s="25">
        <f>AC323*T323</f>
        <v>18.39</v>
      </c>
      <c r="AE323" s="25">
        <f>AB323*T323</f>
        <v>17.37</v>
      </c>
      <c r="AF323" s="25">
        <f>AD323-AE323</f>
        <v>1.0199999999999996</v>
      </c>
      <c r="AG323" s="26">
        <f>AF323/AD323</f>
        <v>5.546492659053831E-2</v>
      </c>
      <c r="AH323" s="27" t="str">
        <f>IF(AG323&lt;0,"Negative",IF(AG323=0,"Same",IF(AG323&gt;0.3,"30+%",IF(AG323&gt;0.2,"20-30%",IF(AG323&gt;0.1,"10-20%",IF(AG323&lt;=0.1,"0-10%"))))))</f>
        <v>0-10%</v>
      </c>
      <c r="AI323" s="32"/>
      <c r="AJ323" s="36" t="s">
        <v>3300</v>
      </c>
      <c r="AK323" s="32"/>
    </row>
    <row r="324" spans="1:37" s="1" customFormat="1" ht="19.7" customHeight="1" x14ac:dyDescent="0.25">
      <c r="A324" s="9" t="s">
        <v>22</v>
      </c>
      <c r="B324" s="9" t="s">
        <v>410</v>
      </c>
      <c r="C324" s="10">
        <v>44260</v>
      </c>
      <c r="D324" s="9" t="s">
        <v>24</v>
      </c>
      <c r="E324" s="9" t="s">
        <v>25</v>
      </c>
      <c r="F324" s="9" t="s">
        <v>26</v>
      </c>
      <c r="G324" s="9" t="s">
        <v>27</v>
      </c>
      <c r="H324" s="9" t="s">
        <v>28</v>
      </c>
      <c r="I324" s="9" t="s">
        <v>29</v>
      </c>
      <c r="J324" s="9" t="s">
        <v>30</v>
      </c>
      <c r="K324" s="9" t="s">
        <v>31</v>
      </c>
      <c r="L324" s="9" t="s">
        <v>32</v>
      </c>
      <c r="M324" s="9" t="s">
        <v>411</v>
      </c>
      <c r="N324" s="9" t="s">
        <v>251</v>
      </c>
      <c r="O324" s="9" t="s">
        <v>122</v>
      </c>
      <c r="P324" s="9" t="s">
        <v>412</v>
      </c>
      <c r="Q324" s="9">
        <v>101516085</v>
      </c>
      <c r="R324" s="9" t="s">
        <v>84</v>
      </c>
      <c r="S324" s="9" t="s">
        <v>39</v>
      </c>
      <c r="T324" s="11">
        <v>11</v>
      </c>
      <c r="U324" s="15" t="s">
        <v>122</v>
      </c>
      <c r="V324" s="16" t="s">
        <v>412</v>
      </c>
      <c r="W324" s="17">
        <v>101516085</v>
      </c>
      <c r="X324" s="16" t="s">
        <v>2532</v>
      </c>
      <c r="Y324" s="17" t="s">
        <v>2663</v>
      </c>
      <c r="Z324" s="17" t="s">
        <v>39</v>
      </c>
      <c r="AA324" s="17" t="s">
        <v>37</v>
      </c>
      <c r="AB324" s="29">
        <v>11.4</v>
      </c>
      <c r="AC324" s="25">
        <v>11.21</v>
      </c>
      <c r="AD324" s="25">
        <f>AC324*T324</f>
        <v>123.31</v>
      </c>
      <c r="AE324" s="25">
        <f>AB324*T324</f>
        <v>125.4</v>
      </c>
      <c r="AF324" s="25">
        <f>AD324-AE324</f>
        <v>-2.0900000000000034</v>
      </c>
      <c r="AG324" s="26">
        <f>AF324/AD324</f>
        <v>-1.6949152542372909E-2</v>
      </c>
      <c r="AH324" s="27" t="str">
        <f>IF(AG324&lt;0,"Negative",IF(AG324=0,"Same",IF(AG324&gt;0.3,"30+%",IF(AG324&gt;0.2,"20-30%",IF(AG324&gt;0.1,"10-20%",IF(AG324&lt;=0.1,"0-10%"))))))</f>
        <v>Negative</v>
      </c>
      <c r="AI324" s="32"/>
      <c r="AJ324" s="36" t="s">
        <v>3300</v>
      </c>
      <c r="AK324" s="32"/>
    </row>
    <row r="325" spans="1:37" s="1" customFormat="1" ht="19.7" customHeight="1" x14ac:dyDescent="0.25">
      <c r="A325" s="5" t="s">
        <v>22</v>
      </c>
      <c r="B325" s="5" t="s">
        <v>1016</v>
      </c>
      <c r="C325" s="6">
        <v>44329</v>
      </c>
      <c r="D325" s="5" t="s">
        <v>24</v>
      </c>
      <c r="E325" s="5" t="s">
        <v>25</v>
      </c>
      <c r="F325" s="5" t="s">
        <v>26</v>
      </c>
      <c r="G325" s="5" t="s">
        <v>27</v>
      </c>
      <c r="H325" s="5" t="s">
        <v>28</v>
      </c>
      <c r="I325" s="5" t="s">
        <v>29</v>
      </c>
      <c r="J325" s="5" t="s">
        <v>30</v>
      </c>
      <c r="K325" s="5" t="s">
        <v>31</v>
      </c>
      <c r="L325" s="5" t="s">
        <v>32</v>
      </c>
      <c r="M325" s="5" t="s">
        <v>411</v>
      </c>
      <c r="N325" s="5" t="s">
        <v>846</v>
      </c>
      <c r="O325" s="5" t="s">
        <v>122</v>
      </c>
      <c r="P325" s="5" t="s">
        <v>412</v>
      </c>
      <c r="Q325" s="5">
        <v>101516085</v>
      </c>
      <c r="R325" s="5" t="s">
        <v>84</v>
      </c>
      <c r="S325" s="5" t="s">
        <v>39</v>
      </c>
      <c r="T325" s="7">
        <v>11</v>
      </c>
      <c r="U325" s="15" t="s">
        <v>122</v>
      </c>
      <c r="V325" s="16" t="s">
        <v>412</v>
      </c>
      <c r="W325" s="17">
        <v>101516085</v>
      </c>
      <c r="X325" s="16" t="s">
        <v>2532</v>
      </c>
      <c r="Y325" s="17" t="s">
        <v>2663</v>
      </c>
      <c r="Z325" s="17" t="s">
        <v>39</v>
      </c>
      <c r="AA325" s="17" t="s">
        <v>37</v>
      </c>
      <c r="AB325" s="29">
        <v>11.4</v>
      </c>
      <c r="AC325" s="25">
        <v>11.21</v>
      </c>
      <c r="AD325" s="25">
        <f>AC325*T325</f>
        <v>123.31</v>
      </c>
      <c r="AE325" s="25">
        <f>AB325*T325</f>
        <v>125.4</v>
      </c>
      <c r="AF325" s="25">
        <f>AD325-AE325</f>
        <v>-2.0900000000000034</v>
      </c>
      <c r="AG325" s="26">
        <f>AF325/AD325</f>
        <v>-1.6949152542372909E-2</v>
      </c>
      <c r="AH325" s="27" t="str">
        <f>IF(AG325&lt;0,"Negative",IF(AG325=0,"Same",IF(AG325&gt;0.3,"30+%",IF(AG325&gt;0.2,"20-30%",IF(AG325&gt;0.1,"10-20%",IF(AG325&lt;=0.1,"0-10%"))))))</f>
        <v>Negative</v>
      </c>
      <c r="AI325" s="32"/>
      <c r="AJ325" s="36" t="s">
        <v>3300</v>
      </c>
      <c r="AK325" s="32"/>
    </row>
    <row r="326" spans="1:37" s="1" customFormat="1" ht="19.7" customHeight="1" x14ac:dyDescent="0.25">
      <c r="A326" s="9" t="s">
        <v>22</v>
      </c>
      <c r="B326" s="9" t="s">
        <v>1605</v>
      </c>
      <c r="C326" s="10">
        <v>44424</v>
      </c>
      <c r="D326" s="9" t="s">
        <v>24</v>
      </c>
      <c r="E326" s="9" t="s">
        <v>25</v>
      </c>
      <c r="F326" s="9" t="s">
        <v>26</v>
      </c>
      <c r="G326" s="9" t="s">
        <v>27</v>
      </c>
      <c r="H326" s="9" t="s">
        <v>28</v>
      </c>
      <c r="I326" s="9" t="s">
        <v>29</v>
      </c>
      <c r="J326" s="9" t="s">
        <v>30</v>
      </c>
      <c r="K326" s="9" t="s">
        <v>31</v>
      </c>
      <c r="L326" s="9" t="s">
        <v>32</v>
      </c>
      <c r="M326" s="9" t="s">
        <v>411</v>
      </c>
      <c r="N326" s="9" t="s">
        <v>1205</v>
      </c>
      <c r="O326" s="9" t="s">
        <v>122</v>
      </c>
      <c r="P326" s="9" t="s">
        <v>412</v>
      </c>
      <c r="Q326" s="9">
        <v>101516085</v>
      </c>
      <c r="R326" s="9" t="s">
        <v>84</v>
      </c>
      <c r="S326" s="9" t="s">
        <v>39</v>
      </c>
      <c r="T326" s="11">
        <v>10</v>
      </c>
      <c r="U326" s="15" t="s">
        <v>122</v>
      </c>
      <c r="V326" s="16" t="s">
        <v>412</v>
      </c>
      <c r="W326" s="17">
        <v>101516085</v>
      </c>
      <c r="X326" s="16" t="s">
        <v>2532</v>
      </c>
      <c r="Y326" s="17" t="s">
        <v>2663</v>
      </c>
      <c r="Z326" s="17" t="s">
        <v>39</v>
      </c>
      <c r="AA326" s="17" t="s">
        <v>37</v>
      </c>
      <c r="AB326" s="29">
        <v>11.4</v>
      </c>
      <c r="AC326" s="25">
        <v>11.21</v>
      </c>
      <c r="AD326" s="25">
        <f>AC326*T326</f>
        <v>112.10000000000001</v>
      </c>
      <c r="AE326" s="25">
        <f>AB326*T326</f>
        <v>114</v>
      </c>
      <c r="AF326" s="25">
        <f>AD326-AE326</f>
        <v>-1.8999999999999915</v>
      </c>
      <c r="AG326" s="26">
        <f>AF326/AD326</f>
        <v>-1.6949152542372805E-2</v>
      </c>
      <c r="AH326" s="27" t="str">
        <f>IF(AG326&lt;0,"Negative",IF(AG326=0,"Same",IF(AG326&gt;0.3,"30+%",IF(AG326&gt;0.2,"20-30%",IF(AG326&gt;0.1,"10-20%",IF(AG326&lt;=0.1,"0-10%"))))))</f>
        <v>Negative</v>
      </c>
      <c r="AI326" s="32"/>
      <c r="AJ326" s="36" t="s">
        <v>3300</v>
      </c>
      <c r="AK326" s="32"/>
    </row>
    <row r="327" spans="1:37" s="1" customFormat="1" ht="19.7" customHeight="1" x14ac:dyDescent="0.25">
      <c r="A327" s="5" t="s">
        <v>22</v>
      </c>
      <c r="B327" s="5" t="s">
        <v>1631</v>
      </c>
      <c r="C327" s="6">
        <v>44427</v>
      </c>
      <c r="D327" s="5" t="s">
        <v>24</v>
      </c>
      <c r="E327" s="5" t="s">
        <v>25</v>
      </c>
      <c r="F327" s="5" t="s">
        <v>26</v>
      </c>
      <c r="G327" s="5" t="s">
        <v>27</v>
      </c>
      <c r="H327" s="5" t="s">
        <v>28</v>
      </c>
      <c r="I327" s="5" t="s">
        <v>29</v>
      </c>
      <c r="J327" s="5" t="s">
        <v>30</v>
      </c>
      <c r="K327" s="5" t="s">
        <v>31</v>
      </c>
      <c r="L327" s="5" t="s">
        <v>32</v>
      </c>
      <c r="M327" s="5" t="s">
        <v>411</v>
      </c>
      <c r="N327" s="5" t="s">
        <v>1452</v>
      </c>
      <c r="O327" s="5" t="s">
        <v>122</v>
      </c>
      <c r="P327" s="5" t="s">
        <v>412</v>
      </c>
      <c r="Q327" s="5">
        <v>101516085</v>
      </c>
      <c r="R327" s="5" t="s">
        <v>84</v>
      </c>
      <c r="S327" s="5" t="s">
        <v>39</v>
      </c>
      <c r="T327" s="7">
        <v>10</v>
      </c>
      <c r="U327" s="15" t="s">
        <v>122</v>
      </c>
      <c r="V327" s="16" t="s">
        <v>412</v>
      </c>
      <c r="W327" s="17">
        <v>101516085</v>
      </c>
      <c r="X327" s="16" t="s">
        <v>2532</v>
      </c>
      <c r="Y327" s="17" t="s">
        <v>2663</v>
      </c>
      <c r="Z327" s="17" t="s">
        <v>39</v>
      </c>
      <c r="AA327" s="17" t="s">
        <v>37</v>
      </c>
      <c r="AB327" s="29">
        <v>11.4</v>
      </c>
      <c r="AC327" s="25">
        <v>11.21</v>
      </c>
      <c r="AD327" s="25">
        <f>AC327*T327</f>
        <v>112.10000000000001</v>
      </c>
      <c r="AE327" s="25">
        <f>AB327*T327</f>
        <v>114</v>
      </c>
      <c r="AF327" s="25">
        <f>AD327-AE327</f>
        <v>-1.8999999999999915</v>
      </c>
      <c r="AG327" s="26">
        <f>AF327/AD327</f>
        <v>-1.6949152542372805E-2</v>
      </c>
      <c r="AH327" s="27" t="str">
        <f>IF(AG327&lt;0,"Negative",IF(AG327=0,"Same",IF(AG327&gt;0.3,"30+%",IF(AG327&gt;0.2,"20-30%",IF(AG327&gt;0.1,"10-20%",IF(AG327&lt;=0.1,"0-10%"))))))</f>
        <v>Negative</v>
      </c>
      <c r="AI327" s="32"/>
      <c r="AJ327" s="36" t="s">
        <v>3300</v>
      </c>
      <c r="AK327" s="32"/>
    </row>
    <row r="328" spans="1:37" s="1" customFormat="1" ht="19.7" customHeight="1" x14ac:dyDescent="0.25">
      <c r="A328" s="9" t="s">
        <v>22</v>
      </c>
      <c r="B328" s="9" t="s">
        <v>1999</v>
      </c>
      <c r="C328" s="10">
        <v>44497</v>
      </c>
      <c r="D328" s="9" t="s">
        <v>24</v>
      </c>
      <c r="E328" s="9" t="s">
        <v>25</v>
      </c>
      <c r="F328" s="9" t="s">
        <v>26</v>
      </c>
      <c r="G328" s="9" t="s">
        <v>27</v>
      </c>
      <c r="H328" s="9" t="s">
        <v>28</v>
      </c>
      <c r="I328" s="9" t="s">
        <v>29</v>
      </c>
      <c r="J328" s="9" t="s">
        <v>30</v>
      </c>
      <c r="K328" s="9" t="s">
        <v>31</v>
      </c>
      <c r="L328" s="9" t="s">
        <v>32</v>
      </c>
      <c r="M328" s="9" t="s">
        <v>411</v>
      </c>
      <c r="N328" s="9" t="s">
        <v>1569</v>
      </c>
      <c r="O328" s="9" t="s">
        <v>122</v>
      </c>
      <c r="P328" s="9" t="s">
        <v>412</v>
      </c>
      <c r="Q328" s="9">
        <v>101516085</v>
      </c>
      <c r="R328" s="9" t="s">
        <v>84</v>
      </c>
      <c r="S328" s="9" t="s">
        <v>39</v>
      </c>
      <c r="T328" s="11">
        <v>9</v>
      </c>
      <c r="U328" s="15" t="s">
        <v>122</v>
      </c>
      <c r="V328" s="16" t="s">
        <v>412</v>
      </c>
      <c r="W328" s="17">
        <v>101516085</v>
      </c>
      <c r="X328" s="16" t="s">
        <v>2532</v>
      </c>
      <c r="Y328" s="17" t="s">
        <v>2663</v>
      </c>
      <c r="Z328" s="17" t="s">
        <v>39</v>
      </c>
      <c r="AA328" s="17" t="s">
        <v>37</v>
      </c>
      <c r="AB328" s="29">
        <v>11.4</v>
      </c>
      <c r="AC328" s="25">
        <v>11.21</v>
      </c>
      <c r="AD328" s="25">
        <f>AC328*T328</f>
        <v>100.89000000000001</v>
      </c>
      <c r="AE328" s="25">
        <f>AB328*T328</f>
        <v>102.60000000000001</v>
      </c>
      <c r="AF328" s="25">
        <f>AD328-AE328</f>
        <v>-1.7099999999999937</v>
      </c>
      <c r="AG328" s="26">
        <f>AF328/AD328</f>
        <v>-1.6949152542372815E-2</v>
      </c>
      <c r="AH328" s="27" t="str">
        <f>IF(AG328&lt;0,"Negative",IF(AG328=0,"Same",IF(AG328&gt;0.3,"30+%",IF(AG328&gt;0.2,"20-30%",IF(AG328&gt;0.1,"10-20%",IF(AG328&lt;=0.1,"0-10%"))))))</f>
        <v>Negative</v>
      </c>
      <c r="AI328" s="32"/>
      <c r="AJ328" s="36" t="s">
        <v>3300</v>
      </c>
      <c r="AK328" s="32"/>
    </row>
    <row r="329" spans="1:37" s="1" customFormat="1" ht="19.7" customHeight="1" x14ac:dyDescent="0.25">
      <c r="A329" s="5" t="s">
        <v>22</v>
      </c>
      <c r="B329" s="5" t="s">
        <v>1660</v>
      </c>
      <c r="C329" s="6">
        <v>44432</v>
      </c>
      <c r="D329" s="5" t="s">
        <v>24</v>
      </c>
      <c r="E329" s="5" t="s">
        <v>25</v>
      </c>
      <c r="F329" s="5" t="s">
        <v>26</v>
      </c>
      <c r="G329" s="5" t="s">
        <v>27</v>
      </c>
      <c r="H329" s="5" t="s">
        <v>28</v>
      </c>
      <c r="I329" s="5" t="s">
        <v>29</v>
      </c>
      <c r="J329" s="5" t="s">
        <v>30</v>
      </c>
      <c r="K329" s="5" t="s">
        <v>31</v>
      </c>
      <c r="L329" s="5" t="s">
        <v>32</v>
      </c>
      <c r="M329" s="5" t="s">
        <v>411</v>
      </c>
      <c r="N329" s="5" t="s">
        <v>1569</v>
      </c>
      <c r="O329" s="5" t="s">
        <v>122</v>
      </c>
      <c r="P329" s="5" t="s">
        <v>412</v>
      </c>
      <c r="Q329" s="5">
        <v>101516085</v>
      </c>
      <c r="R329" s="5" t="s">
        <v>84</v>
      </c>
      <c r="S329" s="5" t="s">
        <v>39</v>
      </c>
      <c r="T329" s="7">
        <v>1</v>
      </c>
      <c r="U329" s="15" t="s">
        <v>122</v>
      </c>
      <c r="V329" s="16" t="s">
        <v>412</v>
      </c>
      <c r="W329" s="17">
        <v>101516085</v>
      </c>
      <c r="X329" s="16" t="s">
        <v>2532</v>
      </c>
      <c r="Y329" s="17" t="s">
        <v>2663</v>
      </c>
      <c r="Z329" s="17" t="s">
        <v>39</v>
      </c>
      <c r="AA329" s="17" t="s">
        <v>37</v>
      </c>
      <c r="AB329" s="29">
        <v>11.4</v>
      </c>
      <c r="AC329" s="25">
        <v>11.21</v>
      </c>
      <c r="AD329" s="25">
        <f>AC329*T329</f>
        <v>11.21</v>
      </c>
      <c r="AE329" s="25">
        <f>AB329*T329</f>
        <v>11.4</v>
      </c>
      <c r="AF329" s="25">
        <f>AD329-AE329</f>
        <v>-0.1899999999999995</v>
      </c>
      <c r="AG329" s="26">
        <f>AF329/AD329</f>
        <v>-1.6949152542372836E-2</v>
      </c>
      <c r="AH329" s="27" t="str">
        <f>IF(AG329&lt;0,"Negative",IF(AG329=0,"Same",IF(AG329&gt;0.3,"30+%",IF(AG329&gt;0.2,"20-30%",IF(AG329&gt;0.1,"10-20%",IF(AG329&lt;=0.1,"0-10%"))))))</f>
        <v>Negative</v>
      </c>
      <c r="AI329" s="32"/>
      <c r="AJ329" s="36" t="s">
        <v>3300</v>
      </c>
      <c r="AK329" s="32"/>
    </row>
    <row r="330" spans="1:37" s="1" customFormat="1" ht="19.7" customHeight="1" x14ac:dyDescent="0.25">
      <c r="A330" s="9" t="s">
        <v>22</v>
      </c>
      <c r="B330" s="9" t="s">
        <v>1556</v>
      </c>
      <c r="C330" s="10">
        <v>44412</v>
      </c>
      <c r="D330" s="9" t="s">
        <v>24</v>
      </c>
      <c r="E330" s="9" t="s">
        <v>25</v>
      </c>
      <c r="F330" s="9" t="s">
        <v>26</v>
      </c>
      <c r="G330" s="9" t="s">
        <v>27</v>
      </c>
      <c r="H330" s="9" t="s">
        <v>28</v>
      </c>
      <c r="I330" s="9" t="s">
        <v>29</v>
      </c>
      <c r="J330" s="9" t="s">
        <v>30</v>
      </c>
      <c r="K330" s="9" t="s">
        <v>31</v>
      </c>
      <c r="L330" s="9" t="s">
        <v>32</v>
      </c>
      <c r="M330" s="9" t="s">
        <v>1557</v>
      </c>
      <c r="N330" s="9" t="s">
        <v>1350</v>
      </c>
      <c r="O330" s="9" t="s">
        <v>169</v>
      </c>
      <c r="P330" s="9" t="s">
        <v>1558</v>
      </c>
      <c r="Q330" s="9">
        <v>100771171</v>
      </c>
      <c r="R330" s="9" t="s">
        <v>56</v>
      </c>
      <c r="S330" s="9" t="s">
        <v>39</v>
      </c>
      <c r="T330" s="11">
        <v>2</v>
      </c>
      <c r="U330" s="15" t="s">
        <v>169</v>
      </c>
      <c r="V330" s="16" t="s">
        <v>1558</v>
      </c>
      <c r="W330" s="17">
        <v>100771171</v>
      </c>
      <c r="X330" s="16" t="s">
        <v>2610</v>
      </c>
      <c r="Y330" s="17" t="s">
        <v>3073</v>
      </c>
      <c r="Z330" s="17" t="s">
        <v>39</v>
      </c>
      <c r="AA330" s="17" t="s">
        <v>37</v>
      </c>
      <c r="AB330" s="43">
        <v>15.79</v>
      </c>
      <c r="AC330" s="25">
        <v>16.96</v>
      </c>
      <c r="AD330" s="25">
        <f>AC330*T330</f>
        <v>33.92</v>
      </c>
      <c r="AE330" s="25">
        <f>AB330*T330</f>
        <v>31.58</v>
      </c>
      <c r="AF330" s="25">
        <f>AD330-AE330</f>
        <v>2.3400000000000034</v>
      </c>
      <c r="AG330" s="26">
        <f>AF330/AD330</f>
        <v>6.8985849056603876E-2</v>
      </c>
      <c r="AH330" s="27" t="str">
        <f>IF(AG330&lt;0,"Negative",IF(AG330=0,"Same",IF(AG330&gt;0.3,"30+%",IF(AG330&gt;0.2,"20-30%",IF(AG330&gt;0.1,"10-20%",IF(AG330&lt;=0.1,"0-10%"))))))</f>
        <v>0-10%</v>
      </c>
      <c r="AI330" s="32"/>
      <c r="AJ330" s="36" t="s">
        <v>3299</v>
      </c>
      <c r="AK330" s="32"/>
    </row>
    <row r="331" spans="1:37" s="1" customFormat="1" ht="19.7" customHeight="1" x14ac:dyDescent="0.25">
      <c r="A331" s="9" t="s">
        <v>22</v>
      </c>
      <c r="B331" s="9" t="s">
        <v>1443</v>
      </c>
      <c r="C331" s="10">
        <v>44397</v>
      </c>
      <c r="D331" s="9" t="s">
        <v>24</v>
      </c>
      <c r="E331" s="9" t="s">
        <v>25</v>
      </c>
      <c r="F331" s="9" t="s">
        <v>26</v>
      </c>
      <c r="G331" s="9" t="s">
        <v>27</v>
      </c>
      <c r="H331" s="9" t="s">
        <v>28</v>
      </c>
      <c r="I331" s="9" t="s">
        <v>29</v>
      </c>
      <c r="J331" s="9" t="s">
        <v>30</v>
      </c>
      <c r="K331" s="9" t="s">
        <v>31</v>
      </c>
      <c r="L331" s="9" t="s">
        <v>32</v>
      </c>
      <c r="M331" s="9" t="s">
        <v>386</v>
      </c>
      <c r="N331" s="9" t="s">
        <v>1319</v>
      </c>
      <c r="O331" s="9" t="s">
        <v>49</v>
      </c>
      <c r="P331" s="9" t="s">
        <v>387</v>
      </c>
      <c r="Q331" s="9">
        <v>115347232</v>
      </c>
      <c r="R331" s="9" t="s">
        <v>38</v>
      </c>
      <c r="S331" s="9" t="s">
        <v>39</v>
      </c>
      <c r="T331" s="11">
        <v>1</v>
      </c>
      <c r="U331" s="15" t="s">
        <v>49</v>
      </c>
      <c r="V331" s="16" t="s">
        <v>387</v>
      </c>
      <c r="W331" s="17">
        <v>115347232</v>
      </c>
      <c r="X331" s="16" t="s">
        <v>2650</v>
      </c>
      <c r="Y331" s="17" t="s">
        <v>2651</v>
      </c>
      <c r="Z331" s="17" t="s">
        <v>39</v>
      </c>
      <c r="AA331" s="17" t="s">
        <v>2501</v>
      </c>
      <c r="AB331" s="29">
        <v>116.89</v>
      </c>
      <c r="AC331" s="25">
        <v>119.54</v>
      </c>
      <c r="AD331" s="25">
        <f>AC331*T331</f>
        <v>119.54</v>
      </c>
      <c r="AE331" s="25">
        <f>AB331*T331</f>
        <v>116.89</v>
      </c>
      <c r="AF331" s="25">
        <f>AD331-AE331</f>
        <v>2.6500000000000057</v>
      </c>
      <c r="AG331" s="26">
        <f>AF331/AD331</f>
        <v>2.2168311862138242E-2</v>
      </c>
      <c r="AH331" s="27" t="str">
        <f>IF(AG331&lt;0,"Negative",IF(AG331=0,"Same",IF(AG331&gt;0.3,"30+%",IF(AG331&gt;0.2,"20-30%",IF(AG331&gt;0.1,"10-20%",IF(AG331&lt;=0.1,"0-10%"))))))</f>
        <v>0-10%</v>
      </c>
      <c r="AI331" s="32"/>
      <c r="AJ331" s="36" t="s">
        <v>3300</v>
      </c>
      <c r="AK331" s="32"/>
    </row>
    <row r="332" spans="1:37" s="1" customFormat="1" ht="19.7" customHeight="1" x14ac:dyDescent="0.25">
      <c r="A332" s="9" t="s">
        <v>22</v>
      </c>
      <c r="B332" s="9" t="s">
        <v>442</v>
      </c>
      <c r="C332" s="10">
        <v>44264</v>
      </c>
      <c r="D332" s="9" t="s">
        <v>24</v>
      </c>
      <c r="E332" s="9" t="s">
        <v>25</v>
      </c>
      <c r="F332" s="9" t="s">
        <v>26</v>
      </c>
      <c r="G332" s="9" t="s">
        <v>27</v>
      </c>
      <c r="H332" s="9" t="s">
        <v>28</v>
      </c>
      <c r="I332" s="9" t="s">
        <v>29</v>
      </c>
      <c r="J332" s="9" t="s">
        <v>30</v>
      </c>
      <c r="K332" s="9" t="s">
        <v>31</v>
      </c>
      <c r="L332" s="9" t="s">
        <v>32</v>
      </c>
      <c r="M332" s="9" t="s">
        <v>386</v>
      </c>
      <c r="N332" s="9" t="s">
        <v>443</v>
      </c>
      <c r="O332" s="9" t="s">
        <v>49</v>
      </c>
      <c r="P332" s="9" t="s">
        <v>387</v>
      </c>
      <c r="Q332" s="9">
        <v>115347232</v>
      </c>
      <c r="R332" s="9" t="s">
        <v>38</v>
      </c>
      <c r="S332" s="9" t="s">
        <v>39</v>
      </c>
      <c r="T332" s="11">
        <v>2</v>
      </c>
      <c r="U332" s="15" t="s">
        <v>49</v>
      </c>
      <c r="V332" s="16" t="s">
        <v>387</v>
      </c>
      <c r="W332" s="17">
        <v>115347232</v>
      </c>
      <c r="X332" s="16" t="s">
        <v>2650</v>
      </c>
      <c r="Y332" s="17" t="s">
        <v>2651</v>
      </c>
      <c r="Z332" s="17" t="s">
        <v>39</v>
      </c>
      <c r="AA332" s="17" t="s">
        <v>2501</v>
      </c>
      <c r="AB332" s="29">
        <v>116.89</v>
      </c>
      <c r="AC332" s="25">
        <v>119.54</v>
      </c>
      <c r="AD332" s="25">
        <f>AC332*T332</f>
        <v>239.08</v>
      </c>
      <c r="AE332" s="25">
        <f>AB332*T332</f>
        <v>233.78</v>
      </c>
      <c r="AF332" s="25">
        <f>AD332-AE332</f>
        <v>5.3000000000000114</v>
      </c>
      <c r="AG332" s="26">
        <f>AF332/AD332</f>
        <v>2.2168311862138242E-2</v>
      </c>
      <c r="AH332" s="27" t="str">
        <f>IF(AG332&lt;0,"Negative",IF(AG332=0,"Same",IF(AG332&gt;0.3,"30+%",IF(AG332&gt;0.2,"20-30%",IF(AG332&gt;0.1,"10-20%",IF(AG332&lt;=0.1,"0-10%"))))))</f>
        <v>0-10%</v>
      </c>
      <c r="AI332" s="32"/>
      <c r="AJ332" s="36" t="s">
        <v>3300</v>
      </c>
      <c r="AK332" s="32"/>
    </row>
    <row r="333" spans="1:37" s="1" customFormat="1" ht="19.7" customHeight="1" x14ac:dyDescent="0.25">
      <c r="A333" s="9" t="s">
        <v>22</v>
      </c>
      <c r="B333" s="9" t="s">
        <v>166</v>
      </c>
      <c r="C333" s="10">
        <v>44238</v>
      </c>
      <c r="D333" s="9" t="s">
        <v>24</v>
      </c>
      <c r="E333" s="9" t="s">
        <v>25</v>
      </c>
      <c r="F333" s="9" t="s">
        <v>26</v>
      </c>
      <c r="G333" s="9" t="s">
        <v>27</v>
      </c>
      <c r="H333" s="9" t="s">
        <v>28</v>
      </c>
      <c r="I333" s="9" t="s">
        <v>29</v>
      </c>
      <c r="J333" s="9" t="s">
        <v>30</v>
      </c>
      <c r="K333" s="9" t="s">
        <v>31</v>
      </c>
      <c r="L333" s="9" t="s">
        <v>32</v>
      </c>
      <c r="M333" s="9" t="s">
        <v>185</v>
      </c>
      <c r="N333" s="9" t="s">
        <v>168</v>
      </c>
      <c r="O333" s="9" t="s">
        <v>186</v>
      </c>
      <c r="P333" s="9" t="s">
        <v>187</v>
      </c>
      <c r="Q333" s="9">
        <v>102118734</v>
      </c>
      <c r="R333" s="9" t="s">
        <v>56</v>
      </c>
      <c r="S333" s="9" t="s">
        <v>39</v>
      </c>
      <c r="T333" s="11">
        <v>2</v>
      </c>
      <c r="U333" s="15" t="s">
        <v>186</v>
      </c>
      <c r="V333" s="16" t="s">
        <v>187</v>
      </c>
      <c r="W333" s="17">
        <v>102118734</v>
      </c>
      <c r="X333" s="16" t="s">
        <v>2565</v>
      </c>
      <c r="Y333" s="17" t="s">
        <v>2567</v>
      </c>
      <c r="Z333" s="17" t="s">
        <v>39</v>
      </c>
      <c r="AA333" s="17" t="s">
        <v>37</v>
      </c>
      <c r="AB333" s="43">
        <v>6.39</v>
      </c>
      <c r="AC333" s="25">
        <v>6.68</v>
      </c>
      <c r="AD333" s="25">
        <f>AC333*T333</f>
        <v>13.36</v>
      </c>
      <c r="AE333" s="25">
        <f>AB333*T333</f>
        <v>12.78</v>
      </c>
      <c r="AF333" s="25">
        <f>AD333-AE333</f>
        <v>0.58000000000000007</v>
      </c>
      <c r="AG333" s="26">
        <f>AF333/AD333</f>
        <v>4.341317365269462E-2</v>
      </c>
      <c r="AH333" s="27" t="str">
        <f>IF(AG333&lt;0,"Negative",IF(AG333=0,"Same",IF(AG333&gt;0.3,"30+%",IF(AG333&gt;0.2,"20-30%",IF(AG333&gt;0.1,"10-20%",IF(AG333&lt;=0.1,"0-10%"))))))</f>
        <v>0-10%</v>
      </c>
      <c r="AI333" s="32"/>
      <c r="AJ333" s="36" t="s">
        <v>3299</v>
      </c>
      <c r="AK333" s="32"/>
    </row>
    <row r="334" spans="1:37" s="1" customFormat="1" ht="19.7" customHeight="1" x14ac:dyDescent="0.25">
      <c r="A334" s="9" t="s">
        <v>22</v>
      </c>
      <c r="B334" s="9" t="s">
        <v>2058</v>
      </c>
      <c r="C334" s="10">
        <v>44510</v>
      </c>
      <c r="D334" s="9" t="s">
        <v>24</v>
      </c>
      <c r="E334" s="9" t="s">
        <v>25</v>
      </c>
      <c r="F334" s="9" t="s">
        <v>26</v>
      </c>
      <c r="G334" s="9" t="s">
        <v>27</v>
      </c>
      <c r="H334" s="9" t="s">
        <v>28</v>
      </c>
      <c r="I334" s="9" t="s">
        <v>29</v>
      </c>
      <c r="J334" s="9" t="s">
        <v>30</v>
      </c>
      <c r="K334" s="9" t="s">
        <v>31</v>
      </c>
      <c r="L334" s="9" t="s">
        <v>32</v>
      </c>
      <c r="M334" s="9" t="s">
        <v>171</v>
      </c>
      <c r="N334" s="9" t="s">
        <v>2059</v>
      </c>
      <c r="O334" s="9" t="s">
        <v>172</v>
      </c>
      <c r="P334" s="9" t="s">
        <v>173</v>
      </c>
      <c r="Q334" s="9">
        <v>100800864</v>
      </c>
      <c r="R334" s="9" t="s">
        <v>56</v>
      </c>
      <c r="S334" s="9" t="s">
        <v>39</v>
      </c>
      <c r="T334" s="11">
        <v>3</v>
      </c>
      <c r="U334" s="15" t="s">
        <v>172</v>
      </c>
      <c r="V334" s="16" t="s">
        <v>173</v>
      </c>
      <c r="W334" s="17">
        <v>100800864</v>
      </c>
      <c r="X334" s="16" t="s">
        <v>2557</v>
      </c>
      <c r="Y334" s="17" t="s">
        <v>2558</v>
      </c>
      <c r="Z334" s="17" t="s">
        <v>39</v>
      </c>
      <c r="AA334" s="17" t="s">
        <v>37</v>
      </c>
      <c r="AB334" s="43">
        <v>7.86</v>
      </c>
      <c r="AC334" s="25">
        <v>8.0299999999999994</v>
      </c>
      <c r="AD334" s="25">
        <f>AC334*T334</f>
        <v>24.089999999999996</v>
      </c>
      <c r="AE334" s="25">
        <f>AB334*T334</f>
        <v>23.580000000000002</v>
      </c>
      <c r="AF334" s="25">
        <f>AD334-AE334</f>
        <v>0.50999999999999446</v>
      </c>
      <c r="AG334" s="26">
        <f>AF334/AD334</f>
        <v>2.1170610211705874E-2</v>
      </c>
      <c r="AH334" s="27" t="str">
        <f>IF(AG334&lt;0,"Negative",IF(AG334=0,"Same",IF(AG334&gt;0.3,"30+%",IF(AG334&gt;0.2,"20-30%",IF(AG334&gt;0.1,"10-20%",IF(AG334&lt;=0.1,"0-10%"))))))</f>
        <v>0-10%</v>
      </c>
      <c r="AI334" s="32"/>
      <c r="AJ334" s="36" t="s">
        <v>3300</v>
      </c>
      <c r="AK334" s="32"/>
    </row>
    <row r="335" spans="1:37" s="1" customFormat="1" ht="19.7" customHeight="1" x14ac:dyDescent="0.25">
      <c r="A335" s="9" t="s">
        <v>22</v>
      </c>
      <c r="B335" s="9" t="s">
        <v>603</v>
      </c>
      <c r="C335" s="10">
        <v>44281</v>
      </c>
      <c r="D335" s="9" t="s">
        <v>24</v>
      </c>
      <c r="E335" s="9" t="s">
        <v>25</v>
      </c>
      <c r="F335" s="9" t="s">
        <v>26</v>
      </c>
      <c r="G335" s="9" t="s">
        <v>27</v>
      </c>
      <c r="H335" s="9" t="s">
        <v>28</v>
      </c>
      <c r="I335" s="9" t="s">
        <v>29</v>
      </c>
      <c r="J335" s="9" t="s">
        <v>30</v>
      </c>
      <c r="K335" s="9" t="s">
        <v>31</v>
      </c>
      <c r="L335" s="9" t="s">
        <v>32</v>
      </c>
      <c r="M335" s="9" t="s">
        <v>609</v>
      </c>
      <c r="N335" s="9" t="s">
        <v>605</v>
      </c>
      <c r="O335" s="9" t="s">
        <v>169</v>
      </c>
      <c r="P335" s="9" t="s">
        <v>610</v>
      </c>
      <c r="Q335" s="9">
        <v>100771179</v>
      </c>
      <c r="R335" s="9" t="s">
        <v>56</v>
      </c>
      <c r="S335" s="9" t="s">
        <v>39</v>
      </c>
      <c r="T335" s="11">
        <v>2</v>
      </c>
      <c r="U335" s="15" t="s">
        <v>169</v>
      </c>
      <c r="V335" s="16" t="s">
        <v>610</v>
      </c>
      <c r="W335" s="17">
        <v>100771179</v>
      </c>
      <c r="X335" s="16" t="s">
        <v>2610</v>
      </c>
      <c r="Y335" s="17" t="s">
        <v>2751</v>
      </c>
      <c r="Z335" s="17" t="s">
        <v>39</v>
      </c>
      <c r="AA335" s="17" t="s">
        <v>37</v>
      </c>
      <c r="AB335" s="43">
        <v>16.34</v>
      </c>
      <c r="AC335" s="25">
        <v>17.55</v>
      </c>
      <c r="AD335" s="25">
        <f>AC335*T335</f>
        <v>35.1</v>
      </c>
      <c r="AE335" s="25">
        <f>AB335*T335</f>
        <v>32.68</v>
      </c>
      <c r="AF335" s="25">
        <f>AD335-AE335</f>
        <v>2.4200000000000017</v>
      </c>
      <c r="AG335" s="26">
        <f>AF335/AD335</f>
        <v>6.8945868945868988E-2</v>
      </c>
      <c r="AH335" s="27" t="str">
        <f>IF(AG335&lt;0,"Negative",IF(AG335=0,"Same",IF(AG335&gt;0.3,"30+%",IF(AG335&gt;0.2,"20-30%",IF(AG335&gt;0.1,"10-20%",IF(AG335&lt;=0.1,"0-10%"))))))</f>
        <v>0-10%</v>
      </c>
      <c r="AI335" s="32"/>
      <c r="AJ335" s="36" t="s">
        <v>3299</v>
      </c>
      <c r="AK335" s="32"/>
    </row>
    <row r="336" spans="1:37" s="1" customFormat="1" ht="19.7" customHeight="1" x14ac:dyDescent="0.25">
      <c r="A336" s="5" t="s">
        <v>22</v>
      </c>
      <c r="B336" s="5" t="s">
        <v>1363</v>
      </c>
      <c r="C336" s="6">
        <v>44384</v>
      </c>
      <c r="D336" s="5" t="s">
        <v>24</v>
      </c>
      <c r="E336" s="5" t="s">
        <v>25</v>
      </c>
      <c r="F336" s="5" t="s">
        <v>26</v>
      </c>
      <c r="G336" s="5" t="s">
        <v>27</v>
      </c>
      <c r="H336" s="5" t="s">
        <v>28</v>
      </c>
      <c r="I336" s="5" t="s">
        <v>29</v>
      </c>
      <c r="J336" s="5" t="s">
        <v>30</v>
      </c>
      <c r="K336" s="5" t="s">
        <v>31</v>
      </c>
      <c r="L336" s="5" t="s">
        <v>32</v>
      </c>
      <c r="M336" s="5" t="s">
        <v>1364</v>
      </c>
      <c r="N336" s="5" t="s">
        <v>1365</v>
      </c>
      <c r="O336" s="5" t="s">
        <v>109</v>
      </c>
      <c r="P336" s="5" t="s">
        <v>1367</v>
      </c>
      <c r="Q336" s="5">
        <v>100721309</v>
      </c>
      <c r="R336" s="5" t="s">
        <v>61</v>
      </c>
      <c r="S336" s="5" t="s">
        <v>39</v>
      </c>
      <c r="T336" s="7">
        <v>1</v>
      </c>
      <c r="U336" s="15" t="s">
        <v>109</v>
      </c>
      <c r="V336" s="16" t="s">
        <v>1367</v>
      </c>
      <c r="W336" s="17">
        <v>100721309</v>
      </c>
      <c r="X336" s="16" t="s">
        <v>2526</v>
      </c>
      <c r="Y336" s="17" t="s">
        <v>3016</v>
      </c>
      <c r="Z336" s="17" t="s">
        <v>39</v>
      </c>
      <c r="AA336" s="17" t="s">
        <v>37</v>
      </c>
      <c r="AB336" s="43">
        <v>10.01</v>
      </c>
      <c r="AC336" s="25">
        <v>10.220000000000001</v>
      </c>
      <c r="AD336" s="25">
        <f>AC336*T336</f>
        <v>10.220000000000001</v>
      </c>
      <c r="AE336" s="25">
        <f>AB336*T336</f>
        <v>10.01</v>
      </c>
      <c r="AF336" s="25">
        <f>AD336-AE336</f>
        <v>0.21000000000000085</v>
      </c>
      <c r="AG336" s="26">
        <f>AF336/AD336</f>
        <v>2.0547945205479534E-2</v>
      </c>
      <c r="AH336" s="27" t="str">
        <f>IF(AG336&lt;0,"Negative",IF(AG336=0,"Same",IF(AG336&gt;0.3,"30+%",IF(AG336&gt;0.2,"20-30%",IF(AG336&gt;0.1,"10-20%",IF(AG336&lt;=0.1,"0-10%"))))))</f>
        <v>0-10%</v>
      </c>
      <c r="AI336" s="32"/>
      <c r="AJ336" s="36" t="s">
        <v>3300</v>
      </c>
      <c r="AK336" s="32"/>
    </row>
    <row r="337" spans="1:37" s="1" customFormat="1" ht="19.7" customHeight="1" x14ac:dyDescent="0.25">
      <c r="A337" s="5" t="s">
        <v>22</v>
      </c>
      <c r="B337" s="5" t="s">
        <v>1159</v>
      </c>
      <c r="C337" s="6">
        <v>44350</v>
      </c>
      <c r="D337" s="5" t="s">
        <v>24</v>
      </c>
      <c r="E337" s="5" t="s">
        <v>25</v>
      </c>
      <c r="F337" s="5" t="s">
        <v>26</v>
      </c>
      <c r="G337" s="5" t="s">
        <v>27</v>
      </c>
      <c r="H337" s="5" t="s">
        <v>28</v>
      </c>
      <c r="I337" s="5" t="s">
        <v>29</v>
      </c>
      <c r="J337" s="5" t="s">
        <v>30</v>
      </c>
      <c r="K337" s="5" t="s">
        <v>31</v>
      </c>
      <c r="L337" s="5" t="s">
        <v>32</v>
      </c>
      <c r="M337" s="5" t="s">
        <v>1165</v>
      </c>
      <c r="N337" s="5" t="s">
        <v>1161</v>
      </c>
      <c r="O337" s="5" t="s">
        <v>89</v>
      </c>
      <c r="P337" s="5" t="s">
        <v>1166</v>
      </c>
      <c r="Q337" s="5">
        <v>102346307</v>
      </c>
      <c r="R337" s="5" t="s">
        <v>45</v>
      </c>
      <c r="S337" s="5" t="s">
        <v>39</v>
      </c>
      <c r="T337" s="7">
        <v>1</v>
      </c>
      <c r="U337" s="15" t="s">
        <v>89</v>
      </c>
      <c r="V337" s="16" t="s">
        <v>1166</v>
      </c>
      <c r="W337" s="17">
        <v>102346307</v>
      </c>
      <c r="X337" s="16" t="s">
        <v>2520</v>
      </c>
      <c r="Y337" s="17" t="s">
        <v>2946</v>
      </c>
      <c r="Z337" s="17" t="s">
        <v>39</v>
      </c>
      <c r="AA337" s="17" t="s">
        <v>37</v>
      </c>
      <c r="AB337" s="43">
        <v>4.21</v>
      </c>
      <c r="AC337" s="25">
        <v>4.95</v>
      </c>
      <c r="AD337" s="25">
        <f>AC337*T337</f>
        <v>4.95</v>
      </c>
      <c r="AE337" s="25">
        <f>AB337*T337</f>
        <v>4.21</v>
      </c>
      <c r="AF337" s="25">
        <f>AD337-AE337</f>
        <v>0.74000000000000021</v>
      </c>
      <c r="AG337" s="26">
        <f>AF337/AD337</f>
        <v>0.14949494949494954</v>
      </c>
      <c r="AH337" s="27" t="str">
        <f>IF(AG337&lt;0,"Negative",IF(AG337=0,"Same",IF(AG337&gt;0.3,"30+%",IF(AG337&gt;0.2,"20-30%",IF(AG337&gt;0.1,"10-20%",IF(AG337&lt;=0.1,"0-10%"))))))</f>
        <v>10-20%</v>
      </c>
      <c r="AI337" s="32"/>
      <c r="AJ337" s="36" t="s">
        <v>3300</v>
      </c>
      <c r="AK337" s="32"/>
    </row>
    <row r="338" spans="1:37" s="1" customFormat="1" ht="19.7" customHeight="1" x14ac:dyDescent="0.25">
      <c r="A338" s="5" t="s">
        <v>22</v>
      </c>
      <c r="B338" s="5" t="s">
        <v>1626</v>
      </c>
      <c r="C338" s="6">
        <v>44426</v>
      </c>
      <c r="D338" s="5" t="s">
        <v>24</v>
      </c>
      <c r="E338" s="5" t="s">
        <v>25</v>
      </c>
      <c r="F338" s="5" t="s">
        <v>26</v>
      </c>
      <c r="G338" s="5" t="s">
        <v>27</v>
      </c>
      <c r="H338" s="5" t="s">
        <v>28</v>
      </c>
      <c r="I338" s="5" t="s">
        <v>29</v>
      </c>
      <c r="J338" s="5" t="s">
        <v>30</v>
      </c>
      <c r="K338" s="5" t="s">
        <v>31</v>
      </c>
      <c r="L338" s="5" t="s">
        <v>32</v>
      </c>
      <c r="M338" s="5" t="s">
        <v>964</v>
      </c>
      <c r="N338" s="5" t="s">
        <v>1627</v>
      </c>
      <c r="O338" s="5" t="s">
        <v>89</v>
      </c>
      <c r="P338" s="5" t="s">
        <v>965</v>
      </c>
      <c r="Q338" s="5">
        <v>100746629</v>
      </c>
      <c r="R338" s="5" t="s">
        <v>45</v>
      </c>
      <c r="S338" s="5" t="s">
        <v>39</v>
      </c>
      <c r="T338" s="7">
        <v>2</v>
      </c>
      <c r="U338" s="15" t="s">
        <v>89</v>
      </c>
      <c r="V338" s="16" t="s">
        <v>965</v>
      </c>
      <c r="W338" s="17">
        <v>100746629</v>
      </c>
      <c r="X338" s="16" t="s">
        <v>2520</v>
      </c>
      <c r="Y338" s="17" t="s">
        <v>2878</v>
      </c>
      <c r="Z338" s="17" t="s">
        <v>39</v>
      </c>
      <c r="AA338" s="17" t="s">
        <v>37</v>
      </c>
      <c r="AB338" s="43">
        <v>4.21</v>
      </c>
      <c r="AC338" s="25">
        <v>4.95</v>
      </c>
      <c r="AD338" s="25">
        <f>AC338*T338</f>
        <v>9.9</v>
      </c>
      <c r="AE338" s="25">
        <f>AB338*T338</f>
        <v>8.42</v>
      </c>
      <c r="AF338" s="25">
        <f>AD338-AE338</f>
        <v>1.4800000000000004</v>
      </c>
      <c r="AG338" s="26">
        <f>AF338/AD338</f>
        <v>0.14949494949494954</v>
      </c>
      <c r="AH338" s="27" t="str">
        <f>IF(AG338&lt;0,"Negative",IF(AG338=0,"Same",IF(AG338&gt;0.3,"30+%",IF(AG338&gt;0.2,"20-30%",IF(AG338&gt;0.1,"10-20%",IF(AG338&lt;=0.1,"0-10%"))))))</f>
        <v>10-20%</v>
      </c>
      <c r="AI338" s="32"/>
      <c r="AJ338" s="36" t="s">
        <v>3300</v>
      </c>
      <c r="AK338" s="32"/>
    </row>
    <row r="339" spans="1:37" s="1" customFormat="1" ht="19.7" customHeight="1" x14ac:dyDescent="0.25">
      <c r="A339" s="9" t="s">
        <v>22</v>
      </c>
      <c r="B339" s="9" t="s">
        <v>1915</v>
      </c>
      <c r="C339" s="10">
        <v>44483</v>
      </c>
      <c r="D339" s="9" t="s">
        <v>24</v>
      </c>
      <c r="E339" s="9" t="s">
        <v>25</v>
      </c>
      <c r="F339" s="9" t="s">
        <v>26</v>
      </c>
      <c r="G339" s="9" t="s">
        <v>27</v>
      </c>
      <c r="H339" s="9" t="s">
        <v>28</v>
      </c>
      <c r="I339" s="9" t="s">
        <v>29</v>
      </c>
      <c r="J339" s="9" t="s">
        <v>30</v>
      </c>
      <c r="K339" s="9" t="s">
        <v>31</v>
      </c>
      <c r="L339" s="9" t="s">
        <v>32</v>
      </c>
      <c r="M339" s="9" t="s">
        <v>964</v>
      </c>
      <c r="N339" s="9" t="s">
        <v>1916</v>
      </c>
      <c r="O339" s="9" t="s">
        <v>89</v>
      </c>
      <c r="P339" s="9" t="s">
        <v>965</v>
      </c>
      <c r="Q339" s="9">
        <v>100746629</v>
      </c>
      <c r="R339" s="9" t="s">
        <v>45</v>
      </c>
      <c r="S339" s="9" t="s">
        <v>39</v>
      </c>
      <c r="T339" s="11">
        <v>2</v>
      </c>
      <c r="U339" s="15" t="s">
        <v>89</v>
      </c>
      <c r="V339" s="16" t="s">
        <v>965</v>
      </c>
      <c r="W339" s="17">
        <v>100746629</v>
      </c>
      <c r="X339" s="16" t="s">
        <v>2520</v>
      </c>
      <c r="Y339" s="17" t="s">
        <v>2878</v>
      </c>
      <c r="Z339" s="17" t="s">
        <v>39</v>
      </c>
      <c r="AA339" s="17" t="s">
        <v>37</v>
      </c>
      <c r="AB339" s="43">
        <v>4.21</v>
      </c>
      <c r="AC339" s="25">
        <v>4.95</v>
      </c>
      <c r="AD339" s="25">
        <f>AC339*T339</f>
        <v>9.9</v>
      </c>
      <c r="AE339" s="25">
        <f>AB339*T339</f>
        <v>8.42</v>
      </c>
      <c r="AF339" s="25">
        <f>AD339-AE339</f>
        <v>1.4800000000000004</v>
      </c>
      <c r="AG339" s="26">
        <f>AF339/AD339</f>
        <v>0.14949494949494954</v>
      </c>
      <c r="AH339" s="27" t="str">
        <f>IF(AG339&lt;0,"Negative",IF(AG339=0,"Same",IF(AG339&gt;0.3,"30+%",IF(AG339&gt;0.2,"20-30%",IF(AG339&gt;0.1,"10-20%",IF(AG339&lt;=0.1,"0-10%"))))))</f>
        <v>10-20%</v>
      </c>
      <c r="AI339" s="32"/>
      <c r="AJ339" s="36" t="s">
        <v>3300</v>
      </c>
      <c r="AK339" s="32"/>
    </row>
    <row r="340" spans="1:37" s="1" customFormat="1" ht="19.7" customHeight="1" x14ac:dyDescent="0.25">
      <c r="A340" s="5" t="s">
        <v>22</v>
      </c>
      <c r="B340" s="5" t="s">
        <v>956</v>
      </c>
      <c r="C340" s="6">
        <v>44322</v>
      </c>
      <c r="D340" s="5" t="s">
        <v>24</v>
      </c>
      <c r="E340" s="5" t="s">
        <v>25</v>
      </c>
      <c r="F340" s="5" t="s">
        <v>26</v>
      </c>
      <c r="G340" s="5" t="s">
        <v>27</v>
      </c>
      <c r="H340" s="5" t="s">
        <v>28</v>
      </c>
      <c r="I340" s="5" t="s">
        <v>29</v>
      </c>
      <c r="J340" s="5" t="s">
        <v>30</v>
      </c>
      <c r="K340" s="5" t="s">
        <v>31</v>
      </c>
      <c r="L340" s="5" t="s">
        <v>32</v>
      </c>
      <c r="M340" s="5" t="s">
        <v>964</v>
      </c>
      <c r="N340" s="5" t="s">
        <v>958</v>
      </c>
      <c r="O340" s="5" t="s">
        <v>89</v>
      </c>
      <c r="P340" s="5" t="s">
        <v>965</v>
      </c>
      <c r="Q340" s="5">
        <v>100746629</v>
      </c>
      <c r="R340" s="5" t="s">
        <v>45</v>
      </c>
      <c r="S340" s="5" t="s">
        <v>39</v>
      </c>
      <c r="T340" s="7">
        <v>2</v>
      </c>
      <c r="U340" s="15" t="s">
        <v>89</v>
      </c>
      <c r="V340" s="16" t="s">
        <v>965</v>
      </c>
      <c r="W340" s="17">
        <v>100746629</v>
      </c>
      <c r="X340" s="16" t="s">
        <v>2520</v>
      </c>
      <c r="Y340" s="17" t="s">
        <v>2878</v>
      </c>
      <c r="Z340" s="17" t="s">
        <v>39</v>
      </c>
      <c r="AA340" s="17" t="s">
        <v>37</v>
      </c>
      <c r="AB340" s="43">
        <v>4.21</v>
      </c>
      <c r="AC340" s="25">
        <v>4.95</v>
      </c>
      <c r="AD340" s="25">
        <f>AC340*T340</f>
        <v>9.9</v>
      </c>
      <c r="AE340" s="25">
        <f>AB340*T340</f>
        <v>8.42</v>
      </c>
      <c r="AF340" s="25">
        <f>AD340-AE340</f>
        <v>1.4800000000000004</v>
      </c>
      <c r="AG340" s="26">
        <f>AF340/AD340</f>
        <v>0.14949494949494954</v>
      </c>
      <c r="AH340" s="27" t="str">
        <f>IF(AG340&lt;0,"Negative",IF(AG340=0,"Same",IF(AG340&gt;0.3,"30+%",IF(AG340&gt;0.2,"20-30%",IF(AG340&gt;0.1,"10-20%",IF(AG340&lt;=0.1,"0-10%"))))))</f>
        <v>10-20%</v>
      </c>
      <c r="AI340" s="32"/>
      <c r="AJ340" s="36" t="s">
        <v>3300</v>
      </c>
      <c r="AK340" s="32"/>
    </row>
    <row r="341" spans="1:37" s="1" customFormat="1" ht="19.7" customHeight="1" x14ac:dyDescent="0.25">
      <c r="A341" s="5" t="s">
        <v>22</v>
      </c>
      <c r="B341" s="5" t="s">
        <v>1637</v>
      </c>
      <c r="C341" s="6">
        <v>44427</v>
      </c>
      <c r="D341" s="5" t="s">
        <v>24</v>
      </c>
      <c r="E341" s="5" t="s">
        <v>25</v>
      </c>
      <c r="F341" s="5" t="s">
        <v>26</v>
      </c>
      <c r="G341" s="5" t="s">
        <v>67</v>
      </c>
      <c r="H341" s="5" t="s">
        <v>68</v>
      </c>
      <c r="I341" s="5" t="s">
        <v>29</v>
      </c>
      <c r="J341" s="5" t="s">
        <v>30</v>
      </c>
      <c r="K341" s="5" t="s">
        <v>31</v>
      </c>
      <c r="L341" s="5" t="s">
        <v>32</v>
      </c>
      <c r="M341" s="5" t="s">
        <v>913</v>
      </c>
      <c r="N341" s="5" t="s">
        <v>1638</v>
      </c>
      <c r="O341" s="5" t="s">
        <v>169</v>
      </c>
      <c r="P341" s="5" t="s">
        <v>914</v>
      </c>
      <c r="Q341" s="5">
        <v>100771213</v>
      </c>
      <c r="R341" s="5" t="s">
        <v>56</v>
      </c>
      <c r="S341" s="5" t="s">
        <v>39</v>
      </c>
      <c r="T341" s="7">
        <v>3</v>
      </c>
      <c r="U341" s="15" t="s">
        <v>169</v>
      </c>
      <c r="V341" s="16" t="s">
        <v>914</v>
      </c>
      <c r="W341" s="17">
        <v>100771213</v>
      </c>
      <c r="X341" s="16" t="s">
        <v>2749</v>
      </c>
      <c r="Y341" s="17" t="s">
        <v>2860</v>
      </c>
      <c r="Z341" s="17" t="s">
        <v>39</v>
      </c>
      <c r="AA341" s="17" t="s">
        <v>37</v>
      </c>
      <c r="AB341" s="43">
        <v>16.57</v>
      </c>
      <c r="AC341" s="25">
        <v>17.79</v>
      </c>
      <c r="AD341" s="25">
        <f>AC341*T341</f>
        <v>53.37</v>
      </c>
      <c r="AE341" s="25">
        <f>AB341*T341</f>
        <v>49.71</v>
      </c>
      <c r="AF341" s="25">
        <f>AD341-AE341</f>
        <v>3.6599999999999966</v>
      </c>
      <c r="AG341" s="26">
        <f>AF341/AD341</f>
        <v>6.8577852726250638E-2</v>
      </c>
      <c r="AH341" s="27" t="str">
        <f>IF(AG341&lt;0,"Negative",IF(AG341=0,"Same",IF(AG341&gt;0.3,"30+%",IF(AG341&gt;0.2,"20-30%",IF(AG341&gt;0.1,"10-20%",IF(AG341&lt;=0.1,"0-10%"))))))</f>
        <v>0-10%</v>
      </c>
      <c r="AI341" s="32"/>
      <c r="AJ341" s="36" t="s">
        <v>3299</v>
      </c>
      <c r="AK341" s="32"/>
    </row>
    <row r="342" spans="1:37" s="1" customFormat="1" ht="19.7" customHeight="1" x14ac:dyDescent="0.25">
      <c r="A342" s="5" t="s">
        <v>22</v>
      </c>
      <c r="B342" s="5" t="s">
        <v>1669</v>
      </c>
      <c r="C342" s="6">
        <v>44435</v>
      </c>
      <c r="D342" s="5" t="s">
        <v>24</v>
      </c>
      <c r="E342" s="5" t="s">
        <v>25</v>
      </c>
      <c r="F342" s="5" t="s">
        <v>26</v>
      </c>
      <c r="G342" s="5" t="s">
        <v>67</v>
      </c>
      <c r="H342" s="5" t="s">
        <v>68</v>
      </c>
      <c r="I342" s="5" t="s">
        <v>29</v>
      </c>
      <c r="J342" s="5" t="s">
        <v>30</v>
      </c>
      <c r="K342" s="5" t="s">
        <v>31</v>
      </c>
      <c r="L342" s="5" t="s">
        <v>32</v>
      </c>
      <c r="M342" s="5" t="s">
        <v>913</v>
      </c>
      <c r="N342" s="5" t="s">
        <v>1670</v>
      </c>
      <c r="O342" s="5" t="s">
        <v>169</v>
      </c>
      <c r="P342" s="5" t="s">
        <v>914</v>
      </c>
      <c r="Q342" s="5">
        <v>100771213</v>
      </c>
      <c r="R342" s="5" t="s">
        <v>56</v>
      </c>
      <c r="S342" s="5" t="s">
        <v>39</v>
      </c>
      <c r="T342" s="7">
        <v>6</v>
      </c>
      <c r="U342" s="15" t="s">
        <v>169</v>
      </c>
      <c r="V342" s="16" t="s">
        <v>914</v>
      </c>
      <c r="W342" s="17">
        <v>100771213</v>
      </c>
      <c r="X342" s="16" t="s">
        <v>2749</v>
      </c>
      <c r="Y342" s="17" t="s">
        <v>2860</v>
      </c>
      <c r="Z342" s="17" t="s">
        <v>39</v>
      </c>
      <c r="AA342" s="17" t="s">
        <v>37</v>
      </c>
      <c r="AB342" s="43">
        <v>16.57</v>
      </c>
      <c r="AC342" s="25">
        <v>17.79</v>
      </c>
      <c r="AD342" s="25">
        <f>AC342*T342</f>
        <v>106.74</v>
      </c>
      <c r="AE342" s="25">
        <f>AB342*T342</f>
        <v>99.42</v>
      </c>
      <c r="AF342" s="25">
        <f>AD342-AE342</f>
        <v>7.3199999999999932</v>
      </c>
      <c r="AG342" s="26">
        <f>AF342/AD342</f>
        <v>6.8577852726250638E-2</v>
      </c>
      <c r="AH342" s="27" t="str">
        <f>IF(AG342&lt;0,"Negative",IF(AG342=0,"Same",IF(AG342&gt;0.3,"30+%",IF(AG342&gt;0.2,"20-30%",IF(AG342&gt;0.1,"10-20%",IF(AG342&lt;=0.1,"0-10%"))))))</f>
        <v>0-10%</v>
      </c>
      <c r="AI342" s="32"/>
      <c r="AJ342" s="36" t="s">
        <v>3299</v>
      </c>
      <c r="AK342" s="32"/>
    </row>
    <row r="343" spans="1:37" s="1" customFormat="1" ht="19.7" customHeight="1" x14ac:dyDescent="0.25">
      <c r="A343" s="5" t="s">
        <v>22</v>
      </c>
      <c r="B343" s="5" t="s">
        <v>905</v>
      </c>
      <c r="C343" s="6">
        <v>44316</v>
      </c>
      <c r="D343" s="5" t="s">
        <v>24</v>
      </c>
      <c r="E343" s="5" t="s">
        <v>25</v>
      </c>
      <c r="F343" s="5" t="s">
        <v>26</v>
      </c>
      <c r="G343" s="5" t="s">
        <v>67</v>
      </c>
      <c r="H343" s="5" t="s">
        <v>68</v>
      </c>
      <c r="I343" s="5" t="s">
        <v>29</v>
      </c>
      <c r="J343" s="5" t="s">
        <v>30</v>
      </c>
      <c r="K343" s="5" t="s">
        <v>31</v>
      </c>
      <c r="L343" s="5" t="s">
        <v>32</v>
      </c>
      <c r="M343" s="5" t="s">
        <v>913</v>
      </c>
      <c r="N343" s="5" t="s">
        <v>906</v>
      </c>
      <c r="O343" s="5" t="s">
        <v>169</v>
      </c>
      <c r="P343" s="5" t="s">
        <v>914</v>
      </c>
      <c r="Q343" s="5">
        <v>100771213</v>
      </c>
      <c r="R343" s="5" t="s">
        <v>56</v>
      </c>
      <c r="S343" s="5" t="s">
        <v>39</v>
      </c>
      <c r="T343" s="7">
        <v>6</v>
      </c>
      <c r="U343" s="15" t="s">
        <v>169</v>
      </c>
      <c r="V343" s="16" t="s">
        <v>914</v>
      </c>
      <c r="W343" s="17">
        <v>100771213</v>
      </c>
      <c r="X343" s="16" t="s">
        <v>2749</v>
      </c>
      <c r="Y343" s="17" t="s">
        <v>2860</v>
      </c>
      <c r="Z343" s="17" t="s">
        <v>39</v>
      </c>
      <c r="AA343" s="17" t="s">
        <v>37</v>
      </c>
      <c r="AB343" s="43">
        <v>16.57</v>
      </c>
      <c r="AC343" s="25">
        <v>17.79</v>
      </c>
      <c r="AD343" s="25">
        <f>AC343*T343</f>
        <v>106.74</v>
      </c>
      <c r="AE343" s="25">
        <f>AB343*T343</f>
        <v>99.42</v>
      </c>
      <c r="AF343" s="25">
        <f>AD343-AE343</f>
        <v>7.3199999999999932</v>
      </c>
      <c r="AG343" s="26">
        <f>AF343/AD343</f>
        <v>6.8577852726250638E-2</v>
      </c>
      <c r="AH343" s="27" t="str">
        <f>IF(AG343&lt;0,"Negative",IF(AG343=0,"Same",IF(AG343&gt;0.3,"30+%",IF(AG343&gt;0.2,"20-30%",IF(AG343&gt;0.1,"10-20%",IF(AG343&lt;=0.1,"0-10%"))))))</f>
        <v>0-10%</v>
      </c>
      <c r="AI343" s="32"/>
      <c r="AJ343" s="36" t="s">
        <v>3299</v>
      </c>
      <c r="AK343" s="32"/>
    </row>
    <row r="344" spans="1:37" s="1" customFormat="1" ht="19.7" customHeight="1" x14ac:dyDescent="0.25">
      <c r="A344" s="5" t="s">
        <v>22</v>
      </c>
      <c r="B344" s="5" t="s">
        <v>166</v>
      </c>
      <c r="C344" s="6">
        <v>44238</v>
      </c>
      <c r="D344" s="5" t="s">
        <v>24</v>
      </c>
      <c r="E344" s="5" t="s">
        <v>25</v>
      </c>
      <c r="F344" s="5" t="s">
        <v>26</v>
      </c>
      <c r="G344" s="5" t="s">
        <v>27</v>
      </c>
      <c r="H344" s="5" t="s">
        <v>28</v>
      </c>
      <c r="I344" s="5" t="s">
        <v>29</v>
      </c>
      <c r="J344" s="5" t="s">
        <v>30</v>
      </c>
      <c r="K344" s="5" t="s">
        <v>31</v>
      </c>
      <c r="L344" s="5" t="s">
        <v>32</v>
      </c>
      <c r="M344" s="5" t="s">
        <v>182</v>
      </c>
      <c r="N344" s="5" t="s">
        <v>168</v>
      </c>
      <c r="O344" s="5" t="s">
        <v>183</v>
      </c>
      <c r="P344" s="5" t="s">
        <v>184</v>
      </c>
      <c r="Q344" s="5">
        <v>100439841</v>
      </c>
      <c r="R344" s="5" t="s">
        <v>56</v>
      </c>
      <c r="S344" s="5" t="s">
        <v>39</v>
      </c>
      <c r="T344" s="7">
        <v>2</v>
      </c>
      <c r="U344" s="15" t="s">
        <v>183</v>
      </c>
      <c r="V344" s="16" t="s">
        <v>184</v>
      </c>
      <c r="W344" s="17">
        <v>100439841</v>
      </c>
      <c r="X344" s="16" t="s">
        <v>2565</v>
      </c>
      <c r="Y344" s="17" t="s">
        <v>2566</v>
      </c>
      <c r="Z344" s="17" t="s">
        <v>39</v>
      </c>
      <c r="AA344" s="17" t="s">
        <v>37</v>
      </c>
      <c r="AB344" s="29">
        <v>10.08</v>
      </c>
      <c r="AC344" s="25">
        <v>10.3</v>
      </c>
      <c r="AD344" s="25">
        <f>AC344*T344</f>
        <v>20.6</v>
      </c>
      <c r="AE344" s="25">
        <f>AB344*T344</f>
        <v>20.16</v>
      </c>
      <c r="AF344" s="25">
        <f>AD344-AE344</f>
        <v>0.44000000000000128</v>
      </c>
      <c r="AG344" s="26">
        <f>AF344/AD344</f>
        <v>2.1359223300970936E-2</v>
      </c>
      <c r="AH344" s="27" t="str">
        <f>IF(AG344&lt;0,"Negative",IF(AG344=0,"Same",IF(AG344&gt;0.3,"30+%",IF(AG344&gt;0.2,"20-30%",IF(AG344&gt;0.1,"10-20%",IF(AG344&lt;=0.1,"0-10%"))))))</f>
        <v>0-10%</v>
      </c>
      <c r="AI344" s="32"/>
      <c r="AJ344" s="36" t="s">
        <v>3299</v>
      </c>
      <c r="AK344" s="32"/>
    </row>
    <row r="345" spans="1:37" s="1" customFormat="1" ht="19.7" customHeight="1" x14ac:dyDescent="0.25">
      <c r="A345" s="5" t="s">
        <v>22</v>
      </c>
      <c r="B345" s="5" t="s">
        <v>1703</v>
      </c>
      <c r="C345" s="6">
        <v>44439</v>
      </c>
      <c r="D345" s="5" t="s">
        <v>24</v>
      </c>
      <c r="E345" s="5" t="s">
        <v>25</v>
      </c>
      <c r="F345" s="5" t="s">
        <v>26</v>
      </c>
      <c r="G345" s="5" t="s">
        <v>27</v>
      </c>
      <c r="H345" s="5" t="s">
        <v>28</v>
      </c>
      <c r="I345" s="5" t="s">
        <v>29</v>
      </c>
      <c r="J345" s="5" t="s">
        <v>30</v>
      </c>
      <c r="K345" s="5" t="s">
        <v>31</v>
      </c>
      <c r="L345" s="5" t="s">
        <v>32</v>
      </c>
      <c r="M345" s="5" t="s">
        <v>1704</v>
      </c>
      <c r="N345" s="5" t="s">
        <v>1572</v>
      </c>
      <c r="O345" s="5" t="s">
        <v>35</v>
      </c>
      <c r="P345" s="5" t="s">
        <v>1705</v>
      </c>
      <c r="Q345" s="5">
        <v>111890937</v>
      </c>
      <c r="R345" s="5" t="s">
        <v>38</v>
      </c>
      <c r="S345" s="5" t="s">
        <v>39</v>
      </c>
      <c r="T345" s="7">
        <v>2</v>
      </c>
      <c r="U345" s="15" t="s">
        <v>35</v>
      </c>
      <c r="V345" s="16" t="s">
        <v>1705</v>
      </c>
      <c r="W345" s="17">
        <v>111890937</v>
      </c>
      <c r="X345" s="16" t="s">
        <v>3111</v>
      </c>
      <c r="Y345" s="17" t="s">
        <v>3112</v>
      </c>
      <c r="Z345" s="17" t="s">
        <v>39</v>
      </c>
      <c r="AA345" s="17" t="s">
        <v>2501</v>
      </c>
      <c r="AB345" s="29">
        <v>133.41</v>
      </c>
      <c r="AC345" s="25">
        <v>136.43</v>
      </c>
      <c r="AD345" s="25">
        <f>AC345*T345</f>
        <v>272.86</v>
      </c>
      <c r="AE345" s="25">
        <f>AB345*T345</f>
        <v>266.82</v>
      </c>
      <c r="AF345" s="25">
        <f>AD345-AE345</f>
        <v>6.0400000000000205</v>
      </c>
      <c r="AG345" s="26">
        <f>AF345/AD345</f>
        <v>2.2135893864985781E-2</v>
      </c>
      <c r="AH345" s="27" t="str">
        <f>IF(AG345&lt;0,"Negative",IF(AG345=0,"Same",IF(AG345&gt;0.3,"30+%",IF(AG345&gt;0.2,"20-30%",IF(AG345&gt;0.1,"10-20%",IF(AG345&lt;=0.1,"0-10%"))))))</f>
        <v>0-10%</v>
      </c>
      <c r="AI345" s="32"/>
      <c r="AJ345" s="36" t="s">
        <v>3300</v>
      </c>
      <c r="AK345" s="32"/>
    </row>
    <row r="346" spans="1:37" s="1" customFormat="1" ht="19.7" customHeight="1" x14ac:dyDescent="0.25">
      <c r="A346" s="9" t="s">
        <v>22</v>
      </c>
      <c r="B346" s="9" t="s">
        <v>2221</v>
      </c>
      <c r="C346" s="10">
        <v>44544</v>
      </c>
      <c r="D346" s="9" t="s">
        <v>24</v>
      </c>
      <c r="E346" s="9" t="s">
        <v>25</v>
      </c>
      <c r="F346" s="9" t="s">
        <v>26</v>
      </c>
      <c r="G346" s="9" t="s">
        <v>27</v>
      </c>
      <c r="H346" s="9" t="s">
        <v>28</v>
      </c>
      <c r="I346" s="9" t="s">
        <v>29</v>
      </c>
      <c r="J346" s="9" t="s">
        <v>30</v>
      </c>
      <c r="K346" s="9" t="s">
        <v>31</v>
      </c>
      <c r="L346" s="9" t="s">
        <v>32</v>
      </c>
      <c r="M346" s="9" t="s">
        <v>2222</v>
      </c>
      <c r="N346" s="9" t="s">
        <v>2223</v>
      </c>
      <c r="O346" s="9" t="s">
        <v>35</v>
      </c>
      <c r="P346" s="9" t="s">
        <v>2224</v>
      </c>
      <c r="Q346" s="9">
        <v>100559497</v>
      </c>
      <c r="R346" s="9" t="s">
        <v>38</v>
      </c>
      <c r="S346" s="9" t="s">
        <v>39</v>
      </c>
      <c r="T346" s="11">
        <v>2</v>
      </c>
      <c r="U346" s="15" t="s">
        <v>35</v>
      </c>
      <c r="V346" s="16" t="s">
        <v>2224</v>
      </c>
      <c r="W346" s="17">
        <v>100559497</v>
      </c>
      <c r="X346" s="16" t="s">
        <v>2593</v>
      </c>
      <c r="Y346" s="17" t="s">
        <v>3231</v>
      </c>
      <c r="Z346" s="17" t="s">
        <v>39</v>
      </c>
      <c r="AA346" s="17" t="s">
        <v>37</v>
      </c>
      <c r="AB346" s="29">
        <v>20.51</v>
      </c>
      <c r="AC346" s="25">
        <v>19.98</v>
      </c>
      <c r="AD346" s="25">
        <f>AC346*T346</f>
        <v>39.96</v>
      </c>
      <c r="AE346" s="25">
        <f>AB346*T346</f>
        <v>41.02</v>
      </c>
      <c r="AF346" s="25">
        <f>AD346-AE346</f>
        <v>-1.0600000000000023</v>
      </c>
      <c r="AG346" s="26">
        <f>AF346/AD346</f>
        <v>-2.6526526526526584E-2</v>
      </c>
      <c r="AH346" s="27" t="str">
        <f>IF(AG346&lt;0,"Negative",IF(AG346=0,"Same",IF(AG346&gt;0.3,"30+%",IF(AG346&gt;0.2,"20-30%",IF(AG346&gt;0.1,"10-20%",IF(AG346&lt;=0.1,"0-10%"))))))</f>
        <v>Negative</v>
      </c>
      <c r="AI346" s="32"/>
      <c r="AJ346" s="36" t="s">
        <v>3299</v>
      </c>
      <c r="AK346" s="32"/>
    </row>
    <row r="347" spans="1:37" s="1" customFormat="1" ht="19.7" customHeight="1" x14ac:dyDescent="0.25">
      <c r="A347" s="5" t="s">
        <v>22</v>
      </c>
      <c r="B347" s="5" t="s">
        <v>698</v>
      </c>
      <c r="C347" s="6">
        <v>44292</v>
      </c>
      <c r="D347" s="5" t="s">
        <v>24</v>
      </c>
      <c r="E347" s="5" t="s">
        <v>25</v>
      </c>
      <c r="F347" s="5" t="s">
        <v>26</v>
      </c>
      <c r="G347" s="5" t="s">
        <v>27</v>
      </c>
      <c r="H347" s="5" t="s">
        <v>28</v>
      </c>
      <c r="I347" s="5" t="s">
        <v>29</v>
      </c>
      <c r="J347" s="5" t="s">
        <v>30</v>
      </c>
      <c r="K347" s="5" t="s">
        <v>31</v>
      </c>
      <c r="L347" s="5" t="s">
        <v>32</v>
      </c>
      <c r="M347" s="5" t="s">
        <v>699</v>
      </c>
      <c r="N347" s="5" t="s">
        <v>697</v>
      </c>
      <c r="O347" s="5" t="s">
        <v>700</v>
      </c>
      <c r="P347" s="5" t="s">
        <v>701</v>
      </c>
      <c r="Q347" s="5">
        <v>100180908</v>
      </c>
      <c r="R347" s="5" t="s">
        <v>38</v>
      </c>
      <c r="S347" s="5" t="s">
        <v>39</v>
      </c>
      <c r="T347" s="7">
        <v>1</v>
      </c>
      <c r="U347" s="15" t="s">
        <v>700</v>
      </c>
      <c r="V347" s="16" t="s">
        <v>701</v>
      </c>
      <c r="W347" s="17">
        <v>100180908</v>
      </c>
      <c r="X347" s="16" t="s">
        <v>2783</v>
      </c>
      <c r="Y347" s="17" t="s">
        <v>2784</v>
      </c>
      <c r="Z347" s="17" t="s">
        <v>39</v>
      </c>
      <c r="AA347" s="17" t="s">
        <v>37</v>
      </c>
      <c r="AB347" s="43">
        <v>8</v>
      </c>
      <c r="AC347" s="25">
        <v>8.18</v>
      </c>
      <c r="AD347" s="25">
        <f>AC347*T347</f>
        <v>8.18</v>
      </c>
      <c r="AE347" s="25">
        <f>AB347*T347</f>
        <v>8</v>
      </c>
      <c r="AF347" s="25">
        <f>AD347-AE347</f>
        <v>0.17999999999999972</v>
      </c>
      <c r="AG347" s="26">
        <f>AF347/AD347</f>
        <v>2.2004889975550088E-2</v>
      </c>
      <c r="AH347" s="27" t="str">
        <f>IF(AG347&lt;0,"Negative",IF(AG347=0,"Same",IF(AG347&gt;0.3,"30+%",IF(AG347&gt;0.2,"20-30%",IF(AG347&gt;0.1,"10-20%",IF(AG347&lt;=0.1,"0-10%"))))))</f>
        <v>0-10%</v>
      </c>
      <c r="AI347" s="32"/>
      <c r="AJ347" s="36" t="s">
        <v>3300</v>
      </c>
      <c r="AK347" s="32"/>
    </row>
    <row r="348" spans="1:37" s="1" customFormat="1" ht="19.7" customHeight="1" x14ac:dyDescent="0.25">
      <c r="A348" s="9" t="s">
        <v>22</v>
      </c>
      <c r="B348" s="9" t="s">
        <v>2420</v>
      </c>
      <c r="C348" s="10">
        <v>44582</v>
      </c>
      <c r="D348" s="9" t="s">
        <v>24</v>
      </c>
      <c r="E348" s="9" t="s">
        <v>25</v>
      </c>
      <c r="F348" s="9" t="s">
        <v>26</v>
      </c>
      <c r="G348" s="9" t="s">
        <v>67</v>
      </c>
      <c r="H348" s="9" t="s">
        <v>68</v>
      </c>
      <c r="I348" s="9" t="s">
        <v>29</v>
      </c>
      <c r="J348" s="9" t="s">
        <v>30</v>
      </c>
      <c r="K348" s="9" t="s">
        <v>31</v>
      </c>
      <c r="L348" s="9" t="s">
        <v>32</v>
      </c>
      <c r="M348" s="9" t="s">
        <v>217</v>
      </c>
      <c r="N348" s="9" t="s">
        <v>2421</v>
      </c>
      <c r="O348" s="9" t="s">
        <v>218</v>
      </c>
      <c r="P348" s="9" t="s">
        <v>219</v>
      </c>
      <c r="Q348" s="9">
        <v>101843275</v>
      </c>
      <c r="R348" s="9" t="s">
        <v>76</v>
      </c>
      <c r="S348" s="9" t="s">
        <v>39</v>
      </c>
      <c r="T348" s="11">
        <v>36</v>
      </c>
      <c r="U348" s="15" t="s">
        <v>218</v>
      </c>
      <c r="V348" s="16" t="s">
        <v>219</v>
      </c>
      <c r="W348" s="17">
        <v>101843275</v>
      </c>
      <c r="X348" s="16" t="s">
        <v>2579</v>
      </c>
      <c r="Y348" s="17" t="s">
        <v>2580</v>
      </c>
      <c r="Z348" s="17" t="s">
        <v>39</v>
      </c>
      <c r="AA348" s="17" t="s">
        <v>37</v>
      </c>
      <c r="AB348" s="29">
        <v>8.1199999999999992</v>
      </c>
      <c r="AC348" s="25">
        <v>7.79</v>
      </c>
      <c r="AD348" s="25">
        <f>AC348*T348</f>
        <v>280.44</v>
      </c>
      <c r="AE348" s="25">
        <f>AB348*T348</f>
        <v>292.32</v>
      </c>
      <c r="AF348" s="25">
        <f>AD348-AE348</f>
        <v>-11.879999999999995</v>
      </c>
      <c r="AG348" s="26">
        <f>AF348/AD348</f>
        <v>-4.2362002567394079E-2</v>
      </c>
      <c r="AH348" s="27" t="str">
        <f>IF(AG348&lt;0,"Negative",IF(AG348=0,"Same",IF(AG348&gt;0.3,"30+%",IF(AG348&gt;0.2,"20-30%",IF(AG348&gt;0.1,"10-20%",IF(AG348&lt;=0.1,"0-10%"))))))</f>
        <v>Negative</v>
      </c>
      <c r="AI348" s="32"/>
      <c r="AJ348" s="36" t="s">
        <v>3300</v>
      </c>
      <c r="AK348" s="32"/>
    </row>
    <row r="349" spans="1:37" s="1" customFormat="1" ht="19.7" customHeight="1" x14ac:dyDescent="0.25">
      <c r="A349" s="5" t="s">
        <v>22</v>
      </c>
      <c r="B349" s="5" t="s">
        <v>2112</v>
      </c>
      <c r="C349" s="6">
        <v>44519</v>
      </c>
      <c r="D349" s="5" t="s">
        <v>24</v>
      </c>
      <c r="E349" s="5" t="s">
        <v>25</v>
      </c>
      <c r="F349" s="5" t="s">
        <v>26</v>
      </c>
      <c r="G349" s="5" t="s">
        <v>67</v>
      </c>
      <c r="H349" s="5" t="s">
        <v>68</v>
      </c>
      <c r="I349" s="5" t="s">
        <v>29</v>
      </c>
      <c r="J349" s="5" t="s">
        <v>30</v>
      </c>
      <c r="K349" s="5" t="s">
        <v>31</v>
      </c>
      <c r="L349" s="5" t="s">
        <v>32</v>
      </c>
      <c r="M349" s="5" t="s">
        <v>217</v>
      </c>
      <c r="N349" s="5" t="s">
        <v>2114</v>
      </c>
      <c r="O349" s="5" t="s">
        <v>218</v>
      </c>
      <c r="P349" s="5" t="s">
        <v>219</v>
      </c>
      <c r="Q349" s="5">
        <v>101843275</v>
      </c>
      <c r="R349" s="5" t="s">
        <v>76</v>
      </c>
      <c r="S349" s="5" t="s">
        <v>39</v>
      </c>
      <c r="T349" s="7">
        <v>24</v>
      </c>
      <c r="U349" s="15" t="s">
        <v>218</v>
      </c>
      <c r="V349" s="16" t="s">
        <v>219</v>
      </c>
      <c r="W349" s="17">
        <v>101843275</v>
      </c>
      <c r="X349" s="16" t="s">
        <v>2579</v>
      </c>
      <c r="Y349" s="17" t="s">
        <v>2580</v>
      </c>
      <c r="Z349" s="17" t="s">
        <v>39</v>
      </c>
      <c r="AA349" s="17" t="s">
        <v>37</v>
      </c>
      <c r="AB349" s="29">
        <v>8.1199999999999992</v>
      </c>
      <c r="AC349" s="25">
        <v>7.79</v>
      </c>
      <c r="AD349" s="31">
        <f>AC349*T349</f>
        <v>186.96</v>
      </c>
      <c r="AE349" s="25">
        <f>AB349*T349</f>
        <v>194.88</v>
      </c>
      <c r="AF349" s="25">
        <f>AD349-AE349</f>
        <v>-7.9199999999999875</v>
      </c>
      <c r="AG349" s="26">
        <f>AF349/AD349</f>
        <v>-4.2362002567394023E-2</v>
      </c>
      <c r="AH349" s="27" t="str">
        <f>IF(AG349&lt;0,"Negative",IF(AG349=0,"Same",IF(AG349&gt;0.3,"30+%",IF(AG349&gt;0.2,"20-30%",IF(AG349&gt;0.1,"10-20%",IF(AG349&lt;=0.1,"0-10%"))))))</f>
        <v>Negative</v>
      </c>
      <c r="AI349" s="32"/>
      <c r="AJ349" s="36" t="s">
        <v>3300</v>
      </c>
      <c r="AK349" s="32"/>
    </row>
    <row r="350" spans="1:37" s="1" customFormat="1" ht="19.7" customHeight="1" x14ac:dyDescent="0.25">
      <c r="A350" s="9" t="s">
        <v>22</v>
      </c>
      <c r="B350" s="9" t="s">
        <v>2042</v>
      </c>
      <c r="C350" s="10">
        <v>44504</v>
      </c>
      <c r="D350" s="9" t="s">
        <v>24</v>
      </c>
      <c r="E350" s="9" t="s">
        <v>25</v>
      </c>
      <c r="F350" s="9" t="s">
        <v>26</v>
      </c>
      <c r="G350" s="9" t="s">
        <v>27</v>
      </c>
      <c r="H350" s="9" t="s">
        <v>28</v>
      </c>
      <c r="I350" s="9" t="s">
        <v>29</v>
      </c>
      <c r="J350" s="9" t="s">
        <v>30</v>
      </c>
      <c r="K350" s="9" t="s">
        <v>31</v>
      </c>
      <c r="L350" s="9" t="s">
        <v>32</v>
      </c>
      <c r="M350" s="9" t="s">
        <v>2043</v>
      </c>
      <c r="N350" s="9" t="s">
        <v>2044</v>
      </c>
      <c r="O350" s="9" t="s">
        <v>627</v>
      </c>
      <c r="P350" s="9" t="s">
        <v>2045</v>
      </c>
      <c r="Q350" s="9">
        <v>102124675</v>
      </c>
      <c r="R350" s="9" t="s">
        <v>61</v>
      </c>
      <c r="S350" s="9" t="s">
        <v>39</v>
      </c>
      <c r="T350" s="11">
        <v>2</v>
      </c>
      <c r="U350" s="15" t="s">
        <v>627</v>
      </c>
      <c r="V350" s="16" t="s">
        <v>2045</v>
      </c>
      <c r="W350" s="17">
        <v>102124675</v>
      </c>
      <c r="X350" s="16" t="s">
        <v>2882</v>
      </c>
      <c r="Y350" s="17" t="s">
        <v>3193</v>
      </c>
      <c r="Z350" s="17" t="s">
        <v>39</v>
      </c>
      <c r="AA350" s="17" t="s">
        <v>37</v>
      </c>
      <c r="AB350" s="43">
        <v>17.62</v>
      </c>
      <c r="AC350" s="25">
        <v>18.79</v>
      </c>
      <c r="AD350" s="25">
        <f>AC350*T350</f>
        <v>37.58</v>
      </c>
      <c r="AE350" s="25">
        <f>AB350*T350</f>
        <v>35.24</v>
      </c>
      <c r="AF350" s="25">
        <f>AD350-AE350</f>
        <v>2.3399999999999963</v>
      </c>
      <c r="AG350" s="26">
        <f>AF350/AD350</f>
        <v>6.2267163384779042E-2</v>
      </c>
      <c r="AH350" s="27" t="str">
        <f>IF(AG350&lt;0,"Negative",IF(AG350=0,"Same",IF(AG350&gt;0.3,"30+%",IF(AG350&gt;0.2,"20-30%",IF(AG350&gt;0.1,"10-20%",IF(AG350&lt;=0.1,"0-10%"))))))</f>
        <v>0-10%</v>
      </c>
      <c r="AI350" s="32"/>
      <c r="AJ350" s="36" t="s">
        <v>3299</v>
      </c>
      <c r="AK350" s="32"/>
    </row>
    <row r="351" spans="1:37" s="1" customFormat="1" ht="19.7" customHeight="1" x14ac:dyDescent="0.25">
      <c r="A351" s="5" t="s">
        <v>22</v>
      </c>
      <c r="B351" s="5" t="s">
        <v>1796</v>
      </c>
      <c r="C351" s="6">
        <v>44463</v>
      </c>
      <c r="D351" s="5" t="s">
        <v>24</v>
      </c>
      <c r="E351" s="5" t="s">
        <v>25</v>
      </c>
      <c r="F351" s="5" t="s">
        <v>26</v>
      </c>
      <c r="G351" s="5" t="s">
        <v>27</v>
      </c>
      <c r="H351" s="5" t="s">
        <v>28</v>
      </c>
      <c r="I351" s="5" t="s">
        <v>29</v>
      </c>
      <c r="J351" s="5" t="s">
        <v>30</v>
      </c>
      <c r="K351" s="5" t="s">
        <v>31</v>
      </c>
      <c r="L351" s="5" t="s">
        <v>32</v>
      </c>
      <c r="M351" s="5" t="s">
        <v>1401</v>
      </c>
      <c r="N351" s="5" t="s">
        <v>1399</v>
      </c>
      <c r="O351" s="5" t="s">
        <v>169</v>
      </c>
      <c r="P351" s="5" t="s">
        <v>1402</v>
      </c>
      <c r="Q351" s="5">
        <v>100771190</v>
      </c>
      <c r="R351" s="5" t="s">
        <v>56</v>
      </c>
      <c r="S351" s="5" t="s">
        <v>39</v>
      </c>
      <c r="T351" s="7">
        <v>1</v>
      </c>
      <c r="U351" s="15" t="s">
        <v>169</v>
      </c>
      <c r="V351" s="16" t="s">
        <v>1402</v>
      </c>
      <c r="W351" s="17">
        <v>100771190</v>
      </c>
      <c r="X351" s="16" t="s">
        <v>2610</v>
      </c>
      <c r="Y351" s="17" t="s">
        <v>3025</v>
      </c>
      <c r="Z351" s="17" t="s">
        <v>39</v>
      </c>
      <c r="AA351" s="17" t="s">
        <v>37</v>
      </c>
      <c r="AB351" s="43">
        <v>17.55</v>
      </c>
      <c r="AC351" s="25">
        <v>18.86</v>
      </c>
      <c r="AD351" s="30">
        <f>AC351*T351</f>
        <v>18.86</v>
      </c>
      <c r="AE351" s="25">
        <f>AB351*T351</f>
        <v>17.55</v>
      </c>
      <c r="AF351" s="25">
        <f>AD351-AE351</f>
        <v>1.3099999999999987</v>
      </c>
      <c r="AG351" s="26">
        <f>AF351/AD351</f>
        <v>6.945917285259802E-2</v>
      </c>
      <c r="AH351" s="27" t="str">
        <f>IF(AG351&lt;0,"Negative",IF(AG351=0,"Same",IF(AG351&gt;0.3,"30+%",IF(AG351&gt;0.2,"20-30%",IF(AG351&gt;0.1,"10-20%",IF(AG351&lt;=0.1,"0-10%"))))))</f>
        <v>0-10%</v>
      </c>
      <c r="AI351" s="32"/>
      <c r="AJ351" s="36" t="s">
        <v>3299</v>
      </c>
      <c r="AK351" s="32"/>
    </row>
    <row r="352" spans="1:37" s="1" customFormat="1" ht="19.7" customHeight="1" x14ac:dyDescent="0.25">
      <c r="A352" s="5" t="s">
        <v>22</v>
      </c>
      <c r="B352" s="5" t="s">
        <v>2365</v>
      </c>
      <c r="C352" s="6">
        <v>44573</v>
      </c>
      <c r="D352" s="5" t="s">
        <v>24</v>
      </c>
      <c r="E352" s="5" t="s">
        <v>25</v>
      </c>
      <c r="F352" s="5" t="s">
        <v>26</v>
      </c>
      <c r="G352" s="5" t="s">
        <v>27</v>
      </c>
      <c r="H352" s="5" t="s">
        <v>28</v>
      </c>
      <c r="I352" s="5" t="s">
        <v>29</v>
      </c>
      <c r="J352" s="5" t="s">
        <v>30</v>
      </c>
      <c r="K352" s="5" t="s">
        <v>31</v>
      </c>
      <c r="L352" s="5" t="s">
        <v>32</v>
      </c>
      <c r="M352" s="5" t="s">
        <v>2173</v>
      </c>
      <c r="N352" s="5" t="s">
        <v>2366</v>
      </c>
      <c r="O352" s="5" t="s">
        <v>239</v>
      </c>
      <c r="P352" s="5" t="s">
        <v>1573</v>
      </c>
      <c r="Q352" s="5">
        <v>100758973</v>
      </c>
      <c r="R352" s="5" t="s">
        <v>61</v>
      </c>
      <c r="S352" s="5" t="s">
        <v>39</v>
      </c>
      <c r="T352" s="7">
        <v>2</v>
      </c>
      <c r="U352" s="15" t="s">
        <v>239</v>
      </c>
      <c r="V352" s="16" t="s">
        <v>1573</v>
      </c>
      <c r="W352" s="17">
        <v>100758973</v>
      </c>
      <c r="X352" s="16" t="s">
        <v>3078</v>
      </c>
      <c r="Y352" s="17" t="s">
        <v>3079</v>
      </c>
      <c r="Z352" s="17" t="s">
        <v>39</v>
      </c>
      <c r="AA352" s="17" t="s">
        <v>37</v>
      </c>
      <c r="AB352" s="43">
        <v>10.67</v>
      </c>
      <c r="AC352" s="25">
        <v>11.38</v>
      </c>
      <c r="AD352" s="25">
        <f>AC352*T352</f>
        <v>22.76</v>
      </c>
      <c r="AE352" s="25">
        <f>AB352*T352</f>
        <v>21.34</v>
      </c>
      <c r="AF352" s="25">
        <f>AD352-AE352</f>
        <v>1.4200000000000017</v>
      </c>
      <c r="AG352" s="26">
        <f>AF352/AD352</f>
        <v>6.2390158172232056E-2</v>
      </c>
      <c r="AH352" s="27" t="str">
        <f>IF(AG352&lt;0,"Negative",IF(AG352=0,"Same",IF(AG352&gt;0.3,"30+%",IF(AG352&gt;0.2,"20-30%",IF(AG352&gt;0.1,"10-20%",IF(AG352&lt;=0.1,"0-10%"))))))</f>
        <v>0-10%</v>
      </c>
      <c r="AI352" s="32"/>
      <c r="AJ352" s="36" t="s">
        <v>3299</v>
      </c>
      <c r="AK352" s="32"/>
    </row>
    <row r="353" spans="1:37" s="1" customFormat="1" ht="19.7" customHeight="1" x14ac:dyDescent="0.25">
      <c r="A353" s="9" t="s">
        <v>22</v>
      </c>
      <c r="B353" s="9" t="s">
        <v>2172</v>
      </c>
      <c r="C353" s="10">
        <v>44532</v>
      </c>
      <c r="D353" s="9" t="s">
        <v>24</v>
      </c>
      <c r="E353" s="9" t="s">
        <v>25</v>
      </c>
      <c r="F353" s="9" t="s">
        <v>26</v>
      </c>
      <c r="G353" s="9" t="s">
        <v>27</v>
      </c>
      <c r="H353" s="9" t="s">
        <v>28</v>
      </c>
      <c r="I353" s="9" t="s">
        <v>29</v>
      </c>
      <c r="J353" s="9" t="s">
        <v>30</v>
      </c>
      <c r="K353" s="9" t="s">
        <v>31</v>
      </c>
      <c r="L353" s="9" t="s">
        <v>32</v>
      </c>
      <c r="M353" s="9" t="s">
        <v>2173</v>
      </c>
      <c r="N353" s="9" t="s">
        <v>2171</v>
      </c>
      <c r="O353" s="9" t="s">
        <v>239</v>
      </c>
      <c r="P353" s="9" t="s">
        <v>1573</v>
      </c>
      <c r="Q353" s="9">
        <v>100758973</v>
      </c>
      <c r="R353" s="9" t="s">
        <v>61</v>
      </c>
      <c r="S353" s="9" t="s">
        <v>39</v>
      </c>
      <c r="T353" s="11">
        <v>2</v>
      </c>
      <c r="U353" s="15" t="s">
        <v>239</v>
      </c>
      <c r="V353" s="16" t="s">
        <v>1573</v>
      </c>
      <c r="W353" s="17">
        <v>100758973</v>
      </c>
      <c r="X353" s="16" t="s">
        <v>3078</v>
      </c>
      <c r="Y353" s="17" t="s">
        <v>3079</v>
      </c>
      <c r="Z353" s="17" t="s">
        <v>39</v>
      </c>
      <c r="AA353" s="17" t="s">
        <v>37</v>
      </c>
      <c r="AB353" s="43">
        <v>10.67</v>
      </c>
      <c r="AC353" s="25">
        <v>11.38</v>
      </c>
      <c r="AD353" s="25">
        <f>AC353*T353</f>
        <v>22.76</v>
      </c>
      <c r="AE353" s="25">
        <f>AB353*T353</f>
        <v>21.34</v>
      </c>
      <c r="AF353" s="25">
        <f>AD353-AE353</f>
        <v>1.4200000000000017</v>
      </c>
      <c r="AG353" s="26">
        <f>AF353/AD353</f>
        <v>6.2390158172232056E-2</v>
      </c>
      <c r="AH353" s="27" t="str">
        <f>IF(AG353&lt;0,"Negative",IF(AG353=0,"Same",IF(AG353&gt;0.3,"30+%",IF(AG353&gt;0.2,"20-30%",IF(AG353&gt;0.1,"10-20%",IF(AG353&lt;=0.1,"0-10%"))))))</f>
        <v>0-10%</v>
      </c>
      <c r="AI353" s="32"/>
      <c r="AJ353" s="36" t="s">
        <v>3299</v>
      </c>
      <c r="AK353" s="32"/>
    </row>
    <row r="354" spans="1:37" s="1" customFormat="1" ht="19.7" customHeight="1" x14ac:dyDescent="0.25">
      <c r="A354" s="9" t="s">
        <v>22</v>
      </c>
      <c r="B354" s="9" t="s">
        <v>1400</v>
      </c>
      <c r="C354" s="10">
        <v>44391</v>
      </c>
      <c r="D354" s="9" t="s">
        <v>24</v>
      </c>
      <c r="E354" s="9" t="s">
        <v>25</v>
      </c>
      <c r="F354" s="9" t="s">
        <v>26</v>
      </c>
      <c r="G354" s="9" t="s">
        <v>27</v>
      </c>
      <c r="H354" s="9" t="s">
        <v>28</v>
      </c>
      <c r="I354" s="9" t="s">
        <v>29</v>
      </c>
      <c r="J354" s="9" t="s">
        <v>30</v>
      </c>
      <c r="K354" s="9" t="s">
        <v>31</v>
      </c>
      <c r="L354" s="9" t="s">
        <v>32</v>
      </c>
      <c r="M354" s="9" t="s">
        <v>1401</v>
      </c>
      <c r="N354" s="9" t="s">
        <v>1399</v>
      </c>
      <c r="O354" s="9" t="s">
        <v>169</v>
      </c>
      <c r="P354" s="9" t="s">
        <v>1402</v>
      </c>
      <c r="Q354" s="9">
        <v>100771190</v>
      </c>
      <c r="R354" s="9" t="s">
        <v>56</v>
      </c>
      <c r="S354" s="9" t="s">
        <v>39</v>
      </c>
      <c r="T354" s="11">
        <v>2</v>
      </c>
      <c r="U354" s="15" t="s">
        <v>169</v>
      </c>
      <c r="V354" s="16" t="s">
        <v>1402</v>
      </c>
      <c r="W354" s="17">
        <v>100771190</v>
      </c>
      <c r="X354" s="16" t="s">
        <v>2610</v>
      </c>
      <c r="Y354" s="17" t="s">
        <v>3025</v>
      </c>
      <c r="Z354" s="17" t="s">
        <v>39</v>
      </c>
      <c r="AA354" s="17" t="s">
        <v>37</v>
      </c>
      <c r="AB354" s="43">
        <v>17.55</v>
      </c>
      <c r="AC354" s="25">
        <v>18.86</v>
      </c>
      <c r="AD354" s="25">
        <f>AC354*T354</f>
        <v>37.72</v>
      </c>
      <c r="AE354" s="25">
        <f>AB354*T354</f>
        <v>35.1</v>
      </c>
      <c r="AF354" s="25">
        <f>AD354-AE354</f>
        <v>2.6199999999999974</v>
      </c>
      <c r="AG354" s="26">
        <f>AF354/AD354</f>
        <v>6.945917285259802E-2</v>
      </c>
      <c r="AH354" s="27" t="str">
        <f>IF(AG354&lt;0,"Negative",IF(AG354=0,"Same",IF(AG354&gt;0.3,"30+%",IF(AG354&gt;0.2,"20-30%",IF(AG354&gt;0.1,"10-20%",IF(AG354&lt;=0.1,"0-10%"))))))</f>
        <v>0-10%</v>
      </c>
      <c r="AI354" s="32"/>
      <c r="AJ354" s="36" t="s">
        <v>3299</v>
      </c>
      <c r="AK354" s="32"/>
    </row>
    <row r="355" spans="1:37" s="1" customFormat="1" ht="19.7" customHeight="1" x14ac:dyDescent="0.25">
      <c r="A355" s="5" t="s">
        <v>22</v>
      </c>
      <c r="B355" s="5" t="s">
        <v>355</v>
      </c>
      <c r="C355" s="6">
        <v>44253</v>
      </c>
      <c r="D355" s="5" t="s">
        <v>24</v>
      </c>
      <c r="E355" s="5" t="s">
        <v>25</v>
      </c>
      <c r="F355" s="5" t="s">
        <v>26</v>
      </c>
      <c r="G355" s="5" t="s">
        <v>67</v>
      </c>
      <c r="H355" s="5" t="s">
        <v>68</v>
      </c>
      <c r="I355" s="5" t="s">
        <v>29</v>
      </c>
      <c r="J355" s="5" t="s">
        <v>30</v>
      </c>
      <c r="K355" s="5" t="s">
        <v>31</v>
      </c>
      <c r="L355" s="5" t="s">
        <v>32</v>
      </c>
      <c r="M355" s="5" t="s">
        <v>361</v>
      </c>
      <c r="N355" s="5" t="s">
        <v>357</v>
      </c>
      <c r="O355" s="5" t="s">
        <v>271</v>
      </c>
      <c r="P355" s="5" t="s">
        <v>362</v>
      </c>
      <c r="Q355" s="5">
        <v>101545015</v>
      </c>
      <c r="R355" s="5" t="s">
        <v>73</v>
      </c>
      <c r="S355" s="5" t="s">
        <v>39</v>
      </c>
      <c r="T355" s="7">
        <v>16</v>
      </c>
      <c r="U355" s="15" t="s">
        <v>271</v>
      </c>
      <c r="V355" s="41" t="s">
        <v>362</v>
      </c>
      <c r="W355" s="17">
        <v>101545015</v>
      </c>
      <c r="X355" s="16" t="s">
        <v>2510</v>
      </c>
      <c r="Y355" s="17" t="s">
        <v>2642</v>
      </c>
      <c r="Z355" s="17" t="s">
        <v>39</v>
      </c>
      <c r="AA355" s="17" t="s">
        <v>37</v>
      </c>
      <c r="AB355" s="29">
        <v>11.91</v>
      </c>
      <c r="AC355" s="25">
        <v>10.86</v>
      </c>
      <c r="AD355" s="25">
        <f>AC355*T355</f>
        <v>173.76</v>
      </c>
      <c r="AE355" s="25">
        <f>AB355*T355</f>
        <v>190.56</v>
      </c>
      <c r="AF355" s="25">
        <f>AD355-AE355</f>
        <v>-16.800000000000011</v>
      </c>
      <c r="AG355" s="26">
        <f>AF355/AD355</f>
        <v>-9.6685082872928249E-2</v>
      </c>
      <c r="AH355" s="27" t="str">
        <f>IF(AG355&lt;0,"Negative",IF(AG355=0,"Same",IF(AG355&gt;0.3,"30+%",IF(AG355&gt;0.2,"20-30%",IF(AG355&gt;0.1,"10-20%",IF(AG355&lt;=0.1,"0-10%"))))))</f>
        <v>Negative</v>
      </c>
      <c r="AI355" s="32"/>
      <c r="AJ355" s="36" t="s">
        <v>3299</v>
      </c>
      <c r="AK355" s="32"/>
    </row>
    <row r="356" spans="1:37" s="1" customFormat="1" ht="19.7" customHeight="1" x14ac:dyDescent="0.25">
      <c r="A356" s="9" t="s">
        <v>22</v>
      </c>
      <c r="B356" s="9" t="s">
        <v>1817</v>
      </c>
      <c r="C356" s="10">
        <v>44466</v>
      </c>
      <c r="D356" s="9" t="s">
        <v>24</v>
      </c>
      <c r="E356" s="9" t="s">
        <v>25</v>
      </c>
      <c r="F356" s="9" t="s">
        <v>26</v>
      </c>
      <c r="G356" s="9" t="s">
        <v>27</v>
      </c>
      <c r="H356" s="9" t="s">
        <v>28</v>
      </c>
      <c r="I356" s="9" t="s">
        <v>29</v>
      </c>
      <c r="J356" s="9" t="s">
        <v>30</v>
      </c>
      <c r="K356" s="9" t="s">
        <v>31</v>
      </c>
      <c r="L356" s="9" t="s">
        <v>32</v>
      </c>
      <c r="M356" s="9" t="s">
        <v>261</v>
      </c>
      <c r="N356" s="9" t="s">
        <v>1818</v>
      </c>
      <c r="O356" s="9" t="s">
        <v>203</v>
      </c>
      <c r="P356" s="9" t="s">
        <v>1819</v>
      </c>
      <c r="Q356" s="9">
        <v>101680797</v>
      </c>
      <c r="R356" s="9" t="s">
        <v>105</v>
      </c>
      <c r="S356" s="9" t="s">
        <v>39</v>
      </c>
      <c r="T356" s="11">
        <v>4</v>
      </c>
      <c r="U356" s="15" t="s">
        <v>203</v>
      </c>
      <c r="V356" s="16" t="s">
        <v>1819</v>
      </c>
      <c r="W356" s="17">
        <v>101680797</v>
      </c>
      <c r="X356" s="16" t="s">
        <v>3140</v>
      </c>
      <c r="Y356" s="17" t="s">
        <v>3141</v>
      </c>
      <c r="Z356" s="17" t="s">
        <v>39</v>
      </c>
      <c r="AA356" s="17" t="s">
        <v>37</v>
      </c>
      <c r="AB356" s="29">
        <v>36.24</v>
      </c>
      <c r="AC356" s="25">
        <v>36.840000000000003</v>
      </c>
      <c r="AD356" s="25">
        <f>AC356*T356</f>
        <v>147.36000000000001</v>
      </c>
      <c r="AE356" s="25">
        <f>AB356*T356</f>
        <v>144.96</v>
      </c>
      <c r="AF356" s="25">
        <f>AD356-AE356</f>
        <v>2.4000000000000057</v>
      </c>
      <c r="AG356" s="26">
        <f>AF356/AD356</f>
        <v>1.6286644951140104E-2</v>
      </c>
      <c r="AH356" s="27" t="str">
        <f>IF(AG356&lt;0,"Negative",IF(AG356=0,"Same",IF(AG356&gt;0.3,"30+%",IF(AG356&gt;0.2,"20-30%",IF(AG356&gt;0.1,"10-20%",IF(AG356&lt;=0.1,"0-10%"))))))</f>
        <v>0-10%</v>
      </c>
      <c r="AI356" s="32"/>
      <c r="AJ356" s="36" t="s">
        <v>3299</v>
      </c>
      <c r="AK356" s="32"/>
    </row>
    <row r="357" spans="1:37" s="1" customFormat="1" ht="19.7" customHeight="1" x14ac:dyDescent="0.25">
      <c r="A357" s="5" t="s">
        <v>22</v>
      </c>
      <c r="B357" s="5" t="s">
        <v>1207</v>
      </c>
      <c r="C357" s="6">
        <v>44358</v>
      </c>
      <c r="D357" s="5" t="s">
        <v>24</v>
      </c>
      <c r="E357" s="5" t="s">
        <v>25</v>
      </c>
      <c r="F357" s="5" t="s">
        <v>26</v>
      </c>
      <c r="G357" s="5" t="s">
        <v>27</v>
      </c>
      <c r="H357" s="5" t="s">
        <v>28</v>
      </c>
      <c r="I357" s="5" t="s">
        <v>29</v>
      </c>
      <c r="J357" s="5" t="s">
        <v>30</v>
      </c>
      <c r="K357" s="5" t="s">
        <v>31</v>
      </c>
      <c r="L357" s="5" t="s">
        <v>32</v>
      </c>
      <c r="M357" s="5" t="s">
        <v>261</v>
      </c>
      <c r="N357" s="5" t="s">
        <v>1208</v>
      </c>
      <c r="O357" s="5" t="s">
        <v>223</v>
      </c>
      <c r="P357" s="5" t="s">
        <v>1209</v>
      </c>
      <c r="Q357" s="5">
        <v>118435738</v>
      </c>
      <c r="R357" s="5" t="s">
        <v>56</v>
      </c>
      <c r="S357" s="5" t="s">
        <v>39</v>
      </c>
      <c r="T357" s="7">
        <v>2</v>
      </c>
      <c r="U357" s="15" t="s">
        <v>223</v>
      </c>
      <c r="V357" s="16" t="s">
        <v>1209</v>
      </c>
      <c r="W357" s="17">
        <v>118435738</v>
      </c>
      <c r="X357" s="16" t="s">
        <v>2565</v>
      </c>
      <c r="Y357" s="17" t="s">
        <v>2963</v>
      </c>
      <c r="Z357" s="17" t="s">
        <v>39</v>
      </c>
      <c r="AA357" s="17" t="s">
        <v>2501</v>
      </c>
      <c r="AB357" s="29">
        <v>138.66999999999999</v>
      </c>
      <c r="AC357" s="25">
        <v>144.91999999999999</v>
      </c>
      <c r="AD357" s="25">
        <f>AC357*T357</f>
        <v>289.83999999999997</v>
      </c>
      <c r="AE357" s="25">
        <f>AB357*T357</f>
        <v>277.33999999999997</v>
      </c>
      <c r="AF357" s="25">
        <f>AD357-AE357</f>
        <v>12.5</v>
      </c>
      <c r="AG357" s="26">
        <f>AF357/AD357</f>
        <v>4.3127242616616067E-2</v>
      </c>
      <c r="AH357" s="27" t="str">
        <f>IF(AG357&lt;0,"Negative",IF(AG357=0,"Same",IF(AG357&gt;0.3,"30+%",IF(AG357&gt;0.2,"20-30%",IF(AG357&gt;0.1,"10-20%",IF(AG357&lt;=0.1,"0-10%"))))))</f>
        <v>0-10%</v>
      </c>
      <c r="AI357" s="32"/>
      <c r="AJ357" s="36" t="s">
        <v>3300</v>
      </c>
      <c r="AK357" s="32"/>
    </row>
    <row r="358" spans="1:37" s="1" customFormat="1" ht="19.7" customHeight="1" x14ac:dyDescent="0.25">
      <c r="A358" s="9" t="s">
        <v>22</v>
      </c>
      <c r="B358" s="9" t="s">
        <v>837</v>
      </c>
      <c r="C358" s="10">
        <v>44307</v>
      </c>
      <c r="D358" s="9" t="s">
        <v>24</v>
      </c>
      <c r="E358" s="9" t="s">
        <v>25</v>
      </c>
      <c r="F358" s="9" t="s">
        <v>26</v>
      </c>
      <c r="G358" s="9" t="s">
        <v>27</v>
      </c>
      <c r="H358" s="9" t="s">
        <v>28</v>
      </c>
      <c r="I358" s="9" t="s">
        <v>29</v>
      </c>
      <c r="J358" s="9" t="s">
        <v>30</v>
      </c>
      <c r="K358" s="9" t="s">
        <v>31</v>
      </c>
      <c r="L358" s="9" t="s">
        <v>32</v>
      </c>
      <c r="M358" s="9" t="s">
        <v>838</v>
      </c>
      <c r="N358" s="9" t="s">
        <v>839</v>
      </c>
      <c r="O358" s="9" t="s">
        <v>169</v>
      </c>
      <c r="P358" s="9" t="s">
        <v>840</v>
      </c>
      <c r="Q358" s="9">
        <v>100772611</v>
      </c>
      <c r="R358" s="9" t="s">
        <v>56</v>
      </c>
      <c r="S358" s="9" t="s">
        <v>39</v>
      </c>
      <c r="T358" s="11">
        <v>2</v>
      </c>
      <c r="U358" s="15" t="s">
        <v>169</v>
      </c>
      <c r="V358" s="16" t="s">
        <v>840</v>
      </c>
      <c r="W358" s="17">
        <v>100772611</v>
      </c>
      <c r="X358" s="16" t="s">
        <v>2812</v>
      </c>
      <c r="Y358" s="17" t="s">
        <v>2836</v>
      </c>
      <c r="Z358" s="17" t="s">
        <v>39</v>
      </c>
      <c r="AA358" s="17" t="s">
        <v>37</v>
      </c>
      <c r="AB358" s="43">
        <v>18.21</v>
      </c>
      <c r="AC358" s="25">
        <v>19.559999999999999</v>
      </c>
      <c r="AD358" s="25">
        <f>AC358*T358</f>
        <v>39.119999999999997</v>
      </c>
      <c r="AE358" s="25">
        <f>AB358*T358</f>
        <v>36.42</v>
      </c>
      <c r="AF358" s="25">
        <f>AD358-AE358</f>
        <v>2.6999999999999957</v>
      </c>
      <c r="AG358" s="26">
        <f>AF358/AD358</f>
        <v>6.9018404907975353E-2</v>
      </c>
      <c r="AH358" s="27" t="str">
        <f>IF(AG358&lt;0,"Negative",IF(AG358=0,"Same",IF(AG358&gt;0.3,"30+%",IF(AG358&gt;0.2,"20-30%",IF(AG358&gt;0.1,"10-20%",IF(AG358&lt;=0.1,"0-10%"))))))</f>
        <v>0-10%</v>
      </c>
      <c r="AI358" s="32"/>
      <c r="AJ358" s="36" t="s">
        <v>3299</v>
      </c>
      <c r="AK358" s="32"/>
    </row>
    <row r="359" spans="1:37" s="1" customFormat="1" ht="19.7" customHeight="1" x14ac:dyDescent="0.25">
      <c r="A359" s="9" t="s">
        <v>22</v>
      </c>
      <c r="B359" s="9" t="s">
        <v>1665</v>
      </c>
      <c r="C359" s="10">
        <v>44433</v>
      </c>
      <c r="D359" s="9" t="s">
        <v>24</v>
      </c>
      <c r="E359" s="9" t="s">
        <v>25</v>
      </c>
      <c r="F359" s="9" t="s">
        <v>26</v>
      </c>
      <c r="G359" s="9" t="s">
        <v>27</v>
      </c>
      <c r="H359" s="9" t="s">
        <v>28</v>
      </c>
      <c r="I359" s="9" t="s">
        <v>29</v>
      </c>
      <c r="J359" s="9" t="s">
        <v>30</v>
      </c>
      <c r="K359" s="9" t="s">
        <v>31</v>
      </c>
      <c r="L359" s="9" t="s">
        <v>32</v>
      </c>
      <c r="M359" s="9" t="s">
        <v>261</v>
      </c>
      <c r="N359" s="9" t="s">
        <v>1666</v>
      </c>
      <c r="O359" s="9" t="s">
        <v>381</v>
      </c>
      <c r="P359" s="9" t="s">
        <v>1044</v>
      </c>
      <c r="Q359" s="9">
        <v>112342193</v>
      </c>
      <c r="R359" s="9" t="s">
        <v>38</v>
      </c>
      <c r="S359" s="9" t="s">
        <v>39</v>
      </c>
      <c r="T359" s="11">
        <v>1</v>
      </c>
      <c r="U359" s="15" t="s">
        <v>381</v>
      </c>
      <c r="V359" s="16" t="s">
        <v>1044</v>
      </c>
      <c r="W359" s="17">
        <v>112342193</v>
      </c>
      <c r="X359" s="16" t="s">
        <v>2648</v>
      </c>
      <c r="Y359" s="17" t="s">
        <v>2903</v>
      </c>
      <c r="Z359" s="17" t="s">
        <v>39</v>
      </c>
      <c r="AA359" s="17" t="s">
        <v>37</v>
      </c>
      <c r="AB359" s="29">
        <v>9.83</v>
      </c>
      <c r="AC359" s="25">
        <v>10.3</v>
      </c>
      <c r="AD359" s="25">
        <f>AC359*T359</f>
        <v>10.3</v>
      </c>
      <c r="AE359" s="25">
        <f>AB359*T359</f>
        <v>9.83</v>
      </c>
      <c r="AF359" s="25">
        <f>AD359-AE359</f>
        <v>0.47000000000000064</v>
      </c>
      <c r="AG359" s="26">
        <f>AF359/AD359</f>
        <v>4.563106796116511E-2</v>
      </c>
      <c r="AH359" s="27" t="str">
        <f>IF(AG359&lt;0,"Negative",IF(AG359=0,"Same",IF(AG359&gt;0.3,"30+%",IF(AG359&gt;0.2,"20-30%",IF(AG359&gt;0.1,"10-20%",IF(AG359&lt;=0.1,"0-10%"))))))</f>
        <v>0-10%</v>
      </c>
      <c r="AI359" s="32"/>
      <c r="AJ359" s="36" t="s">
        <v>3300</v>
      </c>
      <c r="AK359" s="32"/>
    </row>
    <row r="360" spans="1:37" s="1" customFormat="1" ht="19.7" customHeight="1" x14ac:dyDescent="0.25">
      <c r="A360" s="9" t="s">
        <v>22</v>
      </c>
      <c r="B360" s="9" t="s">
        <v>1665</v>
      </c>
      <c r="C360" s="10">
        <v>44433</v>
      </c>
      <c r="D360" s="9" t="s">
        <v>24</v>
      </c>
      <c r="E360" s="9" t="s">
        <v>25</v>
      </c>
      <c r="F360" s="9" t="s">
        <v>26</v>
      </c>
      <c r="G360" s="9" t="s">
        <v>27</v>
      </c>
      <c r="H360" s="9" t="s">
        <v>28</v>
      </c>
      <c r="I360" s="9" t="s">
        <v>29</v>
      </c>
      <c r="J360" s="9" t="s">
        <v>30</v>
      </c>
      <c r="K360" s="9" t="s">
        <v>31</v>
      </c>
      <c r="L360" s="9" t="s">
        <v>32</v>
      </c>
      <c r="M360" s="9" t="s">
        <v>261</v>
      </c>
      <c r="N360" s="9" t="s">
        <v>1666</v>
      </c>
      <c r="O360" s="9" t="s">
        <v>381</v>
      </c>
      <c r="P360" s="9" t="s">
        <v>1046</v>
      </c>
      <c r="Q360" s="9">
        <v>112348028</v>
      </c>
      <c r="R360" s="9" t="s">
        <v>38</v>
      </c>
      <c r="S360" s="9" t="s">
        <v>39</v>
      </c>
      <c r="T360" s="11">
        <v>1</v>
      </c>
      <c r="U360" s="15" t="s">
        <v>381</v>
      </c>
      <c r="V360" s="16" t="s">
        <v>1046</v>
      </c>
      <c r="W360" s="17">
        <v>112348028</v>
      </c>
      <c r="X360" s="16" t="s">
        <v>2648</v>
      </c>
      <c r="Y360" s="17" t="s">
        <v>2905</v>
      </c>
      <c r="Z360" s="17" t="s">
        <v>39</v>
      </c>
      <c r="AA360" s="17" t="s">
        <v>37</v>
      </c>
      <c r="AB360" s="29">
        <v>9.83</v>
      </c>
      <c r="AC360" s="25">
        <v>10.3</v>
      </c>
      <c r="AD360" s="25">
        <f>AC360*T360</f>
        <v>10.3</v>
      </c>
      <c r="AE360" s="25">
        <f>AB360*T360</f>
        <v>9.83</v>
      </c>
      <c r="AF360" s="25">
        <f>AD360-AE360</f>
        <v>0.47000000000000064</v>
      </c>
      <c r="AG360" s="26">
        <f>AF360/AD360</f>
        <v>4.563106796116511E-2</v>
      </c>
      <c r="AH360" s="27" t="str">
        <f>IF(AG360&lt;0,"Negative",IF(AG360=0,"Same",IF(AG360&gt;0.3,"30+%",IF(AG360&gt;0.2,"20-30%",IF(AG360&gt;0.1,"10-20%",IF(AG360&lt;=0.1,"0-10%"))))))</f>
        <v>0-10%</v>
      </c>
      <c r="AI360" s="32"/>
      <c r="AJ360" s="36" t="s">
        <v>3300</v>
      </c>
      <c r="AK360" s="32"/>
    </row>
    <row r="361" spans="1:37" s="1" customFormat="1" ht="19.7" customHeight="1" x14ac:dyDescent="0.25">
      <c r="A361" s="9" t="s">
        <v>22</v>
      </c>
      <c r="B361" s="9" t="s">
        <v>1042</v>
      </c>
      <c r="C361" s="10">
        <v>44333</v>
      </c>
      <c r="D361" s="9" t="s">
        <v>24</v>
      </c>
      <c r="E361" s="9" t="s">
        <v>25</v>
      </c>
      <c r="F361" s="9" t="s">
        <v>26</v>
      </c>
      <c r="G361" s="9" t="s">
        <v>27</v>
      </c>
      <c r="H361" s="9" t="s">
        <v>28</v>
      </c>
      <c r="I361" s="9" t="s">
        <v>29</v>
      </c>
      <c r="J361" s="9" t="s">
        <v>30</v>
      </c>
      <c r="K361" s="9" t="s">
        <v>31</v>
      </c>
      <c r="L361" s="9" t="s">
        <v>32</v>
      </c>
      <c r="M361" s="9" t="s">
        <v>261</v>
      </c>
      <c r="N361" s="9" t="s">
        <v>1043</v>
      </c>
      <c r="O361" s="9" t="s">
        <v>381</v>
      </c>
      <c r="P361" s="9" t="s">
        <v>1044</v>
      </c>
      <c r="Q361" s="9">
        <v>112342193</v>
      </c>
      <c r="R361" s="9" t="s">
        <v>38</v>
      </c>
      <c r="S361" s="9" t="s">
        <v>39</v>
      </c>
      <c r="T361" s="11">
        <v>1</v>
      </c>
      <c r="U361" s="15" t="s">
        <v>381</v>
      </c>
      <c r="V361" s="16" t="s">
        <v>1044</v>
      </c>
      <c r="W361" s="17">
        <v>112342193</v>
      </c>
      <c r="X361" s="16" t="s">
        <v>2648</v>
      </c>
      <c r="Y361" s="17" t="s">
        <v>2903</v>
      </c>
      <c r="Z361" s="17" t="s">
        <v>39</v>
      </c>
      <c r="AA361" s="17" t="s">
        <v>37</v>
      </c>
      <c r="AB361" s="29">
        <v>9.83</v>
      </c>
      <c r="AC361" s="25">
        <v>10.3</v>
      </c>
      <c r="AD361" s="25">
        <f>AC361*T361</f>
        <v>10.3</v>
      </c>
      <c r="AE361" s="25">
        <f>AB361*T361</f>
        <v>9.83</v>
      </c>
      <c r="AF361" s="25">
        <f>AD361-AE361</f>
        <v>0.47000000000000064</v>
      </c>
      <c r="AG361" s="26">
        <f>AF361/AD361</f>
        <v>4.563106796116511E-2</v>
      </c>
      <c r="AH361" s="27" t="str">
        <f>IF(AG361&lt;0,"Negative",IF(AG361=0,"Same",IF(AG361&gt;0.3,"30+%",IF(AG361&gt;0.2,"20-30%",IF(AG361&gt;0.1,"10-20%",IF(AG361&lt;=0.1,"0-10%"))))))</f>
        <v>0-10%</v>
      </c>
      <c r="AI361" s="32"/>
      <c r="AJ361" s="36" t="s">
        <v>3300</v>
      </c>
      <c r="AK361" s="32"/>
    </row>
    <row r="362" spans="1:37" s="1" customFormat="1" ht="19.7" customHeight="1" x14ac:dyDescent="0.25">
      <c r="A362" s="9" t="s">
        <v>22</v>
      </c>
      <c r="B362" s="9" t="s">
        <v>1042</v>
      </c>
      <c r="C362" s="10">
        <v>44333</v>
      </c>
      <c r="D362" s="9" t="s">
        <v>24</v>
      </c>
      <c r="E362" s="9" t="s">
        <v>25</v>
      </c>
      <c r="F362" s="9" t="s">
        <v>26</v>
      </c>
      <c r="G362" s="9" t="s">
        <v>27</v>
      </c>
      <c r="H362" s="9" t="s">
        <v>28</v>
      </c>
      <c r="I362" s="9" t="s">
        <v>29</v>
      </c>
      <c r="J362" s="9" t="s">
        <v>30</v>
      </c>
      <c r="K362" s="9" t="s">
        <v>31</v>
      </c>
      <c r="L362" s="9" t="s">
        <v>32</v>
      </c>
      <c r="M362" s="9" t="s">
        <v>261</v>
      </c>
      <c r="N362" s="9" t="s">
        <v>1043</v>
      </c>
      <c r="O362" s="9" t="s">
        <v>381</v>
      </c>
      <c r="P362" s="9" t="s">
        <v>1046</v>
      </c>
      <c r="Q362" s="9">
        <v>112348028</v>
      </c>
      <c r="R362" s="9" t="s">
        <v>38</v>
      </c>
      <c r="S362" s="9" t="s">
        <v>39</v>
      </c>
      <c r="T362" s="11">
        <v>1</v>
      </c>
      <c r="U362" s="15" t="s">
        <v>381</v>
      </c>
      <c r="V362" s="16" t="s">
        <v>1046</v>
      </c>
      <c r="W362" s="17">
        <v>112348028</v>
      </c>
      <c r="X362" s="16" t="s">
        <v>2648</v>
      </c>
      <c r="Y362" s="17" t="s">
        <v>2905</v>
      </c>
      <c r="Z362" s="17" t="s">
        <v>39</v>
      </c>
      <c r="AA362" s="17" t="s">
        <v>37</v>
      </c>
      <c r="AB362" s="29">
        <v>9.83</v>
      </c>
      <c r="AC362" s="25">
        <v>10.3</v>
      </c>
      <c r="AD362" s="25">
        <f>AC362*T362</f>
        <v>10.3</v>
      </c>
      <c r="AE362" s="25">
        <f>AB362*T362</f>
        <v>9.83</v>
      </c>
      <c r="AF362" s="25">
        <f>AD362-AE362</f>
        <v>0.47000000000000064</v>
      </c>
      <c r="AG362" s="26">
        <f>AF362/AD362</f>
        <v>4.563106796116511E-2</v>
      </c>
      <c r="AH362" s="27" t="str">
        <f>IF(AG362&lt;0,"Negative",IF(AG362=0,"Same",IF(AG362&gt;0.3,"30+%",IF(AG362&gt;0.2,"20-30%",IF(AG362&gt;0.1,"10-20%",IF(AG362&lt;=0.1,"0-10%"))))))</f>
        <v>0-10%</v>
      </c>
      <c r="AI362" s="32"/>
      <c r="AJ362" s="36" t="s">
        <v>3300</v>
      </c>
      <c r="AK362" s="32"/>
    </row>
    <row r="363" spans="1:37" s="1" customFormat="1" ht="19.7" customHeight="1" x14ac:dyDescent="0.25">
      <c r="A363" s="5" t="s">
        <v>22</v>
      </c>
      <c r="B363" s="5" t="s">
        <v>2227</v>
      </c>
      <c r="C363" s="6">
        <v>44544</v>
      </c>
      <c r="D363" s="5" t="s">
        <v>24</v>
      </c>
      <c r="E363" s="5" t="s">
        <v>25</v>
      </c>
      <c r="F363" s="5" t="s">
        <v>26</v>
      </c>
      <c r="G363" s="5" t="s">
        <v>27</v>
      </c>
      <c r="H363" s="5" t="s">
        <v>28</v>
      </c>
      <c r="I363" s="5" t="s">
        <v>29</v>
      </c>
      <c r="J363" s="5" t="s">
        <v>30</v>
      </c>
      <c r="K363" s="5" t="s">
        <v>31</v>
      </c>
      <c r="L363" s="5" t="s">
        <v>32</v>
      </c>
      <c r="M363" s="5" t="s">
        <v>1788</v>
      </c>
      <c r="N363" s="5" t="s">
        <v>2228</v>
      </c>
      <c r="O363" s="5" t="s">
        <v>1790</v>
      </c>
      <c r="P363" s="5" t="s">
        <v>1791</v>
      </c>
      <c r="Q363" s="5">
        <v>101853408</v>
      </c>
      <c r="R363" s="5" t="s">
        <v>105</v>
      </c>
      <c r="S363" s="5" t="s">
        <v>39</v>
      </c>
      <c r="T363" s="7">
        <v>24</v>
      </c>
      <c r="U363" s="15" t="s">
        <v>1790</v>
      </c>
      <c r="V363" s="41" t="s">
        <v>1791</v>
      </c>
      <c r="W363" s="17">
        <v>101853408</v>
      </c>
      <c r="X363" s="16" t="s">
        <v>3131</v>
      </c>
      <c r="Y363" s="17" t="s">
        <v>3132</v>
      </c>
      <c r="Z363" s="17" t="s">
        <v>39</v>
      </c>
      <c r="AA363" s="17" t="s">
        <v>37</v>
      </c>
      <c r="AB363" s="29">
        <v>9.68</v>
      </c>
      <c r="AC363" s="25">
        <v>9.4700000000000006</v>
      </c>
      <c r="AD363" s="25">
        <f>AC363*T363</f>
        <v>227.28000000000003</v>
      </c>
      <c r="AE363" s="25">
        <f>AB363*T363</f>
        <v>232.32</v>
      </c>
      <c r="AF363" s="25">
        <f>AD363-AE363</f>
        <v>-5.0399999999999636</v>
      </c>
      <c r="AG363" s="26">
        <f>AF363/AD363</f>
        <v>-2.2175290390707335E-2</v>
      </c>
      <c r="AH363" s="27" t="str">
        <f>IF(AG363&lt;0,"Negative",IF(AG363=0,"Same",IF(AG363&gt;0.3,"30+%",IF(AG363&gt;0.2,"20-30%",IF(AG363&gt;0.1,"10-20%",IF(AG363&lt;=0.1,"0-10%"))))))</f>
        <v>Negative</v>
      </c>
      <c r="AI363" s="32"/>
      <c r="AJ363" s="36" t="s">
        <v>3300</v>
      </c>
      <c r="AK363" s="32"/>
    </row>
    <row r="364" spans="1:37" s="1" customFormat="1" ht="19.7" customHeight="1" x14ac:dyDescent="0.25">
      <c r="A364" s="5" t="s">
        <v>22</v>
      </c>
      <c r="B364" s="5" t="s">
        <v>2089</v>
      </c>
      <c r="C364" s="6">
        <v>44518</v>
      </c>
      <c r="D364" s="5" t="s">
        <v>24</v>
      </c>
      <c r="E364" s="5" t="s">
        <v>25</v>
      </c>
      <c r="F364" s="5" t="s">
        <v>26</v>
      </c>
      <c r="G364" s="5" t="s">
        <v>27</v>
      </c>
      <c r="H364" s="5" t="s">
        <v>28</v>
      </c>
      <c r="I364" s="5" t="s">
        <v>29</v>
      </c>
      <c r="J364" s="5" t="s">
        <v>30</v>
      </c>
      <c r="K364" s="5" t="s">
        <v>31</v>
      </c>
      <c r="L364" s="5" t="s">
        <v>32</v>
      </c>
      <c r="M364" s="5" t="s">
        <v>1788</v>
      </c>
      <c r="N364" s="5" t="s">
        <v>2090</v>
      </c>
      <c r="O364" s="5" t="s">
        <v>1790</v>
      </c>
      <c r="P364" s="5" t="s">
        <v>1791</v>
      </c>
      <c r="Q364" s="5">
        <v>101853408</v>
      </c>
      <c r="R364" s="5" t="s">
        <v>105</v>
      </c>
      <c r="S364" s="5" t="s">
        <v>39</v>
      </c>
      <c r="T364" s="7">
        <v>12</v>
      </c>
      <c r="U364" s="15" t="s">
        <v>1790</v>
      </c>
      <c r="V364" s="41" t="s">
        <v>1791</v>
      </c>
      <c r="W364" s="17">
        <v>101853408</v>
      </c>
      <c r="X364" s="16" t="s">
        <v>3131</v>
      </c>
      <c r="Y364" s="17" t="s">
        <v>3132</v>
      </c>
      <c r="Z364" s="17" t="s">
        <v>39</v>
      </c>
      <c r="AA364" s="17" t="s">
        <v>37</v>
      </c>
      <c r="AB364" s="29">
        <v>9.68</v>
      </c>
      <c r="AC364" s="25">
        <v>9.4700000000000006</v>
      </c>
      <c r="AD364" s="25">
        <f>AC364*T364</f>
        <v>113.64000000000001</v>
      </c>
      <c r="AE364" s="25">
        <f>AB364*T364</f>
        <v>116.16</v>
      </c>
      <c r="AF364" s="25">
        <f>AD364-AE364</f>
        <v>-2.5199999999999818</v>
      </c>
      <c r="AG364" s="26">
        <f>AF364/AD364</f>
        <v>-2.2175290390707335E-2</v>
      </c>
      <c r="AH364" s="27" t="str">
        <f>IF(AG364&lt;0,"Negative",IF(AG364=0,"Same",IF(AG364&gt;0.3,"30+%",IF(AG364&gt;0.2,"20-30%",IF(AG364&gt;0.1,"10-20%",IF(AG364&lt;=0.1,"0-10%"))))))</f>
        <v>Negative</v>
      </c>
      <c r="AI364" s="32"/>
      <c r="AJ364" s="36" t="s">
        <v>3300</v>
      </c>
      <c r="AK364" s="32"/>
    </row>
    <row r="365" spans="1:37" s="1" customFormat="1" ht="19.7" customHeight="1" x14ac:dyDescent="0.25">
      <c r="A365" s="9" t="s">
        <v>22</v>
      </c>
      <c r="B365" s="9" t="s">
        <v>2226</v>
      </c>
      <c r="C365" s="10">
        <v>44544</v>
      </c>
      <c r="D365" s="9" t="s">
        <v>24</v>
      </c>
      <c r="E365" s="9" t="s">
        <v>25</v>
      </c>
      <c r="F365" s="9" t="s">
        <v>26</v>
      </c>
      <c r="G365" s="9" t="s">
        <v>27</v>
      </c>
      <c r="H365" s="9" t="s">
        <v>28</v>
      </c>
      <c r="I365" s="9" t="s">
        <v>29</v>
      </c>
      <c r="J365" s="9" t="s">
        <v>30</v>
      </c>
      <c r="K365" s="9" t="s">
        <v>31</v>
      </c>
      <c r="L365" s="9" t="s">
        <v>32</v>
      </c>
      <c r="M365" s="9" t="s">
        <v>1788</v>
      </c>
      <c r="N365" s="9" t="s">
        <v>2108</v>
      </c>
      <c r="O365" s="9" t="s">
        <v>1790</v>
      </c>
      <c r="P365" s="9" t="s">
        <v>1791</v>
      </c>
      <c r="Q365" s="9">
        <v>101853408</v>
      </c>
      <c r="R365" s="9" t="s">
        <v>105</v>
      </c>
      <c r="S365" s="9" t="s">
        <v>39</v>
      </c>
      <c r="T365" s="11">
        <v>12</v>
      </c>
      <c r="U365" s="15" t="s">
        <v>1790</v>
      </c>
      <c r="V365" s="41" t="s">
        <v>1791</v>
      </c>
      <c r="W365" s="17">
        <v>101853408</v>
      </c>
      <c r="X365" s="16" t="s">
        <v>3131</v>
      </c>
      <c r="Y365" s="17" t="s">
        <v>3132</v>
      </c>
      <c r="Z365" s="17" t="s">
        <v>39</v>
      </c>
      <c r="AA365" s="17" t="s">
        <v>37</v>
      </c>
      <c r="AB365" s="29">
        <v>9.68</v>
      </c>
      <c r="AC365" s="25">
        <v>9.4700000000000006</v>
      </c>
      <c r="AD365" s="25">
        <f>AC365*T365</f>
        <v>113.64000000000001</v>
      </c>
      <c r="AE365" s="25">
        <f>AB365*T365</f>
        <v>116.16</v>
      </c>
      <c r="AF365" s="25">
        <f>AD365-AE365</f>
        <v>-2.5199999999999818</v>
      </c>
      <c r="AG365" s="26">
        <f>AF365/AD365</f>
        <v>-2.2175290390707335E-2</v>
      </c>
      <c r="AH365" s="27" t="str">
        <f>IF(AG365&lt;0,"Negative",IF(AG365=0,"Same",IF(AG365&gt;0.3,"30+%",IF(AG365&gt;0.2,"20-30%",IF(AG365&gt;0.1,"10-20%",IF(AG365&lt;=0.1,"0-10%"))))))</f>
        <v>Negative</v>
      </c>
      <c r="AI365" s="32"/>
      <c r="AJ365" s="36" t="s">
        <v>3300</v>
      </c>
      <c r="AK365" s="32"/>
    </row>
    <row r="366" spans="1:37" s="1" customFormat="1" ht="19.7" customHeight="1" x14ac:dyDescent="0.25">
      <c r="A366" s="5" t="s">
        <v>22</v>
      </c>
      <c r="B366" s="5" t="s">
        <v>629</v>
      </c>
      <c r="C366" s="6">
        <v>44281</v>
      </c>
      <c r="D366" s="5" t="s">
        <v>24</v>
      </c>
      <c r="E366" s="5" t="s">
        <v>25</v>
      </c>
      <c r="F366" s="5" t="s">
        <v>26</v>
      </c>
      <c r="G366" s="5" t="s">
        <v>67</v>
      </c>
      <c r="H366" s="5" t="s">
        <v>68</v>
      </c>
      <c r="I366" s="5" t="s">
        <v>29</v>
      </c>
      <c r="J366" s="5" t="s">
        <v>30</v>
      </c>
      <c r="K366" s="5" t="s">
        <v>31</v>
      </c>
      <c r="L366" s="5" t="s">
        <v>32</v>
      </c>
      <c r="M366" s="5" t="s">
        <v>631</v>
      </c>
      <c r="N366" s="5" t="s">
        <v>630</v>
      </c>
      <c r="O366" s="5" t="s">
        <v>169</v>
      </c>
      <c r="P366" s="5" t="s">
        <v>632</v>
      </c>
      <c r="Q366" s="5">
        <v>100771227</v>
      </c>
      <c r="R366" s="5" t="s">
        <v>56</v>
      </c>
      <c r="S366" s="5" t="s">
        <v>39</v>
      </c>
      <c r="T366" s="7">
        <v>3</v>
      </c>
      <c r="U366" s="15" t="s">
        <v>169</v>
      </c>
      <c r="V366" s="16" t="s">
        <v>632</v>
      </c>
      <c r="W366" s="17">
        <v>100771227</v>
      </c>
      <c r="X366" s="16" t="s">
        <v>2749</v>
      </c>
      <c r="Y366" s="17" t="s">
        <v>2757</v>
      </c>
      <c r="Z366" s="17" t="s">
        <v>39</v>
      </c>
      <c r="AA366" s="17" t="s">
        <v>37</v>
      </c>
      <c r="AB366" s="43">
        <v>18.73</v>
      </c>
      <c r="AC366" s="25">
        <v>20.12</v>
      </c>
      <c r="AD366" s="25">
        <f>AC366*T366</f>
        <v>60.36</v>
      </c>
      <c r="AE366" s="25">
        <f>AB366*T366</f>
        <v>56.19</v>
      </c>
      <c r="AF366" s="25">
        <f>AD366-AE366</f>
        <v>4.1700000000000017</v>
      </c>
      <c r="AG366" s="26">
        <f>AF366/AD366</f>
        <v>6.9085487077534827E-2</v>
      </c>
      <c r="AH366" s="27" t="str">
        <f>IF(AG366&lt;0,"Negative",IF(AG366=0,"Same",IF(AG366&gt;0.3,"30+%",IF(AG366&gt;0.2,"20-30%",IF(AG366&gt;0.1,"10-20%",IF(AG366&lt;=0.1,"0-10%"))))))</f>
        <v>0-10%</v>
      </c>
      <c r="AI366" s="32"/>
      <c r="AJ366" s="36" t="s">
        <v>3299</v>
      </c>
      <c r="AK366" s="32"/>
    </row>
    <row r="367" spans="1:37" s="1" customFormat="1" ht="19.7" customHeight="1" x14ac:dyDescent="0.25">
      <c r="A367" s="5" t="s">
        <v>22</v>
      </c>
      <c r="B367" s="5" t="s">
        <v>1755</v>
      </c>
      <c r="C367" s="6">
        <v>44452</v>
      </c>
      <c r="D367" s="5" t="s">
        <v>24</v>
      </c>
      <c r="E367" s="5" t="s">
        <v>25</v>
      </c>
      <c r="F367" s="5" t="s">
        <v>26</v>
      </c>
      <c r="G367" s="5" t="s">
        <v>67</v>
      </c>
      <c r="H367" s="5" t="s">
        <v>68</v>
      </c>
      <c r="I367" s="5" t="s">
        <v>29</v>
      </c>
      <c r="J367" s="5" t="s">
        <v>30</v>
      </c>
      <c r="K367" s="5" t="s">
        <v>31</v>
      </c>
      <c r="L367" s="5" t="s">
        <v>32</v>
      </c>
      <c r="M367" s="5" t="s">
        <v>631</v>
      </c>
      <c r="N367" s="5" t="s">
        <v>1756</v>
      </c>
      <c r="O367" s="5" t="s">
        <v>169</v>
      </c>
      <c r="P367" s="5" t="s">
        <v>632</v>
      </c>
      <c r="Q367" s="5">
        <v>100771227</v>
      </c>
      <c r="R367" s="5" t="s">
        <v>56</v>
      </c>
      <c r="S367" s="5" t="s">
        <v>39</v>
      </c>
      <c r="T367" s="7">
        <v>4</v>
      </c>
      <c r="U367" s="15" t="s">
        <v>169</v>
      </c>
      <c r="V367" s="16" t="s">
        <v>632</v>
      </c>
      <c r="W367" s="17">
        <v>100771227</v>
      </c>
      <c r="X367" s="16" t="s">
        <v>2749</v>
      </c>
      <c r="Y367" s="17" t="s">
        <v>2757</v>
      </c>
      <c r="Z367" s="17" t="s">
        <v>39</v>
      </c>
      <c r="AA367" s="17" t="s">
        <v>37</v>
      </c>
      <c r="AB367" s="43">
        <v>18.73</v>
      </c>
      <c r="AC367" s="25">
        <v>20.12</v>
      </c>
      <c r="AD367" s="25">
        <f>AC367*T367</f>
        <v>80.48</v>
      </c>
      <c r="AE367" s="25">
        <f>AB367*T367</f>
        <v>74.92</v>
      </c>
      <c r="AF367" s="25">
        <f>AD367-AE367</f>
        <v>5.5600000000000023</v>
      </c>
      <c r="AG367" s="26">
        <f>AF367/AD367</f>
        <v>6.9085487077534813E-2</v>
      </c>
      <c r="AH367" s="27" t="str">
        <f>IF(AG367&lt;0,"Negative",IF(AG367=0,"Same",IF(AG367&gt;0.3,"30+%",IF(AG367&gt;0.2,"20-30%",IF(AG367&gt;0.1,"10-20%",IF(AG367&lt;=0.1,"0-10%"))))))</f>
        <v>0-10%</v>
      </c>
      <c r="AI367" s="32"/>
      <c r="AJ367" s="36" t="s">
        <v>3299</v>
      </c>
      <c r="AK367" s="32"/>
    </row>
    <row r="368" spans="1:37" s="1" customFormat="1" ht="19.7" customHeight="1" x14ac:dyDescent="0.25">
      <c r="A368" s="5" t="s">
        <v>22</v>
      </c>
      <c r="B368" s="5" t="s">
        <v>1093</v>
      </c>
      <c r="C368" s="6">
        <v>44337</v>
      </c>
      <c r="D368" s="5" t="s">
        <v>24</v>
      </c>
      <c r="E368" s="5" t="s">
        <v>25</v>
      </c>
      <c r="F368" s="5" t="s">
        <v>26</v>
      </c>
      <c r="G368" s="5" t="s">
        <v>67</v>
      </c>
      <c r="H368" s="5" t="s">
        <v>68</v>
      </c>
      <c r="I368" s="5" t="s">
        <v>29</v>
      </c>
      <c r="J368" s="5" t="s">
        <v>30</v>
      </c>
      <c r="K368" s="5" t="s">
        <v>31</v>
      </c>
      <c r="L368" s="5" t="s">
        <v>32</v>
      </c>
      <c r="M368" s="5" t="s">
        <v>631</v>
      </c>
      <c r="N368" s="5" t="s">
        <v>1094</v>
      </c>
      <c r="O368" s="5" t="s">
        <v>169</v>
      </c>
      <c r="P368" s="5" t="s">
        <v>632</v>
      </c>
      <c r="Q368" s="5">
        <v>100771227</v>
      </c>
      <c r="R368" s="5" t="s">
        <v>56</v>
      </c>
      <c r="S368" s="5" t="s">
        <v>39</v>
      </c>
      <c r="T368" s="7">
        <v>4</v>
      </c>
      <c r="U368" s="15" t="s">
        <v>169</v>
      </c>
      <c r="V368" s="16" t="s">
        <v>632</v>
      </c>
      <c r="W368" s="17">
        <v>100771227</v>
      </c>
      <c r="X368" s="16" t="s">
        <v>2749</v>
      </c>
      <c r="Y368" s="17" t="s">
        <v>2757</v>
      </c>
      <c r="Z368" s="17" t="s">
        <v>39</v>
      </c>
      <c r="AA368" s="17" t="s">
        <v>37</v>
      </c>
      <c r="AB368" s="43">
        <v>18.73</v>
      </c>
      <c r="AC368" s="25">
        <v>20.12</v>
      </c>
      <c r="AD368" s="25">
        <f>AC368*T368</f>
        <v>80.48</v>
      </c>
      <c r="AE368" s="25">
        <f>AB368*T368</f>
        <v>74.92</v>
      </c>
      <c r="AF368" s="25">
        <f>AD368-AE368</f>
        <v>5.5600000000000023</v>
      </c>
      <c r="AG368" s="26">
        <f>AF368/AD368</f>
        <v>6.9085487077534813E-2</v>
      </c>
      <c r="AH368" s="27" t="str">
        <f>IF(AG368&lt;0,"Negative",IF(AG368=0,"Same",IF(AG368&gt;0.3,"30+%",IF(AG368&gt;0.2,"20-30%",IF(AG368&gt;0.1,"10-20%",IF(AG368&lt;=0.1,"0-10%"))))))</f>
        <v>0-10%</v>
      </c>
      <c r="AI368" s="32"/>
      <c r="AJ368" s="36" t="s">
        <v>3299</v>
      </c>
      <c r="AK368" s="32"/>
    </row>
    <row r="369" spans="1:37" s="1" customFormat="1" ht="19.7" customHeight="1" x14ac:dyDescent="0.25">
      <c r="A369" s="5" t="s">
        <v>22</v>
      </c>
      <c r="B369" s="5" t="s">
        <v>2107</v>
      </c>
      <c r="C369" s="6">
        <v>44519</v>
      </c>
      <c r="D369" s="5" t="s">
        <v>24</v>
      </c>
      <c r="E369" s="5" t="s">
        <v>25</v>
      </c>
      <c r="F369" s="5" t="s">
        <v>26</v>
      </c>
      <c r="G369" s="5" t="s">
        <v>67</v>
      </c>
      <c r="H369" s="5" t="s">
        <v>68</v>
      </c>
      <c r="I369" s="5" t="s">
        <v>29</v>
      </c>
      <c r="J369" s="5" t="s">
        <v>30</v>
      </c>
      <c r="K369" s="5" t="s">
        <v>31</v>
      </c>
      <c r="L369" s="5" t="s">
        <v>32</v>
      </c>
      <c r="M369" s="5" t="s">
        <v>2109</v>
      </c>
      <c r="N369" s="5" t="s">
        <v>2108</v>
      </c>
      <c r="O369" s="5" t="s">
        <v>2110</v>
      </c>
      <c r="P369" s="5" t="s">
        <v>2111</v>
      </c>
      <c r="Q369" s="5">
        <v>100849309</v>
      </c>
      <c r="R369" s="5" t="s">
        <v>76</v>
      </c>
      <c r="S369" s="5" t="s">
        <v>39</v>
      </c>
      <c r="T369" s="7">
        <v>12</v>
      </c>
      <c r="U369" s="15" t="s">
        <v>2110</v>
      </c>
      <c r="V369" s="16" t="s">
        <v>2111</v>
      </c>
      <c r="W369" s="17">
        <v>100849309</v>
      </c>
      <c r="X369" s="16" t="s">
        <v>3209</v>
      </c>
      <c r="Y369" s="17" t="s">
        <v>3210</v>
      </c>
      <c r="Z369" s="17" t="s">
        <v>39</v>
      </c>
      <c r="AA369" s="17" t="s">
        <v>37</v>
      </c>
      <c r="AB369" s="29">
        <v>7.53</v>
      </c>
      <c r="AC369" s="25">
        <v>7.23</v>
      </c>
      <c r="AD369" s="25">
        <f>AC369*T369</f>
        <v>86.76</v>
      </c>
      <c r="AE369" s="25">
        <f>AB369*T369</f>
        <v>90.36</v>
      </c>
      <c r="AF369" s="25">
        <f>AD369-AE369</f>
        <v>-3.5999999999999943</v>
      </c>
      <c r="AG369" s="26">
        <f>AF369/AD369</f>
        <v>-4.1493775933609887E-2</v>
      </c>
      <c r="AH369" s="27" t="str">
        <f>IF(AG369&lt;0,"Negative",IF(AG369=0,"Same",IF(AG369&gt;0.3,"30+%",IF(AG369&gt;0.2,"20-30%",IF(AG369&gt;0.1,"10-20%",IF(AG369&lt;=0.1,"0-10%"))))))</f>
        <v>Negative</v>
      </c>
      <c r="AI369" s="32"/>
      <c r="AJ369" s="36" t="s">
        <v>3300</v>
      </c>
      <c r="AK369" s="32"/>
    </row>
    <row r="370" spans="1:37" s="1" customFormat="1" ht="19.7" customHeight="1" x14ac:dyDescent="0.25">
      <c r="A370" s="9" t="s">
        <v>22</v>
      </c>
      <c r="B370" s="9" t="s">
        <v>1676</v>
      </c>
      <c r="C370" s="10">
        <v>44435</v>
      </c>
      <c r="D370" s="9" t="s">
        <v>24</v>
      </c>
      <c r="E370" s="9" t="s">
        <v>25</v>
      </c>
      <c r="F370" s="9" t="s">
        <v>26</v>
      </c>
      <c r="G370" s="9" t="s">
        <v>67</v>
      </c>
      <c r="H370" s="9" t="s">
        <v>68</v>
      </c>
      <c r="I370" s="9" t="s">
        <v>29</v>
      </c>
      <c r="J370" s="9" t="s">
        <v>30</v>
      </c>
      <c r="K370" s="9" t="s">
        <v>31</v>
      </c>
      <c r="L370" s="9" t="s">
        <v>32</v>
      </c>
      <c r="M370" s="9" t="s">
        <v>217</v>
      </c>
      <c r="N370" s="9" t="s">
        <v>1677</v>
      </c>
      <c r="O370" s="9" t="s">
        <v>218</v>
      </c>
      <c r="P370" s="9" t="s">
        <v>219</v>
      </c>
      <c r="Q370" s="9">
        <v>101843275</v>
      </c>
      <c r="R370" s="9" t="s">
        <v>76</v>
      </c>
      <c r="S370" s="9" t="s">
        <v>39</v>
      </c>
      <c r="T370" s="11">
        <v>24</v>
      </c>
      <c r="U370" s="15" t="s">
        <v>218</v>
      </c>
      <c r="V370" s="16" t="s">
        <v>219</v>
      </c>
      <c r="W370" s="17">
        <v>101843275</v>
      </c>
      <c r="X370" s="16" t="s">
        <v>2579</v>
      </c>
      <c r="Y370" s="17" t="s">
        <v>2580</v>
      </c>
      <c r="Z370" s="17" t="s">
        <v>39</v>
      </c>
      <c r="AA370" s="17" t="s">
        <v>37</v>
      </c>
      <c r="AB370" s="29">
        <v>8.1199999999999992</v>
      </c>
      <c r="AC370" s="25">
        <v>7.79</v>
      </c>
      <c r="AD370" s="25">
        <f>AC370*T370</f>
        <v>186.96</v>
      </c>
      <c r="AE370" s="25">
        <f>AB370*T370</f>
        <v>194.88</v>
      </c>
      <c r="AF370" s="25">
        <f>AD370-AE370</f>
        <v>-7.9199999999999875</v>
      </c>
      <c r="AG370" s="26">
        <f>AF370/AD370</f>
        <v>-4.2362002567394023E-2</v>
      </c>
      <c r="AH370" s="27" t="str">
        <f>IF(AG370&lt;0,"Negative",IF(AG370=0,"Same",IF(AG370&gt;0.3,"30+%",IF(AG370&gt;0.2,"20-30%",IF(AG370&gt;0.1,"10-20%",IF(AG370&lt;=0.1,"0-10%"))))))</f>
        <v>Negative</v>
      </c>
      <c r="AI370" s="32"/>
      <c r="AJ370" s="36" t="s">
        <v>3300</v>
      </c>
      <c r="AK370" s="32"/>
    </row>
    <row r="371" spans="1:37" s="1" customFormat="1" ht="19.7" customHeight="1" x14ac:dyDescent="0.25">
      <c r="A371" s="5" t="s">
        <v>22</v>
      </c>
      <c r="B371" s="5" t="s">
        <v>210</v>
      </c>
      <c r="C371" s="6">
        <v>44242</v>
      </c>
      <c r="D371" s="5" t="s">
        <v>24</v>
      </c>
      <c r="E371" s="5" t="s">
        <v>25</v>
      </c>
      <c r="F371" s="5" t="s">
        <v>26</v>
      </c>
      <c r="G371" s="5" t="s">
        <v>67</v>
      </c>
      <c r="H371" s="5" t="s">
        <v>68</v>
      </c>
      <c r="I371" s="5" t="s">
        <v>29</v>
      </c>
      <c r="J371" s="5" t="s">
        <v>30</v>
      </c>
      <c r="K371" s="5" t="s">
        <v>31</v>
      </c>
      <c r="L371" s="5" t="s">
        <v>32</v>
      </c>
      <c r="M371" s="5" t="s">
        <v>217</v>
      </c>
      <c r="N371" s="5" t="s">
        <v>212</v>
      </c>
      <c r="O371" s="5" t="s">
        <v>218</v>
      </c>
      <c r="P371" s="5" t="s">
        <v>219</v>
      </c>
      <c r="Q371" s="5">
        <v>101843275</v>
      </c>
      <c r="R371" s="5" t="s">
        <v>76</v>
      </c>
      <c r="S371" s="5" t="s">
        <v>39</v>
      </c>
      <c r="T371" s="7">
        <v>24</v>
      </c>
      <c r="U371" s="15" t="s">
        <v>218</v>
      </c>
      <c r="V371" s="16" t="s">
        <v>219</v>
      </c>
      <c r="W371" s="17">
        <v>101843275</v>
      </c>
      <c r="X371" s="16" t="s">
        <v>2579</v>
      </c>
      <c r="Y371" s="17" t="s">
        <v>2580</v>
      </c>
      <c r="Z371" s="17" t="s">
        <v>39</v>
      </c>
      <c r="AA371" s="17" t="s">
        <v>37</v>
      </c>
      <c r="AB371" s="29">
        <v>8.1199999999999992</v>
      </c>
      <c r="AC371" s="25">
        <v>7.79</v>
      </c>
      <c r="AD371" s="25">
        <f>AC371*T371</f>
        <v>186.96</v>
      </c>
      <c r="AE371" s="25">
        <f>AB371*T371</f>
        <v>194.88</v>
      </c>
      <c r="AF371" s="25">
        <f>AD371-AE371</f>
        <v>-7.9199999999999875</v>
      </c>
      <c r="AG371" s="26">
        <f>AF371/AD371</f>
        <v>-4.2362002567394023E-2</v>
      </c>
      <c r="AH371" s="27" t="str">
        <f>IF(AG371&lt;0,"Negative",IF(AG371=0,"Same",IF(AG371&gt;0.3,"30+%",IF(AG371&gt;0.2,"20-30%",IF(AG371&gt;0.1,"10-20%",IF(AG371&lt;=0.1,"0-10%"))))))</f>
        <v>Negative</v>
      </c>
      <c r="AI371" s="32"/>
      <c r="AJ371" s="36" t="s">
        <v>3300</v>
      </c>
      <c r="AK371" s="32"/>
    </row>
    <row r="372" spans="1:37" s="1" customFormat="1" ht="19.7" customHeight="1" x14ac:dyDescent="0.25">
      <c r="A372" s="9" t="s">
        <v>22</v>
      </c>
      <c r="B372" s="9" t="s">
        <v>622</v>
      </c>
      <c r="C372" s="10">
        <v>44281</v>
      </c>
      <c r="D372" s="9" t="s">
        <v>24</v>
      </c>
      <c r="E372" s="9" t="s">
        <v>25</v>
      </c>
      <c r="F372" s="9" t="s">
        <v>26</v>
      </c>
      <c r="G372" s="9" t="s">
        <v>67</v>
      </c>
      <c r="H372" s="9" t="s">
        <v>68</v>
      </c>
      <c r="I372" s="9" t="s">
        <v>29</v>
      </c>
      <c r="J372" s="9" t="s">
        <v>30</v>
      </c>
      <c r="K372" s="9" t="s">
        <v>31</v>
      </c>
      <c r="L372" s="9" t="s">
        <v>32</v>
      </c>
      <c r="M372" s="9" t="s">
        <v>217</v>
      </c>
      <c r="N372" s="9" t="s">
        <v>624</v>
      </c>
      <c r="O372" s="9" t="s">
        <v>218</v>
      </c>
      <c r="P372" s="9" t="s">
        <v>219</v>
      </c>
      <c r="Q372" s="9">
        <v>101843275</v>
      </c>
      <c r="R372" s="9" t="s">
        <v>76</v>
      </c>
      <c r="S372" s="9" t="s">
        <v>39</v>
      </c>
      <c r="T372" s="11">
        <v>24</v>
      </c>
      <c r="U372" s="15" t="s">
        <v>218</v>
      </c>
      <c r="V372" s="16" t="s">
        <v>219</v>
      </c>
      <c r="W372" s="17">
        <v>101843275</v>
      </c>
      <c r="X372" s="16" t="s">
        <v>2579</v>
      </c>
      <c r="Y372" s="17" t="s">
        <v>2580</v>
      </c>
      <c r="Z372" s="17" t="s">
        <v>39</v>
      </c>
      <c r="AA372" s="17" t="s">
        <v>37</v>
      </c>
      <c r="AB372" s="29">
        <v>8.1199999999999992</v>
      </c>
      <c r="AC372" s="25">
        <v>7.79</v>
      </c>
      <c r="AD372" s="25">
        <f>AC372*T372</f>
        <v>186.96</v>
      </c>
      <c r="AE372" s="25">
        <f>AB372*T372</f>
        <v>194.88</v>
      </c>
      <c r="AF372" s="25">
        <f>AD372-AE372</f>
        <v>-7.9199999999999875</v>
      </c>
      <c r="AG372" s="26">
        <f>AF372/AD372</f>
        <v>-4.2362002567394023E-2</v>
      </c>
      <c r="AH372" s="27" t="str">
        <f>IF(AG372&lt;0,"Negative",IF(AG372=0,"Same",IF(AG372&gt;0.3,"30+%",IF(AG372&gt;0.2,"20-30%",IF(AG372&gt;0.1,"10-20%",IF(AG372&lt;=0.1,"0-10%"))))))</f>
        <v>Negative</v>
      </c>
      <c r="AI372" s="32"/>
      <c r="AJ372" s="36" t="s">
        <v>3300</v>
      </c>
      <c r="AK372" s="32"/>
    </row>
    <row r="373" spans="1:37" s="1" customFormat="1" ht="19.7" customHeight="1" x14ac:dyDescent="0.25">
      <c r="A373" s="9" t="s">
        <v>22</v>
      </c>
      <c r="B373" s="9" t="s">
        <v>1091</v>
      </c>
      <c r="C373" s="10">
        <v>44337</v>
      </c>
      <c r="D373" s="9" t="s">
        <v>24</v>
      </c>
      <c r="E373" s="9" t="s">
        <v>25</v>
      </c>
      <c r="F373" s="9" t="s">
        <v>26</v>
      </c>
      <c r="G373" s="9" t="s">
        <v>67</v>
      </c>
      <c r="H373" s="9" t="s">
        <v>68</v>
      </c>
      <c r="I373" s="9" t="s">
        <v>29</v>
      </c>
      <c r="J373" s="9" t="s">
        <v>30</v>
      </c>
      <c r="K373" s="9" t="s">
        <v>31</v>
      </c>
      <c r="L373" s="9" t="s">
        <v>32</v>
      </c>
      <c r="M373" s="9" t="s">
        <v>217</v>
      </c>
      <c r="N373" s="9" t="s">
        <v>1092</v>
      </c>
      <c r="O373" s="9" t="s">
        <v>218</v>
      </c>
      <c r="P373" s="9" t="s">
        <v>219</v>
      </c>
      <c r="Q373" s="9">
        <v>101843275</v>
      </c>
      <c r="R373" s="9" t="s">
        <v>76</v>
      </c>
      <c r="S373" s="9" t="s">
        <v>39</v>
      </c>
      <c r="T373" s="11">
        <v>24</v>
      </c>
      <c r="U373" s="15" t="s">
        <v>218</v>
      </c>
      <c r="V373" s="16" t="s">
        <v>219</v>
      </c>
      <c r="W373" s="17">
        <v>101843275</v>
      </c>
      <c r="X373" s="16" t="s">
        <v>2579</v>
      </c>
      <c r="Y373" s="17" t="s">
        <v>2580</v>
      </c>
      <c r="Z373" s="17" t="s">
        <v>39</v>
      </c>
      <c r="AA373" s="17" t="s">
        <v>37</v>
      </c>
      <c r="AB373" s="29">
        <v>8.1199999999999992</v>
      </c>
      <c r="AC373" s="25">
        <v>7.79</v>
      </c>
      <c r="AD373" s="25">
        <f>AC373*T373</f>
        <v>186.96</v>
      </c>
      <c r="AE373" s="25">
        <f>AB373*T373</f>
        <v>194.88</v>
      </c>
      <c r="AF373" s="25">
        <f>AD373-AE373</f>
        <v>-7.9199999999999875</v>
      </c>
      <c r="AG373" s="26">
        <f>AF373/AD373</f>
        <v>-4.2362002567394023E-2</v>
      </c>
      <c r="AH373" s="27" t="str">
        <f>IF(AG373&lt;0,"Negative",IF(AG373=0,"Same",IF(AG373&gt;0.3,"30+%",IF(AG373&gt;0.2,"20-30%",IF(AG373&gt;0.1,"10-20%",IF(AG373&lt;=0.1,"0-10%"))))))</f>
        <v>Negative</v>
      </c>
      <c r="AI373" s="32"/>
      <c r="AJ373" s="36" t="s">
        <v>3300</v>
      </c>
      <c r="AK373" s="32"/>
    </row>
    <row r="374" spans="1:37" s="1" customFormat="1" ht="19.7" customHeight="1" x14ac:dyDescent="0.25">
      <c r="A374" s="9" t="s">
        <v>22</v>
      </c>
      <c r="B374" s="9" t="s">
        <v>2458</v>
      </c>
      <c r="C374" s="10">
        <v>44588</v>
      </c>
      <c r="D374" s="9" t="s">
        <v>24</v>
      </c>
      <c r="E374" s="9" t="s">
        <v>25</v>
      </c>
      <c r="F374" s="9" t="s">
        <v>26</v>
      </c>
      <c r="G374" s="9" t="s">
        <v>27</v>
      </c>
      <c r="H374" s="9" t="s">
        <v>28</v>
      </c>
      <c r="I374" s="9" t="s">
        <v>29</v>
      </c>
      <c r="J374" s="9" t="s">
        <v>30</v>
      </c>
      <c r="K374" s="9" t="s">
        <v>31</v>
      </c>
      <c r="L374" s="9" t="s">
        <v>32</v>
      </c>
      <c r="M374" s="9" t="s">
        <v>2459</v>
      </c>
      <c r="N374" s="9" t="s">
        <v>1992</v>
      </c>
      <c r="O374" s="9" t="s">
        <v>2460</v>
      </c>
      <c r="P374" s="9" t="s">
        <v>2461</v>
      </c>
      <c r="Q374" s="9">
        <v>102672856</v>
      </c>
      <c r="R374" s="9" t="s">
        <v>38</v>
      </c>
      <c r="S374" s="9" t="s">
        <v>39</v>
      </c>
      <c r="T374" s="11">
        <v>1</v>
      </c>
      <c r="U374" s="15" t="s">
        <v>2460</v>
      </c>
      <c r="V374" s="16" t="s">
        <v>2461</v>
      </c>
      <c r="W374" s="17">
        <v>102672856</v>
      </c>
      <c r="X374" s="16" t="s">
        <v>3278</v>
      </c>
      <c r="Y374" s="17" t="s">
        <v>3279</v>
      </c>
      <c r="Z374" s="17" t="s">
        <v>39</v>
      </c>
      <c r="AA374" s="17" t="s">
        <v>37</v>
      </c>
      <c r="AB374" s="29">
        <v>24.46</v>
      </c>
      <c r="AC374" s="25">
        <v>25.02</v>
      </c>
      <c r="AD374" s="25">
        <f>AC374*T374</f>
        <v>25.02</v>
      </c>
      <c r="AE374" s="25">
        <f>AB374*T374</f>
        <v>24.46</v>
      </c>
      <c r="AF374" s="25">
        <f>AD374-AE374</f>
        <v>0.55999999999999872</v>
      </c>
      <c r="AG374" s="26">
        <f>AF374/AD374</f>
        <v>2.2382094324540316E-2</v>
      </c>
      <c r="AH374" s="27" t="str">
        <f>IF(AG374&lt;0,"Negative",IF(AG374=0,"Same",IF(AG374&gt;0.3,"30+%",IF(AG374&gt;0.2,"20-30%",IF(AG374&gt;0.1,"10-20%",IF(AG374&lt;=0.1,"0-10%"))))))</f>
        <v>0-10%</v>
      </c>
      <c r="AI374" s="32"/>
      <c r="AJ374" s="36" t="s">
        <v>3300</v>
      </c>
      <c r="AK374" s="32"/>
    </row>
    <row r="375" spans="1:37" s="1" customFormat="1" ht="19.7" customHeight="1" x14ac:dyDescent="0.25">
      <c r="A375" s="9" t="s">
        <v>22</v>
      </c>
      <c r="B375" s="9" t="s">
        <v>2193</v>
      </c>
      <c r="C375" s="10">
        <v>44536</v>
      </c>
      <c r="D375" s="9" t="s">
        <v>24</v>
      </c>
      <c r="E375" s="9" t="s">
        <v>25</v>
      </c>
      <c r="F375" s="9" t="s">
        <v>26</v>
      </c>
      <c r="G375" s="9" t="s">
        <v>67</v>
      </c>
      <c r="H375" s="9" t="s">
        <v>68</v>
      </c>
      <c r="I375" s="9" t="s">
        <v>29</v>
      </c>
      <c r="J375" s="9" t="s">
        <v>30</v>
      </c>
      <c r="K375" s="9" t="s">
        <v>31</v>
      </c>
      <c r="L375" s="9" t="s">
        <v>32</v>
      </c>
      <c r="M375" s="9" t="s">
        <v>273</v>
      </c>
      <c r="N375" s="9" t="s">
        <v>2194</v>
      </c>
      <c r="O375" s="9" t="s">
        <v>274</v>
      </c>
      <c r="P375" s="9" t="s">
        <v>275</v>
      </c>
      <c r="Q375" s="9">
        <v>101156274</v>
      </c>
      <c r="R375" s="9" t="s">
        <v>61</v>
      </c>
      <c r="S375" s="9" t="s">
        <v>39</v>
      </c>
      <c r="T375" s="11">
        <v>2</v>
      </c>
      <c r="U375" s="15" t="s">
        <v>274</v>
      </c>
      <c r="V375" s="16" t="s">
        <v>275</v>
      </c>
      <c r="W375" s="17">
        <v>101156274</v>
      </c>
      <c r="X375" s="16" t="s">
        <v>2506</v>
      </c>
      <c r="Y375" s="17" t="s">
        <v>2602</v>
      </c>
      <c r="Z375" s="17" t="s">
        <v>39</v>
      </c>
      <c r="AA375" s="17" t="s">
        <v>37</v>
      </c>
      <c r="AB375" s="29">
        <v>25.61</v>
      </c>
      <c r="AC375" s="25">
        <v>27.71</v>
      </c>
      <c r="AD375" s="25">
        <f>AC375*T375</f>
        <v>55.42</v>
      </c>
      <c r="AE375" s="25">
        <f>AB375*T375</f>
        <v>51.22</v>
      </c>
      <c r="AF375" s="25">
        <f>AD375-AE375</f>
        <v>4.2000000000000028</v>
      </c>
      <c r="AG375" s="26">
        <f>AF375/AD375</f>
        <v>7.5784915193071137E-2</v>
      </c>
      <c r="AH375" s="27" t="str">
        <f>IF(AG375&lt;0,"Negative",IF(AG375=0,"Same",IF(AG375&gt;0.3,"30+%",IF(AG375&gt;0.2,"20-30%",IF(AG375&gt;0.1,"10-20%",IF(AG375&lt;=0.1,"0-10%"))))))</f>
        <v>0-10%</v>
      </c>
      <c r="AI375" s="32"/>
      <c r="AJ375" s="36" t="s">
        <v>3299</v>
      </c>
      <c r="AK375" s="32"/>
    </row>
    <row r="376" spans="1:37" s="1" customFormat="1" ht="19.7" customHeight="1" x14ac:dyDescent="0.25">
      <c r="A376" s="9" t="s">
        <v>22</v>
      </c>
      <c r="B376" s="9" t="s">
        <v>2395</v>
      </c>
      <c r="C376" s="10">
        <v>44580</v>
      </c>
      <c r="D376" s="9" t="s">
        <v>24</v>
      </c>
      <c r="E376" s="9" t="s">
        <v>25</v>
      </c>
      <c r="F376" s="9" t="s">
        <v>26</v>
      </c>
      <c r="G376" s="9" t="s">
        <v>27</v>
      </c>
      <c r="H376" s="9" t="s">
        <v>28</v>
      </c>
      <c r="I376" s="9" t="s">
        <v>29</v>
      </c>
      <c r="J376" s="9" t="s">
        <v>30</v>
      </c>
      <c r="K376" s="9" t="s">
        <v>31</v>
      </c>
      <c r="L376" s="9" t="s">
        <v>32</v>
      </c>
      <c r="M376" s="9" t="s">
        <v>2399</v>
      </c>
      <c r="N376" s="9" t="s">
        <v>2397</v>
      </c>
      <c r="O376" s="9" t="s">
        <v>186</v>
      </c>
      <c r="P376" s="9" t="s">
        <v>2400</v>
      </c>
      <c r="Q376" s="9">
        <v>100812884</v>
      </c>
      <c r="R376" s="9" t="s">
        <v>56</v>
      </c>
      <c r="S376" s="9" t="s">
        <v>39</v>
      </c>
      <c r="T376" s="11">
        <v>4</v>
      </c>
      <c r="U376" s="15" t="s">
        <v>186</v>
      </c>
      <c r="V376" s="16" t="s">
        <v>2400</v>
      </c>
      <c r="W376" s="17">
        <v>100812884</v>
      </c>
      <c r="X376" s="16" t="s">
        <v>2565</v>
      </c>
      <c r="Y376" s="17" t="s">
        <v>3265</v>
      </c>
      <c r="Z376" s="17" t="s">
        <v>39</v>
      </c>
      <c r="AA376" s="17" t="s">
        <v>37</v>
      </c>
      <c r="AB376" s="43">
        <v>24.91</v>
      </c>
      <c r="AC376" s="25">
        <v>25.91</v>
      </c>
      <c r="AD376" s="25">
        <f>AC376*T376</f>
        <v>103.64</v>
      </c>
      <c r="AE376" s="25">
        <f>AB376*T376</f>
        <v>99.64</v>
      </c>
      <c r="AF376" s="25">
        <f>AD376-AE376</f>
        <v>4</v>
      </c>
      <c r="AG376" s="26">
        <f>AF376/AD376</f>
        <v>3.8595137012736397E-2</v>
      </c>
      <c r="AH376" s="27" t="str">
        <f>IF(AG376&lt;0,"Negative",IF(AG376=0,"Same",IF(AG376&gt;0.3,"30+%",IF(AG376&gt;0.2,"20-30%",IF(AG376&gt;0.1,"10-20%",IF(AG376&lt;=0.1,"0-10%"))))))</f>
        <v>0-10%</v>
      </c>
      <c r="AI376" s="32"/>
      <c r="AJ376" s="36" t="s">
        <v>3299</v>
      </c>
      <c r="AK376" s="32"/>
    </row>
    <row r="377" spans="1:37" s="1" customFormat="1" ht="19.7" customHeight="1" x14ac:dyDescent="0.25">
      <c r="A377" s="9" t="s">
        <v>22</v>
      </c>
      <c r="B377" s="9" t="s">
        <v>2478</v>
      </c>
      <c r="C377" s="10">
        <v>44589</v>
      </c>
      <c r="D377" s="9" t="s">
        <v>24</v>
      </c>
      <c r="E377" s="9" t="s">
        <v>25</v>
      </c>
      <c r="F377" s="9" t="s">
        <v>26</v>
      </c>
      <c r="G377" s="9" t="s">
        <v>67</v>
      </c>
      <c r="H377" s="9" t="s">
        <v>68</v>
      </c>
      <c r="I377" s="9" t="s">
        <v>29</v>
      </c>
      <c r="J377" s="9" t="s">
        <v>30</v>
      </c>
      <c r="K377" s="9" t="s">
        <v>31</v>
      </c>
      <c r="L377" s="9" t="s">
        <v>32</v>
      </c>
      <c r="M377" s="9" t="s">
        <v>2479</v>
      </c>
      <c r="N377" s="9" t="s">
        <v>2480</v>
      </c>
      <c r="O377" s="9" t="s">
        <v>172</v>
      </c>
      <c r="P377" s="9" t="s">
        <v>2481</v>
      </c>
      <c r="Q377" s="9">
        <v>100801002</v>
      </c>
      <c r="R377" s="9" t="s">
        <v>56</v>
      </c>
      <c r="S377" s="9" t="s">
        <v>39</v>
      </c>
      <c r="T377" s="11">
        <v>2</v>
      </c>
      <c r="U377" s="15" t="s">
        <v>172</v>
      </c>
      <c r="V377" s="16" t="s">
        <v>2481</v>
      </c>
      <c r="W377" s="17">
        <v>100801002</v>
      </c>
      <c r="X377" s="16" t="s">
        <v>3283</v>
      </c>
      <c r="Y377" s="17" t="s">
        <v>3284</v>
      </c>
      <c r="Z377" s="17" t="s">
        <v>39</v>
      </c>
      <c r="AA377" s="17" t="s">
        <v>37</v>
      </c>
      <c r="AB377" s="29">
        <v>13.51</v>
      </c>
      <c r="AC377" s="25">
        <v>13.79</v>
      </c>
      <c r="AD377" s="25">
        <f>AC377*T377</f>
        <v>27.58</v>
      </c>
      <c r="AE377" s="25">
        <f>AB377*T377</f>
        <v>27.02</v>
      </c>
      <c r="AF377" s="25">
        <f>AD377-AE377</f>
        <v>0.55999999999999872</v>
      </c>
      <c r="AG377" s="26">
        <f>AF377/AD377</f>
        <v>2.0304568527918735E-2</v>
      </c>
      <c r="AH377" s="27" t="str">
        <f>IF(AG377&lt;0,"Negative",IF(AG377=0,"Same",IF(AG377&gt;0.3,"30+%",IF(AG377&gt;0.2,"20-30%",IF(AG377&gt;0.1,"10-20%",IF(AG377&lt;=0.1,"0-10%"))))))</f>
        <v>0-10%</v>
      </c>
      <c r="AI377" s="32"/>
      <c r="AJ377" s="36" t="s">
        <v>3300</v>
      </c>
      <c r="AK377" s="32"/>
    </row>
    <row r="378" spans="1:37" s="1" customFormat="1" ht="19.7" customHeight="1" x14ac:dyDescent="0.25">
      <c r="A378" s="5" t="s">
        <v>22</v>
      </c>
      <c r="B378" s="5" t="s">
        <v>1980</v>
      </c>
      <c r="C378" s="6">
        <v>44494</v>
      </c>
      <c r="D378" s="5" t="s">
        <v>24</v>
      </c>
      <c r="E378" s="5" t="s">
        <v>25</v>
      </c>
      <c r="F378" s="5" t="s">
        <v>26</v>
      </c>
      <c r="G378" s="5" t="s">
        <v>67</v>
      </c>
      <c r="H378" s="5" t="s">
        <v>68</v>
      </c>
      <c r="I378" s="5" t="s">
        <v>29</v>
      </c>
      <c r="J378" s="5" t="s">
        <v>30</v>
      </c>
      <c r="K378" s="5" t="s">
        <v>31</v>
      </c>
      <c r="L378" s="5" t="s">
        <v>32</v>
      </c>
      <c r="M378" s="5" t="s">
        <v>427</v>
      </c>
      <c r="N378" s="5" t="s">
        <v>1865</v>
      </c>
      <c r="O378" s="5" t="s">
        <v>271</v>
      </c>
      <c r="P378" s="5" t="s">
        <v>429</v>
      </c>
      <c r="Q378" s="5">
        <v>102009689</v>
      </c>
      <c r="R378" s="5" t="s">
        <v>73</v>
      </c>
      <c r="S378" s="5" t="s">
        <v>39</v>
      </c>
      <c r="T378" s="7">
        <v>48</v>
      </c>
      <c r="U378" s="15" t="s">
        <v>271</v>
      </c>
      <c r="V378" s="41" t="s">
        <v>429</v>
      </c>
      <c r="W378" s="17">
        <v>102009689</v>
      </c>
      <c r="X378" s="16" t="s">
        <v>2510</v>
      </c>
      <c r="Y378" s="17" t="s">
        <v>2667</v>
      </c>
      <c r="Z378" s="17" t="s">
        <v>39</v>
      </c>
      <c r="AA378" s="17" t="s">
        <v>37</v>
      </c>
      <c r="AB378" s="29">
        <v>9.0299999999999994</v>
      </c>
      <c r="AC378" s="25">
        <v>8.25</v>
      </c>
      <c r="AD378" s="25">
        <f>AC378*T378</f>
        <v>396</v>
      </c>
      <c r="AE378" s="25">
        <f>AB378*T378</f>
        <v>433.43999999999994</v>
      </c>
      <c r="AF378" s="25">
        <f>AD378-AE378</f>
        <v>-37.439999999999941</v>
      </c>
      <c r="AG378" s="26">
        <f>AF378/AD378</f>
        <v>-9.4545454545454391E-2</v>
      </c>
      <c r="AH378" s="27" t="str">
        <f>IF(AG378&lt;0,"Negative",IF(AG378=0,"Same",IF(AG378&gt;0.3,"30+%",IF(AG378&gt;0.2,"20-30%",IF(AG378&gt;0.1,"10-20%",IF(AG378&lt;=0.1,"0-10%"))))))</f>
        <v>Negative</v>
      </c>
      <c r="AI378" s="32"/>
      <c r="AJ378" s="36" t="s">
        <v>3300</v>
      </c>
      <c r="AK378" s="32"/>
    </row>
    <row r="379" spans="1:37" s="1" customFormat="1" ht="19.7" customHeight="1" x14ac:dyDescent="0.25">
      <c r="A379" s="9" t="s">
        <v>22</v>
      </c>
      <c r="B379" s="9" t="s">
        <v>1418</v>
      </c>
      <c r="C379" s="10">
        <v>44393</v>
      </c>
      <c r="D379" s="9" t="s">
        <v>24</v>
      </c>
      <c r="E379" s="9" t="s">
        <v>25</v>
      </c>
      <c r="F379" s="9" t="s">
        <v>26</v>
      </c>
      <c r="G379" s="9" t="s">
        <v>67</v>
      </c>
      <c r="H379" s="9" t="s">
        <v>68</v>
      </c>
      <c r="I379" s="9" t="s">
        <v>29</v>
      </c>
      <c r="J379" s="9" t="s">
        <v>30</v>
      </c>
      <c r="K379" s="9" t="s">
        <v>31</v>
      </c>
      <c r="L379" s="9" t="s">
        <v>32</v>
      </c>
      <c r="M379" s="9" t="s">
        <v>427</v>
      </c>
      <c r="N379" s="9" t="s">
        <v>1419</v>
      </c>
      <c r="O379" s="9" t="s">
        <v>271</v>
      </c>
      <c r="P379" s="9" t="s">
        <v>429</v>
      </c>
      <c r="Q379" s="9">
        <v>102009689</v>
      </c>
      <c r="R379" s="9" t="s">
        <v>73</v>
      </c>
      <c r="S379" s="9" t="s">
        <v>39</v>
      </c>
      <c r="T379" s="11">
        <v>24</v>
      </c>
      <c r="U379" s="15" t="s">
        <v>271</v>
      </c>
      <c r="V379" s="41" t="s">
        <v>429</v>
      </c>
      <c r="W379" s="17">
        <v>102009689</v>
      </c>
      <c r="X379" s="16" t="s">
        <v>2510</v>
      </c>
      <c r="Y379" s="17" t="s">
        <v>2667</v>
      </c>
      <c r="Z379" s="17" t="s">
        <v>39</v>
      </c>
      <c r="AA379" s="17" t="s">
        <v>37</v>
      </c>
      <c r="AB379" s="29">
        <v>9.0299999999999994</v>
      </c>
      <c r="AC379" s="25">
        <v>8.25</v>
      </c>
      <c r="AD379" s="25">
        <f>AC379*T379</f>
        <v>198</v>
      </c>
      <c r="AE379" s="25">
        <f>AB379*T379</f>
        <v>216.71999999999997</v>
      </c>
      <c r="AF379" s="25">
        <f>AD379-AE379</f>
        <v>-18.71999999999997</v>
      </c>
      <c r="AG379" s="26">
        <f>AF379/AD379</f>
        <v>-9.4545454545454391E-2</v>
      </c>
      <c r="AH379" s="27" t="str">
        <f>IF(AG379&lt;0,"Negative",IF(AG379=0,"Same",IF(AG379&gt;0.3,"30+%",IF(AG379&gt;0.2,"20-30%",IF(AG379&gt;0.1,"10-20%",IF(AG379&lt;=0.1,"0-10%"))))))</f>
        <v>Negative</v>
      </c>
      <c r="AI379" s="32"/>
      <c r="AJ379" s="36" t="s">
        <v>3300</v>
      </c>
      <c r="AK379" s="32"/>
    </row>
    <row r="380" spans="1:37" s="1" customFormat="1" ht="19.7" customHeight="1" x14ac:dyDescent="0.25">
      <c r="A380" s="5" t="s">
        <v>22</v>
      </c>
      <c r="B380" s="5" t="s">
        <v>1025</v>
      </c>
      <c r="C380" s="6">
        <v>44333</v>
      </c>
      <c r="D380" s="5" t="s">
        <v>24</v>
      </c>
      <c r="E380" s="5" t="s">
        <v>25</v>
      </c>
      <c r="F380" s="5" t="s">
        <v>26</v>
      </c>
      <c r="G380" s="5" t="s">
        <v>67</v>
      </c>
      <c r="H380" s="5" t="s">
        <v>68</v>
      </c>
      <c r="I380" s="5" t="s">
        <v>29</v>
      </c>
      <c r="J380" s="5" t="s">
        <v>30</v>
      </c>
      <c r="K380" s="5" t="s">
        <v>31</v>
      </c>
      <c r="L380" s="5" t="s">
        <v>32</v>
      </c>
      <c r="M380" s="5" t="s">
        <v>427</v>
      </c>
      <c r="N380" s="5" t="s">
        <v>1027</v>
      </c>
      <c r="O380" s="5" t="s">
        <v>271</v>
      </c>
      <c r="P380" s="5" t="s">
        <v>429</v>
      </c>
      <c r="Q380" s="5">
        <v>102009689</v>
      </c>
      <c r="R380" s="5" t="s">
        <v>73</v>
      </c>
      <c r="S380" s="5" t="s">
        <v>39</v>
      </c>
      <c r="T380" s="7">
        <v>24</v>
      </c>
      <c r="U380" s="15" t="s">
        <v>271</v>
      </c>
      <c r="V380" s="41" t="s">
        <v>429</v>
      </c>
      <c r="W380" s="17">
        <v>102009689</v>
      </c>
      <c r="X380" s="16" t="s">
        <v>2510</v>
      </c>
      <c r="Y380" s="17" t="s">
        <v>2667</v>
      </c>
      <c r="Z380" s="17" t="s">
        <v>39</v>
      </c>
      <c r="AA380" s="17" t="s">
        <v>37</v>
      </c>
      <c r="AB380" s="29">
        <v>9.0299999999999994</v>
      </c>
      <c r="AC380" s="25">
        <v>8.25</v>
      </c>
      <c r="AD380" s="25">
        <f>AC380*T380</f>
        <v>198</v>
      </c>
      <c r="AE380" s="25">
        <f>AB380*T380</f>
        <v>216.71999999999997</v>
      </c>
      <c r="AF380" s="25">
        <f>AD380-AE380</f>
        <v>-18.71999999999997</v>
      </c>
      <c r="AG380" s="26">
        <f>AF380/AD380</f>
        <v>-9.4545454545454391E-2</v>
      </c>
      <c r="AH380" s="27" t="str">
        <f>IF(AG380&lt;0,"Negative",IF(AG380=0,"Same",IF(AG380&gt;0.3,"30+%",IF(AG380&gt;0.2,"20-30%",IF(AG380&gt;0.1,"10-20%",IF(AG380&lt;=0.1,"0-10%"))))))</f>
        <v>Negative</v>
      </c>
      <c r="AI380" s="32"/>
      <c r="AJ380" s="36" t="s">
        <v>3300</v>
      </c>
      <c r="AK380" s="32"/>
    </row>
    <row r="381" spans="1:37" s="1" customFormat="1" ht="19.7" customHeight="1" x14ac:dyDescent="0.25">
      <c r="A381" s="5" t="s">
        <v>22</v>
      </c>
      <c r="B381" s="5" t="s">
        <v>426</v>
      </c>
      <c r="C381" s="6">
        <v>44260</v>
      </c>
      <c r="D381" s="5" t="s">
        <v>24</v>
      </c>
      <c r="E381" s="5" t="s">
        <v>25</v>
      </c>
      <c r="F381" s="5" t="s">
        <v>26</v>
      </c>
      <c r="G381" s="5" t="s">
        <v>67</v>
      </c>
      <c r="H381" s="5" t="s">
        <v>68</v>
      </c>
      <c r="I381" s="5" t="s">
        <v>29</v>
      </c>
      <c r="J381" s="5" t="s">
        <v>30</v>
      </c>
      <c r="K381" s="5" t="s">
        <v>31</v>
      </c>
      <c r="L381" s="5" t="s">
        <v>32</v>
      </c>
      <c r="M381" s="5" t="s">
        <v>427</v>
      </c>
      <c r="N381" s="5" t="s">
        <v>428</v>
      </c>
      <c r="O381" s="5" t="s">
        <v>271</v>
      </c>
      <c r="P381" s="5" t="s">
        <v>429</v>
      </c>
      <c r="Q381" s="5">
        <v>102009689</v>
      </c>
      <c r="R381" s="5" t="s">
        <v>73</v>
      </c>
      <c r="S381" s="5" t="s">
        <v>39</v>
      </c>
      <c r="T381" s="7">
        <v>24</v>
      </c>
      <c r="U381" s="15" t="s">
        <v>271</v>
      </c>
      <c r="V381" s="41" t="s">
        <v>429</v>
      </c>
      <c r="W381" s="17">
        <v>102009689</v>
      </c>
      <c r="X381" s="16" t="s">
        <v>2510</v>
      </c>
      <c r="Y381" s="17" t="s">
        <v>2667</v>
      </c>
      <c r="Z381" s="17" t="s">
        <v>39</v>
      </c>
      <c r="AA381" s="17" t="s">
        <v>37</v>
      </c>
      <c r="AB381" s="29">
        <v>9.0299999999999994</v>
      </c>
      <c r="AC381" s="25">
        <v>8.25</v>
      </c>
      <c r="AD381" s="25">
        <f>AC381*T381</f>
        <v>198</v>
      </c>
      <c r="AE381" s="25">
        <f>AB381*T381</f>
        <v>216.71999999999997</v>
      </c>
      <c r="AF381" s="25">
        <f>AD381-AE381</f>
        <v>-18.71999999999997</v>
      </c>
      <c r="AG381" s="26">
        <f>AF381/AD381</f>
        <v>-9.4545454545454391E-2</v>
      </c>
      <c r="AH381" s="27" t="str">
        <f>IF(AG381&lt;0,"Negative",IF(AG381=0,"Same",IF(AG381&gt;0.3,"30+%",IF(AG381&gt;0.2,"20-30%",IF(AG381&gt;0.1,"10-20%",IF(AG381&lt;=0.1,"0-10%"))))))</f>
        <v>Negative</v>
      </c>
      <c r="AI381" s="32"/>
      <c r="AJ381" s="36" t="s">
        <v>3300</v>
      </c>
      <c r="AK381" s="32"/>
    </row>
    <row r="382" spans="1:37" s="1" customFormat="1" ht="19.7" customHeight="1" x14ac:dyDescent="0.25">
      <c r="A382" s="9" t="s">
        <v>22</v>
      </c>
      <c r="B382" s="9" t="s">
        <v>1637</v>
      </c>
      <c r="C382" s="10">
        <v>44427</v>
      </c>
      <c r="D382" s="9" t="s">
        <v>24</v>
      </c>
      <c r="E382" s="9" t="s">
        <v>25</v>
      </c>
      <c r="F382" s="9" t="s">
        <v>26</v>
      </c>
      <c r="G382" s="9" t="s">
        <v>67</v>
      </c>
      <c r="H382" s="9" t="s">
        <v>68</v>
      </c>
      <c r="I382" s="9" t="s">
        <v>29</v>
      </c>
      <c r="J382" s="9" t="s">
        <v>30</v>
      </c>
      <c r="K382" s="9" t="s">
        <v>31</v>
      </c>
      <c r="L382" s="9" t="s">
        <v>32</v>
      </c>
      <c r="M382" s="9" t="s">
        <v>817</v>
      </c>
      <c r="N382" s="9" t="s">
        <v>1638</v>
      </c>
      <c r="O382" s="9" t="s">
        <v>128</v>
      </c>
      <c r="P382" s="9" t="s">
        <v>818</v>
      </c>
      <c r="Q382" s="9">
        <v>100867478</v>
      </c>
      <c r="R382" s="9" t="s">
        <v>45</v>
      </c>
      <c r="S382" s="9" t="s">
        <v>39</v>
      </c>
      <c r="T382" s="11">
        <v>2</v>
      </c>
      <c r="U382" s="15" t="s">
        <v>128</v>
      </c>
      <c r="V382" s="16" t="s">
        <v>818</v>
      </c>
      <c r="W382" s="17">
        <v>100867478</v>
      </c>
      <c r="X382" s="16" t="s">
        <v>2670</v>
      </c>
      <c r="Y382" s="17" t="s">
        <v>2827</v>
      </c>
      <c r="Z382" s="17" t="s">
        <v>39</v>
      </c>
      <c r="AA382" s="17" t="s">
        <v>37</v>
      </c>
      <c r="AB382" s="29">
        <v>5.98</v>
      </c>
      <c r="AC382" s="25">
        <v>6.48</v>
      </c>
      <c r="AD382" s="25">
        <f>AC382*T382</f>
        <v>12.96</v>
      </c>
      <c r="AE382" s="25">
        <f>AB382*T382</f>
        <v>11.96</v>
      </c>
      <c r="AF382" s="25">
        <f>AD382-AE382</f>
        <v>1</v>
      </c>
      <c r="AG382" s="26">
        <f>AF382/AD382</f>
        <v>7.716049382716049E-2</v>
      </c>
      <c r="AH382" s="27" t="str">
        <f>IF(AG382&lt;0,"Negative",IF(AG382=0,"Same",IF(AG382&gt;0.3,"30+%",IF(AG382&gt;0.2,"20-30%",IF(AG382&gt;0.1,"10-20%",IF(AG382&lt;=0.1,"0-10%"))))))</f>
        <v>0-10%</v>
      </c>
      <c r="AI382" s="32"/>
      <c r="AJ382" s="36" t="s">
        <v>3300</v>
      </c>
      <c r="AK382" s="32"/>
    </row>
    <row r="383" spans="1:37" s="1" customFormat="1" ht="19.7" customHeight="1" x14ac:dyDescent="0.25">
      <c r="A383" s="9" t="s">
        <v>22</v>
      </c>
      <c r="B383" s="9" t="s">
        <v>815</v>
      </c>
      <c r="C383" s="10">
        <v>44302</v>
      </c>
      <c r="D383" s="9" t="s">
        <v>24</v>
      </c>
      <c r="E383" s="9" t="s">
        <v>25</v>
      </c>
      <c r="F383" s="9" t="s">
        <v>26</v>
      </c>
      <c r="G383" s="9" t="s">
        <v>67</v>
      </c>
      <c r="H383" s="9" t="s">
        <v>68</v>
      </c>
      <c r="I383" s="9" t="s">
        <v>29</v>
      </c>
      <c r="J383" s="9" t="s">
        <v>30</v>
      </c>
      <c r="K383" s="9" t="s">
        <v>31</v>
      </c>
      <c r="L383" s="9" t="s">
        <v>32</v>
      </c>
      <c r="M383" s="9" t="s">
        <v>817</v>
      </c>
      <c r="N383" s="9" t="s">
        <v>816</v>
      </c>
      <c r="O383" s="9" t="s">
        <v>128</v>
      </c>
      <c r="P383" s="9" t="s">
        <v>818</v>
      </c>
      <c r="Q383" s="9">
        <v>100867478</v>
      </c>
      <c r="R383" s="9" t="s">
        <v>45</v>
      </c>
      <c r="S383" s="9" t="s">
        <v>39</v>
      </c>
      <c r="T383" s="11">
        <v>2</v>
      </c>
      <c r="U383" s="15" t="s">
        <v>128</v>
      </c>
      <c r="V383" s="16" t="s">
        <v>818</v>
      </c>
      <c r="W383" s="17">
        <v>100867478</v>
      </c>
      <c r="X383" s="16" t="s">
        <v>2670</v>
      </c>
      <c r="Y383" s="17" t="s">
        <v>2827</v>
      </c>
      <c r="Z383" s="17" t="s">
        <v>39</v>
      </c>
      <c r="AA383" s="17" t="s">
        <v>37</v>
      </c>
      <c r="AB383" s="29">
        <v>5.98</v>
      </c>
      <c r="AC383" s="25">
        <v>6.48</v>
      </c>
      <c r="AD383" s="25">
        <f>AC383*T383</f>
        <v>12.96</v>
      </c>
      <c r="AE383" s="25">
        <f>AB383*T383</f>
        <v>11.96</v>
      </c>
      <c r="AF383" s="25">
        <f>AD383-AE383</f>
        <v>1</v>
      </c>
      <c r="AG383" s="26">
        <f>AF383/AD383</f>
        <v>7.716049382716049E-2</v>
      </c>
      <c r="AH383" s="27" t="str">
        <f>IF(AG383&lt;0,"Negative",IF(AG383=0,"Same",IF(AG383&gt;0.3,"30+%",IF(AG383&gt;0.2,"20-30%",IF(AG383&gt;0.1,"10-20%",IF(AG383&lt;=0.1,"0-10%"))))))</f>
        <v>0-10%</v>
      </c>
      <c r="AI383" s="32"/>
      <c r="AJ383" s="36" t="s">
        <v>3300</v>
      </c>
      <c r="AK383" s="32"/>
    </row>
    <row r="384" spans="1:37" s="1" customFormat="1" ht="19.7" customHeight="1" x14ac:dyDescent="0.25">
      <c r="A384" s="9" t="s">
        <v>22</v>
      </c>
      <c r="B384" s="9" t="s">
        <v>782</v>
      </c>
      <c r="C384" s="10">
        <v>44301</v>
      </c>
      <c r="D384" s="9" t="s">
        <v>24</v>
      </c>
      <c r="E384" s="9" t="s">
        <v>25</v>
      </c>
      <c r="F384" s="9" t="s">
        <v>26</v>
      </c>
      <c r="G384" s="9" t="s">
        <v>27</v>
      </c>
      <c r="H384" s="9" t="s">
        <v>28</v>
      </c>
      <c r="I384" s="9" t="s">
        <v>29</v>
      </c>
      <c r="J384" s="9" t="s">
        <v>30</v>
      </c>
      <c r="K384" s="9" t="s">
        <v>31</v>
      </c>
      <c r="L384" s="9" t="s">
        <v>32</v>
      </c>
      <c r="M384" s="9" t="s">
        <v>785</v>
      </c>
      <c r="N384" s="9" t="s">
        <v>776</v>
      </c>
      <c r="O384" s="9" t="s">
        <v>103</v>
      </c>
      <c r="P384" s="9" t="s">
        <v>786</v>
      </c>
      <c r="Q384" s="9">
        <v>114438658</v>
      </c>
      <c r="R384" s="9" t="s">
        <v>56</v>
      </c>
      <c r="S384" s="9" t="s">
        <v>39</v>
      </c>
      <c r="T384" s="11">
        <v>4</v>
      </c>
      <c r="U384" s="15" t="s">
        <v>103</v>
      </c>
      <c r="V384" s="16" t="s">
        <v>786</v>
      </c>
      <c r="W384" s="17">
        <v>114438658</v>
      </c>
      <c r="X384" s="16" t="s">
        <v>2815</v>
      </c>
      <c r="Y384" s="17" t="s">
        <v>2817</v>
      </c>
      <c r="Z384" s="17" t="s">
        <v>39</v>
      </c>
      <c r="AA384" s="17" t="s">
        <v>2501</v>
      </c>
      <c r="AB384" s="29">
        <v>157.33000000000001</v>
      </c>
      <c r="AC384" s="25">
        <v>160.68</v>
      </c>
      <c r="AD384" s="25">
        <f>AC384*T384</f>
        <v>642.72</v>
      </c>
      <c r="AE384" s="25">
        <f>AB384*T384</f>
        <v>629.32000000000005</v>
      </c>
      <c r="AF384" s="25">
        <f>AD384-AE384</f>
        <v>13.399999999999977</v>
      </c>
      <c r="AG384" s="26">
        <f>AF384/AD384</f>
        <v>2.0848892208115474E-2</v>
      </c>
      <c r="AH384" s="27" t="str">
        <f>IF(AG384&lt;0,"Negative",IF(AG384=0,"Same",IF(AG384&gt;0.3,"30+%",IF(AG384&gt;0.2,"20-30%",IF(AG384&gt;0.1,"10-20%",IF(AG384&lt;=0.1,"0-10%"))))))</f>
        <v>0-10%</v>
      </c>
      <c r="AI384" s="32"/>
      <c r="AJ384" s="36" t="s">
        <v>3300</v>
      </c>
      <c r="AK384" s="32"/>
    </row>
    <row r="385" spans="1:37" s="1" customFormat="1" ht="19.7" customHeight="1" x14ac:dyDescent="0.25">
      <c r="A385" s="5" t="s">
        <v>22</v>
      </c>
      <c r="B385" s="5" t="s">
        <v>2268</v>
      </c>
      <c r="C385" s="6">
        <v>44559</v>
      </c>
      <c r="D385" s="5" t="s">
        <v>24</v>
      </c>
      <c r="E385" s="5" t="s">
        <v>25</v>
      </c>
      <c r="F385" s="5" t="s">
        <v>26</v>
      </c>
      <c r="G385" s="5" t="s">
        <v>67</v>
      </c>
      <c r="H385" s="5" t="s">
        <v>68</v>
      </c>
      <c r="I385" s="5" t="s">
        <v>29</v>
      </c>
      <c r="J385" s="5" t="s">
        <v>30</v>
      </c>
      <c r="K385" s="5" t="s">
        <v>31</v>
      </c>
      <c r="L385" s="5" t="s">
        <v>32</v>
      </c>
      <c r="M385" s="5" t="s">
        <v>120</v>
      </c>
      <c r="N385" s="5" t="s">
        <v>2269</v>
      </c>
      <c r="O385" s="5" t="s">
        <v>122</v>
      </c>
      <c r="P385" s="5" t="s">
        <v>123</v>
      </c>
      <c r="Q385" s="5">
        <v>101530176</v>
      </c>
      <c r="R385" s="5" t="s">
        <v>84</v>
      </c>
      <c r="S385" s="5" t="s">
        <v>39</v>
      </c>
      <c r="T385" s="7">
        <v>10</v>
      </c>
      <c r="U385" s="15" t="s">
        <v>122</v>
      </c>
      <c r="V385" s="16" t="s">
        <v>123</v>
      </c>
      <c r="W385" s="17">
        <v>101530176</v>
      </c>
      <c r="X385" s="16" t="s">
        <v>2532</v>
      </c>
      <c r="Y385" s="17" t="s">
        <v>2533</v>
      </c>
      <c r="Z385" s="17" t="s">
        <v>39</v>
      </c>
      <c r="AA385" s="17" t="s">
        <v>37</v>
      </c>
      <c r="AB385" s="29">
        <v>11.4</v>
      </c>
      <c r="AC385" s="25">
        <v>11.21</v>
      </c>
      <c r="AD385" s="25">
        <f>AC385*T385</f>
        <v>112.10000000000001</v>
      </c>
      <c r="AE385" s="25">
        <f>AB385*T385</f>
        <v>114</v>
      </c>
      <c r="AF385" s="25">
        <f>AD385-AE385</f>
        <v>-1.8999999999999915</v>
      </c>
      <c r="AG385" s="26">
        <f>AF385/AD385</f>
        <v>-1.6949152542372805E-2</v>
      </c>
      <c r="AH385" s="27" t="str">
        <f>IF(AG385&lt;0,"Negative",IF(AG385=0,"Same",IF(AG385&gt;0.3,"30+%",IF(AG385&gt;0.2,"20-30%",IF(AG385&gt;0.1,"10-20%",IF(AG385&lt;=0.1,"0-10%"))))))</f>
        <v>Negative</v>
      </c>
      <c r="AI385" s="32"/>
      <c r="AJ385" s="36" t="s">
        <v>3300</v>
      </c>
      <c r="AK385" s="32"/>
    </row>
    <row r="386" spans="1:37" s="1" customFormat="1" ht="19.7" customHeight="1" x14ac:dyDescent="0.25">
      <c r="A386" s="9" t="s">
        <v>22</v>
      </c>
      <c r="B386" s="9" t="s">
        <v>2134</v>
      </c>
      <c r="C386" s="10">
        <v>44522</v>
      </c>
      <c r="D386" s="9" t="s">
        <v>24</v>
      </c>
      <c r="E386" s="9" t="s">
        <v>25</v>
      </c>
      <c r="F386" s="9" t="s">
        <v>26</v>
      </c>
      <c r="G386" s="9" t="s">
        <v>67</v>
      </c>
      <c r="H386" s="9" t="s">
        <v>68</v>
      </c>
      <c r="I386" s="9" t="s">
        <v>29</v>
      </c>
      <c r="J386" s="9" t="s">
        <v>30</v>
      </c>
      <c r="K386" s="9" t="s">
        <v>31</v>
      </c>
      <c r="L386" s="9" t="s">
        <v>32</v>
      </c>
      <c r="M386" s="9" t="s">
        <v>548</v>
      </c>
      <c r="N386" s="9" t="s">
        <v>2135</v>
      </c>
      <c r="O386" s="9" t="s">
        <v>122</v>
      </c>
      <c r="P386" s="9" t="s">
        <v>550</v>
      </c>
      <c r="Q386" s="9">
        <v>101534899</v>
      </c>
      <c r="R386" s="9" t="s">
        <v>84</v>
      </c>
      <c r="S386" s="9" t="s">
        <v>39</v>
      </c>
      <c r="T386" s="11">
        <v>10</v>
      </c>
      <c r="U386" s="15" t="s">
        <v>122</v>
      </c>
      <c r="V386" s="16" t="s">
        <v>550</v>
      </c>
      <c r="W386" s="17">
        <v>101534899</v>
      </c>
      <c r="X386" s="16" t="s">
        <v>2532</v>
      </c>
      <c r="Y386" s="17" t="s">
        <v>2726</v>
      </c>
      <c r="Z386" s="17" t="s">
        <v>39</v>
      </c>
      <c r="AA386" s="17" t="s">
        <v>37</v>
      </c>
      <c r="AB386" s="29">
        <v>11.4</v>
      </c>
      <c r="AC386" s="25">
        <v>11.21</v>
      </c>
      <c r="AD386" s="25">
        <f>AC386*T386</f>
        <v>112.10000000000001</v>
      </c>
      <c r="AE386" s="25">
        <f>AB386*T386</f>
        <v>114</v>
      </c>
      <c r="AF386" s="25">
        <f>AD386-AE386</f>
        <v>-1.8999999999999915</v>
      </c>
      <c r="AG386" s="26">
        <f>AF386/AD386</f>
        <v>-1.6949152542372805E-2</v>
      </c>
      <c r="AH386" s="27" t="str">
        <f>IF(AG386&lt;0,"Negative",IF(AG386=0,"Same",IF(AG386&gt;0.3,"30+%",IF(AG386&gt;0.2,"20-30%",IF(AG386&gt;0.1,"10-20%",IF(AG386&lt;=0.1,"0-10%"))))))</f>
        <v>Negative</v>
      </c>
      <c r="AI386" s="32"/>
      <c r="AJ386" s="36" t="s">
        <v>3300</v>
      </c>
      <c r="AK386" s="32"/>
    </row>
    <row r="387" spans="1:37" s="1" customFormat="1" ht="19.7" customHeight="1" x14ac:dyDescent="0.25">
      <c r="A387" s="5" t="s">
        <v>22</v>
      </c>
      <c r="B387" s="5" t="s">
        <v>2207</v>
      </c>
      <c r="C387" s="6">
        <v>44540</v>
      </c>
      <c r="D387" s="5" t="s">
        <v>24</v>
      </c>
      <c r="E387" s="5" t="s">
        <v>25</v>
      </c>
      <c r="F387" s="5" t="s">
        <v>26</v>
      </c>
      <c r="G387" s="5" t="s">
        <v>67</v>
      </c>
      <c r="H387" s="5" t="s">
        <v>68</v>
      </c>
      <c r="I387" s="5" t="s">
        <v>29</v>
      </c>
      <c r="J387" s="5" t="s">
        <v>30</v>
      </c>
      <c r="K387" s="5" t="s">
        <v>31</v>
      </c>
      <c r="L387" s="5" t="s">
        <v>32</v>
      </c>
      <c r="M387" s="5" t="s">
        <v>548</v>
      </c>
      <c r="N387" s="5" t="s">
        <v>2208</v>
      </c>
      <c r="O387" s="5" t="s">
        <v>122</v>
      </c>
      <c r="P387" s="5" t="s">
        <v>550</v>
      </c>
      <c r="Q387" s="5">
        <v>101534899</v>
      </c>
      <c r="R387" s="5" t="s">
        <v>84</v>
      </c>
      <c r="S387" s="5" t="s">
        <v>39</v>
      </c>
      <c r="T387" s="7">
        <v>10</v>
      </c>
      <c r="U387" s="15" t="s">
        <v>122</v>
      </c>
      <c r="V387" s="16" t="s">
        <v>550</v>
      </c>
      <c r="W387" s="17">
        <v>101534899</v>
      </c>
      <c r="X387" s="16" t="s">
        <v>2532</v>
      </c>
      <c r="Y387" s="17" t="s">
        <v>2726</v>
      </c>
      <c r="Z387" s="17" t="s">
        <v>39</v>
      </c>
      <c r="AA387" s="17" t="s">
        <v>37</v>
      </c>
      <c r="AB387" s="29">
        <v>11.4</v>
      </c>
      <c r="AC387" s="25">
        <v>11.21</v>
      </c>
      <c r="AD387" s="25">
        <f>AC387*T387</f>
        <v>112.10000000000001</v>
      </c>
      <c r="AE387" s="25">
        <f>AB387*T387</f>
        <v>114</v>
      </c>
      <c r="AF387" s="25">
        <f>AD387-AE387</f>
        <v>-1.8999999999999915</v>
      </c>
      <c r="AG387" s="26">
        <f>AF387/AD387</f>
        <v>-1.6949152542372805E-2</v>
      </c>
      <c r="AH387" s="27" t="str">
        <f>IF(AG387&lt;0,"Negative",IF(AG387=0,"Same",IF(AG387&gt;0.3,"30+%",IF(AG387&gt;0.2,"20-30%",IF(AG387&gt;0.1,"10-20%",IF(AG387&lt;=0.1,"0-10%"))))))</f>
        <v>Negative</v>
      </c>
      <c r="AI387" s="32"/>
      <c r="AJ387" s="36" t="s">
        <v>3300</v>
      </c>
      <c r="AK387" s="32"/>
    </row>
    <row r="388" spans="1:37" s="1" customFormat="1" ht="19.7" customHeight="1" x14ac:dyDescent="0.25">
      <c r="A388" s="5" t="s">
        <v>22</v>
      </c>
      <c r="B388" s="5" t="s">
        <v>2283</v>
      </c>
      <c r="C388" s="6">
        <v>44559</v>
      </c>
      <c r="D388" s="5" t="s">
        <v>24</v>
      </c>
      <c r="E388" s="5" t="s">
        <v>25</v>
      </c>
      <c r="F388" s="5" t="s">
        <v>26</v>
      </c>
      <c r="G388" s="5" t="s">
        <v>67</v>
      </c>
      <c r="H388" s="5" t="s">
        <v>68</v>
      </c>
      <c r="I388" s="5" t="s">
        <v>29</v>
      </c>
      <c r="J388" s="5" t="s">
        <v>30</v>
      </c>
      <c r="K388" s="5" t="s">
        <v>31</v>
      </c>
      <c r="L388" s="5" t="s">
        <v>32</v>
      </c>
      <c r="M388" s="5" t="s">
        <v>193</v>
      </c>
      <c r="N388" s="5" t="s">
        <v>2284</v>
      </c>
      <c r="O388" s="5" t="s">
        <v>122</v>
      </c>
      <c r="P388" s="5" t="s">
        <v>195</v>
      </c>
      <c r="Q388" s="5">
        <v>101537019</v>
      </c>
      <c r="R388" s="5" t="s">
        <v>84</v>
      </c>
      <c r="S388" s="5" t="s">
        <v>39</v>
      </c>
      <c r="T388" s="7">
        <v>10</v>
      </c>
      <c r="U388" s="15" t="s">
        <v>122</v>
      </c>
      <c r="V388" s="16" t="s">
        <v>195</v>
      </c>
      <c r="W388" s="17">
        <v>101537019</v>
      </c>
      <c r="X388" s="16" t="s">
        <v>2532</v>
      </c>
      <c r="Y388" s="17" t="s">
        <v>2570</v>
      </c>
      <c r="Z388" s="17" t="s">
        <v>39</v>
      </c>
      <c r="AA388" s="17" t="s">
        <v>37</v>
      </c>
      <c r="AB388" s="29">
        <v>11.4</v>
      </c>
      <c r="AC388" s="25">
        <v>11.21</v>
      </c>
      <c r="AD388" s="25">
        <f>AC388*T388</f>
        <v>112.10000000000001</v>
      </c>
      <c r="AE388" s="25">
        <f>AB388*T388</f>
        <v>114</v>
      </c>
      <c r="AF388" s="25">
        <f>AD388-AE388</f>
        <v>-1.8999999999999915</v>
      </c>
      <c r="AG388" s="26">
        <f>AF388/AD388</f>
        <v>-1.6949152542372805E-2</v>
      </c>
      <c r="AH388" s="27" t="str">
        <f>IF(AG388&lt;0,"Negative",IF(AG388=0,"Same",IF(AG388&gt;0.3,"30+%",IF(AG388&gt;0.2,"20-30%",IF(AG388&gt;0.1,"10-20%",IF(AG388&lt;=0.1,"0-10%"))))))</f>
        <v>Negative</v>
      </c>
      <c r="AI388" s="32"/>
      <c r="AJ388" s="36" t="s">
        <v>3300</v>
      </c>
      <c r="AK388" s="32"/>
    </row>
    <row r="389" spans="1:37" s="1" customFormat="1" ht="19.7" customHeight="1" x14ac:dyDescent="0.25">
      <c r="A389" s="5" t="s">
        <v>22</v>
      </c>
      <c r="B389" s="5" t="s">
        <v>2422</v>
      </c>
      <c r="C389" s="6">
        <v>44582</v>
      </c>
      <c r="D389" s="5" t="s">
        <v>24</v>
      </c>
      <c r="E389" s="5" t="s">
        <v>25</v>
      </c>
      <c r="F389" s="5" t="s">
        <v>26</v>
      </c>
      <c r="G389" s="5" t="s">
        <v>67</v>
      </c>
      <c r="H389" s="5" t="s">
        <v>68</v>
      </c>
      <c r="I389" s="5" t="s">
        <v>29</v>
      </c>
      <c r="J389" s="5" t="s">
        <v>30</v>
      </c>
      <c r="K389" s="5" t="s">
        <v>31</v>
      </c>
      <c r="L389" s="5" t="s">
        <v>32</v>
      </c>
      <c r="M389" s="5" t="s">
        <v>193</v>
      </c>
      <c r="N389" s="5" t="s">
        <v>2423</v>
      </c>
      <c r="O389" s="5" t="s">
        <v>122</v>
      </c>
      <c r="P389" s="5" t="s">
        <v>195</v>
      </c>
      <c r="Q389" s="5">
        <v>101537019</v>
      </c>
      <c r="R389" s="5" t="s">
        <v>84</v>
      </c>
      <c r="S389" s="5" t="s">
        <v>39</v>
      </c>
      <c r="T389" s="7">
        <v>10</v>
      </c>
      <c r="U389" s="15" t="s">
        <v>122</v>
      </c>
      <c r="V389" s="16" t="s">
        <v>195</v>
      </c>
      <c r="W389" s="17">
        <v>101537019</v>
      </c>
      <c r="X389" s="16" t="s">
        <v>2532</v>
      </c>
      <c r="Y389" s="17" t="s">
        <v>2570</v>
      </c>
      <c r="Z389" s="17" t="s">
        <v>39</v>
      </c>
      <c r="AA389" s="17" t="s">
        <v>37</v>
      </c>
      <c r="AB389" s="29">
        <v>11.4</v>
      </c>
      <c r="AC389" s="25">
        <v>11.21</v>
      </c>
      <c r="AD389" s="25">
        <f>AC389*T389</f>
        <v>112.10000000000001</v>
      </c>
      <c r="AE389" s="25">
        <f>AB389*T389</f>
        <v>114</v>
      </c>
      <c r="AF389" s="25">
        <f>AD389-AE389</f>
        <v>-1.8999999999999915</v>
      </c>
      <c r="AG389" s="26">
        <f>AF389/AD389</f>
        <v>-1.6949152542372805E-2</v>
      </c>
      <c r="AH389" s="27" t="str">
        <f>IF(AG389&lt;0,"Negative",IF(AG389=0,"Same",IF(AG389&gt;0.3,"30+%",IF(AG389&gt;0.2,"20-30%",IF(AG389&gt;0.1,"10-20%",IF(AG389&lt;=0.1,"0-10%"))))))</f>
        <v>Negative</v>
      </c>
      <c r="AI389" s="32"/>
      <c r="AJ389" s="36" t="s">
        <v>3300</v>
      </c>
      <c r="AK389" s="32"/>
    </row>
    <row r="390" spans="1:37" s="1" customFormat="1" ht="19.7" customHeight="1" x14ac:dyDescent="0.25">
      <c r="A390" s="9" t="s">
        <v>22</v>
      </c>
      <c r="B390" s="9" t="s">
        <v>119</v>
      </c>
      <c r="C390" s="10">
        <v>44232</v>
      </c>
      <c r="D390" s="9" t="s">
        <v>24</v>
      </c>
      <c r="E390" s="9" t="s">
        <v>25</v>
      </c>
      <c r="F390" s="9" t="s">
        <v>26</v>
      </c>
      <c r="G390" s="9" t="s">
        <v>67</v>
      </c>
      <c r="H390" s="9" t="s">
        <v>68</v>
      </c>
      <c r="I390" s="9" t="s">
        <v>29</v>
      </c>
      <c r="J390" s="9" t="s">
        <v>30</v>
      </c>
      <c r="K390" s="9" t="s">
        <v>31</v>
      </c>
      <c r="L390" s="9" t="s">
        <v>32</v>
      </c>
      <c r="M390" s="9" t="s">
        <v>120</v>
      </c>
      <c r="N390" s="9" t="s">
        <v>121</v>
      </c>
      <c r="O390" s="9" t="s">
        <v>122</v>
      </c>
      <c r="P390" s="9" t="s">
        <v>123</v>
      </c>
      <c r="Q390" s="9">
        <v>101530176</v>
      </c>
      <c r="R390" s="9" t="s">
        <v>84</v>
      </c>
      <c r="S390" s="9" t="s">
        <v>39</v>
      </c>
      <c r="T390" s="11">
        <v>10</v>
      </c>
      <c r="U390" s="15" t="s">
        <v>122</v>
      </c>
      <c r="V390" s="16" t="s">
        <v>123</v>
      </c>
      <c r="W390" s="17">
        <v>101530176</v>
      </c>
      <c r="X390" s="16" t="s">
        <v>2532</v>
      </c>
      <c r="Y390" s="17" t="s">
        <v>2533</v>
      </c>
      <c r="Z390" s="17" t="s">
        <v>39</v>
      </c>
      <c r="AA390" s="17" t="s">
        <v>37</v>
      </c>
      <c r="AB390" s="29">
        <v>11.4</v>
      </c>
      <c r="AC390" s="25">
        <v>11.21</v>
      </c>
      <c r="AD390" s="25">
        <f>AC390*T390</f>
        <v>112.10000000000001</v>
      </c>
      <c r="AE390" s="25">
        <f>AB390*T390</f>
        <v>114</v>
      </c>
      <c r="AF390" s="25">
        <f>AD390-AE390</f>
        <v>-1.8999999999999915</v>
      </c>
      <c r="AG390" s="26">
        <f>AF390/AD390</f>
        <v>-1.6949152542372805E-2</v>
      </c>
      <c r="AH390" s="27" t="str">
        <f>IF(AG390&lt;0,"Negative",IF(AG390=0,"Same",IF(AG390&gt;0.3,"30+%",IF(AG390&gt;0.2,"20-30%",IF(AG390&gt;0.1,"10-20%",IF(AG390&lt;=0.1,"0-10%"))))))</f>
        <v>Negative</v>
      </c>
      <c r="AI390" s="32"/>
      <c r="AJ390" s="36" t="s">
        <v>3300</v>
      </c>
      <c r="AK390" s="32"/>
    </row>
    <row r="391" spans="1:37" s="1" customFormat="1" ht="19.7" customHeight="1" x14ac:dyDescent="0.25">
      <c r="A391" s="5" t="s">
        <v>22</v>
      </c>
      <c r="B391" s="5" t="s">
        <v>559</v>
      </c>
      <c r="C391" s="6">
        <v>44274</v>
      </c>
      <c r="D391" s="5" t="s">
        <v>24</v>
      </c>
      <c r="E391" s="5" t="s">
        <v>25</v>
      </c>
      <c r="F391" s="5" t="s">
        <v>26</v>
      </c>
      <c r="G391" s="5" t="s">
        <v>67</v>
      </c>
      <c r="H391" s="5" t="s">
        <v>68</v>
      </c>
      <c r="I391" s="5" t="s">
        <v>29</v>
      </c>
      <c r="J391" s="5" t="s">
        <v>30</v>
      </c>
      <c r="K391" s="5" t="s">
        <v>31</v>
      </c>
      <c r="L391" s="5" t="s">
        <v>32</v>
      </c>
      <c r="M391" s="5" t="s">
        <v>120</v>
      </c>
      <c r="N391" s="5" t="s">
        <v>496</v>
      </c>
      <c r="O391" s="5" t="s">
        <v>122</v>
      </c>
      <c r="P391" s="5" t="s">
        <v>123</v>
      </c>
      <c r="Q391" s="5">
        <v>101530176</v>
      </c>
      <c r="R391" s="5" t="s">
        <v>84</v>
      </c>
      <c r="S391" s="5" t="s">
        <v>39</v>
      </c>
      <c r="T391" s="7">
        <v>10</v>
      </c>
      <c r="U391" s="15" t="s">
        <v>122</v>
      </c>
      <c r="V391" s="16" t="s">
        <v>123</v>
      </c>
      <c r="W391" s="17">
        <v>101530176</v>
      </c>
      <c r="X391" s="16" t="s">
        <v>2532</v>
      </c>
      <c r="Y391" s="17" t="s">
        <v>2533</v>
      </c>
      <c r="Z391" s="17" t="s">
        <v>39</v>
      </c>
      <c r="AA391" s="17" t="s">
        <v>37</v>
      </c>
      <c r="AB391" s="29">
        <v>11.4</v>
      </c>
      <c r="AC391" s="25">
        <v>11.21</v>
      </c>
      <c r="AD391" s="25">
        <f>AC391*T391</f>
        <v>112.10000000000001</v>
      </c>
      <c r="AE391" s="25">
        <f>AB391*T391</f>
        <v>114</v>
      </c>
      <c r="AF391" s="25">
        <f>AD391-AE391</f>
        <v>-1.8999999999999915</v>
      </c>
      <c r="AG391" s="26">
        <f>AF391/AD391</f>
        <v>-1.6949152542372805E-2</v>
      </c>
      <c r="AH391" s="27" t="str">
        <f>IF(AG391&lt;0,"Negative",IF(AG391=0,"Same",IF(AG391&gt;0.3,"30+%",IF(AG391&gt;0.2,"20-30%",IF(AG391&gt;0.1,"10-20%",IF(AG391&lt;=0.1,"0-10%"))))))</f>
        <v>Negative</v>
      </c>
      <c r="AI391" s="32"/>
      <c r="AJ391" s="36" t="s">
        <v>3300</v>
      </c>
      <c r="AK391" s="32"/>
    </row>
    <row r="392" spans="1:37" s="1" customFormat="1" ht="19.7" customHeight="1" x14ac:dyDescent="0.25">
      <c r="A392" s="5" t="s">
        <v>22</v>
      </c>
      <c r="B392" s="5" t="s">
        <v>919</v>
      </c>
      <c r="C392" s="6">
        <v>44316</v>
      </c>
      <c r="D392" s="5" t="s">
        <v>24</v>
      </c>
      <c r="E392" s="5" t="s">
        <v>25</v>
      </c>
      <c r="F392" s="5" t="s">
        <v>26</v>
      </c>
      <c r="G392" s="5" t="s">
        <v>67</v>
      </c>
      <c r="H392" s="5" t="s">
        <v>68</v>
      </c>
      <c r="I392" s="5" t="s">
        <v>29</v>
      </c>
      <c r="J392" s="5" t="s">
        <v>30</v>
      </c>
      <c r="K392" s="5" t="s">
        <v>31</v>
      </c>
      <c r="L392" s="5" t="s">
        <v>32</v>
      </c>
      <c r="M392" s="5" t="s">
        <v>120</v>
      </c>
      <c r="N392" s="5" t="s">
        <v>829</v>
      </c>
      <c r="O392" s="5" t="s">
        <v>122</v>
      </c>
      <c r="P392" s="5" t="s">
        <v>123</v>
      </c>
      <c r="Q392" s="5">
        <v>101530176</v>
      </c>
      <c r="R392" s="5" t="s">
        <v>84</v>
      </c>
      <c r="S392" s="5" t="s">
        <v>39</v>
      </c>
      <c r="T392" s="7">
        <v>10</v>
      </c>
      <c r="U392" s="15" t="s">
        <v>122</v>
      </c>
      <c r="V392" s="16" t="s">
        <v>123</v>
      </c>
      <c r="W392" s="17">
        <v>101530176</v>
      </c>
      <c r="X392" s="16" t="s">
        <v>2532</v>
      </c>
      <c r="Y392" s="17" t="s">
        <v>2533</v>
      </c>
      <c r="Z392" s="17" t="s">
        <v>39</v>
      </c>
      <c r="AA392" s="17" t="s">
        <v>37</v>
      </c>
      <c r="AB392" s="29">
        <v>11.4</v>
      </c>
      <c r="AC392" s="25">
        <v>11.21</v>
      </c>
      <c r="AD392" s="25">
        <f>AC392*T392</f>
        <v>112.10000000000001</v>
      </c>
      <c r="AE392" s="25">
        <f>AB392*T392</f>
        <v>114</v>
      </c>
      <c r="AF392" s="25">
        <f>AD392-AE392</f>
        <v>-1.8999999999999915</v>
      </c>
      <c r="AG392" s="26">
        <f>AF392/AD392</f>
        <v>-1.6949152542372805E-2</v>
      </c>
      <c r="AH392" s="27" t="str">
        <f>IF(AG392&lt;0,"Negative",IF(AG392=0,"Same",IF(AG392&gt;0.3,"30+%",IF(AG392&gt;0.2,"20-30%",IF(AG392&gt;0.1,"10-20%",IF(AG392&lt;=0.1,"0-10%"))))))</f>
        <v>Negative</v>
      </c>
      <c r="AI392" s="32"/>
      <c r="AJ392" s="36" t="s">
        <v>3300</v>
      </c>
      <c r="AK392" s="32"/>
    </row>
    <row r="393" spans="1:37" s="1" customFormat="1" ht="19.7" customHeight="1" x14ac:dyDescent="0.25">
      <c r="A393" s="5" t="s">
        <v>22</v>
      </c>
      <c r="B393" s="5" t="s">
        <v>1258</v>
      </c>
      <c r="C393" s="6">
        <v>44365</v>
      </c>
      <c r="D393" s="5" t="s">
        <v>24</v>
      </c>
      <c r="E393" s="5" t="s">
        <v>25</v>
      </c>
      <c r="F393" s="5" t="s">
        <v>26</v>
      </c>
      <c r="G393" s="5" t="s">
        <v>67</v>
      </c>
      <c r="H393" s="5" t="s">
        <v>68</v>
      </c>
      <c r="I393" s="5" t="s">
        <v>29</v>
      </c>
      <c r="J393" s="5" t="s">
        <v>30</v>
      </c>
      <c r="K393" s="5" t="s">
        <v>31</v>
      </c>
      <c r="L393" s="5" t="s">
        <v>32</v>
      </c>
      <c r="M393" s="5" t="s">
        <v>120</v>
      </c>
      <c r="N393" s="5" t="s">
        <v>1259</v>
      </c>
      <c r="O393" s="5" t="s">
        <v>122</v>
      </c>
      <c r="P393" s="5" t="s">
        <v>123</v>
      </c>
      <c r="Q393" s="5">
        <v>101530176</v>
      </c>
      <c r="R393" s="5" t="s">
        <v>84</v>
      </c>
      <c r="S393" s="5" t="s">
        <v>39</v>
      </c>
      <c r="T393" s="7">
        <v>10</v>
      </c>
      <c r="U393" s="15" t="s">
        <v>122</v>
      </c>
      <c r="V393" s="16" t="s">
        <v>123</v>
      </c>
      <c r="W393" s="17">
        <v>101530176</v>
      </c>
      <c r="X393" s="16" t="s">
        <v>2532</v>
      </c>
      <c r="Y393" s="17" t="s">
        <v>2533</v>
      </c>
      <c r="Z393" s="17" t="s">
        <v>39</v>
      </c>
      <c r="AA393" s="17" t="s">
        <v>37</v>
      </c>
      <c r="AB393" s="29">
        <v>11.4</v>
      </c>
      <c r="AC393" s="25">
        <v>11.21</v>
      </c>
      <c r="AD393" s="25">
        <f>AC393*T393</f>
        <v>112.10000000000001</v>
      </c>
      <c r="AE393" s="25">
        <f>AB393*T393</f>
        <v>114</v>
      </c>
      <c r="AF393" s="25">
        <f>AD393-AE393</f>
        <v>-1.8999999999999915</v>
      </c>
      <c r="AG393" s="26">
        <f>AF393/AD393</f>
        <v>-1.6949152542372805E-2</v>
      </c>
      <c r="AH393" s="27" t="str">
        <f>IF(AG393&lt;0,"Negative",IF(AG393=0,"Same",IF(AG393&gt;0.3,"30+%",IF(AG393&gt;0.2,"20-30%",IF(AG393&gt;0.1,"10-20%",IF(AG393&lt;=0.1,"0-10%"))))))</f>
        <v>Negative</v>
      </c>
      <c r="AI393" s="32"/>
      <c r="AJ393" s="36" t="s">
        <v>3300</v>
      </c>
      <c r="AK393" s="32"/>
    </row>
    <row r="394" spans="1:37" s="1" customFormat="1" ht="19.7" customHeight="1" x14ac:dyDescent="0.25">
      <c r="A394" s="9" t="s">
        <v>22</v>
      </c>
      <c r="B394" s="9" t="s">
        <v>1473</v>
      </c>
      <c r="C394" s="10">
        <v>44403</v>
      </c>
      <c r="D394" s="9" t="s">
        <v>24</v>
      </c>
      <c r="E394" s="9" t="s">
        <v>25</v>
      </c>
      <c r="F394" s="9" t="s">
        <v>26</v>
      </c>
      <c r="G394" s="9" t="s">
        <v>67</v>
      </c>
      <c r="H394" s="9" t="s">
        <v>68</v>
      </c>
      <c r="I394" s="9" t="s">
        <v>29</v>
      </c>
      <c r="J394" s="9" t="s">
        <v>30</v>
      </c>
      <c r="K394" s="9" t="s">
        <v>31</v>
      </c>
      <c r="L394" s="9" t="s">
        <v>32</v>
      </c>
      <c r="M394" s="9" t="s">
        <v>120</v>
      </c>
      <c r="N394" s="9" t="s">
        <v>1474</v>
      </c>
      <c r="O394" s="9" t="s">
        <v>122</v>
      </c>
      <c r="P394" s="9" t="s">
        <v>123</v>
      </c>
      <c r="Q394" s="9">
        <v>101530176</v>
      </c>
      <c r="R394" s="9" t="s">
        <v>84</v>
      </c>
      <c r="S394" s="9" t="s">
        <v>39</v>
      </c>
      <c r="T394" s="11">
        <v>10</v>
      </c>
      <c r="U394" s="15" t="s">
        <v>122</v>
      </c>
      <c r="V394" s="16" t="s">
        <v>123</v>
      </c>
      <c r="W394" s="17">
        <v>101530176</v>
      </c>
      <c r="X394" s="16" t="s">
        <v>2532</v>
      </c>
      <c r="Y394" s="17" t="s">
        <v>2533</v>
      </c>
      <c r="Z394" s="17" t="s">
        <v>39</v>
      </c>
      <c r="AA394" s="17" t="s">
        <v>37</v>
      </c>
      <c r="AB394" s="29">
        <v>11.4</v>
      </c>
      <c r="AC394" s="25">
        <v>11.21</v>
      </c>
      <c r="AD394" s="25">
        <f>AC394*T394</f>
        <v>112.10000000000001</v>
      </c>
      <c r="AE394" s="25">
        <f>AB394*T394</f>
        <v>114</v>
      </c>
      <c r="AF394" s="25">
        <f>AD394-AE394</f>
        <v>-1.8999999999999915</v>
      </c>
      <c r="AG394" s="26">
        <f>AF394/AD394</f>
        <v>-1.6949152542372805E-2</v>
      </c>
      <c r="AH394" s="27" t="str">
        <f>IF(AG394&lt;0,"Negative",IF(AG394=0,"Same",IF(AG394&gt;0.3,"30+%",IF(AG394&gt;0.2,"20-30%",IF(AG394&gt;0.1,"10-20%",IF(AG394&lt;=0.1,"0-10%"))))))</f>
        <v>Negative</v>
      </c>
      <c r="AI394" s="32"/>
      <c r="AJ394" s="36" t="s">
        <v>3300</v>
      </c>
      <c r="AK394" s="32"/>
    </row>
    <row r="395" spans="1:37" s="1" customFormat="1" ht="19.7" customHeight="1" x14ac:dyDescent="0.25">
      <c r="A395" s="9" t="s">
        <v>22</v>
      </c>
      <c r="B395" s="9" t="s">
        <v>1808</v>
      </c>
      <c r="C395" s="10">
        <v>44466</v>
      </c>
      <c r="D395" s="9" t="s">
        <v>24</v>
      </c>
      <c r="E395" s="9" t="s">
        <v>25</v>
      </c>
      <c r="F395" s="9" t="s">
        <v>26</v>
      </c>
      <c r="G395" s="9" t="s">
        <v>67</v>
      </c>
      <c r="H395" s="9" t="s">
        <v>68</v>
      </c>
      <c r="I395" s="9" t="s">
        <v>29</v>
      </c>
      <c r="J395" s="9" t="s">
        <v>30</v>
      </c>
      <c r="K395" s="9" t="s">
        <v>31</v>
      </c>
      <c r="L395" s="9" t="s">
        <v>32</v>
      </c>
      <c r="M395" s="9" t="s">
        <v>120</v>
      </c>
      <c r="N395" s="9" t="s">
        <v>1809</v>
      </c>
      <c r="O395" s="9" t="s">
        <v>122</v>
      </c>
      <c r="P395" s="9" t="s">
        <v>123</v>
      </c>
      <c r="Q395" s="9">
        <v>101530176</v>
      </c>
      <c r="R395" s="9" t="s">
        <v>84</v>
      </c>
      <c r="S395" s="9" t="s">
        <v>39</v>
      </c>
      <c r="T395" s="11">
        <v>10</v>
      </c>
      <c r="U395" s="15" t="s">
        <v>122</v>
      </c>
      <c r="V395" s="16" t="s">
        <v>123</v>
      </c>
      <c r="W395" s="17">
        <v>101530176</v>
      </c>
      <c r="X395" s="16" t="s">
        <v>2532</v>
      </c>
      <c r="Y395" s="17" t="s">
        <v>2533</v>
      </c>
      <c r="Z395" s="17" t="s">
        <v>39</v>
      </c>
      <c r="AA395" s="17" t="s">
        <v>37</v>
      </c>
      <c r="AB395" s="29">
        <v>11.4</v>
      </c>
      <c r="AC395" s="25">
        <v>11.21</v>
      </c>
      <c r="AD395" s="25">
        <f>AC395*T395</f>
        <v>112.10000000000001</v>
      </c>
      <c r="AE395" s="25">
        <f>AB395*T395</f>
        <v>114</v>
      </c>
      <c r="AF395" s="25">
        <f>AD395-AE395</f>
        <v>-1.8999999999999915</v>
      </c>
      <c r="AG395" s="26">
        <f>AF395/AD395</f>
        <v>-1.6949152542372805E-2</v>
      </c>
      <c r="AH395" s="27" t="str">
        <f>IF(AG395&lt;0,"Negative",IF(AG395=0,"Same",IF(AG395&gt;0.3,"30+%",IF(AG395&gt;0.2,"20-30%",IF(AG395&gt;0.1,"10-20%",IF(AG395&lt;=0.1,"0-10%"))))))</f>
        <v>Negative</v>
      </c>
      <c r="AI395" s="32"/>
      <c r="AJ395" s="36" t="s">
        <v>3300</v>
      </c>
      <c r="AK395" s="32"/>
    </row>
    <row r="396" spans="1:37" s="1" customFormat="1" ht="19.7" customHeight="1" x14ac:dyDescent="0.25">
      <c r="A396" s="5" t="s">
        <v>22</v>
      </c>
      <c r="B396" s="5" t="s">
        <v>547</v>
      </c>
      <c r="C396" s="6">
        <v>44274</v>
      </c>
      <c r="D396" s="5" t="s">
        <v>24</v>
      </c>
      <c r="E396" s="5" t="s">
        <v>25</v>
      </c>
      <c r="F396" s="5" t="s">
        <v>26</v>
      </c>
      <c r="G396" s="5" t="s">
        <v>67</v>
      </c>
      <c r="H396" s="5" t="s">
        <v>68</v>
      </c>
      <c r="I396" s="5" t="s">
        <v>29</v>
      </c>
      <c r="J396" s="5" t="s">
        <v>30</v>
      </c>
      <c r="K396" s="5" t="s">
        <v>31</v>
      </c>
      <c r="L396" s="5" t="s">
        <v>32</v>
      </c>
      <c r="M396" s="5" t="s">
        <v>548</v>
      </c>
      <c r="N396" s="5" t="s">
        <v>549</v>
      </c>
      <c r="O396" s="5" t="s">
        <v>122</v>
      </c>
      <c r="P396" s="5" t="s">
        <v>550</v>
      </c>
      <c r="Q396" s="5">
        <v>101534899</v>
      </c>
      <c r="R396" s="5" t="s">
        <v>84</v>
      </c>
      <c r="S396" s="5" t="s">
        <v>39</v>
      </c>
      <c r="T396" s="7">
        <v>10</v>
      </c>
      <c r="U396" s="15" t="s">
        <v>122</v>
      </c>
      <c r="V396" s="16" t="s">
        <v>550</v>
      </c>
      <c r="W396" s="17">
        <v>101534899</v>
      </c>
      <c r="X396" s="16" t="s">
        <v>2532</v>
      </c>
      <c r="Y396" s="17" t="s">
        <v>2726</v>
      </c>
      <c r="Z396" s="17" t="s">
        <v>39</v>
      </c>
      <c r="AA396" s="17" t="s">
        <v>37</v>
      </c>
      <c r="AB396" s="29">
        <v>11.4</v>
      </c>
      <c r="AC396" s="25">
        <v>11.21</v>
      </c>
      <c r="AD396" s="25">
        <f>AC396*T396</f>
        <v>112.10000000000001</v>
      </c>
      <c r="AE396" s="25">
        <f>AB396*T396</f>
        <v>114</v>
      </c>
      <c r="AF396" s="25">
        <f>AD396-AE396</f>
        <v>-1.8999999999999915</v>
      </c>
      <c r="AG396" s="26">
        <f>AF396/AD396</f>
        <v>-1.6949152542372805E-2</v>
      </c>
      <c r="AH396" s="27" t="str">
        <f>IF(AG396&lt;0,"Negative",IF(AG396=0,"Same",IF(AG396&gt;0.3,"30+%",IF(AG396&gt;0.2,"20-30%",IF(AG396&gt;0.1,"10-20%",IF(AG396&lt;=0.1,"0-10%"))))))</f>
        <v>Negative</v>
      </c>
      <c r="AI396" s="32"/>
      <c r="AJ396" s="36" t="s">
        <v>3300</v>
      </c>
      <c r="AK396" s="32"/>
    </row>
    <row r="397" spans="1:37" s="1" customFormat="1" ht="19.7" customHeight="1" x14ac:dyDescent="0.25">
      <c r="A397" s="5" t="s">
        <v>22</v>
      </c>
      <c r="B397" s="5" t="s">
        <v>748</v>
      </c>
      <c r="C397" s="6">
        <v>44295</v>
      </c>
      <c r="D397" s="5" t="s">
        <v>24</v>
      </c>
      <c r="E397" s="5" t="s">
        <v>25</v>
      </c>
      <c r="F397" s="5" t="s">
        <v>26</v>
      </c>
      <c r="G397" s="5" t="s">
        <v>67</v>
      </c>
      <c r="H397" s="5" t="s">
        <v>68</v>
      </c>
      <c r="I397" s="5" t="s">
        <v>29</v>
      </c>
      <c r="J397" s="5" t="s">
        <v>30</v>
      </c>
      <c r="K397" s="5" t="s">
        <v>31</v>
      </c>
      <c r="L397" s="5" t="s">
        <v>32</v>
      </c>
      <c r="M397" s="5" t="s">
        <v>548</v>
      </c>
      <c r="N397" s="5" t="s">
        <v>749</v>
      </c>
      <c r="O397" s="5" t="s">
        <v>122</v>
      </c>
      <c r="P397" s="5" t="s">
        <v>550</v>
      </c>
      <c r="Q397" s="5">
        <v>101534899</v>
      </c>
      <c r="R397" s="5" t="s">
        <v>84</v>
      </c>
      <c r="S397" s="5" t="s">
        <v>39</v>
      </c>
      <c r="T397" s="7">
        <v>10</v>
      </c>
      <c r="U397" s="15" t="s">
        <v>122</v>
      </c>
      <c r="V397" s="16" t="s">
        <v>550</v>
      </c>
      <c r="W397" s="17">
        <v>101534899</v>
      </c>
      <c r="X397" s="16" t="s">
        <v>2532</v>
      </c>
      <c r="Y397" s="17" t="s">
        <v>2726</v>
      </c>
      <c r="Z397" s="17" t="s">
        <v>39</v>
      </c>
      <c r="AA397" s="17" t="s">
        <v>37</v>
      </c>
      <c r="AB397" s="29">
        <v>11.4</v>
      </c>
      <c r="AC397" s="25">
        <v>11.21</v>
      </c>
      <c r="AD397" s="25">
        <f>AC397*T397</f>
        <v>112.10000000000001</v>
      </c>
      <c r="AE397" s="25">
        <f>AB397*T397</f>
        <v>114</v>
      </c>
      <c r="AF397" s="25">
        <f>AD397-AE397</f>
        <v>-1.8999999999999915</v>
      </c>
      <c r="AG397" s="26">
        <f>AF397/AD397</f>
        <v>-1.6949152542372805E-2</v>
      </c>
      <c r="AH397" s="27" t="str">
        <f>IF(AG397&lt;0,"Negative",IF(AG397=0,"Same",IF(AG397&gt;0.3,"30+%",IF(AG397&gt;0.2,"20-30%",IF(AG397&gt;0.1,"10-20%",IF(AG397&lt;=0.1,"0-10%"))))))</f>
        <v>Negative</v>
      </c>
      <c r="AI397" s="32"/>
      <c r="AJ397" s="36" t="s">
        <v>3300</v>
      </c>
      <c r="AK397" s="32"/>
    </row>
    <row r="398" spans="1:37" s="1" customFormat="1" ht="19.7" customHeight="1" x14ac:dyDescent="0.25">
      <c r="A398" s="9" t="s">
        <v>22</v>
      </c>
      <c r="B398" s="9" t="s">
        <v>1258</v>
      </c>
      <c r="C398" s="10">
        <v>44365</v>
      </c>
      <c r="D398" s="9" t="s">
        <v>24</v>
      </c>
      <c r="E398" s="9" t="s">
        <v>25</v>
      </c>
      <c r="F398" s="9" t="s">
        <v>26</v>
      </c>
      <c r="G398" s="9" t="s">
        <v>67</v>
      </c>
      <c r="H398" s="9" t="s">
        <v>68</v>
      </c>
      <c r="I398" s="9" t="s">
        <v>29</v>
      </c>
      <c r="J398" s="9" t="s">
        <v>30</v>
      </c>
      <c r="K398" s="9" t="s">
        <v>31</v>
      </c>
      <c r="L398" s="9" t="s">
        <v>32</v>
      </c>
      <c r="M398" s="9" t="s">
        <v>548</v>
      </c>
      <c r="N398" s="9" t="s">
        <v>1259</v>
      </c>
      <c r="O398" s="9" t="s">
        <v>122</v>
      </c>
      <c r="P398" s="9" t="s">
        <v>550</v>
      </c>
      <c r="Q398" s="9">
        <v>101534899</v>
      </c>
      <c r="R398" s="9" t="s">
        <v>84</v>
      </c>
      <c r="S398" s="9" t="s">
        <v>39</v>
      </c>
      <c r="T398" s="11">
        <v>10</v>
      </c>
      <c r="U398" s="15" t="s">
        <v>122</v>
      </c>
      <c r="V398" s="16" t="s">
        <v>550</v>
      </c>
      <c r="W398" s="17">
        <v>101534899</v>
      </c>
      <c r="X398" s="16" t="s">
        <v>2532</v>
      </c>
      <c r="Y398" s="17" t="s">
        <v>2726</v>
      </c>
      <c r="Z398" s="17" t="s">
        <v>39</v>
      </c>
      <c r="AA398" s="17" t="s">
        <v>37</v>
      </c>
      <c r="AB398" s="29">
        <v>11.4</v>
      </c>
      <c r="AC398" s="25">
        <v>11.21</v>
      </c>
      <c r="AD398" s="25">
        <f>AC398*T398</f>
        <v>112.10000000000001</v>
      </c>
      <c r="AE398" s="25">
        <f>AB398*T398</f>
        <v>114</v>
      </c>
      <c r="AF398" s="25">
        <f>AD398-AE398</f>
        <v>-1.8999999999999915</v>
      </c>
      <c r="AG398" s="26">
        <f>AF398/AD398</f>
        <v>-1.6949152542372805E-2</v>
      </c>
      <c r="AH398" s="27" t="str">
        <f>IF(AG398&lt;0,"Negative",IF(AG398=0,"Same",IF(AG398&gt;0.3,"30+%",IF(AG398&gt;0.2,"20-30%",IF(AG398&gt;0.1,"10-20%",IF(AG398&lt;=0.1,"0-10%"))))))</f>
        <v>Negative</v>
      </c>
      <c r="AI398" s="32"/>
      <c r="AJ398" s="36" t="s">
        <v>3300</v>
      </c>
      <c r="AK398" s="32"/>
    </row>
    <row r="399" spans="1:37" s="1" customFormat="1" ht="19.7" customHeight="1" x14ac:dyDescent="0.25">
      <c r="A399" s="9" t="s">
        <v>22</v>
      </c>
      <c r="B399" s="9" t="s">
        <v>1479</v>
      </c>
      <c r="C399" s="10">
        <v>44403</v>
      </c>
      <c r="D399" s="9" t="s">
        <v>24</v>
      </c>
      <c r="E399" s="9" t="s">
        <v>25</v>
      </c>
      <c r="F399" s="9" t="s">
        <v>26</v>
      </c>
      <c r="G399" s="9" t="s">
        <v>67</v>
      </c>
      <c r="H399" s="9" t="s">
        <v>68</v>
      </c>
      <c r="I399" s="9" t="s">
        <v>29</v>
      </c>
      <c r="J399" s="9" t="s">
        <v>30</v>
      </c>
      <c r="K399" s="9" t="s">
        <v>31</v>
      </c>
      <c r="L399" s="9" t="s">
        <v>32</v>
      </c>
      <c r="M399" s="9" t="s">
        <v>548</v>
      </c>
      <c r="N399" s="9" t="s">
        <v>1480</v>
      </c>
      <c r="O399" s="9" t="s">
        <v>122</v>
      </c>
      <c r="P399" s="9" t="s">
        <v>550</v>
      </c>
      <c r="Q399" s="9">
        <v>101534899</v>
      </c>
      <c r="R399" s="9" t="s">
        <v>84</v>
      </c>
      <c r="S399" s="9" t="s">
        <v>39</v>
      </c>
      <c r="T399" s="11">
        <v>10</v>
      </c>
      <c r="U399" s="15" t="s">
        <v>122</v>
      </c>
      <c r="V399" s="16" t="s">
        <v>550</v>
      </c>
      <c r="W399" s="17">
        <v>101534899</v>
      </c>
      <c r="X399" s="16" t="s">
        <v>2532</v>
      </c>
      <c r="Y399" s="17" t="s">
        <v>2726</v>
      </c>
      <c r="Z399" s="17" t="s">
        <v>39</v>
      </c>
      <c r="AA399" s="17" t="s">
        <v>37</v>
      </c>
      <c r="AB399" s="29">
        <v>11.4</v>
      </c>
      <c r="AC399" s="25">
        <v>11.21</v>
      </c>
      <c r="AD399" s="25">
        <f>AC399*T399</f>
        <v>112.10000000000001</v>
      </c>
      <c r="AE399" s="25">
        <f>AB399*T399</f>
        <v>114</v>
      </c>
      <c r="AF399" s="25">
        <f>AD399-AE399</f>
        <v>-1.8999999999999915</v>
      </c>
      <c r="AG399" s="26">
        <f>AF399/AD399</f>
        <v>-1.6949152542372805E-2</v>
      </c>
      <c r="AH399" s="27" t="str">
        <f>IF(AG399&lt;0,"Negative",IF(AG399=0,"Same",IF(AG399&gt;0.3,"30+%",IF(AG399&gt;0.2,"20-30%",IF(AG399&gt;0.1,"10-20%",IF(AG399&lt;=0.1,"0-10%"))))))</f>
        <v>Negative</v>
      </c>
      <c r="AI399" s="32"/>
      <c r="AJ399" s="36" t="s">
        <v>3300</v>
      </c>
      <c r="AK399" s="32"/>
    </row>
    <row r="400" spans="1:37" s="1" customFormat="1" ht="19.7" customHeight="1" x14ac:dyDescent="0.25">
      <c r="A400" s="5" t="s">
        <v>22</v>
      </c>
      <c r="B400" s="5" t="s">
        <v>1862</v>
      </c>
      <c r="C400" s="6">
        <v>44473</v>
      </c>
      <c r="D400" s="5" t="s">
        <v>24</v>
      </c>
      <c r="E400" s="5" t="s">
        <v>25</v>
      </c>
      <c r="F400" s="5" t="s">
        <v>26</v>
      </c>
      <c r="G400" s="5" t="s">
        <v>67</v>
      </c>
      <c r="H400" s="5" t="s">
        <v>68</v>
      </c>
      <c r="I400" s="5" t="s">
        <v>29</v>
      </c>
      <c r="J400" s="5" t="s">
        <v>30</v>
      </c>
      <c r="K400" s="5" t="s">
        <v>31</v>
      </c>
      <c r="L400" s="5" t="s">
        <v>32</v>
      </c>
      <c r="M400" s="5" t="s">
        <v>548</v>
      </c>
      <c r="N400" s="5" t="s">
        <v>1863</v>
      </c>
      <c r="O400" s="5" t="s">
        <v>122</v>
      </c>
      <c r="P400" s="5" t="s">
        <v>550</v>
      </c>
      <c r="Q400" s="5">
        <v>101534899</v>
      </c>
      <c r="R400" s="5" t="s">
        <v>84</v>
      </c>
      <c r="S400" s="5" t="s">
        <v>39</v>
      </c>
      <c r="T400" s="7">
        <v>10</v>
      </c>
      <c r="U400" s="15" t="s">
        <v>122</v>
      </c>
      <c r="V400" s="16" t="s">
        <v>550</v>
      </c>
      <c r="W400" s="17">
        <v>101534899</v>
      </c>
      <c r="X400" s="16" t="s">
        <v>2532</v>
      </c>
      <c r="Y400" s="17" t="s">
        <v>2726</v>
      </c>
      <c r="Z400" s="17" t="s">
        <v>39</v>
      </c>
      <c r="AA400" s="17" t="s">
        <v>37</v>
      </c>
      <c r="AB400" s="29">
        <v>11.4</v>
      </c>
      <c r="AC400" s="25">
        <v>11.21</v>
      </c>
      <c r="AD400" s="25">
        <f>AC400*T400</f>
        <v>112.10000000000001</v>
      </c>
      <c r="AE400" s="25">
        <f>AB400*T400</f>
        <v>114</v>
      </c>
      <c r="AF400" s="25">
        <f>AD400-AE400</f>
        <v>-1.8999999999999915</v>
      </c>
      <c r="AG400" s="26">
        <f>AF400/AD400</f>
        <v>-1.6949152542372805E-2</v>
      </c>
      <c r="AH400" s="27" t="str">
        <f>IF(AG400&lt;0,"Negative",IF(AG400=0,"Same",IF(AG400&gt;0.3,"30+%",IF(AG400&gt;0.2,"20-30%",IF(AG400&gt;0.1,"10-20%",IF(AG400&lt;=0.1,"0-10%"))))))</f>
        <v>Negative</v>
      </c>
      <c r="AI400" s="32"/>
      <c r="AJ400" s="36" t="s">
        <v>3300</v>
      </c>
      <c r="AK400" s="32"/>
    </row>
    <row r="401" spans="1:37" s="1" customFormat="1" ht="19.7" customHeight="1" x14ac:dyDescent="0.25">
      <c r="A401" s="9" t="s">
        <v>22</v>
      </c>
      <c r="B401" s="9" t="s">
        <v>192</v>
      </c>
      <c r="C401" s="10">
        <v>44242</v>
      </c>
      <c r="D401" s="9" t="s">
        <v>24</v>
      </c>
      <c r="E401" s="9" t="s">
        <v>25</v>
      </c>
      <c r="F401" s="9" t="s">
        <v>26</v>
      </c>
      <c r="G401" s="9" t="s">
        <v>67</v>
      </c>
      <c r="H401" s="9" t="s">
        <v>68</v>
      </c>
      <c r="I401" s="9" t="s">
        <v>29</v>
      </c>
      <c r="J401" s="9" t="s">
        <v>30</v>
      </c>
      <c r="K401" s="9" t="s">
        <v>31</v>
      </c>
      <c r="L401" s="9" t="s">
        <v>32</v>
      </c>
      <c r="M401" s="9" t="s">
        <v>193</v>
      </c>
      <c r="N401" s="9" t="s">
        <v>194</v>
      </c>
      <c r="O401" s="9" t="s">
        <v>122</v>
      </c>
      <c r="P401" s="9" t="s">
        <v>195</v>
      </c>
      <c r="Q401" s="9">
        <v>101537019</v>
      </c>
      <c r="R401" s="9" t="s">
        <v>84</v>
      </c>
      <c r="S401" s="9" t="s">
        <v>39</v>
      </c>
      <c r="T401" s="11">
        <v>10</v>
      </c>
      <c r="U401" s="15" t="s">
        <v>122</v>
      </c>
      <c r="V401" s="16" t="s">
        <v>195</v>
      </c>
      <c r="W401" s="17">
        <v>101537019</v>
      </c>
      <c r="X401" s="16" t="s">
        <v>2532</v>
      </c>
      <c r="Y401" s="17" t="s">
        <v>2570</v>
      </c>
      <c r="Z401" s="17" t="s">
        <v>39</v>
      </c>
      <c r="AA401" s="17" t="s">
        <v>37</v>
      </c>
      <c r="AB401" s="29">
        <v>11.4</v>
      </c>
      <c r="AC401" s="25">
        <v>11.21</v>
      </c>
      <c r="AD401" s="25">
        <f>AC401*T401</f>
        <v>112.10000000000001</v>
      </c>
      <c r="AE401" s="25">
        <f>AB401*T401</f>
        <v>114</v>
      </c>
      <c r="AF401" s="25">
        <f>AD401-AE401</f>
        <v>-1.8999999999999915</v>
      </c>
      <c r="AG401" s="26">
        <f>AF401/AD401</f>
        <v>-1.6949152542372805E-2</v>
      </c>
      <c r="AH401" s="27" t="str">
        <f>IF(AG401&lt;0,"Negative",IF(AG401=0,"Same",IF(AG401&gt;0.3,"30+%",IF(AG401&gt;0.2,"20-30%",IF(AG401&gt;0.1,"10-20%",IF(AG401&lt;=0.1,"0-10%"))))))</f>
        <v>Negative</v>
      </c>
      <c r="AI401" s="32"/>
      <c r="AJ401" s="36" t="s">
        <v>3300</v>
      </c>
      <c r="AK401" s="32"/>
    </row>
    <row r="402" spans="1:37" s="1" customFormat="1" ht="19.7" customHeight="1" x14ac:dyDescent="0.25">
      <c r="A402" s="5" t="s">
        <v>22</v>
      </c>
      <c r="B402" s="5" t="s">
        <v>466</v>
      </c>
      <c r="C402" s="6">
        <v>44267</v>
      </c>
      <c r="D402" s="5" t="s">
        <v>24</v>
      </c>
      <c r="E402" s="5" t="s">
        <v>25</v>
      </c>
      <c r="F402" s="5" t="s">
        <v>26</v>
      </c>
      <c r="G402" s="5" t="s">
        <v>67</v>
      </c>
      <c r="H402" s="5" t="s">
        <v>68</v>
      </c>
      <c r="I402" s="5" t="s">
        <v>29</v>
      </c>
      <c r="J402" s="5" t="s">
        <v>30</v>
      </c>
      <c r="K402" s="5" t="s">
        <v>31</v>
      </c>
      <c r="L402" s="5" t="s">
        <v>32</v>
      </c>
      <c r="M402" s="5" t="s">
        <v>193</v>
      </c>
      <c r="N402" s="5" t="s">
        <v>467</v>
      </c>
      <c r="O402" s="5" t="s">
        <v>122</v>
      </c>
      <c r="P402" s="5" t="s">
        <v>195</v>
      </c>
      <c r="Q402" s="5">
        <v>101537019</v>
      </c>
      <c r="R402" s="5" t="s">
        <v>84</v>
      </c>
      <c r="S402" s="5" t="s">
        <v>39</v>
      </c>
      <c r="T402" s="7">
        <v>10</v>
      </c>
      <c r="U402" s="15" t="s">
        <v>122</v>
      </c>
      <c r="V402" s="16" t="s">
        <v>195</v>
      </c>
      <c r="W402" s="17">
        <v>101537019</v>
      </c>
      <c r="X402" s="16" t="s">
        <v>2532</v>
      </c>
      <c r="Y402" s="17" t="s">
        <v>2570</v>
      </c>
      <c r="Z402" s="17" t="s">
        <v>39</v>
      </c>
      <c r="AA402" s="17" t="s">
        <v>37</v>
      </c>
      <c r="AB402" s="29">
        <v>11.4</v>
      </c>
      <c r="AC402" s="25">
        <v>11.21</v>
      </c>
      <c r="AD402" s="25">
        <f>AC402*T402</f>
        <v>112.10000000000001</v>
      </c>
      <c r="AE402" s="25">
        <f>AB402*T402</f>
        <v>114</v>
      </c>
      <c r="AF402" s="25">
        <f>AD402-AE402</f>
        <v>-1.8999999999999915</v>
      </c>
      <c r="AG402" s="26">
        <f>AF402/AD402</f>
        <v>-1.6949152542372805E-2</v>
      </c>
      <c r="AH402" s="27" t="str">
        <f>IF(AG402&lt;0,"Negative",IF(AG402=0,"Same",IF(AG402&gt;0.3,"30+%",IF(AG402&gt;0.2,"20-30%",IF(AG402&gt;0.1,"10-20%",IF(AG402&lt;=0.1,"0-10%"))))))</f>
        <v>Negative</v>
      </c>
      <c r="AI402" s="32"/>
      <c r="AJ402" s="36" t="s">
        <v>3300</v>
      </c>
      <c r="AK402" s="32"/>
    </row>
    <row r="403" spans="1:37" s="1" customFormat="1" ht="19.7" customHeight="1" x14ac:dyDescent="0.25">
      <c r="A403" s="5" t="s">
        <v>22</v>
      </c>
      <c r="B403" s="5" t="s">
        <v>905</v>
      </c>
      <c r="C403" s="6">
        <v>44316</v>
      </c>
      <c r="D403" s="5" t="s">
        <v>24</v>
      </c>
      <c r="E403" s="5" t="s">
        <v>25</v>
      </c>
      <c r="F403" s="5" t="s">
        <v>26</v>
      </c>
      <c r="G403" s="5" t="s">
        <v>67</v>
      </c>
      <c r="H403" s="5" t="s">
        <v>68</v>
      </c>
      <c r="I403" s="5" t="s">
        <v>29</v>
      </c>
      <c r="J403" s="5" t="s">
        <v>30</v>
      </c>
      <c r="K403" s="5" t="s">
        <v>31</v>
      </c>
      <c r="L403" s="5" t="s">
        <v>32</v>
      </c>
      <c r="M403" s="5" t="s">
        <v>193</v>
      </c>
      <c r="N403" s="5" t="s">
        <v>906</v>
      </c>
      <c r="O403" s="5" t="s">
        <v>122</v>
      </c>
      <c r="P403" s="5" t="s">
        <v>195</v>
      </c>
      <c r="Q403" s="5">
        <v>101537019</v>
      </c>
      <c r="R403" s="5" t="s">
        <v>84</v>
      </c>
      <c r="S403" s="5" t="s">
        <v>39</v>
      </c>
      <c r="T403" s="7">
        <v>10</v>
      </c>
      <c r="U403" s="15" t="s">
        <v>122</v>
      </c>
      <c r="V403" s="16" t="s">
        <v>195</v>
      </c>
      <c r="W403" s="17">
        <v>101537019</v>
      </c>
      <c r="X403" s="16" t="s">
        <v>2532</v>
      </c>
      <c r="Y403" s="17" t="s">
        <v>2570</v>
      </c>
      <c r="Z403" s="17" t="s">
        <v>39</v>
      </c>
      <c r="AA403" s="17" t="s">
        <v>37</v>
      </c>
      <c r="AB403" s="29">
        <v>11.4</v>
      </c>
      <c r="AC403" s="25">
        <v>11.21</v>
      </c>
      <c r="AD403" s="25">
        <f>AC403*T403</f>
        <v>112.10000000000001</v>
      </c>
      <c r="AE403" s="25">
        <f>AB403*T403</f>
        <v>114</v>
      </c>
      <c r="AF403" s="25">
        <f>AD403-AE403</f>
        <v>-1.8999999999999915</v>
      </c>
      <c r="AG403" s="26">
        <f>AF403/AD403</f>
        <v>-1.6949152542372805E-2</v>
      </c>
      <c r="AH403" s="27" t="str">
        <f>IF(AG403&lt;0,"Negative",IF(AG403=0,"Same",IF(AG403&gt;0.3,"30+%",IF(AG403&gt;0.2,"20-30%",IF(AG403&gt;0.1,"10-20%",IF(AG403&lt;=0.1,"0-10%"))))))</f>
        <v>Negative</v>
      </c>
      <c r="AI403" s="32"/>
      <c r="AJ403" s="36" t="s">
        <v>3300</v>
      </c>
      <c r="AK403" s="32"/>
    </row>
    <row r="404" spans="1:37" s="1" customFormat="1" ht="19.7" customHeight="1" x14ac:dyDescent="0.25">
      <c r="A404" s="5" t="s">
        <v>22</v>
      </c>
      <c r="B404" s="5" t="s">
        <v>1141</v>
      </c>
      <c r="C404" s="6">
        <v>44344</v>
      </c>
      <c r="D404" s="5" t="s">
        <v>24</v>
      </c>
      <c r="E404" s="5" t="s">
        <v>25</v>
      </c>
      <c r="F404" s="5" t="s">
        <v>26</v>
      </c>
      <c r="G404" s="5" t="s">
        <v>67</v>
      </c>
      <c r="H404" s="5" t="s">
        <v>68</v>
      </c>
      <c r="I404" s="5" t="s">
        <v>29</v>
      </c>
      <c r="J404" s="5" t="s">
        <v>30</v>
      </c>
      <c r="K404" s="5" t="s">
        <v>31</v>
      </c>
      <c r="L404" s="5" t="s">
        <v>32</v>
      </c>
      <c r="M404" s="5" t="s">
        <v>193</v>
      </c>
      <c r="N404" s="5" t="s">
        <v>1142</v>
      </c>
      <c r="O404" s="5" t="s">
        <v>122</v>
      </c>
      <c r="P404" s="5" t="s">
        <v>195</v>
      </c>
      <c r="Q404" s="5">
        <v>101537019</v>
      </c>
      <c r="R404" s="5" t="s">
        <v>84</v>
      </c>
      <c r="S404" s="5" t="s">
        <v>39</v>
      </c>
      <c r="T404" s="7">
        <v>10</v>
      </c>
      <c r="U404" s="15" t="s">
        <v>122</v>
      </c>
      <c r="V404" s="16" t="s">
        <v>195</v>
      </c>
      <c r="W404" s="17">
        <v>101537019</v>
      </c>
      <c r="X404" s="16" t="s">
        <v>2532</v>
      </c>
      <c r="Y404" s="17" t="s">
        <v>2570</v>
      </c>
      <c r="Z404" s="17" t="s">
        <v>39</v>
      </c>
      <c r="AA404" s="17" t="s">
        <v>37</v>
      </c>
      <c r="AB404" s="29">
        <v>11.4</v>
      </c>
      <c r="AC404" s="25">
        <v>11.21</v>
      </c>
      <c r="AD404" s="25">
        <f>AC404*T404</f>
        <v>112.10000000000001</v>
      </c>
      <c r="AE404" s="25">
        <f>AB404*T404</f>
        <v>114</v>
      </c>
      <c r="AF404" s="25">
        <f>AD404-AE404</f>
        <v>-1.8999999999999915</v>
      </c>
      <c r="AG404" s="26">
        <f>AF404/AD404</f>
        <v>-1.6949152542372805E-2</v>
      </c>
      <c r="AH404" s="27" t="str">
        <f>IF(AG404&lt;0,"Negative",IF(AG404=0,"Same",IF(AG404&gt;0.3,"30+%",IF(AG404&gt;0.2,"20-30%",IF(AG404&gt;0.1,"10-20%",IF(AG404&lt;=0.1,"0-10%"))))))</f>
        <v>Negative</v>
      </c>
      <c r="AI404" s="32"/>
      <c r="AJ404" s="36" t="s">
        <v>3300</v>
      </c>
      <c r="AK404" s="32"/>
    </row>
    <row r="405" spans="1:37" s="1" customFormat="1" ht="19.7" customHeight="1" x14ac:dyDescent="0.25">
      <c r="A405" s="9" t="s">
        <v>22</v>
      </c>
      <c r="B405" s="9" t="s">
        <v>1747</v>
      </c>
      <c r="C405" s="10">
        <v>44452</v>
      </c>
      <c r="D405" s="9" t="s">
        <v>24</v>
      </c>
      <c r="E405" s="9" t="s">
        <v>25</v>
      </c>
      <c r="F405" s="9" t="s">
        <v>26</v>
      </c>
      <c r="G405" s="9" t="s">
        <v>67</v>
      </c>
      <c r="H405" s="9" t="s">
        <v>68</v>
      </c>
      <c r="I405" s="9" t="s">
        <v>29</v>
      </c>
      <c r="J405" s="9" t="s">
        <v>30</v>
      </c>
      <c r="K405" s="9" t="s">
        <v>31</v>
      </c>
      <c r="L405" s="9" t="s">
        <v>32</v>
      </c>
      <c r="M405" s="9" t="s">
        <v>193</v>
      </c>
      <c r="N405" s="9" t="s">
        <v>1748</v>
      </c>
      <c r="O405" s="9" t="s">
        <v>122</v>
      </c>
      <c r="P405" s="9" t="s">
        <v>195</v>
      </c>
      <c r="Q405" s="9">
        <v>101537019</v>
      </c>
      <c r="R405" s="9" t="s">
        <v>84</v>
      </c>
      <c r="S405" s="9" t="s">
        <v>39</v>
      </c>
      <c r="T405" s="11">
        <v>10</v>
      </c>
      <c r="U405" s="15" t="s">
        <v>122</v>
      </c>
      <c r="V405" s="16" t="s">
        <v>195</v>
      </c>
      <c r="W405" s="17">
        <v>101537019</v>
      </c>
      <c r="X405" s="16" t="s">
        <v>2532</v>
      </c>
      <c r="Y405" s="17" t="s">
        <v>2570</v>
      </c>
      <c r="Z405" s="17" t="s">
        <v>39</v>
      </c>
      <c r="AA405" s="17" t="s">
        <v>37</v>
      </c>
      <c r="AB405" s="29">
        <v>11.4</v>
      </c>
      <c r="AC405" s="25">
        <v>11.21</v>
      </c>
      <c r="AD405" s="25">
        <f>AC405*T405</f>
        <v>112.10000000000001</v>
      </c>
      <c r="AE405" s="25">
        <f>AB405*T405</f>
        <v>114</v>
      </c>
      <c r="AF405" s="25">
        <f>AD405-AE405</f>
        <v>-1.8999999999999915</v>
      </c>
      <c r="AG405" s="26">
        <f>AF405/AD405</f>
        <v>-1.6949152542372805E-2</v>
      </c>
      <c r="AH405" s="27" t="str">
        <f>IF(AG405&lt;0,"Negative",IF(AG405=0,"Same",IF(AG405&gt;0.3,"30+%",IF(AG405&gt;0.2,"20-30%",IF(AG405&gt;0.1,"10-20%",IF(AG405&lt;=0.1,"0-10%"))))))</f>
        <v>Negative</v>
      </c>
      <c r="AI405" s="32"/>
      <c r="AJ405" s="36" t="s">
        <v>3300</v>
      </c>
      <c r="AK405" s="32"/>
    </row>
    <row r="406" spans="1:37" s="1" customFormat="1" ht="19.7" customHeight="1" x14ac:dyDescent="0.25">
      <c r="A406" s="9" t="s">
        <v>22</v>
      </c>
      <c r="B406" s="9" t="s">
        <v>2021</v>
      </c>
      <c r="C406" s="10">
        <v>44498</v>
      </c>
      <c r="D406" s="9" t="s">
        <v>24</v>
      </c>
      <c r="E406" s="9" t="s">
        <v>25</v>
      </c>
      <c r="F406" s="9" t="s">
        <v>26</v>
      </c>
      <c r="G406" s="9" t="s">
        <v>67</v>
      </c>
      <c r="H406" s="9" t="s">
        <v>68</v>
      </c>
      <c r="I406" s="9" t="s">
        <v>29</v>
      </c>
      <c r="J406" s="9" t="s">
        <v>30</v>
      </c>
      <c r="K406" s="9" t="s">
        <v>31</v>
      </c>
      <c r="L406" s="9" t="s">
        <v>32</v>
      </c>
      <c r="M406" s="9" t="s">
        <v>193</v>
      </c>
      <c r="N406" s="9" t="s">
        <v>2022</v>
      </c>
      <c r="O406" s="9" t="s">
        <v>122</v>
      </c>
      <c r="P406" s="9" t="s">
        <v>195</v>
      </c>
      <c r="Q406" s="9">
        <v>101537019</v>
      </c>
      <c r="R406" s="9" t="s">
        <v>84</v>
      </c>
      <c r="S406" s="9" t="s">
        <v>39</v>
      </c>
      <c r="T406" s="11">
        <v>10</v>
      </c>
      <c r="U406" s="15" t="s">
        <v>122</v>
      </c>
      <c r="V406" s="16" t="s">
        <v>195</v>
      </c>
      <c r="W406" s="17">
        <v>101537019</v>
      </c>
      <c r="X406" s="16" t="s">
        <v>2532</v>
      </c>
      <c r="Y406" s="17" t="s">
        <v>2570</v>
      </c>
      <c r="Z406" s="17" t="s">
        <v>39</v>
      </c>
      <c r="AA406" s="17" t="s">
        <v>37</v>
      </c>
      <c r="AB406" s="29">
        <v>11.4</v>
      </c>
      <c r="AC406" s="25">
        <v>11.21</v>
      </c>
      <c r="AD406" s="25">
        <f>AC406*T406</f>
        <v>112.10000000000001</v>
      </c>
      <c r="AE406" s="25">
        <f>AB406*T406</f>
        <v>114</v>
      </c>
      <c r="AF406" s="25">
        <f>AD406-AE406</f>
        <v>-1.8999999999999915</v>
      </c>
      <c r="AG406" s="26">
        <f>AF406/AD406</f>
        <v>-1.6949152542372805E-2</v>
      </c>
      <c r="AH406" s="27" t="str">
        <f>IF(AG406&lt;0,"Negative",IF(AG406=0,"Same",IF(AG406&gt;0.3,"30+%",IF(AG406&gt;0.2,"20-30%",IF(AG406&gt;0.1,"10-20%",IF(AG406&lt;=0.1,"0-10%"))))))</f>
        <v>Negative</v>
      </c>
      <c r="AI406" s="32"/>
      <c r="AJ406" s="36" t="s">
        <v>3300</v>
      </c>
      <c r="AK406" s="32"/>
    </row>
    <row r="407" spans="1:37" s="1" customFormat="1" ht="19.7" customHeight="1" x14ac:dyDescent="0.25">
      <c r="A407" s="5" t="s">
        <v>22</v>
      </c>
      <c r="B407" s="5" t="s">
        <v>482</v>
      </c>
      <c r="C407" s="6">
        <v>44267</v>
      </c>
      <c r="D407" s="5" t="s">
        <v>24</v>
      </c>
      <c r="E407" s="5" t="s">
        <v>25</v>
      </c>
      <c r="F407" s="5" t="s">
        <v>26</v>
      </c>
      <c r="G407" s="5" t="s">
        <v>67</v>
      </c>
      <c r="H407" s="5" t="s">
        <v>68</v>
      </c>
      <c r="I407" s="5" t="s">
        <v>29</v>
      </c>
      <c r="J407" s="5" t="s">
        <v>30</v>
      </c>
      <c r="K407" s="5" t="s">
        <v>31</v>
      </c>
      <c r="L407" s="5" t="s">
        <v>32</v>
      </c>
      <c r="M407" s="5" t="s">
        <v>491</v>
      </c>
      <c r="N407" s="5" t="s">
        <v>483</v>
      </c>
      <c r="O407" s="5" t="s">
        <v>125</v>
      </c>
      <c r="P407" s="5" t="s">
        <v>492</v>
      </c>
      <c r="Q407" s="5">
        <v>102696614</v>
      </c>
      <c r="R407" s="5" t="s">
        <v>38</v>
      </c>
      <c r="S407" s="5" t="s">
        <v>39</v>
      </c>
      <c r="T407" s="7">
        <v>1</v>
      </c>
      <c r="U407" s="15" t="s">
        <v>125</v>
      </c>
      <c r="V407" s="16" t="s">
        <v>492</v>
      </c>
      <c r="W407" s="17">
        <v>102696614</v>
      </c>
      <c r="X407" s="16" t="s">
        <v>2599</v>
      </c>
      <c r="Y407" s="17" t="s">
        <v>2699</v>
      </c>
      <c r="Z407" s="17" t="s">
        <v>39</v>
      </c>
      <c r="AA407" s="17" t="s">
        <v>2501</v>
      </c>
      <c r="AB407" s="29">
        <v>43.99</v>
      </c>
      <c r="AC407" s="25">
        <v>54.41</v>
      </c>
      <c r="AD407" s="25">
        <f>AC407*T407</f>
        <v>54.41</v>
      </c>
      <c r="AE407" s="25">
        <f>AB407*T407</f>
        <v>43.99</v>
      </c>
      <c r="AF407" s="25">
        <f>AD407-AE407</f>
        <v>10.419999999999995</v>
      </c>
      <c r="AG407" s="26">
        <f>AF407/AD407</f>
        <v>0.19150891380260973</v>
      </c>
      <c r="AH407" s="27" t="str">
        <f>IF(AG407&lt;0,"Negative",IF(AG407=0,"Same",IF(AG407&gt;0.3,"30+%",IF(AG407&gt;0.2,"20-30%",IF(AG407&gt;0.1,"10-20%",IF(AG407&lt;=0.1,"0-10%"))))))</f>
        <v>10-20%</v>
      </c>
      <c r="AI407" s="32"/>
      <c r="AJ407" s="36" t="s">
        <v>3300</v>
      </c>
      <c r="AK407" s="32"/>
    </row>
    <row r="408" spans="1:37" s="1" customFormat="1" ht="19.7" customHeight="1" x14ac:dyDescent="0.25">
      <c r="A408" s="5" t="s">
        <v>22</v>
      </c>
      <c r="B408" s="5" t="s">
        <v>1023</v>
      </c>
      <c r="C408" s="6">
        <v>44333</v>
      </c>
      <c r="D408" s="5" t="s">
        <v>24</v>
      </c>
      <c r="E408" s="5" t="s">
        <v>25</v>
      </c>
      <c r="F408" s="5" t="s">
        <v>26</v>
      </c>
      <c r="G408" s="5" t="s">
        <v>67</v>
      </c>
      <c r="H408" s="5" t="s">
        <v>68</v>
      </c>
      <c r="I408" s="5" t="s">
        <v>29</v>
      </c>
      <c r="J408" s="5" t="s">
        <v>30</v>
      </c>
      <c r="K408" s="5" t="s">
        <v>31</v>
      </c>
      <c r="L408" s="5" t="s">
        <v>32</v>
      </c>
      <c r="M408" s="5" t="s">
        <v>491</v>
      </c>
      <c r="N408" s="5" t="s">
        <v>1024</v>
      </c>
      <c r="O408" s="5" t="s">
        <v>125</v>
      </c>
      <c r="P408" s="5" t="s">
        <v>492</v>
      </c>
      <c r="Q408" s="5">
        <v>102696614</v>
      </c>
      <c r="R408" s="5" t="s">
        <v>38</v>
      </c>
      <c r="S408" s="5" t="s">
        <v>39</v>
      </c>
      <c r="T408" s="7">
        <v>1</v>
      </c>
      <c r="U408" s="15" t="s">
        <v>125</v>
      </c>
      <c r="V408" s="16" t="s">
        <v>492</v>
      </c>
      <c r="W408" s="17">
        <v>102696614</v>
      </c>
      <c r="X408" s="16" t="s">
        <v>2599</v>
      </c>
      <c r="Y408" s="17" t="s">
        <v>2699</v>
      </c>
      <c r="Z408" s="17" t="s">
        <v>39</v>
      </c>
      <c r="AA408" s="17" t="s">
        <v>2501</v>
      </c>
      <c r="AB408" s="29">
        <v>43.99</v>
      </c>
      <c r="AC408" s="25">
        <v>54.41</v>
      </c>
      <c r="AD408" s="25">
        <f>AC408*T408</f>
        <v>54.41</v>
      </c>
      <c r="AE408" s="25">
        <f>AB408*T408</f>
        <v>43.99</v>
      </c>
      <c r="AF408" s="25">
        <f>AD408-AE408</f>
        <v>10.419999999999995</v>
      </c>
      <c r="AG408" s="26">
        <f>AF408/AD408</f>
        <v>0.19150891380260973</v>
      </c>
      <c r="AH408" s="27" t="str">
        <f>IF(AG408&lt;0,"Negative",IF(AG408=0,"Same",IF(AG408&gt;0.3,"30+%",IF(AG408&gt;0.2,"20-30%",IF(AG408&gt;0.1,"10-20%",IF(AG408&lt;=0.1,"0-10%"))))))</f>
        <v>10-20%</v>
      </c>
      <c r="AI408" s="32"/>
      <c r="AJ408" s="36" t="s">
        <v>3300</v>
      </c>
      <c r="AK408" s="32"/>
    </row>
    <row r="409" spans="1:37" s="1" customFormat="1" ht="19.7" customHeight="1" x14ac:dyDescent="0.25">
      <c r="A409" s="9" t="s">
        <v>22</v>
      </c>
      <c r="B409" s="9" t="s">
        <v>1759</v>
      </c>
      <c r="C409" s="10">
        <v>44456</v>
      </c>
      <c r="D409" s="9" t="s">
        <v>24</v>
      </c>
      <c r="E409" s="9" t="s">
        <v>25</v>
      </c>
      <c r="F409" s="9" t="s">
        <v>26</v>
      </c>
      <c r="G409" s="9" t="s">
        <v>67</v>
      </c>
      <c r="H409" s="9" t="s">
        <v>68</v>
      </c>
      <c r="I409" s="9" t="s">
        <v>29</v>
      </c>
      <c r="J409" s="9" t="s">
        <v>30</v>
      </c>
      <c r="K409" s="9" t="s">
        <v>31</v>
      </c>
      <c r="L409" s="9" t="s">
        <v>32</v>
      </c>
      <c r="M409" s="9" t="s">
        <v>1179</v>
      </c>
      <c r="N409" s="9" t="s">
        <v>1760</v>
      </c>
      <c r="O409" s="9" t="s">
        <v>1180</v>
      </c>
      <c r="P409" s="9" t="s">
        <v>1181</v>
      </c>
      <c r="Q409" s="9">
        <v>101951759</v>
      </c>
      <c r="R409" s="9" t="s">
        <v>76</v>
      </c>
      <c r="S409" s="9" t="s">
        <v>39</v>
      </c>
      <c r="T409" s="11">
        <v>25</v>
      </c>
      <c r="U409" s="15" t="s">
        <v>1180</v>
      </c>
      <c r="V409" s="16" t="s">
        <v>1181</v>
      </c>
      <c r="W409" s="17">
        <v>101951759</v>
      </c>
      <c r="X409" s="16" t="s">
        <v>2953</v>
      </c>
      <c r="Y409" s="17" t="s">
        <v>2954</v>
      </c>
      <c r="Z409" s="17" t="s">
        <v>39</v>
      </c>
      <c r="AA409" s="17" t="s">
        <v>37</v>
      </c>
      <c r="AB409" s="29">
        <v>5.03</v>
      </c>
      <c r="AC409" s="25">
        <v>4.82</v>
      </c>
      <c r="AD409" s="25">
        <f>AC409*T409</f>
        <v>120.5</v>
      </c>
      <c r="AE409" s="25">
        <f>AB409*T409</f>
        <v>125.75</v>
      </c>
      <c r="AF409" s="25">
        <f>AD409-AE409</f>
        <v>-5.25</v>
      </c>
      <c r="AG409" s="26">
        <f>AF409/AD409</f>
        <v>-4.3568464730290454E-2</v>
      </c>
      <c r="AH409" s="27" t="str">
        <f>IF(AG409&lt;0,"Negative",IF(AG409=0,"Same",IF(AG409&gt;0.3,"30+%",IF(AG409&gt;0.2,"20-30%",IF(AG409&gt;0.1,"10-20%",IF(AG409&lt;=0.1,"0-10%"))))))</f>
        <v>Negative</v>
      </c>
      <c r="AI409" s="32"/>
      <c r="AJ409" s="36" t="s">
        <v>3300</v>
      </c>
      <c r="AK409" s="32"/>
    </row>
    <row r="410" spans="1:37" s="1" customFormat="1" ht="19.7" customHeight="1" x14ac:dyDescent="0.25">
      <c r="A410" s="9" t="s">
        <v>22</v>
      </c>
      <c r="B410" s="9" t="s">
        <v>1177</v>
      </c>
      <c r="C410" s="10">
        <v>44351</v>
      </c>
      <c r="D410" s="9" t="s">
        <v>24</v>
      </c>
      <c r="E410" s="9" t="s">
        <v>25</v>
      </c>
      <c r="F410" s="9" t="s">
        <v>26</v>
      </c>
      <c r="G410" s="9" t="s">
        <v>67</v>
      </c>
      <c r="H410" s="9" t="s">
        <v>68</v>
      </c>
      <c r="I410" s="9" t="s">
        <v>29</v>
      </c>
      <c r="J410" s="9" t="s">
        <v>30</v>
      </c>
      <c r="K410" s="9" t="s">
        <v>31</v>
      </c>
      <c r="L410" s="9" t="s">
        <v>32</v>
      </c>
      <c r="M410" s="9" t="s">
        <v>1179</v>
      </c>
      <c r="N410" s="9" t="s">
        <v>1178</v>
      </c>
      <c r="O410" s="9" t="s">
        <v>1180</v>
      </c>
      <c r="P410" s="9" t="s">
        <v>1181</v>
      </c>
      <c r="Q410" s="9">
        <v>101951759</v>
      </c>
      <c r="R410" s="9" t="s">
        <v>76</v>
      </c>
      <c r="S410" s="9" t="s">
        <v>39</v>
      </c>
      <c r="T410" s="11">
        <v>24</v>
      </c>
      <c r="U410" s="15" t="s">
        <v>1180</v>
      </c>
      <c r="V410" s="16" t="s">
        <v>1181</v>
      </c>
      <c r="W410" s="17">
        <v>101951759</v>
      </c>
      <c r="X410" s="16" t="s">
        <v>2953</v>
      </c>
      <c r="Y410" s="17" t="s">
        <v>2954</v>
      </c>
      <c r="Z410" s="17" t="s">
        <v>39</v>
      </c>
      <c r="AA410" s="17" t="s">
        <v>37</v>
      </c>
      <c r="AB410" s="29">
        <v>5.03</v>
      </c>
      <c r="AC410" s="25">
        <v>4.82</v>
      </c>
      <c r="AD410" s="25">
        <f>AC410*T410</f>
        <v>115.68</v>
      </c>
      <c r="AE410" s="25">
        <f>AB410*T410</f>
        <v>120.72</v>
      </c>
      <c r="AF410" s="25">
        <f>AD410-AE410</f>
        <v>-5.039999999999992</v>
      </c>
      <c r="AG410" s="26">
        <f>AF410/AD410</f>
        <v>-4.3568464730290385E-2</v>
      </c>
      <c r="AH410" s="27" t="str">
        <f>IF(AG410&lt;0,"Negative",IF(AG410=0,"Same",IF(AG410&gt;0.3,"30+%",IF(AG410&gt;0.2,"20-30%",IF(AG410&gt;0.1,"10-20%",IF(AG410&lt;=0.1,"0-10%"))))))</f>
        <v>Negative</v>
      </c>
      <c r="AI410" s="32"/>
      <c r="AJ410" s="36" t="s">
        <v>3300</v>
      </c>
      <c r="AK410" s="32"/>
    </row>
    <row r="411" spans="1:37" s="1" customFormat="1" ht="19.7" customHeight="1" x14ac:dyDescent="0.25">
      <c r="A411" s="9" t="s">
        <v>22</v>
      </c>
      <c r="B411" s="9" t="s">
        <v>1475</v>
      </c>
      <c r="C411" s="10">
        <v>44403</v>
      </c>
      <c r="D411" s="9" t="s">
        <v>24</v>
      </c>
      <c r="E411" s="9" t="s">
        <v>25</v>
      </c>
      <c r="F411" s="9" t="s">
        <v>26</v>
      </c>
      <c r="G411" s="9" t="s">
        <v>67</v>
      </c>
      <c r="H411" s="9" t="s">
        <v>68</v>
      </c>
      <c r="I411" s="9" t="s">
        <v>29</v>
      </c>
      <c r="J411" s="9" t="s">
        <v>30</v>
      </c>
      <c r="K411" s="9" t="s">
        <v>31</v>
      </c>
      <c r="L411" s="9" t="s">
        <v>32</v>
      </c>
      <c r="M411" s="9" t="s">
        <v>1179</v>
      </c>
      <c r="N411" s="9" t="s">
        <v>1476</v>
      </c>
      <c r="O411" s="9" t="s">
        <v>1180</v>
      </c>
      <c r="P411" s="9" t="s">
        <v>1181</v>
      </c>
      <c r="Q411" s="9">
        <v>101951759</v>
      </c>
      <c r="R411" s="9" t="s">
        <v>76</v>
      </c>
      <c r="S411" s="9" t="s">
        <v>39</v>
      </c>
      <c r="T411" s="11">
        <v>12</v>
      </c>
      <c r="U411" s="15" t="s">
        <v>1180</v>
      </c>
      <c r="V411" s="16" t="s">
        <v>1181</v>
      </c>
      <c r="W411" s="17">
        <v>101951759</v>
      </c>
      <c r="X411" s="16" t="s">
        <v>2953</v>
      </c>
      <c r="Y411" s="17" t="s">
        <v>2954</v>
      </c>
      <c r="Z411" s="17" t="s">
        <v>39</v>
      </c>
      <c r="AA411" s="17" t="s">
        <v>37</v>
      </c>
      <c r="AB411" s="29">
        <v>5.03</v>
      </c>
      <c r="AC411" s="25">
        <v>4.82</v>
      </c>
      <c r="AD411" s="25">
        <f>AC411*T411</f>
        <v>57.84</v>
      </c>
      <c r="AE411" s="25">
        <f>AB411*T411</f>
        <v>60.36</v>
      </c>
      <c r="AF411" s="25">
        <f>AD411-AE411</f>
        <v>-2.519999999999996</v>
      </c>
      <c r="AG411" s="26">
        <f>AF411/AD411</f>
        <v>-4.3568464730290385E-2</v>
      </c>
      <c r="AH411" s="27" t="str">
        <f>IF(AG411&lt;0,"Negative",IF(AG411=0,"Same",IF(AG411&gt;0.3,"30+%",IF(AG411&gt;0.2,"20-30%",IF(AG411&gt;0.1,"10-20%",IF(AG411&lt;=0.1,"0-10%"))))))</f>
        <v>Negative</v>
      </c>
      <c r="AI411" s="32"/>
      <c r="AJ411" s="36" t="s">
        <v>3300</v>
      </c>
      <c r="AK411" s="32"/>
    </row>
    <row r="412" spans="1:37" s="1" customFormat="1" ht="19.7" customHeight="1" x14ac:dyDescent="0.25">
      <c r="A412" s="9" t="s">
        <v>22</v>
      </c>
      <c r="B412" s="9" t="s">
        <v>2201</v>
      </c>
      <c r="C412" s="10">
        <v>44538</v>
      </c>
      <c r="D412" s="9" t="s">
        <v>24</v>
      </c>
      <c r="E412" s="9" t="s">
        <v>25</v>
      </c>
      <c r="F412" s="9" t="s">
        <v>26</v>
      </c>
      <c r="G412" s="9" t="s">
        <v>27</v>
      </c>
      <c r="H412" s="9" t="s">
        <v>28</v>
      </c>
      <c r="I412" s="9" t="s">
        <v>29</v>
      </c>
      <c r="J412" s="9" t="s">
        <v>30</v>
      </c>
      <c r="K412" s="9" t="s">
        <v>31</v>
      </c>
      <c r="L412" s="9" t="s">
        <v>32</v>
      </c>
      <c r="M412" s="9" t="s">
        <v>1788</v>
      </c>
      <c r="N412" s="9" t="s">
        <v>1927</v>
      </c>
      <c r="O412" s="9" t="s">
        <v>1790</v>
      </c>
      <c r="P412" s="9" t="s">
        <v>1791</v>
      </c>
      <c r="Q412" s="9">
        <v>101853408</v>
      </c>
      <c r="R412" s="9" t="s">
        <v>105</v>
      </c>
      <c r="S412" s="9" t="s">
        <v>39</v>
      </c>
      <c r="T412" s="11">
        <v>24</v>
      </c>
      <c r="U412" s="15" t="s">
        <v>1790</v>
      </c>
      <c r="V412" s="41" t="s">
        <v>1791</v>
      </c>
      <c r="W412" s="17">
        <v>101853408</v>
      </c>
      <c r="X412" s="16" t="s">
        <v>3131</v>
      </c>
      <c r="Y412" s="17" t="s">
        <v>3132</v>
      </c>
      <c r="Z412" s="17" t="s">
        <v>39</v>
      </c>
      <c r="AA412" s="17" t="s">
        <v>37</v>
      </c>
      <c r="AB412" s="29">
        <v>9.68</v>
      </c>
      <c r="AC412" s="25">
        <v>9.4700000000000006</v>
      </c>
      <c r="AD412" s="25">
        <f>AC412*T412</f>
        <v>227.28000000000003</v>
      </c>
      <c r="AE412" s="25">
        <f>AB412*T412</f>
        <v>232.32</v>
      </c>
      <c r="AF412" s="25">
        <f>AD412-AE412</f>
        <v>-5.0399999999999636</v>
      </c>
      <c r="AG412" s="26">
        <f>AF412/AD412</f>
        <v>-2.2175290390707335E-2</v>
      </c>
      <c r="AH412" s="27" t="str">
        <f>IF(AG412&lt;0,"Negative",IF(AG412=0,"Same",IF(AG412&gt;0.3,"30+%",IF(AG412&gt;0.2,"20-30%",IF(AG412&gt;0.1,"10-20%",IF(AG412&lt;=0.1,"0-10%"))))))</f>
        <v>Negative</v>
      </c>
      <c r="AI412" s="32"/>
      <c r="AJ412" s="36" t="s">
        <v>3300</v>
      </c>
      <c r="AK412" s="32"/>
    </row>
    <row r="413" spans="1:37" s="1" customFormat="1" ht="19.7" customHeight="1" x14ac:dyDescent="0.25">
      <c r="A413" s="9" t="s">
        <v>22</v>
      </c>
      <c r="B413" s="9" t="s">
        <v>1795</v>
      </c>
      <c r="C413" s="10">
        <v>44463</v>
      </c>
      <c r="D413" s="9" t="s">
        <v>24</v>
      </c>
      <c r="E413" s="9" t="s">
        <v>25</v>
      </c>
      <c r="F413" s="9" t="s">
        <v>26</v>
      </c>
      <c r="G413" s="9" t="s">
        <v>27</v>
      </c>
      <c r="H413" s="9" t="s">
        <v>28</v>
      </c>
      <c r="I413" s="9" t="s">
        <v>29</v>
      </c>
      <c r="J413" s="9" t="s">
        <v>30</v>
      </c>
      <c r="K413" s="9" t="s">
        <v>31</v>
      </c>
      <c r="L413" s="9" t="s">
        <v>32</v>
      </c>
      <c r="M413" s="9" t="s">
        <v>1788</v>
      </c>
      <c r="N413" s="9" t="s">
        <v>1789</v>
      </c>
      <c r="O413" s="9" t="s">
        <v>1790</v>
      </c>
      <c r="P413" s="9" t="s">
        <v>1791</v>
      </c>
      <c r="Q413" s="9">
        <v>101853408</v>
      </c>
      <c r="R413" s="9" t="s">
        <v>105</v>
      </c>
      <c r="S413" s="9" t="s">
        <v>39</v>
      </c>
      <c r="T413" s="11">
        <v>12</v>
      </c>
      <c r="U413" s="15" t="s">
        <v>1790</v>
      </c>
      <c r="V413" s="41" t="s">
        <v>1791</v>
      </c>
      <c r="W413" s="17">
        <v>101853408</v>
      </c>
      <c r="X413" s="16" t="s">
        <v>3131</v>
      </c>
      <c r="Y413" s="17" t="s">
        <v>3132</v>
      </c>
      <c r="Z413" s="17" t="s">
        <v>39</v>
      </c>
      <c r="AA413" s="17" t="s">
        <v>37</v>
      </c>
      <c r="AB413" s="29">
        <v>9.68</v>
      </c>
      <c r="AC413" s="25">
        <v>9.4700000000000006</v>
      </c>
      <c r="AD413" s="25">
        <f>AC413*T413</f>
        <v>113.64000000000001</v>
      </c>
      <c r="AE413" s="25">
        <f>AB413*T413</f>
        <v>116.16</v>
      </c>
      <c r="AF413" s="25">
        <f>AD413-AE413</f>
        <v>-2.5199999999999818</v>
      </c>
      <c r="AG413" s="26">
        <f>AF413/AD413</f>
        <v>-2.2175290390707335E-2</v>
      </c>
      <c r="AH413" s="27" t="str">
        <f>IF(AG413&lt;0,"Negative",IF(AG413=0,"Same",IF(AG413&gt;0.3,"30+%",IF(AG413&gt;0.2,"20-30%",IF(AG413&gt;0.1,"10-20%",IF(AG413&lt;=0.1,"0-10%"))))))</f>
        <v>Negative</v>
      </c>
      <c r="AI413" s="32"/>
      <c r="AJ413" s="36" t="s">
        <v>3300</v>
      </c>
      <c r="AK413" s="32"/>
    </row>
    <row r="414" spans="1:37" s="1" customFormat="1" ht="19.7" customHeight="1" x14ac:dyDescent="0.25">
      <c r="A414" s="5" t="s">
        <v>22</v>
      </c>
      <c r="B414" s="5" t="s">
        <v>1896</v>
      </c>
      <c r="C414" s="6">
        <v>44477</v>
      </c>
      <c r="D414" s="5" t="s">
        <v>24</v>
      </c>
      <c r="E414" s="5" t="s">
        <v>25</v>
      </c>
      <c r="F414" s="5" t="s">
        <v>26</v>
      </c>
      <c r="G414" s="5" t="s">
        <v>67</v>
      </c>
      <c r="H414" s="5" t="s">
        <v>68</v>
      </c>
      <c r="I414" s="5" t="s">
        <v>29</v>
      </c>
      <c r="J414" s="5" t="s">
        <v>30</v>
      </c>
      <c r="K414" s="5" t="s">
        <v>31</v>
      </c>
      <c r="L414" s="5" t="s">
        <v>32</v>
      </c>
      <c r="M414" s="5" t="s">
        <v>1788</v>
      </c>
      <c r="N414" s="5" t="s">
        <v>1863</v>
      </c>
      <c r="O414" s="5" t="s">
        <v>1790</v>
      </c>
      <c r="P414" s="5" t="s">
        <v>1791</v>
      </c>
      <c r="Q414" s="5">
        <v>101853408</v>
      </c>
      <c r="R414" s="5" t="s">
        <v>105</v>
      </c>
      <c r="S414" s="5" t="s">
        <v>39</v>
      </c>
      <c r="T414" s="7">
        <v>12</v>
      </c>
      <c r="U414" s="15" t="s">
        <v>1790</v>
      </c>
      <c r="V414" s="41" t="s">
        <v>1791</v>
      </c>
      <c r="W414" s="17">
        <v>101853408</v>
      </c>
      <c r="X414" s="16" t="s">
        <v>3131</v>
      </c>
      <c r="Y414" s="17" t="s">
        <v>3132</v>
      </c>
      <c r="Z414" s="17" t="s">
        <v>39</v>
      </c>
      <c r="AA414" s="17" t="s">
        <v>37</v>
      </c>
      <c r="AB414" s="29">
        <v>9.68</v>
      </c>
      <c r="AC414" s="25">
        <v>9.4700000000000006</v>
      </c>
      <c r="AD414" s="25">
        <f>AC414*T414</f>
        <v>113.64000000000001</v>
      </c>
      <c r="AE414" s="25">
        <f>AB414*T414</f>
        <v>116.16</v>
      </c>
      <c r="AF414" s="25">
        <f>AD414-AE414</f>
        <v>-2.5199999999999818</v>
      </c>
      <c r="AG414" s="26">
        <f>AF414/AD414</f>
        <v>-2.2175290390707335E-2</v>
      </c>
      <c r="AH414" s="27" t="str">
        <f>IF(AG414&lt;0,"Negative",IF(AG414=0,"Same",IF(AG414&gt;0.3,"30+%",IF(AG414&gt;0.2,"20-30%",IF(AG414&gt;0.1,"10-20%",IF(AG414&lt;=0.1,"0-10%"))))))</f>
        <v>Negative</v>
      </c>
      <c r="AI414" s="32"/>
      <c r="AJ414" s="36" t="s">
        <v>3300</v>
      </c>
      <c r="AK414" s="32"/>
    </row>
    <row r="415" spans="1:37" s="1" customFormat="1" ht="19.7" customHeight="1" x14ac:dyDescent="0.25">
      <c r="A415" s="9" t="s">
        <v>22</v>
      </c>
      <c r="B415" s="9" t="s">
        <v>1926</v>
      </c>
      <c r="C415" s="10">
        <v>44484</v>
      </c>
      <c r="D415" s="9" t="s">
        <v>24</v>
      </c>
      <c r="E415" s="9" t="s">
        <v>25</v>
      </c>
      <c r="F415" s="9" t="s">
        <v>26</v>
      </c>
      <c r="G415" s="9" t="s">
        <v>67</v>
      </c>
      <c r="H415" s="9" t="s">
        <v>68</v>
      </c>
      <c r="I415" s="9" t="s">
        <v>29</v>
      </c>
      <c r="J415" s="9" t="s">
        <v>30</v>
      </c>
      <c r="K415" s="9" t="s">
        <v>31</v>
      </c>
      <c r="L415" s="9" t="s">
        <v>32</v>
      </c>
      <c r="M415" s="9" t="s">
        <v>1788</v>
      </c>
      <c r="N415" s="9" t="s">
        <v>1927</v>
      </c>
      <c r="O415" s="9" t="s">
        <v>1790</v>
      </c>
      <c r="P415" s="9" t="s">
        <v>1791</v>
      </c>
      <c r="Q415" s="9">
        <v>101853408</v>
      </c>
      <c r="R415" s="9" t="s">
        <v>105</v>
      </c>
      <c r="S415" s="9" t="s">
        <v>39</v>
      </c>
      <c r="T415" s="11">
        <v>12</v>
      </c>
      <c r="U415" s="15" t="s">
        <v>1790</v>
      </c>
      <c r="V415" s="41" t="s">
        <v>1791</v>
      </c>
      <c r="W415" s="17">
        <v>101853408</v>
      </c>
      <c r="X415" s="16" t="s">
        <v>3131</v>
      </c>
      <c r="Y415" s="17" t="s">
        <v>3132</v>
      </c>
      <c r="Z415" s="17" t="s">
        <v>39</v>
      </c>
      <c r="AA415" s="17" t="s">
        <v>37</v>
      </c>
      <c r="AB415" s="29">
        <v>9.68</v>
      </c>
      <c r="AC415" s="25">
        <v>9.4700000000000006</v>
      </c>
      <c r="AD415" s="25">
        <f>AC415*T415</f>
        <v>113.64000000000001</v>
      </c>
      <c r="AE415" s="25">
        <f>AB415*T415</f>
        <v>116.16</v>
      </c>
      <c r="AF415" s="25">
        <f>AD415-AE415</f>
        <v>-2.5199999999999818</v>
      </c>
      <c r="AG415" s="26">
        <f>AF415/AD415</f>
        <v>-2.2175290390707335E-2</v>
      </c>
      <c r="AH415" s="27" t="str">
        <f>IF(AG415&lt;0,"Negative",IF(AG415=0,"Same",IF(AG415&gt;0.3,"30+%",IF(AG415&gt;0.2,"20-30%",IF(AG415&gt;0.1,"10-20%",IF(AG415&lt;=0.1,"0-10%"))))))</f>
        <v>Negative</v>
      </c>
      <c r="AI415" s="32"/>
      <c r="AJ415" s="36" t="s">
        <v>3300</v>
      </c>
      <c r="AK415" s="32"/>
    </row>
    <row r="416" spans="1:37" s="1" customFormat="1" ht="19.7" customHeight="1" x14ac:dyDescent="0.25">
      <c r="A416" s="5" t="s">
        <v>22</v>
      </c>
      <c r="B416" s="5" t="s">
        <v>1928</v>
      </c>
      <c r="C416" s="6">
        <v>44484</v>
      </c>
      <c r="D416" s="5" t="s">
        <v>24</v>
      </c>
      <c r="E416" s="5" t="s">
        <v>25</v>
      </c>
      <c r="F416" s="5" t="s">
        <v>26</v>
      </c>
      <c r="G416" s="5" t="s">
        <v>67</v>
      </c>
      <c r="H416" s="5" t="s">
        <v>68</v>
      </c>
      <c r="I416" s="5" t="s">
        <v>29</v>
      </c>
      <c r="J416" s="5" t="s">
        <v>30</v>
      </c>
      <c r="K416" s="5" t="s">
        <v>31</v>
      </c>
      <c r="L416" s="5" t="s">
        <v>32</v>
      </c>
      <c r="M416" s="5" t="s">
        <v>1788</v>
      </c>
      <c r="N416" s="5" t="s">
        <v>1863</v>
      </c>
      <c r="O416" s="5" t="s">
        <v>1790</v>
      </c>
      <c r="P416" s="5" t="s">
        <v>1791</v>
      </c>
      <c r="Q416" s="5">
        <v>101853408</v>
      </c>
      <c r="R416" s="5" t="s">
        <v>105</v>
      </c>
      <c r="S416" s="5" t="s">
        <v>39</v>
      </c>
      <c r="T416" s="7">
        <v>12</v>
      </c>
      <c r="U416" s="15" t="s">
        <v>1790</v>
      </c>
      <c r="V416" s="41" t="s">
        <v>1791</v>
      </c>
      <c r="W416" s="17">
        <v>101853408</v>
      </c>
      <c r="X416" s="16" t="s">
        <v>3131</v>
      </c>
      <c r="Y416" s="17" t="s">
        <v>3132</v>
      </c>
      <c r="Z416" s="17" t="s">
        <v>39</v>
      </c>
      <c r="AA416" s="17" t="s">
        <v>37</v>
      </c>
      <c r="AB416" s="29">
        <v>9.68</v>
      </c>
      <c r="AC416" s="25">
        <v>9.4700000000000006</v>
      </c>
      <c r="AD416" s="25">
        <f>AC416*T416</f>
        <v>113.64000000000001</v>
      </c>
      <c r="AE416" s="25">
        <f>AB416*T416</f>
        <v>116.16</v>
      </c>
      <c r="AF416" s="25">
        <f>AD416-AE416</f>
        <v>-2.5199999999999818</v>
      </c>
      <c r="AG416" s="26">
        <f>AF416/AD416</f>
        <v>-2.2175290390707335E-2</v>
      </c>
      <c r="AH416" s="27" t="str">
        <f>IF(AG416&lt;0,"Negative",IF(AG416=0,"Same",IF(AG416&gt;0.3,"30+%",IF(AG416&gt;0.2,"20-30%",IF(AG416&gt;0.1,"10-20%",IF(AG416&lt;=0.1,"0-10%"))))))</f>
        <v>Negative</v>
      </c>
      <c r="AI416" s="32"/>
      <c r="AJ416" s="36" t="s">
        <v>3300</v>
      </c>
      <c r="AK416" s="32"/>
    </row>
    <row r="417" spans="1:37" s="1" customFormat="1" ht="19.7" customHeight="1" x14ac:dyDescent="0.25">
      <c r="A417" s="9" t="s">
        <v>22</v>
      </c>
      <c r="B417" s="9" t="s">
        <v>2040</v>
      </c>
      <c r="C417" s="10">
        <v>44503</v>
      </c>
      <c r="D417" s="9" t="s">
        <v>24</v>
      </c>
      <c r="E417" s="9" t="s">
        <v>25</v>
      </c>
      <c r="F417" s="9" t="s">
        <v>26</v>
      </c>
      <c r="G417" s="9" t="s">
        <v>67</v>
      </c>
      <c r="H417" s="9" t="s">
        <v>68</v>
      </c>
      <c r="I417" s="9" t="s">
        <v>29</v>
      </c>
      <c r="J417" s="9" t="s">
        <v>30</v>
      </c>
      <c r="K417" s="9" t="s">
        <v>31</v>
      </c>
      <c r="L417" s="9" t="s">
        <v>32</v>
      </c>
      <c r="M417" s="9" t="s">
        <v>1788</v>
      </c>
      <c r="N417" s="9" t="s">
        <v>1927</v>
      </c>
      <c r="O417" s="9" t="s">
        <v>1790</v>
      </c>
      <c r="P417" s="9" t="s">
        <v>1791</v>
      </c>
      <c r="Q417" s="9">
        <v>101853408</v>
      </c>
      <c r="R417" s="9" t="s">
        <v>105</v>
      </c>
      <c r="S417" s="9" t="s">
        <v>39</v>
      </c>
      <c r="T417" s="11">
        <v>12</v>
      </c>
      <c r="U417" s="15" t="s">
        <v>1790</v>
      </c>
      <c r="V417" s="41" t="s">
        <v>1791</v>
      </c>
      <c r="W417" s="17">
        <v>101853408</v>
      </c>
      <c r="X417" s="16" t="s">
        <v>3131</v>
      </c>
      <c r="Y417" s="17" t="s">
        <v>3132</v>
      </c>
      <c r="Z417" s="17" t="s">
        <v>39</v>
      </c>
      <c r="AA417" s="17" t="s">
        <v>37</v>
      </c>
      <c r="AB417" s="29">
        <v>9.68</v>
      </c>
      <c r="AC417" s="25">
        <v>9.4700000000000006</v>
      </c>
      <c r="AD417" s="25">
        <f>AC417*T417</f>
        <v>113.64000000000001</v>
      </c>
      <c r="AE417" s="25">
        <f>AB417*T417</f>
        <v>116.16</v>
      </c>
      <c r="AF417" s="25">
        <f>AD417-AE417</f>
        <v>-2.5199999999999818</v>
      </c>
      <c r="AG417" s="26">
        <f>AF417/AD417</f>
        <v>-2.2175290390707335E-2</v>
      </c>
      <c r="AH417" s="27" t="str">
        <f>IF(AG417&lt;0,"Negative",IF(AG417=0,"Same",IF(AG417&gt;0.3,"30+%",IF(AG417&gt;0.2,"20-30%",IF(AG417&gt;0.1,"10-20%",IF(AG417&lt;=0.1,"0-10%"))))))</f>
        <v>Negative</v>
      </c>
      <c r="AI417" s="32"/>
      <c r="AJ417" s="36" t="s">
        <v>3300</v>
      </c>
      <c r="AK417" s="32"/>
    </row>
    <row r="418" spans="1:37" s="1" customFormat="1" ht="19.7" customHeight="1" x14ac:dyDescent="0.25">
      <c r="A418" s="9" t="s">
        <v>22</v>
      </c>
      <c r="B418" s="9" t="s">
        <v>1787</v>
      </c>
      <c r="C418" s="10">
        <v>44462</v>
      </c>
      <c r="D418" s="9" t="s">
        <v>24</v>
      </c>
      <c r="E418" s="9" t="s">
        <v>25</v>
      </c>
      <c r="F418" s="9" t="s">
        <v>26</v>
      </c>
      <c r="G418" s="9" t="s">
        <v>27</v>
      </c>
      <c r="H418" s="9" t="s">
        <v>28</v>
      </c>
      <c r="I418" s="9" t="s">
        <v>29</v>
      </c>
      <c r="J418" s="9" t="s">
        <v>30</v>
      </c>
      <c r="K418" s="9" t="s">
        <v>31</v>
      </c>
      <c r="L418" s="9" t="s">
        <v>32</v>
      </c>
      <c r="M418" s="9" t="s">
        <v>1788</v>
      </c>
      <c r="N418" s="9" t="s">
        <v>1789</v>
      </c>
      <c r="O418" s="9" t="s">
        <v>1790</v>
      </c>
      <c r="P418" s="9" t="s">
        <v>1791</v>
      </c>
      <c r="Q418" s="9">
        <v>101853408</v>
      </c>
      <c r="R418" s="9" t="s">
        <v>105</v>
      </c>
      <c r="S418" s="9" t="s">
        <v>39</v>
      </c>
      <c r="T418" s="11">
        <v>6</v>
      </c>
      <c r="U418" s="15" t="s">
        <v>1790</v>
      </c>
      <c r="V418" s="41" t="s">
        <v>1791</v>
      </c>
      <c r="W418" s="17">
        <v>101853408</v>
      </c>
      <c r="X418" s="16" t="s">
        <v>3131</v>
      </c>
      <c r="Y418" s="17" t="s">
        <v>3132</v>
      </c>
      <c r="Z418" s="17" t="s">
        <v>39</v>
      </c>
      <c r="AA418" s="17" t="s">
        <v>37</v>
      </c>
      <c r="AB418" s="29">
        <v>9.68</v>
      </c>
      <c r="AC418" s="25">
        <v>9.4700000000000006</v>
      </c>
      <c r="AD418" s="25">
        <f>AC418*T418</f>
        <v>56.820000000000007</v>
      </c>
      <c r="AE418" s="25">
        <f>AB418*T418</f>
        <v>58.08</v>
      </c>
      <c r="AF418" s="25">
        <f>AD418-AE418</f>
        <v>-1.2599999999999909</v>
      </c>
      <c r="AG418" s="26">
        <f>AF418/AD418</f>
        <v>-2.2175290390707335E-2</v>
      </c>
      <c r="AH418" s="27" t="str">
        <f>IF(AG418&lt;0,"Negative",IF(AG418=0,"Same",IF(AG418&gt;0.3,"30+%",IF(AG418&gt;0.2,"20-30%",IF(AG418&gt;0.1,"10-20%",IF(AG418&lt;=0.1,"0-10%"))))))</f>
        <v>Negative</v>
      </c>
      <c r="AI418" s="32"/>
      <c r="AJ418" s="36" t="s">
        <v>3300</v>
      </c>
      <c r="AK418" s="32"/>
    </row>
    <row r="419" spans="1:37" s="1" customFormat="1" ht="19.7" customHeight="1" x14ac:dyDescent="0.25">
      <c r="A419" s="9" t="s">
        <v>22</v>
      </c>
      <c r="B419" s="9" t="s">
        <v>2356</v>
      </c>
      <c r="C419" s="10">
        <v>44571</v>
      </c>
      <c r="D419" s="9" t="s">
        <v>24</v>
      </c>
      <c r="E419" s="9" t="s">
        <v>25</v>
      </c>
      <c r="F419" s="9" t="s">
        <v>26</v>
      </c>
      <c r="G419" s="9" t="s">
        <v>27</v>
      </c>
      <c r="H419" s="9" t="s">
        <v>28</v>
      </c>
      <c r="I419" s="9" t="s">
        <v>29</v>
      </c>
      <c r="J419" s="9" t="s">
        <v>30</v>
      </c>
      <c r="K419" s="9" t="s">
        <v>31</v>
      </c>
      <c r="L419" s="9" t="s">
        <v>32</v>
      </c>
      <c r="M419" s="9" t="s">
        <v>1923</v>
      </c>
      <c r="N419" s="9" t="s">
        <v>2357</v>
      </c>
      <c r="O419" s="9" t="s">
        <v>175</v>
      </c>
      <c r="P419" s="9" t="s">
        <v>1925</v>
      </c>
      <c r="Q419" s="9">
        <v>102199408</v>
      </c>
      <c r="R419" s="9" t="s">
        <v>61</v>
      </c>
      <c r="S419" s="9" t="s">
        <v>39</v>
      </c>
      <c r="T419" s="11">
        <v>2</v>
      </c>
      <c r="U419" s="15" t="s">
        <v>175</v>
      </c>
      <c r="V419" s="16" t="s">
        <v>1925</v>
      </c>
      <c r="W419" s="17">
        <v>102199408</v>
      </c>
      <c r="X419" s="16" t="s">
        <v>2559</v>
      </c>
      <c r="Y419" s="17" t="s">
        <v>3168</v>
      </c>
      <c r="Z419" s="17" t="s">
        <v>39</v>
      </c>
      <c r="AA419" s="17" t="s">
        <v>37</v>
      </c>
      <c r="AB419" s="29">
        <v>13.61</v>
      </c>
      <c r="AC419" s="25">
        <v>15.95</v>
      </c>
      <c r="AD419" s="25">
        <f>AC419*T419</f>
        <v>31.9</v>
      </c>
      <c r="AE419" s="25">
        <f>AB419*T419</f>
        <v>27.22</v>
      </c>
      <c r="AF419" s="25">
        <f>AD419-AE419</f>
        <v>4.68</v>
      </c>
      <c r="AG419" s="26">
        <f>AF419/AD419</f>
        <v>0.14670846394984327</v>
      </c>
      <c r="AH419" s="27" t="str">
        <f>IF(AG419&lt;0,"Negative",IF(AG419=0,"Same",IF(AG419&gt;0.3,"30+%",IF(AG419&gt;0.2,"20-30%",IF(AG419&gt;0.1,"10-20%",IF(AG419&lt;=0.1,"0-10%"))))))</f>
        <v>10-20%</v>
      </c>
      <c r="AI419" s="32"/>
      <c r="AJ419" s="36" t="s">
        <v>3299</v>
      </c>
      <c r="AK419" s="32"/>
    </row>
    <row r="420" spans="1:37" s="1" customFormat="1" ht="19.7" customHeight="1" x14ac:dyDescent="0.25">
      <c r="A420" s="9" t="s">
        <v>22</v>
      </c>
      <c r="B420" s="9" t="s">
        <v>495</v>
      </c>
      <c r="C420" s="10">
        <v>44267</v>
      </c>
      <c r="D420" s="9" t="s">
        <v>24</v>
      </c>
      <c r="E420" s="9" t="s">
        <v>25</v>
      </c>
      <c r="F420" s="9" t="s">
        <v>26</v>
      </c>
      <c r="G420" s="9" t="s">
        <v>67</v>
      </c>
      <c r="H420" s="9" t="s">
        <v>68</v>
      </c>
      <c r="I420" s="9" t="s">
        <v>29</v>
      </c>
      <c r="J420" s="9" t="s">
        <v>30</v>
      </c>
      <c r="K420" s="9" t="s">
        <v>31</v>
      </c>
      <c r="L420" s="9" t="s">
        <v>32</v>
      </c>
      <c r="M420" s="9" t="s">
        <v>497</v>
      </c>
      <c r="N420" s="9" t="s">
        <v>496</v>
      </c>
      <c r="O420" s="9" t="s">
        <v>169</v>
      </c>
      <c r="P420" s="9" t="s">
        <v>498</v>
      </c>
      <c r="Q420" s="9">
        <v>100780977</v>
      </c>
      <c r="R420" s="9" t="s">
        <v>56</v>
      </c>
      <c r="S420" s="9" t="s">
        <v>39</v>
      </c>
      <c r="T420" s="11">
        <v>2</v>
      </c>
      <c r="U420" s="15" t="s">
        <v>169</v>
      </c>
      <c r="V420" s="16" t="s">
        <v>498</v>
      </c>
      <c r="W420" s="17">
        <v>100780977</v>
      </c>
      <c r="X420" s="16" t="s">
        <v>2568</v>
      </c>
      <c r="Y420" s="17" t="s">
        <v>2700</v>
      </c>
      <c r="Z420" s="17" t="s">
        <v>39</v>
      </c>
      <c r="AA420" s="17" t="s">
        <v>37</v>
      </c>
      <c r="AB420" s="43">
        <v>21.71</v>
      </c>
      <c r="AC420" s="25">
        <v>22.36</v>
      </c>
      <c r="AD420" s="25">
        <f>AC420*T420</f>
        <v>44.72</v>
      </c>
      <c r="AE420" s="25">
        <f>AB420*T420</f>
        <v>43.42</v>
      </c>
      <c r="AF420" s="25">
        <f>AD420-AE420</f>
        <v>1.2999999999999972</v>
      </c>
      <c r="AG420" s="26">
        <f>AF420/AD420</f>
        <v>2.9069767441860402E-2</v>
      </c>
      <c r="AH420" s="27" t="str">
        <f>IF(AG420&lt;0,"Negative",IF(AG420=0,"Same",IF(AG420&gt;0.3,"30+%",IF(AG420&gt;0.2,"20-30%",IF(AG420&gt;0.1,"10-20%",IF(AG420&lt;=0.1,"0-10%"))))))</f>
        <v>0-10%</v>
      </c>
      <c r="AI420" s="32"/>
      <c r="AJ420" s="36" t="s">
        <v>3299</v>
      </c>
      <c r="AK420" s="32"/>
    </row>
    <row r="421" spans="1:37" s="1" customFormat="1" ht="19.7" customHeight="1" x14ac:dyDescent="0.25">
      <c r="A421" s="9" t="s">
        <v>22</v>
      </c>
      <c r="B421" s="9" t="s">
        <v>1548</v>
      </c>
      <c r="C421" s="10">
        <v>44411</v>
      </c>
      <c r="D421" s="9" t="s">
        <v>24</v>
      </c>
      <c r="E421" s="9" t="s">
        <v>25</v>
      </c>
      <c r="F421" s="9" t="s">
        <v>26</v>
      </c>
      <c r="G421" s="9" t="s">
        <v>27</v>
      </c>
      <c r="H421" s="9" t="s">
        <v>28</v>
      </c>
      <c r="I421" s="9" t="s">
        <v>29</v>
      </c>
      <c r="J421" s="9" t="s">
        <v>30</v>
      </c>
      <c r="K421" s="9" t="s">
        <v>31</v>
      </c>
      <c r="L421" s="9" t="s">
        <v>32</v>
      </c>
      <c r="M421" s="9" t="s">
        <v>1549</v>
      </c>
      <c r="N421" s="9" t="s">
        <v>1550</v>
      </c>
      <c r="O421" s="9" t="s">
        <v>89</v>
      </c>
      <c r="P421" s="9" t="s">
        <v>1551</v>
      </c>
      <c r="Q421" s="9">
        <v>100746838</v>
      </c>
      <c r="R421" s="9" t="s">
        <v>45</v>
      </c>
      <c r="S421" s="9" t="s">
        <v>39</v>
      </c>
      <c r="T421" s="11">
        <v>2</v>
      </c>
      <c r="U421" s="15" t="s">
        <v>89</v>
      </c>
      <c r="V421" s="16" t="s">
        <v>1551</v>
      </c>
      <c r="W421" s="17">
        <v>100746838</v>
      </c>
      <c r="X421" s="16" t="s">
        <v>2520</v>
      </c>
      <c r="Y421" s="17" t="s">
        <v>3071</v>
      </c>
      <c r="Z421" s="17" t="s">
        <v>39</v>
      </c>
      <c r="AA421" s="17" t="s">
        <v>37</v>
      </c>
      <c r="AB421" s="43">
        <v>5.46</v>
      </c>
      <c r="AC421" s="25">
        <v>6.41</v>
      </c>
      <c r="AD421" s="25">
        <f>AC421*T421</f>
        <v>12.82</v>
      </c>
      <c r="AE421" s="25">
        <f>AB421*T421</f>
        <v>10.92</v>
      </c>
      <c r="AF421" s="25">
        <f>AD421-AE421</f>
        <v>1.9000000000000004</v>
      </c>
      <c r="AG421" s="26">
        <f>AF421/AD421</f>
        <v>0.1482059282371295</v>
      </c>
      <c r="AH421" s="27" t="str">
        <f>IF(AG421&lt;0,"Negative",IF(AG421=0,"Same",IF(AG421&gt;0.3,"30+%",IF(AG421&gt;0.2,"20-30%",IF(AG421&gt;0.1,"10-20%",IF(AG421&lt;=0.1,"0-10%"))))))</f>
        <v>10-20%</v>
      </c>
      <c r="AI421" s="32"/>
      <c r="AJ421" s="36" t="s">
        <v>3300</v>
      </c>
      <c r="AK421" s="32"/>
    </row>
    <row r="422" spans="1:37" s="1" customFormat="1" ht="19.7" customHeight="1" x14ac:dyDescent="0.25">
      <c r="A422" s="5" t="s">
        <v>22</v>
      </c>
      <c r="B422" s="5" t="s">
        <v>2395</v>
      </c>
      <c r="C422" s="6">
        <v>44580</v>
      </c>
      <c r="D422" s="5" t="s">
        <v>24</v>
      </c>
      <c r="E422" s="5" t="s">
        <v>25</v>
      </c>
      <c r="F422" s="5" t="s">
        <v>26</v>
      </c>
      <c r="G422" s="5" t="s">
        <v>27</v>
      </c>
      <c r="H422" s="5" t="s">
        <v>28</v>
      </c>
      <c r="I422" s="5" t="s">
        <v>29</v>
      </c>
      <c r="J422" s="5" t="s">
        <v>30</v>
      </c>
      <c r="K422" s="5" t="s">
        <v>31</v>
      </c>
      <c r="L422" s="5" t="s">
        <v>32</v>
      </c>
      <c r="M422" s="5" t="s">
        <v>1243</v>
      </c>
      <c r="N422" s="5" t="s">
        <v>2397</v>
      </c>
      <c r="O422" s="5" t="s">
        <v>186</v>
      </c>
      <c r="P422" s="5" t="s">
        <v>1245</v>
      </c>
      <c r="Q422" s="5">
        <v>102130701</v>
      </c>
      <c r="R422" s="5" t="s">
        <v>56</v>
      </c>
      <c r="S422" s="5" t="s">
        <v>39</v>
      </c>
      <c r="T422" s="7">
        <v>1</v>
      </c>
      <c r="U422" s="15" t="s">
        <v>186</v>
      </c>
      <c r="V422" s="16" t="s">
        <v>1245</v>
      </c>
      <c r="W422" s="17">
        <v>102130701</v>
      </c>
      <c r="X422" s="16" t="s">
        <v>2565</v>
      </c>
      <c r="Y422" s="17" t="s">
        <v>2974</v>
      </c>
      <c r="Z422" s="17" t="s">
        <v>39</v>
      </c>
      <c r="AA422" s="17" t="s">
        <v>37</v>
      </c>
      <c r="AB422" s="43">
        <v>13.52</v>
      </c>
      <c r="AC422" s="25">
        <v>14.06</v>
      </c>
      <c r="AD422" s="25">
        <f>AC422*T422</f>
        <v>14.06</v>
      </c>
      <c r="AE422" s="25">
        <f>AB422*T422</f>
        <v>13.52</v>
      </c>
      <c r="AF422" s="25">
        <f>AD422-AE422</f>
        <v>0.54000000000000092</v>
      </c>
      <c r="AG422" s="26">
        <f>AF422/AD422</f>
        <v>3.8406827880512154E-2</v>
      </c>
      <c r="AH422" s="27" t="str">
        <f>IF(AG422&lt;0,"Negative",IF(AG422=0,"Same",IF(AG422&gt;0.3,"30+%",IF(AG422&gt;0.2,"20-30%",IF(AG422&gt;0.1,"10-20%",IF(AG422&lt;=0.1,"0-10%"))))))</f>
        <v>0-10%</v>
      </c>
      <c r="AI422" s="32"/>
      <c r="AJ422" s="36" t="s">
        <v>3299</v>
      </c>
      <c r="AK422" s="32"/>
    </row>
    <row r="423" spans="1:37" s="1" customFormat="1" ht="19.7" customHeight="1" x14ac:dyDescent="0.25">
      <c r="A423" s="5" t="s">
        <v>22</v>
      </c>
      <c r="B423" s="5" t="s">
        <v>2170</v>
      </c>
      <c r="C423" s="6">
        <v>44531</v>
      </c>
      <c r="D423" s="5" t="s">
        <v>24</v>
      </c>
      <c r="E423" s="5" t="s">
        <v>25</v>
      </c>
      <c r="F423" s="5" t="s">
        <v>26</v>
      </c>
      <c r="G423" s="5" t="s">
        <v>27</v>
      </c>
      <c r="H423" s="5" t="s">
        <v>28</v>
      </c>
      <c r="I423" s="5" t="s">
        <v>29</v>
      </c>
      <c r="J423" s="5" t="s">
        <v>30</v>
      </c>
      <c r="K423" s="5" t="s">
        <v>31</v>
      </c>
      <c r="L423" s="5" t="s">
        <v>32</v>
      </c>
      <c r="M423" s="5" t="s">
        <v>1243</v>
      </c>
      <c r="N423" s="5" t="s">
        <v>2171</v>
      </c>
      <c r="O423" s="5" t="s">
        <v>186</v>
      </c>
      <c r="P423" s="5" t="s">
        <v>1245</v>
      </c>
      <c r="Q423" s="5">
        <v>102130701</v>
      </c>
      <c r="R423" s="5" t="s">
        <v>56</v>
      </c>
      <c r="S423" s="5" t="s">
        <v>39</v>
      </c>
      <c r="T423" s="7">
        <v>1</v>
      </c>
      <c r="U423" s="15" t="s">
        <v>186</v>
      </c>
      <c r="V423" s="16" t="s">
        <v>1245</v>
      </c>
      <c r="W423" s="17">
        <v>102130701</v>
      </c>
      <c r="X423" s="16" t="s">
        <v>2565</v>
      </c>
      <c r="Y423" s="17" t="s">
        <v>2974</v>
      </c>
      <c r="Z423" s="17" t="s">
        <v>39</v>
      </c>
      <c r="AA423" s="17" t="s">
        <v>37</v>
      </c>
      <c r="AB423" s="43">
        <v>13.52</v>
      </c>
      <c r="AC423" s="25">
        <v>14.06</v>
      </c>
      <c r="AD423" s="25">
        <f>AC423*T423</f>
        <v>14.06</v>
      </c>
      <c r="AE423" s="25">
        <f>AB423*T423</f>
        <v>13.52</v>
      </c>
      <c r="AF423" s="25">
        <f>AD423-AE423</f>
        <v>0.54000000000000092</v>
      </c>
      <c r="AG423" s="26">
        <f>AF423/AD423</f>
        <v>3.8406827880512154E-2</v>
      </c>
      <c r="AH423" s="27" t="str">
        <f>IF(AG423&lt;0,"Negative",IF(AG423=0,"Same",IF(AG423&gt;0.3,"30+%",IF(AG423&gt;0.2,"20-30%",IF(AG423&gt;0.1,"10-20%",IF(AG423&lt;=0.1,"0-10%"))))))</f>
        <v>0-10%</v>
      </c>
      <c r="AI423" s="32"/>
      <c r="AJ423" s="36" t="s">
        <v>3299</v>
      </c>
      <c r="AK423" s="32"/>
    </row>
    <row r="424" spans="1:37" s="1" customFormat="1" ht="19.7" customHeight="1" x14ac:dyDescent="0.25">
      <c r="A424" s="9" t="s">
        <v>22</v>
      </c>
      <c r="B424" s="9" t="s">
        <v>2042</v>
      </c>
      <c r="C424" s="10">
        <v>44504</v>
      </c>
      <c r="D424" s="9" t="s">
        <v>24</v>
      </c>
      <c r="E424" s="9" t="s">
        <v>25</v>
      </c>
      <c r="F424" s="9" t="s">
        <v>26</v>
      </c>
      <c r="G424" s="9" t="s">
        <v>27</v>
      </c>
      <c r="H424" s="9" t="s">
        <v>28</v>
      </c>
      <c r="I424" s="9" t="s">
        <v>29</v>
      </c>
      <c r="J424" s="9" t="s">
        <v>30</v>
      </c>
      <c r="K424" s="9" t="s">
        <v>31</v>
      </c>
      <c r="L424" s="9" t="s">
        <v>32</v>
      </c>
      <c r="M424" s="9" t="s">
        <v>1243</v>
      </c>
      <c r="N424" s="9" t="s">
        <v>2044</v>
      </c>
      <c r="O424" s="9" t="s">
        <v>186</v>
      </c>
      <c r="P424" s="9" t="s">
        <v>1245</v>
      </c>
      <c r="Q424" s="9">
        <v>102130701</v>
      </c>
      <c r="R424" s="9" t="s">
        <v>56</v>
      </c>
      <c r="S424" s="9" t="s">
        <v>39</v>
      </c>
      <c r="T424" s="11">
        <v>1</v>
      </c>
      <c r="U424" s="15" t="s">
        <v>186</v>
      </c>
      <c r="V424" s="16" t="s">
        <v>1245</v>
      </c>
      <c r="W424" s="17">
        <v>102130701</v>
      </c>
      <c r="X424" s="16" t="s">
        <v>2565</v>
      </c>
      <c r="Y424" s="17" t="s">
        <v>2974</v>
      </c>
      <c r="Z424" s="17" t="s">
        <v>39</v>
      </c>
      <c r="AA424" s="17" t="s">
        <v>37</v>
      </c>
      <c r="AB424" s="43">
        <v>13.52</v>
      </c>
      <c r="AC424" s="25">
        <v>14.06</v>
      </c>
      <c r="AD424" s="25">
        <f>AC424*T424</f>
        <v>14.06</v>
      </c>
      <c r="AE424" s="25">
        <f>AB424*T424</f>
        <v>13.52</v>
      </c>
      <c r="AF424" s="25">
        <f>AD424-AE424</f>
        <v>0.54000000000000092</v>
      </c>
      <c r="AG424" s="26">
        <f>AF424/AD424</f>
        <v>3.8406827880512154E-2</v>
      </c>
      <c r="AH424" s="27" t="str">
        <f>IF(AG424&lt;0,"Negative",IF(AG424=0,"Same",IF(AG424&gt;0.3,"30+%",IF(AG424&gt;0.2,"20-30%",IF(AG424&gt;0.1,"10-20%",IF(AG424&lt;=0.1,"0-10%"))))))</f>
        <v>0-10%</v>
      </c>
      <c r="AI424" s="32"/>
      <c r="AJ424" s="36" t="s">
        <v>3299</v>
      </c>
      <c r="AK424" s="32"/>
    </row>
    <row r="425" spans="1:37" s="1" customFormat="1" ht="19.7" customHeight="1" x14ac:dyDescent="0.25">
      <c r="A425" s="5" t="s">
        <v>22</v>
      </c>
      <c r="B425" s="5" t="s">
        <v>2374</v>
      </c>
      <c r="C425" s="6">
        <v>44575</v>
      </c>
      <c r="D425" s="5" t="s">
        <v>24</v>
      </c>
      <c r="E425" s="5" t="s">
        <v>25</v>
      </c>
      <c r="F425" s="5" t="s">
        <v>26</v>
      </c>
      <c r="G425" s="5" t="s">
        <v>27</v>
      </c>
      <c r="H425" s="5" t="s">
        <v>28</v>
      </c>
      <c r="I425" s="5" t="s">
        <v>29</v>
      </c>
      <c r="J425" s="5" t="s">
        <v>30</v>
      </c>
      <c r="K425" s="5" t="s">
        <v>31</v>
      </c>
      <c r="L425" s="5" t="s">
        <v>32</v>
      </c>
      <c r="M425" s="5" t="s">
        <v>2376</v>
      </c>
      <c r="N425" s="5" t="s">
        <v>2375</v>
      </c>
      <c r="O425" s="5" t="s">
        <v>2377</v>
      </c>
      <c r="P425" s="5" t="s">
        <v>2378</v>
      </c>
      <c r="Q425" s="5">
        <v>111952569</v>
      </c>
      <c r="R425" s="5" t="s">
        <v>76</v>
      </c>
      <c r="S425" s="5" t="s">
        <v>39</v>
      </c>
      <c r="T425" s="7">
        <v>1</v>
      </c>
      <c r="U425" s="15" t="s">
        <v>2377</v>
      </c>
      <c r="V425" s="16" t="s">
        <v>2378</v>
      </c>
      <c r="W425" s="17">
        <v>111952569</v>
      </c>
      <c r="X425" s="16" t="s">
        <v>2953</v>
      </c>
      <c r="Y425" s="17" t="s">
        <v>3259</v>
      </c>
      <c r="Z425" s="17" t="s">
        <v>39</v>
      </c>
      <c r="AA425" s="17" t="s">
        <v>37</v>
      </c>
      <c r="AB425" s="29">
        <v>12.35</v>
      </c>
      <c r="AC425" s="25">
        <v>13.08</v>
      </c>
      <c r="AD425" s="25">
        <f>AC425*T425</f>
        <v>13.08</v>
      </c>
      <c r="AE425" s="25">
        <f>AB425*T425</f>
        <v>12.35</v>
      </c>
      <c r="AF425" s="25">
        <f>AD425-AE425</f>
        <v>0.73000000000000043</v>
      </c>
      <c r="AG425" s="26">
        <f>AF425/AD425</f>
        <v>5.5810397553516855E-2</v>
      </c>
      <c r="AH425" s="27" t="str">
        <f>IF(AG425&lt;0,"Negative",IF(AG425=0,"Same",IF(AG425&gt;0.3,"30+%",IF(AG425&gt;0.2,"20-30%",IF(AG425&gt;0.1,"10-20%",IF(AG425&lt;=0.1,"0-10%"))))))</f>
        <v>0-10%</v>
      </c>
      <c r="AI425" s="32"/>
      <c r="AJ425" s="36" t="s">
        <v>3299</v>
      </c>
      <c r="AK425" s="32"/>
    </row>
    <row r="426" spans="1:37" s="1" customFormat="1" ht="19.7" customHeight="1" x14ac:dyDescent="0.25">
      <c r="A426" s="5" t="s">
        <v>22</v>
      </c>
      <c r="B426" s="5" t="s">
        <v>2058</v>
      </c>
      <c r="C426" s="6">
        <v>44510</v>
      </c>
      <c r="D426" s="5" t="s">
        <v>24</v>
      </c>
      <c r="E426" s="5" t="s">
        <v>25</v>
      </c>
      <c r="F426" s="5" t="s">
        <v>26</v>
      </c>
      <c r="G426" s="5" t="s">
        <v>27</v>
      </c>
      <c r="H426" s="5" t="s">
        <v>28</v>
      </c>
      <c r="I426" s="5" t="s">
        <v>29</v>
      </c>
      <c r="J426" s="5" t="s">
        <v>30</v>
      </c>
      <c r="K426" s="5" t="s">
        <v>31</v>
      </c>
      <c r="L426" s="5" t="s">
        <v>32</v>
      </c>
      <c r="M426" s="5" t="s">
        <v>1243</v>
      </c>
      <c r="N426" s="5" t="s">
        <v>2059</v>
      </c>
      <c r="O426" s="5" t="s">
        <v>186</v>
      </c>
      <c r="P426" s="5" t="s">
        <v>1245</v>
      </c>
      <c r="Q426" s="5">
        <v>102130701</v>
      </c>
      <c r="R426" s="5" t="s">
        <v>56</v>
      </c>
      <c r="S426" s="5" t="s">
        <v>39</v>
      </c>
      <c r="T426" s="7">
        <v>2</v>
      </c>
      <c r="U426" s="15" t="s">
        <v>186</v>
      </c>
      <c r="V426" s="16" t="s">
        <v>1245</v>
      </c>
      <c r="W426" s="17">
        <v>102130701</v>
      </c>
      <c r="X426" s="16" t="s">
        <v>2565</v>
      </c>
      <c r="Y426" s="17" t="s">
        <v>2974</v>
      </c>
      <c r="Z426" s="17" t="s">
        <v>39</v>
      </c>
      <c r="AA426" s="17" t="s">
        <v>37</v>
      </c>
      <c r="AB426" s="43">
        <v>13.52</v>
      </c>
      <c r="AC426" s="25">
        <v>14.06</v>
      </c>
      <c r="AD426" s="25">
        <f>AC426*T426</f>
        <v>28.12</v>
      </c>
      <c r="AE426" s="25">
        <f>AB426*T426</f>
        <v>27.04</v>
      </c>
      <c r="AF426" s="25">
        <f>AD426-AE426</f>
        <v>1.0800000000000018</v>
      </c>
      <c r="AG426" s="26">
        <f>AF426/AD426</f>
        <v>3.8406827880512154E-2</v>
      </c>
      <c r="AH426" s="27" t="str">
        <f>IF(AG426&lt;0,"Negative",IF(AG426=0,"Same",IF(AG426&gt;0.3,"30+%",IF(AG426&gt;0.2,"20-30%",IF(AG426&gt;0.1,"10-20%",IF(AG426&lt;=0.1,"0-10%"))))))</f>
        <v>0-10%</v>
      </c>
      <c r="AI426" s="32"/>
      <c r="AJ426" s="36" t="s">
        <v>3299</v>
      </c>
      <c r="AK426" s="32"/>
    </row>
    <row r="427" spans="1:37" s="1" customFormat="1" ht="19.7" customHeight="1" x14ac:dyDescent="0.25">
      <c r="A427" s="9" t="s">
        <v>22</v>
      </c>
      <c r="B427" s="9" t="s">
        <v>1515</v>
      </c>
      <c r="C427" s="10">
        <v>44407</v>
      </c>
      <c r="D427" s="9" t="s">
        <v>24</v>
      </c>
      <c r="E427" s="9" t="s">
        <v>25</v>
      </c>
      <c r="F427" s="9" t="s">
        <v>26</v>
      </c>
      <c r="G427" s="9" t="s">
        <v>27</v>
      </c>
      <c r="H427" s="9" t="s">
        <v>28</v>
      </c>
      <c r="I427" s="9" t="s">
        <v>29</v>
      </c>
      <c r="J427" s="9" t="s">
        <v>30</v>
      </c>
      <c r="K427" s="9" t="s">
        <v>31</v>
      </c>
      <c r="L427" s="9" t="s">
        <v>32</v>
      </c>
      <c r="M427" s="9" t="s">
        <v>1516</v>
      </c>
      <c r="N427" s="9" t="s">
        <v>1517</v>
      </c>
      <c r="O427" s="9" t="s">
        <v>183</v>
      </c>
      <c r="P427" s="9" t="s">
        <v>1518</v>
      </c>
      <c r="Q427" s="9">
        <v>100439603</v>
      </c>
      <c r="R427" s="9" t="s">
        <v>56</v>
      </c>
      <c r="S427" s="9" t="s">
        <v>39</v>
      </c>
      <c r="T427" s="11">
        <v>1</v>
      </c>
      <c r="U427" s="15" t="s">
        <v>183</v>
      </c>
      <c r="V427" s="16" t="s">
        <v>1518</v>
      </c>
      <c r="W427" s="17">
        <v>100439603</v>
      </c>
      <c r="X427" s="16" t="s">
        <v>2565</v>
      </c>
      <c r="Y427" s="17" t="s">
        <v>3065</v>
      </c>
      <c r="Z427" s="17" t="s">
        <v>39</v>
      </c>
      <c r="AA427" s="17" t="s">
        <v>37</v>
      </c>
      <c r="AB427" s="29">
        <v>15.42</v>
      </c>
      <c r="AC427" s="25">
        <v>17.32</v>
      </c>
      <c r="AD427" s="25">
        <f>AC427*T427</f>
        <v>17.32</v>
      </c>
      <c r="AE427" s="25">
        <f>AB427*T427</f>
        <v>15.42</v>
      </c>
      <c r="AF427" s="25">
        <f>AD427-AE427</f>
        <v>1.9000000000000004</v>
      </c>
      <c r="AG427" s="26">
        <f>AF427/AD427</f>
        <v>0.1096997690531178</v>
      </c>
      <c r="AH427" s="27" t="str">
        <f>IF(AG427&lt;0,"Negative",IF(AG427=0,"Same",IF(AG427&gt;0.3,"30+%",IF(AG427&gt;0.2,"20-30%",IF(AG427&gt;0.1,"10-20%",IF(AG427&lt;=0.1,"0-10%"))))))</f>
        <v>10-20%</v>
      </c>
      <c r="AI427" s="32"/>
      <c r="AJ427" s="36" t="s">
        <v>3299</v>
      </c>
      <c r="AK427" s="32"/>
    </row>
    <row r="428" spans="1:37" s="1" customFormat="1" ht="19.7" customHeight="1" x14ac:dyDescent="0.25">
      <c r="A428" s="5" t="s">
        <v>22</v>
      </c>
      <c r="B428" s="5" t="s">
        <v>2485</v>
      </c>
      <c r="C428" s="6">
        <v>44589</v>
      </c>
      <c r="D428" s="5" t="s">
        <v>24</v>
      </c>
      <c r="E428" s="5" t="s">
        <v>25</v>
      </c>
      <c r="F428" s="5" t="s">
        <v>26</v>
      </c>
      <c r="G428" s="5" t="s">
        <v>67</v>
      </c>
      <c r="H428" s="5" t="s">
        <v>68</v>
      </c>
      <c r="I428" s="5" t="s">
        <v>29</v>
      </c>
      <c r="J428" s="5" t="s">
        <v>30</v>
      </c>
      <c r="K428" s="5" t="s">
        <v>31</v>
      </c>
      <c r="L428" s="5" t="s">
        <v>32</v>
      </c>
      <c r="M428" s="5" t="s">
        <v>359</v>
      </c>
      <c r="N428" s="5" t="s">
        <v>2483</v>
      </c>
      <c r="O428" s="5" t="s">
        <v>71</v>
      </c>
      <c r="P428" s="5" t="s">
        <v>360</v>
      </c>
      <c r="Q428" s="5">
        <v>112228027</v>
      </c>
      <c r="R428" s="5" t="s">
        <v>73</v>
      </c>
      <c r="S428" s="5" t="s">
        <v>39</v>
      </c>
      <c r="T428" s="7">
        <v>48</v>
      </c>
      <c r="U428" s="15" t="s">
        <v>71</v>
      </c>
      <c r="V428" s="41" t="s">
        <v>360</v>
      </c>
      <c r="W428" s="17">
        <v>112228027</v>
      </c>
      <c r="X428" s="16" t="s">
        <v>2510</v>
      </c>
      <c r="Y428" s="17" t="s">
        <v>2641</v>
      </c>
      <c r="Z428" s="17" t="s">
        <v>39</v>
      </c>
      <c r="AA428" s="17" t="s">
        <v>2501</v>
      </c>
      <c r="AB428" s="29">
        <v>16.850000000000001</v>
      </c>
      <c r="AC428" s="25">
        <v>16.850000000000001</v>
      </c>
      <c r="AD428" s="25">
        <f>AC428*T428</f>
        <v>808.80000000000007</v>
      </c>
      <c r="AE428" s="25">
        <f>AB428*T428</f>
        <v>808.80000000000007</v>
      </c>
      <c r="AF428" s="25">
        <f>AD428-AE428</f>
        <v>0</v>
      </c>
      <c r="AG428" s="26">
        <f>AF428/AD428</f>
        <v>0</v>
      </c>
      <c r="AH428" s="27" t="str">
        <f>IF(AG428&lt;0,"Negative",IF(AG428=0,"Same",IF(AG428&gt;0.3,"30+%",IF(AG428&gt;0.2,"20-30%",IF(AG428&gt;0.1,"10-20%",IF(AG428&lt;=0.1,"0-10%"))))))</f>
        <v>Same</v>
      </c>
      <c r="AI428" s="32"/>
      <c r="AJ428" s="36" t="s">
        <v>3300</v>
      </c>
      <c r="AK428" s="32"/>
    </row>
    <row r="429" spans="1:37" s="1" customFormat="1" ht="19.7" customHeight="1" x14ac:dyDescent="0.25">
      <c r="A429" s="9" t="s">
        <v>22</v>
      </c>
      <c r="B429" s="9" t="s">
        <v>1380</v>
      </c>
      <c r="C429" s="10">
        <v>44386</v>
      </c>
      <c r="D429" s="9" t="s">
        <v>24</v>
      </c>
      <c r="E429" s="9" t="s">
        <v>25</v>
      </c>
      <c r="F429" s="9" t="s">
        <v>26</v>
      </c>
      <c r="G429" s="9" t="s">
        <v>27</v>
      </c>
      <c r="H429" s="9" t="s">
        <v>28</v>
      </c>
      <c r="I429" s="9" t="s">
        <v>29</v>
      </c>
      <c r="J429" s="9" t="s">
        <v>30</v>
      </c>
      <c r="K429" s="9" t="s">
        <v>31</v>
      </c>
      <c r="L429" s="9" t="s">
        <v>32</v>
      </c>
      <c r="M429" s="9" t="s">
        <v>1381</v>
      </c>
      <c r="N429" s="9" t="s">
        <v>697</v>
      </c>
      <c r="O429" s="9" t="s">
        <v>1180</v>
      </c>
      <c r="P429" s="9" t="s">
        <v>1382</v>
      </c>
      <c r="Q429" s="9">
        <v>100872549</v>
      </c>
      <c r="R429" s="9" t="s">
        <v>76</v>
      </c>
      <c r="S429" s="9" t="s">
        <v>39</v>
      </c>
      <c r="T429" s="11">
        <v>3</v>
      </c>
      <c r="U429" s="15" t="s">
        <v>1180</v>
      </c>
      <c r="V429" s="16" t="s">
        <v>1382</v>
      </c>
      <c r="W429" s="17">
        <v>100872549</v>
      </c>
      <c r="X429" s="16" t="s">
        <v>2953</v>
      </c>
      <c r="Y429" s="17" t="s">
        <v>3020</v>
      </c>
      <c r="Z429" s="17" t="s">
        <v>39</v>
      </c>
      <c r="AA429" s="17"/>
      <c r="AB429" s="29">
        <v>46.84</v>
      </c>
      <c r="AC429" s="25">
        <v>44.91</v>
      </c>
      <c r="AD429" s="25">
        <f>AC429*T429</f>
        <v>134.72999999999999</v>
      </c>
      <c r="AE429" s="25">
        <f>AB429*T429</f>
        <v>140.52000000000001</v>
      </c>
      <c r="AF429" s="25">
        <f>AD429-AE429</f>
        <v>-5.7900000000000205</v>
      </c>
      <c r="AG429" s="26">
        <f>AF429/AD429</f>
        <v>-4.2974838566021085E-2</v>
      </c>
      <c r="AH429" s="27" t="str">
        <f>IF(AG429&lt;0,"Negative",IF(AG429=0,"Same",IF(AG429&gt;0.3,"30+%",IF(AG429&gt;0.2,"20-30%",IF(AG429&gt;0.1,"10-20%",IF(AG429&lt;=0.1,"0-10%"))))))</f>
        <v>Negative</v>
      </c>
      <c r="AI429" s="32"/>
      <c r="AJ429" s="36" t="s">
        <v>3299</v>
      </c>
      <c r="AK429" s="32"/>
    </row>
    <row r="430" spans="1:37" s="1" customFormat="1" ht="19.7" customHeight="1" x14ac:dyDescent="0.25">
      <c r="A430" s="9" t="s">
        <v>22</v>
      </c>
      <c r="B430" s="9" t="s">
        <v>581</v>
      </c>
      <c r="C430" s="10">
        <v>44279</v>
      </c>
      <c r="D430" s="9" t="s">
        <v>24</v>
      </c>
      <c r="E430" s="9" t="s">
        <v>25</v>
      </c>
      <c r="F430" s="9" t="s">
        <v>26</v>
      </c>
      <c r="G430" s="9" t="s">
        <v>27</v>
      </c>
      <c r="H430" s="9" t="s">
        <v>28</v>
      </c>
      <c r="I430" s="9" t="s">
        <v>29</v>
      </c>
      <c r="J430" s="9" t="s">
        <v>30</v>
      </c>
      <c r="K430" s="9" t="s">
        <v>31</v>
      </c>
      <c r="L430" s="9" t="s">
        <v>32</v>
      </c>
      <c r="M430" s="9" t="s">
        <v>582</v>
      </c>
      <c r="N430" s="9" t="s">
        <v>583</v>
      </c>
      <c r="O430" s="9" t="s">
        <v>172</v>
      </c>
      <c r="P430" s="9" t="s">
        <v>584</v>
      </c>
      <c r="Q430" s="9">
        <v>100800945</v>
      </c>
      <c r="R430" s="9" t="s">
        <v>56</v>
      </c>
      <c r="S430" s="9" t="s">
        <v>39</v>
      </c>
      <c r="T430" s="11">
        <v>2</v>
      </c>
      <c r="U430" s="15" t="s">
        <v>172</v>
      </c>
      <c r="V430" s="16" t="s">
        <v>584</v>
      </c>
      <c r="W430" s="17">
        <v>100800945</v>
      </c>
      <c r="X430" s="16" t="s">
        <v>2557</v>
      </c>
      <c r="Y430" s="17" t="s">
        <v>2739</v>
      </c>
      <c r="Z430" s="17" t="s">
        <v>39</v>
      </c>
      <c r="AA430" s="17" t="s">
        <v>37</v>
      </c>
      <c r="AB430" s="43">
        <v>7.4</v>
      </c>
      <c r="AC430" s="25">
        <v>7.55</v>
      </c>
      <c r="AD430" s="25">
        <f>AC430*T430</f>
        <v>15.1</v>
      </c>
      <c r="AE430" s="25">
        <f>AB430*T430</f>
        <v>14.8</v>
      </c>
      <c r="AF430" s="25">
        <f>AD430-AE430</f>
        <v>0.29999999999999893</v>
      </c>
      <c r="AG430" s="26">
        <f>AF430/AD430</f>
        <v>1.9867549668874104E-2</v>
      </c>
      <c r="AH430" s="27" t="str">
        <f>IF(AG430&lt;0,"Negative",IF(AG430=0,"Same",IF(AG430&gt;0.3,"30+%",IF(AG430&gt;0.2,"20-30%",IF(AG430&gt;0.1,"10-20%",IF(AG430&lt;=0.1,"0-10%"))))))</f>
        <v>0-10%</v>
      </c>
      <c r="AI430" s="32"/>
      <c r="AJ430" s="36" t="s">
        <v>3300</v>
      </c>
      <c r="AK430" s="32"/>
    </row>
    <row r="431" spans="1:37" s="1" customFormat="1" ht="19.7" customHeight="1" x14ac:dyDescent="0.25">
      <c r="A431" s="5" t="s">
        <v>22</v>
      </c>
      <c r="B431" s="5" t="s">
        <v>86</v>
      </c>
      <c r="C431" s="6">
        <v>44232</v>
      </c>
      <c r="D431" s="5" t="s">
        <v>24</v>
      </c>
      <c r="E431" s="5" t="s">
        <v>25</v>
      </c>
      <c r="F431" s="5" t="s">
        <v>26</v>
      </c>
      <c r="G431" s="5" t="s">
        <v>27</v>
      </c>
      <c r="H431" s="5" t="s">
        <v>28</v>
      </c>
      <c r="I431" s="5" t="s">
        <v>29</v>
      </c>
      <c r="J431" s="5" t="s">
        <v>30</v>
      </c>
      <c r="K431" s="5" t="s">
        <v>31</v>
      </c>
      <c r="L431" s="5" t="s">
        <v>32</v>
      </c>
      <c r="M431" s="5" t="s">
        <v>87</v>
      </c>
      <c r="N431" s="5" t="s">
        <v>88</v>
      </c>
      <c r="O431" s="5" t="s">
        <v>89</v>
      </c>
      <c r="P431" s="5" t="s">
        <v>90</v>
      </c>
      <c r="Q431" s="5">
        <v>101828219</v>
      </c>
      <c r="R431" s="5" t="s">
        <v>45</v>
      </c>
      <c r="S431" s="5" t="s">
        <v>39</v>
      </c>
      <c r="T431" s="7">
        <v>1</v>
      </c>
      <c r="U431" s="15" t="s">
        <v>89</v>
      </c>
      <c r="V431" s="16" t="s">
        <v>90</v>
      </c>
      <c r="W431" s="17">
        <v>101828219</v>
      </c>
      <c r="X431" s="16" t="s">
        <v>2518</v>
      </c>
      <c r="Y431" s="17" t="s">
        <v>2519</v>
      </c>
      <c r="Z431" s="17" t="s">
        <v>39</v>
      </c>
      <c r="AA431" s="17" t="s">
        <v>37</v>
      </c>
      <c r="AB431" s="43">
        <v>6.05</v>
      </c>
      <c r="AC431" s="25">
        <v>7.1</v>
      </c>
      <c r="AD431" s="25">
        <f>AC431*T431</f>
        <v>7.1</v>
      </c>
      <c r="AE431" s="25">
        <f>AB431*T431</f>
        <v>6.05</v>
      </c>
      <c r="AF431" s="25">
        <f>AD431-AE431</f>
        <v>1.0499999999999998</v>
      </c>
      <c r="AG431" s="26">
        <f>AF431/AD431</f>
        <v>0.14788732394366194</v>
      </c>
      <c r="AH431" s="27" t="str">
        <f>IF(AG431&lt;0,"Negative",IF(AG431=0,"Same",IF(AG431&gt;0.3,"30+%",IF(AG431&gt;0.2,"20-30%",IF(AG431&gt;0.1,"10-20%",IF(AG431&lt;=0.1,"0-10%"))))))</f>
        <v>10-20%</v>
      </c>
      <c r="AI431" s="32"/>
      <c r="AJ431" s="36" t="s">
        <v>3300</v>
      </c>
      <c r="AK431" s="32"/>
    </row>
    <row r="432" spans="1:37" s="1" customFormat="1" ht="19.7" customHeight="1" x14ac:dyDescent="0.25">
      <c r="A432" s="5" t="s">
        <v>22</v>
      </c>
      <c r="B432" s="5" t="s">
        <v>95</v>
      </c>
      <c r="C432" s="6">
        <v>44232</v>
      </c>
      <c r="D432" s="5" t="s">
        <v>24</v>
      </c>
      <c r="E432" s="5" t="s">
        <v>25</v>
      </c>
      <c r="F432" s="5" t="s">
        <v>26</v>
      </c>
      <c r="G432" s="5" t="s">
        <v>27</v>
      </c>
      <c r="H432" s="5" t="s">
        <v>28</v>
      </c>
      <c r="I432" s="5" t="s">
        <v>29</v>
      </c>
      <c r="J432" s="5" t="s">
        <v>30</v>
      </c>
      <c r="K432" s="5" t="s">
        <v>31</v>
      </c>
      <c r="L432" s="5" t="s">
        <v>32</v>
      </c>
      <c r="M432" s="5" t="s">
        <v>87</v>
      </c>
      <c r="N432" s="5" t="s">
        <v>96</v>
      </c>
      <c r="O432" s="5" t="s">
        <v>89</v>
      </c>
      <c r="P432" s="5" t="s">
        <v>90</v>
      </c>
      <c r="Q432" s="5">
        <v>101828219</v>
      </c>
      <c r="R432" s="5" t="s">
        <v>45</v>
      </c>
      <c r="S432" s="5" t="s">
        <v>39</v>
      </c>
      <c r="T432" s="7">
        <v>1</v>
      </c>
      <c r="U432" s="15" t="s">
        <v>89</v>
      </c>
      <c r="V432" s="16" t="s">
        <v>90</v>
      </c>
      <c r="W432" s="17">
        <v>101828219</v>
      </c>
      <c r="X432" s="16" t="s">
        <v>2518</v>
      </c>
      <c r="Y432" s="17" t="s">
        <v>2519</v>
      </c>
      <c r="Z432" s="17" t="s">
        <v>39</v>
      </c>
      <c r="AA432" s="17" t="s">
        <v>37</v>
      </c>
      <c r="AB432" s="43">
        <v>6.05</v>
      </c>
      <c r="AC432" s="25">
        <v>7.1</v>
      </c>
      <c r="AD432" s="25">
        <f>AC432*T432</f>
        <v>7.1</v>
      </c>
      <c r="AE432" s="25">
        <f>AB432*T432</f>
        <v>6.05</v>
      </c>
      <c r="AF432" s="25">
        <f>AD432-AE432</f>
        <v>1.0499999999999998</v>
      </c>
      <c r="AG432" s="26">
        <f>AF432/AD432</f>
        <v>0.14788732394366194</v>
      </c>
      <c r="AH432" s="27" t="str">
        <f>IF(AG432&lt;0,"Negative",IF(AG432=0,"Same",IF(AG432&gt;0.3,"30+%",IF(AG432&gt;0.2,"20-30%",IF(AG432&gt;0.1,"10-20%",IF(AG432&lt;=0.1,"0-10%"))))))</f>
        <v>10-20%</v>
      </c>
      <c r="AI432" s="32"/>
      <c r="AJ432" s="36" t="s">
        <v>3300</v>
      </c>
      <c r="AK432" s="32"/>
    </row>
    <row r="433" spans="1:37" s="1" customFormat="1" ht="19.7" customHeight="1" x14ac:dyDescent="0.25">
      <c r="A433" s="9" t="s">
        <v>22</v>
      </c>
      <c r="B433" s="9" t="s">
        <v>1646</v>
      </c>
      <c r="C433" s="10">
        <v>44428</v>
      </c>
      <c r="D433" s="9" t="s">
        <v>24</v>
      </c>
      <c r="E433" s="9" t="s">
        <v>25</v>
      </c>
      <c r="F433" s="9" t="s">
        <v>26</v>
      </c>
      <c r="G433" s="9" t="s">
        <v>27</v>
      </c>
      <c r="H433" s="9" t="s">
        <v>28</v>
      </c>
      <c r="I433" s="9" t="s">
        <v>29</v>
      </c>
      <c r="J433" s="9" t="s">
        <v>30</v>
      </c>
      <c r="K433" s="9" t="s">
        <v>31</v>
      </c>
      <c r="L433" s="9" t="s">
        <v>32</v>
      </c>
      <c r="M433" s="9" t="s">
        <v>1647</v>
      </c>
      <c r="N433" s="9" t="s">
        <v>1530</v>
      </c>
      <c r="O433" s="9" t="s">
        <v>89</v>
      </c>
      <c r="P433" s="9" t="s">
        <v>1648</v>
      </c>
      <c r="Q433" s="9">
        <v>100746808</v>
      </c>
      <c r="R433" s="9" t="s">
        <v>45</v>
      </c>
      <c r="S433" s="9" t="s">
        <v>39</v>
      </c>
      <c r="T433" s="11">
        <v>2</v>
      </c>
      <c r="U433" s="15" t="s">
        <v>89</v>
      </c>
      <c r="V433" s="16" t="s">
        <v>1648</v>
      </c>
      <c r="W433" s="17">
        <v>100746808</v>
      </c>
      <c r="X433" s="16" t="s">
        <v>2520</v>
      </c>
      <c r="Y433" s="17" t="s">
        <v>3099</v>
      </c>
      <c r="Z433" s="17" t="s">
        <v>39</v>
      </c>
      <c r="AA433" s="17" t="s">
        <v>37</v>
      </c>
      <c r="AB433" s="43">
        <v>6.05</v>
      </c>
      <c r="AC433" s="25">
        <v>7.1</v>
      </c>
      <c r="AD433" s="25">
        <f>AC433*T433</f>
        <v>14.2</v>
      </c>
      <c r="AE433" s="25">
        <f>AB433*T433</f>
        <v>12.1</v>
      </c>
      <c r="AF433" s="25">
        <f>AD433-AE433</f>
        <v>2.0999999999999996</v>
      </c>
      <c r="AG433" s="26">
        <f>AF433/AD433</f>
        <v>0.14788732394366194</v>
      </c>
      <c r="AH433" s="27" t="str">
        <f>IF(AG433&lt;0,"Negative",IF(AG433=0,"Same",IF(AG433&gt;0.3,"30+%",IF(AG433&gt;0.2,"20-30%",IF(AG433&gt;0.1,"10-20%",IF(AG433&lt;=0.1,"0-10%"))))))</f>
        <v>10-20%</v>
      </c>
      <c r="AI433" s="32"/>
      <c r="AJ433" s="36" t="s">
        <v>3300</v>
      </c>
      <c r="AK433" s="32"/>
    </row>
    <row r="434" spans="1:37" s="1" customFormat="1" ht="19.7" customHeight="1" x14ac:dyDescent="0.25">
      <c r="A434" s="5" t="s">
        <v>22</v>
      </c>
      <c r="B434" s="5" t="s">
        <v>1914</v>
      </c>
      <c r="C434" s="6">
        <v>44482</v>
      </c>
      <c r="D434" s="5" t="s">
        <v>24</v>
      </c>
      <c r="E434" s="5" t="s">
        <v>25</v>
      </c>
      <c r="F434" s="5" t="s">
        <v>26</v>
      </c>
      <c r="G434" s="5" t="s">
        <v>27</v>
      </c>
      <c r="H434" s="5" t="s">
        <v>28</v>
      </c>
      <c r="I434" s="5" t="s">
        <v>29</v>
      </c>
      <c r="J434" s="5" t="s">
        <v>30</v>
      </c>
      <c r="K434" s="5" t="s">
        <v>31</v>
      </c>
      <c r="L434" s="5" t="s">
        <v>32</v>
      </c>
      <c r="M434" s="5" t="s">
        <v>1686</v>
      </c>
      <c r="N434" s="5" t="s">
        <v>1687</v>
      </c>
      <c r="O434" s="5" t="s">
        <v>169</v>
      </c>
      <c r="P434" s="5" t="s">
        <v>1688</v>
      </c>
      <c r="Q434" s="5">
        <v>100771225</v>
      </c>
      <c r="R434" s="5" t="s">
        <v>56</v>
      </c>
      <c r="S434" s="5" t="s">
        <v>39</v>
      </c>
      <c r="T434" s="7">
        <v>1</v>
      </c>
      <c r="U434" s="15" t="s">
        <v>169</v>
      </c>
      <c r="V434" s="16" t="s">
        <v>1688</v>
      </c>
      <c r="W434" s="17">
        <v>100771225</v>
      </c>
      <c r="X434" s="16" t="s">
        <v>2610</v>
      </c>
      <c r="Y434" s="17" t="s">
        <v>3105</v>
      </c>
      <c r="Z434" s="17" t="s">
        <v>39</v>
      </c>
      <c r="AA434" s="17" t="s">
        <v>37</v>
      </c>
      <c r="AB434" s="43">
        <v>23.69</v>
      </c>
      <c r="AC434" s="25">
        <v>25.45</v>
      </c>
      <c r="AD434" s="25">
        <f>AC434*T434</f>
        <v>25.45</v>
      </c>
      <c r="AE434" s="25">
        <f>AB434*T434</f>
        <v>23.69</v>
      </c>
      <c r="AF434" s="25">
        <f>AD434-AE434</f>
        <v>1.759999999999998</v>
      </c>
      <c r="AG434" s="26">
        <f>AF434/AD434</f>
        <v>6.9155206286836857E-2</v>
      </c>
      <c r="AH434" s="27" t="str">
        <f>IF(AG434&lt;0,"Negative",IF(AG434=0,"Same",IF(AG434&gt;0.3,"30+%",IF(AG434&gt;0.2,"20-30%",IF(AG434&gt;0.1,"10-20%",IF(AG434&lt;=0.1,"0-10%"))))))</f>
        <v>0-10%</v>
      </c>
      <c r="AI434" s="32"/>
      <c r="AJ434" s="36" t="s">
        <v>3299</v>
      </c>
      <c r="AK434" s="32"/>
    </row>
    <row r="435" spans="1:37" s="1" customFormat="1" ht="19.7" customHeight="1" x14ac:dyDescent="0.25">
      <c r="A435" s="5" t="s">
        <v>22</v>
      </c>
      <c r="B435" s="5" t="s">
        <v>1685</v>
      </c>
      <c r="C435" s="6">
        <v>44438</v>
      </c>
      <c r="D435" s="5" t="s">
        <v>24</v>
      </c>
      <c r="E435" s="5" t="s">
        <v>25</v>
      </c>
      <c r="F435" s="5" t="s">
        <v>26</v>
      </c>
      <c r="G435" s="5" t="s">
        <v>27</v>
      </c>
      <c r="H435" s="5" t="s">
        <v>28</v>
      </c>
      <c r="I435" s="5" t="s">
        <v>29</v>
      </c>
      <c r="J435" s="5" t="s">
        <v>30</v>
      </c>
      <c r="K435" s="5" t="s">
        <v>31</v>
      </c>
      <c r="L435" s="5" t="s">
        <v>32</v>
      </c>
      <c r="M435" s="5" t="s">
        <v>1686</v>
      </c>
      <c r="N435" s="5" t="s">
        <v>1687</v>
      </c>
      <c r="O435" s="5" t="s">
        <v>169</v>
      </c>
      <c r="P435" s="5" t="s">
        <v>1688</v>
      </c>
      <c r="Q435" s="5">
        <v>100771225</v>
      </c>
      <c r="R435" s="5" t="s">
        <v>56</v>
      </c>
      <c r="S435" s="5" t="s">
        <v>39</v>
      </c>
      <c r="T435" s="7">
        <v>6</v>
      </c>
      <c r="U435" s="15" t="s">
        <v>169</v>
      </c>
      <c r="V435" s="16" t="s">
        <v>1688</v>
      </c>
      <c r="W435" s="17">
        <v>100771225</v>
      </c>
      <c r="X435" s="16" t="s">
        <v>2610</v>
      </c>
      <c r="Y435" s="17" t="s">
        <v>3105</v>
      </c>
      <c r="Z435" s="17" t="s">
        <v>39</v>
      </c>
      <c r="AA435" s="17" t="s">
        <v>37</v>
      </c>
      <c r="AB435" s="43">
        <v>23.69</v>
      </c>
      <c r="AC435" s="25">
        <v>25.45</v>
      </c>
      <c r="AD435" s="25">
        <f>AC435*T435</f>
        <v>152.69999999999999</v>
      </c>
      <c r="AE435" s="25">
        <f>AB435*T435</f>
        <v>142.14000000000001</v>
      </c>
      <c r="AF435" s="25">
        <f>AD435-AE435</f>
        <v>10.559999999999974</v>
      </c>
      <c r="AG435" s="26">
        <f>AF435/AD435</f>
        <v>6.9155206286836773E-2</v>
      </c>
      <c r="AH435" s="27" t="str">
        <f>IF(AG435&lt;0,"Negative",IF(AG435=0,"Same",IF(AG435&gt;0.3,"30+%",IF(AG435&gt;0.2,"20-30%",IF(AG435&gt;0.1,"10-20%",IF(AG435&lt;=0.1,"0-10%"))))))</f>
        <v>0-10%</v>
      </c>
      <c r="AI435" s="32"/>
      <c r="AJ435" s="36" t="s">
        <v>3299</v>
      </c>
      <c r="AK435" s="32"/>
    </row>
    <row r="436" spans="1:37" s="1" customFormat="1" ht="19.7" customHeight="1" x14ac:dyDescent="0.25">
      <c r="A436" s="5" t="s">
        <v>22</v>
      </c>
      <c r="B436" s="5" t="s">
        <v>1115</v>
      </c>
      <c r="C436" s="6">
        <v>44341</v>
      </c>
      <c r="D436" s="5" t="s">
        <v>24</v>
      </c>
      <c r="E436" s="5" t="s">
        <v>25</v>
      </c>
      <c r="F436" s="5" t="s">
        <v>26</v>
      </c>
      <c r="G436" s="5" t="s">
        <v>27</v>
      </c>
      <c r="H436" s="5" t="s">
        <v>28</v>
      </c>
      <c r="I436" s="5" t="s">
        <v>29</v>
      </c>
      <c r="J436" s="5" t="s">
        <v>30</v>
      </c>
      <c r="K436" s="5" t="s">
        <v>31</v>
      </c>
      <c r="L436" s="5" t="s">
        <v>32</v>
      </c>
      <c r="M436" s="5" t="s">
        <v>1116</v>
      </c>
      <c r="N436" s="5" t="s">
        <v>1070</v>
      </c>
      <c r="O436" s="5" t="s">
        <v>71</v>
      </c>
      <c r="P436" s="5" t="s">
        <v>1117</v>
      </c>
      <c r="Q436" s="5">
        <v>112038896</v>
      </c>
      <c r="R436" s="5" t="s">
        <v>73</v>
      </c>
      <c r="S436" s="5" t="s">
        <v>39</v>
      </c>
      <c r="T436" s="7">
        <v>24</v>
      </c>
      <c r="U436" s="15" t="s">
        <v>71</v>
      </c>
      <c r="V436" s="41" t="s">
        <v>1117</v>
      </c>
      <c r="W436" s="17">
        <v>112038896</v>
      </c>
      <c r="X436" s="16" t="s">
        <v>2510</v>
      </c>
      <c r="Y436" s="17" t="s">
        <v>2927</v>
      </c>
      <c r="Z436" s="17" t="s">
        <v>39</v>
      </c>
      <c r="AA436" s="17" t="s">
        <v>2501</v>
      </c>
      <c r="AB436" s="29">
        <v>17.670000000000002</v>
      </c>
      <c r="AC436" s="25">
        <v>17.670000000000002</v>
      </c>
      <c r="AD436" s="25">
        <f>AC436*T436</f>
        <v>424.08000000000004</v>
      </c>
      <c r="AE436" s="25">
        <f>AB436*T436</f>
        <v>424.08000000000004</v>
      </c>
      <c r="AF436" s="25">
        <f>AD436-AE436</f>
        <v>0</v>
      </c>
      <c r="AG436" s="26">
        <f>AF436/AD436</f>
        <v>0</v>
      </c>
      <c r="AH436" s="27" t="str">
        <f>IF(AG436&lt;0,"Negative",IF(AG436=0,"Same",IF(AG436&gt;0.3,"30+%",IF(AG436&gt;0.2,"20-30%",IF(AG436&gt;0.1,"10-20%",IF(AG436&lt;=0.1,"0-10%"))))))</f>
        <v>Same</v>
      </c>
      <c r="AI436" s="32"/>
      <c r="AJ436" s="36" t="s">
        <v>3300</v>
      </c>
      <c r="AK436" s="32"/>
    </row>
    <row r="437" spans="1:37" s="1" customFormat="1" ht="19.7" customHeight="1" x14ac:dyDescent="0.25">
      <c r="A437" s="9" t="s">
        <v>22</v>
      </c>
      <c r="B437" s="9" t="s">
        <v>650</v>
      </c>
      <c r="C437" s="10">
        <v>44284</v>
      </c>
      <c r="D437" s="9" t="s">
        <v>24</v>
      </c>
      <c r="E437" s="9" t="s">
        <v>25</v>
      </c>
      <c r="F437" s="9" t="s">
        <v>26</v>
      </c>
      <c r="G437" s="9" t="s">
        <v>27</v>
      </c>
      <c r="H437" s="9" t="s">
        <v>28</v>
      </c>
      <c r="I437" s="9" t="s">
        <v>29</v>
      </c>
      <c r="J437" s="9" t="s">
        <v>30</v>
      </c>
      <c r="K437" s="9" t="s">
        <v>31</v>
      </c>
      <c r="L437" s="9" t="s">
        <v>32</v>
      </c>
      <c r="M437" s="9" t="s">
        <v>651</v>
      </c>
      <c r="N437" s="9" t="s">
        <v>534</v>
      </c>
      <c r="O437" s="9" t="s">
        <v>71</v>
      </c>
      <c r="P437" s="9" t="s">
        <v>652</v>
      </c>
      <c r="Q437" s="9">
        <v>106245395</v>
      </c>
      <c r="R437" s="9" t="s">
        <v>73</v>
      </c>
      <c r="S437" s="9" t="s">
        <v>39</v>
      </c>
      <c r="T437" s="11">
        <v>6</v>
      </c>
      <c r="U437" s="15" t="s">
        <v>71</v>
      </c>
      <c r="V437" s="41" t="s">
        <v>652</v>
      </c>
      <c r="W437" s="17">
        <v>106245395</v>
      </c>
      <c r="X437" s="16" t="s">
        <v>2510</v>
      </c>
      <c r="Y437" s="17" t="s">
        <v>2768</v>
      </c>
      <c r="Z437" s="17" t="s">
        <v>39</v>
      </c>
      <c r="AA437" s="17" t="s">
        <v>37</v>
      </c>
      <c r="AB437" s="29">
        <v>26.4</v>
      </c>
      <c r="AC437" s="25">
        <v>26.4</v>
      </c>
      <c r="AD437" s="25">
        <f>AC437*T437</f>
        <v>158.39999999999998</v>
      </c>
      <c r="AE437" s="25">
        <f>AB437*T437</f>
        <v>158.39999999999998</v>
      </c>
      <c r="AF437" s="25">
        <f>AD437-AE437</f>
        <v>0</v>
      </c>
      <c r="AG437" s="26">
        <f>AF437/AD437</f>
        <v>0</v>
      </c>
      <c r="AH437" s="27" t="str">
        <f>IF(AG437&lt;0,"Negative",IF(AG437=0,"Same",IF(AG437&gt;0.3,"30+%",IF(AG437&gt;0.2,"20-30%",IF(AG437&gt;0.1,"10-20%",IF(AG437&lt;=0.1,"0-10%"))))))</f>
        <v>Same</v>
      </c>
      <c r="AI437" s="32"/>
      <c r="AJ437" s="36" t="s">
        <v>3300</v>
      </c>
      <c r="AK437" s="32"/>
    </row>
    <row r="438" spans="1:37" s="1" customFormat="1" ht="19.7" customHeight="1" x14ac:dyDescent="0.25">
      <c r="A438" s="9" t="s">
        <v>22</v>
      </c>
      <c r="B438" s="9" t="s">
        <v>1805</v>
      </c>
      <c r="C438" s="10">
        <v>44466</v>
      </c>
      <c r="D438" s="9" t="s">
        <v>24</v>
      </c>
      <c r="E438" s="9" t="s">
        <v>25</v>
      </c>
      <c r="F438" s="9" t="s">
        <v>26</v>
      </c>
      <c r="G438" s="9" t="s">
        <v>67</v>
      </c>
      <c r="H438" s="9" t="s">
        <v>68</v>
      </c>
      <c r="I438" s="9" t="s">
        <v>29</v>
      </c>
      <c r="J438" s="9" t="s">
        <v>30</v>
      </c>
      <c r="K438" s="9" t="s">
        <v>31</v>
      </c>
      <c r="L438" s="9" t="s">
        <v>32</v>
      </c>
      <c r="M438" s="9" t="s">
        <v>283</v>
      </c>
      <c r="N438" s="9" t="s">
        <v>1767</v>
      </c>
      <c r="O438" s="9" t="s">
        <v>71</v>
      </c>
      <c r="P438" s="9" t="s">
        <v>285</v>
      </c>
      <c r="Q438" s="9">
        <v>102171280</v>
      </c>
      <c r="R438" s="9" t="s">
        <v>73</v>
      </c>
      <c r="S438" s="9" t="s">
        <v>39</v>
      </c>
      <c r="T438" s="11">
        <v>30</v>
      </c>
      <c r="U438" s="15" t="s">
        <v>71</v>
      </c>
      <c r="V438" s="16" t="s">
        <v>285</v>
      </c>
      <c r="W438" s="17">
        <v>102171280</v>
      </c>
      <c r="X438" s="16" t="s">
        <v>2510</v>
      </c>
      <c r="Y438" s="17" t="s">
        <v>2606</v>
      </c>
      <c r="Z438" s="17" t="s">
        <v>39</v>
      </c>
      <c r="AA438" s="17" t="s">
        <v>37</v>
      </c>
      <c r="AB438" s="29">
        <v>6.8</v>
      </c>
      <c r="AC438" s="25">
        <v>6.8</v>
      </c>
      <c r="AD438" s="25">
        <f>AC438*T438</f>
        <v>204</v>
      </c>
      <c r="AE438" s="25">
        <f>AB438*T438</f>
        <v>204</v>
      </c>
      <c r="AF438" s="25">
        <f>AD438-AE438</f>
        <v>0</v>
      </c>
      <c r="AG438" s="26">
        <f>AF438/AD438</f>
        <v>0</v>
      </c>
      <c r="AH438" s="27" t="str">
        <f>IF(AG438&lt;0,"Negative",IF(AG438=0,"Same",IF(AG438&gt;0.3,"30+%",IF(AG438&gt;0.2,"20-30%",IF(AG438&gt;0.1,"10-20%",IF(AG438&lt;=0.1,"0-10%"))))))</f>
        <v>Same</v>
      </c>
      <c r="AI438" s="32"/>
      <c r="AJ438" s="36" t="s">
        <v>3300</v>
      </c>
      <c r="AK438" s="32"/>
    </row>
    <row r="439" spans="1:37" s="1" customFormat="1" ht="19.7" customHeight="1" x14ac:dyDescent="0.25">
      <c r="A439" s="9" t="s">
        <v>22</v>
      </c>
      <c r="B439" s="9" t="s">
        <v>1141</v>
      </c>
      <c r="C439" s="10">
        <v>44344</v>
      </c>
      <c r="D439" s="9" t="s">
        <v>24</v>
      </c>
      <c r="E439" s="9" t="s">
        <v>25</v>
      </c>
      <c r="F439" s="9" t="s">
        <v>26</v>
      </c>
      <c r="G439" s="9" t="s">
        <v>67</v>
      </c>
      <c r="H439" s="9" t="s">
        <v>68</v>
      </c>
      <c r="I439" s="9" t="s">
        <v>29</v>
      </c>
      <c r="J439" s="9" t="s">
        <v>30</v>
      </c>
      <c r="K439" s="9" t="s">
        <v>31</v>
      </c>
      <c r="L439" s="9" t="s">
        <v>32</v>
      </c>
      <c r="M439" s="9" t="s">
        <v>283</v>
      </c>
      <c r="N439" s="9" t="s">
        <v>1142</v>
      </c>
      <c r="O439" s="9" t="s">
        <v>71</v>
      </c>
      <c r="P439" s="9" t="s">
        <v>285</v>
      </c>
      <c r="Q439" s="9">
        <v>102171280</v>
      </c>
      <c r="R439" s="9" t="s">
        <v>73</v>
      </c>
      <c r="S439" s="9" t="s">
        <v>39</v>
      </c>
      <c r="T439" s="11">
        <v>30</v>
      </c>
      <c r="U439" s="15" t="s">
        <v>71</v>
      </c>
      <c r="V439" s="16" t="s">
        <v>285</v>
      </c>
      <c r="W439" s="17">
        <v>102171280</v>
      </c>
      <c r="X439" s="16" t="s">
        <v>2510</v>
      </c>
      <c r="Y439" s="17" t="s">
        <v>2606</v>
      </c>
      <c r="Z439" s="17" t="s">
        <v>39</v>
      </c>
      <c r="AA439" s="17" t="s">
        <v>37</v>
      </c>
      <c r="AB439" s="29">
        <v>6.8</v>
      </c>
      <c r="AC439" s="25">
        <v>6.8</v>
      </c>
      <c r="AD439" s="25">
        <f>AC439*T439</f>
        <v>204</v>
      </c>
      <c r="AE439" s="25">
        <f>AB439*T439</f>
        <v>204</v>
      </c>
      <c r="AF439" s="25">
        <f>AD439-AE439</f>
        <v>0</v>
      </c>
      <c r="AG439" s="26">
        <f>AF439/AD439</f>
        <v>0</v>
      </c>
      <c r="AH439" s="27" t="str">
        <f>IF(AG439&lt;0,"Negative",IF(AG439=0,"Same",IF(AG439&gt;0.3,"30+%",IF(AG439&gt;0.2,"20-30%",IF(AG439&gt;0.1,"10-20%",IF(AG439&lt;=0.1,"0-10%"))))))</f>
        <v>Same</v>
      </c>
      <c r="AI439" s="32"/>
      <c r="AJ439" s="36" t="s">
        <v>3300</v>
      </c>
      <c r="AK439" s="32"/>
    </row>
    <row r="440" spans="1:37" s="1" customFormat="1" ht="19.7" customHeight="1" x14ac:dyDescent="0.25">
      <c r="A440" s="9" t="s">
        <v>22</v>
      </c>
      <c r="B440" s="9" t="s">
        <v>282</v>
      </c>
      <c r="C440" s="10">
        <v>44246</v>
      </c>
      <c r="D440" s="9" t="s">
        <v>24</v>
      </c>
      <c r="E440" s="9" t="s">
        <v>25</v>
      </c>
      <c r="F440" s="9" t="s">
        <v>26</v>
      </c>
      <c r="G440" s="9" t="s">
        <v>67</v>
      </c>
      <c r="H440" s="9" t="s">
        <v>68</v>
      </c>
      <c r="I440" s="9" t="s">
        <v>29</v>
      </c>
      <c r="J440" s="9" t="s">
        <v>30</v>
      </c>
      <c r="K440" s="9" t="s">
        <v>31</v>
      </c>
      <c r="L440" s="9" t="s">
        <v>32</v>
      </c>
      <c r="M440" s="9" t="s">
        <v>283</v>
      </c>
      <c r="N440" s="9" t="s">
        <v>284</v>
      </c>
      <c r="O440" s="9" t="s">
        <v>71</v>
      </c>
      <c r="P440" s="9" t="s">
        <v>285</v>
      </c>
      <c r="Q440" s="9">
        <v>102171280</v>
      </c>
      <c r="R440" s="9" t="s">
        <v>73</v>
      </c>
      <c r="S440" s="9" t="s">
        <v>39</v>
      </c>
      <c r="T440" s="11">
        <v>30</v>
      </c>
      <c r="U440" s="15" t="s">
        <v>71</v>
      </c>
      <c r="V440" s="16" t="s">
        <v>285</v>
      </c>
      <c r="W440" s="17">
        <v>102171280</v>
      </c>
      <c r="X440" s="16" t="s">
        <v>2510</v>
      </c>
      <c r="Y440" s="17" t="s">
        <v>2606</v>
      </c>
      <c r="Z440" s="17" t="s">
        <v>39</v>
      </c>
      <c r="AA440" s="17" t="s">
        <v>37</v>
      </c>
      <c r="AB440" s="29">
        <v>6.8</v>
      </c>
      <c r="AC440" s="25">
        <v>6.8</v>
      </c>
      <c r="AD440" s="25">
        <f>AC440*T440</f>
        <v>204</v>
      </c>
      <c r="AE440" s="25">
        <f>AB440*T440</f>
        <v>204</v>
      </c>
      <c r="AF440" s="25">
        <f>AD440-AE440</f>
        <v>0</v>
      </c>
      <c r="AG440" s="26">
        <f>AF440/AD440</f>
        <v>0</v>
      </c>
      <c r="AH440" s="27" t="str">
        <f>IF(AG440&lt;0,"Negative",IF(AG440=0,"Same",IF(AG440&gt;0.3,"30+%",IF(AG440&gt;0.2,"20-30%",IF(AG440&gt;0.1,"10-20%",IF(AG440&lt;=0.1,"0-10%"))))))</f>
        <v>Same</v>
      </c>
      <c r="AI440" s="32"/>
      <c r="AJ440" s="36" t="s">
        <v>3300</v>
      </c>
      <c r="AK440" s="32"/>
    </row>
    <row r="441" spans="1:37" s="1" customFormat="1" ht="19.7" customHeight="1" x14ac:dyDescent="0.25">
      <c r="A441" s="5" t="s">
        <v>22</v>
      </c>
      <c r="B441" s="5" t="s">
        <v>166</v>
      </c>
      <c r="C441" s="6">
        <v>44238</v>
      </c>
      <c r="D441" s="5" t="s">
        <v>24</v>
      </c>
      <c r="E441" s="5" t="s">
        <v>25</v>
      </c>
      <c r="F441" s="5" t="s">
        <v>26</v>
      </c>
      <c r="G441" s="5" t="s">
        <v>27</v>
      </c>
      <c r="H441" s="5" t="s">
        <v>28</v>
      </c>
      <c r="I441" s="5" t="s">
        <v>29</v>
      </c>
      <c r="J441" s="5" t="s">
        <v>30</v>
      </c>
      <c r="K441" s="5" t="s">
        <v>31</v>
      </c>
      <c r="L441" s="5" t="s">
        <v>32</v>
      </c>
      <c r="M441" s="5" t="s">
        <v>171</v>
      </c>
      <c r="N441" s="5" t="s">
        <v>168</v>
      </c>
      <c r="O441" s="5" t="s">
        <v>172</v>
      </c>
      <c r="P441" s="5" t="s">
        <v>173</v>
      </c>
      <c r="Q441" s="5">
        <v>100800864</v>
      </c>
      <c r="R441" s="5" t="s">
        <v>56</v>
      </c>
      <c r="S441" s="5" t="s">
        <v>39</v>
      </c>
      <c r="T441" s="7">
        <v>3</v>
      </c>
      <c r="U441" s="15" t="s">
        <v>172</v>
      </c>
      <c r="V441" s="16" t="s">
        <v>173</v>
      </c>
      <c r="W441" s="17">
        <v>100800864</v>
      </c>
      <c r="X441" s="16" t="s">
        <v>2557</v>
      </c>
      <c r="Y441" s="17" t="s">
        <v>2558</v>
      </c>
      <c r="Z441" s="17" t="s">
        <v>39</v>
      </c>
      <c r="AA441" s="17" t="s">
        <v>37</v>
      </c>
      <c r="AB441" s="43">
        <v>7.86</v>
      </c>
      <c r="AC441" s="25">
        <v>8.0299999999999994</v>
      </c>
      <c r="AD441" s="25">
        <f>AC441*T441</f>
        <v>24.089999999999996</v>
      </c>
      <c r="AE441" s="25">
        <f>AB441*T441</f>
        <v>23.580000000000002</v>
      </c>
      <c r="AF441" s="25">
        <f>AD441-AE441</f>
        <v>0.50999999999999446</v>
      </c>
      <c r="AG441" s="26">
        <f>AF441/AD441</f>
        <v>2.1170610211705874E-2</v>
      </c>
      <c r="AH441" s="27" t="str">
        <f>IF(AG441&lt;0,"Negative",IF(AG441=0,"Same",IF(AG441&gt;0.3,"30+%",IF(AG441&gt;0.2,"20-30%",IF(AG441&gt;0.1,"10-20%",IF(AG441&lt;=0.1,"0-10%"))))))</f>
        <v>0-10%</v>
      </c>
      <c r="AI441" s="32"/>
      <c r="AJ441" s="36" t="s">
        <v>3300</v>
      </c>
      <c r="AK441" s="32"/>
    </row>
    <row r="442" spans="1:37" s="1" customFormat="1" ht="19.7" customHeight="1" x14ac:dyDescent="0.25">
      <c r="A442" s="9" t="s">
        <v>22</v>
      </c>
      <c r="B442" s="9" t="s">
        <v>2436</v>
      </c>
      <c r="C442" s="10">
        <v>44582</v>
      </c>
      <c r="D442" s="9" t="s">
        <v>24</v>
      </c>
      <c r="E442" s="9" t="s">
        <v>25</v>
      </c>
      <c r="F442" s="9" t="s">
        <v>26</v>
      </c>
      <c r="G442" s="9" t="s">
        <v>67</v>
      </c>
      <c r="H442" s="9" t="s">
        <v>68</v>
      </c>
      <c r="I442" s="9" t="s">
        <v>29</v>
      </c>
      <c r="J442" s="9" t="s">
        <v>30</v>
      </c>
      <c r="K442" s="9" t="s">
        <v>31</v>
      </c>
      <c r="L442" s="9" t="s">
        <v>32</v>
      </c>
      <c r="M442" s="9" t="s">
        <v>286</v>
      </c>
      <c r="N442" s="9" t="s">
        <v>2437</v>
      </c>
      <c r="O442" s="9" t="s">
        <v>71</v>
      </c>
      <c r="P442" s="9" t="s">
        <v>287</v>
      </c>
      <c r="Q442" s="9">
        <v>112227871</v>
      </c>
      <c r="R442" s="9" t="s">
        <v>73</v>
      </c>
      <c r="S442" s="9" t="s">
        <v>39</v>
      </c>
      <c r="T442" s="11">
        <v>168</v>
      </c>
      <c r="U442" s="15" t="s">
        <v>71</v>
      </c>
      <c r="V442" s="41" t="s">
        <v>287</v>
      </c>
      <c r="W442" s="17">
        <v>112227871</v>
      </c>
      <c r="X442" s="16" t="s">
        <v>2510</v>
      </c>
      <c r="Y442" s="17" t="s">
        <v>2607</v>
      </c>
      <c r="Z442" s="17" t="s">
        <v>39</v>
      </c>
      <c r="AA442" s="17" t="s">
        <v>2501</v>
      </c>
      <c r="AB442" s="29">
        <v>23.18</v>
      </c>
      <c r="AC442" s="25">
        <v>23.18</v>
      </c>
      <c r="AD442" s="25">
        <f>AC442*T442</f>
        <v>3894.24</v>
      </c>
      <c r="AE442" s="25">
        <f>AB442*T442</f>
        <v>3894.24</v>
      </c>
      <c r="AF442" s="25">
        <f>AD442-AE442</f>
        <v>0</v>
      </c>
      <c r="AG442" s="26">
        <f>AF442/AD442</f>
        <v>0</v>
      </c>
      <c r="AH442" s="27" t="str">
        <f>IF(AG442&lt;0,"Negative",IF(AG442=0,"Same",IF(AG442&gt;0.3,"30+%",IF(AG442&gt;0.2,"20-30%",IF(AG442&gt;0.1,"10-20%",IF(AG442&lt;=0.1,"0-10%"))))))</f>
        <v>Same</v>
      </c>
      <c r="AI442" s="32"/>
      <c r="AJ442" s="36" t="s">
        <v>3300</v>
      </c>
      <c r="AK442" s="32"/>
    </row>
    <row r="443" spans="1:37" s="1" customFormat="1" ht="19.7" customHeight="1" x14ac:dyDescent="0.25">
      <c r="A443" s="9" t="s">
        <v>22</v>
      </c>
      <c r="B443" s="9" t="s">
        <v>2434</v>
      </c>
      <c r="C443" s="10">
        <v>44582</v>
      </c>
      <c r="D443" s="9" t="s">
        <v>24</v>
      </c>
      <c r="E443" s="9" t="s">
        <v>25</v>
      </c>
      <c r="F443" s="9" t="s">
        <v>26</v>
      </c>
      <c r="G443" s="9" t="s">
        <v>67</v>
      </c>
      <c r="H443" s="9" t="s">
        <v>68</v>
      </c>
      <c r="I443" s="9" t="s">
        <v>29</v>
      </c>
      <c r="J443" s="9" t="s">
        <v>30</v>
      </c>
      <c r="K443" s="9" t="s">
        <v>31</v>
      </c>
      <c r="L443" s="9" t="s">
        <v>32</v>
      </c>
      <c r="M443" s="9" t="s">
        <v>286</v>
      </c>
      <c r="N443" s="9" t="s">
        <v>2435</v>
      </c>
      <c r="O443" s="9" t="s">
        <v>71</v>
      </c>
      <c r="P443" s="9" t="s">
        <v>287</v>
      </c>
      <c r="Q443" s="9">
        <v>112227871</v>
      </c>
      <c r="R443" s="9" t="s">
        <v>73</v>
      </c>
      <c r="S443" s="9" t="s">
        <v>39</v>
      </c>
      <c r="T443" s="11">
        <v>192</v>
      </c>
      <c r="U443" s="15" t="s">
        <v>71</v>
      </c>
      <c r="V443" s="41" t="s">
        <v>287</v>
      </c>
      <c r="W443" s="17">
        <v>112227871</v>
      </c>
      <c r="X443" s="16" t="s">
        <v>2510</v>
      </c>
      <c r="Y443" s="17" t="s">
        <v>2607</v>
      </c>
      <c r="Z443" s="17" t="s">
        <v>39</v>
      </c>
      <c r="AA443" s="17" t="s">
        <v>2501</v>
      </c>
      <c r="AB443" s="29">
        <v>23.18</v>
      </c>
      <c r="AC443" s="25">
        <v>23.18</v>
      </c>
      <c r="AD443" s="25">
        <f>AC443*T443</f>
        <v>4450.5599999999995</v>
      </c>
      <c r="AE443" s="25">
        <f>AB443*T443</f>
        <v>4450.5599999999995</v>
      </c>
      <c r="AF443" s="25">
        <f>AD443-AE443</f>
        <v>0</v>
      </c>
      <c r="AG443" s="26">
        <f>AF443/AD443</f>
        <v>0</v>
      </c>
      <c r="AH443" s="27" t="str">
        <f>IF(AG443&lt;0,"Negative",IF(AG443=0,"Same",IF(AG443&gt;0.3,"30+%",IF(AG443&gt;0.2,"20-30%",IF(AG443&gt;0.1,"10-20%",IF(AG443&lt;=0.1,"0-10%"))))))</f>
        <v>Same</v>
      </c>
      <c r="AI443" s="32"/>
      <c r="AJ443" s="36" t="s">
        <v>3300</v>
      </c>
      <c r="AK443" s="32"/>
    </row>
    <row r="444" spans="1:37" s="1" customFormat="1" ht="19.7" customHeight="1" x14ac:dyDescent="0.25">
      <c r="A444" s="5" t="s">
        <v>22</v>
      </c>
      <c r="B444" s="5" t="s">
        <v>1976</v>
      </c>
      <c r="C444" s="6">
        <v>44494</v>
      </c>
      <c r="D444" s="5" t="s">
        <v>24</v>
      </c>
      <c r="E444" s="5" t="s">
        <v>25</v>
      </c>
      <c r="F444" s="5" t="s">
        <v>26</v>
      </c>
      <c r="G444" s="5" t="s">
        <v>27</v>
      </c>
      <c r="H444" s="5" t="s">
        <v>28</v>
      </c>
      <c r="I444" s="5" t="s">
        <v>29</v>
      </c>
      <c r="J444" s="5" t="s">
        <v>30</v>
      </c>
      <c r="K444" s="5" t="s">
        <v>31</v>
      </c>
      <c r="L444" s="5" t="s">
        <v>32</v>
      </c>
      <c r="M444" s="5" t="s">
        <v>1238</v>
      </c>
      <c r="N444" s="5" t="s">
        <v>1977</v>
      </c>
      <c r="O444" s="5" t="s">
        <v>169</v>
      </c>
      <c r="P444" s="5" t="s">
        <v>1239</v>
      </c>
      <c r="Q444" s="5">
        <v>101936800</v>
      </c>
      <c r="R444" s="5" t="s">
        <v>56</v>
      </c>
      <c r="S444" s="5" t="s">
        <v>39</v>
      </c>
      <c r="T444" s="7">
        <v>1</v>
      </c>
      <c r="U444" s="15" t="s">
        <v>169</v>
      </c>
      <c r="V444" s="16" t="s">
        <v>1239</v>
      </c>
      <c r="W444" s="17">
        <v>101936800</v>
      </c>
      <c r="X444" s="16" t="s">
        <v>2845</v>
      </c>
      <c r="Y444" s="17" t="s">
        <v>2972</v>
      </c>
      <c r="Z444" s="17" t="s">
        <v>39</v>
      </c>
      <c r="AA444" s="17" t="s">
        <v>37</v>
      </c>
      <c r="AB444" s="43">
        <v>24.13</v>
      </c>
      <c r="AC444" s="25">
        <v>26.52</v>
      </c>
      <c r="AD444" s="25">
        <f>AC444*T444</f>
        <v>26.52</v>
      </c>
      <c r="AE444" s="25">
        <f>AB444*T444</f>
        <v>24.13</v>
      </c>
      <c r="AF444" s="25">
        <f>AD444-AE444</f>
        <v>2.3900000000000006</v>
      </c>
      <c r="AG444" s="26">
        <f>AF444/AD444</f>
        <v>9.0120663650075442E-2</v>
      </c>
      <c r="AH444" s="27" t="str">
        <f>IF(AG444&lt;0,"Negative",IF(AG444=0,"Same",IF(AG444&gt;0.3,"30+%",IF(AG444&gt;0.2,"20-30%",IF(AG444&gt;0.1,"10-20%",IF(AG444&lt;=0.1,"0-10%"))))))</f>
        <v>0-10%</v>
      </c>
      <c r="AI444" s="32"/>
      <c r="AJ444" s="36" t="s">
        <v>3299</v>
      </c>
      <c r="AK444" s="32"/>
    </row>
    <row r="445" spans="1:37" s="1" customFormat="1" ht="19.7" customHeight="1" x14ac:dyDescent="0.25">
      <c r="A445" s="9" t="s">
        <v>22</v>
      </c>
      <c r="B445" s="9" t="s">
        <v>1234</v>
      </c>
      <c r="C445" s="10">
        <v>44364</v>
      </c>
      <c r="D445" s="9" t="s">
        <v>24</v>
      </c>
      <c r="E445" s="9" t="s">
        <v>25</v>
      </c>
      <c r="F445" s="9" t="s">
        <v>26</v>
      </c>
      <c r="G445" s="9" t="s">
        <v>27</v>
      </c>
      <c r="H445" s="9" t="s">
        <v>28</v>
      </c>
      <c r="I445" s="9" t="s">
        <v>29</v>
      </c>
      <c r="J445" s="9" t="s">
        <v>30</v>
      </c>
      <c r="K445" s="9" t="s">
        <v>31</v>
      </c>
      <c r="L445" s="9" t="s">
        <v>32</v>
      </c>
      <c r="M445" s="9" t="s">
        <v>1238</v>
      </c>
      <c r="N445" s="9" t="s">
        <v>1236</v>
      </c>
      <c r="O445" s="9" t="s">
        <v>169</v>
      </c>
      <c r="P445" s="9" t="s">
        <v>1239</v>
      </c>
      <c r="Q445" s="9">
        <v>101936800</v>
      </c>
      <c r="R445" s="9" t="s">
        <v>56</v>
      </c>
      <c r="S445" s="9" t="s">
        <v>39</v>
      </c>
      <c r="T445" s="11">
        <v>1</v>
      </c>
      <c r="U445" s="15" t="s">
        <v>169</v>
      </c>
      <c r="V445" s="16" t="s">
        <v>1239</v>
      </c>
      <c r="W445" s="17">
        <v>101936800</v>
      </c>
      <c r="X445" s="16" t="s">
        <v>2845</v>
      </c>
      <c r="Y445" s="17" t="s">
        <v>2972</v>
      </c>
      <c r="Z445" s="17" t="s">
        <v>39</v>
      </c>
      <c r="AA445" s="17" t="s">
        <v>37</v>
      </c>
      <c r="AB445" s="43">
        <v>24.13</v>
      </c>
      <c r="AC445" s="25">
        <v>26.52</v>
      </c>
      <c r="AD445" s="25">
        <f>AC445*T445</f>
        <v>26.52</v>
      </c>
      <c r="AE445" s="25">
        <f>AB445*T445</f>
        <v>24.13</v>
      </c>
      <c r="AF445" s="25">
        <f>AD445-AE445</f>
        <v>2.3900000000000006</v>
      </c>
      <c r="AG445" s="26">
        <f>AF445/AD445</f>
        <v>9.0120663650075442E-2</v>
      </c>
      <c r="AH445" s="27" t="str">
        <f>IF(AG445&lt;0,"Negative",IF(AG445=0,"Same",IF(AG445&gt;0.3,"30+%",IF(AG445&gt;0.2,"20-30%",IF(AG445&gt;0.1,"10-20%",IF(AG445&lt;=0.1,"0-10%"))))))</f>
        <v>0-10%</v>
      </c>
      <c r="AI445" s="32"/>
      <c r="AJ445" s="36" t="s">
        <v>3299</v>
      </c>
      <c r="AK445" s="32"/>
    </row>
    <row r="446" spans="1:37" s="1" customFormat="1" ht="19.7" customHeight="1" x14ac:dyDescent="0.25">
      <c r="A446" s="9" t="s">
        <v>22</v>
      </c>
      <c r="B446" s="9" t="s">
        <v>1455</v>
      </c>
      <c r="C446" s="10">
        <v>44399</v>
      </c>
      <c r="D446" s="9" t="s">
        <v>24</v>
      </c>
      <c r="E446" s="9" t="s">
        <v>25</v>
      </c>
      <c r="F446" s="9" t="s">
        <v>26</v>
      </c>
      <c r="G446" s="9" t="s">
        <v>27</v>
      </c>
      <c r="H446" s="9" t="s">
        <v>28</v>
      </c>
      <c r="I446" s="9" t="s">
        <v>29</v>
      </c>
      <c r="J446" s="9" t="s">
        <v>30</v>
      </c>
      <c r="K446" s="9" t="s">
        <v>31</v>
      </c>
      <c r="L446" s="9" t="s">
        <v>32</v>
      </c>
      <c r="M446" s="9" t="s">
        <v>1456</v>
      </c>
      <c r="N446" s="9" t="s">
        <v>1457</v>
      </c>
      <c r="O446" s="9" t="s">
        <v>128</v>
      </c>
      <c r="P446" s="9" t="s">
        <v>1458</v>
      </c>
      <c r="Q446" s="9">
        <v>100867352</v>
      </c>
      <c r="R446" s="9" t="s">
        <v>76</v>
      </c>
      <c r="S446" s="9" t="s">
        <v>39</v>
      </c>
      <c r="T446" s="11">
        <v>2</v>
      </c>
      <c r="U446" s="15" t="s">
        <v>128</v>
      </c>
      <c r="V446" s="16" t="s">
        <v>1458</v>
      </c>
      <c r="W446" s="17">
        <v>100867352</v>
      </c>
      <c r="X446" s="16" t="s">
        <v>2536</v>
      </c>
      <c r="Y446" s="17" t="s">
        <v>3047</v>
      </c>
      <c r="Z446" s="17" t="s">
        <v>39</v>
      </c>
      <c r="AA446" s="17" t="s">
        <v>37</v>
      </c>
      <c r="AB446" s="29">
        <v>34.15</v>
      </c>
      <c r="AC446" s="25">
        <v>34.369999999999997</v>
      </c>
      <c r="AD446" s="25">
        <f>AC446*T446</f>
        <v>68.739999999999995</v>
      </c>
      <c r="AE446" s="25">
        <f>AB446*T446</f>
        <v>68.3</v>
      </c>
      <c r="AF446" s="25">
        <f>AD446-AE446</f>
        <v>0.43999999999999773</v>
      </c>
      <c r="AG446" s="26">
        <f>AF446/AD446</f>
        <v>6.4009310445155331E-3</v>
      </c>
      <c r="AH446" s="27" t="str">
        <f>IF(AG446&lt;0,"Negative",IF(AG446=0,"Same",IF(AG446&gt;0.3,"30+%",IF(AG446&gt;0.2,"20-30%",IF(AG446&gt;0.1,"10-20%",IF(AG446&lt;=0.1,"0-10%"))))))</f>
        <v>0-10%</v>
      </c>
      <c r="AI446" s="32"/>
      <c r="AJ446" s="36" t="s">
        <v>3299</v>
      </c>
      <c r="AK446" s="32"/>
    </row>
    <row r="447" spans="1:37" s="1" customFormat="1" ht="19.7" customHeight="1" x14ac:dyDescent="0.25">
      <c r="A447" s="9" t="s">
        <v>22</v>
      </c>
      <c r="B447" s="9" t="s">
        <v>119</v>
      </c>
      <c r="C447" s="10">
        <v>44232</v>
      </c>
      <c r="D447" s="9" t="s">
        <v>24</v>
      </c>
      <c r="E447" s="9" t="s">
        <v>25</v>
      </c>
      <c r="F447" s="9" t="s">
        <v>26</v>
      </c>
      <c r="G447" s="9" t="s">
        <v>67</v>
      </c>
      <c r="H447" s="9" t="s">
        <v>68</v>
      </c>
      <c r="I447" s="9" t="s">
        <v>29</v>
      </c>
      <c r="J447" s="9" t="s">
        <v>30</v>
      </c>
      <c r="K447" s="9" t="s">
        <v>31</v>
      </c>
      <c r="L447" s="9" t="s">
        <v>32</v>
      </c>
      <c r="M447" s="9" t="s">
        <v>127</v>
      </c>
      <c r="N447" s="9" t="s">
        <v>121</v>
      </c>
      <c r="O447" s="9" t="s">
        <v>128</v>
      </c>
      <c r="P447" s="9" t="s">
        <v>129</v>
      </c>
      <c r="Q447" s="9">
        <v>100869835</v>
      </c>
      <c r="R447" s="9" t="s">
        <v>76</v>
      </c>
      <c r="S447" s="9" t="s">
        <v>39</v>
      </c>
      <c r="T447" s="11">
        <v>1</v>
      </c>
      <c r="U447" s="15" t="s">
        <v>128</v>
      </c>
      <c r="V447" s="16" t="s">
        <v>129</v>
      </c>
      <c r="W447" s="17">
        <v>100869835</v>
      </c>
      <c r="X447" s="16" t="s">
        <v>2536</v>
      </c>
      <c r="Y447" s="17" t="s">
        <v>2537</v>
      </c>
      <c r="Z447" s="17" t="s">
        <v>39</v>
      </c>
      <c r="AA447" s="17" t="s">
        <v>37</v>
      </c>
      <c r="AB447" s="29">
        <v>30.86</v>
      </c>
      <c r="AC447" s="25">
        <v>34.369999999999997</v>
      </c>
      <c r="AD447" s="25">
        <f>AC447*T447</f>
        <v>34.369999999999997</v>
      </c>
      <c r="AE447" s="25">
        <f>AB447*T447</f>
        <v>30.86</v>
      </c>
      <c r="AF447" s="25">
        <f>AD447-AE447</f>
        <v>3.509999999999998</v>
      </c>
      <c r="AG447" s="26">
        <f>AF447/AD447</f>
        <v>0.10212394530113467</v>
      </c>
      <c r="AH447" s="27" t="str">
        <f>IF(AG447&lt;0,"Negative",IF(AG447=0,"Same",IF(AG447&gt;0.3,"30+%",IF(AG447&gt;0.2,"20-30%",IF(AG447&gt;0.1,"10-20%",IF(AG447&lt;=0.1,"0-10%"))))))</f>
        <v>10-20%</v>
      </c>
      <c r="AI447" s="32"/>
      <c r="AJ447" s="36" t="s">
        <v>3299</v>
      </c>
      <c r="AK447" s="32"/>
    </row>
    <row r="448" spans="1:37" s="1" customFormat="1" ht="19.7" customHeight="1" x14ac:dyDescent="0.25">
      <c r="A448" s="9" t="s">
        <v>22</v>
      </c>
      <c r="B448" s="9" t="s">
        <v>345</v>
      </c>
      <c r="C448" s="10">
        <v>44253</v>
      </c>
      <c r="D448" s="9" t="s">
        <v>24</v>
      </c>
      <c r="E448" s="9" t="s">
        <v>25</v>
      </c>
      <c r="F448" s="9" t="s">
        <v>26</v>
      </c>
      <c r="G448" s="9" t="s">
        <v>67</v>
      </c>
      <c r="H448" s="9" t="s">
        <v>68</v>
      </c>
      <c r="I448" s="9" t="s">
        <v>29</v>
      </c>
      <c r="J448" s="9" t="s">
        <v>30</v>
      </c>
      <c r="K448" s="9" t="s">
        <v>31</v>
      </c>
      <c r="L448" s="9" t="s">
        <v>32</v>
      </c>
      <c r="M448" s="9" t="s">
        <v>127</v>
      </c>
      <c r="N448" s="9" t="s">
        <v>347</v>
      </c>
      <c r="O448" s="9" t="s">
        <v>128</v>
      </c>
      <c r="P448" s="9" t="s">
        <v>129</v>
      </c>
      <c r="Q448" s="9">
        <v>100869835</v>
      </c>
      <c r="R448" s="9" t="s">
        <v>76</v>
      </c>
      <c r="S448" s="9" t="s">
        <v>39</v>
      </c>
      <c r="T448" s="11">
        <v>1</v>
      </c>
      <c r="U448" s="15" t="s">
        <v>128</v>
      </c>
      <c r="V448" s="16" t="s">
        <v>129</v>
      </c>
      <c r="W448" s="17">
        <v>100869835</v>
      </c>
      <c r="X448" s="16" t="s">
        <v>2536</v>
      </c>
      <c r="Y448" s="17" t="s">
        <v>2537</v>
      </c>
      <c r="Z448" s="17" t="s">
        <v>39</v>
      </c>
      <c r="AA448" s="17" t="s">
        <v>37</v>
      </c>
      <c r="AB448" s="29">
        <v>30.86</v>
      </c>
      <c r="AC448" s="25">
        <v>34.369999999999997</v>
      </c>
      <c r="AD448" s="25">
        <f>AC448*T448</f>
        <v>34.369999999999997</v>
      </c>
      <c r="AE448" s="25">
        <f>AB448*T448</f>
        <v>30.86</v>
      </c>
      <c r="AF448" s="25">
        <f>AD448-AE448</f>
        <v>3.509999999999998</v>
      </c>
      <c r="AG448" s="26">
        <f>AF448/AD448</f>
        <v>0.10212394530113467</v>
      </c>
      <c r="AH448" s="27" t="str">
        <f>IF(AG448&lt;0,"Negative",IF(AG448=0,"Same",IF(AG448&gt;0.3,"30+%",IF(AG448&gt;0.2,"20-30%",IF(AG448&gt;0.1,"10-20%",IF(AG448&lt;=0.1,"0-10%"))))))</f>
        <v>10-20%</v>
      </c>
      <c r="AI448" s="32"/>
      <c r="AJ448" s="36" t="s">
        <v>3299</v>
      </c>
      <c r="AK448" s="32"/>
    </row>
    <row r="449" spans="1:37" s="1" customFormat="1" ht="19.7" customHeight="1" x14ac:dyDescent="0.25">
      <c r="A449" s="9" t="s">
        <v>22</v>
      </c>
      <c r="B449" s="9" t="s">
        <v>616</v>
      </c>
      <c r="C449" s="10">
        <v>44281</v>
      </c>
      <c r="D449" s="9" t="s">
        <v>24</v>
      </c>
      <c r="E449" s="9" t="s">
        <v>25</v>
      </c>
      <c r="F449" s="9" t="s">
        <v>26</v>
      </c>
      <c r="G449" s="9" t="s">
        <v>67</v>
      </c>
      <c r="H449" s="9" t="s">
        <v>68</v>
      </c>
      <c r="I449" s="9" t="s">
        <v>29</v>
      </c>
      <c r="J449" s="9" t="s">
        <v>30</v>
      </c>
      <c r="K449" s="9" t="s">
        <v>31</v>
      </c>
      <c r="L449" s="9" t="s">
        <v>32</v>
      </c>
      <c r="M449" s="9" t="s">
        <v>127</v>
      </c>
      <c r="N449" s="9" t="s">
        <v>617</v>
      </c>
      <c r="O449" s="9" t="s">
        <v>128</v>
      </c>
      <c r="P449" s="9" t="s">
        <v>129</v>
      </c>
      <c r="Q449" s="9">
        <v>100869835</v>
      </c>
      <c r="R449" s="9" t="s">
        <v>76</v>
      </c>
      <c r="S449" s="9" t="s">
        <v>39</v>
      </c>
      <c r="T449" s="11">
        <v>1</v>
      </c>
      <c r="U449" s="15" t="s">
        <v>128</v>
      </c>
      <c r="V449" s="16" t="s">
        <v>129</v>
      </c>
      <c r="W449" s="17">
        <v>100869835</v>
      </c>
      <c r="X449" s="16" t="s">
        <v>2536</v>
      </c>
      <c r="Y449" s="17" t="s">
        <v>2537</v>
      </c>
      <c r="Z449" s="17" t="s">
        <v>39</v>
      </c>
      <c r="AA449" s="17" t="s">
        <v>37</v>
      </c>
      <c r="AB449" s="29">
        <v>30.86</v>
      </c>
      <c r="AC449" s="25">
        <v>34.369999999999997</v>
      </c>
      <c r="AD449" s="25">
        <f>AC449*T449</f>
        <v>34.369999999999997</v>
      </c>
      <c r="AE449" s="25">
        <f>AB449*T449</f>
        <v>30.86</v>
      </c>
      <c r="AF449" s="25">
        <f>AD449-AE449</f>
        <v>3.509999999999998</v>
      </c>
      <c r="AG449" s="26">
        <f>AF449/AD449</f>
        <v>0.10212394530113467</v>
      </c>
      <c r="AH449" s="27" t="str">
        <f>IF(AG449&lt;0,"Negative",IF(AG449=0,"Same",IF(AG449&gt;0.3,"30+%",IF(AG449&gt;0.2,"20-30%",IF(AG449&gt;0.1,"10-20%",IF(AG449&lt;=0.1,"0-10%"))))))</f>
        <v>10-20%</v>
      </c>
      <c r="AI449" s="32"/>
      <c r="AJ449" s="36" t="s">
        <v>3299</v>
      </c>
      <c r="AK449" s="32"/>
    </row>
    <row r="450" spans="1:37" s="1" customFormat="1" ht="19.7" customHeight="1" x14ac:dyDescent="0.25">
      <c r="A450" s="5" t="s">
        <v>22</v>
      </c>
      <c r="B450" s="5" t="s">
        <v>1085</v>
      </c>
      <c r="C450" s="6">
        <v>44337</v>
      </c>
      <c r="D450" s="5" t="s">
        <v>24</v>
      </c>
      <c r="E450" s="5" t="s">
        <v>25</v>
      </c>
      <c r="F450" s="5" t="s">
        <v>26</v>
      </c>
      <c r="G450" s="5" t="s">
        <v>67</v>
      </c>
      <c r="H450" s="5" t="s">
        <v>68</v>
      </c>
      <c r="I450" s="5" t="s">
        <v>29</v>
      </c>
      <c r="J450" s="5" t="s">
        <v>30</v>
      </c>
      <c r="K450" s="5" t="s">
        <v>31</v>
      </c>
      <c r="L450" s="5" t="s">
        <v>32</v>
      </c>
      <c r="M450" s="5" t="s">
        <v>127</v>
      </c>
      <c r="N450" s="5" t="s">
        <v>1086</v>
      </c>
      <c r="O450" s="5" t="s">
        <v>128</v>
      </c>
      <c r="P450" s="5" t="s">
        <v>129</v>
      </c>
      <c r="Q450" s="5">
        <v>100869835</v>
      </c>
      <c r="R450" s="5" t="s">
        <v>76</v>
      </c>
      <c r="S450" s="5" t="s">
        <v>39</v>
      </c>
      <c r="T450" s="7">
        <v>1</v>
      </c>
      <c r="U450" s="15" t="s">
        <v>128</v>
      </c>
      <c r="V450" s="16" t="s">
        <v>129</v>
      </c>
      <c r="W450" s="17">
        <v>100869835</v>
      </c>
      <c r="X450" s="16" t="s">
        <v>2536</v>
      </c>
      <c r="Y450" s="17" t="s">
        <v>2537</v>
      </c>
      <c r="Z450" s="17" t="s">
        <v>39</v>
      </c>
      <c r="AA450" s="17" t="s">
        <v>37</v>
      </c>
      <c r="AB450" s="29">
        <v>30.86</v>
      </c>
      <c r="AC450" s="25">
        <v>34.369999999999997</v>
      </c>
      <c r="AD450" s="25">
        <f>AC450*T450</f>
        <v>34.369999999999997</v>
      </c>
      <c r="AE450" s="25">
        <f>AB450*T450</f>
        <v>30.86</v>
      </c>
      <c r="AF450" s="25">
        <f>AD450-AE450</f>
        <v>3.509999999999998</v>
      </c>
      <c r="AG450" s="26">
        <f>AF450/AD450</f>
        <v>0.10212394530113467</v>
      </c>
      <c r="AH450" s="27" t="str">
        <f>IF(AG450&lt;0,"Negative",IF(AG450=0,"Same",IF(AG450&gt;0.3,"30+%",IF(AG450&gt;0.2,"20-30%",IF(AG450&gt;0.1,"10-20%",IF(AG450&lt;=0.1,"0-10%"))))))</f>
        <v>10-20%</v>
      </c>
      <c r="AI450" s="32"/>
      <c r="AJ450" s="36" t="s">
        <v>3299</v>
      </c>
      <c r="AK450" s="32"/>
    </row>
    <row r="451" spans="1:37" s="1" customFormat="1" ht="19.7" customHeight="1" x14ac:dyDescent="0.25">
      <c r="A451" s="9" t="s">
        <v>22</v>
      </c>
      <c r="B451" s="9" t="s">
        <v>1753</v>
      </c>
      <c r="C451" s="10">
        <v>44452</v>
      </c>
      <c r="D451" s="9" t="s">
        <v>24</v>
      </c>
      <c r="E451" s="9" t="s">
        <v>25</v>
      </c>
      <c r="F451" s="9" t="s">
        <v>26</v>
      </c>
      <c r="G451" s="9" t="s">
        <v>67</v>
      </c>
      <c r="H451" s="9" t="s">
        <v>68</v>
      </c>
      <c r="I451" s="9" t="s">
        <v>29</v>
      </c>
      <c r="J451" s="9" t="s">
        <v>30</v>
      </c>
      <c r="K451" s="9" t="s">
        <v>31</v>
      </c>
      <c r="L451" s="9" t="s">
        <v>32</v>
      </c>
      <c r="M451" s="9" t="s">
        <v>127</v>
      </c>
      <c r="N451" s="9" t="s">
        <v>1754</v>
      </c>
      <c r="O451" s="9" t="s">
        <v>128</v>
      </c>
      <c r="P451" s="9" t="s">
        <v>129</v>
      </c>
      <c r="Q451" s="9">
        <v>100869835</v>
      </c>
      <c r="R451" s="9" t="s">
        <v>76</v>
      </c>
      <c r="S451" s="9" t="s">
        <v>39</v>
      </c>
      <c r="T451" s="11">
        <v>1</v>
      </c>
      <c r="U451" s="15" t="s">
        <v>128</v>
      </c>
      <c r="V451" s="16" t="s">
        <v>129</v>
      </c>
      <c r="W451" s="17">
        <v>100869835</v>
      </c>
      <c r="X451" s="16" t="s">
        <v>2536</v>
      </c>
      <c r="Y451" s="17" t="s">
        <v>2537</v>
      </c>
      <c r="Z451" s="17" t="s">
        <v>39</v>
      </c>
      <c r="AA451" s="17" t="s">
        <v>37</v>
      </c>
      <c r="AB451" s="29">
        <v>30.86</v>
      </c>
      <c r="AC451" s="25">
        <v>34.369999999999997</v>
      </c>
      <c r="AD451" s="25">
        <f>AC451*T451</f>
        <v>34.369999999999997</v>
      </c>
      <c r="AE451" s="25">
        <f>AB451*T451</f>
        <v>30.86</v>
      </c>
      <c r="AF451" s="25">
        <f>AD451-AE451</f>
        <v>3.509999999999998</v>
      </c>
      <c r="AG451" s="26">
        <f>AF451/AD451</f>
        <v>0.10212394530113467</v>
      </c>
      <c r="AH451" s="27" t="str">
        <f>IF(AG451&lt;0,"Negative",IF(AG451=0,"Same",IF(AG451&gt;0.3,"30+%",IF(AG451&gt;0.2,"20-30%",IF(AG451&gt;0.1,"10-20%",IF(AG451&lt;=0.1,"0-10%"))))))</f>
        <v>10-20%</v>
      </c>
      <c r="AI451" s="32"/>
      <c r="AJ451" s="36" t="s">
        <v>3299</v>
      </c>
      <c r="AK451" s="32"/>
    </row>
    <row r="452" spans="1:37" s="1" customFormat="1" ht="19.7" customHeight="1" x14ac:dyDescent="0.25">
      <c r="A452" s="5" t="s">
        <v>22</v>
      </c>
      <c r="B452" s="5" t="s">
        <v>1755</v>
      </c>
      <c r="C452" s="6">
        <v>44452</v>
      </c>
      <c r="D452" s="5" t="s">
        <v>24</v>
      </c>
      <c r="E452" s="5" t="s">
        <v>25</v>
      </c>
      <c r="F452" s="5" t="s">
        <v>26</v>
      </c>
      <c r="G452" s="5" t="s">
        <v>67</v>
      </c>
      <c r="H452" s="5" t="s">
        <v>68</v>
      </c>
      <c r="I452" s="5" t="s">
        <v>29</v>
      </c>
      <c r="J452" s="5" t="s">
        <v>30</v>
      </c>
      <c r="K452" s="5" t="s">
        <v>31</v>
      </c>
      <c r="L452" s="5" t="s">
        <v>32</v>
      </c>
      <c r="M452" s="5" t="s">
        <v>127</v>
      </c>
      <c r="N452" s="5" t="s">
        <v>1756</v>
      </c>
      <c r="O452" s="5" t="s">
        <v>128</v>
      </c>
      <c r="P452" s="5" t="s">
        <v>129</v>
      </c>
      <c r="Q452" s="5">
        <v>100869835</v>
      </c>
      <c r="R452" s="5" t="s">
        <v>76</v>
      </c>
      <c r="S452" s="5" t="s">
        <v>39</v>
      </c>
      <c r="T452" s="7">
        <v>1</v>
      </c>
      <c r="U452" s="15" t="s">
        <v>128</v>
      </c>
      <c r="V452" s="16" t="s">
        <v>129</v>
      </c>
      <c r="W452" s="17">
        <v>100869835</v>
      </c>
      <c r="X452" s="16" t="s">
        <v>2536</v>
      </c>
      <c r="Y452" s="17" t="s">
        <v>2537</v>
      </c>
      <c r="Z452" s="17" t="s">
        <v>39</v>
      </c>
      <c r="AA452" s="17" t="s">
        <v>37</v>
      </c>
      <c r="AB452" s="29">
        <v>30.86</v>
      </c>
      <c r="AC452" s="25">
        <v>34.369999999999997</v>
      </c>
      <c r="AD452" s="25">
        <f>AC452*T452</f>
        <v>34.369999999999997</v>
      </c>
      <c r="AE452" s="25">
        <f>AB452*T452</f>
        <v>30.86</v>
      </c>
      <c r="AF452" s="25">
        <f>AD452-AE452</f>
        <v>3.509999999999998</v>
      </c>
      <c r="AG452" s="26">
        <f>AF452/AD452</f>
        <v>0.10212394530113467</v>
      </c>
      <c r="AH452" s="27" t="str">
        <f>IF(AG452&lt;0,"Negative",IF(AG452=0,"Same",IF(AG452&gt;0.3,"30+%",IF(AG452&gt;0.2,"20-30%",IF(AG452&gt;0.1,"10-20%",IF(AG452&lt;=0.1,"0-10%"))))))</f>
        <v>10-20%</v>
      </c>
      <c r="AI452" s="32"/>
      <c r="AJ452" s="36" t="s">
        <v>3299</v>
      </c>
      <c r="AK452" s="32"/>
    </row>
    <row r="453" spans="1:37" s="1" customFormat="1" ht="19.7" customHeight="1" x14ac:dyDescent="0.25">
      <c r="A453" s="5" t="s">
        <v>22</v>
      </c>
      <c r="B453" s="5" t="s">
        <v>2215</v>
      </c>
      <c r="C453" s="6">
        <v>44540</v>
      </c>
      <c r="D453" s="5" t="s">
        <v>24</v>
      </c>
      <c r="E453" s="5" t="s">
        <v>25</v>
      </c>
      <c r="F453" s="5" t="s">
        <v>26</v>
      </c>
      <c r="G453" s="5" t="s">
        <v>67</v>
      </c>
      <c r="H453" s="5" t="s">
        <v>68</v>
      </c>
      <c r="I453" s="5" t="s">
        <v>29</v>
      </c>
      <c r="J453" s="5" t="s">
        <v>30</v>
      </c>
      <c r="K453" s="5" t="s">
        <v>31</v>
      </c>
      <c r="L453" s="5" t="s">
        <v>32</v>
      </c>
      <c r="M453" s="5" t="s">
        <v>127</v>
      </c>
      <c r="N453" s="5" t="s">
        <v>1969</v>
      </c>
      <c r="O453" s="5" t="s">
        <v>128</v>
      </c>
      <c r="P453" s="5" t="s">
        <v>129</v>
      </c>
      <c r="Q453" s="5">
        <v>100869835</v>
      </c>
      <c r="R453" s="5" t="s">
        <v>76</v>
      </c>
      <c r="S453" s="5" t="s">
        <v>39</v>
      </c>
      <c r="T453" s="7">
        <v>1</v>
      </c>
      <c r="U453" s="15" t="s">
        <v>128</v>
      </c>
      <c r="V453" s="16" t="s">
        <v>129</v>
      </c>
      <c r="W453" s="17">
        <v>100869835</v>
      </c>
      <c r="X453" s="16" t="s">
        <v>2536</v>
      </c>
      <c r="Y453" s="17" t="s">
        <v>2537</v>
      </c>
      <c r="Z453" s="17" t="s">
        <v>39</v>
      </c>
      <c r="AA453" s="17" t="s">
        <v>37</v>
      </c>
      <c r="AB453" s="29">
        <v>30.86</v>
      </c>
      <c r="AC453" s="25">
        <v>34.369999999999997</v>
      </c>
      <c r="AD453" s="25">
        <f>AC453*T453</f>
        <v>34.369999999999997</v>
      </c>
      <c r="AE453" s="25">
        <f>AB453*T453</f>
        <v>30.86</v>
      </c>
      <c r="AF453" s="25">
        <f>AD453-AE453</f>
        <v>3.509999999999998</v>
      </c>
      <c r="AG453" s="26">
        <f>AF453/AD453</f>
        <v>0.10212394530113467</v>
      </c>
      <c r="AH453" s="27" t="str">
        <f>IF(AG453&lt;0,"Negative",IF(AG453=0,"Same",IF(AG453&gt;0.3,"30+%",IF(AG453&gt;0.2,"20-30%",IF(AG453&gt;0.1,"10-20%",IF(AG453&lt;=0.1,"0-10%"))))))</f>
        <v>10-20%</v>
      </c>
      <c r="AI453" s="32"/>
      <c r="AJ453" s="36" t="s">
        <v>3299</v>
      </c>
      <c r="AK453" s="32"/>
    </row>
    <row r="454" spans="1:37" s="1" customFormat="1" ht="19.7" customHeight="1" x14ac:dyDescent="0.25">
      <c r="A454" s="9" t="s">
        <v>22</v>
      </c>
      <c r="B454" s="9" t="s">
        <v>2484</v>
      </c>
      <c r="C454" s="10">
        <v>44589</v>
      </c>
      <c r="D454" s="9" t="s">
        <v>24</v>
      </c>
      <c r="E454" s="9" t="s">
        <v>25</v>
      </c>
      <c r="F454" s="9" t="s">
        <v>26</v>
      </c>
      <c r="G454" s="9" t="s">
        <v>67</v>
      </c>
      <c r="H454" s="9" t="s">
        <v>68</v>
      </c>
      <c r="I454" s="9" t="s">
        <v>29</v>
      </c>
      <c r="J454" s="9" t="s">
        <v>30</v>
      </c>
      <c r="K454" s="9" t="s">
        <v>31</v>
      </c>
      <c r="L454" s="9" t="s">
        <v>32</v>
      </c>
      <c r="M454" s="9" t="s">
        <v>127</v>
      </c>
      <c r="N454" s="9" t="s">
        <v>2407</v>
      </c>
      <c r="O454" s="9" t="s">
        <v>128</v>
      </c>
      <c r="P454" s="9" t="s">
        <v>129</v>
      </c>
      <c r="Q454" s="9">
        <v>100869835</v>
      </c>
      <c r="R454" s="9" t="s">
        <v>76</v>
      </c>
      <c r="S454" s="9" t="s">
        <v>39</v>
      </c>
      <c r="T454" s="11">
        <v>1</v>
      </c>
      <c r="U454" s="15" t="s">
        <v>128</v>
      </c>
      <c r="V454" s="16" t="s">
        <v>129</v>
      </c>
      <c r="W454" s="17">
        <v>100869835</v>
      </c>
      <c r="X454" s="16" t="s">
        <v>2536</v>
      </c>
      <c r="Y454" s="17" t="s">
        <v>2537</v>
      </c>
      <c r="Z454" s="17" t="s">
        <v>39</v>
      </c>
      <c r="AA454" s="17" t="s">
        <v>37</v>
      </c>
      <c r="AB454" s="29">
        <v>30.86</v>
      </c>
      <c r="AC454" s="25">
        <v>34.369999999999997</v>
      </c>
      <c r="AD454" s="25">
        <f>AC454*T454</f>
        <v>34.369999999999997</v>
      </c>
      <c r="AE454" s="25">
        <f>AB454*T454</f>
        <v>30.86</v>
      </c>
      <c r="AF454" s="25">
        <f>AD454-AE454</f>
        <v>3.509999999999998</v>
      </c>
      <c r="AG454" s="26">
        <f>AF454/AD454</f>
        <v>0.10212394530113467</v>
      </c>
      <c r="AH454" s="27" t="str">
        <f>IF(AG454&lt;0,"Negative",IF(AG454=0,"Same",IF(AG454&gt;0.3,"30+%",IF(AG454&gt;0.2,"20-30%",IF(AG454&gt;0.1,"10-20%",IF(AG454&lt;=0.1,"0-10%"))))))</f>
        <v>10-20%</v>
      </c>
      <c r="AI454" s="32"/>
      <c r="AJ454" s="36" t="s">
        <v>3299</v>
      </c>
      <c r="AK454" s="32"/>
    </row>
    <row r="455" spans="1:37" s="1" customFormat="1" ht="19.7" customHeight="1" x14ac:dyDescent="0.25">
      <c r="A455" s="5" t="s">
        <v>22</v>
      </c>
      <c r="B455" s="5" t="s">
        <v>1637</v>
      </c>
      <c r="C455" s="6">
        <v>44427</v>
      </c>
      <c r="D455" s="5" t="s">
        <v>24</v>
      </c>
      <c r="E455" s="5" t="s">
        <v>25</v>
      </c>
      <c r="F455" s="5" t="s">
        <v>26</v>
      </c>
      <c r="G455" s="5" t="s">
        <v>67</v>
      </c>
      <c r="H455" s="5" t="s">
        <v>68</v>
      </c>
      <c r="I455" s="5" t="s">
        <v>29</v>
      </c>
      <c r="J455" s="5" t="s">
        <v>30</v>
      </c>
      <c r="K455" s="5" t="s">
        <v>31</v>
      </c>
      <c r="L455" s="5" t="s">
        <v>32</v>
      </c>
      <c r="M455" s="5" t="s">
        <v>127</v>
      </c>
      <c r="N455" s="5" t="s">
        <v>1638</v>
      </c>
      <c r="O455" s="5" t="s">
        <v>128</v>
      </c>
      <c r="P455" s="5" t="s">
        <v>129</v>
      </c>
      <c r="Q455" s="5">
        <v>100869835</v>
      </c>
      <c r="R455" s="5" t="s">
        <v>76</v>
      </c>
      <c r="S455" s="5" t="s">
        <v>39</v>
      </c>
      <c r="T455" s="7">
        <v>2</v>
      </c>
      <c r="U455" s="15" t="s">
        <v>128</v>
      </c>
      <c r="V455" s="16" t="s">
        <v>129</v>
      </c>
      <c r="W455" s="17">
        <v>100869835</v>
      </c>
      <c r="X455" s="16" t="s">
        <v>2536</v>
      </c>
      <c r="Y455" s="17" t="s">
        <v>2537</v>
      </c>
      <c r="Z455" s="17" t="s">
        <v>39</v>
      </c>
      <c r="AA455" s="17" t="s">
        <v>37</v>
      </c>
      <c r="AB455" s="29">
        <v>30.86</v>
      </c>
      <c r="AC455" s="25">
        <v>34.369999999999997</v>
      </c>
      <c r="AD455" s="25">
        <f>AC455*T455</f>
        <v>68.739999999999995</v>
      </c>
      <c r="AE455" s="25">
        <f>AB455*T455</f>
        <v>61.72</v>
      </c>
      <c r="AF455" s="25">
        <f>AD455-AE455</f>
        <v>7.019999999999996</v>
      </c>
      <c r="AG455" s="26">
        <f>AF455/AD455</f>
        <v>0.10212394530113467</v>
      </c>
      <c r="AH455" s="27" t="str">
        <f>IF(AG455&lt;0,"Negative",IF(AG455=0,"Same",IF(AG455&gt;0.3,"30+%",IF(AG455&gt;0.2,"20-30%",IF(AG455&gt;0.1,"10-20%",IF(AG455&lt;=0.1,"0-10%"))))))</f>
        <v>10-20%</v>
      </c>
      <c r="AI455" s="32"/>
      <c r="AJ455" s="36" t="s">
        <v>3299</v>
      </c>
      <c r="AK455" s="32"/>
    </row>
    <row r="456" spans="1:37" s="1" customFormat="1" ht="19.7" customHeight="1" x14ac:dyDescent="0.25">
      <c r="A456" s="9" t="s">
        <v>22</v>
      </c>
      <c r="B456" s="9" t="s">
        <v>1759</v>
      </c>
      <c r="C456" s="10">
        <v>44456</v>
      </c>
      <c r="D456" s="9" t="s">
        <v>24</v>
      </c>
      <c r="E456" s="9" t="s">
        <v>25</v>
      </c>
      <c r="F456" s="9" t="s">
        <v>26</v>
      </c>
      <c r="G456" s="9" t="s">
        <v>67</v>
      </c>
      <c r="H456" s="9" t="s">
        <v>68</v>
      </c>
      <c r="I456" s="9" t="s">
        <v>29</v>
      </c>
      <c r="J456" s="9" t="s">
        <v>30</v>
      </c>
      <c r="K456" s="9" t="s">
        <v>31</v>
      </c>
      <c r="L456" s="9" t="s">
        <v>32</v>
      </c>
      <c r="M456" s="9" t="s">
        <v>127</v>
      </c>
      <c r="N456" s="9" t="s">
        <v>1760</v>
      </c>
      <c r="O456" s="9" t="s">
        <v>128</v>
      </c>
      <c r="P456" s="9" t="s">
        <v>129</v>
      </c>
      <c r="Q456" s="9">
        <v>100869835</v>
      </c>
      <c r="R456" s="9" t="s">
        <v>76</v>
      </c>
      <c r="S456" s="9" t="s">
        <v>39</v>
      </c>
      <c r="T456" s="11">
        <v>2</v>
      </c>
      <c r="U456" s="15" t="s">
        <v>128</v>
      </c>
      <c r="V456" s="16" t="s">
        <v>129</v>
      </c>
      <c r="W456" s="17">
        <v>100869835</v>
      </c>
      <c r="X456" s="16" t="s">
        <v>2536</v>
      </c>
      <c r="Y456" s="17" t="s">
        <v>2537</v>
      </c>
      <c r="Z456" s="17" t="s">
        <v>39</v>
      </c>
      <c r="AA456" s="17" t="s">
        <v>37</v>
      </c>
      <c r="AB456" s="29">
        <v>30.86</v>
      </c>
      <c r="AC456" s="25">
        <v>34.369999999999997</v>
      </c>
      <c r="AD456" s="25">
        <f>AC456*T456</f>
        <v>68.739999999999995</v>
      </c>
      <c r="AE456" s="25">
        <f>AB456*T456</f>
        <v>61.72</v>
      </c>
      <c r="AF456" s="25">
        <f>AD456-AE456</f>
        <v>7.019999999999996</v>
      </c>
      <c r="AG456" s="26">
        <f>AF456/AD456</f>
        <v>0.10212394530113467</v>
      </c>
      <c r="AH456" s="27" t="str">
        <f>IF(AG456&lt;0,"Negative",IF(AG456=0,"Same",IF(AG456&gt;0.3,"30+%",IF(AG456&gt;0.2,"20-30%",IF(AG456&gt;0.1,"10-20%",IF(AG456&lt;=0.1,"0-10%"))))))</f>
        <v>10-20%</v>
      </c>
      <c r="AI456" s="32"/>
      <c r="AJ456" s="36" t="s">
        <v>3299</v>
      </c>
      <c r="AK456" s="32"/>
    </row>
    <row r="457" spans="1:37" s="1" customFormat="1" ht="19.7" customHeight="1" x14ac:dyDescent="0.25">
      <c r="A457" s="9" t="s">
        <v>22</v>
      </c>
      <c r="B457" s="9" t="s">
        <v>1578</v>
      </c>
      <c r="C457" s="10">
        <v>44420</v>
      </c>
      <c r="D457" s="9" t="s">
        <v>24</v>
      </c>
      <c r="E457" s="9" t="s">
        <v>25</v>
      </c>
      <c r="F457" s="9" t="s">
        <v>26</v>
      </c>
      <c r="G457" s="9" t="s">
        <v>27</v>
      </c>
      <c r="H457" s="9" t="s">
        <v>28</v>
      </c>
      <c r="I457" s="9" t="s">
        <v>29</v>
      </c>
      <c r="J457" s="9" t="s">
        <v>30</v>
      </c>
      <c r="K457" s="9" t="s">
        <v>31</v>
      </c>
      <c r="L457" s="9" t="s">
        <v>32</v>
      </c>
      <c r="M457" s="9" t="s">
        <v>1579</v>
      </c>
      <c r="N457" s="9" t="s">
        <v>1580</v>
      </c>
      <c r="O457" s="9" t="s">
        <v>169</v>
      </c>
      <c r="P457" s="9" t="s">
        <v>1581</v>
      </c>
      <c r="Q457" s="9">
        <v>100771297</v>
      </c>
      <c r="R457" s="9" t="s">
        <v>56</v>
      </c>
      <c r="S457" s="9" t="s">
        <v>39</v>
      </c>
      <c r="T457" s="11">
        <v>5</v>
      </c>
      <c r="U457" s="15" t="s">
        <v>169</v>
      </c>
      <c r="V457" s="16" t="s">
        <v>1581</v>
      </c>
      <c r="W457" s="17">
        <v>100771297</v>
      </c>
      <c r="X457" s="16" t="s">
        <v>2610</v>
      </c>
      <c r="Y457" s="17" t="s">
        <v>3082</v>
      </c>
      <c r="Z457" s="17" t="s">
        <v>39</v>
      </c>
      <c r="AA457" s="17" t="s">
        <v>37</v>
      </c>
      <c r="AB457" s="43">
        <v>25.59</v>
      </c>
      <c r="AC457" s="25">
        <v>27.49</v>
      </c>
      <c r="AD457" s="25">
        <f>AC457*T457</f>
        <v>137.44999999999999</v>
      </c>
      <c r="AE457" s="25">
        <f>AB457*T457</f>
        <v>127.95</v>
      </c>
      <c r="AF457" s="25">
        <f>AD457-AE457</f>
        <v>9.4999999999999858</v>
      </c>
      <c r="AG457" s="26">
        <f>AF457/AD457</f>
        <v>6.9116042197162511E-2</v>
      </c>
      <c r="AH457" s="27" t="str">
        <f>IF(AG457&lt;0,"Negative",IF(AG457=0,"Same",IF(AG457&gt;0.3,"30+%",IF(AG457&gt;0.2,"20-30%",IF(AG457&gt;0.1,"10-20%",IF(AG457&lt;=0.1,"0-10%"))))))</f>
        <v>0-10%</v>
      </c>
      <c r="AI457" s="32"/>
      <c r="AJ457" s="36" t="s">
        <v>3299</v>
      </c>
      <c r="AK457" s="32"/>
    </row>
    <row r="458" spans="1:37" s="1" customFormat="1" ht="19.7" customHeight="1" x14ac:dyDescent="0.25">
      <c r="A458" s="5" t="s">
        <v>22</v>
      </c>
      <c r="B458" s="5" t="s">
        <v>536</v>
      </c>
      <c r="C458" s="6">
        <v>44274</v>
      </c>
      <c r="D458" s="5" t="s">
        <v>24</v>
      </c>
      <c r="E458" s="5" t="s">
        <v>25</v>
      </c>
      <c r="F458" s="5" t="s">
        <v>26</v>
      </c>
      <c r="G458" s="5" t="s">
        <v>27</v>
      </c>
      <c r="H458" s="5" t="s">
        <v>28</v>
      </c>
      <c r="I458" s="5" t="s">
        <v>29</v>
      </c>
      <c r="J458" s="5" t="s">
        <v>30</v>
      </c>
      <c r="K458" s="5" t="s">
        <v>31</v>
      </c>
      <c r="L458" s="5" t="s">
        <v>32</v>
      </c>
      <c r="M458" s="5" t="s">
        <v>539</v>
      </c>
      <c r="N458" s="5" t="s">
        <v>534</v>
      </c>
      <c r="O458" s="5" t="s">
        <v>128</v>
      </c>
      <c r="P458" s="5" t="s">
        <v>540</v>
      </c>
      <c r="Q458" s="5">
        <v>100867491</v>
      </c>
      <c r="R458" s="5" t="s">
        <v>76</v>
      </c>
      <c r="S458" s="5" t="s">
        <v>39</v>
      </c>
      <c r="T458" s="7">
        <v>3</v>
      </c>
      <c r="U458" s="15" t="s">
        <v>128</v>
      </c>
      <c r="V458" s="16" t="s">
        <v>540</v>
      </c>
      <c r="W458" s="17">
        <v>100867491</v>
      </c>
      <c r="X458" s="16" t="s">
        <v>2536</v>
      </c>
      <c r="Y458" s="17" t="s">
        <v>2723</v>
      </c>
      <c r="Z458" s="17" t="s">
        <v>39</v>
      </c>
      <c r="AA458" s="17" t="s">
        <v>37</v>
      </c>
      <c r="AB458" s="29">
        <v>31.47</v>
      </c>
      <c r="AC458" s="25">
        <v>35.07</v>
      </c>
      <c r="AD458" s="25">
        <f>AC458*T458</f>
        <v>105.21000000000001</v>
      </c>
      <c r="AE458" s="25">
        <f>AB458*T458</f>
        <v>94.41</v>
      </c>
      <c r="AF458" s="25">
        <f>AD458-AE458</f>
        <v>10.800000000000011</v>
      </c>
      <c r="AG458" s="26">
        <f>AF458/AD458</f>
        <v>0.10265183917878538</v>
      </c>
      <c r="AH458" s="27" t="str">
        <f>IF(AG458&lt;0,"Negative",IF(AG458=0,"Same",IF(AG458&gt;0.3,"30+%",IF(AG458&gt;0.2,"20-30%",IF(AG458&gt;0.1,"10-20%",IF(AG458&lt;=0.1,"0-10%"))))))</f>
        <v>10-20%</v>
      </c>
      <c r="AI458" s="32"/>
      <c r="AJ458" s="36" t="s">
        <v>3299</v>
      </c>
      <c r="AK458" s="32"/>
    </row>
    <row r="459" spans="1:37" s="1" customFormat="1" ht="19.7" customHeight="1" x14ac:dyDescent="0.25">
      <c r="A459" s="9" t="s">
        <v>22</v>
      </c>
      <c r="B459" s="9" t="s">
        <v>1182</v>
      </c>
      <c r="C459" s="10">
        <v>44354</v>
      </c>
      <c r="D459" s="9" t="s">
        <v>24</v>
      </c>
      <c r="E459" s="9" t="s">
        <v>25</v>
      </c>
      <c r="F459" s="9" t="s">
        <v>26</v>
      </c>
      <c r="G459" s="9" t="s">
        <v>27</v>
      </c>
      <c r="H459" s="9" t="s">
        <v>28</v>
      </c>
      <c r="I459" s="9" t="s">
        <v>29</v>
      </c>
      <c r="J459" s="9" t="s">
        <v>30</v>
      </c>
      <c r="K459" s="9" t="s">
        <v>31</v>
      </c>
      <c r="L459" s="9" t="s">
        <v>32</v>
      </c>
      <c r="M459" s="9" t="s">
        <v>539</v>
      </c>
      <c r="N459" s="9" t="s">
        <v>1157</v>
      </c>
      <c r="O459" s="9" t="s">
        <v>128</v>
      </c>
      <c r="P459" s="9" t="s">
        <v>540</v>
      </c>
      <c r="Q459" s="9">
        <v>100867491</v>
      </c>
      <c r="R459" s="9" t="s">
        <v>76</v>
      </c>
      <c r="S459" s="9" t="s">
        <v>39</v>
      </c>
      <c r="T459" s="11">
        <v>4</v>
      </c>
      <c r="U459" s="15" t="s">
        <v>128</v>
      </c>
      <c r="V459" s="16" t="s">
        <v>540</v>
      </c>
      <c r="W459" s="17">
        <v>100867491</v>
      </c>
      <c r="X459" s="16" t="s">
        <v>2536</v>
      </c>
      <c r="Y459" s="17" t="s">
        <v>2723</v>
      </c>
      <c r="Z459" s="17" t="s">
        <v>39</v>
      </c>
      <c r="AA459" s="17" t="s">
        <v>37</v>
      </c>
      <c r="AB459" s="29">
        <v>31.47</v>
      </c>
      <c r="AC459" s="25">
        <v>35.07</v>
      </c>
      <c r="AD459" s="25">
        <f>AC459*T459</f>
        <v>140.28</v>
      </c>
      <c r="AE459" s="25">
        <f>AB459*T459</f>
        <v>125.88</v>
      </c>
      <c r="AF459" s="25">
        <f>AD459-AE459</f>
        <v>14.400000000000006</v>
      </c>
      <c r="AG459" s="26">
        <f>AF459/AD459</f>
        <v>0.10265183917878533</v>
      </c>
      <c r="AH459" s="27" t="str">
        <f>IF(AG459&lt;0,"Negative",IF(AG459=0,"Same",IF(AG459&gt;0.3,"30+%",IF(AG459&gt;0.2,"20-30%",IF(AG459&gt;0.1,"10-20%",IF(AG459&lt;=0.1,"0-10%"))))))</f>
        <v>10-20%</v>
      </c>
      <c r="AI459" s="32"/>
      <c r="AJ459" s="36" t="s">
        <v>3299</v>
      </c>
      <c r="AK459" s="32"/>
    </row>
    <row r="460" spans="1:37" s="1" customFormat="1" ht="19.7" customHeight="1" x14ac:dyDescent="0.25">
      <c r="A460" s="5" t="s">
        <v>22</v>
      </c>
      <c r="B460" s="5" t="s">
        <v>2433</v>
      </c>
      <c r="C460" s="6">
        <v>44568</v>
      </c>
      <c r="D460" s="5" t="s">
        <v>24</v>
      </c>
      <c r="E460" s="5" t="s">
        <v>25</v>
      </c>
      <c r="F460" s="5" t="s">
        <v>26</v>
      </c>
      <c r="G460" s="5" t="s">
        <v>67</v>
      </c>
      <c r="H460" s="5" t="s">
        <v>68</v>
      </c>
      <c r="I460" s="5" t="s">
        <v>29</v>
      </c>
      <c r="J460" s="5" t="s">
        <v>30</v>
      </c>
      <c r="K460" s="5" t="s">
        <v>31</v>
      </c>
      <c r="L460" s="5" t="s">
        <v>32</v>
      </c>
      <c r="M460" s="5" t="s">
        <v>286</v>
      </c>
      <c r="N460" s="5" t="s">
        <v>2237</v>
      </c>
      <c r="O460" s="5" t="s">
        <v>71</v>
      </c>
      <c r="P460" s="5" t="s">
        <v>287</v>
      </c>
      <c r="Q460" s="5">
        <v>112227871</v>
      </c>
      <c r="R460" s="5" t="s">
        <v>73</v>
      </c>
      <c r="S460" s="5" t="s">
        <v>39</v>
      </c>
      <c r="T460" s="7">
        <v>216</v>
      </c>
      <c r="U460" s="15" t="s">
        <v>71</v>
      </c>
      <c r="V460" s="41" t="s">
        <v>287</v>
      </c>
      <c r="W460" s="17">
        <v>112227871</v>
      </c>
      <c r="X460" s="16" t="s">
        <v>2510</v>
      </c>
      <c r="Y460" s="17" t="s">
        <v>2607</v>
      </c>
      <c r="Z460" s="17" t="s">
        <v>39</v>
      </c>
      <c r="AA460" s="17" t="s">
        <v>2501</v>
      </c>
      <c r="AB460" s="29">
        <v>23.18</v>
      </c>
      <c r="AC460" s="25">
        <v>23.18</v>
      </c>
      <c r="AD460" s="25">
        <f>AC460*T460</f>
        <v>5006.88</v>
      </c>
      <c r="AE460" s="25">
        <f>AB460*T460</f>
        <v>5006.88</v>
      </c>
      <c r="AF460" s="25">
        <f>AD460-AE460</f>
        <v>0</v>
      </c>
      <c r="AG460" s="26">
        <f>AF460/AD460</f>
        <v>0</v>
      </c>
      <c r="AH460" s="27" t="str">
        <f>IF(AG460&lt;0,"Negative",IF(AG460=0,"Same",IF(AG460&gt;0.3,"30+%",IF(AG460&gt;0.2,"20-30%",IF(AG460&gt;0.1,"10-20%",IF(AG460&lt;=0.1,"0-10%"))))))</f>
        <v>Same</v>
      </c>
      <c r="AI460" s="32"/>
      <c r="AJ460" s="36" t="s">
        <v>3300</v>
      </c>
      <c r="AK460" s="32"/>
    </row>
    <row r="461" spans="1:37" s="1" customFormat="1" ht="19.7" customHeight="1" x14ac:dyDescent="0.25">
      <c r="A461" s="9" t="s">
        <v>22</v>
      </c>
      <c r="B461" s="9" t="s">
        <v>1270</v>
      </c>
      <c r="C461" s="10">
        <v>44369</v>
      </c>
      <c r="D461" s="9" t="s">
        <v>24</v>
      </c>
      <c r="E461" s="9" t="s">
        <v>25</v>
      </c>
      <c r="F461" s="9" t="s">
        <v>26</v>
      </c>
      <c r="G461" s="9" t="s">
        <v>27</v>
      </c>
      <c r="H461" s="9" t="s">
        <v>28</v>
      </c>
      <c r="I461" s="9" t="s">
        <v>29</v>
      </c>
      <c r="J461" s="9" t="s">
        <v>30</v>
      </c>
      <c r="K461" s="9" t="s">
        <v>31</v>
      </c>
      <c r="L461" s="9" t="s">
        <v>32</v>
      </c>
      <c r="M461" s="9" t="s">
        <v>1271</v>
      </c>
      <c r="N461" s="9" t="s">
        <v>1244</v>
      </c>
      <c r="O461" s="9" t="s">
        <v>79</v>
      </c>
      <c r="P461" s="9" t="s">
        <v>1272</v>
      </c>
      <c r="Q461" s="9">
        <v>101525227</v>
      </c>
      <c r="R461" s="9" t="s">
        <v>61</v>
      </c>
      <c r="S461" s="9" t="s">
        <v>39</v>
      </c>
      <c r="T461" s="11">
        <v>2</v>
      </c>
      <c r="U461" s="15" t="s">
        <v>79</v>
      </c>
      <c r="V461" s="16" t="s">
        <v>1272</v>
      </c>
      <c r="W461" s="17">
        <v>101525227</v>
      </c>
      <c r="X461" s="16" t="s">
        <v>2540</v>
      </c>
      <c r="Y461" s="17" t="s">
        <v>2980</v>
      </c>
      <c r="Z461" s="17" t="s">
        <v>39</v>
      </c>
      <c r="AA461" s="17" t="s">
        <v>37</v>
      </c>
      <c r="AB461" s="43">
        <v>7.51</v>
      </c>
      <c r="AC461" s="25">
        <v>8.93</v>
      </c>
      <c r="AD461" s="25">
        <f>AC461*T461</f>
        <v>17.86</v>
      </c>
      <c r="AE461" s="25">
        <f>AB461*T461</f>
        <v>15.02</v>
      </c>
      <c r="AF461" s="25">
        <f>AD461-AE461</f>
        <v>2.84</v>
      </c>
      <c r="AG461" s="26">
        <f>AF461/AD461</f>
        <v>0.15901455767077266</v>
      </c>
      <c r="AH461" s="27" t="str">
        <f>IF(AG461&lt;0,"Negative",IF(AG461=0,"Same",IF(AG461&gt;0.3,"30+%",IF(AG461&gt;0.2,"20-30%",IF(AG461&gt;0.1,"10-20%",IF(AG461&lt;=0.1,"0-10%"))))))</f>
        <v>10-20%</v>
      </c>
      <c r="AI461" s="32"/>
      <c r="AJ461" s="36" t="s">
        <v>3299</v>
      </c>
      <c r="AK461" s="32"/>
    </row>
    <row r="462" spans="1:37" s="1" customFormat="1" ht="19.7" customHeight="1" x14ac:dyDescent="0.25">
      <c r="A462" s="5" t="s">
        <v>22</v>
      </c>
      <c r="B462" s="5" t="s">
        <v>1152</v>
      </c>
      <c r="C462" s="6">
        <v>44349</v>
      </c>
      <c r="D462" s="5" t="s">
        <v>24</v>
      </c>
      <c r="E462" s="5" t="s">
        <v>25</v>
      </c>
      <c r="F462" s="5" t="s">
        <v>26</v>
      </c>
      <c r="G462" s="5" t="s">
        <v>27</v>
      </c>
      <c r="H462" s="5" t="s">
        <v>28</v>
      </c>
      <c r="I462" s="5" t="s">
        <v>29</v>
      </c>
      <c r="J462" s="5" t="s">
        <v>30</v>
      </c>
      <c r="K462" s="5" t="s">
        <v>31</v>
      </c>
      <c r="L462" s="5" t="s">
        <v>32</v>
      </c>
      <c r="M462" s="5" t="s">
        <v>1153</v>
      </c>
      <c r="N462" s="5" t="s">
        <v>1128</v>
      </c>
      <c r="O462" s="5" t="s">
        <v>1074</v>
      </c>
      <c r="P462" s="5" t="s">
        <v>1154</v>
      </c>
      <c r="Q462" s="5">
        <v>100848699</v>
      </c>
      <c r="R462" s="5" t="s">
        <v>73</v>
      </c>
      <c r="S462" s="5" t="s">
        <v>39</v>
      </c>
      <c r="T462" s="7">
        <v>2</v>
      </c>
      <c r="U462" s="15" t="s">
        <v>1074</v>
      </c>
      <c r="V462" s="16" t="s">
        <v>1154</v>
      </c>
      <c r="W462" s="17">
        <v>100848699</v>
      </c>
      <c r="X462" s="16" t="s">
        <v>2916</v>
      </c>
      <c r="Y462" s="17" t="s">
        <v>2942</v>
      </c>
      <c r="Z462" s="17" t="s">
        <v>39</v>
      </c>
      <c r="AA462" s="17" t="s">
        <v>37</v>
      </c>
      <c r="AB462" s="29">
        <v>9.89</v>
      </c>
      <c r="AC462" s="25">
        <v>9.48</v>
      </c>
      <c r="AD462" s="25">
        <f>AC462*T462</f>
        <v>18.96</v>
      </c>
      <c r="AE462" s="25">
        <f>AB462*T462</f>
        <v>19.78</v>
      </c>
      <c r="AF462" s="25">
        <f>AD462-AE462</f>
        <v>-0.82000000000000028</v>
      </c>
      <c r="AG462" s="26">
        <f>AF462/AD462</f>
        <v>-4.3248945147679338E-2</v>
      </c>
      <c r="AH462" s="27" t="str">
        <f>IF(AG462&lt;0,"Negative",IF(AG462=0,"Same",IF(AG462&gt;0.3,"30+%",IF(AG462&gt;0.2,"20-30%",IF(AG462&gt;0.1,"10-20%",IF(AG462&lt;=0.1,"0-10%"))))))</f>
        <v>Negative</v>
      </c>
      <c r="AI462" s="32"/>
      <c r="AJ462" s="36" t="s">
        <v>3300</v>
      </c>
      <c r="AK462" s="32"/>
    </row>
    <row r="463" spans="1:37" s="1" customFormat="1" ht="19.7" customHeight="1" x14ac:dyDescent="0.25">
      <c r="A463" s="5" t="s">
        <v>22</v>
      </c>
      <c r="B463" s="5" t="s">
        <v>2345</v>
      </c>
      <c r="C463" s="6">
        <v>44568</v>
      </c>
      <c r="D463" s="5" t="s">
        <v>24</v>
      </c>
      <c r="E463" s="5" t="s">
        <v>25</v>
      </c>
      <c r="F463" s="5" t="s">
        <v>26</v>
      </c>
      <c r="G463" s="5" t="s">
        <v>67</v>
      </c>
      <c r="H463" s="5" t="s">
        <v>68</v>
      </c>
      <c r="I463" s="5" t="s">
        <v>29</v>
      </c>
      <c r="J463" s="5" t="s">
        <v>30</v>
      </c>
      <c r="K463" s="5" t="s">
        <v>31</v>
      </c>
      <c r="L463" s="5" t="s">
        <v>32</v>
      </c>
      <c r="M463" s="5" t="s">
        <v>484</v>
      </c>
      <c r="N463" s="5" t="s">
        <v>2346</v>
      </c>
      <c r="O463" s="5" t="s">
        <v>128</v>
      </c>
      <c r="P463" s="5" t="s">
        <v>485</v>
      </c>
      <c r="Q463" s="5">
        <v>100867510</v>
      </c>
      <c r="R463" s="5" t="s">
        <v>299</v>
      </c>
      <c r="S463" s="5" t="s">
        <v>39</v>
      </c>
      <c r="T463" s="7">
        <v>1</v>
      </c>
      <c r="U463" s="15" t="s">
        <v>128</v>
      </c>
      <c r="V463" s="16" t="s">
        <v>485</v>
      </c>
      <c r="W463" s="17">
        <v>100867510</v>
      </c>
      <c r="X463" s="16" t="s">
        <v>2694</v>
      </c>
      <c r="Y463" s="17" t="s">
        <v>2695</v>
      </c>
      <c r="Z463" s="17" t="s">
        <v>39</v>
      </c>
      <c r="AA463" s="17" t="s">
        <v>37</v>
      </c>
      <c r="AB463" s="29">
        <v>37.04</v>
      </c>
      <c r="AC463" s="25">
        <v>37.659999999999997</v>
      </c>
      <c r="AD463" s="25">
        <f>AC463*T463</f>
        <v>37.659999999999997</v>
      </c>
      <c r="AE463" s="25">
        <f>AB463*T463</f>
        <v>37.04</v>
      </c>
      <c r="AF463" s="25">
        <f>AD463-AE463</f>
        <v>0.61999999999999744</v>
      </c>
      <c r="AG463" s="26">
        <f>AF463/AD463</f>
        <v>1.6463090812533124E-2</v>
      </c>
      <c r="AH463" s="27" t="str">
        <f>IF(AG463&lt;0,"Negative",IF(AG463=0,"Same",IF(AG463&gt;0.3,"30+%",IF(AG463&gt;0.2,"20-30%",IF(AG463&gt;0.1,"10-20%",IF(AG463&lt;=0.1,"0-10%"))))))</f>
        <v>0-10%</v>
      </c>
      <c r="AI463" s="32"/>
      <c r="AJ463" s="36" t="s">
        <v>3299</v>
      </c>
      <c r="AK463" s="32"/>
    </row>
    <row r="464" spans="1:37" s="1" customFormat="1" ht="19.7" customHeight="1" x14ac:dyDescent="0.25">
      <c r="A464" s="9" t="s">
        <v>22</v>
      </c>
      <c r="B464" s="9" t="s">
        <v>966</v>
      </c>
      <c r="C464" s="10">
        <v>44322</v>
      </c>
      <c r="D464" s="9" t="s">
        <v>24</v>
      </c>
      <c r="E464" s="9" t="s">
        <v>25</v>
      </c>
      <c r="F464" s="9" t="s">
        <v>26</v>
      </c>
      <c r="G464" s="9" t="s">
        <v>27</v>
      </c>
      <c r="H464" s="9" t="s">
        <v>28</v>
      </c>
      <c r="I464" s="9" t="s">
        <v>29</v>
      </c>
      <c r="J464" s="9" t="s">
        <v>30</v>
      </c>
      <c r="K464" s="9" t="s">
        <v>31</v>
      </c>
      <c r="L464" s="9" t="s">
        <v>32</v>
      </c>
      <c r="M464" s="9" t="s">
        <v>967</v>
      </c>
      <c r="N464" s="9" t="s">
        <v>968</v>
      </c>
      <c r="O464" s="9" t="s">
        <v>128</v>
      </c>
      <c r="P464" s="9" t="s">
        <v>969</v>
      </c>
      <c r="Q464" s="9">
        <v>100869038</v>
      </c>
      <c r="R464" s="9" t="s">
        <v>76</v>
      </c>
      <c r="S464" s="9" t="s">
        <v>39</v>
      </c>
      <c r="T464" s="11">
        <v>1</v>
      </c>
      <c r="U464" s="15" t="s">
        <v>128</v>
      </c>
      <c r="V464" s="16" t="s">
        <v>969</v>
      </c>
      <c r="W464" s="17">
        <v>100869038</v>
      </c>
      <c r="X464" s="16" t="s">
        <v>2536</v>
      </c>
      <c r="Y464" s="17" t="s">
        <v>2879</v>
      </c>
      <c r="Z464" s="17" t="s">
        <v>39</v>
      </c>
      <c r="AA464" s="17" t="s">
        <v>37</v>
      </c>
      <c r="AB464" s="29">
        <v>37.47</v>
      </c>
      <c r="AC464" s="25">
        <v>35.93</v>
      </c>
      <c r="AD464" s="25">
        <f>AC464*T464</f>
        <v>35.93</v>
      </c>
      <c r="AE464" s="25">
        <f>AB464*T464</f>
        <v>37.47</v>
      </c>
      <c r="AF464" s="25">
        <f>AD464-AE464</f>
        <v>-1.5399999999999991</v>
      </c>
      <c r="AG464" s="26">
        <f>AF464/AD464</f>
        <v>-4.2861118842193131E-2</v>
      </c>
      <c r="AH464" s="27" t="str">
        <f>IF(AG464&lt;0,"Negative",IF(AG464=0,"Same",IF(AG464&gt;0.3,"30+%",IF(AG464&gt;0.2,"20-30%",IF(AG464&gt;0.1,"10-20%",IF(AG464&lt;=0.1,"0-10%"))))))</f>
        <v>Negative</v>
      </c>
      <c r="AI464" s="32"/>
      <c r="AJ464" s="36" t="s">
        <v>3300</v>
      </c>
      <c r="AK464" s="32"/>
    </row>
    <row r="465" spans="1:37" s="1" customFormat="1" ht="19.7" customHeight="1" x14ac:dyDescent="0.25">
      <c r="A465" s="5" t="s">
        <v>22</v>
      </c>
      <c r="B465" s="5" t="s">
        <v>1629</v>
      </c>
      <c r="C465" s="6">
        <v>44426</v>
      </c>
      <c r="D465" s="5" t="s">
        <v>24</v>
      </c>
      <c r="E465" s="5" t="s">
        <v>25</v>
      </c>
      <c r="F465" s="5" t="s">
        <v>26</v>
      </c>
      <c r="G465" s="5" t="s">
        <v>27</v>
      </c>
      <c r="H465" s="5" t="s">
        <v>28</v>
      </c>
      <c r="I465" s="5" t="s">
        <v>29</v>
      </c>
      <c r="J465" s="5" t="s">
        <v>30</v>
      </c>
      <c r="K465" s="5" t="s">
        <v>31</v>
      </c>
      <c r="L465" s="5" t="s">
        <v>32</v>
      </c>
      <c r="M465" s="5" t="s">
        <v>967</v>
      </c>
      <c r="N465" s="5" t="s">
        <v>1630</v>
      </c>
      <c r="O465" s="5" t="s">
        <v>128</v>
      </c>
      <c r="P465" s="5" t="s">
        <v>969</v>
      </c>
      <c r="Q465" s="5">
        <v>100869038</v>
      </c>
      <c r="R465" s="5" t="s">
        <v>76</v>
      </c>
      <c r="S465" s="5" t="s">
        <v>39</v>
      </c>
      <c r="T465" s="7">
        <v>1</v>
      </c>
      <c r="U465" s="15" t="s">
        <v>128</v>
      </c>
      <c r="V465" s="16" t="s">
        <v>969</v>
      </c>
      <c r="W465" s="17">
        <v>100869038</v>
      </c>
      <c r="X465" s="16" t="s">
        <v>2536</v>
      </c>
      <c r="Y465" s="17" t="s">
        <v>2879</v>
      </c>
      <c r="Z465" s="17" t="s">
        <v>39</v>
      </c>
      <c r="AA465" s="17" t="s">
        <v>37</v>
      </c>
      <c r="AB465" s="29">
        <v>37.47</v>
      </c>
      <c r="AC465" s="25">
        <v>35.93</v>
      </c>
      <c r="AD465" s="25">
        <f>AC465*T465</f>
        <v>35.93</v>
      </c>
      <c r="AE465" s="25">
        <f>AB465*T465</f>
        <v>37.47</v>
      </c>
      <c r="AF465" s="25">
        <f>AD465-AE465</f>
        <v>-1.5399999999999991</v>
      </c>
      <c r="AG465" s="26">
        <f>AF465/AD465</f>
        <v>-4.2861118842193131E-2</v>
      </c>
      <c r="AH465" s="27" t="str">
        <f>IF(AG465&lt;0,"Negative",IF(AG465=0,"Same",IF(AG465&gt;0.3,"30+%",IF(AG465&gt;0.2,"20-30%",IF(AG465&gt;0.1,"10-20%",IF(AG465&lt;=0.1,"0-10%"))))))</f>
        <v>Negative</v>
      </c>
      <c r="AI465" s="32"/>
      <c r="AJ465" s="36" t="s">
        <v>3300</v>
      </c>
      <c r="AK465" s="32"/>
    </row>
    <row r="466" spans="1:37" s="1" customFormat="1" ht="19.7" customHeight="1" x14ac:dyDescent="0.25">
      <c r="A466" s="9" t="s">
        <v>22</v>
      </c>
      <c r="B466" s="9" t="s">
        <v>2347</v>
      </c>
      <c r="C466" s="10">
        <v>44568</v>
      </c>
      <c r="D466" s="9" t="s">
        <v>24</v>
      </c>
      <c r="E466" s="9" t="s">
        <v>25</v>
      </c>
      <c r="F466" s="9" t="s">
        <v>26</v>
      </c>
      <c r="G466" s="9" t="s">
        <v>67</v>
      </c>
      <c r="H466" s="9" t="s">
        <v>68</v>
      </c>
      <c r="I466" s="9" t="s">
        <v>29</v>
      </c>
      <c r="J466" s="9" t="s">
        <v>30</v>
      </c>
      <c r="K466" s="9" t="s">
        <v>31</v>
      </c>
      <c r="L466" s="9" t="s">
        <v>32</v>
      </c>
      <c r="M466" s="9" t="s">
        <v>130</v>
      </c>
      <c r="N466" s="9" t="s">
        <v>2348</v>
      </c>
      <c r="O466" s="9" t="s">
        <v>131</v>
      </c>
      <c r="P466" s="9" t="s">
        <v>132</v>
      </c>
      <c r="Q466" s="9">
        <v>102208426</v>
      </c>
      <c r="R466" s="9" t="s">
        <v>56</v>
      </c>
      <c r="S466" s="9" t="s">
        <v>39</v>
      </c>
      <c r="T466" s="11">
        <v>1</v>
      </c>
      <c r="U466" s="15" t="s">
        <v>131</v>
      </c>
      <c r="V466" s="16" t="s">
        <v>132</v>
      </c>
      <c r="W466" s="17">
        <v>102208426</v>
      </c>
      <c r="X466" s="16" t="s">
        <v>2538</v>
      </c>
      <c r="Y466" s="17" t="s">
        <v>2539</v>
      </c>
      <c r="Z466" s="17" t="s">
        <v>39</v>
      </c>
      <c r="AA466" s="17" t="s">
        <v>37</v>
      </c>
      <c r="AB466" s="43">
        <v>28.19</v>
      </c>
      <c r="AC466" s="25">
        <v>31.22</v>
      </c>
      <c r="AD466" s="25">
        <f>AC466*T466</f>
        <v>31.22</v>
      </c>
      <c r="AE466" s="25">
        <f>AB466*T466</f>
        <v>28.19</v>
      </c>
      <c r="AF466" s="25">
        <f>AD466-AE466</f>
        <v>3.0299999999999976</v>
      </c>
      <c r="AG466" s="26">
        <f>AF466/AD466</f>
        <v>9.7053171044202358E-2</v>
      </c>
      <c r="AH466" s="27" t="str">
        <f>IF(AG466&lt;0,"Negative",IF(AG466=0,"Same",IF(AG466&gt;0.3,"30+%",IF(AG466&gt;0.2,"20-30%",IF(AG466&gt;0.1,"10-20%",IF(AG466&lt;=0.1,"0-10%"))))))</f>
        <v>0-10%</v>
      </c>
      <c r="AI466" s="32"/>
      <c r="AJ466" s="36" t="s">
        <v>3299</v>
      </c>
      <c r="AK466" s="32"/>
    </row>
    <row r="467" spans="1:37" s="1" customFormat="1" ht="19.7" customHeight="1" x14ac:dyDescent="0.25">
      <c r="A467" s="5" t="s">
        <v>22</v>
      </c>
      <c r="B467" s="5" t="s">
        <v>1412</v>
      </c>
      <c r="C467" s="6">
        <v>44393</v>
      </c>
      <c r="D467" s="5" t="s">
        <v>24</v>
      </c>
      <c r="E467" s="5" t="s">
        <v>25</v>
      </c>
      <c r="F467" s="5" t="s">
        <v>26</v>
      </c>
      <c r="G467" s="5" t="s">
        <v>27</v>
      </c>
      <c r="H467" s="5" t="s">
        <v>28</v>
      </c>
      <c r="I467" s="5" t="s">
        <v>29</v>
      </c>
      <c r="J467" s="5" t="s">
        <v>30</v>
      </c>
      <c r="K467" s="5" t="s">
        <v>31</v>
      </c>
      <c r="L467" s="5" t="s">
        <v>32</v>
      </c>
      <c r="M467" s="5" t="s">
        <v>261</v>
      </c>
      <c r="N467" s="5" t="s">
        <v>1413</v>
      </c>
      <c r="O467" s="5" t="s">
        <v>35</v>
      </c>
      <c r="P467" s="5" t="s">
        <v>1414</v>
      </c>
      <c r="Q467" s="5">
        <v>101983454</v>
      </c>
      <c r="R467" s="5" t="s">
        <v>38</v>
      </c>
      <c r="S467" s="5" t="s">
        <v>39</v>
      </c>
      <c r="T467" s="7">
        <v>6</v>
      </c>
      <c r="U467" s="15" t="s">
        <v>35</v>
      </c>
      <c r="V467" s="16" t="s">
        <v>1414</v>
      </c>
      <c r="W467" s="17">
        <v>101983454</v>
      </c>
      <c r="X467" s="16" t="s">
        <v>2553</v>
      </c>
      <c r="Y467" s="17" t="s">
        <v>3031</v>
      </c>
      <c r="Z467" s="17" t="s">
        <v>39</v>
      </c>
      <c r="AA467" s="17" t="s">
        <v>37</v>
      </c>
      <c r="AB467" s="29">
        <v>16.27</v>
      </c>
      <c r="AC467" s="25">
        <v>17.04</v>
      </c>
      <c r="AD467" s="25">
        <f>AC467*T467</f>
        <v>102.24</v>
      </c>
      <c r="AE467" s="25">
        <f>AB467*T467</f>
        <v>97.62</v>
      </c>
      <c r="AF467" s="25">
        <f>AD467-AE467</f>
        <v>4.6199999999999903</v>
      </c>
      <c r="AG467" s="26">
        <f>AF467/AD467</f>
        <v>4.5187793427229957E-2</v>
      </c>
      <c r="AH467" s="27" t="str">
        <f>IF(AG467&lt;0,"Negative",IF(AG467=0,"Same",IF(AG467&gt;0.3,"30+%",IF(AG467&gt;0.2,"20-30%",IF(AG467&gt;0.1,"10-20%",IF(AG467&lt;=0.1,"0-10%"))))))</f>
        <v>0-10%</v>
      </c>
      <c r="AI467" s="32"/>
      <c r="AJ467" s="36" t="s">
        <v>3300</v>
      </c>
      <c r="AK467" s="32"/>
    </row>
    <row r="468" spans="1:37" s="1" customFormat="1" ht="19.7" customHeight="1" x14ac:dyDescent="0.25">
      <c r="A468" s="9" t="s">
        <v>22</v>
      </c>
      <c r="B468" s="9" t="s">
        <v>2170</v>
      </c>
      <c r="C468" s="10">
        <v>44531</v>
      </c>
      <c r="D468" s="9" t="s">
        <v>24</v>
      </c>
      <c r="E468" s="9" t="s">
        <v>25</v>
      </c>
      <c r="F468" s="9" t="s">
        <v>26</v>
      </c>
      <c r="G468" s="9" t="s">
        <v>27</v>
      </c>
      <c r="H468" s="9" t="s">
        <v>28</v>
      </c>
      <c r="I468" s="9" t="s">
        <v>29</v>
      </c>
      <c r="J468" s="9" t="s">
        <v>30</v>
      </c>
      <c r="K468" s="9" t="s">
        <v>31</v>
      </c>
      <c r="L468" s="9" t="s">
        <v>32</v>
      </c>
      <c r="M468" s="9" t="s">
        <v>2096</v>
      </c>
      <c r="N468" s="9" t="s">
        <v>2171</v>
      </c>
      <c r="O468" s="9" t="s">
        <v>71</v>
      </c>
      <c r="P468" s="9" t="s">
        <v>2098</v>
      </c>
      <c r="Q468" s="9">
        <v>112432076</v>
      </c>
      <c r="R468" s="9" t="s">
        <v>76</v>
      </c>
      <c r="S468" s="9" t="s">
        <v>77</v>
      </c>
      <c r="T468" s="11">
        <v>36</v>
      </c>
      <c r="U468" s="15" t="s">
        <v>71</v>
      </c>
      <c r="V468" s="41" t="s">
        <v>2098</v>
      </c>
      <c r="W468" s="17">
        <v>112432076</v>
      </c>
      <c r="X468" s="16" t="s">
        <v>2512</v>
      </c>
      <c r="Y468" s="17" t="s">
        <v>3205</v>
      </c>
      <c r="Z468" s="17" t="s">
        <v>77</v>
      </c>
      <c r="AA468" s="17" t="s">
        <v>37</v>
      </c>
      <c r="AB468" s="29">
        <v>66.16</v>
      </c>
      <c r="AC468" s="25">
        <v>66.16</v>
      </c>
      <c r="AD468" s="25">
        <f>AC468*T468</f>
        <v>2381.7599999999998</v>
      </c>
      <c r="AE468" s="25">
        <f>AB468*T468</f>
        <v>2381.7599999999998</v>
      </c>
      <c r="AF468" s="25">
        <f>AD468-AE468</f>
        <v>0</v>
      </c>
      <c r="AG468" s="26">
        <f>AF468/AD468</f>
        <v>0</v>
      </c>
      <c r="AH468" s="27" t="str">
        <f>IF(AG468&lt;0,"Negative",IF(AG468=0,"Same",IF(AG468&gt;0.3,"30+%",IF(AG468&gt;0.2,"20-30%",IF(AG468&gt;0.1,"10-20%",IF(AG468&lt;=0.1,"0-10%"))))))</f>
        <v>Same</v>
      </c>
      <c r="AI468" s="32"/>
      <c r="AJ468" s="36" t="s">
        <v>3300</v>
      </c>
      <c r="AK468" s="32"/>
    </row>
    <row r="469" spans="1:37" s="1" customFormat="1" ht="19.7" customHeight="1" x14ac:dyDescent="0.25">
      <c r="A469" s="9" t="s">
        <v>22</v>
      </c>
      <c r="B469" s="9" t="s">
        <v>2143</v>
      </c>
      <c r="C469" s="10">
        <v>44523</v>
      </c>
      <c r="D469" s="9" t="s">
        <v>24</v>
      </c>
      <c r="E469" s="9" t="s">
        <v>25</v>
      </c>
      <c r="F469" s="9" t="s">
        <v>26</v>
      </c>
      <c r="G469" s="9" t="s">
        <v>27</v>
      </c>
      <c r="H469" s="9" t="s">
        <v>28</v>
      </c>
      <c r="I469" s="9" t="s">
        <v>29</v>
      </c>
      <c r="J469" s="9" t="s">
        <v>30</v>
      </c>
      <c r="K469" s="9" t="s">
        <v>31</v>
      </c>
      <c r="L469" s="9" t="s">
        <v>32</v>
      </c>
      <c r="M469" s="9" t="s">
        <v>2096</v>
      </c>
      <c r="N469" s="9" t="s">
        <v>2144</v>
      </c>
      <c r="O469" s="9" t="s">
        <v>71</v>
      </c>
      <c r="P469" s="9" t="s">
        <v>2098</v>
      </c>
      <c r="Q469" s="9">
        <v>112432076</v>
      </c>
      <c r="R469" s="9" t="s">
        <v>76</v>
      </c>
      <c r="S469" s="9" t="s">
        <v>77</v>
      </c>
      <c r="T469" s="11">
        <v>36</v>
      </c>
      <c r="U469" s="15" t="s">
        <v>71</v>
      </c>
      <c r="V469" s="41" t="s">
        <v>2098</v>
      </c>
      <c r="W469" s="17">
        <v>112432076</v>
      </c>
      <c r="X469" s="16" t="s">
        <v>2512</v>
      </c>
      <c r="Y469" s="17" t="s">
        <v>3205</v>
      </c>
      <c r="Z469" s="17" t="s">
        <v>77</v>
      </c>
      <c r="AA469" s="17" t="s">
        <v>37</v>
      </c>
      <c r="AB469" s="29">
        <v>66.16</v>
      </c>
      <c r="AC469" s="25">
        <v>66.16</v>
      </c>
      <c r="AD469" s="25">
        <f>AC469*T469</f>
        <v>2381.7599999999998</v>
      </c>
      <c r="AE469" s="25">
        <f>AB469*T469</f>
        <v>2381.7599999999998</v>
      </c>
      <c r="AF469" s="25">
        <f>AD469-AE469</f>
        <v>0</v>
      </c>
      <c r="AG469" s="26">
        <f>AF469/AD469</f>
        <v>0</v>
      </c>
      <c r="AH469" s="27" t="str">
        <f>IF(AG469&lt;0,"Negative",IF(AG469=0,"Same",IF(AG469&gt;0.3,"30+%",IF(AG469&gt;0.2,"20-30%",IF(AG469&gt;0.1,"10-20%",IF(AG469&lt;=0.1,"0-10%"))))))</f>
        <v>Same</v>
      </c>
      <c r="AI469" s="32"/>
      <c r="AJ469" s="36" t="s">
        <v>3300</v>
      </c>
      <c r="AK469" s="32"/>
    </row>
    <row r="470" spans="1:37" s="1" customFormat="1" ht="19.7" customHeight="1" x14ac:dyDescent="0.25">
      <c r="A470" s="9" t="s">
        <v>22</v>
      </c>
      <c r="B470" s="9" t="s">
        <v>2095</v>
      </c>
      <c r="C470" s="10">
        <v>44519</v>
      </c>
      <c r="D470" s="9" t="s">
        <v>24</v>
      </c>
      <c r="E470" s="9" t="s">
        <v>25</v>
      </c>
      <c r="F470" s="9" t="s">
        <v>26</v>
      </c>
      <c r="G470" s="9" t="s">
        <v>27</v>
      </c>
      <c r="H470" s="9" t="s">
        <v>28</v>
      </c>
      <c r="I470" s="9" t="s">
        <v>29</v>
      </c>
      <c r="J470" s="9" t="s">
        <v>30</v>
      </c>
      <c r="K470" s="9" t="s">
        <v>31</v>
      </c>
      <c r="L470" s="9" t="s">
        <v>32</v>
      </c>
      <c r="M470" s="9" t="s">
        <v>2096</v>
      </c>
      <c r="N470" s="9" t="s">
        <v>2097</v>
      </c>
      <c r="O470" s="9" t="s">
        <v>71</v>
      </c>
      <c r="P470" s="9" t="s">
        <v>2098</v>
      </c>
      <c r="Q470" s="9">
        <v>112432076</v>
      </c>
      <c r="R470" s="9" t="s">
        <v>76</v>
      </c>
      <c r="S470" s="9" t="s">
        <v>77</v>
      </c>
      <c r="T470" s="11">
        <v>36</v>
      </c>
      <c r="U470" s="15" t="s">
        <v>71</v>
      </c>
      <c r="V470" s="41" t="s">
        <v>2098</v>
      </c>
      <c r="W470" s="17">
        <v>112432076</v>
      </c>
      <c r="X470" s="16" t="s">
        <v>2512</v>
      </c>
      <c r="Y470" s="17" t="s">
        <v>3205</v>
      </c>
      <c r="Z470" s="17" t="s">
        <v>77</v>
      </c>
      <c r="AA470" s="17" t="s">
        <v>37</v>
      </c>
      <c r="AB470" s="29">
        <v>66.16</v>
      </c>
      <c r="AC470" s="25">
        <v>66.16</v>
      </c>
      <c r="AD470" s="25">
        <f>AC470*T470</f>
        <v>2381.7599999999998</v>
      </c>
      <c r="AE470" s="25">
        <f>AB470*T470</f>
        <v>2381.7599999999998</v>
      </c>
      <c r="AF470" s="25">
        <f>AD470-AE470</f>
        <v>0</v>
      </c>
      <c r="AG470" s="26">
        <f>AF470/AD470</f>
        <v>0</v>
      </c>
      <c r="AH470" s="27" t="str">
        <f>IF(AG470&lt;0,"Negative",IF(AG470=0,"Same",IF(AG470&gt;0.3,"30+%",IF(AG470&gt;0.2,"20-30%",IF(AG470&gt;0.1,"10-20%",IF(AG470&lt;=0.1,"0-10%"))))))</f>
        <v>Same</v>
      </c>
      <c r="AI470" s="32"/>
      <c r="AJ470" s="36" t="s">
        <v>3300</v>
      </c>
      <c r="AK470" s="32"/>
    </row>
    <row r="471" spans="1:37" s="1" customFormat="1" ht="19.7" customHeight="1" x14ac:dyDescent="0.25">
      <c r="A471" s="9" t="s">
        <v>22</v>
      </c>
      <c r="B471" s="9" t="s">
        <v>1466</v>
      </c>
      <c r="C471" s="10">
        <v>44400</v>
      </c>
      <c r="D471" s="9" t="s">
        <v>24</v>
      </c>
      <c r="E471" s="9" t="s">
        <v>25</v>
      </c>
      <c r="F471" s="9" t="s">
        <v>26</v>
      </c>
      <c r="G471" s="9" t="s">
        <v>27</v>
      </c>
      <c r="H471" s="9" t="s">
        <v>28</v>
      </c>
      <c r="I471" s="9" t="s">
        <v>29</v>
      </c>
      <c r="J471" s="9" t="s">
        <v>30</v>
      </c>
      <c r="K471" s="9" t="s">
        <v>31</v>
      </c>
      <c r="L471" s="9" t="s">
        <v>32</v>
      </c>
      <c r="M471" s="9" t="s">
        <v>1467</v>
      </c>
      <c r="N471" s="9" t="s">
        <v>1457</v>
      </c>
      <c r="O471" s="9" t="s">
        <v>128</v>
      </c>
      <c r="P471" s="9" t="s">
        <v>1468</v>
      </c>
      <c r="Q471" s="9">
        <v>100867339</v>
      </c>
      <c r="R471" s="9" t="s">
        <v>76</v>
      </c>
      <c r="S471" s="9" t="s">
        <v>39</v>
      </c>
      <c r="T471" s="11">
        <v>4</v>
      </c>
      <c r="U471" s="15" t="s">
        <v>128</v>
      </c>
      <c r="V471" s="16" t="s">
        <v>1468</v>
      </c>
      <c r="W471" s="17">
        <v>100867339</v>
      </c>
      <c r="X471" s="16" t="s">
        <v>2536</v>
      </c>
      <c r="Y471" s="17" t="s">
        <v>3050</v>
      </c>
      <c r="Z471" s="17" t="s">
        <v>39</v>
      </c>
      <c r="AA471" s="17" t="s">
        <v>37</v>
      </c>
      <c r="AB471" s="29">
        <v>36.17</v>
      </c>
      <c r="AC471" s="25">
        <v>36.42</v>
      </c>
      <c r="AD471" s="25">
        <f>AC471*T471</f>
        <v>145.68</v>
      </c>
      <c r="AE471" s="25">
        <f>AB471*T471</f>
        <v>144.68</v>
      </c>
      <c r="AF471" s="25">
        <f>AD471-AE471</f>
        <v>1</v>
      </c>
      <c r="AG471" s="26">
        <f>AF471/AD471</f>
        <v>6.8643602416254799E-3</v>
      </c>
      <c r="AH471" s="27" t="str">
        <f>IF(AG471&lt;0,"Negative",IF(AG471=0,"Same",IF(AG471&gt;0.3,"30+%",IF(AG471&gt;0.2,"20-30%",IF(AG471&gt;0.1,"10-20%",IF(AG471&lt;=0.1,"0-10%"))))))</f>
        <v>0-10%</v>
      </c>
      <c r="AI471" s="32"/>
      <c r="AJ471" s="36" t="s">
        <v>3299</v>
      </c>
      <c r="AK471" s="32"/>
    </row>
    <row r="472" spans="1:37" s="1" customFormat="1" ht="19.7" customHeight="1" x14ac:dyDescent="0.25">
      <c r="A472" s="5" t="s">
        <v>22</v>
      </c>
      <c r="B472" s="5" t="s">
        <v>1431</v>
      </c>
      <c r="C472" s="6">
        <v>44396</v>
      </c>
      <c r="D472" s="5" t="s">
        <v>24</v>
      </c>
      <c r="E472" s="5" t="s">
        <v>25</v>
      </c>
      <c r="F472" s="5" t="s">
        <v>26</v>
      </c>
      <c r="G472" s="5" t="s">
        <v>27</v>
      </c>
      <c r="H472" s="5" t="s">
        <v>28</v>
      </c>
      <c r="I472" s="5" t="s">
        <v>29</v>
      </c>
      <c r="J472" s="5" t="s">
        <v>30</v>
      </c>
      <c r="K472" s="5" t="s">
        <v>31</v>
      </c>
      <c r="L472" s="5" t="s">
        <v>32</v>
      </c>
      <c r="M472" s="5" t="s">
        <v>1432</v>
      </c>
      <c r="N472" s="5" t="s">
        <v>1429</v>
      </c>
      <c r="O472" s="5" t="s">
        <v>1433</v>
      </c>
      <c r="P472" s="5" t="s">
        <v>1434</v>
      </c>
      <c r="Q472" s="5">
        <v>102056559</v>
      </c>
      <c r="R472" s="5" t="s">
        <v>56</v>
      </c>
      <c r="S472" s="5" t="s">
        <v>39</v>
      </c>
      <c r="T472" s="7">
        <v>5</v>
      </c>
      <c r="U472" s="15" t="s">
        <v>1433</v>
      </c>
      <c r="V472" s="16" t="s">
        <v>1434</v>
      </c>
      <c r="W472" s="17">
        <v>102056559</v>
      </c>
      <c r="X472" s="16" t="s">
        <v>3036</v>
      </c>
      <c r="Y472" s="17" t="s">
        <v>3037</v>
      </c>
      <c r="Z472" s="17" t="s">
        <v>39</v>
      </c>
      <c r="AA472" s="17" t="s">
        <v>37</v>
      </c>
      <c r="AB472" s="29">
        <v>12.95</v>
      </c>
      <c r="AC472" s="25">
        <v>13.23</v>
      </c>
      <c r="AD472" s="25">
        <f>AC472*T472</f>
        <v>66.150000000000006</v>
      </c>
      <c r="AE472" s="25">
        <f>AB472*T472</f>
        <v>64.75</v>
      </c>
      <c r="AF472" s="25">
        <f>AD472-AE472</f>
        <v>1.4000000000000057</v>
      </c>
      <c r="AG472" s="26">
        <f>AF472/AD472</f>
        <v>2.116402116402125E-2</v>
      </c>
      <c r="AH472" s="27" t="str">
        <f>IF(AG472&lt;0,"Negative",IF(AG472=0,"Same",IF(AG472&gt;0.3,"30+%",IF(AG472&gt;0.2,"20-30%",IF(AG472&gt;0.1,"10-20%",IF(AG472&lt;=0.1,"0-10%"))))))</f>
        <v>0-10%</v>
      </c>
      <c r="AI472" s="32"/>
      <c r="AJ472" s="36" t="s">
        <v>3300</v>
      </c>
      <c r="AK472" s="32"/>
    </row>
    <row r="473" spans="1:37" s="1" customFormat="1" ht="19.7" customHeight="1" x14ac:dyDescent="0.25">
      <c r="A473" s="9" t="s">
        <v>22</v>
      </c>
      <c r="B473" s="9" t="s">
        <v>312</v>
      </c>
      <c r="C473" s="10">
        <v>44250</v>
      </c>
      <c r="D473" s="9" t="s">
        <v>24</v>
      </c>
      <c r="E473" s="9" t="s">
        <v>25</v>
      </c>
      <c r="F473" s="9" t="s">
        <v>26</v>
      </c>
      <c r="G473" s="9" t="s">
        <v>27</v>
      </c>
      <c r="H473" s="9" t="s">
        <v>28</v>
      </c>
      <c r="I473" s="9" t="s">
        <v>29</v>
      </c>
      <c r="J473" s="9" t="s">
        <v>30</v>
      </c>
      <c r="K473" s="9" t="s">
        <v>31</v>
      </c>
      <c r="L473" s="9" t="s">
        <v>32</v>
      </c>
      <c r="M473" s="9" t="s">
        <v>313</v>
      </c>
      <c r="N473" s="9" t="s">
        <v>247</v>
      </c>
      <c r="O473" s="9" t="s">
        <v>128</v>
      </c>
      <c r="P473" s="9" t="s">
        <v>314</v>
      </c>
      <c r="Q473" s="9">
        <v>100867497</v>
      </c>
      <c r="R473" s="9" t="s">
        <v>76</v>
      </c>
      <c r="S473" s="9" t="s">
        <v>39</v>
      </c>
      <c r="T473" s="11">
        <v>1</v>
      </c>
      <c r="U473" s="15" t="s">
        <v>128</v>
      </c>
      <c r="V473" s="16" t="s">
        <v>314</v>
      </c>
      <c r="W473" s="17">
        <v>100867497</v>
      </c>
      <c r="X473" s="16" t="s">
        <v>2536</v>
      </c>
      <c r="Y473" s="17" t="s">
        <v>2622</v>
      </c>
      <c r="Z473" s="17" t="s">
        <v>39</v>
      </c>
      <c r="AA473" s="17" t="s">
        <v>37</v>
      </c>
      <c r="AB473" s="29">
        <v>36.450000000000003</v>
      </c>
      <c r="AC473" s="25">
        <v>36.700000000000003</v>
      </c>
      <c r="AD473" s="25">
        <f>AC473*T473</f>
        <v>36.700000000000003</v>
      </c>
      <c r="AE473" s="25">
        <f>AB473*T473</f>
        <v>36.450000000000003</v>
      </c>
      <c r="AF473" s="25">
        <f>AD473-AE473</f>
        <v>0.25</v>
      </c>
      <c r="AG473" s="26">
        <f>AF473/AD473</f>
        <v>6.8119891008174378E-3</v>
      </c>
      <c r="AH473" s="27" t="str">
        <f>IF(AG473&lt;0,"Negative",IF(AG473=0,"Same",IF(AG473&gt;0.3,"30+%",IF(AG473&gt;0.2,"20-30%",IF(AG473&gt;0.1,"10-20%",IF(AG473&lt;=0.1,"0-10%"))))))</f>
        <v>0-10%</v>
      </c>
      <c r="AI473" s="32"/>
      <c r="AJ473" s="36" t="s">
        <v>3299</v>
      </c>
      <c r="AK473" s="32"/>
    </row>
    <row r="474" spans="1:37" s="1" customFormat="1" ht="19.7" customHeight="1" x14ac:dyDescent="0.25">
      <c r="A474" s="9" t="s">
        <v>22</v>
      </c>
      <c r="B474" s="9" t="s">
        <v>1929</v>
      </c>
      <c r="C474" s="10">
        <v>44484</v>
      </c>
      <c r="D474" s="9" t="s">
        <v>24</v>
      </c>
      <c r="E474" s="9" t="s">
        <v>25</v>
      </c>
      <c r="F474" s="9" t="s">
        <v>26</v>
      </c>
      <c r="G474" s="9" t="s">
        <v>27</v>
      </c>
      <c r="H474" s="9" t="s">
        <v>28</v>
      </c>
      <c r="I474" s="9" t="s">
        <v>29</v>
      </c>
      <c r="J474" s="9" t="s">
        <v>30</v>
      </c>
      <c r="K474" s="9" t="s">
        <v>31</v>
      </c>
      <c r="L474" s="9" t="s">
        <v>32</v>
      </c>
      <c r="M474" s="9" t="s">
        <v>313</v>
      </c>
      <c r="N474" s="9" t="s">
        <v>1913</v>
      </c>
      <c r="O474" s="9" t="s">
        <v>128</v>
      </c>
      <c r="P474" s="9" t="s">
        <v>314</v>
      </c>
      <c r="Q474" s="9">
        <v>100867497</v>
      </c>
      <c r="R474" s="9" t="s">
        <v>76</v>
      </c>
      <c r="S474" s="9" t="s">
        <v>39</v>
      </c>
      <c r="T474" s="11">
        <v>1</v>
      </c>
      <c r="U474" s="15" t="s">
        <v>128</v>
      </c>
      <c r="V474" s="16" t="s">
        <v>314</v>
      </c>
      <c r="W474" s="17">
        <v>100867497</v>
      </c>
      <c r="X474" s="16" t="s">
        <v>2536</v>
      </c>
      <c r="Y474" s="17" t="s">
        <v>2622</v>
      </c>
      <c r="Z474" s="17" t="s">
        <v>39</v>
      </c>
      <c r="AA474" s="17" t="s">
        <v>37</v>
      </c>
      <c r="AB474" s="29">
        <v>36.450000000000003</v>
      </c>
      <c r="AC474" s="25">
        <v>36.700000000000003</v>
      </c>
      <c r="AD474" s="25">
        <f>AC474*T474</f>
        <v>36.700000000000003</v>
      </c>
      <c r="AE474" s="25">
        <f>AB474*T474</f>
        <v>36.450000000000003</v>
      </c>
      <c r="AF474" s="25">
        <f>AD474-AE474</f>
        <v>0.25</v>
      </c>
      <c r="AG474" s="26">
        <f>AF474/AD474</f>
        <v>6.8119891008174378E-3</v>
      </c>
      <c r="AH474" s="27" t="str">
        <f>IF(AG474&lt;0,"Negative",IF(AG474=0,"Same",IF(AG474&gt;0.3,"30+%",IF(AG474&gt;0.2,"20-30%",IF(AG474&gt;0.1,"10-20%",IF(AG474&lt;=0.1,"0-10%"))))))</f>
        <v>0-10%</v>
      </c>
      <c r="AI474" s="32"/>
      <c r="AJ474" s="36" t="s">
        <v>3299</v>
      </c>
      <c r="AK474" s="32"/>
    </row>
    <row r="475" spans="1:37" s="1" customFormat="1" ht="19.7" customHeight="1" x14ac:dyDescent="0.25">
      <c r="A475" s="5" t="s">
        <v>22</v>
      </c>
      <c r="B475" s="5" t="s">
        <v>1001</v>
      </c>
      <c r="C475" s="6">
        <v>44326</v>
      </c>
      <c r="D475" s="5" t="s">
        <v>24</v>
      </c>
      <c r="E475" s="5" t="s">
        <v>25</v>
      </c>
      <c r="F475" s="5" t="s">
        <v>26</v>
      </c>
      <c r="G475" s="5" t="s">
        <v>27</v>
      </c>
      <c r="H475" s="5" t="s">
        <v>28</v>
      </c>
      <c r="I475" s="5" t="s">
        <v>29</v>
      </c>
      <c r="J475" s="5" t="s">
        <v>30</v>
      </c>
      <c r="K475" s="5" t="s">
        <v>31</v>
      </c>
      <c r="L475" s="5" t="s">
        <v>32</v>
      </c>
      <c r="M475" s="5" t="s">
        <v>265</v>
      </c>
      <c r="N475" s="5" t="s">
        <v>1002</v>
      </c>
      <c r="O475" s="5" t="s">
        <v>266</v>
      </c>
      <c r="P475" s="5" t="s">
        <v>267</v>
      </c>
      <c r="Q475" s="5">
        <v>100147918</v>
      </c>
      <c r="R475" s="5" t="s">
        <v>38</v>
      </c>
      <c r="S475" s="5" t="s">
        <v>39</v>
      </c>
      <c r="T475" s="7">
        <v>1</v>
      </c>
      <c r="U475" s="15" t="s">
        <v>266</v>
      </c>
      <c r="V475" s="16" t="s">
        <v>267</v>
      </c>
      <c r="W475" s="17">
        <v>100147918</v>
      </c>
      <c r="X475" s="16" t="s">
        <v>2599</v>
      </c>
      <c r="Y475" s="17" t="s">
        <v>2600</v>
      </c>
      <c r="Z475" s="17" t="s">
        <v>39</v>
      </c>
      <c r="AA475" s="17" t="s">
        <v>2501</v>
      </c>
      <c r="AB475" s="29">
        <v>210.48</v>
      </c>
      <c r="AC475" s="25">
        <v>215.24</v>
      </c>
      <c r="AD475" s="25">
        <f>AC475*T475</f>
        <v>215.24</v>
      </c>
      <c r="AE475" s="25">
        <f>AB475*T475</f>
        <v>210.48</v>
      </c>
      <c r="AF475" s="25">
        <f>AD475-AE475</f>
        <v>4.7600000000000193</v>
      </c>
      <c r="AG475" s="26">
        <f>AF475/AD475</f>
        <v>2.211484854116344E-2</v>
      </c>
      <c r="AH475" s="27" t="str">
        <f>IF(AG475&lt;0,"Negative",IF(AG475=0,"Same",IF(AG475&gt;0.3,"30+%",IF(AG475&gt;0.2,"20-30%",IF(AG475&gt;0.1,"10-20%",IF(AG475&lt;=0.1,"0-10%"))))))</f>
        <v>0-10%</v>
      </c>
      <c r="AI475" s="32"/>
      <c r="AJ475" s="36" t="s">
        <v>3300</v>
      </c>
      <c r="AK475" s="32"/>
    </row>
    <row r="476" spans="1:37" s="1" customFormat="1" ht="19.7" customHeight="1" x14ac:dyDescent="0.25">
      <c r="A476" s="9" t="s">
        <v>22</v>
      </c>
      <c r="B476" s="9" t="s">
        <v>264</v>
      </c>
      <c r="C476" s="10">
        <v>44246</v>
      </c>
      <c r="D476" s="9" t="s">
        <v>24</v>
      </c>
      <c r="E476" s="9" t="s">
        <v>25</v>
      </c>
      <c r="F476" s="9" t="s">
        <v>26</v>
      </c>
      <c r="G476" s="9" t="s">
        <v>27</v>
      </c>
      <c r="H476" s="9" t="s">
        <v>28</v>
      </c>
      <c r="I476" s="9" t="s">
        <v>29</v>
      </c>
      <c r="J476" s="9" t="s">
        <v>30</v>
      </c>
      <c r="K476" s="9" t="s">
        <v>31</v>
      </c>
      <c r="L476" s="9" t="s">
        <v>32</v>
      </c>
      <c r="M476" s="9" t="s">
        <v>265</v>
      </c>
      <c r="N476" s="9" t="s">
        <v>251</v>
      </c>
      <c r="O476" s="9" t="s">
        <v>266</v>
      </c>
      <c r="P476" s="9" t="s">
        <v>267</v>
      </c>
      <c r="Q476" s="9">
        <v>100147918</v>
      </c>
      <c r="R476" s="9" t="s">
        <v>38</v>
      </c>
      <c r="S476" s="9" t="s">
        <v>39</v>
      </c>
      <c r="T476" s="11">
        <v>1</v>
      </c>
      <c r="U476" s="15" t="s">
        <v>266</v>
      </c>
      <c r="V476" s="16" t="s">
        <v>267</v>
      </c>
      <c r="W476" s="17">
        <v>100147918</v>
      </c>
      <c r="X476" s="16" t="s">
        <v>2599</v>
      </c>
      <c r="Y476" s="17" t="s">
        <v>2600</v>
      </c>
      <c r="Z476" s="17" t="s">
        <v>39</v>
      </c>
      <c r="AA476" s="17" t="s">
        <v>2501</v>
      </c>
      <c r="AB476" s="29">
        <v>210.48</v>
      </c>
      <c r="AC476" s="25">
        <v>215.24</v>
      </c>
      <c r="AD476" s="25">
        <f>AC476*T476</f>
        <v>215.24</v>
      </c>
      <c r="AE476" s="25">
        <f>AB476*T476</f>
        <v>210.48</v>
      </c>
      <c r="AF476" s="25">
        <f>AD476-AE476</f>
        <v>4.7600000000000193</v>
      </c>
      <c r="AG476" s="26">
        <f>AF476/AD476</f>
        <v>2.211484854116344E-2</v>
      </c>
      <c r="AH476" s="27" t="str">
        <f>IF(AG476&lt;0,"Negative",IF(AG476=0,"Same",IF(AG476&gt;0.3,"30+%",IF(AG476&gt;0.2,"20-30%",IF(AG476&gt;0.1,"10-20%",IF(AG476&lt;=0.1,"0-10%"))))))</f>
        <v>0-10%</v>
      </c>
      <c r="AI476" s="32"/>
      <c r="AJ476" s="36" t="s">
        <v>3300</v>
      </c>
      <c r="AK476" s="32"/>
    </row>
    <row r="477" spans="1:37" s="1" customFormat="1" ht="19.7" customHeight="1" x14ac:dyDescent="0.25">
      <c r="A477" s="5" t="s">
        <v>22</v>
      </c>
      <c r="B477" s="5" t="s">
        <v>1808</v>
      </c>
      <c r="C477" s="6">
        <v>44466</v>
      </c>
      <c r="D477" s="5" t="s">
        <v>24</v>
      </c>
      <c r="E477" s="5" t="s">
        <v>25</v>
      </c>
      <c r="F477" s="5" t="s">
        <v>26</v>
      </c>
      <c r="G477" s="5" t="s">
        <v>67</v>
      </c>
      <c r="H477" s="5" t="s">
        <v>68</v>
      </c>
      <c r="I477" s="5" t="s">
        <v>29</v>
      </c>
      <c r="J477" s="5" t="s">
        <v>30</v>
      </c>
      <c r="K477" s="5" t="s">
        <v>31</v>
      </c>
      <c r="L477" s="5" t="s">
        <v>32</v>
      </c>
      <c r="M477" s="5" t="s">
        <v>436</v>
      </c>
      <c r="N477" s="5" t="s">
        <v>1809</v>
      </c>
      <c r="O477" s="5" t="s">
        <v>89</v>
      </c>
      <c r="P477" s="5" t="s">
        <v>437</v>
      </c>
      <c r="Q477" s="5">
        <v>100747693</v>
      </c>
      <c r="R477" s="5" t="s">
        <v>45</v>
      </c>
      <c r="S477" s="5" t="s">
        <v>39</v>
      </c>
      <c r="T477" s="7">
        <v>1</v>
      </c>
      <c r="U477" s="15" t="s">
        <v>89</v>
      </c>
      <c r="V477" s="16" t="s">
        <v>437</v>
      </c>
      <c r="W477" s="17">
        <v>100747693</v>
      </c>
      <c r="X477" s="16" t="s">
        <v>2520</v>
      </c>
      <c r="Y477" s="17" t="s">
        <v>2672</v>
      </c>
      <c r="Z477" s="17" t="s">
        <v>39</v>
      </c>
      <c r="AA477" s="17" t="s">
        <v>37</v>
      </c>
      <c r="AB477" s="43">
        <v>7</v>
      </c>
      <c r="AC477" s="25">
        <v>8.2100000000000009</v>
      </c>
      <c r="AD477" s="25">
        <f>AC477*T477</f>
        <v>8.2100000000000009</v>
      </c>
      <c r="AE477" s="25">
        <f>AB477*T477</f>
        <v>7</v>
      </c>
      <c r="AF477" s="25">
        <f>AD477-AE477</f>
        <v>1.2100000000000009</v>
      </c>
      <c r="AG477" s="26">
        <f>AF477/AD477</f>
        <v>0.14738124238733261</v>
      </c>
      <c r="AH477" s="27" t="str">
        <f>IF(AG477&lt;0,"Negative",IF(AG477=0,"Same",IF(AG477&gt;0.3,"30+%",IF(AG477&gt;0.2,"20-30%",IF(AG477&gt;0.1,"10-20%",IF(AG477&lt;=0.1,"0-10%"))))))</f>
        <v>10-20%</v>
      </c>
      <c r="AI477" s="32"/>
      <c r="AJ477" s="36" t="s">
        <v>3300</v>
      </c>
      <c r="AK477" s="32"/>
    </row>
    <row r="478" spans="1:37" s="1" customFormat="1" ht="19.7" customHeight="1" x14ac:dyDescent="0.25">
      <c r="A478" s="5" t="s">
        <v>22</v>
      </c>
      <c r="B478" s="5" t="s">
        <v>1812</v>
      </c>
      <c r="C478" s="6">
        <v>44466</v>
      </c>
      <c r="D478" s="5" t="s">
        <v>24</v>
      </c>
      <c r="E478" s="5" t="s">
        <v>25</v>
      </c>
      <c r="F478" s="5" t="s">
        <v>26</v>
      </c>
      <c r="G478" s="5" t="s">
        <v>67</v>
      </c>
      <c r="H478" s="5" t="s">
        <v>68</v>
      </c>
      <c r="I478" s="5" t="s">
        <v>29</v>
      </c>
      <c r="J478" s="5" t="s">
        <v>30</v>
      </c>
      <c r="K478" s="5" t="s">
        <v>31</v>
      </c>
      <c r="L478" s="5" t="s">
        <v>32</v>
      </c>
      <c r="M478" s="5" t="s">
        <v>436</v>
      </c>
      <c r="N478" s="5" t="s">
        <v>1813</v>
      </c>
      <c r="O478" s="5" t="s">
        <v>89</v>
      </c>
      <c r="P478" s="5" t="s">
        <v>437</v>
      </c>
      <c r="Q478" s="5">
        <v>100747693</v>
      </c>
      <c r="R478" s="5" t="s">
        <v>45</v>
      </c>
      <c r="S478" s="5" t="s">
        <v>39</v>
      </c>
      <c r="T478" s="7">
        <v>1</v>
      </c>
      <c r="U478" s="15" t="s">
        <v>89</v>
      </c>
      <c r="V478" s="16" t="s">
        <v>437</v>
      </c>
      <c r="W478" s="17">
        <v>100747693</v>
      </c>
      <c r="X478" s="16" t="s">
        <v>2520</v>
      </c>
      <c r="Y478" s="17" t="s">
        <v>2672</v>
      </c>
      <c r="Z478" s="17" t="s">
        <v>39</v>
      </c>
      <c r="AA478" s="17" t="s">
        <v>37</v>
      </c>
      <c r="AB478" s="43">
        <v>7</v>
      </c>
      <c r="AC478" s="25">
        <v>8.2100000000000009</v>
      </c>
      <c r="AD478" s="25">
        <f>AC478*T478</f>
        <v>8.2100000000000009</v>
      </c>
      <c r="AE478" s="25">
        <f>AB478*T478</f>
        <v>7</v>
      </c>
      <c r="AF478" s="25">
        <f>AD478-AE478</f>
        <v>1.2100000000000009</v>
      </c>
      <c r="AG478" s="26">
        <f>AF478/AD478</f>
        <v>0.14738124238733261</v>
      </c>
      <c r="AH478" s="27" t="str">
        <f>IF(AG478&lt;0,"Negative",IF(AG478=0,"Same",IF(AG478&gt;0.3,"30+%",IF(AG478&gt;0.2,"20-30%",IF(AG478&gt;0.1,"10-20%",IF(AG478&lt;=0.1,"0-10%"))))))</f>
        <v>10-20%</v>
      </c>
      <c r="AI478" s="32"/>
      <c r="AJ478" s="36" t="s">
        <v>3300</v>
      </c>
      <c r="AK478" s="32"/>
    </row>
    <row r="479" spans="1:37" s="1" customFormat="1" ht="19.7" customHeight="1" x14ac:dyDescent="0.25">
      <c r="A479" s="9" t="s">
        <v>22</v>
      </c>
      <c r="B479" s="9" t="s">
        <v>2013</v>
      </c>
      <c r="C479" s="10">
        <v>44498</v>
      </c>
      <c r="D479" s="9" t="s">
        <v>24</v>
      </c>
      <c r="E479" s="9" t="s">
        <v>25</v>
      </c>
      <c r="F479" s="9" t="s">
        <v>26</v>
      </c>
      <c r="G479" s="9" t="s">
        <v>67</v>
      </c>
      <c r="H479" s="9" t="s">
        <v>68</v>
      </c>
      <c r="I479" s="9" t="s">
        <v>29</v>
      </c>
      <c r="J479" s="9" t="s">
        <v>30</v>
      </c>
      <c r="K479" s="9" t="s">
        <v>31</v>
      </c>
      <c r="L479" s="9" t="s">
        <v>32</v>
      </c>
      <c r="M479" s="9" t="s">
        <v>436</v>
      </c>
      <c r="N479" s="9" t="s">
        <v>2014</v>
      </c>
      <c r="O479" s="9" t="s">
        <v>89</v>
      </c>
      <c r="P479" s="9" t="s">
        <v>437</v>
      </c>
      <c r="Q479" s="9">
        <v>100747693</v>
      </c>
      <c r="R479" s="9" t="s">
        <v>45</v>
      </c>
      <c r="S479" s="9" t="s">
        <v>39</v>
      </c>
      <c r="T479" s="11">
        <v>1</v>
      </c>
      <c r="U479" s="15" t="s">
        <v>89</v>
      </c>
      <c r="V479" s="16" t="s">
        <v>437</v>
      </c>
      <c r="W479" s="17">
        <v>100747693</v>
      </c>
      <c r="X479" s="16" t="s">
        <v>2520</v>
      </c>
      <c r="Y479" s="17" t="s">
        <v>2672</v>
      </c>
      <c r="Z479" s="17" t="s">
        <v>39</v>
      </c>
      <c r="AA479" s="17" t="s">
        <v>37</v>
      </c>
      <c r="AB479" s="43">
        <v>7</v>
      </c>
      <c r="AC479" s="25">
        <v>8.2100000000000009</v>
      </c>
      <c r="AD479" s="25">
        <f>AC479*T479</f>
        <v>8.2100000000000009</v>
      </c>
      <c r="AE479" s="25">
        <f>AB479*T479</f>
        <v>7</v>
      </c>
      <c r="AF479" s="25">
        <f>AD479-AE479</f>
        <v>1.2100000000000009</v>
      </c>
      <c r="AG479" s="26">
        <f>AF479/AD479</f>
        <v>0.14738124238733261</v>
      </c>
      <c r="AH479" s="27" t="str">
        <f>IF(AG479&lt;0,"Negative",IF(AG479=0,"Same",IF(AG479&gt;0.3,"30+%",IF(AG479&gt;0.2,"20-30%",IF(AG479&gt;0.1,"10-20%",IF(AG479&lt;=0.1,"0-10%"))))))</f>
        <v>10-20%</v>
      </c>
      <c r="AI479" s="32"/>
      <c r="AJ479" s="36" t="s">
        <v>3300</v>
      </c>
      <c r="AK479" s="32"/>
    </row>
    <row r="480" spans="1:37" s="1" customFormat="1" ht="19.7" customHeight="1" x14ac:dyDescent="0.25">
      <c r="A480" s="9" t="s">
        <v>22</v>
      </c>
      <c r="B480" s="9" t="s">
        <v>426</v>
      </c>
      <c r="C480" s="10">
        <v>44260</v>
      </c>
      <c r="D480" s="9" t="s">
        <v>24</v>
      </c>
      <c r="E480" s="9" t="s">
        <v>25</v>
      </c>
      <c r="F480" s="9" t="s">
        <v>26</v>
      </c>
      <c r="G480" s="9" t="s">
        <v>67</v>
      </c>
      <c r="H480" s="9" t="s">
        <v>68</v>
      </c>
      <c r="I480" s="9" t="s">
        <v>29</v>
      </c>
      <c r="J480" s="9" t="s">
        <v>30</v>
      </c>
      <c r="K480" s="9" t="s">
        <v>31</v>
      </c>
      <c r="L480" s="9" t="s">
        <v>32</v>
      </c>
      <c r="M480" s="9" t="s">
        <v>436</v>
      </c>
      <c r="N480" s="9" t="s">
        <v>428</v>
      </c>
      <c r="O480" s="9" t="s">
        <v>89</v>
      </c>
      <c r="P480" s="9" t="s">
        <v>437</v>
      </c>
      <c r="Q480" s="9">
        <v>100747693</v>
      </c>
      <c r="R480" s="9" t="s">
        <v>45</v>
      </c>
      <c r="S480" s="9" t="s">
        <v>39</v>
      </c>
      <c r="T480" s="11">
        <v>2</v>
      </c>
      <c r="U480" s="15" t="s">
        <v>89</v>
      </c>
      <c r="V480" s="16" t="s">
        <v>437</v>
      </c>
      <c r="W480" s="17">
        <v>100747693</v>
      </c>
      <c r="X480" s="16" t="s">
        <v>2520</v>
      </c>
      <c r="Y480" s="17" t="s">
        <v>2672</v>
      </c>
      <c r="Z480" s="17" t="s">
        <v>39</v>
      </c>
      <c r="AA480" s="17" t="s">
        <v>37</v>
      </c>
      <c r="AB480" s="43">
        <v>7</v>
      </c>
      <c r="AC480" s="25">
        <v>8.2100000000000009</v>
      </c>
      <c r="AD480" s="25">
        <f>AC480*T480</f>
        <v>16.420000000000002</v>
      </c>
      <c r="AE480" s="25">
        <f>AB480*T480</f>
        <v>14</v>
      </c>
      <c r="AF480" s="25">
        <f>AD480-AE480</f>
        <v>2.4200000000000017</v>
      </c>
      <c r="AG480" s="26">
        <f>AF480/AD480</f>
        <v>0.14738124238733261</v>
      </c>
      <c r="AH480" s="27" t="str">
        <f>IF(AG480&lt;0,"Negative",IF(AG480=0,"Same",IF(AG480&gt;0.3,"30+%",IF(AG480&gt;0.2,"20-30%",IF(AG480&gt;0.1,"10-20%",IF(AG480&lt;=0.1,"0-10%"))))))</f>
        <v>10-20%</v>
      </c>
      <c r="AI480" s="32"/>
      <c r="AJ480" s="36" t="s">
        <v>3300</v>
      </c>
      <c r="AK480" s="32"/>
    </row>
    <row r="481" spans="1:37" s="1" customFormat="1" ht="19.7" customHeight="1" x14ac:dyDescent="0.25">
      <c r="A481" s="9" t="s">
        <v>22</v>
      </c>
      <c r="B481" s="9" t="s">
        <v>2021</v>
      </c>
      <c r="C481" s="10">
        <v>44498</v>
      </c>
      <c r="D481" s="9" t="s">
        <v>24</v>
      </c>
      <c r="E481" s="9" t="s">
        <v>25</v>
      </c>
      <c r="F481" s="9" t="s">
        <v>26</v>
      </c>
      <c r="G481" s="9" t="s">
        <v>67</v>
      </c>
      <c r="H481" s="9" t="s">
        <v>68</v>
      </c>
      <c r="I481" s="9" t="s">
        <v>29</v>
      </c>
      <c r="J481" s="9" t="s">
        <v>30</v>
      </c>
      <c r="K481" s="9" t="s">
        <v>31</v>
      </c>
      <c r="L481" s="9" t="s">
        <v>32</v>
      </c>
      <c r="M481" s="9" t="s">
        <v>436</v>
      </c>
      <c r="N481" s="9" t="s">
        <v>2022</v>
      </c>
      <c r="O481" s="9" t="s">
        <v>89</v>
      </c>
      <c r="P481" s="9" t="s">
        <v>437</v>
      </c>
      <c r="Q481" s="9">
        <v>100747693</v>
      </c>
      <c r="R481" s="9" t="s">
        <v>45</v>
      </c>
      <c r="S481" s="9" t="s">
        <v>39</v>
      </c>
      <c r="T481" s="11">
        <v>3</v>
      </c>
      <c r="U481" s="15" t="s">
        <v>89</v>
      </c>
      <c r="V481" s="16" t="s">
        <v>437</v>
      </c>
      <c r="W481" s="17">
        <v>100747693</v>
      </c>
      <c r="X481" s="16" t="s">
        <v>2520</v>
      </c>
      <c r="Y481" s="17" t="s">
        <v>2672</v>
      </c>
      <c r="Z481" s="17" t="s">
        <v>39</v>
      </c>
      <c r="AA481" s="17" t="s">
        <v>37</v>
      </c>
      <c r="AB481" s="43">
        <v>7</v>
      </c>
      <c r="AC481" s="25">
        <v>8.2100000000000009</v>
      </c>
      <c r="AD481" s="25">
        <f>AC481*T481</f>
        <v>24.630000000000003</v>
      </c>
      <c r="AE481" s="25">
        <f>AB481*T481</f>
        <v>21</v>
      </c>
      <c r="AF481" s="25">
        <f>AD481-AE481</f>
        <v>3.6300000000000026</v>
      </c>
      <c r="AG481" s="26">
        <f>AF481/AD481</f>
        <v>0.14738124238733261</v>
      </c>
      <c r="AH481" s="27" t="str">
        <f>IF(AG481&lt;0,"Negative",IF(AG481=0,"Same",IF(AG481&gt;0.3,"30+%",IF(AG481&gt;0.2,"20-30%",IF(AG481&gt;0.1,"10-20%",IF(AG481&lt;=0.1,"0-10%"))))))</f>
        <v>10-20%</v>
      </c>
      <c r="AI481" s="32"/>
      <c r="AJ481" s="36" t="s">
        <v>3300</v>
      </c>
      <c r="AK481" s="32"/>
    </row>
    <row r="482" spans="1:37" s="1" customFormat="1" ht="19.7" customHeight="1" x14ac:dyDescent="0.25">
      <c r="A482" s="5" t="s">
        <v>22</v>
      </c>
      <c r="B482" s="5" t="s">
        <v>1570</v>
      </c>
      <c r="C482" s="6">
        <v>44420</v>
      </c>
      <c r="D482" s="5" t="s">
        <v>24</v>
      </c>
      <c r="E482" s="5" t="s">
        <v>25</v>
      </c>
      <c r="F482" s="5" t="s">
        <v>26</v>
      </c>
      <c r="G482" s="5" t="s">
        <v>27</v>
      </c>
      <c r="H482" s="5" t="s">
        <v>28</v>
      </c>
      <c r="I482" s="5" t="s">
        <v>29</v>
      </c>
      <c r="J482" s="5" t="s">
        <v>30</v>
      </c>
      <c r="K482" s="5" t="s">
        <v>31</v>
      </c>
      <c r="L482" s="5" t="s">
        <v>32</v>
      </c>
      <c r="M482" s="5" t="s">
        <v>1571</v>
      </c>
      <c r="N482" s="5" t="s">
        <v>1572</v>
      </c>
      <c r="O482" s="5" t="s">
        <v>239</v>
      </c>
      <c r="P482" s="5" t="s">
        <v>1573</v>
      </c>
      <c r="Q482" s="5">
        <v>100758973</v>
      </c>
      <c r="R482" s="5" t="s">
        <v>61</v>
      </c>
      <c r="S482" s="5" t="s">
        <v>39</v>
      </c>
      <c r="T482" s="7">
        <v>4</v>
      </c>
      <c r="U482" s="15" t="s">
        <v>239</v>
      </c>
      <c r="V482" s="16" t="s">
        <v>1573</v>
      </c>
      <c r="W482" s="17">
        <v>100758973</v>
      </c>
      <c r="X482" s="16" t="s">
        <v>3078</v>
      </c>
      <c r="Y482" s="17" t="s">
        <v>3079</v>
      </c>
      <c r="Z482" s="17" t="s">
        <v>39</v>
      </c>
      <c r="AA482" s="17" t="s">
        <v>37</v>
      </c>
      <c r="AB482" s="43">
        <v>10.67</v>
      </c>
      <c r="AC482" s="25">
        <v>11.38</v>
      </c>
      <c r="AD482" s="25">
        <f>AC482*T482</f>
        <v>45.52</v>
      </c>
      <c r="AE482" s="25">
        <f>AB482*T482</f>
        <v>42.68</v>
      </c>
      <c r="AF482" s="25">
        <f>AD482-AE482</f>
        <v>2.8400000000000034</v>
      </c>
      <c r="AG482" s="26">
        <f>AF482/AD482</f>
        <v>6.2390158172232056E-2</v>
      </c>
      <c r="AH482" s="27" t="str">
        <f>IF(AG482&lt;0,"Negative",IF(AG482=0,"Same",IF(AG482&gt;0.3,"30+%",IF(AG482&gt;0.2,"20-30%",IF(AG482&gt;0.1,"10-20%",IF(AG482&lt;=0.1,"0-10%"))))))</f>
        <v>0-10%</v>
      </c>
      <c r="AI482" s="32"/>
      <c r="AJ482" s="36" t="s">
        <v>3299</v>
      </c>
      <c r="AK482" s="32"/>
    </row>
    <row r="483" spans="1:37" s="1" customFormat="1" ht="19.7" customHeight="1" x14ac:dyDescent="0.25">
      <c r="A483" s="9" t="s">
        <v>22</v>
      </c>
      <c r="B483" s="9" t="s">
        <v>2334</v>
      </c>
      <c r="C483" s="10">
        <v>44568</v>
      </c>
      <c r="D483" s="9" t="s">
        <v>24</v>
      </c>
      <c r="E483" s="9" t="s">
        <v>25</v>
      </c>
      <c r="F483" s="9" t="s">
        <v>26</v>
      </c>
      <c r="G483" s="9" t="s">
        <v>27</v>
      </c>
      <c r="H483" s="9" t="s">
        <v>28</v>
      </c>
      <c r="I483" s="9" t="s">
        <v>29</v>
      </c>
      <c r="J483" s="9" t="s">
        <v>30</v>
      </c>
      <c r="K483" s="9" t="s">
        <v>31</v>
      </c>
      <c r="L483" s="9" t="s">
        <v>32</v>
      </c>
      <c r="M483" s="9" t="s">
        <v>2335</v>
      </c>
      <c r="N483" s="9" t="s">
        <v>2298</v>
      </c>
      <c r="O483" s="9" t="s">
        <v>223</v>
      </c>
      <c r="P483" s="9" t="s">
        <v>2336</v>
      </c>
      <c r="Q483" s="9">
        <v>102170684</v>
      </c>
      <c r="R483" s="9" t="s">
        <v>56</v>
      </c>
      <c r="S483" s="9" t="s">
        <v>39</v>
      </c>
      <c r="T483" s="11">
        <v>1</v>
      </c>
      <c r="U483" s="15" t="s">
        <v>223</v>
      </c>
      <c r="V483" s="16" t="s">
        <v>2336</v>
      </c>
      <c r="W483" s="17">
        <v>102170684</v>
      </c>
      <c r="X483" s="16" t="s">
        <v>2581</v>
      </c>
      <c r="Y483" s="17" t="s">
        <v>3252</v>
      </c>
      <c r="Z483" s="17" t="s">
        <v>39</v>
      </c>
      <c r="AA483" s="17" t="s">
        <v>37</v>
      </c>
      <c r="AB483" s="43">
        <v>28.84</v>
      </c>
      <c r="AC483" s="25">
        <v>30.14</v>
      </c>
      <c r="AD483" s="25">
        <f>AC483*T483</f>
        <v>30.14</v>
      </c>
      <c r="AE483" s="25">
        <f>AB483*T483</f>
        <v>28.84</v>
      </c>
      <c r="AF483" s="25">
        <f>AD483-AE483</f>
        <v>1.3000000000000007</v>
      </c>
      <c r="AG483" s="26">
        <f>AF483/AD483</f>
        <v>4.3132050431320526E-2</v>
      </c>
      <c r="AH483" s="27" t="str">
        <f>IF(AG483&lt;0,"Negative",IF(AG483=0,"Same",IF(AG483&gt;0.3,"30+%",IF(AG483&gt;0.2,"20-30%",IF(AG483&gt;0.1,"10-20%",IF(AG483&lt;=0.1,"0-10%"))))))</f>
        <v>0-10%</v>
      </c>
      <c r="AI483" s="32"/>
      <c r="AJ483" s="36" t="s">
        <v>3300</v>
      </c>
      <c r="AK483" s="32"/>
    </row>
    <row r="484" spans="1:37" s="1" customFormat="1" ht="19.7" customHeight="1" x14ac:dyDescent="0.25">
      <c r="A484" s="5" t="s">
        <v>22</v>
      </c>
      <c r="B484" s="5" t="s">
        <v>1508</v>
      </c>
      <c r="C484" s="6">
        <v>44406</v>
      </c>
      <c r="D484" s="5" t="s">
        <v>24</v>
      </c>
      <c r="E484" s="5" t="s">
        <v>25</v>
      </c>
      <c r="F484" s="5" t="s">
        <v>26</v>
      </c>
      <c r="G484" s="5" t="s">
        <v>27</v>
      </c>
      <c r="H484" s="5" t="s">
        <v>28</v>
      </c>
      <c r="I484" s="5" t="s">
        <v>29</v>
      </c>
      <c r="J484" s="5" t="s">
        <v>30</v>
      </c>
      <c r="K484" s="5" t="s">
        <v>31</v>
      </c>
      <c r="L484" s="5" t="s">
        <v>32</v>
      </c>
      <c r="M484" s="5" t="s">
        <v>261</v>
      </c>
      <c r="N484" s="5" t="s">
        <v>1504</v>
      </c>
      <c r="O484" s="5" t="s">
        <v>223</v>
      </c>
      <c r="P484" s="5" t="s">
        <v>1509</v>
      </c>
      <c r="Q484" s="5">
        <v>102208591</v>
      </c>
      <c r="R484" s="5" t="s">
        <v>56</v>
      </c>
      <c r="S484" s="5" t="s">
        <v>39</v>
      </c>
      <c r="T484" s="7">
        <v>2</v>
      </c>
      <c r="U484" s="15" t="s">
        <v>223</v>
      </c>
      <c r="V484" s="16" t="s">
        <v>1509</v>
      </c>
      <c r="W484" s="17">
        <v>102208591</v>
      </c>
      <c r="X484" s="16" t="s">
        <v>2581</v>
      </c>
      <c r="Y484" s="17" t="s">
        <v>3063</v>
      </c>
      <c r="Z484" s="17" t="s">
        <v>39</v>
      </c>
      <c r="AA484" s="17" t="s">
        <v>37</v>
      </c>
      <c r="AB484" s="43">
        <v>32.49</v>
      </c>
      <c r="AC484" s="25">
        <v>33.950000000000003</v>
      </c>
      <c r="AD484" s="25">
        <f>AC484*T484</f>
        <v>67.900000000000006</v>
      </c>
      <c r="AE484" s="25">
        <f>AB484*T484</f>
        <v>64.98</v>
      </c>
      <c r="AF484" s="25">
        <f>AD484-AE484</f>
        <v>2.9200000000000017</v>
      </c>
      <c r="AG484" s="26">
        <f>AF484/AD484</f>
        <v>4.3004418262150242E-2</v>
      </c>
      <c r="AH484" s="27" t="str">
        <f>IF(AG484&lt;0,"Negative",IF(AG484=0,"Same",IF(AG484&gt;0.3,"30+%",IF(AG484&gt;0.2,"20-30%",IF(AG484&gt;0.1,"10-20%",IF(AG484&lt;=0.1,"0-10%"))))))</f>
        <v>0-10%</v>
      </c>
      <c r="AI484" s="32"/>
      <c r="AJ484" s="36" t="s">
        <v>3300</v>
      </c>
      <c r="AK484" s="32"/>
    </row>
    <row r="485" spans="1:37" s="1" customFormat="1" ht="19.7" customHeight="1" x14ac:dyDescent="0.25">
      <c r="A485" s="9" t="s">
        <v>22</v>
      </c>
      <c r="B485" s="9" t="s">
        <v>1503</v>
      </c>
      <c r="C485" s="10">
        <v>44405</v>
      </c>
      <c r="D485" s="9" t="s">
        <v>24</v>
      </c>
      <c r="E485" s="9" t="s">
        <v>25</v>
      </c>
      <c r="F485" s="9" t="s">
        <v>26</v>
      </c>
      <c r="G485" s="9" t="s">
        <v>27</v>
      </c>
      <c r="H485" s="9" t="s">
        <v>28</v>
      </c>
      <c r="I485" s="9" t="s">
        <v>29</v>
      </c>
      <c r="J485" s="9" t="s">
        <v>30</v>
      </c>
      <c r="K485" s="9" t="s">
        <v>31</v>
      </c>
      <c r="L485" s="9" t="s">
        <v>32</v>
      </c>
      <c r="M485" s="9" t="s">
        <v>261</v>
      </c>
      <c r="N485" s="9" t="s">
        <v>1504</v>
      </c>
      <c r="O485" s="9" t="s">
        <v>223</v>
      </c>
      <c r="P485" s="9" t="s">
        <v>1505</v>
      </c>
      <c r="Q485" s="9">
        <v>102043354</v>
      </c>
      <c r="R485" s="9" t="s">
        <v>56</v>
      </c>
      <c r="S485" s="9" t="s">
        <v>39</v>
      </c>
      <c r="T485" s="11">
        <v>3</v>
      </c>
      <c r="U485" s="15" t="s">
        <v>223</v>
      </c>
      <c r="V485" s="16" t="s">
        <v>1505</v>
      </c>
      <c r="W485" s="17">
        <v>102043354</v>
      </c>
      <c r="X485" s="16" t="s">
        <v>2581</v>
      </c>
      <c r="Y485" s="17" t="s">
        <v>3062</v>
      </c>
      <c r="Z485" s="17" t="s">
        <v>39</v>
      </c>
      <c r="AA485" s="17" t="s">
        <v>37</v>
      </c>
      <c r="AB485" s="43">
        <v>32.49</v>
      </c>
      <c r="AC485" s="25">
        <v>33.950000000000003</v>
      </c>
      <c r="AD485" s="25">
        <f>AC485*T485</f>
        <v>101.85000000000001</v>
      </c>
      <c r="AE485" s="25">
        <f>AB485*T485</f>
        <v>97.47</v>
      </c>
      <c r="AF485" s="25">
        <f>AD485-AE485</f>
        <v>4.3800000000000097</v>
      </c>
      <c r="AG485" s="26">
        <f>AF485/AD485</f>
        <v>4.3004418262150311E-2</v>
      </c>
      <c r="AH485" s="27" t="str">
        <f>IF(AG485&lt;0,"Negative",IF(AG485=0,"Same",IF(AG485&gt;0.3,"30+%",IF(AG485&gt;0.2,"20-30%",IF(AG485&gt;0.1,"10-20%",IF(AG485&lt;=0.1,"0-10%"))))))</f>
        <v>0-10%</v>
      </c>
      <c r="AI485" s="32"/>
      <c r="AJ485" s="36" t="s">
        <v>3300</v>
      </c>
      <c r="AK485" s="32"/>
    </row>
    <row r="486" spans="1:37" s="1" customFormat="1" ht="19.7" customHeight="1" x14ac:dyDescent="0.25">
      <c r="A486" s="9" t="s">
        <v>22</v>
      </c>
      <c r="B486" s="9" t="s">
        <v>1216</v>
      </c>
      <c r="C486" s="10">
        <v>44361</v>
      </c>
      <c r="D486" s="9" t="s">
        <v>24</v>
      </c>
      <c r="E486" s="9" t="s">
        <v>25</v>
      </c>
      <c r="F486" s="9" t="s">
        <v>26</v>
      </c>
      <c r="G486" s="9" t="s">
        <v>67</v>
      </c>
      <c r="H486" s="9" t="s">
        <v>68</v>
      </c>
      <c r="I486" s="9" t="s">
        <v>29</v>
      </c>
      <c r="J486" s="9" t="s">
        <v>30</v>
      </c>
      <c r="K486" s="9" t="s">
        <v>31</v>
      </c>
      <c r="L486" s="9" t="s">
        <v>32</v>
      </c>
      <c r="M486" s="9" t="s">
        <v>196</v>
      </c>
      <c r="N486" s="9" t="s">
        <v>1217</v>
      </c>
      <c r="O486" s="9" t="s">
        <v>197</v>
      </c>
      <c r="P486" s="9" t="s">
        <v>198</v>
      </c>
      <c r="Q486" s="9">
        <v>105040149</v>
      </c>
      <c r="R486" s="9" t="s">
        <v>199</v>
      </c>
      <c r="S486" s="9" t="s">
        <v>39</v>
      </c>
      <c r="T486" s="11">
        <v>2</v>
      </c>
      <c r="U486" s="15" t="s">
        <v>197</v>
      </c>
      <c r="V486" s="16" t="s">
        <v>198</v>
      </c>
      <c r="W486" s="17">
        <v>105040149</v>
      </c>
      <c r="X486" s="16" t="s">
        <v>2571</v>
      </c>
      <c r="Y486" s="17" t="s">
        <v>2572</v>
      </c>
      <c r="Z486" s="17" t="s">
        <v>39</v>
      </c>
      <c r="AA486" s="17" t="s">
        <v>2501</v>
      </c>
      <c r="AB486" s="29">
        <v>20.27</v>
      </c>
      <c r="AC486" s="25">
        <v>21.74</v>
      </c>
      <c r="AD486" s="25">
        <f>AC486*T486</f>
        <v>43.48</v>
      </c>
      <c r="AE486" s="25">
        <f>AB486*T486</f>
        <v>40.54</v>
      </c>
      <c r="AF486" s="25">
        <f>AD486-AE486</f>
        <v>2.9399999999999977</v>
      </c>
      <c r="AG486" s="26">
        <f>AF486/AD486</f>
        <v>6.7617295308187622E-2</v>
      </c>
      <c r="AH486" s="27" t="str">
        <f>IF(AG486&lt;0,"Negative",IF(AG486=0,"Same",IF(AG486&gt;0.3,"30+%",IF(AG486&gt;0.2,"20-30%",IF(AG486&gt;0.1,"10-20%",IF(AG486&lt;=0.1,"0-10%"))))))</f>
        <v>0-10%</v>
      </c>
      <c r="AI486" s="32"/>
      <c r="AJ486" s="36" t="s">
        <v>3300</v>
      </c>
      <c r="AK486" s="32"/>
    </row>
    <row r="487" spans="1:37" s="1" customFormat="1" ht="19.7" customHeight="1" x14ac:dyDescent="0.25">
      <c r="A487" s="9" t="s">
        <v>22</v>
      </c>
      <c r="B487" s="9" t="s">
        <v>192</v>
      </c>
      <c r="C487" s="10">
        <v>44242</v>
      </c>
      <c r="D487" s="9" t="s">
        <v>24</v>
      </c>
      <c r="E487" s="9" t="s">
        <v>25</v>
      </c>
      <c r="F487" s="9" t="s">
        <v>26</v>
      </c>
      <c r="G487" s="9" t="s">
        <v>67</v>
      </c>
      <c r="H487" s="9" t="s">
        <v>68</v>
      </c>
      <c r="I487" s="9" t="s">
        <v>29</v>
      </c>
      <c r="J487" s="9" t="s">
        <v>30</v>
      </c>
      <c r="K487" s="9" t="s">
        <v>31</v>
      </c>
      <c r="L487" s="9" t="s">
        <v>32</v>
      </c>
      <c r="M487" s="9" t="s">
        <v>196</v>
      </c>
      <c r="N487" s="9" t="s">
        <v>194</v>
      </c>
      <c r="O487" s="9" t="s">
        <v>197</v>
      </c>
      <c r="P487" s="9" t="s">
        <v>198</v>
      </c>
      <c r="Q487" s="9">
        <v>105040149</v>
      </c>
      <c r="R487" s="9" t="s">
        <v>199</v>
      </c>
      <c r="S487" s="9" t="s">
        <v>39</v>
      </c>
      <c r="T487" s="11">
        <v>2</v>
      </c>
      <c r="U487" s="15" t="s">
        <v>197</v>
      </c>
      <c r="V487" s="16" t="s">
        <v>198</v>
      </c>
      <c r="W487" s="17">
        <v>105040149</v>
      </c>
      <c r="X487" s="16" t="s">
        <v>2571</v>
      </c>
      <c r="Y487" s="17" t="s">
        <v>2572</v>
      </c>
      <c r="Z487" s="17" t="s">
        <v>39</v>
      </c>
      <c r="AA487" s="17" t="s">
        <v>2501</v>
      </c>
      <c r="AB487" s="29">
        <v>20.27</v>
      </c>
      <c r="AC487" s="25">
        <v>21.74</v>
      </c>
      <c r="AD487" s="25">
        <f>AC487*T487</f>
        <v>43.48</v>
      </c>
      <c r="AE487" s="25">
        <f>AB487*T487</f>
        <v>40.54</v>
      </c>
      <c r="AF487" s="25">
        <f>AD487-AE487</f>
        <v>2.9399999999999977</v>
      </c>
      <c r="AG487" s="26">
        <f>AF487/AD487</f>
        <v>6.7617295308187622E-2</v>
      </c>
      <c r="AH487" s="27" t="str">
        <f>IF(AG487&lt;0,"Negative",IF(AG487=0,"Same",IF(AG487&gt;0.3,"30+%",IF(AG487&gt;0.2,"20-30%",IF(AG487&gt;0.1,"10-20%",IF(AG487&lt;=0.1,"0-10%"))))))</f>
        <v>0-10%</v>
      </c>
      <c r="AI487" s="32"/>
      <c r="AJ487" s="36" t="s">
        <v>3300</v>
      </c>
      <c r="AK487" s="32"/>
    </row>
    <row r="488" spans="1:37" s="1" customFormat="1" ht="19.7" customHeight="1" x14ac:dyDescent="0.25">
      <c r="A488" s="9" t="s">
        <v>22</v>
      </c>
      <c r="B488" s="9" t="s">
        <v>355</v>
      </c>
      <c r="C488" s="10">
        <v>44253</v>
      </c>
      <c r="D488" s="9" t="s">
        <v>24</v>
      </c>
      <c r="E488" s="9" t="s">
        <v>25</v>
      </c>
      <c r="F488" s="9" t="s">
        <v>26</v>
      </c>
      <c r="G488" s="9" t="s">
        <v>67</v>
      </c>
      <c r="H488" s="9" t="s">
        <v>68</v>
      </c>
      <c r="I488" s="9" t="s">
        <v>29</v>
      </c>
      <c r="J488" s="9" t="s">
        <v>30</v>
      </c>
      <c r="K488" s="9" t="s">
        <v>31</v>
      </c>
      <c r="L488" s="9" t="s">
        <v>32</v>
      </c>
      <c r="M488" s="9" t="s">
        <v>196</v>
      </c>
      <c r="N488" s="9" t="s">
        <v>357</v>
      </c>
      <c r="O488" s="9" t="s">
        <v>197</v>
      </c>
      <c r="P488" s="9" t="s">
        <v>198</v>
      </c>
      <c r="Q488" s="9">
        <v>105040149</v>
      </c>
      <c r="R488" s="9" t="s">
        <v>199</v>
      </c>
      <c r="S488" s="9" t="s">
        <v>39</v>
      </c>
      <c r="T488" s="11">
        <v>4</v>
      </c>
      <c r="U488" s="15" t="s">
        <v>197</v>
      </c>
      <c r="V488" s="16" t="s">
        <v>198</v>
      </c>
      <c r="W488" s="17">
        <v>105040149</v>
      </c>
      <c r="X488" s="16" t="s">
        <v>2571</v>
      </c>
      <c r="Y488" s="17" t="s">
        <v>2572</v>
      </c>
      <c r="Z488" s="17" t="s">
        <v>39</v>
      </c>
      <c r="AA488" s="17" t="s">
        <v>2501</v>
      </c>
      <c r="AB488" s="29">
        <v>20.27</v>
      </c>
      <c r="AC488" s="25">
        <v>21.74</v>
      </c>
      <c r="AD488" s="25">
        <f>AC488*T488</f>
        <v>86.96</v>
      </c>
      <c r="AE488" s="25">
        <f>AB488*T488</f>
        <v>81.08</v>
      </c>
      <c r="AF488" s="25">
        <f>AD488-AE488</f>
        <v>5.8799999999999955</v>
      </c>
      <c r="AG488" s="26">
        <f>AF488/AD488</f>
        <v>6.7617295308187622E-2</v>
      </c>
      <c r="AH488" s="27" t="str">
        <f>IF(AG488&lt;0,"Negative",IF(AG488=0,"Same",IF(AG488&gt;0.3,"30+%",IF(AG488&gt;0.2,"20-30%",IF(AG488&gt;0.1,"10-20%",IF(AG488&lt;=0.1,"0-10%"))))))</f>
        <v>0-10%</v>
      </c>
      <c r="AI488" s="32"/>
      <c r="AJ488" s="36" t="s">
        <v>3300</v>
      </c>
      <c r="AK488" s="32"/>
    </row>
    <row r="489" spans="1:37" s="1" customFormat="1" ht="19.7" customHeight="1" x14ac:dyDescent="0.25">
      <c r="A489" s="9" t="s">
        <v>22</v>
      </c>
      <c r="B489" s="9" t="s">
        <v>702</v>
      </c>
      <c r="C489" s="10">
        <v>44292</v>
      </c>
      <c r="D489" s="9" t="s">
        <v>24</v>
      </c>
      <c r="E489" s="9" t="s">
        <v>25</v>
      </c>
      <c r="F489" s="9" t="s">
        <v>26</v>
      </c>
      <c r="G489" s="9" t="s">
        <v>27</v>
      </c>
      <c r="H489" s="9" t="s">
        <v>28</v>
      </c>
      <c r="I489" s="9" t="s">
        <v>29</v>
      </c>
      <c r="J489" s="9" t="s">
        <v>30</v>
      </c>
      <c r="K489" s="9" t="s">
        <v>31</v>
      </c>
      <c r="L489" s="9" t="s">
        <v>32</v>
      </c>
      <c r="M489" s="9" t="s">
        <v>708</v>
      </c>
      <c r="N489" s="9" t="s">
        <v>704</v>
      </c>
      <c r="O489" s="9" t="s">
        <v>35</v>
      </c>
      <c r="P489" s="9" t="s">
        <v>709</v>
      </c>
      <c r="Q489" s="9">
        <v>100559395</v>
      </c>
      <c r="R489" s="9" t="s">
        <v>38</v>
      </c>
      <c r="S489" s="9" t="s">
        <v>39</v>
      </c>
      <c r="T489" s="11">
        <v>3</v>
      </c>
      <c r="U489" s="15" t="s">
        <v>35</v>
      </c>
      <c r="V489" s="16" t="s">
        <v>709</v>
      </c>
      <c r="W489" s="17">
        <v>100559395</v>
      </c>
      <c r="X489" s="16" t="s">
        <v>2737</v>
      </c>
      <c r="Y489" s="17" t="s">
        <v>2787</v>
      </c>
      <c r="Z489" s="17" t="s">
        <v>39</v>
      </c>
      <c r="AA489" s="17" t="s">
        <v>37</v>
      </c>
      <c r="AB489" s="29">
        <v>16.79</v>
      </c>
      <c r="AC489" s="25">
        <v>16.350000000000001</v>
      </c>
      <c r="AD489" s="25">
        <f>AC489*T489</f>
        <v>49.050000000000004</v>
      </c>
      <c r="AE489" s="25">
        <f>AB489*T489</f>
        <v>50.37</v>
      </c>
      <c r="AF489" s="25">
        <f>AD489-AE489</f>
        <v>-1.3199999999999932</v>
      </c>
      <c r="AG489" s="26">
        <f>AF489/AD489</f>
        <v>-2.6911314984709337E-2</v>
      </c>
      <c r="AH489" s="27" t="str">
        <f>IF(AG489&lt;0,"Negative",IF(AG489=0,"Same",IF(AG489&gt;0.3,"30+%",IF(AG489&gt;0.2,"20-30%",IF(AG489&gt;0.1,"10-20%",IF(AG489&lt;=0.1,"0-10%"))))))</f>
        <v>Negative</v>
      </c>
      <c r="AI489" s="32"/>
      <c r="AJ489" s="36" t="s">
        <v>3299</v>
      </c>
      <c r="AK489" s="32"/>
    </row>
    <row r="490" spans="1:37" s="1" customFormat="1" ht="19.7" customHeight="1" x14ac:dyDescent="0.25">
      <c r="A490" s="5" t="s">
        <v>22</v>
      </c>
      <c r="B490" s="5" t="s">
        <v>594</v>
      </c>
      <c r="C490" s="6">
        <v>44280</v>
      </c>
      <c r="D490" s="5" t="s">
        <v>24</v>
      </c>
      <c r="E490" s="5" t="s">
        <v>25</v>
      </c>
      <c r="F490" s="5" t="s">
        <v>26</v>
      </c>
      <c r="G490" s="5" t="s">
        <v>27</v>
      </c>
      <c r="H490" s="5" t="s">
        <v>28</v>
      </c>
      <c r="I490" s="5" t="s">
        <v>29</v>
      </c>
      <c r="J490" s="5" t="s">
        <v>30</v>
      </c>
      <c r="K490" s="5" t="s">
        <v>31</v>
      </c>
      <c r="L490" s="5" t="s">
        <v>32</v>
      </c>
      <c r="M490" s="5" t="s">
        <v>595</v>
      </c>
      <c r="N490" s="5" t="s">
        <v>583</v>
      </c>
      <c r="O490" s="5" t="s">
        <v>35</v>
      </c>
      <c r="P490" s="5" t="s">
        <v>596</v>
      </c>
      <c r="Q490" s="5">
        <v>100490953</v>
      </c>
      <c r="R490" s="5" t="s">
        <v>38</v>
      </c>
      <c r="S490" s="5" t="s">
        <v>39</v>
      </c>
      <c r="T490" s="7">
        <v>1</v>
      </c>
      <c r="U490" s="15" t="s">
        <v>35</v>
      </c>
      <c r="V490" s="16" t="s">
        <v>596</v>
      </c>
      <c r="W490" s="17">
        <v>100490953</v>
      </c>
      <c r="X490" s="16" t="s">
        <v>2737</v>
      </c>
      <c r="Y490" s="17" t="s">
        <v>2744</v>
      </c>
      <c r="Z490" s="17" t="s">
        <v>39</v>
      </c>
      <c r="AA490" s="17" t="s">
        <v>37</v>
      </c>
      <c r="AB490" s="29">
        <v>16.79</v>
      </c>
      <c r="AC490" s="25">
        <v>16.350000000000001</v>
      </c>
      <c r="AD490" s="25">
        <f>AC490*T490</f>
        <v>16.350000000000001</v>
      </c>
      <c r="AE490" s="25">
        <f>AB490*T490</f>
        <v>16.79</v>
      </c>
      <c r="AF490" s="25">
        <f>AD490-AE490</f>
        <v>-0.43999999999999773</v>
      </c>
      <c r="AG490" s="26">
        <f>AF490/AD490</f>
        <v>-2.6911314984709337E-2</v>
      </c>
      <c r="AH490" s="27" t="str">
        <f>IF(AG490&lt;0,"Negative",IF(AG490=0,"Same",IF(AG490&gt;0.3,"30+%",IF(AG490&gt;0.2,"20-30%",IF(AG490&gt;0.1,"10-20%",IF(AG490&lt;=0.1,"0-10%"))))))</f>
        <v>Negative</v>
      </c>
      <c r="AI490" s="32"/>
      <c r="AJ490" s="36" t="s">
        <v>3299</v>
      </c>
      <c r="AK490" s="32"/>
    </row>
    <row r="491" spans="1:37" s="1" customFormat="1" ht="19.7" customHeight="1" x14ac:dyDescent="0.25">
      <c r="A491" s="5" t="s">
        <v>22</v>
      </c>
      <c r="B491" s="5" t="s">
        <v>1263</v>
      </c>
      <c r="C491" s="6">
        <v>44369</v>
      </c>
      <c r="D491" s="5" t="s">
        <v>24</v>
      </c>
      <c r="E491" s="5" t="s">
        <v>25</v>
      </c>
      <c r="F491" s="5" t="s">
        <v>26</v>
      </c>
      <c r="G491" s="5" t="s">
        <v>27</v>
      </c>
      <c r="H491" s="5" t="s">
        <v>28</v>
      </c>
      <c r="I491" s="5" t="s">
        <v>29</v>
      </c>
      <c r="J491" s="5" t="s">
        <v>30</v>
      </c>
      <c r="K491" s="5" t="s">
        <v>31</v>
      </c>
      <c r="L491" s="5" t="s">
        <v>32</v>
      </c>
      <c r="M491" s="5" t="s">
        <v>1264</v>
      </c>
      <c r="N491" s="5" t="s">
        <v>1196</v>
      </c>
      <c r="O491" s="5" t="s">
        <v>35</v>
      </c>
      <c r="P491" s="5" t="s">
        <v>1265</v>
      </c>
      <c r="Q491" s="5">
        <v>100490954</v>
      </c>
      <c r="R491" s="5" t="s">
        <v>38</v>
      </c>
      <c r="S491" s="5" t="s">
        <v>39</v>
      </c>
      <c r="T491" s="7">
        <v>2</v>
      </c>
      <c r="U491" s="15" t="s">
        <v>35</v>
      </c>
      <c r="V491" s="16" t="s">
        <v>1265</v>
      </c>
      <c r="W491" s="17">
        <v>100490954</v>
      </c>
      <c r="X491" s="16" t="s">
        <v>2737</v>
      </c>
      <c r="Y491" s="17" t="s">
        <v>2978</v>
      </c>
      <c r="Z491" s="17" t="s">
        <v>39</v>
      </c>
      <c r="AA491" s="17" t="s">
        <v>37</v>
      </c>
      <c r="AB491" s="29">
        <v>15.99</v>
      </c>
      <c r="AC491" s="25">
        <v>16.350000000000001</v>
      </c>
      <c r="AD491" s="25">
        <f>AC491*T491</f>
        <v>32.700000000000003</v>
      </c>
      <c r="AE491" s="25">
        <f>AB491*T491</f>
        <v>31.98</v>
      </c>
      <c r="AF491" s="25">
        <f>AD491-AE491</f>
        <v>0.72000000000000242</v>
      </c>
      <c r="AG491" s="26">
        <f>AF491/AD491</f>
        <v>2.2018348623853282E-2</v>
      </c>
      <c r="AH491" s="27" t="str">
        <f>IF(AG491&lt;0,"Negative",IF(AG491=0,"Same",IF(AG491&gt;0.3,"30+%",IF(AG491&gt;0.2,"20-30%",IF(AG491&gt;0.1,"10-20%",IF(AG491&lt;=0.1,"0-10%"))))))</f>
        <v>0-10%</v>
      </c>
      <c r="AI491" s="32"/>
      <c r="AJ491" s="36" t="s">
        <v>3300</v>
      </c>
      <c r="AK491" s="32"/>
    </row>
    <row r="492" spans="1:37" s="1" customFormat="1" ht="19.7" customHeight="1" x14ac:dyDescent="0.25">
      <c r="A492" s="9" t="s">
        <v>22</v>
      </c>
      <c r="B492" s="9" t="s">
        <v>1126</v>
      </c>
      <c r="C492" s="10">
        <v>44343</v>
      </c>
      <c r="D492" s="9" t="s">
        <v>24</v>
      </c>
      <c r="E492" s="9" t="s">
        <v>25</v>
      </c>
      <c r="F492" s="9" t="s">
        <v>26</v>
      </c>
      <c r="G492" s="9" t="s">
        <v>27</v>
      </c>
      <c r="H492" s="9" t="s">
        <v>28</v>
      </c>
      <c r="I492" s="9" t="s">
        <v>29</v>
      </c>
      <c r="J492" s="9" t="s">
        <v>30</v>
      </c>
      <c r="K492" s="9" t="s">
        <v>31</v>
      </c>
      <c r="L492" s="9" t="s">
        <v>32</v>
      </c>
      <c r="M492" s="9" t="s">
        <v>1130</v>
      </c>
      <c r="N492" s="9" t="s">
        <v>1128</v>
      </c>
      <c r="O492" s="9" t="s">
        <v>172</v>
      </c>
      <c r="P492" s="9" t="s">
        <v>1131</v>
      </c>
      <c r="Q492" s="9">
        <v>100800588</v>
      </c>
      <c r="R492" s="9" t="s">
        <v>56</v>
      </c>
      <c r="S492" s="9" t="s">
        <v>718</v>
      </c>
      <c r="T492" s="11">
        <v>20</v>
      </c>
      <c r="U492" s="15" t="s">
        <v>172</v>
      </c>
      <c r="V492" s="16" t="s">
        <v>1131</v>
      </c>
      <c r="W492" s="17">
        <v>100800588</v>
      </c>
      <c r="X492" s="16" t="s">
        <v>2933</v>
      </c>
      <c r="Y492" s="17" t="s">
        <v>2934</v>
      </c>
      <c r="Z492" s="17" t="s">
        <v>718</v>
      </c>
      <c r="AA492" s="17" t="s">
        <v>37</v>
      </c>
      <c r="AB492" s="43">
        <v>9.51</v>
      </c>
      <c r="AC492" s="25">
        <v>9.7100000000000009</v>
      </c>
      <c r="AD492" s="25">
        <f>AC492*T492</f>
        <v>194.20000000000002</v>
      </c>
      <c r="AE492" s="25">
        <f>AB492*T492</f>
        <v>190.2</v>
      </c>
      <c r="AF492" s="25">
        <f>AD492-AE492</f>
        <v>4.0000000000000284</v>
      </c>
      <c r="AG492" s="26">
        <f>AF492/AD492</f>
        <v>2.0597322348094891E-2</v>
      </c>
      <c r="AH492" s="27" t="str">
        <f>IF(AG492&lt;0,"Negative",IF(AG492=0,"Same",IF(AG492&gt;0.3,"30+%",IF(AG492&gt;0.2,"20-30%",IF(AG492&gt;0.1,"10-20%",IF(AG492&lt;=0.1,"0-10%"))))))</f>
        <v>0-10%</v>
      </c>
      <c r="AI492" s="32"/>
      <c r="AJ492" s="36" t="s">
        <v>3300</v>
      </c>
      <c r="AK492" s="32"/>
    </row>
    <row r="493" spans="1:37" s="1" customFormat="1" ht="19.7" customHeight="1" x14ac:dyDescent="0.25">
      <c r="A493" s="5" t="s">
        <v>22</v>
      </c>
      <c r="B493" s="5" t="s">
        <v>1757</v>
      </c>
      <c r="C493" s="6">
        <v>44454</v>
      </c>
      <c r="D493" s="5" t="s">
        <v>24</v>
      </c>
      <c r="E493" s="5" t="s">
        <v>25</v>
      </c>
      <c r="F493" s="5" t="s">
        <v>26</v>
      </c>
      <c r="G493" s="5" t="s">
        <v>27</v>
      </c>
      <c r="H493" s="5" t="s">
        <v>28</v>
      </c>
      <c r="I493" s="5" t="s">
        <v>29</v>
      </c>
      <c r="J493" s="5" t="s">
        <v>30</v>
      </c>
      <c r="K493" s="5" t="s">
        <v>31</v>
      </c>
      <c r="L493" s="5" t="s">
        <v>32</v>
      </c>
      <c r="M493" s="5" t="s">
        <v>1160</v>
      </c>
      <c r="N493" s="5" t="s">
        <v>1758</v>
      </c>
      <c r="O493" s="5" t="s">
        <v>89</v>
      </c>
      <c r="P493" s="5" t="s">
        <v>1162</v>
      </c>
      <c r="Q493" s="5">
        <v>100747092</v>
      </c>
      <c r="R493" s="5" t="s">
        <v>45</v>
      </c>
      <c r="S493" s="5" t="s">
        <v>39</v>
      </c>
      <c r="T493" s="7">
        <v>1</v>
      </c>
      <c r="U493" s="15" t="s">
        <v>89</v>
      </c>
      <c r="V493" s="16" t="s">
        <v>1162</v>
      </c>
      <c r="W493" s="17">
        <v>100747092</v>
      </c>
      <c r="X493" s="16" t="s">
        <v>2520</v>
      </c>
      <c r="Y493" s="17" t="s">
        <v>2944</v>
      </c>
      <c r="Z493" s="17" t="s">
        <v>39</v>
      </c>
      <c r="AA493" s="17" t="s">
        <v>37</v>
      </c>
      <c r="AB493" s="43">
        <v>7.23</v>
      </c>
      <c r="AC493" s="25">
        <v>8.48</v>
      </c>
      <c r="AD493" s="25">
        <f>AC493*T493</f>
        <v>8.48</v>
      </c>
      <c r="AE493" s="25">
        <f>AB493*T493</f>
        <v>7.23</v>
      </c>
      <c r="AF493" s="25">
        <f>AD493-AE493</f>
        <v>1.25</v>
      </c>
      <c r="AG493" s="26">
        <f>AF493/AD493</f>
        <v>0.14740566037735847</v>
      </c>
      <c r="AH493" s="27" t="str">
        <f>IF(AG493&lt;0,"Negative",IF(AG493=0,"Same",IF(AG493&gt;0.3,"30+%",IF(AG493&gt;0.2,"20-30%",IF(AG493&gt;0.1,"10-20%",IF(AG493&lt;=0.1,"0-10%"))))))</f>
        <v>10-20%</v>
      </c>
      <c r="AI493" s="32"/>
      <c r="AJ493" s="36" t="s">
        <v>3300</v>
      </c>
      <c r="AK493" s="32"/>
    </row>
    <row r="494" spans="1:37" s="1" customFormat="1" ht="19.7" customHeight="1" x14ac:dyDescent="0.25">
      <c r="A494" s="5" t="s">
        <v>22</v>
      </c>
      <c r="B494" s="5" t="s">
        <v>1976</v>
      </c>
      <c r="C494" s="6">
        <v>44494</v>
      </c>
      <c r="D494" s="5" t="s">
        <v>24</v>
      </c>
      <c r="E494" s="5" t="s">
        <v>25</v>
      </c>
      <c r="F494" s="5" t="s">
        <v>26</v>
      </c>
      <c r="G494" s="5" t="s">
        <v>27</v>
      </c>
      <c r="H494" s="5" t="s">
        <v>28</v>
      </c>
      <c r="I494" s="5" t="s">
        <v>29</v>
      </c>
      <c r="J494" s="5" t="s">
        <v>30</v>
      </c>
      <c r="K494" s="5" t="s">
        <v>31</v>
      </c>
      <c r="L494" s="5" t="s">
        <v>32</v>
      </c>
      <c r="M494" s="5" t="s">
        <v>1160</v>
      </c>
      <c r="N494" s="5" t="s">
        <v>1977</v>
      </c>
      <c r="O494" s="5" t="s">
        <v>89</v>
      </c>
      <c r="P494" s="5" t="s">
        <v>1162</v>
      </c>
      <c r="Q494" s="5">
        <v>100747092</v>
      </c>
      <c r="R494" s="5" t="s">
        <v>45</v>
      </c>
      <c r="S494" s="5" t="s">
        <v>39</v>
      </c>
      <c r="T494" s="7">
        <v>1</v>
      </c>
      <c r="U494" s="15" t="s">
        <v>89</v>
      </c>
      <c r="V494" s="16" t="s">
        <v>1162</v>
      </c>
      <c r="W494" s="17">
        <v>100747092</v>
      </c>
      <c r="X494" s="16" t="s">
        <v>2520</v>
      </c>
      <c r="Y494" s="17" t="s">
        <v>2944</v>
      </c>
      <c r="Z494" s="17" t="s">
        <v>39</v>
      </c>
      <c r="AA494" s="17" t="s">
        <v>37</v>
      </c>
      <c r="AB494" s="43">
        <v>7.23</v>
      </c>
      <c r="AC494" s="25">
        <v>8.48</v>
      </c>
      <c r="AD494" s="25">
        <f>AC494*T494</f>
        <v>8.48</v>
      </c>
      <c r="AE494" s="25">
        <f>AB494*T494</f>
        <v>7.23</v>
      </c>
      <c r="AF494" s="25">
        <f>AD494-AE494</f>
        <v>1.25</v>
      </c>
      <c r="AG494" s="26">
        <f>AF494/AD494</f>
        <v>0.14740566037735847</v>
      </c>
      <c r="AH494" s="27" t="str">
        <f>IF(AG494&lt;0,"Negative",IF(AG494=0,"Same",IF(AG494&gt;0.3,"30+%",IF(AG494&gt;0.2,"20-30%",IF(AG494&gt;0.1,"10-20%",IF(AG494&lt;=0.1,"0-10%"))))))</f>
        <v>10-20%</v>
      </c>
      <c r="AI494" s="32"/>
      <c r="AJ494" s="36" t="s">
        <v>3300</v>
      </c>
      <c r="AK494" s="32"/>
    </row>
    <row r="495" spans="1:37" s="1" customFormat="1" ht="19.7" customHeight="1" x14ac:dyDescent="0.25">
      <c r="A495" s="5" t="s">
        <v>22</v>
      </c>
      <c r="B495" s="5" t="s">
        <v>1159</v>
      </c>
      <c r="C495" s="6">
        <v>44350</v>
      </c>
      <c r="D495" s="5" t="s">
        <v>24</v>
      </c>
      <c r="E495" s="5" t="s">
        <v>25</v>
      </c>
      <c r="F495" s="5" t="s">
        <v>26</v>
      </c>
      <c r="G495" s="5" t="s">
        <v>27</v>
      </c>
      <c r="H495" s="5" t="s">
        <v>28</v>
      </c>
      <c r="I495" s="5" t="s">
        <v>29</v>
      </c>
      <c r="J495" s="5" t="s">
        <v>30</v>
      </c>
      <c r="K495" s="5" t="s">
        <v>31</v>
      </c>
      <c r="L495" s="5" t="s">
        <v>32</v>
      </c>
      <c r="M495" s="5" t="s">
        <v>1160</v>
      </c>
      <c r="N495" s="5" t="s">
        <v>1161</v>
      </c>
      <c r="O495" s="5" t="s">
        <v>89</v>
      </c>
      <c r="P495" s="5" t="s">
        <v>1162</v>
      </c>
      <c r="Q495" s="5">
        <v>100747092</v>
      </c>
      <c r="R495" s="5" t="s">
        <v>45</v>
      </c>
      <c r="S495" s="5" t="s">
        <v>39</v>
      </c>
      <c r="T495" s="7">
        <v>1</v>
      </c>
      <c r="U495" s="15" t="s">
        <v>89</v>
      </c>
      <c r="V495" s="16" t="s">
        <v>1162</v>
      </c>
      <c r="W495" s="17">
        <v>100747092</v>
      </c>
      <c r="X495" s="16" t="s">
        <v>2520</v>
      </c>
      <c r="Y495" s="17" t="s">
        <v>2944</v>
      </c>
      <c r="Z495" s="17" t="s">
        <v>39</v>
      </c>
      <c r="AA495" s="17" t="s">
        <v>37</v>
      </c>
      <c r="AB495" s="43">
        <v>7.23</v>
      </c>
      <c r="AC495" s="25">
        <v>8.48</v>
      </c>
      <c r="AD495" s="25">
        <f>AC495*T495</f>
        <v>8.48</v>
      </c>
      <c r="AE495" s="25">
        <f>AB495*T495</f>
        <v>7.23</v>
      </c>
      <c r="AF495" s="25">
        <f>AD495-AE495</f>
        <v>1.25</v>
      </c>
      <c r="AG495" s="26">
        <f>AF495/AD495</f>
        <v>0.14740566037735847</v>
      </c>
      <c r="AH495" s="27" t="str">
        <f>IF(AG495&lt;0,"Negative",IF(AG495=0,"Same",IF(AG495&gt;0.3,"30+%",IF(AG495&gt;0.2,"20-30%",IF(AG495&gt;0.1,"10-20%",IF(AG495&lt;=0.1,"0-10%"))))))</f>
        <v>10-20%</v>
      </c>
      <c r="AI495" s="32"/>
      <c r="AJ495" s="36" t="s">
        <v>3300</v>
      </c>
      <c r="AK495" s="32"/>
    </row>
    <row r="496" spans="1:37" s="1" customFormat="1" ht="19.7" customHeight="1" x14ac:dyDescent="0.25">
      <c r="A496" s="9" t="s">
        <v>22</v>
      </c>
      <c r="B496" s="9" t="s">
        <v>2057</v>
      </c>
      <c r="C496" s="10">
        <v>44509</v>
      </c>
      <c r="D496" s="9" t="s">
        <v>24</v>
      </c>
      <c r="E496" s="9" t="s">
        <v>25</v>
      </c>
      <c r="F496" s="9" t="s">
        <v>26</v>
      </c>
      <c r="G496" s="9" t="s">
        <v>27</v>
      </c>
      <c r="H496" s="9" t="s">
        <v>28</v>
      </c>
      <c r="I496" s="9" t="s">
        <v>29</v>
      </c>
      <c r="J496" s="9" t="s">
        <v>30</v>
      </c>
      <c r="K496" s="9" t="s">
        <v>31</v>
      </c>
      <c r="L496" s="9" t="s">
        <v>32</v>
      </c>
      <c r="M496" s="9" t="s">
        <v>849</v>
      </c>
      <c r="N496" s="9" t="s">
        <v>791</v>
      </c>
      <c r="O496" s="9" t="s">
        <v>329</v>
      </c>
      <c r="P496" s="9" t="s">
        <v>850</v>
      </c>
      <c r="Q496" s="9">
        <v>101108341</v>
      </c>
      <c r="R496" s="9" t="s">
        <v>61</v>
      </c>
      <c r="S496" s="9" t="s">
        <v>39</v>
      </c>
      <c r="T496" s="11">
        <v>4</v>
      </c>
      <c r="U496" s="15" t="s">
        <v>329</v>
      </c>
      <c r="V496" s="16" t="s">
        <v>850</v>
      </c>
      <c r="W496" s="17">
        <v>101108341</v>
      </c>
      <c r="X496" s="16" t="s">
        <v>2540</v>
      </c>
      <c r="Y496" s="17" t="s">
        <v>2839</v>
      </c>
      <c r="Z496" s="17" t="s">
        <v>39</v>
      </c>
      <c r="AA496" s="17" t="s">
        <v>37</v>
      </c>
      <c r="AB496" s="29">
        <v>18.62</v>
      </c>
      <c r="AC496" s="25">
        <v>19.87</v>
      </c>
      <c r="AD496" s="31">
        <f>AC496*T496</f>
        <v>79.48</v>
      </c>
      <c r="AE496" s="25">
        <f>AB496*T496</f>
        <v>74.48</v>
      </c>
      <c r="AF496" s="25">
        <f>AD496-AE496</f>
        <v>5</v>
      </c>
      <c r="AG496" s="26">
        <f>AF496/AD496</f>
        <v>6.2908907901358835E-2</v>
      </c>
      <c r="AH496" s="27" t="str">
        <f>IF(AG496&lt;0,"Negative",IF(AG496=0,"Same",IF(AG496&gt;0.3,"30+%",IF(AG496&gt;0.2,"20-30%",IF(AG496&gt;0.1,"10-20%",IF(AG496&lt;=0.1,"0-10%"))))))</f>
        <v>0-10%</v>
      </c>
      <c r="AI496" s="32"/>
      <c r="AJ496" s="36" t="s">
        <v>3300</v>
      </c>
      <c r="AK496" s="32"/>
    </row>
    <row r="497" spans="1:37" s="1" customFormat="1" ht="19.7" customHeight="1" x14ac:dyDescent="0.25">
      <c r="A497" s="5" t="s">
        <v>22</v>
      </c>
      <c r="B497" s="5" t="s">
        <v>848</v>
      </c>
      <c r="C497" s="6">
        <v>44308</v>
      </c>
      <c r="D497" s="5" t="s">
        <v>24</v>
      </c>
      <c r="E497" s="5" t="s">
        <v>25</v>
      </c>
      <c r="F497" s="5" t="s">
        <v>26</v>
      </c>
      <c r="G497" s="5" t="s">
        <v>27</v>
      </c>
      <c r="H497" s="5" t="s">
        <v>28</v>
      </c>
      <c r="I497" s="5" t="s">
        <v>29</v>
      </c>
      <c r="J497" s="5" t="s">
        <v>30</v>
      </c>
      <c r="K497" s="5" t="s">
        <v>31</v>
      </c>
      <c r="L497" s="5" t="s">
        <v>32</v>
      </c>
      <c r="M497" s="5" t="s">
        <v>849</v>
      </c>
      <c r="N497" s="5" t="s">
        <v>791</v>
      </c>
      <c r="O497" s="5" t="s">
        <v>329</v>
      </c>
      <c r="P497" s="5" t="s">
        <v>850</v>
      </c>
      <c r="Q497" s="5">
        <v>101108341</v>
      </c>
      <c r="R497" s="5" t="s">
        <v>61</v>
      </c>
      <c r="S497" s="5" t="s">
        <v>39</v>
      </c>
      <c r="T497" s="7">
        <v>11</v>
      </c>
      <c r="U497" s="15" t="s">
        <v>329</v>
      </c>
      <c r="V497" s="16" t="s">
        <v>850</v>
      </c>
      <c r="W497" s="17">
        <v>101108341</v>
      </c>
      <c r="X497" s="16" t="s">
        <v>2540</v>
      </c>
      <c r="Y497" s="17" t="s">
        <v>2839</v>
      </c>
      <c r="Z497" s="17" t="s">
        <v>39</v>
      </c>
      <c r="AA497" s="17" t="s">
        <v>37</v>
      </c>
      <c r="AB497" s="29">
        <v>18.62</v>
      </c>
      <c r="AC497" s="25">
        <v>19.87</v>
      </c>
      <c r="AD497" s="25">
        <f>AC497*T497</f>
        <v>218.57000000000002</v>
      </c>
      <c r="AE497" s="25">
        <f>AB497*T497</f>
        <v>204.82000000000002</v>
      </c>
      <c r="AF497" s="25">
        <f>AD497-AE497</f>
        <v>13.75</v>
      </c>
      <c r="AG497" s="26">
        <f>AF497/AD497</f>
        <v>6.2908907901358821E-2</v>
      </c>
      <c r="AH497" s="27" t="str">
        <f>IF(AG497&lt;0,"Negative",IF(AG497=0,"Same",IF(AG497&gt;0.3,"30+%",IF(AG497&gt;0.2,"20-30%",IF(AG497&gt;0.1,"10-20%",IF(AG497&lt;=0.1,"0-10%"))))))</f>
        <v>0-10%</v>
      </c>
      <c r="AI497" s="32"/>
      <c r="AJ497" s="36" t="s">
        <v>3300</v>
      </c>
      <c r="AK497" s="32"/>
    </row>
    <row r="498" spans="1:37" s="1" customFormat="1" ht="19.7" customHeight="1" x14ac:dyDescent="0.25">
      <c r="A498" s="9" t="s">
        <v>22</v>
      </c>
      <c r="B498" s="9" t="s">
        <v>865</v>
      </c>
      <c r="C498" s="10">
        <v>44314</v>
      </c>
      <c r="D498" s="9" t="s">
        <v>24</v>
      </c>
      <c r="E498" s="9" t="s">
        <v>25</v>
      </c>
      <c r="F498" s="9" t="s">
        <v>26</v>
      </c>
      <c r="G498" s="9" t="s">
        <v>27</v>
      </c>
      <c r="H498" s="9" t="s">
        <v>28</v>
      </c>
      <c r="I498" s="9" t="s">
        <v>29</v>
      </c>
      <c r="J498" s="9" t="s">
        <v>30</v>
      </c>
      <c r="K498" s="9" t="s">
        <v>31</v>
      </c>
      <c r="L498" s="9" t="s">
        <v>32</v>
      </c>
      <c r="M498" s="9" t="s">
        <v>866</v>
      </c>
      <c r="N498" s="9" t="s">
        <v>776</v>
      </c>
      <c r="O498" s="9" t="s">
        <v>867</v>
      </c>
      <c r="P498" s="9" t="s">
        <v>868</v>
      </c>
      <c r="Q498" s="9">
        <v>105254194</v>
      </c>
      <c r="R498" s="9" t="s">
        <v>216</v>
      </c>
      <c r="S498" s="9" t="s">
        <v>39</v>
      </c>
      <c r="T498" s="11">
        <v>1</v>
      </c>
      <c r="U498" s="15" t="s">
        <v>867</v>
      </c>
      <c r="V498" s="16" t="s">
        <v>868</v>
      </c>
      <c r="W498" s="17">
        <v>105254194</v>
      </c>
      <c r="X498" s="16" t="s">
        <v>2728</v>
      </c>
      <c r="Y498" s="17" t="s">
        <v>2844</v>
      </c>
      <c r="Z498" s="17" t="s">
        <v>39</v>
      </c>
      <c r="AA498" s="17" t="s">
        <v>2501</v>
      </c>
      <c r="AB498" s="29">
        <v>402.69</v>
      </c>
      <c r="AC498" s="25">
        <v>386.1</v>
      </c>
      <c r="AD498" s="30">
        <f>AC498*T498</f>
        <v>386.1</v>
      </c>
      <c r="AE498" s="25">
        <f>AB498*T498</f>
        <v>402.69</v>
      </c>
      <c r="AF498" s="25">
        <f>AD498-AE498</f>
        <v>-16.589999999999975</v>
      </c>
      <c r="AG498" s="26">
        <f>AF498/AD498</f>
        <v>-4.29681429681429E-2</v>
      </c>
      <c r="AH498" s="27" t="str">
        <f>IF(AG498&lt;0,"Negative",IF(AG498=0,"Same",IF(AG498&gt;0.3,"30+%",IF(AG498&gt;0.2,"20-30%",IF(AG498&gt;0.1,"10-20%",IF(AG498&lt;=0.1,"0-10%"))))))</f>
        <v>Negative</v>
      </c>
      <c r="AI498" s="32"/>
      <c r="AJ498" s="36" t="s">
        <v>3300</v>
      </c>
      <c r="AK498" s="32"/>
    </row>
    <row r="499" spans="1:37" s="1" customFormat="1" ht="19.7" customHeight="1" x14ac:dyDescent="0.25">
      <c r="A499" s="9" t="s">
        <v>22</v>
      </c>
      <c r="B499" s="9" t="s">
        <v>1619</v>
      </c>
      <c r="C499" s="10">
        <v>44426</v>
      </c>
      <c r="D499" s="9" t="s">
        <v>24</v>
      </c>
      <c r="E499" s="9" t="s">
        <v>25</v>
      </c>
      <c r="F499" s="9" t="s">
        <v>26</v>
      </c>
      <c r="G499" s="9" t="s">
        <v>67</v>
      </c>
      <c r="H499" s="9" t="s">
        <v>68</v>
      </c>
      <c r="I499" s="9" t="s">
        <v>29</v>
      </c>
      <c r="J499" s="9" t="s">
        <v>30</v>
      </c>
      <c r="K499" s="9" t="s">
        <v>31</v>
      </c>
      <c r="L499" s="9" t="s">
        <v>32</v>
      </c>
      <c r="M499" s="9" t="s">
        <v>1623</v>
      </c>
      <c r="N499" s="9" t="s">
        <v>1620</v>
      </c>
      <c r="O499" s="9" t="s">
        <v>1624</v>
      </c>
      <c r="P499" s="9" t="s">
        <v>1625</v>
      </c>
      <c r="Q499" s="9">
        <v>102844229</v>
      </c>
      <c r="R499" s="9" t="s">
        <v>38</v>
      </c>
      <c r="S499" s="9" t="s">
        <v>39</v>
      </c>
      <c r="T499" s="11">
        <v>1</v>
      </c>
      <c r="U499" s="15" t="s">
        <v>1624</v>
      </c>
      <c r="V499" s="16" t="s">
        <v>1625</v>
      </c>
      <c r="W499" s="17">
        <v>102844229</v>
      </c>
      <c r="X499" s="16" t="s">
        <v>3093</v>
      </c>
      <c r="Y499" s="17" t="s">
        <v>3095</v>
      </c>
      <c r="Z499" s="17" t="s">
        <v>39</v>
      </c>
      <c r="AA499" s="17" t="s">
        <v>2501</v>
      </c>
      <c r="AB499" s="29">
        <v>30.62</v>
      </c>
      <c r="AC499" s="25">
        <v>31.32</v>
      </c>
      <c r="AD499" s="25">
        <f>AC499*T499</f>
        <v>31.32</v>
      </c>
      <c r="AE499" s="25">
        <f>AB499*T499</f>
        <v>30.62</v>
      </c>
      <c r="AF499" s="25">
        <f>AD499-AE499</f>
        <v>0.69999999999999929</v>
      </c>
      <c r="AG499" s="26">
        <f>AF499/AD499</f>
        <v>2.2349936143039567E-2</v>
      </c>
      <c r="AH499" s="27" t="str">
        <f>IF(AG499&lt;0,"Negative",IF(AG499=0,"Same",IF(AG499&gt;0.3,"30+%",IF(AG499&gt;0.2,"20-30%",IF(AG499&gt;0.1,"10-20%",IF(AG499&lt;=0.1,"0-10%"))))))</f>
        <v>0-10%</v>
      </c>
      <c r="AI499" s="32"/>
      <c r="AJ499" s="36" t="s">
        <v>3300</v>
      </c>
      <c r="AK499" s="32"/>
    </row>
    <row r="500" spans="1:37" s="1" customFormat="1" ht="19.7" customHeight="1" x14ac:dyDescent="0.25">
      <c r="A500" s="9" t="s">
        <v>22</v>
      </c>
      <c r="B500" s="9" t="s">
        <v>1368</v>
      </c>
      <c r="C500" s="10">
        <v>44384</v>
      </c>
      <c r="D500" s="9" t="s">
        <v>24</v>
      </c>
      <c r="E500" s="9" t="s">
        <v>25</v>
      </c>
      <c r="F500" s="9" t="s">
        <v>26</v>
      </c>
      <c r="G500" s="9" t="s">
        <v>27</v>
      </c>
      <c r="H500" s="9" t="s">
        <v>28</v>
      </c>
      <c r="I500" s="9" t="s">
        <v>29</v>
      </c>
      <c r="J500" s="9" t="s">
        <v>30</v>
      </c>
      <c r="K500" s="9" t="s">
        <v>31</v>
      </c>
      <c r="L500" s="9" t="s">
        <v>32</v>
      </c>
      <c r="M500" s="9" t="s">
        <v>1369</v>
      </c>
      <c r="N500" s="9" t="s">
        <v>1365</v>
      </c>
      <c r="O500" s="9" t="s">
        <v>1370</v>
      </c>
      <c r="P500" s="9" t="s">
        <v>1371</v>
      </c>
      <c r="Q500" s="9">
        <v>102425812</v>
      </c>
      <c r="R500" s="9" t="s">
        <v>45</v>
      </c>
      <c r="S500" s="9" t="s">
        <v>39</v>
      </c>
      <c r="T500" s="11">
        <v>1</v>
      </c>
      <c r="U500" s="15" t="s">
        <v>1370</v>
      </c>
      <c r="V500" s="16" t="s">
        <v>1371</v>
      </c>
      <c r="W500" s="17">
        <v>102425812</v>
      </c>
      <c r="X500" s="16" t="s">
        <v>2518</v>
      </c>
      <c r="Y500" s="17" t="s">
        <v>3017</v>
      </c>
      <c r="Z500" s="17" t="s">
        <v>39</v>
      </c>
      <c r="AA500" s="17" t="s">
        <v>37</v>
      </c>
      <c r="AB500" s="29">
        <v>9.6300000000000008</v>
      </c>
      <c r="AC500" s="25">
        <v>11.29</v>
      </c>
      <c r="AD500" s="25">
        <f>AC500*T500</f>
        <v>11.29</v>
      </c>
      <c r="AE500" s="25">
        <f>AB500*T500</f>
        <v>9.6300000000000008</v>
      </c>
      <c r="AF500" s="25">
        <f>AD500-AE500</f>
        <v>1.6599999999999984</v>
      </c>
      <c r="AG500" s="26">
        <f>AF500/AD500</f>
        <v>0.14703277236492457</v>
      </c>
      <c r="AH500" s="27" t="str">
        <f>IF(AG500&lt;0,"Negative",IF(AG500=0,"Same",IF(AG500&gt;0.3,"30+%",IF(AG500&gt;0.2,"20-30%",IF(AG500&gt;0.1,"10-20%",IF(AG500&lt;=0.1,"0-10%"))))))</f>
        <v>10-20%</v>
      </c>
      <c r="AI500" s="32"/>
      <c r="AJ500" s="36" t="s">
        <v>3300</v>
      </c>
      <c r="AK500" s="32"/>
    </row>
    <row r="501" spans="1:37" s="1" customFormat="1" ht="19.7" customHeight="1" x14ac:dyDescent="0.25">
      <c r="A501" s="9" t="s">
        <v>22</v>
      </c>
      <c r="B501" s="9" t="s">
        <v>1348</v>
      </c>
      <c r="C501" s="10">
        <v>44379</v>
      </c>
      <c r="D501" s="9" t="s">
        <v>24</v>
      </c>
      <c r="E501" s="9" t="s">
        <v>25</v>
      </c>
      <c r="F501" s="9" t="s">
        <v>26</v>
      </c>
      <c r="G501" s="9" t="s">
        <v>27</v>
      </c>
      <c r="H501" s="9" t="s">
        <v>28</v>
      </c>
      <c r="I501" s="9" t="s">
        <v>29</v>
      </c>
      <c r="J501" s="9" t="s">
        <v>30</v>
      </c>
      <c r="K501" s="9" t="s">
        <v>31</v>
      </c>
      <c r="L501" s="9" t="s">
        <v>32</v>
      </c>
      <c r="M501" s="9" t="s">
        <v>1349</v>
      </c>
      <c r="N501" s="9" t="s">
        <v>1350</v>
      </c>
      <c r="O501" s="9" t="s">
        <v>169</v>
      </c>
      <c r="P501" s="9" t="s">
        <v>1351</v>
      </c>
      <c r="Q501" s="9">
        <v>100772641</v>
      </c>
      <c r="R501" s="9" t="s">
        <v>56</v>
      </c>
      <c r="S501" s="9" t="s">
        <v>39</v>
      </c>
      <c r="T501" s="11">
        <v>6</v>
      </c>
      <c r="U501" s="15" t="s">
        <v>169</v>
      </c>
      <c r="V501" s="16" t="s">
        <v>1351</v>
      </c>
      <c r="W501" s="17">
        <v>100772641</v>
      </c>
      <c r="X501" s="16" t="s">
        <v>2812</v>
      </c>
      <c r="Y501" s="17" t="s">
        <v>3008</v>
      </c>
      <c r="Z501" s="17" t="s">
        <v>39</v>
      </c>
      <c r="AA501" s="17" t="s">
        <v>37</v>
      </c>
      <c r="AB501" s="43">
        <v>29.24</v>
      </c>
      <c r="AC501" s="25">
        <v>31.41</v>
      </c>
      <c r="AD501" s="25">
        <f>AC501*T501</f>
        <v>188.46</v>
      </c>
      <c r="AE501" s="25">
        <f>AB501*T501</f>
        <v>175.44</v>
      </c>
      <c r="AF501" s="25">
        <f>AD501-AE501</f>
        <v>13.02000000000001</v>
      </c>
      <c r="AG501" s="26">
        <f>AF501/AD501</f>
        <v>6.9086278255332742E-2</v>
      </c>
      <c r="AH501" s="27" t="str">
        <f>IF(AG501&lt;0,"Negative",IF(AG501=0,"Same",IF(AG501&gt;0.3,"30+%",IF(AG501&gt;0.2,"20-30%",IF(AG501&gt;0.1,"10-20%",IF(AG501&lt;=0.1,"0-10%"))))))</f>
        <v>0-10%</v>
      </c>
      <c r="AI501" s="32"/>
      <c r="AJ501" s="36" t="s">
        <v>3299</v>
      </c>
      <c r="AK501" s="32"/>
    </row>
    <row r="502" spans="1:37" s="1" customFormat="1" ht="19.7" customHeight="1" x14ac:dyDescent="0.25">
      <c r="A502" s="5" t="s">
        <v>22</v>
      </c>
      <c r="B502" s="5" t="s">
        <v>419</v>
      </c>
      <c r="C502" s="6">
        <v>44260</v>
      </c>
      <c r="D502" s="5" t="s">
        <v>24</v>
      </c>
      <c r="E502" s="5" t="s">
        <v>25</v>
      </c>
      <c r="F502" s="5" t="s">
        <v>26</v>
      </c>
      <c r="G502" s="5" t="s">
        <v>27</v>
      </c>
      <c r="H502" s="5" t="s">
        <v>28</v>
      </c>
      <c r="I502" s="5" t="s">
        <v>29</v>
      </c>
      <c r="J502" s="5" t="s">
        <v>30</v>
      </c>
      <c r="K502" s="5" t="s">
        <v>31</v>
      </c>
      <c r="L502" s="5" t="s">
        <v>32</v>
      </c>
      <c r="M502" s="5" t="s">
        <v>420</v>
      </c>
      <c r="N502" s="5" t="s">
        <v>421</v>
      </c>
      <c r="O502" s="5" t="s">
        <v>422</v>
      </c>
      <c r="P502" s="5" t="s">
        <v>423</v>
      </c>
      <c r="Q502" s="5">
        <v>104862834</v>
      </c>
      <c r="R502" s="5" t="s">
        <v>38</v>
      </c>
      <c r="S502" s="5" t="s">
        <v>39</v>
      </c>
      <c r="T502" s="7">
        <v>1</v>
      </c>
      <c r="U502" s="15" t="s">
        <v>422</v>
      </c>
      <c r="V502" s="16" t="s">
        <v>423</v>
      </c>
      <c r="W502" s="17">
        <v>104862834</v>
      </c>
      <c r="X502" s="16" t="s">
        <v>2585</v>
      </c>
      <c r="Y502" s="17" t="s">
        <v>2666</v>
      </c>
      <c r="Z502" s="17" t="s">
        <v>39</v>
      </c>
      <c r="AA502" s="17" t="s">
        <v>2501</v>
      </c>
      <c r="AB502" s="29">
        <v>228.62</v>
      </c>
      <c r="AC502" s="25">
        <v>233.8</v>
      </c>
      <c r="AD502" s="25">
        <f>AC502*T502</f>
        <v>233.8</v>
      </c>
      <c r="AE502" s="25">
        <f>AB502*T502</f>
        <v>228.62</v>
      </c>
      <c r="AF502" s="25">
        <f>AD502-AE502</f>
        <v>5.1800000000000068</v>
      </c>
      <c r="AG502" s="26">
        <f>AF502/AD502</f>
        <v>2.2155688622754518E-2</v>
      </c>
      <c r="AH502" s="27" t="str">
        <f>IF(AG502&lt;0,"Negative",IF(AG502=0,"Same",IF(AG502&gt;0.3,"30+%",IF(AG502&gt;0.2,"20-30%",IF(AG502&gt;0.1,"10-20%",IF(AG502&lt;=0.1,"0-10%"))))))</f>
        <v>0-10%</v>
      </c>
      <c r="AI502" s="32"/>
      <c r="AJ502" s="36" t="s">
        <v>3300</v>
      </c>
      <c r="AK502" s="32"/>
    </row>
    <row r="503" spans="1:37" s="1" customFormat="1" ht="19.7" customHeight="1" x14ac:dyDescent="0.25">
      <c r="A503" s="9" t="s">
        <v>22</v>
      </c>
      <c r="B503" s="9" t="s">
        <v>166</v>
      </c>
      <c r="C503" s="10">
        <v>44238</v>
      </c>
      <c r="D503" s="9" t="s">
        <v>24</v>
      </c>
      <c r="E503" s="9" t="s">
        <v>25</v>
      </c>
      <c r="F503" s="9" t="s">
        <v>26</v>
      </c>
      <c r="G503" s="9" t="s">
        <v>27</v>
      </c>
      <c r="H503" s="9" t="s">
        <v>28</v>
      </c>
      <c r="I503" s="9" t="s">
        <v>29</v>
      </c>
      <c r="J503" s="9" t="s">
        <v>30</v>
      </c>
      <c r="K503" s="9" t="s">
        <v>31</v>
      </c>
      <c r="L503" s="9" t="s">
        <v>32</v>
      </c>
      <c r="M503" s="9" t="s">
        <v>174</v>
      </c>
      <c r="N503" s="9" t="s">
        <v>168</v>
      </c>
      <c r="O503" s="9" t="s">
        <v>175</v>
      </c>
      <c r="P503" s="9" t="s">
        <v>176</v>
      </c>
      <c r="Q503" s="9">
        <v>102195231</v>
      </c>
      <c r="R503" s="9" t="s">
        <v>61</v>
      </c>
      <c r="S503" s="9" t="s">
        <v>39</v>
      </c>
      <c r="T503" s="11">
        <v>2</v>
      </c>
      <c r="U503" s="15" t="s">
        <v>175</v>
      </c>
      <c r="V503" s="16" t="s">
        <v>176</v>
      </c>
      <c r="W503" s="17">
        <v>102195231</v>
      </c>
      <c r="X503" s="16" t="s">
        <v>2559</v>
      </c>
      <c r="Y503" s="17" t="s">
        <v>2560</v>
      </c>
      <c r="Z503" s="17" t="s">
        <v>39</v>
      </c>
      <c r="AA503" s="17" t="s">
        <v>37</v>
      </c>
      <c r="AB503" s="29">
        <v>12.2</v>
      </c>
      <c r="AC503" s="25">
        <v>13.96</v>
      </c>
      <c r="AD503" s="25">
        <f>AC503*T503</f>
        <v>27.92</v>
      </c>
      <c r="AE503" s="25">
        <f>AB503*T503</f>
        <v>24.4</v>
      </c>
      <c r="AF503" s="25">
        <f>AD503-AE503</f>
        <v>3.5200000000000031</v>
      </c>
      <c r="AG503" s="26">
        <f>AF503/AD503</f>
        <v>0.12607449856733535</v>
      </c>
      <c r="AH503" s="27" t="str">
        <f>IF(AG503&lt;0,"Negative",IF(AG503=0,"Same",IF(AG503&gt;0.3,"30+%",IF(AG503&gt;0.2,"20-30%",IF(AG503&gt;0.1,"10-20%",IF(AG503&lt;=0.1,"0-10%"))))))</f>
        <v>10-20%</v>
      </c>
      <c r="AI503" s="32"/>
      <c r="AJ503" s="36" t="s">
        <v>3299</v>
      </c>
      <c r="AK503" s="32"/>
    </row>
    <row r="504" spans="1:37" s="1" customFormat="1" ht="19.7" customHeight="1" x14ac:dyDescent="0.25">
      <c r="A504" s="9" t="s">
        <v>22</v>
      </c>
      <c r="B504" s="9" t="s">
        <v>2299</v>
      </c>
      <c r="C504" s="10">
        <v>44565</v>
      </c>
      <c r="D504" s="9" t="s">
        <v>24</v>
      </c>
      <c r="E504" s="9" t="s">
        <v>25</v>
      </c>
      <c r="F504" s="9" t="s">
        <v>26</v>
      </c>
      <c r="G504" s="9" t="s">
        <v>27</v>
      </c>
      <c r="H504" s="9" t="s">
        <v>28</v>
      </c>
      <c r="I504" s="9" t="s">
        <v>29</v>
      </c>
      <c r="J504" s="9" t="s">
        <v>30</v>
      </c>
      <c r="K504" s="9" t="s">
        <v>31</v>
      </c>
      <c r="L504" s="9" t="s">
        <v>32</v>
      </c>
      <c r="M504" s="9" t="s">
        <v>1484</v>
      </c>
      <c r="N504" s="9" t="s">
        <v>2044</v>
      </c>
      <c r="O504" s="9" t="s">
        <v>627</v>
      </c>
      <c r="P504" s="9" t="s">
        <v>1485</v>
      </c>
      <c r="Q504" s="9">
        <v>101087155</v>
      </c>
      <c r="R504" s="9" t="s">
        <v>61</v>
      </c>
      <c r="S504" s="9" t="s">
        <v>39</v>
      </c>
      <c r="T504" s="11">
        <v>4</v>
      </c>
      <c r="U504" s="15" t="s">
        <v>627</v>
      </c>
      <c r="V504" s="16" t="s">
        <v>1485</v>
      </c>
      <c r="W504" s="17">
        <v>101087155</v>
      </c>
      <c r="X504" s="16" t="s">
        <v>3053</v>
      </c>
      <c r="Y504" s="17" t="s">
        <v>3054</v>
      </c>
      <c r="Z504" s="17" t="s">
        <v>39</v>
      </c>
      <c r="AA504" s="17" t="s">
        <v>37</v>
      </c>
      <c r="AB504" s="43">
        <v>17.46</v>
      </c>
      <c r="AC504" s="25">
        <v>18.28</v>
      </c>
      <c r="AD504" s="25">
        <f>AC504*T504</f>
        <v>73.12</v>
      </c>
      <c r="AE504" s="25">
        <f>AB504*T504</f>
        <v>69.84</v>
      </c>
      <c r="AF504" s="25">
        <f>AD504-AE504</f>
        <v>3.2800000000000011</v>
      </c>
      <c r="AG504" s="26">
        <f>AF504/AD504</f>
        <v>4.4857768052516421E-2</v>
      </c>
      <c r="AH504" s="27" t="str">
        <f>IF(AG504&lt;0,"Negative",IF(AG504=0,"Same",IF(AG504&gt;0.3,"30+%",IF(AG504&gt;0.2,"20-30%",IF(AG504&gt;0.1,"10-20%",IF(AG504&lt;=0.1,"0-10%"))))))</f>
        <v>0-10%</v>
      </c>
      <c r="AI504" s="32"/>
      <c r="AJ504" s="36" t="s">
        <v>3300</v>
      </c>
      <c r="AK504" s="32"/>
    </row>
    <row r="505" spans="1:37" s="1" customFormat="1" ht="19.7" customHeight="1" x14ac:dyDescent="0.25">
      <c r="A505" s="5" t="s">
        <v>22</v>
      </c>
      <c r="B505" s="5" t="s">
        <v>2367</v>
      </c>
      <c r="C505" s="6">
        <v>44573</v>
      </c>
      <c r="D505" s="5" t="s">
        <v>24</v>
      </c>
      <c r="E505" s="5" t="s">
        <v>25</v>
      </c>
      <c r="F505" s="5" t="s">
        <v>26</v>
      </c>
      <c r="G505" s="5" t="s">
        <v>27</v>
      </c>
      <c r="H505" s="5" t="s">
        <v>28</v>
      </c>
      <c r="I505" s="5" t="s">
        <v>29</v>
      </c>
      <c r="J505" s="5" t="s">
        <v>30</v>
      </c>
      <c r="K505" s="5" t="s">
        <v>31</v>
      </c>
      <c r="L505" s="5" t="s">
        <v>32</v>
      </c>
      <c r="M505" s="5" t="s">
        <v>2368</v>
      </c>
      <c r="N505" s="5" t="s">
        <v>2332</v>
      </c>
      <c r="O505" s="5" t="s">
        <v>2369</v>
      </c>
      <c r="P505" s="5" t="s">
        <v>2370</v>
      </c>
      <c r="Q505" s="5">
        <v>101689631</v>
      </c>
      <c r="R505" s="5" t="s">
        <v>38</v>
      </c>
      <c r="S505" s="5" t="s">
        <v>39</v>
      </c>
      <c r="T505" s="7">
        <v>1</v>
      </c>
      <c r="U505" s="15" t="s">
        <v>2369</v>
      </c>
      <c r="V505" s="16" t="s">
        <v>3256</v>
      </c>
      <c r="W505" s="17">
        <v>101689631</v>
      </c>
      <c r="X505" s="16" t="s">
        <v>3257</v>
      </c>
      <c r="Y505" s="17" t="s">
        <v>3258</v>
      </c>
      <c r="Z505" s="17" t="s">
        <v>39</v>
      </c>
      <c r="AA505" s="17" t="s">
        <v>2501</v>
      </c>
      <c r="AB505" s="29">
        <v>235.83</v>
      </c>
      <c r="AC505" s="25">
        <v>241.17</v>
      </c>
      <c r="AD505" s="25">
        <f>AC505*T505</f>
        <v>241.17</v>
      </c>
      <c r="AE505" s="25">
        <f>AB505*T505</f>
        <v>235.83</v>
      </c>
      <c r="AF505" s="25">
        <f>AD505-AE505</f>
        <v>5.339999999999975</v>
      </c>
      <c r="AG505" s="26">
        <f>AF505/AD505</f>
        <v>2.2142057469834452E-2</v>
      </c>
      <c r="AH505" s="27" t="str">
        <f>IF(AG505&lt;0,"Negative",IF(AG505=0,"Same",IF(AG505&gt;0.3,"30+%",IF(AG505&gt;0.2,"20-30%",IF(AG505&gt;0.1,"10-20%",IF(AG505&lt;=0.1,"0-10%"))))))</f>
        <v>0-10%</v>
      </c>
      <c r="AI505" s="32"/>
      <c r="AJ505" s="36" t="s">
        <v>3300</v>
      </c>
      <c r="AK505" s="32"/>
    </row>
    <row r="506" spans="1:37" s="1" customFormat="1" ht="19.7" customHeight="1" x14ac:dyDescent="0.25">
      <c r="A506" s="9" t="s">
        <v>22</v>
      </c>
      <c r="B506" s="9" t="s">
        <v>945</v>
      </c>
      <c r="C506" s="10">
        <v>44320</v>
      </c>
      <c r="D506" s="9" t="s">
        <v>24</v>
      </c>
      <c r="E506" s="9" t="s">
        <v>25</v>
      </c>
      <c r="F506" s="9" t="s">
        <v>26</v>
      </c>
      <c r="G506" s="9" t="s">
        <v>27</v>
      </c>
      <c r="H506" s="9" t="s">
        <v>28</v>
      </c>
      <c r="I506" s="9" t="s">
        <v>29</v>
      </c>
      <c r="J506" s="9" t="s">
        <v>30</v>
      </c>
      <c r="K506" s="9" t="s">
        <v>31</v>
      </c>
      <c r="L506" s="9" t="s">
        <v>32</v>
      </c>
      <c r="M506" s="9" t="s">
        <v>946</v>
      </c>
      <c r="N506" s="9" t="s">
        <v>863</v>
      </c>
      <c r="O506" s="9" t="s">
        <v>947</v>
      </c>
      <c r="P506" s="9" t="s">
        <v>948</v>
      </c>
      <c r="Q506" s="9">
        <v>113180687</v>
      </c>
      <c r="R506" s="9" t="s">
        <v>38</v>
      </c>
      <c r="S506" s="9" t="s">
        <v>39</v>
      </c>
      <c r="T506" s="11">
        <v>1</v>
      </c>
      <c r="U506" s="15" t="s">
        <v>947</v>
      </c>
      <c r="V506" s="16" t="s">
        <v>948</v>
      </c>
      <c r="W506" s="17">
        <v>113180687</v>
      </c>
      <c r="X506" s="16" t="s">
        <v>2497</v>
      </c>
      <c r="Y506" s="17" t="s">
        <v>2872</v>
      </c>
      <c r="Z506" s="17" t="s">
        <v>39</v>
      </c>
      <c r="AA506" s="17" t="s">
        <v>2501</v>
      </c>
      <c r="AB506" s="29">
        <v>234.77</v>
      </c>
      <c r="AC506" s="25">
        <v>243.01</v>
      </c>
      <c r="AD506" s="25">
        <f>AC506*T506</f>
        <v>243.01</v>
      </c>
      <c r="AE506" s="25">
        <f>AB506*T506</f>
        <v>234.77</v>
      </c>
      <c r="AF506" s="25">
        <f>AD506-AE506</f>
        <v>8.2399999999999807</v>
      </c>
      <c r="AG506" s="26">
        <f>AF506/AD506</f>
        <v>3.3908069626764251E-2</v>
      </c>
      <c r="AH506" s="27" t="str">
        <f>IF(AG506&lt;0,"Negative",IF(AG506=0,"Same",IF(AG506&gt;0.3,"30+%",IF(AG506&gt;0.2,"20-30%",IF(AG506&gt;0.1,"10-20%",IF(AG506&lt;=0.1,"0-10%"))))))</f>
        <v>0-10%</v>
      </c>
      <c r="AI506" s="32"/>
      <c r="AJ506" s="36" t="s">
        <v>3300</v>
      </c>
      <c r="AK506" s="32"/>
    </row>
    <row r="507" spans="1:37" s="1" customFormat="1" ht="19.7" customHeight="1" x14ac:dyDescent="0.25">
      <c r="A507" s="5" t="s">
        <v>22</v>
      </c>
      <c r="B507" s="5" t="s">
        <v>1424</v>
      </c>
      <c r="C507" s="6">
        <v>44396</v>
      </c>
      <c r="D507" s="5" t="s">
        <v>24</v>
      </c>
      <c r="E507" s="5" t="s">
        <v>25</v>
      </c>
      <c r="F507" s="5" t="s">
        <v>26</v>
      </c>
      <c r="G507" s="5" t="s">
        <v>27</v>
      </c>
      <c r="H507" s="5" t="s">
        <v>28</v>
      </c>
      <c r="I507" s="5" t="s">
        <v>29</v>
      </c>
      <c r="J507" s="5" t="s">
        <v>30</v>
      </c>
      <c r="K507" s="5" t="s">
        <v>31</v>
      </c>
      <c r="L507" s="5" t="s">
        <v>32</v>
      </c>
      <c r="M507" s="5" t="s">
        <v>261</v>
      </c>
      <c r="N507" s="5" t="s">
        <v>1425</v>
      </c>
      <c r="O507" s="5" t="s">
        <v>89</v>
      </c>
      <c r="P507" s="5" t="s">
        <v>1426</v>
      </c>
      <c r="Q507" s="5">
        <v>100747119</v>
      </c>
      <c r="R507" s="5" t="s">
        <v>45</v>
      </c>
      <c r="S507" s="5" t="s">
        <v>39</v>
      </c>
      <c r="T507" s="7">
        <v>2</v>
      </c>
      <c r="U507" s="15" t="s">
        <v>89</v>
      </c>
      <c r="V507" s="16" t="s">
        <v>1426</v>
      </c>
      <c r="W507" s="17">
        <v>100747119</v>
      </c>
      <c r="X507" s="16" t="s">
        <v>2518</v>
      </c>
      <c r="Y507" s="17" t="s">
        <v>3034</v>
      </c>
      <c r="Z507" s="17" t="s">
        <v>39</v>
      </c>
      <c r="AA507" s="17" t="s">
        <v>37</v>
      </c>
      <c r="AB507" s="43">
        <v>8.6999999999999993</v>
      </c>
      <c r="AC507" s="25">
        <v>10.19</v>
      </c>
      <c r="AD507" s="25">
        <f>AC507*T507</f>
        <v>20.38</v>
      </c>
      <c r="AE507" s="25">
        <f>AB507*T507</f>
        <v>17.399999999999999</v>
      </c>
      <c r="AF507" s="25">
        <f>AD507-AE507</f>
        <v>2.9800000000000004</v>
      </c>
      <c r="AG507" s="26">
        <f>AF507/AD507</f>
        <v>0.1462217860647694</v>
      </c>
      <c r="AH507" s="27" t="str">
        <f>IF(AG507&lt;0,"Negative",IF(AG507=0,"Same",IF(AG507&gt;0.3,"30+%",IF(AG507&gt;0.2,"20-30%",IF(AG507&gt;0.1,"10-20%",IF(AG507&lt;=0.1,"0-10%"))))))</f>
        <v>10-20%</v>
      </c>
      <c r="AI507" s="32"/>
      <c r="AJ507" s="36" t="s">
        <v>3300</v>
      </c>
      <c r="AK507" s="32"/>
    </row>
    <row r="508" spans="1:37" s="1" customFormat="1" ht="19.7" customHeight="1" x14ac:dyDescent="0.25">
      <c r="A508" s="5" t="s">
        <v>22</v>
      </c>
      <c r="B508" s="5" t="s">
        <v>1645</v>
      </c>
      <c r="C508" s="6">
        <v>44428</v>
      </c>
      <c r="D508" s="5" t="s">
        <v>24</v>
      </c>
      <c r="E508" s="5" t="s">
        <v>25</v>
      </c>
      <c r="F508" s="5" t="s">
        <v>26</v>
      </c>
      <c r="G508" s="5" t="s">
        <v>27</v>
      </c>
      <c r="H508" s="5" t="s">
        <v>28</v>
      </c>
      <c r="I508" s="5" t="s">
        <v>29</v>
      </c>
      <c r="J508" s="5" t="s">
        <v>30</v>
      </c>
      <c r="K508" s="5" t="s">
        <v>31</v>
      </c>
      <c r="L508" s="5" t="s">
        <v>32</v>
      </c>
      <c r="M508" s="5" t="s">
        <v>261</v>
      </c>
      <c r="N508" s="5" t="s">
        <v>1425</v>
      </c>
      <c r="O508" s="5" t="s">
        <v>89</v>
      </c>
      <c r="P508" s="5" t="s">
        <v>1426</v>
      </c>
      <c r="Q508" s="5">
        <v>100747119</v>
      </c>
      <c r="R508" s="5" t="s">
        <v>45</v>
      </c>
      <c r="S508" s="5" t="s">
        <v>39</v>
      </c>
      <c r="T508" s="7">
        <v>4</v>
      </c>
      <c r="U508" s="15" t="s">
        <v>89</v>
      </c>
      <c r="V508" s="16" t="s">
        <v>1426</v>
      </c>
      <c r="W508" s="17">
        <v>100747119</v>
      </c>
      <c r="X508" s="16" t="s">
        <v>2518</v>
      </c>
      <c r="Y508" s="17" t="s">
        <v>3034</v>
      </c>
      <c r="Z508" s="17" t="s">
        <v>39</v>
      </c>
      <c r="AA508" s="17" t="s">
        <v>37</v>
      </c>
      <c r="AB508" s="43">
        <v>8.6999999999999993</v>
      </c>
      <c r="AC508" s="25">
        <v>10.19</v>
      </c>
      <c r="AD508" s="25">
        <f>AC508*T508</f>
        <v>40.76</v>
      </c>
      <c r="AE508" s="25">
        <f>AB508*T508</f>
        <v>34.799999999999997</v>
      </c>
      <c r="AF508" s="25">
        <f>AD508-AE508</f>
        <v>5.9600000000000009</v>
      </c>
      <c r="AG508" s="26">
        <f>AF508/AD508</f>
        <v>0.1462217860647694</v>
      </c>
      <c r="AH508" s="27" t="str">
        <f>IF(AG508&lt;0,"Negative",IF(AG508=0,"Same",IF(AG508&gt;0.3,"30+%",IF(AG508&gt;0.2,"20-30%",IF(AG508&gt;0.1,"10-20%",IF(AG508&lt;=0.1,"0-10%"))))))</f>
        <v>10-20%</v>
      </c>
      <c r="AI508" s="32"/>
      <c r="AJ508" s="36" t="s">
        <v>3300</v>
      </c>
      <c r="AK508" s="32"/>
    </row>
    <row r="509" spans="1:37" s="1" customFormat="1" ht="19.7" customHeight="1" x14ac:dyDescent="0.25">
      <c r="A509" s="9" t="s">
        <v>22</v>
      </c>
      <c r="B509" s="9" t="s">
        <v>463</v>
      </c>
      <c r="C509" s="10">
        <v>44267</v>
      </c>
      <c r="D509" s="9" t="s">
        <v>24</v>
      </c>
      <c r="E509" s="9" t="s">
        <v>25</v>
      </c>
      <c r="F509" s="9" t="s">
        <v>26</v>
      </c>
      <c r="G509" s="9" t="s">
        <v>27</v>
      </c>
      <c r="H509" s="9" t="s">
        <v>28</v>
      </c>
      <c r="I509" s="9" t="s">
        <v>29</v>
      </c>
      <c r="J509" s="9" t="s">
        <v>30</v>
      </c>
      <c r="K509" s="9" t="s">
        <v>31</v>
      </c>
      <c r="L509" s="9" t="s">
        <v>32</v>
      </c>
      <c r="M509" s="9" t="s">
        <v>261</v>
      </c>
      <c r="N509" s="9" t="s">
        <v>464</v>
      </c>
      <c r="O509" s="9" t="s">
        <v>43</v>
      </c>
      <c r="P509" s="9" t="s">
        <v>465</v>
      </c>
      <c r="Q509" s="9">
        <v>110688771</v>
      </c>
      <c r="R509" s="9" t="s">
        <v>216</v>
      </c>
      <c r="S509" s="9" t="s">
        <v>39</v>
      </c>
      <c r="T509" s="11">
        <v>1</v>
      </c>
      <c r="U509" s="15" t="s">
        <v>43</v>
      </c>
      <c r="V509" s="16" t="s">
        <v>465</v>
      </c>
      <c r="W509" s="17">
        <v>110688771</v>
      </c>
      <c r="X509" s="16" t="s">
        <v>2685</v>
      </c>
      <c r="Y509" s="17" t="s">
        <v>2686</v>
      </c>
      <c r="Z509" s="17" t="s">
        <v>39</v>
      </c>
      <c r="AA509" s="17" t="s">
        <v>2501</v>
      </c>
      <c r="AB509" s="29">
        <v>429.75</v>
      </c>
      <c r="AC509" s="25">
        <v>412.05</v>
      </c>
      <c r="AD509" s="25">
        <f>AC509*T509</f>
        <v>412.05</v>
      </c>
      <c r="AE509" s="25">
        <f>AB509*T509</f>
        <v>429.75</v>
      </c>
      <c r="AF509" s="25">
        <f>AD509-AE509</f>
        <v>-17.699999999999989</v>
      </c>
      <c r="AG509" s="26">
        <f>AF509/AD509</f>
        <v>-4.2955951947579146E-2</v>
      </c>
      <c r="AH509" s="27" t="str">
        <f>IF(AG509&lt;0,"Negative",IF(AG509=0,"Same",IF(AG509&gt;0.3,"30+%",IF(AG509&gt;0.2,"20-30%",IF(AG509&gt;0.1,"10-20%",IF(AG509&lt;=0.1,"0-10%"))))))</f>
        <v>Negative</v>
      </c>
      <c r="AI509" s="32"/>
      <c r="AJ509" s="36" t="s">
        <v>3300</v>
      </c>
      <c r="AK509" s="32"/>
    </row>
    <row r="510" spans="1:37" s="1" customFormat="1" ht="19.7" customHeight="1" x14ac:dyDescent="0.25">
      <c r="A510" s="9" t="s">
        <v>22</v>
      </c>
      <c r="B510" s="9" t="s">
        <v>675</v>
      </c>
      <c r="C510" s="10">
        <v>44286</v>
      </c>
      <c r="D510" s="9" t="s">
        <v>24</v>
      </c>
      <c r="E510" s="9" t="s">
        <v>25</v>
      </c>
      <c r="F510" s="9" t="s">
        <v>26</v>
      </c>
      <c r="G510" s="9" t="s">
        <v>27</v>
      </c>
      <c r="H510" s="9" t="s">
        <v>28</v>
      </c>
      <c r="I510" s="9" t="s">
        <v>29</v>
      </c>
      <c r="J510" s="9" t="s">
        <v>30</v>
      </c>
      <c r="K510" s="9" t="s">
        <v>31</v>
      </c>
      <c r="L510" s="9" t="s">
        <v>32</v>
      </c>
      <c r="M510" s="9" t="s">
        <v>676</v>
      </c>
      <c r="N510" s="9" t="s">
        <v>247</v>
      </c>
      <c r="O510" s="9" t="s">
        <v>43</v>
      </c>
      <c r="P510" s="9" t="s">
        <v>465</v>
      </c>
      <c r="Q510" s="9">
        <v>110688771</v>
      </c>
      <c r="R510" s="9" t="s">
        <v>216</v>
      </c>
      <c r="S510" s="9" t="s">
        <v>39</v>
      </c>
      <c r="T510" s="11">
        <v>1</v>
      </c>
      <c r="U510" s="15" t="s">
        <v>43</v>
      </c>
      <c r="V510" s="16" t="s">
        <v>465</v>
      </c>
      <c r="W510" s="17">
        <v>110688771</v>
      </c>
      <c r="X510" s="16" t="s">
        <v>2685</v>
      </c>
      <c r="Y510" s="17" t="s">
        <v>2686</v>
      </c>
      <c r="Z510" s="17" t="s">
        <v>39</v>
      </c>
      <c r="AA510" s="17" t="s">
        <v>2501</v>
      </c>
      <c r="AB510" s="29">
        <v>429.75</v>
      </c>
      <c r="AC510" s="25">
        <v>412.05</v>
      </c>
      <c r="AD510" s="25">
        <f>AC510*T510</f>
        <v>412.05</v>
      </c>
      <c r="AE510" s="25">
        <f>AB510*T510</f>
        <v>429.75</v>
      </c>
      <c r="AF510" s="25">
        <f>AD510-AE510</f>
        <v>-17.699999999999989</v>
      </c>
      <c r="AG510" s="26">
        <f>AF510/AD510</f>
        <v>-4.2955951947579146E-2</v>
      </c>
      <c r="AH510" s="27" t="str">
        <f>IF(AG510&lt;0,"Negative",IF(AG510=0,"Same",IF(AG510&gt;0.3,"30+%",IF(AG510&gt;0.2,"20-30%",IF(AG510&gt;0.1,"10-20%",IF(AG510&lt;=0.1,"0-10%"))))))</f>
        <v>Negative</v>
      </c>
      <c r="AI510" s="32"/>
      <c r="AJ510" s="36" t="s">
        <v>3300</v>
      </c>
      <c r="AK510" s="32"/>
    </row>
    <row r="511" spans="1:37" s="1" customFormat="1" ht="19.7" customHeight="1" x14ac:dyDescent="0.25">
      <c r="A511" s="5" t="s">
        <v>22</v>
      </c>
      <c r="B511" s="5" t="s">
        <v>1126</v>
      </c>
      <c r="C511" s="6">
        <v>44343</v>
      </c>
      <c r="D511" s="5" t="s">
        <v>24</v>
      </c>
      <c r="E511" s="5" t="s">
        <v>25</v>
      </c>
      <c r="F511" s="5" t="s">
        <v>26</v>
      </c>
      <c r="G511" s="5" t="s">
        <v>27</v>
      </c>
      <c r="H511" s="5" t="s">
        <v>28</v>
      </c>
      <c r="I511" s="5" t="s">
        <v>29</v>
      </c>
      <c r="J511" s="5" t="s">
        <v>30</v>
      </c>
      <c r="K511" s="5" t="s">
        <v>31</v>
      </c>
      <c r="L511" s="5" t="s">
        <v>32</v>
      </c>
      <c r="M511" s="5" t="s">
        <v>1136</v>
      </c>
      <c r="N511" s="5" t="s">
        <v>1128</v>
      </c>
      <c r="O511" s="5" t="s">
        <v>1074</v>
      </c>
      <c r="P511" s="5" t="s">
        <v>1137</v>
      </c>
      <c r="Q511" s="5">
        <v>100848703</v>
      </c>
      <c r="R511" s="5" t="s">
        <v>73</v>
      </c>
      <c r="S511" s="5" t="s">
        <v>39</v>
      </c>
      <c r="T511" s="7">
        <v>2</v>
      </c>
      <c r="U511" s="15" t="s">
        <v>1074</v>
      </c>
      <c r="V511" s="16" t="s">
        <v>1137</v>
      </c>
      <c r="W511" s="17">
        <v>100848703</v>
      </c>
      <c r="X511" s="16" t="s">
        <v>2916</v>
      </c>
      <c r="Y511" s="17" t="s">
        <v>2937</v>
      </c>
      <c r="Z511" s="17" t="s">
        <v>39</v>
      </c>
      <c r="AA511" s="17" t="s">
        <v>37</v>
      </c>
      <c r="AB511" s="29">
        <v>13.16</v>
      </c>
      <c r="AC511" s="25">
        <v>12.61</v>
      </c>
      <c r="AD511" s="25">
        <f>AC511*T511</f>
        <v>25.22</v>
      </c>
      <c r="AE511" s="25">
        <f>AB511*T511</f>
        <v>26.32</v>
      </c>
      <c r="AF511" s="25">
        <f>AD511-AE511</f>
        <v>-1.1000000000000014</v>
      </c>
      <c r="AG511" s="26">
        <f>AF511/AD511</f>
        <v>-4.3616177636796254E-2</v>
      </c>
      <c r="AH511" s="27" t="str">
        <f>IF(AG511&lt;0,"Negative",IF(AG511=0,"Same",IF(AG511&gt;0.3,"30+%",IF(AG511&gt;0.2,"20-30%",IF(AG511&gt;0.1,"10-20%",IF(AG511&lt;=0.1,"0-10%"))))))</f>
        <v>Negative</v>
      </c>
      <c r="AI511" s="32"/>
      <c r="AJ511" s="36" t="s">
        <v>3299</v>
      </c>
      <c r="AK511" s="32"/>
    </row>
    <row r="512" spans="1:37" s="1" customFormat="1" ht="19.7" customHeight="1" x14ac:dyDescent="0.25">
      <c r="A512" s="5" t="s">
        <v>22</v>
      </c>
      <c r="B512" s="5" t="s">
        <v>300</v>
      </c>
      <c r="C512" s="6">
        <v>44249</v>
      </c>
      <c r="D512" s="5" t="s">
        <v>24</v>
      </c>
      <c r="E512" s="5" t="s">
        <v>25</v>
      </c>
      <c r="F512" s="5" t="s">
        <v>26</v>
      </c>
      <c r="G512" s="5" t="s">
        <v>67</v>
      </c>
      <c r="H512" s="5" t="s">
        <v>68</v>
      </c>
      <c r="I512" s="5" t="s">
        <v>29</v>
      </c>
      <c r="J512" s="5" t="s">
        <v>30</v>
      </c>
      <c r="K512" s="5" t="s">
        <v>31</v>
      </c>
      <c r="L512" s="5" t="s">
        <v>32</v>
      </c>
      <c r="M512" s="5" t="s">
        <v>261</v>
      </c>
      <c r="N512" s="5" t="s">
        <v>301</v>
      </c>
      <c r="O512" s="5" t="s">
        <v>302</v>
      </c>
      <c r="P512" s="5" t="s">
        <v>303</v>
      </c>
      <c r="Q512" s="5">
        <v>100923251</v>
      </c>
      <c r="R512" s="5" t="s">
        <v>56</v>
      </c>
      <c r="S512" s="5" t="s">
        <v>39</v>
      </c>
      <c r="T512" s="7">
        <v>1</v>
      </c>
      <c r="U512" s="15" t="s">
        <v>302</v>
      </c>
      <c r="V512" s="16" t="s">
        <v>303</v>
      </c>
      <c r="W512" s="17">
        <v>100923251</v>
      </c>
      <c r="X512" s="16" t="s">
        <v>2616</v>
      </c>
      <c r="Y512" s="17" t="s">
        <v>2617</v>
      </c>
      <c r="Z512" s="17" t="s">
        <v>39</v>
      </c>
      <c r="AA512" s="17" t="s">
        <v>37</v>
      </c>
      <c r="AB512" s="43">
        <v>13.87</v>
      </c>
      <c r="AC512" s="25">
        <v>14.17</v>
      </c>
      <c r="AD512" s="25">
        <f>AC512*T512</f>
        <v>14.17</v>
      </c>
      <c r="AE512" s="25">
        <f>AB512*T512</f>
        <v>13.87</v>
      </c>
      <c r="AF512" s="25">
        <f>AD512-AE512</f>
        <v>0.30000000000000071</v>
      </c>
      <c r="AG512" s="26">
        <f>AF512/AD512</f>
        <v>2.1171489061397368E-2</v>
      </c>
      <c r="AH512" s="27" t="str">
        <f>IF(AG512&lt;0,"Negative",IF(AG512=0,"Same",IF(AG512&gt;0.3,"30+%",IF(AG512&gt;0.2,"20-30%",IF(AG512&gt;0.1,"10-20%",IF(AG512&lt;=0.1,"0-10%"))))))</f>
        <v>0-10%</v>
      </c>
      <c r="AI512" s="32"/>
      <c r="AJ512" s="36" t="s">
        <v>3300</v>
      </c>
      <c r="AK512" s="32"/>
    </row>
    <row r="513" spans="1:37" s="1" customFormat="1" ht="19.7" customHeight="1" x14ac:dyDescent="0.25">
      <c r="A513" s="5" t="s">
        <v>22</v>
      </c>
      <c r="B513" s="5" t="s">
        <v>570</v>
      </c>
      <c r="C513" s="6">
        <v>44277</v>
      </c>
      <c r="D513" s="5" t="s">
        <v>24</v>
      </c>
      <c r="E513" s="5" t="s">
        <v>25</v>
      </c>
      <c r="F513" s="5" t="s">
        <v>26</v>
      </c>
      <c r="G513" s="5" t="s">
        <v>27</v>
      </c>
      <c r="H513" s="5" t="s">
        <v>28</v>
      </c>
      <c r="I513" s="5" t="s">
        <v>29</v>
      </c>
      <c r="J513" s="5" t="s">
        <v>30</v>
      </c>
      <c r="K513" s="5" t="s">
        <v>31</v>
      </c>
      <c r="L513" s="5" t="s">
        <v>32</v>
      </c>
      <c r="M513" s="5" t="s">
        <v>571</v>
      </c>
      <c r="N513" s="5" t="s">
        <v>562</v>
      </c>
      <c r="O513" s="5" t="s">
        <v>572</v>
      </c>
      <c r="P513" s="5" t="s">
        <v>573</v>
      </c>
      <c r="Q513" s="5">
        <v>102202959</v>
      </c>
      <c r="R513" s="5" t="s">
        <v>56</v>
      </c>
      <c r="S513" s="5" t="s">
        <v>39</v>
      </c>
      <c r="T513" s="7">
        <v>1</v>
      </c>
      <c r="U513" s="15" t="s">
        <v>572</v>
      </c>
      <c r="V513" s="16" t="s">
        <v>573</v>
      </c>
      <c r="W513" s="17">
        <v>102202959</v>
      </c>
      <c r="X513" s="16" t="s">
        <v>2538</v>
      </c>
      <c r="Y513" s="17" t="s">
        <v>2734</v>
      </c>
      <c r="Z513" s="17" t="s">
        <v>39</v>
      </c>
      <c r="AA513" s="17" t="s">
        <v>37</v>
      </c>
      <c r="AB513" s="29">
        <v>15.93</v>
      </c>
      <c r="AC513" s="25">
        <v>16.260000000000002</v>
      </c>
      <c r="AD513" s="25">
        <f>AC513*T513</f>
        <v>16.260000000000002</v>
      </c>
      <c r="AE513" s="25">
        <f>AB513*T513</f>
        <v>15.93</v>
      </c>
      <c r="AF513" s="25">
        <f>AD513-AE513</f>
        <v>0.33000000000000185</v>
      </c>
      <c r="AG513" s="26">
        <f>AF513/AD513</f>
        <v>2.0295202952029631E-2</v>
      </c>
      <c r="AH513" s="27" t="str">
        <f>IF(AG513&lt;0,"Negative",IF(AG513=0,"Same",IF(AG513&gt;0.3,"30+%",IF(AG513&gt;0.2,"20-30%",IF(AG513&gt;0.1,"10-20%",IF(AG513&lt;=0.1,"0-10%"))))))</f>
        <v>0-10%</v>
      </c>
      <c r="AI513" s="32"/>
      <c r="AJ513" s="36" t="s">
        <v>3299</v>
      </c>
      <c r="AK513" s="32"/>
    </row>
    <row r="514" spans="1:37" s="1" customFormat="1" ht="19.7" customHeight="1" x14ac:dyDescent="0.25">
      <c r="A514" s="5" t="s">
        <v>22</v>
      </c>
      <c r="B514" s="5" t="s">
        <v>1799</v>
      </c>
      <c r="C514" s="6">
        <v>44466</v>
      </c>
      <c r="D514" s="5" t="s">
        <v>24</v>
      </c>
      <c r="E514" s="5" t="s">
        <v>25</v>
      </c>
      <c r="F514" s="5" t="s">
        <v>26</v>
      </c>
      <c r="G514" s="5" t="s">
        <v>67</v>
      </c>
      <c r="H514" s="5" t="s">
        <v>68</v>
      </c>
      <c r="I514" s="5" t="s">
        <v>29</v>
      </c>
      <c r="J514" s="5" t="s">
        <v>30</v>
      </c>
      <c r="K514" s="5" t="s">
        <v>31</v>
      </c>
      <c r="L514" s="5" t="s">
        <v>32</v>
      </c>
      <c r="M514" s="5" t="s">
        <v>1800</v>
      </c>
      <c r="N514" s="5" t="s">
        <v>1801</v>
      </c>
      <c r="O514" s="5" t="s">
        <v>627</v>
      </c>
      <c r="P514" s="5" t="s">
        <v>1802</v>
      </c>
      <c r="Q514" s="5">
        <v>102107186</v>
      </c>
      <c r="R514" s="5" t="s">
        <v>61</v>
      </c>
      <c r="S514" s="5" t="s">
        <v>39</v>
      </c>
      <c r="T514" s="7">
        <v>1</v>
      </c>
      <c r="U514" s="15" t="s">
        <v>627</v>
      </c>
      <c r="V514" s="16" t="s">
        <v>1802</v>
      </c>
      <c r="W514" s="17">
        <v>102107186</v>
      </c>
      <c r="X514" s="16" t="s">
        <v>2755</v>
      </c>
      <c r="Y514" s="17" t="s">
        <v>3135</v>
      </c>
      <c r="Z514" s="17" t="s">
        <v>39</v>
      </c>
      <c r="AA514" s="17" t="s">
        <v>37</v>
      </c>
      <c r="AB514" s="43">
        <v>20.09</v>
      </c>
      <c r="AC514" s="25">
        <v>20.52</v>
      </c>
      <c r="AD514" s="25">
        <f>AC514*T514</f>
        <v>20.52</v>
      </c>
      <c r="AE514" s="25">
        <f>AB514*T514</f>
        <v>20.09</v>
      </c>
      <c r="AF514" s="25">
        <f>AD514-AE514</f>
        <v>0.42999999999999972</v>
      </c>
      <c r="AG514" s="26">
        <f>AF514/AD514</f>
        <v>2.0955165692007782E-2</v>
      </c>
      <c r="AH514" s="27" t="str">
        <f>IF(AG514&lt;0,"Negative",IF(AG514=0,"Same",IF(AG514&gt;0.3,"30+%",IF(AG514&gt;0.2,"20-30%",IF(AG514&gt;0.1,"10-20%",IF(AG514&lt;=0.1,"0-10%"))))))</f>
        <v>0-10%</v>
      </c>
      <c r="AI514" s="32"/>
      <c r="AJ514" s="36" t="s">
        <v>3299</v>
      </c>
      <c r="AK514" s="32"/>
    </row>
    <row r="515" spans="1:37" s="1" customFormat="1" ht="19.7" customHeight="1" x14ac:dyDescent="0.25">
      <c r="A515" s="5" t="s">
        <v>22</v>
      </c>
      <c r="B515" s="5" t="s">
        <v>2197</v>
      </c>
      <c r="C515" s="6">
        <v>44537</v>
      </c>
      <c r="D515" s="5" t="s">
        <v>24</v>
      </c>
      <c r="E515" s="5" t="s">
        <v>25</v>
      </c>
      <c r="F515" s="5" t="s">
        <v>26</v>
      </c>
      <c r="G515" s="5" t="s">
        <v>27</v>
      </c>
      <c r="H515" s="5" t="s">
        <v>28</v>
      </c>
      <c r="I515" s="5" t="s">
        <v>29</v>
      </c>
      <c r="J515" s="5" t="s">
        <v>30</v>
      </c>
      <c r="K515" s="5" t="s">
        <v>31</v>
      </c>
      <c r="L515" s="5" t="s">
        <v>32</v>
      </c>
      <c r="M515" s="5" t="s">
        <v>2198</v>
      </c>
      <c r="N515" s="5" t="s">
        <v>2165</v>
      </c>
      <c r="O515" s="5" t="s">
        <v>575</v>
      </c>
      <c r="P515" s="5" t="s">
        <v>2199</v>
      </c>
      <c r="Q515" s="5">
        <v>100332451</v>
      </c>
      <c r="R515" s="5" t="s">
        <v>38</v>
      </c>
      <c r="S515" s="5" t="s">
        <v>39</v>
      </c>
      <c r="T515" s="7">
        <v>4</v>
      </c>
      <c r="U515" s="15" t="s">
        <v>575</v>
      </c>
      <c r="V515" s="16" t="s">
        <v>2199</v>
      </c>
      <c r="W515" s="17">
        <v>100332451</v>
      </c>
      <c r="X515" s="16" t="s">
        <v>2763</v>
      </c>
      <c r="Y515" s="17" t="s">
        <v>3228</v>
      </c>
      <c r="Z515" s="17" t="s">
        <v>39</v>
      </c>
      <c r="AA515" s="17" t="s">
        <v>37</v>
      </c>
      <c r="AB515" s="29">
        <v>24.26</v>
      </c>
      <c r="AC515" s="25">
        <v>24.81</v>
      </c>
      <c r="AD515" s="25">
        <f>AC515*T515</f>
        <v>99.24</v>
      </c>
      <c r="AE515" s="25">
        <f>AB515*T515</f>
        <v>97.04</v>
      </c>
      <c r="AF515" s="25">
        <f>AD515-AE515</f>
        <v>2.1999999999999886</v>
      </c>
      <c r="AG515" s="26">
        <f>AF515/AD515</f>
        <v>2.2168480451430762E-2</v>
      </c>
      <c r="AH515" s="27" t="str">
        <f>IF(AG515&lt;0,"Negative",IF(AG515=0,"Same",IF(AG515&gt;0.3,"30+%",IF(AG515&gt;0.2,"20-30%",IF(AG515&gt;0.1,"10-20%",IF(AG515&lt;=0.1,"0-10%"))))))</f>
        <v>0-10%</v>
      </c>
      <c r="AI515" s="32"/>
      <c r="AJ515" s="36" t="s">
        <v>3300</v>
      </c>
      <c r="AK515" s="32"/>
    </row>
    <row r="516" spans="1:37" s="1" customFormat="1" ht="19.7" customHeight="1" x14ac:dyDescent="0.25">
      <c r="A516" s="9" t="s">
        <v>22</v>
      </c>
      <c r="B516" s="9" t="s">
        <v>1251</v>
      </c>
      <c r="C516" s="10">
        <v>44365</v>
      </c>
      <c r="D516" s="9" t="s">
        <v>24</v>
      </c>
      <c r="E516" s="9" t="s">
        <v>25</v>
      </c>
      <c r="F516" s="9" t="s">
        <v>26</v>
      </c>
      <c r="G516" s="9" t="s">
        <v>27</v>
      </c>
      <c r="H516" s="9" t="s">
        <v>28</v>
      </c>
      <c r="I516" s="9" t="s">
        <v>29</v>
      </c>
      <c r="J516" s="9" t="s">
        <v>30</v>
      </c>
      <c r="K516" s="9" t="s">
        <v>31</v>
      </c>
      <c r="L516" s="9" t="s">
        <v>32</v>
      </c>
      <c r="M516" s="9" t="s">
        <v>1252</v>
      </c>
      <c r="N516" s="9" t="s">
        <v>1244</v>
      </c>
      <c r="O516" s="9" t="s">
        <v>169</v>
      </c>
      <c r="P516" s="9" t="s">
        <v>1253</v>
      </c>
      <c r="Q516" s="9">
        <v>100781036</v>
      </c>
      <c r="R516" s="9" t="s">
        <v>56</v>
      </c>
      <c r="S516" s="9" t="s">
        <v>39</v>
      </c>
      <c r="T516" s="11">
        <v>1</v>
      </c>
      <c r="U516" s="15" t="s">
        <v>169</v>
      </c>
      <c r="V516" s="16" t="s">
        <v>1253</v>
      </c>
      <c r="W516" s="17">
        <v>100781036</v>
      </c>
      <c r="X516" s="16" t="s">
        <v>2568</v>
      </c>
      <c r="Y516" s="17" t="s">
        <v>2976</v>
      </c>
      <c r="Z516" s="17" t="s">
        <v>39</v>
      </c>
      <c r="AA516" s="17" t="s">
        <v>37</v>
      </c>
      <c r="AB516" s="43">
        <v>33.659999999999997</v>
      </c>
      <c r="AC516" s="25">
        <v>34.67</v>
      </c>
      <c r="AD516" s="25">
        <f>AC516*T516</f>
        <v>34.67</v>
      </c>
      <c r="AE516" s="25">
        <f>AB516*T516</f>
        <v>33.659999999999997</v>
      </c>
      <c r="AF516" s="25">
        <f>AD516-AE516</f>
        <v>1.0100000000000051</v>
      </c>
      <c r="AG516" s="26">
        <f>AF516/AD516</f>
        <v>2.9131814248630084E-2</v>
      </c>
      <c r="AH516" s="27" t="str">
        <f>IF(AG516&lt;0,"Negative",IF(AG516=0,"Same",IF(AG516&gt;0.3,"30+%",IF(AG516&gt;0.2,"20-30%",IF(AG516&gt;0.1,"10-20%",IF(AG516&lt;=0.1,"0-10%"))))))</f>
        <v>0-10%</v>
      </c>
      <c r="AI516" s="32"/>
      <c r="AJ516" s="36" t="s">
        <v>3299</v>
      </c>
      <c r="AK516" s="32"/>
    </row>
    <row r="517" spans="1:37" s="1" customFormat="1" ht="19.7" customHeight="1" x14ac:dyDescent="0.25">
      <c r="A517" s="9" t="s">
        <v>22</v>
      </c>
      <c r="B517" s="9" t="s">
        <v>1450</v>
      </c>
      <c r="C517" s="10">
        <v>44398</v>
      </c>
      <c r="D517" s="9" t="s">
        <v>24</v>
      </c>
      <c r="E517" s="9" t="s">
        <v>25</v>
      </c>
      <c r="F517" s="9" t="s">
        <v>26</v>
      </c>
      <c r="G517" s="9" t="s">
        <v>27</v>
      </c>
      <c r="H517" s="9" t="s">
        <v>28</v>
      </c>
      <c r="I517" s="9" t="s">
        <v>29</v>
      </c>
      <c r="J517" s="9" t="s">
        <v>30</v>
      </c>
      <c r="K517" s="9" t="s">
        <v>31</v>
      </c>
      <c r="L517" s="9" t="s">
        <v>32</v>
      </c>
      <c r="M517" s="9" t="s">
        <v>1451</v>
      </c>
      <c r="N517" s="9" t="s">
        <v>1452</v>
      </c>
      <c r="O517" s="9" t="s">
        <v>186</v>
      </c>
      <c r="P517" s="9" t="s">
        <v>1453</v>
      </c>
      <c r="Q517" s="9">
        <v>102115944</v>
      </c>
      <c r="R517" s="9" t="s">
        <v>56</v>
      </c>
      <c r="S517" s="9" t="s">
        <v>39</v>
      </c>
      <c r="T517" s="11">
        <v>1</v>
      </c>
      <c r="U517" s="15" t="s">
        <v>186</v>
      </c>
      <c r="V517" s="16" t="s">
        <v>1453</v>
      </c>
      <c r="W517" s="17">
        <v>102115944</v>
      </c>
      <c r="X517" s="16" t="s">
        <v>2565</v>
      </c>
      <c r="Y517" s="17" t="s">
        <v>3046</v>
      </c>
      <c r="Z517" s="17" t="s">
        <v>39</v>
      </c>
      <c r="AA517" s="17" t="s">
        <v>37</v>
      </c>
      <c r="AB517" s="43">
        <v>13.33</v>
      </c>
      <c r="AC517" s="25">
        <v>13.87</v>
      </c>
      <c r="AD517" s="25">
        <f>AC517*T517</f>
        <v>13.87</v>
      </c>
      <c r="AE517" s="25">
        <f>AB517*T517</f>
        <v>13.33</v>
      </c>
      <c r="AF517" s="25">
        <f>AD517-AE517</f>
        <v>0.53999999999999915</v>
      </c>
      <c r="AG517" s="26">
        <f>AF517/AD517</f>
        <v>3.8932948810382062E-2</v>
      </c>
      <c r="AH517" s="27" t="str">
        <f>IF(AG517&lt;0,"Negative",IF(AG517=0,"Same",IF(AG517&gt;0.3,"30+%",IF(AG517&gt;0.2,"20-30%",IF(AG517&gt;0.1,"10-20%",IF(AG517&lt;=0.1,"0-10%"))))))</f>
        <v>0-10%</v>
      </c>
      <c r="AI517" s="32"/>
      <c r="AJ517" s="36" t="s">
        <v>3299</v>
      </c>
      <c r="AK517" s="32"/>
    </row>
    <row r="518" spans="1:37" s="1" customFormat="1" ht="19.7" customHeight="1" x14ac:dyDescent="0.25">
      <c r="A518" s="5" t="s">
        <v>22</v>
      </c>
      <c r="B518" s="5" t="s">
        <v>2231</v>
      </c>
      <c r="C518" s="6">
        <v>44545</v>
      </c>
      <c r="D518" s="5" t="s">
        <v>24</v>
      </c>
      <c r="E518" s="5" t="s">
        <v>25</v>
      </c>
      <c r="F518" s="5" t="s">
        <v>26</v>
      </c>
      <c r="G518" s="5" t="s">
        <v>27</v>
      </c>
      <c r="H518" s="5" t="s">
        <v>28</v>
      </c>
      <c r="I518" s="5" t="s">
        <v>29</v>
      </c>
      <c r="J518" s="5" t="s">
        <v>30</v>
      </c>
      <c r="K518" s="5" t="s">
        <v>31</v>
      </c>
      <c r="L518" s="5" t="s">
        <v>32</v>
      </c>
      <c r="M518" s="5" t="s">
        <v>1168</v>
      </c>
      <c r="N518" s="5" t="s">
        <v>2230</v>
      </c>
      <c r="O518" s="5" t="s">
        <v>1071</v>
      </c>
      <c r="P518" s="5" t="s">
        <v>1169</v>
      </c>
      <c r="Q518" s="5">
        <v>100760596</v>
      </c>
      <c r="R518" s="5" t="s">
        <v>61</v>
      </c>
      <c r="S518" s="5" t="s">
        <v>39</v>
      </c>
      <c r="T518" s="7">
        <v>1</v>
      </c>
      <c r="U518" s="15" t="s">
        <v>1071</v>
      </c>
      <c r="V518" s="16" t="s">
        <v>1169</v>
      </c>
      <c r="W518" s="17">
        <v>100760596</v>
      </c>
      <c r="X518" s="16" t="s">
        <v>2947</v>
      </c>
      <c r="Y518" s="17" t="s">
        <v>2948</v>
      </c>
      <c r="Z518" s="17" t="s">
        <v>39</v>
      </c>
      <c r="AA518" s="17" t="s">
        <v>37</v>
      </c>
      <c r="AB518" s="43">
        <v>52.85</v>
      </c>
      <c r="AC518" s="25">
        <v>56.61</v>
      </c>
      <c r="AD518" s="25">
        <f>AC518*T518</f>
        <v>56.61</v>
      </c>
      <c r="AE518" s="25">
        <f>AB518*T518</f>
        <v>52.85</v>
      </c>
      <c r="AF518" s="25">
        <f>AD518-AE518</f>
        <v>3.759999999999998</v>
      </c>
      <c r="AG518" s="26">
        <f>AF518/AD518</f>
        <v>6.641936053700756E-2</v>
      </c>
      <c r="AH518" s="27" t="str">
        <f>IF(AG518&lt;0,"Negative",IF(AG518=0,"Same",IF(AG518&gt;0.3,"30+%",IF(AG518&gt;0.2,"20-30%",IF(AG518&gt;0.1,"10-20%",IF(AG518&lt;=0.1,"0-10%"))))))</f>
        <v>0-10%</v>
      </c>
      <c r="AI518" s="32"/>
      <c r="AJ518" s="36" t="s">
        <v>3299</v>
      </c>
      <c r="AK518" s="32"/>
    </row>
    <row r="519" spans="1:37" s="1" customFormat="1" ht="19.7" customHeight="1" x14ac:dyDescent="0.25">
      <c r="A519" s="5" t="s">
        <v>22</v>
      </c>
      <c r="B519" s="5" t="s">
        <v>1242</v>
      </c>
      <c r="C519" s="6">
        <v>44364</v>
      </c>
      <c r="D519" s="5" t="s">
        <v>24</v>
      </c>
      <c r="E519" s="5" t="s">
        <v>25</v>
      </c>
      <c r="F519" s="5" t="s">
        <v>26</v>
      </c>
      <c r="G519" s="5" t="s">
        <v>27</v>
      </c>
      <c r="H519" s="5" t="s">
        <v>28</v>
      </c>
      <c r="I519" s="5" t="s">
        <v>29</v>
      </c>
      <c r="J519" s="5" t="s">
        <v>30</v>
      </c>
      <c r="K519" s="5" t="s">
        <v>31</v>
      </c>
      <c r="L519" s="5" t="s">
        <v>32</v>
      </c>
      <c r="M519" s="5" t="s">
        <v>1243</v>
      </c>
      <c r="N519" s="5" t="s">
        <v>1244</v>
      </c>
      <c r="O519" s="5" t="s">
        <v>186</v>
      </c>
      <c r="P519" s="5" t="s">
        <v>1245</v>
      </c>
      <c r="Q519" s="5">
        <v>102130701</v>
      </c>
      <c r="R519" s="5" t="s">
        <v>56</v>
      </c>
      <c r="S519" s="5" t="s">
        <v>39</v>
      </c>
      <c r="T519" s="7">
        <v>1</v>
      </c>
      <c r="U519" s="15" t="s">
        <v>186</v>
      </c>
      <c r="V519" s="16" t="s">
        <v>1245</v>
      </c>
      <c r="W519" s="17">
        <v>102130701</v>
      </c>
      <c r="X519" s="16" t="s">
        <v>2565</v>
      </c>
      <c r="Y519" s="17" t="s">
        <v>2974</v>
      </c>
      <c r="Z519" s="17" t="s">
        <v>39</v>
      </c>
      <c r="AA519" s="17" t="s">
        <v>37</v>
      </c>
      <c r="AB519" s="43">
        <v>13.52</v>
      </c>
      <c r="AC519" s="25">
        <v>14.06</v>
      </c>
      <c r="AD519" s="25">
        <f>AC519*T519</f>
        <v>14.06</v>
      </c>
      <c r="AE519" s="25">
        <f>AB519*T519</f>
        <v>13.52</v>
      </c>
      <c r="AF519" s="25">
        <f>AD519-AE519</f>
        <v>0.54000000000000092</v>
      </c>
      <c r="AG519" s="26">
        <f>AF519/AD519</f>
        <v>3.8406827880512154E-2</v>
      </c>
      <c r="AH519" s="27" t="str">
        <f>IF(AG519&lt;0,"Negative",IF(AG519=0,"Same",IF(AG519&gt;0.3,"30+%",IF(AG519&gt;0.2,"20-30%",IF(AG519&gt;0.1,"10-20%",IF(AG519&lt;=0.1,"0-10%"))))))</f>
        <v>0-10%</v>
      </c>
      <c r="AI519" s="32"/>
      <c r="AJ519" s="36" t="s">
        <v>3299</v>
      </c>
      <c r="AK519" s="32"/>
    </row>
    <row r="520" spans="1:37" s="1" customFormat="1" ht="19.7" customHeight="1" x14ac:dyDescent="0.25">
      <c r="A520" s="5" t="s">
        <v>22</v>
      </c>
      <c r="B520" s="5" t="s">
        <v>622</v>
      </c>
      <c r="C520" s="6">
        <v>44281</v>
      </c>
      <c r="D520" s="5" t="s">
        <v>24</v>
      </c>
      <c r="E520" s="5" t="s">
        <v>25</v>
      </c>
      <c r="F520" s="5" t="s">
        <v>26</v>
      </c>
      <c r="G520" s="5" t="s">
        <v>67</v>
      </c>
      <c r="H520" s="5" t="s">
        <v>68</v>
      </c>
      <c r="I520" s="5" t="s">
        <v>29</v>
      </c>
      <c r="J520" s="5" t="s">
        <v>30</v>
      </c>
      <c r="K520" s="5" t="s">
        <v>31</v>
      </c>
      <c r="L520" s="5" t="s">
        <v>32</v>
      </c>
      <c r="M520" s="5" t="s">
        <v>626</v>
      </c>
      <c r="N520" s="5" t="s">
        <v>624</v>
      </c>
      <c r="O520" s="5" t="s">
        <v>627</v>
      </c>
      <c r="P520" s="5" t="s">
        <v>628</v>
      </c>
      <c r="Q520" s="5">
        <v>102081009</v>
      </c>
      <c r="R520" s="5" t="s">
        <v>61</v>
      </c>
      <c r="S520" s="5" t="s">
        <v>39</v>
      </c>
      <c r="T520" s="7">
        <v>2</v>
      </c>
      <c r="U520" s="15" t="s">
        <v>627</v>
      </c>
      <c r="V520" s="16" t="s">
        <v>628</v>
      </c>
      <c r="W520" s="17">
        <v>102081009</v>
      </c>
      <c r="X520" s="16" t="s">
        <v>2755</v>
      </c>
      <c r="Y520" s="17" t="s">
        <v>2756</v>
      </c>
      <c r="Z520" s="17" t="s">
        <v>39</v>
      </c>
      <c r="AA520" s="17" t="s">
        <v>37</v>
      </c>
      <c r="AB520" s="43">
        <v>21.1</v>
      </c>
      <c r="AC520" s="25">
        <v>22.53</v>
      </c>
      <c r="AD520" s="25">
        <f>AC520*T520</f>
        <v>45.06</v>
      </c>
      <c r="AE520" s="25">
        <f>AB520*T520</f>
        <v>42.2</v>
      </c>
      <c r="AF520" s="25">
        <f>AD520-AE520</f>
        <v>2.8599999999999994</v>
      </c>
      <c r="AG520" s="26">
        <f>AF520/AD520</f>
        <v>6.3470927652019518E-2</v>
      </c>
      <c r="AH520" s="27" t="str">
        <f>IF(AG520&lt;0,"Negative",IF(AG520=0,"Same",IF(AG520&gt;0.3,"30+%",IF(AG520&gt;0.2,"20-30%",IF(AG520&gt;0.1,"10-20%",IF(AG520&lt;=0.1,"0-10%"))))))</f>
        <v>0-10%</v>
      </c>
      <c r="AI520" s="32"/>
      <c r="AJ520" s="36" t="s">
        <v>3299</v>
      </c>
      <c r="AK520" s="32"/>
    </row>
    <row r="521" spans="1:37" s="1" customFormat="1" ht="19.7" customHeight="1" x14ac:dyDescent="0.25">
      <c r="A521" s="5" t="s">
        <v>22</v>
      </c>
      <c r="B521" s="5" t="s">
        <v>1479</v>
      </c>
      <c r="C521" s="6">
        <v>44403</v>
      </c>
      <c r="D521" s="5" t="s">
        <v>24</v>
      </c>
      <c r="E521" s="5" t="s">
        <v>25</v>
      </c>
      <c r="F521" s="5" t="s">
        <v>26</v>
      </c>
      <c r="G521" s="5" t="s">
        <v>67</v>
      </c>
      <c r="H521" s="5" t="s">
        <v>68</v>
      </c>
      <c r="I521" s="5" t="s">
        <v>29</v>
      </c>
      <c r="J521" s="5" t="s">
        <v>30</v>
      </c>
      <c r="K521" s="5" t="s">
        <v>31</v>
      </c>
      <c r="L521" s="5" t="s">
        <v>32</v>
      </c>
      <c r="M521" s="5" t="s">
        <v>626</v>
      </c>
      <c r="N521" s="5" t="s">
        <v>1480</v>
      </c>
      <c r="O521" s="5" t="s">
        <v>627</v>
      </c>
      <c r="P521" s="5" t="s">
        <v>628</v>
      </c>
      <c r="Q521" s="5">
        <v>102081009</v>
      </c>
      <c r="R521" s="5" t="s">
        <v>61</v>
      </c>
      <c r="S521" s="5" t="s">
        <v>39</v>
      </c>
      <c r="T521" s="7">
        <v>4</v>
      </c>
      <c r="U521" s="15" t="s">
        <v>627</v>
      </c>
      <c r="V521" s="16" t="s">
        <v>628</v>
      </c>
      <c r="W521" s="17">
        <v>102081009</v>
      </c>
      <c r="X521" s="16" t="s">
        <v>2755</v>
      </c>
      <c r="Y521" s="17" t="s">
        <v>2756</v>
      </c>
      <c r="Z521" s="17" t="s">
        <v>39</v>
      </c>
      <c r="AA521" s="17" t="s">
        <v>37</v>
      </c>
      <c r="AB521" s="43">
        <v>21.1</v>
      </c>
      <c r="AC521" s="25">
        <v>22.53</v>
      </c>
      <c r="AD521" s="25">
        <f>AC521*T521</f>
        <v>90.12</v>
      </c>
      <c r="AE521" s="25">
        <f>AB521*T521</f>
        <v>84.4</v>
      </c>
      <c r="AF521" s="25">
        <f>AD521-AE521</f>
        <v>5.7199999999999989</v>
      </c>
      <c r="AG521" s="26">
        <f>AF521/AD521</f>
        <v>6.3470927652019518E-2</v>
      </c>
      <c r="AH521" s="27" t="str">
        <f>IF(AG521&lt;0,"Negative",IF(AG521=0,"Same",IF(AG521&gt;0.3,"30+%",IF(AG521&gt;0.2,"20-30%",IF(AG521&gt;0.1,"10-20%",IF(AG521&lt;=0.1,"0-10%"))))))</f>
        <v>0-10%</v>
      </c>
      <c r="AI521" s="32"/>
      <c r="AJ521" s="36" t="s">
        <v>3299</v>
      </c>
      <c r="AK521" s="32"/>
    </row>
    <row r="522" spans="1:37" s="1" customFormat="1" ht="19.7" customHeight="1" x14ac:dyDescent="0.25">
      <c r="A522" s="5" t="s">
        <v>22</v>
      </c>
      <c r="B522" s="5" t="s">
        <v>1479</v>
      </c>
      <c r="C522" s="6">
        <v>44403</v>
      </c>
      <c r="D522" s="5" t="s">
        <v>24</v>
      </c>
      <c r="E522" s="5" t="s">
        <v>25</v>
      </c>
      <c r="F522" s="5" t="s">
        <v>26</v>
      </c>
      <c r="G522" s="5" t="s">
        <v>67</v>
      </c>
      <c r="H522" s="5" t="s">
        <v>68</v>
      </c>
      <c r="I522" s="5" t="s">
        <v>29</v>
      </c>
      <c r="J522" s="5" t="s">
        <v>30</v>
      </c>
      <c r="K522" s="5" t="s">
        <v>31</v>
      </c>
      <c r="L522" s="5" t="s">
        <v>32</v>
      </c>
      <c r="M522" s="5" t="s">
        <v>695</v>
      </c>
      <c r="N522" s="5" t="s">
        <v>1480</v>
      </c>
      <c r="O522" s="5" t="s">
        <v>43</v>
      </c>
      <c r="P522" s="5" t="s">
        <v>696</v>
      </c>
      <c r="Q522" s="5">
        <v>111732828</v>
      </c>
      <c r="R522" s="5" t="s">
        <v>73</v>
      </c>
      <c r="S522" s="5" t="s">
        <v>39</v>
      </c>
      <c r="T522" s="7">
        <v>2</v>
      </c>
      <c r="U522" s="15" t="s">
        <v>43</v>
      </c>
      <c r="V522" s="16" t="s">
        <v>696</v>
      </c>
      <c r="W522" s="17">
        <v>111732828</v>
      </c>
      <c r="X522" s="16" t="s">
        <v>2745</v>
      </c>
      <c r="Y522" s="17" t="s">
        <v>2782</v>
      </c>
      <c r="Z522" s="17" t="s">
        <v>39</v>
      </c>
      <c r="AA522" s="17" t="s">
        <v>2501</v>
      </c>
      <c r="AB522" s="29">
        <v>159.12</v>
      </c>
      <c r="AC522" s="25">
        <v>152.99</v>
      </c>
      <c r="AD522" s="25">
        <f>AC522*T522</f>
        <v>305.98</v>
      </c>
      <c r="AE522" s="25">
        <f>AB522*T522</f>
        <v>318.24</v>
      </c>
      <c r="AF522" s="25">
        <f>AD522-AE522</f>
        <v>-12.259999999999991</v>
      </c>
      <c r="AG522" s="26">
        <f>AF522/AD522</f>
        <v>-4.006797829923521E-2</v>
      </c>
      <c r="AH522" s="27" t="str">
        <f>IF(AG522&lt;0,"Negative",IF(AG522=0,"Same",IF(AG522&gt;0.3,"30+%",IF(AG522&gt;0.2,"20-30%",IF(AG522&gt;0.1,"10-20%",IF(AG522&lt;=0.1,"0-10%"))))))</f>
        <v>Negative</v>
      </c>
      <c r="AI522" s="32"/>
      <c r="AJ522" s="36" t="s">
        <v>3300</v>
      </c>
      <c r="AK522" s="32"/>
    </row>
    <row r="523" spans="1:37" s="1" customFormat="1" ht="19.7" customHeight="1" x14ac:dyDescent="0.25">
      <c r="A523" s="9" t="s">
        <v>22</v>
      </c>
      <c r="B523" s="9" t="s">
        <v>2484</v>
      </c>
      <c r="C523" s="10">
        <v>44589</v>
      </c>
      <c r="D523" s="9" t="s">
        <v>24</v>
      </c>
      <c r="E523" s="9" t="s">
        <v>25</v>
      </c>
      <c r="F523" s="9" t="s">
        <v>26</v>
      </c>
      <c r="G523" s="9" t="s">
        <v>67</v>
      </c>
      <c r="H523" s="9" t="s">
        <v>68</v>
      </c>
      <c r="I523" s="9" t="s">
        <v>29</v>
      </c>
      <c r="J523" s="9" t="s">
        <v>30</v>
      </c>
      <c r="K523" s="9" t="s">
        <v>31</v>
      </c>
      <c r="L523" s="9" t="s">
        <v>32</v>
      </c>
      <c r="M523" s="9" t="s">
        <v>695</v>
      </c>
      <c r="N523" s="9" t="s">
        <v>2407</v>
      </c>
      <c r="O523" s="9" t="s">
        <v>43</v>
      </c>
      <c r="P523" s="9" t="s">
        <v>696</v>
      </c>
      <c r="Q523" s="9">
        <v>111732828</v>
      </c>
      <c r="R523" s="9" t="s">
        <v>73</v>
      </c>
      <c r="S523" s="9" t="s">
        <v>39</v>
      </c>
      <c r="T523" s="11">
        <v>1</v>
      </c>
      <c r="U523" s="15" t="s">
        <v>43</v>
      </c>
      <c r="V523" s="16" t="s">
        <v>696</v>
      </c>
      <c r="W523" s="17">
        <v>111732828</v>
      </c>
      <c r="X523" s="16" t="s">
        <v>2745</v>
      </c>
      <c r="Y523" s="17" t="s">
        <v>2782</v>
      </c>
      <c r="Z523" s="17" t="s">
        <v>39</v>
      </c>
      <c r="AA523" s="17" t="s">
        <v>2501</v>
      </c>
      <c r="AB523" s="29">
        <v>159.12</v>
      </c>
      <c r="AC523" s="25">
        <v>152.99</v>
      </c>
      <c r="AD523" s="25">
        <f>AC523*T523</f>
        <v>152.99</v>
      </c>
      <c r="AE523" s="25">
        <f>AB523*T523</f>
        <v>159.12</v>
      </c>
      <c r="AF523" s="25">
        <f>AD523-AE523</f>
        <v>-6.1299999999999955</v>
      </c>
      <c r="AG523" s="26">
        <f>AF523/AD523</f>
        <v>-4.006797829923521E-2</v>
      </c>
      <c r="AH523" s="27" t="str">
        <f>IF(AG523&lt;0,"Negative",IF(AG523=0,"Same",IF(AG523&gt;0.3,"30+%",IF(AG523&gt;0.2,"20-30%",IF(AG523&gt;0.1,"10-20%",IF(AG523&lt;=0.1,"0-10%"))))))</f>
        <v>Negative</v>
      </c>
      <c r="AI523" s="32"/>
      <c r="AJ523" s="36" t="s">
        <v>3300</v>
      </c>
      <c r="AK523" s="32"/>
    </row>
    <row r="524" spans="1:37" s="1" customFormat="1" ht="19.7" customHeight="1" x14ac:dyDescent="0.25">
      <c r="A524" s="5" t="s">
        <v>22</v>
      </c>
      <c r="B524" s="5" t="s">
        <v>1683</v>
      </c>
      <c r="C524" s="6">
        <v>44435</v>
      </c>
      <c r="D524" s="5" t="s">
        <v>24</v>
      </c>
      <c r="E524" s="5" t="s">
        <v>25</v>
      </c>
      <c r="F524" s="5" t="s">
        <v>26</v>
      </c>
      <c r="G524" s="5" t="s">
        <v>67</v>
      </c>
      <c r="H524" s="5" t="s">
        <v>68</v>
      </c>
      <c r="I524" s="5" t="s">
        <v>29</v>
      </c>
      <c r="J524" s="5" t="s">
        <v>30</v>
      </c>
      <c r="K524" s="5" t="s">
        <v>31</v>
      </c>
      <c r="L524" s="5" t="s">
        <v>32</v>
      </c>
      <c r="M524" s="5" t="s">
        <v>695</v>
      </c>
      <c r="N524" s="5" t="s">
        <v>1393</v>
      </c>
      <c r="O524" s="5" t="s">
        <v>43</v>
      </c>
      <c r="P524" s="5" t="s">
        <v>696</v>
      </c>
      <c r="Q524" s="5">
        <v>111732828</v>
      </c>
      <c r="R524" s="5" t="s">
        <v>73</v>
      </c>
      <c r="S524" s="5" t="s">
        <v>39</v>
      </c>
      <c r="T524" s="7">
        <v>1</v>
      </c>
      <c r="U524" s="15" t="s">
        <v>43</v>
      </c>
      <c r="V524" s="16" t="s">
        <v>696</v>
      </c>
      <c r="W524" s="17">
        <v>111732828</v>
      </c>
      <c r="X524" s="16" t="s">
        <v>2745</v>
      </c>
      <c r="Y524" s="17" t="s">
        <v>2782</v>
      </c>
      <c r="Z524" s="17" t="s">
        <v>39</v>
      </c>
      <c r="AA524" s="17" t="s">
        <v>2501</v>
      </c>
      <c r="AB524" s="29">
        <v>159.12</v>
      </c>
      <c r="AC524" s="25">
        <v>152.99</v>
      </c>
      <c r="AD524" s="25">
        <f>AC524*T524</f>
        <v>152.99</v>
      </c>
      <c r="AE524" s="25">
        <f>AB524*T524</f>
        <v>159.12</v>
      </c>
      <c r="AF524" s="25">
        <f>AD524-AE524</f>
        <v>-6.1299999999999955</v>
      </c>
      <c r="AG524" s="26">
        <f>AF524/AD524</f>
        <v>-4.006797829923521E-2</v>
      </c>
      <c r="AH524" s="27" t="str">
        <f>IF(AG524&lt;0,"Negative",IF(AG524=0,"Same",IF(AG524&gt;0.3,"30+%",IF(AG524&gt;0.2,"20-30%",IF(AG524&gt;0.1,"10-20%",IF(AG524&lt;=0.1,"0-10%"))))))</f>
        <v>Negative</v>
      </c>
      <c r="AI524" s="32"/>
      <c r="AJ524" s="36" t="s">
        <v>3300</v>
      </c>
      <c r="AK524" s="32"/>
    </row>
    <row r="525" spans="1:37" s="1" customFormat="1" ht="19.7" customHeight="1" x14ac:dyDescent="0.25">
      <c r="A525" s="9" t="s">
        <v>22</v>
      </c>
      <c r="B525" s="9" t="s">
        <v>1537</v>
      </c>
      <c r="C525" s="10">
        <v>44407</v>
      </c>
      <c r="D525" s="9" t="s">
        <v>24</v>
      </c>
      <c r="E525" s="9" t="s">
        <v>25</v>
      </c>
      <c r="F525" s="9" t="s">
        <v>26</v>
      </c>
      <c r="G525" s="9" t="s">
        <v>67</v>
      </c>
      <c r="H525" s="9" t="s">
        <v>68</v>
      </c>
      <c r="I525" s="9" t="s">
        <v>29</v>
      </c>
      <c r="J525" s="9" t="s">
        <v>30</v>
      </c>
      <c r="K525" s="9" t="s">
        <v>31</v>
      </c>
      <c r="L525" s="9" t="s">
        <v>32</v>
      </c>
      <c r="M525" s="9" t="s">
        <v>695</v>
      </c>
      <c r="N525" s="9" t="s">
        <v>1538</v>
      </c>
      <c r="O525" s="9" t="s">
        <v>43</v>
      </c>
      <c r="P525" s="9" t="s">
        <v>696</v>
      </c>
      <c r="Q525" s="9">
        <v>111732828</v>
      </c>
      <c r="R525" s="9" t="s">
        <v>73</v>
      </c>
      <c r="S525" s="9" t="s">
        <v>39</v>
      </c>
      <c r="T525" s="11">
        <v>1</v>
      </c>
      <c r="U525" s="15" t="s">
        <v>43</v>
      </c>
      <c r="V525" s="16" t="s">
        <v>696</v>
      </c>
      <c r="W525" s="17">
        <v>111732828</v>
      </c>
      <c r="X525" s="16" t="s">
        <v>2745</v>
      </c>
      <c r="Y525" s="17" t="s">
        <v>2782</v>
      </c>
      <c r="Z525" s="17" t="s">
        <v>39</v>
      </c>
      <c r="AA525" s="17" t="s">
        <v>2501</v>
      </c>
      <c r="AB525" s="29">
        <v>159.12</v>
      </c>
      <c r="AC525" s="25">
        <v>152.99</v>
      </c>
      <c r="AD525" s="25">
        <f>AC525*T525</f>
        <v>152.99</v>
      </c>
      <c r="AE525" s="25">
        <f>AB525*T525</f>
        <v>159.12</v>
      </c>
      <c r="AF525" s="25">
        <f>AD525-AE525</f>
        <v>-6.1299999999999955</v>
      </c>
      <c r="AG525" s="26">
        <f>AF525/AD525</f>
        <v>-4.006797829923521E-2</v>
      </c>
      <c r="AH525" s="27" t="str">
        <f>IF(AG525&lt;0,"Negative",IF(AG525=0,"Same",IF(AG525&gt;0.3,"30+%",IF(AG525&gt;0.2,"20-30%",IF(AG525&gt;0.1,"10-20%",IF(AG525&lt;=0.1,"0-10%"))))))</f>
        <v>Negative</v>
      </c>
      <c r="AI525" s="32"/>
      <c r="AJ525" s="36" t="s">
        <v>3300</v>
      </c>
      <c r="AK525" s="32"/>
    </row>
    <row r="526" spans="1:37" s="1" customFormat="1" ht="19.7" customHeight="1" x14ac:dyDescent="0.25">
      <c r="A526" s="5" t="s">
        <v>22</v>
      </c>
      <c r="B526" s="5" t="s">
        <v>1539</v>
      </c>
      <c r="C526" s="6">
        <v>44407</v>
      </c>
      <c r="D526" s="5" t="s">
        <v>24</v>
      </c>
      <c r="E526" s="5" t="s">
        <v>25</v>
      </c>
      <c r="F526" s="5" t="s">
        <v>26</v>
      </c>
      <c r="G526" s="5" t="s">
        <v>67</v>
      </c>
      <c r="H526" s="5" t="s">
        <v>68</v>
      </c>
      <c r="I526" s="5" t="s">
        <v>29</v>
      </c>
      <c r="J526" s="5" t="s">
        <v>30</v>
      </c>
      <c r="K526" s="5" t="s">
        <v>31</v>
      </c>
      <c r="L526" s="5" t="s">
        <v>32</v>
      </c>
      <c r="M526" s="5" t="s">
        <v>695</v>
      </c>
      <c r="N526" s="5" t="s">
        <v>1538</v>
      </c>
      <c r="O526" s="5" t="s">
        <v>43</v>
      </c>
      <c r="P526" s="5" t="s">
        <v>696</v>
      </c>
      <c r="Q526" s="5">
        <v>111732828</v>
      </c>
      <c r="R526" s="5" t="s">
        <v>73</v>
      </c>
      <c r="S526" s="5" t="s">
        <v>39</v>
      </c>
      <c r="T526" s="7">
        <v>1</v>
      </c>
      <c r="U526" s="15" t="s">
        <v>43</v>
      </c>
      <c r="V526" s="16" t="s">
        <v>696</v>
      </c>
      <c r="W526" s="17">
        <v>111732828</v>
      </c>
      <c r="X526" s="16" t="s">
        <v>2745</v>
      </c>
      <c r="Y526" s="17" t="s">
        <v>2782</v>
      </c>
      <c r="Z526" s="17" t="s">
        <v>39</v>
      </c>
      <c r="AA526" s="17" t="s">
        <v>2501</v>
      </c>
      <c r="AB526" s="29">
        <v>159.12</v>
      </c>
      <c r="AC526" s="25">
        <v>152.99</v>
      </c>
      <c r="AD526" s="25">
        <f>AC526*T526</f>
        <v>152.99</v>
      </c>
      <c r="AE526" s="25">
        <f>AB526*T526</f>
        <v>159.12</v>
      </c>
      <c r="AF526" s="25">
        <f>AD526-AE526</f>
        <v>-6.1299999999999955</v>
      </c>
      <c r="AG526" s="26">
        <f>AF526/AD526</f>
        <v>-4.006797829923521E-2</v>
      </c>
      <c r="AH526" s="27" t="str">
        <f>IF(AG526&lt;0,"Negative",IF(AG526=0,"Same",IF(AG526&gt;0.3,"30+%",IF(AG526&gt;0.2,"20-30%",IF(AG526&gt;0.1,"10-20%",IF(AG526&lt;=0.1,"0-10%"))))))</f>
        <v>Negative</v>
      </c>
      <c r="AI526" s="32"/>
      <c r="AJ526" s="36" t="s">
        <v>3300</v>
      </c>
      <c r="AK526" s="32"/>
    </row>
    <row r="527" spans="1:37" s="1" customFormat="1" ht="19.7" customHeight="1" x14ac:dyDescent="0.25">
      <c r="A527" s="5" t="s">
        <v>22</v>
      </c>
      <c r="B527" s="5" t="s">
        <v>1216</v>
      </c>
      <c r="C527" s="6">
        <v>44361</v>
      </c>
      <c r="D527" s="5" t="s">
        <v>24</v>
      </c>
      <c r="E527" s="5" t="s">
        <v>25</v>
      </c>
      <c r="F527" s="5" t="s">
        <v>26</v>
      </c>
      <c r="G527" s="5" t="s">
        <v>67</v>
      </c>
      <c r="H527" s="5" t="s">
        <v>68</v>
      </c>
      <c r="I527" s="5" t="s">
        <v>29</v>
      </c>
      <c r="J527" s="5" t="s">
        <v>30</v>
      </c>
      <c r="K527" s="5" t="s">
        <v>31</v>
      </c>
      <c r="L527" s="5" t="s">
        <v>32</v>
      </c>
      <c r="M527" s="5" t="s">
        <v>695</v>
      </c>
      <c r="N527" s="5" t="s">
        <v>1217</v>
      </c>
      <c r="O527" s="5" t="s">
        <v>43</v>
      </c>
      <c r="P527" s="5" t="s">
        <v>696</v>
      </c>
      <c r="Q527" s="5">
        <v>111732828</v>
      </c>
      <c r="R527" s="5" t="s">
        <v>73</v>
      </c>
      <c r="S527" s="5" t="s">
        <v>39</v>
      </c>
      <c r="T527" s="7">
        <v>1</v>
      </c>
      <c r="U527" s="15" t="s">
        <v>43</v>
      </c>
      <c r="V527" s="16" t="s">
        <v>696</v>
      </c>
      <c r="W527" s="17">
        <v>111732828</v>
      </c>
      <c r="X527" s="16" t="s">
        <v>2745</v>
      </c>
      <c r="Y527" s="17" t="s">
        <v>2782</v>
      </c>
      <c r="Z527" s="17" t="s">
        <v>39</v>
      </c>
      <c r="AA527" s="17" t="s">
        <v>2501</v>
      </c>
      <c r="AB527" s="29">
        <v>159.12</v>
      </c>
      <c r="AC527" s="25">
        <v>152.99</v>
      </c>
      <c r="AD527" s="25">
        <f>AC527*T527</f>
        <v>152.99</v>
      </c>
      <c r="AE527" s="25">
        <f>AB527*T527</f>
        <v>159.12</v>
      </c>
      <c r="AF527" s="25">
        <f>AD527-AE527</f>
        <v>-6.1299999999999955</v>
      </c>
      <c r="AG527" s="26">
        <f>AF527/AD527</f>
        <v>-4.006797829923521E-2</v>
      </c>
      <c r="AH527" s="27" t="str">
        <f>IF(AG527&lt;0,"Negative",IF(AG527=0,"Same",IF(AG527&gt;0.3,"30+%",IF(AG527&gt;0.2,"20-30%",IF(AG527&gt;0.1,"10-20%",IF(AG527&lt;=0.1,"0-10%"))))))</f>
        <v>Negative</v>
      </c>
      <c r="AI527" s="32"/>
      <c r="AJ527" s="36" t="s">
        <v>3300</v>
      </c>
      <c r="AK527" s="32"/>
    </row>
    <row r="528" spans="1:37" s="1" customFormat="1" ht="19.7" customHeight="1" x14ac:dyDescent="0.25">
      <c r="A528" s="5" t="s">
        <v>22</v>
      </c>
      <c r="B528" s="5" t="s">
        <v>2207</v>
      </c>
      <c r="C528" s="6">
        <v>44540</v>
      </c>
      <c r="D528" s="5" t="s">
        <v>24</v>
      </c>
      <c r="E528" s="5" t="s">
        <v>25</v>
      </c>
      <c r="F528" s="5" t="s">
        <v>26</v>
      </c>
      <c r="G528" s="5" t="s">
        <v>67</v>
      </c>
      <c r="H528" s="5" t="s">
        <v>68</v>
      </c>
      <c r="I528" s="5" t="s">
        <v>29</v>
      </c>
      <c r="J528" s="5" t="s">
        <v>30</v>
      </c>
      <c r="K528" s="5" t="s">
        <v>31</v>
      </c>
      <c r="L528" s="5" t="s">
        <v>32</v>
      </c>
      <c r="M528" s="5" t="s">
        <v>280</v>
      </c>
      <c r="N528" s="5" t="s">
        <v>2208</v>
      </c>
      <c r="O528" s="5" t="s">
        <v>79</v>
      </c>
      <c r="P528" s="5" t="s">
        <v>281</v>
      </c>
      <c r="Q528" s="5">
        <v>101527246</v>
      </c>
      <c r="R528" s="5" t="s">
        <v>61</v>
      </c>
      <c r="S528" s="5" t="s">
        <v>39</v>
      </c>
      <c r="T528" s="7">
        <v>2</v>
      </c>
      <c r="U528" s="15" t="s">
        <v>79</v>
      </c>
      <c r="V528" s="16" t="s">
        <v>281</v>
      </c>
      <c r="W528" s="17">
        <v>101527246</v>
      </c>
      <c r="X528" s="16" t="s">
        <v>2540</v>
      </c>
      <c r="Y528" s="17" t="s">
        <v>2605</v>
      </c>
      <c r="Z528" s="17" t="s">
        <v>39</v>
      </c>
      <c r="AA528" s="17" t="s">
        <v>37</v>
      </c>
      <c r="AB528" s="43">
        <v>13.52</v>
      </c>
      <c r="AC528" s="25">
        <v>17.05</v>
      </c>
      <c r="AD528" s="25">
        <f>AC528*T528</f>
        <v>34.1</v>
      </c>
      <c r="AE528" s="25">
        <f>AB528*T528</f>
        <v>27.04</v>
      </c>
      <c r="AF528" s="25">
        <f>AD528-AE528</f>
        <v>7.0600000000000023</v>
      </c>
      <c r="AG528" s="26">
        <f>AF528/AD528</f>
        <v>0.20703812316715547</v>
      </c>
      <c r="AH528" s="27" t="str">
        <f>IF(AG528&lt;0,"Negative",IF(AG528=0,"Same",IF(AG528&gt;0.3,"30+%",IF(AG528&gt;0.2,"20-30%",IF(AG528&gt;0.1,"10-20%",IF(AG528&lt;=0.1,"0-10%"))))))</f>
        <v>20-30%</v>
      </c>
      <c r="AI528" s="32"/>
      <c r="AJ528" s="36" t="s">
        <v>3299</v>
      </c>
      <c r="AK528" s="32"/>
    </row>
    <row r="529" spans="1:37" s="1" customFormat="1" ht="19.7" customHeight="1" x14ac:dyDescent="0.25">
      <c r="A529" s="5" t="s">
        <v>22</v>
      </c>
      <c r="B529" s="5" t="s">
        <v>2193</v>
      </c>
      <c r="C529" s="6">
        <v>44536</v>
      </c>
      <c r="D529" s="5" t="s">
        <v>24</v>
      </c>
      <c r="E529" s="5" t="s">
        <v>25</v>
      </c>
      <c r="F529" s="5" t="s">
        <v>26</v>
      </c>
      <c r="G529" s="5" t="s">
        <v>67</v>
      </c>
      <c r="H529" s="5" t="s">
        <v>68</v>
      </c>
      <c r="I529" s="5" t="s">
        <v>29</v>
      </c>
      <c r="J529" s="5" t="s">
        <v>30</v>
      </c>
      <c r="K529" s="5" t="s">
        <v>31</v>
      </c>
      <c r="L529" s="5" t="s">
        <v>32</v>
      </c>
      <c r="M529" s="5" t="s">
        <v>280</v>
      </c>
      <c r="N529" s="5" t="s">
        <v>2194</v>
      </c>
      <c r="O529" s="5" t="s">
        <v>79</v>
      </c>
      <c r="P529" s="5" t="s">
        <v>281</v>
      </c>
      <c r="Q529" s="5">
        <v>101527246</v>
      </c>
      <c r="R529" s="5" t="s">
        <v>61</v>
      </c>
      <c r="S529" s="5" t="s">
        <v>39</v>
      </c>
      <c r="T529" s="7">
        <v>4</v>
      </c>
      <c r="U529" s="15" t="s">
        <v>79</v>
      </c>
      <c r="V529" s="16" t="s">
        <v>281</v>
      </c>
      <c r="W529" s="17">
        <v>101527246</v>
      </c>
      <c r="X529" s="16" t="s">
        <v>2540</v>
      </c>
      <c r="Y529" s="17" t="s">
        <v>2605</v>
      </c>
      <c r="Z529" s="17" t="s">
        <v>39</v>
      </c>
      <c r="AA529" s="17" t="s">
        <v>37</v>
      </c>
      <c r="AB529" s="43">
        <v>13.52</v>
      </c>
      <c r="AC529" s="25">
        <v>17.05</v>
      </c>
      <c r="AD529" s="25">
        <f>AC529*T529</f>
        <v>68.2</v>
      </c>
      <c r="AE529" s="25">
        <f>AB529*T529</f>
        <v>54.08</v>
      </c>
      <c r="AF529" s="25">
        <f>AD529-AE529</f>
        <v>14.120000000000005</v>
      </c>
      <c r="AG529" s="26">
        <f>AF529/AD529</f>
        <v>0.20703812316715547</v>
      </c>
      <c r="AH529" s="27" t="str">
        <f>IF(AG529&lt;0,"Negative",IF(AG529=0,"Same",IF(AG529&gt;0.3,"30+%",IF(AG529&gt;0.2,"20-30%",IF(AG529&gt;0.1,"10-20%",IF(AG529&lt;=0.1,"0-10%"))))))</f>
        <v>20-30%</v>
      </c>
      <c r="AI529" s="32"/>
      <c r="AJ529" s="36" t="s">
        <v>3299</v>
      </c>
      <c r="AK529" s="32"/>
    </row>
    <row r="530" spans="1:37" s="1" customFormat="1" ht="19.7" customHeight="1" x14ac:dyDescent="0.25">
      <c r="A530" s="5" t="s">
        <v>22</v>
      </c>
      <c r="B530" s="5" t="s">
        <v>2134</v>
      </c>
      <c r="C530" s="6">
        <v>44522</v>
      </c>
      <c r="D530" s="5" t="s">
        <v>24</v>
      </c>
      <c r="E530" s="5" t="s">
        <v>25</v>
      </c>
      <c r="F530" s="5" t="s">
        <v>26</v>
      </c>
      <c r="G530" s="5" t="s">
        <v>67</v>
      </c>
      <c r="H530" s="5" t="s">
        <v>68</v>
      </c>
      <c r="I530" s="5" t="s">
        <v>29</v>
      </c>
      <c r="J530" s="5" t="s">
        <v>30</v>
      </c>
      <c r="K530" s="5" t="s">
        <v>31</v>
      </c>
      <c r="L530" s="5" t="s">
        <v>32</v>
      </c>
      <c r="M530" s="5" t="s">
        <v>1595</v>
      </c>
      <c r="N530" s="5" t="s">
        <v>2135</v>
      </c>
      <c r="O530" s="5" t="s">
        <v>627</v>
      </c>
      <c r="P530" s="5" t="s">
        <v>1596</v>
      </c>
      <c r="Q530" s="5">
        <v>102106792</v>
      </c>
      <c r="R530" s="5" t="s">
        <v>61</v>
      </c>
      <c r="S530" s="5" t="s">
        <v>39</v>
      </c>
      <c r="T530" s="7">
        <v>2</v>
      </c>
      <c r="U530" s="15" t="s">
        <v>627</v>
      </c>
      <c r="V530" s="16" t="s">
        <v>1596</v>
      </c>
      <c r="W530" s="17">
        <v>102106792</v>
      </c>
      <c r="X530" s="16" t="s">
        <v>3053</v>
      </c>
      <c r="Y530" s="17" t="s">
        <v>3086</v>
      </c>
      <c r="Z530" s="17" t="s">
        <v>39</v>
      </c>
      <c r="AA530" s="17" t="s">
        <v>37</v>
      </c>
      <c r="AB530" s="43">
        <v>25.96</v>
      </c>
      <c r="AC530" s="25">
        <v>26.5</v>
      </c>
      <c r="AD530" s="25">
        <f>AC530*T530</f>
        <v>53</v>
      </c>
      <c r="AE530" s="25">
        <f>AB530*T530</f>
        <v>51.92</v>
      </c>
      <c r="AF530" s="25">
        <f>AD530-AE530</f>
        <v>1.0799999999999983</v>
      </c>
      <c r="AG530" s="26">
        <f>AF530/AD530</f>
        <v>2.0377358490566006E-2</v>
      </c>
      <c r="AH530" s="27" t="str">
        <f>IF(AG530&lt;0,"Negative",IF(AG530=0,"Same",IF(AG530&gt;0.3,"30+%",IF(AG530&gt;0.2,"20-30%",IF(AG530&gt;0.1,"10-20%",IF(AG530&lt;=0.1,"0-10%"))))))</f>
        <v>0-10%</v>
      </c>
      <c r="AI530" s="32"/>
      <c r="AJ530" s="36" t="s">
        <v>3300</v>
      </c>
      <c r="AK530" s="32"/>
    </row>
    <row r="531" spans="1:37" s="1" customFormat="1" ht="19.7" customHeight="1" x14ac:dyDescent="0.25">
      <c r="A531" s="9" t="s">
        <v>22</v>
      </c>
      <c r="B531" s="9" t="s">
        <v>2107</v>
      </c>
      <c r="C531" s="10">
        <v>44519</v>
      </c>
      <c r="D531" s="9" t="s">
        <v>24</v>
      </c>
      <c r="E531" s="9" t="s">
        <v>25</v>
      </c>
      <c r="F531" s="9" t="s">
        <v>26</v>
      </c>
      <c r="G531" s="9" t="s">
        <v>67</v>
      </c>
      <c r="H531" s="9" t="s">
        <v>68</v>
      </c>
      <c r="I531" s="9" t="s">
        <v>29</v>
      </c>
      <c r="J531" s="9" t="s">
        <v>30</v>
      </c>
      <c r="K531" s="9" t="s">
        <v>31</v>
      </c>
      <c r="L531" s="9" t="s">
        <v>32</v>
      </c>
      <c r="M531" s="9" t="s">
        <v>1595</v>
      </c>
      <c r="N531" s="9" t="s">
        <v>2108</v>
      </c>
      <c r="O531" s="9" t="s">
        <v>627</v>
      </c>
      <c r="P531" s="9" t="s">
        <v>1596</v>
      </c>
      <c r="Q531" s="9">
        <v>102106792</v>
      </c>
      <c r="R531" s="9" t="s">
        <v>61</v>
      </c>
      <c r="S531" s="9" t="s">
        <v>39</v>
      </c>
      <c r="T531" s="11">
        <v>2</v>
      </c>
      <c r="U531" s="15" t="s">
        <v>627</v>
      </c>
      <c r="V531" s="16" t="s">
        <v>1596</v>
      </c>
      <c r="W531" s="17">
        <v>102106792</v>
      </c>
      <c r="X531" s="16" t="s">
        <v>3053</v>
      </c>
      <c r="Y531" s="17" t="s">
        <v>3086</v>
      </c>
      <c r="Z531" s="17" t="s">
        <v>39</v>
      </c>
      <c r="AA531" s="17" t="s">
        <v>37</v>
      </c>
      <c r="AB531" s="43">
        <v>25.96</v>
      </c>
      <c r="AC531" s="25">
        <v>26.5</v>
      </c>
      <c r="AD531" s="25">
        <f>AC531*T531</f>
        <v>53</v>
      </c>
      <c r="AE531" s="25">
        <f>AB531*T531</f>
        <v>51.92</v>
      </c>
      <c r="AF531" s="25">
        <f>AD531-AE531</f>
        <v>1.0799999999999983</v>
      </c>
      <c r="AG531" s="26">
        <f>AF531/AD531</f>
        <v>2.0377358490566006E-2</v>
      </c>
      <c r="AH531" s="27" t="str">
        <f>IF(AG531&lt;0,"Negative",IF(AG531=0,"Same",IF(AG531&gt;0.3,"30+%",IF(AG531&gt;0.2,"20-30%",IF(AG531&gt;0.1,"10-20%",IF(AG531&lt;=0.1,"0-10%"))))))</f>
        <v>0-10%</v>
      </c>
      <c r="AI531" s="32"/>
      <c r="AJ531" s="36" t="s">
        <v>3300</v>
      </c>
      <c r="AK531" s="32"/>
    </row>
    <row r="532" spans="1:37" s="1" customFormat="1" ht="19.7" customHeight="1" x14ac:dyDescent="0.25">
      <c r="A532" s="9" t="s">
        <v>22</v>
      </c>
      <c r="B532" s="9" t="s">
        <v>2274</v>
      </c>
      <c r="C532" s="10">
        <v>44559</v>
      </c>
      <c r="D532" s="9" t="s">
        <v>24</v>
      </c>
      <c r="E532" s="9" t="s">
        <v>25</v>
      </c>
      <c r="F532" s="9" t="s">
        <v>26</v>
      </c>
      <c r="G532" s="9" t="s">
        <v>67</v>
      </c>
      <c r="H532" s="9" t="s">
        <v>68</v>
      </c>
      <c r="I532" s="9" t="s">
        <v>29</v>
      </c>
      <c r="J532" s="9" t="s">
        <v>30</v>
      </c>
      <c r="K532" s="9" t="s">
        <v>31</v>
      </c>
      <c r="L532" s="9" t="s">
        <v>32</v>
      </c>
      <c r="M532" s="9" t="s">
        <v>486</v>
      </c>
      <c r="N532" s="9" t="s">
        <v>2275</v>
      </c>
      <c r="O532" s="9" t="s">
        <v>487</v>
      </c>
      <c r="P532" s="9" t="s">
        <v>488</v>
      </c>
      <c r="Q532" s="9">
        <v>102071638</v>
      </c>
      <c r="R532" s="9" t="s">
        <v>299</v>
      </c>
      <c r="S532" s="9" t="s">
        <v>39</v>
      </c>
      <c r="T532" s="11">
        <v>12</v>
      </c>
      <c r="U532" s="15" t="s">
        <v>487</v>
      </c>
      <c r="V532" s="16" t="s">
        <v>488</v>
      </c>
      <c r="W532" s="17">
        <v>102071638</v>
      </c>
      <c r="X532" s="16" t="s">
        <v>2613</v>
      </c>
      <c r="Y532" s="17" t="s">
        <v>2696</v>
      </c>
      <c r="Z532" s="17" t="s">
        <v>39</v>
      </c>
      <c r="AA532" s="17" t="s">
        <v>37</v>
      </c>
      <c r="AB532" s="43">
        <v>10.51</v>
      </c>
      <c r="AC532" s="25">
        <v>13.9</v>
      </c>
      <c r="AD532" s="25">
        <f>AC532*T532</f>
        <v>166.8</v>
      </c>
      <c r="AE532" s="25">
        <f>AB532*T532</f>
        <v>126.12</v>
      </c>
      <c r="AF532" s="25">
        <f>AD532-AE532</f>
        <v>40.680000000000007</v>
      </c>
      <c r="AG532" s="26">
        <f>AF532/AD532</f>
        <v>0.24388489208633096</v>
      </c>
      <c r="AH532" s="27" t="str">
        <f>IF(AG532&lt;0,"Negative",IF(AG532=0,"Same",IF(AG532&gt;0.3,"30+%",IF(AG532&gt;0.2,"20-30%",IF(AG532&gt;0.1,"10-20%",IF(AG532&lt;=0.1,"0-10%"))))))</f>
        <v>20-30%</v>
      </c>
      <c r="AI532" s="32"/>
      <c r="AJ532" s="36" t="s">
        <v>3299</v>
      </c>
      <c r="AK532" s="32"/>
    </row>
    <row r="533" spans="1:37" s="1" customFormat="1" ht="19.7" customHeight="1" x14ac:dyDescent="0.25">
      <c r="A533" s="5" t="s">
        <v>22</v>
      </c>
      <c r="B533" s="5" t="s">
        <v>1012</v>
      </c>
      <c r="C533" s="6">
        <v>44328</v>
      </c>
      <c r="D533" s="5" t="s">
        <v>24</v>
      </c>
      <c r="E533" s="5" t="s">
        <v>25</v>
      </c>
      <c r="F533" s="5" t="s">
        <v>26</v>
      </c>
      <c r="G533" s="5" t="s">
        <v>27</v>
      </c>
      <c r="H533" s="5" t="s">
        <v>28</v>
      </c>
      <c r="I533" s="5" t="s">
        <v>29</v>
      </c>
      <c r="J533" s="5" t="s">
        <v>30</v>
      </c>
      <c r="K533" s="5" t="s">
        <v>31</v>
      </c>
      <c r="L533" s="5" t="s">
        <v>32</v>
      </c>
      <c r="M533" s="5" t="s">
        <v>974</v>
      </c>
      <c r="N533" s="5" t="s">
        <v>1002</v>
      </c>
      <c r="O533" s="5" t="s">
        <v>627</v>
      </c>
      <c r="P533" s="5" t="s">
        <v>975</v>
      </c>
      <c r="Q533" s="5">
        <v>102106742</v>
      </c>
      <c r="R533" s="5" t="s">
        <v>61</v>
      </c>
      <c r="S533" s="5" t="s">
        <v>39</v>
      </c>
      <c r="T533" s="7">
        <v>1</v>
      </c>
      <c r="U533" s="15" t="s">
        <v>627</v>
      </c>
      <c r="V533" s="16" t="s">
        <v>975</v>
      </c>
      <c r="W533" s="17">
        <v>102106742</v>
      </c>
      <c r="X533" s="16" t="s">
        <v>2882</v>
      </c>
      <c r="Y533" s="17" t="s">
        <v>2883</v>
      </c>
      <c r="Z533" s="17" t="s">
        <v>39</v>
      </c>
      <c r="AA533" s="17" t="s">
        <v>37</v>
      </c>
      <c r="AB533" s="43">
        <v>23.8</v>
      </c>
      <c r="AC533" s="25">
        <v>24.3</v>
      </c>
      <c r="AD533" s="25">
        <f>AC533*T533</f>
        <v>24.3</v>
      </c>
      <c r="AE533" s="25">
        <f>AB533*T533</f>
        <v>23.8</v>
      </c>
      <c r="AF533" s="25">
        <f>AD533-AE533</f>
        <v>0.5</v>
      </c>
      <c r="AG533" s="26">
        <f>AF533/AD533</f>
        <v>2.0576131687242798E-2</v>
      </c>
      <c r="AH533" s="27" t="str">
        <f>IF(AG533&lt;0,"Negative",IF(AG533=0,"Same",IF(AG533&gt;0.3,"30+%",IF(AG533&gt;0.2,"20-30%",IF(AG533&gt;0.1,"10-20%",IF(AG533&lt;=0.1,"0-10%"))))))</f>
        <v>0-10%</v>
      </c>
      <c r="AI533" s="32"/>
      <c r="AJ533" s="36" t="s">
        <v>3300</v>
      </c>
      <c r="AK533" s="32"/>
    </row>
    <row r="534" spans="1:37" s="1" customFormat="1" ht="19.7" customHeight="1" x14ac:dyDescent="0.25">
      <c r="A534" s="9" t="s">
        <v>22</v>
      </c>
      <c r="B534" s="9" t="s">
        <v>970</v>
      </c>
      <c r="C534" s="10">
        <v>44323</v>
      </c>
      <c r="D534" s="9" t="s">
        <v>24</v>
      </c>
      <c r="E534" s="9" t="s">
        <v>25</v>
      </c>
      <c r="F534" s="9" t="s">
        <v>26</v>
      </c>
      <c r="G534" s="9" t="s">
        <v>27</v>
      </c>
      <c r="H534" s="9" t="s">
        <v>28</v>
      </c>
      <c r="I534" s="9" t="s">
        <v>29</v>
      </c>
      <c r="J534" s="9" t="s">
        <v>30</v>
      </c>
      <c r="K534" s="9" t="s">
        <v>31</v>
      </c>
      <c r="L534" s="9" t="s">
        <v>32</v>
      </c>
      <c r="M534" s="9" t="s">
        <v>974</v>
      </c>
      <c r="N534" s="9" t="s">
        <v>972</v>
      </c>
      <c r="O534" s="9" t="s">
        <v>627</v>
      </c>
      <c r="P534" s="9" t="s">
        <v>975</v>
      </c>
      <c r="Q534" s="9">
        <v>102106742</v>
      </c>
      <c r="R534" s="9" t="s">
        <v>61</v>
      </c>
      <c r="S534" s="9" t="s">
        <v>39</v>
      </c>
      <c r="T534" s="11">
        <v>1</v>
      </c>
      <c r="U534" s="15" t="s">
        <v>627</v>
      </c>
      <c r="V534" s="16" t="s">
        <v>975</v>
      </c>
      <c r="W534" s="17">
        <v>102106742</v>
      </c>
      <c r="X534" s="16" t="s">
        <v>2882</v>
      </c>
      <c r="Y534" s="17" t="s">
        <v>2883</v>
      </c>
      <c r="Z534" s="17" t="s">
        <v>39</v>
      </c>
      <c r="AA534" s="17" t="s">
        <v>37</v>
      </c>
      <c r="AB534" s="43">
        <v>23.8</v>
      </c>
      <c r="AC534" s="25">
        <v>24.3</v>
      </c>
      <c r="AD534" s="25">
        <f>AC534*T534</f>
        <v>24.3</v>
      </c>
      <c r="AE534" s="25">
        <f>AB534*T534</f>
        <v>23.8</v>
      </c>
      <c r="AF534" s="25">
        <f>AD534-AE534</f>
        <v>0.5</v>
      </c>
      <c r="AG534" s="26">
        <f>AF534/AD534</f>
        <v>2.0576131687242798E-2</v>
      </c>
      <c r="AH534" s="27" t="str">
        <f>IF(AG534&lt;0,"Negative",IF(AG534=0,"Same",IF(AG534&gt;0.3,"30+%",IF(AG534&gt;0.2,"20-30%",IF(AG534&gt;0.1,"10-20%",IF(AG534&lt;=0.1,"0-10%"))))))</f>
        <v>0-10%</v>
      </c>
      <c r="AI534" s="32"/>
      <c r="AJ534" s="36" t="s">
        <v>3300</v>
      </c>
      <c r="AK534" s="32"/>
    </row>
    <row r="535" spans="1:37" s="1" customFormat="1" ht="19.7" customHeight="1" x14ac:dyDescent="0.25">
      <c r="A535" s="9" t="s">
        <v>22</v>
      </c>
      <c r="B535" s="9" t="s">
        <v>2425</v>
      </c>
      <c r="C535" s="10">
        <v>44585</v>
      </c>
      <c r="D535" s="9" t="s">
        <v>24</v>
      </c>
      <c r="E535" s="9" t="s">
        <v>25</v>
      </c>
      <c r="F535" s="9" t="s">
        <v>26</v>
      </c>
      <c r="G535" s="9" t="s">
        <v>27</v>
      </c>
      <c r="H535" s="9" t="s">
        <v>28</v>
      </c>
      <c r="I535" s="9" t="s">
        <v>29</v>
      </c>
      <c r="J535" s="9" t="s">
        <v>30</v>
      </c>
      <c r="K535" s="9" t="s">
        <v>31</v>
      </c>
      <c r="L535" s="9" t="s">
        <v>32</v>
      </c>
      <c r="M535" s="9" t="s">
        <v>2233</v>
      </c>
      <c r="N535" s="9" t="s">
        <v>2426</v>
      </c>
      <c r="O535" s="9" t="s">
        <v>89</v>
      </c>
      <c r="P535" s="9" t="s">
        <v>2234</v>
      </c>
      <c r="Q535" s="9">
        <v>100747712</v>
      </c>
      <c r="R535" s="9" t="s">
        <v>45</v>
      </c>
      <c r="S535" s="9" t="s">
        <v>39</v>
      </c>
      <c r="T535" s="11">
        <v>4</v>
      </c>
      <c r="U535" s="15" t="s">
        <v>89</v>
      </c>
      <c r="V535" s="16" t="s">
        <v>2234</v>
      </c>
      <c r="W535" s="17">
        <v>100747712</v>
      </c>
      <c r="X535" s="16" t="s">
        <v>2520</v>
      </c>
      <c r="Y535" s="17" t="s">
        <v>3232</v>
      </c>
      <c r="Z535" s="17" t="s">
        <v>39</v>
      </c>
      <c r="AA535" s="17" t="s">
        <v>37</v>
      </c>
      <c r="AB535" s="43">
        <v>15.61</v>
      </c>
      <c r="AC535" s="25">
        <v>18.3</v>
      </c>
      <c r="AD535" s="25">
        <f>AC535*T535</f>
        <v>73.2</v>
      </c>
      <c r="AE535" s="25">
        <f>AB535*T535</f>
        <v>62.44</v>
      </c>
      <c r="AF535" s="25">
        <f>AD535-AE535</f>
        <v>10.760000000000005</v>
      </c>
      <c r="AG535" s="26">
        <f>AF535/AD535</f>
        <v>0.14699453551912575</v>
      </c>
      <c r="AH535" s="27" t="str">
        <f>IF(AG535&lt;0,"Negative",IF(AG535=0,"Same",IF(AG535&gt;0.3,"30+%",IF(AG535&gt;0.2,"20-30%",IF(AG535&gt;0.1,"10-20%",IF(AG535&lt;=0.1,"0-10%"))))))</f>
        <v>10-20%</v>
      </c>
      <c r="AI535" s="32"/>
      <c r="AJ535" s="36" t="s">
        <v>3300</v>
      </c>
      <c r="AK535" s="32"/>
    </row>
    <row r="536" spans="1:37" s="1" customFormat="1" ht="19.7" customHeight="1" x14ac:dyDescent="0.25">
      <c r="A536" s="9" t="s">
        <v>22</v>
      </c>
      <c r="B536" s="9" t="s">
        <v>1176</v>
      </c>
      <c r="C536" s="10">
        <v>44351</v>
      </c>
      <c r="D536" s="9" t="s">
        <v>24</v>
      </c>
      <c r="E536" s="9" t="s">
        <v>25</v>
      </c>
      <c r="F536" s="9" t="s">
        <v>26</v>
      </c>
      <c r="G536" s="9" t="s">
        <v>27</v>
      </c>
      <c r="H536" s="9" t="s">
        <v>28</v>
      </c>
      <c r="I536" s="9" t="s">
        <v>29</v>
      </c>
      <c r="J536" s="9" t="s">
        <v>30</v>
      </c>
      <c r="K536" s="9" t="s">
        <v>31</v>
      </c>
      <c r="L536" s="9" t="s">
        <v>32</v>
      </c>
      <c r="M536" s="9" t="s">
        <v>1156</v>
      </c>
      <c r="N536" s="9" t="s">
        <v>1157</v>
      </c>
      <c r="O536" s="9" t="s">
        <v>169</v>
      </c>
      <c r="P536" s="9" t="s">
        <v>1158</v>
      </c>
      <c r="Q536" s="9">
        <v>100772653</v>
      </c>
      <c r="R536" s="9" t="s">
        <v>56</v>
      </c>
      <c r="S536" s="9" t="s">
        <v>39</v>
      </c>
      <c r="T536" s="11">
        <v>1</v>
      </c>
      <c r="U536" s="15" t="s">
        <v>169</v>
      </c>
      <c r="V536" s="16" t="s">
        <v>1158</v>
      </c>
      <c r="W536" s="17">
        <v>100772653</v>
      </c>
      <c r="X536" s="16" t="s">
        <v>2812</v>
      </c>
      <c r="Y536" s="17" t="s">
        <v>2943</v>
      </c>
      <c r="Z536" s="17" t="s">
        <v>39</v>
      </c>
      <c r="AA536" s="17" t="s">
        <v>37</v>
      </c>
      <c r="AB536" s="43">
        <v>36.53</v>
      </c>
      <c r="AC536" s="25">
        <v>39.24</v>
      </c>
      <c r="AD536" s="25">
        <f>AC536*T536</f>
        <v>39.24</v>
      </c>
      <c r="AE536" s="25">
        <f>AB536*T536</f>
        <v>36.53</v>
      </c>
      <c r="AF536" s="25">
        <f>AD536-AE536</f>
        <v>2.7100000000000009</v>
      </c>
      <c r="AG536" s="26">
        <f>AF536/AD536</f>
        <v>6.9062181447502563E-2</v>
      </c>
      <c r="AH536" s="27" t="str">
        <f>IF(AG536&lt;0,"Negative",IF(AG536=0,"Same",IF(AG536&gt;0.3,"30+%",IF(AG536&gt;0.2,"20-30%",IF(AG536&gt;0.1,"10-20%",IF(AG536&lt;=0.1,"0-10%"))))))</f>
        <v>0-10%</v>
      </c>
      <c r="AI536" s="32"/>
      <c r="AJ536" s="36" t="s">
        <v>3299</v>
      </c>
      <c r="AK536" s="32"/>
    </row>
    <row r="537" spans="1:37" s="1" customFormat="1" ht="19.7" customHeight="1" x14ac:dyDescent="0.25">
      <c r="A537" s="9" t="s">
        <v>22</v>
      </c>
      <c r="B537" s="9" t="s">
        <v>1155</v>
      </c>
      <c r="C537" s="10">
        <v>44349</v>
      </c>
      <c r="D537" s="9" t="s">
        <v>24</v>
      </c>
      <c r="E537" s="9" t="s">
        <v>25</v>
      </c>
      <c r="F537" s="9" t="s">
        <v>26</v>
      </c>
      <c r="G537" s="9" t="s">
        <v>27</v>
      </c>
      <c r="H537" s="9" t="s">
        <v>28</v>
      </c>
      <c r="I537" s="9" t="s">
        <v>29</v>
      </c>
      <c r="J537" s="9" t="s">
        <v>30</v>
      </c>
      <c r="K537" s="9" t="s">
        <v>31</v>
      </c>
      <c r="L537" s="9" t="s">
        <v>32</v>
      </c>
      <c r="M537" s="9" t="s">
        <v>1156</v>
      </c>
      <c r="N537" s="9" t="s">
        <v>1157</v>
      </c>
      <c r="O537" s="9" t="s">
        <v>169</v>
      </c>
      <c r="P537" s="9" t="s">
        <v>1158</v>
      </c>
      <c r="Q537" s="9">
        <v>100772653</v>
      </c>
      <c r="R537" s="9" t="s">
        <v>56</v>
      </c>
      <c r="S537" s="9" t="s">
        <v>39</v>
      </c>
      <c r="T537" s="11">
        <v>4</v>
      </c>
      <c r="U537" s="15" t="s">
        <v>169</v>
      </c>
      <c r="V537" s="16" t="s">
        <v>1158</v>
      </c>
      <c r="W537" s="17">
        <v>100772653</v>
      </c>
      <c r="X537" s="16" t="s">
        <v>2812</v>
      </c>
      <c r="Y537" s="17" t="s">
        <v>2943</v>
      </c>
      <c r="Z537" s="17" t="s">
        <v>39</v>
      </c>
      <c r="AA537" s="17" t="s">
        <v>37</v>
      </c>
      <c r="AB537" s="43">
        <v>36.53</v>
      </c>
      <c r="AC537" s="25">
        <v>39.24</v>
      </c>
      <c r="AD537" s="25">
        <f>AC537*T537</f>
        <v>156.96</v>
      </c>
      <c r="AE537" s="25">
        <f>AB537*T537</f>
        <v>146.12</v>
      </c>
      <c r="AF537" s="25">
        <f>AD537-AE537</f>
        <v>10.840000000000003</v>
      </c>
      <c r="AG537" s="26">
        <f>AF537/AD537</f>
        <v>6.9062181447502563E-2</v>
      </c>
      <c r="AH537" s="27" t="str">
        <f>IF(AG537&lt;0,"Negative",IF(AG537=0,"Same",IF(AG537&gt;0.3,"30+%",IF(AG537&gt;0.2,"20-30%",IF(AG537&gt;0.1,"10-20%",IF(AG537&lt;=0.1,"0-10%"))))))</f>
        <v>0-10%</v>
      </c>
      <c r="AI537" s="32"/>
      <c r="AJ537" s="36" t="s">
        <v>3299</v>
      </c>
      <c r="AK537" s="32"/>
    </row>
    <row r="538" spans="1:37" s="1" customFormat="1" ht="19.7" customHeight="1" x14ac:dyDescent="0.25">
      <c r="A538" s="9" t="s">
        <v>22</v>
      </c>
      <c r="B538" s="9" t="s">
        <v>1552</v>
      </c>
      <c r="C538" s="10">
        <v>44412</v>
      </c>
      <c r="D538" s="9" t="s">
        <v>24</v>
      </c>
      <c r="E538" s="9" t="s">
        <v>25</v>
      </c>
      <c r="F538" s="9" t="s">
        <v>26</v>
      </c>
      <c r="G538" s="9" t="s">
        <v>27</v>
      </c>
      <c r="H538" s="9" t="s">
        <v>28</v>
      </c>
      <c r="I538" s="9" t="s">
        <v>29</v>
      </c>
      <c r="J538" s="9" t="s">
        <v>30</v>
      </c>
      <c r="K538" s="9" t="s">
        <v>31</v>
      </c>
      <c r="L538" s="9" t="s">
        <v>32</v>
      </c>
      <c r="M538" s="9" t="s">
        <v>1156</v>
      </c>
      <c r="N538" s="9" t="s">
        <v>1553</v>
      </c>
      <c r="O538" s="9" t="s">
        <v>169</v>
      </c>
      <c r="P538" s="9" t="s">
        <v>1158</v>
      </c>
      <c r="Q538" s="9">
        <v>100772653</v>
      </c>
      <c r="R538" s="9" t="s">
        <v>56</v>
      </c>
      <c r="S538" s="9" t="s">
        <v>39</v>
      </c>
      <c r="T538" s="11">
        <v>5</v>
      </c>
      <c r="U538" s="15" t="s">
        <v>169</v>
      </c>
      <c r="V538" s="16" t="s">
        <v>1158</v>
      </c>
      <c r="W538" s="17">
        <v>100772653</v>
      </c>
      <c r="X538" s="16" t="s">
        <v>2812</v>
      </c>
      <c r="Y538" s="17" t="s">
        <v>2943</v>
      </c>
      <c r="Z538" s="17" t="s">
        <v>39</v>
      </c>
      <c r="AA538" s="17" t="s">
        <v>37</v>
      </c>
      <c r="AB538" s="43">
        <v>36.53</v>
      </c>
      <c r="AC538" s="25">
        <v>39.24</v>
      </c>
      <c r="AD538" s="25">
        <f>AC538*T538</f>
        <v>196.20000000000002</v>
      </c>
      <c r="AE538" s="25">
        <f>AB538*T538</f>
        <v>182.65</v>
      </c>
      <c r="AF538" s="25">
        <f>AD538-AE538</f>
        <v>13.550000000000011</v>
      </c>
      <c r="AG538" s="26">
        <f>AF538/AD538</f>
        <v>6.9062181447502605E-2</v>
      </c>
      <c r="AH538" s="27" t="str">
        <f>IF(AG538&lt;0,"Negative",IF(AG538=0,"Same",IF(AG538&gt;0.3,"30+%",IF(AG538&gt;0.2,"20-30%",IF(AG538&gt;0.1,"10-20%",IF(AG538&lt;=0.1,"0-10%"))))))</f>
        <v>0-10%</v>
      </c>
      <c r="AI538" s="32"/>
      <c r="AJ538" s="36" t="s">
        <v>3299</v>
      </c>
      <c r="AK538" s="32"/>
    </row>
    <row r="539" spans="1:37" s="1" customFormat="1" ht="19.7" customHeight="1" x14ac:dyDescent="0.25">
      <c r="A539" s="9" t="s">
        <v>22</v>
      </c>
      <c r="B539" s="9" t="s">
        <v>1652</v>
      </c>
      <c r="C539" s="10">
        <v>44431</v>
      </c>
      <c r="D539" s="9" t="s">
        <v>24</v>
      </c>
      <c r="E539" s="9" t="s">
        <v>25</v>
      </c>
      <c r="F539" s="9" t="s">
        <v>26</v>
      </c>
      <c r="G539" s="9" t="s">
        <v>27</v>
      </c>
      <c r="H539" s="9" t="s">
        <v>28</v>
      </c>
      <c r="I539" s="9" t="s">
        <v>29</v>
      </c>
      <c r="J539" s="9" t="s">
        <v>30</v>
      </c>
      <c r="K539" s="9" t="s">
        <v>31</v>
      </c>
      <c r="L539" s="9" t="s">
        <v>32</v>
      </c>
      <c r="M539" s="9" t="s">
        <v>1323</v>
      </c>
      <c r="N539" s="9" t="s">
        <v>1654</v>
      </c>
      <c r="O539" s="9" t="s">
        <v>59</v>
      </c>
      <c r="P539" s="9" t="s">
        <v>1324</v>
      </c>
      <c r="Q539" s="9">
        <v>110511510</v>
      </c>
      <c r="R539" s="9" t="s">
        <v>56</v>
      </c>
      <c r="S539" s="9" t="s">
        <v>39</v>
      </c>
      <c r="T539" s="11">
        <v>1</v>
      </c>
      <c r="U539" s="15" t="s">
        <v>59</v>
      </c>
      <c r="V539" s="16" t="s">
        <v>1324</v>
      </c>
      <c r="W539" s="17">
        <v>110511510</v>
      </c>
      <c r="X539" s="16" t="s">
        <v>2998</v>
      </c>
      <c r="Y539" s="17" t="s">
        <v>3000</v>
      </c>
      <c r="Z539" s="17" t="s">
        <v>39</v>
      </c>
      <c r="AA539" s="17" t="s">
        <v>37</v>
      </c>
      <c r="AB539" s="29">
        <v>36.770000000000003</v>
      </c>
      <c r="AC539" s="25">
        <v>37.549999999999997</v>
      </c>
      <c r="AD539" s="25">
        <f>AC539*T539</f>
        <v>37.549999999999997</v>
      </c>
      <c r="AE539" s="25">
        <f>AB539*T539</f>
        <v>36.770000000000003</v>
      </c>
      <c r="AF539" s="25">
        <f>AD539-AE539</f>
        <v>0.77999999999999403</v>
      </c>
      <c r="AG539" s="26">
        <f>AF539/AD539</f>
        <v>2.0772303595206234E-2</v>
      </c>
      <c r="AH539" s="27" t="str">
        <f>IF(AG539&lt;0,"Negative",IF(AG539=0,"Same",IF(AG539&gt;0.3,"30+%",IF(AG539&gt;0.2,"20-30%",IF(AG539&gt;0.1,"10-20%",IF(AG539&lt;=0.1,"0-10%"))))))</f>
        <v>0-10%</v>
      </c>
      <c r="AI539" s="32"/>
      <c r="AJ539" s="36" t="s">
        <v>3299</v>
      </c>
      <c r="AK539" s="32"/>
    </row>
    <row r="540" spans="1:37" s="1" customFormat="1" ht="19.7" customHeight="1" x14ac:dyDescent="0.25">
      <c r="A540" s="9" t="s">
        <v>22</v>
      </c>
      <c r="B540" s="9" t="s">
        <v>1317</v>
      </c>
      <c r="C540" s="10">
        <v>44376</v>
      </c>
      <c r="D540" s="9" t="s">
        <v>24</v>
      </c>
      <c r="E540" s="9" t="s">
        <v>25</v>
      </c>
      <c r="F540" s="9" t="s">
        <v>26</v>
      </c>
      <c r="G540" s="9" t="s">
        <v>27</v>
      </c>
      <c r="H540" s="9" t="s">
        <v>28</v>
      </c>
      <c r="I540" s="9" t="s">
        <v>29</v>
      </c>
      <c r="J540" s="9" t="s">
        <v>30</v>
      </c>
      <c r="K540" s="9" t="s">
        <v>31</v>
      </c>
      <c r="L540" s="9" t="s">
        <v>32</v>
      </c>
      <c r="M540" s="9" t="s">
        <v>1323</v>
      </c>
      <c r="N540" s="9" t="s">
        <v>1319</v>
      </c>
      <c r="O540" s="9" t="s">
        <v>59</v>
      </c>
      <c r="P540" s="9" t="s">
        <v>1324</v>
      </c>
      <c r="Q540" s="9">
        <v>110511510</v>
      </c>
      <c r="R540" s="9" t="s">
        <v>56</v>
      </c>
      <c r="S540" s="9" t="s">
        <v>39</v>
      </c>
      <c r="T540" s="11">
        <v>1</v>
      </c>
      <c r="U540" s="15" t="s">
        <v>59</v>
      </c>
      <c r="V540" s="16" t="s">
        <v>1324</v>
      </c>
      <c r="W540" s="17">
        <v>110511510</v>
      </c>
      <c r="X540" s="16" t="s">
        <v>2998</v>
      </c>
      <c r="Y540" s="17" t="s">
        <v>3000</v>
      </c>
      <c r="Z540" s="17" t="s">
        <v>39</v>
      </c>
      <c r="AA540" s="17" t="s">
        <v>37</v>
      </c>
      <c r="AB540" s="29">
        <v>36.770000000000003</v>
      </c>
      <c r="AC540" s="25">
        <v>37.549999999999997</v>
      </c>
      <c r="AD540" s="25">
        <f>AC540*T540</f>
        <v>37.549999999999997</v>
      </c>
      <c r="AE540" s="25">
        <f>AB540*T540</f>
        <v>36.770000000000003</v>
      </c>
      <c r="AF540" s="25">
        <f>AD540-AE540</f>
        <v>0.77999999999999403</v>
      </c>
      <c r="AG540" s="26">
        <f>AF540/AD540</f>
        <v>2.0772303595206234E-2</v>
      </c>
      <c r="AH540" s="27" t="str">
        <f>IF(AG540&lt;0,"Negative",IF(AG540=0,"Same",IF(AG540&gt;0.3,"30+%",IF(AG540&gt;0.2,"20-30%",IF(AG540&gt;0.1,"10-20%",IF(AG540&lt;=0.1,"0-10%"))))))</f>
        <v>0-10%</v>
      </c>
      <c r="AI540" s="32"/>
      <c r="AJ540" s="36" t="s">
        <v>3299</v>
      </c>
      <c r="AK540" s="32"/>
    </row>
    <row r="541" spans="1:37" s="1" customFormat="1" ht="19.7" customHeight="1" x14ac:dyDescent="0.25">
      <c r="A541" s="5" t="s">
        <v>22</v>
      </c>
      <c r="B541" s="5" t="s">
        <v>2339</v>
      </c>
      <c r="C541" s="6">
        <v>44568</v>
      </c>
      <c r="D541" s="5" t="s">
        <v>24</v>
      </c>
      <c r="E541" s="5" t="s">
        <v>25</v>
      </c>
      <c r="F541" s="5" t="s">
        <v>26</v>
      </c>
      <c r="G541" s="5" t="s">
        <v>67</v>
      </c>
      <c r="H541" s="5" t="s">
        <v>68</v>
      </c>
      <c r="I541" s="5" t="s">
        <v>29</v>
      </c>
      <c r="J541" s="5" t="s">
        <v>30</v>
      </c>
      <c r="K541" s="5" t="s">
        <v>31</v>
      </c>
      <c r="L541" s="5" t="s">
        <v>32</v>
      </c>
      <c r="M541" s="5" t="s">
        <v>922</v>
      </c>
      <c r="N541" s="5" t="s">
        <v>2340</v>
      </c>
      <c r="O541" s="5" t="s">
        <v>79</v>
      </c>
      <c r="P541" s="5" t="s">
        <v>923</v>
      </c>
      <c r="Q541" s="5">
        <v>101523851</v>
      </c>
      <c r="R541" s="5" t="s">
        <v>61</v>
      </c>
      <c r="S541" s="5" t="s">
        <v>39</v>
      </c>
      <c r="T541" s="7">
        <v>4</v>
      </c>
      <c r="U541" s="15" t="s">
        <v>79</v>
      </c>
      <c r="V541" s="16" t="s">
        <v>923</v>
      </c>
      <c r="W541" s="17">
        <v>101523851</v>
      </c>
      <c r="X541" s="16" t="s">
        <v>2540</v>
      </c>
      <c r="Y541" s="17" t="s">
        <v>2862</v>
      </c>
      <c r="Z541" s="17" t="s">
        <v>39</v>
      </c>
      <c r="AA541" s="17" t="s">
        <v>37</v>
      </c>
      <c r="AB541" s="43">
        <v>14.54</v>
      </c>
      <c r="AC541" s="25">
        <v>18.329999999999998</v>
      </c>
      <c r="AD541" s="25">
        <f>AC541*T541</f>
        <v>73.319999999999993</v>
      </c>
      <c r="AE541" s="25">
        <f>AB541*T541</f>
        <v>58.16</v>
      </c>
      <c r="AF541" s="25">
        <f>AD541-AE541</f>
        <v>15.159999999999997</v>
      </c>
      <c r="AG541" s="26">
        <f>AF541/AD541</f>
        <v>0.20676486633933439</v>
      </c>
      <c r="AH541" s="27" t="str">
        <f>IF(AG541&lt;0,"Negative",IF(AG541=0,"Same",IF(AG541&gt;0.3,"30+%",IF(AG541&gt;0.2,"20-30%",IF(AG541&gt;0.1,"10-20%",IF(AG541&lt;=0.1,"0-10%"))))))</f>
        <v>20-30%</v>
      </c>
      <c r="AI541" s="32"/>
      <c r="AJ541" s="36" t="s">
        <v>3299</v>
      </c>
      <c r="AK541" s="32"/>
    </row>
    <row r="542" spans="1:37" s="1" customFormat="1" ht="19.7" customHeight="1" x14ac:dyDescent="0.25">
      <c r="A542" s="5" t="s">
        <v>22</v>
      </c>
      <c r="B542" s="5" t="s">
        <v>1922</v>
      </c>
      <c r="C542" s="6">
        <v>44484</v>
      </c>
      <c r="D542" s="5" t="s">
        <v>24</v>
      </c>
      <c r="E542" s="5" t="s">
        <v>25</v>
      </c>
      <c r="F542" s="5" t="s">
        <v>26</v>
      </c>
      <c r="G542" s="5" t="s">
        <v>27</v>
      </c>
      <c r="H542" s="5" t="s">
        <v>28</v>
      </c>
      <c r="I542" s="5" t="s">
        <v>29</v>
      </c>
      <c r="J542" s="5" t="s">
        <v>30</v>
      </c>
      <c r="K542" s="5" t="s">
        <v>31</v>
      </c>
      <c r="L542" s="5" t="s">
        <v>32</v>
      </c>
      <c r="M542" s="5" t="s">
        <v>1923</v>
      </c>
      <c r="N542" s="5" t="s">
        <v>1924</v>
      </c>
      <c r="O542" s="5" t="s">
        <v>175</v>
      </c>
      <c r="P542" s="5" t="s">
        <v>1925</v>
      </c>
      <c r="Q542" s="5">
        <v>102199408</v>
      </c>
      <c r="R542" s="5" t="s">
        <v>61</v>
      </c>
      <c r="S542" s="5" t="s">
        <v>39</v>
      </c>
      <c r="T542" s="7">
        <v>2</v>
      </c>
      <c r="U542" s="15" t="s">
        <v>175</v>
      </c>
      <c r="V542" s="16" t="s">
        <v>1925</v>
      </c>
      <c r="W542" s="17">
        <v>102199408</v>
      </c>
      <c r="X542" s="16" t="s">
        <v>2559</v>
      </c>
      <c r="Y542" s="17" t="s">
        <v>3168</v>
      </c>
      <c r="Z542" s="17" t="s">
        <v>39</v>
      </c>
      <c r="AA542" s="17" t="s">
        <v>37</v>
      </c>
      <c r="AB542" s="29">
        <v>13.61</v>
      </c>
      <c r="AC542" s="25">
        <v>15.95</v>
      </c>
      <c r="AD542" s="25">
        <f>AC542*T542</f>
        <v>31.9</v>
      </c>
      <c r="AE542" s="25">
        <f>AB542*T542</f>
        <v>27.22</v>
      </c>
      <c r="AF542" s="25">
        <f>AD542-AE542</f>
        <v>4.68</v>
      </c>
      <c r="AG542" s="26">
        <f>AF542/AD542</f>
        <v>0.14670846394984327</v>
      </c>
      <c r="AH542" s="27" t="str">
        <f>IF(AG542&lt;0,"Negative",IF(AG542=0,"Same",IF(AG542&gt;0.3,"30+%",IF(AG542&gt;0.2,"20-30%",IF(AG542&gt;0.1,"10-20%",IF(AG542&lt;=0.1,"0-10%"))))))</f>
        <v>10-20%</v>
      </c>
      <c r="AI542" s="32"/>
      <c r="AJ542" s="36" t="s">
        <v>3299</v>
      </c>
      <c r="AK542" s="32"/>
    </row>
    <row r="543" spans="1:37" s="1" customFormat="1" ht="19.7" customHeight="1" x14ac:dyDescent="0.25">
      <c r="A543" s="5" t="s">
        <v>22</v>
      </c>
      <c r="B543" s="5" t="s">
        <v>2339</v>
      </c>
      <c r="C543" s="6">
        <v>44568</v>
      </c>
      <c r="D543" s="5" t="s">
        <v>24</v>
      </c>
      <c r="E543" s="5" t="s">
        <v>25</v>
      </c>
      <c r="F543" s="5" t="s">
        <v>26</v>
      </c>
      <c r="G543" s="5" t="s">
        <v>67</v>
      </c>
      <c r="H543" s="5" t="s">
        <v>68</v>
      </c>
      <c r="I543" s="5" t="s">
        <v>29</v>
      </c>
      <c r="J543" s="5" t="s">
        <v>30</v>
      </c>
      <c r="K543" s="5" t="s">
        <v>31</v>
      </c>
      <c r="L543" s="5" t="s">
        <v>32</v>
      </c>
      <c r="M543" s="5" t="s">
        <v>141</v>
      </c>
      <c r="N543" s="5" t="s">
        <v>2340</v>
      </c>
      <c r="O543" s="5" t="s">
        <v>128</v>
      </c>
      <c r="P543" s="5" t="s">
        <v>142</v>
      </c>
      <c r="Q543" s="5">
        <v>100867862</v>
      </c>
      <c r="R543" s="5" t="s">
        <v>76</v>
      </c>
      <c r="S543" s="5" t="s">
        <v>39</v>
      </c>
      <c r="T543" s="7">
        <v>1</v>
      </c>
      <c r="U543" s="15" t="s">
        <v>128</v>
      </c>
      <c r="V543" s="16" t="s">
        <v>142</v>
      </c>
      <c r="W543" s="17">
        <v>100867862</v>
      </c>
      <c r="X543" s="16" t="s">
        <v>2536</v>
      </c>
      <c r="Y543" s="17" t="s">
        <v>2544</v>
      </c>
      <c r="Z543" s="17" t="s">
        <v>39</v>
      </c>
      <c r="AA543" s="17" t="s">
        <v>37</v>
      </c>
      <c r="AB543" s="29">
        <v>37.61</v>
      </c>
      <c r="AC543" s="25">
        <v>36.07</v>
      </c>
      <c r="AD543" s="25">
        <f>AC543*T543</f>
        <v>36.07</v>
      </c>
      <c r="AE543" s="25">
        <f>AB543*T543</f>
        <v>37.61</v>
      </c>
      <c r="AF543" s="25">
        <f>AD543-AE543</f>
        <v>-1.5399999999999991</v>
      </c>
      <c r="AG543" s="26">
        <f>AF543/AD543</f>
        <v>-4.2694760188522293E-2</v>
      </c>
      <c r="AH543" s="27" t="str">
        <f>IF(AG543&lt;0,"Negative",IF(AG543=0,"Same",IF(AG543&gt;0.3,"30+%",IF(AG543&gt;0.2,"20-30%",IF(AG543&gt;0.1,"10-20%",IF(AG543&lt;=0.1,"0-10%"))))))</f>
        <v>Negative</v>
      </c>
      <c r="AI543" s="32"/>
      <c r="AJ543" s="36" t="s">
        <v>3300</v>
      </c>
      <c r="AK543" s="32"/>
    </row>
    <row r="544" spans="1:37" s="1" customFormat="1" ht="19.7" customHeight="1" x14ac:dyDescent="0.25">
      <c r="A544" s="9" t="s">
        <v>22</v>
      </c>
      <c r="B544" s="9" t="s">
        <v>1976</v>
      </c>
      <c r="C544" s="10">
        <v>44494</v>
      </c>
      <c r="D544" s="9" t="s">
        <v>24</v>
      </c>
      <c r="E544" s="9" t="s">
        <v>25</v>
      </c>
      <c r="F544" s="9" t="s">
        <v>26</v>
      </c>
      <c r="G544" s="9" t="s">
        <v>27</v>
      </c>
      <c r="H544" s="9" t="s">
        <v>28</v>
      </c>
      <c r="I544" s="9" t="s">
        <v>29</v>
      </c>
      <c r="J544" s="9" t="s">
        <v>30</v>
      </c>
      <c r="K544" s="9" t="s">
        <v>31</v>
      </c>
      <c r="L544" s="9" t="s">
        <v>32</v>
      </c>
      <c r="M544" s="9" t="s">
        <v>1163</v>
      </c>
      <c r="N544" s="9" t="s">
        <v>1977</v>
      </c>
      <c r="O544" s="9" t="s">
        <v>89</v>
      </c>
      <c r="P544" s="9" t="s">
        <v>1164</v>
      </c>
      <c r="Q544" s="9">
        <v>100747439</v>
      </c>
      <c r="R544" s="9" t="s">
        <v>45</v>
      </c>
      <c r="S544" s="9" t="s">
        <v>39</v>
      </c>
      <c r="T544" s="11">
        <v>1</v>
      </c>
      <c r="U544" s="15" t="s">
        <v>89</v>
      </c>
      <c r="V544" s="16" t="s">
        <v>1164</v>
      </c>
      <c r="W544" s="17">
        <v>100747439</v>
      </c>
      <c r="X544" s="16" t="s">
        <v>2520</v>
      </c>
      <c r="Y544" s="17" t="s">
        <v>2945</v>
      </c>
      <c r="Z544" s="17" t="s">
        <v>39</v>
      </c>
      <c r="AA544" s="17" t="s">
        <v>37</v>
      </c>
      <c r="AB544" s="43">
        <v>10.119999999999999</v>
      </c>
      <c r="AC544" s="25">
        <v>11.86</v>
      </c>
      <c r="AD544" s="25">
        <f>AC544*T544</f>
        <v>11.86</v>
      </c>
      <c r="AE544" s="25">
        <f>AB544*T544</f>
        <v>10.119999999999999</v>
      </c>
      <c r="AF544" s="25">
        <f>AD544-AE544</f>
        <v>1.7400000000000002</v>
      </c>
      <c r="AG544" s="26">
        <f>AF544/AD544</f>
        <v>0.14671163575042162</v>
      </c>
      <c r="AH544" s="27" t="str">
        <f>IF(AG544&lt;0,"Negative",IF(AG544=0,"Same",IF(AG544&gt;0.3,"30+%",IF(AG544&gt;0.2,"20-30%",IF(AG544&gt;0.1,"10-20%",IF(AG544&lt;=0.1,"0-10%"))))))</f>
        <v>10-20%</v>
      </c>
      <c r="AI544" s="32"/>
      <c r="AJ544" s="36" t="s">
        <v>3300</v>
      </c>
      <c r="AK544" s="32"/>
    </row>
    <row r="545" spans="1:37" s="1" customFormat="1" ht="19.7" customHeight="1" x14ac:dyDescent="0.25">
      <c r="A545" s="9" t="s">
        <v>22</v>
      </c>
      <c r="B545" s="9" t="s">
        <v>1159</v>
      </c>
      <c r="C545" s="10">
        <v>44350</v>
      </c>
      <c r="D545" s="9" t="s">
        <v>24</v>
      </c>
      <c r="E545" s="9" t="s">
        <v>25</v>
      </c>
      <c r="F545" s="9" t="s">
        <v>26</v>
      </c>
      <c r="G545" s="9" t="s">
        <v>27</v>
      </c>
      <c r="H545" s="9" t="s">
        <v>28</v>
      </c>
      <c r="I545" s="9" t="s">
        <v>29</v>
      </c>
      <c r="J545" s="9" t="s">
        <v>30</v>
      </c>
      <c r="K545" s="9" t="s">
        <v>31</v>
      </c>
      <c r="L545" s="9" t="s">
        <v>32</v>
      </c>
      <c r="M545" s="9" t="s">
        <v>1163</v>
      </c>
      <c r="N545" s="9" t="s">
        <v>1161</v>
      </c>
      <c r="O545" s="9" t="s">
        <v>89</v>
      </c>
      <c r="P545" s="9" t="s">
        <v>1164</v>
      </c>
      <c r="Q545" s="9">
        <v>100747439</v>
      </c>
      <c r="R545" s="9" t="s">
        <v>45</v>
      </c>
      <c r="S545" s="9" t="s">
        <v>39</v>
      </c>
      <c r="T545" s="11">
        <v>1</v>
      </c>
      <c r="U545" s="15" t="s">
        <v>89</v>
      </c>
      <c r="V545" s="16" t="s">
        <v>1164</v>
      </c>
      <c r="W545" s="17">
        <v>100747439</v>
      </c>
      <c r="X545" s="16" t="s">
        <v>2520</v>
      </c>
      <c r="Y545" s="17" t="s">
        <v>2945</v>
      </c>
      <c r="Z545" s="17" t="s">
        <v>39</v>
      </c>
      <c r="AA545" s="17" t="s">
        <v>37</v>
      </c>
      <c r="AB545" s="43">
        <v>10.119999999999999</v>
      </c>
      <c r="AC545" s="25">
        <v>11.86</v>
      </c>
      <c r="AD545" s="25">
        <f>AC545*T545</f>
        <v>11.86</v>
      </c>
      <c r="AE545" s="25">
        <f>AB545*T545</f>
        <v>10.119999999999999</v>
      </c>
      <c r="AF545" s="25">
        <f>AD545-AE545</f>
        <v>1.7400000000000002</v>
      </c>
      <c r="AG545" s="26">
        <f>AF545/AD545</f>
        <v>0.14671163575042162</v>
      </c>
      <c r="AH545" s="27" t="str">
        <f>IF(AG545&lt;0,"Negative",IF(AG545=0,"Same",IF(AG545&gt;0.3,"30+%",IF(AG545&gt;0.2,"20-30%",IF(AG545&gt;0.1,"10-20%",IF(AG545&lt;=0.1,"0-10%"))))))</f>
        <v>10-20%</v>
      </c>
      <c r="AI545" s="32"/>
      <c r="AJ545" s="36" t="s">
        <v>3300</v>
      </c>
      <c r="AK545" s="32"/>
    </row>
    <row r="546" spans="1:37" s="1" customFormat="1" ht="19.7" customHeight="1" x14ac:dyDescent="0.25">
      <c r="A546" s="5" t="s">
        <v>22</v>
      </c>
      <c r="B546" s="5" t="s">
        <v>1805</v>
      </c>
      <c r="C546" s="6">
        <v>44466</v>
      </c>
      <c r="D546" s="5" t="s">
        <v>24</v>
      </c>
      <c r="E546" s="5" t="s">
        <v>25</v>
      </c>
      <c r="F546" s="5" t="s">
        <v>26</v>
      </c>
      <c r="G546" s="5" t="s">
        <v>67</v>
      </c>
      <c r="H546" s="5" t="s">
        <v>68</v>
      </c>
      <c r="I546" s="5" t="s">
        <v>29</v>
      </c>
      <c r="J546" s="5" t="s">
        <v>30</v>
      </c>
      <c r="K546" s="5" t="s">
        <v>31</v>
      </c>
      <c r="L546" s="5" t="s">
        <v>32</v>
      </c>
      <c r="M546" s="5" t="s">
        <v>1806</v>
      </c>
      <c r="N546" s="5" t="s">
        <v>1767</v>
      </c>
      <c r="O546" s="5" t="s">
        <v>627</v>
      </c>
      <c r="P546" s="5" t="s">
        <v>1807</v>
      </c>
      <c r="Q546" s="5">
        <v>102108020</v>
      </c>
      <c r="R546" s="5" t="s">
        <v>61</v>
      </c>
      <c r="S546" s="5" t="s">
        <v>39</v>
      </c>
      <c r="T546" s="7">
        <v>10</v>
      </c>
      <c r="U546" s="15" t="s">
        <v>627</v>
      </c>
      <c r="V546" s="16" t="s">
        <v>1807</v>
      </c>
      <c r="W546" s="17">
        <v>102108020</v>
      </c>
      <c r="X546" s="16" t="s">
        <v>2755</v>
      </c>
      <c r="Y546" s="17" t="s">
        <v>3137</v>
      </c>
      <c r="Z546" s="17" t="s">
        <v>39</v>
      </c>
      <c r="AA546" s="17" t="s">
        <v>37</v>
      </c>
      <c r="AB546" s="43">
        <v>25.38</v>
      </c>
      <c r="AC546" s="25">
        <v>27.08</v>
      </c>
      <c r="AD546" s="25">
        <f>AC546*T546</f>
        <v>270.79999999999995</v>
      </c>
      <c r="AE546" s="25">
        <f>AB546*T546</f>
        <v>253.79999999999998</v>
      </c>
      <c r="AF546" s="25">
        <f>AD546-AE546</f>
        <v>16.999999999999972</v>
      </c>
      <c r="AG546" s="26">
        <f>AF546/AD546</f>
        <v>6.2776957163958549E-2</v>
      </c>
      <c r="AH546" s="27" t="str">
        <f>IF(AG546&lt;0,"Negative",IF(AG546=0,"Same",IF(AG546&gt;0.3,"30+%",IF(AG546&gt;0.2,"20-30%",IF(AG546&gt;0.1,"10-20%",IF(AG546&lt;=0.1,"0-10%"))))))</f>
        <v>0-10%</v>
      </c>
      <c r="AI546" s="32"/>
      <c r="AJ546" s="36" t="s">
        <v>3299</v>
      </c>
      <c r="AK546" s="32"/>
    </row>
    <row r="547" spans="1:37" s="1" customFormat="1" ht="19.7" customHeight="1" x14ac:dyDescent="0.25">
      <c r="A547" s="9" t="s">
        <v>22</v>
      </c>
      <c r="B547" s="9" t="s">
        <v>2172</v>
      </c>
      <c r="C547" s="10">
        <v>44532</v>
      </c>
      <c r="D547" s="9" t="s">
        <v>24</v>
      </c>
      <c r="E547" s="9" t="s">
        <v>25</v>
      </c>
      <c r="F547" s="9" t="s">
        <v>26</v>
      </c>
      <c r="G547" s="9" t="s">
        <v>27</v>
      </c>
      <c r="H547" s="9" t="s">
        <v>28</v>
      </c>
      <c r="I547" s="9" t="s">
        <v>29</v>
      </c>
      <c r="J547" s="9" t="s">
        <v>30</v>
      </c>
      <c r="K547" s="9" t="s">
        <v>31</v>
      </c>
      <c r="L547" s="9" t="s">
        <v>32</v>
      </c>
      <c r="M547" s="9" t="s">
        <v>2178</v>
      </c>
      <c r="N547" s="9" t="s">
        <v>2171</v>
      </c>
      <c r="O547" s="9" t="s">
        <v>186</v>
      </c>
      <c r="P547" s="9" t="s">
        <v>2179</v>
      </c>
      <c r="Q547" s="9">
        <v>102156679</v>
      </c>
      <c r="R547" s="9" t="s">
        <v>56</v>
      </c>
      <c r="S547" s="9" t="s">
        <v>39</v>
      </c>
      <c r="T547" s="11">
        <v>1</v>
      </c>
      <c r="U547" s="15" t="s">
        <v>186</v>
      </c>
      <c r="V547" s="16" t="s">
        <v>2179</v>
      </c>
      <c r="W547" s="17">
        <v>102156679</v>
      </c>
      <c r="X547" s="16" t="s">
        <v>2565</v>
      </c>
      <c r="Y547" s="17" t="s">
        <v>3224</v>
      </c>
      <c r="Z547" s="17" t="s">
        <v>39</v>
      </c>
      <c r="AA547" s="17" t="s">
        <v>37</v>
      </c>
      <c r="AB547" s="43">
        <v>24.91</v>
      </c>
      <c r="AC547" s="25">
        <v>25.91</v>
      </c>
      <c r="AD547" s="25">
        <f>AC547*T547</f>
        <v>25.91</v>
      </c>
      <c r="AE547" s="25">
        <f>AB547*T547</f>
        <v>24.91</v>
      </c>
      <c r="AF547" s="25">
        <f>AD547-AE547</f>
        <v>1</v>
      </c>
      <c r="AG547" s="26">
        <f>AF547/AD547</f>
        <v>3.8595137012736397E-2</v>
      </c>
      <c r="AH547" s="27" t="str">
        <f>IF(AG547&lt;0,"Negative",IF(AG547=0,"Same",IF(AG547&gt;0.3,"30+%",IF(AG547&gt;0.2,"20-30%",IF(AG547&gt;0.1,"10-20%",IF(AG547&lt;=0.1,"0-10%"))))))</f>
        <v>0-10%</v>
      </c>
      <c r="AI547" s="32"/>
      <c r="AJ547" s="36" t="s">
        <v>3299</v>
      </c>
      <c r="AK547" s="32"/>
    </row>
    <row r="548" spans="1:37" s="1" customFormat="1" ht="19.7" customHeight="1" x14ac:dyDescent="0.25">
      <c r="A548" s="5" t="s">
        <v>22</v>
      </c>
      <c r="B548" s="5" t="s">
        <v>1491</v>
      </c>
      <c r="C548" s="6">
        <v>44403</v>
      </c>
      <c r="D548" s="5" t="s">
        <v>24</v>
      </c>
      <c r="E548" s="5" t="s">
        <v>25</v>
      </c>
      <c r="F548" s="5" t="s">
        <v>26</v>
      </c>
      <c r="G548" s="5" t="s">
        <v>27</v>
      </c>
      <c r="H548" s="5" t="s">
        <v>28</v>
      </c>
      <c r="I548" s="5" t="s">
        <v>29</v>
      </c>
      <c r="J548" s="5" t="s">
        <v>30</v>
      </c>
      <c r="K548" s="5" t="s">
        <v>31</v>
      </c>
      <c r="L548" s="5" t="s">
        <v>32</v>
      </c>
      <c r="M548" s="5" t="s">
        <v>261</v>
      </c>
      <c r="N548" s="5" t="s">
        <v>1492</v>
      </c>
      <c r="O548" s="5" t="s">
        <v>169</v>
      </c>
      <c r="P548" s="5" t="s">
        <v>1493</v>
      </c>
      <c r="Q548" s="5">
        <v>100850319</v>
      </c>
      <c r="R548" s="5" t="s">
        <v>116</v>
      </c>
      <c r="S548" s="5" t="s">
        <v>718</v>
      </c>
      <c r="T548" s="7">
        <v>60</v>
      </c>
      <c r="U548" s="15" t="s">
        <v>169</v>
      </c>
      <c r="V548" s="16" t="s">
        <v>1493</v>
      </c>
      <c r="W548" s="17">
        <v>100850319</v>
      </c>
      <c r="X548" s="16" t="s">
        <v>3057</v>
      </c>
      <c r="Y548" s="17" t="s">
        <v>3058</v>
      </c>
      <c r="Z548" s="17" t="s">
        <v>718</v>
      </c>
      <c r="AA548" s="17" t="s">
        <v>37</v>
      </c>
      <c r="AB548" s="29">
        <v>11.79</v>
      </c>
      <c r="AC548" s="25">
        <v>12.35</v>
      </c>
      <c r="AD548" s="25">
        <f>AC548*T548</f>
        <v>741</v>
      </c>
      <c r="AE548" s="25">
        <f>AB548*T548</f>
        <v>707.4</v>
      </c>
      <c r="AF548" s="25">
        <f>AD548-AE548</f>
        <v>33.600000000000023</v>
      </c>
      <c r="AG548" s="26">
        <f>AF548/AD548</f>
        <v>4.5344129554655901E-2</v>
      </c>
      <c r="AH548" s="27" t="str">
        <f>IF(AG548&lt;0,"Negative",IF(AG548=0,"Same",IF(AG548&gt;0.3,"30+%",IF(AG548&gt;0.2,"20-30%",IF(AG548&gt;0.1,"10-20%",IF(AG548&lt;=0.1,"0-10%"))))))</f>
        <v>0-10%</v>
      </c>
      <c r="AI548" s="32"/>
      <c r="AJ548" s="36" t="s">
        <v>3300</v>
      </c>
      <c r="AK548" s="32"/>
    </row>
    <row r="549" spans="1:37" s="1" customFormat="1" ht="19.7" customHeight="1" x14ac:dyDescent="0.25">
      <c r="A549" s="9" t="s">
        <v>22</v>
      </c>
      <c r="B549" s="9" t="s">
        <v>1812</v>
      </c>
      <c r="C549" s="10">
        <v>44466</v>
      </c>
      <c r="D549" s="9" t="s">
        <v>24</v>
      </c>
      <c r="E549" s="9" t="s">
        <v>25</v>
      </c>
      <c r="F549" s="9" t="s">
        <v>26</v>
      </c>
      <c r="G549" s="9" t="s">
        <v>67</v>
      </c>
      <c r="H549" s="9" t="s">
        <v>68</v>
      </c>
      <c r="I549" s="9" t="s">
        <v>29</v>
      </c>
      <c r="J549" s="9" t="s">
        <v>30</v>
      </c>
      <c r="K549" s="9" t="s">
        <v>31</v>
      </c>
      <c r="L549" s="9" t="s">
        <v>32</v>
      </c>
      <c r="M549" s="9" t="s">
        <v>1814</v>
      </c>
      <c r="N549" s="9" t="s">
        <v>1813</v>
      </c>
      <c r="O549" s="9" t="s">
        <v>169</v>
      </c>
      <c r="P549" s="9" t="s">
        <v>1815</v>
      </c>
      <c r="Q549" s="9">
        <v>100850816</v>
      </c>
      <c r="R549" s="9" t="s">
        <v>116</v>
      </c>
      <c r="S549" s="9" t="s">
        <v>718</v>
      </c>
      <c r="T549" s="11">
        <v>100</v>
      </c>
      <c r="U549" s="15" t="s">
        <v>169</v>
      </c>
      <c r="V549" s="16" t="s">
        <v>1815</v>
      </c>
      <c r="W549" s="17">
        <v>100850816</v>
      </c>
      <c r="X549" s="16" t="s">
        <v>3069</v>
      </c>
      <c r="Y549" s="17" t="s">
        <v>3139</v>
      </c>
      <c r="Z549" s="17" t="s">
        <v>718</v>
      </c>
      <c r="AA549" s="17" t="s">
        <v>37</v>
      </c>
      <c r="AB549" s="29">
        <v>9.81</v>
      </c>
      <c r="AC549" s="25">
        <v>10.28</v>
      </c>
      <c r="AD549" s="25">
        <f>AC549*T549</f>
        <v>1028</v>
      </c>
      <c r="AE549" s="25">
        <f>AB549*T549</f>
        <v>981</v>
      </c>
      <c r="AF549" s="25">
        <f>AD549-AE549</f>
        <v>47</v>
      </c>
      <c r="AG549" s="26">
        <f>AF549/AD549</f>
        <v>4.5719844357976651E-2</v>
      </c>
      <c r="AH549" s="27" t="str">
        <f>IF(AG549&lt;0,"Negative",IF(AG549=0,"Same",IF(AG549&gt;0.3,"30+%",IF(AG549&gt;0.2,"20-30%",IF(AG549&gt;0.1,"10-20%",IF(AG549&lt;=0.1,"0-10%"))))))</f>
        <v>0-10%</v>
      </c>
      <c r="AI549" s="32"/>
      <c r="AJ549" s="36" t="s">
        <v>3300</v>
      </c>
      <c r="AK549" s="32"/>
    </row>
    <row r="550" spans="1:37" s="1" customFormat="1" ht="19.7" customHeight="1" x14ac:dyDescent="0.25">
      <c r="A550" s="5" t="s">
        <v>22</v>
      </c>
      <c r="B550" s="5" t="s">
        <v>1068</v>
      </c>
      <c r="C550" s="6">
        <v>44336</v>
      </c>
      <c r="D550" s="5" t="s">
        <v>24</v>
      </c>
      <c r="E550" s="5" t="s">
        <v>25</v>
      </c>
      <c r="F550" s="5" t="s">
        <v>26</v>
      </c>
      <c r="G550" s="5" t="s">
        <v>27</v>
      </c>
      <c r="H550" s="5" t="s">
        <v>28</v>
      </c>
      <c r="I550" s="5" t="s">
        <v>29</v>
      </c>
      <c r="J550" s="5" t="s">
        <v>30</v>
      </c>
      <c r="K550" s="5" t="s">
        <v>31</v>
      </c>
      <c r="L550" s="5" t="s">
        <v>32</v>
      </c>
      <c r="M550" s="5" t="s">
        <v>1073</v>
      </c>
      <c r="N550" s="5" t="s">
        <v>1070</v>
      </c>
      <c r="O550" s="5" t="s">
        <v>1074</v>
      </c>
      <c r="P550" s="5" t="s">
        <v>1075</v>
      </c>
      <c r="Q550" s="5">
        <v>100848693</v>
      </c>
      <c r="R550" s="5" t="s">
        <v>73</v>
      </c>
      <c r="S550" s="5" t="s">
        <v>39</v>
      </c>
      <c r="T550" s="7">
        <v>1</v>
      </c>
      <c r="U550" s="15" t="s">
        <v>1074</v>
      </c>
      <c r="V550" s="16" t="s">
        <v>1075</v>
      </c>
      <c r="W550" s="17">
        <v>100848693</v>
      </c>
      <c r="X550" s="16" t="s">
        <v>2916</v>
      </c>
      <c r="Y550" s="17" t="s">
        <v>2917</v>
      </c>
      <c r="Z550" s="17" t="s">
        <v>39</v>
      </c>
      <c r="AA550" s="17" t="s">
        <v>37</v>
      </c>
      <c r="AB550" s="29">
        <v>16.43</v>
      </c>
      <c r="AC550" s="25">
        <v>15.75</v>
      </c>
      <c r="AD550" s="25">
        <f>AC550*T550</f>
        <v>15.75</v>
      </c>
      <c r="AE550" s="25">
        <f>AB550*T550</f>
        <v>16.43</v>
      </c>
      <c r="AF550" s="25">
        <f>AD550-AE550</f>
        <v>-0.67999999999999972</v>
      </c>
      <c r="AG550" s="26">
        <f>AF550/AD550</f>
        <v>-4.3174603174603157E-2</v>
      </c>
      <c r="AH550" s="27" t="str">
        <f>IF(AG550&lt;0,"Negative",IF(AG550=0,"Same",IF(AG550&gt;0.3,"30+%",IF(AG550&gt;0.2,"20-30%",IF(AG550&gt;0.1,"10-20%",IF(AG550&lt;=0.1,"0-10%"))))))</f>
        <v>Negative</v>
      </c>
      <c r="AI550" s="32"/>
      <c r="AJ550" s="36" t="s">
        <v>3300</v>
      </c>
      <c r="AK550" s="32"/>
    </row>
    <row r="551" spans="1:37" s="1" customFormat="1" ht="19.7" customHeight="1" x14ac:dyDescent="0.25">
      <c r="A551" s="9" t="s">
        <v>22</v>
      </c>
      <c r="B551" s="9" t="s">
        <v>2107</v>
      </c>
      <c r="C551" s="10">
        <v>44519</v>
      </c>
      <c r="D551" s="9" t="s">
        <v>24</v>
      </c>
      <c r="E551" s="9" t="s">
        <v>25</v>
      </c>
      <c r="F551" s="9" t="s">
        <v>26</v>
      </c>
      <c r="G551" s="9" t="s">
        <v>67</v>
      </c>
      <c r="H551" s="9" t="s">
        <v>68</v>
      </c>
      <c r="I551" s="9" t="s">
        <v>29</v>
      </c>
      <c r="J551" s="9" t="s">
        <v>30</v>
      </c>
      <c r="K551" s="9" t="s">
        <v>31</v>
      </c>
      <c r="L551" s="9" t="s">
        <v>32</v>
      </c>
      <c r="M551" s="9" t="s">
        <v>359</v>
      </c>
      <c r="N551" s="9" t="s">
        <v>2108</v>
      </c>
      <c r="O551" s="9" t="s">
        <v>71</v>
      </c>
      <c r="P551" s="9" t="s">
        <v>360</v>
      </c>
      <c r="Q551" s="9">
        <v>112228027</v>
      </c>
      <c r="R551" s="9" t="s">
        <v>73</v>
      </c>
      <c r="S551" s="9" t="s">
        <v>39</v>
      </c>
      <c r="T551" s="11">
        <v>48</v>
      </c>
      <c r="U551" s="15" t="s">
        <v>71</v>
      </c>
      <c r="V551" s="41" t="s">
        <v>360</v>
      </c>
      <c r="W551" s="17">
        <v>112228027</v>
      </c>
      <c r="X551" s="16" t="s">
        <v>2510</v>
      </c>
      <c r="Y551" s="17" t="s">
        <v>2641</v>
      </c>
      <c r="Z551" s="17" t="s">
        <v>39</v>
      </c>
      <c r="AA551" s="17" t="s">
        <v>2501</v>
      </c>
      <c r="AB551" s="29">
        <v>16.850000000000001</v>
      </c>
      <c r="AC551" s="25">
        <v>16.850000000000001</v>
      </c>
      <c r="AD551" s="25">
        <f>AC551*T551</f>
        <v>808.80000000000007</v>
      </c>
      <c r="AE551" s="25">
        <f>AB551*T551</f>
        <v>808.80000000000007</v>
      </c>
      <c r="AF551" s="25">
        <f>AD551-AE551</f>
        <v>0</v>
      </c>
      <c r="AG551" s="26">
        <f>AF551/AD551</f>
        <v>0</v>
      </c>
      <c r="AH551" s="27" t="str">
        <f>IF(AG551&lt;0,"Negative",IF(AG551=0,"Same",IF(AG551&gt;0.3,"30+%",IF(AG551&gt;0.2,"20-30%",IF(AG551&gt;0.1,"10-20%",IF(AG551&lt;=0.1,"0-10%"))))))</f>
        <v>Same</v>
      </c>
      <c r="AI551" s="32"/>
      <c r="AJ551" s="36" t="s">
        <v>3300</v>
      </c>
      <c r="AK551" s="32"/>
    </row>
    <row r="552" spans="1:37" s="1" customFormat="1" ht="19.7" customHeight="1" x14ac:dyDescent="0.25">
      <c r="A552" s="5" t="s">
        <v>22</v>
      </c>
      <c r="B552" s="5" t="s">
        <v>2285</v>
      </c>
      <c r="C552" s="6">
        <v>44559</v>
      </c>
      <c r="D552" s="5" t="s">
        <v>24</v>
      </c>
      <c r="E552" s="5" t="s">
        <v>25</v>
      </c>
      <c r="F552" s="5" t="s">
        <v>26</v>
      </c>
      <c r="G552" s="5" t="s">
        <v>67</v>
      </c>
      <c r="H552" s="5" t="s">
        <v>68</v>
      </c>
      <c r="I552" s="5" t="s">
        <v>29</v>
      </c>
      <c r="J552" s="5" t="s">
        <v>30</v>
      </c>
      <c r="K552" s="5" t="s">
        <v>31</v>
      </c>
      <c r="L552" s="5" t="s">
        <v>32</v>
      </c>
      <c r="M552" s="5" t="s">
        <v>359</v>
      </c>
      <c r="N552" s="5" t="s">
        <v>2286</v>
      </c>
      <c r="O552" s="5" t="s">
        <v>71</v>
      </c>
      <c r="P552" s="5" t="s">
        <v>360</v>
      </c>
      <c r="Q552" s="5">
        <v>112228027</v>
      </c>
      <c r="R552" s="5" t="s">
        <v>73</v>
      </c>
      <c r="S552" s="5" t="s">
        <v>39</v>
      </c>
      <c r="T552" s="7">
        <v>48</v>
      </c>
      <c r="U552" s="15" t="s">
        <v>71</v>
      </c>
      <c r="V552" s="41" t="s">
        <v>360</v>
      </c>
      <c r="W552" s="17">
        <v>112228027</v>
      </c>
      <c r="X552" s="16" t="s">
        <v>2510</v>
      </c>
      <c r="Y552" s="17" t="s">
        <v>2641</v>
      </c>
      <c r="Z552" s="17" t="s">
        <v>39</v>
      </c>
      <c r="AA552" s="17" t="s">
        <v>2501</v>
      </c>
      <c r="AB552" s="29">
        <v>16.850000000000001</v>
      </c>
      <c r="AC552" s="25">
        <v>16.850000000000001</v>
      </c>
      <c r="AD552" s="25">
        <f>AC552*T552</f>
        <v>808.80000000000007</v>
      </c>
      <c r="AE552" s="25">
        <f>AB552*T552</f>
        <v>808.80000000000007</v>
      </c>
      <c r="AF552" s="25">
        <f>AD552-AE552</f>
        <v>0</v>
      </c>
      <c r="AG552" s="26">
        <f>AF552/AD552</f>
        <v>0</v>
      </c>
      <c r="AH552" s="27" t="str">
        <f>IF(AG552&lt;0,"Negative",IF(AG552=0,"Same",IF(AG552&gt;0.3,"30+%",IF(AG552&gt;0.2,"20-30%",IF(AG552&gt;0.1,"10-20%",IF(AG552&lt;=0.1,"0-10%"))))))</f>
        <v>Same</v>
      </c>
      <c r="AI552" s="32"/>
      <c r="AJ552" s="36" t="s">
        <v>3300</v>
      </c>
      <c r="AK552" s="32"/>
    </row>
    <row r="553" spans="1:37" s="1" customFormat="1" ht="19.7" customHeight="1" x14ac:dyDescent="0.25">
      <c r="A553" s="9" t="s">
        <v>22</v>
      </c>
      <c r="B553" s="9" t="s">
        <v>1864</v>
      </c>
      <c r="C553" s="10">
        <v>44473</v>
      </c>
      <c r="D553" s="9" t="s">
        <v>24</v>
      </c>
      <c r="E553" s="9" t="s">
        <v>25</v>
      </c>
      <c r="F553" s="9" t="s">
        <v>26</v>
      </c>
      <c r="G553" s="9" t="s">
        <v>67</v>
      </c>
      <c r="H553" s="9" t="s">
        <v>68</v>
      </c>
      <c r="I553" s="9" t="s">
        <v>29</v>
      </c>
      <c r="J553" s="9" t="s">
        <v>30</v>
      </c>
      <c r="K553" s="9" t="s">
        <v>31</v>
      </c>
      <c r="L553" s="9" t="s">
        <v>32</v>
      </c>
      <c r="M553" s="9" t="s">
        <v>359</v>
      </c>
      <c r="N553" s="9" t="s">
        <v>1865</v>
      </c>
      <c r="O553" s="9" t="s">
        <v>71</v>
      </c>
      <c r="P553" s="9" t="s">
        <v>360</v>
      </c>
      <c r="Q553" s="9">
        <v>112228027</v>
      </c>
      <c r="R553" s="9" t="s">
        <v>73</v>
      </c>
      <c r="S553" s="9" t="s">
        <v>39</v>
      </c>
      <c r="T553" s="11">
        <v>48</v>
      </c>
      <c r="U553" s="15" t="s">
        <v>71</v>
      </c>
      <c r="V553" s="41" t="s">
        <v>360</v>
      </c>
      <c r="W553" s="17">
        <v>112228027</v>
      </c>
      <c r="X553" s="16" t="s">
        <v>2510</v>
      </c>
      <c r="Y553" s="17" t="s">
        <v>2641</v>
      </c>
      <c r="Z553" s="17" t="s">
        <v>39</v>
      </c>
      <c r="AA553" s="17" t="s">
        <v>2501</v>
      </c>
      <c r="AB553" s="29">
        <v>16.850000000000001</v>
      </c>
      <c r="AC553" s="25">
        <v>16.850000000000001</v>
      </c>
      <c r="AD553" s="25">
        <f>AC553*T553</f>
        <v>808.80000000000007</v>
      </c>
      <c r="AE553" s="25">
        <f>AB553*T553</f>
        <v>808.80000000000007</v>
      </c>
      <c r="AF553" s="25">
        <f>AD553-AE553</f>
        <v>0</v>
      </c>
      <c r="AG553" s="26">
        <f>AF553/AD553</f>
        <v>0</v>
      </c>
      <c r="AH553" s="27" t="str">
        <f>IF(AG553&lt;0,"Negative",IF(AG553=0,"Same",IF(AG553&gt;0.3,"30+%",IF(AG553&gt;0.2,"20-30%",IF(AG553&gt;0.1,"10-20%",IF(AG553&lt;=0.1,"0-10%"))))))</f>
        <v>Same</v>
      </c>
      <c r="AI553" s="32"/>
      <c r="AJ553" s="36" t="s">
        <v>3300</v>
      </c>
      <c r="AK553" s="32"/>
    </row>
    <row r="554" spans="1:37" s="1" customFormat="1" ht="19.7" customHeight="1" x14ac:dyDescent="0.25">
      <c r="A554" s="5" t="s">
        <v>22</v>
      </c>
      <c r="B554" s="5" t="s">
        <v>719</v>
      </c>
      <c r="C554" s="6">
        <v>44293</v>
      </c>
      <c r="D554" s="5" t="s">
        <v>24</v>
      </c>
      <c r="E554" s="5" t="s">
        <v>25</v>
      </c>
      <c r="F554" s="5" t="s">
        <v>26</v>
      </c>
      <c r="G554" s="5" t="s">
        <v>27</v>
      </c>
      <c r="H554" s="5" t="s">
        <v>28</v>
      </c>
      <c r="I554" s="5" t="s">
        <v>29</v>
      </c>
      <c r="J554" s="5" t="s">
        <v>30</v>
      </c>
      <c r="K554" s="5" t="s">
        <v>31</v>
      </c>
      <c r="L554" s="5" t="s">
        <v>32</v>
      </c>
      <c r="M554" s="5" t="s">
        <v>720</v>
      </c>
      <c r="N554" s="5" t="s">
        <v>415</v>
      </c>
      <c r="O554" s="5" t="s">
        <v>402</v>
      </c>
      <c r="P554" s="5" t="s">
        <v>721</v>
      </c>
      <c r="Q554" s="5">
        <v>100742354</v>
      </c>
      <c r="R554" s="5" t="s">
        <v>61</v>
      </c>
      <c r="S554" s="5" t="s">
        <v>39</v>
      </c>
      <c r="T554" s="7">
        <v>2</v>
      </c>
      <c r="U554" s="15" t="s">
        <v>402</v>
      </c>
      <c r="V554" s="16" t="s">
        <v>721</v>
      </c>
      <c r="W554" s="17">
        <v>100742354</v>
      </c>
      <c r="X554" s="16" t="s">
        <v>2791</v>
      </c>
      <c r="Y554" s="17" t="s">
        <v>2792</v>
      </c>
      <c r="Z554" s="17" t="s">
        <v>39</v>
      </c>
      <c r="AA554" s="17" t="s">
        <v>37</v>
      </c>
      <c r="AB554" s="43">
        <v>23.08</v>
      </c>
      <c r="AC554" s="25">
        <v>23.56</v>
      </c>
      <c r="AD554" s="25">
        <f>AC554*T554</f>
        <v>47.12</v>
      </c>
      <c r="AE554" s="25">
        <f>AB554*T554</f>
        <v>46.16</v>
      </c>
      <c r="AF554" s="25">
        <f>AD554-AE554</f>
        <v>0.96000000000000085</v>
      </c>
      <c r="AG554" s="26">
        <f>AF554/AD554</f>
        <v>2.0373514431239408E-2</v>
      </c>
      <c r="AH554" s="27" t="str">
        <f>IF(AG554&lt;0,"Negative",IF(AG554=0,"Same",IF(AG554&gt;0.3,"30+%",IF(AG554&gt;0.2,"20-30%",IF(AG554&gt;0.1,"10-20%",IF(AG554&lt;=0.1,"0-10%"))))))</f>
        <v>0-10%</v>
      </c>
      <c r="AI554" s="32"/>
      <c r="AJ554" s="36" t="s">
        <v>3300</v>
      </c>
      <c r="AK554" s="32"/>
    </row>
    <row r="555" spans="1:37" s="1" customFormat="1" ht="19.7" customHeight="1" x14ac:dyDescent="0.25">
      <c r="A555" s="9" t="s">
        <v>22</v>
      </c>
      <c r="B555" s="9" t="s">
        <v>2074</v>
      </c>
      <c r="C555" s="10">
        <v>44515</v>
      </c>
      <c r="D555" s="9" t="s">
        <v>24</v>
      </c>
      <c r="E555" s="9" t="s">
        <v>25</v>
      </c>
      <c r="F555" s="9" t="s">
        <v>26</v>
      </c>
      <c r="G555" s="9" t="s">
        <v>27</v>
      </c>
      <c r="H555" s="9" t="s">
        <v>28</v>
      </c>
      <c r="I555" s="9" t="s">
        <v>29</v>
      </c>
      <c r="J555" s="9" t="s">
        <v>30</v>
      </c>
      <c r="K555" s="9" t="s">
        <v>31</v>
      </c>
      <c r="L555" s="9" t="s">
        <v>32</v>
      </c>
      <c r="M555" s="9" t="s">
        <v>794</v>
      </c>
      <c r="N555" s="9" t="s">
        <v>2075</v>
      </c>
      <c r="O555" s="9" t="s">
        <v>89</v>
      </c>
      <c r="P555" s="9" t="s">
        <v>795</v>
      </c>
      <c r="Q555" s="9">
        <v>100747825</v>
      </c>
      <c r="R555" s="9" t="s">
        <v>45</v>
      </c>
      <c r="S555" s="9" t="s">
        <v>39</v>
      </c>
      <c r="T555" s="11">
        <v>1</v>
      </c>
      <c r="U555" s="15" t="s">
        <v>89</v>
      </c>
      <c r="V555" s="16" t="s">
        <v>795</v>
      </c>
      <c r="W555" s="17">
        <v>100747825</v>
      </c>
      <c r="X555" s="16" t="s">
        <v>2520</v>
      </c>
      <c r="Y555" s="17" t="s">
        <v>2820</v>
      </c>
      <c r="Z555" s="17" t="s">
        <v>39</v>
      </c>
      <c r="AA555" s="17" t="s">
        <v>37</v>
      </c>
      <c r="AB555" s="43">
        <v>14.12</v>
      </c>
      <c r="AC555" s="25">
        <v>17.39</v>
      </c>
      <c r="AD555" s="25">
        <f>AC555*T555</f>
        <v>17.39</v>
      </c>
      <c r="AE555" s="25">
        <f>AB555*T555</f>
        <v>14.12</v>
      </c>
      <c r="AF555" s="25">
        <f>AD555-AE555</f>
        <v>3.2700000000000014</v>
      </c>
      <c r="AG555" s="26">
        <f>AF555/AD555</f>
        <v>0.18803910293272003</v>
      </c>
      <c r="AH555" s="27" t="str">
        <f>IF(AG555&lt;0,"Negative",IF(AG555=0,"Same",IF(AG555&gt;0.3,"30+%",IF(AG555&gt;0.2,"20-30%",IF(AG555&gt;0.1,"10-20%",IF(AG555&lt;=0.1,"0-10%"))))))</f>
        <v>10-20%</v>
      </c>
      <c r="AI555" s="32"/>
      <c r="AJ555" s="36" t="s">
        <v>3299</v>
      </c>
      <c r="AK555" s="32"/>
    </row>
    <row r="556" spans="1:37" s="1" customFormat="1" ht="19.7" customHeight="1" x14ac:dyDescent="0.25">
      <c r="A556" s="9" t="s">
        <v>22</v>
      </c>
      <c r="B556" s="9" t="s">
        <v>1025</v>
      </c>
      <c r="C556" s="10">
        <v>44333</v>
      </c>
      <c r="D556" s="9" t="s">
        <v>24</v>
      </c>
      <c r="E556" s="9" t="s">
        <v>25</v>
      </c>
      <c r="F556" s="9" t="s">
        <v>26</v>
      </c>
      <c r="G556" s="9" t="s">
        <v>67</v>
      </c>
      <c r="H556" s="9" t="s">
        <v>68</v>
      </c>
      <c r="I556" s="9" t="s">
        <v>29</v>
      </c>
      <c r="J556" s="9" t="s">
        <v>30</v>
      </c>
      <c r="K556" s="9" t="s">
        <v>31</v>
      </c>
      <c r="L556" s="9" t="s">
        <v>32</v>
      </c>
      <c r="M556" s="9" t="s">
        <v>1026</v>
      </c>
      <c r="N556" s="9" t="s">
        <v>1027</v>
      </c>
      <c r="O556" s="9" t="s">
        <v>71</v>
      </c>
      <c r="P556" s="9" t="s">
        <v>1028</v>
      </c>
      <c r="Q556" s="9">
        <v>101383479</v>
      </c>
      <c r="R556" s="9" t="s">
        <v>73</v>
      </c>
      <c r="S556" s="9" t="s">
        <v>39</v>
      </c>
      <c r="T556" s="11">
        <v>36</v>
      </c>
      <c r="U556" s="15" t="s">
        <v>71</v>
      </c>
      <c r="V556" s="16" t="s">
        <v>1028</v>
      </c>
      <c r="W556" s="17">
        <v>101383479</v>
      </c>
      <c r="X556" s="16" t="s">
        <v>2510</v>
      </c>
      <c r="Y556" s="17" t="s">
        <v>2897</v>
      </c>
      <c r="Z556" s="17" t="s">
        <v>39</v>
      </c>
      <c r="AA556" s="17" t="s">
        <v>37</v>
      </c>
      <c r="AB556" s="29">
        <v>18.75</v>
      </c>
      <c r="AC556" s="25">
        <v>18.75</v>
      </c>
      <c r="AD556" s="25">
        <f>AC556*T556</f>
        <v>675</v>
      </c>
      <c r="AE556" s="25">
        <f>AB556*T556</f>
        <v>675</v>
      </c>
      <c r="AF556" s="25">
        <f>AD556-AE556</f>
        <v>0</v>
      </c>
      <c r="AG556" s="26">
        <f>AF556/AD556</f>
        <v>0</v>
      </c>
      <c r="AH556" s="27" t="str">
        <f>IF(AG556&lt;0,"Negative",IF(AG556=0,"Same",IF(AG556&gt;0.3,"30+%",IF(AG556&gt;0.2,"20-30%",IF(AG556&gt;0.1,"10-20%",IF(AG556&lt;=0.1,"0-10%"))))))</f>
        <v>Same</v>
      </c>
      <c r="AI556" s="32"/>
      <c r="AJ556" s="36" t="s">
        <v>3300</v>
      </c>
      <c r="AK556" s="32"/>
    </row>
    <row r="557" spans="1:37" s="1" customFormat="1" ht="19.7" customHeight="1" x14ac:dyDescent="0.25">
      <c r="A557" s="9" t="s">
        <v>22</v>
      </c>
      <c r="B557" s="9" t="s">
        <v>1062</v>
      </c>
      <c r="C557" s="10">
        <v>44335</v>
      </c>
      <c r="D557" s="9" t="s">
        <v>24</v>
      </c>
      <c r="E557" s="9" t="s">
        <v>25</v>
      </c>
      <c r="F557" s="9" t="s">
        <v>26</v>
      </c>
      <c r="G557" s="9" t="s">
        <v>27</v>
      </c>
      <c r="H557" s="9" t="s">
        <v>28</v>
      </c>
      <c r="I557" s="9" t="s">
        <v>29</v>
      </c>
      <c r="J557" s="9" t="s">
        <v>30</v>
      </c>
      <c r="K557" s="9" t="s">
        <v>31</v>
      </c>
      <c r="L557" s="9" t="s">
        <v>32</v>
      </c>
      <c r="M557" s="9" t="s">
        <v>1063</v>
      </c>
      <c r="N557" s="9" t="s">
        <v>972</v>
      </c>
      <c r="O557" s="9" t="s">
        <v>984</v>
      </c>
      <c r="P557" s="9" t="s">
        <v>1064</v>
      </c>
      <c r="Q557" s="9">
        <v>100465259</v>
      </c>
      <c r="R557" s="9" t="s">
        <v>38</v>
      </c>
      <c r="S557" s="9" t="s">
        <v>39</v>
      </c>
      <c r="T557" s="11">
        <v>1</v>
      </c>
      <c r="U557" s="15" t="s">
        <v>984</v>
      </c>
      <c r="V557" s="16" t="s">
        <v>1064</v>
      </c>
      <c r="W557" s="17">
        <v>100465259</v>
      </c>
      <c r="X557" s="16" t="s">
        <v>2599</v>
      </c>
      <c r="Y557" s="17" t="s">
        <v>2912</v>
      </c>
      <c r="Z557" s="17" t="s">
        <v>39</v>
      </c>
      <c r="AA557" s="17" t="s">
        <v>37</v>
      </c>
      <c r="AB557" s="29">
        <v>73.67</v>
      </c>
      <c r="AC557" s="25">
        <v>72.27</v>
      </c>
      <c r="AD557" s="25">
        <f>AC557*T557</f>
        <v>72.27</v>
      </c>
      <c r="AE557" s="25">
        <f>AB557*T557</f>
        <v>73.67</v>
      </c>
      <c r="AF557" s="25">
        <f>AD557-AE557</f>
        <v>-1.4000000000000057</v>
      </c>
      <c r="AG557" s="26">
        <f>AF557/AD557</f>
        <v>-1.9371800193718081E-2</v>
      </c>
      <c r="AH557" s="27" t="str">
        <f>IF(AG557&lt;0,"Negative",IF(AG557=0,"Same",IF(AG557&gt;0.3,"30+%",IF(AG557&gt;0.2,"20-30%",IF(AG557&gt;0.1,"10-20%",IF(AG557&lt;=0.1,"0-10%"))))))</f>
        <v>Negative</v>
      </c>
      <c r="AI557" s="32"/>
      <c r="AJ557" s="36" t="s">
        <v>3300</v>
      </c>
      <c r="AK557" s="32"/>
    </row>
    <row r="558" spans="1:37" s="1" customFormat="1" ht="19.7" customHeight="1" x14ac:dyDescent="0.25">
      <c r="A558" s="9" t="s">
        <v>22</v>
      </c>
      <c r="B558" s="9" t="s">
        <v>745</v>
      </c>
      <c r="C558" s="10">
        <v>44295</v>
      </c>
      <c r="D558" s="9" t="s">
        <v>24</v>
      </c>
      <c r="E558" s="9" t="s">
        <v>25</v>
      </c>
      <c r="F558" s="9" t="s">
        <v>26</v>
      </c>
      <c r="G558" s="9" t="s">
        <v>27</v>
      </c>
      <c r="H558" s="9" t="s">
        <v>28</v>
      </c>
      <c r="I558" s="9" t="s">
        <v>29</v>
      </c>
      <c r="J558" s="9" t="s">
        <v>30</v>
      </c>
      <c r="K558" s="9" t="s">
        <v>31</v>
      </c>
      <c r="L558" s="9" t="s">
        <v>32</v>
      </c>
      <c r="M558" s="9" t="s">
        <v>746</v>
      </c>
      <c r="N558" s="9" t="s">
        <v>697</v>
      </c>
      <c r="O558" s="9" t="s">
        <v>79</v>
      </c>
      <c r="P558" s="9" t="s">
        <v>747</v>
      </c>
      <c r="Q558" s="9">
        <v>100756047</v>
      </c>
      <c r="R558" s="9" t="s">
        <v>61</v>
      </c>
      <c r="S558" s="9" t="s">
        <v>39</v>
      </c>
      <c r="T558" s="11">
        <v>6</v>
      </c>
      <c r="U558" s="15" t="s">
        <v>79</v>
      </c>
      <c r="V558" s="16" t="s">
        <v>747</v>
      </c>
      <c r="W558" s="17">
        <v>100756047</v>
      </c>
      <c r="X558" s="16" t="s">
        <v>2540</v>
      </c>
      <c r="Y558" s="17" t="s">
        <v>2802</v>
      </c>
      <c r="Z558" s="17" t="s">
        <v>39</v>
      </c>
      <c r="AA558" s="17" t="s">
        <v>37</v>
      </c>
      <c r="AB558" s="43">
        <v>14.71</v>
      </c>
      <c r="AC558" s="25">
        <v>15.51</v>
      </c>
      <c r="AD558" s="25">
        <f>AC558*T558</f>
        <v>93.06</v>
      </c>
      <c r="AE558" s="25">
        <f>AB558*T558</f>
        <v>88.26</v>
      </c>
      <c r="AF558" s="25">
        <f>AD558-AE558</f>
        <v>4.7999999999999972</v>
      </c>
      <c r="AG558" s="26">
        <f>AF558/AD558</f>
        <v>5.1579626047711123E-2</v>
      </c>
      <c r="AH558" s="27" t="str">
        <f>IF(AG558&lt;0,"Negative",IF(AG558=0,"Same",IF(AG558&gt;0.3,"30+%",IF(AG558&gt;0.2,"20-30%",IF(AG558&gt;0.1,"10-20%",IF(AG558&lt;=0.1,"0-10%"))))))</f>
        <v>0-10%</v>
      </c>
      <c r="AI558" s="32"/>
      <c r="AJ558" s="36" t="s">
        <v>3300</v>
      </c>
      <c r="AK558" s="32"/>
    </row>
    <row r="559" spans="1:37" s="1" customFormat="1" ht="19.7" customHeight="1" x14ac:dyDescent="0.25">
      <c r="A559" s="5" t="s">
        <v>22</v>
      </c>
      <c r="B559" s="5" t="s">
        <v>2193</v>
      </c>
      <c r="C559" s="6">
        <v>44536</v>
      </c>
      <c r="D559" s="5" t="s">
        <v>24</v>
      </c>
      <c r="E559" s="5" t="s">
        <v>25</v>
      </c>
      <c r="F559" s="5" t="s">
        <v>26</v>
      </c>
      <c r="G559" s="5" t="s">
        <v>67</v>
      </c>
      <c r="H559" s="5" t="s">
        <v>68</v>
      </c>
      <c r="I559" s="5" t="s">
        <v>29</v>
      </c>
      <c r="J559" s="5" t="s">
        <v>30</v>
      </c>
      <c r="K559" s="5" t="s">
        <v>31</v>
      </c>
      <c r="L559" s="5" t="s">
        <v>32</v>
      </c>
      <c r="M559" s="5" t="s">
        <v>633</v>
      </c>
      <c r="N559" s="5" t="s">
        <v>2194</v>
      </c>
      <c r="O559" s="5" t="s">
        <v>480</v>
      </c>
      <c r="P559" s="5" t="s">
        <v>634</v>
      </c>
      <c r="Q559" s="5">
        <v>111947444</v>
      </c>
      <c r="R559" s="5" t="s">
        <v>116</v>
      </c>
      <c r="S559" s="5" t="s">
        <v>39</v>
      </c>
      <c r="T559" s="7">
        <v>1</v>
      </c>
      <c r="U559" s="15" t="s">
        <v>480</v>
      </c>
      <c r="V559" s="16" t="s">
        <v>634</v>
      </c>
      <c r="W559" s="17">
        <v>111947444</v>
      </c>
      <c r="X559" s="16" t="s">
        <v>2758</v>
      </c>
      <c r="Y559" s="17" t="s">
        <v>2759</v>
      </c>
      <c r="Z559" s="17" t="s">
        <v>39</v>
      </c>
      <c r="AA559" s="17" t="s">
        <v>2501</v>
      </c>
      <c r="AB559" s="29">
        <v>119.7</v>
      </c>
      <c r="AC559" s="25">
        <v>125.4</v>
      </c>
      <c r="AD559" s="25">
        <f>AC559*T559</f>
        <v>125.4</v>
      </c>
      <c r="AE559" s="25">
        <f>AB559*T559</f>
        <v>119.7</v>
      </c>
      <c r="AF559" s="25">
        <f>AD559-AE559</f>
        <v>5.7000000000000028</v>
      </c>
      <c r="AG559" s="26">
        <f>AF559/AD559</f>
        <v>4.5454545454545477E-2</v>
      </c>
      <c r="AH559" s="27" t="str">
        <f>IF(AG559&lt;0,"Negative",IF(AG559=0,"Same",IF(AG559&gt;0.3,"30+%",IF(AG559&gt;0.2,"20-30%",IF(AG559&gt;0.1,"10-20%",IF(AG559&lt;=0.1,"0-10%"))))))</f>
        <v>0-10%</v>
      </c>
      <c r="AI559" s="32"/>
      <c r="AJ559" s="36" t="s">
        <v>3300</v>
      </c>
      <c r="AK559" s="32"/>
    </row>
    <row r="560" spans="1:37" s="1" customFormat="1" ht="19.7" customHeight="1" x14ac:dyDescent="0.25">
      <c r="A560" s="9" t="s">
        <v>22</v>
      </c>
      <c r="B560" s="9" t="s">
        <v>2343</v>
      </c>
      <c r="C560" s="10">
        <v>44568</v>
      </c>
      <c r="D560" s="9" t="s">
        <v>24</v>
      </c>
      <c r="E560" s="9" t="s">
        <v>25</v>
      </c>
      <c r="F560" s="9" t="s">
        <v>26</v>
      </c>
      <c r="G560" s="9" t="s">
        <v>67</v>
      </c>
      <c r="H560" s="9" t="s">
        <v>68</v>
      </c>
      <c r="I560" s="9" t="s">
        <v>29</v>
      </c>
      <c r="J560" s="9" t="s">
        <v>30</v>
      </c>
      <c r="K560" s="9" t="s">
        <v>31</v>
      </c>
      <c r="L560" s="9" t="s">
        <v>32</v>
      </c>
      <c r="M560" s="9" t="s">
        <v>633</v>
      </c>
      <c r="N560" s="9" t="s">
        <v>2344</v>
      </c>
      <c r="O560" s="9" t="s">
        <v>480</v>
      </c>
      <c r="P560" s="9" t="s">
        <v>634</v>
      </c>
      <c r="Q560" s="9">
        <v>111947444</v>
      </c>
      <c r="R560" s="9" t="s">
        <v>116</v>
      </c>
      <c r="S560" s="9" t="s">
        <v>39</v>
      </c>
      <c r="T560" s="11">
        <v>2</v>
      </c>
      <c r="U560" s="15" t="s">
        <v>480</v>
      </c>
      <c r="V560" s="16" t="s">
        <v>634</v>
      </c>
      <c r="W560" s="17">
        <v>111947444</v>
      </c>
      <c r="X560" s="16" t="s">
        <v>2758</v>
      </c>
      <c r="Y560" s="17" t="s">
        <v>2759</v>
      </c>
      <c r="Z560" s="17" t="s">
        <v>39</v>
      </c>
      <c r="AA560" s="17" t="s">
        <v>2501</v>
      </c>
      <c r="AB560" s="29">
        <v>119.7</v>
      </c>
      <c r="AC560" s="25">
        <v>125.4</v>
      </c>
      <c r="AD560" s="25">
        <f>AC560*T560</f>
        <v>250.8</v>
      </c>
      <c r="AE560" s="25">
        <f>AB560*T560</f>
        <v>239.4</v>
      </c>
      <c r="AF560" s="25">
        <f>AD560-AE560</f>
        <v>11.400000000000006</v>
      </c>
      <c r="AG560" s="26">
        <f>AF560/AD560</f>
        <v>4.5454545454545477E-2</v>
      </c>
      <c r="AH560" s="27" t="str">
        <f>IF(AG560&lt;0,"Negative",IF(AG560=0,"Same",IF(AG560&gt;0.3,"30+%",IF(AG560&gt;0.2,"20-30%",IF(AG560&gt;0.1,"10-20%",IF(AG560&lt;=0.1,"0-10%"))))))</f>
        <v>0-10%</v>
      </c>
      <c r="AI560" s="32"/>
      <c r="AJ560" s="36" t="s">
        <v>3300</v>
      </c>
      <c r="AK560" s="32"/>
    </row>
    <row r="561" spans="1:37" s="1" customFormat="1" ht="19.7" customHeight="1" x14ac:dyDescent="0.25">
      <c r="A561" s="5" t="s">
        <v>22</v>
      </c>
      <c r="B561" s="5" t="s">
        <v>2272</v>
      </c>
      <c r="C561" s="6">
        <v>44559</v>
      </c>
      <c r="D561" s="5" t="s">
        <v>24</v>
      </c>
      <c r="E561" s="5" t="s">
        <v>25</v>
      </c>
      <c r="F561" s="5" t="s">
        <v>26</v>
      </c>
      <c r="G561" s="5" t="s">
        <v>67</v>
      </c>
      <c r="H561" s="5" t="s">
        <v>68</v>
      </c>
      <c r="I561" s="5" t="s">
        <v>29</v>
      </c>
      <c r="J561" s="5" t="s">
        <v>30</v>
      </c>
      <c r="K561" s="5" t="s">
        <v>31</v>
      </c>
      <c r="L561" s="5" t="s">
        <v>32</v>
      </c>
      <c r="M561" s="5" t="s">
        <v>633</v>
      </c>
      <c r="N561" s="5" t="s">
        <v>2273</v>
      </c>
      <c r="O561" s="5" t="s">
        <v>480</v>
      </c>
      <c r="P561" s="5" t="s">
        <v>634</v>
      </c>
      <c r="Q561" s="5">
        <v>111947444</v>
      </c>
      <c r="R561" s="5" t="s">
        <v>116</v>
      </c>
      <c r="S561" s="5" t="s">
        <v>39</v>
      </c>
      <c r="T561" s="7">
        <v>4</v>
      </c>
      <c r="U561" s="15" t="s">
        <v>480</v>
      </c>
      <c r="V561" s="16" t="s">
        <v>634</v>
      </c>
      <c r="W561" s="17">
        <v>111947444</v>
      </c>
      <c r="X561" s="16" t="s">
        <v>2758</v>
      </c>
      <c r="Y561" s="17" t="s">
        <v>2759</v>
      </c>
      <c r="Z561" s="17" t="s">
        <v>39</v>
      </c>
      <c r="AA561" s="17" t="s">
        <v>2501</v>
      </c>
      <c r="AB561" s="29">
        <v>119.7</v>
      </c>
      <c r="AC561" s="25">
        <v>125.4</v>
      </c>
      <c r="AD561" s="25">
        <f>AC561*T561</f>
        <v>501.6</v>
      </c>
      <c r="AE561" s="25">
        <f>AB561*T561</f>
        <v>478.8</v>
      </c>
      <c r="AF561" s="25">
        <f>AD561-AE561</f>
        <v>22.800000000000011</v>
      </c>
      <c r="AG561" s="26">
        <f>AF561/AD561</f>
        <v>4.5454545454545477E-2</v>
      </c>
      <c r="AH561" s="27" t="str">
        <f>IF(AG561&lt;0,"Negative",IF(AG561=0,"Same",IF(AG561&gt;0.3,"30+%",IF(AG561&gt;0.2,"20-30%",IF(AG561&gt;0.1,"10-20%",IF(AG561&lt;=0.1,"0-10%"))))))</f>
        <v>0-10%</v>
      </c>
      <c r="AI561" s="32"/>
      <c r="AJ561" s="36" t="s">
        <v>3300</v>
      </c>
      <c r="AK561" s="32"/>
    </row>
    <row r="562" spans="1:37" s="1" customFormat="1" ht="19.7" customHeight="1" x14ac:dyDescent="0.25">
      <c r="A562" s="5" t="s">
        <v>22</v>
      </c>
      <c r="B562" s="5" t="s">
        <v>2341</v>
      </c>
      <c r="C562" s="6">
        <v>44568</v>
      </c>
      <c r="D562" s="5" t="s">
        <v>24</v>
      </c>
      <c r="E562" s="5" t="s">
        <v>25</v>
      </c>
      <c r="F562" s="5" t="s">
        <v>26</v>
      </c>
      <c r="G562" s="5" t="s">
        <v>67</v>
      </c>
      <c r="H562" s="5" t="s">
        <v>68</v>
      </c>
      <c r="I562" s="5" t="s">
        <v>29</v>
      </c>
      <c r="J562" s="5" t="s">
        <v>30</v>
      </c>
      <c r="K562" s="5" t="s">
        <v>31</v>
      </c>
      <c r="L562" s="5" t="s">
        <v>32</v>
      </c>
      <c r="M562" s="5" t="s">
        <v>111</v>
      </c>
      <c r="N562" s="5" t="s">
        <v>2342</v>
      </c>
      <c r="O562" s="5" t="s">
        <v>109</v>
      </c>
      <c r="P562" s="5" t="s">
        <v>112</v>
      </c>
      <c r="Q562" s="5">
        <v>100722410</v>
      </c>
      <c r="R562" s="5" t="s">
        <v>61</v>
      </c>
      <c r="S562" s="5" t="s">
        <v>39</v>
      </c>
      <c r="T562" s="7">
        <v>1</v>
      </c>
      <c r="U562" s="15" t="s">
        <v>109</v>
      </c>
      <c r="V562" s="16" t="s">
        <v>112</v>
      </c>
      <c r="W562" s="17">
        <v>100722410</v>
      </c>
      <c r="X562" s="16" t="s">
        <v>2526</v>
      </c>
      <c r="Y562" s="17" t="s">
        <v>2528</v>
      </c>
      <c r="Z562" s="17" t="s">
        <v>39</v>
      </c>
      <c r="AA562" s="17" t="s">
        <v>37</v>
      </c>
      <c r="AB562" s="43">
        <v>35.880000000000003</v>
      </c>
      <c r="AC562" s="25">
        <v>37.56</v>
      </c>
      <c r="AD562" s="25">
        <f>AC562*T562</f>
        <v>37.56</v>
      </c>
      <c r="AE562" s="25">
        <f>AB562*T562</f>
        <v>35.880000000000003</v>
      </c>
      <c r="AF562" s="25">
        <f>AD562-AE562</f>
        <v>1.6799999999999997</v>
      </c>
      <c r="AG562" s="26">
        <f>AF562/AD562</f>
        <v>4.4728434504792323E-2</v>
      </c>
      <c r="AH562" s="27" t="str">
        <f>IF(AG562&lt;0,"Negative",IF(AG562=0,"Same",IF(AG562&gt;0.3,"30+%",IF(AG562&gt;0.2,"20-30%",IF(AG562&gt;0.1,"10-20%",IF(AG562&lt;=0.1,"0-10%"))))))</f>
        <v>0-10%</v>
      </c>
      <c r="AI562" s="32"/>
      <c r="AJ562" s="36" t="s">
        <v>3300</v>
      </c>
      <c r="AK562" s="32"/>
    </row>
    <row r="563" spans="1:37" s="1" customFormat="1" ht="19.7" customHeight="1" x14ac:dyDescent="0.25">
      <c r="A563" s="9" t="s">
        <v>22</v>
      </c>
      <c r="B563" s="9" t="s">
        <v>2107</v>
      </c>
      <c r="C563" s="10">
        <v>44519</v>
      </c>
      <c r="D563" s="9" t="s">
        <v>24</v>
      </c>
      <c r="E563" s="9" t="s">
        <v>25</v>
      </c>
      <c r="F563" s="9" t="s">
        <v>26</v>
      </c>
      <c r="G563" s="9" t="s">
        <v>67</v>
      </c>
      <c r="H563" s="9" t="s">
        <v>68</v>
      </c>
      <c r="I563" s="9" t="s">
        <v>29</v>
      </c>
      <c r="J563" s="9" t="s">
        <v>30</v>
      </c>
      <c r="K563" s="9" t="s">
        <v>31</v>
      </c>
      <c r="L563" s="9" t="s">
        <v>32</v>
      </c>
      <c r="M563" s="9" t="s">
        <v>111</v>
      </c>
      <c r="N563" s="9" t="s">
        <v>2108</v>
      </c>
      <c r="O563" s="9" t="s">
        <v>109</v>
      </c>
      <c r="P563" s="9" t="s">
        <v>112</v>
      </c>
      <c r="Q563" s="9">
        <v>100722410</v>
      </c>
      <c r="R563" s="9" t="s">
        <v>61</v>
      </c>
      <c r="S563" s="9" t="s">
        <v>39</v>
      </c>
      <c r="T563" s="11">
        <v>1</v>
      </c>
      <c r="U563" s="15" t="s">
        <v>109</v>
      </c>
      <c r="V563" s="16" t="s">
        <v>112</v>
      </c>
      <c r="W563" s="17">
        <v>100722410</v>
      </c>
      <c r="X563" s="16" t="s">
        <v>2526</v>
      </c>
      <c r="Y563" s="17" t="s">
        <v>2528</v>
      </c>
      <c r="Z563" s="17" t="s">
        <v>39</v>
      </c>
      <c r="AA563" s="17" t="s">
        <v>37</v>
      </c>
      <c r="AB563" s="43">
        <v>35.880000000000003</v>
      </c>
      <c r="AC563" s="25">
        <v>37.56</v>
      </c>
      <c r="AD563" s="25">
        <f>AC563*T563</f>
        <v>37.56</v>
      </c>
      <c r="AE563" s="25">
        <f>AB563*T563</f>
        <v>35.880000000000003</v>
      </c>
      <c r="AF563" s="25">
        <f>AD563-AE563</f>
        <v>1.6799999999999997</v>
      </c>
      <c r="AG563" s="26">
        <f>AF563/AD563</f>
        <v>4.4728434504792323E-2</v>
      </c>
      <c r="AH563" s="27" t="str">
        <f>IF(AG563&lt;0,"Negative",IF(AG563=0,"Same",IF(AG563&gt;0.3,"30+%",IF(AG563&gt;0.2,"20-30%",IF(AG563&gt;0.1,"10-20%",IF(AG563&lt;=0.1,"0-10%"))))))</f>
        <v>0-10%</v>
      </c>
      <c r="AI563" s="32"/>
      <c r="AJ563" s="36" t="s">
        <v>3300</v>
      </c>
      <c r="AK563" s="32"/>
    </row>
    <row r="564" spans="1:37" s="1" customFormat="1" ht="19.7" customHeight="1" x14ac:dyDescent="0.25">
      <c r="A564" s="5" t="s">
        <v>22</v>
      </c>
      <c r="B564" s="5" t="s">
        <v>2112</v>
      </c>
      <c r="C564" s="6">
        <v>44519</v>
      </c>
      <c r="D564" s="5" t="s">
        <v>24</v>
      </c>
      <c r="E564" s="5" t="s">
        <v>25</v>
      </c>
      <c r="F564" s="5" t="s">
        <v>26</v>
      </c>
      <c r="G564" s="5" t="s">
        <v>67</v>
      </c>
      <c r="H564" s="5" t="s">
        <v>68</v>
      </c>
      <c r="I564" s="5" t="s">
        <v>29</v>
      </c>
      <c r="J564" s="5" t="s">
        <v>30</v>
      </c>
      <c r="K564" s="5" t="s">
        <v>31</v>
      </c>
      <c r="L564" s="5" t="s">
        <v>32</v>
      </c>
      <c r="M564" s="5" t="s">
        <v>111</v>
      </c>
      <c r="N564" s="5" t="s">
        <v>2114</v>
      </c>
      <c r="O564" s="5" t="s">
        <v>109</v>
      </c>
      <c r="P564" s="5" t="s">
        <v>112</v>
      </c>
      <c r="Q564" s="5">
        <v>100722410</v>
      </c>
      <c r="R564" s="5" t="s">
        <v>61</v>
      </c>
      <c r="S564" s="5" t="s">
        <v>39</v>
      </c>
      <c r="T564" s="7">
        <v>1</v>
      </c>
      <c r="U564" s="15" t="s">
        <v>109</v>
      </c>
      <c r="V564" s="16" t="s">
        <v>112</v>
      </c>
      <c r="W564" s="17">
        <v>100722410</v>
      </c>
      <c r="X564" s="16" t="s">
        <v>2526</v>
      </c>
      <c r="Y564" s="17" t="s">
        <v>2528</v>
      </c>
      <c r="Z564" s="17" t="s">
        <v>39</v>
      </c>
      <c r="AA564" s="17" t="s">
        <v>37</v>
      </c>
      <c r="AB564" s="43">
        <v>35.880000000000003</v>
      </c>
      <c r="AC564" s="25">
        <v>37.56</v>
      </c>
      <c r="AD564" s="25">
        <f>AC564*T564</f>
        <v>37.56</v>
      </c>
      <c r="AE564" s="25">
        <f>AB564*T564</f>
        <v>35.880000000000003</v>
      </c>
      <c r="AF564" s="25">
        <f>AD564-AE564</f>
        <v>1.6799999999999997</v>
      </c>
      <c r="AG564" s="26">
        <f>AF564/AD564</f>
        <v>4.4728434504792323E-2</v>
      </c>
      <c r="AH564" s="27" t="str">
        <f>IF(AG564&lt;0,"Negative",IF(AG564=0,"Same",IF(AG564&gt;0.3,"30+%",IF(AG564&gt;0.2,"20-30%",IF(AG564&gt;0.1,"10-20%",IF(AG564&lt;=0.1,"0-10%"))))))</f>
        <v>0-10%</v>
      </c>
      <c r="AI564" s="32"/>
      <c r="AJ564" s="36" t="s">
        <v>3300</v>
      </c>
      <c r="AK564" s="32"/>
    </row>
    <row r="565" spans="1:37" s="1" customFormat="1" ht="19.7" customHeight="1" x14ac:dyDescent="0.25">
      <c r="A565" s="9" t="s">
        <v>22</v>
      </c>
      <c r="B565" s="9" t="s">
        <v>2422</v>
      </c>
      <c r="C565" s="10">
        <v>44582</v>
      </c>
      <c r="D565" s="9" t="s">
        <v>24</v>
      </c>
      <c r="E565" s="9" t="s">
        <v>25</v>
      </c>
      <c r="F565" s="9" t="s">
        <v>26</v>
      </c>
      <c r="G565" s="9" t="s">
        <v>67</v>
      </c>
      <c r="H565" s="9" t="s">
        <v>68</v>
      </c>
      <c r="I565" s="9" t="s">
        <v>29</v>
      </c>
      <c r="J565" s="9" t="s">
        <v>30</v>
      </c>
      <c r="K565" s="9" t="s">
        <v>31</v>
      </c>
      <c r="L565" s="9" t="s">
        <v>32</v>
      </c>
      <c r="M565" s="9" t="s">
        <v>111</v>
      </c>
      <c r="N565" s="9" t="s">
        <v>2423</v>
      </c>
      <c r="O565" s="9" t="s">
        <v>109</v>
      </c>
      <c r="P565" s="9" t="s">
        <v>112</v>
      </c>
      <c r="Q565" s="9">
        <v>100722410</v>
      </c>
      <c r="R565" s="9" t="s">
        <v>61</v>
      </c>
      <c r="S565" s="9" t="s">
        <v>39</v>
      </c>
      <c r="T565" s="11">
        <v>2</v>
      </c>
      <c r="U565" s="15" t="s">
        <v>109</v>
      </c>
      <c r="V565" s="16" t="s">
        <v>112</v>
      </c>
      <c r="W565" s="17">
        <v>100722410</v>
      </c>
      <c r="X565" s="16" t="s">
        <v>2526</v>
      </c>
      <c r="Y565" s="17" t="s">
        <v>2528</v>
      </c>
      <c r="Z565" s="17" t="s">
        <v>39</v>
      </c>
      <c r="AA565" s="17" t="s">
        <v>37</v>
      </c>
      <c r="AB565" s="43">
        <v>35.880000000000003</v>
      </c>
      <c r="AC565" s="25">
        <v>37.56</v>
      </c>
      <c r="AD565" s="25">
        <f>AC565*T565</f>
        <v>75.12</v>
      </c>
      <c r="AE565" s="25">
        <f>AB565*T565</f>
        <v>71.760000000000005</v>
      </c>
      <c r="AF565" s="25">
        <f>AD565-AE565</f>
        <v>3.3599999999999994</v>
      </c>
      <c r="AG565" s="26">
        <f>AF565/AD565</f>
        <v>4.4728434504792323E-2</v>
      </c>
      <c r="AH565" s="27" t="str">
        <f>IF(AG565&lt;0,"Negative",IF(AG565=0,"Same",IF(AG565&gt;0.3,"30+%",IF(AG565&gt;0.2,"20-30%",IF(AG565&gt;0.1,"10-20%",IF(AG565&lt;=0.1,"0-10%"))))))</f>
        <v>0-10%</v>
      </c>
      <c r="AI565" s="32"/>
      <c r="AJ565" s="36" t="s">
        <v>3300</v>
      </c>
      <c r="AK565" s="32"/>
    </row>
    <row r="566" spans="1:37" s="1" customFormat="1" ht="19.7" customHeight="1" x14ac:dyDescent="0.25">
      <c r="A566" s="9" t="s">
        <v>22</v>
      </c>
      <c r="B566" s="9" t="s">
        <v>2232</v>
      </c>
      <c r="C566" s="10">
        <v>44547</v>
      </c>
      <c r="D566" s="9" t="s">
        <v>24</v>
      </c>
      <c r="E566" s="9" t="s">
        <v>25</v>
      </c>
      <c r="F566" s="9" t="s">
        <v>26</v>
      </c>
      <c r="G566" s="9" t="s">
        <v>27</v>
      </c>
      <c r="H566" s="9" t="s">
        <v>28</v>
      </c>
      <c r="I566" s="9" t="s">
        <v>29</v>
      </c>
      <c r="J566" s="9" t="s">
        <v>30</v>
      </c>
      <c r="K566" s="9" t="s">
        <v>31</v>
      </c>
      <c r="L566" s="9" t="s">
        <v>32</v>
      </c>
      <c r="M566" s="9" t="s">
        <v>2233</v>
      </c>
      <c r="N566" s="9" t="s">
        <v>2223</v>
      </c>
      <c r="O566" s="9" t="s">
        <v>89</v>
      </c>
      <c r="P566" s="9" t="s">
        <v>2234</v>
      </c>
      <c r="Q566" s="9">
        <v>100747712</v>
      </c>
      <c r="R566" s="9" t="s">
        <v>45</v>
      </c>
      <c r="S566" s="9" t="s">
        <v>39</v>
      </c>
      <c r="T566" s="11">
        <v>6</v>
      </c>
      <c r="U566" s="15" t="s">
        <v>89</v>
      </c>
      <c r="V566" s="16" t="s">
        <v>2234</v>
      </c>
      <c r="W566" s="17">
        <v>100747712</v>
      </c>
      <c r="X566" s="16" t="s">
        <v>2520</v>
      </c>
      <c r="Y566" s="17" t="s">
        <v>3232</v>
      </c>
      <c r="Z566" s="17" t="s">
        <v>39</v>
      </c>
      <c r="AA566" s="17" t="s">
        <v>37</v>
      </c>
      <c r="AB566" s="43">
        <v>15.61</v>
      </c>
      <c r="AC566" s="25">
        <v>18.3</v>
      </c>
      <c r="AD566" s="25">
        <f>AC566*T566</f>
        <v>109.80000000000001</v>
      </c>
      <c r="AE566" s="25">
        <f>AB566*T566</f>
        <v>93.66</v>
      </c>
      <c r="AF566" s="25">
        <f>AD566-AE566</f>
        <v>16.140000000000015</v>
      </c>
      <c r="AG566" s="26">
        <f>AF566/AD566</f>
        <v>0.14699453551912581</v>
      </c>
      <c r="AH566" s="27" t="str">
        <f>IF(AG566&lt;0,"Negative",IF(AG566=0,"Same",IF(AG566&gt;0.3,"30+%",IF(AG566&gt;0.2,"20-30%",IF(AG566&gt;0.1,"10-20%",IF(AG566&lt;=0.1,"0-10%"))))))</f>
        <v>10-20%</v>
      </c>
      <c r="AI566" s="32"/>
      <c r="AJ566" s="36" t="s">
        <v>3300</v>
      </c>
      <c r="AK566" s="32"/>
    </row>
    <row r="567" spans="1:37" s="1" customFormat="1" ht="19.7" customHeight="1" x14ac:dyDescent="0.25">
      <c r="A567" s="9" t="s">
        <v>22</v>
      </c>
      <c r="B567" s="9" t="s">
        <v>146</v>
      </c>
      <c r="C567" s="10">
        <v>44235</v>
      </c>
      <c r="D567" s="9" t="s">
        <v>24</v>
      </c>
      <c r="E567" s="9" t="s">
        <v>25</v>
      </c>
      <c r="F567" s="9" t="s">
        <v>26</v>
      </c>
      <c r="G567" s="9" t="s">
        <v>27</v>
      </c>
      <c r="H567" s="9" t="s">
        <v>28</v>
      </c>
      <c r="I567" s="9" t="s">
        <v>29</v>
      </c>
      <c r="J567" s="9" t="s">
        <v>30</v>
      </c>
      <c r="K567" s="9" t="s">
        <v>31</v>
      </c>
      <c r="L567" s="9" t="s">
        <v>32</v>
      </c>
      <c r="M567" s="9" t="s">
        <v>147</v>
      </c>
      <c r="N567" s="9" t="s">
        <v>96</v>
      </c>
      <c r="O567" s="9" t="s">
        <v>89</v>
      </c>
      <c r="P567" s="9" t="s">
        <v>148</v>
      </c>
      <c r="Q567" s="9">
        <v>101828522</v>
      </c>
      <c r="R567" s="9" t="s">
        <v>45</v>
      </c>
      <c r="S567" s="9" t="s">
        <v>39</v>
      </c>
      <c r="T567" s="11">
        <v>1</v>
      </c>
      <c r="U567" s="15" t="s">
        <v>89</v>
      </c>
      <c r="V567" s="16" t="s">
        <v>148</v>
      </c>
      <c r="W567" s="17">
        <v>101828522</v>
      </c>
      <c r="X567" s="16" t="s">
        <v>2518</v>
      </c>
      <c r="Y567" s="17" t="s">
        <v>2546</v>
      </c>
      <c r="Z567" s="17" t="s">
        <v>39</v>
      </c>
      <c r="AA567" s="17" t="s">
        <v>37</v>
      </c>
      <c r="AB567" s="43">
        <v>11.92</v>
      </c>
      <c r="AC567" s="25">
        <v>13.97</v>
      </c>
      <c r="AD567" s="25">
        <f>AC567*T567</f>
        <v>13.97</v>
      </c>
      <c r="AE567" s="25">
        <f>AB567*T567</f>
        <v>11.92</v>
      </c>
      <c r="AF567" s="25">
        <f>AD567-AE567</f>
        <v>2.0500000000000007</v>
      </c>
      <c r="AG567" s="26">
        <f>AF567/AD567</f>
        <v>0.14674302075876883</v>
      </c>
      <c r="AH567" s="27" t="str">
        <f>IF(AG567&lt;0,"Negative",IF(AG567=0,"Same",IF(AG567&gt;0.3,"30+%",IF(AG567&gt;0.2,"20-30%",IF(AG567&gt;0.1,"10-20%",IF(AG567&lt;=0.1,"0-10%"))))))</f>
        <v>10-20%</v>
      </c>
      <c r="AI567" s="32"/>
      <c r="AJ567" s="36" t="s">
        <v>3300</v>
      </c>
      <c r="AK567" s="32"/>
    </row>
    <row r="568" spans="1:37" s="1" customFormat="1" ht="19.7" customHeight="1" x14ac:dyDescent="0.25">
      <c r="A568" s="9" t="s">
        <v>22</v>
      </c>
      <c r="B568" s="9" t="s">
        <v>860</v>
      </c>
      <c r="C568" s="10">
        <v>44313</v>
      </c>
      <c r="D568" s="9" t="s">
        <v>24</v>
      </c>
      <c r="E568" s="9" t="s">
        <v>25</v>
      </c>
      <c r="F568" s="9" t="s">
        <v>26</v>
      </c>
      <c r="G568" s="9" t="s">
        <v>27</v>
      </c>
      <c r="H568" s="9" t="s">
        <v>28</v>
      </c>
      <c r="I568" s="9" t="s">
        <v>29</v>
      </c>
      <c r="J568" s="9" t="s">
        <v>30</v>
      </c>
      <c r="K568" s="9" t="s">
        <v>31</v>
      </c>
      <c r="L568" s="9" t="s">
        <v>32</v>
      </c>
      <c r="M568" s="9" t="s">
        <v>147</v>
      </c>
      <c r="N568" s="9" t="s">
        <v>96</v>
      </c>
      <c r="O568" s="9" t="s">
        <v>89</v>
      </c>
      <c r="P568" s="9" t="s">
        <v>148</v>
      </c>
      <c r="Q568" s="9">
        <v>101828522</v>
      </c>
      <c r="R568" s="9" t="s">
        <v>45</v>
      </c>
      <c r="S568" s="9" t="s">
        <v>39</v>
      </c>
      <c r="T568" s="11">
        <v>1</v>
      </c>
      <c r="U568" s="15" t="s">
        <v>89</v>
      </c>
      <c r="V568" s="16" t="s">
        <v>148</v>
      </c>
      <c r="W568" s="17">
        <v>101828522</v>
      </c>
      <c r="X568" s="16" t="s">
        <v>2518</v>
      </c>
      <c r="Y568" s="17" t="s">
        <v>2546</v>
      </c>
      <c r="Z568" s="17" t="s">
        <v>39</v>
      </c>
      <c r="AA568" s="17" t="s">
        <v>37</v>
      </c>
      <c r="AB568" s="43">
        <v>11.92</v>
      </c>
      <c r="AC568" s="25">
        <v>13.97</v>
      </c>
      <c r="AD568" s="25">
        <f>AC568*T568</f>
        <v>13.97</v>
      </c>
      <c r="AE568" s="25">
        <f>AB568*T568</f>
        <v>11.92</v>
      </c>
      <c r="AF568" s="25">
        <f>AD568-AE568</f>
        <v>2.0500000000000007</v>
      </c>
      <c r="AG568" s="26">
        <f>AF568/AD568</f>
        <v>0.14674302075876883</v>
      </c>
      <c r="AH568" s="27" t="str">
        <f>IF(AG568&lt;0,"Negative",IF(AG568=0,"Same",IF(AG568&gt;0.3,"30+%",IF(AG568&gt;0.2,"20-30%",IF(AG568&gt;0.1,"10-20%",IF(AG568&lt;=0.1,"0-10%"))))))</f>
        <v>10-20%</v>
      </c>
      <c r="AI568" s="32"/>
      <c r="AJ568" s="36" t="s">
        <v>3300</v>
      </c>
      <c r="AK568" s="32"/>
    </row>
    <row r="569" spans="1:37" s="1" customFormat="1" ht="19.7" customHeight="1" x14ac:dyDescent="0.25">
      <c r="A569" s="5" t="s">
        <v>22</v>
      </c>
      <c r="B569" s="5" t="s">
        <v>1006</v>
      </c>
      <c r="C569" s="6">
        <v>44327</v>
      </c>
      <c r="D569" s="5" t="s">
        <v>24</v>
      </c>
      <c r="E569" s="5" t="s">
        <v>25</v>
      </c>
      <c r="F569" s="5" t="s">
        <v>26</v>
      </c>
      <c r="G569" s="5" t="s">
        <v>27</v>
      </c>
      <c r="H569" s="5" t="s">
        <v>28</v>
      </c>
      <c r="I569" s="5" t="s">
        <v>29</v>
      </c>
      <c r="J569" s="5" t="s">
        <v>30</v>
      </c>
      <c r="K569" s="5" t="s">
        <v>31</v>
      </c>
      <c r="L569" s="5" t="s">
        <v>32</v>
      </c>
      <c r="M569" s="5" t="s">
        <v>147</v>
      </c>
      <c r="N569" s="5" t="s">
        <v>247</v>
      </c>
      <c r="O569" s="5" t="s">
        <v>89</v>
      </c>
      <c r="P569" s="5" t="s">
        <v>148</v>
      </c>
      <c r="Q569" s="5">
        <v>101828522</v>
      </c>
      <c r="R569" s="5" t="s">
        <v>45</v>
      </c>
      <c r="S569" s="5" t="s">
        <v>39</v>
      </c>
      <c r="T569" s="7">
        <v>2</v>
      </c>
      <c r="U569" s="15" t="s">
        <v>89</v>
      </c>
      <c r="V569" s="16" t="s">
        <v>148</v>
      </c>
      <c r="W569" s="17">
        <v>101828522</v>
      </c>
      <c r="X569" s="16" t="s">
        <v>2518</v>
      </c>
      <c r="Y569" s="17" t="s">
        <v>2546</v>
      </c>
      <c r="Z569" s="17" t="s">
        <v>39</v>
      </c>
      <c r="AA569" s="17" t="s">
        <v>37</v>
      </c>
      <c r="AB569" s="43">
        <v>11.92</v>
      </c>
      <c r="AC569" s="25">
        <v>13.97</v>
      </c>
      <c r="AD569" s="25">
        <f>AC569*T569</f>
        <v>27.94</v>
      </c>
      <c r="AE569" s="25">
        <f>AB569*T569</f>
        <v>23.84</v>
      </c>
      <c r="AF569" s="25">
        <f>AD569-AE569</f>
        <v>4.1000000000000014</v>
      </c>
      <c r="AG569" s="26">
        <f>AF569/AD569</f>
        <v>0.14674302075876883</v>
      </c>
      <c r="AH569" s="27" t="str">
        <f>IF(AG569&lt;0,"Negative",IF(AG569=0,"Same",IF(AG569&gt;0.3,"30+%",IF(AG569&gt;0.2,"20-30%",IF(AG569&gt;0.1,"10-20%",IF(AG569&lt;=0.1,"0-10%"))))))</f>
        <v>10-20%</v>
      </c>
      <c r="AI569" s="32"/>
      <c r="AJ569" s="36" t="s">
        <v>3300</v>
      </c>
      <c r="AK569" s="32"/>
    </row>
    <row r="570" spans="1:37" s="1" customFormat="1" ht="19.7" customHeight="1" x14ac:dyDescent="0.25">
      <c r="A570" s="9" t="s">
        <v>22</v>
      </c>
      <c r="B570" s="9" t="s">
        <v>1483</v>
      </c>
      <c r="C570" s="10">
        <v>44403</v>
      </c>
      <c r="D570" s="9" t="s">
        <v>24</v>
      </c>
      <c r="E570" s="9" t="s">
        <v>25</v>
      </c>
      <c r="F570" s="9" t="s">
        <v>26</v>
      </c>
      <c r="G570" s="9" t="s">
        <v>27</v>
      </c>
      <c r="H570" s="9" t="s">
        <v>28</v>
      </c>
      <c r="I570" s="9" t="s">
        <v>29</v>
      </c>
      <c r="J570" s="9" t="s">
        <v>30</v>
      </c>
      <c r="K570" s="9" t="s">
        <v>31</v>
      </c>
      <c r="L570" s="9" t="s">
        <v>32</v>
      </c>
      <c r="M570" s="9" t="s">
        <v>1486</v>
      </c>
      <c r="N570" s="9" t="s">
        <v>1437</v>
      </c>
      <c r="O570" s="9" t="s">
        <v>1487</v>
      </c>
      <c r="P570" s="9" t="s">
        <v>1488</v>
      </c>
      <c r="Q570" s="9">
        <v>101819779</v>
      </c>
      <c r="R570" s="9" t="s">
        <v>56</v>
      </c>
      <c r="S570" s="9" t="s">
        <v>39</v>
      </c>
      <c r="T570" s="11">
        <v>1</v>
      </c>
      <c r="U570" s="15" t="s">
        <v>1487</v>
      </c>
      <c r="V570" s="16" t="s">
        <v>1488</v>
      </c>
      <c r="W570" s="17">
        <v>101819779</v>
      </c>
      <c r="X570" s="16" t="s">
        <v>2998</v>
      </c>
      <c r="Y570" s="17" t="s">
        <v>3055</v>
      </c>
      <c r="Z570" s="17" t="s">
        <v>39</v>
      </c>
      <c r="AA570" s="17" t="s">
        <v>37</v>
      </c>
      <c r="AB570" s="29">
        <v>65.47</v>
      </c>
      <c r="AC570" s="25">
        <v>63.67</v>
      </c>
      <c r="AD570" s="25">
        <f>AC570*T570</f>
        <v>63.67</v>
      </c>
      <c r="AE570" s="25">
        <f>AB570*T570</f>
        <v>65.47</v>
      </c>
      <c r="AF570" s="25">
        <f>AD570-AE570</f>
        <v>-1.7999999999999972</v>
      </c>
      <c r="AG570" s="26">
        <f>AF570/AD570</f>
        <v>-2.8270771163813369E-2</v>
      </c>
      <c r="AH570" s="27" t="str">
        <f>IF(AG570&lt;0,"Negative",IF(AG570=0,"Same",IF(AG570&gt;0.3,"30+%",IF(AG570&gt;0.2,"20-30%",IF(AG570&gt;0.1,"10-20%",IF(AG570&lt;=0.1,"0-10%"))))))</f>
        <v>Negative</v>
      </c>
      <c r="AI570" s="32"/>
      <c r="AJ570" s="36" t="s">
        <v>3300</v>
      </c>
      <c r="AK570" s="32"/>
    </row>
    <row r="571" spans="1:37" s="1" customFormat="1" ht="19.7" customHeight="1" x14ac:dyDescent="0.25">
      <c r="A571" s="9" t="s">
        <v>22</v>
      </c>
      <c r="B571" s="9" t="s">
        <v>1216</v>
      </c>
      <c r="C571" s="10">
        <v>44361</v>
      </c>
      <c r="D571" s="9" t="s">
        <v>24</v>
      </c>
      <c r="E571" s="9" t="s">
        <v>25</v>
      </c>
      <c r="F571" s="9" t="s">
        <v>26</v>
      </c>
      <c r="G571" s="9" t="s">
        <v>67</v>
      </c>
      <c r="H571" s="9" t="s">
        <v>68</v>
      </c>
      <c r="I571" s="9" t="s">
        <v>29</v>
      </c>
      <c r="J571" s="9" t="s">
        <v>30</v>
      </c>
      <c r="K571" s="9" t="s">
        <v>31</v>
      </c>
      <c r="L571" s="9" t="s">
        <v>32</v>
      </c>
      <c r="M571" s="9" t="s">
        <v>1218</v>
      </c>
      <c r="N571" s="9" t="s">
        <v>1217</v>
      </c>
      <c r="O571" s="9" t="s">
        <v>43</v>
      </c>
      <c r="P571" s="9" t="s">
        <v>1219</v>
      </c>
      <c r="Q571" s="9">
        <v>101829685</v>
      </c>
      <c r="R571" s="9" t="s">
        <v>45</v>
      </c>
      <c r="S571" s="9" t="s">
        <v>39</v>
      </c>
      <c r="T571" s="11">
        <v>7</v>
      </c>
      <c r="U571" s="15" t="s">
        <v>43</v>
      </c>
      <c r="V571" s="16" t="s">
        <v>1219</v>
      </c>
      <c r="W571" s="17">
        <v>101829685</v>
      </c>
      <c r="X571" s="16" t="s">
        <v>2520</v>
      </c>
      <c r="Y571" s="17" t="s">
        <v>2964</v>
      </c>
      <c r="Z571" s="17" t="s">
        <v>39</v>
      </c>
      <c r="AA571" s="17" t="s">
        <v>2501</v>
      </c>
      <c r="AB571" s="29">
        <v>21.36</v>
      </c>
      <c r="AC571" s="25">
        <v>25.04</v>
      </c>
      <c r="AD571" s="25">
        <f>AC571*T571</f>
        <v>175.28</v>
      </c>
      <c r="AE571" s="25">
        <f>AB571*T571</f>
        <v>149.51999999999998</v>
      </c>
      <c r="AF571" s="25">
        <f>AD571-AE571</f>
        <v>25.760000000000019</v>
      </c>
      <c r="AG571" s="26">
        <f>AF571/AD571</f>
        <v>0.14696485623003205</v>
      </c>
      <c r="AH571" s="27" t="str">
        <f>IF(AG571&lt;0,"Negative",IF(AG571=0,"Same",IF(AG571&gt;0.3,"30+%",IF(AG571&gt;0.2,"20-30%",IF(AG571&gt;0.1,"10-20%",IF(AG571&lt;=0.1,"0-10%"))))))</f>
        <v>10-20%</v>
      </c>
      <c r="AI571" s="32"/>
      <c r="AJ571" s="36" t="s">
        <v>3300</v>
      </c>
      <c r="AK571" s="32"/>
    </row>
    <row r="572" spans="1:37" s="1" customFormat="1" ht="19.7" customHeight="1" x14ac:dyDescent="0.25">
      <c r="A572" s="5" t="s">
        <v>22</v>
      </c>
      <c r="B572" s="5" t="s">
        <v>1820</v>
      </c>
      <c r="C572" s="6">
        <v>44467</v>
      </c>
      <c r="D572" s="5" t="s">
        <v>24</v>
      </c>
      <c r="E572" s="5" t="s">
        <v>25</v>
      </c>
      <c r="F572" s="5" t="s">
        <v>26</v>
      </c>
      <c r="G572" s="5" t="s">
        <v>27</v>
      </c>
      <c r="H572" s="5" t="s">
        <v>28</v>
      </c>
      <c r="I572" s="5" t="s">
        <v>29</v>
      </c>
      <c r="J572" s="5" t="s">
        <v>30</v>
      </c>
      <c r="K572" s="5" t="s">
        <v>31</v>
      </c>
      <c r="L572" s="5" t="s">
        <v>32</v>
      </c>
      <c r="M572" s="5" t="s">
        <v>261</v>
      </c>
      <c r="N572" s="5" t="s">
        <v>1821</v>
      </c>
      <c r="O572" s="5" t="s">
        <v>35</v>
      </c>
      <c r="P572" s="5" t="s">
        <v>1822</v>
      </c>
      <c r="Q572" s="5">
        <v>101771558</v>
      </c>
      <c r="R572" s="5" t="s">
        <v>38</v>
      </c>
      <c r="S572" s="5" t="s">
        <v>39</v>
      </c>
      <c r="T572" s="7">
        <v>3</v>
      </c>
      <c r="U572" s="15" t="s">
        <v>35</v>
      </c>
      <c r="V572" s="16" t="s">
        <v>1822</v>
      </c>
      <c r="W572" s="17">
        <v>101771558</v>
      </c>
      <c r="X572" s="16" t="s">
        <v>2553</v>
      </c>
      <c r="Y572" s="17" t="s">
        <v>3142</v>
      </c>
      <c r="Z572" s="17" t="s">
        <v>39</v>
      </c>
      <c r="AA572" s="17" t="s">
        <v>37</v>
      </c>
      <c r="AB572" s="29">
        <v>28.56</v>
      </c>
      <c r="AC572" s="25">
        <v>29.92</v>
      </c>
      <c r="AD572" s="25">
        <f>AC572*T572</f>
        <v>89.76</v>
      </c>
      <c r="AE572" s="25">
        <f>AB572*T572</f>
        <v>85.679999999999993</v>
      </c>
      <c r="AF572" s="25">
        <f>AD572-AE572</f>
        <v>4.0800000000000125</v>
      </c>
      <c r="AG572" s="26">
        <f>AF572/AD572</f>
        <v>4.5454545454545595E-2</v>
      </c>
      <c r="AH572" s="27" t="str">
        <f>IF(AG572&lt;0,"Negative",IF(AG572=0,"Same",IF(AG572&gt;0.3,"30+%",IF(AG572&gt;0.2,"20-30%",IF(AG572&gt;0.1,"10-20%",IF(AG572&lt;=0.1,"0-10%"))))))</f>
        <v>0-10%</v>
      </c>
      <c r="AI572" s="32"/>
      <c r="AJ572" s="36" t="s">
        <v>3300</v>
      </c>
      <c r="AK572" s="32"/>
    </row>
    <row r="573" spans="1:37" s="1" customFormat="1" ht="19.7" customHeight="1" x14ac:dyDescent="0.25">
      <c r="A573" s="5" t="s">
        <v>22</v>
      </c>
      <c r="B573" s="5" t="s">
        <v>1759</v>
      </c>
      <c r="C573" s="6">
        <v>44456</v>
      </c>
      <c r="D573" s="5" t="s">
        <v>24</v>
      </c>
      <c r="E573" s="5" t="s">
        <v>25</v>
      </c>
      <c r="F573" s="5" t="s">
        <v>26</v>
      </c>
      <c r="G573" s="5" t="s">
        <v>67</v>
      </c>
      <c r="H573" s="5" t="s">
        <v>68</v>
      </c>
      <c r="I573" s="5" t="s">
        <v>29</v>
      </c>
      <c r="J573" s="5" t="s">
        <v>30</v>
      </c>
      <c r="K573" s="5" t="s">
        <v>31</v>
      </c>
      <c r="L573" s="5" t="s">
        <v>32</v>
      </c>
      <c r="M573" s="5" t="s">
        <v>141</v>
      </c>
      <c r="N573" s="5" t="s">
        <v>1760</v>
      </c>
      <c r="O573" s="5" t="s">
        <v>128</v>
      </c>
      <c r="P573" s="5" t="s">
        <v>142</v>
      </c>
      <c r="Q573" s="5">
        <v>100867862</v>
      </c>
      <c r="R573" s="5" t="s">
        <v>76</v>
      </c>
      <c r="S573" s="5" t="s">
        <v>39</v>
      </c>
      <c r="T573" s="7">
        <v>2</v>
      </c>
      <c r="U573" s="15" t="s">
        <v>128</v>
      </c>
      <c r="V573" s="16" t="s">
        <v>142</v>
      </c>
      <c r="W573" s="17">
        <v>100867862</v>
      </c>
      <c r="X573" s="16" t="s">
        <v>2536</v>
      </c>
      <c r="Y573" s="17" t="s">
        <v>2544</v>
      </c>
      <c r="Z573" s="17" t="s">
        <v>39</v>
      </c>
      <c r="AA573" s="17" t="s">
        <v>37</v>
      </c>
      <c r="AB573" s="29">
        <v>37.61</v>
      </c>
      <c r="AC573" s="25">
        <v>36.07</v>
      </c>
      <c r="AD573" s="25">
        <f>AC573*T573</f>
        <v>72.14</v>
      </c>
      <c r="AE573" s="25">
        <f>AB573*T573</f>
        <v>75.22</v>
      </c>
      <c r="AF573" s="25">
        <f>AD573-AE573</f>
        <v>-3.0799999999999983</v>
      </c>
      <c r="AG573" s="26">
        <f>AF573/AD573</f>
        <v>-4.2694760188522293E-2</v>
      </c>
      <c r="AH573" s="27" t="str">
        <f>IF(AG573&lt;0,"Negative",IF(AG573=0,"Same",IF(AG573&gt;0.3,"30+%",IF(AG573&gt;0.2,"20-30%",IF(AG573&gt;0.1,"10-20%",IF(AG573&lt;=0.1,"0-10%"))))))</f>
        <v>Negative</v>
      </c>
      <c r="AI573" s="32"/>
      <c r="AJ573" s="36" t="s">
        <v>3300</v>
      </c>
      <c r="AK573" s="32"/>
    </row>
    <row r="574" spans="1:37" s="1" customFormat="1" ht="19.7" customHeight="1" x14ac:dyDescent="0.25">
      <c r="A574" s="9" t="s">
        <v>22</v>
      </c>
      <c r="B574" s="9" t="s">
        <v>1675</v>
      </c>
      <c r="C574" s="10">
        <v>44435</v>
      </c>
      <c r="D574" s="9" t="s">
        <v>24</v>
      </c>
      <c r="E574" s="9" t="s">
        <v>25</v>
      </c>
      <c r="F574" s="9" t="s">
        <v>26</v>
      </c>
      <c r="G574" s="9" t="s">
        <v>67</v>
      </c>
      <c r="H574" s="9" t="s">
        <v>68</v>
      </c>
      <c r="I574" s="9" t="s">
        <v>29</v>
      </c>
      <c r="J574" s="9" t="s">
        <v>30</v>
      </c>
      <c r="K574" s="9" t="s">
        <v>31</v>
      </c>
      <c r="L574" s="9" t="s">
        <v>32</v>
      </c>
      <c r="M574" s="9" t="s">
        <v>141</v>
      </c>
      <c r="N574" s="9" t="s">
        <v>1630</v>
      </c>
      <c r="O574" s="9" t="s">
        <v>128</v>
      </c>
      <c r="P574" s="9" t="s">
        <v>142</v>
      </c>
      <c r="Q574" s="9">
        <v>100867862</v>
      </c>
      <c r="R574" s="9" t="s">
        <v>76</v>
      </c>
      <c r="S574" s="9" t="s">
        <v>39</v>
      </c>
      <c r="T574" s="11">
        <v>1</v>
      </c>
      <c r="U574" s="15" t="s">
        <v>128</v>
      </c>
      <c r="V574" s="16" t="s">
        <v>142</v>
      </c>
      <c r="W574" s="17">
        <v>100867862</v>
      </c>
      <c r="X574" s="16" t="s">
        <v>2536</v>
      </c>
      <c r="Y574" s="17" t="s">
        <v>2544</v>
      </c>
      <c r="Z574" s="17" t="s">
        <v>39</v>
      </c>
      <c r="AA574" s="17" t="s">
        <v>37</v>
      </c>
      <c r="AB574" s="29">
        <v>37.61</v>
      </c>
      <c r="AC574" s="25">
        <v>36.07</v>
      </c>
      <c r="AD574" s="25">
        <f>AC574*T574</f>
        <v>36.07</v>
      </c>
      <c r="AE574" s="25">
        <f>AB574*T574</f>
        <v>37.61</v>
      </c>
      <c r="AF574" s="25">
        <f>AD574-AE574</f>
        <v>-1.5399999999999991</v>
      </c>
      <c r="AG574" s="26">
        <f>AF574/AD574</f>
        <v>-4.2694760188522293E-2</v>
      </c>
      <c r="AH574" s="27" t="str">
        <f>IF(AG574&lt;0,"Negative",IF(AG574=0,"Same",IF(AG574&gt;0.3,"30+%",IF(AG574&gt;0.2,"20-30%",IF(AG574&gt;0.1,"10-20%",IF(AG574&lt;=0.1,"0-10%"))))))</f>
        <v>Negative</v>
      </c>
      <c r="AI574" s="32"/>
      <c r="AJ574" s="36" t="s">
        <v>3300</v>
      </c>
      <c r="AK574" s="32"/>
    </row>
    <row r="575" spans="1:37" s="1" customFormat="1" ht="19.7" customHeight="1" x14ac:dyDescent="0.25">
      <c r="A575" s="9" t="s">
        <v>22</v>
      </c>
      <c r="B575" s="9" t="s">
        <v>137</v>
      </c>
      <c r="C575" s="10">
        <v>44232</v>
      </c>
      <c r="D575" s="9" t="s">
        <v>24</v>
      </c>
      <c r="E575" s="9" t="s">
        <v>25</v>
      </c>
      <c r="F575" s="9" t="s">
        <v>26</v>
      </c>
      <c r="G575" s="9" t="s">
        <v>67</v>
      </c>
      <c r="H575" s="9" t="s">
        <v>68</v>
      </c>
      <c r="I575" s="9" t="s">
        <v>29</v>
      </c>
      <c r="J575" s="9" t="s">
        <v>30</v>
      </c>
      <c r="K575" s="9" t="s">
        <v>31</v>
      </c>
      <c r="L575" s="9" t="s">
        <v>32</v>
      </c>
      <c r="M575" s="9" t="s">
        <v>141</v>
      </c>
      <c r="N575" s="9" t="s">
        <v>139</v>
      </c>
      <c r="O575" s="9" t="s">
        <v>128</v>
      </c>
      <c r="P575" s="9" t="s">
        <v>142</v>
      </c>
      <c r="Q575" s="9">
        <v>100867862</v>
      </c>
      <c r="R575" s="9" t="s">
        <v>76</v>
      </c>
      <c r="S575" s="9" t="s">
        <v>39</v>
      </c>
      <c r="T575" s="11">
        <v>1</v>
      </c>
      <c r="U575" s="15" t="s">
        <v>128</v>
      </c>
      <c r="V575" s="16" t="s">
        <v>142</v>
      </c>
      <c r="W575" s="17">
        <v>100867862</v>
      </c>
      <c r="X575" s="16" t="s">
        <v>2536</v>
      </c>
      <c r="Y575" s="17" t="s">
        <v>2544</v>
      </c>
      <c r="Z575" s="17" t="s">
        <v>39</v>
      </c>
      <c r="AA575" s="17" t="s">
        <v>37</v>
      </c>
      <c r="AB575" s="29">
        <v>37.61</v>
      </c>
      <c r="AC575" s="25">
        <v>36.07</v>
      </c>
      <c r="AD575" s="25">
        <f>AC575*T575</f>
        <v>36.07</v>
      </c>
      <c r="AE575" s="25">
        <f>AB575*T575</f>
        <v>37.61</v>
      </c>
      <c r="AF575" s="25">
        <f>AD575-AE575</f>
        <v>-1.5399999999999991</v>
      </c>
      <c r="AG575" s="26">
        <f>AF575/AD575</f>
        <v>-4.2694760188522293E-2</v>
      </c>
      <c r="AH575" s="27" t="str">
        <f>IF(AG575&lt;0,"Negative",IF(AG575=0,"Same",IF(AG575&gt;0.3,"30+%",IF(AG575&gt;0.2,"20-30%",IF(AG575&gt;0.1,"10-20%",IF(AG575&lt;=0.1,"0-10%"))))))</f>
        <v>Negative</v>
      </c>
      <c r="AI575" s="32"/>
      <c r="AJ575" s="36" t="s">
        <v>3300</v>
      </c>
      <c r="AK575" s="32"/>
    </row>
    <row r="576" spans="1:37" s="1" customFormat="1" ht="19.7" customHeight="1" x14ac:dyDescent="0.25">
      <c r="A576" s="5" t="s">
        <v>22</v>
      </c>
      <c r="B576" s="5" t="s">
        <v>994</v>
      </c>
      <c r="C576" s="6">
        <v>44323</v>
      </c>
      <c r="D576" s="5" t="s">
        <v>24</v>
      </c>
      <c r="E576" s="5" t="s">
        <v>25</v>
      </c>
      <c r="F576" s="5" t="s">
        <v>26</v>
      </c>
      <c r="G576" s="5" t="s">
        <v>67</v>
      </c>
      <c r="H576" s="5" t="s">
        <v>68</v>
      </c>
      <c r="I576" s="5" t="s">
        <v>29</v>
      </c>
      <c r="J576" s="5" t="s">
        <v>30</v>
      </c>
      <c r="K576" s="5" t="s">
        <v>31</v>
      </c>
      <c r="L576" s="5" t="s">
        <v>32</v>
      </c>
      <c r="M576" s="5" t="s">
        <v>141</v>
      </c>
      <c r="N576" s="5" t="s">
        <v>995</v>
      </c>
      <c r="O576" s="5" t="s">
        <v>128</v>
      </c>
      <c r="P576" s="5" t="s">
        <v>142</v>
      </c>
      <c r="Q576" s="5">
        <v>100867862</v>
      </c>
      <c r="R576" s="5" t="s">
        <v>76</v>
      </c>
      <c r="S576" s="5" t="s">
        <v>39</v>
      </c>
      <c r="T576" s="7">
        <v>1</v>
      </c>
      <c r="U576" s="15" t="s">
        <v>128</v>
      </c>
      <c r="V576" s="16" t="s">
        <v>142</v>
      </c>
      <c r="W576" s="17">
        <v>100867862</v>
      </c>
      <c r="X576" s="16" t="s">
        <v>2536</v>
      </c>
      <c r="Y576" s="17" t="s">
        <v>2544</v>
      </c>
      <c r="Z576" s="17" t="s">
        <v>39</v>
      </c>
      <c r="AA576" s="17" t="s">
        <v>37</v>
      </c>
      <c r="AB576" s="29">
        <v>37.61</v>
      </c>
      <c r="AC576" s="25">
        <v>36.07</v>
      </c>
      <c r="AD576" s="25">
        <f>AC576*T576</f>
        <v>36.07</v>
      </c>
      <c r="AE576" s="25">
        <f>AB576*T576</f>
        <v>37.61</v>
      </c>
      <c r="AF576" s="25">
        <f>AD576-AE576</f>
        <v>-1.5399999999999991</v>
      </c>
      <c r="AG576" s="26">
        <f>AF576/AD576</f>
        <v>-4.2694760188522293E-2</v>
      </c>
      <c r="AH576" s="27" t="str">
        <f>IF(AG576&lt;0,"Negative",IF(AG576=0,"Same",IF(AG576&gt;0.3,"30+%",IF(AG576&gt;0.2,"20-30%",IF(AG576&gt;0.1,"10-20%",IF(AG576&lt;=0.1,"0-10%"))))))</f>
        <v>Negative</v>
      </c>
      <c r="AI576" s="32"/>
      <c r="AJ576" s="36" t="s">
        <v>3300</v>
      </c>
      <c r="AK576" s="32"/>
    </row>
    <row r="577" spans="1:37" s="1" customFormat="1" ht="19.7" customHeight="1" x14ac:dyDescent="0.25">
      <c r="A577" s="9" t="s">
        <v>22</v>
      </c>
      <c r="B577" s="9" t="s">
        <v>2371</v>
      </c>
      <c r="C577" s="10">
        <v>44574</v>
      </c>
      <c r="D577" s="9" t="s">
        <v>24</v>
      </c>
      <c r="E577" s="9" t="s">
        <v>25</v>
      </c>
      <c r="F577" s="9" t="s">
        <v>26</v>
      </c>
      <c r="G577" s="9" t="s">
        <v>27</v>
      </c>
      <c r="H577" s="9" t="s">
        <v>28</v>
      </c>
      <c r="I577" s="9" t="s">
        <v>29</v>
      </c>
      <c r="J577" s="9" t="s">
        <v>30</v>
      </c>
      <c r="K577" s="9" t="s">
        <v>31</v>
      </c>
      <c r="L577" s="9" t="s">
        <v>32</v>
      </c>
      <c r="M577" s="9" t="s">
        <v>1543</v>
      </c>
      <c r="N577" s="9" t="s">
        <v>2204</v>
      </c>
      <c r="O577" s="9" t="s">
        <v>169</v>
      </c>
      <c r="P577" s="9" t="s">
        <v>1544</v>
      </c>
      <c r="Q577" s="9">
        <v>100850818</v>
      </c>
      <c r="R577" s="9" t="s">
        <v>116</v>
      </c>
      <c r="S577" s="9" t="s">
        <v>718</v>
      </c>
      <c r="T577" s="11">
        <v>100</v>
      </c>
      <c r="U577" s="15" t="s">
        <v>169</v>
      </c>
      <c r="V577" s="16" t="s">
        <v>1544</v>
      </c>
      <c r="W577" s="17">
        <v>100850818</v>
      </c>
      <c r="X577" s="16" t="s">
        <v>3069</v>
      </c>
      <c r="Y577" s="17" t="s">
        <v>3070</v>
      </c>
      <c r="Z577" s="17" t="s">
        <v>718</v>
      </c>
      <c r="AA577" s="17" t="s">
        <v>37</v>
      </c>
      <c r="AB577" s="29">
        <v>14.35</v>
      </c>
      <c r="AC577" s="25">
        <v>15.03</v>
      </c>
      <c r="AD577" s="25">
        <f>AC577*T577</f>
        <v>1503</v>
      </c>
      <c r="AE577" s="25">
        <f>AB577*T577</f>
        <v>1435</v>
      </c>
      <c r="AF577" s="25">
        <f>AD577-AE577</f>
        <v>68</v>
      </c>
      <c r="AG577" s="26">
        <f>AF577/AD577</f>
        <v>4.5242847638057221E-2</v>
      </c>
      <c r="AH577" s="27" t="str">
        <f>IF(AG577&lt;0,"Negative",IF(AG577=0,"Same",IF(AG577&gt;0.3,"30+%",IF(AG577&gt;0.2,"20-30%",IF(AG577&gt;0.1,"10-20%",IF(AG577&lt;=0.1,"0-10%"))))))</f>
        <v>0-10%</v>
      </c>
      <c r="AI577" s="32"/>
      <c r="AJ577" s="36" t="s">
        <v>3300</v>
      </c>
      <c r="AK577" s="32"/>
    </row>
    <row r="578" spans="1:37" s="1" customFormat="1" ht="19.7" customHeight="1" x14ac:dyDescent="0.25">
      <c r="A578" s="5" t="s">
        <v>22</v>
      </c>
      <c r="B578" s="5" t="s">
        <v>1479</v>
      </c>
      <c r="C578" s="6">
        <v>44403</v>
      </c>
      <c r="D578" s="5" t="s">
        <v>24</v>
      </c>
      <c r="E578" s="5" t="s">
        <v>25</v>
      </c>
      <c r="F578" s="5" t="s">
        <v>26</v>
      </c>
      <c r="G578" s="5" t="s">
        <v>67</v>
      </c>
      <c r="H578" s="5" t="s">
        <v>68</v>
      </c>
      <c r="I578" s="5" t="s">
        <v>29</v>
      </c>
      <c r="J578" s="5" t="s">
        <v>30</v>
      </c>
      <c r="K578" s="5" t="s">
        <v>31</v>
      </c>
      <c r="L578" s="5" t="s">
        <v>32</v>
      </c>
      <c r="M578" s="5" t="s">
        <v>1481</v>
      </c>
      <c r="N578" s="5" t="s">
        <v>1480</v>
      </c>
      <c r="O578" s="5" t="s">
        <v>172</v>
      </c>
      <c r="P578" s="5" t="s">
        <v>1482</v>
      </c>
      <c r="Q578" s="5">
        <v>100800668</v>
      </c>
      <c r="R578" s="5" t="s">
        <v>56</v>
      </c>
      <c r="S578" s="5" t="s">
        <v>718</v>
      </c>
      <c r="T578" s="7">
        <v>1</v>
      </c>
      <c r="U578" s="15" t="s">
        <v>172</v>
      </c>
      <c r="V578" s="16" t="s">
        <v>1482</v>
      </c>
      <c r="W578" s="17">
        <v>100800668</v>
      </c>
      <c r="X578" s="16" t="s">
        <v>2933</v>
      </c>
      <c r="Y578" s="17" t="s">
        <v>3052</v>
      </c>
      <c r="Z578" s="17" t="s">
        <v>718</v>
      </c>
      <c r="AA578" s="17" t="s">
        <v>37</v>
      </c>
      <c r="AB578" s="43">
        <v>16.09</v>
      </c>
      <c r="AC578" s="25">
        <v>16.46</v>
      </c>
      <c r="AD578" s="25">
        <f>AC578*T578</f>
        <v>16.46</v>
      </c>
      <c r="AE578" s="25">
        <f>AB578*T578</f>
        <v>16.09</v>
      </c>
      <c r="AF578" s="25">
        <f>AD578-AE578</f>
        <v>0.37000000000000099</v>
      </c>
      <c r="AG578" s="26">
        <f>AF578/AD578</f>
        <v>2.2478736330498236E-2</v>
      </c>
      <c r="AH578" s="27" t="str">
        <f>IF(AG578&lt;0,"Negative",IF(AG578=0,"Same",IF(AG578&gt;0.3,"30+%",IF(AG578&gt;0.2,"20-30%",IF(AG578&gt;0.1,"10-20%",IF(AG578&lt;=0.1,"0-10%"))))))</f>
        <v>0-10%</v>
      </c>
      <c r="AI578" s="32"/>
      <c r="AJ578" s="36" t="s">
        <v>3299</v>
      </c>
      <c r="AK578" s="32"/>
    </row>
    <row r="579" spans="1:37" s="1" customFormat="1" ht="19.7" customHeight="1" x14ac:dyDescent="0.25">
      <c r="A579" s="9" t="s">
        <v>22</v>
      </c>
      <c r="B579" s="9" t="s">
        <v>1755</v>
      </c>
      <c r="C579" s="10">
        <v>44452</v>
      </c>
      <c r="D579" s="9" t="s">
        <v>24</v>
      </c>
      <c r="E579" s="9" t="s">
        <v>25</v>
      </c>
      <c r="F579" s="9" t="s">
        <v>26</v>
      </c>
      <c r="G579" s="9" t="s">
        <v>67</v>
      </c>
      <c r="H579" s="9" t="s">
        <v>68</v>
      </c>
      <c r="I579" s="9" t="s">
        <v>29</v>
      </c>
      <c r="J579" s="9" t="s">
        <v>30</v>
      </c>
      <c r="K579" s="9" t="s">
        <v>31</v>
      </c>
      <c r="L579" s="9" t="s">
        <v>32</v>
      </c>
      <c r="M579" s="9" t="s">
        <v>138</v>
      </c>
      <c r="N579" s="9" t="s">
        <v>1756</v>
      </c>
      <c r="O579" s="9" t="s">
        <v>128</v>
      </c>
      <c r="P579" s="9" t="s">
        <v>140</v>
      </c>
      <c r="Q579" s="9">
        <v>100867331</v>
      </c>
      <c r="R579" s="9" t="s">
        <v>76</v>
      </c>
      <c r="S579" s="9" t="s">
        <v>39</v>
      </c>
      <c r="T579" s="11">
        <v>1</v>
      </c>
      <c r="U579" s="15" t="s">
        <v>128</v>
      </c>
      <c r="V579" s="16" t="s">
        <v>140</v>
      </c>
      <c r="W579" s="17">
        <v>100867331</v>
      </c>
      <c r="X579" s="16" t="s">
        <v>2542</v>
      </c>
      <c r="Y579" s="17" t="s">
        <v>2543</v>
      </c>
      <c r="Z579" s="17" t="s">
        <v>39</v>
      </c>
      <c r="AA579" s="17" t="s">
        <v>37</v>
      </c>
      <c r="AB579" s="29">
        <v>33.4</v>
      </c>
      <c r="AC579" s="25">
        <v>33.619999999999997</v>
      </c>
      <c r="AD579" s="25">
        <f>AC579*T579</f>
        <v>33.619999999999997</v>
      </c>
      <c r="AE579" s="25">
        <f>AB579*T579</f>
        <v>33.4</v>
      </c>
      <c r="AF579" s="25">
        <f>AD579-AE579</f>
        <v>0.21999999999999886</v>
      </c>
      <c r="AG579" s="26">
        <f>AF579/AD579</f>
        <v>6.5437239738250705E-3</v>
      </c>
      <c r="AH579" s="27" t="str">
        <f>IF(AG579&lt;0,"Negative",IF(AG579=0,"Same",IF(AG579&gt;0.3,"30+%",IF(AG579&gt;0.2,"20-30%",IF(AG579&gt;0.1,"10-20%",IF(AG579&lt;=0.1,"0-10%"))))))</f>
        <v>0-10%</v>
      </c>
      <c r="AI579" s="32"/>
      <c r="AJ579" s="36" t="s">
        <v>3299</v>
      </c>
      <c r="AK579" s="32"/>
    </row>
    <row r="580" spans="1:37" s="1" customFormat="1" ht="19.7" customHeight="1" x14ac:dyDescent="0.25">
      <c r="A580" s="5" t="s">
        <v>22</v>
      </c>
      <c r="B580" s="5" t="s">
        <v>137</v>
      </c>
      <c r="C580" s="6">
        <v>44232</v>
      </c>
      <c r="D580" s="5" t="s">
        <v>24</v>
      </c>
      <c r="E580" s="5" t="s">
        <v>25</v>
      </c>
      <c r="F580" s="5" t="s">
        <v>26</v>
      </c>
      <c r="G580" s="5" t="s">
        <v>67</v>
      </c>
      <c r="H580" s="5" t="s">
        <v>68</v>
      </c>
      <c r="I580" s="5" t="s">
        <v>29</v>
      </c>
      <c r="J580" s="5" t="s">
        <v>30</v>
      </c>
      <c r="K580" s="5" t="s">
        <v>31</v>
      </c>
      <c r="L580" s="5" t="s">
        <v>32</v>
      </c>
      <c r="M580" s="5" t="s">
        <v>138</v>
      </c>
      <c r="N580" s="5" t="s">
        <v>139</v>
      </c>
      <c r="O580" s="5" t="s">
        <v>128</v>
      </c>
      <c r="P580" s="5" t="s">
        <v>140</v>
      </c>
      <c r="Q580" s="5">
        <v>100867331</v>
      </c>
      <c r="R580" s="5" t="s">
        <v>76</v>
      </c>
      <c r="S580" s="5" t="s">
        <v>39</v>
      </c>
      <c r="T580" s="7">
        <v>1</v>
      </c>
      <c r="U580" s="15" t="s">
        <v>128</v>
      </c>
      <c r="V580" s="16" t="s">
        <v>140</v>
      </c>
      <c r="W580" s="17">
        <v>100867331</v>
      </c>
      <c r="X580" s="16" t="s">
        <v>2542</v>
      </c>
      <c r="Y580" s="17" t="s">
        <v>2543</v>
      </c>
      <c r="Z580" s="17" t="s">
        <v>39</v>
      </c>
      <c r="AA580" s="17" t="s">
        <v>37</v>
      </c>
      <c r="AB580" s="29">
        <v>33.4</v>
      </c>
      <c r="AC580" s="25">
        <v>33.619999999999997</v>
      </c>
      <c r="AD580" s="25">
        <f>AC580*T580</f>
        <v>33.619999999999997</v>
      </c>
      <c r="AE580" s="25">
        <f>AB580*T580</f>
        <v>33.4</v>
      </c>
      <c r="AF580" s="25">
        <f>AD580-AE580</f>
        <v>0.21999999999999886</v>
      </c>
      <c r="AG580" s="26">
        <f>AF580/AD580</f>
        <v>6.5437239738250705E-3</v>
      </c>
      <c r="AH580" s="27" t="str">
        <f>IF(AG580&lt;0,"Negative",IF(AG580=0,"Same",IF(AG580&gt;0.3,"30+%",IF(AG580&gt;0.2,"20-30%",IF(AG580&gt;0.1,"10-20%",IF(AG580&lt;=0.1,"0-10%"))))))</f>
        <v>0-10%</v>
      </c>
      <c r="AI580" s="32"/>
      <c r="AJ580" s="36" t="s">
        <v>3299</v>
      </c>
      <c r="AK580" s="32"/>
    </row>
    <row r="581" spans="1:37" s="1" customFormat="1" ht="19.7" customHeight="1" x14ac:dyDescent="0.25">
      <c r="A581" s="9" t="s">
        <v>22</v>
      </c>
      <c r="B581" s="9" t="s">
        <v>200</v>
      </c>
      <c r="C581" s="10">
        <v>44242</v>
      </c>
      <c r="D581" s="9" t="s">
        <v>24</v>
      </c>
      <c r="E581" s="9" t="s">
        <v>25</v>
      </c>
      <c r="F581" s="9" t="s">
        <v>26</v>
      </c>
      <c r="G581" s="9" t="s">
        <v>67</v>
      </c>
      <c r="H581" s="9" t="s">
        <v>68</v>
      </c>
      <c r="I581" s="9" t="s">
        <v>29</v>
      </c>
      <c r="J581" s="9" t="s">
        <v>30</v>
      </c>
      <c r="K581" s="9" t="s">
        <v>31</v>
      </c>
      <c r="L581" s="9" t="s">
        <v>32</v>
      </c>
      <c r="M581" s="9" t="s">
        <v>138</v>
      </c>
      <c r="N581" s="9" t="s">
        <v>202</v>
      </c>
      <c r="O581" s="9" t="s">
        <v>128</v>
      </c>
      <c r="P581" s="9" t="s">
        <v>140</v>
      </c>
      <c r="Q581" s="9">
        <v>100867331</v>
      </c>
      <c r="R581" s="9" t="s">
        <v>76</v>
      </c>
      <c r="S581" s="9" t="s">
        <v>39</v>
      </c>
      <c r="T581" s="11">
        <v>1</v>
      </c>
      <c r="U581" s="15" t="s">
        <v>128</v>
      </c>
      <c r="V581" s="16" t="s">
        <v>140</v>
      </c>
      <c r="W581" s="17">
        <v>100867331</v>
      </c>
      <c r="X581" s="16" t="s">
        <v>2542</v>
      </c>
      <c r="Y581" s="17" t="s">
        <v>2543</v>
      </c>
      <c r="Z581" s="17" t="s">
        <v>39</v>
      </c>
      <c r="AA581" s="17" t="s">
        <v>37</v>
      </c>
      <c r="AB581" s="29">
        <v>33.4</v>
      </c>
      <c r="AC581" s="25">
        <v>33.619999999999997</v>
      </c>
      <c r="AD581" s="25">
        <f>AC581*T581</f>
        <v>33.619999999999997</v>
      </c>
      <c r="AE581" s="25">
        <f>AB581*T581</f>
        <v>33.4</v>
      </c>
      <c r="AF581" s="25">
        <f>AD581-AE581</f>
        <v>0.21999999999999886</v>
      </c>
      <c r="AG581" s="26">
        <f>AF581/AD581</f>
        <v>6.5437239738250705E-3</v>
      </c>
      <c r="AH581" s="27" t="str">
        <f>IF(AG581&lt;0,"Negative",IF(AG581=0,"Same",IF(AG581&gt;0.3,"30+%",IF(AG581&gt;0.2,"20-30%",IF(AG581&gt;0.1,"10-20%",IF(AG581&lt;=0.1,"0-10%"))))))</f>
        <v>0-10%</v>
      </c>
      <c r="AI581" s="32"/>
      <c r="AJ581" s="36" t="s">
        <v>3299</v>
      </c>
      <c r="AK581" s="32"/>
    </row>
    <row r="582" spans="1:37" s="1" customFormat="1" ht="19.7" customHeight="1" x14ac:dyDescent="0.25">
      <c r="A582" s="5" t="s">
        <v>22</v>
      </c>
      <c r="B582" s="5" t="s">
        <v>899</v>
      </c>
      <c r="C582" s="6">
        <v>44316</v>
      </c>
      <c r="D582" s="5" t="s">
        <v>24</v>
      </c>
      <c r="E582" s="5" t="s">
        <v>25</v>
      </c>
      <c r="F582" s="5" t="s">
        <v>26</v>
      </c>
      <c r="G582" s="5" t="s">
        <v>67</v>
      </c>
      <c r="H582" s="5" t="s">
        <v>68</v>
      </c>
      <c r="I582" s="5" t="s">
        <v>29</v>
      </c>
      <c r="J582" s="5" t="s">
        <v>30</v>
      </c>
      <c r="K582" s="5" t="s">
        <v>31</v>
      </c>
      <c r="L582" s="5" t="s">
        <v>32</v>
      </c>
      <c r="M582" s="5" t="s">
        <v>138</v>
      </c>
      <c r="N582" s="5" t="s">
        <v>900</v>
      </c>
      <c r="O582" s="5" t="s">
        <v>128</v>
      </c>
      <c r="P582" s="5" t="s">
        <v>140</v>
      </c>
      <c r="Q582" s="5">
        <v>100867331</v>
      </c>
      <c r="R582" s="5" t="s">
        <v>76</v>
      </c>
      <c r="S582" s="5" t="s">
        <v>39</v>
      </c>
      <c r="T582" s="7">
        <v>1</v>
      </c>
      <c r="U582" s="15" t="s">
        <v>128</v>
      </c>
      <c r="V582" s="16" t="s">
        <v>140</v>
      </c>
      <c r="W582" s="17">
        <v>100867331</v>
      </c>
      <c r="X582" s="16" t="s">
        <v>2542</v>
      </c>
      <c r="Y582" s="17" t="s">
        <v>2543</v>
      </c>
      <c r="Z582" s="17" t="s">
        <v>39</v>
      </c>
      <c r="AA582" s="17" t="s">
        <v>37</v>
      </c>
      <c r="AB582" s="29">
        <v>33.4</v>
      </c>
      <c r="AC582" s="25">
        <v>33.619999999999997</v>
      </c>
      <c r="AD582" s="25">
        <f>AC582*T582</f>
        <v>33.619999999999997</v>
      </c>
      <c r="AE582" s="25">
        <f>AB582*T582</f>
        <v>33.4</v>
      </c>
      <c r="AF582" s="25">
        <f>AD582-AE582</f>
        <v>0.21999999999999886</v>
      </c>
      <c r="AG582" s="26">
        <f>AF582/AD582</f>
        <v>6.5437239738250705E-3</v>
      </c>
      <c r="AH582" s="27" t="str">
        <f>IF(AG582&lt;0,"Negative",IF(AG582=0,"Same",IF(AG582&gt;0.3,"30+%",IF(AG582&gt;0.2,"20-30%",IF(AG582&gt;0.1,"10-20%",IF(AG582&lt;=0.1,"0-10%"))))))</f>
        <v>0-10%</v>
      </c>
      <c r="AI582" s="32"/>
      <c r="AJ582" s="36" t="s">
        <v>3299</v>
      </c>
      <c r="AK582" s="32"/>
    </row>
    <row r="583" spans="1:37" s="1" customFormat="1" ht="19.7" customHeight="1" x14ac:dyDescent="0.25">
      <c r="A583" s="5" t="s">
        <v>22</v>
      </c>
      <c r="B583" s="5" t="s">
        <v>391</v>
      </c>
      <c r="C583" s="6">
        <v>44258</v>
      </c>
      <c r="D583" s="5" t="s">
        <v>24</v>
      </c>
      <c r="E583" s="5" t="s">
        <v>25</v>
      </c>
      <c r="F583" s="5" t="s">
        <v>26</v>
      </c>
      <c r="G583" s="5" t="s">
        <v>27</v>
      </c>
      <c r="H583" s="5" t="s">
        <v>28</v>
      </c>
      <c r="I583" s="5" t="s">
        <v>29</v>
      </c>
      <c r="J583" s="5" t="s">
        <v>30</v>
      </c>
      <c r="K583" s="5" t="s">
        <v>31</v>
      </c>
      <c r="L583" s="5" t="s">
        <v>32</v>
      </c>
      <c r="M583" s="5" t="s">
        <v>392</v>
      </c>
      <c r="N583" s="5" t="s">
        <v>384</v>
      </c>
      <c r="O583" s="5" t="s">
        <v>154</v>
      </c>
      <c r="P583" s="5" t="s">
        <v>393</v>
      </c>
      <c r="Q583" s="5">
        <v>100000307</v>
      </c>
      <c r="R583" s="5" t="s">
        <v>61</v>
      </c>
      <c r="S583" s="5" t="s">
        <v>39</v>
      </c>
      <c r="T583" s="7">
        <v>2</v>
      </c>
      <c r="U583" s="15" t="s">
        <v>154</v>
      </c>
      <c r="V583" s="16" t="s">
        <v>393</v>
      </c>
      <c r="W583" s="17">
        <v>100000307</v>
      </c>
      <c r="X583" s="16" t="s">
        <v>2654</v>
      </c>
      <c r="Y583" s="17" t="s">
        <v>2655</v>
      </c>
      <c r="Z583" s="17" t="s">
        <v>39</v>
      </c>
      <c r="AA583" s="17" t="s">
        <v>37</v>
      </c>
      <c r="AB583" s="43">
        <v>38.83</v>
      </c>
      <c r="AC583" s="25">
        <v>41.42</v>
      </c>
      <c r="AD583" s="25">
        <f>AC583*T583</f>
        <v>82.84</v>
      </c>
      <c r="AE583" s="25">
        <f>AB583*T583</f>
        <v>77.66</v>
      </c>
      <c r="AF583" s="25">
        <f>AD583-AE583</f>
        <v>5.1800000000000068</v>
      </c>
      <c r="AG583" s="26">
        <f>AF583/AD583</f>
        <v>6.2530178657653382E-2</v>
      </c>
      <c r="AH583" s="27" t="str">
        <f>IF(AG583&lt;0,"Negative",IF(AG583=0,"Same",IF(AG583&gt;0.3,"30+%",IF(AG583&gt;0.2,"20-30%",IF(AG583&gt;0.1,"10-20%",IF(AG583&lt;=0.1,"0-10%"))))))</f>
        <v>0-10%</v>
      </c>
      <c r="AI583" s="32"/>
      <c r="AJ583" s="36" t="s">
        <v>3299</v>
      </c>
      <c r="AK583" s="32"/>
    </row>
    <row r="584" spans="1:37" s="1" customFormat="1" ht="19.7" customHeight="1" x14ac:dyDescent="0.25">
      <c r="A584" s="9" t="s">
        <v>22</v>
      </c>
      <c r="B584" s="9" t="s">
        <v>1706</v>
      </c>
      <c r="C584" s="10">
        <v>44440</v>
      </c>
      <c r="D584" s="9" t="s">
        <v>24</v>
      </c>
      <c r="E584" s="9" t="s">
        <v>25</v>
      </c>
      <c r="F584" s="9" t="s">
        <v>26</v>
      </c>
      <c r="G584" s="9" t="s">
        <v>27</v>
      </c>
      <c r="H584" s="9" t="s">
        <v>28</v>
      </c>
      <c r="I584" s="9" t="s">
        <v>29</v>
      </c>
      <c r="J584" s="9" t="s">
        <v>30</v>
      </c>
      <c r="K584" s="9" t="s">
        <v>31</v>
      </c>
      <c r="L584" s="9" t="s">
        <v>32</v>
      </c>
      <c r="M584" s="9" t="s">
        <v>1707</v>
      </c>
      <c r="N584" s="9" t="s">
        <v>1298</v>
      </c>
      <c r="O584" s="9" t="s">
        <v>1074</v>
      </c>
      <c r="P584" s="9" t="s">
        <v>1708</v>
      </c>
      <c r="Q584" s="9">
        <v>100848695</v>
      </c>
      <c r="R584" s="9" t="s">
        <v>73</v>
      </c>
      <c r="S584" s="9" t="s">
        <v>39</v>
      </c>
      <c r="T584" s="11">
        <v>1</v>
      </c>
      <c r="U584" s="15" t="s">
        <v>1074</v>
      </c>
      <c r="V584" s="16" t="s">
        <v>1708</v>
      </c>
      <c r="W584" s="17">
        <v>100848695</v>
      </c>
      <c r="X584" s="16" t="s">
        <v>2916</v>
      </c>
      <c r="Y584" s="17" t="s">
        <v>3113</v>
      </c>
      <c r="Z584" s="17" t="s">
        <v>39</v>
      </c>
      <c r="AA584" s="17" t="s">
        <v>37</v>
      </c>
      <c r="AB584" s="29">
        <v>18.36</v>
      </c>
      <c r="AC584" s="25">
        <v>17.62</v>
      </c>
      <c r="AD584" s="25">
        <f>AC584*T584</f>
        <v>17.62</v>
      </c>
      <c r="AE584" s="25">
        <f>AB584*T584</f>
        <v>18.36</v>
      </c>
      <c r="AF584" s="25">
        <f>AD584-AE584</f>
        <v>-0.73999999999999844</v>
      </c>
      <c r="AG584" s="26">
        <f>AF584/AD584</f>
        <v>-4.1997729852440317E-2</v>
      </c>
      <c r="AH584" s="27" t="str">
        <f>IF(AG584&lt;0,"Negative",IF(AG584=0,"Same",IF(AG584&gt;0.3,"30+%",IF(AG584&gt;0.2,"20-30%",IF(AG584&gt;0.1,"10-20%",IF(AG584&lt;=0.1,"0-10%"))))))</f>
        <v>Negative</v>
      </c>
      <c r="AI584" s="32"/>
      <c r="AJ584" s="36" t="s">
        <v>3299</v>
      </c>
      <c r="AK584" s="32"/>
    </row>
    <row r="585" spans="1:37" s="1" customFormat="1" ht="19.7" customHeight="1" x14ac:dyDescent="0.25">
      <c r="A585" s="5" t="s">
        <v>22</v>
      </c>
      <c r="B585" s="5" t="s">
        <v>1144</v>
      </c>
      <c r="C585" s="6">
        <v>44348</v>
      </c>
      <c r="D585" s="5" t="s">
        <v>24</v>
      </c>
      <c r="E585" s="5" t="s">
        <v>25</v>
      </c>
      <c r="F585" s="5" t="s">
        <v>26</v>
      </c>
      <c r="G585" s="5" t="s">
        <v>27</v>
      </c>
      <c r="H585" s="5" t="s">
        <v>28</v>
      </c>
      <c r="I585" s="5" t="s">
        <v>29</v>
      </c>
      <c r="J585" s="5" t="s">
        <v>30</v>
      </c>
      <c r="K585" s="5" t="s">
        <v>31</v>
      </c>
      <c r="L585" s="5" t="s">
        <v>32</v>
      </c>
      <c r="M585" s="5" t="s">
        <v>1148</v>
      </c>
      <c r="N585" s="5" t="s">
        <v>1146</v>
      </c>
      <c r="O585" s="5" t="s">
        <v>1074</v>
      </c>
      <c r="P585" s="5" t="s">
        <v>1149</v>
      </c>
      <c r="Q585" s="5">
        <v>100848697</v>
      </c>
      <c r="R585" s="5" t="s">
        <v>73</v>
      </c>
      <c r="S585" s="5" t="s">
        <v>39</v>
      </c>
      <c r="T585" s="7">
        <v>1</v>
      </c>
      <c r="U585" s="15" t="s">
        <v>1074</v>
      </c>
      <c r="V585" s="16" t="s">
        <v>1149</v>
      </c>
      <c r="W585" s="17">
        <v>100848697</v>
      </c>
      <c r="X585" s="16" t="s">
        <v>2916</v>
      </c>
      <c r="Y585" s="17" t="s">
        <v>2941</v>
      </c>
      <c r="Z585" s="17" t="s">
        <v>39</v>
      </c>
      <c r="AA585" s="17" t="s">
        <v>37</v>
      </c>
      <c r="AB585" s="29">
        <v>18.36</v>
      </c>
      <c r="AC585" s="25">
        <v>17.62</v>
      </c>
      <c r="AD585" s="25">
        <f>AC585*T585</f>
        <v>17.62</v>
      </c>
      <c r="AE585" s="25">
        <f>AB585*T585</f>
        <v>18.36</v>
      </c>
      <c r="AF585" s="25">
        <f>AD585-AE585</f>
        <v>-0.73999999999999844</v>
      </c>
      <c r="AG585" s="26">
        <f>AF585/AD585</f>
        <v>-4.1997729852440317E-2</v>
      </c>
      <c r="AH585" s="27" t="str">
        <f>IF(AG585&lt;0,"Negative",IF(AG585=0,"Same",IF(AG585&gt;0.3,"30+%",IF(AG585&gt;0.2,"20-30%",IF(AG585&gt;0.1,"10-20%",IF(AG585&lt;=0.1,"0-10%"))))))</f>
        <v>Negative</v>
      </c>
      <c r="AI585" s="32"/>
      <c r="AJ585" s="36" t="s">
        <v>3299</v>
      </c>
      <c r="AK585" s="32"/>
    </row>
    <row r="586" spans="1:37" s="1" customFormat="1" ht="19.7" customHeight="1" x14ac:dyDescent="0.25">
      <c r="A586" s="5" t="s">
        <v>22</v>
      </c>
      <c r="B586" s="5" t="s">
        <v>2150</v>
      </c>
      <c r="C586" s="6">
        <v>44524</v>
      </c>
      <c r="D586" s="5" t="s">
        <v>24</v>
      </c>
      <c r="E586" s="5" t="s">
        <v>25</v>
      </c>
      <c r="F586" s="5" t="s">
        <v>26</v>
      </c>
      <c r="G586" s="5" t="s">
        <v>27</v>
      </c>
      <c r="H586" s="5" t="s">
        <v>28</v>
      </c>
      <c r="I586" s="5" t="s">
        <v>29</v>
      </c>
      <c r="J586" s="5" t="s">
        <v>30</v>
      </c>
      <c r="K586" s="5" t="s">
        <v>31</v>
      </c>
      <c r="L586" s="5" t="s">
        <v>32</v>
      </c>
      <c r="M586" s="5" t="s">
        <v>2151</v>
      </c>
      <c r="N586" s="5" t="s">
        <v>2152</v>
      </c>
      <c r="O586" s="5" t="s">
        <v>125</v>
      </c>
      <c r="P586" s="5" t="s">
        <v>2153</v>
      </c>
      <c r="Q586" s="5">
        <v>113588946</v>
      </c>
      <c r="R586" s="5" t="s">
        <v>38</v>
      </c>
      <c r="S586" s="5" t="s">
        <v>39</v>
      </c>
      <c r="T586" s="7">
        <v>1</v>
      </c>
      <c r="U586" s="15" t="s">
        <v>125</v>
      </c>
      <c r="V586" s="16" t="s">
        <v>2153</v>
      </c>
      <c r="W586" s="17">
        <v>113588946</v>
      </c>
      <c r="X586" s="16" t="s">
        <v>2497</v>
      </c>
      <c r="Y586" s="17" t="s">
        <v>3216</v>
      </c>
      <c r="Z586" s="17" t="s">
        <v>39</v>
      </c>
      <c r="AA586" s="17" t="s">
        <v>2501</v>
      </c>
      <c r="AB586" s="29">
        <v>375.69</v>
      </c>
      <c r="AC586" s="25">
        <v>388.88</v>
      </c>
      <c r="AD586" s="25">
        <f>AC586*T586</f>
        <v>388.88</v>
      </c>
      <c r="AE586" s="25">
        <f>AB586*T586</f>
        <v>375.69</v>
      </c>
      <c r="AF586" s="25">
        <f>AD586-AE586</f>
        <v>13.189999999999998</v>
      </c>
      <c r="AG586" s="26">
        <f>AF586/AD586</f>
        <v>3.3917918123842823E-2</v>
      </c>
      <c r="AH586" s="27" t="str">
        <f>IF(AG586&lt;0,"Negative",IF(AG586=0,"Same",IF(AG586&gt;0.3,"30+%",IF(AG586&gt;0.2,"20-30%",IF(AG586&gt;0.1,"10-20%",IF(AG586&lt;=0.1,"0-10%"))))))</f>
        <v>0-10%</v>
      </c>
      <c r="AI586" s="32"/>
      <c r="AJ586" s="36" t="s">
        <v>3300</v>
      </c>
      <c r="AK586" s="32"/>
    </row>
    <row r="587" spans="1:37" s="1" customFormat="1" ht="19.7" customHeight="1" x14ac:dyDescent="0.25">
      <c r="A587" s="5" t="s">
        <v>22</v>
      </c>
      <c r="B587" s="5" t="s">
        <v>466</v>
      </c>
      <c r="C587" s="6">
        <v>44267</v>
      </c>
      <c r="D587" s="5" t="s">
        <v>24</v>
      </c>
      <c r="E587" s="5" t="s">
        <v>25</v>
      </c>
      <c r="F587" s="5" t="s">
        <v>26</v>
      </c>
      <c r="G587" s="5" t="s">
        <v>67</v>
      </c>
      <c r="H587" s="5" t="s">
        <v>68</v>
      </c>
      <c r="I587" s="5" t="s">
        <v>29</v>
      </c>
      <c r="J587" s="5" t="s">
        <v>30</v>
      </c>
      <c r="K587" s="5" t="s">
        <v>31</v>
      </c>
      <c r="L587" s="5" t="s">
        <v>32</v>
      </c>
      <c r="M587" s="5" t="s">
        <v>273</v>
      </c>
      <c r="N587" s="5" t="s">
        <v>467</v>
      </c>
      <c r="O587" s="5" t="s">
        <v>274</v>
      </c>
      <c r="P587" s="5" t="s">
        <v>275</v>
      </c>
      <c r="Q587" s="5">
        <v>101156274</v>
      </c>
      <c r="R587" s="5" t="s">
        <v>61</v>
      </c>
      <c r="S587" s="5" t="s">
        <v>39</v>
      </c>
      <c r="T587" s="7">
        <v>2</v>
      </c>
      <c r="U587" s="15" t="s">
        <v>274</v>
      </c>
      <c r="V587" s="16" t="s">
        <v>275</v>
      </c>
      <c r="W587" s="17">
        <v>101156274</v>
      </c>
      <c r="X587" s="16" t="s">
        <v>2506</v>
      </c>
      <c r="Y587" s="17" t="s">
        <v>2602</v>
      </c>
      <c r="Z587" s="17" t="s">
        <v>39</v>
      </c>
      <c r="AA587" s="17" t="s">
        <v>37</v>
      </c>
      <c r="AB587" s="29">
        <v>25.61</v>
      </c>
      <c r="AC587" s="25">
        <v>27.71</v>
      </c>
      <c r="AD587" s="25">
        <f>AC587*T587</f>
        <v>55.42</v>
      </c>
      <c r="AE587" s="25">
        <f>AB587*T587</f>
        <v>51.22</v>
      </c>
      <c r="AF587" s="25">
        <f>AD587-AE587</f>
        <v>4.2000000000000028</v>
      </c>
      <c r="AG587" s="26">
        <f>AF587/AD587</f>
        <v>7.5784915193071137E-2</v>
      </c>
      <c r="AH587" s="27" t="str">
        <f>IF(AG587&lt;0,"Negative",IF(AG587=0,"Same",IF(AG587&gt;0.3,"30+%",IF(AG587&gt;0.2,"20-30%",IF(AG587&gt;0.1,"10-20%",IF(AG587&lt;=0.1,"0-10%"))))))</f>
        <v>0-10%</v>
      </c>
      <c r="AI587" s="32"/>
      <c r="AJ587" s="36" t="s">
        <v>3299</v>
      </c>
      <c r="AK587" s="32"/>
    </row>
    <row r="588" spans="1:37" s="1" customFormat="1" ht="19.7" customHeight="1" x14ac:dyDescent="0.25">
      <c r="A588" s="5" t="s">
        <v>22</v>
      </c>
      <c r="B588" s="5" t="s">
        <v>268</v>
      </c>
      <c r="C588" s="6">
        <v>44246</v>
      </c>
      <c r="D588" s="5" t="s">
        <v>24</v>
      </c>
      <c r="E588" s="5" t="s">
        <v>25</v>
      </c>
      <c r="F588" s="5" t="s">
        <v>26</v>
      </c>
      <c r="G588" s="5" t="s">
        <v>67</v>
      </c>
      <c r="H588" s="5" t="s">
        <v>68</v>
      </c>
      <c r="I588" s="5" t="s">
        <v>29</v>
      </c>
      <c r="J588" s="5" t="s">
        <v>30</v>
      </c>
      <c r="K588" s="5" t="s">
        <v>31</v>
      </c>
      <c r="L588" s="5" t="s">
        <v>32</v>
      </c>
      <c r="M588" s="5" t="s">
        <v>273</v>
      </c>
      <c r="N588" s="5" t="s">
        <v>269</v>
      </c>
      <c r="O588" s="5" t="s">
        <v>274</v>
      </c>
      <c r="P588" s="5" t="s">
        <v>275</v>
      </c>
      <c r="Q588" s="5">
        <v>101156274</v>
      </c>
      <c r="R588" s="5" t="s">
        <v>61</v>
      </c>
      <c r="S588" s="5" t="s">
        <v>39</v>
      </c>
      <c r="T588" s="7">
        <v>2</v>
      </c>
      <c r="U588" s="15" t="s">
        <v>274</v>
      </c>
      <c r="V588" s="16" t="s">
        <v>275</v>
      </c>
      <c r="W588" s="17">
        <v>101156274</v>
      </c>
      <c r="X588" s="16" t="s">
        <v>2506</v>
      </c>
      <c r="Y588" s="17" t="s">
        <v>2602</v>
      </c>
      <c r="Z588" s="17" t="s">
        <v>39</v>
      </c>
      <c r="AA588" s="17" t="s">
        <v>37</v>
      </c>
      <c r="AB588" s="29">
        <v>25.61</v>
      </c>
      <c r="AC588" s="25">
        <v>27.71</v>
      </c>
      <c r="AD588" s="25">
        <f>AC588*T588</f>
        <v>55.42</v>
      </c>
      <c r="AE588" s="25">
        <f>AB588*T588</f>
        <v>51.22</v>
      </c>
      <c r="AF588" s="25">
        <f>AD588-AE588</f>
        <v>4.2000000000000028</v>
      </c>
      <c r="AG588" s="26">
        <f>AF588/AD588</f>
        <v>7.5784915193071137E-2</v>
      </c>
      <c r="AH588" s="27" t="str">
        <f>IF(AG588&lt;0,"Negative",IF(AG588=0,"Same",IF(AG588&gt;0.3,"30+%",IF(AG588&gt;0.2,"20-30%",IF(AG588&gt;0.1,"10-20%",IF(AG588&lt;=0.1,"0-10%"))))))</f>
        <v>0-10%</v>
      </c>
      <c r="AI588" s="32"/>
      <c r="AJ588" s="36" t="s">
        <v>3299</v>
      </c>
      <c r="AK588" s="32"/>
    </row>
    <row r="589" spans="1:37" s="1" customFormat="1" ht="19.7" customHeight="1" x14ac:dyDescent="0.25">
      <c r="A589" s="5" t="s">
        <v>22</v>
      </c>
      <c r="B589" s="5" t="s">
        <v>2140</v>
      </c>
      <c r="C589" s="6">
        <v>44522</v>
      </c>
      <c r="D589" s="5" t="s">
        <v>24</v>
      </c>
      <c r="E589" s="5" t="s">
        <v>25</v>
      </c>
      <c r="F589" s="5" t="s">
        <v>26</v>
      </c>
      <c r="G589" s="5" t="s">
        <v>27</v>
      </c>
      <c r="H589" s="5" t="s">
        <v>28</v>
      </c>
      <c r="I589" s="5" t="s">
        <v>29</v>
      </c>
      <c r="J589" s="5" t="s">
        <v>30</v>
      </c>
      <c r="K589" s="5" t="s">
        <v>31</v>
      </c>
      <c r="L589" s="5" t="s">
        <v>32</v>
      </c>
      <c r="M589" s="5" t="s">
        <v>2001</v>
      </c>
      <c r="N589" s="5" t="s">
        <v>2141</v>
      </c>
      <c r="O589" s="5" t="s">
        <v>2003</v>
      </c>
      <c r="P589" s="5" t="s">
        <v>2004</v>
      </c>
      <c r="Q589" s="5">
        <v>111890497</v>
      </c>
      <c r="R589" s="5" t="s">
        <v>105</v>
      </c>
      <c r="S589" s="5" t="s">
        <v>205</v>
      </c>
      <c r="T589" s="7">
        <v>2</v>
      </c>
      <c r="U589" s="15" t="s">
        <v>2003</v>
      </c>
      <c r="V589" s="16" t="s">
        <v>2004</v>
      </c>
      <c r="W589" s="17">
        <v>111890497</v>
      </c>
      <c r="X589" s="16" t="s">
        <v>3140</v>
      </c>
      <c r="Y589" s="17" t="s">
        <v>3185</v>
      </c>
      <c r="Z589" s="17" t="s">
        <v>205</v>
      </c>
      <c r="AA589" s="17" t="s">
        <v>37</v>
      </c>
      <c r="AB589" s="29">
        <v>65.12</v>
      </c>
      <c r="AC589" s="25">
        <v>63.69</v>
      </c>
      <c r="AD589" s="25">
        <f>AC589*T589</f>
        <v>127.38</v>
      </c>
      <c r="AE589" s="25">
        <f>AB589*T589</f>
        <v>130.24</v>
      </c>
      <c r="AF589" s="25">
        <f>AD589-AE589</f>
        <v>-2.8600000000000136</v>
      </c>
      <c r="AG589" s="26">
        <f>AF589/AD589</f>
        <v>-2.2452504317789401E-2</v>
      </c>
      <c r="AH589" s="27" t="str">
        <f>IF(AG589&lt;0,"Negative",IF(AG589=0,"Same",IF(AG589&gt;0.3,"30+%",IF(AG589&gt;0.2,"20-30%",IF(AG589&gt;0.1,"10-20%",IF(AG589&lt;=0.1,"0-10%"))))))</f>
        <v>Negative</v>
      </c>
      <c r="AI589" s="32"/>
      <c r="AJ589" s="36" t="s">
        <v>3300</v>
      </c>
      <c r="AK589" s="32"/>
    </row>
    <row r="590" spans="1:37" s="1" customFormat="1" ht="19.7" customHeight="1" x14ac:dyDescent="0.25">
      <c r="A590" s="5" t="s">
        <v>22</v>
      </c>
      <c r="B590" s="5" t="s">
        <v>2000</v>
      </c>
      <c r="C590" s="6">
        <v>44497</v>
      </c>
      <c r="D590" s="5" t="s">
        <v>24</v>
      </c>
      <c r="E590" s="5" t="s">
        <v>25</v>
      </c>
      <c r="F590" s="5" t="s">
        <v>26</v>
      </c>
      <c r="G590" s="5" t="s">
        <v>27</v>
      </c>
      <c r="H590" s="5" t="s">
        <v>28</v>
      </c>
      <c r="I590" s="5" t="s">
        <v>29</v>
      </c>
      <c r="J590" s="5" t="s">
        <v>30</v>
      </c>
      <c r="K590" s="5" t="s">
        <v>31</v>
      </c>
      <c r="L590" s="5" t="s">
        <v>32</v>
      </c>
      <c r="M590" s="5" t="s">
        <v>2001</v>
      </c>
      <c r="N590" s="5" t="s">
        <v>2002</v>
      </c>
      <c r="O590" s="5" t="s">
        <v>2003</v>
      </c>
      <c r="P590" s="5" t="s">
        <v>2004</v>
      </c>
      <c r="Q590" s="5">
        <v>111890497</v>
      </c>
      <c r="R590" s="5" t="s">
        <v>105</v>
      </c>
      <c r="S590" s="5" t="s">
        <v>205</v>
      </c>
      <c r="T590" s="7">
        <v>1</v>
      </c>
      <c r="U590" s="15" t="s">
        <v>2003</v>
      </c>
      <c r="V590" s="16" t="s">
        <v>2004</v>
      </c>
      <c r="W590" s="17">
        <v>111890497</v>
      </c>
      <c r="X590" s="16" t="s">
        <v>3140</v>
      </c>
      <c r="Y590" s="17" t="s">
        <v>3185</v>
      </c>
      <c r="Z590" s="17" t="s">
        <v>205</v>
      </c>
      <c r="AA590" s="17" t="s">
        <v>37</v>
      </c>
      <c r="AB590" s="29">
        <v>65.12</v>
      </c>
      <c r="AC590" s="25">
        <v>63.69</v>
      </c>
      <c r="AD590" s="25">
        <f>AC590*T590</f>
        <v>63.69</v>
      </c>
      <c r="AE590" s="25">
        <f>AB590*T590</f>
        <v>65.12</v>
      </c>
      <c r="AF590" s="25">
        <f>AD590-AE590</f>
        <v>-1.4300000000000068</v>
      </c>
      <c r="AG590" s="26">
        <f>AF590/AD590</f>
        <v>-2.2452504317789401E-2</v>
      </c>
      <c r="AH590" s="27" t="str">
        <f>IF(AG590&lt;0,"Negative",IF(AG590=0,"Same",IF(AG590&gt;0.3,"30+%",IF(AG590&gt;0.2,"20-30%",IF(AG590&gt;0.1,"10-20%",IF(AG590&lt;=0.1,"0-10%"))))))</f>
        <v>Negative</v>
      </c>
      <c r="AI590" s="32"/>
      <c r="AJ590" s="36" t="s">
        <v>3300</v>
      </c>
      <c r="AK590" s="32"/>
    </row>
    <row r="591" spans="1:37" s="1" customFormat="1" ht="19.7" customHeight="1" x14ac:dyDescent="0.25">
      <c r="A591" s="9" t="s">
        <v>22</v>
      </c>
      <c r="B591" s="9" t="s">
        <v>689</v>
      </c>
      <c r="C591" s="10">
        <v>44288</v>
      </c>
      <c r="D591" s="9" t="s">
        <v>24</v>
      </c>
      <c r="E591" s="9" t="s">
        <v>25</v>
      </c>
      <c r="F591" s="9" t="s">
        <v>26</v>
      </c>
      <c r="G591" s="9" t="s">
        <v>67</v>
      </c>
      <c r="H591" s="9" t="s">
        <v>68</v>
      </c>
      <c r="I591" s="9" t="s">
        <v>29</v>
      </c>
      <c r="J591" s="9" t="s">
        <v>30</v>
      </c>
      <c r="K591" s="9" t="s">
        <v>31</v>
      </c>
      <c r="L591" s="9" t="s">
        <v>32</v>
      </c>
      <c r="M591" s="9" t="s">
        <v>280</v>
      </c>
      <c r="N591" s="9" t="s">
        <v>690</v>
      </c>
      <c r="O591" s="9" t="s">
        <v>79</v>
      </c>
      <c r="P591" s="9" t="s">
        <v>281</v>
      </c>
      <c r="Q591" s="9">
        <v>101527246</v>
      </c>
      <c r="R591" s="9" t="s">
        <v>61</v>
      </c>
      <c r="S591" s="9" t="s">
        <v>39</v>
      </c>
      <c r="T591" s="11">
        <v>1</v>
      </c>
      <c r="U591" s="15" t="s">
        <v>79</v>
      </c>
      <c r="V591" s="16" t="s">
        <v>281</v>
      </c>
      <c r="W591" s="17">
        <v>101527246</v>
      </c>
      <c r="X591" s="16" t="s">
        <v>2540</v>
      </c>
      <c r="Y591" s="17" t="s">
        <v>2605</v>
      </c>
      <c r="Z591" s="17" t="s">
        <v>39</v>
      </c>
      <c r="AA591" s="17" t="s">
        <v>37</v>
      </c>
      <c r="AB591" s="43">
        <v>13.52</v>
      </c>
      <c r="AC591" s="25">
        <v>17.05</v>
      </c>
      <c r="AD591" s="25">
        <f>AC591*T591</f>
        <v>17.05</v>
      </c>
      <c r="AE591" s="25">
        <f>AB591*T591</f>
        <v>13.52</v>
      </c>
      <c r="AF591" s="25">
        <f>AD591-AE591</f>
        <v>3.5300000000000011</v>
      </c>
      <c r="AG591" s="26">
        <f>AF591/AD591</f>
        <v>0.20703812316715547</v>
      </c>
      <c r="AH591" s="27" t="str">
        <f>IF(AG591&lt;0,"Negative",IF(AG591=0,"Same",IF(AG591&gt;0.3,"30+%",IF(AG591&gt;0.2,"20-30%",IF(AG591&gt;0.1,"10-20%",IF(AG591&lt;=0.1,"0-10%"))))))</f>
        <v>20-30%</v>
      </c>
      <c r="AI591" s="32"/>
      <c r="AJ591" s="36" t="s">
        <v>3299</v>
      </c>
      <c r="AK591" s="32"/>
    </row>
    <row r="592" spans="1:37" s="1" customFormat="1" ht="19.7" customHeight="1" x14ac:dyDescent="0.25">
      <c r="A592" s="9" t="s">
        <v>22</v>
      </c>
      <c r="B592" s="9" t="s">
        <v>1619</v>
      </c>
      <c r="C592" s="10">
        <v>44426</v>
      </c>
      <c r="D592" s="9" t="s">
        <v>24</v>
      </c>
      <c r="E592" s="9" t="s">
        <v>25</v>
      </c>
      <c r="F592" s="9" t="s">
        <v>26</v>
      </c>
      <c r="G592" s="9" t="s">
        <v>67</v>
      </c>
      <c r="H592" s="9" t="s">
        <v>68</v>
      </c>
      <c r="I592" s="9" t="s">
        <v>29</v>
      </c>
      <c r="J592" s="9" t="s">
        <v>30</v>
      </c>
      <c r="K592" s="9" t="s">
        <v>31</v>
      </c>
      <c r="L592" s="9" t="s">
        <v>32</v>
      </c>
      <c r="M592" s="9" t="s">
        <v>280</v>
      </c>
      <c r="N592" s="9" t="s">
        <v>1620</v>
      </c>
      <c r="O592" s="9" t="s">
        <v>79</v>
      </c>
      <c r="P592" s="9" t="s">
        <v>281</v>
      </c>
      <c r="Q592" s="9">
        <v>101527246</v>
      </c>
      <c r="R592" s="9" t="s">
        <v>61</v>
      </c>
      <c r="S592" s="9" t="s">
        <v>39</v>
      </c>
      <c r="T592" s="11">
        <v>2</v>
      </c>
      <c r="U592" s="15" t="s">
        <v>79</v>
      </c>
      <c r="V592" s="16" t="s">
        <v>281</v>
      </c>
      <c r="W592" s="17">
        <v>101527246</v>
      </c>
      <c r="X592" s="16" t="s">
        <v>2540</v>
      </c>
      <c r="Y592" s="17" t="s">
        <v>2605</v>
      </c>
      <c r="Z592" s="17" t="s">
        <v>39</v>
      </c>
      <c r="AA592" s="17" t="s">
        <v>37</v>
      </c>
      <c r="AB592" s="43">
        <v>13.52</v>
      </c>
      <c r="AC592" s="25">
        <v>17.05</v>
      </c>
      <c r="AD592" s="25">
        <f>AC592*T592</f>
        <v>34.1</v>
      </c>
      <c r="AE592" s="25">
        <f>AB592*T592</f>
        <v>27.04</v>
      </c>
      <c r="AF592" s="25">
        <f>AD592-AE592</f>
        <v>7.0600000000000023</v>
      </c>
      <c r="AG592" s="26">
        <f>AF592/AD592</f>
        <v>0.20703812316715547</v>
      </c>
      <c r="AH592" s="27" t="str">
        <f>IF(AG592&lt;0,"Negative",IF(AG592=0,"Same",IF(AG592&gt;0.3,"30+%",IF(AG592&gt;0.2,"20-30%",IF(AG592&gt;0.1,"10-20%",IF(AG592&lt;=0.1,"0-10%"))))))</f>
        <v>20-30%</v>
      </c>
      <c r="AI592" s="32"/>
      <c r="AJ592" s="36" t="s">
        <v>3299</v>
      </c>
      <c r="AK592" s="32"/>
    </row>
    <row r="593" spans="1:37" s="1" customFormat="1" ht="19.7" customHeight="1" x14ac:dyDescent="0.25">
      <c r="A593" s="5" t="s">
        <v>22</v>
      </c>
      <c r="B593" s="5" t="s">
        <v>616</v>
      </c>
      <c r="C593" s="6">
        <v>44281</v>
      </c>
      <c r="D593" s="5" t="s">
        <v>24</v>
      </c>
      <c r="E593" s="5" t="s">
        <v>25</v>
      </c>
      <c r="F593" s="5" t="s">
        <v>26</v>
      </c>
      <c r="G593" s="5" t="s">
        <v>67</v>
      </c>
      <c r="H593" s="5" t="s">
        <v>68</v>
      </c>
      <c r="I593" s="5" t="s">
        <v>29</v>
      </c>
      <c r="J593" s="5" t="s">
        <v>30</v>
      </c>
      <c r="K593" s="5" t="s">
        <v>31</v>
      </c>
      <c r="L593" s="5" t="s">
        <v>32</v>
      </c>
      <c r="M593" s="5" t="s">
        <v>280</v>
      </c>
      <c r="N593" s="5" t="s">
        <v>617</v>
      </c>
      <c r="O593" s="5" t="s">
        <v>79</v>
      </c>
      <c r="P593" s="5" t="s">
        <v>281</v>
      </c>
      <c r="Q593" s="5">
        <v>101527246</v>
      </c>
      <c r="R593" s="5" t="s">
        <v>61</v>
      </c>
      <c r="S593" s="5" t="s">
        <v>39</v>
      </c>
      <c r="T593" s="7">
        <v>2</v>
      </c>
      <c r="U593" s="15" t="s">
        <v>79</v>
      </c>
      <c r="V593" s="16" t="s">
        <v>281</v>
      </c>
      <c r="W593" s="17">
        <v>101527246</v>
      </c>
      <c r="X593" s="16" t="s">
        <v>2540</v>
      </c>
      <c r="Y593" s="17" t="s">
        <v>2605</v>
      </c>
      <c r="Z593" s="17" t="s">
        <v>39</v>
      </c>
      <c r="AA593" s="17" t="s">
        <v>37</v>
      </c>
      <c r="AB593" s="43">
        <v>13.52</v>
      </c>
      <c r="AC593" s="25">
        <v>17.05</v>
      </c>
      <c r="AD593" s="25">
        <f>AC593*T593</f>
        <v>34.1</v>
      </c>
      <c r="AE593" s="25">
        <f>AB593*T593</f>
        <v>27.04</v>
      </c>
      <c r="AF593" s="25">
        <f>AD593-AE593</f>
        <v>7.0600000000000023</v>
      </c>
      <c r="AG593" s="26">
        <f>AF593/AD593</f>
        <v>0.20703812316715547</v>
      </c>
      <c r="AH593" s="27" t="str">
        <f>IF(AG593&lt;0,"Negative",IF(AG593=0,"Same",IF(AG593&gt;0.3,"30+%",IF(AG593&gt;0.2,"20-30%",IF(AG593&gt;0.1,"10-20%",IF(AG593&lt;=0.1,"0-10%"))))))</f>
        <v>20-30%</v>
      </c>
      <c r="AI593" s="32"/>
      <c r="AJ593" s="36" t="s">
        <v>3299</v>
      </c>
      <c r="AK593" s="32"/>
    </row>
    <row r="594" spans="1:37" s="1" customFormat="1" ht="19.7" customHeight="1" x14ac:dyDescent="0.25">
      <c r="A594" s="9" t="s">
        <v>22</v>
      </c>
      <c r="B594" s="9" t="s">
        <v>629</v>
      </c>
      <c r="C594" s="10">
        <v>44281</v>
      </c>
      <c r="D594" s="9" t="s">
        <v>24</v>
      </c>
      <c r="E594" s="9" t="s">
        <v>25</v>
      </c>
      <c r="F594" s="9" t="s">
        <v>26</v>
      </c>
      <c r="G594" s="9" t="s">
        <v>67</v>
      </c>
      <c r="H594" s="9" t="s">
        <v>68</v>
      </c>
      <c r="I594" s="9" t="s">
        <v>29</v>
      </c>
      <c r="J594" s="9" t="s">
        <v>30</v>
      </c>
      <c r="K594" s="9" t="s">
        <v>31</v>
      </c>
      <c r="L594" s="9" t="s">
        <v>32</v>
      </c>
      <c r="M594" s="9" t="s">
        <v>280</v>
      </c>
      <c r="N594" s="9" t="s">
        <v>630</v>
      </c>
      <c r="O594" s="9" t="s">
        <v>79</v>
      </c>
      <c r="P594" s="9" t="s">
        <v>281</v>
      </c>
      <c r="Q594" s="9">
        <v>101527246</v>
      </c>
      <c r="R594" s="9" t="s">
        <v>61</v>
      </c>
      <c r="S594" s="9" t="s">
        <v>39</v>
      </c>
      <c r="T594" s="11">
        <v>2</v>
      </c>
      <c r="U594" s="15" t="s">
        <v>79</v>
      </c>
      <c r="V594" s="16" t="s">
        <v>281</v>
      </c>
      <c r="W594" s="17">
        <v>101527246</v>
      </c>
      <c r="X594" s="16" t="s">
        <v>2540</v>
      </c>
      <c r="Y594" s="17" t="s">
        <v>2605</v>
      </c>
      <c r="Z594" s="17" t="s">
        <v>39</v>
      </c>
      <c r="AA594" s="17" t="s">
        <v>37</v>
      </c>
      <c r="AB594" s="43">
        <v>13.52</v>
      </c>
      <c r="AC594" s="25">
        <v>17.05</v>
      </c>
      <c r="AD594" s="25">
        <f>AC594*T594</f>
        <v>34.1</v>
      </c>
      <c r="AE594" s="25">
        <f>AB594*T594</f>
        <v>27.04</v>
      </c>
      <c r="AF594" s="25">
        <f>AD594-AE594</f>
        <v>7.0600000000000023</v>
      </c>
      <c r="AG594" s="26">
        <f>AF594/AD594</f>
        <v>0.20703812316715547</v>
      </c>
      <c r="AH594" s="27" t="str">
        <f>IF(AG594&lt;0,"Negative",IF(AG594=0,"Same",IF(AG594&gt;0.3,"30+%",IF(AG594&gt;0.2,"20-30%",IF(AG594&gt;0.1,"10-20%",IF(AG594&lt;=0.1,"0-10%"))))))</f>
        <v>20-30%</v>
      </c>
      <c r="AI594" s="32"/>
      <c r="AJ594" s="36" t="s">
        <v>3299</v>
      </c>
      <c r="AK594" s="32"/>
    </row>
    <row r="595" spans="1:37" s="1" customFormat="1" ht="19.7" customHeight="1" x14ac:dyDescent="0.25">
      <c r="A595" s="5" t="s">
        <v>22</v>
      </c>
      <c r="B595" s="5" t="s">
        <v>800</v>
      </c>
      <c r="C595" s="6">
        <v>44302</v>
      </c>
      <c r="D595" s="5" t="s">
        <v>24</v>
      </c>
      <c r="E595" s="5" t="s">
        <v>25</v>
      </c>
      <c r="F595" s="5" t="s">
        <v>26</v>
      </c>
      <c r="G595" s="5" t="s">
        <v>67</v>
      </c>
      <c r="H595" s="5" t="s">
        <v>68</v>
      </c>
      <c r="I595" s="5" t="s">
        <v>29</v>
      </c>
      <c r="J595" s="5" t="s">
        <v>30</v>
      </c>
      <c r="K595" s="5" t="s">
        <v>31</v>
      </c>
      <c r="L595" s="5" t="s">
        <v>32</v>
      </c>
      <c r="M595" s="5" t="s">
        <v>280</v>
      </c>
      <c r="N595" s="5" t="s">
        <v>801</v>
      </c>
      <c r="O595" s="5" t="s">
        <v>79</v>
      </c>
      <c r="P595" s="5" t="s">
        <v>281</v>
      </c>
      <c r="Q595" s="5">
        <v>101527246</v>
      </c>
      <c r="R595" s="5" t="s">
        <v>61</v>
      </c>
      <c r="S595" s="5" t="s">
        <v>39</v>
      </c>
      <c r="T595" s="7">
        <v>3</v>
      </c>
      <c r="U595" s="15" t="s">
        <v>79</v>
      </c>
      <c r="V595" s="16" t="s">
        <v>281</v>
      </c>
      <c r="W595" s="17">
        <v>101527246</v>
      </c>
      <c r="X595" s="16" t="s">
        <v>2540</v>
      </c>
      <c r="Y595" s="17" t="s">
        <v>2605</v>
      </c>
      <c r="Z595" s="17" t="s">
        <v>39</v>
      </c>
      <c r="AA595" s="17" t="s">
        <v>37</v>
      </c>
      <c r="AB595" s="43">
        <v>13.52</v>
      </c>
      <c r="AC595" s="25">
        <v>17.05</v>
      </c>
      <c r="AD595" s="25">
        <f>AC595*T595</f>
        <v>51.150000000000006</v>
      </c>
      <c r="AE595" s="25">
        <f>AB595*T595</f>
        <v>40.56</v>
      </c>
      <c r="AF595" s="25">
        <f>AD595-AE595</f>
        <v>10.590000000000003</v>
      </c>
      <c r="AG595" s="26">
        <f>AF595/AD595</f>
        <v>0.20703812316715547</v>
      </c>
      <c r="AH595" s="27" t="str">
        <f>IF(AG595&lt;0,"Negative",IF(AG595=0,"Same",IF(AG595&gt;0.3,"30+%",IF(AG595&gt;0.2,"20-30%",IF(AG595&gt;0.1,"10-20%",IF(AG595&lt;=0.1,"0-10%"))))))</f>
        <v>20-30%</v>
      </c>
      <c r="AI595" s="32"/>
      <c r="AJ595" s="36" t="s">
        <v>3299</v>
      </c>
      <c r="AK595" s="32"/>
    </row>
    <row r="596" spans="1:37" s="1" customFormat="1" ht="19.7" customHeight="1" x14ac:dyDescent="0.25">
      <c r="A596" s="9" t="s">
        <v>22</v>
      </c>
      <c r="B596" s="9" t="s">
        <v>276</v>
      </c>
      <c r="C596" s="10">
        <v>44246</v>
      </c>
      <c r="D596" s="9" t="s">
        <v>24</v>
      </c>
      <c r="E596" s="9" t="s">
        <v>25</v>
      </c>
      <c r="F596" s="9" t="s">
        <v>26</v>
      </c>
      <c r="G596" s="9" t="s">
        <v>67</v>
      </c>
      <c r="H596" s="9" t="s">
        <v>68</v>
      </c>
      <c r="I596" s="9" t="s">
        <v>29</v>
      </c>
      <c r="J596" s="9" t="s">
        <v>30</v>
      </c>
      <c r="K596" s="9" t="s">
        <v>31</v>
      </c>
      <c r="L596" s="9" t="s">
        <v>32</v>
      </c>
      <c r="M596" s="9" t="s">
        <v>280</v>
      </c>
      <c r="N596" s="9" t="s">
        <v>278</v>
      </c>
      <c r="O596" s="9" t="s">
        <v>79</v>
      </c>
      <c r="P596" s="9" t="s">
        <v>281</v>
      </c>
      <c r="Q596" s="9">
        <v>101527246</v>
      </c>
      <c r="R596" s="9" t="s">
        <v>61</v>
      </c>
      <c r="S596" s="9" t="s">
        <v>39</v>
      </c>
      <c r="T596" s="11">
        <v>4</v>
      </c>
      <c r="U596" s="15" t="s">
        <v>79</v>
      </c>
      <c r="V596" s="16" t="s">
        <v>281</v>
      </c>
      <c r="W596" s="17">
        <v>101527246</v>
      </c>
      <c r="X596" s="16" t="s">
        <v>2540</v>
      </c>
      <c r="Y596" s="17" t="s">
        <v>2605</v>
      </c>
      <c r="Z596" s="17" t="s">
        <v>39</v>
      </c>
      <c r="AA596" s="17" t="s">
        <v>37</v>
      </c>
      <c r="AB596" s="43">
        <v>13.52</v>
      </c>
      <c r="AC596" s="25">
        <v>17.05</v>
      </c>
      <c r="AD596" s="25">
        <f>AC596*T596</f>
        <v>68.2</v>
      </c>
      <c r="AE596" s="25">
        <f>AB596*T596</f>
        <v>54.08</v>
      </c>
      <c r="AF596" s="25">
        <f>AD596-AE596</f>
        <v>14.120000000000005</v>
      </c>
      <c r="AG596" s="26">
        <f>AF596/AD596</f>
        <v>0.20703812316715547</v>
      </c>
      <c r="AH596" s="27" t="str">
        <f>IF(AG596&lt;0,"Negative",IF(AG596=0,"Same",IF(AG596&gt;0.3,"30+%",IF(AG596&gt;0.2,"20-30%",IF(AG596&gt;0.1,"10-20%",IF(AG596&lt;=0.1,"0-10%"))))))</f>
        <v>20-30%</v>
      </c>
      <c r="AI596" s="32"/>
      <c r="AJ596" s="36" t="s">
        <v>3299</v>
      </c>
      <c r="AK596" s="32"/>
    </row>
    <row r="597" spans="1:37" s="1" customFormat="1" ht="19.7" customHeight="1" x14ac:dyDescent="0.25">
      <c r="A597" s="5" t="s">
        <v>22</v>
      </c>
      <c r="B597" s="5" t="s">
        <v>2074</v>
      </c>
      <c r="C597" s="6">
        <v>44515</v>
      </c>
      <c r="D597" s="5" t="s">
        <v>24</v>
      </c>
      <c r="E597" s="5" t="s">
        <v>25</v>
      </c>
      <c r="F597" s="5" t="s">
        <v>26</v>
      </c>
      <c r="G597" s="5" t="s">
        <v>27</v>
      </c>
      <c r="H597" s="5" t="s">
        <v>28</v>
      </c>
      <c r="I597" s="5" t="s">
        <v>29</v>
      </c>
      <c r="J597" s="5" t="s">
        <v>30</v>
      </c>
      <c r="K597" s="5" t="s">
        <v>31</v>
      </c>
      <c r="L597" s="5" t="s">
        <v>32</v>
      </c>
      <c r="M597" s="5" t="s">
        <v>2076</v>
      </c>
      <c r="N597" s="5" t="s">
        <v>2075</v>
      </c>
      <c r="O597" s="5" t="s">
        <v>89</v>
      </c>
      <c r="P597" s="5" t="s">
        <v>2077</v>
      </c>
      <c r="Q597" s="5">
        <v>100747798</v>
      </c>
      <c r="R597" s="5" t="s">
        <v>45</v>
      </c>
      <c r="S597" s="5" t="s">
        <v>39</v>
      </c>
      <c r="T597" s="7">
        <v>1</v>
      </c>
      <c r="U597" s="15" t="s">
        <v>89</v>
      </c>
      <c r="V597" s="16" t="s">
        <v>2077</v>
      </c>
      <c r="W597" s="17">
        <v>100747798</v>
      </c>
      <c r="X597" s="16" t="s">
        <v>2520</v>
      </c>
      <c r="Y597" s="17" t="s">
        <v>3200</v>
      </c>
      <c r="Z597" s="17" t="s">
        <v>39</v>
      </c>
      <c r="AA597" s="17" t="s">
        <v>37</v>
      </c>
      <c r="AB597" s="43">
        <v>16.190000000000001</v>
      </c>
      <c r="AC597" s="25">
        <v>19.91</v>
      </c>
      <c r="AD597" s="25">
        <f>AC597*T597</f>
        <v>19.91</v>
      </c>
      <c r="AE597" s="25">
        <f>AB597*T597</f>
        <v>16.190000000000001</v>
      </c>
      <c r="AF597" s="25">
        <f>AD597-AE597</f>
        <v>3.7199999999999989</v>
      </c>
      <c r="AG597" s="26">
        <f>AF597/AD597</f>
        <v>0.18684078352586633</v>
      </c>
      <c r="AH597" s="27" t="str">
        <f>IF(AG597&lt;0,"Negative",IF(AG597=0,"Same",IF(AG597&gt;0.3,"30+%",IF(AG597&gt;0.2,"20-30%",IF(AG597&gt;0.1,"10-20%",IF(AG597&lt;=0.1,"0-10%"))))))</f>
        <v>10-20%</v>
      </c>
      <c r="AI597" s="32"/>
      <c r="AJ597" s="36" t="s">
        <v>3299</v>
      </c>
      <c r="AK597" s="32"/>
    </row>
    <row r="598" spans="1:37" s="1" customFormat="1" ht="19.7" customHeight="1" x14ac:dyDescent="0.25">
      <c r="A598" s="5" t="s">
        <v>22</v>
      </c>
      <c r="B598" s="5" t="s">
        <v>1301</v>
      </c>
      <c r="C598" s="6">
        <v>44371</v>
      </c>
      <c r="D598" s="5" t="s">
        <v>24</v>
      </c>
      <c r="E598" s="5" t="s">
        <v>25</v>
      </c>
      <c r="F598" s="5" t="s">
        <v>26</v>
      </c>
      <c r="G598" s="5" t="s">
        <v>67</v>
      </c>
      <c r="H598" s="5" t="s">
        <v>68</v>
      </c>
      <c r="I598" s="5" t="s">
        <v>29</v>
      </c>
      <c r="J598" s="5" t="s">
        <v>30</v>
      </c>
      <c r="K598" s="5" t="s">
        <v>31</v>
      </c>
      <c r="L598" s="5" t="s">
        <v>32</v>
      </c>
      <c r="M598" s="5" t="s">
        <v>1302</v>
      </c>
      <c r="N598" s="5" t="s">
        <v>1303</v>
      </c>
      <c r="O598" s="5" t="s">
        <v>169</v>
      </c>
      <c r="P598" s="5" t="s">
        <v>1304</v>
      </c>
      <c r="Q598" s="5">
        <v>100772665</v>
      </c>
      <c r="R598" s="5" t="s">
        <v>56</v>
      </c>
      <c r="S598" s="5" t="s">
        <v>39</v>
      </c>
      <c r="T598" s="7">
        <v>5</v>
      </c>
      <c r="U598" s="15" t="s">
        <v>169</v>
      </c>
      <c r="V598" s="16" t="s">
        <v>1304</v>
      </c>
      <c r="W598" s="17">
        <v>100772665</v>
      </c>
      <c r="X598" s="16" t="s">
        <v>2812</v>
      </c>
      <c r="Y598" s="17" t="s">
        <v>2992</v>
      </c>
      <c r="Z598" s="17" t="s">
        <v>39</v>
      </c>
      <c r="AA598" s="17" t="s">
        <v>37</v>
      </c>
      <c r="AB598" s="43">
        <v>49.58</v>
      </c>
      <c r="AC598" s="25">
        <v>53.26</v>
      </c>
      <c r="AD598" s="25">
        <f>AC598*T598</f>
        <v>266.3</v>
      </c>
      <c r="AE598" s="25">
        <f>AB598*T598</f>
        <v>247.89999999999998</v>
      </c>
      <c r="AF598" s="25">
        <f>AD598-AE598</f>
        <v>18.400000000000034</v>
      </c>
      <c r="AG598" s="26">
        <f>AF598/AD598</f>
        <v>6.9095005632745149E-2</v>
      </c>
      <c r="AH598" s="27" t="str">
        <f>IF(AG598&lt;0,"Negative",IF(AG598=0,"Same",IF(AG598&gt;0.3,"30+%",IF(AG598&gt;0.2,"20-30%",IF(AG598&gt;0.1,"10-20%",IF(AG598&lt;=0.1,"0-10%"))))))</f>
        <v>0-10%</v>
      </c>
      <c r="AI598" s="32"/>
      <c r="AJ598" s="36" t="s">
        <v>3299</v>
      </c>
      <c r="AK598" s="32"/>
    </row>
    <row r="599" spans="1:37" s="1" customFormat="1" ht="19.7" customHeight="1" x14ac:dyDescent="0.25">
      <c r="A599" s="9" t="s">
        <v>22</v>
      </c>
      <c r="B599" s="9" t="s">
        <v>1079</v>
      </c>
      <c r="C599" s="10">
        <v>44337</v>
      </c>
      <c r="D599" s="9" t="s">
        <v>24</v>
      </c>
      <c r="E599" s="9" t="s">
        <v>25</v>
      </c>
      <c r="F599" s="9" t="s">
        <v>26</v>
      </c>
      <c r="G599" s="9" t="s">
        <v>27</v>
      </c>
      <c r="H599" s="9" t="s">
        <v>28</v>
      </c>
      <c r="I599" s="9" t="s">
        <v>29</v>
      </c>
      <c r="J599" s="9" t="s">
        <v>30</v>
      </c>
      <c r="K599" s="9" t="s">
        <v>31</v>
      </c>
      <c r="L599" s="9" t="s">
        <v>32</v>
      </c>
      <c r="M599" s="9" t="s">
        <v>1083</v>
      </c>
      <c r="N599" s="9" t="s">
        <v>1081</v>
      </c>
      <c r="O599" s="9" t="s">
        <v>89</v>
      </c>
      <c r="P599" s="9" t="s">
        <v>1084</v>
      </c>
      <c r="Q599" s="9">
        <v>100915307</v>
      </c>
      <c r="R599" s="9" t="s">
        <v>45</v>
      </c>
      <c r="S599" s="9" t="s">
        <v>39</v>
      </c>
      <c r="T599" s="11">
        <v>3</v>
      </c>
      <c r="U599" s="15" t="s">
        <v>89</v>
      </c>
      <c r="V599" s="16" t="s">
        <v>1084</v>
      </c>
      <c r="W599" s="17">
        <v>100915307</v>
      </c>
      <c r="X599" s="16" t="s">
        <v>2518</v>
      </c>
      <c r="Y599" s="17" t="s">
        <v>2920</v>
      </c>
      <c r="Z599" s="17" t="s">
        <v>39</v>
      </c>
      <c r="AA599" s="17" t="s">
        <v>37</v>
      </c>
      <c r="AB599" s="43">
        <v>12.96</v>
      </c>
      <c r="AC599" s="25">
        <v>15.19</v>
      </c>
      <c r="AD599" s="25">
        <f>AC599*T599</f>
        <v>45.57</v>
      </c>
      <c r="AE599" s="25">
        <f>AB599*T599</f>
        <v>38.880000000000003</v>
      </c>
      <c r="AF599" s="25">
        <f>AD599-AE599</f>
        <v>6.6899999999999977</v>
      </c>
      <c r="AG599" s="26">
        <f>AF599/AD599</f>
        <v>0.14680710994075044</v>
      </c>
      <c r="AH599" s="27" t="str">
        <f>IF(AG599&lt;0,"Negative",IF(AG599=0,"Same",IF(AG599&gt;0.3,"30+%",IF(AG599&gt;0.2,"20-30%",IF(AG599&gt;0.1,"10-20%",IF(AG599&lt;=0.1,"0-10%"))))))</f>
        <v>10-20%</v>
      </c>
      <c r="AI599" s="32"/>
      <c r="AJ599" s="36" t="s">
        <v>3300</v>
      </c>
      <c r="AK599" s="32"/>
    </row>
    <row r="600" spans="1:37" s="1" customFormat="1" ht="19.7" customHeight="1" x14ac:dyDescent="0.25">
      <c r="A600" s="5" t="s">
        <v>22</v>
      </c>
      <c r="B600" s="5" t="s">
        <v>1718</v>
      </c>
      <c r="C600" s="6">
        <v>44441</v>
      </c>
      <c r="D600" s="5" t="s">
        <v>24</v>
      </c>
      <c r="E600" s="5" t="s">
        <v>25</v>
      </c>
      <c r="F600" s="5" t="s">
        <v>26</v>
      </c>
      <c r="G600" s="5" t="s">
        <v>27</v>
      </c>
      <c r="H600" s="5" t="s">
        <v>28</v>
      </c>
      <c r="I600" s="5" t="s">
        <v>29</v>
      </c>
      <c r="J600" s="5" t="s">
        <v>30</v>
      </c>
      <c r="K600" s="5" t="s">
        <v>31</v>
      </c>
      <c r="L600" s="5" t="s">
        <v>32</v>
      </c>
      <c r="M600" s="5" t="s">
        <v>1719</v>
      </c>
      <c r="N600" s="5" t="s">
        <v>1699</v>
      </c>
      <c r="O600" s="5" t="s">
        <v>1720</v>
      </c>
      <c r="P600" s="5" t="s">
        <v>1721</v>
      </c>
      <c r="Q600" s="5">
        <v>118668196</v>
      </c>
      <c r="R600" s="5" t="s">
        <v>56</v>
      </c>
      <c r="S600" s="5" t="s">
        <v>39</v>
      </c>
      <c r="T600" s="7">
        <v>1</v>
      </c>
      <c r="U600" s="15" t="s">
        <v>1720</v>
      </c>
      <c r="V600" s="16" t="s">
        <v>1721</v>
      </c>
      <c r="W600" s="17">
        <v>118668196</v>
      </c>
      <c r="X600" s="16" t="s">
        <v>2568</v>
      </c>
      <c r="Y600" s="17" t="s">
        <v>3116</v>
      </c>
      <c r="Z600" s="17" t="s">
        <v>39</v>
      </c>
      <c r="AA600" s="17" t="s">
        <v>2501</v>
      </c>
      <c r="AB600" s="29">
        <v>120.79</v>
      </c>
      <c r="AC600" s="25">
        <v>123.36</v>
      </c>
      <c r="AD600" s="25">
        <f>AC600*T600</f>
        <v>123.36</v>
      </c>
      <c r="AE600" s="25">
        <f>AB600*T600</f>
        <v>120.79</v>
      </c>
      <c r="AF600" s="25">
        <f>AD600-AE600</f>
        <v>2.5699999999999932</v>
      </c>
      <c r="AG600" s="26">
        <f>AF600/AD600</f>
        <v>2.0833333333333277E-2</v>
      </c>
      <c r="AH600" s="27" t="str">
        <f>IF(AG600&lt;0,"Negative",IF(AG600=0,"Same",IF(AG600&gt;0.3,"30+%",IF(AG600&gt;0.2,"20-30%",IF(AG600&gt;0.1,"10-20%",IF(AG600&lt;=0.1,"0-10%"))))))</f>
        <v>0-10%</v>
      </c>
      <c r="AI600" s="32"/>
      <c r="AJ600" s="36" t="s">
        <v>3300</v>
      </c>
      <c r="AK600" s="32"/>
    </row>
    <row r="601" spans="1:37" s="1" customFormat="1" ht="19.7" customHeight="1" x14ac:dyDescent="0.25">
      <c r="A601" s="9" t="s">
        <v>22</v>
      </c>
      <c r="B601" s="9" t="s">
        <v>760</v>
      </c>
      <c r="C601" s="10">
        <v>44298</v>
      </c>
      <c r="D601" s="9" t="s">
        <v>24</v>
      </c>
      <c r="E601" s="9" t="s">
        <v>25</v>
      </c>
      <c r="F601" s="9" t="s">
        <v>26</v>
      </c>
      <c r="G601" s="9" t="s">
        <v>27</v>
      </c>
      <c r="H601" s="9" t="s">
        <v>28</v>
      </c>
      <c r="I601" s="9" t="s">
        <v>29</v>
      </c>
      <c r="J601" s="9" t="s">
        <v>30</v>
      </c>
      <c r="K601" s="9" t="s">
        <v>31</v>
      </c>
      <c r="L601" s="9" t="s">
        <v>32</v>
      </c>
      <c r="M601" s="9" t="s">
        <v>761</v>
      </c>
      <c r="N601" s="9" t="s">
        <v>762</v>
      </c>
      <c r="O601" s="9" t="s">
        <v>154</v>
      </c>
      <c r="P601" s="9" t="s">
        <v>763</v>
      </c>
      <c r="Q601" s="9">
        <v>100737339</v>
      </c>
      <c r="R601" s="9" t="s">
        <v>61</v>
      </c>
      <c r="S601" s="9" t="s">
        <v>39</v>
      </c>
      <c r="T601" s="11">
        <v>1</v>
      </c>
      <c r="U601" s="15" t="s">
        <v>154</v>
      </c>
      <c r="V601" s="16" t="s">
        <v>763</v>
      </c>
      <c r="W601" s="17">
        <v>100737339</v>
      </c>
      <c r="X601" s="16" t="s">
        <v>2548</v>
      </c>
      <c r="Y601" s="17" t="s">
        <v>2808</v>
      </c>
      <c r="Z601" s="17" t="s">
        <v>39</v>
      </c>
      <c r="AA601" s="17" t="s">
        <v>37</v>
      </c>
      <c r="AB601" s="43">
        <v>29.97</v>
      </c>
      <c r="AC601" s="25">
        <v>33.090000000000003</v>
      </c>
      <c r="AD601" s="25">
        <f>AC601*T601</f>
        <v>33.090000000000003</v>
      </c>
      <c r="AE601" s="25">
        <f>AB601*T601</f>
        <v>29.97</v>
      </c>
      <c r="AF601" s="25">
        <f>AD601-AE601</f>
        <v>3.1200000000000045</v>
      </c>
      <c r="AG601" s="26">
        <f>AF601/AD601</f>
        <v>9.4288304623753524E-2</v>
      </c>
      <c r="AH601" s="27" t="str">
        <f>IF(AG601&lt;0,"Negative",IF(AG601=0,"Same",IF(AG601&gt;0.3,"30+%",IF(AG601&gt;0.2,"20-30%",IF(AG601&gt;0.1,"10-20%",IF(AG601&lt;=0.1,"0-10%"))))))</f>
        <v>0-10%</v>
      </c>
      <c r="AI601" s="32"/>
      <c r="AJ601" s="36" t="s">
        <v>3299</v>
      </c>
      <c r="AK601" s="32"/>
    </row>
    <row r="602" spans="1:37" s="1" customFormat="1" ht="19.7" customHeight="1" x14ac:dyDescent="0.25">
      <c r="A602" s="9" t="s">
        <v>22</v>
      </c>
      <c r="B602" s="9" t="s">
        <v>1068</v>
      </c>
      <c r="C602" s="10">
        <v>44336</v>
      </c>
      <c r="D602" s="9" t="s">
        <v>24</v>
      </c>
      <c r="E602" s="9" t="s">
        <v>25</v>
      </c>
      <c r="F602" s="9" t="s">
        <v>26</v>
      </c>
      <c r="G602" s="9" t="s">
        <v>27</v>
      </c>
      <c r="H602" s="9" t="s">
        <v>28</v>
      </c>
      <c r="I602" s="9" t="s">
        <v>29</v>
      </c>
      <c r="J602" s="9" t="s">
        <v>30</v>
      </c>
      <c r="K602" s="9" t="s">
        <v>31</v>
      </c>
      <c r="L602" s="9" t="s">
        <v>32</v>
      </c>
      <c r="M602" s="9" t="s">
        <v>1069</v>
      </c>
      <c r="N602" s="9" t="s">
        <v>1070</v>
      </c>
      <c r="O602" s="9" t="s">
        <v>1071</v>
      </c>
      <c r="P602" s="9" t="s">
        <v>1072</v>
      </c>
      <c r="Q602" s="9">
        <v>100755642</v>
      </c>
      <c r="R602" s="9" t="s">
        <v>61</v>
      </c>
      <c r="S602" s="9" t="s">
        <v>39</v>
      </c>
      <c r="T602" s="11">
        <v>2</v>
      </c>
      <c r="U602" s="15" t="s">
        <v>1071</v>
      </c>
      <c r="V602" s="16" t="s">
        <v>1072</v>
      </c>
      <c r="W602" s="17">
        <v>100755642</v>
      </c>
      <c r="X602" s="16" t="s">
        <v>2914</v>
      </c>
      <c r="Y602" s="17" t="s">
        <v>2915</v>
      </c>
      <c r="Z602" s="17" t="s">
        <v>39</v>
      </c>
      <c r="AA602" s="17" t="s">
        <v>37</v>
      </c>
      <c r="AB602" s="43">
        <v>30.15</v>
      </c>
      <c r="AC602" s="25">
        <v>33.75</v>
      </c>
      <c r="AD602" s="25">
        <f>AC602*T602</f>
        <v>67.5</v>
      </c>
      <c r="AE602" s="25">
        <f>AB602*T602</f>
        <v>60.3</v>
      </c>
      <c r="AF602" s="25">
        <f>AD602-AE602</f>
        <v>7.2000000000000028</v>
      </c>
      <c r="AG602" s="26">
        <f>AF602/AD602</f>
        <v>0.10666666666666672</v>
      </c>
      <c r="AH602" s="27" t="str">
        <f>IF(AG602&lt;0,"Negative",IF(AG602=0,"Same",IF(AG602&gt;0.3,"30+%",IF(AG602&gt;0.2,"20-30%",IF(AG602&gt;0.1,"10-20%",IF(AG602&lt;=0.1,"0-10%"))))))</f>
        <v>10-20%</v>
      </c>
      <c r="AI602" s="32"/>
      <c r="AJ602" s="36" t="s">
        <v>3299</v>
      </c>
      <c r="AK602" s="32"/>
    </row>
    <row r="603" spans="1:37" s="1" customFormat="1" ht="19.7" customHeight="1" x14ac:dyDescent="0.25">
      <c r="A603" s="5" t="s">
        <v>22</v>
      </c>
      <c r="B603" s="5" t="s">
        <v>2017</v>
      </c>
      <c r="C603" s="6">
        <v>44498</v>
      </c>
      <c r="D603" s="5" t="s">
        <v>24</v>
      </c>
      <c r="E603" s="5" t="s">
        <v>25</v>
      </c>
      <c r="F603" s="5" t="s">
        <v>26</v>
      </c>
      <c r="G603" s="5" t="s">
        <v>67</v>
      </c>
      <c r="H603" s="5" t="s">
        <v>68</v>
      </c>
      <c r="I603" s="5" t="s">
        <v>29</v>
      </c>
      <c r="J603" s="5" t="s">
        <v>30</v>
      </c>
      <c r="K603" s="5" t="s">
        <v>31</v>
      </c>
      <c r="L603" s="5" t="s">
        <v>32</v>
      </c>
      <c r="M603" s="5" t="s">
        <v>484</v>
      </c>
      <c r="N603" s="5" t="s">
        <v>2018</v>
      </c>
      <c r="O603" s="5" t="s">
        <v>128</v>
      </c>
      <c r="P603" s="5" t="s">
        <v>485</v>
      </c>
      <c r="Q603" s="5">
        <v>100867510</v>
      </c>
      <c r="R603" s="5" t="s">
        <v>299</v>
      </c>
      <c r="S603" s="5" t="s">
        <v>39</v>
      </c>
      <c r="T603" s="7">
        <v>1</v>
      </c>
      <c r="U603" s="15" t="s">
        <v>128</v>
      </c>
      <c r="V603" s="16" t="s">
        <v>485</v>
      </c>
      <c r="W603" s="17">
        <v>100867510</v>
      </c>
      <c r="X603" s="16" t="s">
        <v>2694</v>
      </c>
      <c r="Y603" s="17" t="s">
        <v>2695</v>
      </c>
      <c r="Z603" s="17" t="s">
        <v>39</v>
      </c>
      <c r="AA603" s="17" t="s">
        <v>37</v>
      </c>
      <c r="AB603" s="29">
        <v>37.04</v>
      </c>
      <c r="AC603" s="25">
        <v>37.659999999999997</v>
      </c>
      <c r="AD603" s="25">
        <f>AC603*T603</f>
        <v>37.659999999999997</v>
      </c>
      <c r="AE603" s="25">
        <f>AB603*T603</f>
        <v>37.04</v>
      </c>
      <c r="AF603" s="25">
        <f>AD603-AE603</f>
        <v>0.61999999999999744</v>
      </c>
      <c r="AG603" s="26">
        <f>AF603/AD603</f>
        <v>1.6463090812533124E-2</v>
      </c>
      <c r="AH603" s="27" t="str">
        <f>IF(AG603&lt;0,"Negative",IF(AG603=0,"Same",IF(AG603&gt;0.3,"30+%",IF(AG603&gt;0.2,"20-30%",IF(AG603&gt;0.1,"10-20%",IF(AG603&lt;=0.1,"0-10%"))))))</f>
        <v>0-10%</v>
      </c>
      <c r="AI603" s="32"/>
      <c r="AJ603" s="36" t="s">
        <v>3299</v>
      </c>
      <c r="AK603" s="32"/>
    </row>
    <row r="604" spans="1:37" s="1" customFormat="1" ht="19.7" customHeight="1" x14ac:dyDescent="0.25">
      <c r="A604" s="5" t="s">
        <v>22</v>
      </c>
      <c r="B604" s="5" t="s">
        <v>1936</v>
      </c>
      <c r="C604" s="6">
        <v>44487</v>
      </c>
      <c r="D604" s="5" t="s">
        <v>24</v>
      </c>
      <c r="E604" s="5" t="s">
        <v>25</v>
      </c>
      <c r="F604" s="5" t="s">
        <v>26</v>
      </c>
      <c r="G604" s="5" t="s">
        <v>67</v>
      </c>
      <c r="H604" s="5" t="s">
        <v>68</v>
      </c>
      <c r="I604" s="5" t="s">
        <v>29</v>
      </c>
      <c r="J604" s="5" t="s">
        <v>30</v>
      </c>
      <c r="K604" s="5" t="s">
        <v>31</v>
      </c>
      <c r="L604" s="5" t="s">
        <v>32</v>
      </c>
      <c r="M604" s="5" t="s">
        <v>484</v>
      </c>
      <c r="N604" s="5" t="s">
        <v>1937</v>
      </c>
      <c r="O604" s="5" t="s">
        <v>128</v>
      </c>
      <c r="P604" s="5" t="s">
        <v>485</v>
      </c>
      <c r="Q604" s="5">
        <v>100867510</v>
      </c>
      <c r="R604" s="5" t="s">
        <v>299</v>
      </c>
      <c r="S604" s="5" t="s">
        <v>39</v>
      </c>
      <c r="T604" s="7">
        <v>1</v>
      </c>
      <c r="U604" s="15" t="s">
        <v>128</v>
      </c>
      <c r="V604" s="16" t="s">
        <v>485</v>
      </c>
      <c r="W604" s="17">
        <v>100867510</v>
      </c>
      <c r="X604" s="16" t="s">
        <v>2694</v>
      </c>
      <c r="Y604" s="17" t="s">
        <v>2695</v>
      </c>
      <c r="Z604" s="17" t="s">
        <v>39</v>
      </c>
      <c r="AA604" s="17" t="s">
        <v>37</v>
      </c>
      <c r="AB604" s="29">
        <v>37.04</v>
      </c>
      <c r="AC604" s="25">
        <v>37.659999999999997</v>
      </c>
      <c r="AD604" s="25">
        <f>AC604*T604</f>
        <v>37.659999999999997</v>
      </c>
      <c r="AE604" s="25">
        <f>AB604*T604</f>
        <v>37.04</v>
      </c>
      <c r="AF604" s="25">
        <f>AD604-AE604</f>
        <v>0.61999999999999744</v>
      </c>
      <c r="AG604" s="26">
        <f>AF604/AD604</f>
        <v>1.6463090812533124E-2</v>
      </c>
      <c r="AH604" s="27" t="str">
        <f>IF(AG604&lt;0,"Negative",IF(AG604=0,"Same",IF(AG604&gt;0.3,"30+%",IF(AG604&gt;0.2,"20-30%",IF(AG604&gt;0.1,"10-20%",IF(AG604&lt;=0.1,"0-10%"))))))</f>
        <v>0-10%</v>
      </c>
      <c r="AI604" s="32"/>
      <c r="AJ604" s="36" t="s">
        <v>3299</v>
      </c>
      <c r="AK604" s="32"/>
    </row>
    <row r="605" spans="1:37" s="1" customFormat="1" ht="19.7" customHeight="1" x14ac:dyDescent="0.25">
      <c r="A605" s="9" t="s">
        <v>22</v>
      </c>
      <c r="B605" s="9" t="s">
        <v>1669</v>
      </c>
      <c r="C605" s="10">
        <v>44435</v>
      </c>
      <c r="D605" s="9" t="s">
        <v>24</v>
      </c>
      <c r="E605" s="9" t="s">
        <v>25</v>
      </c>
      <c r="F605" s="9" t="s">
        <v>26</v>
      </c>
      <c r="G605" s="9" t="s">
        <v>67</v>
      </c>
      <c r="H605" s="9" t="s">
        <v>68</v>
      </c>
      <c r="I605" s="9" t="s">
        <v>29</v>
      </c>
      <c r="J605" s="9" t="s">
        <v>30</v>
      </c>
      <c r="K605" s="9" t="s">
        <v>31</v>
      </c>
      <c r="L605" s="9" t="s">
        <v>32</v>
      </c>
      <c r="M605" s="9" t="s">
        <v>484</v>
      </c>
      <c r="N605" s="9" t="s">
        <v>1670</v>
      </c>
      <c r="O605" s="9" t="s">
        <v>128</v>
      </c>
      <c r="P605" s="9" t="s">
        <v>485</v>
      </c>
      <c r="Q605" s="9">
        <v>100867510</v>
      </c>
      <c r="R605" s="9" t="s">
        <v>299</v>
      </c>
      <c r="S605" s="9" t="s">
        <v>39</v>
      </c>
      <c r="T605" s="11">
        <v>1</v>
      </c>
      <c r="U605" s="15" t="s">
        <v>128</v>
      </c>
      <c r="V605" s="16" t="s">
        <v>485</v>
      </c>
      <c r="W605" s="17">
        <v>100867510</v>
      </c>
      <c r="X605" s="16" t="s">
        <v>2694</v>
      </c>
      <c r="Y605" s="17" t="s">
        <v>2695</v>
      </c>
      <c r="Z605" s="17" t="s">
        <v>39</v>
      </c>
      <c r="AA605" s="17" t="s">
        <v>37</v>
      </c>
      <c r="AB605" s="29">
        <v>37.04</v>
      </c>
      <c r="AC605" s="25">
        <v>37.659999999999997</v>
      </c>
      <c r="AD605" s="25">
        <f>AC605*T605</f>
        <v>37.659999999999997</v>
      </c>
      <c r="AE605" s="25">
        <f>AB605*T605</f>
        <v>37.04</v>
      </c>
      <c r="AF605" s="25">
        <f>AD605-AE605</f>
        <v>0.61999999999999744</v>
      </c>
      <c r="AG605" s="26">
        <f>AF605/AD605</f>
        <v>1.6463090812533124E-2</v>
      </c>
      <c r="AH605" s="27" t="str">
        <f>IF(AG605&lt;0,"Negative",IF(AG605=0,"Same",IF(AG605&gt;0.3,"30+%",IF(AG605&gt;0.2,"20-30%",IF(AG605&gt;0.1,"10-20%",IF(AG605&lt;=0.1,"0-10%"))))))</f>
        <v>0-10%</v>
      </c>
      <c r="AI605" s="32"/>
      <c r="AJ605" s="36" t="s">
        <v>3299</v>
      </c>
      <c r="AK605" s="32"/>
    </row>
    <row r="606" spans="1:37" s="1" customFormat="1" ht="19.7" customHeight="1" x14ac:dyDescent="0.25">
      <c r="A606" s="9" t="s">
        <v>22</v>
      </c>
      <c r="B606" s="9" t="s">
        <v>1418</v>
      </c>
      <c r="C606" s="10">
        <v>44393</v>
      </c>
      <c r="D606" s="9" t="s">
        <v>24</v>
      </c>
      <c r="E606" s="9" t="s">
        <v>25</v>
      </c>
      <c r="F606" s="9" t="s">
        <v>26</v>
      </c>
      <c r="G606" s="9" t="s">
        <v>67</v>
      </c>
      <c r="H606" s="9" t="s">
        <v>68</v>
      </c>
      <c r="I606" s="9" t="s">
        <v>29</v>
      </c>
      <c r="J606" s="9" t="s">
        <v>30</v>
      </c>
      <c r="K606" s="9" t="s">
        <v>31</v>
      </c>
      <c r="L606" s="9" t="s">
        <v>32</v>
      </c>
      <c r="M606" s="9" t="s">
        <v>484</v>
      </c>
      <c r="N606" s="9" t="s">
        <v>1419</v>
      </c>
      <c r="O606" s="9" t="s">
        <v>128</v>
      </c>
      <c r="P606" s="9" t="s">
        <v>485</v>
      </c>
      <c r="Q606" s="9">
        <v>100867510</v>
      </c>
      <c r="R606" s="9" t="s">
        <v>299</v>
      </c>
      <c r="S606" s="9" t="s">
        <v>39</v>
      </c>
      <c r="T606" s="11">
        <v>1</v>
      </c>
      <c r="U606" s="15" t="s">
        <v>128</v>
      </c>
      <c r="V606" s="16" t="s">
        <v>485</v>
      </c>
      <c r="W606" s="17">
        <v>100867510</v>
      </c>
      <c r="X606" s="16" t="s">
        <v>2694</v>
      </c>
      <c r="Y606" s="17" t="s">
        <v>2695</v>
      </c>
      <c r="Z606" s="17" t="s">
        <v>39</v>
      </c>
      <c r="AA606" s="17" t="s">
        <v>37</v>
      </c>
      <c r="AB606" s="29">
        <v>37.04</v>
      </c>
      <c r="AC606" s="25">
        <v>37.659999999999997</v>
      </c>
      <c r="AD606" s="25">
        <f>AC606*T606</f>
        <v>37.659999999999997</v>
      </c>
      <c r="AE606" s="25">
        <f>AB606*T606</f>
        <v>37.04</v>
      </c>
      <c r="AF606" s="25">
        <f>AD606-AE606</f>
        <v>0.61999999999999744</v>
      </c>
      <c r="AG606" s="26">
        <f>AF606/AD606</f>
        <v>1.6463090812533124E-2</v>
      </c>
      <c r="AH606" s="27" t="str">
        <f>IF(AG606&lt;0,"Negative",IF(AG606=0,"Same",IF(AG606&gt;0.3,"30+%",IF(AG606&gt;0.2,"20-30%",IF(AG606&gt;0.1,"10-20%",IF(AG606&lt;=0.1,"0-10%"))))))</f>
        <v>0-10%</v>
      </c>
      <c r="AI606" s="32"/>
      <c r="AJ606" s="36" t="s">
        <v>3299</v>
      </c>
      <c r="AK606" s="32"/>
    </row>
    <row r="607" spans="1:37" s="1" customFormat="1" ht="19.7" customHeight="1" x14ac:dyDescent="0.25">
      <c r="A607" s="9" t="s">
        <v>22</v>
      </c>
      <c r="B607" s="9" t="s">
        <v>1017</v>
      </c>
      <c r="C607" s="10">
        <v>44330</v>
      </c>
      <c r="D607" s="9" t="s">
        <v>24</v>
      </c>
      <c r="E607" s="9" t="s">
        <v>25</v>
      </c>
      <c r="F607" s="9" t="s">
        <v>26</v>
      </c>
      <c r="G607" s="9" t="s">
        <v>67</v>
      </c>
      <c r="H607" s="9" t="s">
        <v>68</v>
      </c>
      <c r="I607" s="9" t="s">
        <v>29</v>
      </c>
      <c r="J607" s="9" t="s">
        <v>30</v>
      </c>
      <c r="K607" s="9" t="s">
        <v>31</v>
      </c>
      <c r="L607" s="9" t="s">
        <v>32</v>
      </c>
      <c r="M607" s="9" t="s">
        <v>484</v>
      </c>
      <c r="N607" s="9" t="s">
        <v>1018</v>
      </c>
      <c r="O607" s="9" t="s">
        <v>128</v>
      </c>
      <c r="P607" s="9" t="s">
        <v>485</v>
      </c>
      <c r="Q607" s="9">
        <v>100867510</v>
      </c>
      <c r="R607" s="9" t="s">
        <v>299</v>
      </c>
      <c r="S607" s="9" t="s">
        <v>39</v>
      </c>
      <c r="T607" s="11">
        <v>1</v>
      </c>
      <c r="U607" s="15" t="s">
        <v>128</v>
      </c>
      <c r="V607" s="16" t="s">
        <v>485</v>
      </c>
      <c r="W607" s="17">
        <v>100867510</v>
      </c>
      <c r="X607" s="16" t="s">
        <v>2694</v>
      </c>
      <c r="Y607" s="17" t="s">
        <v>2695</v>
      </c>
      <c r="Z607" s="17" t="s">
        <v>39</v>
      </c>
      <c r="AA607" s="17" t="s">
        <v>37</v>
      </c>
      <c r="AB607" s="29">
        <v>37.04</v>
      </c>
      <c r="AC607" s="25">
        <v>37.659999999999997</v>
      </c>
      <c r="AD607" s="25">
        <f>AC607*T607</f>
        <v>37.659999999999997</v>
      </c>
      <c r="AE607" s="25">
        <f>AB607*T607</f>
        <v>37.04</v>
      </c>
      <c r="AF607" s="25">
        <f>AD607-AE607</f>
        <v>0.61999999999999744</v>
      </c>
      <c r="AG607" s="26">
        <f>AF607/AD607</f>
        <v>1.6463090812533124E-2</v>
      </c>
      <c r="AH607" s="27" t="str">
        <f>IF(AG607&lt;0,"Negative",IF(AG607=0,"Same",IF(AG607&gt;0.3,"30+%",IF(AG607&gt;0.2,"20-30%",IF(AG607&gt;0.1,"10-20%",IF(AG607&lt;=0.1,"0-10%"))))))</f>
        <v>0-10%</v>
      </c>
      <c r="AI607" s="32"/>
      <c r="AJ607" s="36" t="s">
        <v>3299</v>
      </c>
      <c r="AK607" s="32"/>
    </row>
    <row r="608" spans="1:37" s="1" customFormat="1" ht="19.7" customHeight="1" x14ac:dyDescent="0.25">
      <c r="A608" s="9" t="s">
        <v>22</v>
      </c>
      <c r="B608" s="9" t="s">
        <v>919</v>
      </c>
      <c r="C608" s="10">
        <v>44316</v>
      </c>
      <c r="D608" s="9" t="s">
        <v>24</v>
      </c>
      <c r="E608" s="9" t="s">
        <v>25</v>
      </c>
      <c r="F608" s="9" t="s">
        <v>26</v>
      </c>
      <c r="G608" s="9" t="s">
        <v>67</v>
      </c>
      <c r="H608" s="9" t="s">
        <v>68</v>
      </c>
      <c r="I608" s="9" t="s">
        <v>29</v>
      </c>
      <c r="J608" s="9" t="s">
        <v>30</v>
      </c>
      <c r="K608" s="9" t="s">
        <v>31</v>
      </c>
      <c r="L608" s="9" t="s">
        <v>32</v>
      </c>
      <c r="M608" s="9" t="s">
        <v>484</v>
      </c>
      <c r="N608" s="9" t="s">
        <v>829</v>
      </c>
      <c r="O608" s="9" t="s">
        <v>128</v>
      </c>
      <c r="P608" s="9" t="s">
        <v>485</v>
      </c>
      <c r="Q608" s="9">
        <v>100867510</v>
      </c>
      <c r="R608" s="9" t="s">
        <v>299</v>
      </c>
      <c r="S608" s="9" t="s">
        <v>39</v>
      </c>
      <c r="T608" s="11">
        <v>1</v>
      </c>
      <c r="U608" s="15" t="s">
        <v>128</v>
      </c>
      <c r="V608" s="16" t="s">
        <v>485</v>
      </c>
      <c r="W608" s="17">
        <v>100867510</v>
      </c>
      <c r="X608" s="16" t="s">
        <v>2694</v>
      </c>
      <c r="Y608" s="17" t="s">
        <v>2695</v>
      </c>
      <c r="Z608" s="17" t="s">
        <v>39</v>
      </c>
      <c r="AA608" s="17" t="s">
        <v>37</v>
      </c>
      <c r="AB608" s="29">
        <v>37.04</v>
      </c>
      <c r="AC608" s="25">
        <v>37.659999999999997</v>
      </c>
      <c r="AD608" s="25">
        <f>AC608*T608</f>
        <v>37.659999999999997</v>
      </c>
      <c r="AE608" s="25">
        <f>AB608*T608</f>
        <v>37.04</v>
      </c>
      <c r="AF608" s="25">
        <f>AD608-AE608</f>
        <v>0.61999999999999744</v>
      </c>
      <c r="AG608" s="26">
        <f>AF608/AD608</f>
        <v>1.6463090812533124E-2</v>
      </c>
      <c r="AH608" s="27" t="str">
        <f>IF(AG608&lt;0,"Negative",IF(AG608=0,"Same",IF(AG608&gt;0.3,"30+%",IF(AG608&gt;0.2,"20-30%",IF(AG608&gt;0.1,"10-20%",IF(AG608&lt;=0.1,"0-10%"))))))</f>
        <v>0-10%</v>
      </c>
      <c r="AI608" s="32"/>
      <c r="AJ608" s="36" t="s">
        <v>3299</v>
      </c>
      <c r="AK608" s="32"/>
    </row>
    <row r="609" spans="1:37" s="1" customFormat="1" ht="19.7" customHeight="1" x14ac:dyDescent="0.25">
      <c r="A609" s="5" t="s">
        <v>22</v>
      </c>
      <c r="B609" s="5" t="s">
        <v>815</v>
      </c>
      <c r="C609" s="6">
        <v>44302</v>
      </c>
      <c r="D609" s="5" t="s">
        <v>24</v>
      </c>
      <c r="E609" s="5" t="s">
        <v>25</v>
      </c>
      <c r="F609" s="5" t="s">
        <v>26</v>
      </c>
      <c r="G609" s="5" t="s">
        <v>67</v>
      </c>
      <c r="H609" s="5" t="s">
        <v>68</v>
      </c>
      <c r="I609" s="5" t="s">
        <v>29</v>
      </c>
      <c r="J609" s="5" t="s">
        <v>30</v>
      </c>
      <c r="K609" s="5" t="s">
        <v>31</v>
      </c>
      <c r="L609" s="5" t="s">
        <v>32</v>
      </c>
      <c r="M609" s="5" t="s">
        <v>484</v>
      </c>
      <c r="N609" s="5" t="s">
        <v>816</v>
      </c>
      <c r="O609" s="5" t="s">
        <v>128</v>
      </c>
      <c r="P609" s="5" t="s">
        <v>485</v>
      </c>
      <c r="Q609" s="5">
        <v>100867510</v>
      </c>
      <c r="R609" s="5" t="s">
        <v>299</v>
      </c>
      <c r="S609" s="5" t="s">
        <v>39</v>
      </c>
      <c r="T609" s="7">
        <v>1</v>
      </c>
      <c r="U609" s="15" t="s">
        <v>128</v>
      </c>
      <c r="V609" s="16" t="s">
        <v>485</v>
      </c>
      <c r="W609" s="17">
        <v>100867510</v>
      </c>
      <c r="X609" s="16" t="s">
        <v>2694</v>
      </c>
      <c r="Y609" s="17" t="s">
        <v>2695</v>
      </c>
      <c r="Z609" s="17" t="s">
        <v>39</v>
      </c>
      <c r="AA609" s="17" t="s">
        <v>37</v>
      </c>
      <c r="AB609" s="29">
        <v>37.04</v>
      </c>
      <c r="AC609" s="25">
        <v>37.659999999999997</v>
      </c>
      <c r="AD609" s="25">
        <f>AC609*T609</f>
        <v>37.659999999999997</v>
      </c>
      <c r="AE609" s="25">
        <f>AB609*T609</f>
        <v>37.04</v>
      </c>
      <c r="AF609" s="25">
        <f>AD609-AE609</f>
        <v>0.61999999999999744</v>
      </c>
      <c r="AG609" s="26">
        <f>AF609/AD609</f>
        <v>1.6463090812533124E-2</v>
      </c>
      <c r="AH609" s="27" t="str">
        <f>IF(AG609&lt;0,"Negative",IF(AG609=0,"Same",IF(AG609&gt;0.3,"30+%",IF(AG609&gt;0.2,"20-30%",IF(AG609&gt;0.1,"10-20%",IF(AG609&lt;=0.1,"0-10%"))))))</f>
        <v>0-10%</v>
      </c>
      <c r="AI609" s="32"/>
      <c r="AJ609" s="36" t="s">
        <v>3299</v>
      </c>
      <c r="AK609" s="32"/>
    </row>
    <row r="610" spans="1:37" s="1" customFormat="1" ht="19.7" customHeight="1" x14ac:dyDescent="0.25">
      <c r="A610" s="5" t="s">
        <v>22</v>
      </c>
      <c r="B610" s="5" t="s">
        <v>629</v>
      </c>
      <c r="C610" s="6">
        <v>44281</v>
      </c>
      <c r="D610" s="5" t="s">
        <v>24</v>
      </c>
      <c r="E610" s="5" t="s">
        <v>25</v>
      </c>
      <c r="F610" s="5" t="s">
        <v>26</v>
      </c>
      <c r="G610" s="5" t="s">
        <v>67</v>
      </c>
      <c r="H610" s="5" t="s">
        <v>68</v>
      </c>
      <c r="I610" s="5" t="s">
        <v>29</v>
      </c>
      <c r="J610" s="5" t="s">
        <v>30</v>
      </c>
      <c r="K610" s="5" t="s">
        <v>31</v>
      </c>
      <c r="L610" s="5" t="s">
        <v>32</v>
      </c>
      <c r="M610" s="5" t="s">
        <v>484</v>
      </c>
      <c r="N610" s="5" t="s">
        <v>630</v>
      </c>
      <c r="O610" s="5" t="s">
        <v>128</v>
      </c>
      <c r="P610" s="5" t="s">
        <v>485</v>
      </c>
      <c r="Q610" s="5">
        <v>100867510</v>
      </c>
      <c r="R610" s="5" t="s">
        <v>299</v>
      </c>
      <c r="S610" s="5" t="s">
        <v>39</v>
      </c>
      <c r="T610" s="7">
        <v>1</v>
      </c>
      <c r="U610" s="15" t="s">
        <v>128</v>
      </c>
      <c r="V610" s="16" t="s">
        <v>485</v>
      </c>
      <c r="W610" s="17">
        <v>100867510</v>
      </c>
      <c r="X610" s="16" t="s">
        <v>2694</v>
      </c>
      <c r="Y610" s="17" t="s">
        <v>2695</v>
      </c>
      <c r="Z610" s="17" t="s">
        <v>39</v>
      </c>
      <c r="AA610" s="17" t="s">
        <v>37</v>
      </c>
      <c r="AB610" s="29">
        <v>37.04</v>
      </c>
      <c r="AC610" s="25">
        <v>37.659999999999997</v>
      </c>
      <c r="AD610" s="25">
        <f>AC610*T610</f>
        <v>37.659999999999997</v>
      </c>
      <c r="AE610" s="25">
        <f>AB610*T610</f>
        <v>37.04</v>
      </c>
      <c r="AF610" s="25">
        <f>AD610-AE610</f>
        <v>0.61999999999999744</v>
      </c>
      <c r="AG610" s="26">
        <f>AF610/AD610</f>
        <v>1.6463090812533124E-2</v>
      </c>
      <c r="AH610" s="27" t="str">
        <f>IF(AG610&lt;0,"Negative",IF(AG610=0,"Same",IF(AG610&gt;0.3,"30+%",IF(AG610&gt;0.2,"20-30%",IF(AG610&gt;0.1,"10-20%",IF(AG610&lt;=0.1,"0-10%"))))))</f>
        <v>0-10%</v>
      </c>
      <c r="AI610" s="32"/>
      <c r="AJ610" s="36" t="s">
        <v>3299</v>
      </c>
      <c r="AK610" s="32"/>
    </row>
    <row r="611" spans="1:37" s="1" customFormat="1" ht="19.7" customHeight="1" x14ac:dyDescent="0.25">
      <c r="A611" s="9" t="s">
        <v>22</v>
      </c>
      <c r="B611" s="9" t="s">
        <v>482</v>
      </c>
      <c r="C611" s="10">
        <v>44267</v>
      </c>
      <c r="D611" s="9" t="s">
        <v>24</v>
      </c>
      <c r="E611" s="9" t="s">
        <v>25</v>
      </c>
      <c r="F611" s="9" t="s">
        <v>26</v>
      </c>
      <c r="G611" s="9" t="s">
        <v>67</v>
      </c>
      <c r="H611" s="9" t="s">
        <v>68</v>
      </c>
      <c r="I611" s="9" t="s">
        <v>29</v>
      </c>
      <c r="J611" s="9" t="s">
        <v>30</v>
      </c>
      <c r="K611" s="9" t="s">
        <v>31</v>
      </c>
      <c r="L611" s="9" t="s">
        <v>32</v>
      </c>
      <c r="M611" s="9" t="s">
        <v>484</v>
      </c>
      <c r="N611" s="9" t="s">
        <v>483</v>
      </c>
      <c r="O611" s="9" t="s">
        <v>128</v>
      </c>
      <c r="P611" s="9" t="s">
        <v>485</v>
      </c>
      <c r="Q611" s="9">
        <v>100867510</v>
      </c>
      <c r="R611" s="9" t="s">
        <v>299</v>
      </c>
      <c r="S611" s="9" t="s">
        <v>39</v>
      </c>
      <c r="T611" s="11">
        <v>1</v>
      </c>
      <c r="U611" s="15" t="s">
        <v>128</v>
      </c>
      <c r="V611" s="16" t="s">
        <v>485</v>
      </c>
      <c r="W611" s="17">
        <v>100867510</v>
      </c>
      <c r="X611" s="16" t="s">
        <v>2694</v>
      </c>
      <c r="Y611" s="17" t="s">
        <v>2695</v>
      </c>
      <c r="Z611" s="17" t="s">
        <v>39</v>
      </c>
      <c r="AA611" s="17" t="s">
        <v>37</v>
      </c>
      <c r="AB611" s="29">
        <v>37.04</v>
      </c>
      <c r="AC611" s="25">
        <v>37.659999999999997</v>
      </c>
      <c r="AD611" s="25">
        <f>AC611*T611</f>
        <v>37.659999999999997</v>
      </c>
      <c r="AE611" s="25">
        <f>AB611*T611</f>
        <v>37.04</v>
      </c>
      <c r="AF611" s="25">
        <f>AD611-AE611</f>
        <v>0.61999999999999744</v>
      </c>
      <c r="AG611" s="26">
        <f>AF611/AD611</f>
        <v>1.6463090812533124E-2</v>
      </c>
      <c r="AH611" s="27" t="str">
        <f>IF(AG611&lt;0,"Negative",IF(AG611=0,"Same",IF(AG611&gt;0.3,"30+%",IF(AG611&gt;0.2,"20-30%",IF(AG611&gt;0.1,"10-20%",IF(AG611&lt;=0.1,"0-10%"))))))</f>
        <v>0-10%</v>
      </c>
      <c r="AI611" s="32"/>
      <c r="AJ611" s="36" t="s">
        <v>3299</v>
      </c>
      <c r="AK611" s="32"/>
    </row>
    <row r="612" spans="1:37" s="1" customFormat="1" ht="19.7" customHeight="1" x14ac:dyDescent="0.25">
      <c r="A612" s="5" t="s">
        <v>22</v>
      </c>
      <c r="B612" s="5" t="s">
        <v>885</v>
      </c>
      <c r="C612" s="6">
        <v>44316</v>
      </c>
      <c r="D612" s="5" t="s">
        <v>24</v>
      </c>
      <c r="E612" s="5" t="s">
        <v>25</v>
      </c>
      <c r="F612" s="5" t="s">
        <v>26</v>
      </c>
      <c r="G612" s="5" t="s">
        <v>67</v>
      </c>
      <c r="H612" s="5" t="s">
        <v>68</v>
      </c>
      <c r="I612" s="5" t="s">
        <v>29</v>
      </c>
      <c r="J612" s="5" t="s">
        <v>30</v>
      </c>
      <c r="K612" s="5" t="s">
        <v>31</v>
      </c>
      <c r="L612" s="5" t="s">
        <v>32</v>
      </c>
      <c r="M612" s="5" t="s">
        <v>484</v>
      </c>
      <c r="N612" s="5" t="s">
        <v>886</v>
      </c>
      <c r="O612" s="5" t="s">
        <v>128</v>
      </c>
      <c r="P612" s="5" t="s">
        <v>485</v>
      </c>
      <c r="Q612" s="5">
        <v>100867510</v>
      </c>
      <c r="R612" s="5" t="s">
        <v>299</v>
      </c>
      <c r="S612" s="5" t="s">
        <v>39</v>
      </c>
      <c r="T612" s="7">
        <v>2</v>
      </c>
      <c r="U612" s="15" t="s">
        <v>128</v>
      </c>
      <c r="V612" s="16" t="s">
        <v>485</v>
      </c>
      <c r="W612" s="17">
        <v>100867510</v>
      </c>
      <c r="X612" s="16" t="s">
        <v>2694</v>
      </c>
      <c r="Y612" s="17" t="s">
        <v>2695</v>
      </c>
      <c r="Z612" s="17" t="s">
        <v>39</v>
      </c>
      <c r="AA612" s="17" t="s">
        <v>37</v>
      </c>
      <c r="AB612" s="29">
        <v>37.04</v>
      </c>
      <c r="AC612" s="25">
        <v>37.659999999999997</v>
      </c>
      <c r="AD612" s="25">
        <f>AC612*T612</f>
        <v>75.319999999999993</v>
      </c>
      <c r="AE612" s="25">
        <f>AB612*T612</f>
        <v>74.08</v>
      </c>
      <c r="AF612" s="25">
        <f>AD612-AE612</f>
        <v>1.2399999999999949</v>
      </c>
      <c r="AG612" s="26">
        <f>AF612/AD612</f>
        <v>1.6463090812533124E-2</v>
      </c>
      <c r="AH612" s="27" t="str">
        <f>IF(AG612&lt;0,"Negative",IF(AG612=0,"Same",IF(AG612&gt;0.3,"30+%",IF(AG612&gt;0.2,"20-30%",IF(AG612&gt;0.1,"10-20%",IF(AG612&lt;=0.1,"0-10%"))))))</f>
        <v>0-10%</v>
      </c>
      <c r="AI612" s="32"/>
      <c r="AJ612" s="36" t="s">
        <v>3299</v>
      </c>
      <c r="AK612" s="32"/>
    </row>
    <row r="613" spans="1:37" s="1" customFormat="1" ht="19.7" customHeight="1" x14ac:dyDescent="0.25">
      <c r="A613" s="5" t="s">
        <v>22</v>
      </c>
      <c r="B613" s="5" t="s">
        <v>1547</v>
      </c>
      <c r="C613" s="6">
        <v>44411</v>
      </c>
      <c r="D613" s="5" t="s">
        <v>24</v>
      </c>
      <c r="E613" s="5" t="s">
        <v>25</v>
      </c>
      <c r="F613" s="5" t="s">
        <v>26</v>
      </c>
      <c r="G613" s="5" t="s">
        <v>27</v>
      </c>
      <c r="H613" s="5" t="s">
        <v>28</v>
      </c>
      <c r="I613" s="5" t="s">
        <v>29</v>
      </c>
      <c r="J613" s="5" t="s">
        <v>30</v>
      </c>
      <c r="K613" s="5" t="s">
        <v>31</v>
      </c>
      <c r="L613" s="5" t="s">
        <v>32</v>
      </c>
      <c r="M613" s="5" t="s">
        <v>1484</v>
      </c>
      <c r="N613" s="5" t="s">
        <v>1523</v>
      </c>
      <c r="O613" s="5" t="s">
        <v>627</v>
      </c>
      <c r="P613" s="5" t="s">
        <v>1485</v>
      </c>
      <c r="Q613" s="5">
        <v>101087155</v>
      </c>
      <c r="R613" s="5" t="s">
        <v>61</v>
      </c>
      <c r="S613" s="5" t="s">
        <v>39</v>
      </c>
      <c r="T613" s="7">
        <v>1</v>
      </c>
      <c r="U613" s="15" t="s">
        <v>627</v>
      </c>
      <c r="V613" s="16" t="s">
        <v>1485</v>
      </c>
      <c r="W613" s="17">
        <v>101087155</v>
      </c>
      <c r="X613" s="16" t="s">
        <v>3053</v>
      </c>
      <c r="Y613" s="17" t="s">
        <v>3054</v>
      </c>
      <c r="Z613" s="17" t="s">
        <v>39</v>
      </c>
      <c r="AA613" s="17" t="s">
        <v>37</v>
      </c>
      <c r="AB613" s="43">
        <v>17.46</v>
      </c>
      <c r="AC613" s="25">
        <v>18.28</v>
      </c>
      <c r="AD613" s="25">
        <f>AC613*T613</f>
        <v>18.28</v>
      </c>
      <c r="AE613" s="25">
        <f>AB613*T613</f>
        <v>17.46</v>
      </c>
      <c r="AF613" s="25">
        <f>AD613-AE613</f>
        <v>0.82000000000000028</v>
      </c>
      <c r="AG613" s="26">
        <f>AF613/AD613</f>
        <v>4.4857768052516421E-2</v>
      </c>
      <c r="AH613" s="27" t="str">
        <f>IF(AG613&lt;0,"Negative",IF(AG613=0,"Same",IF(AG613&gt;0.3,"30+%",IF(AG613&gt;0.2,"20-30%",IF(AG613&gt;0.1,"10-20%",IF(AG613&lt;=0.1,"0-10%"))))))</f>
        <v>0-10%</v>
      </c>
      <c r="AI613" s="32"/>
      <c r="AJ613" s="36" t="s">
        <v>3300</v>
      </c>
      <c r="AK613" s="32"/>
    </row>
    <row r="614" spans="1:37" s="1" customFormat="1" ht="19.7" customHeight="1" x14ac:dyDescent="0.25">
      <c r="A614" s="5" t="s">
        <v>22</v>
      </c>
      <c r="B614" s="5" t="s">
        <v>1483</v>
      </c>
      <c r="C614" s="6">
        <v>44403</v>
      </c>
      <c r="D614" s="5" t="s">
        <v>24</v>
      </c>
      <c r="E614" s="5" t="s">
        <v>25</v>
      </c>
      <c r="F614" s="5" t="s">
        <v>26</v>
      </c>
      <c r="G614" s="5" t="s">
        <v>27</v>
      </c>
      <c r="H614" s="5" t="s">
        <v>28</v>
      </c>
      <c r="I614" s="5" t="s">
        <v>29</v>
      </c>
      <c r="J614" s="5" t="s">
        <v>30</v>
      </c>
      <c r="K614" s="5" t="s">
        <v>31</v>
      </c>
      <c r="L614" s="5" t="s">
        <v>32</v>
      </c>
      <c r="M614" s="5" t="s">
        <v>1484</v>
      </c>
      <c r="N614" s="5" t="s">
        <v>1437</v>
      </c>
      <c r="O614" s="5" t="s">
        <v>627</v>
      </c>
      <c r="P614" s="5" t="s">
        <v>1485</v>
      </c>
      <c r="Q614" s="5">
        <v>101087155</v>
      </c>
      <c r="R614" s="5" t="s">
        <v>61</v>
      </c>
      <c r="S614" s="5" t="s">
        <v>39</v>
      </c>
      <c r="T614" s="7">
        <v>1</v>
      </c>
      <c r="U614" s="15" t="s">
        <v>627</v>
      </c>
      <c r="V614" s="16" t="s">
        <v>1485</v>
      </c>
      <c r="W614" s="17">
        <v>101087155</v>
      </c>
      <c r="X614" s="16" t="s">
        <v>3053</v>
      </c>
      <c r="Y614" s="17" t="s">
        <v>3054</v>
      </c>
      <c r="Z614" s="17" t="s">
        <v>39</v>
      </c>
      <c r="AA614" s="17" t="s">
        <v>37</v>
      </c>
      <c r="AB614" s="43">
        <v>17.46</v>
      </c>
      <c r="AC614" s="25">
        <v>18.28</v>
      </c>
      <c r="AD614" s="25">
        <f>AC614*T614</f>
        <v>18.28</v>
      </c>
      <c r="AE614" s="25">
        <f>AB614*T614</f>
        <v>17.46</v>
      </c>
      <c r="AF614" s="25">
        <f>AD614-AE614</f>
        <v>0.82000000000000028</v>
      </c>
      <c r="AG614" s="26">
        <f>AF614/AD614</f>
        <v>4.4857768052516421E-2</v>
      </c>
      <c r="AH614" s="27" t="str">
        <f>IF(AG614&lt;0,"Negative",IF(AG614=0,"Same",IF(AG614&gt;0.3,"30+%",IF(AG614&gt;0.2,"20-30%",IF(AG614&gt;0.1,"10-20%",IF(AG614&lt;=0.1,"0-10%"))))))</f>
        <v>0-10%</v>
      </c>
      <c r="AI614" s="32"/>
      <c r="AJ614" s="36" t="s">
        <v>3300</v>
      </c>
      <c r="AK614" s="32"/>
    </row>
    <row r="615" spans="1:37" s="1" customFormat="1" ht="19.7" customHeight="1" x14ac:dyDescent="0.25">
      <c r="A615" s="9" t="s">
        <v>22</v>
      </c>
      <c r="B615" s="9" t="s">
        <v>1628</v>
      </c>
      <c r="C615" s="10">
        <v>44426</v>
      </c>
      <c r="D615" s="9" t="s">
        <v>24</v>
      </c>
      <c r="E615" s="9" t="s">
        <v>25</v>
      </c>
      <c r="F615" s="9" t="s">
        <v>26</v>
      </c>
      <c r="G615" s="9" t="s">
        <v>27</v>
      </c>
      <c r="H615" s="9" t="s">
        <v>28</v>
      </c>
      <c r="I615" s="9" t="s">
        <v>29</v>
      </c>
      <c r="J615" s="9" t="s">
        <v>30</v>
      </c>
      <c r="K615" s="9" t="s">
        <v>31</v>
      </c>
      <c r="L615" s="9" t="s">
        <v>32</v>
      </c>
      <c r="M615" s="9" t="s">
        <v>1484</v>
      </c>
      <c r="N615" s="9" t="s">
        <v>1572</v>
      </c>
      <c r="O615" s="9" t="s">
        <v>627</v>
      </c>
      <c r="P615" s="9" t="s">
        <v>1485</v>
      </c>
      <c r="Q615" s="9">
        <v>101087155</v>
      </c>
      <c r="R615" s="9" t="s">
        <v>61</v>
      </c>
      <c r="S615" s="9" t="s">
        <v>39</v>
      </c>
      <c r="T615" s="11">
        <v>2</v>
      </c>
      <c r="U615" s="15" t="s">
        <v>627</v>
      </c>
      <c r="V615" s="16" t="s">
        <v>1485</v>
      </c>
      <c r="W615" s="17">
        <v>101087155</v>
      </c>
      <c r="X615" s="16" t="s">
        <v>3053</v>
      </c>
      <c r="Y615" s="17" t="s">
        <v>3054</v>
      </c>
      <c r="Z615" s="17" t="s">
        <v>39</v>
      </c>
      <c r="AA615" s="17" t="s">
        <v>37</v>
      </c>
      <c r="AB615" s="43">
        <v>17.46</v>
      </c>
      <c r="AC615" s="25">
        <v>18.28</v>
      </c>
      <c r="AD615" s="25">
        <f>AC615*T615</f>
        <v>36.56</v>
      </c>
      <c r="AE615" s="25">
        <f>AB615*T615</f>
        <v>34.92</v>
      </c>
      <c r="AF615" s="25">
        <f>AD615-AE615</f>
        <v>1.6400000000000006</v>
      </c>
      <c r="AG615" s="26">
        <f>AF615/AD615</f>
        <v>4.4857768052516421E-2</v>
      </c>
      <c r="AH615" s="27" t="str">
        <f>IF(AG615&lt;0,"Negative",IF(AG615=0,"Same",IF(AG615&gt;0.3,"30+%",IF(AG615&gt;0.2,"20-30%",IF(AG615&gt;0.1,"10-20%",IF(AG615&lt;=0.1,"0-10%"))))))</f>
        <v>0-10%</v>
      </c>
      <c r="AI615" s="32"/>
      <c r="AJ615" s="36" t="s">
        <v>3300</v>
      </c>
      <c r="AK615" s="32"/>
    </row>
    <row r="616" spans="1:37" s="1" customFormat="1" ht="19.7" customHeight="1" x14ac:dyDescent="0.25">
      <c r="A616" s="9" t="s">
        <v>22</v>
      </c>
      <c r="B616" s="9" t="s">
        <v>2139</v>
      </c>
      <c r="C616" s="10">
        <v>44522</v>
      </c>
      <c r="D616" s="9" t="s">
        <v>24</v>
      </c>
      <c r="E616" s="9" t="s">
        <v>25</v>
      </c>
      <c r="F616" s="9" t="s">
        <v>26</v>
      </c>
      <c r="G616" s="9" t="s">
        <v>27</v>
      </c>
      <c r="H616" s="9" t="s">
        <v>28</v>
      </c>
      <c r="I616" s="9" t="s">
        <v>29</v>
      </c>
      <c r="J616" s="9" t="s">
        <v>30</v>
      </c>
      <c r="K616" s="9" t="s">
        <v>31</v>
      </c>
      <c r="L616" s="9" t="s">
        <v>32</v>
      </c>
      <c r="M616" s="9" t="s">
        <v>648</v>
      </c>
      <c r="N616" s="9" t="s">
        <v>2075</v>
      </c>
      <c r="O616" s="9" t="s">
        <v>109</v>
      </c>
      <c r="P616" s="9" t="s">
        <v>649</v>
      </c>
      <c r="Q616" s="9">
        <v>100001305</v>
      </c>
      <c r="R616" s="9" t="s">
        <v>61</v>
      </c>
      <c r="S616" s="9" t="s">
        <v>39</v>
      </c>
      <c r="T616" s="11">
        <v>1</v>
      </c>
      <c r="U616" s="15" t="s">
        <v>109</v>
      </c>
      <c r="V616" s="16" t="s">
        <v>649</v>
      </c>
      <c r="W616" s="17">
        <v>100001305</v>
      </c>
      <c r="X616" s="16" t="s">
        <v>2526</v>
      </c>
      <c r="Y616" s="17" t="s">
        <v>2767</v>
      </c>
      <c r="Z616" s="17" t="s">
        <v>39</v>
      </c>
      <c r="AA616" s="17" t="s">
        <v>37</v>
      </c>
      <c r="AB616" s="43">
        <v>56.97</v>
      </c>
      <c r="AC616" s="25">
        <v>58.16</v>
      </c>
      <c r="AD616" s="25">
        <f>AC616*T616</f>
        <v>58.16</v>
      </c>
      <c r="AE616" s="25">
        <f>AB616*T616</f>
        <v>56.97</v>
      </c>
      <c r="AF616" s="25">
        <f>AD616-AE616</f>
        <v>1.1899999999999977</v>
      </c>
      <c r="AG616" s="26">
        <f>AF616/AD616</f>
        <v>2.0460797799174653E-2</v>
      </c>
      <c r="AH616" s="27" t="str">
        <f>IF(AG616&lt;0,"Negative",IF(AG616=0,"Same",IF(AG616&gt;0.3,"30+%",IF(AG616&gt;0.2,"20-30%",IF(AG616&gt;0.1,"10-20%",IF(AG616&lt;=0.1,"0-10%"))))))</f>
        <v>0-10%</v>
      </c>
      <c r="AI616" s="32"/>
      <c r="AJ616" s="36" t="s">
        <v>3300</v>
      </c>
      <c r="AK616" s="32"/>
    </row>
    <row r="617" spans="1:37" s="1" customFormat="1" ht="19.7" customHeight="1" x14ac:dyDescent="0.25">
      <c r="A617" s="9" t="s">
        <v>22</v>
      </c>
      <c r="B617" s="9" t="s">
        <v>920</v>
      </c>
      <c r="C617" s="10">
        <v>44316</v>
      </c>
      <c r="D617" s="9" t="s">
        <v>24</v>
      </c>
      <c r="E617" s="9" t="s">
        <v>25</v>
      </c>
      <c r="F617" s="9" t="s">
        <v>26</v>
      </c>
      <c r="G617" s="9" t="s">
        <v>67</v>
      </c>
      <c r="H617" s="9" t="s">
        <v>68</v>
      </c>
      <c r="I617" s="9" t="s">
        <v>29</v>
      </c>
      <c r="J617" s="9" t="s">
        <v>30</v>
      </c>
      <c r="K617" s="9" t="s">
        <v>31</v>
      </c>
      <c r="L617" s="9" t="s">
        <v>32</v>
      </c>
      <c r="M617" s="9" t="s">
        <v>922</v>
      </c>
      <c r="N617" s="9" t="s">
        <v>921</v>
      </c>
      <c r="O617" s="9" t="s">
        <v>79</v>
      </c>
      <c r="P617" s="9" t="s">
        <v>923</v>
      </c>
      <c r="Q617" s="9">
        <v>101523851</v>
      </c>
      <c r="R617" s="9" t="s">
        <v>61</v>
      </c>
      <c r="S617" s="9" t="s">
        <v>39</v>
      </c>
      <c r="T617" s="11">
        <v>1</v>
      </c>
      <c r="U617" s="15" t="s">
        <v>79</v>
      </c>
      <c r="V617" s="16" t="s">
        <v>923</v>
      </c>
      <c r="W617" s="17">
        <v>101523851</v>
      </c>
      <c r="X617" s="16" t="s">
        <v>2540</v>
      </c>
      <c r="Y617" s="17" t="s">
        <v>2862</v>
      </c>
      <c r="Z617" s="17" t="s">
        <v>39</v>
      </c>
      <c r="AA617" s="17" t="s">
        <v>37</v>
      </c>
      <c r="AB617" s="43">
        <v>14.54</v>
      </c>
      <c r="AC617" s="25">
        <v>18.329999999999998</v>
      </c>
      <c r="AD617" s="25">
        <f>AC617*T617</f>
        <v>18.329999999999998</v>
      </c>
      <c r="AE617" s="25">
        <f>AB617*T617</f>
        <v>14.54</v>
      </c>
      <c r="AF617" s="25">
        <f>AD617-AE617</f>
        <v>3.7899999999999991</v>
      </c>
      <c r="AG617" s="26">
        <f>AF617/AD617</f>
        <v>0.20676486633933439</v>
      </c>
      <c r="AH617" s="27" t="str">
        <f>IF(AG617&lt;0,"Negative",IF(AG617=0,"Same",IF(AG617&gt;0.3,"30+%",IF(AG617&gt;0.2,"20-30%",IF(AG617&gt;0.1,"10-20%",IF(AG617&lt;=0.1,"0-10%"))))))</f>
        <v>20-30%</v>
      </c>
      <c r="AI617" s="32"/>
      <c r="AJ617" s="36" t="s">
        <v>3299</v>
      </c>
      <c r="AK617" s="32"/>
    </row>
    <row r="618" spans="1:37" s="1" customFormat="1" ht="19.7" customHeight="1" x14ac:dyDescent="0.25">
      <c r="A618" s="9" t="s">
        <v>22</v>
      </c>
      <c r="B618" s="9" t="s">
        <v>1755</v>
      </c>
      <c r="C618" s="10">
        <v>44452</v>
      </c>
      <c r="D618" s="9" t="s">
        <v>24</v>
      </c>
      <c r="E618" s="9" t="s">
        <v>25</v>
      </c>
      <c r="F618" s="9" t="s">
        <v>26</v>
      </c>
      <c r="G618" s="9" t="s">
        <v>67</v>
      </c>
      <c r="H618" s="9" t="s">
        <v>68</v>
      </c>
      <c r="I618" s="9" t="s">
        <v>29</v>
      </c>
      <c r="J618" s="9" t="s">
        <v>30</v>
      </c>
      <c r="K618" s="9" t="s">
        <v>31</v>
      </c>
      <c r="L618" s="9" t="s">
        <v>32</v>
      </c>
      <c r="M618" s="9" t="s">
        <v>922</v>
      </c>
      <c r="N618" s="9" t="s">
        <v>1756</v>
      </c>
      <c r="O618" s="9" t="s">
        <v>79</v>
      </c>
      <c r="P618" s="9" t="s">
        <v>923</v>
      </c>
      <c r="Q618" s="9">
        <v>101523851</v>
      </c>
      <c r="R618" s="9" t="s">
        <v>61</v>
      </c>
      <c r="S618" s="9" t="s">
        <v>39</v>
      </c>
      <c r="T618" s="11">
        <v>2</v>
      </c>
      <c r="U618" s="15" t="s">
        <v>79</v>
      </c>
      <c r="V618" s="16" t="s">
        <v>923</v>
      </c>
      <c r="W618" s="17">
        <v>101523851</v>
      </c>
      <c r="X618" s="16" t="s">
        <v>2540</v>
      </c>
      <c r="Y618" s="17" t="s">
        <v>2862</v>
      </c>
      <c r="Z618" s="17" t="s">
        <v>39</v>
      </c>
      <c r="AA618" s="17" t="s">
        <v>37</v>
      </c>
      <c r="AB618" s="43">
        <v>14.54</v>
      </c>
      <c r="AC618" s="25">
        <v>18.329999999999998</v>
      </c>
      <c r="AD618" s="25">
        <f>AC618*T618</f>
        <v>36.659999999999997</v>
      </c>
      <c r="AE618" s="25">
        <f>AB618*T618</f>
        <v>29.08</v>
      </c>
      <c r="AF618" s="25">
        <f>AD618-AE618</f>
        <v>7.5799999999999983</v>
      </c>
      <c r="AG618" s="26">
        <f>AF618/AD618</f>
        <v>0.20676486633933439</v>
      </c>
      <c r="AH618" s="27" t="str">
        <f>IF(AG618&lt;0,"Negative",IF(AG618=0,"Same",IF(AG618&gt;0.3,"30+%",IF(AG618&gt;0.2,"20-30%",IF(AG618&gt;0.1,"10-20%",IF(AG618&lt;=0.1,"0-10%"))))))</f>
        <v>20-30%</v>
      </c>
      <c r="AI618" s="32"/>
      <c r="AJ618" s="36" t="s">
        <v>3299</v>
      </c>
      <c r="AK618" s="32"/>
    </row>
    <row r="619" spans="1:37" s="1" customFormat="1" ht="19.7" customHeight="1" x14ac:dyDescent="0.25">
      <c r="A619" s="9" t="s">
        <v>22</v>
      </c>
      <c r="B619" s="9" t="s">
        <v>1418</v>
      </c>
      <c r="C619" s="10">
        <v>44393</v>
      </c>
      <c r="D619" s="9" t="s">
        <v>24</v>
      </c>
      <c r="E619" s="9" t="s">
        <v>25</v>
      </c>
      <c r="F619" s="9" t="s">
        <v>26</v>
      </c>
      <c r="G619" s="9" t="s">
        <v>67</v>
      </c>
      <c r="H619" s="9" t="s">
        <v>68</v>
      </c>
      <c r="I619" s="9" t="s">
        <v>29</v>
      </c>
      <c r="J619" s="9" t="s">
        <v>30</v>
      </c>
      <c r="K619" s="9" t="s">
        <v>31</v>
      </c>
      <c r="L619" s="9" t="s">
        <v>32</v>
      </c>
      <c r="M619" s="9" t="s">
        <v>130</v>
      </c>
      <c r="N619" s="9" t="s">
        <v>1419</v>
      </c>
      <c r="O619" s="9" t="s">
        <v>131</v>
      </c>
      <c r="P619" s="9" t="s">
        <v>132</v>
      </c>
      <c r="Q619" s="9">
        <v>102208426</v>
      </c>
      <c r="R619" s="9" t="s">
        <v>56</v>
      </c>
      <c r="S619" s="9" t="s">
        <v>39</v>
      </c>
      <c r="T619" s="11">
        <v>1</v>
      </c>
      <c r="U619" s="15" t="s">
        <v>131</v>
      </c>
      <c r="V619" s="16" t="s">
        <v>132</v>
      </c>
      <c r="W619" s="17">
        <v>102208426</v>
      </c>
      <c r="X619" s="16" t="s">
        <v>2538</v>
      </c>
      <c r="Y619" s="17" t="s">
        <v>2539</v>
      </c>
      <c r="Z619" s="17" t="s">
        <v>39</v>
      </c>
      <c r="AA619" s="17" t="s">
        <v>37</v>
      </c>
      <c r="AB619" s="43">
        <v>28.19</v>
      </c>
      <c r="AC619" s="25">
        <v>31.22</v>
      </c>
      <c r="AD619" s="25">
        <f>AC619*T619</f>
        <v>31.22</v>
      </c>
      <c r="AE619" s="25">
        <f>AB619*T619</f>
        <v>28.19</v>
      </c>
      <c r="AF619" s="25">
        <f>AD619-AE619</f>
        <v>3.0299999999999976</v>
      </c>
      <c r="AG619" s="26">
        <f>AF619/AD619</f>
        <v>9.7053171044202358E-2</v>
      </c>
      <c r="AH619" s="27" t="str">
        <f>IF(AG619&lt;0,"Negative",IF(AG619=0,"Same",IF(AG619&gt;0.3,"30+%",IF(AG619&gt;0.2,"20-30%",IF(AG619&gt;0.1,"10-20%",IF(AG619&lt;=0.1,"0-10%"))))))</f>
        <v>0-10%</v>
      </c>
      <c r="AI619" s="32"/>
      <c r="AJ619" s="36" t="s">
        <v>3299</v>
      </c>
      <c r="AK619" s="32"/>
    </row>
    <row r="620" spans="1:37" s="1" customFormat="1" ht="19.7" customHeight="1" x14ac:dyDescent="0.25">
      <c r="A620" s="5" t="s">
        <v>22</v>
      </c>
      <c r="B620" s="5" t="s">
        <v>192</v>
      </c>
      <c r="C620" s="6">
        <v>44242</v>
      </c>
      <c r="D620" s="5" t="s">
        <v>24</v>
      </c>
      <c r="E620" s="5" t="s">
        <v>25</v>
      </c>
      <c r="F620" s="5" t="s">
        <v>26</v>
      </c>
      <c r="G620" s="5" t="s">
        <v>67</v>
      </c>
      <c r="H620" s="5" t="s">
        <v>68</v>
      </c>
      <c r="I620" s="5" t="s">
        <v>29</v>
      </c>
      <c r="J620" s="5" t="s">
        <v>30</v>
      </c>
      <c r="K620" s="5" t="s">
        <v>31</v>
      </c>
      <c r="L620" s="5" t="s">
        <v>32</v>
      </c>
      <c r="M620" s="5" t="s">
        <v>130</v>
      </c>
      <c r="N620" s="5" t="s">
        <v>194</v>
      </c>
      <c r="O620" s="5" t="s">
        <v>131</v>
      </c>
      <c r="P620" s="5" t="s">
        <v>132</v>
      </c>
      <c r="Q620" s="5">
        <v>102208426</v>
      </c>
      <c r="R620" s="5" t="s">
        <v>56</v>
      </c>
      <c r="S620" s="5" t="s">
        <v>39</v>
      </c>
      <c r="T620" s="7">
        <v>1</v>
      </c>
      <c r="U620" s="15" t="s">
        <v>131</v>
      </c>
      <c r="V620" s="16" t="s">
        <v>132</v>
      </c>
      <c r="W620" s="17">
        <v>102208426</v>
      </c>
      <c r="X620" s="16" t="s">
        <v>2538</v>
      </c>
      <c r="Y620" s="17" t="s">
        <v>2539</v>
      </c>
      <c r="Z620" s="17" t="s">
        <v>39</v>
      </c>
      <c r="AA620" s="17" t="s">
        <v>37</v>
      </c>
      <c r="AB620" s="43">
        <v>28.19</v>
      </c>
      <c r="AC620" s="25">
        <v>31.22</v>
      </c>
      <c r="AD620" s="25">
        <f>AC620*T620</f>
        <v>31.22</v>
      </c>
      <c r="AE620" s="25">
        <f>AB620*T620</f>
        <v>28.19</v>
      </c>
      <c r="AF620" s="25">
        <f>AD620-AE620</f>
        <v>3.0299999999999976</v>
      </c>
      <c r="AG620" s="26">
        <f>AF620/AD620</f>
        <v>9.7053171044202358E-2</v>
      </c>
      <c r="AH620" s="27" t="str">
        <f>IF(AG620&lt;0,"Negative",IF(AG620=0,"Same",IF(AG620&gt;0.3,"30+%",IF(AG620&gt;0.2,"20-30%",IF(AG620&gt;0.1,"10-20%",IF(AG620&lt;=0.1,"0-10%"))))))</f>
        <v>0-10%</v>
      </c>
      <c r="AI620" s="32"/>
      <c r="AJ620" s="36" t="s">
        <v>3299</v>
      </c>
      <c r="AK620" s="32"/>
    </row>
    <row r="621" spans="1:37" s="1" customFormat="1" ht="19.7" customHeight="1" x14ac:dyDescent="0.25">
      <c r="A621" s="5" t="s">
        <v>22</v>
      </c>
      <c r="B621" s="5" t="s">
        <v>119</v>
      </c>
      <c r="C621" s="6">
        <v>44232</v>
      </c>
      <c r="D621" s="5" t="s">
        <v>24</v>
      </c>
      <c r="E621" s="5" t="s">
        <v>25</v>
      </c>
      <c r="F621" s="5" t="s">
        <v>26</v>
      </c>
      <c r="G621" s="5" t="s">
        <v>67</v>
      </c>
      <c r="H621" s="5" t="s">
        <v>68</v>
      </c>
      <c r="I621" s="5" t="s">
        <v>29</v>
      </c>
      <c r="J621" s="5" t="s">
        <v>30</v>
      </c>
      <c r="K621" s="5" t="s">
        <v>31</v>
      </c>
      <c r="L621" s="5" t="s">
        <v>32</v>
      </c>
      <c r="M621" s="5" t="s">
        <v>130</v>
      </c>
      <c r="N621" s="5" t="s">
        <v>121</v>
      </c>
      <c r="O621" s="5" t="s">
        <v>131</v>
      </c>
      <c r="P621" s="5" t="s">
        <v>132</v>
      </c>
      <c r="Q621" s="5">
        <v>102208426</v>
      </c>
      <c r="R621" s="5" t="s">
        <v>56</v>
      </c>
      <c r="S621" s="5" t="s">
        <v>39</v>
      </c>
      <c r="T621" s="7">
        <v>1</v>
      </c>
      <c r="U621" s="15" t="s">
        <v>131</v>
      </c>
      <c r="V621" s="16" t="s">
        <v>132</v>
      </c>
      <c r="W621" s="17">
        <v>102208426</v>
      </c>
      <c r="X621" s="16" t="s">
        <v>2538</v>
      </c>
      <c r="Y621" s="17" t="s">
        <v>2539</v>
      </c>
      <c r="Z621" s="17" t="s">
        <v>39</v>
      </c>
      <c r="AA621" s="17" t="s">
        <v>37</v>
      </c>
      <c r="AB621" s="43">
        <v>28.19</v>
      </c>
      <c r="AC621" s="25">
        <v>31.22</v>
      </c>
      <c r="AD621" s="25">
        <f>AC621*T621</f>
        <v>31.22</v>
      </c>
      <c r="AE621" s="25">
        <f>AB621*T621</f>
        <v>28.19</v>
      </c>
      <c r="AF621" s="25">
        <f>AD621-AE621</f>
        <v>3.0299999999999976</v>
      </c>
      <c r="AG621" s="26">
        <f>AF621/AD621</f>
        <v>9.7053171044202358E-2</v>
      </c>
      <c r="AH621" s="27" t="str">
        <f>IF(AG621&lt;0,"Negative",IF(AG621=0,"Same",IF(AG621&gt;0.3,"30+%",IF(AG621&gt;0.2,"20-30%",IF(AG621&gt;0.1,"10-20%",IF(AG621&lt;=0.1,"0-10%"))))))</f>
        <v>0-10%</v>
      </c>
      <c r="AI621" s="32"/>
      <c r="AJ621" s="36" t="s">
        <v>3299</v>
      </c>
      <c r="AK621" s="32"/>
    </row>
    <row r="622" spans="1:37" s="1" customFormat="1" ht="19.7" customHeight="1" x14ac:dyDescent="0.25">
      <c r="A622" s="5" t="s">
        <v>22</v>
      </c>
      <c r="B622" s="5" t="s">
        <v>1089</v>
      </c>
      <c r="C622" s="6">
        <v>44337</v>
      </c>
      <c r="D622" s="5" t="s">
        <v>24</v>
      </c>
      <c r="E622" s="5" t="s">
        <v>25</v>
      </c>
      <c r="F622" s="5" t="s">
        <v>26</v>
      </c>
      <c r="G622" s="5" t="s">
        <v>67</v>
      </c>
      <c r="H622" s="5" t="s">
        <v>68</v>
      </c>
      <c r="I622" s="5" t="s">
        <v>29</v>
      </c>
      <c r="J622" s="5" t="s">
        <v>30</v>
      </c>
      <c r="K622" s="5" t="s">
        <v>31</v>
      </c>
      <c r="L622" s="5" t="s">
        <v>32</v>
      </c>
      <c r="M622" s="5" t="s">
        <v>359</v>
      </c>
      <c r="N622" s="5" t="s">
        <v>1090</v>
      </c>
      <c r="O622" s="5" t="s">
        <v>71</v>
      </c>
      <c r="P622" s="5" t="s">
        <v>360</v>
      </c>
      <c r="Q622" s="5">
        <v>112228027</v>
      </c>
      <c r="R622" s="5" t="s">
        <v>73</v>
      </c>
      <c r="S622" s="5" t="s">
        <v>39</v>
      </c>
      <c r="T622" s="7">
        <v>24</v>
      </c>
      <c r="U622" s="15" t="s">
        <v>71</v>
      </c>
      <c r="V622" s="41" t="s">
        <v>360</v>
      </c>
      <c r="W622" s="17">
        <v>112228027</v>
      </c>
      <c r="X622" s="16" t="s">
        <v>2510</v>
      </c>
      <c r="Y622" s="17" t="s">
        <v>2641</v>
      </c>
      <c r="Z622" s="17" t="s">
        <v>39</v>
      </c>
      <c r="AA622" s="17" t="s">
        <v>2501</v>
      </c>
      <c r="AB622" s="29">
        <v>16.850000000000001</v>
      </c>
      <c r="AC622" s="25">
        <v>16.850000000000001</v>
      </c>
      <c r="AD622" s="25">
        <f>AC622*T622</f>
        <v>404.40000000000003</v>
      </c>
      <c r="AE622" s="25">
        <f>AB622*T622</f>
        <v>404.40000000000003</v>
      </c>
      <c r="AF622" s="25">
        <f>AD622-AE622</f>
        <v>0</v>
      </c>
      <c r="AG622" s="26">
        <f>AF622/AD622</f>
        <v>0</v>
      </c>
      <c r="AH622" s="27" t="str">
        <f>IF(AG622&lt;0,"Negative",IF(AG622=0,"Same",IF(AG622&gt;0.3,"30+%",IF(AG622&gt;0.2,"20-30%",IF(AG622&gt;0.1,"10-20%",IF(AG622&lt;=0.1,"0-10%"))))))</f>
        <v>Same</v>
      </c>
      <c r="AI622" s="32"/>
      <c r="AJ622" s="36" t="s">
        <v>3300</v>
      </c>
      <c r="AK622" s="32"/>
    </row>
    <row r="623" spans="1:37" s="1" customFormat="1" ht="19.7" customHeight="1" x14ac:dyDescent="0.25">
      <c r="A623" s="5" t="s">
        <v>22</v>
      </c>
      <c r="B623" s="5" t="s">
        <v>1091</v>
      </c>
      <c r="C623" s="6">
        <v>44337</v>
      </c>
      <c r="D623" s="5" t="s">
        <v>24</v>
      </c>
      <c r="E623" s="5" t="s">
        <v>25</v>
      </c>
      <c r="F623" s="5" t="s">
        <v>26</v>
      </c>
      <c r="G623" s="5" t="s">
        <v>67</v>
      </c>
      <c r="H623" s="5" t="s">
        <v>68</v>
      </c>
      <c r="I623" s="5" t="s">
        <v>29</v>
      </c>
      <c r="J623" s="5" t="s">
        <v>30</v>
      </c>
      <c r="K623" s="5" t="s">
        <v>31</v>
      </c>
      <c r="L623" s="5" t="s">
        <v>32</v>
      </c>
      <c r="M623" s="5" t="s">
        <v>359</v>
      </c>
      <c r="N623" s="5" t="s">
        <v>1092</v>
      </c>
      <c r="O623" s="5" t="s">
        <v>71</v>
      </c>
      <c r="P623" s="5" t="s">
        <v>360</v>
      </c>
      <c r="Q623" s="5">
        <v>112228027</v>
      </c>
      <c r="R623" s="5" t="s">
        <v>73</v>
      </c>
      <c r="S623" s="5" t="s">
        <v>39</v>
      </c>
      <c r="T623" s="7">
        <v>24</v>
      </c>
      <c r="U623" s="15" t="s">
        <v>71</v>
      </c>
      <c r="V623" s="41" t="s">
        <v>360</v>
      </c>
      <c r="W623" s="17">
        <v>112228027</v>
      </c>
      <c r="X623" s="16" t="s">
        <v>2510</v>
      </c>
      <c r="Y623" s="17" t="s">
        <v>2641</v>
      </c>
      <c r="Z623" s="17" t="s">
        <v>39</v>
      </c>
      <c r="AA623" s="17" t="s">
        <v>2501</v>
      </c>
      <c r="AB623" s="29">
        <v>16.850000000000001</v>
      </c>
      <c r="AC623" s="25">
        <v>16.850000000000001</v>
      </c>
      <c r="AD623" s="25">
        <f>AC623*T623</f>
        <v>404.40000000000003</v>
      </c>
      <c r="AE623" s="25">
        <f>AB623*T623</f>
        <v>404.40000000000003</v>
      </c>
      <c r="AF623" s="25">
        <f>AD623-AE623</f>
        <v>0</v>
      </c>
      <c r="AG623" s="26">
        <f>AF623/AD623</f>
        <v>0</v>
      </c>
      <c r="AH623" s="27" t="str">
        <f>IF(AG623&lt;0,"Negative",IF(AG623=0,"Same",IF(AG623&gt;0.3,"30+%",IF(AG623&gt;0.2,"20-30%",IF(AG623&gt;0.1,"10-20%",IF(AG623&lt;=0.1,"0-10%"))))))</f>
        <v>Same</v>
      </c>
      <c r="AI623" s="32"/>
      <c r="AJ623" s="36" t="s">
        <v>3300</v>
      </c>
      <c r="AK623" s="32"/>
    </row>
    <row r="624" spans="1:37" s="1" customFormat="1" ht="19.7" customHeight="1" x14ac:dyDescent="0.25">
      <c r="A624" s="5" t="s">
        <v>22</v>
      </c>
      <c r="B624" s="5" t="s">
        <v>1535</v>
      </c>
      <c r="C624" s="6">
        <v>44407</v>
      </c>
      <c r="D624" s="5" t="s">
        <v>24</v>
      </c>
      <c r="E624" s="5" t="s">
        <v>25</v>
      </c>
      <c r="F624" s="5" t="s">
        <v>26</v>
      </c>
      <c r="G624" s="5" t="s">
        <v>67</v>
      </c>
      <c r="H624" s="5" t="s">
        <v>68</v>
      </c>
      <c r="I624" s="5" t="s">
        <v>29</v>
      </c>
      <c r="J624" s="5" t="s">
        <v>30</v>
      </c>
      <c r="K624" s="5" t="s">
        <v>31</v>
      </c>
      <c r="L624" s="5" t="s">
        <v>32</v>
      </c>
      <c r="M624" s="5" t="s">
        <v>359</v>
      </c>
      <c r="N624" s="5" t="s">
        <v>1536</v>
      </c>
      <c r="O624" s="5" t="s">
        <v>71</v>
      </c>
      <c r="P624" s="5" t="s">
        <v>360</v>
      </c>
      <c r="Q624" s="5">
        <v>112228027</v>
      </c>
      <c r="R624" s="5" t="s">
        <v>73</v>
      </c>
      <c r="S624" s="5" t="s">
        <v>39</v>
      </c>
      <c r="T624" s="7">
        <v>24</v>
      </c>
      <c r="U624" s="15" t="s">
        <v>71</v>
      </c>
      <c r="V624" s="41" t="s">
        <v>360</v>
      </c>
      <c r="W624" s="17">
        <v>112228027</v>
      </c>
      <c r="X624" s="16" t="s">
        <v>2510</v>
      </c>
      <c r="Y624" s="17" t="s">
        <v>2641</v>
      </c>
      <c r="Z624" s="17" t="s">
        <v>39</v>
      </c>
      <c r="AA624" s="17" t="s">
        <v>2501</v>
      </c>
      <c r="AB624" s="29">
        <v>16.850000000000001</v>
      </c>
      <c r="AC624" s="25">
        <v>16.850000000000001</v>
      </c>
      <c r="AD624" s="25">
        <f>AC624*T624</f>
        <v>404.40000000000003</v>
      </c>
      <c r="AE624" s="25">
        <f>AB624*T624</f>
        <v>404.40000000000003</v>
      </c>
      <c r="AF624" s="25">
        <f>AD624-AE624</f>
        <v>0</v>
      </c>
      <c r="AG624" s="26">
        <f>AF624/AD624</f>
        <v>0</v>
      </c>
      <c r="AH624" s="27" t="str">
        <f>IF(AG624&lt;0,"Negative",IF(AG624=0,"Same",IF(AG624&gt;0.3,"30+%",IF(AG624&gt;0.2,"20-30%",IF(AG624&gt;0.1,"10-20%",IF(AG624&lt;=0.1,"0-10%"))))))</f>
        <v>Same</v>
      </c>
      <c r="AI624" s="32"/>
      <c r="AJ624" s="36" t="s">
        <v>3300</v>
      </c>
      <c r="AK624" s="32"/>
    </row>
    <row r="625" spans="1:37" s="1" customFormat="1" ht="19.7" customHeight="1" x14ac:dyDescent="0.25">
      <c r="A625" s="9" t="s">
        <v>22</v>
      </c>
      <c r="B625" s="9" t="s">
        <v>355</v>
      </c>
      <c r="C625" s="10">
        <v>44253</v>
      </c>
      <c r="D625" s="9" t="s">
        <v>24</v>
      </c>
      <c r="E625" s="9" t="s">
        <v>25</v>
      </c>
      <c r="F625" s="9" t="s">
        <v>26</v>
      </c>
      <c r="G625" s="9" t="s">
        <v>67</v>
      </c>
      <c r="H625" s="9" t="s">
        <v>68</v>
      </c>
      <c r="I625" s="9" t="s">
        <v>29</v>
      </c>
      <c r="J625" s="9" t="s">
        <v>30</v>
      </c>
      <c r="K625" s="9" t="s">
        <v>31</v>
      </c>
      <c r="L625" s="9" t="s">
        <v>32</v>
      </c>
      <c r="M625" s="9" t="s">
        <v>359</v>
      </c>
      <c r="N625" s="9" t="s">
        <v>357</v>
      </c>
      <c r="O625" s="9" t="s">
        <v>71</v>
      </c>
      <c r="P625" s="9" t="s">
        <v>360</v>
      </c>
      <c r="Q625" s="9">
        <v>112228027</v>
      </c>
      <c r="R625" s="9" t="s">
        <v>73</v>
      </c>
      <c r="S625" s="9" t="s">
        <v>39</v>
      </c>
      <c r="T625" s="11">
        <v>24</v>
      </c>
      <c r="U625" s="15" t="s">
        <v>71</v>
      </c>
      <c r="V625" s="41" t="s">
        <v>360</v>
      </c>
      <c r="W625" s="17">
        <v>112228027</v>
      </c>
      <c r="X625" s="16" t="s">
        <v>2510</v>
      </c>
      <c r="Y625" s="17" t="s">
        <v>2641</v>
      </c>
      <c r="Z625" s="17" t="s">
        <v>39</v>
      </c>
      <c r="AA625" s="17" t="s">
        <v>2501</v>
      </c>
      <c r="AB625" s="29">
        <v>16.850000000000001</v>
      </c>
      <c r="AC625" s="25">
        <v>16.850000000000001</v>
      </c>
      <c r="AD625" s="25">
        <f>AC625*T625</f>
        <v>404.40000000000003</v>
      </c>
      <c r="AE625" s="25">
        <f>AB625*T625</f>
        <v>404.40000000000003</v>
      </c>
      <c r="AF625" s="25">
        <f>AD625-AE625</f>
        <v>0</v>
      </c>
      <c r="AG625" s="26">
        <f>AF625/AD625</f>
        <v>0</v>
      </c>
      <c r="AH625" s="27" t="str">
        <f>IF(AG625&lt;0,"Negative",IF(AG625=0,"Same",IF(AG625&gt;0.3,"30+%",IF(AG625&gt;0.2,"20-30%",IF(AG625&gt;0.1,"10-20%",IF(AG625&lt;=0.1,"0-10%"))))))</f>
        <v>Same</v>
      </c>
      <c r="AI625" s="32"/>
      <c r="AJ625" s="36" t="s">
        <v>3300</v>
      </c>
      <c r="AK625" s="32"/>
    </row>
    <row r="626" spans="1:37" s="1" customFormat="1" ht="19.7" customHeight="1" x14ac:dyDescent="0.25">
      <c r="A626" s="5" t="s">
        <v>22</v>
      </c>
      <c r="B626" s="5" t="s">
        <v>685</v>
      </c>
      <c r="C626" s="6">
        <v>44288</v>
      </c>
      <c r="D626" s="5" t="s">
        <v>24</v>
      </c>
      <c r="E626" s="5" t="s">
        <v>25</v>
      </c>
      <c r="F626" s="5" t="s">
        <v>26</v>
      </c>
      <c r="G626" s="5" t="s">
        <v>67</v>
      </c>
      <c r="H626" s="5" t="s">
        <v>68</v>
      </c>
      <c r="I626" s="5" t="s">
        <v>29</v>
      </c>
      <c r="J626" s="5" t="s">
        <v>30</v>
      </c>
      <c r="K626" s="5" t="s">
        <v>31</v>
      </c>
      <c r="L626" s="5" t="s">
        <v>32</v>
      </c>
      <c r="M626" s="5" t="s">
        <v>359</v>
      </c>
      <c r="N626" s="5" t="s">
        <v>686</v>
      </c>
      <c r="O626" s="5" t="s">
        <v>71</v>
      </c>
      <c r="P626" s="5" t="s">
        <v>360</v>
      </c>
      <c r="Q626" s="5">
        <v>112228027</v>
      </c>
      <c r="R626" s="5" t="s">
        <v>73</v>
      </c>
      <c r="S626" s="5" t="s">
        <v>39</v>
      </c>
      <c r="T626" s="7">
        <v>24</v>
      </c>
      <c r="U626" s="15" t="s">
        <v>71</v>
      </c>
      <c r="V626" s="41" t="s">
        <v>360</v>
      </c>
      <c r="W626" s="17">
        <v>112228027</v>
      </c>
      <c r="X626" s="16" t="s">
        <v>2510</v>
      </c>
      <c r="Y626" s="17" t="s">
        <v>2641</v>
      </c>
      <c r="Z626" s="17" t="s">
        <v>39</v>
      </c>
      <c r="AA626" s="17" t="s">
        <v>2501</v>
      </c>
      <c r="AB626" s="29">
        <v>16.850000000000001</v>
      </c>
      <c r="AC626" s="25">
        <v>16.850000000000001</v>
      </c>
      <c r="AD626" s="25">
        <f>AC626*T626</f>
        <v>404.40000000000003</v>
      </c>
      <c r="AE626" s="25">
        <f>AB626*T626</f>
        <v>404.40000000000003</v>
      </c>
      <c r="AF626" s="25">
        <f>AD626-AE626</f>
        <v>0</v>
      </c>
      <c r="AG626" s="26">
        <f>AF626/AD626</f>
        <v>0</v>
      </c>
      <c r="AH626" s="27" t="str">
        <f>IF(AG626&lt;0,"Negative",IF(AG626=0,"Same",IF(AG626&gt;0.3,"30+%",IF(AG626&gt;0.2,"20-30%",IF(AG626&gt;0.1,"10-20%",IF(AG626&lt;=0.1,"0-10%"))))))</f>
        <v>Same</v>
      </c>
      <c r="AI626" s="32"/>
      <c r="AJ626" s="36" t="s">
        <v>3300</v>
      </c>
      <c r="AK626" s="32"/>
    </row>
    <row r="627" spans="1:37" s="1" customFormat="1" ht="19.7" customHeight="1" x14ac:dyDescent="0.25">
      <c r="A627" s="9" t="s">
        <v>22</v>
      </c>
      <c r="B627" s="9" t="s">
        <v>1025</v>
      </c>
      <c r="C627" s="10">
        <v>44333</v>
      </c>
      <c r="D627" s="9" t="s">
        <v>24</v>
      </c>
      <c r="E627" s="9" t="s">
        <v>25</v>
      </c>
      <c r="F627" s="9" t="s">
        <v>26</v>
      </c>
      <c r="G627" s="9" t="s">
        <v>67</v>
      </c>
      <c r="H627" s="9" t="s">
        <v>68</v>
      </c>
      <c r="I627" s="9" t="s">
        <v>29</v>
      </c>
      <c r="J627" s="9" t="s">
        <v>30</v>
      </c>
      <c r="K627" s="9" t="s">
        <v>31</v>
      </c>
      <c r="L627" s="9" t="s">
        <v>32</v>
      </c>
      <c r="M627" s="9" t="s">
        <v>359</v>
      </c>
      <c r="N627" s="9" t="s">
        <v>1027</v>
      </c>
      <c r="O627" s="9" t="s">
        <v>71</v>
      </c>
      <c r="P627" s="9" t="s">
        <v>360</v>
      </c>
      <c r="Q627" s="9">
        <v>112228027</v>
      </c>
      <c r="R627" s="9" t="s">
        <v>73</v>
      </c>
      <c r="S627" s="9" t="s">
        <v>39</v>
      </c>
      <c r="T627" s="11">
        <v>24</v>
      </c>
      <c r="U627" s="15" t="s">
        <v>71</v>
      </c>
      <c r="V627" s="41" t="s">
        <v>360</v>
      </c>
      <c r="W627" s="17">
        <v>112228027</v>
      </c>
      <c r="X627" s="16" t="s">
        <v>2510</v>
      </c>
      <c r="Y627" s="17" t="s">
        <v>2641</v>
      </c>
      <c r="Z627" s="17" t="s">
        <v>39</v>
      </c>
      <c r="AA627" s="17" t="s">
        <v>2501</v>
      </c>
      <c r="AB627" s="29">
        <v>16.850000000000001</v>
      </c>
      <c r="AC627" s="25">
        <v>16.850000000000001</v>
      </c>
      <c r="AD627" s="25">
        <f>AC627*T627</f>
        <v>404.40000000000003</v>
      </c>
      <c r="AE627" s="25">
        <f>AB627*T627</f>
        <v>404.40000000000003</v>
      </c>
      <c r="AF627" s="25">
        <f>AD627-AE627</f>
        <v>0</v>
      </c>
      <c r="AG627" s="26">
        <f>AF627/AD627</f>
        <v>0</v>
      </c>
      <c r="AH627" s="27" t="str">
        <f>IF(AG627&lt;0,"Negative",IF(AG627=0,"Same",IF(AG627&gt;0.3,"30+%",IF(AG627&gt;0.2,"20-30%",IF(AG627&gt;0.1,"10-20%",IF(AG627&lt;=0.1,"0-10%"))))))</f>
        <v>Same</v>
      </c>
      <c r="AI627" s="32"/>
      <c r="AJ627" s="36" t="s">
        <v>3300</v>
      </c>
      <c r="AK627" s="32"/>
    </row>
    <row r="628" spans="1:37" s="1" customFormat="1" ht="19.7" customHeight="1" x14ac:dyDescent="0.25">
      <c r="A628" s="9" t="s">
        <v>22</v>
      </c>
      <c r="B628" s="9" t="s">
        <v>815</v>
      </c>
      <c r="C628" s="10">
        <v>44302</v>
      </c>
      <c r="D628" s="9" t="s">
        <v>24</v>
      </c>
      <c r="E628" s="9" t="s">
        <v>25</v>
      </c>
      <c r="F628" s="9" t="s">
        <v>26</v>
      </c>
      <c r="G628" s="9" t="s">
        <v>67</v>
      </c>
      <c r="H628" s="9" t="s">
        <v>68</v>
      </c>
      <c r="I628" s="9" t="s">
        <v>29</v>
      </c>
      <c r="J628" s="9" t="s">
        <v>30</v>
      </c>
      <c r="K628" s="9" t="s">
        <v>31</v>
      </c>
      <c r="L628" s="9" t="s">
        <v>32</v>
      </c>
      <c r="M628" s="9" t="s">
        <v>359</v>
      </c>
      <c r="N628" s="9" t="s">
        <v>816</v>
      </c>
      <c r="O628" s="9" t="s">
        <v>71</v>
      </c>
      <c r="P628" s="9" t="s">
        <v>360</v>
      </c>
      <c r="Q628" s="9">
        <v>112228027</v>
      </c>
      <c r="R628" s="9" t="s">
        <v>73</v>
      </c>
      <c r="S628" s="9" t="s">
        <v>39</v>
      </c>
      <c r="T628" s="11">
        <v>48</v>
      </c>
      <c r="U628" s="15" t="s">
        <v>71</v>
      </c>
      <c r="V628" s="41" t="s">
        <v>360</v>
      </c>
      <c r="W628" s="17">
        <v>112228027</v>
      </c>
      <c r="X628" s="16" t="s">
        <v>2510</v>
      </c>
      <c r="Y628" s="17" t="s">
        <v>2641</v>
      </c>
      <c r="Z628" s="17" t="s">
        <v>39</v>
      </c>
      <c r="AA628" s="17" t="s">
        <v>2501</v>
      </c>
      <c r="AB628" s="29">
        <v>16.850000000000001</v>
      </c>
      <c r="AC628" s="25">
        <v>16.850000000000001</v>
      </c>
      <c r="AD628" s="25">
        <f>AC628*T628</f>
        <v>808.80000000000007</v>
      </c>
      <c r="AE628" s="25">
        <f>AB628*T628</f>
        <v>808.80000000000007</v>
      </c>
      <c r="AF628" s="25">
        <f>AD628-AE628</f>
        <v>0</v>
      </c>
      <c r="AG628" s="26">
        <f>AF628/AD628</f>
        <v>0</v>
      </c>
      <c r="AH628" s="27" t="str">
        <f>IF(AG628&lt;0,"Negative",IF(AG628=0,"Same",IF(AG628&gt;0.3,"30+%",IF(AG628&gt;0.2,"20-30%",IF(AG628&gt;0.1,"10-20%",IF(AG628&lt;=0.1,"0-10%"))))))</f>
        <v>Same</v>
      </c>
      <c r="AI628" s="32"/>
      <c r="AJ628" s="36" t="s">
        <v>3300</v>
      </c>
      <c r="AK628" s="32"/>
    </row>
    <row r="629" spans="1:37" s="1" customFormat="1" ht="19.7" customHeight="1" x14ac:dyDescent="0.25">
      <c r="A629" s="9" t="s">
        <v>22</v>
      </c>
      <c r="B629" s="9" t="s">
        <v>1540</v>
      </c>
      <c r="C629" s="10">
        <v>44407</v>
      </c>
      <c r="D629" s="9" t="s">
        <v>24</v>
      </c>
      <c r="E629" s="9" t="s">
        <v>25</v>
      </c>
      <c r="F629" s="9" t="s">
        <v>26</v>
      </c>
      <c r="G629" s="9" t="s">
        <v>67</v>
      </c>
      <c r="H629" s="9" t="s">
        <v>68</v>
      </c>
      <c r="I629" s="9" t="s">
        <v>29</v>
      </c>
      <c r="J629" s="9" t="s">
        <v>30</v>
      </c>
      <c r="K629" s="9" t="s">
        <v>31</v>
      </c>
      <c r="L629" s="9" t="s">
        <v>32</v>
      </c>
      <c r="M629" s="9" t="s">
        <v>359</v>
      </c>
      <c r="N629" s="9" t="s">
        <v>1541</v>
      </c>
      <c r="O629" s="9" t="s">
        <v>71</v>
      </c>
      <c r="P629" s="9" t="s">
        <v>360</v>
      </c>
      <c r="Q629" s="9">
        <v>112228027</v>
      </c>
      <c r="R629" s="9" t="s">
        <v>73</v>
      </c>
      <c r="S629" s="9" t="s">
        <v>39</v>
      </c>
      <c r="T629" s="11">
        <v>48</v>
      </c>
      <c r="U629" s="15" t="s">
        <v>71</v>
      </c>
      <c r="V629" s="41" t="s">
        <v>360</v>
      </c>
      <c r="W629" s="17">
        <v>112228027</v>
      </c>
      <c r="X629" s="16" t="s">
        <v>2510</v>
      </c>
      <c r="Y629" s="17" t="s">
        <v>2641</v>
      </c>
      <c r="Z629" s="17" t="s">
        <v>39</v>
      </c>
      <c r="AA629" s="17" t="s">
        <v>2501</v>
      </c>
      <c r="AB629" s="29">
        <v>16.850000000000001</v>
      </c>
      <c r="AC629" s="25">
        <v>16.850000000000001</v>
      </c>
      <c r="AD629" s="25">
        <f>AC629*T629</f>
        <v>808.80000000000007</v>
      </c>
      <c r="AE629" s="25">
        <f>AB629*T629</f>
        <v>808.80000000000007</v>
      </c>
      <c r="AF629" s="25">
        <f>AD629-AE629</f>
        <v>0</v>
      </c>
      <c r="AG629" s="26">
        <f>AF629/AD629</f>
        <v>0</v>
      </c>
      <c r="AH629" s="27" t="str">
        <f>IF(AG629&lt;0,"Negative",IF(AG629=0,"Same",IF(AG629&gt;0.3,"30+%",IF(AG629&gt;0.2,"20-30%",IF(AG629&gt;0.1,"10-20%",IF(AG629&lt;=0.1,"0-10%"))))))</f>
        <v>Same</v>
      </c>
      <c r="AI629" s="32"/>
      <c r="AJ629" s="36" t="s">
        <v>3300</v>
      </c>
      <c r="AK629" s="32"/>
    </row>
    <row r="630" spans="1:37" s="1" customFormat="1" ht="19.7" customHeight="1" x14ac:dyDescent="0.25">
      <c r="A630" s="9" t="s">
        <v>22</v>
      </c>
      <c r="B630" s="9" t="s">
        <v>1599</v>
      </c>
      <c r="C630" s="10">
        <v>44421</v>
      </c>
      <c r="D630" s="9" t="s">
        <v>24</v>
      </c>
      <c r="E630" s="9" t="s">
        <v>25</v>
      </c>
      <c r="F630" s="9" t="s">
        <v>26</v>
      </c>
      <c r="G630" s="9" t="s">
        <v>67</v>
      </c>
      <c r="H630" s="9" t="s">
        <v>68</v>
      </c>
      <c r="I630" s="9" t="s">
        <v>29</v>
      </c>
      <c r="J630" s="9" t="s">
        <v>30</v>
      </c>
      <c r="K630" s="9" t="s">
        <v>31</v>
      </c>
      <c r="L630" s="9" t="s">
        <v>32</v>
      </c>
      <c r="M630" s="9" t="s">
        <v>359</v>
      </c>
      <c r="N630" s="9" t="s">
        <v>1600</v>
      </c>
      <c r="O630" s="9" t="s">
        <v>71</v>
      </c>
      <c r="P630" s="9" t="s">
        <v>360</v>
      </c>
      <c r="Q630" s="9">
        <v>112228027</v>
      </c>
      <c r="R630" s="9" t="s">
        <v>73</v>
      </c>
      <c r="S630" s="9" t="s">
        <v>39</v>
      </c>
      <c r="T630" s="11">
        <v>48</v>
      </c>
      <c r="U630" s="15" t="s">
        <v>71</v>
      </c>
      <c r="V630" s="41" t="s">
        <v>360</v>
      </c>
      <c r="W630" s="17">
        <v>112228027</v>
      </c>
      <c r="X630" s="16" t="s">
        <v>2510</v>
      </c>
      <c r="Y630" s="17" t="s">
        <v>2641</v>
      </c>
      <c r="Z630" s="17" t="s">
        <v>39</v>
      </c>
      <c r="AA630" s="17" t="s">
        <v>2501</v>
      </c>
      <c r="AB630" s="29">
        <v>16.850000000000001</v>
      </c>
      <c r="AC630" s="25">
        <v>16.850000000000001</v>
      </c>
      <c r="AD630" s="25">
        <f>AC630*T630</f>
        <v>808.80000000000007</v>
      </c>
      <c r="AE630" s="25">
        <f>AB630*T630</f>
        <v>808.80000000000007</v>
      </c>
      <c r="AF630" s="25">
        <f>AD630-AE630</f>
        <v>0</v>
      </c>
      <c r="AG630" s="26">
        <f>AF630/AD630</f>
        <v>0</v>
      </c>
      <c r="AH630" s="27" t="str">
        <f>IF(AG630&lt;0,"Negative",IF(AG630=0,"Same",IF(AG630&gt;0.3,"30+%",IF(AG630&gt;0.2,"20-30%",IF(AG630&gt;0.1,"10-20%",IF(AG630&lt;=0.1,"0-10%"))))))</f>
        <v>Same</v>
      </c>
      <c r="AI630" s="32"/>
      <c r="AJ630" s="36" t="s">
        <v>3300</v>
      </c>
      <c r="AK630" s="32"/>
    </row>
    <row r="631" spans="1:37" s="1" customFormat="1" ht="19.7" customHeight="1" x14ac:dyDescent="0.25">
      <c r="A631" s="5" t="s">
        <v>22</v>
      </c>
      <c r="B631" s="5" t="s">
        <v>1747</v>
      </c>
      <c r="C631" s="6">
        <v>44452</v>
      </c>
      <c r="D631" s="5" t="s">
        <v>24</v>
      </c>
      <c r="E631" s="5" t="s">
        <v>25</v>
      </c>
      <c r="F631" s="5" t="s">
        <v>26</v>
      </c>
      <c r="G631" s="5" t="s">
        <v>67</v>
      </c>
      <c r="H631" s="5" t="s">
        <v>68</v>
      </c>
      <c r="I631" s="5" t="s">
        <v>29</v>
      </c>
      <c r="J631" s="5" t="s">
        <v>30</v>
      </c>
      <c r="K631" s="5" t="s">
        <v>31</v>
      </c>
      <c r="L631" s="5" t="s">
        <v>32</v>
      </c>
      <c r="M631" s="5" t="s">
        <v>359</v>
      </c>
      <c r="N631" s="5" t="s">
        <v>1748</v>
      </c>
      <c r="O631" s="5" t="s">
        <v>71</v>
      </c>
      <c r="P631" s="5" t="s">
        <v>360</v>
      </c>
      <c r="Q631" s="5">
        <v>112228027</v>
      </c>
      <c r="R631" s="5" t="s">
        <v>73</v>
      </c>
      <c r="S631" s="5" t="s">
        <v>39</v>
      </c>
      <c r="T631" s="7">
        <v>48</v>
      </c>
      <c r="U631" s="15" t="s">
        <v>71</v>
      </c>
      <c r="V631" s="41" t="s">
        <v>360</v>
      </c>
      <c r="W631" s="17">
        <v>112228027</v>
      </c>
      <c r="X631" s="16" t="s">
        <v>2510</v>
      </c>
      <c r="Y631" s="17" t="s">
        <v>2641</v>
      </c>
      <c r="Z631" s="17" t="s">
        <v>39</v>
      </c>
      <c r="AA631" s="17" t="s">
        <v>2501</v>
      </c>
      <c r="AB631" s="29">
        <v>16.850000000000001</v>
      </c>
      <c r="AC631" s="25">
        <v>16.850000000000001</v>
      </c>
      <c r="AD631" s="25">
        <f>AC631*T631</f>
        <v>808.80000000000007</v>
      </c>
      <c r="AE631" s="25">
        <f>AB631*T631</f>
        <v>808.80000000000007</v>
      </c>
      <c r="AF631" s="25">
        <f>AD631-AE631</f>
        <v>0</v>
      </c>
      <c r="AG631" s="26">
        <f>AF631/AD631</f>
        <v>0</v>
      </c>
      <c r="AH631" s="27" t="str">
        <f>IF(AG631&lt;0,"Negative",IF(AG631=0,"Same",IF(AG631&gt;0.3,"30+%",IF(AG631&gt;0.2,"20-30%",IF(AG631&gt;0.1,"10-20%",IF(AG631&lt;=0.1,"0-10%"))))))</f>
        <v>Same</v>
      </c>
      <c r="AI631" s="32"/>
      <c r="AJ631" s="36" t="s">
        <v>3300</v>
      </c>
      <c r="AK631" s="32"/>
    </row>
    <row r="632" spans="1:37" s="1" customFormat="1" ht="19.7" customHeight="1" x14ac:dyDescent="0.25">
      <c r="A632" s="9" t="s">
        <v>22</v>
      </c>
      <c r="B632" s="9" t="s">
        <v>2413</v>
      </c>
      <c r="C632" s="10">
        <v>44582</v>
      </c>
      <c r="D632" s="9" t="s">
        <v>24</v>
      </c>
      <c r="E632" s="9" t="s">
        <v>25</v>
      </c>
      <c r="F632" s="9" t="s">
        <v>26</v>
      </c>
      <c r="G632" s="9" t="s">
        <v>27</v>
      </c>
      <c r="H632" s="9" t="s">
        <v>28</v>
      </c>
      <c r="I632" s="9" t="s">
        <v>29</v>
      </c>
      <c r="J632" s="9" t="s">
        <v>30</v>
      </c>
      <c r="K632" s="9" t="s">
        <v>31</v>
      </c>
      <c r="L632" s="9" t="s">
        <v>32</v>
      </c>
      <c r="M632" s="9" t="s">
        <v>2414</v>
      </c>
      <c r="N632" s="9" t="s">
        <v>2415</v>
      </c>
      <c r="O632" s="9" t="s">
        <v>169</v>
      </c>
      <c r="P632" s="9" t="s">
        <v>2416</v>
      </c>
      <c r="Q632" s="9">
        <v>100777347</v>
      </c>
      <c r="R632" s="9" t="s">
        <v>56</v>
      </c>
      <c r="S632" s="9" t="s">
        <v>39</v>
      </c>
      <c r="T632" s="11">
        <v>2</v>
      </c>
      <c r="U632" s="15" t="s">
        <v>169</v>
      </c>
      <c r="V632" s="16" t="s">
        <v>2416</v>
      </c>
      <c r="W632" s="17">
        <v>100777347</v>
      </c>
      <c r="X632" s="16" t="s">
        <v>3268</v>
      </c>
      <c r="Y632" s="17" t="s">
        <v>3269</v>
      </c>
      <c r="Z632" s="17" t="s">
        <v>39</v>
      </c>
      <c r="AA632" s="17" t="s">
        <v>37</v>
      </c>
      <c r="AB632" s="43">
        <v>58.29</v>
      </c>
      <c r="AC632" s="25">
        <v>65.02</v>
      </c>
      <c r="AD632" s="25">
        <f>AC632*T632</f>
        <v>130.04</v>
      </c>
      <c r="AE632" s="25">
        <f>AB632*T632</f>
        <v>116.58</v>
      </c>
      <c r="AF632" s="25">
        <f>AD632-AE632</f>
        <v>13.459999999999994</v>
      </c>
      <c r="AG632" s="26">
        <f>AF632/AD632</f>
        <v>0.1035066133497385</v>
      </c>
      <c r="AH632" s="27" t="str">
        <f>IF(AG632&lt;0,"Negative",IF(AG632=0,"Same",IF(AG632&gt;0.3,"30+%",IF(AG632&gt;0.2,"20-30%",IF(AG632&gt;0.1,"10-20%",IF(AG632&lt;=0.1,"0-10%"))))))</f>
        <v>10-20%</v>
      </c>
      <c r="AI632" s="32"/>
      <c r="AJ632" s="36" t="s">
        <v>3299</v>
      </c>
      <c r="AK632" s="32"/>
    </row>
    <row r="633" spans="1:37" s="1" customFormat="1" ht="19.7" customHeight="1" x14ac:dyDescent="0.25">
      <c r="A633" s="5" t="s">
        <v>22</v>
      </c>
      <c r="B633" s="5" t="s">
        <v>2436</v>
      </c>
      <c r="C633" s="6">
        <v>44582</v>
      </c>
      <c r="D633" s="5" t="s">
        <v>24</v>
      </c>
      <c r="E633" s="5" t="s">
        <v>25</v>
      </c>
      <c r="F633" s="5" t="s">
        <v>26</v>
      </c>
      <c r="G633" s="5" t="s">
        <v>67</v>
      </c>
      <c r="H633" s="5" t="s">
        <v>68</v>
      </c>
      <c r="I633" s="5" t="s">
        <v>29</v>
      </c>
      <c r="J633" s="5" t="s">
        <v>30</v>
      </c>
      <c r="K633" s="5" t="s">
        <v>31</v>
      </c>
      <c r="L633" s="5" t="s">
        <v>32</v>
      </c>
      <c r="M633" s="5" t="s">
        <v>294</v>
      </c>
      <c r="N633" s="5" t="s">
        <v>2437</v>
      </c>
      <c r="O633" s="5" t="s">
        <v>71</v>
      </c>
      <c r="P633" s="5" t="s">
        <v>295</v>
      </c>
      <c r="Q633" s="5">
        <v>112430049</v>
      </c>
      <c r="R633" s="5" t="s">
        <v>76</v>
      </c>
      <c r="S633" s="5" t="s">
        <v>77</v>
      </c>
      <c r="T633" s="7">
        <v>72</v>
      </c>
      <c r="U633" s="15" t="s">
        <v>71</v>
      </c>
      <c r="V633" s="41" t="s">
        <v>295</v>
      </c>
      <c r="W633" s="17">
        <v>112430049</v>
      </c>
      <c r="X633" s="16" t="s">
        <v>2512</v>
      </c>
      <c r="Y633" s="17" t="s">
        <v>2612</v>
      </c>
      <c r="Z633" s="17" t="s">
        <v>77</v>
      </c>
      <c r="AA633" s="17" t="s">
        <v>37</v>
      </c>
      <c r="AB633" s="29">
        <v>59.73</v>
      </c>
      <c r="AC633" s="25">
        <v>59.73</v>
      </c>
      <c r="AD633" s="25">
        <f>AC633*T633</f>
        <v>4300.5599999999995</v>
      </c>
      <c r="AE633" s="25">
        <f>AB633*T633</f>
        <v>4300.5599999999995</v>
      </c>
      <c r="AF633" s="25">
        <f>AD633-AE633</f>
        <v>0</v>
      </c>
      <c r="AG633" s="26">
        <f>AF633/AD633</f>
        <v>0</v>
      </c>
      <c r="AH633" s="27" t="str">
        <f>IF(AG633&lt;0,"Negative",IF(AG633=0,"Same",IF(AG633&gt;0.3,"30+%",IF(AG633&gt;0.2,"20-30%",IF(AG633&gt;0.1,"10-20%",IF(AG633&lt;=0.1,"0-10%"))))))</f>
        <v>Same</v>
      </c>
      <c r="AI633" s="32"/>
      <c r="AJ633" s="36" t="s">
        <v>3300</v>
      </c>
      <c r="AK633" s="32"/>
    </row>
    <row r="634" spans="1:37" s="1" customFormat="1" ht="19.7" customHeight="1" x14ac:dyDescent="0.25">
      <c r="A634" s="9" t="s">
        <v>22</v>
      </c>
      <c r="B634" s="9" t="s">
        <v>1528</v>
      </c>
      <c r="C634" s="10">
        <v>44407</v>
      </c>
      <c r="D634" s="9" t="s">
        <v>24</v>
      </c>
      <c r="E634" s="9" t="s">
        <v>25</v>
      </c>
      <c r="F634" s="9" t="s">
        <v>26</v>
      </c>
      <c r="G634" s="9" t="s">
        <v>27</v>
      </c>
      <c r="H634" s="9" t="s">
        <v>28</v>
      </c>
      <c r="I634" s="9" t="s">
        <v>29</v>
      </c>
      <c r="J634" s="9" t="s">
        <v>30</v>
      </c>
      <c r="K634" s="9" t="s">
        <v>31</v>
      </c>
      <c r="L634" s="9" t="s">
        <v>32</v>
      </c>
      <c r="M634" s="9" t="s">
        <v>1529</v>
      </c>
      <c r="N634" s="9" t="s">
        <v>1530</v>
      </c>
      <c r="O634" s="9" t="s">
        <v>334</v>
      </c>
      <c r="P634" s="9" t="s">
        <v>1531</v>
      </c>
      <c r="Q634" s="9">
        <v>111624292</v>
      </c>
      <c r="R634" s="9" t="s">
        <v>38</v>
      </c>
      <c r="S634" s="9" t="s">
        <v>39</v>
      </c>
      <c r="T634" s="11">
        <v>1</v>
      </c>
      <c r="U634" s="15" t="s">
        <v>334</v>
      </c>
      <c r="V634" s="16" t="s">
        <v>1531</v>
      </c>
      <c r="W634" s="17">
        <v>111624292</v>
      </c>
      <c r="X634" s="16" t="s">
        <v>2629</v>
      </c>
      <c r="Y634" s="17" t="s">
        <v>3068</v>
      </c>
      <c r="Z634" s="17" t="s">
        <v>39</v>
      </c>
      <c r="AA634" s="17" t="s">
        <v>37</v>
      </c>
      <c r="AB634" s="29">
        <v>21.94</v>
      </c>
      <c r="AC634" s="25">
        <v>22.44</v>
      </c>
      <c r="AD634" s="25">
        <f>AC634*T634</f>
        <v>22.44</v>
      </c>
      <c r="AE634" s="25">
        <f>AB634*T634</f>
        <v>21.94</v>
      </c>
      <c r="AF634" s="25">
        <f>AD634-AE634</f>
        <v>0.5</v>
      </c>
      <c r="AG634" s="26">
        <f>AF634/AD634</f>
        <v>2.2281639928698752E-2</v>
      </c>
      <c r="AH634" s="27" t="str">
        <f>IF(AG634&lt;0,"Negative",IF(AG634=0,"Same",IF(AG634&gt;0.3,"30+%",IF(AG634&gt;0.2,"20-30%",IF(AG634&gt;0.1,"10-20%",IF(AG634&lt;=0.1,"0-10%"))))))</f>
        <v>0-10%</v>
      </c>
      <c r="AI634" s="32"/>
      <c r="AJ634" s="36" t="s">
        <v>3300</v>
      </c>
      <c r="AK634" s="32"/>
    </row>
    <row r="635" spans="1:37" s="1" customFormat="1" ht="19.7" customHeight="1" x14ac:dyDescent="0.25">
      <c r="A635" s="9" t="s">
        <v>22</v>
      </c>
      <c r="B635" s="9" t="s">
        <v>1799</v>
      </c>
      <c r="C635" s="10">
        <v>44466</v>
      </c>
      <c r="D635" s="9" t="s">
        <v>24</v>
      </c>
      <c r="E635" s="9" t="s">
        <v>25</v>
      </c>
      <c r="F635" s="9" t="s">
        <v>26</v>
      </c>
      <c r="G635" s="9" t="s">
        <v>67</v>
      </c>
      <c r="H635" s="9" t="s">
        <v>68</v>
      </c>
      <c r="I635" s="9" t="s">
        <v>29</v>
      </c>
      <c r="J635" s="9" t="s">
        <v>30</v>
      </c>
      <c r="K635" s="9" t="s">
        <v>31</v>
      </c>
      <c r="L635" s="9" t="s">
        <v>32</v>
      </c>
      <c r="M635" s="9" t="s">
        <v>1803</v>
      </c>
      <c r="N635" s="9" t="s">
        <v>1801</v>
      </c>
      <c r="O635" s="9" t="s">
        <v>175</v>
      </c>
      <c r="P635" s="9" t="s">
        <v>1804</v>
      </c>
      <c r="Q635" s="9">
        <v>102197757</v>
      </c>
      <c r="R635" s="9" t="s">
        <v>61</v>
      </c>
      <c r="S635" s="9" t="s">
        <v>39</v>
      </c>
      <c r="T635" s="11">
        <v>1</v>
      </c>
      <c r="U635" s="15" t="s">
        <v>175</v>
      </c>
      <c r="V635" s="16" t="s">
        <v>1804</v>
      </c>
      <c r="W635" s="17">
        <v>102197757</v>
      </c>
      <c r="X635" s="16" t="s">
        <v>2559</v>
      </c>
      <c r="Y635" s="17" t="s">
        <v>3136</v>
      </c>
      <c r="Z635" s="17" t="s">
        <v>39</v>
      </c>
      <c r="AA635" s="17" t="s">
        <v>37</v>
      </c>
      <c r="AB635" s="29">
        <v>26.22</v>
      </c>
      <c r="AC635" s="25">
        <v>26.78</v>
      </c>
      <c r="AD635" s="25">
        <f>AC635*T635</f>
        <v>26.78</v>
      </c>
      <c r="AE635" s="25">
        <f>AB635*T635</f>
        <v>26.22</v>
      </c>
      <c r="AF635" s="25">
        <f>AD635-AE635</f>
        <v>0.56000000000000227</v>
      </c>
      <c r="AG635" s="26">
        <f>AF635/AD635</f>
        <v>2.0911127707244296E-2</v>
      </c>
      <c r="AH635" s="27" t="str">
        <f>IF(AG635&lt;0,"Negative",IF(AG635=0,"Same",IF(AG635&gt;0.3,"30+%",IF(AG635&gt;0.2,"20-30%",IF(AG635&gt;0.1,"10-20%",IF(AG635&lt;=0.1,"0-10%"))))))</f>
        <v>0-10%</v>
      </c>
      <c r="AI635" s="32"/>
      <c r="AJ635" s="36" t="s">
        <v>3300</v>
      </c>
      <c r="AK635" s="32"/>
    </row>
    <row r="636" spans="1:37" s="1" customFormat="1" ht="19.7" customHeight="1" x14ac:dyDescent="0.25">
      <c r="A636" s="9" t="s">
        <v>22</v>
      </c>
      <c r="B636" s="9" t="s">
        <v>1757</v>
      </c>
      <c r="C636" s="10">
        <v>44454</v>
      </c>
      <c r="D636" s="9" t="s">
        <v>24</v>
      </c>
      <c r="E636" s="9" t="s">
        <v>25</v>
      </c>
      <c r="F636" s="9" t="s">
        <v>26</v>
      </c>
      <c r="G636" s="9" t="s">
        <v>27</v>
      </c>
      <c r="H636" s="9" t="s">
        <v>28</v>
      </c>
      <c r="I636" s="9" t="s">
        <v>29</v>
      </c>
      <c r="J636" s="9" t="s">
        <v>30</v>
      </c>
      <c r="K636" s="9" t="s">
        <v>31</v>
      </c>
      <c r="L636" s="9" t="s">
        <v>32</v>
      </c>
      <c r="M636" s="9" t="s">
        <v>92</v>
      </c>
      <c r="N636" s="9" t="s">
        <v>1758</v>
      </c>
      <c r="O636" s="9" t="s">
        <v>89</v>
      </c>
      <c r="P636" s="9" t="s">
        <v>94</v>
      </c>
      <c r="Q636" s="9">
        <v>100747885</v>
      </c>
      <c r="R636" s="9" t="s">
        <v>45</v>
      </c>
      <c r="S636" s="9" t="s">
        <v>39</v>
      </c>
      <c r="T636" s="11">
        <v>1</v>
      </c>
      <c r="U636" s="15" t="s">
        <v>89</v>
      </c>
      <c r="V636" s="16" t="s">
        <v>94</v>
      </c>
      <c r="W636" s="17">
        <v>100747885</v>
      </c>
      <c r="X636" s="16" t="s">
        <v>2520</v>
      </c>
      <c r="Y636" s="17" t="s">
        <v>2521</v>
      </c>
      <c r="Z636" s="17" t="s">
        <v>39</v>
      </c>
      <c r="AA636" s="17" t="s">
        <v>37</v>
      </c>
      <c r="AB636" s="43">
        <v>14.83</v>
      </c>
      <c r="AC636" s="25">
        <v>17.39</v>
      </c>
      <c r="AD636" s="25">
        <f>AC636*T636</f>
        <v>17.39</v>
      </c>
      <c r="AE636" s="25">
        <f>AB636*T636</f>
        <v>14.83</v>
      </c>
      <c r="AF636" s="25">
        <f>AD636-AE636</f>
        <v>2.5600000000000005</v>
      </c>
      <c r="AG636" s="26">
        <f>AF636/AD636</f>
        <v>0.14721104082806213</v>
      </c>
      <c r="AH636" s="27" t="str">
        <f>IF(AG636&lt;0,"Negative",IF(AG636=0,"Same",IF(AG636&gt;0.3,"30+%",IF(AG636&gt;0.2,"20-30%",IF(AG636&gt;0.1,"10-20%",IF(AG636&lt;=0.1,"0-10%"))))))</f>
        <v>10-20%</v>
      </c>
      <c r="AI636" s="32"/>
      <c r="AJ636" s="36" t="s">
        <v>3300</v>
      </c>
      <c r="AK636" s="32"/>
    </row>
    <row r="637" spans="1:37" s="1" customFormat="1" ht="19.7" customHeight="1" x14ac:dyDescent="0.25">
      <c r="A637" s="9" t="s">
        <v>22</v>
      </c>
      <c r="B637" s="9" t="s">
        <v>91</v>
      </c>
      <c r="C637" s="10">
        <v>44232</v>
      </c>
      <c r="D637" s="9" t="s">
        <v>24</v>
      </c>
      <c r="E637" s="9" t="s">
        <v>25</v>
      </c>
      <c r="F637" s="9" t="s">
        <v>26</v>
      </c>
      <c r="G637" s="9" t="s">
        <v>27</v>
      </c>
      <c r="H637" s="9" t="s">
        <v>28</v>
      </c>
      <c r="I637" s="9" t="s">
        <v>29</v>
      </c>
      <c r="J637" s="9" t="s">
        <v>30</v>
      </c>
      <c r="K637" s="9" t="s">
        <v>31</v>
      </c>
      <c r="L637" s="9" t="s">
        <v>32</v>
      </c>
      <c r="M637" s="9" t="s">
        <v>92</v>
      </c>
      <c r="N637" s="9" t="s">
        <v>93</v>
      </c>
      <c r="O637" s="9" t="s">
        <v>89</v>
      </c>
      <c r="P637" s="9" t="s">
        <v>94</v>
      </c>
      <c r="Q637" s="9">
        <v>100747885</v>
      </c>
      <c r="R637" s="9" t="s">
        <v>45</v>
      </c>
      <c r="S637" s="9" t="s">
        <v>39</v>
      </c>
      <c r="T637" s="11">
        <v>1</v>
      </c>
      <c r="U637" s="15" t="s">
        <v>89</v>
      </c>
      <c r="V637" s="16" t="s">
        <v>94</v>
      </c>
      <c r="W637" s="17">
        <v>100747885</v>
      </c>
      <c r="X637" s="16" t="s">
        <v>2520</v>
      </c>
      <c r="Y637" s="17" t="s">
        <v>2521</v>
      </c>
      <c r="Z637" s="17" t="s">
        <v>39</v>
      </c>
      <c r="AA637" s="17" t="s">
        <v>37</v>
      </c>
      <c r="AB637" s="43">
        <v>14.83</v>
      </c>
      <c r="AC637" s="25">
        <v>17.39</v>
      </c>
      <c r="AD637" s="25">
        <f>AC637*T637</f>
        <v>17.39</v>
      </c>
      <c r="AE637" s="25">
        <f>AB637*T637</f>
        <v>14.83</v>
      </c>
      <c r="AF637" s="25">
        <f>AD637-AE637</f>
        <v>2.5600000000000005</v>
      </c>
      <c r="AG637" s="26">
        <f>AF637/AD637</f>
        <v>0.14721104082806213</v>
      </c>
      <c r="AH637" s="27" t="str">
        <f>IF(AG637&lt;0,"Negative",IF(AG637=0,"Same",IF(AG637&gt;0.3,"30+%",IF(AG637&gt;0.2,"20-30%",IF(AG637&gt;0.1,"10-20%",IF(AG637&lt;=0.1,"0-10%"))))))</f>
        <v>10-20%</v>
      </c>
      <c r="AI637" s="32"/>
      <c r="AJ637" s="36" t="s">
        <v>3300</v>
      </c>
      <c r="AK637" s="32"/>
    </row>
    <row r="638" spans="1:37" s="1" customFormat="1" ht="19.7" customHeight="1" x14ac:dyDescent="0.25">
      <c r="A638" s="5" t="s">
        <v>22</v>
      </c>
      <c r="B638" s="5" t="s">
        <v>793</v>
      </c>
      <c r="C638" s="6">
        <v>44302</v>
      </c>
      <c r="D638" s="5" t="s">
        <v>24</v>
      </c>
      <c r="E638" s="5" t="s">
        <v>25</v>
      </c>
      <c r="F638" s="5" t="s">
        <v>26</v>
      </c>
      <c r="G638" s="5" t="s">
        <v>27</v>
      </c>
      <c r="H638" s="5" t="s">
        <v>28</v>
      </c>
      <c r="I638" s="5" t="s">
        <v>29</v>
      </c>
      <c r="J638" s="5" t="s">
        <v>30</v>
      </c>
      <c r="K638" s="5" t="s">
        <v>31</v>
      </c>
      <c r="L638" s="5" t="s">
        <v>32</v>
      </c>
      <c r="M638" s="5" t="s">
        <v>794</v>
      </c>
      <c r="N638" s="5" t="s">
        <v>605</v>
      </c>
      <c r="O638" s="5" t="s">
        <v>89</v>
      </c>
      <c r="P638" s="5" t="s">
        <v>795</v>
      </c>
      <c r="Q638" s="5">
        <v>100747825</v>
      </c>
      <c r="R638" s="5" t="s">
        <v>45</v>
      </c>
      <c r="S638" s="5" t="s">
        <v>39</v>
      </c>
      <c r="T638" s="7">
        <v>2</v>
      </c>
      <c r="U638" s="15" t="s">
        <v>89</v>
      </c>
      <c r="V638" s="16" t="s">
        <v>795</v>
      </c>
      <c r="W638" s="17">
        <v>100747825</v>
      </c>
      <c r="X638" s="16" t="s">
        <v>2520</v>
      </c>
      <c r="Y638" s="17" t="s">
        <v>2820</v>
      </c>
      <c r="Z638" s="17" t="s">
        <v>39</v>
      </c>
      <c r="AA638" s="17" t="s">
        <v>37</v>
      </c>
      <c r="AB638" s="43">
        <v>14.12</v>
      </c>
      <c r="AC638" s="25">
        <v>17.39</v>
      </c>
      <c r="AD638" s="25">
        <f>AC638*T638</f>
        <v>34.78</v>
      </c>
      <c r="AE638" s="25">
        <f>AB638*T638</f>
        <v>28.24</v>
      </c>
      <c r="AF638" s="25">
        <f>AD638-AE638</f>
        <v>6.5400000000000027</v>
      </c>
      <c r="AG638" s="26">
        <f>AF638/AD638</f>
        <v>0.18803910293272003</v>
      </c>
      <c r="AH638" s="27" t="str">
        <f>IF(AG638&lt;0,"Negative",IF(AG638=0,"Same",IF(AG638&gt;0.3,"30+%",IF(AG638&gt;0.2,"20-30%",IF(AG638&gt;0.1,"10-20%",IF(AG638&lt;=0.1,"0-10%"))))))</f>
        <v>10-20%</v>
      </c>
      <c r="AI638" s="32"/>
      <c r="AJ638" s="36" t="s">
        <v>3299</v>
      </c>
      <c r="AK638" s="32"/>
    </row>
    <row r="639" spans="1:37" s="1" customFormat="1" ht="19.7" customHeight="1" x14ac:dyDescent="0.25">
      <c r="A639" s="9" t="s">
        <v>22</v>
      </c>
      <c r="B639" s="9" t="s">
        <v>2274</v>
      </c>
      <c r="C639" s="10">
        <v>44559</v>
      </c>
      <c r="D639" s="9" t="s">
        <v>24</v>
      </c>
      <c r="E639" s="9" t="s">
        <v>25</v>
      </c>
      <c r="F639" s="9" t="s">
        <v>26</v>
      </c>
      <c r="G639" s="9" t="s">
        <v>67</v>
      </c>
      <c r="H639" s="9" t="s">
        <v>68</v>
      </c>
      <c r="I639" s="9" t="s">
        <v>29</v>
      </c>
      <c r="J639" s="9" t="s">
        <v>30</v>
      </c>
      <c r="K639" s="9" t="s">
        <v>31</v>
      </c>
      <c r="L639" s="9" t="s">
        <v>32</v>
      </c>
      <c r="M639" s="9" t="s">
        <v>352</v>
      </c>
      <c r="N639" s="9" t="s">
        <v>2275</v>
      </c>
      <c r="O639" s="9" t="s">
        <v>353</v>
      </c>
      <c r="P639" s="9" t="s">
        <v>354</v>
      </c>
      <c r="Q639" s="9">
        <v>102085628</v>
      </c>
      <c r="R639" s="9" t="s">
        <v>299</v>
      </c>
      <c r="S639" s="9" t="s">
        <v>39</v>
      </c>
      <c r="T639" s="11">
        <v>1</v>
      </c>
      <c r="U639" s="15" t="s">
        <v>353</v>
      </c>
      <c r="V639" s="16" t="s">
        <v>354</v>
      </c>
      <c r="W639" s="17">
        <v>102085628</v>
      </c>
      <c r="X639" s="16" t="s">
        <v>2638</v>
      </c>
      <c r="Y639" s="17" t="s">
        <v>2639</v>
      </c>
      <c r="Z639" s="17" t="s">
        <v>39</v>
      </c>
      <c r="AA639" s="17" t="s">
        <v>37</v>
      </c>
      <c r="AB639" s="29">
        <v>26.73</v>
      </c>
      <c r="AC639" s="25">
        <v>27.18</v>
      </c>
      <c r="AD639" s="25">
        <f>AC639*T639</f>
        <v>27.18</v>
      </c>
      <c r="AE639" s="25">
        <f>AB639*T639</f>
        <v>26.73</v>
      </c>
      <c r="AF639" s="25">
        <f>AD639-AE639</f>
        <v>0.44999999999999929</v>
      </c>
      <c r="AG639" s="26">
        <f>AF639/AD639</f>
        <v>1.655629139072845E-2</v>
      </c>
      <c r="AH639" s="27" t="str">
        <f>IF(AG639&lt;0,"Negative",IF(AG639=0,"Same",IF(AG639&gt;0.3,"30+%",IF(AG639&gt;0.2,"20-30%",IF(AG639&gt;0.1,"10-20%",IF(AG639&lt;=0.1,"0-10%"))))))</f>
        <v>0-10%</v>
      </c>
      <c r="AI639" s="32"/>
      <c r="AJ639" s="36" t="s">
        <v>3299</v>
      </c>
      <c r="AK639" s="32"/>
    </row>
    <row r="640" spans="1:37" s="1" customFormat="1" ht="19.7" customHeight="1" x14ac:dyDescent="0.25">
      <c r="A640" s="5" t="s">
        <v>22</v>
      </c>
      <c r="B640" s="5" t="s">
        <v>2243</v>
      </c>
      <c r="C640" s="6">
        <v>44551</v>
      </c>
      <c r="D640" s="5" t="s">
        <v>24</v>
      </c>
      <c r="E640" s="5" t="s">
        <v>25</v>
      </c>
      <c r="F640" s="5" t="s">
        <v>26</v>
      </c>
      <c r="G640" s="5" t="s">
        <v>67</v>
      </c>
      <c r="H640" s="5" t="s">
        <v>68</v>
      </c>
      <c r="I640" s="5" t="s">
        <v>29</v>
      </c>
      <c r="J640" s="5" t="s">
        <v>30</v>
      </c>
      <c r="K640" s="5" t="s">
        <v>31</v>
      </c>
      <c r="L640" s="5" t="s">
        <v>32</v>
      </c>
      <c r="M640" s="5" t="s">
        <v>352</v>
      </c>
      <c r="N640" s="5" t="s">
        <v>1746</v>
      </c>
      <c r="O640" s="5" t="s">
        <v>353</v>
      </c>
      <c r="P640" s="5" t="s">
        <v>354</v>
      </c>
      <c r="Q640" s="5">
        <v>102085628</v>
      </c>
      <c r="R640" s="5" t="s">
        <v>299</v>
      </c>
      <c r="S640" s="5" t="s">
        <v>39</v>
      </c>
      <c r="T640" s="7">
        <v>1</v>
      </c>
      <c r="U640" s="15" t="s">
        <v>353</v>
      </c>
      <c r="V640" s="16" t="s">
        <v>354</v>
      </c>
      <c r="W640" s="17">
        <v>102085628</v>
      </c>
      <c r="X640" s="16" t="s">
        <v>2638</v>
      </c>
      <c r="Y640" s="17" t="s">
        <v>2639</v>
      </c>
      <c r="Z640" s="17" t="s">
        <v>39</v>
      </c>
      <c r="AA640" s="17" t="s">
        <v>37</v>
      </c>
      <c r="AB640" s="29">
        <v>26.73</v>
      </c>
      <c r="AC640" s="25">
        <v>27.18</v>
      </c>
      <c r="AD640" s="25">
        <f>AC640*T640</f>
        <v>27.18</v>
      </c>
      <c r="AE640" s="25">
        <f>AB640*T640</f>
        <v>26.73</v>
      </c>
      <c r="AF640" s="25">
        <f>AD640-AE640</f>
        <v>0.44999999999999929</v>
      </c>
      <c r="AG640" s="26">
        <f>AF640/AD640</f>
        <v>1.655629139072845E-2</v>
      </c>
      <c r="AH640" s="27" t="str">
        <f>IF(AG640&lt;0,"Negative",IF(AG640=0,"Same",IF(AG640&gt;0.3,"30+%",IF(AG640&gt;0.2,"20-30%",IF(AG640&gt;0.1,"10-20%",IF(AG640&lt;=0.1,"0-10%"))))))</f>
        <v>0-10%</v>
      </c>
      <c r="AI640" s="32"/>
      <c r="AJ640" s="36" t="s">
        <v>3299</v>
      </c>
      <c r="AK640" s="32"/>
    </row>
    <row r="641" spans="1:37" s="1" customFormat="1" ht="19.7" customHeight="1" x14ac:dyDescent="0.25">
      <c r="A641" s="5" t="s">
        <v>22</v>
      </c>
      <c r="B641" s="5" t="s">
        <v>2300</v>
      </c>
      <c r="C641" s="6">
        <v>44565</v>
      </c>
      <c r="D641" s="5" t="s">
        <v>24</v>
      </c>
      <c r="E641" s="5" t="s">
        <v>25</v>
      </c>
      <c r="F641" s="5" t="s">
        <v>26</v>
      </c>
      <c r="G641" s="5" t="s">
        <v>27</v>
      </c>
      <c r="H641" s="5" t="s">
        <v>28</v>
      </c>
      <c r="I641" s="5" t="s">
        <v>29</v>
      </c>
      <c r="J641" s="5" t="s">
        <v>30</v>
      </c>
      <c r="K641" s="5" t="s">
        <v>31</v>
      </c>
      <c r="L641" s="5" t="s">
        <v>32</v>
      </c>
      <c r="M641" s="5" t="s">
        <v>261</v>
      </c>
      <c r="N641" s="5" t="s">
        <v>2301</v>
      </c>
      <c r="O641" s="5" t="s">
        <v>1327</v>
      </c>
      <c r="P641" s="5" t="s">
        <v>2302</v>
      </c>
      <c r="Q641" s="5">
        <v>100789070</v>
      </c>
      <c r="R641" s="5" t="s">
        <v>56</v>
      </c>
      <c r="S641" s="5" t="s">
        <v>39</v>
      </c>
      <c r="T641" s="7">
        <v>1</v>
      </c>
      <c r="U641" s="15" t="s">
        <v>1327</v>
      </c>
      <c r="V641" s="16" t="s">
        <v>2302</v>
      </c>
      <c r="W641" s="17">
        <v>100789070</v>
      </c>
      <c r="X641" s="16" t="s">
        <v>3153</v>
      </c>
      <c r="Y641" s="17" t="s">
        <v>3242</v>
      </c>
      <c r="Z641" s="17" t="s">
        <v>39</v>
      </c>
      <c r="AA641" s="17" t="s">
        <v>37</v>
      </c>
      <c r="AB641" s="43">
        <v>445.54</v>
      </c>
      <c r="AC641" s="25">
        <v>465.6</v>
      </c>
      <c r="AD641" s="25">
        <f>AC641*T641</f>
        <v>465.6</v>
      </c>
      <c r="AE641" s="25">
        <f>AB641*T641</f>
        <v>445.54</v>
      </c>
      <c r="AF641" s="25">
        <f>AD641-AE641</f>
        <v>20.060000000000002</v>
      </c>
      <c r="AG641" s="26">
        <f>AF641/AD641</f>
        <v>4.3084192439862543E-2</v>
      </c>
      <c r="AH641" s="27" t="str">
        <f>IF(AG641&lt;0,"Negative",IF(AG641=0,"Same",IF(AG641&gt;0.3,"30+%",IF(AG641&gt;0.2,"20-30%",IF(AG641&gt;0.1,"10-20%",IF(AG641&lt;=0.1,"0-10%"))))))</f>
        <v>0-10%</v>
      </c>
      <c r="AI641" s="32"/>
      <c r="AJ641" s="36" t="s">
        <v>3300</v>
      </c>
      <c r="AK641" s="32"/>
    </row>
    <row r="642" spans="1:37" s="1" customFormat="1" ht="19.7" customHeight="1" x14ac:dyDescent="0.25">
      <c r="A642" s="5" t="s">
        <v>22</v>
      </c>
      <c r="B642" s="5" t="s">
        <v>1978</v>
      </c>
      <c r="C642" s="6">
        <v>44494</v>
      </c>
      <c r="D642" s="5" t="s">
        <v>24</v>
      </c>
      <c r="E642" s="5" t="s">
        <v>25</v>
      </c>
      <c r="F642" s="5" t="s">
        <v>26</v>
      </c>
      <c r="G642" s="5" t="s">
        <v>67</v>
      </c>
      <c r="H642" s="5" t="s">
        <v>68</v>
      </c>
      <c r="I642" s="5" t="s">
        <v>29</v>
      </c>
      <c r="J642" s="5" t="s">
        <v>30</v>
      </c>
      <c r="K642" s="5" t="s">
        <v>31</v>
      </c>
      <c r="L642" s="5" t="s">
        <v>32</v>
      </c>
      <c r="M642" s="5" t="s">
        <v>486</v>
      </c>
      <c r="N642" s="5" t="s">
        <v>1979</v>
      </c>
      <c r="O642" s="5" t="s">
        <v>487</v>
      </c>
      <c r="P642" s="5" t="s">
        <v>488</v>
      </c>
      <c r="Q642" s="5">
        <v>102071638</v>
      </c>
      <c r="R642" s="5" t="s">
        <v>299</v>
      </c>
      <c r="S642" s="5" t="s">
        <v>39</v>
      </c>
      <c r="T642" s="7">
        <v>12</v>
      </c>
      <c r="U642" s="15" t="s">
        <v>487</v>
      </c>
      <c r="V642" s="16" t="s">
        <v>488</v>
      </c>
      <c r="W642" s="17">
        <v>102071638</v>
      </c>
      <c r="X642" s="16" t="s">
        <v>2613</v>
      </c>
      <c r="Y642" s="17" t="s">
        <v>2696</v>
      </c>
      <c r="Z642" s="17" t="s">
        <v>39</v>
      </c>
      <c r="AA642" s="17" t="s">
        <v>37</v>
      </c>
      <c r="AB642" s="43">
        <v>10.51</v>
      </c>
      <c r="AC642" s="25">
        <v>13.9</v>
      </c>
      <c r="AD642" s="25">
        <f>AC642*T642</f>
        <v>166.8</v>
      </c>
      <c r="AE642" s="25">
        <f>AB642*T642</f>
        <v>126.12</v>
      </c>
      <c r="AF642" s="25">
        <f>AD642-AE642</f>
        <v>40.680000000000007</v>
      </c>
      <c r="AG642" s="26">
        <f>AF642/AD642</f>
        <v>0.24388489208633096</v>
      </c>
      <c r="AH642" s="27" t="str">
        <f>IF(AG642&lt;0,"Negative",IF(AG642=0,"Same",IF(AG642&gt;0.3,"30+%",IF(AG642&gt;0.2,"20-30%",IF(AG642&gt;0.1,"10-20%",IF(AG642&lt;=0.1,"0-10%"))))))</f>
        <v>20-30%</v>
      </c>
      <c r="AI642" s="32"/>
      <c r="AJ642" s="36" t="s">
        <v>3299</v>
      </c>
      <c r="AK642" s="32"/>
    </row>
    <row r="643" spans="1:37" s="1" customFormat="1" ht="19.7" customHeight="1" x14ac:dyDescent="0.25">
      <c r="A643" s="5" t="s">
        <v>22</v>
      </c>
      <c r="B643" s="5" t="s">
        <v>1866</v>
      </c>
      <c r="C643" s="6">
        <v>44473</v>
      </c>
      <c r="D643" s="5" t="s">
        <v>24</v>
      </c>
      <c r="E643" s="5" t="s">
        <v>25</v>
      </c>
      <c r="F643" s="5" t="s">
        <v>26</v>
      </c>
      <c r="G643" s="5" t="s">
        <v>67</v>
      </c>
      <c r="H643" s="5" t="s">
        <v>68</v>
      </c>
      <c r="I643" s="5" t="s">
        <v>29</v>
      </c>
      <c r="J643" s="5" t="s">
        <v>30</v>
      </c>
      <c r="K643" s="5" t="s">
        <v>31</v>
      </c>
      <c r="L643" s="5" t="s">
        <v>32</v>
      </c>
      <c r="M643" s="5" t="s">
        <v>486</v>
      </c>
      <c r="N643" s="5" t="s">
        <v>1867</v>
      </c>
      <c r="O643" s="5" t="s">
        <v>487</v>
      </c>
      <c r="P643" s="5" t="s">
        <v>488</v>
      </c>
      <c r="Q643" s="5">
        <v>102071638</v>
      </c>
      <c r="R643" s="5" t="s">
        <v>299</v>
      </c>
      <c r="S643" s="5" t="s">
        <v>39</v>
      </c>
      <c r="T643" s="7">
        <v>12</v>
      </c>
      <c r="U643" s="15" t="s">
        <v>487</v>
      </c>
      <c r="V643" s="16" t="s">
        <v>488</v>
      </c>
      <c r="W643" s="17">
        <v>102071638</v>
      </c>
      <c r="X643" s="16" t="s">
        <v>2613</v>
      </c>
      <c r="Y643" s="17" t="s">
        <v>2696</v>
      </c>
      <c r="Z643" s="17" t="s">
        <v>39</v>
      </c>
      <c r="AA643" s="17" t="s">
        <v>37</v>
      </c>
      <c r="AB643" s="43">
        <v>10.51</v>
      </c>
      <c r="AC643" s="25">
        <v>13.9</v>
      </c>
      <c r="AD643" s="25">
        <f>AC643*T643</f>
        <v>166.8</v>
      </c>
      <c r="AE643" s="25">
        <f>AB643*T643</f>
        <v>126.12</v>
      </c>
      <c r="AF643" s="25">
        <f>AD643-AE643</f>
        <v>40.680000000000007</v>
      </c>
      <c r="AG643" s="26">
        <f>AF643/AD643</f>
        <v>0.24388489208633096</v>
      </c>
      <c r="AH643" s="27" t="str">
        <f>IF(AG643&lt;0,"Negative",IF(AG643=0,"Same",IF(AG643&gt;0.3,"30+%",IF(AG643&gt;0.2,"20-30%",IF(AG643&gt;0.1,"10-20%",IF(AG643&lt;=0.1,"0-10%"))))))</f>
        <v>20-30%</v>
      </c>
      <c r="AI643" s="32"/>
      <c r="AJ643" s="36" t="s">
        <v>3299</v>
      </c>
      <c r="AK643" s="32"/>
    </row>
    <row r="644" spans="1:37" s="1" customFormat="1" ht="19.7" customHeight="1" x14ac:dyDescent="0.25">
      <c r="A644" s="5" t="s">
        <v>22</v>
      </c>
      <c r="B644" s="5" t="s">
        <v>1753</v>
      </c>
      <c r="C644" s="6">
        <v>44452</v>
      </c>
      <c r="D644" s="5" t="s">
        <v>24</v>
      </c>
      <c r="E644" s="5" t="s">
        <v>25</v>
      </c>
      <c r="F644" s="5" t="s">
        <v>26</v>
      </c>
      <c r="G644" s="5" t="s">
        <v>67</v>
      </c>
      <c r="H644" s="5" t="s">
        <v>68</v>
      </c>
      <c r="I644" s="5" t="s">
        <v>29</v>
      </c>
      <c r="J644" s="5" t="s">
        <v>30</v>
      </c>
      <c r="K644" s="5" t="s">
        <v>31</v>
      </c>
      <c r="L644" s="5" t="s">
        <v>32</v>
      </c>
      <c r="M644" s="5" t="s">
        <v>486</v>
      </c>
      <c r="N644" s="5" t="s">
        <v>1754</v>
      </c>
      <c r="O644" s="5" t="s">
        <v>487</v>
      </c>
      <c r="P644" s="5" t="s">
        <v>488</v>
      </c>
      <c r="Q644" s="5">
        <v>102071638</v>
      </c>
      <c r="R644" s="5" t="s">
        <v>299</v>
      </c>
      <c r="S644" s="5" t="s">
        <v>39</v>
      </c>
      <c r="T644" s="7">
        <v>12</v>
      </c>
      <c r="U644" s="15" t="s">
        <v>487</v>
      </c>
      <c r="V644" s="16" t="s">
        <v>488</v>
      </c>
      <c r="W644" s="17">
        <v>102071638</v>
      </c>
      <c r="X644" s="16" t="s">
        <v>2613</v>
      </c>
      <c r="Y644" s="17" t="s">
        <v>2696</v>
      </c>
      <c r="Z644" s="17" t="s">
        <v>39</v>
      </c>
      <c r="AA644" s="17" t="s">
        <v>37</v>
      </c>
      <c r="AB644" s="43">
        <v>10.51</v>
      </c>
      <c r="AC644" s="25">
        <v>13.9</v>
      </c>
      <c r="AD644" s="25">
        <f>AC644*T644</f>
        <v>166.8</v>
      </c>
      <c r="AE644" s="25">
        <f>AB644*T644</f>
        <v>126.12</v>
      </c>
      <c r="AF644" s="25">
        <f>AD644-AE644</f>
        <v>40.680000000000007</v>
      </c>
      <c r="AG644" s="26">
        <f>AF644/AD644</f>
        <v>0.24388489208633096</v>
      </c>
      <c r="AH644" s="27" t="str">
        <f>IF(AG644&lt;0,"Negative",IF(AG644=0,"Same",IF(AG644&gt;0.3,"30+%",IF(AG644&gt;0.2,"20-30%",IF(AG644&gt;0.1,"10-20%",IF(AG644&lt;=0.1,"0-10%"))))))</f>
        <v>20-30%</v>
      </c>
      <c r="AI644" s="32"/>
      <c r="AJ644" s="36" t="s">
        <v>3299</v>
      </c>
      <c r="AK644" s="32"/>
    </row>
    <row r="645" spans="1:37" s="1" customFormat="1" ht="19.7" customHeight="1" x14ac:dyDescent="0.25">
      <c r="A645" s="5" t="s">
        <v>22</v>
      </c>
      <c r="B645" s="5" t="s">
        <v>1017</v>
      </c>
      <c r="C645" s="6">
        <v>44330</v>
      </c>
      <c r="D645" s="5" t="s">
        <v>24</v>
      </c>
      <c r="E645" s="5" t="s">
        <v>25</v>
      </c>
      <c r="F645" s="5" t="s">
        <v>26</v>
      </c>
      <c r="G645" s="5" t="s">
        <v>67</v>
      </c>
      <c r="H645" s="5" t="s">
        <v>68</v>
      </c>
      <c r="I645" s="5" t="s">
        <v>29</v>
      </c>
      <c r="J645" s="5" t="s">
        <v>30</v>
      </c>
      <c r="K645" s="5" t="s">
        <v>31</v>
      </c>
      <c r="L645" s="5" t="s">
        <v>32</v>
      </c>
      <c r="M645" s="5" t="s">
        <v>486</v>
      </c>
      <c r="N645" s="5" t="s">
        <v>1018</v>
      </c>
      <c r="O645" s="5" t="s">
        <v>487</v>
      </c>
      <c r="P645" s="5" t="s">
        <v>488</v>
      </c>
      <c r="Q645" s="5">
        <v>102071638</v>
      </c>
      <c r="R645" s="5" t="s">
        <v>299</v>
      </c>
      <c r="S645" s="5" t="s">
        <v>39</v>
      </c>
      <c r="T645" s="7">
        <v>12</v>
      </c>
      <c r="U645" s="15" t="s">
        <v>487</v>
      </c>
      <c r="V645" s="16" t="s">
        <v>488</v>
      </c>
      <c r="W645" s="17">
        <v>102071638</v>
      </c>
      <c r="X645" s="16" t="s">
        <v>2613</v>
      </c>
      <c r="Y645" s="17" t="s">
        <v>2696</v>
      </c>
      <c r="Z645" s="17" t="s">
        <v>39</v>
      </c>
      <c r="AA645" s="17" t="s">
        <v>37</v>
      </c>
      <c r="AB645" s="43">
        <v>10.51</v>
      </c>
      <c r="AC645" s="25">
        <v>13.9</v>
      </c>
      <c r="AD645" s="25">
        <f>AC645*T645</f>
        <v>166.8</v>
      </c>
      <c r="AE645" s="25">
        <f>AB645*T645</f>
        <v>126.12</v>
      </c>
      <c r="AF645" s="25">
        <f>AD645-AE645</f>
        <v>40.680000000000007</v>
      </c>
      <c r="AG645" s="26">
        <f>AF645/AD645</f>
        <v>0.24388489208633096</v>
      </c>
      <c r="AH645" s="27" t="str">
        <f>IF(AG645&lt;0,"Negative",IF(AG645=0,"Same",IF(AG645&gt;0.3,"30+%",IF(AG645&gt;0.2,"20-30%",IF(AG645&gt;0.1,"10-20%",IF(AG645&lt;=0.1,"0-10%"))))))</f>
        <v>20-30%</v>
      </c>
      <c r="AI645" s="32"/>
      <c r="AJ645" s="36" t="s">
        <v>3299</v>
      </c>
      <c r="AK645" s="32"/>
    </row>
    <row r="646" spans="1:37" s="1" customFormat="1" ht="19.7" customHeight="1" x14ac:dyDescent="0.25">
      <c r="A646" s="5" t="s">
        <v>22</v>
      </c>
      <c r="B646" s="5" t="s">
        <v>482</v>
      </c>
      <c r="C646" s="6">
        <v>44267</v>
      </c>
      <c r="D646" s="5" t="s">
        <v>24</v>
      </c>
      <c r="E646" s="5" t="s">
        <v>25</v>
      </c>
      <c r="F646" s="5" t="s">
        <v>26</v>
      </c>
      <c r="G646" s="5" t="s">
        <v>67</v>
      </c>
      <c r="H646" s="5" t="s">
        <v>68</v>
      </c>
      <c r="I646" s="5" t="s">
        <v>29</v>
      </c>
      <c r="J646" s="5" t="s">
        <v>30</v>
      </c>
      <c r="K646" s="5" t="s">
        <v>31</v>
      </c>
      <c r="L646" s="5" t="s">
        <v>32</v>
      </c>
      <c r="M646" s="5" t="s">
        <v>486</v>
      </c>
      <c r="N646" s="5" t="s">
        <v>483</v>
      </c>
      <c r="O646" s="5" t="s">
        <v>487</v>
      </c>
      <c r="P646" s="5" t="s">
        <v>488</v>
      </c>
      <c r="Q646" s="5">
        <v>102071638</v>
      </c>
      <c r="R646" s="5" t="s">
        <v>299</v>
      </c>
      <c r="S646" s="5" t="s">
        <v>39</v>
      </c>
      <c r="T646" s="7">
        <v>12</v>
      </c>
      <c r="U646" s="15" t="s">
        <v>487</v>
      </c>
      <c r="V646" s="16" t="s">
        <v>488</v>
      </c>
      <c r="W646" s="17">
        <v>102071638</v>
      </c>
      <c r="X646" s="16" t="s">
        <v>2613</v>
      </c>
      <c r="Y646" s="17" t="s">
        <v>2696</v>
      </c>
      <c r="Z646" s="17" t="s">
        <v>39</v>
      </c>
      <c r="AA646" s="17" t="s">
        <v>37</v>
      </c>
      <c r="AB646" s="43">
        <v>10.51</v>
      </c>
      <c r="AC646" s="25">
        <v>13.9</v>
      </c>
      <c r="AD646" s="25">
        <f>AC646*T646</f>
        <v>166.8</v>
      </c>
      <c r="AE646" s="25">
        <f>AB646*T646</f>
        <v>126.12</v>
      </c>
      <c r="AF646" s="25">
        <f>AD646-AE646</f>
        <v>40.680000000000007</v>
      </c>
      <c r="AG646" s="26">
        <f>AF646/AD646</f>
        <v>0.24388489208633096</v>
      </c>
      <c r="AH646" s="27" t="str">
        <f>IF(AG646&lt;0,"Negative",IF(AG646=0,"Same",IF(AG646&gt;0.3,"30+%",IF(AG646&gt;0.2,"20-30%",IF(AG646&gt;0.1,"10-20%",IF(AG646&lt;=0.1,"0-10%"))))))</f>
        <v>20-30%</v>
      </c>
      <c r="AI646" s="32"/>
      <c r="AJ646" s="36" t="s">
        <v>3299</v>
      </c>
      <c r="AK646" s="32"/>
    </row>
    <row r="647" spans="1:37" s="1" customFormat="1" ht="19.7" customHeight="1" x14ac:dyDescent="0.25">
      <c r="A647" s="5" t="s">
        <v>22</v>
      </c>
      <c r="B647" s="5" t="s">
        <v>1542</v>
      </c>
      <c r="C647" s="6">
        <v>44410</v>
      </c>
      <c r="D647" s="5" t="s">
        <v>24</v>
      </c>
      <c r="E647" s="5" t="s">
        <v>25</v>
      </c>
      <c r="F647" s="5" t="s">
        <v>26</v>
      </c>
      <c r="G647" s="5" t="s">
        <v>27</v>
      </c>
      <c r="H647" s="5" t="s">
        <v>28</v>
      </c>
      <c r="I647" s="5" t="s">
        <v>29</v>
      </c>
      <c r="J647" s="5" t="s">
        <v>30</v>
      </c>
      <c r="K647" s="5" t="s">
        <v>31</v>
      </c>
      <c r="L647" s="5" t="s">
        <v>32</v>
      </c>
      <c r="M647" s="5" t="s">
        <v>1543</v>
      </c>
      <c r="N647" s="5" t="s">
        <v>1517</v>
      </c>
      <c r="O647" s="5" t="s">
        <v>169</v>
      </c>
      <c r="P647" s="5" t="s">
        <v>1544</v>
      </c>
      <c r="Q647" s="5">
        <v>100850818</v>
      </c>
      <c r="R647" s="5" t="s">
        <v>116</v>
      </c>
      <c r="S647" s="5" t="s">
        <v>718</v>
      </c>
      <c r="T647" s="7">
        <v>100</v>
      </c>
      <c r="U647" s="15" t="s">
        <v>169</v>
      </c>
      <c r="V647" s="16" t="s">
        <v>1544</v>
      </c>
      <c r="W647" s="17">
        <v>100850818</v>
      </c>
      <c r="X647" s="16" t="s">
        <v>3069</v>
      </c>
      <c r="Y647" s="17" t="s">
        <v>3070</v>
      </c>
      <c r="Z647" s="17" t="s">
        <v>718</v>
      </c>
      <c r="AA647" s="17" t="s">
        <v>37</v>
      </c>
      <c r="AB647" s="29">
        <v>14.35</v>
      </c>
      <c r="AC647" s="25">
        <v>15.03</v>
      </c>
      <c r="AD647" s="25">
        <f>AC647*T647</f>
        <v>1503</v>
      </c>
      <c r="AE647" s="25">
        <f>AB647*T647</f>
        <v>1435</v>
      </c>
      <c r="AF647" s="25">
        <f>AD647-AE647</f>
        <v>68</v>
      </c>
      <c r="AG647" s="26">
        <f>AF647/AD647</f>
        <v>4.5242847638057221E-2</v>
      </c>
      <c r="AH647" s="27" t="str">
        <f>IF(AG647&lt;0,"Negative",IF(AG647=0,"Same",IF(AG647&gt;0.3,"30+%",IF(AG647&gt;0.2,"20-30%",IF(AG647&gt;0.1,"10-20%",IF(AG647&lt;=0.1,"0-10%"))))))</f>
        <v>0-10%</v>
      </c>
      <c r="AI647" s="32"/>
      <c r="AJ647" s="36" t="s">
        <v>3300</v>
      </c>
      <c r="AK647" s="32"/>
    </row>
    <row r="648" spans="1:37" s="1" customFormat="1" ht="19.7" customHeight="1" x14ac:dyDescent="0.25">
      <c r="A648" s="5" t="s">
        <v>22</v>
      </c>
      <c r="B648" s="5" t="s">
        <v>1392</v>
      </c>
      <c r="C648" s="6">
        <v>44389</v>
      </c>
      <c r="D648" s="5" t="s">
        <v>24</v>
      </c>
      <c r="E648" s="5" t="s">
        <v>25</v>
      </c>
      <c r="F648" s="5" t="s">
        <v>26</v>
      </c>
      <c r="G648" s="5" t="s">
        <v>67</v>
      </c>
      <c r="H648" s="5" t="s">
        <v>68</v>
      </c>
      <c r="I648" s="5" t="s">
        <v>29</v>
      </c>
      <c r="J648" s="5" t="s">
        <v>30</v>
      </c>
      <c r="K648" s="5" t="s">
        <v>31</v>
      </c>
      <c r="L648" s="5" t="s">
        <v>32</v>
      </c>
      <c r="M648" s="5" t="s">
        <v>633</v>
      </c>
      <c r="N648" s="5" t="s">
        <v>1393</v>
      </c>
      <c r="O648" s="5" t="s">
        <v>480</v>
      </c>
      <c r="P648" s="5" t="s">
        <v>634</v>
      </c>
      <c r="Q648" s="5">
        <v>111947444</v>
      </c>
      <c r="R648" s="5" t="s">
        <v>116</v>
      </c>
      <c r="S648" s="5" t="s">
        <v>39</v>
      </c>
      <c r="T648" s="7">
        <v>1</v>
      </c>
      <c r="U648" s="15" t="s">
        <v>480</v>
      </c>
      <c r="V648" s="16" t="s">
        <v>634</v>
      </c>
      <c r="W648" s="17">
        <v>111947444</v>
      </c>
      <c r="X648" s="16" t="s">
        <v>2758</v>
      </c>
      <c r="Y648" s="17" t="s">
        <v>2759</v>
      </c>
      <c r="Z648" s="17" t="s">
        <v>39</v>
      </c>
      <c r="AA648" s="17" t="s">
        <v>2501</v>
      </c>
      <c r="AB648" s="29">
        <v>119.7</v>
      </c>
      <c r="AC648" s="25">
        <v>125.4</v>
      </c>
      <c r="AD648" s="25">
        <f>AC648*T648</f>
        <v>125.4</v>
      </c>
      <c r="AE648" s="25">
        <f>AB648*T648</f>
        <v>119.7</v>
      </c>
      <c r="AF648" s="25">
        <f>AD648-AE648</f>
        <v>5.7000000000000028</v>
      </c>
      <c r="AG648" s="26">
        <f>AF648/AD648</f>
        <v>4.5454545454545477E-2</v>
      </c>
      <c r="AH648" s="27" t="str">
        <f>IF(AG648&lt;0,"Negative",IF(AG648=0,"Same",IF(AG648&gt;0.3,"30+%",IF(AG648&gt;0.2,"20-30%",IF(AG648&gt;0.1,"10-20%",IF(AG648&lt;=0.1,"0-10%"))))))</f>
        <v>0-10%</v>
      </c>
      <c r="AI648" s="32"/>
      <c r="AJ648" s="36" t="s">
        <v>3300</v>
      </c>
      <c r="AK648" s="32"/>
    </row>
    <row r="649" spans="1:37" s="1" customFormat="1" ht="19.7" customHeight="1" x14ac:dyDescent="0.25">
      <c r="A649" s="9" t="s">
        <v>22</v>
      </c>
      <c r="B649" s="9" t="s">
        <v>629</v>
      </c>
      <c r="C649" s="10">
        <v>44281</v>
      </c>
      <c r="D649" s="9" t="s">
        <v>24</v>
      </c>
      <c r="E649" s="9" t="s">
        <v>25</v>
      </c>
      <c r="F649" s="9" t="s">
        <v>26</v>
      </c>
      <c r="G649" s="9" t="s">
        <v>67</v>
      </c>
      <c r="H649" s="9" t="s">
        <v>68</v>
      </c>
      <c r="I649" s="9" t="s">
        <v>29</v>
      </c>
      <c r="J649" s="9" t="s">
        <v>30</v>
      </c>
      <c r="K649" s="9" t="s">
        <v>31</v>
      </c>
      <c r="L649" s="9" t="s">
        <v>32</v>
      </c>
      <c r="M649" s="9" t="s">
        <v>633</v>
      </c>
      <c r="N649" s="9" t="s">
        <v>630</v>
      </c>
      <c r="O649" s="9" t="s">
        <v>480</v>
      </c>
      <c r="P649" s="9" t="s">
        <v>634</v>
      </c>
      <c r="Q649" s="9">
        <v>111947444</v>
      </c>
      <c r="R649" s="9" t="s">
        <v>116</v>
      </c>
      <c r="S649" s="9" t="s">
        <v>39</v>
      </c>
      <c r="T649" s="11">
        <v>1</v>
      </c>
      <c r="U649" s="15" t="s">
        <v>480</v>
      </c>
      <c r="V649" s="16" t="s">
        <v>634</v>
      </c>
      <c r="W649" s="17">
        <v>111947444</v>
      </c>
      <c r="X649" s="16" t="s">
        <v>2758</v>
      </c>
      <c r="Y649" s="17" t="s">
        <v>2759</v>
      </c>
      <c r="Z649" s="17" t="s">
        <v>39</v>
      </c>
      <c r="AA649" s="17" t="s">
        <v>2501</v>
      </c>
      <c r="AB649" s="29">
        <v>119.7</v>
      </c>
      <c r="AC649" s="25">
        <v>125.4</v>
      </c>
      <c r="AD649" s="25">
        <f>AC649*T649</f>
        <v>125.4</v>
      </c>
      <c r="AE649" s="25">
        <f>AB649*T649</f>
        <v>119.7</v>
      </c>
      <c r="AF649" s="25">
        <f>AD649-AE649</f>
        <v>5.7000000000000028</v>
      </c>
      <c r="AG649" s="26">
        <f>AF649/AD649</f>
        <v>4.5454545454545477E-2</v>
      </c>
      <c r="AH649" s="27" t="str">
        <f>IF(AG649&lt;0,"Negative",IF(AG649=0,"Same",IF(AG649&gt;0.3,"30+%",IF(AG649&gt;0.2,"20-30%",IF(AG649&gt;0.1,"10-20%",IF(AG649&lt;=0.1,"0-10%"))))))</f>
        <v>0-10%</v>
      </c>
      <c r="AI649" s="32"/>
      <c r="AJ649" s="36" t="s">
        <v>3300</v>
      </c>
      <c r="AK649" s="32"/>
    </row>
    <row r="650" spans="1:37" s="1" customFormat="1" ht="19.7" customHeight="1" x14ac:dyDescent="0.25">
      <c r="A650" s="9" t="s">
        <v>22</v>
      </c>
      <c r="B650" s="9" t="s">
        <v>934</v>
      </c>
      <c r="C650" s="10">
        <v>44316</v>
      </c>
      <c r="D650" s="9" t="s">
        <v>24</v>
      </c>
      <c r="E650" s="9" t="s">
        <v>25</v>
      </c>
      <c r="F650" s="9" t="s">
        <v>26</v>
      </c>
      <c r="G650" s="9" t="s">
        <v>67</v>
      </c>
      <c r="H650" s="9" t="s">
        <v>68</v>
      </c>
      <c r="I650" s="9" t="s">
        <v>29</v>
      </c>
      <c r="J650" s="9" t="s">
        <v>30</v>
      </c>
      <c r="K650" s="9" t="s">
        <v>31</v>
      </c>
      <c r="L650" s="9" t="s">
        <v>32</v>
      </c>
      <c r="M650" s="9" t="s">
        <v>633</v>
      </c>
      <c r="N650" s="9" t="s">
        <v>801</v>
      </c>
      <c r="O650" s="9" t="s">
        <v>480</v>
      </c>
      <c r="P650" s="9" t="s">
        <v>634</v>
      </c>
      <c r="Q650" s="9">
        <v>111947444</v>
      </c>
      <c r="R650" s="9" t="s">
        <v>116</v>
      </c>
      <c r="S650" s="9" t="s">
        <v>39</v>
      </c>
      <c r="T650" s="11">
        <v>1</v>
      </c>
      <c r="U650" s="15" t="s">
        <v>480</v>
      </c>
      <c r="V650" s="16" t="s">
        <v>634</v>
      </c>
      <c r="W650" s="17">
        <v>111947444</v>
      </c>
      <c r="X650" s="16" t="s">
        <v>2758</v>
      </c>
      <c r="Y650" s="17" t="s">
        <v>2759</v>
      </c>
      <c r="Z650" s="17" t="s">
        <v>39</v>
      </c>
      <c r="AA650" s="17" t="s">
        <v>2501</v>
      </c>
      <c r="AB650" s="29">
        <v>119.7</v>
      </c>
      <c r="AC650" s="25">
        <v>125.4</v>
      </c>
      <c r="AD650" s="25">
        <f>AC650*T650</f>
        <v>125.4</v>
      </c>
      <c r="AE650" s="25">
        <f>AB650*T650</f>
        <v>119.7</v>
      </c>
      <c r="AF650" s="25">
        <f>AD650-AE650</f>
        <v>5.7000000000000028</v>
      </c>
      <c r="AG650" s="26">
        <f>AF650/AD650</f>
        <v>4.5454545454545477E-2</v>
      </c>
      <c r="AH650" s="27" t="str">
        <f>IF(AG650&lt;0,"Negative",IF(AG650=0,"Same",IF(AG650&gt;0.3,"30+%",IF(AG650&gt;0.2,"20-30%",IF(AG650&gt;0.1,"10-20%",IF(AG650&lt;=0.1,"0-10%"))))))</f>
        <v>0-10%</v>
      </c>
      <c r="AI650" s="32"/>
      <c r="AJ650" s="36" t="s">
        <v>3300</v>
      </c>
      <c r="AK650" s="32"/>
    </row>
    <row r="651" spans="1:37" s="1" customFormat="1" ht="19.7" customHeight="1" x14ac:dyDescent="0.25">
      <c r="A651" s="9" t="s">
        <v>22</v>
      </c>
      <c r="B651" s="9" t="s">
        <v>1213</v>
      </c>
      <c r="C651" s="10">
        <v>44358</v>
      </c>
      <c r="D651" s="9" t="s">
        <v>24</v>
      </c>
      <c r="E651" s="9" t="s">
        <v>25</v>
      </c>
      <c r="F651" s="9" t="s">
        <v>26</v>
      </c>
      <c r="G651" s="9" t="s">
        <v>67</v>
      </c>
      <c r="H651" s="9" t="s">
        <v>68</v>
      </c>
      <c r="I651" s="9" t="s">
        <v>29</v>
      </c>
      <c r="J651" s="9" t="s">
        <v>30</v>
      </c>
      <c r="K651" s="9" t="s">
        <v>31</v>
      </c>
      <c r="L651" s="9" t="s">
        <v>32</v>
      </c>
      <c r="M651" s="9" t="s">
        <v>633</v>
      </c>
      <c r="N651" s="9" t="s">
        <v>1142</v>
      </c>
      <c r="O651" s="9" t="s">
        <v>480</v>
      </c>
      <c r="P651" s="9" t="s">
        <v>634</v>
      </c>
      <c r="Q651" s="9">
        <v>111947444</v>
      </c>
      <c r="R651" s="9" t="s">
        <v>116</v>
      </c>
      <c r="S651" s="9" t="s">
        <v>39</v>
      </c>
      <c r="T651" s="11">
        <v>1</v>
      </c>
      <c r="U651" s="15" t="s">
        <v>480</v>
      </c>
      <c r="V651" s="16" t="s">
        <v>634</v>
      </c>
      <c r="W651" s="17">
        <v>111947444</v>
      </c>
      <c r="X651" s="16" t="s">
        <v>2758</v>
      </c>
      <c r="Y651" s="17" t="s">
        <v>2759</v>
      </c>
      <c r="Z651" s="17" t="s">
        <v>39</v>
      </c>
      <c r="AA651" s="17" t="s">
        <v>2501</v>
      </c>
      <c r="AB651" s="29">
        <v>119.7</v>
      </c>
      <c r="AC651" s="25">
        <v>125.4</v>
      </c>
      <c r="AD651" s="25">
        <f>AC651*T651</f>
        <v>125.4</v>
      </c>
      <c r="AE651" s="25">
        <f>AB651*T651</f>
        <v>119.7</v>
      </c>
      <c r="AF651" s="25">
        <f>AD651-AE651</f>
        <v>5.7000000000000028</v>
      </c>
      <c r="AG651" s="26">
        <f>AF651/AD651</f>
        <v>4.5454545454545477E-2</v>
      </c>
      <c r="AH651" s="27" t="str">
        <f>IF(AG651&lt;0,"Negative",IF(AG651=0,"Same",IF(AG651&gt;0.3,"30+%",IF(AG651&gt;0.2,"20-30%",IF(AG651&gt;0.1,"10-20%",IF(AG651&lt;=0.1,"0-10%"))))))</f>
        <v>0-10%</v>
      </c>
      <c r="AI651" s="32"/>
      <c r="AJ651" s="36" t="s">
        <v>3300</v>
      </c>
      <c r="AK651" s="32"/>
    </row>
    <row r="652" spans="1:37" s="1" customFormat="1" ht="19.7" customHeight="1" x14ac:dyDescent="0.25">
      <c r="A652" s="9" t="s">
        <v>22</v>
      </c>
      <c r="B652" s="9" t="s">
        <v>956</v>
      </c>
      <c r="C652" s="10">
        <v>44322</v>
      </c>
      <c r="D652" s="9" t="s">
        <v>24</v>
      </c>
      <c r="E652" s="9" t="s">
        <v>25</v>
      </c>
      <c r="F652" s="9" t="s">
        <v>26</v>
      </c>
      <c r="G652" s="9" t="s">
        <v>27</v>
      </c>
      <c r="H652" s="9" t="s">
        <v>28</v>
      </c>
      <c r="I652" s="9" t="s">
        <v>29</v>
      </c>
      <c r="J652" s="9" t="s">
        <v>30</v>
      </c>
      <c r="K652" s="9" t="s">
        <v>31</v>
      </c>
      <c r="L652" s="9" t="s">
        <v>32</v>
      </c>
      <c r="M652" s="9" t="s">
        <v>957</v>
      </c>
      <c r="N652" s="9" t="s">
        <v>958</v>
      </c>
      <c r="O652" s="9" t="s">
        <v>109</v>
      </c>
      <c r="P652" s="9" t="s">
        <v>959</v>
      </c>
      <c r="Q652" s="9">
        <v>100722447</v>
      </c>
      <c r="R652" s="9" t="s">
        <v>61</v>
      </c>
      <c r="S652" s="9" t="s">
        <v>39</v>
      </c>
      <c r="T652" s="11">
        <v>4</v>
      </c>
      <c r="U652" s="15" t="s">
        <v>109</v>
      </c>
      <c r="V652" s="16" t="s">
        <v>959</v>
      </c>
      <c r="W652" s="17">
        <v>100722447</v>
      </c>
      <c r="X652" s="16" t="s">
        <v>2526</v>
      </c>
      <c r="Y652" s="17" t="s">
        <v>2875</v>
      </c>
      <c r="Z652" s="17" t="s">
        <v>39</v>
      </c>
      <c r="AA652" s="17" t="s">
        <v>37</v>
      </c>
      <c r="AB652" s="43">
        <v>34.07</v>
      </c>
      <c r="AC652" s="25">
        <v>34.78</v>
      </c>
      <c r="AD652" s="25">
        <f>AC652*T652</f>
        <v>139.12</v>
      </c>
      <c r="AE652" s="25">
        <f>AB652*T652</f>
        <v>136.28</v>
      </c>
      <c r="AF652" s="25">
        <f>AD652-AE652</f>
        <v>2.8400000000000034</v>
      </c>
      <c r="AG652" s="26">
        <f>AF652/AD652</f>
        <v>2.0414031052328949E-2</v>
      </c>
      <c r="AH652" s="27" t="str">
        <f>IF(AG652&lt;0,"Negative",IF(AG652=0,"Same",IF(AG652&gt;0.3,"30+%",IF(AG652&gt;0.2,"20-30%",IF(AG652&gt;0.1,"10-20%",IF(AG652&lt;=0.1,"0-10%"))))))</f>
        <v>0-10%</v>
      </c>
      <c r="AI652" s="32"/>
      <c r="AJ652" s="36" t="s">
        <v>3300</v>
      </c>
      <c r="AK652" s="32"/>
    </row>
    <row r="653" spans="1:37" s="1" customFormat="1" ht="19.7" customHeight="1" x14ac:dyDescent="0.25">
      <c r="A653" s="5" t="s">
        <v>22</v>
      </c>
      <c r="B653" s="5" t="s">
        <v>1792</v>
      </c>
      <c r="C653" s="6">
        <v>44463</v>
      </c>
      <c r="D653" s="5" t="s">
        <v>24</v>
      </c>
      <c r="E653" s="5" t="s">
        <v>25</v>
      </c>
      <c r="F653" s="5" t="s">
        <v>26</v>
      </c>
      <c r="G653" s="5" t="s">
        <v>27</v>
      </c>
      <c r="H653" s="5" t="s">
        <v>28</v>
      </c>
      <c r="I653" s="5" t="s">
        <v>29</v>
      </c>
      <c r="J653" s="5" t="s">
        <v>30</v>
      </c>
      <c r="K653" s="5" t="s">
        <v>31</v>
      </c>
      <c r="L653" s="5" t="s">
        <v>32</v>
      </c>
      <c r="M653" s="5" t="s">
        <v>1793</v>
      </c>
      <c r="N653" s="5" t="s">
        <v>1772</v>
      </c>
      <c r="O653" s="5" t="s">
        <v>169</v>
      </c>
      <c r="P653" s="5" t="s">
        <v>1794</v>
      </c>
      <c r="Q653" s="5">
        <v>101935957</v>
      </c>
      <c r="R653" s="5" t="s">
        <v>56</v>
      </c>
      <c r="S653" s="5" t="s">
        <v>39</v>
      </c>
      <c r="T653" s="7">
        <v>1</v>
      </c>
      <c r="U653" s="15" t="s">
        <v>169</v>
      </c>
      <c r="V653" s="16" t="s">
        <v>1794</v>
      </c>
      <c r="W653" s="17">
        <v>101935957</v>
      </c>
      <c r="X653" s="16" t="s">
        <v>2845</v>
      </c>
      <c r="Y653" s="17" t="s">
        <v>3133</v>
      </c>
      <c r="Z653" s="17" t="s">
        <v>39</v>
      </c>
      <c r="AA653" s="17" t="s">
        <v>37</v>
      </c>
      <c r="AB653" s="43">
        <v>60.85</v>
      </c>
      <c r="AC653" s="25">
        <v>66.86</v>
      </c>
      <c r="AD653" s="25">
        <f>AC653*T653</f>
        <v>66.86</v>
      </c>
      <c r="AE653" s="25">
        <f>AB653*T653</f>
        <v>60.85</v>
      </c>
      <c r="AF653" s="25">
        <f>AD653-AE653</f>
        <v>6.009999999999998</v>
      </c>
      <c r="AG653" s="26">
        <f>AF653/AD653</f>
        <v>8.9889320969189321E-2</v>
      </c>
      <c r="AH653" s="27" t="str">
        <f>IF(AG653&lt;0,"Negative",IF(AG653=0,"Same",IF(AG653&gt;0.3,"30+%",IF(AG653&gt;0.2,"20-30%",IF(AG653&gt;0.1,"10-20%",IF(AG653&lt;=0.1,"0-10%"))))))</f>
        <v>0-10%</v>
      </c>
      <c r="AI653" s="32"/>
      <c r="AJ653" s="36" t="s">
        <v>3299</v>
      </c>
      <c r="AK653" s="32"/>
    </row>
    <row r="654" spans="1:37" s="1" customFormat="1" ht="19.7" customHeight="1" x14ac:dyDescent="0.25">
      <c r="A654" s="9" t="s">
        <v>22</v>
      </c>
      <c r="B654" s="9" t="s">
        <v>1266</v>
      </c>
      <c r="C654" s="10">
        <v>44369</v>
      </c>
      <c r="D654" s="9" t="s">
        <v>24</v>
      </c>
      <c r="E654" s="9" t="s">
        <v>25</v>
      </c>
      <c r="F654" s="9" t="s">
        <v>26</v>
      </c>
      <c r="G654" s="9" t="s">
        <v>27</v>
      </c>
      <c r="H654" s="9" t="s">
        <v>28</v>
      </c>
      <c r="I654" s="9" t="s">
        <v>29</v>
      </c>
      <c r="J654" s="9" t="s">
        <v>30</v>
      </c>
      <c r="K654" s="9" t="s">
        <v>31</v>
      </c>
      <c r="L654" s="9" t="s">
        <v>32</v>
      </c>
      <c r="M654" s="9" t="s">
        <v>1267</v>
      </c>
      <c r="N654" s="9" t="s">
        <v>1268</v>
      </c>
      <c r="O654" s="9" t="s">
        <v>169</v>
      </c>
      <c r="P654" s="9" t="s">
        <v>1269</v>
      </c>
      <c r="Q654" s="9">
        <v>100781055</v>
      </c>
      <c r="R654" s="9" t="s">
        <v>56</v>
      </c>
      <c r="S654" s="9" t="s">
        <v>39</v>
      </c>
      <c r="T654" s="11">
        <v>1</v>
      </c>
      <c r="U654" s="15" t="s">
        <v>169</v>
      </c>
      <c r="V654" s="16" t="s">
        <v>1269</v>
      </c>
      <c r="W654" s="17">
        <v>100781055</v>
      </c>
      <c r="X654" s="16" t="s">
        <v>2568</v>
      </c>
      <c r="Y654" s="17" t="s">
        <v>2979</v>
      </c>
      <c r="Z654" s="17" t="s">
        <v>39</v>
      </c>
      <c r="AA654" s="17" t="s">
        <v>37</v>
      </c>
      <c r="AB654" s="43">
        <v>67.28</v>
      </c>
      <c r="AC654" s="25">
        <v>67.27</v>
      </c>
      <c r="AD654" s="25">
        <f>AC654*T654</f>
        <v>67.27</v>
      </c>
      <c r="AE654" s="25">
        <f>AB654*T654</f>
        <v>67.28</v>
      </c>
      <c r="AF654" s="25">
        <f>AD654-AE654</f>
        <v>-1.0000000000005116E-2</v>
      </c>
      <c r="AG654" s="26">
        <f>AF654/AD654</f>
        <v>-1.4865467518961078E-4</v>
      </c>
      <c r="AH654" s="27" t="str">
        <f>IF(AG654&lt;0,"Negative",IF(AG654=0,"Same",IF(AG654&gt;0.3,"30+%",IF(AG654&gt;0.2,"20-30%",IF(AG654&gt;0.1,"10-20%",IF(AG654&lt;=0.1,"0-10%"))))))</f>
        <v>Negative</v>
      </c>
      <c r="AI654" s="32"/>
      <c r="AJ654" s="36" t="s">
        <v>3300</v>
      </c>
      <c r="AK654" s="32"/>
    </row>
    <row r="655" spans="1:37" s="1" customFormat="1" ht="19.7" customHeight="1" x14ac:dyDescent="0.25">
      <c r="A655" s="9" t="s">
        <v>22</v>
      </c>
      <c r="B655" s="9" t="s">
        <v>685</v>
      </c>
      <c r="C655" s="10">
        <v>44288</v>
      </c>
      <c r="D655" s="9" t="s">
        <v>24</v>
      </c>
      <c r="E655" s="9" t="s">
        <v>25</v>
      </c>
      <c r="F655" s="9" t="s">
        <v>26</v>
      </c>
      <c r="G655" s="9" t="s">
        <v>67</v>
      </c>
      <c r="H655" s="9" t="s">
        <v>68</v>
      </c>
      <c r="I655" s="9" t="s">
        <v>29</v>
      </c>
      <c r="J655" s="9" t="s">
        <v>30</v>
      </c>
      <c r="K655" s="9" t="s">
        <v>31</v>
      </c>
      <c r="L655" s="9" t="s">
        <v>32</v>
      </c>
      <c r="M655" s="9" t="s">
        <v>687</v>
      </c>
      <c r="N655" s="9" t="s">
        <v>686</v>
      </c>
      <c r="O655" s="9" t="s">
        <v>274</v>
      </c>
      <c r="P655" s="9" t="s">
        <v>688</v>
      </c>
      <c r="Q655" s="9">
        <v>101156220</v>
      </c>
      <c r="R655" s="9" t="s">
        <v>61</v>
      </c>
      <c r="S655" s="9" t="s">
        <v>39</v>
      </c>
      <c r="T655" s="11">
        <v>8</v>
      </c>
      <c r="U655" s="15" t="s">
        <v>274</v>
      </c>
      <c r="V655" s="16" t="s">
        <v>688</v>
      </c>
      <c r="W655" s="17">
        <v>101156220</v>
      </c>
      <c r="X655" s="16" t="s">
        <v>2506</v>
      </c>
      <c r="Y655" s="17" t="s">
        <v>2778</v>
      </c>
      <c r="Z655" s="17" t="s">
        <v>39</v>
      </c>
      <c r="AA655" s="17" t="s">
        <v>37</v>
      </c>
      <c r="AB655" s="29">
        <v>27.35</v>
      </c>
      <c r="AC655" s="25">
        <v>30.35</v>
      </c>
      <c r="AD655" s="25">
        <f>AC655*T655</f>
        <v>242.8</v>
      </c>
      <c r="AE655" s="25">
        <f>AB655*T655</f>
        <v>218.8</v>
      </c>
      <c r="AF655" s="25">
        <f>AD655-AE655</f>
        <v>24</v>
      </c>
      <c r="AG655" s="26">
        <f>AF655/AD655</f>
        <v>9.8846787479406908E-2</v>
      </c>
      <c r="AH655" s="27" t="str">
        <f>IF(AG655&lt;0,"Negative",IF(AG655=0,"Same",IF(AG655&gt;0.3,"30+%",IF(AG655&gt;0.2,"20-30%",IF(AG655&gt;0.1,"10-20%",IF(AG655&lt;=0.1,"0-10%"))))))</f>
        <v>0-10%</v>
      </c>
      <c r="AI655" s="32"/>
      <c r="AJ655" s="36" t="s">
        <v>3299</v>
      </c>
      <c r="AK655" s="32"/>
    </row>
    <row r="656" spans="1:37" s="1" customFormat="1" ht="19.7" customHeight="1" x14ac:dyDescent="0.25">
      <c r="A656" s="9" t="s">
        <v>22</v>
      </c>
      <c r="B656" s="9" t="s">
        <v>2116</v>
      </c>
      <c r="C656" s="10">
        <v>44519</v>
      </c>
      <c r="D656" s="9" t="s">
        <v>24</v>
      </c>
      <c r="E656" s="9" t="s">
        <v>25</v>
      </c>
      <c r="F656" s="9" t="s">
        <v>26</v>
      </c>
      <c r="G656" s="9" t="s">
        <v>67</v>
      </c>
      <c r="H656" s="9" t="s">
        <v>68</v>
      </c>
      <c r="I656" s="9" t="s">
        <v>29</v>
      </c>
      <c r="J656" s="9" t="s">
        <v>30</v>
      </c>
      <c r="K656" s="9" t="s">
        <v>31</v>
      </c>
      <c r="L656" s="9" t="s">
        <v>32</v>
      </c>
      <c r="M656" s="9" t="s">
        <v>286</v>
      </c>
      <c r="N656" s="9" t="s">
        <v>2117</v>
      </c>
      <c r="O656" s="9" t="s">
        <v>71</v>
      </c>
      <c r="P656" s="9" t="s">
        <v>287</v>
      </c>
      <c r="Q656" s="9">
        <v>112227871</v>
      </c>
      <c r="R656" s="9" t="s">
        <v>73</v>
      </c>
      <c r="S656" s="9" t="s">
        <v>39</v>
      </c>
      <c r="T656" s="11">
        <v>168</v>
      </c>
      <c r="U656" s="15" t="s">
        <v>71</v>
      </c>
      <c r="V656" s="41" t="s">
        <v>287</v>
      </c>
      <c r="W656" s="17">
        <v>112227871</v>
      </c>
      <c r="X656" s="16" t="s">
        <v>2510</v>
      </c>
      <c r="Y656" s="17" t="s">
        <v>2607</v>
      </c>
      <c r="Z656" s="17" t="s">
        <v>39</v>
      </c>
      <c r="AA656" s="17" t="s">
        <v>2501</v>
      </c>
      <c r="AB656" s="29">
        <v>23.18</v>
      </c>
      <c r="AC656" s="25">
        <v>23.18</v>
      </c>
      <c r="AD656" s="25">
        <f>AC656*T656</f>
        <v>3894.24</v>
      </c>
      <c r="AE656" s="25">
        <f>AB656*T656</f>
        <v>3894.24</v>
      </c>
      <c r="AF656" s="25">
        <f>AD656-AE656</f>
        <v>0</v>
      </c>
      <c r="AG656" s="26">
        <f>AF656/AD656</f>
        <v>0</v>
      </c>
      <c r="AH656" s="27" t="str">
        <f>IF(AG656&lt;0,"Negative",IF(AG656=0,"Same",IF(AG656&gt;0.3,"30+%",IF(AG656&gt;0.2,"20-30%",IF(AG656&gt;0.1,"10-20%",IF(AG656&lt;=0.1,"0-10%"))))))</f>
        <v>Same</v>
      </c>
      <c r="AI656" s="32"/>
      <c r="AJ656" s="36" t="s">
        <v>3300</v>
      </c>
      <c r="AK656" s="32"/>
    </row>
    <row r="657" spans="1:37" s="1" customFormat="1" ht="19.7" customHeight="1" x14ac:dyDescent="0.25">
      <c r="A657" s="9" t="s">
        <v>22</v>
      </c>
      <c r="B657" s="9" t="s">
        <v>2191</v>
      </c>
      <c r="C657" s="10">
        <v>44536</v>
      </c>
      <c r="D657" s="9" t="s">
        <v>24</v>
      </c>
      <c r="E657" s="9" t="s">
        <v>25</v>
      </c>
      <c r="F657" s="9" t="s">
        <v>26</v>
      </c>
      <c r="G657" s="9" t="s">
        <v>67</v>
      </c>
      <c r="H657" s="9" t="s">
        <v>68</v>
      </c>
      <c r="I657" s="9" t="s">
        <v>29</v>
      </c>
      <c r="J657" s="9" t="s">
        <v>30</v>
      </c>
      <c r="K657" s="9" t="s">
        <v>31</v>
      </c>
      <c r="L657" s="9" t="s">
        <v>32</v>
      </c>
      <c r="M657" s="9" t="s">
        <v>286</v>
      </c>
      <c r="N657" s="9" t="s">
        <v>2192</v>
      </c>
      <c r="O657" s="9" t="s">
        <v>71</v>
      </c>
      <c r="P657" s="9" t="s">
        <v>287</v>
      </c>
      <c r="Q657" s="9">
        <v>112227871</v>
      </c>
      <c r="R657" s="9" t="s">
        <v>73</v>
      </c>
      <c r="S657" s="9" t="s">
        <v>39</v>
      </c>
      <c r="T657" s="11">
        <v>168</v>
      </c>
      <c r="U657" s="15" t="s">
        <v>71</v>
      </c>
      <c r="V657" s="41" t="s">
        <v>287</v>
      </c>
      <c r="W657" s="17">
        <v>112227871</v>
      </c>
      <c r="X657" s="16" t="s">
        <v>2510</v>
      </c>
      <c r="Y657" s="17" t="s">
        <v>2607</v>
      </c>
      <c r="Z657" s="17" t="s">
        <v>39</v>
      </c>
      <c r="AA657" s="17" t="s">
        <v>2501</v>
      </c>
      <c r="AB657" s="29">
        <v>23.18</v>
      </c>
      <c r="AC657" s="25">
        <v>23.18</v>
      </c>
      <c r="AD657" s="25">
        <f>AC657*T657</f>
        <v>3894.24</v>
      </c>
      <c r="AE657" s="25">
        <f>AB657*T657</f>
        <v>3894.24</v>
      </c>
      <c r="AF657" s="25">
        <f>AD657-AE657</f>
        <v>0</v>
      </c>
      <c r="AG657" s="26">
        <f>AF657/AD657</f>
        <v>0</v>
      </c>
      <c r="AH657" s="27" t="str">
        <f>IF(AG657&lt;0,"Negative",IF(AG657=0,"Same",IF(AG657&gt;0.3,"30+%",IF(AG657&gt;0.2,"20-30%",IF(AG657&gt;0.1,"10-20%",IF(AG657&lt;=0.1,"0-10%"))))))</f>
        <v>Same</v>
      </c>
      <c r="AI657" s="32"/>
      <c r="AJ657" s="36" t="s">
        <v>3300</v>
      </c>
      <c r="AK657" s="32"/>
    </row>
    <row r="658" spans="1:37" s="1" customFormat="1" ht="19.7" customHeight="1" x14ac:dyDescent="0.25">
      <c r="A658" s="9" t="s">
        <v>22</v>
      </c>
      <c r="B658" s="9" t="s">
        <v>616</v>
      </c>
      <c r="C658" s="10">
        <v>44281</v>
      </c>
      <c r="D658" s="9" t="s">
        <v>24</v>
      </c>
      <c r="E658" s="9" t="s">
        <v>25</v>
      </c>
      <c r="F658" s="9" t="s">
        <v>26</v>
      </c>
      <c r="G658" s="9" t="s">
        <v>67</v>
      </c>
      <c r="H658" s="9" t="s">
        <v>68</v>
      </c>
      <c r="I658" s="9" t="s">
        <v>29</v>
      </c>
      <c r="J658" s="9" t="s">
        <v>30</v>
      </c>
      <c r="K658" s="9" t="s">
        <v>31</v>
      </c>
      <c r="L658" s="9" t="s">
        <v>32</v>
      </c>
      <c r="M658" s="9" t="s">
        <v>286</v>
      </c>
      <c r="N658" s="9" t="s">
        <v>617</v>
      </c>
      <c r="O658" s="9" t="s">
        <v>71</v>
      </c>
      <c r="P658" s="9" t="s">
        <v>287</v>
      </c>
      <c r="Q658" s="9">
        <v>112227871</v>
      </c>
      <c r="R658" s="9" t="s">
        <v>73</v>
      </c>
      <c r="S658" s="9" t="s">
        <v>39</v>
      </c>
      <c r="T658" s="11">
        <v>168</v>
      </c>
      <c r="U658" s="15" t="s">
        <v>71</v>
      </c>
      <c r="V658" s="41" t="s">
        <v>287</v>
      </c>
      <c r="W658" s="17">
        <v>112227871</v>
      </c>
      <c r="X658" s="16" t="s">
        <v>2510</v>
      </c>
      <c r="Y658" s="17" t="s">
        <v>2607</v>
      </c>
      <c r="Z658" s="17" t="s">
        <v>39</v>
      </c>
      <c r="AA658" s="17" t="s">
        <v>2501</v>
      </c>
      <c r="AB658" s="29">
        <v>23.18</v>
      </c>
      <c r="AC658" s="25">
        <v>23.18</v>
      </c>
      <c r="AD658" s="25">
        <f>AC658*T658</f>
        <v>3894.24</v>
      </c>
      <c r="AE658" s="25">
        <f>AB658*T658</f>
        <v>3894.24</v>
      </c>
      <c r="AF658" s="25">
        <f>AD658-AE658</f>
        <v>0</v>
      </c>
      <c r="AG658" s="26">
        <f>AF658/AD658</f>
        <v>0</v>
      </c>
      <c r="AH658" s="27" t="str">
        <f>IF(AG658&lt;0,"Negative",IF(AG658=0,"Same",IF(AG658&gt;0.3,"30+%",IF(AG658&gt;0.2,"20-30%",IF(AG658&gt;0.1,"10-20%",IF(AG658&lt;=0.1,"0-10%"))))))</f>
        <v>Same</v>
      </c>
      <c r="AI658" s="32"/>
      <c r="AJ658" s="36" t="s">
        <v>3300</v>
      </c>
      <c r="AK658" s="32"/>
    </row>
    <row r="659" spans="1:37" s="1" customFormat="1" ht="19.7" customHeight="1" x14ac:dyDescent="0.25">
      <c r="A659" s="5" t="s">
        <v>22</v>
      </c>
      <c r="B659" s="5" t="s">
        <v>901</v>
      </c>
      <c r="C659" s="6">
        <v>44316</v>
      </c>
      <c r="D659" s="5" t="s">
        <v>24</v>
      </c>
      <c r="E659" s="5" t="s">
        <v>25</v>
      </c>
      <c r="F659" s="5" t="s">
        <v>26</v>
      </c>
      <c r="G659" s="5" t="s">
        <v>67</v>
      </c>
      <c r="H659" s="5" t="s">
        <v>68</v>
      </c>
      <c r="I659" s="5" t="s">
        <v>29</v>
      </c>
      <c r="J659" s="5" t="s">
        <v>30</v>
      </c>
      <c r="K659" s="5" t="s">
        <v>31</v>
      </c>
      <c r="L659" s="5" t="s">
        <v>32</v>
      </c>
      <c r="M659" s="5" t="s">
        <v>286</v>
      </c>
      <c r="N659" s="5" t="s">
        <v>902</v>
      </c>
      <c r="O659" s="5" t="s">
        <v>71</v>
      </c>
      <c r="P659" s="5" t="s">
        <v>287</v>
      </c>
      <c r="Q659" s="5">
        <v>112227871</v>
      </c>
      <c r="R659" s="5" t="s">
        <v>73</v>
      </c>
      <c r="S659" s="5" t="s">
        <v>39</v>
      </c>
      <c r="T659" s="7">
        <v>168</v>
      </c>
      <c r="U659" s="15" t="s">
        <v>71</v>
      </c>
      <c r="V659" s="41" t="s">
        <v>287</v>
      </c>
      <c r="W659" s="17">
        <v>112227871</v>
      </c>
      <c r="X659" s="16" t="s">
        <v>2510</v>
      </c>
      <c r="Y659" s="17" t="s">
        <v>2607</v>
      </c>
      <c r="Z659" s="17" t="s">
        <v>39</v>
      </c>
      <c r="AA659" s="17" t="s">
        <v>2501</v>
      </c>
      <c r="AB659" s="29">
        <v>23.18</v>
      </c>
      <c r="AC659" s="25">
        <v>23.18</v>
      </c>
      <c r="AD659" s="25">
        <f>AC659*T659</f>
        <v>3894.24</v>
      </c>
      <c r="AE659" s="25">
        <f>AB659*T659</f>
        <v>3894.24</v>
      </c>
      <c r="AF659" s="25">
        <f>AD659-AE659</f>
        <v>0</v>
      </c>
      <c r="AG659" s="26">
        <f>AF659/AD659</f>
        <v>0</v>
      </c>
      <c r="AH659" s="27" t="str">
        <f>IF(AG659&lt;0,"Negative",IF(AG659=0,"Same",IF(AG659&gt;0.3,"30+%",IF(AG659&gt;0.2,"20-30%",IF(AG659&gt;0.1,"10-20%",IF(AG659&lt;=0.1,"0-10%"))))))</f>
        <v>Same</v>
      </c>
      <c r="AI659" s="32"/>
      <c r="AJ659" s="36" t="s">
        <v>3300</v>
      </c>
      <c r="AK659" s="32"/>
    </row>
    <row r="660" spans="1:37" s="1" customFormat="1" ht="19.7" customHeight="1" x14ac:dyDescent="0.25">
      <c r="A660" s="9" t="s">
        <v>22</v>
      </c>
      <c r="B660" s="9" t="s">
        <v>1091</v>
      </c>
      <c r="C660" s="10">
        <v>44337</v>
      </c>
      <c r="D660" s="9" t="s">
        <v>24</v>
      </c>
      <c r="E660" s="9" t="s">
        <v>25</v>
      </c>
      <c r="F660" s="9" t="s">
        <v>26</v>
      </c>
      <c r="G660" s="9" t="s">
        <v>67</v>
      </c>
      <c r="H660" s="9" t="s">
        <v>68</v>
      </c>
      <c r="I660" s="9" t="s">
        <v>29</v>
      </c>
      <c r="J660" s="9" t="s">
        <v>30</v>
      </c>
      <c r="K660" s="9" t="s">
        <v>31</v>
      </c>
      <c r="L660" s="9" t="s">
        <v>32</v>
      </c>
      <c r="M660" s="9" t="s">
        <v>286</v>
      </c>
      <c r="N660" s="9" t="s">
        <v>1092</v>
      </c>
      <c r="O660" s="9" t="s">
        <v>71</v>
      </c>
      <c r="P660" s="9" t="s">
        <v>287</v>
      </c>
      <c r="Q660" s="9">
        <v>112227871</v>
      </c>
      <c r="R660" s="9" t="s">
        <v>73</v>
      </c>
      <c r="S660" s="9" t="s">
        <v>39</v>
      </c>
      <c r="T660" s="11">
        <v>168</v>
      </c>
      <c r="U660" s="15" t="s">
        <v>71</v>
      </c>
      <c r="V660" s="41" t="s">
        <v>287</v>
      </c>
      <c r="W660" s="17">
        <v>112227871</v>
      </c>
      <c r="X660" s="16" t="s">
        <v>2510</v>
      </c>
      <c r="Y660" s="17" t="s">
        <v>2607</v>
      </c>
      <c r="Z660" s="17" t="s">
        <v>39</v>
      </c>
      <c r="AA660" s="17" t="s">
        <v>2501</v>
      </c>
      <c r="AB660" s="29">
        <v>23.18</v>
      </c>
      <c r="AC660" s="25">
        <v>23.18</v>
      </c>
      <c r="AD660" s="25">
        <f>AC660*T660</f>
        <v>3894.24</v>
      </c>
      <c r="AE660" s="25">
        <f>AB660*T660</f>
        <v>3894.24</v>
      </c>
      <c r="AF660" s="25">
        <f>AD660-AE660</f>
        <v>0</v>
      </c>
      <c r="AG660" s="26">
        <f>AF660/AD660</f>
        <v>0</v>
      </c>
      <c r="AH660" s="27" t="str">
        <f>IF(AG660&lt;0,"Negative",IF(AG660=0,"Same",IF(AG660&gt;0.3,"30+%",IF(AG660&gt;0.2,"20-30%",IF(AG660&gt;0.1,"10-20%",IF(AG660&lt;=0.1,"0-10%"))))))</f>
        <v>Same</v>
      </c>
      <c r="AI660" s="32"/>
      <c r="AJ660" s="36" t="s">
        <v>3300</v>
      </c>
      <c r="AK660" s="32"/>
    </row>
    <row r="661" spans="1:37" s="1" customFormat="1" ht="19.7" customHeight="1" x14ac:dyDescent="0.25">
      <c r="A661" s="9" t="s">
        <v>22</v>
      </c>
      <c r="B661" s="9" t="s">
        <v>1593</v>
      </c>
      <c r="C661" s="10">
        <v>44421</v>
      </c>
      <c r="D661" s="9" t="s">
        <v>24</v>
      </c>
      <c r="E661" s="9" t="s">
        <v>25</v>
      </c>
      <c r="F661" s="9" t="s">
        <v>26</v>
      </c>
      <c r="G661" s="9" t="s">
        <v>67</v>
      </c>
      <c r="H661" s="9" t="s">
        <v>68</v>
      </c>
      <c r="I661" s="9" t="s">
        <v>29</v>
      </c>
      <c r="J661" s="9" t="s">
        <v>30</v>
      </c>
      <c r="K661" s="9" t="s">
        <v>31</v>
      </c>
      <c r="L661" s="9" t="s">
        <v>32</v>
      </c>
      <c r="M661" s="9" t="s">
        <v>286</v>
      </c>
      <c r="N661" s="9" t="s">
        <v>1594</v>
      </c>
      <c r="O661" s="9" t="s">
        <v>71</v>
      </c>
      <c r="P661" s="9" t="s">
        <v>287</v>
      </c>
      <c r="Q661" s="9">
        <v>112227871</v>
      </c>
      <c r="R661" s="9" t="s">
        <v>73</v>
      </c>
      <c r="S661" s="9" t="s">
        <v>39</v>
      </c>
      <c r="T661" s="11">
        <v>168</v>
      </c>
      <c r="U661" s="15" t="s">
        <v>71</v>
      </c>
      <c r="V661" s="41" t="s">
        <v>287</v>
      </c>
      <c r="W661" s="17">
        <v>112227871</v>
      </c>
      <c r="X661" s="16" t="s">
        <v>2510</v>
      </c>
      <c r="Y661" s="17" t="s">
        <v>2607</v>
      </c>
      <c r="Z661" s="17" t="s">
        <v>39</v>
      </c>
      <c r="AA661" s="17" t="s">
        <v>2501</v>
      </c>
      <c r="AB661" s="29">
        <v>23.18</v>
      </c>
      <c r="AC661" s="25">
        <v>23.18</v>
      </c>
      <c r="AD661" s="25">
        <f>AC661*T661</f>
        <v>3894.24</v>
      </c>
      <c r="AE661" s="25">
        <f>AB661*T661</f>
        <v>3894.24</v>
      </c>
      <c r="AF661" s="25">
        <f>AD661-AE661</f>
        <v>0</v>
      </c>
      <c r="AG661" s="26">
        <f>AF661/AD661</f>
        <v>0</v>
      </c>
      <c r="AH661" s="27" t="str">
        <f>IF(AG661&lt;0,"Negative",IF(AG661=0,"Same",IF(AG661&gt;0.3,"30+%",IF(AG661&gt;0.2,"20-30%",IF(AG661&gt;0.1,"10-20%",IF(AG661&lt;=0.1,"0-10%"))))))</f>
        <v>Same</v>
      </c>
      <c r="AI661" s="32"/>
      <c r="AJ661" s="36" t="s">
        <v>3300</v>
      </c>
      <c r="AK661" s="32"/>
    </row>
    <row r="662" spans="1:37" s="1" customFormat="1" ht="19.7" customHeight="1" x14ac:dyDescent="0.25">
      <c r="A662" s="5" t="s">
        <v>22</v>
      </c>
      <c r="B662" s="5" t="s">
        <v>1808</v>
      </c>
      <c r="C662" s="6">
        <v>44466</v>
      </c>
      <c r="D662" s="5" t="s">
        <v>24</v>
      </c>
      <c r="E662" s="5" t="s">
        <v>25</v>
      </c>
      <c r="F662" s="5" t="s">
        <v>26</v>
      </c>
      <c r="G662" s="5" t="s">
        <v>67</v>
      </c>
      <c r="H662" s="5" t="s">
        <v>68</v>
      </c>
      <c r="I662" s="5" t="s">
        <v>29</v>
      </c>
      <c r="J662" s="5" t="s">
        <v>30</v>
      </c>
      <c r="K662" s="5" t="s">
        <v>31</v>
      </c>
      <c r="L662" s="5" t="s">
        <v>32</v>
      </c>
      <c r="M662" s="5" t="s">
        <v>286</v>
      </c>
      <c r="N662" s="5" t="s">
        <v>1809</v>
      </c>
      <c r="O662" s="5" t="s">
        <v>71</v>
      </c>
      <c r="P662" s="5" t="s">
        <v>287</v>
      </c>
      <c r="Q662" s="5">
        <v>112227871</v>
      </c>
      <c r="R662" s="5" t="s">
        <v>73</v>
      </c>
      <c r="S662" s="5" t="s">
        <v>39</v>
      </c>
      <c r="T662" s="7">
        <v>168</v>
      </c>
      <c r="U662" s="15" t="s">
        <v>71</v>
      </c>
      <c r="V662" s="41" t="s">
        <v>287</v>
      </c>
      <c r="W662" s="17">
        <v>112227871</v>
      </c>
      <c r="X662" s="16" t="s">
        <v>2510</v>
      </c>
      <c r="Y662" s="17" t="s">
        <v>2607</v>
      </c>
      <c r="Z662" s="17" t="s">
        <v>39</v>
      </c>
      <c r="AA662" s="17" t="s">
        <v>2501</v>
      </c>
      <c r="AB662" s="29">
        <v>23.18</v>
      </c>
      <c r="AC662" s="25">
        <v>23.18</v>
      </c>
      <c r="AD662" s="25">
        <f>AC662*T662</f>
        <v>3894.24</v>
      </c>
      <c r="AE662" s="25">
        <f>AB662*T662</f>
        <v>3894.24</v>
      </c>
      <c r="AF662" s="25">
        <f>AD662-AE662</f>
        <v>0</v>
      </c>
      <c r="AG662" s="26">
        <f>AF662/AD662</f>
        <v>0</v>
      </c>
      <c r="AH662" s="27" t="str">
        <f>IF(AG662&lt;0,"Negative",IF(AG662=0,"Same",IF(AG662&gt;0.3,"30+%",IF(AG662&gt;0.2,"20-30%",IF(AG662&gt;0.1,"10-20%",IF(AG662&lt;=0.1,"0-10%"))))))</f>
        <v>Same</v>
      </c>
      <c r="AI662" s="32"/>
      <c r="AJ662" s="36" t="s">
        <v>3300</v>
      </c>
      <c r="AK662" s="32"/>
    </row>
    <row r="663" spans="1:37" s="1" customFormat="1" ht="19.7" customHeight="1" x14ac:dyDescent="0.25">
      <c r="A663" s="5" t="s">
        <v>22</v>
      </c>
      <c r="B663" s="5" t="s">
        <v>1667</v>
      </c>
      <c r="C663" s="6">
        <v>44435</v>
      </c>
      <c r="D663" s="5" t="s">
        <v>24</v>
      </c>
      <c r="E663" s="5" t="s">
        <v>25</v>
      </c>
      <c r="F663" s="5" t="s">
        <v>26</v>
      </c>
      <c r="G663" s="5" t="s">
        <v>67</v>
      </c>
      <c r="H663" s="5" t="s">
        <v>68</v>
      </c>
      <c r="I663" s="5" t="s">
        <v>29</v>
      </c>
      <c r="J663" s="5" t="s">
        <v>30</v>
      </c>
      <c r="K663" s="5" t="s">
        <v>31</v>
      </c>
      <c r="L663" s="5" t="s">
        <v>32</v>
      </c>
      <c r="M663" s="5" t="s">
        <v>286</v>
      </c>
      <c r="N663" s="5" t="s">
        <v>1668</v>
      </c>
      <c r="O663" s="5" t="s">
        <v>71</v>
      </c>
      <c r="P663" s="5" t="s">
        <v>287</v>
      </c>
      <c r="Q663" s="5">
        <v>112227871</v>
      </c>
      <c r="R663" s="5" t="s">
        <v>73</v>
      </c>
      <c r="S663" s="5" t="s">
        <v>39</v>
      </c>
      <c r="T663" s="7">
        <v>168</v>
      </c>
      <c r="U663" s="15" t="s">
        <v>71</v>
      </c>
      <c r="V663" s="41" t="s">
        <v>287</v>
      </c>
      <c r="W663" s="17">
        <v>112227871</v>
      </c>
      <c r="X663" s="16" t="s">
        <v>2510</v>
      </c>
      <c r="Y663" s="17" t="s">
        <v>2607</v>
      </c>
      <c r="Z663" s="17" t="s">
        <v>39</v>
      </c>
      <c r="AA663" s="17" t="s">
        <v>2501</v>
      </c>
      <c r="AB663" s="29">
        <v>23.18</v>
      </c>
      <c r="AC663" s="25">
        <v>23.18</v>
      </c>
      <c r="AD663" s="25">
        <f>AC663*T663</f>
        <v>3894.24</v>
      </c>
      <c r="AE663" s="25">
        <f>AB663*T663</f>
        <v>3894.24</v>
      </c>
      <c r="AF663" s="25">
        <f>AD663-AE663</f>
        <v>0</v>
      </c>
      <c r="AG663" s="26">
        <f>AF663/AD663</f>
        <v>0</v>
      </c>
      <c r="AH663" s="27" t="str">
        <f>IF(AG663&lt;0,"Negative",IF(AG663=0,"Same",IF(AG663&gt;0.3,"30+%",IF(AG663&gt;0.2,"20-30%",IF(AG663&gt;0.1,"10-20%",IF(AG663&lt;=0.1,"0-10%"))))))</f>
        <v>Same</v>
      </c>
      <c r="AI663" s="32"/>
      <c r="AJ663" s="36" t="s">
        <v>3300</v>
      </c>
      <c r="AK663" s="32"/>
    </row>
    <row r="664" spans="1:37" s="1" customFormat="1" ht="19.7" customHeight="1" x14ac:dyDescent="0.25">
      <c r="A664" s="5" t="s">
        <v>22</v>
      </c>
      <c r="B664" s="5" t="s">
        <v>1930</v>
      </c>
      <c r="C664" s="6">
        <v>44484</v>
      </c>
      <c r="D664" s="5" t="s">
        <v>24</v>
      </c>
      <c r="E664" s="5" t="s">
        <v>25</v>
      </c>
      <c r="F664" s="5" t="s">
        <v>26</v>
      </c>
      <c r="G664" s="5" t="s">
        <v>67</v>
      </c>
      <c r="H664" s="5" t="s">
        <v>68</v>
      </c>
      <c r="I664" s="5" t="s">
        <v>29</v>
      </c>
      <c r="J664" s="5" t="s">
        <v>30</v>
      </c>
      <c r="K664" s="5" t="s">
        <v>31</v>
      </c>
      <c r="L664" s="5" t="s">
        <v>32</v>
      </c>
      <c r="M664" s="5" t="s">
        <v>286</v>
      </c>
      <c r="N664" s="5" t="s">
        <v>1931</v>
      </c>
      <c r="O664" s="5" t="s">
        <v>71</v>
      </c>
      <c r="P664" s="5" t="s">
        <v>287</v>
      </c>
      <c r="Q664" s="5">
        <v>112227871</v>
      </c>
      <c r="R664" s="5" t="s">
        <v>73</v>
      </c>
      <c r="S664" s="5" t="s">
        <v>39</v>
      </c>
      <c r="T664" s="7">
        <v>168</v>
      </c>
      <c r="U664" s="15" t="s">
        <v>71</v>
      </c>
      <c r="V664" s="41" t="s">
        <v>287</v>
      </c>
      <c r="W664" s="17">
        <v>112227871</v>
      </c>
      <c r="X664" s="16" t="s">
        <v>2510</v>
      </c>
      <c r="Y664" s="17" t="s">
        <v>2607</v>
      </c>
      <c r="Z664" s="17" t="s">
        <v>39</v>
      </c>
      <c r="AA664" s="17" t="s">
        <v>2501</v>
      </c>
      <c r="AB664" s="29">
        <v>23.18</v>
      </c>
      <c r="AC664" s="25">
        <v>23.18</v>
      </c>
      <c r="AD664" s="25">
        <f>AC664*T664</f>
        <v>3894.24</v>
      </c>
      <c r="AE664" s="25">
        <f>AB664*T664</f>
        <v>3894.24</v>
      </c>
      <c r="AF664" s="25">
        <f>AD664-AE664</f>
        <v>0</v>
      </c>
      <c r="AG664" s="26">
        <f>AF664/AD664</f>
        <v>0</v>
      </c>
      <c r="AH664" s="27" t="str">
        <f>IF(AG664&lt;0,"Negative",IF(AG664=0,"Same",IF(AG664&gt;0.3,"30+%",IF(AG664&gt;0.2,"20-30%",IF(AG664&gt;0.1,"10-20%",IF(AG664&lt;=0.1,"0-10%"))))))</f>
        <v>Same</v>
      </c>
      <c r="AI664" s="32"/>
      <c r="AJ664" s="36" t="s">
        <v>3300</v>
      </c>
      <c r="AK664" s="32"/>
    </row>
    <row r="665" spans="1:37" s="1" customFormat="1" ht="19.7" customHeight="1" x14ac:dyDescent="0.25">
      <c r="A665" s="5" t="s">
        <v>22</v>
      </c>
      <c r="B665" s="5" t="s">
        <v>2021</v>
      </c>
      <c r="C665" s="6">
        <v>44498</v>
      </c>
      <c r="D665" s="5" t="s">
        <v>24</v>
      </c>
      <c r="E665" s="5" t="s">
        <v>25</v>
      </c>
      <c r="F665" s="5" t="s">
        <v>26</v>
      </c>
      <c r="G665" s="5" t="s">
        <v>67</v>
      </c>
      <c r="H665" s="5" t="s">
        <v>68</v>
      </c>
      <c r="I665" s="5" t="s">
        <v>29</v>
      </c>
      <c r="J665" s="5" t="s">
        <v>30</v>
      </c>
      <c r="K665" s="5" t="s">
        <v>31</v>
      </c>
      <c r="L665" s="5" t="s">
        <v>32</v>
      </c>
      <c r="M665" s="5" t="s">
        <v>286</v>
      </c>
      <c r="N665" s="5" t="s">
        <v>2022</v>
      </c>
      <c r="O665" s="5" t="s">
        <v>71</v>
      </c>
      <c r="P665" s="5" t="s">
        <v>287</v>
      </c>
      <c r="Q665" s="5">
        <v>112227871</v>
      </c>
      <c r="R665" s="5" t="s">
        <v>73</v>
      </c>
      <c r="S665" s="5" t="s">
        <v>39</v>
      </c>
      <c r="T665" s="7">
        <v>168</v>
      </c>
      <c r="U665" s="15" t="s">
        <v>71</v>
      </c>
      <c r="V665" s="41" t="s">
        <v>287</v>
      </c>
      <c r="W665" s="17">
        <v>112227871</v>
      </c>
      <c r="X665" s="16" t="s">
        <v>2510</v>
      </c>
      <c r="Y665" s="17" t="s">
        <v>2607</v>
      </c>
      <c r="Z665" s="17" t="s">
        <v>39</v>
      </c>
      <c r="AA665" s="17" t="s">
        <v>2501</v>
      </c>
      <c r="AB665" s="29">
        <v>23.18</v>
      </c>
      <c r="AC665" s="25">
        <v>23.18</v>
      </c>
      <c r="AD665" s="25">
        <f>AC665*T665</f>
        <v>3894.24</v>
      </c>
      <c r="AE665" s="25">
        <f>AB665*T665</f>
        <v>3894.24</v>
      </c>
      <c r="AF665" s="25">
        <f>AD665-AE665</f>
        <v>0</v>
      </c>
      <c r="AG665" s="26">
        <f>AF665/AD665</f>
        <v>0</v>
      </c>
      <c r="AH665" s="27" t="str">
        <f>IF(AG665&lt;0,"Negative",IF(AG665=0,"Same",IF(AG665&gt;0.3,"30+%",IF(AG665&gt;0.2,"20-30%",IF(AG665&gt;0.1,"10-20%",IF(AG665&lt;=0.1,"0-10%"))))))</f>
        <v>Same</v>
      </c>
      <c r="AI665" s="32"/>
      <c r="AJ665" s="36" t="s">
        <v>3300</v>
      </c>
      <c r="AK665" s="32"/>
    </row>
    <row r="666" spans="1:37" s="1" customFormat="1" ht="19.7" customHeight="1" x14ac:dyDescent="0.25">
      <c r="A666" s="5" t="s">
        <v>22</v>
      </c>
      <c r="B666" s="5" t="s">
        <v>282</v>
      </c>
      <c r="C666" s="6">
        <v>44246</v>
      </c>
      <c r="D666" s="5" t="s">
        <v>24</v>
      </c>
      <c r="E666" s="5" t="s">
        <v>25</v>
      </c>
      <c r="F666" s="5" t="s">
        <v>26</v>
      </c>
      <c r="G666" s="5" t="s">
        <v>67</v>
      </c>
      <c r="H666" s="5" t="s">
        <v>68</v>
      </c>
      <c r="I666" s="5" t="s">
        <v>29</v>
      </c>
      <c r="J666" s="5" t="s">
        <v>30</v>
      </c>
      <c r="K666" s="5" t="s">
        <v>31</v>
      </c>
      <c r="L666" s="5" t="s">
        <v>32</v>
      </c>
      <c r="M666" s="5" t="s">
        <v>286</v>
      </c>
      <c r="N666" s="5" t="s">
        <v>284</v>
      </c>
      <c r="O666" s="5" t="s">
        <v>71</v>
      </c>
      <c r="P666" s="5" t="s">
        <v>287</v>
      </c>
      <c r="Q666" s="5">
        <v>112227871</v>
      </c>
      <c r="R666" s="5" t="s">
        <v>73</v>
      </c>
      <c r="S666" s="5" t="s">
        <v>39</v>
      </c>
      <c r="T666" s="7">
        <v>192</v>
      </c>
      <c r="U666" s="15" t="s">
        <v>71</v>
      </c>
      <c r="V666" s="41" t="s">
        <v>287</v>
      </c>
      <c r="W666" s="17">
        <v>112227871</v>
      </c>
      <c r="X666" s="16" t="s">
        <v>2510</v>
      </c>
      <c r="Y666" s="17" t="s">
        <v>2607</v>
      </c>
      <c r="Z666" s="17" t="s">
        <v>39</v>
      </c>
      <c r="AA666" s="17" t="s">
        <v>2501</v>
      </c>
      <c r="AB666" s="29">
        <v>23.18</v>
      </c>
      <c r="AC666" s="25">
        <v>23.18</v>
      </c>
      <c r="AD666" s="25">
        <f>AC666*T666</f>
        <v>4450.5599999999995</v>
      </c>
      <c r="AE666" s="25">
        <f>AB666*T666</f>
        <v>4450.5599999999995</v>
      </c>
      <c r="AF666" s="25">
        <f>AD666-AE666</f>
        <v>0</v>
      </c>
      <c r="AG666" s="26">
        <f>AF666/AD666</f>
        <v>0</v>
      </c>
      <c r="AH666" s="27" t="str">
        <f>IF(AG666&lt;0,"Negative",IF(AG666=0,"Same",IF(AG666&gt;0.3,"30+%",IF(AG666&gt;0.2,"20-30%",IF(AG666&gt;0.1,"10-20%",IF(AG666&lt;=0.1,"0-10%"))))))</f>
        <v>Same</v>
      </c>
      <c r="AI666" s="32"/>
      <c r="AJ666" s="36" t="s">
        <v>3300</v>
      </c>
      <c r="AK666" s="32"/>
    </row>
    <row r="667" spans="1:37" s="1" customFormat="1" ht="19.7" customHeight="1" x14ac:dyDescent="0.25">
      <c r="A667" s="9" t="s">
        <v>22</v>
      </c>
      <c r="B667" s="9" t="s">
        <v>1258</v>
      </c>
      <c r="C667" s="10">
        <v>44365</v>
      </c>
      <c r="D667" s="9" t="s">
        <v>24</v>
      </c>
      <c r="E667" s="9" t="s">
        <v>25</v>
      </c>
      <c r="F667" s="9" t="s">
        <v>26</v>
      </c>
      <c r="G667" s="9" t="s">
        <v>67</v>
      </c>
      <c r="H667" s="9" t="s">
        <v>68</v>
      </c>
      <c r="I667" s="9" t="s">
        <v>29</v>
      </c>
      <c r="J667" s="9" t="s">
        <v>30</v>
      </c>
      <c r="K667" s="9" t="s">
        <v>31</v>
      </c>
      <c r="L667" s="9" t="s">
        <v>32</v>
      </c>
      <c r="M667" s="9" t="s">
        <v>286</v>
      </c>
      <c r="N667" s="9" t="s">
        <v>1259</v>
      </c>
      <c r="O667" s="9" t="s">
        <v>71</v>
      </c>
      <c r="P667" s="9" t="s">
        <v>287</v>
      </c>
      <c r="Q667" s="9">
        <v>112227871</v>
      </c>
      <c r="R667" s="9" t="s">
        <v>73</v>
      </c>
      <c r="S667" s="9" t="s">
        <v>39</v>
      </c>
      <c r="T667" s="11">
        <v>192</v>
      </c>
      <c r="U667" s="15" t="s">
        <v>71</v>
      </c>
      <c r="V667" s="41" t="s">
        <v>287</v>
      </c>
      <c r="W667" s="17">
        <v>112227871</v>
      </c>
      <c r="X667" s="16" t="s">
        <v>2510</v>
      </c>
      <c r="Y667" s="17" t="s">
        <v>2607</v>
      </c>
      <c r="Z667" s="17" t="s">
        <v>39</v>
      </c>
      <c r="AA667" s="17" t="s">
        <v>2501</v>
      </c>
      <c r="AB667" s="29">
        <v>23.18</v>
      </c>
      <c r="AC667" s="25">
        <v>23.18</v>
      </c>
      <c r="AD667" s="25">
        <f>AC667*T667</f>
        <v>4450.5599999999995</v>
      </c>
      <c r="AE667" s="25">
        <f>AB667*T667</f>
        <v>4450.5599999999995</v>
      </c>
      <c r="AF667" s="25">
        <f>AD667-AE667</f>
        <v>0</v>
      </c>
      <c r="AG667" s="26">
        <f>AF667/AD667</f>
        <v>0</v>
      </c>
      <c r="AH667" s="27" t="str">
        <f>IF(AG667&lt;0,"Negative",IF(AG667=0,"Same",IF(AG667&gt;0.3,"30+%",IF(AG667&gt;0.2,"20-30%",IF(AG667&gt;0.1,"10-20%",IF(AG667&lt;=0.1,"0-10%"))))))</f>
        <v>Same</v>
      </c>
      <c r="AI667" s="32"/>
      <c r="AJ667" s="36" t="s">
        <v>3300</v>
      </c>
      <c r="AK667" s="32"/>
    </row>
    <row r="668" spans="1:37" s="1" customFormat="1" ht="19.7" customHeight="1" x14ac:dyDescent="0.25">
      <c r="A668" s="5" t="s">
        <v>22</v>
      </c>
      <c r="B668" s="5" t="s">
        <v>495</v>
      </c>
      <c r="C668" s="6">
        <v>44267</v>
      </c>
      <c r="D668" s="5" t="s">
        <v>24</v>
      </c>
      <c r="E668" s="5" t="s">
        <v>25</v>
      </c>
      <c r="F668" s="5" t="s">
        <v>26</v>
      </c>
      <c r="G668" s="5" t="s">
        <v>67</v>
      </c>
      <c r="H668" s="5" t="s">
        <v>68</v>
      </c>
      <c r="I668" s="5" t="s">
        <v>29</v>
      </c>
      <c r="J668" s="5" t="s">
        <v>30</v>
      </c>
      <c r="K668" s="5" t="s">
        <v>31</v>
      </c>
      <c r="L668" s="5" t="s">
        <v>32</v>
      </c>
      <c r="M668" s="5" t="s">
        <v>286</v>
      </c>
      <c r="N668" s="5" t="s">
        <v>496</v>
      </c>
      <c r="O668" s="5" t="s">
        <v>71</v>
      </c>
      <c r="P668" s="5" t="s">
        <v>287</v>
      </c>
      <c r="Q668" s="5">
        <v>112227871</v>
      </c>
      <c r="R668" s="5" t="s">
        <v>73</v>
      </c>
      <c r="S668" s="5" t="s">
        <v>39</v>
      </c>
      <c r="T668" s="7">
        <v>216</v>
      </c>
      <c r="U668" s="15" t="s">
        <v>71</v>
      </c>
      <c r="V668" s="41" t="s">
        <v>287</v>
      </c>
      <c r="W668" s="17">
        <v>112227871</v>
      </c>
      <c r="X668" s="16" t="s">
        <v>2510</v>
      </c>
      <c r="Y668" s="17" t="s">
        <v>2607</v>
      </c>
      <c r="Z668" s="17" t="s">
        <v>39</v>
      </c>
      <c r="AA668" s="17" t="s">
        <v>2501</v>
      </c>
      <c r="AB668" s="29">
        <v>23.18</v>
      </c>
      <c r="AC668" s="25">
        <v>23.18</v>
      </c>
      <c r="AD668" s="25">
        <f>AC668*T668</f>
        <v>5006.88</v>
      </c>
      <c r="AE668" s="25">
        <f>AB668*T668</f>
        <v>5006.88</v>
      </c>
      <c r="AF668" s="25">
        <f>AD668-AE668</f>
        <v>0</v>
      </c>
      <c r="AG668" s="26">
        <f>AF668/AD668</f>
        <v>0</v>
      </c>
      <c r="AH668" s="27" t="str">
        <f>IF(AG668&lt;0,"Negative",IF(AG668=0,"Same",IF(AG668&gt;0.3,"30+%",IF(AG668&gt;0.2,"20-30%",IF(AG668&gt;0.1,"10-20%",IF(AG668&lt;=0.1,"0-10%"))))))</f>
        <v>Same</v>
      </c>
      <c r="AI668" s="32"/>
      <c r="AJ668" s="36" t="s">
        <v>3300</v>
      </c>
      <c r="AK668" s="32"/>
    </row>
    <row r="669" spans="1:37" s="1" customFormat="1" ht="19.7" customHeight="1" x14ac:dyDescent="0.25">
      <c r="A669" s="9" t="s">
        <v>22</v>
      </c>
      <c r="B669" s="9" t="s">
        <v>1479</v>
      </c>
      <c r="C669" s="10">
        <v>44403</v>
      </c>
      <c r="D669" s="9" t="s">
        <v>24</v>
      </c>
      <c r="E669" s="9" t="s">
        <v>25</v>
      </c>
      <c r="F669" s="9" t="s">
        <v>26</v>
      </c>
      <c r="G669" s="9" t="s">
        <v>67</v>
      </c>
      <c r="H669" s="9" t="s">
        <v>68</v>
      </c>
      <c r="I669" s="9" t="s">
        <v>29</v>
      </c>
      <c r="J669" s="9" t="s">
        <v>30</v>
      </c>
      <c r="K669" s="9" t="s">
        <v>31</v>
      </c>
      <c r="L669" s="9" t="s">
        <v>32</v>
      </c>
      <c r="M669" s="9" t="s">
        <v>286</v>
      </c>
      <c r="N669" s="9" t="s">
        <v>1480</v>
      </c>
      <c r="O669" s="9" t="s">
        <v>71</v>
      </c>
      <c r="P669" s="9" t="s">
        <v>287</v>
      </c>
      <c r="Q669" s="9">
        <v>112227871</v>
      </c>
      <c r="R669" s="9" t="s">
        <v>73</v>
      </c>
      <c r="S669" s="9" t="s">
        <v>39</v>
      </c>
      <c r="T669" s="11">
        <v>240</v>
      </c>
      <c r="U669" s="15" t="s">
        <v>71</v>
      </c>
      <c r="V669" s="41" t="s">
        <v>287</v>
      </c>
      <c r="W669" s="17">
        <v>112227871</v>
      </c>
      <c r="X669" s="16" t="s">
        <v>2510</v>
      </c>
      <c r="Y669" s="17" t="s">
        <v>2607</v>
      </c>
      <c r="Z669" s="17" t="s">
        <v>39</v>
      </c>
      <c r="AA669" s="17" t="s">
        <v>2501</v>
      </c>
      <c r="AB669" s="29">
        <v>23.18</v>
      </c>
      <c r="AC669" s="25">
        <v>23.18</v>
      </c>
      <c r="AD669" s="25">
        <f>AC669*T669</f>
        <v>5563.2</v>
      </c>
      <c r="AE669" s="25">
        <f>AB669*T669</f>
        <v>5563.2</v>
      </c>
      <c r="AF669" s="25">
        <f>AD669-AE669</f>
        <v>0</v>
      </c>
      <c r="AG669" s="26">
        <f>AF669/AD669</f>
        <v>0</v>
      </c>
      <c r="AH669" s="27" t="str">
        <f>IF(AG669&lt;0,"Negative",IF(AG669=0,"Same",IF(AG669&gt;0.3,"30+%",IF(AG669&gt;0.2,"20-30%",IF(AG669&gt;0.1,"10-20%",IF(AG669&lt;=0.1,"0-10%"))))))</f>
        <v>Same</v>
      </c>
      <c r="AI669" s="32"/>
      <c r="AJ669" s="36" t="s">
        <v>3300</v>
      </c>
      <c r="AK669" s="32"/>
    </row>
    <row r="670" spans="1:37" s="1" customFormat="1" ht="19.7" customHeight="1" x14ac:dyDescent="0.25">
      <c r="A670" s="9" t="s">
        <v>22</v>
      </c>
      <c r="B670" s="9" t="s">
        <v>2268</v>
      </c>
      <c r="C670" s="10">
        <v>44559</v>
      </c>
      <c r="D670" s="9" t="s">
        <v>24</v>
      </c>
      <c r="E670" s="9" t="s">
        <v>25</v>
      </c>
      <c r="F670" s="9" t="s">
        <v>26</v>
      </c>
      <c r="G670" s="9" t="s">
        <v>67</v>
      </c>
      <c r="H670" s="9" t="s">
        <v>68</v>
      </c>
      <c r="I670" s="9" t="s">
        <v>29</v>
      </c>
      <c r="J670" s="9" t="s">
        <v>30</v>
      </c>
      <c r="K670" s="9" t="s">
        <v>31</v>
      </c>
      <c r="L670" s="9" t="s">
        <v>32</v>
      </c>
      <c r="M670" s="9" t="s">
        <v>476</v>
      </c>
      <c r="N670" s="9" t="s">
        <v>2269</v>
      </c>
      <c r="O670" s="9" t="s">
        <v>71</v>
      </c>
      <c r="P670" s="9" t="s">
        <v>478</v>
      </c>
      <c r="Q670" s="9">
        <v>112432074</v>
      </c>
      <c r="R670" s="9" t="s">
        <v>76</v>
      </c>
      <c r="S670" s="9" t="s">
        <v>77</v>
      </c>
      <c r="T670" s="11">
        <v>108</v>
      </c>
      <c r="U670" s="15" t="s">
        <v>71</v>
      </c>
      <c r="V670" s="41" t="s">
        <v>478</v>
      </c>
      <c r="W670" s="17">
        <v>112432074</v>
      </c>
      <c r="X670" s="16" t="s">
        <v>2512</v>
      </c>
      <c r="Y670" s="17" t="s">
        <v>2691</v>
      </c>
      <c r="Z670" s="17" t="s">
        <v>77</v>
      </c>
      <c r="AA670" s="17" t="s">
        <v>37</v>
      </c>
      <c r="AB670" s="29">
        <v>10.68</v>
      </c>
      <c r="AC670" s="25">
        <v>10.68</v>
      </c>
      <c r="AD670" s="25">
        <f>AC670*T670</f>
        <v>1153.44</v>
      </c>
      <c r="AE670" s="25">
        <f>AB670*T670</f>
        <v>1153.44</v>
      </c>
      <c r="AF670" s="25">
        <f>AD670-AE670</f>
        <v>0</v>
      </c>
      <c r="AG670" s="26">
        <f>AF670/AD670</f>
        <v>0</v>
      </c>
      <c r="AH670" s="27" t="str">
        <f>IF(AG670&lt;0,"Negative",IF(AG670=0,"Same",IF(AG670&gt;0.3,"30+%",IF(AG670&gt;0.2,"20-30%",IF(AG670&gt;0.1,"10-20%",IF(AG670&lt;=0.1,"0-10%"))))))</f>
        <v>Same</v>
      </c>
      <c r="AI670" s="32"/>
      <c r="AJ670" s="36" t="s">
        <v>3300</v>
      </c>
      <c r="AK670" s="32"/>
    </row>
    <row r="671" spans="1:37" s="1" customFormat="1" ht="19.7" customHeight="1" x14ac:dyDescent="0.25">
      <c r="A671" s="9" t="s">
        <v>22</v>
      </c>
      <c r="B671" s="9" t="s">
        <v>1930</v>
      </c>
      <c r="C671" s="10">
        <v>44484</v>
      </c>
      <c r="D671" s="9" t="s">
        <v>24</v>
      </c>
      <c r="E671" s="9" t="s">
        <v>25</v>
      </c>
      <c r="F671" s="9" t="s">
        <v>26</v>
      </c>
      <c r="G671" s="9" t="s">
        <v>67</v>
      </c>
      <c r="H671" s="9" t="s">
        <v>68</v>
      </c>
      <c r="I671" s="9" t="s">
        <v>29</v>
      </c>
      <c r="J671" s="9" t="s">
        <v>30</v>
      </c>
      <c r="K671" s="9" t="s">
        <v>31</v>
      </c>
      <c r="L671" s="9" t="s">
        <v>32</v>
      </c>
      <c r="M671" s="9" t="s">
        <v>476</v>
      </c>
      <c r="N671" s="9" t="s">
        <v>1931</v>
      </c>
      <c r="O671" s="9" t="s">
        <v>71</v>
      </c>
      <c r="P671" s="9" t="s">
        <v>478</v>
      </c>
      <c r="Q671" s="9">
        <v>112432074</v>
      </c>
      <c r="R671" s="9" t="s">
        <v>76</v>
      </c>
      <c r="S671" s="9" t="s">
        <v>77</v>
      </c>
      <c r="T671" s="11">
        <v>144</v>
      </c>
      <c r="U671" s="15" t="s">
        <v>71</v>
      </c>
      <c r="V671" s="41" t="s">
        <v>478</v>
      </c>
      <c r="W671" s="17">
        <v>112432074</v>
      </c>
      <c r="X671" s="16" t="s">
        <v>2512</v>
      </c>
      <c r="Y671" s="17" t="s">
        <v>2691</v>
      </c>
      <c r="Z671" s="17" t="s">
        <v>77</v>
      </c>
      <c r="AA671" s="17" t="s">
        <v>37</v>
      </c>
      <c r="AB671" s="29">
        <v>10.68</v>
      </c>
      <c r="AC671" s="25">
        <v>10.68</v>
      </c>
      <c r="AD671" s="25">
        <f>AC671*T671</f>
        <v>1537.92</v>
      </c>
      <c r="AE671" s="25">
        <f>AB671*T671</f>
        <v>1537.92</v>
      </c>
      <c r="AF671" s="25">
        <f>AD671-AE671</f>
        <v>0</v>
      </c>
      <c r="AG671" s="26">
        <f>AF671/AD671</f>
        <v>0</v>
      </c>
      <c r="AH671" s="27" t="str">
        <f>IF(AG671&lt;0,"Negative",IF(AG671=0,"Same",IF(AG671&gt;0.3,"30+%",IF(AG671&gt;0.2,"20-30%",IF(AG671&gt;0.1,"10-20%",IF(AG671&lt;=0.1,"0-10%"))))))</f>
        <v>Same</v>
      </c>
      <c r="AI671" s="32"/>
      <c r="AJ671" s="36" t="s">
        <v>3300</v>
      </c>
      <c r="AK671" s="32"/>
    </row>
    <row r="672" spans="1:37" s="1" customFormat="1" ht="19.7" customHeight="1" x14ac:dyDescent="0.25">
      <c r="A672" s="9" t="s">
        <v>22</v>
      </c>
      <c r="B672" s="9" t="s">
        <v>1870</v>
      </c>
      <c r="C672" s="10">
        <v>44473</v>
      </c>
      <c r="D672" s="9" t="s">
        <v>24</v>
      </c>
      <c r="E672" s="9" t="s">
        <v>25</v>
      </c>
      <c r="F672" s="9" t="s">
        <v>26</v>
      </c>
      <c r="G672" s="9" t="s">
        <v>67</v>
      </c>
      <c r="H672" s="9" t="s">
        <v>68</v>
      </c>
      <c r="I672" s="9" t="s">
        <v>29</v>
      </c>
      <c r="J672" s="9" t="s">
        <v>30</v>
      </c>
      <c r="K672" s="9" t="s">
        <v>31</v>
      </c>
      <c r="L672" s="9" t="s">
        <v>32</v>
      </c>
      <c r="M672" s="9" t="s">
        <v>476</v>
      </c>
      <c r="N672" s="9" t="s">
        <v>1871</v>
      </c>
      <c r="O672" s="9" t="s">
        <v>71</v>
      </c>
      <c r="P672" s="9" t="s">
        <v>478</v>
      </c>
      <c r="Q672" s="9">
        <v>112432074</v>
      </c>
      <c r="R672" s="9" t="s">
        <v>76</v>
      </c>
      <c r="S672" s="9" t="s">
        <v>77</v>
      </c>
      <c r="T672" s="11">
        <v>180</v>
      </c>
      <c r="U672" s="15" t="s">
        <v>71</v>
      </c>
      <c r="V672" s="41" t="s">
        <v>478</v>
      </c>
      <c r="W672" s="17">
        <v>112432074</v>
      </c>
      <c r="X672" s="16" t="s">
        <v>2512</v>
      </c>
      <c r="Y672" s="17" t="s">
        <v>2691</v>
      </c>
      <c r="Z672" s="17" t="s">
        <v>77</v>
      </c>
      <c r="AA672" s="17" t="s">
        <v>37</v>
      </c>
      <c r="AB672" s="29">
        <v>10.68</v>
      </c>
      <c r="AC672" s="25">
        <v>10.68</v>
      </c>
      <c r="AD672" s="25">
        <f>AC672*T672</f>
        <v>1922.3999999999999</v>
      </c>
      <c r="AE672" s="25">
        <f>AB672*T672</f>
        <v>1922.3999999999999</v>
      </c>
      <c r="AF672" s="25">
        <f>AD672-AE672</f>
        <v>0</v>
      </c>
      <c r="AG672" s="26">
        <f>AF672/AD672</f>
        <v>0</v>
      </c>
      <c r="AH672" s="27" t="str">
        <f>IF(AG672&lt;0,"Negative",IF(AG672=0,"Same",IF(AG672&gt;0.3,"30+%",IF(AG672&gt;0.2,"20-30%",IF(AG672&gt;0.1,"10-20%",IF(AG672&lt;=0.1,"0-10%"))))))</f>
        <v>Same</v>
      </c>
      <c r="AI672" s="32"/>
      <c r="AJ672" s="36" t="s">
        <v>3300</v>
      </c>
      <c r="AK672" s="32"/>
    </row>
    <row r="673" spans="1:37" s="1" customFormat="1" ht="19.7" customHeight="1" x14ac:dyDescent="0.25">
      <c r="A673" s="9" t="s">
        <v>22</v>
      </c>
      <c r="B673" s="9" t="s">
        <v>52</v>
      </c>
      <c r="C673" s="10">
        <v>44230</v>
      </c>
      <c r="D673" s="9" t="s">
        <v>24</v>
      </c>
      <c r="E673" s="9" t="s">
        <v>25</v>
      </c>
      <c r="F673" s="9" t="s">
        <v>26</v>
      </c>
      <c r="G673" s="9" t="s">
        <v>27</v>
      </c>
      <c r="H673" s="9" t="s">
        <v>28</v>
      </c>
      <c r="I673" s="9" t="s">
        <v>29</v>
      </c>
      <c r="J673" s="9" t="s">
        <v>30</v>
      </c>
      <c r="K673" s="9" t="s">
        <v>31</v>
      </c>
      <c r="L673" s="9" t="s">
        <v>32</v>
      </c>
      <c r="M673" s="9" t="s">
        <v>53</v>
      </c>
      <c r="N673" s="9" t="s">
        <v>42</v>
      </c>
      <c r="O673" s="9" t="s">
        <v>54</v>
      </c>
      <c r="P673" s="9" t="s">
        <v>55</v>
      </c>
      <c r="Q673" s="9">
        <v>116167976</v>
      </c>
      <c r="R673" s="9" t="s">
        <v>56</v>
      </c>
      <c r="S673" s="9" t="s">
        <v>39</v>
      </c>
      <c r="T673" s="11">
        <v>1</v>
      </c>
      <c r="U673" s="15" t="s">
        <v>54</v>
      </c>
      <c r="V673" s="16" t="s">
        <v>55</v>
      </c>
      <c r="W673" s="17">
        <v>116167976</v>
      </c>
      <c r="X673" s="16" t="s">
        <v>2504</v>
      </c>
      <c r="Y673" s="17" t="s">
        <v>2505</v>
      </c>
      <c r="Z673" s="17" t="s">
        <v>39</v>
      </c>
      <c r="AA673" s="17" t="s">
        <v>2501</v>
      </c>
      <c r="AB673" s="29">
        <v>75.86</v>
      </c>
      <c r="AC673" s="25">
        <v>77.47</v>
      </c>
      <c r="AD673" s="25">
        <f>AC673*T673</f>
        <v>77.47</v>
      </c>
      <c r="AE673" s="25">
        <f>AB673*T673</f>
        <v>75.86</v>
      </c>
      <c r="AF673" s="25">
        <f>AD673-AE673</f>
        <v>1.6099999999999994</v>
      </c>
      <c r="AG673" s="26">
        <f>AF673/AD673</f>
        <v>2.0782238285788041E-2</v>
      </c>
      <c r="AH673" s="27" t="str">
        <f>IF(AG673&lt;0,"Negative",IF(AG673=0,"Same",IF(AG673&gt;0.3,"30+%",IF(AG673&gt;0.2,"20-30%",IF(AG673&gt;0.1,"10-20%",IF(AG673&lt;=0.1,"0-10%"))))))</f>
        <v>0-10%</v>
      </c>
      <c r="AI673" s="32"/>
      <c r="AJ673" s="36" t="s">
        <v>3300</v>
      </c>
      <c r="AK673" s="32"/>
    </row>
    <row r="674" spans="1:37" s="1" customFormat="1" ht="19.7" customHeight="1" x14ac:dyDescent="0.25">
      <c r="A674" s="5" t="s">
        <v>22</v>
      </c>
      <c r="B674" s="5" t="s">
        <v>106</v>
      </c>
      <c r="C674" s="6">
        <v>44232</v>
      </c>
      <c r="D674" s="5" t="s">
        <v>24</v>
      </c>
      <c r="E674" s="5" t="s">
        <v>25</v>
      </c>
      <c r="F674" s="5" t="s">
        <v>26</v>
      </c>
      <c r="G674" s="5" t="s">
        <v>67</v>
      </c>
      <c r="H674" s="5" t="s">
        <v>68</v>
      </c>
      <c r="I674" s="5" t="s">
        <v>29</v>
      </c>
      <c r="J674" s="5" t="s">
        <v>30</v>
      </c>
      <c r="K674" s="5" t="s">
        <v>31</v>
      </c>
      <c r="L674" s="5" t="s">
        <v>32</v>
      </c>
      <c r="M674" s="5" t="s">
        <v>117</v>
      </c>
      <c r="N674" s="5" t="s">
        <v>107</v>
      </c>
      <c r="O674" s="5" t="s">
        <v>98</v>
      </c>
      <c r="P674" s="5" t="s">
        <v>118</v>
      </c>
      <c r="Q674" s="5">
        <v>102109138</v>
      </c>
      <c r="R674" s="5" t="s">
        <v>56</v>
      </c>
      <c r="S674" s="5" t="s">
        <v>39</v>
      </c>
      <c r="T674" s="7">
        <v>1</v>
      </c>
      <c r="U674" s="15" t="s">
        <v>98</v>
      </c>
      <c r="V674" s="16" t="s">
        <v>118</v>
      </c>
      <c r="W674" s="17">
        <v>102109138</v>
      </c>
      <c r="X674" s="16" t="s">
        <v>2522</v>
      </c>
      <c r="Y674" s="17" t="s">
        <v>2531</v>
      </c>
      <c r="Z674" s="17" t="s">
        <v>39</v>
      </c>
      <c r="AA674" s="17" t="s">
        <v>37</v>
      </c>
      <c r="AB674" s="43">
        <v>27.98</v>
      </c>
      <c r="AC674" s="25">
        <v>31.11</v>
      </c>
      <c r="AD674" s="25">
        <f>AC674*T674</f>
        <v>31.11</v>
      </c>
      <c r="AE674" s="25">
        <f>AB674*T674</f>
        <v>27.98</v>
      </c>
      <c r="AF674" s="25">
        <f>AD674-AE674</f>
        <v>3.129999999999999</v>
      </c>
      <c r="AG674" s="26">
        <f>AF674/AD674</f>
        <v>0.10061073609771774</v>
      </c>
      <c r="AH674" s="27" t="str">
        <f>IF(AG674&lt;0,"Negative",IF(AG674=0,"Same",IF(AG674&gt;0.3,"30+%",IF(AG674&gt;0.2,"20-30%",IF(AG674&gt;0.1,"10-20%",IF(AG674&lt;=0.1,"0-10%"))))))</f>
        <v>10-20%</v>
      </c>
      <c r="AI674" s="32"/>
      <c r="AJ674" s="36" t="s">
        <v>3299</v>
      </c>
      <c r="AK674" s="32"/>
    </row>
    <row r="675" spans="1:37" s="1" customFormat="1" ht="19.7" customHeight="1" x14ac:dyDescent="0.25">
      <c r="A675" s="9" t="s">
        <v>22</v>
      </c>
      <c r="B675" s="9" t="s">
        <v>689</v>
      </c>
      <c r="C675" s="10">
        <v>44288</v>
      </c>
      <c r="D675" s="9" t="s">
        <v>24</v>
      </c>
      <c r="E675" s="9" t="s">
        <v>25</v>
      </c>
      <c r="F675" s="9" t="s">
        <v>26</v>
      </c>
      <c r="G675" s="9" t="s">
        <v>67</v>
      </c>
      <c r="H675" s="9" t="s">
        <v>68</v>
      </c>
      <c r="I675" s="9" t="s">
        <v>29</v>
      </c>
      <c r="J675" s="9" t="s">
        <v>30</v>
      </c>
      <c r="K675" s="9" t="s">
        <v>31</v>
      </c>
      <c r="L675" s="9" t="s">
        <v>32</v>
      </c>
      <c r="M675" s="9" t="s">
        <v>693</v>
      </c>
      <c r="N675" s="9" t="s">
        <v>690</v>
      </c>
      <c r="O675" s="9" t="s">
        <v>350</v>
      </c>
      <c r="P675" s="9" t="s">
        <v>694</v>
      </c>
      <c r="Q675" s="9">
        <v>112571985</v>
      </c>
      <c r="R675" s="9" t="s">
        <v>56</v>
      </c>
      <c r="S675" s="9" t="s">
        <v>39</v>
      </c>
      <c r="T675" s="11">
        <v>3</v>
      </c>
      <c r="U675" s="15" t="s">
        <v>350</v>
      </c>
      <c r="V675" s="16" t="s">
        <v>694</v>
      </c>
      <c r="W675" s="17">
        <v>112571985</v>
      </c>
      <c r="X675" s="16" t="s">
        <v>2636</v>
      </c>
      <c r="Y675" s="17" t="s">
        <v>2781</v>
      </c>
      <c r="Z675" s="17" t="s">
        <v>39</v>
      </c>
      <c r="AA675" s="17" t="s">
        <v>2501</v>
      </c>
      <c r="AB675" s="29">
        <v>509.29</v>
      </c>
      <c r="AC675" s="25">
        <v>520.12</v>
      </c>
      <c r="AD675" s="25">
        <f>AC675*T675</f>
        <v>1560.3600000000001</v>
      </c>
      <c r="AE675" s="25">
        <f>AB675*T675</f>
        <v>1527.8700000000001</v>
      </c>
      <c r="AF675" s="25">
        <f>AD675-AE675</f>
        <v>32.490000000000009</v>
      </c>
      <c r="AG675" s="26">
        <f>AF675/AD675</f>
        <v>2.0822117972775517E-2</v>
      </c>
      <c r="AH675" s="27" t="str">
        <f>IF(AG675&lt;0,"Negative",IF(AG675=0,"Same",IF(AG675&gt;0.3,"30+%",IF(AG675&gt;0.2,"20-30%",IF(AG675&gt;0.1,"10-20%",IF(AG675&lt;=0.1,"0-10%"))))))</f>
        <v>0-10%</v>
      </c>
      <c r="AI675" s="32"/>
      <c r="AJ675" s="36" t="s">
        <v>3300</v>
      </c>
      <c r="AK675" s="32"/>
    </row>
    <row r="676" spans="1:37" s="1" customFormat="1" ht="19.7" customHeight="1" x14ac:dyDescent="0.25">
      <c r="A676" s="5" t="s">
        <v>22</v>
      </c>
      <c r="B676" s="5" t="s">
        <v>1759</v>
      </c>
      <c r="C676" s="6">
        <v>44456</v>
      </c>
      <c r="D676" s="5" t="s">
        <v>24</v>
      </c>
      <c r="E676" s="5" t="s">
        <v>25</v>
      </c>
      <c r="F676" s="5" t="s">
        <v>26</v>
      </c>
      <c r="G676" s="5" t="s">
        <v>67</v>
      </c>
      <c r="H676" s="5" t="s">
        <v>68</v>
      </c>
      <c r="I676" s="5" t="s">
        <v>29</v>
      </c>
      <c r="J676" s="5" t="s">
        <v>30</v>
      </c>
      <c r="K676" s="5" t="s">
        <v>31</v>
      </c>
      <c r="L676" s="5" t="s">
        <v>32</v>
      </c>
      <c r="M676" s="5" t="s">
        <v>693</v>
      </c>
      <c r="N676" s="5" t="s">
        <v>1760</v>
      </c>
      <c r="O676" s="5" t="s">
        <v>350</v>
      </c>
      <c r="P676" s="5" t="s">
        <v>694</v>
      </c>
      <c r="Q676" s="5">
        <v>112571985</v>
      </c>
      <c r="R676" s="5" t="s">
        <v>56</v>
      </c>
      <c r="S676" s="5" t="s">
        <v>39</v>
      </c>
      <c r="T676" s="7">
        <v>4</v>
      </c>
      <c r="U676" s="15" t="s">
        <v>350</v>
      </c>
      <c r="V676" s="16" t="s">
        <v>694</v>
      </c>
      <c r="W676" s="17">
        <v>112571985</v>
      </c>
      <c r="X676" s="16" t="s">
        <v>2636</v>
      </c>
      <c r="Y676" s="17" t="s">
        <v>2781</v>
      </c>
      <c r="Z676" s="17" t="s">
        <v>39</v>
      </c>
      <c r="AA676" s="17" t="s">
        <v>2501</v>
      </c>
      <c r="AB676" s="29">
        <v>509.29</v>
      </c>
      <c r="AC676" s="25">
        <v>520.12</v>
      </c>
      <c r="AD676" s="25">
        <f>AC676*T676</f>
        <v>2080.48</v>
      </c>
      <c r="AE676" s="25">
        <f>AB676*T676</f>
        <v>2037.16</v>
      </c>
      <c r="AF676" s="25">
        <f>AD676-AE676</f>
        <v>43.319999999999936</v>
      </c>
      <c r="AG676" s="26">
        <f>AF676/AD676</f>
        <v>2.0822117972775483E-2</v>
      </c>
      <c r="AH676" s="27" t="str">
        <f>IF(AG676&lt;0,"Negative",IF(AG676=0,"Same",IF(AG676&gt;0.3,"30+%",IF(AG676&gt;0.2,"20-30%",IF(AG676&gt;0.1,"10-20%",IF(AG676&lt;=0.1,"0-10%"))))))</f>
        <v>0-10%</v>
      </c>
      <c r="AI676" s="32"/>
      <c r="AJ676" s="36" t="s">
        <v>3300</v>
      </c>
      <c r="AK676" s="32"/>
    </row>
    <row r="677" spans="1:37" s="1" customFormat="1" ht="19.7" customHeight="1" x14ac:dyDescent="0.25">
      <c r="A677" s="9" t="s">
        <v>22</v>
      </c>
      <c r="B677" s="9" t="s">
        <v>2484</v>
      </c>
      <c r="C677" s="10">
        <v>44589</v>
      </c>
      <c r="D677" s="9" t="s">
        <v>24</v>
      </c>
      <c r="E677" s="9" t="s">
        <v>25</v>
      </c>
      <c r="F677" s="9" t="s">
        <v>26</v>
      </c>
      <c r="G677" s="9" t="s">
        <v>67</v>
      </c>
      <c r="H677" s="9" t="s">
        <v>68</v>
      </c>
      <c r="I677" s="9" t="s">
        <v>29</v>
      </c>
      <c r="J677" s="9" t="s">
        <v>30</v>
      </c>
      <c r="K677" s="9" t="s">
        <v>31</v>
      </c>
      <c r="L677" s="9" t="s">
        <v>32</v>
      </c>
      <c r="M677" s="9" t="s">
        <v>473</v>
      </c>
      <c r="N677" s="9" t="s">
        <v>2407</v>
      </c>
      <c r="O677" s="9" t="s">
        <v>43</v>
      </c>
      <c r="P677" s="9" t="s">
        <v>474</v>
      </c>
      <c r="Q677" s="9">
        <v>104570311</v>
      </c>
      <c r="R677" s="9" t="s">
        <v>45</v>
      </c>
      <c r="S677" s="9" t="s">
        <v>39</v>
      </c>
      <c r="T677" s="11">
        <v>1</v>
      </c>
      <c r="U677" s="15" t="s">
        <v>43</v>
      </c>
      <c r="V677" s="16" t="s">
        <v>474</v>
      </c>
      <c r="W677" s="17">
        <v>104570311</v>
      </c>
      <c r="X677" s="16" t="s">
        <v>2520</v>
      </c>
      <c r="Y677" s="17" t="s">
        <v>2690</v>
      </c>
      <c r="Z677" s="17" t="s">
        <v>39</v>
      </c>
      <c r="AA677" s="17" t="s">
        <v>2501</v>
      </c>
      <c r="AB677" s="29">
        <v>36.57</v>
      </c>
      <c r="AC677" s="25">
        <v>42.87</v>
      </c>
      <c r="AD677" s="25">
        <f>AC677*T677</f>
        <v>42.87</v>
      </c>
      <c r="AE677" s="25">
        <f>AB677*T677</f>
        <v>36.57</v>
      </c>
      <c r="AF677" s="25">
        <f>AD677-AE677</f>
        <v>6.2999999999999972</v>
      </c>
      <c r="AG677" s="26">
        <f>AF677/AD677</f>
        <v>0.14695591322603213</v>
      </c>
      <c r="AH677" s="27" t="str">
        <f>IF(AG677&lt;0,"Negative",IF(AG677=0,"Same",IF(AG677&gt;0.3,"30+%",IF(AG677&gt;0.2,"20-30%",IF(AG677&gt;0.1,"10-20%",IF(AG677&lt;=0.1,"0-10%"))))))</f>
        <v>10-20%</v>
      </c>
      <c r="AI677" s="32"/>
      <c r="AJ677" s="36" t="s">
        <v>3300</v>
      </c>
      <c r="AK677" s="32"/>
    </row>
    <row r="678" spans="1:37" s="1" customFormat="1" ht="19.7" customHeight="1" x14ac:dyDescent="0.25">
      <c r="A678" s="9" t="s">
        <v>22</v>
      </c>
      <c r="B678" s="9" t="s">
        <v>2268</v>
      </c>
      <c r="C678" s="10">
        <v>44559</v>
      </c>
      <c r="D678" s="9" t="s">
        <v>24</v>
      </c>
      <c r="E678" s="9" t="s">
        <v>25</v>
      </c>
      <c r="F678" s="9" t="s">
        <v>26</v>
      </c>
      <c r="G678" s="9" t="s">
        <v>67</v>
      </c>
      <c r="H678" s="9" t="s">
        <v>68</v>
      </c>
      <c r="I678" s="9" t="s">
        <v>29</v>
      </c>
      <c r="J678" s="9" t="s">
        <v>30</v>
      </c>
      <c r="K678" s="9" t="s">
        <v>31</v>
      </c>
      <c r="L678" s="9" t="s">
        <v>32</v>
      </c>
      <c r="M678" s="9" t="s">
        <v>473</v>
      </c>
      <c r="N678" s="9" t="s">
        <v>2269</v>
      </c>
      <c r="O678" s="9" t="s">
        <v>43</v>
      </c>
      <c r="P678" s="9" t="s">
        <v>474</v>
      </c>
      <c r="Q678" s="9">
        <v>104570311</v>
      </c>
      <c r="R678" s="9" t="s">
        <v>45</v>
      </c>
      <c r="S678" s="9" t="s">
        <v>39</v>
      </c>
      <c r="T678" s="11">
        <v>1</v>
      </c>
      <c r="U678" s="15" t="s">
        <v>43</v>
      </c>
      <c r="V678" s="16" t="s">
        <v>474</v>
      </c>
      <c r="W678" s="17">
        <v>104570311</v>
      </c>
      <c r="X678" s="16" t="s">
        <v>2520</v>
      </c>
      <c r="Y678" s="17" t="s">
        <v>2690</v>
      </c>
      <c r="Z678" s="17" t="s">
        <v>39</v>
      </c>
      <c r="AA678" s="17" t="s">
        <v>2501</v>
      </c>
      <c r="AB678" s="29">
        <v>36.57</v>
      </c>
      <c r="AC678" s="25">
        <v>42.87</v>
      </c>
      <c r="AD678" s="25">
        <f>AC678*T678</f>
        <v>42.87</v>
      </c>
      <c r="AE678" s="25">
        <f>AB678*T678</f>
        <v>36.57</v>
      </c>
      <c r="AF678" s="25">
        <f>AD678-AE678</f>
        <v>6.2999999999999972</v>
      </c>
      <c r="AG678" s="26">
        <f>AF678/AD678</f>
        <v>0.14695591322603213</v>
      </c>
      <c r="AH678" s="27" t="str">
        <f>IF(AG678&lt;0,"Negative",IF(AG678=0,"Same",IF(AG678&gt;0.3,"30+%",IF(AG678&gt;0.2,"20-30%",IF(AG678&gt;0.1,"10-20%",IF(AG678&lt;=0.1,"0-10%"))))))</f>
        <v>10-20%</v>
      </c>
      <c r="AI678" s="32"/>
      <c r="AJ678" s="36" t="s">
        <v>3300</v>
      </c>
      <c r="AK678" s="32"/>
    </row>
    <row r="679" spans="1:37" s="1" customFormat="1" ht="19.7" customHeight="1" x14ac:dyDescent="0.25">
      <c r="A679" s="9" t="s">
        <v>22</v>
      </c>
      <c r="B679" s="9" t="s">
        <v>2274</v>
      </c>
      <c r="C679" s="10">
        <v>44559</v>
      </c>
      <c r="D679" s="9" t="s">
        <v>24</v>
      </c>
      <c r="E679" s="9" t="s">
        <v>25</v>
      </c>
      <c r="F679" s="9" t="s">
        <v>26</v>
      </c>
      <c r="G679" s="9" t="s">
        <v>67</v>
      </c>
      <c r="H679" s="9" t="s">
        <v>68</v>
      </c>
      <c r="I679" s="9" t="s">
        <v>29</v>
      </c>
      <c r="J679" s="9" t="s">
        <v>30</v>
      </c>
      <c r="K679" s="9" t="s">
        <v>31</v>
      </c>
      <c r="L679" s="9" t="s">
        <v>32</v>
      </c>
      <c r="M679" s="9" t="s">
        <v>473</v>
      </c>
      <c r="N679" s="9" t="s">
        <v>2275</v>
      </c>
      <c r="O679" s="9" t="s">
        <v>43</v>
      </c>
      <c r="P679" s="9" t="s">
        <v>474</v>
      </c>
      <c r="Q679" s="9">
        <v>104570311</v>
      </c>
      <c r="R679" s="9" t="s">
        <v>45</v>
      </c>
      <c r="S679" s="9" t="s">
        <v>39</v>
      </c>
      <c r="T679" s="11">
        <v>1</v>
      </c>
      <c r="U679" s="15" t="s">
        <v>43</v>
      </c>
      <c r="V679" s="16" t="s">
        <v>474</v>
      </c>
      <c r="W679" s="17">
        <v>104570311</v>
      </c>
      <c r="X679" s="16" t="s">
        <v>2520</v>
      </c>
      <c r="Y679" s="17" t="s">
        <v>2690</v>
      </c>
      <c r="Z679" s="17" t="s">
        <v>39</v>
      </c>
      <c r="AA679" s="17" t="s">
        <v>2501</v>
      </c>
      <c r="AB679" s="29">
        <v>36.57</v>
      </c>
      <c r="AC679" s="25">
        <v>42.87</v>
      </c>
      <c r="AD679" s="25">
        <f>AC679*T679</f>
        <v>42.87</v>
      </c>
      <c r="AE679" s="25">
        <f>AB679*T679</f>
        <v>36.57</v>
      </c>
      <c r="AF679" s="25">
        <f>AD679-AE679</f>
        <v>6.2999999999999972</v>
      </c>
      <c r="AG679" s="26">
        <f>AF679/AD679</f>
        <v>0.14695591322603213</v>
      </c>
      <c r="AH679" s="27" t="str">
        <f>IF(AG679&lt;0,"Negative",IF(AG679=0,"Same",IF(AG679&gt;0.3,"30+%",IF(AG679&gt;0.2,"20-30%",IF(AG679&gt;0.1,"10-20%",IF(AG679&lt;=0.1,"0-10%"))))))</f>
        <v>10-20%</v>
      </c>
      <c r="AI679" s="32"/>
      <c r="AJ679" s="36" t="s">
        <v>3300</v>
      </c>
      <c r="AK679" s="32"/>
    </row>
    <row r="680" spans="1:37" s="1" customFormat="1" ht="19.7" customHeight="1" x14ac:dyDescent="0.25">
      <c r="A680" s="9" t="s">
        <v>22</v>
      </c>
      <c r="B680" s="9" t="s">
        <v>1684</v>
      </c>
      <c r="C680" s="10">
        <v>44435</v>
      </c>
      <c r="D680" s="9" t="s">
        <v>24</v>
      </c>
      <c r="E680" s="9" t="s">
        <v>25</v>
      </c>
      <c r="F680" s="9" t="s">
        <v>26</v>
      </c>
      <c r="G680" s="9" t="s">
        <v>67</v>
      </c>
      <c r="H680" s="9" t="s">
        <v>68</v>
      </c>
      <c r="I680" s="9" t="s">
        <v>29</v>
      </c>
      <c r="J680" s="9" t="s">
        <v>30</v>
      </c>
      <c r="K680" s="9" t="s">
        <v>31</v>
      </c>
      <c r="L680" s="9" t="s">
        <v>32</v>
      </c>
      <c r="M680" s="9" t="s">
        <v>476</v>
      </c>
      <c r="N680" s="9" t="s">
        <v>1474</v>
      </c>
      <c r="O680" s="9" t="s">
        <v>71</v>
      </c>
      <c r="P680" s="9" t="s">
        <v>478</v>
      </c>
      <c r="Q680" s="9">
        <v>112432074</v>
      </c>
      <c r="R680" s="9" t="s">
        <v>76</v>
      </c>
      <c r="S680" s="9" t="s">
        <v>77</v>
      </c>
      <c r="T680" s="11">
        <v>180</v>
      </c>
      <c r="U680" s="15" t="s">
        <v>71</v>
      </c>
      <c r="V680" s="41" t="s">
        <v>478</v>
      </c>
      <c r="W680" s="17">
        <v>112432074</v>
      </c>
      <c r="X680" s="16" t="s">
        <v>2512</v>
      </c>
      <c r="Y680" s="17" t="s">
        <v>2691</v>
      </c>
      <c r="Z680" s="17" t="s">
        <v>77</v>
      </c>
      <c r="AA680" s="17" t="s">
        <v>37</v>
      </c>
      <c r="AB680" s="29">
        <v>10.68</v>
      </c>
      <c r="AC680" s="25">
        <v>10.68</v>
      </c>
      <c r="AD680" s="25">
        <f>AC680*T680</f>
        <v>1922.3999999999999</v>
      </c>
      <c r="AE680" s="25">
        <f>AB680*T680</f>
        <v>1922.3999999999999</v>
      </c>
      <c r="AF680" s="25">
        <f>AD680-AE680</f>
        <v>0</v>
      </c>
      <c r="AG680" s="26">
        <f>AF680/AD680</f>
        <v>0</v>
      </c>
      <c r="AH680" s="27" t="str">
        <f>IF(AG680&lt;0,"Negative",IF(AG680=0,"Same",IF(AG680&gt;0.3,"30+%",IF(AG680&gt;0.2,"20-30%",IF(AG680&gt;0.1,"10-20%",IF(AG680&lt;=0.1,"0-10%"))))))</f>
        <v>Same</v>
      </c>
      <c r="AI680" s="32"/>
      <c r="AJ680" s="36" t="s">
        <v>3300</v>
      </c>
      <c r="AK680" s="32"/>
    </row>
    <row r="681" spans="1:37" s="1" customFormat="1" ht="19.7" customHeight="1" x14ac:dyDescent="0.25">
      <c r="A681" s="9" t="s">
        <v>22</v>
      </c>
      <c r="B681" s="9" t="s">
        <v>475</v>
      </c>
      <c r="C681" s="10">
        <v>44267</v>
      </c>
      <c r="D681" s="9" t="s">
        <v>24</v>
      </c>
      <c r="E681" s="9" t="s">
        <v>25</v>
      </c>
      <c r="F681" s="9" t="s">
        <v>26</v>
      </c>
      <c r="G681" s="9" t="s">
        <v>67</v>
      </c>
      <c r="H681" s="9" t="s">
        <v>68</v>
      </c>
      <c r="I681" s="9" t="s">
        <v>29</v>
      </c>
      <c r="J681" s="9" t="s">
        <v>30</v>
      </c>
      <c r="K681" s="9" t="s">
        <v>31</v>
      </c>
      <c r="L681" s="9" t="s">
        <v>32</v>
      </c>
      <c r="M681" s="9" t="s">
        <v>476</v>
      </c>
      <c r="N681" s="9" t="s">
        <v>477</v>
      </c>
      <c r="O681" s="9" t="s">
        <v>71</v>
      </c>
      <c r="P681" s="9" t="s">
        <v>478</v>
      </c>
      <c r="Q681" s="9">
        <v>112432074</v>
      </c>
      <c r="R681" s="9" t="s">
        <v>76</v>
      </c>
      <c r="S681" s="9" t="s">
        <v>77</v>
      </c>
      <c r="T681" s="11">
        <v>180</v>
      </c>
      <c r="U681" s="15" t="s">
        <v>71</v>
      </c>
      <c r="V681" s="41" t="s">
        <v>478</v>
      </c>
      <c r="W681" s="17">
        <v>112432074</v>
      </c>
      <c r="X681" s="16" t="s">
        <v>2512</v>
      </c>
      <c r="Y681" s="17" t="s">
        <v>2691</v>
      </c>
      <c r="Z681" s="17" t="s">
        <v>77</v>
      </c>
      <c r="AA681" s="17" t="s">
        <v>37</v>
      </c>
      <c r="AB681" s="29">
        <v>10.68</v>
      </c>
      <c r="AC681" s="25">
        <v>10.68</v>
      </c>
      <c r="AD681" s="25">
        <f>AC681*T681</f>
        <v>1922.3999999999999</v>
      </c>
      <c r="AE681" s="25">
        <f>AB681*T681</f>
        <v>1922.3999999999999</v>
      </c>
      <c r="AF681" s="25">
        <f>AD681-AE681</f>
        <v>0</v>
      </c>
      <c r="AG681" s="26">
        <f>AF681/AD681</f>
        <v>0</v>
      </c>
      <c r="AH681" s="27" t="str">
        <f>IF(AG681&lt;0,"Negative",IF(AG681=0,"Same",IF(AG681&gt;0.3,"30+%",IF(AG681&gt;0.2,"20-30%",IF(AG681&gt;0.1,"10-20%",IF(AG681&lt;=0.1,"0-10%"))))))</f>
        <v>Same</v>
      </c>
      <c r="AI681" s="32"/>
      <c r="AJ681" s="36" t="s">
        <v>3300</v>
      </c>
      <c r="AK681" s="32"/>
    </row>
    <row r="682" spans="1:37" s="1" customFormat="1" ht="19.7" customHeight="1" x14ac:dyDescent="0.25">
      <c r="A682" s="5" t="s">
        <v>22</v>
      </c>
      <c r="B682" s="5" t="s">
        <v>1190</v>
      </c>
      <c r="C682" s="6">
        <v>44354</v>
      </c>
      <c r="D682" s="5" t="s">
        <v>24</v>
      </c>
      <c r="E682" s="5" t="s">
        <v>25</v>
      </c>
      <c r="F682" s="5" t="s">
        <v>26</v>
      </c>
      <c r="G682" s="5" t="s">
        <v>27</v>
      </c>
      <c r="H682" s="5" t="s">
        <v>28</v>
      </c>
      <c r="I682" s="5" t="s">
        <v>29</v>
      </c>
      <c r="J682" s="5" t="s">
        <v>30</v>
      </c>
      <c r="K682" s="5" t="s">
        <v>31</v>
      </c>
      <c r="L682" s="5" t="s">
        <v>32</v>
      </c>
      <c r="M682" s="5" t="s">
        <v>1191</v>
      </c>
      <c r="N682" s="5" t="s">
        <v>1002</v>
      </c>
      <c r="O682" s="5" t="s">
        <v>1192</v>
      </c>
      <c r="P682" s="5" t="s">
        <v>1193</v>
      </c>
      <c r="Q682" s="5">
        <v>113362536</v>
      </c>
      <c r="R682" s="5" t="s">
        <v>199</v>
      </c>
      <c r="S682" s="5" t="s">
        <v>39</v>
      </c>
      <c r="T682" s="7">
        <v>1</v>
      </c>
      <c r="U682" s="15" t="s">
        <v>1192</v>
      </c>
      <c r="V682" s="16" t="s">
        <v>1193</v>
      </c>
      <c r="W682" s="17">
        <v>113362536</v>
      </c>
      <c r="X682" s="16" t="s">
        <v>2633</v>
      </c>
      <c r="Y682" s="17" t="s">
        <v>2958</v>
      </c>
      <c r="Z682" s="17" t="s">
        <v>39</v>
      </c>
      <c r="AA682" s="17" t="s">
        <v>2501</v>
      </c>
      <c r="AB682" s="29">
        <v>181.12</v>
      </c>
      <c r="AC682" s="25">
        <v>197.19</v>
      </c>
      <c r="AD682" s="31">
        <f>AC682*T682</f>
        <v>197.19</v>
      </c>
      <c r="AE682" s="25">
        <f>AB682*T682</f>
        <v>181.12</v>
      </c>
      <c r="AF682" s="25">
        <f>AD682-AE682</f>
        <v>16.069999999999993</v>
      </c>
      <c r="AG682" s="26">
        <f>AF682/AD682</f>
        <v>8.1495004817688496E-2</v>
      </c>
      <c r="AH682" s="27" t="str">
        <f>IF(AG682&lt;0,"Negative",IF(AG682=0,"Same",IF(AG682&gt;0.3,"30+%",IF(AG682&gt;0.2,"20-30%",IF(AG682&gt;0.1,"10-20%",IF(AG682&lt;=0.1,"0-10%"))))))</f>
        <v>0-10%</v>
      </c>
      <c r="AI682" s="32"/>
      <c r="AJ682" s="36" t="s">
        <v>3300</v>
      </c>
      <c r="AK682" s="32"/>
    </row>
    <row r="683" spans="1:37" s="1" customFormat="1" ht="19.7" customHeight="1" x14ac:dyDescent="0.25">
      <c r="A683" s="5" t="s">
        <v>22</v>
      </c>
      <c r="B683" s="5" t="s">
        <v>782</v>
      </c>
      <c r="C683" s="6">
        <v>44301</v>
      </c>
      <c r="D683" s="5" t="s">
        <v>24</v>
      </c>
      <c r="E683" s="5" t="s">
        <v>25</v>
      </c>
      <c r="F683" s="5" t="s">
        <v>26</v>
      </c>
      <c r="G683" s="5" t="s">
        <v>27</v>
      </c>
      <c r="H683" s="5" t="s">
        <v>28</v>
      </c>
      <c r="I683" s="5" t="s">
        <v>29</v>
      </c>
      <c r="J683" s="5" t="s">
        <v>30</v>
      </c>
      <c r="K683" s="5" t="s">
        <v>31</v>
      </c>
      <c r="L683" s="5" t="s">
        <v>32</v>
      </c>
      <c r="M683" s="5" t="s">
        <v>783</v>
      </c>
      <c r="N683" s="5" t="s">
        <v>776</v>
      </c>
      <c r="O683" s="5" t="s">
        <v>103</v>
      </c>
      <c r="P683" s="5" t="s">
        <v>784</v>
      </c>
      <c r="Q683" s="5">
        <v>114498306</v>
      </c>
      <c r="R683" s="5" t="s">
        <v>56</v>
      </c>
      <c r="S683" s="5" t="s">
        <v>39</v>
      </c>
      <c r="T683" s="7">
        <v>4</v>
      </c>
      <c r="U683" s="15" t="s">
        <v>103</v>
      </c>
      <c r="V683" s="16" t="s">
        <v>784</v>
      </c>
      <c r="W683" s="17">
        <v>114498306</v>
      </c>
      <c r="X683" s="16" t="s">
        <v>2815</v>
      </c>
      <c r="Y683" s="17" t="s">
        <v>2816</v>
      </c>
      <c r="Z683" s="17" t="s">
        <v>39</v>
      </c>
      <c r="AA683" s="17" t="s">
        <v>2501</v>
      </c>
      <c r="AB683" s="29">
        <v>536.69000000000005</v>
      </c>
      <c r="AC683" s="25">
        <v>548.11</v>
      </c>
      <c r="AD683" s="25">
        <f>AC683*T683</f>
        <v>2192.44</v>
      </c>
      <c r="AE683" s="25">
        <f>AB683*T683</f>
        <v>2146.7600000000002</v>
      </c>
      <c r="AF683" s="25">
        <f>AD683-AE683</f>
        <v>45.679999999999836</v>
      </c>
      <c r="AG683" s="26">
        <f>AF683/AD683</f>
        <v>2.0835233803433544E-2</v>
      </c>
      <c r="AH683" s="27" t="str">
        <f>IF(AG683&lt;0,"Negative",IF(AG683=0,"Same",IF(AG683&gt;0.3,"30+%",IF(AG683&gt;0.2,"20-30%",IF(AG683&gt;0.1,"10-20%",IF(AG683&lt;=0.1,"0-10%"))))))</f>
        <v>0-10%</v>
      </c>
      <c r="AI683" s="32"/>
      <c r="AJ683" s="36" t="s">
        <v>3300</v>
      </c>
      <c r="AK683" s="32"/>
    </row>
    <row r="684" spans="1:37" s="1" customFormat="1" ht="19.7" customHeight="1" x14ac:dyDescent="0.25">
      <c r="A684" s="9" t="s">
        <v>22</v>
      </c>
      <c r="B684" s="9" t="s">
        <v>1678</v>
      </c>
      <c r="C684" s="10">
        <v>44435</v>
      </c>
      <c r="D684" s="9" t="s">
        <v>24</v>
      </c>
      <c r="E684" s="9" t="s">
        <v>25</v>
      </c>
      <c r="F684" s="9" t="s">
        <v>26</v>
      </c>
      <c r="G684" s="9" t="s">
        <v>67</v>
      </c>
      <c r="H684" s="9" t="s">
        <v>68</v>
      </c>
      <c r="I684" s="9" t="s">
        <v>29</v>
      </c>
      <c r="J684" s="9" t="s">
        <v>30</v>
      </c>
      <c r="K684" s="9" t="s">
        <v>31</v>
      </c>
      <c r="L684" s="9" t="s">
        <v>32</v>
      </c>
      <c r="M684" s="9" t="s">
        <v>1595</v>
      </c>
      <c r="N684" s="9" t="s">
        <v>1679</v>
      </c>
      <c r="O684" s="9" t="s">
        <v>627</v>
      </c>
      <c r="P684" s="9" t="s">
        <v>1596</v>
      </c>
      <c r="Q684" s="9">
        <v>102106792</v>
      </c>
      <c r="R684" s="9" t="s">
        <v>61</v>
      </c>
      <c r="S684" s="9" t="s">
        <v>39</v>
      </c>
      <c r="T684" s="11">
        <v>1</v>
      </c>
      <c r="U684" s="15" t="s">
        <v>627</v>
      </c>
      <c r="V684" s="16" t="s">
        <v>1596</v>
      </c>
      <c r="W684" s="17">
        <v>102106792</v>
      </c>
      <c r="X684" s="16" t="s">
        <v>3053</v>
      </c>
      <c r="Y684" s="17" t="s">
        <v>3086</v>
      </c>
      <c r="Z684" s="17" t="s">
        <v>39</v>
      </c>
      <c r="AA684" s="17" t="s">
        <v>37</v>
      </c>
      <c r="AB684" s="43">
        <v>25.96</v>
      </c>
      <c r="AC684" s="25">
        <v>26.5</v>
      </c>
      <c r="AD684" s="30">
        <f>AC684*T684</f>
        <v>26.5</v>
      </c>
      <c r="AE684" s="25">
        <f>AB684*T684</f>
        <v>25.96</v>
      </c>
      <c r="AF684" s="25">
        <f>AD684-AE684</f>
        <v>0.53999999999999915</v>
      </c>
      <c r="AG684" s="26">
        <f>AF684/AD684</f>
        <v>2.0377358490566006E-2</v>
      </c>
      <c r="AH684" s="27" t="str">
        <f>IF(AG684&lt;0,"Negative",IF(AG684=0,"Same",IF(AG684&gt;0.3,"30+%",IF(AG684&gt;0.2,"20-30%",IF(AG684&gt;0.1,"10-20%",IF(AG684&lt;=0.1,"0-10%"))))))</f>
        <v>0-10%</v>
      </c>
      <c r="AI684" s="32"/>
      <c r="AJ684" s="36" t="s">
        <v>3300</v>
      </c>
      <c r="AK684" s="32"/>
    </row>
    <row r="685" spans="1:37" s="1" customFormat="1" ht="19.7" customHeight="1" x14ac:dyDescent="0.25">
      <c r="A685" s="9" t="s">
        <v>22</v>
      </c>
      <c r="B685" s="9" t="s">
        <v>1593</v>
      </c>
      <c r="C685" s="10">
        <v>44421</v>
      </c>
      <c r="D685" s="9" t="s">
        <v>24</v>
      </c>
      <c r="E685" s="9" t="s">
        <v>25</v>
      </c>
      <c r="F685" s="9" t="s">
        <v>26</v>
      </c>
      <c r="G685" s="9" t="s">
        <v>67</v>
      </c>
      <c r="H685" s="9" t="s">
        <v>68</v>
      </c>
      <c r="I685" s="9" t="s">
        <v>29</v>
      </c>
      <c r="J685" s="9" t="s">
        <v>30</v>
      </c>
      <c r="K685" s="9" t="s">
        <v>31</v>
      </c>
      <c r="L685" s="9" t="s">
        <v>32</v>
      </c>
      <c r="M685" s="9" t="s">
        <v>1595</v>
      </c>
      <c r="N685" s="9" t="s">
        <v>1594</v>
      </c>
      <c r="O685" s="9" t="s">
        <v>627</v>
      </c>
      <c r="P685" s="9" t="s">
        <v>1596</v>
      </c>
      <c r="Q685" s="9">
        <v>102106792</v>
      </c>
      <c r="R685" s="9" t="s">
        <v>61</v>
      </c>
      <c r="S685" s="9" t="s">
        <v>39</v>
      </c>
      <c r="T685" s="11">
        <v>2</v>
      </c>
      <c r="U685" s="15" t="s">
        <v>627</v>
      </c>
      <c r="V685" s="16" t="s">
        <v>1596</v>
      </c>
      <c r="W685" s="17">
        <v>102106792</v>
      </c>
      <c r="X685" s="16" t="s">
        <v>3053</v>
      </c>
      <c r="Y685" s="17" t="s">
        <v>3086</v>
      </c>
      <c r="Z685" s="17" t="s">
        <v>39</v>
      </c>
      <c r="AA685" s="17" t="s">
        <v>37</v>
      </c>
      <c r="AB685" s="43">
        <v>25.96</v>
      </c>
      <c r="AC685" s="25">
        <v>26.5</v>
      </c>
      <c r="AD685" s="25">
        <f>AC685*T685</f>
        <v>53</v>
      </c>
      <c r="AE685" s="25">
        <f>AB685*T685</f>
        <v>51.92</v>
      </c>
      <c r="AF685" s="25">
        <f>AD685-AE685</f>
        <v>1.0799999999999983</v>
      </c>
      <c r="AG685" s="26">
        <f>AF685/AD685</f>
        <v>2.0377358490566006E-2</v>
      </c>
      <c r="AH685" s="27" t="str">
        <f>IF(AG685&lt;0,"Negative",IF(AG685=0,"Same",IF(AG685&gt;0.3,"30+%",IF(AG685&gt;0.2,"20-30%",IF(AG685&gt;0.1,"10-20%",IF(AG685&lt;=0.1,"0-10%"))))))</f>
        <v>0-10%</v>
      </c>
      <c r="AI685" s="32"/>
      <c r="AJ685" s="36" t="s">
        <v>3300</v>
      </c>
      <c r="AK685" s="32"/>
    </row>
    <row r="686" spans="1:37" s="1" customFormat="1" ht="19.7" customHeight="1" x14ac:dyDescent="0.25">
      <c r="A686" s="9" t="s">
        <v>22</v>
      </c>
      <c r="B686" s="9" t="s">
        <v>1681</v>
      </c>
      <c r="C686" s="10">
        <v>44435</v>
      </c>
      <c r="D686" s="9" t="s">
        <v>24</v>
      </c>
      <c r="E686" s="9" t="s">
        <v>25</v>
      </c>
      <c r="F686" s="9" t="s">
        <v>26</v>
      </c>
      <c r="G686" s="9" t="s">
        <v>67</v>
      </c>
      <c r="H686" s="9" t="s">
        <v>68</v>
      </c>
      <c r="I686" s="9" t="s">
        <v>29</v>
      </c>
      <c r="J686" s="9" t="s">
        <v>30</v>
      </c>
      <c r="K686" s="9" t="s">
        <v>31</v>
      </c>
      <c r="L686" s="9" t="s">
        <v>32</v>
      </c>
      <c r="M686" s="9" t="s">
        <v>1595</v>
      </c>
      <c r="N686" s="9" t="s">
        <v>1682</v>
      </c>
      <c r="O686" s="9" t="s">
        <v>627</v>
      </c>
      <c r="P686" s="9" t="s">
        <v>1596</v>
      </c>
      <c r="Q686" s="9">
        <v>102106792</v>
      </c>
      <c r="R686" s="9" t="s">
        <v>61</v>
      </c>
      <c r="S686" s="9" t="s">
        <v>39</v>
      </c>
      <c r="T686" s="11">
        <v>2</v>
      </c>
      <c r="U686" s="15" t="s">
        <v>627</v>
      </c>
      <c r="V686" s="16" t="s">
        <v>1596</v>
      </c>
      <c r="W686" s="17">
        <v>102106792</v>
      </c>
      <c r="X686" s="16" t="s">
        <v>3053</v>
      </c>
      <c r="Y686" s="17" t="s">
        <v>3086</v>
      </c>
      <c r="Z686" s="17" t="s">
        <v>39</v>
      </c>
      <c r="AA686" s="17" t="s">
        <v>37</v>
      </c>
      <c r="AB686" s="43">
        <v>25.96</v>
      </c>
      <c r="AC686" s="25">
        <v>26.5</v>
      </c>
      <c r="AD686" s="25">
        <f>AC686*T686</f>
        <v>53</v>
      </c>
      <c r="AE686" s="25">
        <f>AB686*T686</f>
        <v>51.92</v>
      </c>
      <c r="AF686" s="25">
        <f>AD686-AE686</f>
        <v>1.0799999999999983</v>
      </c>
      <c r="AG686" s="26">
        <f>AF686/AD686</f>
        <v>2.0377358490566006E-2</v>
      </c>
      <c r="AH686" s="27" t="str">
        <f>IF(AG686&lt;0,"Negative",IF(AG686=0,"Same",IF(AG686&gt;0.3,"30+%",IF(AG686&gt;0.2,"20-30%",IF(AG686&gt;0.1,"10-20%",IF(AG686&lt;=0.1,"0-10%"))))))</f>
        <v>0-10%</v>
      </c>
      <c r="AI686" s="32"/>
      <c r="AJ686" s="36" t="s">
        <v>3300</v>
      </c>
      <c r="AK686" s="32"/>
    </row>
    <row r="687" spans="1:37" s="1" customFormat="1" ht="19.7" customHeight="1" x14ac:dyDescent="0.25">
      <c r="A687" s="5" t="s">
        <v>22</v>
      </c>
      <c r="B687" s="5" t="s">
        <v>1317</v>
      </c>
      <c r="C687" s="6">
        <v>44376</v>
      </c>
      <c r="D687" s="5" t="s">
        <v>24</v>
      </c>
      <c r="E687" s="5" t="s">
        <v>25</v>
      </c>
      <c r="F687" s="5" t="s">
        <v>26</v>
      </c>
      <c r="G687" s="5" t="s">
        <v>27</v>
      </c>
      <c r="H687" s="5" t="s">
        <v>28</v>
      </c>
      <c r="I687" s="5" t="s">
        <v>29</v>
      </c>
      <c r="J687" s="5" t="s">
        <v>30</v>
      </c>
      <c r="K687" s="5" t="s">
        <v>31</v>
      </c>
      <c r="L687" s="5" t="s">
        <v>32</v>
      </c>
      <c r="M687" s="5" t="s">
        <v>1321</v>
      </c>
      <c r="N687" s="5" t="s">
        <v>1319</v>
      </c>
      <c r="O687" s="5" t="s">
        <v>59</v>
      </c>
      <c r="P687" s="5" t="s">
        <v>1322</v>
      </c>
      <c r="Q687" s="5">
        <v>110511491</v>
      </c>
      <c r="R687" s="5" t="s">
        <v>56</v>
      </c>
      <c r="S687" s="5" t="s">
        <v>39</v>
      </c>
      <c r="T687" s="7">
        <v>1</v>
      </c>
      <c r="U687" s="15" t="s">
        <v>59</v>
      </c>
      <c r="V687" s="16" t="s">
        <v>1322</v>
      </c>
      <c r="W687" s="17">
        <v>110511491</v>
      </c>
      <c r="X687" s="16" t="s">
        <v>2998</v>
      </c>
      <c r="Y687" s="17" t="s">
        <v>2999</v>
      </c>
      <c r="Z687" s="17" t="s">
        <v>39</v>
      </c>
      <c r="AA687" s="17" t="s">
        <v>37</v>
      </c>
      <c r="AB687" s="29">
        <v>75.31</v>
      </c>
      <c r="AC687" s="25">
        <v>76.92</v>
      </c>
      <c r="AD687" s="25">
        <f>AC687*T687</f>
        <v>76.92</v>
      </c>
      <c r="AE687" s="25">
        <f>AB687*T687</f>
        <v>75.31</v>
      </c>
      <c r="AF687" s="25">
        <f>AD687-AE687</f>
        <v>1.6099999999999994</v>
      </c>
      <c r="AG687" s="26">
        <f>AF687/AD687</f>
        <v>2.0930837233489333E-2</v>
      </c>
      <c r="AH687" s="27" t="str">
        <f>IF(AG687&lt;0,"Negative",IF(AG687=0,"Same",IF(AG687&gt;0.3,"30+%",IF(AG687&gt;0.2,"20-30%",IF(AG687&gt;0.1,"10-20%",IF(AG687&lt;=0.1,"0-10%"))))))</f>
        <v>0-10%</v>
      </c>
      <c r="AI687" s="32"/>
      <c r="AJ687" s="36" t="s">
        <v>3300</v>
      </c>
      <c r="AK687" s="32"/>
    </row>
    <row r="688" spans="1:37" s="1" customFormat="1" ht="19.7" customHeight="1" x14ac:dyDescent="0.25">
      <c r="A688" s="9" t="s">
        <v>22</v>
      </c>
      <c r="B688" s="9" t="s">
        <v>2306</v>
      </c>
      <c r="C688" s="10">
        <v>44566</v>
      </c>
      <c r="D688" s="9" t="s">
        <v>24</v>
      </c>
      <c r="E688" s="9" t="s">
        <v>25</v>
      </c>
      <c r="F688" s="9" t="s">
        <v>26</v>
      </c>
      <c r="G688" s="9" t="s">
        <v>27</v>
      </c>
      <c r="H688" s="9" t="s">
        <v>28</v>
      </c>
      <c r="I688" s="9" t="s">
        <v>29</v>
      </c>
      <c r="J688" s="9" t="s">
        <v>30</v>
      </c>
      <c r="K688" s="9" t="s">
        <v>31</v>
      </c>
      <c r="L688" s="9" t="s">
        <v>32</v>
      </c>
      <c r="M688" s="9" t="s">
        <v>2092</v>
      </c>
      <c r="N688" s="9" t="s">
        <v>2308</v>
      </c>
      <c r="O688" s="9" t="s">
        <v>79</v>
      </c>
      <c r="P688" s="9" t="s">
        <v>2094</v>
      </c>
      <c r="Q688" s="9">
        <v>101176927</v>
      </c>
      <c r="R688" s="9" t="s">
        <v>61</v>
      </c>
      <c r="S688" s="9" t="s">
        <v>39</v>
      </c>
      <c r="T688" s="11">
        <v>2</v>
      </c>
      <c r="U688" s="15" t="s">
        <v>79</v>
      </c>
      <c r="V688" s="16" t="s">
        <v>2094</v>
      </c>
      <c r="W688" s="17">
        <v>101176927</v>
      </c>
      <c r="X688" s="16" t="s">
        <v>2623</v>
      </c>
      <c r="Y688" s="17" t="s">
        <v>3204</v>
      </c>
      <c r="Z688" s="17" t="s">
        <v>39</v>
      </c>
      <c r="AA688" s="17" t="s">
        <v>37</v>
      </c>
      <c r="AB688" s="43">
        <v>45.75</v>
      </c>
      <c r="AC688" s="25">
        <v>46.18</v>
      </c>
      <c r="AD688" s="25">
        <f>AC688*T688</f>
        <v>92.36</v>
      </c>
      <c r="AE688" s="25">
        <f>AB688*T688</f>
        <v>91.5</v>
      </c>
      <c r="AF688" s="25">
        <f>AD688-AE688</f>
        <v>0.85999999999999943</v>
      </c>
      <c r="AG688" s="26">
        <f>AF688/AD688</f>
        <v>9.3113902122130728E-3</v>
      </c>
      <c r="AH688" s="27" t="str">
        <f>IF(AG688&lt;0,"Negative",IF(AG688=0,"Same",IF(AG688&gt;0.3,"30+%",IF(AG688&gt;0.2,"20-30%",IF(AG688&gt;0.1,"10-20%",IF(AG688&lt;=0.1,"0-10%"))))))</f>
        <v>0-10%</v>
      </c>
      <c r="AI688" s="32"/>
      <c r="AJ688" s="36" t="s">
        <v>3299</v>
      </c>
      <c r="AK688" s="32"/>
    </row>
    <row r="689" spans="1:37" s="1" customFormat="1" ht="19.7" customHeight="1" x14ac:dyDescent="0.25">
      <c r="A689" s="5" t="s">
        <v>22</v>
      </c>
      <c r="B689" s="5" t="s">
        <v>1637</v>
      </c>
      <c r="C689" s="6">
        <v>44427</v>
      </c>
      <c r="D689" s="5" t="s">
        <v>24</v>
      </c>
      <c r="E689" s="5" t="s">
        <v>25</v>
      </c>
      <c r="F689" s="5" t="s">
        <v>26</v>
      </c>
      <c r="G689" s="5" t="s">
        <v>67</v>
      </c>
      <c r="H689" s="5" t="s">
        <v>68</v>
      </c>
      <c r="I689" s="5" t="s">
        <v>29</v>
      </c>
      <c r="J689" s="5" t="s">
        <v>30</v>
      </c>
      <c r="K689" s="5" t="s">
        <v>31</v>
      </c>
      <c r="L689" s="5" t="s">
        <v>32</v>
      </c>
      <c r="M689" s="5" t="s">
        <v>352</v>
      </c>
      <c r="N689" s="5" t="s">
        <v>1638</v>
      </c>
      <c r="O689" s="5" t="s">
        <v>353</v>
      </c>
      <c r="P689" s="5" t="s">
        <v>354</v>
      </c>
      <c r="Q689" s="5">
        <v>102085628</v>
      </c>
      <c r="R689" s="5" t="s">
        <v>299</v>
      </c>
      <c r="S689" s="5" t="s">
        <v>39</v>
      </c>
      <c r="T689" s="7">
        <v>1</v>
      </c>
      <c r="U689" s="15" t="s">
        <v>353</v>
      </c>
      <c r="V689" s="16" t="s">
        <v>354</v>
      </c>
      <c r="W689" s="17">
        <v>102085628</v>
      </c>
      <c r="X689" s="16" t="s">
        <v>2638</v>
      </c>
      <c r="Y689" s="17" t="s">
        <v>2639</v>
      </c>
      <c r="Z689" s="17" t="s">
        <v>39</v>
      </c>
      <c r="AA689" s="17" t="s">
        <v>37</v>
      </c>
      <c r="AB689" s="29">
        <v>26.73</v>
      </c>
      <c r="AC689" s="25">
        <v>27.18</v>
      </c>
      <c r="AD689" s="25">
        <f>AC689*T689</f>
        <v>27.18</v>
      </c>
      <c r="AE689" s="25">
        <f>AB689*T689</f>
        <v>26.73</v>
      </c>
      <c r="AF689" s="25">
        <f>AD689-AE689</f>
        <v>0.44999999999999929</v>
      </c>
      <c r="AG689" s="26">
        <f>AF689/AD689</f>
        <v>1.655629139072845E-2</v>
      </c>
      <c r="AH689" s="27" t="str">
        <f>IF(AG689&lt;0,"Negative",IF(AG689=0,"Same",IF(AG689&gt;0.3,"30+%",IF(AG689&gt;0.2,"20-30%",IF(AG689&gt;0.1,"10-20%",IF(AG689&lt;=0.1,"0-10%"))))))</f>
        <v>0-10%</v>
      </c>
      <c r="AI689" s="32"/>
      <c r="AJ689" s="36" t="s">
        <v>3299</v>
      </c>
      <c r="AK689" s="32"/>
    </row>
    <row r="690" spans="1:37" s="1" customFormat="1" ht="19.7" customHeight="1" x14ac:dyDescent="0.25">
      <c r="A690" s="5" t="s">
        <v>22</v>
      </c>
      <c r="B690" s="5" t="s">
        <v>1418</v>
      </c>
      <c r="C690" s="6">
        <v>44393</v>
      </c>
      <c r="D690" s="5" t="s">
        <v>24</v>
      </c>
      <c r="E690" s="5" t="s">
        <v>25</v>
      </c>
      <c r="F690" s="5" t="s">
        <v>26</v>
      </c>
      <c r="G690" s="5" t="s">
        <v>67</v>
      </c>
      <c r="H690" s="5" t="s">
        <v>68</v>
      </c>
      <c r="I690" s="5" t="s">
        <v>29</v>
      </c>
      <c r="J690" s="5" t="s">
        <v>30</v>
      </c>
      <c r="K690" s="5" t="s">
        <v>31</v>
      </c>
      <c r="L690" s="5" t="s">
        <v>32</v>
      </c>
      <c r="M690" s="5" t="s">
        <v>352</v>
      </c>
      <c r="N690" s="5" t="s">
        <v>1419</v>
      </c>
      <c r="O690" s="5" t="s">
        <v>353</v>
      </c>
      <c r="P690" s="5" t="s">
        <v>354</v>
      </c>
      <c r="Q690" s="5">
        <v>102085628</v>
      </c>
      <c r="R690" s="5" t="s">
        <v>299</v>
      </c>
      <c r="S690" s="5" t="s">
        <v>39</v>
      </c>
      <c r="T690" s="7">
        <v>1</v>
      </c>
      <c r="U690" s="15" t="s">
        <v>353</v>
      </c>
      <c r="V690" s="16" t="s">
        <v>354</v>
      </c>
      <c r="W690" s="17">
        <v>102085628</v>
      </c>
      <c r="X690" s="16" t="s">
        <v>2638</v>
      </c>
      <c r="Y690" s="17" t="s">
        <v>2639</v>
      </c>
      <c r="Z690" s="17" t="s">
        <v>39</v>
      </c>
      <c r="AA690" s="17" t="s">
        <v>37</v>
      </c>
      <c r="AB690" s="29">
        <v>26.73</v>
      </c>
      <c r="AC690" s="25">
        <v>27.18</v>
      </c>
      <c r="AD690" s="25">
        <f>AC690*T690</f>
        <v>27.18</v>
      </c>
      <c r="AE690" s="25">
        <f>AB690*T690</f>
        <v>26.73</v>
      </c>
      <c r="AF690" s="25">
        <f>AD690-AE690</f>
        <v>0.44999999999999929</v>
      </c>
      <c r="AG690" s="26">
        <f>AF690/AD690</f>
        <v>1.655629139072845E-2</v>
      </c>
      <c r="AH690" s="27" t="str">
        <f>IF(AG690&lt;0,"Negative",IF(AG690=0,"Same",IF(AG690&gt;0.3,"30+%",IF(AG690&gt;0.2,"20-30%",IF(AG690&gt;0.1,"10-20%",IF(AG690&lt;=0.1,"0-10%"))))))</f>
        <v>0-10%</v>
      </c>
      <c r="AI690" s="32"/>
      <c r="AJ690" s="36" t="s">
        <v>3299</v>
      </c>
      <c r="AK690" s="32"/>
    </row>
    <row r="691" spans="1:37" s="1" customFormat="1" ht="19.7" customHeight="1" x14ac:dyDescent="0.25">
      <c r="A691" s="5" t="s">
        <v>22</v>
      </c>
      <c r="B691" s="5" t="s">
        <v>920</v>
      </c>
      <c r="C691" s="6">
        <v>44316</v>
      </c>
      <c r="D691" s="5" t="s">
        <v>24</v>
      </c>
      <c r="E691" s="5" t="s">
        <v>25</v>
      </c>
      <c r="F691" s="5" t="s">
        <v>26</v>
      </c>
      <c r="G691" s="5" t="s">
        <v>67</v>
      </c>
      <c r="H691" s="5" t="s">
        <v>68</v>
      </c>
      <c r="I691" s="5" t="s">
        <v>29</v>
      </c>
      <c r="J691" s="5" t="s">
        <v>30</v>
      </c>
      <c r="K691" s="5" t="s">
        <v>31</v>
      </c>
      <c r="L691" s="5" t="s">
        <v>32</v>
      </c>
      <c r="M691" s="5" t="s">
        <v>352</v>
      </c>
      <c r="N691" s="5" t="s">
        <v>921</v>
      </c>
      <c r="O691" s="5" t="s">
        <v>353</v>
      </c>
      <c r="P691" s="5" t="s">
        <v>354</v>
      </c>
      <c r="Q691" s="5">
        <v>102085628</v>
      </c>
      <c r="R691" s="5" t="s">
        <v>299</v>
      </c>
      <c r="S691" s="5" t="s">
        <v>39</v>
      </c>
      <c r="T691" s="7">
        <v>1</v>
      </c>
      <c r="U691" s="15" t="s">
        <v>353</v>
      </c>
      <c r="V691" s="16" t="s">
        <v>354</v>
      </c>
      <c r="W691" s="17">
        <v>102085628</v>
      </c>
      <c r="X691" s="16" t="s">
        <v>2638</v>
      </c>
      <c r="Y691" s="17" t="s">
        <v>2639</v>
      </c>
      <c r="Z691" s="17" t="s">
        <v>39</v>
      </c>
      <c r="AA691" s="17" t="s">
        <v>37</v>
      </c>
      <c r="AB691" s="29">
        <v>26.73</v>
      </c>
      <c r="AC691" s="25">
        <v>27.18</v>
      </c>
      <c r="AD691" s="25">
        <f>AC691*T691</f>
        <v>27.18</v>
      </c>
      <c r="AE691" s="25">
        <f>AB691*T691</f>
        <v>26.73</v>
      </c>
      <c r="AF691" s="25">
        <f>AD691-AE691</f>
        <v>0.44999999999999929</v>
      </c>
      <c r="AG691" s="26">
        <f>AF691/AD691</f>
        <v>1.655629139072845E-2</v>
      </c>
      <c r="AH691" s="27" t="str">
        <f>IF(AG691&lt;0,"Negative",IF(AG691=0,"Same",IF(AG691&gt;0.3,"30+%",IF(AG691&gt;0.2,"20-30%",IF(AG691&gt;0.1,"10-20%",IF(AG691&lt;=0.1,"0-10%"))))))</f>
        <v>0-10%</v>
      </c>
      <c r="AI691" s="32"/>
      <c r="AJ691" s="36" t="s">
        <v>3299</v>
      </c>
      <c r="AK691" s="32"/>
    </row>
    <row r="692" spans="1:37" s="1" customFormat="1" ht="19.7" customHeight="1" x14ac:dyDescent="0.25">
      <c r="A692" s="9" t="s">
        <v>22</v>
      </c>
      <c r="B692" s="9" t="s">
        <v>345</v>
      </c>
      <c r="C692" s="10">
        <v>44253</v>
      </c>
      <c r="D692" s="9" t="s">
        <v>24</v>
      </c>
      <c r="E692" s="9" t="s">
        <v>25</v>
      </c>
      <c r="F692" s="9" t="s">
        <v>26</v>
      </c>
      <c r="G692" s="9" t="s">
        <v>67</v>
      </c>
      <c r="H692" s="9" t="s">
        <v>68</v>
      </c>
      <c r="I692" s="9" t="s">
        <v>29</v>
      </c>
      <c r="J692" s="9" t="s">
        <v>30</v>
      </c>
      <c r="K692" s="9" t="s">
        <v>31</v>
      </c>
      <c r="L692" s="9" t="s">
        <v>32</v>
      </c>
      <c r="M692" s="9" t="s">
        <v>352</v>
      </c>
      <c r="N692" s="9" t="s">
        <v>347</v>
      </c>
      <c r="O692" s="9" t="s">
        <v>353</v>
      </c>
      <c r="P692" s="9" t="s">
        <v>354</v>
      </c>
      <c r="Q692" s="9">
        <v>102085628</v>
      </c>
      <c r="R692" s="9" t="s">
        <v>299</v>
      </c>
      <c r="S692" s="9" t="s">
        <v>39</v>
      </c>
      <c r="T692" s="11">
        <v>1</v>
      </c>
      <c r="U692" s="15" t="s">
        <v>353</v>
      </c>
      <c r="V692" s="16" t="s">
        <v>354</v>
      </c>
      <c r="W692" s="17">
        <v>102085628</v>
      </c>
      <c r="X692" s="16" t="s">
        <v>2638</v>
      </c>
      <c r="Y692" s="17" t="s">
        <v>2639</v>
      </c>
      <c r="Z692" s="17" t="s">
        <v>39</v>
      </c>
      <c r="AA692" s="17" t="s">
        <v>37</v>
      </c>
      <c r="AB692" s="29">
        <v>26.73</v>
      </c>
      <c r="AC692" s="25">
        <v>27.18</v>
      </c>
      <c r="AD692" s="25">
        <f>AC692*T692</f>
        <v>27.18</v>
      </c>
      <c r="AE692" s="25">
        <f>AB692*T692</f>
        <v>26.73</v>
      </c>
      <c r="AF692" s="25">
        <f>AD692-AE692</f>
        <v>0.44999999999999929</v>
      </c>
      <c r="AG692" s="26">
        <f>AF692/AD692</f>
        <v>1.655629139072845E-2</v>
      </c>
      <c r="AH692" s="27" t="str">
        <f>IF(AG692&lt;0,"Negative",IF(AG692=0,"Same",IF(AG692&gt;0.3,"30+%",IF(AG692&gt;0.2,"20-30%",IF(AG692&gt;0.1,"10-20%",IF(AG692&lt;=0.1,"0-10%"))))))</f>
        <v>0-10%</v>
      </c>
      <c r="AI692" s="32"/>
      <c r="AJ692" s="36" t="s">
        <v>3299</v>
      </c>
      <c r="AK692" s="32"/>
    </row>
    <row r="693" spans="1:37" s="1" customFormat="1" ht="19.7" customHeight="1" x14ac:dyDescent="0.25">
      <c r="A693" s="5" t="s">
        <v>22</v>
      </c>
      <c r="B693" s="5" t="s">
        <v>2116</v>
      </c>
      <c r="C693" s="6">
        <v>44519</v>
      </c>
      <c r="D693" s="5" t="s">
        <v>24</v>
      </c>
      <c r="E693" s="5" t="s">
        <v>25</v>
      </c>
      <c r="F693" s="5" t="s">
        <v>26</v>
      </c>
      <c r="G693" s="5" t="s">
        <v>67</v>
      </c>
      <c r="H693" s="5" t="s">
        <v>68</v>
      </c>
      <c r="I693" s="5" t="s">
        <v>29</v>
      </c>
      <c r="J693" s="5" t="s">
        <v>30</v>
      </c>
      <c r="K693" s="5" t="s">
        <v>31</v>
      </c>
      <c r="L693" s="5" t="s">
        <v>32</v>
      </c>
      <c r="M693" s="5" t="s">
        <v>74</v>
      </c>
      <c r="N693" s="5" t="s">
        <v>2117</v>
      </c>
      <c r="O693" s="5" t="s">
        <v>71</v>
      </c>
      <c r="P693" s="5" t="s">
        <v>75</v>
      </c>
      <c r="Q693" s="5">
        <v>112691098</v>
      </c>
      <c r="R693" s="5" t="s">
        <v>76</v>
      </c>
      <c r="S693" s="5" t="s">
        <v>77</v>
      </c>
      <c r="T693" s="7">
        <v>180</v>
      </c>
      <c r="U693" s="15" t="s">
        <v>71</v>
      </c>
      <c r="V693" s="41" t="s">
        <v>75</v>
      </c>
      <c r="W693" s="17">
        <v>112691098</v>
      </c>
      <c r="X693" s="16" t="s">
        <v>2512</v>
      </c>
      <c r="Y693" s="17" t="s">
        <v>2513</v>
      </c>
      <c r="Z693" s="17" t="s">
        <v>77</v>
      </c>
      <c r="AA693" s="17" t="s">
        <v>37</v>
      </c>
      <c r="AB693" s="29">
        <v>13.55</v>
      </c>
      <c r="AC693" s="25">
        <v>13.55</v>
      </c>
      <c r="AD693" s="25">
        <f>AC693*T693</f>
        <v>2439</v>
      </c>
      <c r="AE693" s="25">
        <f>AB693*T693</f>
        <v>2439</v>
      </c>
      <c r="AF693" s="25">
        <f>AD693-AE693</f>
        <v>0</v>
      </c>
      <c r="AG693" s="26">
        <f>AF693/AD693</f>
        <v>0</v>
      </c>
      <c r="AH693" s="27" t="str">
        <f>IF(AG693&lt;0,"Negative",IF(AG693=0,"Same",IF(AG693&gt;0.3,"30+%",IF(AG693&gt;0.2,"20-30%",IF(AG693&gt;0.1,"10-20%",IF(AG693&lt;=0.1,"0-10%"))))))</f>
        <v>Same</v>
      </c>
      <c r="AI693" s="32"/>
      <c r="AJ693" s="36" t="s">
        <v>3300</v>
      </c>
      <c r="AK693" s="32"/>
    </row>
    <row r="694" spans="1:37" s="1" customFormat="1" ht="19.7" customHeight="1" x14ac:dyDescent="0.25">
      <c r="A694" s="5" t="s">
        <v>22</v>
      </c>
      <c r="B694" s="5" t="s">
        <v>2013</v>
      </c>
      <c r="C694" s="6">
        <v>44498</v>
      </c>
      <c r="D694" s="5" t="s">
        <v>24</v>
      </c>
      <c r="E694" s="5" t="s">
        <v>25</v>
      </c>
      <c r="F694" s="5" t="s">
        <v>26</v>
      </c>
      <c r="G694" s="5" t="s">
        <v>67</v>
      </c>
      <c r="H694" s="5" t="s">
        <v>68</v>
      </c>
      <c r="I694" s="5" t="s">
        <v>29</v>
      </c>
      <c r="J694" s="5" t="s">
        <v>30</v>
      </c>
      <c r="K694" s="5" t="s">
        <v>31</v>
      </c>
      <c r="L694" s="5" t="s">
        <v>32</v>
      </c>
      <c r="M694" s="5" t="s">
        <v>74</v>
      </c>
      <c r="N694" s="5" t="s">
        <v>2014</v>
      </c>
      <c r="O694" s="5" t="s">
        <v>71</v>
      </c>
      <c r="P694" s="5" t="s">
        <v>75</v>
      </c>
      <c r="Q694" s="5">
        <v>112691098</v>
      </c>
      <c r="R694" s="5" t="s">
        <v>76</v>
      </c>
      <c r="S694" s="5" t="s">
        <v>77</v>
      </c>
      <c r="T694" s="7">
        <v>180</v>
      </c>
      <c r="U694" s="15" t="s">
        <v>71</v>
      </c>
      <c r="V694" s="41" t="s">
        <v>75</v>
      </c>
      <c r="W694" s="17">
        <v>112691098</v>
      </c>
      <c r="X694" s="16" t="s">
        <v>2512</v>
      </c>
      <c r="Y694" s="17" t="s">
        <v>2513</v>
      </c>
      <c r="Z694" s="17" t="s">
        <v>77</v>
      </c>
      <c r="AA694" s="17" t="s">
        <v>37</v>
      </c>
      <c r="AB694" s="29">
        <v>13.55</v>
      </c>
      <c r="AC694" s="25">
        <v>13.55</v>
      </c>
      <c r="AD694" s="25">
        <f>AC694*T694</f>
        <v>2439</v>
      </c>
      <c r="AE694" s="25">
        <f>AB694*T694</f>
        <v>2439</v>
      </c>
      <c r="AF694" s="25">
        <f>AD694-AE694</f>
        <v>0</v>
      </c>
      <c r="AG694" s="26">
        <f>AF694/AD694</f>
        <v>0</v>
      </c>
      <c r="AH694" s="27" t="str">
        <f>IF(AG694&lt;0,"Negative",IF(AG694=0,"Same",IF(AG694&gt;0.3,"30+%",IF(AG694&gt;0.2,"20-30%",IF(AG694&gt;0.1,"10-20%",IF(AG694&lt;=0.1,"0-10%"))))))</f>
        <v>Same</v>
      </c>
      <c r="AI694" s="32"/>
      <c r="AJ694" s="36" t="s">
        <v>3300</v>
      </c>
      <c r="AK694" s="32"/>
    </row>
    <row r="695" spans="1:37" s="1" customFormat="1" ht="19.7" customHeight="1" x14ac:dyDescent="0.25">
      <c r="A695" s="9" t="s">
        <v>22</v>
      </c>
      <c r="B695" s="9" t="s">
        <v>1866</v>
      </c>
      <c r="C695" s="10">
        <v>44473</v>
      </c>
      <c r="D695" s="9" t="s">
        <v>24</v>
      </c>
      <c r="E695" s="9" t="s">
        <v>25</v>
      </c>
      <c r="F695" s="9" t="s">
        <v>26</v>
      </c>
      <c r="G695" s="9" t="s">
        <v>67</v>
      </c>
      <c r="H695" s="9" t="s">
        <v>68</v>
      </c>
      <c r="I695" s="9" t="s">
        <v>29</v>
      </c>
      <c r="J695" s="9" t="s">
        <v>30</v>
      </c>
      <c r="K695" s="9" t="s">
        <v>31</v>
      </c>
      <c r="L695" s="9" t="s">
        <v>32</v>
      </c>
      <c r="M695" s="9" t="s">
        <v>74</v>
      </c>
      <c r="N695" s="9" t="s">
        <v>1867</v>
      </c>
      <c r="O695" s="9" t="s">
        <v>71</v>
      </c>
      <c r="P695" s="9" t="s">
        <v>75</v>
      </c>
      <c r="Q695" s="9">
        <v>112691098</v>
      </c>
      <c r="R695" s="9" t="s">
        <v>76</v>
      </c>
      <c r="S695" s="9" t="s">
        <v>77</v>
      </c>
      <c r="T695" s="11">
        <v>216</v>
      </c>
      <c r="U695" s="15" t="s">
        <v>71</v>
      </c>
      <c r="V695" s="41" t="s">
        <v>75</v>
      </c>
      <c r="W695" s="17">
        <v>112691098</v>
      </c>
      <c r="X695" s="16" t="s">
        <v>2512</v>
      </c>
      <c r="Y695" s="17" t="s">
        <v>2513</v>
      </c>
      <c r="Z695" s="17" t="s">
        <v>77</v>
      </c>
      <c r="AA695" s="17" t="s">
        <v>37</v>
      </c>
      <c r="AB695" s="29">
        <v>13.55</v>
      </c>
      <c r="AC695" s="25">
        <v>13.55</v>
      </c>
      <c r="AD695" s="25">
        <f>AC695*T695</f>
        <v>2926.8</v>
      </c>
      <c r="AE695" s="25">
        <f>AB695*T695</f>
        <v>2926.8</v>
      </c>
      <c r="AF695" s="25">
        <f>AD695-AE695</f>
        <v>0</v>
      </c>
      <c r="AG695" s="26">
        <f>AF695/AD695</f>
        <v>0</v>
      </c>
      <c r="AH695" s="27" t="str">
        <f>IF(AG695&lt;0,"Negative",IF(AG695=0,"Same",IF(AG695&gt;0.3,"30+%",IF(AG695&gt;0.2,"20-30%",IF(AG695&gt;0.1,"10-20%",IF(AG695&lt;=0.1,"0-10%"))))))</f>
        <v>Same</v>
      </c>
      <c r="AI695" s="32"/>
      <c r="AJ695" s="36" t="s">
        <v>3300</v>
      </c>
      <c r="AK695" s="32"/>
    </row>
    <row r="696" spans="1:37" s="1" customFormat="1" ht="19.7" customHeight="1" x14ac:dyDescent="0.25">
      <c r="A696" s="9" t="s">
        <v>22</v>
      </c>
      <c r="B696" s="9" t="s">
        <v>1510</v>
      </c>
      <c r="C696" s="10">
        <v>44406</v>
      </c>
      <c r="D696" s="9" t="s">
        <v>24</v>
      </c>
      <c r="E696" s="9" t="s">
        <v>25</v>
      </c>
      <c r="F696" s="9" t="s">
        <v>26</v>
      </c>
      <c r="G696" s="9" t="s">
        <v>67</v>
      </c>
      <c r="H696" s="9" t="s">
        <v>68</v>
      </c>
      <c r="I696" s="9" t="s">
        <v>29</v>
      </c>
      <c r="J696" s="9" t="s">
        <v>30</v>
      </c>
      <c r="K696" s="9" t="s">
        <v>31</v>
      </c>
      <c r="L696" s="9" t="s">
        <v>32</v>
      </c>
      <c r="M696" s="9" t="s">
        <v>74</v>
      </c>
      <c r="N696" s="9" t="s">
        <v>1511</v>
      </c>
      <c r="O696" s="9" t="s">
        <v>71</v>
      </c>
      <c r="P696" s="9" t="s">
        <v>75</v>
      </c>
      <c r="Q696" s="9">
        <v>112691098</v>
      </c>
      <c r="R696" s="9" t="s">
        <v>76</v>
      </c>
      <c r="S696" s="9" t="s">
        <v>77</v>
      </c>
      <c r="T696" s="11">
        <v>72</v>
      </c>
      <c r="U696" s="15" t="s">
        <v>71</v>
      </c>
      <c r="V696" s="41" t="s">
        <v>75</v>
      </c>
      <c r="W696" s="17">
        <v>112691098</v>
      </c>
      <c r="X696" s="16" t="s">
        <v>2512</v>
      </c>
      <c r="Y696" s="17" t="s">
        <v>2513</v>
      </c>
      <c r="Z696" s="17" t="s">
        <v>77</v>
      </c>
      <c r="AA696" s="17" t="s">
        <v>37</v>
      </c>
      <c r="AB696" s="29">
        <v>13.55</v>
      </c>
      <c r="AC696" s="25">
        <v>13.55</v>
      </c>
      <c r="AD696" s="25">
        <f>AC696*T696</f>
        <v>975.6</v>
      </c>
      <c r="AE696" s="25">
        <f>AB696*T696</f>
        <v>975.6</v>
      </c>
      <c r="AF696" s="25">
        <f>AD696-AE696</f>
        <v>0</v>
      </c>
      <c r="AG696" s="26">
        <f>AF696/AD696</f>
        <v>0</v>
      </c>
      <c r="AH696" s="27" t="str">
        <f>IF(AG696&lt;0,"Negative",IF(AG696=0,"Same",IF(AG696&gt;0.3,"30+%",IF(AG696&gt;0.2,"20-30%",IF(AG696&gt;0.1,"10-20%",IF(AG696&lt;=0.1,"0-10%"))))))</f>
        <v>Same</v>
      </c>
      <c r="AI696" s="32"/>
      <c r="AJ696" s="36" t="s">
        <v>3300</v>
      </c>
      <c r="AK696" s="32"/>
    </row>
    <row r="697" spans="1:37" s="1" customFormat="1" ht="19.7" customHeight="1" x14ac:dyDescent="0.25">
      <c r="A697" s="9" t="s">
        <v>22</v>
      </c>
      <c r="B697" s="9" t="s">
        <v>1473</v>
      </c>
      <c r="C697" s="10">
        <v>44403</v>
      </c>
      <c r="D697" s="9" t="s">
        <v>24</v>
      </c>
      <c r="E697" s="9" t="s">
        <v>25</v>
      </c>
      <c r="F697" s="9" t="s">
        <v>26</v>
      </c>
      <c r="G697" s="9" t="s">
        <v>67</v>
      </c>
      <c r="H697" s="9" t="s">
        <v>68</v>
      </c>
      <c r="I697" s="9" t="s">
        <v>29</v>
      </c>
      <c r="J697" s="9" t="s">
        <v>30</v>
      </c>
      <c r="K697" s="9" t="s">
        <v>31</v>
      </c>
      <c r="L697" s="9" t="s">
        <v>32</v>
      </c>
      <c r="M697" s="9" t="s">
        <v>74</v>
      </c>
      <c r="N697" s="9" t="s">
        <v>1474</v>
      </c>
      <c r="O697" s="9" t="s">
        <v>71</v>
      </c>
      <c r="P697" s="9" t="s">
        <v>75</v>
      </c>
      <c r="Q697" s="9">
        <v>112691098</v>
      </c>
      <c r="R697" s="9" t="s">
        <v>76</v>
      </c>
      <c r="S697" s="9" t="s">
        <v>77</v>
      </c>
      <c r="T697" s="11">
        <v>180</v>
      </c>
      <c r="U697" s="15" t="s">
        <v>71</v>
      </c>
      <c r="V697" s="41" t="s">
        <v>75</v>
      </c>
      <c r="W697" s="17">
        <v>112691098</v>
      </c>
      <c r="X697" s="16" t="s">
        <v>2512</v>
      </c>
      <c r="Y697" s="17" t="s">
        <v>2513</v>
      </c>
      <c r="Z697" s="17" t="s">
        <v>77</v>
      </c>
      <c r="AA697" s="17" t="s">
        <v>37</v>
      </c>
      <c r="AB697" s="29">
        <v>13.55</v>
      </c>
      <c r="AC697" s="25">
        <v>13.55</v>
      </c>
      <c r="AD697" s="25">
        <f>AC697*T697</f>
        <v>2439</v>
      </c>
      <c r="AE697" s="25">
        <f>AB697*T697</f>
        <v>2439</v>
      </c>
      <c r="AF697" s="25">
        <f>AD697-AE697</f>
        <v>0</v>
      </c>
      <c r="AG697" s="26">
        <f>AF697/AD697</f>
        <v>0</v>
      </c>
      <c r="AH697" s="27" t="str">
        <f>IF(AG697&lt;0,"Negative",IF(AG697=0,"Same",IF(AG697&gt;0.3,"30+%",IF(AG697&gt;0.2,"20-30%",IF(AG697&gt;0.1,"10-20%",IF(AG697&lt;=0.1,"0-10%"))))))</f>
        <v>Same</v>
      </c>
      <c r="AI697" s="32"/>
      <c r="AJ697" s="36" t="s">
        <v>3300</v>
      </c>
      <c r="AK697" s="32"/>
    </row>
    <row r="698" spans="1:37" s="1" customFormat="1" ht="19.7" customHeight="1" x14ac:dyDescent="0.25">
      <c r="A698" s="9" t="s">
        <v>22</v>
      </c>
      <c r="B698" s="9" t="s">
        <v>899</v>
      </c>
      <c r="C698" s="10">
        <v>44316</v>
      </c>
      <c r="D698" s="9" t="s">
        <v>24</v>
      </c>
      <c r="E698" s="9" t="s">
        <v>25</v>
      </c>
      <c r="F698" s="9" t="s">
        <v>26</v>
      </c>
      <c r="G698" s="9" t="s">
        <v>67</v>
      </c>
      <c r="H698" s="9" t="s">
        <v>68</v>
      </c>
      <c r="I698" s="9" t="s">
        <v>29</v>
      </c>
      <c r="J698" s="9" t="s">
        <v>30</v>
      </c>
      <c r="K698" s="9" t="s">
        <v>31</v>
      </c>
      <c r="L698" s="9" t="s">
        <v>32</v>
      </c>
      <c r="M698" s="9" t="s">
        <v>74</v>
      </c>
      <c r="N698" s="9" t="s">
        <v>900</v>
      </c>
      <c r="O698" s="9" t="s">
        <v>71</v>
      </c>
      <c r="P698" s="9" t="s">
        <v>75</v>
      </c>
      <c r="Q698" s="9">
        <v>112691098</v>
      </c>
      <c r="R698" s="9" t="s">
        <v>76</v>
      </c>
      <c r="S698" s="9" t="s">
        <v>77</v>
      </c>
      <c r="T698" s="11">
        <v>180</v>
      </c>
      <c r="U698" s="15" t="s">
        <v>71</v>
      </c>
      <c r="V698" s="41" t="s">
        <v>75</v>
      </c>
      <c r="W698" s="17">
        <v>112691098</v>
      </c>
      <c r="X698" s="16" t="s">
        <v>2512</v>
      </c>
      <c r="Y698" s="17" t="s">
        <v>2513</v>
      </c>
      <c r="Z698" s="17" t="s">
        <v>77</v>
      </c>
      <c r="AA698" s="17" t="s">
        <v>37</v>
      </c>
      <c r="AB698" s="29">
        <v>13.55</v>
      </c>
      <c r="AC698" s="25">
        <v>13.55</v>
      </c>
      <c r="AD698" s="25">
        <f>AC698*T698</f>
        <v>2439</v>
      </c>
      <c r="AE698" s="25">
        <f>AB698*T698</f>
        <v>2439</v>
      </c>
      <c r="AF698" s="25">
        <f>AD698-AE698</f>
        <v>0</v>
      </c>
      <c r="AG698" s="26">
        <f>AF698/AD698</f>
        <v>0</v>
      </c>
      <c r="AH698" s="27" t="str">
        <f>IF(AG698&lt;0,"Negative",IF(AG698=0,"Same",IF(AG698&gt;0.3,"30+%",IF(AG698&gt;0.2,"20-30%",IF(AG698&gt;0.1,"10-20%",IF(AG698&lt;=0.1,"0-10%"))))))</f>
        <v>Same</v>
      </c>
      <c r="AI698" s="32"/>
      <c r="AJ698" s="36" t="s">
        <v>3300</v>
      </c>
      <c r="AK698" s="32"/>
    </row>
    <row r="699" spans="1:37" s="1" customFormat="1" ht="19.7" customHeight="1" x14ac:dyDescent="0.25">
      <c r="A699" s="9" t="s">
        <v>22</v>
      </c>
      <c r="B699" s="9" t="s">
        <v>541</v>
      </c>
      <c r="C699" s="10">
        <v>44274</v>
      </c>
      <c r="D699" s="9" t="s">
        <v>24</v>
      </c>
      <c r="E699" s="9" t="s">
        <v>25</v>
      </c>
      <c r="F699" s="9" t="s">
        <v>26</v>
      </c>
      <c r="G699" s="9" t="s">
        <v>67</v>
      </c>
      <c r="H699" s="9" t="s">
        <v>68</v>
      </c>
      <c r="I699" s="9" t="s">
        <v>29</v>
      </c>
      <c r="J699" s="9" t="s">
        <v>30</v>
      </c>
      <c r="K699" s="9" t="s">
        <v>31</v>
      </c>
      <c r="L699" s="9" t="s">
        <v>32</v>
      </c>
      <c r="M699" s="9" t="s">
        <v>74</v>
      </c>
      <c r="N699" s="9" t="s">
        <v>542</v>
      </c>
      <c r="O699" s="9" t="s">
        <v>71</v>
      </c>
      <c r="P699" s="9" t="s">
        <v>75</v>
      </c>
      <c r="Q699" s="9">
        <v>112691098</v>
      </c>
      <c r="R699" s="9" t="s">
        <v>76</v>
      </c>
      <c r="S699" s="9" t="s">
        <v>77</v>
      </c>
      <c r="T699" s="11">
        <v>180</v>
      </c>
      <c r="U699" s="15" t="s">
        <v>71</v>
      </c>
      <c r="V699" s="41" t="s">
        <v>75</v>
      </c>
      <c r="W699" s="17">
        <v>112691098</v>
      </c>
      <c r="X699" s="16" t="s">
        <v>2512</v>
      </c>
      <c r="Y699" s="17" t="s">
        <v>2513</v>
      </c>
      <c r="Z699" s="17" t="s">
        <v>77</v>
      </c>
      <c r="AA699" s="17" t="s">
        <v>37</v>
      </c>
      <c r="AB699" s="29">
        <v>13.55</v>
      </c>
      <c r="AC699" s="25">
        <v>13.55</v>
      </c>
      <c r="AD699" s="25">
        <f>AC699*T699</f>
        <v>2439</v>
      </c>
      <c r="AE699" s="25">
        <f>AB699*T699</f>
        <v>2439</v>
      </c>
      <c r="AF699" s="25">
        <f>AD699-AE699</f>
        <v>0</v>
      </c>
      <c r="AG699" s="26">
        <f>AF699/AD699</f>
        <v>0</v>
      </c>
      <c r="AH699" s="27" t="str">
        <f>IF(AG699&lt;0,"Negative",IF(AG699=0,"Same",IF(AG699&gt;0.3,"30+%",IF(AG699&gt;0.2,"20-30%",IF(AG699&gt;0.1,"10-20%",IF(AG699&lt;=0.1,"0-10%"))))))</f>
        <v>Same</v>
      </c>
      <c r="AI699" s="32"/>
      <c r="AJ699" s="36" t="s">
        <v>3300</v>
      </c>
      <c r="AK699" s="32"/>
    </row>
    <row r="700" spans="1:37" s="1" customFormat="1" ht="19.7" customHeight="1" x14ac:dyDescent="0.25">
      <c r="A700" s="9" t="s">
        <v>22</v>
      </c>
      <c r="B700" s="9" t="s">
        <v>66</v>
      </c>
      <c r="C700" s="10">
        <v>44230</v>
      </c>
      <c r="D700" s="9" t="s">
        <v>24</v>
      </c>
      <c r="E700" s="9" t="s">
        <v>25</v>
      </c>
      <c r="F700" s="9" t="s">
        <v>26</v>
      </c>
      <c r="G700" s="9" t="s">
        <v>67</v>
      </c>
      <c r="H700" s="9" t="s">
        <v>68</v>
      </c>
      <c r="I700" s="9" t="s">
        <v>29</v>
      </c>
      <c r="J700" s="9" t="s">
        <v>30</v>
      </c>
      <c r="K700" s="9" t="s">
        <v>31</v>
      </c>
      <c r="L700" s="9" t="s">
        <v>32</v>
      </c>
      <c r="M700" s="9" t="s">
        <v>74</v>
      </c>
      <c r="N700" s="9" t="s">
        <v>70</v>
      </c>
      <c r="O700" s="9" t="s">
        <v>71</v>
      </c>
      <c r="P700" s="9" t="s">
        <v>75</v>
      </c>
      <c r="Q700" s="9">
        <v>112691098</v>
      </c>
      <c r="R700" s="9" t="s">
        <v>76</v>
      </c>
      <c r="S700" s="9" t="s">
        <v>77</v>
      </c>
      <c r="T700" s="11">
        <v>180</v>
      </c>
      <c r="U700" s="15" t="s">
        <v>71</v>
      </c>
      <c r="V700" s="41" t="s">
        <v>75</v>
      </c>
      <c r="W700" s="17">
        <v>112691098</v>
      </c>
      <c r="X700" s="16" t="s">
        <v>2512</v>
      </c>
      <c r="Y700" s="17" t="s">
        <v>2513</v>
      </c>
      <c r="Z700" s="17" t="s">
        <v>77</v>
      </c>
      <c r="AA700" s="17" t="s">
        <v>37</v>
      </c>
      <c r="AB700" s="29">
        <v>13.55</v>
      </c>
      <c r="AC700" s="25">
        <v>13.55</v>
      </c>
      <c r="AD700" s="25">
        <f>AC700*T700</f>
        <v>2439</v>
      </c>
      <c r="AE700" s="25">
        <f>AB700*T700</f>
        <v>2439</v>
      </c>
      <c r="AF700" s="25">
        <f>AD700-AE700</f>
        <v>0</v>
      </c>
      <c r="AG700" s="26">
        <f>AF700/AD700</f>
        <v>0</v>
      </c>
      <c r="AH700" s="27" t="str">
        <f>IF(AG700&lt;0,"Negative",IF(AG700=0,"Same",IF(AG700&gt;0.3,"30+%",IF(AG700&gt;0.2,"20-30%",IF(AG700&gt;0.1,"10-20%",IF(AG700&lt;=0.1,"0-10%"))))))</f>
        <v>Same</v>
      </c>
      <c r="AI700" s="32"/>
      <c r="AJ700" s="36" t="s">
        <v>3300</v>
      </c>
      <c r="AK700" s="32"/>
    </row>
    <row r="701" spans="1:37" s="1" customFormat="1" ht="19.7" customHeight="1" x14ac:dyDescent="0.25">
      <c r="A701" s="9" t="s">
        <v>22</v>
      </c>
      <c r="B701" s="9" t="s">
        <v>1637</v>
      </c>
      <c r="C701" s="10">
        <v>44427</v>
      </c>
      <c r="D701" s="9" t="s">
        <v>24</v>
      </c>
      <c r="E701" s="9" t="s">
        <v>25</v>
      </c>
      <c r="F701" s="9" t="s">
        <v>26</v>
      </c>
      <c r="G701" s="9" t="s">
        <v>67</v>
      </c>
      <c r="H701" s="9" t="s">
        <v>68</v>
      </c>
      <c r="I701" s="9" t="s">
        <v>29</v>
      </c>
      <c r="J701" s="9" t="s">
        <v>30</v>
      </c>
      <c r="K701" s="9" t="s">
        <v>31</v>
      </c>
      <c r="L701" s="9" t="s">
        <v>32</v>
      </c>
      <c r="M701" s="9" t="s">
        <v>74</v>
      </c>
      <c r="N701" s="9" t="s">
        <v>1638</v>
      </c>
      <c r="O701" s="9" t="s">
        <v>71</v>
      </c>
      <c r="P701" s="9" t="s">
        <v>75</v>
      </c>
      <c r="Q701" s="9">
        <v>112691098</v>
      </c>
      <c r="R701" s="9" t="s">
        <v>76</v>
      </c>
      <c r="S701" s="9" t="s">
        <v>77</v>
      </c>
      <c r="T701" s="11">
        <v>216</v>
      </c>
      <c r="U701" s="15" t="s">
        <v>71</v>
      </c>
      <c r="V701" s="41" t="s">
        <v>75</v>
      </c>
      <c r="W701" s="17">
        <v>112691098</v>
      </c>
      <c r="X701" s="16" t="s">
        <v>2512</v>
      </c>
      <c r="Y701" s="17" t="s">
        <v>2513</v>
      </c>
      <c r="Z701" s="17" t="s">
        <v>77</v>
      </c>
      <c r="AA701" s="17" t="s">
        <v>37</v>
      </c>
      <c r="AB701" s="29">
        <v>13.55</v>
      </c>
      <c r="AC701" s="25">
        <v>13.55</v>
      </c>
      <c r="AD701" s="25">
        <f>AC701*T701</f>
        <v>2926.8</v>
      </c>
      <c r="AE701" s="25">
        <f>AB701*T701</f>
        <v>2926.8</v>
      </c>
      <c r="AF701" s="25">
        <f>AD701-AE701</f>
        <v>0</v>
      </c>
      <c r="AG701" s="26">
        <f>AF701/AD701</f>
        <v>0</v>
      </c>
      <c r="AH701" s="27" t="str">
        <f>IF(AG701&lt;0,"Negative",IF(AG701=0,"Same",IF(AG701&gt;0.3,"30+%",IF(AG701&gt;0.2,"20-30%",IF(AG701&gt;0.1,"10-20%",IF(AG701&lt;=0.1,"0-10%"))))))</f>
        <v>Same</v>
      </c>
      <c r="AI701" s="32"/>
      <c r="AJ701" s="36" t="s">
        <v>3300</v>
      </c>
      <c r="AK701" s="32"/>
    </row>
    <row r="702" spans="1:37" s="1" customFormat="1" ht="19.7" customHeight="1" x14ac:dyDescent="0.25">
      <c r="A702" s="9" t="s">
        <v>22</v>
      </c>
      <c r="B702" s="9" t="s">
        <v>1091</v>
      </c>
      <c r="C702" s="10">
        <v>44337</v>
      </c>
      <c r="D702" s="9" t="s">
        <v>24</v>
      </c>
      <c r="E702" s="9" t="s">
        <v>25</v>
      </c>
      <c r="F702" s="9" t="s">
        <v>26</v>
      </c>
      <c r="G702" s="9" t="s">
        <v>67</v>
      </c>
      <c r="H702" s="9" t="s">
        <v>68</v>
      </c>
      <c r="I702" s="9" t="s">
        <v>29</v>
      </c>
      <c r="J702" s="9" t="s">
        <v>30</v>
      </c>
      <c r="K702" s="9" t="s">
        <v>31</v>
      </c>
      <c r="L702" s="9" t="s">
        <v>32</v>
      </c>
      <c r="M702" s="9" t="s">
        <v>74</v>
      </c>
      <c r="N702" s="9" t="s">
        <v>1092</v>
      </c>
      <c r="O702" s="9" t="s">
        <v>71</v>
      </c>
      <c r="P702" s="9" t="s">
        <v>75</v>
      </c>
      <c r="Q702" s="9">
        <v>112691098</v>
      </c>
      <c r="R702" s="9" t="s">
        <v>76</v>
      </c>
      <c r="S702" s="9" t="s">
        <v>77</v>
      </c>
      <c r="T702" s="11">
        <v>216</v>
      </c>
      <c r="U702" s="15" t="s">
        <v>71</v>
      </c>
      <c r="V702" s="41" t="s">
        <v>75</v>
      </c>
      <c r="W702" s="17">
        <v>112691098</v>
      </c>
      <c r="X702" s="16" t="s">
        <v>2512</v>
      </c>
      <c r="Y702" s="17" t="s">
        <v>2513</v>
      </c>
      <c r="Z702" s="17" t="s">
        <v>77</v>
      </c>
      <c r="AA702" s="17" t="s">
        <v>37</v>
      </c>
      <c r="AB702" s="29">
        <v>13.55</v>
      </c>
      <c r="AC702" s="25">
        <v>13.55</v>
      </c>
      <c r="AD702" s="25">
        <f>AC702*T702</f>
        <v>2926.8</v>
      </c>
      <c r="AE702" s="25">
        <f>AB702*T702</f>
        <v>2926.8</v>
      </c>
      <c r="AF702" s="25">
        <f>AD702-AE702</f>
        <v>0</v>
      </c>
      <c r="AG702" s="26">
        <f>AF702/AD702</f>
        <v>0</v>
      </c>
      <c r="AH702" s="27" t="str">
        <f>IF(AG702&lt;0,"Negative",IF(AG702=0,"Same",IF(AG702&gt;0.3,"30+%",IF(AG702&gt;0.2,"20-30%",IF(AG702&gt;0.1,"10-20%",IF(AG702&lt;=0.1,"0-10%"))))))</f>
        <v>Same</v>
      </c>
      <c r="AI702" s="32"/>
      <c r="AJ702" s="36" t="s">
        <v>3300</v>
      </c>
      <c r="AK702" s="32"/>
    </row>
    <row r="703" spans="1:37" s="1" customFormat="1" ht="19.7" customHeight="1" x14ac:dyDescent="0.25">
      <c r="A703" s="5" t="s">
        <v>22</v>
      </c>
      <c r="B703" s="5" t="s">
        <v>106</v>
      </c>
      <c r="C703" s="6">
        <v>44232</v>
      </c>
      <c r="D703" s="5" t="s">
        <v>24</v>
      </c>
      <c r="E703" s="5" t="s">
        <v>25</v>
      </c>
      <c r="F703" s="5" t="s">
        <v>26</v>
      </c>
      <c r="G703" s="5" t="s">
        <v>67</v>
      </c>
      <c r="H703" s="5" t="s">
        <v>68</v>
      </c>
      <c r="I703" s="5" t="s">
        <v>29</v>
      </c>
      <c r="J703" s="5" t="s">
        <v>30</v>
      </c>
      <c r="K703" s="5" t="s">
        <v>31</v>
      </c>
      <c r="L703" s="5" t="s">
        <v>32</v>
      </c>
      <c r="M703" s="5" t="s">
        <v>74</v>
      </c>
      <c r="N703" s="5" t="s">
        <v>107</v>
      </c>
      <c r="O703" s="5" t="s">
        <v>71</v>
      </c>
      <c r="P703" s="5" t="s">
        <v>75</v>
      </c>
      <c r="Q703" s="5">
        <v>112691098</v>
      </c>
      <c r="R703" s="5" t="s">
        <v>76</v>
      </c>
      <c r="S703" s="5" t="s">
        <v>77</v>
      </c>
      <c r="T703" s="7">
        <v>216</v>
      </c>
      <c r="U703" s="15" t="s">
        <v>71</v>
      </c>
      <c r="V703" s="41" t="s">
        <v>75</v>
      </c>
      <c r="W703" s="17">
        <v>112691098</v>
      </c>
      <c r="X703" s="16" t="s">
        <v>2512</v>
      </c>
      <c r="Y703" s="17" t="s">
        <v>2513</v>
      </c>
      <c r="Z703" s="17" t="s">
        <v>77</v>
      </c>
      <c r="AA703" s="17" t="s">
        <v>37</v>
      </c>
      <c r="AB703" s="29">
        <v>13.55</v>
      </c>
      <c r="AC703" s="25">
        <v>13.55</v>
      </c>
      <c r="AD703" s="25">
        <f>AC703*T703</f>
        <v>2926.8</v>
      </c>
      <c r="AE703" s="25">
        <f>AB703*T703</f>
        <v>2926.8</v>
      </c>
      <c r="AF703" s="25">
        <f>AD703-AE703</f>
        <v>0</v>
      </c>
      <c r="AG703" s="26">
        <f>AF703/AD703</f>
        <v>0</v>
      </c>
      <c r="AH703" s="27" t="str">
        <f>IF(AG703&lt;0,"Negative",IF(AG703=0,"Same",IF(AG703&gt;0.3,"30+%",IF(AG703&gt;0.2,"20-30%",IF(AG703&gt;0.1,"10-20%",IF(AG703&lt;=0.1,"0-10%"))))))</f>
        <v>Same</v>
      </c>
      <c r="AI703" s="32"/>
      <c r="AJ703" s="36" t="s">
        <v>3300</v>
      </c>
      <c r="AK703" s="32"/>
    </row>
    <row r="704" spans="1:37" s="1" customFormat="1" ht="19.7" customHeight="1" x14ac:dyDescent="0.25">
      <c r="A704" s="9" t="s">
        <v>22</v>
      </c>
      <c r="B704" s="9" t="s">
        <v>2209</v>
      </c>
      <c r="C704" s="10">
        <v>44540</v>
      </c>
      <c r="D704" s="9" t="s">
        <v>24</v>
      </c>
      <c r="E704" s="9" t="s">
        <v>25</v>
      </c>
      <c r="F704" s="9" t="s">
        <v>26</v>
      </c>
      <c r="G704" s="9" t="s">
        <v>67</v>
      </c>
      <c r="H704" s="9" t="s">
        <v>68</v>
      </c>
      <c r="I704" s="9" t="s">
        <v>29</v>
      </c>
      <c r="J704" s="9" t="s">
        <v>30</v>
      </c>
      <c r="K704" s="9" t="s">
        <v>31</v>
      </c>
      <c r="L704" s="9" t="s">
        <v>32</v>
      </c>
      <c r="M704" s="9" t="s">
        <v>81</v>
      </c>
      <c r="N704" s="9" t="s">
        <v>2210</v>
      </c>
      <c r="O704" s="9" t="s">
        <v>82</v>
      </c>
      <c r="P704" s="9" t="s">
        <v>83</v>
      </c>
      <c r="Q704" s="9">
        <v>110867517</v>
      </c>
      <c r="R704" s="9" t="s">
        <v>84</v>
      </c>
      <c r="S704" s="9" t="s">
        <v>39</v>
      </c>
      <c r="T704" s="11">
        <v>6</v>
      </c>
      <c r="U704" s="15" t="s">
        <v>82</v>
      </c>
      <c r="V704" s="16" t="s">
        <v>83</v>
      </c>
      <c r="W704" s="17">
        <v>110867517</v>
      </c>
      <c r="X704" s="16" t="s">
        <v>2516</v>
      </c>
      <c r="Y704" s="17" t="s">
        <v>2517</v>
      </c>
      <c r="Z704" s="17" t="s">
        <v>39</v>
      </c>
      <c r="AA704" s="17" t="s">
        <v>37</v>
      </c>
      <c r="AB704" s="29">
        <v>46.24</v>
      </c>
      <c r="AC704" s="25">
        <v>45.49</v>
      </c>
      <c r="AD704" s="25">
        <f>AC704*T704</f>
        <v>272.94</v>
      </c>
      <c r="AE704" s="25">
        <f>AB704*T704</f>
        <v>277.44</v>
      </c>
      <c r="AF704" s="25">
        <f>AD704-AE704</f>
        <v>-4.5</v>
      </c>
      <c r="AG704" s="26">
        <f>AF704/AD704</f>
        <v>-1.6487140030775994E-2</v>
      </c>
      <c r="AH704" s="27" t="str">
        <f>IF(AG704&lt;0,"Negative",IF(AG704=0,"Same",IF(AG704&gt;0.3,"30+%",IF(AG704&gt;0.2,"20-30%",IF(AG704&gt;0.1,"10-20%",IF(AG704&lt;=0.1,"0-10%"))))))</f>
        <v>Negative</v>
      </c>
      <c r="AI704" s="32"/>
      <c r="AJ704" s="36" t="s">
        <v>3299</v>
      </c>
      <c r="AK704" s="32"/>
    </row>
    <row r="705" spans="1:37" s="1" customFormat="1" ht="19.7" customHeight="1" x14ac:dyDescent="0.25">
      <c r="A705" s="9" t="s">
        <v>22</v>
      </c>
      <c r="B705" s="9" t="s">
        <v>950</v>
      </c>
      <c r="C705" s="10">
        <v>44321</v>
      </c>
      <c r="D705" s="9" t="s">
        <v>24</v>
      </c>
      <c r="E705" s="9" t="s">
        <v>25</v>
      </c>
      <c r="F705" s="9" t="s">
        <v>26</v>
      </c>
      <c r="G705" s="9" t="s">
        <v>27</v>
      </c>
      <c r="H705" s="9" t="s">
        <v>28</v>
      </c>
      <c r="I705" s="9" t="s">
        <v>29</v>
      </c>
      <c r="J705" s="9" t="s">
        <v>30</v>
      </c>
      <c r="K705" s="9" t="s">
        <v>31</v>
      </c>
      <c r="L705" s="9" t="s">
        <v>32</v>
      </c>
      <c r="M705" s="9" t="s">
        <v>951</v>
      </c>
      <c r="N705" s="9" t="s">
        <v>704</v>
      </c>
      <c r="O705" s="9" t="s">
        <v>932</v>
      </c>
      <c r="P705" s="9" t="s">
        <v>952</v>
      </c>
      <c r="Q705" s="9">
        <v>112227550</v>
      </c>
      <c r="R705" s="9" t="s">
        <v>73</v>
      </c>
      <c r="S705" s="9" t="s">
        <v>39</v>
      </c>
      <c r="T705" s="11">
        <v>6</v>
      </c>
      <c r="U705" s="15" t="s">
        <v>932</v>
      </c>
      <c r="V705" s="16" t="s">
        <v>952</v>
      </c>
      <c r="W705" s="17">
        <v>112227550</v>
      </c>
      <c r="X705" s="16" t="s">
        <v>2603</v>
      </c>
      <c r="Y705" s="17" t="s">
        <v>2873</v>
      </c>
      <c r="Z705" s="17" t="s">
        <v>39</v>
      </c>
      <c r="AA705" s="17" t="s">
        <v>2501</v>
      </c>
      <c r="AB705" s="29">
        <v>139.19999999999999</v>
      </c>
      <c r="AC705" s="25">
        <v>133.84</v>
      </c>
      <c r="AD705" s="25">
        <f>AC705*T705</f>
        <v>803.04</v>
      </c>
      <c r="AE705" s="25">
        <f>AB705*T705</f>
        <v>835.19999999999993</v>
      </c>
      <c r="AF705" s="25">
        <f>AD705-AE705</f>
        <v>-32.159999999999968</v>
      </c>
      <c r="AG705" s="26">
        <f>AF705/AD705</f>
        <v>-4.0047818290496077E-2</v>
      </c>
      <c r="AH705" s="27" t="str">
        <f>IF(AG705&lt;0,"Negative",IF(AG705=0,"Same",IF(AG705&gt;0.3,"30+%",IF(AG705&gt;0.2,"20-30%",IF(AG705&gt;0.1,"10-20%",IF(AG705&lt;=0.1,"0-10%"))))))</f>
        <v>Negative</v>
      </c>
      <c r="AI705" s="32"/>
      <c r="AJ705" s="36" t="s">
        <v>3300</v>
      </c>
      <c r="AK705" s="32"/>
    </row>
    <row r="706" spans="1:37" s="1" customFormat="1" ht="19.7" customHeight="1" x14ac:dyDescent="0.25">
      <c r="A706" s="5" t="s">
        <v>22</v>
      </c>
      <c r="B706" s="5" t="s">
        <v>997</v>
      </c>
      <c r="C706" s="6">
        <v>44326</v>
      </c>
      <c r="D706" s="5" t="s">
        <v>24</v>
      </c>
      <c r="E706" s="5" t="s">
        <v>25</v>
      </c>
      <c r="F706" s="5" t="s">
        <v>26</v>
      </c>
      <c r="G706" s="5" t="s">
        <v>27</v>
      </c>
      <c r="H706" s="5" t="s">
        <v>28</v>
      </c>
      <c r="I706" s="5" t="s">
        <v>29</v>
      </c>
      <c r="J706" s="5" t="s">
        <v>30</v>
      </c>
      <c r="K706" s="5" t="s">
        <v>31</v>
      </c>
      <c r="L706" s="5" t="s">
        <v>32</v>
      </c>
      <c r="M706" s="5" t="s">
        <v>261</v>
      </c>
      <c r="N706" s="5" t="s">
        <v>998</v>
      </c>
      <c r="O706" s="5" t="s">
        <v>89</v>
      </c>
      <c r="P706" s="5" t="s">
        <v>999</v>
      </c>
      <c r="Q706" s="5">
        <v>101828943</v>
      </c>
      <c r="R706" s="5" t="s">
        <v>45</v>
      </c>
      <c r="S706" s="5" t="s">
        <v>39</v>
      </c>
      <c r="T706" s="7">
        <v>1</v>
      </c>
      <c r="U706" s="15" t="s">
        <v>89</v>
      </c>
      <c r="V706" s="16" t="s">
        <v>999</v>
      </c>
      <c r="W706" s="17">
        <v>101828943</v>
      </c>
      <c r="X706" s="16" t="s">
        <v>2890</v>
      </c>
      <c r="Y706" s="17" t="s">
        <v>2891</v>
      </c>
      <c r="Z706" s="17" t="s">
        <v>39</v>
      </c>
      <c r="AA706" s="17" t="s">
        <v>37</v>
      </c>
      <c r="AB706" s="43">
        <v>20.73</v>
      </c>
      <c r="AC706" s="25">
        <v>24.3</v>
      </c>
      <c r="AD706" s="25">
        <f>AC706*T706</f>
        <v>24.3</v>
      </c>
      <c r="AE706" s="25">
        <f>AB706*T706</f>
        <v>20.73</v>
      </c>
      <c r="AF706" s="25">
        <f>AD706-AE706</f>
        <v>3.5700000000000003</v>
      </c>
      <c r="AG706" s="26">
        <f>AF706/AD706</f>
        <v>0.14691358024691359</v>
      </c>
      <c r="AH706" s="27" t="str">
        <f>IF(AG706&lt;0,"Negative",IF(AG706=0,"Same",IF(AG706&gt;0.3,"30+%",IF(AG706&gt;0.2,"20-30%",IF(AG706&gt;0.1,"10-20%",IF(AG706&lt;=0.1,"0-10%"))))))</f>
        <v>10-20%</v>
      </c>
      <c r="AI706" s="32"/>
      <c r="AJ706" s="36" t="s">
        <v>3300</v>
      </c>
      <c r="AK706" s="32"/>
    </row>
    <row r="707" spans="1:37" s="1" customFormat="1" ht="19.7" customHeight="1" x14ac:dyDescent="0.25">
      <c r="A707" s="5" t="s">
        <v>22</v>
      </c>
      <c r="B707" s="5" t="s">
        <v>1996</v>
      </c>
      <c r="C707" s="6">
        <v>44496</v>
      </c>
      <c r="D707" s="5" t="s">
        <v>24</v>
      </c>
      <c r="E707" s="5" t="s">
        <v>25</v>
      </c>
      <c r="F707" s="5" t="s">
        <v>26</v>
      </c>
      <c r="G707" s="5" t="s">
        <v>27</v>
      </c>
      <c r="H707" s="5" t="s">
        <v>28</v>
      </c>
      <c r="I707" s="5" t="s">
        <v>29</v>
      </c>
      <c r="J707" s="5" t="s">
        <v>30</v>
      </c>
      <c r="K707" s="5" t="s">
        <v>31</v>
      </c>
      <c r="L707" s="5" t="s">
        <v>32</v>
      </c>
      <c r="M707" s="5" t="s">
        <v>1997</v>
      </c>
      <c r="N707" s="5" t="s">
        <v>1992</v>
      </c>
      <c r="O707" s="5" t="s">
        <v>35</v>
      </c>
      <c r="P707" s="5" t="s">
        <v>1998</v>
      </c>
      <c r="Q707" s="5">
        <v>100490743</v>
      </c>
      <c r="R707" s="5" t="s">
        <v>38</v>
      </c>
      <c r="S707" s="5" t="s">
        <v>39</v>
      </c>
      <c r="T707" s="7">
        <v>2</v>
      </c>
      <c r="U707" s="15" t="s">
        <v>35</v>
      </c>
      <c r="V707" s="16" t="s">
        <v>1998</v>
      </c>
      <c r="W707" s="17">
        <v>100490743</v>
      </c>
      <c r="X707" s="16" t="s">
        <v>2710</v>
      </c>
      <c r="Y707" s="17" t="s">
        <v>3184</v>
      </c>
      <c r="Z707" s="17" t="s">
        <v>39</v>
      </c>
      <c r="AA707" s="17" t="s">
        <v>37</v>
      </c>
      <c r="AB707" s="29">
        <v>32.11</v>
      </c>
      <c r="AC707" s="25">
        <v>31.27</v>
      </c>
      <c r="AD707" s="25">
        <f>AC707*T707</f>
        <v>62.54</v>
      </c>
      <c r="AE707" s="25">
        <f>AB707*T707</f>
        <v>64.22</v>
      </c>
      <c r="AF707" s="25">
        <f>AD707-AE707</f>
        <v>-1.6799999999999997</v>
      </c>
      <c r="AG707" s="26">
        <f>AF707/AD707</f>
        <v>-2.686280780300607E-2</v>
      </c>
      <c r="AH707" s="27" t="str">
        <f>IF(AG707&lt;0,"Negative",IF(AG707=0,"Same",IF(AG707&gt;0.3,"30+%",IF(AG707&gt;0.2,"20-30%",IF(AG707&gt;0.1,"10-20%",IF(AG707&lt;=0.1,"0-10%"))))))</f>
        <v>Negative</v>
      </c>
      <c r="AI707" s="32"/>
      <c r="AJ707" s="36" t="s">
        <v>3299</v>
      </c>
      <c r="AK707" s="32"/>
    </row>
    <row r="708" spans="1:37" s="1" customFormat="1" ht="19.7" customHeight="1" x14ac:dyDescent="0.25">
      <c r="A708" s="9" t="s">
        <v>22</v>
      </c>
      <c r="B708" s="9" t="s">
        <v>2074</v>
      </c>
      <c r="C708" s="10">
        <v>44515</v>
      </c>
      <c r="D708" s="9" t="s">
        <v>24</v>
      </c>
      <c r="E708" s="9" t="s">
        <v>25</v>
      </c>
      <c r="F708" s="9" t="s">
        <v>26</v>
      </c>
      <c r="G708" s="9" t="s">
        <v>27</v>
      </c>
      <c r="H708" s="9" t="s">
        <v>28</v>
      </c>
      <c r="I708" s="9" t="s">
        <v>29</v>
      </c>
      <c r="J708" s="9" t="s">
        <v>30</v>
      </c>
      <c r="K708" s="9" t="s">
        <v>31</v>
      </c>
      <c r="L708" s="9" t="s">
        <v>32</v>
      </c>
      <c r="M708" s="9" t="s">
        <v>2078</v>
      </c>
      <c r="N708" s="9" t="s">
        <v>2075</v>
      </c>
      <c r="O708" s="9" t="s">
        <v>89</v>
      </c>
      <c r="P708" s="9" t="s">
        <v>2079</v>
      </c>
      <c r="Q708" s="9">
        <v>100748115</v>
      </c>
      <c r="R708" s="9" t="s">
        <v>45</v>
      </c>
      <c r="S708" s="9" t="s">
        <v>39</v>
      </c>
      <c r="T708" s="11">
        <v>1</v>
      </c>
      <c r="U708" s="15" t="s">
        <v>89</v>
      </c>
      <c r="V708" s="16" t="s">
        <v>2079</v>
      </c>
      <c r="W708" s="17">
        <v>100748115</v>
      </c>
      <c r="X708" s="16" t="s">
        <v>2520</v>
      </c>
      <c r="Y708" s="17" t="s">
        <v>3201</v>
      </c>
      <c r="Z708" s="17" t="s">
        <v>39</v>
      </c>
      <c r="AA708" s="17" t="s">
        <v>37</v>
      </c>
      <c r="AB708" s="43">
        <v>25.46</v>
      </c>
      <c r="AC708" s="25">
        <v>29.85</v>
      </c>
      <c r="AD708" s="25">
        <f>AC708*T708</f>
        <v>29.85</v>
      </c>
      <c r="AE708" s="25">
        <f>AB708*T708</f>
        <v>25.46</v>
      </c>
      <c r="AF708" s="25">
        <f>AD708-AE708</f>
        <v>4.3900000000000006</v>
      </c>
      <c r="AG708" s="26">
        <f>AF708/AD708</f>
        <v>0.14706867671691792</v>
      </c>
      <c r="AH708" s="27" t="str">
        <f>IF(AG708&lt;0,"Negative",IF(AG708=0,"Same",IF(AG708&gt;0.3,"30+%",IF(AG708&gt;0.2,"20-30%",IF(AG708&gt;0.1,"10-20%",IF(AG708&lt;=0.1,"0-10%"))))))</f>
        <v>10-20%</v>
      </c>
      <c r="AI708" s="32"/>
      <c r="AJ708" s="36" t="s">
        <v>3300</v>
      </c>
      <c r="AK708" s="32"/>
    </row>
    <row r="709" spans="1:37" s="1" customFormat="1" ht="19.7" customHeight="1" x14ac:dyDescent="0.25">
      <c r="A709" s="5" t="s">
        <v>22</v>
      </c>
      <c r="B709" s="5" t="s">
        <v>2074</v>
      </c>
      <c r="C709" s="6">
        <v>44515</v>
      </c>
      <c r="D709" s="5" t="s">
        <v>24</v>
      </c>
      <c r="E709" s="5" t="s">
        <v>25</v>
      </c>
      <c r="F709" s="5" t="s">
        <v>26</v>
      </c>
      <c r="G709" s="5" t="s">
        <v>27</v>
      </c>
      <c r="H709" s="5" t="s">
        <v>28</v>
      </c>
      <c r="I709" s="5" t="s">
        <v>29</v>
      </c>
      <c r="J709" s="5" t="s">
        <v>30</v>
      </c>
      <c r="K709" s="5" t="s">
        <v>31</v>
      </c>
      <c r="L709" s="5" t="s">
        <v>32</v>
      </c>
      <c r="M709" s="5" t="s">
        <v>305</v>
      </c>
      <c r="N709" s="5" t="s">
        <v>2075</v>
      </c>
      <c r="O709" s="5" t="s">
        <v>186</v>
      </c>
      <c r="P709" s="5" t="s">
        <v>306</v>
      </c>
      <c r="Q709" s="5">
        <v>101086872</v>
      </c>
      <c r="R709" s="5" t="s">
        <v>56</v>
      </c>
      <c r="S709" s="5" t="s">
        <v>39</v>
      </c>
      <c r="T709" s="7">
        <v>4</v>
      </c>
      <c r="U709" s="15" t="s">
        <v>186</v>
      </c>
      <c r="V709" s="16" t="s">
        <v>306</v>
      </c>
      <c r="W709" s="17">
        <v>101086872</v>
      </c>
      <c r="X709" s="16" t="s">
        <v>2618</v>
      </c>
      <c r="Y709" s="17" t="s">
        <v>2619</v>
      </c>
      <c r="Z709" s="17" t="s">
        <v>39</v>
      </c>
      <c r="AA709" s="17" t="s">
        <v>37</v>
      </c>
      <c r="AB709" s="29">
        <v>42.16</v>
      </c>
      <c r="AC709" s="25">
        <v>44.28</v>
      </c>
      <c r="AD709" s="25">
        <f>AC709*T709</f>
        <v>177.12</v>
      </c>
      <c r="AE709" s="25">
        <f>AB709*T709</f>
        <v>168.64</v>
      </c>
      <c r="AF709" s="25">
        <f>AD709-AE709</f>
        <v>8.4800000000000182</v>
      </c>
      <c r="AG709" s="26">
        <f>AF709/AD709</f>
        <v>4.7877145438121146E-2</v>
      </c>
      <c r="AH709" s="27" t="str">
        <f>IF(AG709&lt;0,"Negative",IF(AG709=0,"Same",IF(AG709&gt;0.3,"30+%",IF(AG709&gt;0.2,"20-30%",IF(AG709&gt;0.1,"10-20%",IF(AG709&lt;=0.1,"0-10%"))))))</f>
        <v>0-10%</v>
      </c>
      <c r="AI709" s="32"/>
      <c r="AJ709" s="36" t="s">
        <v>3299</v>
      </c>
      <c r="AK709" s="32"/>
    </row>
    <row r="710" spans="1:37" s="1" customFormat="1" ht="19.7" customHeight="1" x14ac:dyDescent="0.25">
      <c r="A710" s="5" t="s">
        <v>22</v>
      </c>
      <c r="B710" s="5" t="s">
        <v>736</v>
      </c>
      <c r="C710" s="6">
        <v>44295</v>
      </c>
      <c r="D710" s="5" t="s">
        <v>24</v>
      </c>
      <c r="E710" s="5" t="s">
        <v>25</v>
      </c>
      <c r="F710" s="5" t="s">
        <v>26</v>
      </c>
      <c r="G710" s="5" t="s">
        <v>27</v>
      </c>
      <c r="H710" s="5" t="s">
        <v>28</v>
      </c>
      <c r="I710" s="5" t="s">
        <v>29</v>
      </c>
      <c r="J710" s="5" t="s">
        <v>30</v>
      </c>
      <c r="K710" s="5" t="s">
        <v>31</v>
      </c>
      <c r="L710" s="5" t="s">
        <v>32</v>
      </c>
      <c r="M710" s="5" t="s">
        <v>261</v>
      </c>
      <c r="N710" s="5" t="s">
        <v>737</v>
      </c>
      <c r="O710" s="5" t="s">
        <v>154</v>
      </c>
      <c r="P710" s="5" t="s">
        <v>738</v>
      </c>
      <c r="Q710" s="5">
        <v>100737340</v>
      </c>
      <c r="R710" s="5" t="s">
        <v>61</v>
      </c>
      <c r="S710" s="5" t="s">
        <v>39</v>
      </c>
      <c r="T710" s="7">
        <v>3</v>
      </c>
      <c r="U710" s="15" t="s">
        <v>154</v>
      </c>
      <c r="V710" s="16" t="s">
        <v>738</v>
      </c>
      <c r="W710" s="17">
        <v>100737340</v>
      </c>
      <c r="X710" s="16" t="s">
        <v>2548</v>
      </c>
      <c r="Y710" s="17" t="s">
        <v>2798</v>
      </c>
      <c r="Z710" s="17" t="s">
        <v>39</v>
      </c>
      <c r="AA710" s="17" t="s">
        <v>37</v>
      </c>
      <c r="AB710" s="43">
        <v>47.06</v>
      </c>
      <c r="AC710" s="25">
        <v>51.97</v>
      </c>
      <c r="AD710" s="25">
        <f>AC710*T710</f>
        <v>155.91</v>
      </c>
      <c r="AE710" s="25">
        <f>AB710*T710</f>
        <v>141.18</v>
      </c>
      <c r="AF710" s="25">
        <f>AD710-AE710</f>
        <v>14.72999999999999</v>
      </c>
      <c r="AG710" s="26">
        <f>AF710/AD710</f>
        <v>9.4477583221089026E-2</v>
      </c>
      <c r="AH710" s="27" t="str">
        <f>IF(AG710&lt;0,"Negative",IF(AG710=0,"Same",IF(AG710&gt;0.3,"30+%",IF(AG710&gt;0.2,"20-30%",IF(AG710&gt;0.1,"10-20%",IF(AG710&lt;=0.1,"0-10%"))))))</f>
        <v>0-10%</v>
      </c>
      <c r="AI710" s="32"/>
      <c r="AJ710" s="36" t="s">
        <v>3299</v>
      </c>
      <c r="AK710" s="32"/>
    </row>
    <row r="711" spans="1:37" s="1" customFormat="1" ht="19.7" customHeight="1" x14ac:dyDescent="0.25">
      <c r="A711" s="9" t="s">
        <v>22</v>
      </c>
      <c r="B711" s="9" t="s">
        <v>2438</v>
      </c>
      <c r="C711" s="10">
        <v>44587</v>
      </c>
      <c r="D711" s="9" t="s">
        <v>24</v>
      </c>
      <c r="E711" s="9" t="s">
        <v>25</v>
      </c>
      <c r="F711" s="9" t="s">
        <v>26</v>
      </c>
      <c r="G711" s="9" t="s">
        <v>67</v>
      </c>
      <c r="H711" s="9" t="s">
        <v>68</v>
      </c>
      <c r="I711" s="9" t="s">
        <v>29</v>
      </c>
      <c r="J711" s="9" t="s">
        <v>30</v>
      </c>
      <c r="K711" s="9" t="s">
        <v>31</v>
      </c>
      <c r="L711" s="9" t="s">
        <v>32</v>
      </c>
      <c r="M711" s="9" t="s">
        <v>69</v>
      </c>
      <c r="N711" s="9" t="s">
        <v>2385</v>
      </c>
      <c r="O711" s="9" t="s">
        <v>71</v>
      </c>
      <c r="P711" s="9" t="s">
        <v>72</v>
      </c>
      <c r="Q711" s="9">
        <v>112366951</v>
      </c>
      <c r="R711" s="9" t="s">
        <v>73</v>
      </c>
      <c r="S711" s="9" t="s">
        <v>39</v>
      </c>
      <c r="T711" s="11">
        <v>48</v>
      </c>
      <c r="U711" s="15" t="s">
        <v>71</v>
      </c>
      <c r="V711" s="41" t="s">
        <v>72</v>
      </c>
      <c r="W711" s="17">
        <v>112366951</v>
      </c>
      <c r="X711" s="16" t="s">
        <v>2510</v>
      </c>
      <c r="Y711" s="17" t="s">
        <v>2511</v>
      </c>
      <c r="Z711" s="17" t="s">
        <v>39</v>
      </c>
      <c r="AA711" s="17" t="s">
        <v>2501</v>
      </c>
      <c r="AB711" s="29">
        <v>99.72</v>
      </c>
      <c r="AC711" s="25">
        <v>99.72</v>
      </c>
      <c r="AD711" s="25">
        <f>AC711*T711</f>
        <v>4786.5599999999995</v>
      </c>
      <c r="AE711" s="25">
        <f>AB711*T711</f>
        <v>4786.5599999999995</v>
      </c>
      <c r="AF711" s="25">
        <f>AD711-AE711</f>
        <v>0</v>
      </c>
      <c r="AG711" s="26">
        <f>AF711/AD711</f>
        <v>0</v>
      </c>
      <c r="AH711" s="27" t="str">
        <f>IF(AG711&lt;0,"Negative",IF(AG711=0,"Same",IF(AG711&gt;0.3,"30+%",IF(AG711&gt;0.2,"20-30%",IF(AG711&gt;0.1,"10-20%",IF(AG711&lt;=0.1,"0-10%"))))))</f>
        <v>Same</v>
      </c>
      <c r="AI711" s="32"/>
      <c r="AJ711" s="36" t="s">
        <v>3300</v>
      </c>
      <c r="AK711" s="32"/>
    </row>
    <row r="712" spans="1:37" s="1" customFormat="1" ht="19.7" customHeight="1" x14ac:dyDescent="0.25">
      <c r="A712" s="9" t="s">
        <v>22</v>
      </c>
      <c r="B712" s="9" t="s">
        <v>2351</v>
      </c>
      <c r="C712" s="10">
        <v>44568</v>
      </c>
      <c r="D712" s="9" t="s">
        <v>24</v>
      </c>
      <c r="E712" s="9" t="s">
        <v>25</v>
      </c>
      <c r="F712" s="9" t="s">
        <v>26</v>
      </c>
      <c r="G712" s="9" t="s">
        <v>67</v>
      </c>
      <c r="H712" s="9" t="s">
        <v>68</v>
      </c>
      <c r="I712" s="9" t="s">
        <v>29</v>
      </c>
      <c r="J712" s="9" t="s">
        <v>30</v>
      </c>
      <c r="K712" s="9" t="s">
        <v>31</v>
      </c>
      <c r="L712" s="9" t="s">
        <v>32</v>
      </c>
      <c r="M712" s="9" t="s">
        <v>69</v>
      </c>
      <c r="N712" s="9" t="s">
        <v>2352</v>
      </c>
      <c r="O712" s="9" t="s">
        <v>71</v>
      </c>
      <c r="P712" s="9" t="s">
        <v>72</v>
      </c>
      <c r="Q712" s="9">
        <v>112366951</v>
      </c>
      <c r="R712" s="9" t="s">
        <v>73</v>
      </c>
      <c r="S712" s="9" t="s">
        <v>39</v>
      </c>
      <c r="T712" s="11">
        <v>64</v>
      </c>
      <c r="U712" s="15" t="s">
        <v>71</v>
      </c>
      <c r="V712" s="41" t="s">
        <v>72</v>
      </c>
      <c r="W712" s="17">
        <v>112366951</v>
      </c>
      <c r="X712" s="16" t="s">
        <v>2510</v>
      </c>
      <c r="Y712" s="17" t="s">
        <v>2511</v>
      </c>
      <c r="Z712" s="17" t="s">
        <v>39</v>
      </c>
      <c r="AA712" s="17" t="s">
        <v>2501</v>
      </c>
      <c r="AB712" s="29">
        <v>99.72</v>
      </c>
      <c r="AC712" s="25">
        <v>99.72</v>
      </c>
      <c r="AD712" s="25">
        <f>AC712*T712</f>
        <v>6382.08</v>
      </c>
      <c r="AE712" s="25">
        <f>AB712*T712</f>
        <v>6382.08</v>
      </c>
      <c r="AF712" s="25">
        <f>AD712-AE712</f>
        <v>0</v>
      </c>
      <c r="AG712" s="26">
        <f>AF712/AD712</f>
        <v>0</v>
      </c>
      <c r="AH712" s="27" t="str">
        <f>IF(AG712&lt;0,"Negative",IF(AG712=0,"Same",IF(AG712&gt;0.3,"30+%",IF(AG712&gt;0.2,"20-30%",IF(AG712&gt;0.1,"10-20%",IF(AG712&lt;=0.1,"0-10%"))))))</f>
        <v>Same</v>
      </c>
      <c r="AI712" s="32"/>
      <c r="AJ712" s="36" t="s">
        <v>3300</v>
      </c>
      <c r="AK712" s="32"/>
    </row>
    <row r="713" spans="1:37" s="1" customFormat="1" ht="19.7" customHeight="1" x14ac:dyDescent="0.25">
      <c r="A713" s="5" t="s">
        <v>22</v>
      </c>
      <c r="B713" s="5" t="s">
        <v>268</v>
      </c>
      <c r="C713" s="6">
        <v>44246</v>
      </c>
      <c r="D713" s="5" t="s">
        <v>24</v>
      </c>
      <c r="E713" s="5" t="s">
        <v>25</v>
      </c>
      <c r="F713" s="5" t="s">
        <v>26</v>
      </c>
      <c r="G713" s="5" t="s">
        <v>67</v>
      </c>
      <c r="H713" s="5" t="s">
        <v>68</v>
      </c>
      <c r="I713" s="5" t="s">
        <v>29</v>
      </c>
      <c r="J713" s="5" t="s">
        <v>30</v>
      </c>
      <c r="K713" s="5" t="s">
        <v>31</v>
      </c>
      <c r="L713" s="5" t="s">
        <v>32</v>
      </c>
      <c r="M713" s="5" t="s">
        <v>69</v>
      </c>
      <c r="N713" s="5" t="s">
        <v>269</v>
      </c>
      <c r="O713" s="5" t="s">
        <v>71</v>
      </c>
      <c r="P713" s="5" t="s">
        <v>72</v>
      </c>
      <c r="Q713" s="5">
        <v>112366951</v>
      </c>
      <c r="R713" s="5" t="s">
        <v>73</v>
      </c>
      <c r="S713" s="5" t="s">
        <v>39</v>
      </c>
      <c r="T713" s="7">
        <v>64</v>
      </c>
      <c r="U713" s="15" t="s">
        <v>71</v>
      </c>
      <c r="V713" s="41" t="s">
        <v>72</v>
      </c>
      <c r="W713" s="17">
        <v>112366951</v>
      </c>
      <c r="X713" s="16" t="s">
        <v>2510</v>
      </c>
      <c r="Y713" s="17" t="s">
        <v>2511</v>
      </c>
      <c r="Z713" s="17" t="s">
        <v>39</v>
      </c>
      <c r="AA713" s="17" t="s">
        <v>2501</v>
      </c>
      <c r="AB713" s="29">
        <v>99.72</v>
      </c>
      <c r="AC713" s="25">
        <v>99.72</v>
      </c>
      <c r="AD713" s="25">
        <f>AC713*T713</f>
        <v>6382.08</v>
      </c>
      <c r="AE713" s="25">
        <f>AB713*T713</f>
        <v>6382.08</v>
      </c>
      <c r="AF713" s="25">
        <f>AD713-AE713</f>
        <v>0</v>
      </c>
      <c r="AG713" s="26">
        <f>AF713/AD713</f>
        <v>0</v>
      </c>
      <c r="AH713" s="27" t="str">
        <f>IF(AG713&lt;0,"Negative",IF(AG713=0,"Same",IF(AG713&gt;0.3,"30+%",IF(AG713&gt;0.2,"20-30%",IF(AG713&gt;0.1,"10-20%",IF(AG713&lt;=0.1,"0-10%"))))))</f>
        <v>Same</v>
      </c>
      <c r="AI713" s="32"/>
      <c r="AJ713" s="36" t="s">
        <v>3300</v>
      </c>
      <c r="AK713" s="32"/>
    </row>
    <row r="714" spans="1:37" s="1" customFormat="1" ht="19.7" customHeight="1" x14ac:dyDescent="0.25">
      <c r="A714" s="9" t="s">
        <v>22</v>
      </c>
      <c r="B714" s="9" t="s">
        <v>620</v>
      </c>
      <c r="C714" s="10">
        <v>44281</v>
      </c>
      <c r="D714" s="9" t="s">
        <v>24</v>
      </c>
      <c r="E714" s="9" t="s">
        <v>25</v>
      </c>
      <c r="F714" s="9" t="s">
        <v>26</v>
      </c>
      <c r="G714" s="9" t="s">
        <v>67</v>
      </c>
      <c r="H714" s="9" t="s">
        <v>68</v>
      </c>
      <c r="I714" s="9" t="s">
        <v>29</v>
      </c>
      <c r="J714" s="9" t="s">
        <v>30</v>
      </c>
      <c r="K714" s="9" t="s">
        <v>31</v>
      </c>
      <c r="L714" s="9" t="s">
        <v>32</v>
      </c>
      <c r="M714" s="9" t="s">
        <v>69</v>
      </c>
      <c r="N714" s="9" t="s">
        <v>621</v>
      </c>
      <c r="O714" s="9" t="s">
        <v>71</v>
      </c>
      <c r="P714" s="9" t="s">
        <v>72</v>
      </c>
      <c r="Q714" s="9">
        <v>112366951</v>
      </c>
      <c r="R714" s="9" t="s">
        <v>73</v>
      </c>
      <c r="S714" s="9" t="s">
        <v>39</v>
      </c>
      <c r="T714" s="11">
        <v>64</v>
      </c>
      <c r="U714" s="15" t="s">
        <v>71</v>
      </c>
      <c r="V714" s="41" t="s">
        <v>72</v>
      </c>
      <c r="W714" s="17">
        <v>112366951</v>
      </c>
      <c r="X714" s="16" t="s">
        <v>2510</v>
      </c>
      <c r="Y714" s="17" t="s">
        <v>2511</v>
      </c>
      <c r="Z714" s="17" t="s">
        <v>39</v>
      </c>
      <c r="AA714" s="17" t="s">
        <v>2501</v>
      </c>
      <c r="AB714" s="29">
        <v>99.72</v>
      </c>
      <c r="AC714" s="25">
        <v>99.72</v>
      </c>
      <c r="AD714" s="25">
        <f>AC714*T714</f>
        <v>6382.08</v>
      </c>
      <c r="AE714" s="25">
        <f>AB714*T714</f>
        <v>6382.08</v>
      </c>
      <c r="AF714" s="25">
        <f>AD714-AE714</f>
        <v>0</v>
      </c>
      <c r="AG714" s="26">
        <f>AF714/AD714</f>
        <v>0</v>
      </c>
      <c r="AH714" s="27" t="str">
        <f>IF(AG714&lt;0,"Negative",IF(AG714=0,"Same",IF(AG714&gt;0.3,"30+%",IF(AG714&gt;0.2,"20-30%",IF(AG714&gt;0.1,"10-20%",IF(AG714&lt;=0.1,"0-10%"))))))</f>
        <v>Same</v>
      </c>
      <c r="AI714" s="32"/>
      <c r="AJ714" s="36" t="s">
        <v>3300</v>
      </c>
      <c r="AK714" s="32"/>
    </row>
    <row r="715" spans="1:37" s="1" customFormat="1" ht="19.7" customHeight="1" x14ac:dyDescent="0.25">
      <c r="A715" s="9" t="s">
        <v>22</v>
      </c>
      <c r="B715" s="9" t="s">
        <v>748</v>
      </c>
      <c r="C715" s="10">
        <v>44295</v>
      </c>
      <c r="D715" s="9" t="s">
        <v>24</v>
      </c>
      <c r="E715" s="9" t="s">
        <v>25</v>
      </c>
      <c r="F715" s="9" t="s">
        <v>26</v>
      </c>
      <c r="G715" s="9" t="s">
        <v>67</v>
      </c>
      <c r="H715" s="9" t="s">
        <v>68</v>
      </c>
      <c r="I715" s="9" t="s">
        <v>29</v>
      </c>
      <c r="J715" s="9" t="s">
        <v>30</v>
      </c>
      <c r="K715" s="9" t="s">
        <v>31</v>
      </c>
      <c r="L715" s="9" t="s">
        <v>32</v>
      </c>
      <c r="M715" s="9" t="s">
        <v>69</v>
      </c>
      <c r="N715" s="9" t="s">
        <v>749</v>
      </c>
      <c r="O715" s="9" t="s">
        <v>71</v>
      </c>
      <c r="P715" s="9" t="s">
        <v>72</v>
      </c>
      <c r="Q715" s="9">
        <v>112366951</v>
      </c>
      <c r="R715" s="9" t="s">
        <v>73</v>
      </c>
      <c r="S715" s="9" t="s">
        <v>39</v>
      </c>
      <c r="T715" s="11">
        <v>64</v>
      </c>
      <c r="U715" s="15" t="s">
        <v>71</v>
      </c>
      <c r="V715" s="41" t="s">
        <v>72</v>
      </c>
      <c r="W715" s="17">
        <v>112366951</v>
      </c>
      <c r="X715" s="16" t="s">
        <v>2510</v>
      </c>
      <c r="Y715" s="17" t="s">
        <v>2511</v>
      </c>
      <c r="Z715" s="17" t="s">
        <v>39</v>
      </c>
      <c r="AA715" s="17" t="s">
        <v>2501</v>
      </c>
      <c r="AB715" s="29">
        <v>99.72</v>
      </c>
      <c r="AC715" s="25">
        <v>99.72</v>
      </c>
      <c r="AD715" s="25">
        <f>AC715*T715</f>
        <v>6382.08</v>
      </c>
      <c r="AE715" s="25">
        <f>AB715*T715</f>
        <v>6382.08</v>
      </c>
      <c r="AF715" s="25">
        <f>AD715-AE715</f>
        <v>0</v>
      </c>
      <c r="AG715" s="26">
        <f>AF715/AD715</f>
        <v>0</v>
      </c>
      <c r="AH715" s="27" t="str">
        <f>IF(AG715&lt;0,"Negative",IF(AG715=0,"Same",IF(AG715&gt;0.3,"30+%",IF(AG715&gt;0.2,"20-30%",IF(AG715&gt;0.1,"10-20%",IF(AG715&lt;=0.1,"0-10%"))))))</f>
        <v>Same</v>
      </c>
      <c r="AI715" s="32"/>
      <c r="AJ715" s="36" t="s">
        <v>3300</v>
      </c>
      <c r="AK715" s="32"/>
    </row>
    <row r="716" spans="1:37" s="1" customFormat="1" ht="19.7" customHeight="1" x14ac:dyDescent="0.25">
      <c r="A716" s="5" t="s">
        <v>22</v>
      </c>
      <c r="B716" s="5" t="s">
        <v>920</v>
      </c>
      <c r="C716" s="6">
        <v>44316</v>
      </c>
      <c r="D716" s="5" t="s">
        <v>24</v>
      </c>
      <c r="E716" s="5" t="s">
        <v>25</v>
      </c>
      <c r="F716" s="5" t="s">
        <v>26</v>
      </c>
      <c r="G716" s="5" t="s">
        <v>67</v>
      </c>
      <c r="H716" s="5" t="s">
        <v>68</v>
      </c>
      <c r="I716" s="5" t="s">
        <v>29</v>
      </c>
      <c r="J716" s="5" t="s">
        <v>30</v>
      </c>
      <c r="K716" s="5" t="s">
        <v>31</v>
      </c>
      <c r="L716" s="5" t="s">
        <v>32</v>
      </c>
      <c r="M716" s="5" t="s">
        <v>69</v>
      </c>
      <c r="N716" s="5" t="s">
        <v>921</v>
      </c>
      <c r="O716" s="5" t="s">
        <v>71</v>
      </c>
      <c r="P716" s="5" t="s">
        <v>72</v>
      </c>
      <c r="Q716" s="5">
        <v>112366951</v>
      </c>
      <c r="R716" s="5" t="s">
        <v>73</v>
      </c>
      <c r="S716" s="5" t="s">
        <v>39</v>
      </c>
      <c r="T716" s="7">
        <v>64</v>
      </c>
      <c r="U716" s="15" t="s">
        <v>71</v>
      </c>
      <c r="V716" s="41" t="s">
        <v>72</v>
      </c>
      <c r="W716" s="17">
        <v>112366951</v>
      </c>
      <c r="X716" s="16" t="s">
        <v>2510</v>
      </c>
      <c r="Y716" s="17" t="s">
        <v>2511</v>
      </c>
      <c r="Z716" s="17" t="s">
        <v>39</v>
      </c>
      <c r="AA716" s="17" t="s">
        <v>2501</v>
      </c>
      <c r="AB716" s="29">
        <v>99.72</v>
      </c>
      <c r="AC716" s="25">
        <v>99.72</v>
      </c>
      <c r="AD716" s="25">
        <f>AC716*T716</f>
        <v>6382.08</v>
      </c>
      <c r="AE716" s="25">
        <f>AB716*T716</f>
        <v>6382.08</v>
      </c>
      <c r="AF716" s="25">
        <f>AD716-AE716</f>
        <v>0</v>
      </c>
      <c r="AG716" s="26">
        <f>AF716/AD716</f>
        <v>0</v>
      </c>
      <c r="AH716" s="27" t="str">
        <f>IF(AG716&lt;0,"Negative",IF(AG716=0,"Same",IF(AG716&gt;0.3,"30+%",IF(AG716&gt;0.2,"20-30%",IF(AG716&gt;0.1,"10-20%",IF(AG716&lt;=0.1,"0-10%"))))))</f>
        <v>Same</v>
      </c>
      <c r="AI716" s="32"/>
      <c r="AJ716" s="36" t="s">
        <v>3300</v>
      </c>
      <c r="AK716" s="32"/>
    </row>
    <row r="717" spans="1:37" s="1" customFormat="1" ht="19.7" customHeight="1" x14ac:dyDescent="0.25">
      <c r="A717" s="9" t="s">
        <v>22</v>
      </c>
      <c r="B717" s="9" t="s">
        <v>994</v>
      </c>
      <c r="C717" s="10">
        <v>44323</v>
      </c>
      <c r="D717" s="9" t="s">
        <v>24</v>
      </c>
      <c r="E717" s="9" t="s">
        <v>25</v>
      </c>
      <c r="F717" s="9" t="s">
        <v>26</v>
      </c>
      <c r="G717" s="9" t="s">
        <v>67</v>
      </c>
      <c r="H717" s="9" t="s">
        <v>68</v>
      </c>
      <c r="I717" s="9" t="s">
        <v>29</v>
      </c>
      <c r="J717" s="9" t="s">
        <v>30</v>
      </c>
      <c r="K717" s="9" t="s">
        <v>31</v>
      </c>
      <c r="L717" s="9" t="s">
        <v>32</v>
      </c>
      <c r="M717" s="9" t="s">
        <v>69</v>
      </c>
      <c r="N717" s="9" t="s">
        <v>995</v>
      </c>
      <c r="O717" s="9" t="s">
        <v>71</v>
      </c>
      <c r="P717" s="9" t="s">
        <v>72</v>
      </c>
      <c r="Q717" s="9">
        <v>112366951</v>
      </c>
      <c r="R717" s="9" t="s">
        <v>73</v>
      </c>
      <c r="S717" s="9" t="s">
        <v>39</v>
      </c>
      <c r="T717" s="11">
        <v>64</v>
      </c>
      <c r="U717" s="15" t="s">
        <v>71</v>
      </c>
      <c r="V717" s="41" t="s">
        <v>72</v>
      </c>
      <c r="W717" s="17">
        <v>112366951</v>
      </c>
      <c r="X717" s="16" t="s">
        <v>2510</v>
      </c>
      <c r="Y717" s="17" t="s">
        <v>2511</v>
      </c>
      <c r="Z717" s="17" t="s">
        <v>39</v>
      </c>
      <c r="AA717" s="17" t="s">
        <v>2501</v>
      </c>
      <c r="AB717" s="29">
        <v>99.72</v>
      </c>
      <c r="AC717" s="25">
        <v>99.72</v>
      </c>
      <c r="AD717" s="25">
        <f>AC717*T717</f>
        <v>6382.08</v>
      </c>
      <c r="AE717" s="25">
        <f>AB717*T717</f>
        <v>6382.08</v>
      </c>
      <c r="AF717" s="25">
        <f>AD717-AE717</f>
        <v>0</v>
      </c>
      <c r="AG717" s="26">
        <f>AF717/AD717</f>
        <v>0</v>
      </c>
      <c r="AH717" s="27" t="str">
        <f>IF(AG717&lt;0,"Negative",IF(AG717=0,"Same",IF(AG717&gt;0.3,"30+%",IF(AG717&gt;0.2,"20-30%",IF(AG717&gt;0.1,"10-20%",IF(AG717&lt;=0.1,"0-10%"))))))</f>
        <v>Same</v>
      </c>
      <c r="AI717" s="32"/>
      <c r="AJ717" s="36" t="s">
        <v>3300</v>
      </c>
      <c r="AK717" s="32"/>
    </row>
    <row r="718" spans="1:37" s="1" customFormat="1" ht="19.7" customHeight="1" x14ac:dyDescent="0.25">
      <c r="A718" s="5" t="s">
        <v>22</v>
      </c>
      <c r="B718" s="5" t="s">
        <v>1141</v>
      </c>
      <c r="C718" s="6">
        <v>44344</v>
      </c>
      <c r="D718" s="5" t="s">
        <v>24</v>
      </c>
      <c r="E718" s="5" t="s">
        <v>25</v>
      </c>
      <c r="F718" s="5" t="s">
        <v>26</v>
      </c>
      <c r="G718" s="5" t="s">
        <v>67</v>
      </c>
      <c r="H718" s="5" t="s">
        <v>68</v>
      </c>
      <c r="I718" s="5" t="s">
        <v>29</v>
      </c>
      <c r="J718" s="5" t="s">
        <v>30</v>
      </c>
      <c r="K718" s="5" t="s">
        <v>31</v>
      </c>
      <c r="L718" s="5" t="s">
        <v>32</v>
      </c>
      <c r="M718" s="5" t="s">
        <v>69</v>
      </c>
      <c r="N718" s="5" t="s">
        <v>1142</v>
      </c>
      <c r="O718" s="5" t="s">
        <v>71</v>
      </c>
      <c r="P718" s="5" t="s">
        <v>72</v>
      </c>
      <c r="Q718" s="5">
        <v>112366951</v>
      </c>
      <c r="R718" s="5" t="s">
        <v>73</v>
      </c>
      <c r="S718" s="5" t="s">
        <v>39</v>
      </c>
      <c r="T718" s="7">
        <v>64</v>
      </c>
      <c r="U718" s="15" t="s">
        <v>71</v>
      </c>
      <c r="V718" s="41" t="s">
        <v>72</v>
      </c>
      <c r="W718" s="17">
        <v>112366951</v>
      </c>
      <c r="X718" s="16" t="s">
        <v>2510</v>
      </c>
      <c r="Y718" s="17" t="s">
        <v>2511</v>
      </c>
      <c r="Z718" s="17" t="s">
        <v>39</v>
      </c>
      <c r="AA718" s="17" t="s">
        <v>2501</v>
      </c>
      <c r="AB718" s="29">
        <v>99.72</v>
      </c>
      <c r="AC718" s="25">
        <v>99.72</v>
      </c>
      <c r="AD718" s="25">
        <f>AC718*T718</f>
        <v>6382.08</v>
      </c>
      <c r="AE718" s="25">
        <f>AB718*T718</f>
        <v>6382.08</v>
      </c>
      <c r="AF718" s="25">
        <f>AD718-AE718</f>
        <v>0</v>
      </c>
      <c r="AG718" s="26">
        <f>AF718/AD718</f>
        <v>0</v>
      </c>
      <c r="AH718" s="27" t="str">
        <f>IF(AG718&lt;0,"Negative",IF(AG718=0,"Same",IF(AG718&gt;0.3,"30+%",IF(AG718&gt;0.2,"20-30%",IF(AG718&gt;0.1,"10-20%",IF(AG718&lt;=0.1,"0-10%"))))))</f>
        <v>Same</v>
      </c>
      <c r="AI718" s="32"/>
      <c r="AJ718" s="36" t="s">
        <v>3300</v>
      </c>
      <c r="AK718" s="32"/>
    </row>
    <row r="719" spans="1:37" s="1" customFormat="1" ht="19.7" customHeight="1" x14ac:dyDescent="0.25">
      <c r="A719" s="9" t="s">
        <v>22</v>
      </c>
      <c r="B719" s="9" t="s">
        <v>2283</v>
      </c>
      <c r="C719" s="10">
        <v>44559</v>
      </c>
      <c r="D719" s="9" t="s">
        <v>24</v>
      </c>
      <c r="E719" s="9" t="s">
        <v>25</v>
      </c>
      <c r="F719" s="9" t="s">
        <v>26</v>
      </c>
      <c r="G719" s="9" t="s">
        <v>67</v>
      </c>
      <c r="H719" s="9" t="s">
        <v>68</v>
      </c>
      <c r="I719" s="9" t="s">
        <v>29</v>
      </c>
      <c r="J719" s="9" t="s">
        <v>30</v>
      </c>
      <c r="K719" s="9" t="s">
        <v>31</v>
      </c>
      <c r="L719" s="9" t="s">
        <v>32</v>
      </c>
      <c r="M719" s="9" t="s">
        <v>69</v>
      </c>
      <c r="N719" s="9" t="s">
        <v>2284</v>
      </c>
      <c r="O719" s="9" t="s">
        <v>71</v>
      </c>
      <c r="P719" s="9" t="s">
        <v>72</v>
      </c>
      <c r="Q719" s="9">
        <v>112366951</v>
      </c>
      <c r="R719" s="9" t="s">
        <v>73</v>
      </c>
      <c r="S719" s="9" t="s">
        <v>39</v>
      </c>
      <c r="T719" s="11">
        <v>80</v>
      </c>
      <c r="U719" s="15" t="s">
        <v>71</v>
      </c>
      <c r="V719" s="41" t="s">
        <v>72</v>
      </c>
      <c r="W719" s="17">
        <v>112366951</v>
      </c>
      <c r="X719" s="16" t="s">
        <v>2510</v>
      </c>
      <c r="Y719" s="17" t="s">
        <v>2511</v>
      </c>
      <c r="Z719" s="17" t="s">
        <v>39</v>
      </c>
      <c r="AA719" s="17" t="s">
        <v>2501</v>
      </c>
      <c r="AB719" s="29">
        <v>99.72</v>
      </c>
      <c r="AC719" s="25">
        <v>99.72</v>
      </c>
      <c r="AD719" s="25">
        <f>AC719*T719</f>
        <v>7977.6</v>
      </c>
      <c r="AE719" s="25">
        <f>AB719*T719</f>
        <v>7977.6</v>
      </c>
      <c r="AF719" s="25">
        <f>AD719-AE719</f>
        <v>0</v>
      </c>
      <c r="AG719" s="26">
        <f>AF719/AD719</f>
        <v>0</v>
      </c>
      <c r="AH719" s="27" t="str">
        <f>IF(AG719&lt;0,"Negative",IF(AG719=0,"Same",IF(AG719&gt;0.3,"30+%",IF(AG719&gt;0.2,"20-30%",IF(AG719&gt;0.1,"10-20%",IF(AG719&lt;=0.1,"0-10%"))))))</f>
        <v>Same</v>
      </c>
      <c r="AI719" s="32"/>
      <c r="AJ719" s="36" t="s">
        <v>3300</v>
      </c>
      <c r="AK719" s="32"/>
    </row>
    <row r="720" spans="1:37" s="1" customFormat="1" ht="19.7" customHeight="1" x14ac:dyDescent="0.25">
      <c r="A720" s="5" t="s">
        <v>22</v>
      </c>
      <c r="B720" s="5" t="s">
        <v>1968</v>
      </c>
      <c r="C720" s="6">
        <v>44490</v>
      </c>
      <c r="D720" s="5" t="s">
        <v>24</v>
      </c>
      <c r="E720" s="5" t="s">
        <v>25</v>
      </c>
      <c r="F720" s="5" t="s">
        <v>26</v>
      </c>
      <c r="G720" s="5" t="s">
        <v>67</v>
      </c>
      <c r="H720" s="5" t="s">
        <v>68</v>
      </c>
      <c r="I720" s="5" t="s">
        <v>29</v>
      </c>
      <c r="J720" s="5" t="s">
        <v>30</v>
      </c>
      <c r="K720" s="5" t="s">
        <v>31</v>
      </c>
      <c r="L720" s="5" t="s">
        <v>32</v>
      </c>
      <c r="M720" s="5" t="s">
        <v>69</v>
      </c>
      <c r="N720" s="5" t="s">
        <v>1969</v>
      </c>
      <c r="O720" s="5" t="s">
        <v>71</v>
      </c>
      <c r="P720" s="5" t="s">
        <v>72</v>
      </c>
      <c r="Q720" s="5">
        <v>112366951</v>
      </c>
      <c r="R720" s="5" t="s">
        <v>73</v>
      </c>
      <c r="S720" s="5" t="s">
        <v>39</v>
      </c>
      <c r="T720" s="7">
        <v>80</v>
      </c>
      <c r="U720" s="15" t="s">
        <v>71</v>
      </c>
      <c r="V720" s="41" t="s">
        <v>72</v>
      </c>
      <c r="W720" s="17">
        <v>112366951</v>
      </c>
      <c r="X720" s="16" t="s">
        <v>2510</v>
      </c>
      <c r="Y720" s="17" t="s">
        <v>2511</v>
      </c>
      <c r="Z720" s="17" t="s">
        <v>39</v>
      </c>
      <c r="AA720" s="17" t="s">
        <v>2501</v>
      </c>
      <c r="AB720" s="29">
        <v>99.72</v>
      </c>
      <c r="AC720" s="25">
        <v>99.72</v>
      </c>
      <c r="AD720" s="25">
        <f>AC720*T720</f>
        <v>7977.6</v>
      </c>
      <c r="AE720" s="25">
        <f>AB720*T720</f>
        <v>7977.6</v>
      </c>
      <c r="AF720" s="25">
        <f>AD720-AE720</f>
        <v>0</v>
      </c>
      <c r="AG720" s="26">
        <f>AF720/AD720</f>
        <v>0</v>
      </c>
      <c r="AH720" s="27" t="str">
        <f>IF(AG720&lt;0,"Negative",IF(AG720=0,"Same",IF(AG720&gt;0.3,"30+%",IF(AG720&gt;0.2,"20-30%",IF(AG720&gt;0.1,"10-20%",IF(AG720&lt;=0.1,"0-10%"))))))</f>
        <v>Same</v>
      </c>
      <c r="AI720" s="32"/>
      <c r="AJ720" s="36" t="s">
        <v>3300</v>
      </c>
      <c r="AK720" s="32"/>
    </row>
    <row r="721" spans="1:37" s="1" customFormat="1" ht="19.7" customHeight="1" x14ac:dyDescent="0.25">
      <c r="A721" s="5" t="s">
        <v>22</v>
      </c>
      <c r="B721" s="5" t="s">
        <v>2126</v>
      </c>
      <c r="C721" s="6">
        <v>44519</v>
      </c>
      <c r="D721" s="5" t="s">
        <v>24</v>
      </c>
      <c r="E721" s="5" t="s">
        <v>25</v>
      </c>
      <c r="F721" s="5" t="s">
        <v>26</v>
      </c>
      <c r="G721" s="5" t="s">
        <v>67</v>
      </c>
      <c r="H721" s="5" t="s">
        <v>68</v>
      </c>
      <c r="I721" s="5" t="s">
        <v>29</v>
      </c>
      <c r="J721" s="5" t="s">
        <v>30</v>
      </c>
      <c r="K721" s="5" t="s">
        <v>31</v>
      </c>
      <c r="L721" s="5" t="s">
        <v>32</v>
      </c>
      <c r="M721" s="5" t="s">
        <v>69</v>
      </c>
      <c r="N721" s="5" t="s">
        <v>2127</v>
      </c>
      <c r="O721" s="5" t="s">
        <v>71</v>
      </c>
      <c r="P721" s="5" t="s">
        <v>72</v>
      </c>
      <c r="Q721" s="5">
        <v>112366951</v>
      </c>
      <c r="R721" s="5" t="s">
        <v>73</v>
      </c>
      <c r="S721" s="5" t="s">
        <v>39</v>
      </c>
      <c r="T721" s="7">
        <v>80</v>
      </c>
      <c r="U721" s="15" t="s">
        <v>71</v>
      </c>
      <c r="V721" s="41" t="s">
        <v>72</v>
      </c>
      <c r="W721" s="17">
        <v>112366951</v>
      </c>
      <c r="X721" s="16" t="s">
        <v>2510</v>
      </c>
      <c r="Y721" s="17" t="s">
        <v>2511</v>
      </c>
      <c r="Z721" s="17" t="s">
        <v>39</v>
      </c>
      <c r="AA721" s="17" t="s">
        <v>2501</v>
      </c>
      <c r="AB721" s="29">
        <v>99.72</v>
      </c>
      <c r="AC721" s="25">
        <v>99.72</v>
      </c>
      <c r="AD721" s="25">
        <f>AC721*T721</f>
        <v>7977.6</v>
      </c>
      <c r="AE721" s="25">
        <f>AB721*T721</f>
        <v>7977.6</v>
      </c>
      <c r="AF721" s="25">
        <f>AD721-AE721</f>
        <v>0</v>
      </c>
      <c r="AG721" s="26">
        <f>AF721/AD721</f>
        <v>0</v>
      </c>
      <c r="AH721" s="27" t="str">
        <f>IF(AG721&lt;0,"Negative",IF(AG721=0,"Same",IF(AG721&gt;0.3,"30+%",IF(AG721&gt;0.2,"20-30%",IF(AG721&gt;0.1,"10-20%",IF(AG721&lt;=0.1,"0-10%"))))))</f>
        <v>Same</v>
      </c>
      <c r="AI721" s="32"/>
      <c r="AJ721" s="36" t="s">
        <v>3300</v>
      </c>
      <c r="AK721" s="32"/>
    </row>
    <row r="722" spans="1:37" s="1" customFormat="1" ht="19.7" customHeight="1" x14ac:dyDescent="0.25">
      <c r="A722" s="5" t="s">
        <v>22</v>
      </c>
      <c r="B722" s="5" t="s">
        <v>66</v>
      </c>
      <c r="C722" s="6">
        <v>44230</v>
      </c>
      <c r="D722" s="5" t="s">
        <v>24</v>
      </c>
      <c r="E722" s="5" t="s">
        <v>25</v>
      </c>
      <c r="F722" s="5" t="s">
        <v>26</v>
      </c>
      <c r="G722" s="5" t="s">
        <v>67</v>
      </c>
      <c r="H722" s="5" t="s">
        <v>68</v>
      </c>
      <c r="I722" s="5" t="s">
        <v>29</v>
      </c>
      <c r="J722" s="5" t="s">
        <v>30</v>
      </c>
      <c r="K722" s="5" t="s">
        <v>31</v>
      </c>
      <c r="L722" s="5" t="s">
        <v>32</v>
      </c>
      <c r="M722" s="5" t="s">
        <v>69</v>
      </c>
      <c r="N722" s="5" t="s">
        <v>70</v>
      </c>
      <c r="O722" s="5" t="s">
        <v>71</v>
      </c>
      <c r="P722" s="5" t="s">
        <v>72</v>
      </c>
      <c r="Q722" s="5">
        <v>112366951</v>
      </c>
      <c r="R722" s="5" t="s">
        <v>73</v>
      </c>
      <c r="S722" s="5" t="s">
        <v>39</v>
      </c>
      <c r="T722" s="7">
        <v>80</v>
      </c>
      <c r="U722" s="15" t="s">
        <v>71</v>
      </c>
      <c r="V722" s="41" t="s">
        <v>72</v>
      </c>
      <c r="W722" s="17">
        <v>112366951</v>
      </c>
      <c r="X722" s="16" t="s">
        <v>2510</v>
      </c>
      <c r="Y722" s="17" t="s">
        <v>2511</v>
      </c>
      <c r="Z722" s="17" t="s">
        <v>39</v>
      </c>
      <c r="AA722" s="17" t="s">
        <v>2501</v>
      </c>
      <c r="AB722" s="29">
        <v>99.72</v>
      </c>
      <c r="AC722" s="25">
        <v>99.72</v>
      </c>
      <c r="AD722" s="25">
        <f>AC722*T722</f>
        <v>7977.6</v>
      </c>
      <c r="AE722" s="25">
        <f>AB722*T722</f>
        <v>7977.6</v>
      </c>
      <c r="AF722" s="25">
        <f>AD722-AE722</f>
        <v>0</v>
      </c>
      <c r="AG722" s="26">
        <f>AF722/AD722</f>
        <v>0</v>
      </c>
      <c r="AH722" s="27" t="str">
        <f>IF(AG722&lt;0,"Negative",IF(AG722=0,"Same",IF(AG722&gt;0.3,"30+%",IF(AG722&gt;0.2,"20-30%",IF(AG722&gt;0.1,"10-20%",IF(AG722&lt;=0.1,"0-10%"))))))</f>
        <v>Same</v>
      </c>
      <c r="AI722" s="32"/>
      <c r="AJ722" s="36" t="s">
        <v>3300</v>
      </c>
      <c r="AK722" s="32"/>
    </row>
    <row r="723" spans="1:37" s="1" customFormat="1" ht="19.7" customHeight="1" x14ac:dyDescent="0.25">
      <c r="A723" s="9" t="s">
        <v>22</v>
      </c>
      <c r="B723" s="9" t="s">
        <v>106</v>
      </c>
      <c r="C723" s="10">
        <v>44232</v>
      </c>
      <c r="D723" s="9" t="s">
        <v>24</v>
      </c>
      <c r="E723" s="9" t="s">
        <v>25</v>
      </c>
      <c r="F723" s="9" t="s">
        <v>26</v>
      </c>
      <c r="G723" s="9" t="s">
        <v>67</v>
      </c>
      <c r="H723" s="9" t="s">
        <v>68</v>
      </c>
      <c r="I723" s="9" t="s">
        <v>29</v>
      </c>
      <c r="J723" s="9" t="s">
        <v>30</v>
      </c>
      <c r="K723" s="9" t="s">
        <v>31</v>
      </c>
      <c r="L723" s="9" t="s">
        <v>32</v>
      </c>
      <c r="M723" s="9" t="s">
        <v>69</v>
      </c>
      <c r="N723" s="9" t="s">
        <v>107</v>
      </c>
      <c r="O723" s="9" t="s">
        <v>71</v>
      </c>
      <c r="P723" s="9" t="s">
        <v>72</v>
      </c>
      <c r="Q723" s="9">
        <v>112366951</v>
      </c>
      <c r="R723" s="9" t="s">
        <v>73</v>
      </c>
      <c r="S723" s="9" t="s">
        <v>39</v>
      </c>
      <c r="T723" s="11">
        <v>80</v>
      </c>
      <c r="U723" s="15" t="s">
        <v>71</v>
      </c>
      <c r="V723" s="41" t="s">
        <v>72</v>
      </c>
      <c r="W723" s="17">
        <v>112366951</v>
      </c>
      <c r="X723" s="16" t="s">
        <v>2510</v>
      </c>
      <c r="Y723" s="17" t="s">
        <v>2511</v>
      </c>
      <c r="Z723" s="17" t="s">
        <v>39</v>
      </c>
      <c r="AA723" s="17" t="s">
        <v>2501</v>
      </c>
      <c r="AB723" s="29">
        <v>99.72</v>
      </c>
      <c r="AC723" s="25">
        <v>99.72</v>
      </c>
      <c r="AD723" s="31">
        <f>AC723*T723</f>
        <v>7977.6</v>
      </c>
      <c r="AE723" s="25">
        <f>AB723*T723</f>
        <v>7977.6</v>
      </c>
      <c r="AF723" s="25">
        <f>AD723-AE723</f>
        <v>0</v>
      </c>
      <c r="AG723" s="26">
        <f>AF723/AD723</f>
        <v>0</v>
      </c>
      <c r="AH723" s="27" t="str">
        <f>IF(AG723&lt;0,"Negative",IF(AG723=0,"Same",IF(AG723&gt;0.3,"30+%",IF(AG723&gt;0.2,"20-30%",IF(AG723&gt;0.1,"10-20%",IF(AG723&lt;=0.1,"0-10%"))))))</f>
        <v>Same</v>
      </c>
      <c r="AI723" s="32"/>
      <c r="AJ723" s="36" t="s">
        <v>3300</v>
      </c>
      <c r="AK723" s="32"/>
    </row>
    <row r="724" spans="1:37" s="1" customFormat="1" ht="19.7" customHeight="1" x14ac:dyDescent="0.25">
      <c r="A724" s="9" t="s">
        <v>22</v>
      </c>
      <c r="B724" s="9" t="s">
        <v>482</v>
      </c>
      <c r="C724" s="10">
        <v>44267</v>
      </c>
      <c r="D724" s="9" t="s">
        <v>24</v>
      </c>
      <c r="E724" s="9" t="s">
        <v>25</v>
      </c>
      <c r="F724" s="9" t="s">
        <v>26</v>
      </c>
      <c r="G724" s="9" t="s">
        <v>67</v>
      </c>
      <c r="H724" s="9" t="s">
        <v>68</v>
      </c>
      <c r="I724" s="9" t="s">
        <v>29</v>
      </c>
      <c r="J724" s="9" t="s">
        <v>30</v>
      </c>
      <c r="K724" s="9" t="s">
        <v>31</v>
      </c>
      <c r="L724" s="9" t="s">
        <v>32</v>
      </c>
      <c r="M724" s="9" t="s">
        <v>69</v>
      </c>
      <c r="N724" s="9" t="s">
        <v>483</v>
      </c>
      <c r="O724" s="9" t="s">
        <v>71</v>
      </c>
      <c r="P724" s="9" t="s">
        <v>72</v>
      </c>
      <c r="Q724" s="9">
        <v>112366951</v>
      </c>
      <c r="R724" s="9" t="s">
        <v>73</v>
      </c>
      <c r="S724" s="9" t="s">
        <v>39</v>
      </c>
      <c r="T724" s="11">
        <v>80</v>
      </c>
      <c r="U724" s="15" t="s">
        <v>71</v>
      </c>
      <c r="V724" s="41" t="s">
        <v>72</v>
      </c>
      <c r="W724" s="17">
        <v>112366951</v>
      </c>
      <c r="X724" s="16" t="s">
        <v>2510</v>
      </c>
      <c r="Y724" s="17" t="s">
        <v>2511</v>
      </c>
      <c r="Z724" s="17" t="s">
        <v>39</v>
      </c>
      <c r="AA724" s="17" t="s">
        <v>2501</v>
      </c>
      <c r="AB724" s="29">
        <v>99.72</v>
      </c>
      <c r="AC724" s="25">
        <v>99.72</v>
      </c>
      <c r="AD724" s="25">
        <f>AC724*T724</f>
        <v>7977.6</v>
      </c>
      <c r="AE724" s="25">
        <f>AB724*T724</f>
        <v>7977.6</v>
      </c>
      <c r="AF724" s="25">
        <f>AD724-AE724</f>
        <v>0</v>
      </c>
      <c r="AG724" s="26">
        <f>AF724/AD724</f>
        <v>0</v>
      </c>
      <c r="AH724" s="27" t="str">
        <f>IF(AG724&lt;0,"Negative",IF(AG724=0,"Same",IF(AG724&gt;0.3,"30+%",IF(AG724&gt;0.2,"20-30%",IF(AG724&gt;0.1,"10-20%",IF(AG724&lt;=0.1,"0-10%"))))))</f>
        <v>Same</v>
      </c>
      <c r="AI724" s="32"/>
      <c r="AJ724" s="36" t="s">
        <v>3300</v>
      </c>
      <c r="AK724" s="32"/>
    </row>
    <row r="725" spans="1:37" s="1" customFormat="1" ht="19.7" customHeight="1" x14ac:dyDescent="0.25">
      <c r="A725" s="5" t="s">
        <v>22</v>
      </c>
      <c r="B725" s="5" t="s">
        <v>1211</v>
      </c>
      <c r="C725" s="6">
        <v>44358</v>
      </c>
      <c r="D725" s="5" t="s">
        <v>24</v>
      </c>
      <c r="E725" s="5" t="s">
        <v>25</v>
      </c>
      <c r="F725" s="5" t="s">
        <v>26</v>
      </c>
      <c r="G725" s="5" t="s">
        <v>67</v>
      </c>
      <c r="H725" s="5" t="s">
        <v>68</v>
      </c>
      <c r="I725" s="5" t="s">
        <v>29</v>
      </c>
      <c r="J725" s="5" t="s">
        <v>30</v>
      </c>
      <c r="K725" s="5" t="s">
        <v>31</v>
      </c>
      <c r="L725" s="5" t="s">
        <v>32</v>
      </c>
      <c r="M725" s="5" t="s">
        <v>69</v>
      </c>
      <c r="N725" s="5" t="s">
        <v>1212</v>
      </c>
      <c r="O725" s="5" t="s">
        <v>71</v>
      </c>
      <c r="P725" s="5" t="s">
        <v>72</v>
      </c>
      <c r="Q725" s="5">
        <v>112366951</v>
      </c>
      <c r="R725" s="5" t="s">
        <v>73</v>
      </c>
      <c r="S725" s="5" t="s">
        <v>39</v>
      </c>
      <c r="T725" s="7">
        <v>80</v>
      </c>
      <c r="U725" s="15" t="s">
        <v>71</v>
      </c>
      <c r="V725" s="41" t="s">
        <v>72</v>
      </c>
      <c r="W725" s="17">
        <v>112366951</v>
      </c>
      <c r="X725" s="16" t="s">
        <v>2510</v>
      </c>
      <c r="Y725" s="17" t="s">
        <v>2511</v>
      </c>
      <c r="Z725" s="17" t="s">
        <v>39</v>
      </c>
      <c r="AA725" s="17" t="s">
        <v>2501</v>
      </c>
      <c r="AB725" s="29">
        <v>99.72</v>
      </c>
      <c r="AC725" s="25">
        <v>99.72</v>
      </c>
      <c r="AD725" s="30">
        <f>AC725*T725</f>
        <v>7977.6</v>
      </c>
      <c r="AE725" s="25">
        <f>AB725*T725</f>
        <v>7977.6</v>
      </c>
      <c r="AF725" s="25">
        <f>AD725-AE725</f>
        <v>0</v>
      </c>
      <c r="AG725" s="26">
        <f>AF725/AD725</f>
        <v>0</v>
      </c>
      <c r="AH725" s="27" t="str">
        <f>IF(AG725&lt;0,"Negative",IF(AG725=0,"Same",IF(AG725&gt;0.3,"30+%",IF(AG725&gt;0.2,"20-30%",IF(AG725&gt;0.1,"10-20%",IF(AG725&lt;=0.1,"0-10%"))))))</f>
        <v>Same</v>
      </c>
      <c r="AI725" s="32"/>
      <c r="AJ725" s="36" t="s">
        <v>3300</v>
      </c>
      <c r="AK725" s="32"/>
    </row>
    <row r="726" spans="1:37" s="1" customFormat="1" ht="19.7" customHeight="1" x14ac:dyDescent="0.25">
      <c r="A726" s="5" t="s">
        <v>22</v>
      </c>
      <c r="B726" s="5" t="s">
        <v>1261</v>
      </c>
      <c r="C726" s="6">
        <v>44368</v>
      </c>
      <c r="D726" s="5" t="s">
        <v>24</v>
      </c>
      <c r="E726" s="5" t="s">
        <v>25</v>
      </c>
      <c r="F726" s="5" t="s">
        <v>26</v>
      </c>
      <c r="G726" s="5" t="s">
        <v>67</v>
      </c>
      <c r="H726" s="5" t="s">
        <v>68</v>
      </c>
      <c r="I726" s="5" t="s">
        <v>29</v>
      </c>
      <c r="J726" s="5" t="s">
        <v>30</v>
      </c>
      <c r="K726" s="5" t="s">
        <v>31</v>
      </c>
      <c r="L726" s="5" t="s">
        <v>32</v>
      </c>
      <c r="M726" s="5" t="s">
        <v>69</v>
      </c>
      <c r="N726" s="5" t="s">
        <v>1262</v>
      </c>
      <c r="O726" s="5" t="s">
        <v>71</v>
      </c>
      <c r="P726" s="5" t="s">
        <v>72</v>
      </c>
      <c r="Q726" s="5">
        <v>112366951</v>
      </c>
      <c r="R726" s="5" t="s">
        <v>73</v>
      </c>
      <c r="S726" s="5" t="s">
        <v>39</v>
      </c>
      <c r="T726" s="7">
        <v>80</v>
      </c>
      <c r="U726" s="15" t="s">
        <v>71</v>
      </c>
      <c r="V726" s="41" t="s">
        <v>72</v>
      </c>
      <c r="W726" s="17">
        <v>112366951</v>
      </c>
      <c r="X726" s="16" t="s">
        <v>2510</v>
      </c>
      <c r="Y726" s="17" t="s">
        <v>2511</v>
      </c>
      <c r="Z726" s="17" t="s">
        <v>39</v>
      </c>
      <c r="AA726" s="17" t="s">
        <v>2501</v>
      </c>
      <c r="AB726" s="29">
        <v>99.72</v>
      </c>
      <c r="AC726" s="25">
        <v>99.72</v>
      </c>
      <c r="AD726" s="25">
        <f>AC726*T726</f>
        <v>7977.6</v>
      </c>
      <c r="AE726" s="25">
        <f>AB726*T726</f>
        <v>7977.6</v>
      </c>
      <c r="AF726" s="25">
        <f>AD726-AE726</f>
        <v>0</v>
      </c>
      <c r="AG726" s="26">
        <f>AF726/AD726</f>
        <v>0</v>
      </c>
      <c r="AH726" s="27" t="str">
        <f>IF(AG726&lt;0,"Negative",IF(AG726=0,"Same",IF(AG726&gt;0.3,"30+%",IF(AG726&gt;0.2,"20-30%",IF(AG726&gt;0.1,"10-20%",IF(AG726&lt;=0.1,"0-10%"))))))</f>
        <v>Same</v>
      </c>
      <c r="AI726" s="32"/>
      <c r="AJ726" s="36" t="s">
        <v>3300</v>
      </c>
      <c r="AK726" s="32"/>
    </row>
    <row r="727" spans="1:37" s="1" customFormat="1" ht="19.7" customHeight="1" x14ac:dyDescent="0.25">
      <c r="A727" s="9" t="s">
        <v>22</v>
      </c>
      <c r="B727" s="9" t="s">
        <v>1673</v>
      </c>
      <c r="C727" s="10">
        <v>44435</v>
      </c>
      <c r="D727" s="9" t="s">
        <v>24</v>
      </c>
      <c r="E727" s="9" t="s">
        <v>25</v>
      </c>
      <c r="F727" s="9" t="s">
        <v>26</v>
      </c>
      <c r="G727" s="9" t="s">
        <v>67</v>
      </c>
      <c r="H727" s="9" t="s">
        <v>68</v>
      </c>
      <c r="I727" s="9" t="s">
        <v>29</v>
      </c>
      <c r="J727" s="9" t="s">
        <v>30</v>
      </c>
      <c r="K727" s="9" t="s">
        <v>31</v>
      </c>
      <c r="L727" s="9" t="s">
        <v>32</v>
      </c>
      <c r="M727" s="9" t="s">
        <v>69</v>
      </c>
      <c r="N727" s="9" t="s">
        <v>1674</v>
      </c>
      <c r="O727" s="9" t="s">
        <v>71</v>
      </c>
      <c r="P727" s="9" t="s">
        <v>72</v>
      </c>
      <c r="Q727" s="9">
        <v>112366951</v>
      </c>
      <c r="R727" s="9" t="s">
        <v>73</v>
      </c>
      <c r="S727" s="9" t="s">
        <v>39</v>
      </c>
      <c r="T727" s="11">
        <v>80</v>
      </c>
      <c r="U727" s="15" t="s">
        <v>71</v>
      </c>
      <c r="V727" s="41" t="s">
        <v>72</v>
      </c>
      <c r="W727" s="17">
        <v>112366951</v>
      </c>
      <c r="X727" s="16" t="s">
        <v>2510</v>
      </c>
      <c r="Y727" s="17" t="s">
        <v>2511</v>
      </c>
      <c r="Z727" s="17" t="s">
        <v>39</v>
      </c>
      <c r="AA727" s="17" t="s">
        <v>2501</v>
      </c>
      <c r="AB727" s="29">
        <v>99.72</v>
      </c>
      <c r="AC727" s="25">
        <v>99.72</v>
      </c>
      <c r="AD727" s="25">
        <f>AC727*T727</f>
        <v>7977.6</v>
      </c>
      <c r="AE727" s="25">
        <f>AB727*T727</f>
        <v>7977.6</v>
      </c>
      <c r="AF727" s="25">
        <f>AD727-AE727</f>
        <v>0</v>
      </c>
      <c r="AG727" s="26">
        <f>AF727/AD727</f>
        <v>0</v>
      </c>
      <c r="AH727" s="27" t="str">
        <f>IF(AG727&lt;0,"Negative",IF(AG727=0,"Same",IF(AG727&gt;0.3,"30+%",IF(AG727&gt;0.2,"20-30%",IF(AG727&gt;0.1,"10-20%",IF(AG727&lt;=0.1,"0-10%"))))))</f>
        <v>Same</v>
      </c>
      <c r="AI727" s="32"/>
      <c r="AJ727" s="36" t="s">
        <v>3300</v>
      </c>
      <c r="AK727" s="32"/>
    </row>
    <row r="728" spans="1:37" s="1" customFormat="1" ht="19.7" customHeight="1" x14ac:dyDescent="0.25">
      <c r="A728" s="5" t="s">
        <v>22</v>
      </c>
      <c r="B728" s="5" t="s">
        <v>1759</v>
      </c>
      <c r="C728" s="6">
        <v>44456</v>
      </c>
      <c r="D728" s="5" t="s">
        <v>24</v>
      </c>
      <c r="E728" s="5" t="s">
        <v>25</v>
      </c>
      <c r="F728" s="5" t="s">
        <v>26</v>
      </c>
      <c r="G728" s="5" t="s">
        <v>67</v>
      </c>
      <c r="H728" s="5" t="s">
        <v>68</v>
      </c>
      <c r="I728" s="5" t="s">
        <v>29</v>
      </c>
      <c r="J728" s="5" t="s">
        <v>30</v>
      </c>
      <c r="K728" s="5" t="s">
        <v>31</v>
      </c>
      <c r="L728" s="5" t="s">
        <v>32</v>
      </c>
      <c r="M728" s="5" t="s">
        <v>69</v>
      </c>
      <c r="N728" s="5" t="s">
        <v>1760</v>
      </c>
      <c r="O728" s="5" t="s">
        <v>71</v>
      </c>
      <c r="P728" s="5" t="s">
        <v>72</v>
      </c>
      <c r="Q728" s="5">
        <v>112366951</v>
      </c>
      <c r="R728" s="5" t="s">
        <v>73</v>
      </c>
      <c r="S728" s="5" t="s">
        <v>39</v>
      </c>
      <c r="T728" s="7">
        <v>80</v>
      </c>
      <c r="U728" s="15" t="s">
        <v>71</v>
      </c>
      <c r="V728" s="41" t="s">
        <v>72</v>
      </c>
      <c r="W728" s="17">
        <v>112366951</v>
      </c>
      <c r="X728" s="16" t="s">
        <v>2510</v>
      </c>
      <c r="Y728" s="17" t="s">
        <v>2511</v>
      </c>
      <c r="Z728" s="17" t="s">
        <v>39</v>
      </c>
      <c r="AA728" s="17" t="s">
        <v>2501</v>
      </c>
      <c r="AB728" s="29">
        <v>99.72</v>
      </c>
      <c r="AC728" s="25">
        <v>99.72</v>
      </c>
      <c r="AD728" s="25">
        <f>AC728*T728</f>
        <v>7977.6</v>
      </c>
      <c r="AE728" s="25">
        <f>AB728*T728</f>
        <v>7977.6</v>
      </c>
      <c r="AF728" s="25">
        <f>AD728-AE728</f>
        <v>0</v>
      </c>
      <c r="AG728" s="26">
        <f>AF728/AD728</f>
        <v>0</v>
      </c>
      <c r="AH728" s="27" t="str">
        <f>IF(AG728&lt;0,"Negative",IF(AG728=0,"Same",IF(AG728&gt;0.3,"30+%",IF(AG728&gt;0.2,"20-30%",IF(AG728&gt;0.1,"10-20%",IF(AG728&lt;=0.1,"0-10%"))))))</f>
        <v>Same</v>
      </c>
      <c r="AI728" s="32"/>
      <c r="AJ728" s="36" t="s">
        <v>3300</v>
      </c>
      <c r="AK728" s="32"/>
    </row>
    <row r="729" spans="1:37" s="1" customFormat="1" ht="19.7" customHeight="1" x14ac:dyDescent="0.25">
      <c r="A729" s="5" t="s">
        <v>22</v>
      </c>
      <c r="B729" s="5" t="s">
        <v>1390</v>
      </c>
      <c r="C729" s="6">
        <v>44389</v>
      </c>
      <c r="D729" s="5" t="s">
        <v>24</v>
      </c>
      <c r="E729" s="5" t="s">
        <v>25</v>
      </c>
      <c r="F729" s="5" t="s">
        <v>26</v>
      </c>
      <c r="G729" s="5" t="s">
        <v>67</v>
      </c>
      <c r="H729" s="5" t="s">
        <v>68</v>
      </c>
      <c r="I729" s="5" t="s">
        <v>29</v>
      </c>
      <c r="J729" s="5" t="s">
        <v>30</v>
      </c>
      <c r="K729" s="5" t="s">
        <v>31</v>
      </c>
      <c r="L729" s="5" t="s">
        <v>32</v>
      </c>
      <c r="M729" s="5" t="s">
        <v>69</v>
      </c>
      <c r="N729" s="5" t="s">
        <v>1391</v>
      </c>
      <c r="O729" s="5" t="s">
        <v>71</v>
      </c>
      <c r="P729" s="5" t="s">
        <v>72</v>
      </c>
      <c r="Q729" s="5">
        <v>112366951</v>
      </c>
      <c r="R729" s="5" t="s">
        <v>73</v>
      </c>
      <c r="S729" s="5" t="s">
        <v>39</v>
      </c>
      <c r="T729" s="7">
        <v>80</v>
      </c>
      <c r="U729" s="15" t="s">
        <v>71</v>
      </c>
      <c r="V729" s="41" t="s">
        <v>72</v>
      </c>
      <c r="W729" s="17">
        <v>112366951</v>
      </c>
      <c r="X729" s="16" t="s">
        <v>2510</v>
      </c>
      <c r="Y729" s="17" t="s">
        <v>2511</v>
      </c>
      <c r="Z729" s="17" t="s">
        <v>39</v>
      </c>
      <c r="AA729" s="17" t="s">
        <v>2501</v>
      </c>
      <c r="AB729" s="29">
        <v>99.72</v>
      </c>
      <c r="AC729" s="25">
        <v>99.72</v>
      </c>
      <c r="AD729" s="25">
        <f>AC729*T729</f>
        <v>7977.6</v>
      </c>
      <c r="AE729" s="25">
        <f>AB729*T729</f>
        <v>7977.6</v>
      </c>
      <c r="AF729" s="25">
        <f>AD729-AE729</f>
        <v>0</v>
      </c>
      <c r="AG729" s="26">
        <f>AF729/AD729</f>
        <v>0</v>
      </c>
      <c r="AH729" s="27" t="str">
        <f>IF(AG729&lt;0,"Negative",IF(AG729=0,"Same",IF(AG729&gt;0.3,"30+%",IF(AG729&gt;0.2,"20-30%",IF(AG729&gt;0.1,"10-20%",IF(AG729&lt;=0.1,"0-10%"))))))</f>
        <v>Same</v>
      </c>
      <c r="AI729" s="32"/>
      <c r="AJ729" s="36" t="s">
        <v>3300</v>
      </c>
      <c r="AK729" s="32"/>
    </row>
    <row r="730" spans="1:37" s="1" customFormat="1" ht="19.7" customHeight="1" x14ac:dyDescent="0.25">
      <c r="A730" s="5" t="s">
        <v>22</v>
      </c>
      <c r="B730" s="5" t="s">
        <v>1864</v>
      </c>
      <c r="C730" s="6">
        <v>44473</v>
      </c>
      <c r="D730" s="5" t="s">
        <v>24</v>
      </c>
      <c r="E730" s="5" t="s">
        <v>25</v>
      </c>
      <c r="F730" s="5" t="s">
        <v>26</v>
      </c>
      <c r="G730" s="5" t="s">
        <v>67</v>
      </c>
      <c r="H730" s="5" t="s">
        <v>68</v>
      </c>
      <c r="I730" s="5" t="s">
        <v>29</v>
      </c>
      <c r="J730" s="5" t="s">
        <v>30</v>
      </c>
      <c r="K730" s="5" t="s">
        <v>31</v>
      </c>
      <c r="L730" s="5" t="s">
        <v>32</v>
      </c>
      <c r="M730" s="5" t="s">
        <v>69</v>
      </c>
      <c r="N730" s="5" t="s">
        <v>1865</v>
      </c>
      <c r="O730" s="5" t="s">
        <v>71</v>
      </c>
      <c r="P730" s="5" t="s">
        <v>72</v>
      </c>
      <c r="Q730" s="5">
        <v>112366951</v>
      </c>
      <c r="R730" s="5" t="s">
        <v>73</v>
      </c>
      <c r="S730" s="5" t="s">
        <v>39</v>
      </c>
      <c r="T730" s="7">
        <v>80</v>
      </c>
      <c r="U730" s="15" t="s">
        <v>71</v>
      </c>
      <c r="V730" s="41" t="s">
        <v>72</v>
      </c>
      <c r="W730" s="17">
        <v>112366951</v>
      </c>
      <c r="X730" s="16" t="s">
        <v>2510</v>
      </c>
      <c r="Y730" s="17" t="s">
        <v>2511</v>
      </c>
      <c r="Z730" s="17" t="s">
        <v>39</v>
      </c>
      <c r="AA730" s="17" t="s">
        <v>2501</v>
      </c>
      <c r="AB730" s="29">
        <v>99.72</v>
      </c>
      <c r="AC730" s="25">
        <v>99.72</v>
      </c>
      <c r="AD730" s="25">
        <f>AC730*T730</f>
        <v>7977.6</v>
      </c>
      <c r="AE730" s="25">
        <f>AB730*T730</f>
        <v>7977.6</v>
      </c>
      <c r="AF730" s="25">
        <f>AD730-AE730</f>
        <v>0</v>
      </c>
      <c r="AG730" s="26">
        <f>AF730/AD730</f>
        <v>0</v>
      </c>
      <c r="AH730" s="27" t="str">
        <f>IF(AG730&lt;0,"Negative",IF(AG730=0,"Same",IF(AG730&gt;0.3,"30+%",IF(AG730&gt;0.2,"20-30%",IF(AG730&gt;0.1,"10-20%",IF(AG730&lt;=0.1,"0-10%"))))))</f>
        <v>Same</v>
      </c>
      <c r="AI730" s="32"/>
      <c r="AJ730" s="36" t="s">
        <v>3300</v>
      </c>
      <c r="AK730" s="32"/>
    </row>
    <row r="731" spans="1:37" s="1" customFormat="1" ht="19.7" customHeight="1" x14ac:dyDescent="0.25">
      <c r="A731" s="5" t="s">
        <v>22</v>
      </c>
      <c r="B731" s="5" t="s">
        <v>2019</v>
      </c>
      <c r="C731" s="6">
        <v>44498</v>
      </c>
      <c r="D731" s="5" t="s">
        <v>24</v>
      </c>
      <c r="E731" s="5" t="s">
        <v>25</v>
      </c>
      <c r="F731" s="5" t="s">
        <v>26</v>
      </c>
      <c r="G731" s="5" t="s">
        <v>67</v>
      </c>
      <c r="H731" s="5" t="s">
        <v>68</v>
      </c>
      <c r="I731" s="5" t="s">
        <v>29</v>
      </c>
      <c r="J731" s="5" t="s">
        <v>30</v>
      </c>
      <c r="K731" s="5" t="s">
        <v>31</v>
      </c>
      <c r="L731" s="5" t="s">
        <v>32</v>
      </c>
      <c r="M731" s="5" t="s">
        <v>69</v>
      </c>
      <c r="N731" s="5" t="s">
        <v>2020</v>
      </c>
      <c r="O731" s="5" t="s">
        <v>71</v>
      </c>
      <c r="P731" s="5" t="s">
        <v>72</v>
      </c>
      <c r="Q731" s="5">
        <v>112366951</v>
      </c>
      <c r="R731" s="5" t="s">
        <v>73</v>
      </c>
      <c r="S731" s="5" t="s">
        <v>39</v>
      </c>
      <c r="T731" s="7">
        <v>80</v>
      </c>
      <c r="U731" s="15" t="s">
        <v>71</v>
      </c>
      <c r="V731" s="41" t="s">
        <v>72</v>
      </c>
      <c r="W731" s="17">
        <v>112366951</v>
      </c>
      <c r="X731" s="16" t="s">
        <v>2510</v>
      </c>
      <c r="Y731" s="17" t="s">
        <v>2511</v>
      </c>
      <c r="Z731" s="17" t="s">
        <v>39</v>
      </c>
      <c r="AA731" s="17" t="s">
        <v>2501</v>
      </c>
      <c r="AB731" s="29">
        <v>99.72</v>
      </c>
      <c r="AC731" s="25">
        <v>99.72</v>
      </c>
      <c r="AD731" s="25">
        <f>AC731*T731</f>
        <v>7977.6</v>
      </c>
      <c r="AE731" s="25">
        <f>AB731*T731</f>
        <v>7977.6</v>
      </c>
      <c r="AF731" s="25">
        <f>AD731-AE731</f>
        <v>0</v>
      </c>
      <c r="AG731" s="26">
        <f>AF731/AD731</f>
        <v>0</v>
      </c>
      <c r="AH731" s="27" t="str">
        <f>IF(AG731&lt;0,"Negative",IF(AG731=0,"Same",IF(AG731&gt;0.3,"30+%",IF(AG731&gt;0.2,"20-30%",IF(AG731&gt;0.1,"10-20%",IF(AG731&lt;=0.1,"0-10%"))))))</f>
        <v>Same</v>
      </c>
      <c r="AI731" s="32"/>
      <c r="AJ731" s="36" t="s">
        <v>3300</v>
      </c>
      <c r="AK731" s="32"/>
    </row>
    <row r="732" spans="1:37" s="1" customFormat="1" ht="19.7" customHeight="1" x14ac:dyDescent="0.25">
      <c r="A732" s="9" t="s">
        <v>22</v>
      </c>
      <c r="B732" s="9" t="s">
        <v>1591</v>
      </c>
      <c r="C732" s="10">
        <v>44421</v>
      </c>
      <c r="D732" s="9" t="s">
        <v>24</v>
      </c>
      <c r="E732" s="9" t="s">
        <v>25</v>
      </c>
      <c r="F732" s="9" t="s">
        <v>26</v>
      </c>
      <c r="G732" s="9" t="s">
        <v>67</v>
      </c>
      <c r="H732" s="9" t="s">
        <v>68</v>
      </c>
      <c r="I732" s="9" t="s">
        <v>29</v>
      </c>
      <c r="J732" s="9" t="s">
        <v>30</v>
      </c>
      <c r="K732" s="9" t="s">
        <v>31</v>
      </c>
      <c r="L732" s="9" t="s">
        <v>32</v>
      </c>
      <c r="M732" s="9" t="s">
        <v>69</v>
      </c>
      <c r="N732" s="9" t="s">
        <v>1592</v>
      </c>
      <c r="O732" s="9" t="s">
        <v>71</v>
      </c>
      <c r="P732" s="9" t="s">
        <v>72</v>
      </c>
      <c r="Q732" s="9">
        <v>112366951</v>
      </c>
      <c r="R732" s="9" t="s">
        <v>73</v>
      </c>
      <c r="S732" s="9" t="s">
        <v>39</v>
      </c>
      <c r="T732" s="11">
        <v>96</v>
      </c>
      <c r="U732" s="15" t="s">
        <v>71</v>
      </c>
      <c r="V732" s="41" t="s">
        <v>72</v>
      </c>
      <c r="W732" s="17">
        <v>112366951</v>
      </c>
      <c r="X732" s="16" t="s">
        <v>2510</v>
      </c>
      <c r="Y732" s="17" t="s">
        <v>2511</v>
      </c>
      <c r="Z732" s="17" t="s">
        <v>39</v>
      </c>
      <c r="AA732" s="17" t="s">
        <v>2501</v>
      </c>
      <c r="AB732" s="29">
        <v>99.72</v>
      </c>
      <c r="AC732" s="25">
        <v>99.72</v>
      </c>
      <c r="AD732" s="25">
        <f>AC732*T732</f>
        <v>9573.119999999999</v>
      </c>
      <c r="AE732" s="25">
        <f>AB732*T732</f>
        <v>9573.119999999999</v>
      </c>
      <c r="AF732" s="25">
        <f>AD732-AE732</f>
        <v>0</v>
      </c>
      <c r="AG732" s="26">
        <f>AF732/AD732</f>
        <v>0</v>
      </c>
      <c r="AH732" s="27" t="str">
        <f>IF(AG732&lt;0,"Negative",IF(AG732=0,"Same",IF(AG732&gt;0.3,"30+%",IF(AG732&gt;0.2,"20-30%",IF(AG732&gt;0.1,"10-20%",IF(AG732&lt;=0.1,"0-10%"))))))</f>
        <v>Same</v>
      </c>
      <c r="AI732" s="32"/>
      <c r="AJ732" s="36" t="s">
        <v>3300</v>
      </c>
      <c r="AK732" s="32"/>
    </row>
    <row r="733" spans="1:37" s="1" customFormat="1" ht="19.7" customHeight="1" x14ac:dyDescent="0.25">
      <c r="A733" s="5" t="s">
        <v>22</v>
      </c>
      <c r="B733" s="5" t="s">
        <v>1473</v>
      </c>
      <c r="C733" s="6">
        <v>44403</v>
      </c>
      <c r="D733" s="5" t="s">
        <v>24</v>
      </c>
      <c r="E733" s="5" t="s">
        <v>25</v>
      </c>
      <c r="F733" s="5" t="s">
        <v>26</v>
      </c>
      <c r="G733" s="5" t="s">
        <v>67</v>
      </c>
      <c r="H733" s="5" t="s">
        <v>68</v>
      </c>
      <c r="I733" s="5" t="s">
        <v>29</v>
      </c>
      <c r="J733" s="5" t="s">
        <v>30</v>
      </c>
      <c r="K733" s="5" t="s">
        <v>31</v>
      </c>
      <c r="L733" s="5" t="s">
        <v>32</v>
      </c>
      <c r="M733" s="5" t="s">
        <v>69</v>
      </c>
      <c r="N733" s="5" t="s">
        <v>1474</v>
      </c>
      <c r="O733" s="5" t="s">
        <v>71</v>
      </c>
      <c r="P733" s="5" t="s">
        <v>72</v>
      </c>
      <c r="Q733" s="5">
        <v>112366951</v>
      </c>
      <c r="R733" s="5" t="s">
        <v>73</v>
      </c>
      <c r="S733" s="5" t="s">
        <v>39</v>
      </c>
      <c r="T733" s="7">
        <v>128</v>
      </c>
      <c r="U733" s="15" t="s">
        <v>71</v>
      </c>
      <c r="V733" s="41" t="s">
        <v>72</v>
      </c>
      <c r="W733" s="17">
        <v>112366951</v>
      </c>
      <c r="X733" s="16" t="s">
        <v>2510</v>
      </c>
      <c r="Y733" s="17" t="s">
        <v>2511</v>
      </c>
      <c r="Z733" s="17" t="s">
        <v>39</v>
      </c>
      <c r="AA733" s="17" t="s">
        <v>2501</v>
      </c>
      <c r="AB733" s="29">
        <v>99.72</v>
      </c>
      <c r="AC733" s="25">
        <v>99.72</v>
      </c>
      <c r="AD733" s="25">
        <f>AC733*T733</f>
        <v>12764.16</v>
      </c>
      <c r="AE733" s="25">
        <f>AB733*T733</f>
        <v>12764.16</v>
      </c>
      <c r="AF733" s="25">
        <f>AD733-AE733</f>
        <v>0</v>
      </c>
      <c r="AG733" s="26">
        <f>AF733/AD733</f>
        <v>0</v>
      </c>
      <c r="AH733" s="27" t="str">
        <f>IF(AG733&lt;0,"Negative",IF(AG733=0,"Same",IF(AG733&gt;0.3,"30+%",IF(AG733&gt;0.2,"20-30%",IF(AG733&gt;0.1,"10-20%",IF(AG733&lt;=0.1,"0-10%"))))))</f>
        <v>Same</v>
      </c>
      <c r="AI733" s="32"/>
      <c r="AJ733" s="36" t="s">
        <v>3300</v>
      </c>
      <c r="AK733" s="32"/>
    </row>
    <row r="734" spans="1:37" s="1" customFormat="1" ht="19.7" customHeight="1" x14ac:dyDescent="0.25">
      <c r="A734" s="5" t="s">
        <v>22</v>
      </c>
      <c r="B734" s="5" t="s">
        <v>1126</v>
      </c>
      <c r="C734" s="6">
        <v>44343</v>
      </c>
      <c r="D734" s="5" t="s">
        <v>24</v>
      </c>
      <c r="E734" s="5" t="s">
        <v>25</v>
      </c>
      <c r="F734" s="5" t="s">
        <v>26</v>
      </c>
      <c r="G734" s="5" t="s">
        <v>27</v>
      </c>
      <c r="H734" s="5" t="s">
        <v>28</v>
      </c>
      <c r="I734" s="5" t="s">
        <v>29</v>
      </c>
      <c r="J734" s="5" t="s">
        <v>30</v>
      </c>
      <c r="K734" s="5" t="s">
        <v>31</v>
      </c>
      <c r="L734" s="5" t="s">
        <v>32</v>
      </c>
      <c r="M734" s="5" t="s">
        <v>1132</v>
      </c>
      <c r="N734" s="5" t="s">
        <v>1128</v>
      </c>
      <c r="O734" s="5" t="s">
        <v>1074</v>
      </c>
      <c r="P734" s="5" t="s">
        <v>1133</v>
      </c>
      <c r="Q734" s="5">
        <v>100848688</v>
      </c>
      <c r="R734" s="5" t="s">
        <v>73</v>
      </c>
      <c r="S734" s="5" t="s">
        <v>39</v>
      </c>
      <c r="T734" s="7">
        <v>1</v>
      </c>
      <c r="U734" s="15" t="s">
        <v>1074</v>
      </c>
      <c r="V734" s="16" t="s">
        <v>1133</v>
      </c>
      <c r="W734" s="17">
        <v>100848688</v>
      </c>
      <c r="X734" s="16" t="s">
        <v>2916</v>
      </c>
      <c r="Y734" s="17" t="s">
        <v>2935</v>
      </c>
      <c r="Z734" s="17" t="s">
        <v>39</v>
      </c>
      <c r="AA734" s="17" t="s">
        <v>37</v>
      </c>
      <c r="AB734" s="29">
        <v>32.85</v>
      </c>
      <c r="AC734" s="25">
        <v>31.5</v>
      </c>
      <c r="AD734" s="25">
        <f>AC734*T734</f>
        <v>31.5</v>
      </c>
      <c r="AE734" s="25">
        <f>AB734*T734</f>
        <v>32.85</v>
      </c>
      <c r="AF734" s="25">
        <f>AD734-AE734</f>
        <v>-1.3500000000000014</v>
      </c>
      <c r="AG734" s="26">
        <f>AF734/AD734</f>
        <v>-4.2857142857142899E-2</v>
      </c>
      <c r="AH734" s="27" t="str">
        <f>IF(AG734&lt;0,"Negative",IF(AG734=0,"Same",IF(AG734&gt;0.3,"30+%",IF(AG734&gt;0.2,"20-30%",IF(AG734&gt;0.1,"10-20%",IF(AG734&lt;=0.1,"0-10%"))))))</f>
        <v>Negative</v>
      </c>
      <c r="AI734" s="32"/>
      <c r="AJ734" s="36" t="s">
        <v>3299</v>
      </c>
      <c r="AK734" s="32"/>
    </row>
    <row r="735" spans="1:37" s="1" customFormat="1" ht="19.7" customHeight="1" x14ac:dyDescent="0.25">
      <c r="A735" s="9" t="s">
        <v>22</v>
      </c>
      <c r="B735" s="9" t="s">
        <v>1126</v>
      </c>
      <c r="C735" s="10">
        <v>44343</v>
      </c>
      <c r="D735" s="9" t="s">
        <v>24</v>
      </c>
      <c r="E735" s="9" t="s">
        <v>25</v>
      </c>
      <c r="F735" s="9" t="s">
        <v>26</v>
      </c>
      <c r="G735" s="9" t="s">
        <v>27</v>
      </c>
      <c r="H735" s="9" t="s">
        <v>28</v>
      </c>
      <c r="I735" s="9" t="s">
        <v>29</v>
      </c>
      <c r="J735" s="9" t="s">
        <v>30</v>
      </c>
      <c r="K735" s="9" t="s">
        <v>31</v>
      </c>
      <c r="L735" s="9" t="s">
        <v>32</v>
      </c>
      <c r="M735" s="9" t="s">
        <v>1134</v>
      </c>
      <c r="N735" s="9" t="s">
        <v>1128</v>
      </c>
      <c r="O735" s="9" t="s">
        <v>1074</v>
      </c>
      <c r="P735" s="9" t="s">
        <v>1135</v>
      </c>
      <c r="Q735" s="9">
        <v>100848689</v>
      </c>
      <c r="R735" s="9" t="s">
        <v>73</v>
      </c>
      <c r="S735" s="9" t="s">
        <v>39</v>
      </c>
      <c r="T735" s="11">
        <v>1</v>
      </c>
      <c r="U735" s="15" t="s">
        <v>1074</v>
      </c>
      <c r="V735" s="16" t="s">
        <v>1135</v>
      </c>
      <c r="W735" s="17">
        <v>100848689</v>
      </c>
      <c r="X735" s="16" t="s">
        <v>2916</v>
      </c>
      <c r="Y735" s="17" t="s">
        <v>2936</v>
      </c>
      <c r="Z735" s="17" t="s">
        <v>39</v>
      </c>
      <c r="AA735" s="17" t="s">
        <v>37</v>
      </c>
      <c r="AB735" s="29">
        <v>32.85</v>
      </c>
      <c r="AC735" s="25">
        <v>31.5</v>
      </c>
      <c r="AD735" s="25">
        <f>AC735*T735</f>
        <v>31.5</v>
      </c>
      <c r="AE735" s="25">
        <f>AB735*T735</f>
        <v>32.85</v>
      </c>
      <c r="AF735" s="25">
        <f>AD735-AE735</f>
        <v>-1.3500000000000014</v>
      </c>
      <c r="AG735" s="26">
        <f>AF735/AD735</f>
        <v>-4.2857142857142899E-2</v>
      </c>
      <c r="AH735" s="27" t="str">
        <f>IF(AG735&lt;0,"Negative",IF(AG735=0,"Same",IF(AG735&gt;0.3,"30+%",IF(AG735&gt;0.2,"20-30%",IF(AG735&gt;0.1,"10-20%",IF(AG735&lt;=0.1,"0-10%"))))))</f>
        <v>Negative</v>
      </c>
      <c r="AI735" s="32"/>
      <c r="AJ735" s="36" t="s">
        <v>3300</v>
      </c>
      <c r="AK735" s="32"/>
    </row>
    <row r="736" spans="1:37" s="1" customFormat="1" ht="19.7" customHeight="1" x14ac:dyDescent="0.25">
      <c r="A736" s="5" t="s">
        <v>22</v>
      </c>
      <c r="B736" s="5" t="s">
        <v>2023</v>
      </c>
      <c r="C736" s="6">
        <v>44498</v>
      </c>
      <c r="D736" s="5" t="s">
        <v>24</v>
      </c>
      <c r="E736" s="5" t="s">
        <v>25</v>
      </c>
      <c r="F736" s="5" t="s">
        <v>26</v>
      </c>
      <c r="G736" s="5" t="s">
        <v>67</v>
      </c>
      <c r="H736" s="5" t="s">
        <v>68</v>
      </c>
      <c r="I736" s="5" t="s">
        <v>29</v>
      </c>
      <c r="J736" s="5" t="s">
        <v>30</v>
      </c>
      <c r="K736" s="5" t="s">
        <v>31</v>
      </c>
      <c r="L736" s="5" t="s">
        <v>32</v>
      </c>
      <c r="M736" s="5" t="s">
        <v>111</v>
      </c>
      <c r="N736" s="5" t="s">
        <v>2024</v>
      </c>
      <c r="O736" s="5" t="s">
        <v>109</v>
      </c>
      <c r="P736" s="5" t="s">
        <v>112</v>
      </c>
      <c r="Q736" s="5">
        <v>100722410</v>
      </c>
      <c r="R736" s="5" t="s">
        <v>61</v>
      </c>
      <c r="S736" s="5" t="s">
        <v>39</v>
      </c>
      <c r="T736" s="7">
        <v>2</v>
      </c>
      <c r="U736" s="15" t="s">
        <v>109</v>
      </c>
      <c r="V736" s="16" t="s">
        <v>112</v>
      </c>
      <c r="W736" s="17">
        <v>100722410</v>
      </c>
      <c r="X736" s="16" t="s">
        <v>2526</v>
      </c>
      <c r="Y736" s="17" t="s">
        <v>2528</v>
      </c>
      <c r="Z736" s="17" t="s">
        <v>39</v>
      </c>
      <c r="AA736" s="17" t="s">
        <v>37</v>
      </c>
      <c r="AB736" s="43">
        <v>35.880000000000003</v>
      </c>
      <c r="AC736" s="25">
        <v>37.56</v>
      </c>
      <c r="AD736" s="25">
        <f>AC736*T736</f>
        <v>75.12</v>
      </c>
      <c r="AE736" s="25">
        <f>AB736*T736</f>
        <v>71.760000000000005</v>
      </c>
      <c r="AF736" s="25">
        <f>AD736-AE736</f>
        <v>3.3599999999999994</v>
      </c>
      <c r="AG736" s="26">
        <f>AF736/AD736</f>
        <v>4.4728434504792323E-2</v>
      </c>
      <c r="AH736" s="27" t="str">
        <f>IF(AG736&lt;0,"Negative",IF(AG736=0,"Same",IF(AG736&gt;0.3,"30+%",IF(AG736&gt;0.2,"20-30%",IF(AG736&gt;0.1,"10-20%",IF(AG736&lt;=0.1,"0-10%"))))))</f>
        <v>0-10%</v>
      </c>
      <c r="AI736" s="32"/>
      <c r="AJ736" s="36" t="s">
        <v>3300</v>
      </c>
      <c r="AK736" s="32"/>
    </row>
    <row r="737" spans="1:37" s="1" customFormat="1" ht="19.7" customHeight="1" x14ac:dyDescent="0.25">
      <c r="A737" s="9" t="s">
        <v>22</v>
      </c>
      <c r="B737" s="9" t="s">
        <v>1743</v>
      </c>
      <c r="C737" s="10">
        <v>44452</v>
      </c>
      <c r="D737" s="9" t="s">
        <v>24</v>
      </c>
      <c r="E737" s="9" t="s">
        <v>25</v>
      </c>
      <c r="F737" s="9" t="s">
        <v>26</v>
      </c>
      <c r="G737" s="9" t="s">
        <v>67</v>
      </c>
      <c r="H737" s="9" t="s">
        <v>68</v>
      </c>
      <c r="I737" s="9" t="s">
        <v>29</v>
      </c>
      <c r="J737" s="9" t="s">
        <v>30</v>
      </c>
      <c r="K737" s="9" t="s">
        <v>31</v>
      </c>
      <c r="L737" s="9" t="s">
        <v>32</v>
      </c>
      <c r="M737" s="9" t="s">
        <v>111</v>
      </c>
      <c r="N737" s="9" t="s">
        <v>1744</v>
      </c>
      <c r="O737" s="9" t="s">
        <v>109</v>
      </c>
      <c r="P737" s="9" t="s">
        <v>112</v>
      </c>
      <c r="Q737" s="9">
        <v>100722410</v>
      </c>
      <c r="R737" s="9" t="s">
        <v>61</v>
      </c>
      <c r="S737" s="9" t="s">
        <v>39</v>
      </c>
      <c r="T737" s="11">
        <v>2</v>
      </c>
      <c r="U737" s="15" t="s">
        <v>109</v>
      </c>
      <c r="V737" s="16" t="s">
        <v>112</v>
      </c>
      <c r="W737" s="17">
        <v>100722410</v>
      </c>
      <c r="X737" s="16" t="s">
        <v>2526</v>
      </c>
      <c r="Y737" s="17" t="s">
        <v>2528</v>
      </c>
      <c r="Z737" s="17" t="s">
        <v>39</v>
      </c>
      <c r="AA737" s="17" t="s">
        <v>37</v>
      </c>
      <c r="AB737" s="43">
        <v>35.880000000000003</v>
      </c>
      <c r="AC737" s="25">
        <v>37.56</v>
      </c>
      <c r="AD737" s="25">
        <f>AC737*T737</f>
        <v>75.12</v>
      </c>
      <c r="AE737" s="25">
        <f>AB737*T737</f>
        <v>71.760000000000005</v>
      </c>
      <c r="AF737" s="25">
        <f>AD737-AE737</f>
        <v>3.3599999999999994</v>
      </c>
      <c r="AG737" s="26">
        <f>AF737/AD737</f>
        <v>4.4728434504792323E-2</v>
      </c>
      <c r="AH737" s="27" t="str">
        <f>IF(AG737&lt;0,"Negative",IF(AG737=0,"Same",IF(AG737&gt;0.3,"30+%",IF(AG737&gt;0.2,"20-30%",IF(AG737&gt;0.1,"10-20%",IF(AG737&lt;=0.1,"0-10%"))))))</f>
        <v>0-10%</v>
      </c>
      <c r="AI737" s="32"/>
      <c r="AJ737" s="36" t="s">
        <v>3300</v>
      </c>
      <c r="AK737" s="32"/>
    </row>
    <row r="738" spans="1:37" s="1" customFormat="1" ht="19.7" customHeight="1" x14ac:dyDescent="0.25">
      <c r="A738" s="5" t="s">
        <v>22</v>
      </c>
      <c r="B738" s="5" t="s">
        <v>1745</v>
      </c>
      <c r="C738" s="6">
        <v>44452</v>
      </c>
      <c r="D738" s="5" t="s">
        <v>24</v>
      </c>
      <c r="E738" s="5" t="s">
        <v>25</v>
      </c>
      <c r="F738" s="5" t="s">
        <v>26</v>
      </c>
      <c r="G738" s="5" t="s">
        <v>67</v>
      </c>
      <c r="H738" s="5" t="s">
        <v>68</v>
      </c>
      <c r="I738" s="5" t="s">
        <v>29</v>
      </c>
      <c r="J738" s="5" t="s">
        <v>30</v>
      </c>
      <c r="K738" s="5" t="s">
        <v>31</v>
      </c>
      <c r="L738" s="5" t="s">
        <v>32</v>
      </c>
      <c r="M738" s="5" t="s">
        <v>111</v>
      </c>
      <c r="N738" s="5" t="s">
        <v>1746</v>
      </c>
      <c r="O738" s="5" t="s">
        <v>109</v>
      </c>
      <c r="P738" s="5" t="s">
        <v>112</v>
      </c>
      <c r="Q738" s="5">
        <v>100722410</v>
      </c>
      <c r="R738" s="5" t="s">
        <v>61</v>
      </c>
      <c r="S738" s="5" t="s">
        <v>39</v>
      </c>
      <c r="T738" s="7">
        <v>2</v>
      </c>
      <c r="U738" s="15" t="s">
        <v>109</v>
      </c>
      <c r="V738" s="16" t="s">
        <v>112</v>
      </c>
      <c r="W738" s="17">
        <v>100722410</v>
      </c>
      <c r="X738" s="16" t="s">
        <v>2526</v>
      </c>
      <c r="Y738" s="17" t="s">
        <v>2528</v>
      </c>
      <c r="Z738" s="17" t="s">
        <v>39</v>
      </c>
      <c r="AA738" s="17" t="s">
        <v>37</v>
      </c>
      <c r="AB738" s="43">
        <v>35.880000000000003</v>
      </c>
      <c r="AC738" s="25">
        <v>37.56</v>
      </c>
      <c r="AD738" s="25">
        <f>AC738*T738</f>
        <v>75.12</v>
      </c>
      <c r="AE738" s="25">
        <f>AB738*T738</f>
        <v>71.760000000000005</v>
      </c>
      <c r="AF738" s="25">
        <f>AD738-AE738</f>
        <v>3.3599999999999994</v>
      </c>
      <c r="AG738" s="26">
        <f>AF738/AD738</f>
        <v>4.4728434504792323E-2</v>
      </c>
      <c r="AH738" s="27" t="str">
        <f>IF(AG738&lt;0,"Negative",IF(AG738=0,"Same",IF(AG738&gt;0.3,"30+%",IF(AG738&gt;0.2,"20-30%",IF(AG738&gt;0.1,"10-20%",IF(AG738&lt;=0.1,"0-10%"))))))</f>
        <v>0-10%</v>
      </c>
      <c r="AI738" s="32"/>
      <c r="AJ738" s="36" t="s">
        <v>3300</v>
      </c>
      <c r="AK738" s="32"/>
    </row>
    <row r="739" spans="1:37" s="1" customFormat="1" ht="19.7" customHeight="1" x14ac:dyDescent="0.25">
      <c r="A739" s="5" t="s">
        <v>22</v>
      </c>
      <c r="B739" s="5" t="s">
        <v>1537</v>
      </c>
      <c r="C739" s="6">
        <v>44407</v>
      </c>
      <c r="D739" s="5" t="s">
        <v>24</v>
      </c>
      <c r="E739" s="5" t="s">
        <v>25</v>
      </c>
      <c r="F739" s="5" t="s">
        <v>26</v>
      </c>
      <c r="G739" s="5" t="s">
        <v>67</v>
      </c>
      <c r="H739" s="5" t="s">
        <v>68</v>
      </c>
      <c r="I739" s="5" t="s">
        <v>29</v>
      </c>
      <c r="J739" s="5" t="s">
        <v>30</v>
      </c>
      <c r="K739" s="5" t="s">
        <v>31</v>
      </c>
      <c r="L739" s="5" t="s">
        <v>32</v>
      </c>
      <c r="M739" s="5" t="s">
        <v>111</v>
      </c>
      <c r="N739" s="5" t="s">
        <v>1538</v>
      </c>
      <c r="O739" s="5" t="s">
        <v>109</v>
      </c>
      <c r="P739" s="5" t="s">
        <v>112</v>
      </c>
      <c r="Q739" s="5">
        <v>100722410</v>
      </c>
      <c r="R739" s="5" t="s">
        <v>61</v>
      </c>
      <c r="S739" s="5" t="s">
        <v>39</v>
      </c>
      <c r="T739" s="7">
        <v>2</v>
      </c>
      <c r="U739" s="15" t="s">
        <v>109</v>
      </c>
      <c r="V739" s="16" t="s">
        <v>112</v>
      </c>
      <c r="W739" s="17">
        <v>100722410</v>
      </c>
      <c r="X739" s="16" t="s">
        <v>2526</v>
      </c>
      <c r="Y739" s="17" t="s">
        <v>2528</v>
      </c>
      <c r="Z739" s="17" t="s">
        <v>39</v>
      </c>
      <c r="AA739" s="17" t="s">
        <v>37</v>
      </c>
      <c r="AB739" s="43">
        <v>35.880000000000003</v>
      </c>
      <c r="AC739" s="25">
        <v>37.56</v>
      </c>
      <c r="AD739" s="25">
        <f>AC739*T739</f>
        <v>75.12</v>
      </c>
      <c r="AE739" s="25">
        <f>AB739*T739</f>
        <v>71.760000000000005</v>
      </c>
      <c r="AF739" s="25">
        <f>AD739-AE739</f>
        <v>3.3599999999999994</v>
      </c>
      <c r="AG739" s="26">
        <f>AF739/AD739</f>
        <v>4.4728434504792323E-2</v>
      </c>
      <c r="AH739" s="27" t="str">
        <f>IF(AG739&lt;0,"Negative",IF(AG739=0,"Same",IF(AG739&gt;0.3,"30+%",IF(AG739&gt;0.2,"20-30%",IF(AG739&gt;0.1,"10-20%",IF(AG739&lt;=0.1,"0-10%"))))))</f>
        <v>0-10%</v>
      </c>
      <c r="AI739" s="32"/>
      <c r="AJ739" s="36" t="s">
        <v>3300</v>
      </c>
      <c r="AK739" s="32"/>
    </row>
    <row r="740" spans="1:37" s="1" customFormat="1" ht="19.7" customHeight="1" x14ac:dyDescent="0.25">
      <c r="A740" s="5" t="s">
        <v>22</v>
      </c>
      <c r="B740" s="5" t="s">
        <v>1392</v>
      </c>
      <c r="C740" s="6">
        <v>44389</v>
      </c>
      <c r="D740" s="5" t="s">
        <v>24</v>
      </c>
      <c r="E740" s="5" t="s">
        <v>25</v>
      </c>
      <c r="F740" s="5" t="s">
        <v>26</v>
      </c>
      <c r="G740" s="5" t="s">
        <v>67</v>
      </c>
      <c r="H740" s="5" t="s">
        <v>68</v>
      </c>
      <c r="I740" s="5" t="s">
        <v>29</v>
      </c>
      <c r="J740" s="5" t="s">
        <v>30</v>
      </c>
      <c r="K740" s="5" t="s">
        <v>31</v>
      </c>
      <c r="L740" s="5" t="s">
        <v>32</v>
      </c>
      <c r="M740" s="5" t="s">
        <v>111</v>
      </c>
      <c r="N740" s="5" t="s">
        <v>1393</v>
      </c>
      <c r="O740" s="5" t="s">
        <v>109</v>
      </c>
      <c r="P740" s="5" t="s">
        <v>112</v>
      </c>
      <c r="Q740" s="5">
        <v>100722410</v>
      </c>
      <c r="R740" s="5" t="s">
        <v>61</v>
      </c>
      <c r="S740" s="5" t="s">
        <v>39</v>
      </c>
      <c r="T740" s="7">
        <v>2</v>
      </c>
      <c r="U740" s="15" t="s">
        <v>109</v>
      </c>
      <c r="V740" s="16" t="s">
        <v>112</v>
      </c>
      <c r="W740" s="17">
        <v>100722410</v>
      </c>
      <c r="X740" s="16" t="s">
        <v>2526</v>
      </c>
      <c r="Y740" s="17" t="s">
        <v>2528</v>
      </c>
      <c r="Z740" s="17" t="s">
        <v>39</v>
      </c>
      <c r="AA740" s="17" t="s">
        <v>37</v>
      </c>
      <c r="AB740" s="43">
        <v>35.880000000000003</v>
      </c>
      <c r="AC740" s="25">
        <v>37.56</v>
      </c>
      <c r="AD740" s="25">
        <f>AC740*T740</f>
        <v>75.12</v>
      </c>
      <c r="AE740" s="25">
        <f>AB740*T740</f>
        <v>71.760000000000005</v>
      </c>
      <c r="AF740" s="25">
        <f>AD740-AE740</f>
        <v>3.3599999999999994</v>
      </c>
      <c r="AG740" s="26">
        <f>AF740/AD740</f>
        <v>4.4728434504792323E-2</v>
      </c>
      <c r="AH740" s="27" t="str">
        <f>IF(AG740&lt;0,"Negative",IF(AG740=0,"Same",IF(AG740&gt;0.3,"30+%",IF(AG740&gt;0.2,"20-30%",IF(AG740&gt;0.1,"10-20%",IF(AG740&lt;=0.1,"0-10%"))))))</f>
        <v>0-10%</v>
      </c>
      <c r="AI740" s="32"/>
      <c r="AJ740" s="36" t="s">
        <v>3300</v>
      </c>
      <c r="AK740" s="32"/>
    </row>
    <row r="741" spans="1:37" s="1" customFormat="1" ht="19.7" customHeight="1" x14ac:dyDescent="0.25">
      <c r="A741" s="5" t="s">
        <v>22</v>
      </c>
      <c r="B741" s="5" t="s">
        <v>106</v>
      </c>
      <c r="C741" s="6">
        <v>44232</v>
      </c>
      <c r="D741" s="5" t="s">
        <v>24</v>
      </c>
      <c r="E741" s="5" t="s">
        <v>25</v>
      </c>
      <c r="F741" s="5" t="s">
        <v>26</v>
      </c>
      <c r="G741" s="5" t="s">
        <v>67</v>
      </c>
      <c r="H741" s="5" t="s">
        <v>68</v>
      </c>
      <c r="I741" s="5" t="s">
        <v>29</v>
      </c>
      <c r="J741" s="5" t="s">
        <v>30</v>
      </c>
      <c r="K741" s="5" t="s">
        <v>31</v>
      </c>
      <c r="L741" s="5" t="s">
        <v>32</v>
      </c>
      <c r="M741" s="5" t="s">
        <v>111</v>
      </c>
      <c r="N741" s="5" t="s">
        <v>107</v>
      </c>
      <c r="O741" s="5" t="s">
        <v>109</v>
      </c>
      <c r="P741" s="5" t="s">
        <v>112</v>
      </c>
      <c r="Q741" s="5">
        <v>100722410</v>
      </c>
      <c r="R741" s="5" t="s">
        <v>61</v>
      </c>
      <c r="S741" s="5" t="s">
        <v>39</v>
      </c>
      <c r="T741" s="7">
        <v>2</v>
      </c>
      <c r="U741" s="15" t="s">
        <v>109</v>
      </c>
      <c r="V741" s="16" t="s">
        <v>112</v>
      </c>
      <c r="W741" s="17">
        <v>100722410</v>
      </c>
      <c r="X741" s="16" t="s">
        <v>2526</v>
      </c>
      <c r="Y741" s="17" t="s">
        <v>2528</v>
      </c>
      <c r="Z741" s="17" t="s">
        <v>39</v>
      </c>
      <c r="AA741" s="17" t="s">
        <v>37</v>
      </c>
      <c r="AB741" s="43">
        <v>35.880000000000003</v>
      </c>
      <c r="AC741" s="25">
        <v>37.56</v>
      </c>
      <c r="AD741" s="25">
        <f>AC741*T741</f>
        <v>75.12</v>
      </c>
      <c r="AE741" s="25">
        <f>AB741*T741</f>
        <v>71.760000000000005</v>
      </c>
      <c r="AF741" s="25">
        <f>AD741-AE741</f>
        <v>3.3599999999999994</v>
      </c>
      <c r="AG741" s="26">
        <f>AF741/AD741</f>
        <v>4.4728434504792323E-2</v>
      </c>
      <c r="AH741" s="27" t="str">
        <f>IF(AG741&lt;0,"Negative",IF(AG741=0,"Same",IF(AG741&gt;0.3,"30+%",IF(AG741&gt;0.2,"20-30%",IF(AG741&gt;0.1,"10-20%",IF(AG741&lt;=0.1,"0-10%"))))))</f>
        <v>0-10%</v>
      </c>
      <c r="AI741" s="32"/>
      <c r="AJ741" s="36" t="s">
        <v>3300</v>
      </c>
      <c r="AK741" s="32"/>
    </row>
    <row r="742" spans="1:37" s="1" customFormat="1" ht="19.7" customHeight="1" x14ac:dyDescent="0.25">
      <c r="A742" s="5" t="s">
        <v>22</v>
      </c>
      <c r="B742" s="5" t="s">
        <v>2422</v>
      </c>
      <c r="C742" s="6">
        <v>44582</v>
      </c>
      <c r="D742" s="5" t="s">
        <v>24</v>
      </c>
      <c r="E742" s="5" t="s">
        <v>25</v>
      </c>
      <c r="F742" s="5" t="s">
        <v>26</v>
      </c>
      <c r="G742" s="5" t="s">
        <v>67</v>
      </c>
      <c r="H742" s="5" t="s">
        <v>68</v>
      </c>
      <c r="I742" s="5" t="s">
        <v>29</v>
      </c>
      <c r="J742" s="5" t="s">
        <v>30</v>
      </c>
      <c r="K742" s="5" t="s">
        <v>31</v>
      </c>
      <c r="L742" s="5" t="s">
        <v>32</v>
      </c>
      <c r="M742" s="5" t="s">
        <v>108</v>
      </c>
      <c r="N742" s="5" t="s">
        <v>2423</v>
      </c>
      <c r="O742" s="5" t="s">
        <v>109</v>
      </c>
      <c r="P742" s="5" t="s">
        <v>110</v>
      </c>
      <c r="Q742" s="5">
        <v>100722411</v>
      </c>
      <c r="R742" s="5" t="s">
        <v>61</v>
      </c>
      <c r="S742" s="5" t="s">
        <v>39</v>
      </c>
      <c r="T742" s="7">
        <v>1</v>
      </c>
      <c r="U742" s="15" t="s">
        <v>109</v>
      </c>
      <c r="V742" s="16" t="s">
        <v>110</v>
      </c>
      <c r="W742" s="17">
        <v>100722411</v>
      </c>
      <c r="X742" s="16" t="s">
        <v>2526</v>
      </c>
      <c r="Y742" s="17" t="s">
        <v>2527</v>
      </c>
      <c r="Z742" s="17" t="s">
        <v>39</v>
      </c>
      <c r="AA742" s="17" t="s">
        <v>37</v>
      </c>
      <c r="AB742" s="43">
        <v>83.14</v>
      </c>
      <c r="AC742" s="25">
        <v>84.88</v>
      </c>
      <c r="AD742" s="25">
        <f>AC742*T742</f>
        <v>84.88</v>
      </c>
      <c r="AE742" s="25">
        <f>AB742*T742</f>
        <v>83.14</v>
      </c>
      <c r="AF742" s="25">
        <f>AD742-AE742</f>
        <v>1.7399999999999949</v>
      </c>
      <c r="AG742" s="26">
        <f>AF742/AD742</f>
        <v>2.0499528746465538E-2</v>
      </c>
      <c r="AH742" s="27" t="str">
        <f>IF(AG742&lt;0,"Negative",IF(AG742=0,"Same",IF(AG742&gt;0.3,"30+%",IF(AG742&gt;0.2,"20-30%",IF(AG742&gt;0.1,"10-20%",IF(AG742&lt;=0.1,"0-10%"))))))</f>
        <v>0-10%</v>
      </c>
      <c r="AI742" s="32"/>
      <c r="AJ742" s="36" t="s">
        <v>3300</v>
      </c>
      <c r="AK742" s="32"/>
    </row>
    <row r="743" spans="1:37" s="1" customFormat="1" ht="19.7" customHeight="1" x14ac:dyDescent="0.25">
      <c r="A743" s="9" t="s">
        <v>22</v>
      </c>
      <c r="B743" s="9" t="s">
        <v>2341</v>
      </c>
      <c r="C743" s="10">
        <v>44568</v>
      </c>
      <c r="D743" s="9" t="s">
        <v>24</v>
      </c>
      <c r="E743" s="9" t="s">
        <v>25</v>
      </c>
      <c r="F743" s="9" t="s">
        <v>26</v>
      </c>
      <c r="G743" s="9" t="s">
        <v>67</v>
      </c>
      <c r="H743" s="9" t="s">
        <v>68</v>
      </c>
      <c r="I743" s="9" t="s">
        <v>29</v>
      </c>
      <c r="J743" s="9" t="s">
        <v>30</v>
      </c>
      <c r="K743" s="9" t="s">
        <v>31</v>
      </c>
      <c r="L743" s="9" t="s">
        <v>32</v>
      </c>
      <c r="M743" s="9" t="s">
        <v>108</v>
      </c>
      <c r="N743" s="9" t="s">
        <v>2342</v>
      </c>
      <c r="O743" s="9" t="s">
        <v>109</v>
      </c>
      <c r="P743" s="9" t="s">
        <v>110</v>
      </c>
      <c r="Q743" s="9">
        <v>100722411</v>
      </c>
      <c r="R743" s="9" t="s">
        <v>61</v>
      </c>
      <c r="S743" s="9" t="s">
        <v>39</v>
      </c>
      <c r="T743" s="11">
        <v>1</v>
      </c>
      <c r="U743" s="15" t="s">
        <v>109</v>
      </c>
      <c r="V743" s="16" t="s">
        <v>110</v>
      </c>
      <c r="W743" s="17">
        <v>100722411</v>
      </c>
      <c r="X743" s="16" t="s">
        <v>2526</v>
      </c>
      <c r="Y743" s="17" t="s">
        <v>2527</v>
      </c>
      <c r="Z743" s="17" t="s">
        <v>39</v>
      </c>
      <c r="AA743" s="17" t="s">
        <v>37</v>
      </c>
      <c r="AB743" s="43">
        <v>83.14</v>
      </c>
      <c r="AC743" s="25">
        <v>84.88</v>
      </c>
      <c r="AD743" s="25">
        <f>AC743*T743</f>
        <v>84.88</v>
      </c>
      <c r="AE743" s="25">
        <f>AB743*T743</f>
        <v>83.14</v>
      </c>
      <c r="AF743" s="25">
        <f>AD743-AE743</f>
        <v>1.7399999999999949</v>
      </c>
      <c r="AG743" s="26">
        <f>AF743/AD743</f>
        <v>2.0499528746465538E-2</v>
      </c>
      <c r="AH743" s="27" t="str">
        <f>IF(AG743&lt;0,"Negative",IF(AG743=0,"Same",IF(AG743&gt;0.3,"30+%",IF(AG743&gt;0.2,"20-30%",IF(AG743&gt;0.1,"10-20%",IF(AG743&lt;=0.1,"0-10%"))))))</f>
        <v>0-10%</v>
      </c>
      <c r="AI743" s="32"/>
      <c r="AJ743" s="36" t="s">
        <v>3300</v>
      </c>
      <c r="AK743" s="32"/>
    </row>
    <row r="744" spans="1:37" s="1" customFormat="1" ht="19.7" customHeight="1" x14ac:dyDescent="0.25">
      <c r="A744" s="5" t="s">
        <v>22</v>
      </c>
      <c r="B744" s="5" t="s">
        <v>2107</v>
      </c>
      <c r="C744" s="6">
        <v>44519</v>
      </c>
      <c r="D744" s="5" t="s">
        <v>24</v>
      </c>
      <c r="E744" s="5" t="s">
        <v>25</v>
      </c>
      <c r="F744" s="5" t="s">
        <v>26</v>
      </c>
      <c r="G744" s="5" t="s">
        <v>67</v>
      </c>
      <c r="H744" s="5" t="s">
        <v>68</v>
      </c>
      <c r="I744" s="5" t="s">
        <v>29</v>
      </c>
      <c r="J744" s="5" t="s">
        <v>30</v>
      </c>
      <c r="K744" s="5" t="s">
        <v>31</v>
      </c>
      <c r="L744" s="5" t="s">
        <v>32</v>
      </c>
      <c r="M744" s="5" t="s">
        <v>108</v>
      </c>
      <c r="N744" s="5" t="s">
        <v>2108</v>
      </c>
      <c r="O744" s="5" t="s">
        <v>109</v>
      </c>
      <c r="P744" s="5" t="s">
        <v>110</v>
      </c>
      <c r="Q744" s="5">
        <v>100722411</v>
      </c>
      <c r="R744" s="5" t="s">
        <v>61</v>
      </c>
      <c r="S744" s="5" t="s">
        <v>39</v>
      </c>
      <c r="T744" s="7">
        <v>1</v>
      </c>
      <c r="U744" s="15" t="s">
        <v>109</v>
      </c>
      <c r="V744" s="16" t="s">
        <v>110</v>
      </c>
      <c r="W744" s="17">
        <v>100722411</v>
      </c>
      <c r="X744" s="16" t="s">
        <v>2526</v>
      </c>
      <c r="Y744" s="17" t="s">
        <v>2527</v>
      </c>
      <c r="Z744" s="17" t="s">
        <v>39</v>
      </c>
      <c r="AA744" s="17" t="s">
        <v>37</v>
      </c>
      <c r="AB744" s="43">
        <v>83.14</v>
      </c>
      <c r="AC744" s="25">
        <v>84.88</v>
      </c>
      <c r="AD744" s="25">
        <f>AC744*T744</f>
        <v>84.88</v>
      </c>
      <c r="AE744" s="25">
        <f>AB744*T744</f>
        <v>83.14</v>
      </c>
      <c r="AF744" s="25">
        <f>AD744-AE744</f>
        <v>1.7399999999999949</v>
      </c>
      <c r="AG744" s="26">
        <f>AF744/AD744</f>
        <v>2.0499528746465538E-2</v>
      </c>
      <c r="AH744" s="27" t="str">
        <f>IF(AG744&lt;0,"Negative",IF(AG744=0,"Same",IF(AG744&gt;0.3,"30+%",IF(AG744&gt;0.2,"20-30%",IF(AG744&gt;0.1,"10-20%",IF(AG744&lt;=0.1,"0-10%"))))))</f>
        <v>0-10%</v>
      </c>
      <c r="AI744" s="32"/>
      <c r="AJ744" s="36" t="s">
        <v>3300</v>
      </c>
      <c r="AK744" s="32"/>
    </row>
    <row r="745" spans="1:37" s="1" customFormat="1" ht="19.7" customHeight="1" x14ac:dyDescent="0.25">
      <c r="A745" s="9" t="s">
        <v>22</v>
      </c>
      <c r="B745" s="9" t="s">
        <v>2112</v>
      </c>
      <c r="C745" s="10">
        <v>44519</v>
      </c>
      <c r="D745" s="9" t="s">
        <v>24</v>
      </c>
      <c r="E745" s="9" t="s">
        <v>25</v>
      </c>
      <c r="F745" s="9" t="s">
        <v>26</v>
      </c>
      <c r="G745" s="9" t="s">
        <v>67</v>
      </c>
      <c r="H745" s="9" t="s">
        <v>68</v>
      </c>
      <c r="I745" s="9" t="s">
        <v>29</v>
      </c>
      <c r="J745" s="9" t="s">
        <v>30</v>
      </c>
      <c r="K745" s="9" t="s">
        <v>31</v>
      </c>
      <c r="L745" s="9" t="s">
        <v>32</v>
      </c>
      <c r="M745" s="9" t="s">
        <v>108</v>
      </c>
      <c r="N745" s="9" t="s">
        <v>2114</v>
      </c>
      <c r="O745" s="9" t="s">
        <v>109</v>
      </c>
      <c r="P745" s="9" t="s">
        <v>110</v>
      </c>
      <c r="Q745" s="9">
        <v>100722411</v>
      </c>
      <c r="R745" s="9" t="s">
        <v>61</v>
      </c>
      <c r="S745" s="9" t="s">
        <v>39</v>
      </c>
      <c r="T745" s="11">
        <v>1</v>
      </c>
      <c r="U745" s="15" t="s">
        <v>109</v>
      </c>
      <c r="V745" s="16" t="s">
        <v>110</v>
      </c>
      <c r="W745" s="17">
        <v>100722411</v>
      </c>
      <c r="X745" s="16" t="s">
        <v>2526</v>
      </c>
      <c r="Y745" s="17" t="s">
        <v>2527</v>
      </c>
      <c r="Z745" s="17" t="s">
        <v>39</v>
      </c>
      <c r="AA745" s="17" t="s">
        <v>37</v>
      </c>
      <c r="AB745" s="43">
        <v>83.14</v>
      </c>
      <c r="AC745" s="25">
        <v>84.88</v>
      </c>
      <c r="AD745" s="25">
        <f>AC745*T745</f>
        <v>84.88</v>
      </c>
      <c r="AE745" s="25">
        <f>AB745*T745</f>
        <v>83.14</v>
      </c>
      <c r="AF745" s="25">
        <f>AD745-AE745</f>
        <v>1.7399999999999949</v>
      </c>
      <c r="AG745" s="26">
        <f>AF745/AD745</f>
        <v>2.0499528746465538E-2</v>
      </c>
      <c r="AH745" s="27" t="str">
        <f>IF(AG745&lt;0,"Negative",IF(AG745=0,"Same",IF(AG745&gt;0.3,"30+%",IF(AG745&gt;0.2,"20-30%",IF(AG745&gt;0.1,"10-20%",IF(AG745&lt;=0.1,"0-10%"))))))</f>
        <v>0-10%</v>
      </c>
      <c r="AI745" s="32"/>
      <c r="AJ745" s="36" t="s">
        <v>3300</v>
      </c>
      <c r="AK745" s="32"/>
    </row>
    <row r="746" spans="1:37" s="1" customFormat="1" ht="19.7" customHeight="1" x14ac:dyDescent="0.25">
      <c r="A746" s="9" t="s">
        <v>22</v>
      </c>
      <c r="B746" s="9" t="s">
        <v>152</v>
      </c>
      <c r="C746" s="10">
        <v>44235</v>
      </c>
      <c r="D746" s="9" t="s">
        <v>24</v>
      </c>
      <c r="E746" s="9" t="s">
        <v>25</v>
      </c>
      <c r="F746" s="9" t="s">
        <v>26</v>
      </c>
      <c r="G746" s="9" t="s">
        <v>27</v>
      </c>
      <c r="H746" s="9" t="s">
        <v>28</v>
      </c>
      <c r="I746" s="9" t="s">
        <v>29</v>
      </c>
      <c r="J746" s="9" t="s">
        <v>30</v>
      </c>
      <c r="K746" s="9" t="s">
        <v>31</v>
      </c>
      <c r="L746" s="9" t="s">
        <v>32</v>
      </c>
      <c r="M746" s="9" t="s">
        <v>153</v>
      </c>
      <c r="N746" s="9" t="s">
        <v>93</v>
      </c>
      <c r="O746" s="9" t="s">
        <v>154</v>
      </c>
      <c r="P746" s="9" t="s">
        <v>155</v>
      </c>
      <c r="Q746" s="9">
        <v>100000303</v>
      </c>
      <c r="R746" s="9" t="s">
        <v>61</v>
      </c>
      <c r="S746" s="9" t="s">
        <v>39</v>
      </c>
      <c r="T746" s="11">
        <v>2</v>
      </c>
      <c r="U746" s="15" t="s">
        <v>154</v>
      </c>
      <c r="V746" s="16" t="s">
        <v>155</v>
      </c>
      <c r="W746" s="17">
        <v>100000303</v>
      </c>
      <c r="X746" s="16" t="s">
        <v>2548</v>
      </c>
      <c r="Y746" s="17" t="s">
        <v>2549</v>
      </c>
      <c r="Z746" s="17" t="s">
        <v>39</v>
      </c>
      <c r="AA746" s="17" t="s">
        <v>37</v>
      </c>
      <c r="AB746" s="43">
        <v>44.82</v>
      </c>
      <c r="AC746" s="25">
        <v>49.5</v>
      </c>
      <c r="AD746" s="25">
        <f>AC746*T746</f>
        <v>99</v>
      </c>
      <c r="AE746" s="25">
        <f>AB746*T746</f>
        <v>89.64</v>
      </c>
      <c r="AF746" s="25">
        <f>AD746-AE746</f>
        <v>9.36</v>
      </c>
      <c r="AG746" s="26">
        <f>AF746/AD746</f>
        <v>9.4545454545454544E-2</v>
      </c>
      <c r="AH746" s="27" t="str">
        <f>IF(AG746&lt;0,"Negative",IF(AG746=0,"Same",IF(AG746&gt;0.3,"30+%",IF(AG746&gt;0.2,"20-30%",IF(AG746&gt;0.1,"10-20%",IF(AG746&lt;=0.1,"0-10%"))))))</f>
        <v>0-10%</v>
      </c>
      <c r="AI746" s="32"/>
      <c r="AJ746" s="36" t="s">
        <v>3299</v>
      </c>
      <c r="AK746" s="32"/>
    </row>
    <row r="747" spans="1:37" s="1" customFormat="1" ht="19.7" customHeight="1" x14ac:dyDescent="0.25">
      <c r="A747" s="5" t="s">
        <v>22</v>
      </c>
      <c r="B747" s="5" t="s">
        <v>1904</v>
      </c>
      <c r="C747" s="6">
        <v>44480</v>
      </c>
      <c r="D747" s="5" t="s">
        <v>24</v>
      </c>
      <c r="E747" s="5" t="s">
        <v>25</v>
      </c>
      <c r="F747" s="5" t="s">
        <v>26</v>
      </c>
      <c r="G747" s="5" t="s">
        <v>27</v>
      </c>
      <c r="H747" s="5" t="s">
        <v>28</v>
      </c>
      <c r="I747" s="5" t="s">
        <v>29</v>
      </c>
      <c r="J747" s="5" t="s">
        <v>30</v>
      </c>
      <c r="K747" s="5" t="s">
        <v>31</v>
      </c>
      <c r="L747" s="5" t="s">
        <v>32</v>
      </c>
      <c r="M747" s="5" t="s">
        <v>1905</v>
      </c>
      <c r="N747" s="5" t="s">
        <v>1691</v>
      </c>
      <c r="O747" s="5" t="s">
        <v>937</v>
      </c>
      <c r="P747" s="5" t="s">
        <v>1906</v>
      </c>
      <c r="Q747" s="5">
        <v>100991456</v>
      </c>
      <c r="R747" s="5" t="s">
        <v>45</v>
      </c>
      <c r="S747" s="5" t="s">
        <v>39</v>
      </c>
      <c r="T747" s="7">
        <v>2</v>
      </c>
      <c r="U747" s="15" t="s">
        <v>937</v>
      </c>
      <c r="V747" s="16" t="s">
        <v>1906</v>
      </c>
      <c r="W747" s="17">
        <v>100991456</v>
      </c>
      <c r="X747" s="16" t="s">
        <v>2520</v>
      </c>
      <c r="Y747" s="17" t="s">
        <v>3165</v>
      </c>
      <c r="Z747" s="17" t="s">
        <v>39</v>
      </c>
      <c r="AA747" s="17" t="s">
        <v>37</v>
      </c>
      <c r="AB747" s="29">
        <v>18.87</v>
      </c>
      <c r="AC747" s="25">
        <v>22.13</v>
      </c>
      <c r="AD747" s="25">
        <f>AC747*T747</f>
        <v>44.26</v>
      </c>
      <c r="AE747" s="25">
        <f>AB747*T747</f>
        <v>37.74</v>
      </c>
      <c r="AF747" s="25">
        <f>AD747-AE747</f>
        <v>6.519999999999996</v>
      </c>
      <c r="AG747" s="26">
        <f>AF747/AD747</f>
        <v>0.14731134206958871</v>
      </c>
      <c r="AH747" s="27" t="str">
        <f>IF(AG747&lt;0,"Negative",IF(AG747=0,"Same",IF(AG747&gt;0.3,"30+%",IF(AG747&gt;0.2,"20-30%",IF(AG747&gt;0.1,"10-20%",IF(AG747&lt;=0.1,"0-10%"))))))</f>
        <v>10-20%</v>
      </c>
      <c r="AI747" s="32"/>
      <c r="AJ747" s="36" t="s">
        <v>3300</v>
      </c>
      <c r="AK747" s="32"/>
    </row>
    <row r="748" spans="1:37" s="1" customFormat="1" ht="19.7" customHeight="1" x14ac:dyDescent="0.25">
      <c r="A748" s="5" t="s">
        <v>22</v>
      </c>
      <c r="B748" s="5" t="s">
        <v>466</v>
      </c>
      <c r="C748" s="6">
        <v>44267</v>
      </c>
      <c r="D748" s="5" t="s">
        <v>24</v>
      </c>
      <c r="E748" s="5" t="s">
        <v>25</v>
      </c>
      <c r="F748" s="5" t="s">
        <v>26</v>
      </c>
      <c r="G748" s="5" t="s">
        <v>67</v>
      </c>
      <c r="H748" s="5" t="s">
        <v>68</v>
      </c>
      <c r="I748" s="5" t="s">
        <v>29</v>
      </c>
      <c r="J748" s="5" t="s">
        <v>30</v>
      </c>
      <c r="K748" s="5" t="s">
        <v>31</v>
      </c>
      <c r="L748" s="5" t="s">
        <v>32</v>
      </c>
      <c r="M748" s="5" t="s">
        <v>473</v>
      </c>
      <c r="N748" s="5" t="s">
        <v>467</v>
      </c>
      <c r="O748" s="5" t="s">
        <v>43</v>
      </c>
      <c r="P748" s="5" t="s">
        <v>474</v>
      </c>
      <c r="Q748" s="5">
        <v>104570311</v>
      </c>
      <c r="R748" s="5" t="s">
        <v>45</v>
      </c>
      <c r="S748" s="5" t="s">
        <v>39</v>
      </c>
      <c r="T748" s="7">
        <v>1</v>
      </c>
      <c r="U748" s="15" t="s">
        <v>43</v>
      </c>
      <c r="V748" s="16" t="s">
        <v>474</v>
      </c>
      <c r="W748" s="17">
        <v>104570311</v>
      </c>
      <c r="X748" s="16" t="s">
        <v>2520</v>
      </c>
      <c r="Y748" s="17" t="s">
        <v>2690</v>
      </c>
      <c r="Z748" s="17" t="s">
        <v>39</v>
      </c>
      <c r="AA748" s="17" t="s">
        <v>2501</v>
      </c>
      <c r="AB748" s="29">
        <v>36.57</v>
      </c>
      <c r="AC748" s="25">
        <v>42.87</v>
      </c>
      <c r="AD748" s="25">
        <f>AC748*T748</f>
        <v>42.87</v>
      </c>
      <c r="AE748" s="25">
        <f>AB748*T748</f>
        <v>36.57</v>
      </c>
      <c r="AF748" s="25">
        <f>AD748-AE748</f>
        <v>6.2999999999999972</v>
      </c>
      <c r="AG748" s="26">
        <f>AF748/AD748</f>
        <v>0.14695591322603213</v>
      </c>
      <c r="AH748" s="27" t="str">
        <f>IF(AG748&lt;0,"Negative",IF(AG748=0,"Same",IF(AG748&gt;0.3,"30+%",IF(AG748&gt;0.2,"20-30%",IF(AG748&gt;0.1,"10-20%",IF(AG748&lt;=0.1,"0-10%"))))))</f>
        <v>10-20%</v>
      </c>
      <c r="AI748" s="32"/>
      <c r="AJ748" s="36" t="s">
        <v>3300</v>
      </c>
      <c r="AK748" s="32"/>
    </row>
    <row r="749" spans="1:37" s="1" customFormat="1" ht="19.7" customHeight="1" x14ac:dyDescent="0.25">
      <c r="A749" s="5" t="s">
        <v>22</v>
      </c>
      <c r="B749" s="5" t="s">
        <v>622</v>
      </c>
      <c r="C749" s="6">
        <v>44281</v>
      </c>
      <c r="D749" s="5" t="s">
        <v>24</v>
      </c>
      <c r="E749" s="5" t="s">
        <v>25</v>
      </c>
      <c r="F749" s="5" t="s">
        <v>26</v>
      </c>
      <c r="G749" s="5" t="s">
        <v>67</v>
      </c>
      <c r="H749" s="5" t="s">
        <v>68</v>
      </c>
      <c r="I749" s="5" t="s">
        <v>29</v>
      </c>
      <c r="J749" s="5" t="s">
        <v>30</v>
      </c>
      <c r="K749" s="5" t="s">
        <v>31</v>
      </c>
      <c r="L749" s="5" t="s">
        <v>32</v>
      </c>
      <c r="M749" s="5" t="s">
        <v>473</v>
      </c>
      <c r="N749" s="5" t="s">
        <v>624</v>
      </c>
      <c r="O749" s="5" t="s">
        <v>43</v>
      </c>
      <c r="P749" s="5" t="s">
        <v>474</v>
      </c>
      <c r="Q749" s="5">
        <v>104570311</v>
      </c>
      <c r="R749" s="5" t="s">
        <v>45</v>
      </c>
      <c r="S749" s="5" t="s">
        <v>39</v>
      </c>
      <c r="T749" s="7">
        <v>1</v>
      </c>
      <c r="U749" s="15" t="s">
        <v>43</v>
      </c>
      <c r="V749" s="16" t="s">
        <v>474</v>
      </c>
      <c r="W749" s="17">
        <v>104570311</v>
      </c>
      <c r="X749" s="16" t="s">
        <v>2520</v>
      </c>
      <c r="Y749" s="17" t="s">
        <v>2690</v>
      </c>
      <c r="Z749" s="17" t="s">
        <v>39</v>
      </c>
      <c r="AA749" s="17" t="s">
        <v>2501</v>
      </c>
      <c r="AB749" s="29">
        <v>36.57</v>
      </c>
      <c r="AC749" s="25">
        <v>42.87</v>
      </c>
      <c r="AD749" s="25">
        <f>AC749*T749</f>
        <v>42.87</v>
      </c>
      <c r="AE749" s="25">
        <f>AB749*T749</f>
        <v>36.57</v>
      </c>
      <c r="AF749" s="25">
        <f>AD749-AE749</f>
        <v>6.2999999999999972</v>
      </c>
      <c r="AG749" s="26">
        <f>AF749/AD749</f>
        <v>0.14695591322603213</v>
      </c>
      <c r="AH749" s="27" t="str">
        <f>IF(AG749&lt;0,"Negative",IF(AG749=0,"Same",IF(AG749&gt;0.3,"30+%",IF(AG749&gt;0.2,"20-30%",IF(AG749&gt;0.1,"10-20%",IF(AG749&lt;=0.1,"0-10%"))))))</f>
        <v>10-20%</v>
      </c>
      <c r="AI749" s="32"/>
      <c r="AJ749" s="36" t="s">
        <v>3300</v>
      </c>
      <c r="AK749" s="32"/>
    </row>
    <row r="750" spans="1:37" s="1" customFormat="1" ht="19.7" customHeight="1" x14ac:dyDescent="0.25">
      <c r="A750" s="9" t="s">
        <v>22</v>
      </c>
      <c r="B750" s="9" t="s">
        <v>1211</v>
      </c>
      <c r="C750" s="10">
        <v>44358</v>
      </c>
      <c r="D750" s="9" t="s">
        <v>24</v>
      </c>
      <c r="E750" s="9" t="s">
        <v>25</v>
      </c>
      <c r="F750" s="9" t="s">
        <v>26</v>
      </c>
      <c r="G750" s="9" t="s">
        <v>67</v>
      </c>
      <c r="H750" s="9" t="s">
        <v>68</v>
      </c>
      <c r="I750" s="9" t="s">
        <v>29</v>
      </c>
      <c r="J750" s="9" t="s">
        <v>30</v>
      </c>
      <c r="K750" s="9" t="s">
        <v>31</v>
      </c>
      <c r="L750" s="9" t="s">
        <v>32</v>
      </c>
      <c r="M750" s="9" t="s">
        <v>473</v>
      </c>
      <c r="N750" s="9" t="s">
        <v>1212</v>
      </c>
      <c r="O750" s="9" t="s">
        <v>43</v>
      </c>
      <c r="P750" s="9" t="s">
        <v>474</v>
      </c>
      <c r="Q750" s="9">
        <v>104570311</v>
      </c>
      <c r="R750" s="9" t="s">
        <v>45</v>
      </c>
      <c r="S750" s="9" t="s">
        <v>39</v>
      </c>
      <c r="T750" s="11">
        <v>1</v>
      </c>
      <c r="U750" s="15" t="s">
        <v>43</v>
      </c>
      <c r="V750" s="16" t="s">
        <v>474</v>
      </c>
      <c r="W750" s="17">
        <v>104570311</v>
      </c>
      <c r="X750" s="16" t="s">
        <v>2520</v>
      </c>
      <c r="Y750" s="17" t="s">
        <v>2690</v>
      </c>
      <c r="Z750" s="17" t="s">
        <v>39</v>
      </c>
      <c r="AA750" s="17" t="s">
        <v>2501</v>
      </c>
      <c r="AB750" s="29">
        <v>36.57</v>
      </c>
      <c r="AC750" s="25">
        <v>42.87</v>
      </c>
      <c r="AD750" s="25">
        <f>AC750*T750</f>
        <v>42.87</v>
      </c>
      <c r="AE750" s="25">
        <f>AB750*T750</f>
        <v>36.57</v>
      </c>
      <c r="AF750" s="25">
        <f>AD750-AE750</f>
        <v>6.2999999999999972</v>
      </c>
      <c r="AG750" s="26">
        <f>AF750/AD750</f>
        <v>0.14695591322603213</v>
      </c>
      <c r="AH750" s="27" t="str">
        <f>IF(AG750&lt;0,"Negative",IF(AG750=0,"Same",IF(AG750&gt;0.3,"30+%",IF(AG750&gt;0.2,"20-30%",IF(AG750&gt;0.1,"10-20%",IF(AG750&lt;=0.1,"0-10%"))))))</f>
        <v>10-20%</v>
      </c>
      <c r="AI750" s="32"/>
      <c r="AJ750" s="36" t="s">
        <v>3300</v>
      </c>
      <c r="AK750" s="32"/>
    </row>
    <row r="751" spans="1:37" s="1" customFormat="1" ht="19.7" customHeight="1" x14ac:dyDescent="0.25">
      <c r="A751" s="9" t="s">
        <v>22</v>
      </c>
      <c r="B751" s="9" t="s">
        <v>1216</v>
      </c>
      <c r="C751" s="10">
        <v>44361</v>
      </c>
      <c r="D751" s="9" t="s">
        <v>24</v>
      </c>
      <c r="E751" s="9" t="s">
        <v>25</v>
      </c>
      <c r="F751" s="9" t="s">
        <v>26</v>
      </c>
      <c r="G751" s="9" t="s">
        <v>67</v>
      </c>
      <c r="H751" s="9" t="s">
        <v>68</v>
      </c>
      <c r="I751" s="9" t="s">
        <v>29</v>
      </c>
      <c r="J751" s="9" t="s">
        <v>30</v>
      </c>
      <c r="K751" s="9" t="s">
        <v>31</v>
      </c>
      <c r="L751" s="9" t="s">
        <v>32</v>
      </c>
      <c r="M751" s="9" t="s">
        <v>473</v>
      </c>
      <c r="N751" s="9" t="s">
        <v>1217</v>
      </c>
      <c r="O751" s="9" t="s">
        <v>43</v>
      </c>
      <c r="P751" s="9" t="s">
        <v>474</v>
      </c>
      <c r="Q751" s="9">
        <v>104570311</v>
      </c>
      <c r="R751" s="9" t="s">
        <v>45</v>
      </c>
      <c r="S751" s="9" t="s">
        <v>39</v>
      </c>
      <c r="T751" s="11">
        <v>1</v>
      </c>
      <c r="U751" s="15" t="s">
        <v>43</v>
      </c>
      <c r="V751" s="16" t="s">
        <v>474</v>
      </c>
      <c r="W751" s="17">
        <v>104570311</v>
      </c>
      <c r="X751" s="16" t="s">
        <v>2520</v>
      </c>
      <c r="Y751" s="17" t="s">
        <v>2690</v>
      </c>
      <c r="Z751" s="17" t="s">
        <v>39</v>
      </c>
      <c r="AA751" s="17" t="s">
        <v>2501</v>
      </c>
      <c r="AB751" s="29">
        <v>36.57</v>
      </c>
      <c r="AC751" s="25">
        <v>42.87</v>
      </c>
      <c r="AD751" s="25">
        <f>AC751*T751</f>
        <v>42.87</v>
      </c>
      <c r="AE751" s="25">
        <f>AB751*T751</f>
        <v>36.57</v>
      </c>
      <c r="AF751" s="25">
        <f>AD751-AE751</f>
        <v>6.2999999999999972</v>
      </c>
      <c r="AG751" s="26">
        <f>AF751/AD751</f>
        <v>0.14695591322603213</v>
      </c>
      <c r="AH751" s="27" t="str">
        <f>IF(AG751&lt;0,"Negative",IF(AG751=0,"Same",IF(AG751&gt;0.3,"30+%",IF(AG751&gt;0.2,"20-30%",IF(AG751&gt;0.1,"10-20%",IF(AG751&lt;=0.1,"0-10%"))))))</f>
        <v>10-20%</v>
      </c>
      <c r="AI751" s="32"/>
      <c r="AJ751" s="36" t="s">
        <v>3300</v>
      </c>
      <c r="AK751" s="32"/>
    </row>
    <row r="752" spans="1:37" s="1" customFormat="1" ht="19.7" customHeight="1" x14ac:dyDescent="0.25">
      <c r="A752" s="9" t="s">
        <v>22</v>
      </c>
      <c r="B752" s="9" t="s">
        <v>1392</v>
      </c>
      <c r="C752" s="10">
        <v>44389</v>
      </c>
      <c r="D752" s="9" t="s">
        <v>24</v>
      </c>
      <c r="E752" s="9" t="s">
        <v>25</v>
      </c>
      <c r="F752" s="9" t="s">
        <v>26</v>
      </c>
      <c r="G752" s="9" t="s">
        <v>67</v>
      </c>
      <c r="H752" s="9" t="s">
        <v>68</v>
      </c>
      <c r="I752" s="9" t="s">
        <v>29</v>
      </c>
      <c r="J752" s="9" t="s">
        <v>30</v>
      </c>
      <c r="K752" s="9" t="s">
        <v>31</v>
      </c>
      <c r="L752" s="9" t="s">
        <v>32</v>
      </c>
      <c r="M752" s="9" t="s">
        <v>473</v>
      </c>
      <c r="N752" s="9" t="s">
        <v>1393</v>
      </c>
      <c r="O752" s="9" t="s">
        <v>43</v>
      </c>
      <c r="P752" s="9" t="s">
        <v>474</v>
      </c>
      <c r="Q752" s="9">
        <v>104570311</v>
      </c>
      <c r="R752" s="9" t="s">
        <v>45</v>
      </c>
      <c r="S752" s="9" t="s">
        <v>39</v>
      </c>
      <c r="T752" s="11">
        <v>1</v>
      </c>
      <c r="U752" s="15" t="s">
        <v>43</v>
      </c>
      <c r="V752" s="16" t="s">
        <v>474</v>
      </c>
      <c r="W752" s="17">
        <v>104570311</v>
      </c>
      <c r="X752" s="16" t="s">
        <v>2520</v>
      </c>
      <c r="Y752" s="17" t="s">
        <v>2690</v>
      </c>
      <c r="Z752" s="17" t="s">
        <v>39</v>
      </c>
      <c r="AA752" s="17" t="s">
        <v>2501</v>
      </c>
      <c r="AB752" s="29">
        <v>36.57</v>
      </c>
      <c r="AC752" s="25">
        <v>42.87</v>
      </c>
      <c r="AD752" s="25">
        <f>AC752*T752</f>
        <v>42.87</v>
      </c>
      <c r="AE752" s="25">
        <f>AB752*T752</f>
        <v>36.57</v>
      </c>
      <c r="AF752" s="25">
        <f>AD752-AE752</f>
        <v>6.2999999999999972</v>
      </c>
      <c r="AG752" s="26">
        <f>AF752/AD752</f>
        <v>0.14695591322603213</v>
      </c>
      <c r="AH752" s="27" t="str">
        <f>IF(AG752&lt;0,"Negative",IF(AG752=0,"Same",IF(AG752&gt;0.3,"30+%",IF(AG752&gt;0.2,"20-30%",IF(AG752&gt;0.1,"10-20%",IF(AG752&lt;=0.1,"0-10%"))))))</f>
        <v>10-20%</v>
      </c>
      <c r="AI752" s="32"/>
      <c r="AJ752" s="36" t="s">
        <v>3300</v>
      </c>
      <c r="AK752" s="32"/>
    </row>
    <row r="753" spans="1:37" s="1" customFormat="1" ht="19.7" customHeight="1" x14ac:dyDescent="0.25">
      <c r="A753" s="9" t="s">
        <v>22</v>
      </c>
      <c r="B753" s="9" t="s">
        <v>800</v>
      </c>
      <c r="C753" s="10">
        <v>44302</v>
      </c>
      <c r="D753" s="9" t="s">
        <v>24</v>
      </c>
      <c r="E753" s="9" t="s">
        <v>25</v>
      </c>
      <c r="F753" s="9" t="s">
        <v>26</v>
      </c>
      <c r="G753" s="9" t="s">
        <v>67</v>
      </c>
      <c r="H753" s="9" t="s">
        <v>68</v>
      </c>
      <c r="I753" s="9" t="s">
        <v>29</v>
      </c>
      <c r="J753" s="9" t="s">
        <v>30</v>
      </c>
      <c r="K753" s="9" t="s">
        <v>31</v>
      </c>
      <c r="L753" s="9" t="s">
        <v>32</v>
      </c>
      <c r="M753" s="9" t="s">
        <v>473</v>
      </c>
      <c r="N753" s="9" t="s">
        <v>801</v>
      </c>
      <c r="O753" s="9" t="s">
        <v>43</v>
      </c>
      <c r="P753" s="9" t="s">
        <v>474</v>
      </c>
      <c r="Q753" s="9">
        <v>104570311</v>
      </c>
      <c r="R753" s="9" t="s">
        <v>45</v>
      </c>
      <c r="S753" s="9" t="s">
        <v>39</v>
      </c>
      <c r="T753" s="11">
        <v>1</v>
      </c>
      <c r="U753" s="15" t="s">
        <v>43</v>
      </c>
      <c r="V753" s="16" t="s">
        <v>474</v>
      </c>
      <c r="W753" s="17">
        <v>104570311</v>
      </c>
      <c r="X753" s="16" t="s">
        <v>2520</v>
      </c>
      <c r="Y753" s="17" t="s">
        <v>2690</v>
      </c>
      <c r="Z753" s="17" t="s">
        <v>39</v>
      </c>
      <c r="AA753" s="17" t="s">
        <v>2501</v>
      </c>
      <c r="AB753" s="29">
        <v>36.57</v>
      </c>
      <c r="AC753" s="25">
        <v>42.87</v>
      </c>
      <c r="AD753" s="25">
        <f>AC753*T753</f>
        <v>42.87</v>
      </c>
      <c r="AE753" s="25">
        <f>AB753*T753</f>
        <v>36.57</v>
      </c>
      <c r="AF753" s="25">
        <f>AD753-AE753</f>
        <v>6.2999999999999972</v>
      </c>
      <c r="AG753" s="26">
        <f>AF753/AD753</f>
        <v>0.14695591322603213</v>
      </c>
      <c r="AH753" s="27" t="str">
        <f>IF(AG753&lt;0,"Negative",IF(AG753=0,"Same",IF(AG753&gt;0.3,"30+%",IF(AG753&gt;0.2,"20-30%",IF(AG753&gt;0.1,"10-20%",IF(AG753&lt;=0.1,"0-10%"))))))</f>
        <v>10-20%</v>
      </c>
      <c r="AI753" s="32"/>
      <c r="AJ753" s="36" t="s">
        <v>3300</v>
      </c>
      <c r="AK753" s="32"/>
    </row>
    <row r="754" spans="1:37" s="1" customFormat="1" ht="19.7" customHeight="1" x14ac:dyDescent="0.25">
      <c r="A754" s="5" t="s">
        <v>22</v>
      </c>
      <c r="B754" s="5" t="s">
        <v>1641</v>
      </c>
      <c r="C754" s="6">
        <v>44427</v>
      </c>
      <c r="D754" s="5" t="s">
        <v>24</v>
      </c>
      <c r="E754" s="5" t="s">
        <v>25</v>
      </c>
      <c r="F754" s="5" t="s">
        <v>26</v>
      </c>
      <c r="G754" s="5" t="s">
        <v>67</v>
      </c>
      <c r="H754" s="5" t="s">
        <v>68</v>
      </c>
      <c r="I754" s="5" t="s">
        <v>29</v>
      </c>
      <c r="J754" s="5" t="s">
        <v>30</v>
      </c>
      <c r="K754" s="5" t="s">
        <v>31</v>
      </c>
      <c r="L754" s="5" t="s">
        <v>32</v>
      </c>
      <c r="M754" s="5" t="s">
        <v>473</v>
      </c>
      <c r="N754" s="5" t="s">
        <v>1643</v>
      </c>
      <c r="O754" s="5" t="s">
        <v>43</v>
      </c>
      <c r="P754" s="5" t="s">
        <v>474</v>
      </c>
      <c r="Q754" s="5">
        <v>104570311</v>
      </c>
      <c r="R754" s="5" t="s">
        <v>45</v>
      </c>
      <c r="S754" s="5" t="s">
        <v>39</v>
      </c>
      <c r="T754" s="7">
        <v>1</v>
      </c>
      <c r="U754" s="15" t="s">
        <v>43</v>
      </c>
      <c r="V754" s="16" t="s">
        <v>474</v>
      </c>
      <c r="W754" s="17">
        <v>104570311</v>
      </c>
      <c r="X754" s="16" t="s">
        <v>2520</v>
      </c>
      <c r="Y754" s="17" t="s">
        <v>2690</v>
      </c>
      <c r="Z754" s="17" t="s">
        <v>39</v>
      </c>
      <c r="AA754" s="17" t="s">
        <v>2501</v>
      </c>
      <c r="AB754" s="29">
        <v>36.57</v>
      </c>
      <c r="AC754" s="25">
        <v>42.87</v>
      </c>
      <c r="AD754" s="25">
        <f>AC754*T754</f>
        <v>42.87</v>
      </c>
      <c r="AE754" s="25">
        <f>AB754*T754</f>
        <v>36.57</v>
      </c>
      <c r="AF754" s="25">
        <f>AD754-AE754</f>
        <v>6.2999999999999972</v>
      </c>
      <c r="AG754" s="26">
        <f>AF754/AD754</f>
        <v>0.14695591322603213</v>
      </c>
      <c r="AH754" s="27" t="str">
        <f>IF(AG754&lt;0,"Negative",IF(AG754=0,"Same",IF(AG754&gt;0.3,"30+%",IF(AG754&gt;0.2,"20-30%",IF(AG754&gt;0.1,"10-20%",IF(AG754&lt;=0.1,"0-10%"))))))</f>
        <v>10-20%</v>
      </c>
      <c r="AI754" s="32"/>
      <c r="AJ754" s="36" t="s">
        <v>3300</v>
      </c>
      <c r="AK754" s="32"/>
    </row>
    <row r="755" spans="1:37" s="1" customFormat="1" ht="19.7" customHeight="1" x14ac:dyDescent="0.25">
      <c r="A755" s="9" t="s">
        <v>22</v>
      </c>
      <c r="B755" s="9" t="s">
        <v>629</v>
      </c>
      <c r="C755" s="10">
        <v>44281</v>
      </c>
      <c r="D755" s="9" t="s">
        <v>24</v>
      </c>
      <c r="E755" s="9" t="s">
        <v>25</v>
      </c>
      <c r="F755" s="9" t="s">
        <v>26</v>
      </c>
      <c r="G755" s="9" t="s">
        <v>67</v>
      </c>
      <c r="H755" s="9" t="s">
        <v>68</v>
      </c>
      <c r="I755" s="9" t="s">
        <v>29</v>
      </c>
      <c r="J755" s="9" t="s">
        <v>30</v>
      </c>
      <c r="K755" s="9" t="s">
        <v>31</v>
      </c>
      <c r="L755" s="9" t="s">
        <v>32</v>
      </c>
      <c r="M755" s="9" t="s">
        <v>473</v>
      </c>
      <c r="N755" s="9" t="s">
        <v>630</v>
      </c>
      <c r="O755" s="9" t="s">
        <v>43</v>
      </c>
      <c r="P755" s="9" t="s">
        <v>474</v>
      </c>
      <c r="Q755" s="9">
        <v>104570311</v>
      </c>
      <c r="R755" s="9" t="s">
        <v>45</v>
      </c>
      <c r="S755" s="9" t="s">
        <v>39</v>
      </c>
      <c r="T755" s="11">
        <v>1</v>
      </c>
      <c r="U755" s="15" t="s">
        <v>43</v>
      </c>
      <c r="V755" s="16" t="s">
        <v>474</v>
      </c>
      <c r="W755" s="17">
        <v>104570311</v>
      </c>
      <c r="X755" s="16" t="s">
        <v>2520</v>
      </c>
      <c r="Y755" s="17" t="s">
        <v>2690</v>
      </c>
      <c r="Z755" s="17" t="s">
        <v>39</v>
      </c>
      <c r="AA755" s="17" t="s">
        <v>2501</v>
      </c>
      <c r="AB755" s="29">
        <v>36.57</v>
      </c>
      <c r="AC755" s="25">
        <v>42.87</v>
      </c>
      <c r="AD755" s="25">
        <f>AC755*T755</f>
        <v>42.87</v>
      </c>
      <c r="AE755" s="25">
        <f>AB755*T755</f>
        <v>36.57</v>
      </c>
      <c r="AF755" s="25">
        <f>AD755-AE755</f>
        <v>6.2999999999999972</v>
      </c>
      <c r="AG755" s="26">
        <f>AF755/AD755</f>
        <v>0.14695591322603213</v>
      </c>
      <c r="AH755" s="27" t="str">
        <f>IF(AG755&lt;0,"Negative",IF(AG755=0,"Same",IF(AG755&gt;0.3,"30+%",IF(AG755&gt;0.2,"20-30%",IF(AG755&gt;0.1,"10-20%",IF(AG755&lt;=0.1,"0-10%"))))))</f>
        <v>10-20%</v>
      </c>
      <c r="AI755" s="32"/>
      <c r="AJ755" s="36" t="s">
        <v>3300</v>
      </c>
      <c r="AK755" s="32"/>
    </row>
    <row r="756" spans="1:37" s="1" customFormat="1" ht="19.7" customHeight="1" x14ac:dyDescent="0.25">
      <c r="A756" s="5" t="s">
        <v>22</v>
      </c>
      <c r="B756" s="5" t="s">
        <v>994</v>
      </c>
      <c r="C756" s="6">
        <v>44323</v>
      </c>
      <c r="D756" s="5" t="s">
        <v>24</v>
      </c>
      <c r="E756" s="5" t="s">
        <v>25</v>
      </c>
      <c r="F756" s="5" t="s">
        <v>26</v>
      </c>
      <c r="G756" s="5" t="s">
        <v>67</v>
      </c>
      <c r="H756" s="5" t="s">
        <v>68</v>
      </c>
      <c r="I756" s="5" t="s">
        <v>29</v>
      </c>
      <c r="J756" s="5" t="s">
        <v>30</v>
      </c>
      <c r="K756" s="5" t="s">
        <v>31</v>
      </c>
      <c r="L756" s="5" t="s">
        <v>32</v>
      </c>
      <c r="M756" s="5" t="s">
        <v>473</v>
      </c>
      <c r="N756" s="5" t="s">
        <v>995</v>
      </c>
      <c r="O756" s="5" t="s">
        <v>43</v>
      </c>
      <c r="P756" s="5" t="s">
        <v>474</v>
      </c>
      <c r="Q756" s="5">
        <v>104570311</v>
      </c>
      <c r="R756" s="5" t="s">
        <v>45</v>
      </c>
      <c r="S756" s="5" t="s">
        <v>39</v>
      </c>
      <c r="T756" s="7">
        <v>2</v>
      </c>
      <c r="U756" s="15" t="s">
        <v>43</v>
      </c>
      <c r="V756" s="16" t="s">
        <v>474</v>
      </c>
      <c r="W756" s="17">
        <v>104570311</v>
      </c>
      <c r="X756" s="16" t="s">
        <v>2520</v>
      </c>
      <c r="Y756" s="17" t="s">
        <v>2690</v>
      </c>
      <c r="Z756" s="17" t="s">
        <v>39</v>
      </c>
      <c r="AA756" s="17" t="s">
        <v>2501</v>
      </c>
      <c r="AB756" s="29">
        <v>36.57</v>
      </c>
      <c r="AC756" s="25">
        <v>42.87</v>
      </c>
      <c r="AD756" s="25">
        <f>AC756*T756</f>
        <v>85.74</v>
      </c>
      <c r="AE756" s="25">
        <f>AB756*T756</f>
        <v>73.14</v>
      </c>
      <c r="AF756" s="25">
        <f>AD756-AE756</f>
        <v>12.599999999999994</v>
      </c>
      <c r="AG756" s="26">
        <f>AF756/AD756</f>
        <v>0.14695591322603213</v>
      </c>
      <c r="AH756" s="27" t="str">
        <f>IF(AG756&lt;0,"Negative",IF(AG756=0,"Same",IF(AG756&gt;0.3,"30+%",IF(AG756&gt;0.2,"20-30%",IF(AG756&gt;0.1,"10-20%",IF(AG756&lt;=0.1,"0-10%"))))))</f>
        <v>10-20%</v>
      </c>
      <c r="AI756" s="32"/>
      <c r="AJ756" s="36" t="s">
        <v>3300</v>
      </c>
      <c r="AK756" s="32"/>
    </row>
    <row r="757" spans="1:37" s="1" customFormat="1" ht="19.7" customHeight="1" x14ac:dyDescent="0.25">
      <c r="A757" s="9" t="s">
        <v>22</v>
      </c>
      <c r="B757" s="9" t="s">
        <v>1586</v>
      </c>
      <c r="C757" s="10">
        <v>44421</v>
      </c>
      <c r="D757" s="9" t="s">
        <v>24</v>
      </c>
      <c r="E757" s="9" t="s">
        <v>25</v>
      </c>
      <c r="F757" s="9" t="s">
        <v>26</v>
      </c>
      <c r="G757" s="9" t="s">
        <v>27</v>
      </c>
      <c r="H757" s="9" t="s">
        <v>28</v>
      </c>
      <c r="I757" s="9" t="s">
        <v>29</v>
      </c>
      <c r="J757" s="9" t="s">
        <v>30</v>
      </c>
      <c r="K757" s="9" t="s">
        <v>31</v>
      </c>
      <c r="L757" s="9" t="s">
        <v>32</v>
      </c>
      <c r="M757" s="9" t="s">
        <v>1587</v>
      </c>
      <c r="N757" s="9" t="s">
        <v>1437</v>
      </c>
      <c r="O757" s="9" t="s">
        <v>71</v>
      </c>
      <c r="P757" s="9" t="s">
        <v>1588</v>
      </c>
      <c r="Q757" s="9">
        <v>104006479</v>
      </c>
      <c r="R757" s="9" t="s">
        <v>73</v>
      </c>
      <c r="S757" s="9" t="s">
        <v>39</v>
      </c>
      <c r="T757" s="11">
        <v>50</v>
      </c>
      <c r="U757" s="15" t="s">
        <v>71</v>
      </c>
      <c r="V757" s="41" t="s">
        <v>1588</v>
      </c>
      <c r="W757" s="17">
        <v>104006479</v>
      </c>
      <c r="X757" s="16" t="s">
        <v>2510</v>
      </c>
      <c r="Y757" s="17" t="s">
        <v>3085</v>
      </c>
      <c r="Z757" s="17" t="s">
        <v>39</v>
      </c>
      <c r="AA757" s="17" t="s">
        <v>37</v>
      </c>
      <c r="AB757" s="29">
        <v>23.33</v>
      </c>
      <c r="AC757" s="25">
        <v>23.33</v>
      </c>
      <c r="AD757" s="25">
        <f>AC757*T757</f>
        <v>1166.5</v>
      </c>
      <c r="AE757" s="25">
        <f>AB757*T757</f>
        <v>1166.5</v>
      </c>
      <c r="AF757" s="25">
        <f>AD757-AE757</f>
        <v>0</v>
      </c>
      <c r="AG757" s="26">
        <f>AF757/AD757</f>
        <v>0</v>
      </c>
      <c r="AH757" s="27" t="str">
        <f>IF(AG757&lt;0,"Negative",IF(AG757=0,"Same",IF(AG757&gt;0.3,"30+%",IF(AG757&gt;0.2,"20-30%",IF(AG757&gt;0.1,"10-20%",IF(AG757&lt;=0.1,"0-10%"))))))</f>
        <v>Same</v>
      </c>
      <c r="AI757" s="32"/>
      <c r="AJ757" s="36" t="s">
        <v>3300</v>
      </c>
      <c r="AK757" s="32"/>
    </row>
    <row r="758" spans="1:37" s="1" customFormat="1" ht="19.7" customHeight="1" x14ac:dyDescent="0.25">
      <c r="A758" s="9" t="s">
        <v>22</v>
      </c>
      <c r="B758" s="9" t="s">
        <v>1009</v>
      </c>
      <c r="C758" s="10">
        <v>44328</v>
      </c>
      <c r="D758" s="9" t="s">
        <v>24</v>
      </c>
      <c r="E758" s="9" t="s">
        <v>25</v>
      </c>
      <c r="F758" s="9" t="s">
        <v>26</v>
      </c>
      <c r="G758" s="9" t="s">
        <v>27</v>
      </c>
      <c r="H758" s="9" t="s">
        <v>28</v>
      </c>
      <c r="I758" s="9" t="s">
        <v>29</v>
      </c>
      <c r="J758" s="9" t="s">
        <v>30</v>
      </c>
      <c r="K758" s="9" t="s">
        <v>31</v>
      </c>
      <c r="L758" s="9" t="s">
        <v>32</v>
      </c>
      <c r="M758" s="9" t="s">
        <v>1010</v>
      </c>
      <c r="N758" s="9" t="s">
        <v>958</v>
      </c>
      <c r="O758" s="9" t="s">
        <v>89</v>
      </c>
      <c r="P758" s="9" t="s">
        <v>1011</v>
      </c>
      <c r="Q758" s="9">
        <v>100914275</v>
      </c>
      <c r="R758" s="9" t="s">
        <v>45</v>
      </c>
      <c r="S758" s="9" t="s">
        <v>39</v>
      </c>
      <c r="T758" s="11">
        <v>2</v>
      </c>
      <c r="U758" s="15" t="s">
        <v>89</v>
      </c>
      <c r="V758" s="16" t="s">
        <v>1011</v>
      </c>
      <c r="W758" s="17">
        <v>100914275</v>
      </c>
      <c r="X758" s="16" t="s">
        <v>2518</v>
      </c>
      <c r="Y758" s="17" t="s">
        <v>2894</v>
      </c>
      <c r="Z758" s="17" t="s">
        <v>39</v>
      </c>
      <c r="AA758" s="17" t="s">
        <v>37</v>
      </c>
      <c r="AB758" s="43">
        <v>21.37</v>
      </c>
      <c r="AC758" s="25">
        <v>25.06</v>
      </c>
      <c r="AD758" s="25">
        <f>AC758*T758</f>
        <v>50.12</v>
      </c>
      <c r="AE758" s="25">
        <f>AB758*T758</f>
        <v>42.74</v>
      </c>
      <c r="AF758" s="25">
        <f>AD758-AE758</f>
        <v>7.3799999999999955</v>
      </c>
      <c r="AG758" s="26">
        <f>AF758/AD758</f>
        <v>0.14724660814046281</v>
      </c>
      <c r="AH758" s="27" t="str">
        <f>IF(AG758&lt;0,"Negative",IF(AG758=0,"Same",IF(AG758&gt;0.3,"30+%",IF(AG758&gt;0.2,"20-30%",IF(AG758&gt;0.1,"10-20%",IF(AG758&lt;=0.1,"0-10%"))))))</f>
        <v>10-20%</v>
      </c>
      <c r="AI758" s="32"/>
      <c r="AJ758" s="36" t="s">
        <v>3300</v>
      </c>
      <c r="AK758" s="32"/>
    </row>
    <row r="759" spans="1:37" s="1" customFormat="1" ht="19.7" customHeight="1" x14ac:dyDescent="0.25">
      <c r="A759" s="5" t="s">
        <v>22</v>
      </c>
      <c r="B759" s="5" t="s">
        <v>2034</v>
      </c>
      <c r="C759" s="6">
        <v>44503</v>
      </c>
      <c r="D759" s="5" t="s">
        <v>24</v>
      </c>
      <c r="E759" s="5" t="s">
        <v>25</v>
      </c>
      <c r="F759" s="5" t="s">
        <v>26</v>
      </c>
      <c r="G759" s="5" t="s">
        <v>27</v>
      </c>
      <c r="H759" s="5" t="s">
        <v>28</v>
      </c>
      <c r="I759" s="5" t="s">
        <v>29</v>
      </c>
      <c r="J759" s="5" t="s">
        <v>30</v>
      </c>
      <c r="K759" s="5" t="s">
        <v>31</v>
      </c>
      <c r="L759" s="5" t="s">
        <v>32</v>
      </c>
      <c r="M759" s="5" t="s">
        <v>2038</v>
      </c>
      <c r="N759" s="5" t="s">
        <v>2035</v>
      </c>
      <c r="O759" s="5" t="s">
        <v>35</v>
      </c>
      <c r="P759" s="5" t="s">
        <v>2039</v>
      </c>
      <c r="Q759" s="5">
        <v>100491019</v>
      </c>
      <c r="R759" s="5" t="s">
        <v>38</v>
      </c>
      <c r="S759" s="5" t="s">
        <v>39</v>
      </c>
      <c r="T759" s="7">
        <v>1</v>
      </c>
      <c r="U759" s="15" t="s">
        <v>35</v>
      </c>
      <c r="V759" s="16" t="s">
        <v>2039</v>
      </c>
      <c r="W759" s="17">
        <v>100491019</v>
      </c>
      <c r="X759" s="16" t="s">
        <v>2737</v>
      </c>
      <c r="Y759" s="17" t="s">
        <v>3192</v>
      </c>
      <c r="Z759" s="17" t="s">
        <v>39</v>
      </c>
      <c r="AA759" s="17" t="s">
        <v>37</v>
      </c>
      <c r="AB759" s="29">
        <v>96.33</v>
      </c>
      <c r="AC759" s="25">
        <v>98.5</v>
      </c>
      <c r="AD759" s="25">
        <f>AC759*T759</f>
        <v>98.5</v>
      </c>
      <c r="AE759" s="25">
        <f>AB759*T759</f>
        <v>96.33</v>
      </c>
      <c r="AF759" s="25">
        <f>AD759-AE759</f>
        <v>2.1700000000000017</v>
      </c>
      <c r="AG759" s="26">
        <f>AF759/AD759</f>
        <v>2.2030456852791896E-2</v>
      </c>
      <c r="AH759" s="27" t="str">
        <f>IF(AG759&lt;0,"Negative",IF(AG759=0,"Same",IF(AG759&gt;0.3,"30+%",IF(AG759&gt;0.2,"20-30%",IF(AG759&gt;0.1,"10-20%",IF(AG759&lt;=0.1,"0-10%"))))))</f>
        <v>0-10%</v>
      </c>
      <c r="AI759" s="32"/>
      <c r="AJ759" s="36" t="s">
        <v>3300</v>
      </c>
      <c r="AK759" s="32"/>
    </row>
    <row r="760" spans="1:37" s="1" customFormat="1" ht="19.7" customHeight="1" x14ac:dyDescent="0.25">
      <c r="A760" s="5" t="s">
        <v>22</v>
      </c>
      <c r="B760" s="5" t="s">
        <v>2281</v>
      </c>
      <c r="C760" s="6">
        <v>44559</v>
      </c>
      <c r="D760" s="5" t="s">
        <v>24</v>
      </c>
      <c r="E760" s="5" t="s">
        <v>25</v>
      </c>
      <c r="F760" s="5" t="s">
        <v>26</v>
      </c>
      <c r="G760" s="5" t="s">
        <v>67</v>
      </c>
      <c r="H760" s="5" t="s">
        <v>68</v>
      </c>
      <c r="I760" s="5" t="s">
        <v>29</v>
      </c>
      <c r="J760" s="5" t="s">
        <v>30</v>
      </c>
      <c r="K760" s="5" t="s">
        <v>31</v>
      </c>
      <c r="L760" s="5" t="s">
        <v>32</v>
      </c>
      <c r="M760" s="5" t="s">
        <v>434</v>
      </c>
      <c r="N760" s="5" t="s">
        <v>2117</v>
      </c>
      <c r="O760" s="5" t="s">
        <v>128</v>
      </c>
      <c r="P760" s="5" t="s">
        <v>435</v>
      </c>
      <c r="Q760" s="5">
        <v>100867416</v>
      </c>
      <c r="R760" s="5" t="s">
        <v>45</v>
      </c>
      <c r="S760" s="5" t="s">
        <v>39</v>
      </c>
      <c r="T760" s="7">
        <v>1</v>
      </c>
      <c r="U760" s="15" t="s">
        <v>128</v>
      </c>
      <c r="V760" s="16" t="s">
        <v>435</v>
      </c>
      <c r="W760" s="17">
        <v>100867416</v>
      </c>
      <c r="X760" s="16" t="s">
        <v>2670</v>
      </c>
      <c r="Y760" s="17" t="s">
        <v>2671</v>
      </c>
      <c r="Z760" s="17" t="s">
        <v>39</v>
      </c>
      <c r="AA760" s="17" t="s">
        <v>37</v>
      </c>
      <c r="AB760" s="29">
        <v>27.67</v>
      </c>
      <c r="AC760" s="25">
        <v>33.78</v>
      </c>
      <c r="AD760" s="25">
        <f>AC760*T760</f>
        <v>33.78</v>
      </c>
      <c r="AE760" s="25">
        <f>AB760*T760</f>
        <v>27.67</v>
      </c>
      <c r="AF760" s="25">
        <f>AD760-AE760</f>
        <v>6.1099999999999994</v>
      </c>
      <c r="AG760" s="26">
        <f>AF760/AD760</f>
        <v>0.18087625814091177</v>
      </c>
      <c r="AH760" s="27" t="str">
        <f>IF(AG760&lt;0,"Negative",IF(AG760=0,"Same",IF(AG760&gt;0.3,"30+%",IF(AG760&gt;0.2,"20-30%",IF(AG760&gt;0.1,"10-20%",IF(AG760&lt;=0.1,"0-10%"))))))</f>
        <v>10-20%</v>
      </c>
      <c r="AI760" s="32"/>
      <c r="AJ760" s="36" t="s">
        <v>3299</v>
      </c>
      <c r="AK760" s="32"/>
    </row>
    <row r="761" spans="1:37" s="1" customFormat="1" ht="19.7" customHeight="1" x14ac:dyDescent="0.25">
      <c r="A761" s="9" t="s">
        <v>22</v>
      </c>
      <c r="B761" s="9" t="s">
        <v>1227</v>
      </c>
      <c r="C761" s="10">
        <v>44362</v>
      </c>
      <c r="D761" s="9" t="s">
        <v>24</v>
      </c>
      <c r="E761" s="9" t="s">
        <v>25</v>
      </c>
      <c r="F761" s="9" t="s">
        <v>26</v>
      </c>
      <c r="G761" s="9" t="s">
        <v>27</v>
      </c>
      <c r="H761" s="9" t="s">
        <v>28</v>
      </c>
      <c r="I761" s="9" t="s">
        <v>29</v>
      </c>
      <c r="J761" s="9" t="s">
        <v>30</v>
      </c>
      <c r="K761" s="9" t="s">
        <v>31</v>
      </c>
      <c r="L761" s="9" t="s">
        <v>32</v>
      </c>
      <c r="M761" s="9" t="s">
        <v>1228</v>
      </c>
      <c r="N761" s="9" t="s">
        <v>1146</v>
      </c>
      <c r="O761" s="9" t="s">
        <v>1074</v>
      </c>
      <c r="P761" s="9" t="s">
        <v>1229</v>
      </c>
      <c r="Q761" s="9">
        <v>100848687</v>
      </c>
      <c r="R761" s="9" t="s">
        <v>73</v>
      </c>
      <c r="S761" s="9" t="s">
        <v>39</v>
      </c>
      <c r="T761" s="11">
        <v>1</v>
      </c>
      <c r="U761" s="15" t="s">
        <v>1074</v>
      </c>
      <c r="V761" s="16" t="s">
        <v>1229</v>
      </c>
      <c r="W761" s="17">
        <v>100848687</v>
      </c>
      <c r="X761" s="16" t="s">
        <v>2916</v>
      </c>
      <c r="Y761" s="17" t="s">
        <v>2969</v>
      </c>
      <c r="Z761" s="17" t="s">
        <v>39</v>
      </c>
      <c r="AA761" s="17" t="s">
        <v>37</v>
      </c>
      <c r="AB761" s="29">
        <v>32.85</v>
      </c>
      <c r="AC761" s="25">
        <v>31.5</v>
      </c>
      <c r="AD761" s="25">
        <f>AC761*T761</f>
        <v>31.5</v>
      </c>
      <c r="AE761" s="25">
        <f>AB761*T761</f>
        <v>32.85</v>
      </c>
      <c r="AF761" s="25">
        <f>AD761-AE761</f>
        <v>-1.3500000000000014</v>
      </c>
      <c r="AG761" s="26">
        <f>AF761/AD761</f>
        <v>-4.2857142857142899E-2</v>
      </c>
      <c r="AH761" s="27" t="str">
        <f>IF(AG761&lt;0,"Negative",IF(AG761=0,"Same",IF(AG761&gt;0.3,"30+%",IF(AG761&gt;0.2,"20-30%",IF(AG761&gt;0.1,"10-20%",IF(AG761&lt;=0.1,"0-10%"))))))</f>
        <v>Negative</v>
      </c>
      <c r="AI761" s="32"/>
      <c r="AJ761" s="36" t="s">
        <v>3299</v>
      </c>
      <c r="AK761" s="32"/>
    </row>
    <row r="762" spans="1:37" s="1" customFormat="1" ht="19.7" customHeight="1" x14ac:dyDescent="0.25">
      <c r="A762" s="9" t="s">
        <v>22</v>
      </c>
      <c r="B762" s="9" t="s">
        <v>1144</v>
      </c>
      <c r="C762" s="10">
        <v>44348</v>
      </c>
      <c r="D762" s="9" t="s">
        <v>24</v>
      </c>
      <c r="E762" s="9" t="s">
        <v>25</v>
      </c>
      <c r="F762" s="9" t="s">
        <v>26</v>
      </c>
      <c r="G762" s="9" t="s">
        <v>27</v>
      </c>
      <c r="H762" s="9" t="s">
        <v>28</v>
      </c>
      <c r="I762" s="9" t="s">
        <v>29</v>
      </c>
      <c r="J762" s="9" t="s">
        <v>30</v>
      </c>
      <c r="K762" s="9" t="s">
        <v>31</v>
      </c>
      <c r="L762" s="9" t="s">
        <v>32</v>
      </c>
      <c r="M762" s="9" t="s">
        <v>1145</v>
      </c>
      <c r="N762" s="9" t="s">
        <v>1146</v>
      </c>
      <c r="O762" s="9" t="s">
        <v>1074</v>
      </c>
      <c r="P762" s="9" t="s">
        <v>1147</v>
      </c>
      <c r="Q762" s="9">
        <v>100848691</v>
      </c>
      <c r="R762" s="9" t="s">
        <v>73</v>
      </c>
      <c r="S762" s="9" t="s">
        <v>39</v>
      </c>
      <c r="T762" s="11">
        <v>1</v>
      </c>
      <c r="U762" s="15" t="s">
        <v>1074</v>
      </c>
      <c r="V762" s="16" t="s">
        <v>1147</v>
      </c>
      <c r="W762" s="17">
        <v>100848691</v>
      </c>
      <c r="X762" s="16" t="s">
        <v>2916</v>
      </c>
      <c r="Y762" s="17" t="s">
        <v>2940</v>
      </c>
      <c r="Z762" s="17" t="s">
        <v>39</v>
      </c>
      <c r="AA762" s="17" t="s">
        <v>37</v>
      </c>
      <c r="AB762" s="29">
        <v>32.85</v>
      </c>
      <c r="AC762" s="25">
        <v>31.5</v>
      </c>
      <c r="AD762" s="25">
        <f>AC762*T762</f>
        <v>31.5</v>
      </c>
      <c r="AE762" s="25">
        <f>AB762*T762</f>
        <v>32.85</v>
      </c>
      <c r="AF762" s="25">
        <f>AD762-AE762</f>
        <v>-1.3500000000000014</v>
      </c>
      <c r="AG762" s="26">
        <f>AF762/AD762</f>
        <v>-4.2857142857142899E-2</v>
      </c>
      <c r="AH762" s="27" t="str">
        <f>IF(AG762&lt;0,"Negative",IF(AG762=0,"Same",IF(AG762&gt;0.3,"30+%",IF(AG762&gt;0.2,"20-30%",IF(AG762&gt;0.1,"10-20%",IF(AG762&lt;=0.1,"0-10%"))))))</f>
        <v>Negative</v>
      </c>
      <c r="AI762" s="32"/>
      <c r="AJ762" s="36" t="s">
        <v>3300</v>
      </c>
      <c r="AK762" s="32"/>
    </row>
    <row r="763" spans="1:37" s="1" customFormat="1" ht="19.7" customHeight="1" x14ac:dyDescent="0.25">
      <c r="A763" s="5" t="s">
        <v>22</v>
      </c>
      <c r="B763" s="5" t="s">
        <v>855</v>
      </c>
      <c r="C763" s="6">
        <v>44312</v>
      </c>
      <c r="D763" s="5" t="s">
        <v>24</v>
      </c>
      <c r="E763" s="5" t="s">
        <v>25</v>
      </c>
      <c r="F763" s="5" t="s">
        <v>26</v>
      </c>
      <c r="G763" s="5" t="s">
        <v>27</v>
      </c>
      <c r="H763" s="5" t="s">
        <v>28</v>
      </c>
      <c r="I763" s="5" t="s">
        <v>29</v>
      </c>
      <c r="J763" s="5" t="s">
        <v>30</v>
      </c>
      <c r="K763" s="5" t="s">
        <v>31</v>
      </c>
      <c r="L763" s="5" t="s">
        <v>32</v>
      </c>
      <c r="M763" s="5" t="s">
        <v>261</v>
      </c>
      <c r="N763" s="5" t="s">
        <v>856</v>
      </c>
      <c r="O763" s="5" t="s">
        <v>89</v>
      </c>
      <c r="P763" s="5" t="s">
        <v>857</v>
      </c>
      <c r="Q763" s="5">
        <v>100747978</v>
      </c>
      <c r="R763" s="5" t="s">
        <v>45</v>
      </c>
      <c r="S763" s="5" t="s">
        <v>39</v>
      </c>
      <c r="T763" s="7">
        <v>2</v>
      </c>
      <c r="U763" s="15" t="s">
        <v>89</v>
      </c>
      <c r="V763" s="16" t="s">
        <v>857</v>
      </c>
      <c r="W763" s="17">
        <v>100747978</v>
      </c>
      <c r="X763" s="16" t="s">
        <v>2520</v>
      </c>
      <c r="Y763" s="17" t="s">
        <v>2842</v>
      </c>
      <c r="Z763" s="17" t="s">
        <v>39</v>
      </c>
      <c r="AA763" s="17" t="s">
        <v>37</v>
      </c>
      <c r="AB763" s="43">
        <v>21.29</v>
      </c>
      <c r="AC763" s="25">
        <v>26.19</v>
      </c>
      <c r="AD763" s="25">
        <f>AC763*T763</f>
        <v>52.38</v>
      </c>
      <c r="AE763" s="25">
        <f>AB763*T763</f>
        <v>42.58</v>
      </c>
      <c r="AF763" s="25">
        <f>AD763-AE763</f>
        <v>9.8000000000000043</v>
      </c>
      <c r="AG763" s="26">
        <f>AF763/AD763</f>
        <v>0.18709431080565109</v>
      </c>
      <c r="AH763" s="27" t="str">
        <f>IF(AG763&lt;0,"Negative",IF(AG763=0,"Same",IF(AG763&gt;0.3,"30+%",IF(AG763&gt;0.2,"20-30%",IF(AG763&gt;0.1,"10-20%",IF(AG763&lt;=0.1,"0-10%"))))))</f>
        <v>10-20%</v>
      </c>
      <c r="AI763" s="32"/>
      <c r="AJ763" s="36" t="s">
        <v>3299</v>
      </c>
      <c r="AK763" s="32"/>
    </row>
    <row r="764" spans="1:37" s="1" customFormat="1" ht="19.7" customHeight="1" x14ac:dyDescent="0.25">
      <c r="A764" s="5" t="s">
        <v>22</v>
      </c>
      <c r="B764" s="5" t="s">
        <v>1167</v>
      </c>
      <c r="C764" s="6">
        <v>44350</v>
      </c>
      <c r="D764" s="5" t="s">
        <v>24</v>
      </c>
      <c r="E764" s="5" t="s">
        <v>25</v>
      </c>
      <c r="F764" s="5" t="s">
        <v>26</v>
      </c>
      <c r="G764" s="5" t="s">
        <v>27</v>
      </c>
      <c r="H764" s="5" t="s">
        <v>28</v>
      </c>
      <c r="I764" s="5" t="s">
        <v>29</v>
      </c>
      <c r="J764" s="5" t="s">
        <v>30</v>
      </c>
      <c r="K764" s="5" t="s">
        <v>31</v>
      </c>
      <c r="L764" s="5" t="s">
        <v>32</v>
      </c>
      <c r="M764" s="5" t="s">
        <v>1168</v>
      </c>
      <c r="N764" s="5" t="s">
        <v>1157</v>
      </c>
      <c r="O764" s="5" t="s">
        <v>1071</v>
      </c>
      <c r="P764" s="5" t="s">
        <v>1169</v>
      </c>
      <c r="Q764" s="5">
        <v>100760596</v>
      </c>
      <c r="R764" s="5" t="s">
        <v>61</v>
      </c>
      <c r="S764" s="5" t="s">
        <v>39</v>
      </c>
      <c r="T764" s="7">
        <v>1</v>
      </c>
      <c r="U764" s="15" t="s">
        <v>1071</v>
      </c>
      <c r="V764" s="16" t="s">
        <v>1169</v>
      </c>
      <c r="W764" s="17">
        <v>100760596</v>
      </c>
      <c r="X764" s="16" t="s">
        <v>2947</v>
      </c>
      <c r="Y764" s="17" t="s">
        <v>2948</v>
      </c>
      <c r="Z764" s="17" t="s">
        <v>39</v>
      </c>
      <c r="AA764" s="17" t="s">
        <v>37</v>
      </c>
      <c r="AB764" s="43">
        <v>52.85</v>
      </c>
      <c r="AC764" s="25">
        <v>56.61</v>
      </c>
      <c r="AD764" s="25">
        <f>AC764*T764</f>
        <v>56.61</v>
      </c>
      <c r="AE764" s="25">
        <f>AB764*T764</f>
        <v>52.85</v>
      </c>
      <c r="AF764" s="25">
        <f>AD764-AE764</f>
        <v>3.759999999999998</v>
      </c>
      <c r="AG764" s="26">
        <f>AF764/AD764</f>
        <v>6.641936053700756E-2</v>
      </c>
      <c r="AH764" s="27" t="str">
        <f>IF(AG764&lt;0,"Negative",IF(AG764=0,"Same",IF(AG764&gt;0.3,"30+%",IF(AG764&gt;0.2,"20-30%",IF(AG764&gt;0.1,"10-20%",IF(AG764&lt;=0.1,"0-10%"))))))</f>
        <v>0-10%</v>
      </c>
      <c r="AI764" s="32"/>
      <c r="AJ764" s="36" t="s">
        <v>3299</v>
      </c>
      <c r="AK764" s="32"/>
    </row>
    <row r="765" spans="1:37" s="1" customFormat="1" ht="19.7" customHeight="1" x14ac:dyDescent="0.25">
      <c r="A765" s="9" t="s">
        <v>22</v>
      </c>
      <c r="B765" s="9" t="s">
        <v>1615</v>
      </c>
      <c r="C765" s="10">
        <v>44425</v>
      </c>
      <c r="D765" s="9" t="s">
        <v>24</v>
      </c>
      <c r="E765" s="9" t="s">
        <v>25</v>
      </c>
      <c r="F765" s="9" t="s">
        <v>26</v>
      </c>
      <c r="G765" s="9" t="s">
        <v>27</v>
      </c>
      <c r="H765" s="9" t="s">
        <v>28</v>
      </c>
      <c r="I765" s="9" t="s">
        <v>29</v>
      </c>
      <c r="J765" s="9" t="s">
        <v>30</v>
      </c>
      <c r="K765" s="9" t="s">
        <v>31</v>
      </c>
      <c r="L765" s="9" t="s">
        <v>32</v>
      </c>
      <c r="M765" s="9" t="s">
        <v>1616</v>
      </c>
      <c r="N765" s="9" t="s">
        <v>1569</v>
      </c>
      <c r="O765" s="9" t="s">
        <v>334</v>
      </c>
      <c r="P765" s="9" t="s">
        <v>1617</v>
      </c>
      <c r="Q765" s="9">
        <v>111624419</v>
      </c>
      <c r="R765" s="9" t="s">
        <v>38</v>
      </c>
      <c r="S765" s="9" t="s">
        <v>39</v>
      </c>
      <c r="T765" s="11">
        <v>1</v>
      </c>
      <c r="U765" s="15" t="s">
        <v>334</v>
      </c>
      <c r="V765" s="16" t="s">
        <v>1617</v>
      </c>
      <c r="W765" s="17">
        <v>111624419</v>
      </c>
      <c r="X765" s="16" t="s">
        <v>2629</v>
      </c>
      <c r="Y765" s="17" t="s">
        <v>3092</v>
      </c>
      <c r="Z765" s="17" t="s">
        <v>39</v>
      </c>
      <c r="AA765" s="17" t="s">
        <v>37</v>
      </c>
      <c r="AB765" s="29">
        <v>39</v>
      </c>
      <c r="AC765" s="25">
        <v>39.880000000000003</v>
      </c>
      <c r="AD765" s="25">
        <f>AC765*T765</f>
        <v>39.880000000000003</v>
      </c>
      <c r="AE765" s="25">
        <f>AB765*T765</f>
        <v>39</v>
      </c>
      <c r="AF765" s="25">
        <f>AD765-AE765</f>
        <v>0.88000000000000256</v>
      </c>
      <c r="AG765" s="26">
        <f>AF765/AD765</f>
        <v>2.2066198595787425E-2</v>
      </c>
      <c r="AH765" s="27" t="str">
        <f>IF(AG765&lt;0,"Negative",IF(AG765=0,"Same",IF(AG765&gt;0.3,"30+%",IF(AG765&gt;0.2,"20-30%",IF(AG765&gt;0.1,"10-20%",IF(AG765&lt;=0.1,"0-10%"))))))</f>
        <v>0-10%</v>
      </c>
      <c r="AI765" s="32"/>
      <c r="AJ765" s="36" t="s">
        <v>3300</v>
      </c>
      <c r="AK765" s="32"/>
    </row>
    <row r="766" spans="1:37" s="1" customFormat="1" ht="19.7" customHeight="1" x14ac:dyDescent="0.25">
      <c r="A766" s="5" t="s">
        <v>22</v>
      </c>
      <c r="B766" s="5" t="s">
        <v>1745</v>
      </c>
      <c r="C766" s="6">
        <v>44452</v>
      </c>
      <c r="D766" s="5" t="s">
        <v>24</v>
      </c>
      <c r="E766" s="5" t="s">
        <v>25</v>
      </c>
      <c r="F766" s="5" t="s">
        <v>26</v>
      </c>
      <c r="G766" s="5" t="s">
        <v>67</v>
      </c>
      <c r="H766" s="5" t="s">
        <v>68</v>
      </c>
      <c r="I766" s="5" t="s">
        <v>29</v>
      </c>
      <c r="J766" s="5" t="s">
        <v>30</v>
      </c>
      <c r="K766" s="5" t="s">
        <v>31</v>
      </c>
      <c r="L766" s="5" t="s">
        <v>32</v>
      </c>
      <c r="M766" s="5" t="s">
        <v>430</v>
      </c>
      <c r="N766" s="5" t="s">
        <v>1746</v>
      </c>
      <c r="O766" s="5" t="s">
        <v>79</v>
      </c>
      <c r="P766" s="5" t="s">
        <v>431</v>
      </c>
      <c r="Q766" s="5">
        <v>101530540</v>
      </c>
      <c r="R766" s="5" t="s">
        <v>61</v>
      </c>
      <c r="S766" s="5" t="s">
        <v>39</v>
      </c>
      <c r="T766" s="7">
        <v>2</v>
      </c>
      <c r="U766" s="15" t="s">
        <v>79</v>
      </c>
      <c r="V766" s="16" t="s">
        <v>431</v>
      </c>
      <c r="W766" s="17">
        <v>101530540</v>
      </c>
      <c r="X766" s="16" t="s">
        <v>2540</v>
      </c>
      <c r="Y766" s="17" t="s">
        <v>2668</v>
      </c>
      <c r="Z766" s="17" t="s">
        <v>39</v>
      </c>
      <c r="AA766" s="17" t="s">
        <v>37</v>
      </c>
      <c r="AB766" s="43">
        <v>24.27</v>
      </c>
      <c r="AC766" s="25">
        <v>30.34</v>
      </c>
      <c r="AD766" s="25">
        <f>AC766*T766</f>
        <v>60.68</v>
      </c>
      <c r="AE766" s="25">
        <f>AB766*T766</f>
        <v>48.54</v>
      </c>
      <c r="AF766" s="25">
        <f>AD766-AE766</f>
        <v>12.14</v>
      </c>
      <c r="AG766" s="26">
        <f>AF766/AD766</f>
        <v>0.2000659195781147</v>
      </c>
      <c r="AH766" s="27" t="str">
        <f>IF(AG766&lt;0,"Negative",IF(AG766=0,"Same",IF(AG766&gt;0.3,"30+%",IF(AG766&gt;0.2,"20-30%",IF(AG766&gt;0.1,"10-20%",IF(AG766&lt;=0.1,"0-10%"))))))</f>
        <v>20-30%</v>
      </c>
      <c r="AI766" s="32"/>
      <c r="AJ766" s="36" t="s">
        <v>3299</v>
      </c>
      <c r="AK766" s="32"/>
    </row>
    <row r="767" spans="1:37" s="1" customFormat="1" ht="19.7" customHeight="1" x14ac:dyDescent="0.25">
      <c r="A767" s="9" t="s">
        <v>22</v>
      </c>
      <c r="B767" s="9" t="s">
        <v>426</v>
      </c>
      <c r="C767" s="10">
        <v>44260</v>
      </c>
      <c r="D767" s="9" t="s">
        <v>24</v>
      </c>
      <c r="E767" s="9" t="s">
        <v>25</v>
      </c>
      <c r="F767" s="9" t="s">
        <v>26</v>
      </c>
      <c r="G767" s="9" t="s">
        <v>67</v>
      </c>
      <c r="H767" s="9" t="s">
        <v>68</v>
      </c>
      <c r="I767" s="9" t="s">
        <v>29</v>
      </c>
      <c r="J767" s="9" t="s">
        <v>30</v>
      </c>
      <c r="K767" s="9" t="s">
        <v>31</v>
      </c>
      <c r="L767" s="9" t="s">
        <v>32</v>
      </c>
      <c r="M767" s="9" t="s">
        <v>430</v>
      </c>
      <c r="N767" s="9" t="s">
        <v>428</v>
      </c>
      <c r="O767" s="9" t="s">
        <v>79</v>
      </c>
      <c r="P767" s="9" t="s">
        <v>431</v>
      </c>
      <c r="Q767" s="9">
        <v>101530540</v>
      </c>
      <c r="R767" s="9" t="s">
        <v>61</v>
      </c>
      <c r="S767" s="9" t="s">
        <v>39</v>
      </c>
      <c r="T767" s="11">
        <v>2</v>
      </c>
      <c r="U767" s="15" t="s">
        <v>79</v>
      </c>
      <c r="V767" s="16" t="s">
        <v>431</v>
      </c>
      <c r="W767" s="17">
        <v>101530540</v>
      </c>
      <c r="X767" s="16" t="s">
        <v>2540</v>
      </c>
      <c r="Y767" s="17" t="s">
        <v>2668</v>
      </c>
      <c r="Z767" s="17" t="s">
        <v>39</v>
      </c>
      <c r="AA767" s="17" t="s">
        <v>37</v>
      </c>
      <c r="AB767" s="43">
        <v>24.27</v>
      </c>
      <c r="AC767" s="25">
        <v>30.34</v>
      </c>
      <c r="AD767" s="25">
        <f>AC767*T767</f>
        <v>60.68</v>
      </c>
      <c r="AE767" s="25">
        <f>AB767*T767</f>
        <v>48.54</v>
      </c>
      <c r="AF767" s="25">
        <f>AD767-AE767</f>
        <v>12.14</v>
      </c>
      <c r="AG767" s="26">
        <f>AF767/AD767</f>
        <v>0.2000659195781147</v>
      </c>
      <c r="AH767" s="27" t="str">
        <f>IF(AG767&lt;0,"Negative",IF(AG767=0,"Same",IF(AG767&gt;0.3,"30+%",IF(AG767&gt;0.2,"20-30%",IF(AG767&gt;0.1,"10-20%",IF(AG767&lt;=0.1,"0-10%"))))))</f>
        <v>20-30%</v>
      </c>
      <c r="AI767" s="32"/>
      <c r="AJ767" s="36" t="s">
        <v>3299</v>
      </c>
      <c r="AK767" s="32"/>
    </row>
    <row r="768" spans="1:37" s="1" customFormat="1" ht="19.7" customHeight="1" x14ac:dyDescent="0.25">
      <c r="A768" s="9" t="s">
        <v>22</v>
      </c>
      <c r="B768" s="9" t="s">
        <v>1747</v>
      </c>
      <c r="C768" s="10">
        <v>44452</v>
      </c>
      <c r="D768" s="9" t="s">
        <v>24</v>
      </c>
      <c r="E768" s="9" t="s">
        <v>25</v>
      </c>
      <c r="F768" s="9" t="s">
        <v>26</v>
      </c>
      <c r="G768" s="9" t="s">
        <v>67</v>
      </c>
      <c r="H768" s="9" t="s">
        <v>68</v>
      </c>
      <c r="I768" s="9" t="s">
        <v>29</v>
      </c>
      <c r="J768" s="9" t="s">
        <v>30</v>
      </c>
      <c r="K768" s="9" t="s">
        <v>31</v>
      </c>
      <c r="L768" s="9" t="s">
        <v>32</v>
      </c>
      <c r="M768" s="9" t="s">
        <v>1749</v>
      </c>
      <c r="N768" s="9" t="s">
        <v>1748</v>
      </c>
      <c r="O768" s="9" t="s">
        <v>79</v>
      </c>
      <c r="P768" s="9" t="s">
        <v>1750</v>
      </c>
      <c r="Q768" s="9">
        <v>101526257</v>
      </c>
      <c r="R768" s="9" t="s">
        <v>61</v>
      </c>
      <c r="S768" s="9" t="s">
        <v>39</v>
      </c>
      <c r="T768" s="11">
        <v>1</v>
      </c>
      <c r="U768" s="15" t="s">
        <v>79</v>
      </c>
      <c r="V768" s="16" t="s">
        <v>1750</v>
      </c>
      <c r="W768" s="17">
        <v>101526257</v>
      </c>
      <c r="X768" s="16" t="s">
        <v>2540</v>
      </c>
      <c r="Y768" s="17" t="s">
        <v>3121</v>
      </c>
      <c r="Z768" s="17" t="s">
        <v>39</v>
      </c>
      <c r="AA768" s="17" t="s">
        <v>37</v>
      </c>
      <c r="AB768" s="43">
        <v>24.5</v>
      </c>
      <c r="AC768" s="25">
        <v>30.61</v>
      </c>
      <c r="AD768" s="25">
        <f>AC768*T768</f>
        <v>30.61</v>
      </c>
      <c r="AE768" s="25">
        <f>AB768*T768</f>
        <v>24.5</v>
      </c>
      <c r="AF768" s="25">
        <f>AD768-AE768</f>
        <v>6.1099999999999994</v>
      </c>
      <c r="AG768" s="26">
        <f>AF768/AD768</f>
        <v>0.19960797125122506</v>
      </c>
      <c r="AH768" s="27" t="str">
        <f>IF(AG768&lt;0,"Negative",IF(AG768=0,"Same",IF(AG768&gt;0.3,"30+%",IF(AG768&gt;0.2,"20-30%",IF(AG768&gt;0.1,"10-20%",IF(AG768&lt;=0.1,"0-10%"))))))</f>
        <v>10-20%</v>
      </c>
      <c r="AI768" s="32"/>
      <c r="AJ768" s="36" t="s">
        <v>3299</v>
      </c>
      <c r="AK768" s="32"/>
    </row>
    <row r="769" spans="1:37" s="1" customFormat="1" ht="19.7" customHeight="1" x14ac:dyDescent="0.25">
      <c r="A769" s="9" t="s">
        <v>22</v>
      </c>
      <c r="B769" s="9" t="s">
        <v>1753</v>
      </c>
      <c r="C769" s="10">
        <v>44452</v>
      </c>
      <c r="D769" s="9" t="s">
        <v>24</v>
      </c>
      <c r="E769" s="9" t="s">
        <v>25</v>
      </c>
      <c r="F769" s="9" t="s">
        <v>26</v>
      </c>
      <c r="G769" s="9" t="s">
        <v>67</v>
      </c>
      <c r="H769" s="9" t="s">
        <v>68</v>
      </c>
      <c r="I769" s="9" t="s">
        <v>29</v>
      </c>
      <c r="J769" s="9" t="s">
        <v>30</v>
      </c>
      <c r="K769" s="9" t="s">
        <v>31</v>
      </c>
      <c r="L769" s="9" t="s">
        <v>32</v>
      </c>
      <c r="M769" s="9" t="s">
        <v>1749</v>
      </c>
      <c r="N769" s="9" t="s">
        <v>1754</v>
      </c>
      <c r="O769" s="9" t="s">
        <v>79</v>
      </c>
      <c r="P769" s="9" t="s">
        <v>1750</v>
      </c>
      <c r="Q769" s="9">
        <v>101526257</v>
      </c>
      <c r="R769" s="9" t="s">
        <v>61</v>
      </c>
      <c r="S769" s="9" t="s">
        <v>39</v>
      </c>
      <c r="T769" s="11">
        <v>1</v>
      </c>
      <c r="U769" s="15" t="s">
        <v>79</v>
      </c>
      <c r="V769" s="16" t="s">
        <v>1750</v>
      </c>
      <c r="W769" s="17">
        <v>101526257</v>
      </c>
      <c r="X769" s="16" t="s">
        <v>2540</v>
      </c>
      <c r="Y769" s="17" t="s">
        <v>3121</v>
      </c>
      <c r="Z769" s="17" t="s">
        <v>39</v>
      </c>
      <c r="AA769" s="17" t="s">
        <v>37</v>
      </c>
      <c r="AB769" s="43">
        <v>24.5</v>
      </c>
      <c r="AC769" s="25">
        <v>30.61</v>
      </c>
      <c r="AD769" s="25">
        <f>AC769*T769</f>
        <v>30.61</v>
      </c>
      <c r="AE769" s="25">
        <f>AB769*T769</f>
        <v>24.5</v>
      </c>
      <c r="AF769" s="25">
        <f>AD769-AE769</f>
        <v>6.1099999999999994</v>
      </c>
      <c r="AG769" s="26">
        <f>AF769/AD769</f>
        <v>0.19960797125122506</v>
      </c>
      <c r="AH769" s="27" t="str">
        <f>IF(AG769&lt;0,"Negative",IF(AG769=0,"Same",IF(AG769&gt;0.3,"30+%",IF(AG769&gt;0.2,"20-30%",IF(AG769&gt;0.1,"10-20%",IF(AG769&lt;=0.1,"0-10%"))))))</f>
        <v>10-20%</v>
      </c>
      <c r="AI769" s="32"/>
      <c r="AJ769" s="36" t="s">
        <v>3299</v>
      </c>
      <c r="AK769" s="32"/>
    </row>
    <row r="770" spans="1:37" s="1" customFormat="1" ht="19.7" customHeight="1" x14ac:dyDescent="0.25">
      <c r="A770" s="5" t="s">
        <v>22</v>
      </c>
      <c r="B770" s="5" t="s">
        <v>1273</v>
      </c>
      <c r="C770" s="6">
        <v>44369</v>
      </c>
      <c r="D770" s="5" t="s">
        <v>24</v>
      </c>
      <c r="E770" s="5" t="s">
        <v>25</v>
      </c>
      <c r="F770" s="5" t="s">
        <v>26</v>
      </c>
      <c r="G770" s="5" t="s">
        <v>27</v>
      </c>
      <c r="H770" s="5" t="s">
        <v>28</v>
      </c>
      <c r="I770" s="5" t="s">
        <v>29</v>
      </c>
      <c r="J770" s="5" t="s">
        <v>30</v>
      </c>
      <c r="K770" s="5" t="s">
        <v>31</v>
      </c>
      <c r="L770" s="5" t="s">
        <v>32</v>
      </c>
      <c r="M770" s="5" t="s">
        <v>1274</v>
      </c>
      <c r="N770" s="5" t="s">
        <v>1128</v>
      </c>
      <c r="O770" s="5" t="s">
        <v>1021</v>
      </c>
      <c r="P770" s="5" t="s">
        <v>1022</v>
      </c>
      <c r="Q770" s="5">
        <v>117828043</v>
      </c>
      <c r="R770" s="5" t="s">
        <v>56</v>
      </c>
      <c r="S770" s="5" t="s">
        <v>39</v>
      </c>
      <c r="T770" s="7">
        <v>2</v>
      </c>
      <c r="U770" s="15" t="s">
        <v>1021</v>
      </c>
      <c r="V770" s="16" t="s">
        <v>1022</v>
      </c>
      <c r="W770" s="17">
        <v>117828043</v>
      </c>
      <c r="X770" s="16" t="s">
        <v>2568</v>
      </c>
      <c r="Y770" s="17" t="s">
        <v>2896</v>
      </c>
      <c r="Z770" s="17" t="s">
        <v>39</v>
      </c>
      <c r="AA770" s="17" t="s">
        <v>2501</v>
      </c>
      <c r="AB770" s="29">
        <v>208.07</v>
      </c>
      <c r="AC770" s="25">
        <v>212.49</v>
      </c>
      <c r="AD770" s="25">
        <f>AC770*T770</f>
        <v>424.98</v>
      </c>
      <c r="AE770" s="25">
        <f>AB770*T770</f>
        <v>416.14</v>
      </c>
      <c r="AF770" s="25">
        <f>AD770-AE770</f>
        <v>8.8400000000000318</v>
      </c>
      <c r="AG770" s="26">
        <f>AF770/AD770</f>
        <v>2.0800978869593936E-2</v>
      </c>
      <c r="AH770" s="27" t="str">
        <f>IF(AG770&lt;0,"Negative",IF(AG770=0,"Same",IF(AG770&gt;0.3,"30+%",IF(AG770&gt;0.2,"20-30%",IF(AG770&gt;0.1,"10-20%",IF(AG770&lt;=0.1,"0-10%"))))))</f>
        <v>0-10%</v>
      </c>
      <c r="AI770" s="32"/>
      <c r="AJ770" s="36" t="s">
        <v>3300</v>
      </c>
      <c r="AK770" s="32"/>
    </row>
    <row r="771" spans="1:37" s="1" customFormat="1" ht="19.7" customHeight="1" x14ac:dyDescent="0.25">
      <c r="A771" s="9" t="s">
        <v>22</v>
      </c>
      <c r="B771" s="9" t="s">
        <v>1019</v>
      </c>
      <c r="C771" s="10">
        <v>44333</v>
      </c>
      <c r="D771" s="9" t="s">
        <v>24</v>
      </c>
      <c r="E771" s="9" t="s">
        <v>25</v>
      </c>
      <c r="F771" s="9" t="s">
        <v>26</v>
      </c>
      <c r="G771" s="9" t="s">
        <v>27</v>
      </c>
      <c r="H771" s="9" t="s">
        <v>28</v>
      </c>
      <c r="I771" s="9" t="s">
        <v>29</v>
      </c>
      <c r="J771" s="9" t="s">
        <v>30</v>
      </c>
      <c r="K771" s="9" t="s">
        <v>31</v>
      </c>
      <c r="L771" s="9" t="s">
        <v>32</v>
      </c>
      <c r="M771" s="9" t="s">
        <v>261</v>
      </c>
      <c r="N771" s="9" t="s">
        <v>1020</v>
      </c>
      <c r="O771" s="9" t="s">
        <v>1021</v>
      </c>
      <c r="P771" s="9" t="s">
        <v>1022</v>
      </c>
      <c r="Q771" s="9">
        <v>117828043</v>
      </c>
      <c r="R771" s="9" t="s">
        <v>56</v>
      </c>
      <c r="S771" s="9" t="s">
        <v>39</v>
      </c>
      <c r="T771" s="11">
        <v>2</v>
      </c>
      <c r="U771" s="15" t="s">
        <v>1021</v>
      </c>
      <c r="V771" s="16" t="s">
        <v>1022</v>
      </c>
      <c r="W771" s="17">
        <v>117828043</v>
      </c>
      <c r="X771" s="16" t="s">
        <v>2568</v>
      </c>
      <c r="Y771" s="17" t="s">
        <v>2896</v>
      </c>
      <c r="Z771" s="17" t="s">
        <v>39</v>
      </c>
      <c r="AA771" s="17" t="s">
        <v>2501</v>
      </c>
      <c r="AB771" s="29">
        <v>208.07</v>
      </c>
      <c r="AC771" s="25">
        <v>212.49</v>
      </c>
      <c r="AD771" s="25">
        <f>AC771*T771</f>
        <v>424.98</v>
      </c>
      <c r="AE771" s="25">
        <f>AB771*T771</f>
        <v>416.14</v>
      </c>
      <c r="AF771" s="25">
        <f>AD771-AE771</f>
        <v>8.8400000000000318</v>
      </c>
      <c r="AG771" s="26">
        <f>AF771/AD771</f>
        <v>2.0800978869593936E-2</v>
      </c>
      <c r="AH771" s="27" t="str">
        <f>IF(AG771&lt;0,"Negative",IF(AG771=0,"Same",IF(AG771&gt;0.3,"30+%",IF(AG771&gt;0.2,"20-30%",IF(AG771&gt;0.1,"10-20%",IF(AG771&lt;=0.1,"0-10%"))))))</f>
        <v>0-10%</v>
      </c>
      <c r="AI771" s="32"/>
      <c r="AJ771" s="36" t="s">
        <v>3300</v>
      </c>
      <c r="AK771" s="32"/>
    </row>
    <row r="772" spans="1:37" s="1" customFormat="1" ht="19.7" customHeight="1" x14ac:dyDescent="0.25">
      <c r="A772" s="9" t="s">
        <v>22</v>
      </c>
      <c r="B772" s="9" t="s">
        <v>1101</v>
      </c>
      <c r="C772" s="10">
        <v>44340</v>
      </c>
      <c r="D772" s="9" t="s">
        <v>24</v>
      </c>
      <c r="E772" s="9" t="s">
        <v>25</v>
      </c>
      <c r="F772" s="9" t="s">
        <v>26</v>
      </c>
      <c r="G772" s="9" t="s">
        <v>27</v>
      </c>
      <c r="H772" s="9" t="s">
        <v>28</v>
      </c>
      <c r="I772" s="9" t="s">
        <v>29</v>
      </c>
      <c r="J772" s="9" t="s">
        <v>30</v>
      </c>
      <c r="K772" s="9" t="s">
        <v>31</v>
      </c>
      <c r="L772" s="9" t="s">
        <v>32</v>
      </c>
      <c r="M772" s="9" t="s">
        <v>977</v>
      </c>
      <c r="N772" s="9" t="s">
        <v>1081</v>
      </c>
      <c r="O772" s="9" t="s">
        <v>89</v>
      </c>
      <c r="P772" s="9" t="s">
        <v>978</v>
      </c>
      <c r="Q772" s="9">
        <v>101827241</v>
      </c>
      <c r="R772" s="9" t="s">
        <v>45</v>
      </c>
      <c r="S772" s="9" t="s">
        <v>39</v>
      </c>
      <c r="T772" s="11">
        <v>1</v>
      </c>
      <c r="U772" s="15" t="s">
        <v>89</v>
      </c>
      <c r="V772" s="16" t="s">
        <v>978</v>
      </c>
      <c r="W772" s="17">
        <v>101827241</v>
      </c>
      <c r="X772" s="16" t="s">
        <v>2518</v>
      </c>
      <c r="Y772" s="17" t="s">
        <v>2884</v>
      </c>
      <c r="Z772" s="17" t="s">
        <v>39</v>
      </c>
      <c r="AA772" s="17" t="s">
        <v>37</v>
      </c>
      <c r="AB772" s="43">
        <v>23.1</v>
      </c>
      <c r="AC772" s="25">
        <v>27.08</v>
      </c>
      <c r="AD772" s="25">
        <f>AC772*T772</f>
        <v>27.08</v>
      </c>
      <c r="AE772" s="25">
        <f>AB772*T772</f>
        <v>23.1</v>
      </c>
      <c r="AF772" s="25">
        <f>AD772-AE772</f>
        <v>3.9799999999999969</v>
      </c>
      <c r="AG772" s="26">
        <f>AF772/AD772</f>
        <v>0.14697193500738542</v>
      </c>
      <c r="AH772" s="27" t="str">
        <f>IF(AG772&lt;0,"Negative",IF(AG772=0,"Same",IF(AG772&gt;0.3,"30+%",IF(AG772&gt;0.2,"20-30%",IF(AG772&gt;0.1,"10-20%",IF(AG772&lt;=0.1,"0-10%"))))))</f>
        <v>10-20%</v>
      </c>
      <c r="AI772" s="32"/>
      <c r="AJ772" s="36" t="s">
        <v>3300</v>
      </c>
      <c r="AK772" s="32"/>
    </row>
    <row r="773" spans="1:37" s="1" customFormat="1" ht="19.7" customHeight="1" x14ac:dyDescent="0.25">
      <c r="A773" s="5" t="s">
        <v>22</v>
      </c>
      <c r="B773" s="5" t="s">
        <v>976</v>
      </c>
      <c r="C773" s="6">
        <v>44323</v>
      </c>
      <c r="D773" s="5" t="s">
        <v>24</v>
      </c>
      <c r="E773" s="5" t="s">
        <v>25</v>
      </c>
      <c r="F773" s="5" t="s">
        <v>26</v>
      </c>
      <c r="G773" s="5" t="s">
        <v>27</v>
      </c>
      <c r="H773" s="5" t="s">
        <v>28</v>
      </c>
      <c r="I773" s="5" t="s">
        <v>29</v>
      </c>
      <c r="J773" s="5" t="s">
        <v>30</v>
      </c>
      <c r="K773" s="5" t="s">
        <v>31</v>
      </c>
      <c r="L773" s="5" t="s">
        <v>32</v>
      </c>
      <c r="M773" s="5" t="s">
        <v>977</v>
      </c>
      <c r="N773" s="5" t="s">
        <v>958</v>
      </c>
      <c r="O773" s="5" t="s">
        <v>89</v>
      </c>
      <c r="P773" s="5" t="s">
        <v>978</v>
      </c>
      <c r="Q773" s="5">
        <v>101827241</v>
      </c>
      <c r="R773" s="5" t="s">
        <v>45</v>
      </c>
      <c r="S773" s="5" t="s">
        <v>39</v>
      </c>
      <c r="T773" s="7">
        <v>2</v>
      </c>
      <c r="U773" s="15" t="s">
        <v>89</v>
      </c>
      <c r="V773" s="16" t="s">
        <v>978</v>
      </c>
      <c r="W773" s="17">
        <v>101827241</v>
      </c>
      <c r="X773" s="16" t="s">
        <v>2518</v>
      </c>
      <c r="Y773" s="17" t="s">
        <v>2884</v>
      </c>
      <c r="Z773" s="17" t="s">
        <v>39</v>
      </c>
      <c r="AA773" s="17" t="s">
        <v>37</v>
      </c>
      <c r="AB773" s="43">
        <v>23.1</v>
      </c>
      <c r="AC773" s="25">
        <v>27.08</v>
      </c>
      <c r="AD773" s="25">
        <f>AC773*T773</f>
        <v>54.16</v>
      </c>
      <c r="AE773" s="25">
        <f>AB773*T773</f>
        <v>46.2</v>
      </c>
      <c r="AF773" s="25">
        <f>AD773-AE773</f>
        <v>7.9599999999999937</v>
      </c>
      <c r="AG773" s="26">
        <f>AF773/AD773</f>
        <v>0.14697193500738542</v>
      </c>
      <c r="AH773" s="27" t="str">
        <f>IF(AG773&lt;0,"Negative",IF(AG773=0,"Same",IF(AG773&gt;0.3,"30+%",IF(AG773&gt;0.2,"20-30%",IF(AG773&gt;0.1,"10-20%",IF(AG773&lt;=0.1,"0-10%"))))))</f>
        <v>10-20%</v>
      </c>
      <c r="AI773" s="32"/>
      <c r="AJ773" s="36" t="s">
        <v>3300</v>
      </c>
      <c r="AK773" s="32"/>
    </row>
    <row r="774" spans="1:37" s="1" customFormat="1" ht="19.7" customHeight="1" x14ac:dyDescent="0.25">
      <c r="A774" s="5" t="s">
        <v>22</v>
      </c>
      <c r="B774" s="5" t="s">
        <v>603</v>
      </c>
      <c r="C774" s="6">
        <v>44281</v>
      </c>
      <c r="D774" s="5" t="s">
        <v>24</v>
      </c>
      <c r="E774" s="5" t="s">
        <v>25</v>
      </c>
      <c r="F774" s="5" t="s">
        <v>26</v>
      </c>
      <c r="G774" s="5" t="s">
        <v>27</v>
      </c>
      <c r="H774" s="5" t="s">
        <v>28</v>
      </c>
      <c r="I774" s="5" t="s">
        <v>29</v>
      </c>
      <c r="J774" s="5" t="s">
        <v>30</v>
      </c>
      <c r="K774" s="5" t="s">
        <v>31</v>
      </c>
      <c r="L774" s="5" t="s">
        <v>32</v>
      </c>
      <c r="M774" s="5" t="s">
        <v>611</v>
      </c>
      <c r="N774" s="5" t="s">
        <v>605</v>
      </c>
      <c r="O774" s="5" t="s">
        <v>89</v>
      </c>
      <c r="P774" s="5" t="s">
        <v>612</v>
      </c>
      <c r="Q774" s="5">
        <v>100747964</v>
      </c>
      <c r="R774" s="5" t="s">
        <v>45</v>
      </c>
      <c r="S774" s="5" t="s">
        <v>39</v>
      </c>
      <c r="T774" s="7">
        <v>1</v>
      </c>
      <c r="U774" s="15" t="s">
        <v>89</v>
      </c>
      <c r="V774" s="16" t="s">
        <v>612</v>
      </c>
      <c r="W774" s="17">
        <v>100747964</v>
      </c>
      <c r="X774" s="16" t="s">
        <v>2520</v>
      </c>
      <c r="Y774" s="17" t="s">
        <v>2752</v>
      </c>
      <c r="Z774" s="17" t="s">
        <v>39</v>
      </c>
      <c r="AA774" s="17" t="s">
        <v>37</v>
      </c>
      <c r="AB774" s="43">
        <v>23.12</v>
      </c>
      <c r="AC774" s="25">
        <v>27.1</v>
      </c>
      <c r="AD774" s="25">
        <f>AC774*T774</f>
        <v>27.1</v>
      </c>
      <c r="AE774" s="25">
        <f>AB774*T774</f>
        <v>23.12</v>
      </c>
      <c r="AF774" s="25">
        <f>AD774-AE774</f>
        <v>3.9800000000000004</v>
      </c>
      <c r="AG774" s="26">
        <f>AF774/AD774</f>
        <v>0.14686346863468636</v>
      </c>
      <c r="AH774" s="27" t="str">
        <f>IF(AG774&lt;0,"Negative",IF(AG774=0,"Same",IF(AG774&gt;0.3,"30+%",IF(AG774&gt;0.2,"20-30%",IF(AG774&gt;0.1,"10-20%",IF(AG774&lt;=0.1,"0-10%"))))))</f>
        <v>10-20%</v>
      </c>
      <c r="AI774" s="32"/>
      <c r="AJ774" s="36" t="s">
        <v>3300</v>
      </c>
      <c r="AK774" s="32"/>
    </row>
    <row r="775" spans="1:37" s="1" customFormat="1" ht="19.7" customHeight="1" x14ac:dyDescent="0.25">
      <c r="A775" s="5" t="s">
        <v>22</v>
      </c>
      <c r="B775" s="5" t="s">
        <v>149</v>
      </c>
      <c r="C775" s="6">
        <v>44235</v>
      </c>
      <c r="D775" s="5" t="s">
        <v>24</v>
      </c>
      <c r="E775" s="5" t="s">
        <v>25</v>
      </c>
      <c r="F775" s="5" t="s">
        <v>26</v>
      </c>
      <c r="G775" s="5" t="s">
        <v>27</v>
      </c>
      <c r="H775" s="5" t="s">
        <v>28</v>
      </c>
      <c r="I775" s="5" t="s">
        <v>29</v>
      </c>
      <c r="J775" s="5" t="s">
        <v>30</v>
      </c>
      <c r="K775" s="5" t="s">
        <v>31</v>
      </c>
      <c r="L775" s="5" t="s">
        <v>32</v>
      </c>
      <c r="M775" s="5" t="s">
        <v>150</v>
      </c>
      <c r="N775" s="5" t="s">
        <v>96</v>
      </c>
      <c r="O775" s="5" t="s">
        <v>98</v>
      </c>
      <c r="P775" s="5" t="s">
        <v>151</v>
      </c>
      <c r="Q775" s="5">
        <v>100815841</v>
      </c>
      <c r="R775" s="5" t="s">
        <v>56</v>
      </c>
      <c r="S775" s="5" t="s">
        <v>39</v>
      </c>
      <c r="T775" s="7">
        <v>1</v>
      </c>
      <c r="U775" s="15" t="s">
        <v>98</v>
      </c>
      <c r="V775" s="16" t="s">
        <v>151</v>
      </c>
      <c r="W775" s="17">
        <v>100815841</v>
      </c>
      <c r="X775" s="16" t="s">
        <v>2522</v>
      </c>
      <c r="Y775" s="17" t="s">
        <v>2547</v>
      </c>
      <c r="Z775" s="17" t="s">
        <v>39</v>
      </c>
      <c r="AA775" s="17" t="s">
        <v>37</v>
      </c>
      <c r="AB775" s="43">
        <v>41.47</v>
      </c>
      <c r="AC775" s="25">
        <v>43.34</v>
      </c>
      <c r="AD775" s="25">
        <f>AC775*T775</f>
        <v>43.34</v>
      </c>
      <c r="AE775" s="25">
        <f>AB775*T775</f>
        <v>41.47</v>
      </c>
      <c r="AF775" s="25">
        <f>AD775-AE775</f>
        <v>1.8700000000000045</v>
      </c>
      <c r="AG775" s="26">
        <f>AF775/AD775</f>
        <v>4.3147208121827513E-2</v>
      </c>
      <c r="AH775" s="27" t="str">
        <f>IF(AG775&lt;0,"Negative",IF(AG775=0,"Same",IF(AG775&gt;0.3,"30+%",IF(AG775&gt;0.2,"20-30%",IF(AG775&gt;0.1,"10-20%",IF(AG775&lt;=0.1,"0-10%"))))))</f>
        <v>0-10%</v>
      </c>
      <c r="AI775" s="32"/>
      <c r="AJ775" s="36" t="s">
        <v>3300</v>
      </c>
      <c r="AK775" s="32"/>
    </row>
    <row r="776" spans="1:37" s="1" customFormat="1" ht="19.7" customHeight="1" x14ac:dyDescent="0.25">
      <c r="A776" s="5" t="s">
        <v>22</v>
      </c>
      <c r="B776" s="5" t="s">
        <v>516</v>
      </c>
      <c r="C776" s="6">
        <v>44272</v>
      </c>
      <c r="D776" s="5" t="s">
        <v>24</v>
      </c>
      <c r="E776" s="5" t="s">
        <v>25</v>
      </c>
      <c r="F776" s="5" t="s">
        <v>26</v>
      </c>
      <c r="G776" s="5" t="s">
        <v>27</v>
      </c>
      <c r="H776" s="5" t="s">
        <v>28</v>
      </c>
      <c r="I776" s="5" t="s">
        <v>29</v>
      </c>
      <c r="J776" s="5" t="s">
        <v>30</v>
      </c>
      <c r="K776" s="5" t="s">
        <v>31</v>
      </c>
      <c r="L776" s="5" t="s">
        <v>32</v>
      </c>
      <c r="M776" s="5" t="s">
        <v>517</v>
      </c>
      <c r="N776" s="5" t="s">
        <v>518</v>
      </c>
      <c r="O776" s="5" t="s">
        <v>79</v>
      </c>
      <c r="P776" s="5" t="s">
        <v>519</v>
      </c>
      <c r="Q776" s="5">
        <v>100730707</v>
      </c>
      <c r="R776" s="5" t="s">
        <v>61</v>
      </c>
      <c r="S776" s="5" t="s">
        <v>39</v>
      </c>
      <c r="T776" s="7">
        <v>1</v>
      </c>
      <c r="U776" s="15" t="s">
        <v>79</v>
      </c>
      <c r="V776" s="16" t="s">
        <v>519</v>
      </c>
      <c r="W776" s="17">
        <v>100730707</v>
      </c>
      <c r="X776" s="16" t="s">
        <v>2712</v>
      </c>
      <c r="Y776" s="17" t="s">
        <v>2713</v>
      </c>
      <c r="Z776" s="17" t="s">
        <v>39</v>
      </c>
      <c r="AA776" s="17" t="s">
        <v>37</v>
      </c>
      <c r="AB776" s="43">
        <v>36.340000000000003</v>
      </c>
      <c r="AC776" s="25">
        <v>36.69</v>
      </c>
      <c r="AD776" s="25">
        <f>AC776*T776</f>
        <v>36.69</v>
      </c>
      <c r="AE776" s="25">
        <f>AB776*T776</f>
        <v>36.340000000000003</v>
      </c>
      <c r="AF776" s="25">
        <f>AD776-AE776</f>
        <v>0.34999999999999432</v>
      </c>
      <c r="AG776" s="26">
        <f>AF776/AD776</f>
        <v>9.5393840283454438E-3</v>
      </c>
      <c r="AH776" s="27" t="str">
        <f>IF(AG776&lt;0,"Negative",IF(AG776=0,"Same",IF(AG776&gt;0.3,"30+%",IF(AG776&gt;0.2,"20-30%",IF(AG776&gt;0.1,"10-20%",IF(AG776&lt;=0.1,"0-10%"))))))</f>
        <v>0-10%</v>
      </c>
      <c r="AI776" s="32"/>
      <c r="AJ776" s="36" t="s">
        <v>3300</v>
      </c>
      <c r="AK776" s="32"/>
    </row>
    <row r="777" spans="1:37" s="1" customFormat="1" ht="19.7" customHeight="1" x14ac:dyDescent="0.25">
      <c r="A777" s="5" t="s">
        <v>22</v>
      </c>
      <c r="B777" s="5" t="s">
        <v>1773</v>
      </c>
      <c r="C777" s="6">
        <v>44461</v>
      </c>
      <c r="D777" s="5" t="s">
        <v>24</v>
      </c>
      <c r="E777" s="5" t="s">
        <v>25</v>
      </c>
      <c r="F777" s="5" t="s">
        <v>26</v>
      </c>
      <c r="G777" s="5" t="s">
        <v>27</v>
      </c>
      <c r="H777" s="5" t="s">
        <v>28</v>
      </c>
      <c r="I777" s="5" t="s">
        <v>29</v>
      </c>
      <c r="J777" s="5" t="s">
        <v>30</v>
      </c>
      <c r="K777" s="5" t="s">
        <v>31</v>
      </c>
      <c r="L777" s="5" t="s">
        <v>32</v>
      </c>
      <c r="M777" s="5" t="s">
        <v>1774</v>
      </c>
      <c r="N777" s="5" t="s">
        <v>1763</v>
      </c>
      <c r="O777" s="5" t="s">
        <v>79</v>
      </c>
      <c r="P777" s="5" t="s">
        <v>1775</v>
      </c>
      <c r="Q777" s="5">
        <v>101176424</v>
      </c>
      <c r="R777" s="5" t="s">
        <v>61</v>
      </c>
      <c r="S777" s="5" t="s">
        <v>39</v>
      </c>
      <c r="T777" s="7">
        <v>2</v>
      </c>
      <c r="U777" s="15" t="s">
        <v>79</v>
      </c>
      <c r="V777" s="16" t="s">
        <v>1775</v>
      </c>
      <c r="W777" s="17">
        <v>101176424</v>
      </c>
      <c r="X777" s="16" t="s">
        <v>2712</v>
      </c>
      <c r="Y777" s="17" t="s">
        <v>3125</v>
      </c>
      <c r="Z777" s="17" t="s">
        <v>39</v>
      </c>
      <c r="AA777" s="17" t="s">
        <v>37</v>
      </c>
      <c r="AB777" s="43">
        <v>36.340000000000003</v>
      </c>
      <c r="AC777" s="25">
        <v>36.69</v>
      </c>
      <c r="AD777" s="31">
        <f>AC777*T777</f>
        <v>73.38</v>
      </c>
      <c r="AE777" s="25">
        <f>AB777*T777</f>
        <v>72.680000000000007</v>
      </c>
      <c r="AF777" s="25">
        <f>AD777-AE777</f>
        <v>0.69999999999998863</v>
      </c>
      <c r="AG777" s="26">
        <f>AF777/AD777</f>
        <v>9.5393840283454438E-3</v>
      </c>
      <c r="AH777" s="27" t="str">
        <f>IF(AG777&lt;0,"Negative",IF(AG777=0,"Same",IF(AG777&gt;0.3,"30+%",IF(AG777&gt;0.2,"20-30%",IF(AG777&gt;0.1,"10-20%",IF(AG777&lt;=0.1,"0-10%"))))))</f>
        <v>0-10%</v>
      </c>
      <c r="AI777" s="32"/>
      <c r="AJ777" s="36" t="s">
        <v>3300</v>
      </c>
      <c r="AK777" s="32"/>
    </row>
    <row r="778" spans="1:37" s="1" customFormat="1" ht="19.7" customHeight="1" x14ac:dyDescent="0.25">
      <c r="A778" s="9" t="s">
        <v>22</v>
      </c>
      <c r="B778" s="9" t="s">
        <v>1435</v>
      </c>
      <c r="C778" s="10">
        <v>44397</v>
      </c>
      <c r="D778" s="9" t="s">
        <v>24</v>
      </c>
      <c r="E778" s="9" t="s">
        <v>25</v>
      </c>
      <c r="F778" s="9" t="s">
        <v>26</v>
      </c>
      <c r="G778" s="9" t="s">
        <v>27</v>
      </c>
      <c r="H778" s="9" t="s">
        <v>28</v>
      </c>
      <c r="I778" s="9" t="s">
        <v>29</v>
      </c>
      <c r="J778" s="9" t="s">
        <v>30</v>
      </c>
      <c r="K778" s="9" t="s">
        <v>31</v>
      </c>
      <c r="L778" s="9" t="s">
        <v>32</v>
      </c>
      <c r="M778" s="9" t="s">
        <v>1439</v>
      </c>
      <c r="N778" s="9" t="s">
        <v>1437</v>
      </c>
      <c r="O778" s="9" t="s">
        <v>79</v>
      </c>
      <c r="P778" s="9" t="s">
        <v>1440</v>
      </c>
      <c r="Q778" s="9">
        <v>100730701</v>
      </c>
      <c r="R778" s="9" t="s">
        <v>61</v>
      </c>
      <c r="S778" s="9" t="s">
        <v>39</v>
      </c>
      <c r="T778" s="11">
        <v>3</v>
      </c>
      <c r="U778" s="15" t="s">
        <v>79</v>
      </c>
      <c r="V778" s="16" t="s">
        <v>1440</v>
      </c>
      <c r="W778" s="17">
        <v>100730701</v>
      </c>
      <c r="X778" s="16" t="s">
        <v>2712</v>
      </c>
      <c r="Y778" s="17" t="s">
        <v>3039</v>
      </c>
      <c r="Z778" s="17" t="s">
        <v>39</v>
      </c>
      <c r="AA778" s="17" t="s">
        <v>37</v>
      </c>
      <c r="AB778" s="43">
        <v>36.340000000000003</v>
      </c>
      <c r="AC778" s="25">
        <v>36.69</v>
      </c>
      <c r="AD778" s="25">
        <f>AC778*T778</f>
        <v>110.07</v>
      </c>
      <c r="AE778" s="25">
        <f>AB778*T778</f>
        <v>109.02000000000001</v>
      </c>
      <c r="AF778" s="25">
        <f>AD778-AE778</f>
        <v>1.0499999999999829</v>
      </c>
      <c r="AG778" s="26">
        <f>AF778/AD778</f>
        <v>9.5393840283454438E-3</v>
      </c>
      <c r="AH778" s="27" t="str">
        <f>IF(AG778&lt;0,"Negative",IF(AG778=0,"Same",IF(AG778&gt;0.3,"30+%",IF(AG778&gt;0.2,"20-30%",IF(AG778&gt;0.1,"10-20%",IF(AG778&lt;=0.1,"0-10%"))))))</f>
        <v>0-10%</v>
      </c>
      <c r="AI778" s="32"/>
      <c r="AJ778" s="36" t="s">
        <v>3300</v>
      </c>
      <c r="AK778" s="32"/>
    </row>
    <row r="779" spans="1:37" s="1" customFormat="1" ht="19.7" customHeight="1" x14ac:dyDescent="0.25">
      <c r="A779" s="5" t="s">
        <v>22</v>
      </c>
      <c r="B779" s="5" t="s">
        <v>2356</v>
      </c>
      <c r="C779" s="6">
        <v>44571</v>
      </c>
      <c r="D779" s="5" t="s">
        <v>24</v>
      </c>
      <c r="E779" s="5" t="s">
        <v>25</v>
      </c>
      <c r="F779" s="5" t="s">
        <v>26</v>
      </c>
      <c r="G779" s="5" t="s">
        <v>27</v>
      </c>
      <c r="H779" s="5" t="s">
        <v>28</v>
      </c>
      <c r="I779" s="5" t="s">
        <v>29</v>
      </c>
      <c r="J779" s="5" t="s">
        <v>30</v>
      </c>
      <c r="K779" s="5" t="s">
        <v>31</v>
      </c>
      <c r="L779" s="5" t="s">
        <v>32</v>
      </c>
      <c r="M779" s="5" t="s">
        <v>1292</v>
      </c>
      <c r="N779" s="5" t="s">
        <v>2357</v>
      </c>
      <c r="O779" s="5" t="s">
        <v>89</v>
      </c>
      <c r="P779" s="5" t="s">
        <v>1293</v>
      </c>
      <c r="Q779" s="5">
        <v>100747972</v>
      </c>
      <c r="R779" s="5" t="s">
        <v>45</v>
      </c>
      <c r="S779" s="5" t="s">
        <v>39</v>
      </c>
      <c r="T779" s="7">
        <v>1</v>
      </c>
      <c r="U779" s="15" t="s">
        <v>89</v>
      </c>
      <c r="V779" s="16" t="s">
        <v>1293</v>
      </c>
      <c r="W779" s="17">
        <v>100747972</v>
      </c>
      <c r="X779" s="16" t="s">
        <v>2520</v>
      </c>
      <c r="Y779" s="17" t="s">
        <v>2989</v>
      </c>
      <c r="Z779" s="17" t="s">
        <v>39</v>
      </c>
      <c r="AA779" s="17" t="s">
        <v>37</v>
      </c>
      <c r="AB779" s="43">
        <v>31.1</v>
      </c>
      <c r="AC779" s="25">
        <v>36.47</v>
      </c>
      <c r="AD779" s="25">
        <f>AC779*T779</f>
        <v>36.47</v>
      </c>
      <c r="AE779" s="25">
        <f>AB779*T779</f>
        <v>31.1</v>
      </c>
      <c r="AF779" s="25">
        <f>AD779-AE779</f>
        <v>5.3699999999999974</v>
      </c>
      <c r="AG779" s="26">
        <f>AF779/AD779</f>
        <v>0.14724431039210303</v>
      </c>
      <c r="AH779" s="27" t="str">
        <f>IF(AG779&lt;0,"Negative",IF(AG779=0,"Same",IF(AG779&gt;0.3,"30+%",IF(AG779&gt;0.2,"20-30%",IF(AG779&gt;0.1,"10-20%",IF(AG779&lt;=0.1,"0-10%"))))))</f>
        <v>10-20%</v>
      </c>
      <c r="AI779" s="32"/>
      <c r="AJ779" s="36" t="s">
        <v>3300</v>
      </c>
      <c r="AK779" s="32"/>
    </row>
    <row r="780" spans="1:37" s="1" customFormat="1" ht="19.7" customHeight="1" x14ac:dyDescent="0.25">
      <c r="A780" s="9" t="s">
        <v>22</v>
      </c>
      <c r="B780" s="9" t="s">
        <v>2395</v>
      </c>
      <c r="C780" s="10">
        <v>44580</v>
      </c>
      <c r="D780" s="9" t="s">
        <v>24</v>
      </c>
      <c r="E780" s="9" t="s">
        <v>25</v>
      </c>
      <c r="F780" s="9" t="s">
        <v>26</v>
      </c>
      <c r="G780" s="9" t="s">
        <v>27</v>
      </c>
      <c r="H780" s="9" t="s">
        <v>28</v>
      </c>
      <c r="I780" s="9" t="s">
        <v>29</v>
      </c>
      <c r="J780" s="9" t="s">
        <v>30</v>
      </c>
      <c r="K780" s="9" t="s">
        <v>31</v>
      </c>
      <c r="L780" s="9" t="s">
        <v>32</v>
      </c>
      <c r="M780" s="9" t="s">
        <v>1292</v>
      </c>
      <c r="N780" s="9" t="s">
        <v>2397</v>
      </c>
      <c r="O780" s="9" t="s">
        <v>89</v>
      </c>
      <c r="P780" s="9" t="s">
        <v>1293</v>
      </c>
      <c r="Q780" s="9">
        <v>100747972</v>
      </c>
      <c r="R780" s="9" t="s">
        <v>45</v>
      </c>
      <c r="S780" s="9" t="s">
        <v>39</v>
      </c>
      <c r="T780" s="11">
        <v>1</v>
      </c>
      <c r="U780" s="15" t="s">
        <v>89</v>
      </c>
      <c r="V780" s="16" t="s">
        <v>1293</v>
      </c>
      <c r="W780" s="17">
        <v>100747972</v>
      </c>
      <c r="X780" s="16" t="s">
        <v>2520</v>
      </c>
      <c r="Y780" s="17" t="s">
        <v>2989</v>
      </c>
      <c r="Z780" s="17" t="s">
        <v>39</v>
      </c>
      <c r="AA780" s="17" t="s">
        <v>37</v>
      </c>
      <c r="AB780" s="43">
        <v>31.1</v>
      </c>
      <c r="AC780" s="25">
        <v>36.47</v>
      </c>
      <c r="AD780" s="25">
        <f>AC780*T780</f>
        <v>36.47</v>
      </c>
      <c r="AE780" s="25">
        <f>AB780*T780</f>
        <v>31.1</v>
      </c>
      <c r="AF780" s="25">
        <f>AD780-AE780</f>
        <v>5.3699999999999974</v>
      </c>
      <c r="AG780" s="26">
        <f>AF780/AD780</f>
        <v>0.14724431039210303</v>
      </c>
      <c r="AH780" s="27" t="str">
        <f>IF(AG780&lt;0,"Negative",IF(AG780=0,"Same",IF(AG780&gt;0.3,"30+%",IF(AG780&gt;0.2,"20-30%",IF(AG780&gt;0.1,"10-20%",IF(AG780&lt;=0.1,"0-10%"))))))</f>
        <v>10-20%</v>
      </c>
      <c r="AI780" s="32"/>
      <c r="AJ780" s="36" t="s">
        <v>3300</v>
      </c>
      <c r="AK780" s="32"/>
    </row>
    <row r="781" spans="1:37" s="1" customFormat="1" ht="19.7" customHeight="1" x14ac:dyDescent="0.25">
      <c r="A781" s="9" t="s">
        <v>22</v>
      </c>
      <c r="B781" s="9" t="s">
        <v>2072</v>
      </c>
      <c r="C781" s="10">
        <v>44515</v>
      </c>
      <c r="D781" s="9" t="s">
        <v>24</v>
      </c>
      <c r="E781" s="9" t="s">
        <v>25</v>
      </c>
      <c r="F781" s="9" t="s">
        <v>26</v>
      </c>
      <c r="G781" s="9" t="s">
        <v>27</v>
      </c>
      <c r="H781" s="9" t="s">
        <v>28</v>
      </c>
      <c r="I781" s="9" t="s">
        <v>29</v>
      </c>
      <c r="J781" s="9" t="s">
        <v>30</v>
      </c>
      <c r="K781" s="9" t="s">
        <v>31</v>
      </c>
      <c r="L781" s="9" t="s">
        <v>32</v>
      </c>
      <c r="M781" s="9" t="s">
        <v>1292</v>
      </c>
      <c r="N781" s="9" t="s">
        <v>2073</v>
      </c>
      <c r="O781" s="9" t="s">
        <v>89</v>
      </c>
      <c r="P781" s="9" t="s">
        <v>1293</v>
      </c>
      <c r="Q781" s="9">
        <v>100747972</v>
      </c>
      <c r="R781" s="9" t="s">
        <v>45</v>
      </c>
      <c r="S781" s="9" t="s">
        <v>39</v>
      </c>
      <c r="T781" s="11">
        <v>1</v>
      </c>
      <c r="U781" s="15" t="s">
        <v>89</v>
      </c>
      <c r="V781" s="16" t="s">
        <v>1293</v>
      </c>
      <c r="W781" s="17">
        <v>100747972</v>
      </c>
      <c r="X781" s="16" t="s">
        <v>2520</v>
      </c>
      <c r="Y781" s="17" t="s">
        <v>2989</v>
      </c>
      <c r="Z781" s="17" t="s">
        <v>39</v>
      </c>
      <c r="AA781" s="17" t="s">
        <v>37</v>
      </c>
      <c r="AB781" s="43">
        <v>31.1</v>
      </c>
      <c r="AC781" s="25">
        <v>36.47</v>
      </c>
      <c r="AD781" s="25">
        <f>AC781*T781</f>
        <v>36.47</v>
      </c>
      <c r="AE781" s="25">
        <f>AB781*T781</f>
        <v>31.1</v>
      </c>
      <c r="AF781" s="25">
        <f>AD781-AE781</f>
        <v>5.3699999999999974</v>
      </c>
      <c r="AG781" s="26">
        <f>AF781/AD781</f>
        <v>0.14724431039210303</v>
      </c>
      <c r="AH781" s="27" t="str">
        <f>IF(AG781&lt;0,"Negative",IF(AG781=0,"Same",IF(AG781&gt;0.3,"30+%",IF(AG781&gt;0.2,"20-30%",IF(AG781&gt;0.1,"10-20%",IF(AG781&lt;=0.1,"0-10%"))))))</f>
        <v>10-20%</v>
      </c>
      <c r="AI781" s="32"/>
      <c r="AJ781" s="36" t="s">
        <v>3300</v>
      </c>
      <c r="AK781" s="32"/>
    </row>
    <row r="782" spans="1:37" s="1" customFormat="1" ht="19.7" customHeight="1" x14ac:dyDescent="0.25">
      <c r="A782" s="9" t="s">
        <v>22</v>
      </c>
      <c r="B782" s="9" t="s">
        <v>1150</v>
      </c>
      <c r="C782" s="10">
        <v>44349</v>
      </c>
      <c r="D782" s="9" t="s">
        <v>24</v>
      </c>
      <c r="E782" s="9" t="s">
        <v>25</v>
      </c>
      <c r="F782" s="9" t="s">
        <v>26</v>
      </c>
      <c r="G782" s="9" t="s">
        <v>27</v>
      </c>
      <c r="H782" s="9" t="s">
        <v>28</v>
      </c>
      <c r="I782" s="9" t="s">
        <v>29</v>
      </c>
      <c r="J782" s="9" t="s">
        <v>30</v>
      </c>
      <c r="K782" s="9" t="s">
        <v>31</v>
      </c>
      <c r="L782" s="9" t="s">
        <v>32</v>
      </c>
      <c r="M782" s="9" t="s">
        <v>261</v>
      </c>
      <c r="N782" s="9" t="s">
        <v>1151</v>
      </c>
      <c r="O782" s="9" t="s">
        <v>365</v>
      </c>
      <c r="P782" s="9" t="s">
        <v>366</v>
      </c>
      <c r="Q782" s="9">
        <v>101123651</v>
      </c>
      <c r="R782" s="9" t="s">
        <v>61</v>
      </c>
      <c r="S782" s="9" t="s">
        <v>39</v>
      </c>
      <c r="T782" s="11">
        <v>2</v>
      </c>
      <c r="U782" s="15" t="s">
        <v>365</v>
      </c>
      <c r="V782" s="16" t="s">
        <v>366</v>
      </c>
      <c r="W782" s="17">
        <v>101123651</v>
      </c>
      <c r="X782" s="16" t="s">
        <v>2643</v>
      </c>
      <c r="Y782" s="17" t="s">
        <v>2644</v>
      </c>
      <c r="Z782" s="17" t="s">
        <v>39</v>
      </c>
      <c r="AA782" s="17" t="s">
        <v>37</v>
      </c>
      <c r="AB782" s="29">
        <v>60.61</v>
      </c>
      <c r="AC782" s="25">
        <v>61.88</v>
      </c>
      <c r="AD782" s="30">
        <f>AC782*T782</f>
        <v>123.76</v>
      </c>
      <c r="AE782" s="25">
        <f>AB782*T782</f>
        <v>121.22</v>
      </c>
      <c r="AF782" s="25">
        <f>AD782-AE782</f>
        <v>2.5400000000000063</v>
      </c>
      <c r="AG782" s="26">
        <f>AF782/AD782</f>
        <v>2.0523594053005866E-2</v>
      </c>
      <c r="AH782" s="27" t="str">
        <f>IF(AG782&lt;0,"Negative",IF(AG782=0,"Same",IF(AG782&gt;0.3,"30+%",IF(AG782&gt;0.2,"20-30%",IF(AG782&gt;0.1,"10-20%",IF(AG782&lt;=0.1,"0-10%"))))))</f>
        <v>0-10%</v>
      </c>
      <c r="AI782" s="32"/>
      <c r="AJ782" s="36" t="s">
        <v>3300</v>
      </c>
      <c r="AK782" s="32"/>
    </row>
    <row r="783" spans="1:37" s="1" customFormat="1" ht="19.7" customHeight="1" x14ac:dyDescent="0.25">
      <c r="A783" s="5" t="s">
        <v>22</v>
      </c>
      <c r="B783" s="5" t="s">
        <v>363</v>
      </c>
      <c r="C783" s="6">
        <v>44256</v>
      </c>
      <c r="D783" s="5" t="s">
        <v>24</v>
      </c>
      <c r="E783" s="5" t="s">
        <v>25</v>
      </c>
      <c r="F783" s="5" t="s">
        <v>26</v>
      </c>
      <c r="G783" s="5" t="s">
        <v>27</v>
      </c>
      <c r="H783" s="5" t="s">
        <v>28</v>
      </c>
      <c r="I783" s="5" t="s">
        <v>29</v>
      </c>
      <c r="J783" s="5" t="s">
        <v>30</v>
      </c>
      <c r="K783" s="5" t="s">
        <v>31</v>
      </c>
      <c r="L783" s="5" t="s">
        <v>32</v>
      </c>
      <c r="M783" s="5" t="s">
        <v>261</v>
      </c>
      <c r="N783" s="5" t="s">
        <v>364</v>
      </c>
      <c r="O783" s="5" t="s">
        <v>365</v>
      </c>
      <c r="P783" s="5" t="s">
        <v>366</v>
      </c>
      <c r="Q783" s="5">
        <v>101123651</v>
      </c>
      <c r="R783" s="5" t="s">
        <v>61</v>
      </c>
      <c r="S783" s="5" t="s">
        <v>39</v>
      </c>
      <c r="T783" s="7">
        <v>2</v>
      </c>
      <c r="U783" s="15" t="s">
        <v>365</v>
      </c>
      <c r="V783" s="16" t="s">
        <v>366</v>
      </c>
      <c r="W783" s="17">
        <v>101123651</v>
      </c>
      <c r="X783" s="16" t="s">
        <v>2643</v>
      </c>
      <c r="Y783" s="17" t="s">
        <v>2644</v>
      </c>
      <c r="Z783" s="17" t="s">
        <v>39</v>
      </c>
      <c r="AA783" s="17" t="s">
        <v>37</v>
      </c>
      <c r="AB783" s="29">
        <v>60.61</v>
      </c>
      <c r="AC783" s="25">
        <v>61.88</v>
      </c>
      <c r="AD783" s="25">
        <f>AC783*T783</f>
        <v>123.76</v>
      </c>
      <c r="AE783" s="25">
        <f>AB783*T783</f>
        <v>121.22</v>
      </c>
      <c r="AF783" s="25">
        <f>AD783-AE783</f>
        <v>2.5400000000000063</v>
      </c>
      <c r="AG783" s="26">
        <f>AF783/AD783</f>
        <v>2.0523594053005866E-2</v>
      </c>
      <c r="AH783" s="27" t="str">
        <f>IF(AG783&lt;0,"Negative",IF(AG783=0,"Same",IF(AG783&gt;0.3,"30+%",IF(AG783&gt;0.2,"20-30%",IF(AG783&gt;0.1,"10-20%",IF(AG783&lt;=0.1,"0-10%"))))))</f>
        <v>0-10%</v>
      </c>
      <c r="AI783" s="32"/>
      <c r="AJ783" s="36" t="s">
        <v>3300</v>
      </c>
      <c r="AK783" s="32"/>
    </row>
    <row r="784" spans="1:37" s="1" customFormat="1" ht="19.7" customHeight="1" x14ac:dyDescent="0.25">
      <c r="A784" s="5" t="s">
        <v>22</v>
      </c>
      <c r="B784" s="5" t="s">
        <v>1266</v>
      </c>
      <c r="C784" s="6">
        <v>44369</v>
      </c>
      <c r="D784" s="5" t="s">
        <v>24</v>
      </c>
      <c r="E784" s="5" t="s">
        <v>25</v>
      </c>
      <c r="F784" s="5" t="s">
        <v>26</v>
      </c>
      <c r="G784" s="5" t="s">
        <v>27</v>
      </c>
      <c r="H784" s="5" t="s">
        <v>28</v>
      </c>
      <c r="I784" s="5" t="s">
        <v>29</v>
      </c>
      <c r="J784" s="5" t="s">
        <v>30</v>
      </c>
      <c r="K784" s="5" t="s">
        <v>31</v>
      </c>
      <c r="L784" s="5" t="s">
        <v>32</v>
      </c>
      <c r="M784" s="5" t="s">
        <v>320</v>
      </c>
      <c r="N784" s="5" t="s">
        <v>1268</v>
      </c>
      <c r="O784" s="5" t="s">
        <v>322</v>
      </c>
      <c r="P784" s="5" t="s">
        <v>323</v>
      </c>
      <c r="Q784" s="5">
        <v>100186076</v>
      </c>
      <c r="R784" s="5" t="s">
        <v>38</v>
      </c>
      <c r="S784" s="5" t="s">
        <v>39</v>
      </c>
      <c r="T784" s="7">
        <v>1</v>
      </c>
      <c r="U784" s="15" t="s">
        <v>322</v>
      </c>
      <c r="V784" s="16" t="s">
        <v>323</v>
      </c>
      <c r="W784" s="17">
        <v>100186076</v>
      </c>
      <c r="X784" s="16" t="s">
        <v>2583</v>
      </c>
      <c r="Y784" s="17" t="s">
        <v>2625</v>
      </c>
      <c r="Z784" s="17" t="s">
        <v>39</v>
      </c>
      <c r="AA784" s="17" t="s">
        <v>37</v>
      </c>
      <c r="AB784" s="29">
        <v>50.98</v>
      </c>
      <c r="AC784" s="25">
        <v>58.95</v>
      </c>
      <c r="AD784" s="25">
        <f>AC784*T784</f>
        <v>58.95</v>
      </c>
      <c r="AE784" s="25">
        <f>AB784*T784</f>
        <v>50.98</v>
      </c>
      <c r="AF784" s="25">
        <f>AD784-AE784</f>
        <v>7.970000000000006</v>
      </c>
      <c r="AG784" s="26">
        <f>AF784/AD784</f>
        <v>0.13519932145886354</v>
      </c>
      <c r="AH784" s="27" t="str">
        <f>IF(AG784&lt;0,"Negative",IF(AG784=0,"Same",IF(AG784&gt;0.3,"30+%",IF(AG784&gt;0.2,"20-30%",IF(AG784&gt;0.1,"10-20%",IF(AG784&lt;=0.1,"0-10%"))))))</f>
        <v>10-20%</v>
      </c>
      <c r="AI784" s="32"/>
      <c r="AJ784" s="36" t="s">
        <v>3299</v>
      </c>
      <c r="AK784" s="32"/>
    </row>
    <row r="785" spans="1:37" s="1" customFormat="1" ht="19.7" customHeight="1" x14ac:dyDescent="0.25">
      <c r="A785" s="5" t="s">
        <v>22</v>
      </c>
      <c r="B785" s="5" t="s">
        <v>319</v>
      </c>
      <c r="C785" s="6">
        <v>44251</v>
      </c>
      <c r="D785" s="5" t="s">
        <v>24</v>
      </c>
      <c r="E785" s="5" t="s">
        <v>25</v>
      </c>
      <c r="F785" s="5" t="s">
        <v>26</v>
      </c>
      <c r="G785" s="5" t="s">
        <v>27</v>
      </c>
      <c r="H785" s="5" t="s">
        <v>28</v>
      </c>
      <c r="I785" s="5" t="s">
        <v>29</v>
      </c>
      <c r="J785" s="5" t="s">
        <v>30</v>
      </c>
      <c r="K785" s="5" t="s">
        <v>31</v>
      </c>
      <c r="L785" s="5" t="s">
        <v>32</v>
      </c>
      <c r="M785" s="5" t="s">
        <v>320</v>
      </c>
      <c r="N785" s="5" t="s">
        <v>321</v>
      </c>
      <c r="O785" s="5" t="s">
        <v>322</v>
      </c>
      <c r="P785" s="5" t="s">
        <v>323</v>
      </c>
      <c r="Q785" s="5">
        <v>100186076</v>
      </c>
      <c r="R785" s="5" t="s">
        <v>38</v>
      </c>
      <c r="S785" s="5" t="s">
        <v>39</v>
      </c>
      <c r="T785" s="7">
        <v>1</v>
      </c>
      <c r="U785" s="15" t="s">
        <v>322</v>
      </c>
      <c r="V785" s="16" t="s">
        <v>323</v>
      </c>
      <c r="W785" s="17">
        <v>100186076</v>
      </c>
      <c r="X785" s="16" t="s">
        <v>2583</v>
      </c>
      <c r="Y785" s="17" t="s">
        <v>2625</v>
      </c>
      <c r="Z785" s="17" t="s">
        <v>39</v>
      </c>
      <c r="AA785" s="17" t="s">
        <v>37</v>
      </c>
      <c r="AB785" s="29">
        <v>50.98</v>
      </c>
      <c r="AC785" s="25">
        <v>58.95</v>
      </c>
      <c r="AD785" s="31">
        <f>AC785*T785</f>
        <v>58.95</v>
      </c>
      <c r="AE785" s="25">
        <f>AB785*T785</f>
        <v>50.98</v>
      </c>
      <c r="AF785" s="25">
        <f>AD785-AE785</f>
        <v>7.970000000000006</v>
      </c>
      <c r="AG785" s="26">
        <f>AF785/AD785</f>
        <v>0.13519932145886354</v>
      </c>
      <c r="AH785" s="27" t="str">
        <f>IF(AG785&lt;0,"Negative",IF(AG785=0,"Same",IF(AG785&gt;0.3,"30+%",IF(AG785&gt;0.2,"20-30%",IF(AG785&gt;0.1,"10-20%",IF(AG785&lt;=0.1,"0-10%"))))))</f>
        <v>10-20%</v>
      </c>
      <c r="AI785" s="32"/>
      <c r="AJ785" s="36" t="s">
        <v>3299</v>
      </c>
      <c r="AK785" s="32"/>
    </row>
    <row r="786" spans="1:37" s="1" customFormat="1" ht="19.7" customHeight="1" x14ac:dyDescent="0.25">
      <c r="A786" s="5" t="s">
        <v>22</v>
      </c>
      <c r="B786" s="5" t="s">
        <v>1971</v>
      </c>
      <c r="C786" s="6">
        <v>44491</v>
      </c>
      <c r="D786" s="5" t="s">
        <v>24</v>
      </c>
      <c r="E786" s="5" t="s">
        <v>25</v>
      </c>
      <c r="F786" s="5" t="s">
        <v>26</v>
      </c>
      <c r="G786" s="5" t="s">
        <v>27</v>
      </c>
      <c r="H786" s="5" t="s">
        <v>28</v>
      </c>
      <c r="I786" s="5" t="s">
        <v>29</v>
      </c>
      <c r="J786" s="5" t="s">
        <v>30</v>
      </c>
      <c r="K786" s="5" t="s">
        <v>31</v>
      </c>
      <c r="L786" s="5" t="s">
        <v>32</v>
      </c>
      <c r="M786" s="5" t="s">
        <v>1972</v>
      </c>
      <c r="N786" s="5" t="s">
        <v>1839</v>
      </c>
      <c r="O786" s="5" t="s">
        <v>984</v>
      </c>
      <c r="P786" s="5" t="s">
        <v>1973</v>
      </c>
      <c r="Q786" s="5">
        <v>100471515</v>
      </c>
      <c r="R786" s="5" t="s">
        <v>38</v>
      </c>
      <c r="S786" s="5" t="s">
        <v>39</v>
      </c>
      <c r="T786" s="7">
        <v>1</v>
      </c>
      <c r="U786" s="15" t="s">
        <v>984</v>
      </c>
      <c r="V786" s="16" t="s">
        <v>1973</v>
      </c>
      <c r="W786" s="17">
        <v>100471515</v>
      </c>
      <c r="X786" s="16" t="s">
        <v>2563</v>
      </c>
      <c r="Y786" s="17" t="s">
        <v>3179</v>
      </c>
      <c r="Z786" s="17" t="s">
        <v>39</v>
      </c>
      <c r="AA786" s="17" t="s">
        <v>37</v>
      </c>
      <c r="AB786" s="29">
        <v>173.23</v>
      </c>
      <c r="AC786" s="25">
        <v>169.95</v>
      </c>
      <c r="AD786" s="25">
        <f>AC786*T786</f>
        <v>169.95</v>
      </c>
      <c r="AE786" s="25">
        <f>AB786*T786</f>
        <v>173.23</v>
      </c>
      <c r="AF786" s="25">
        <f>AD786-AE786</f>
        <v>-3.2800000000000011</v>
      </c>
      <c r="AG786" s="26">
        <f>AF786/AD786</f>
        <v>-1.9299794057075617E-2</v>
      </c>
      <c r="AH786" s="27" t="str">
        <f>IF(AG786&lt;0,"Negative",IF(AG786=0,"Same",IF(AG786&gt;0.3,"30+%",IF(AG786&gt;0.2,"20-30%",IF(AG786&gt;0.1,"10-20%",IF(AG786&lt;=0.1,"0-10%"))))))</f>
        <v>Negative</v>
      </c>
      <c r="AI786" s="32"/>
      <c r="AJ786" s="36" t="s">
        <v>3300</v>
      </c>
      <c r="AK786" s="32"/>
    </row>
    <row r="787" spans="1:37" s="1" customFormat="1" ht="19.7" customHeight="1" x14ac:dyDescent="0.25">
      <c r="A787" s="9" t="s">
        <v>22</v>
      </c>
      <c r="B787" s="9" t="s">
        <v>2091</v>
      </c>
      <c r="C787" s="10">
        <v>44519</v>
      </c>
      <c r="D787" s="9" t="s">
        <v>24</v>
      </c>
      <c r="E787" s="9" t="s">
        <v>25</v>
      </c>
      <c r="F787" s="9" t="s">
        <v>26</v>
      </c>
      <c r="G787" s="9" t="s">
        <v>27</v>
      </c>
      <c r="H787" s="9" t="s">
        <v>28</v>
      </c>
      <c r="I787" s="9" t="s">
        <v>29</v>
      </c>
      <c r="J787" s="9" t="s">
        <v>30</v>
      </c>
      <c r="K787" s="9" t="s">
        <v>31</v>
      </c>
      <c r="L787" s="9" t="s">
        <v>32</v>
      </c>
      <c r="M787" s="9" t="s">
        <v>2092</v>
      </c>
      <c r="N787" s="9" t="s">
        <v>2093</v>
      </c>
      <c r="O787" s="9" t="s">
        <v>79</v>
      </c>
      <c r="P787" s="9" t="s">
        <v>2094</v>
      </c>
      <c r="Q787" s="9">
        <v>101176927</v>
      </c>
      <c r="R787" s="9" t="s">
        <v>61</v>
      </c>
      <c r="S787" s="9" t="s">
        <v>39</v>
      </c>
      <c r="T787" s="11">
        <v>1</v>
      </c>
      <c r="U787" s="15" t="s">
        <v>79</v>
      </c>
      <c r="V787" s="16" t="s">
        <v>2094</v>
      </c>
      <c r="W787" s="17">
        <v>101176927</v>
      </c>
      <c r="X787" s="16" t="s">
        <v>2623</v>
      </c>
      <c r="Y787" s="17" t="s">
        <v>3204</v>
      </c>
      <c r="Z787" s="17" t="s">
        <v>39</v>
      </c>
      <c r="AA787" s="17" t="s">
        <v>37</v>
      </c>
      <c r="AB787" s="43">
        <v>45.75</v>
      </c>
      <c r="AC787" s="25">
        <v>46.18</v>
      </c>
      <c r="AD787" s="25">
        <f>AC787*T787</f>
        <v>46.18</v>
      </c>
      <c r="AE787" s="25">
        <f>AB787*T787</f>
        <v>45.75</v>
      </c>
      <c r="AF787" s="25">
        <f>AD787-AE787</f>
        <v>0.42999999999999972</v>
      </c>
      <c r="AG787" s="26">
        <f>AF787/AD787</f>
        <v>9.3113902122130728E-3</v>
      </c>
      <c r="AH787" s="27" t="str">
        <f>IF(AG787&lt;0,"Negative",IF(AG787=0,"Same",IF(AG787&gt;0.3,"30+%",IF(AG787&gt;0.2,"20-30%",IF(AG787&gt;0.1,"10-20%",IF(AG787&lt;=0.1,"0-10%"))))))</f>
        <v>0-10%</v>
      </c>
      <c r="AI787" s="32"/>
      <c r="AJ787" s="36" t="s">
        <v>3299</v>
      </c>
      <c r="AK787" s="32"/>
    </row>
    <row r="788" spans="1:37" s="1" customFormat="1" ht="19.7" customHeight="1" x14ac:dyDescent="0.25">
      <c r="A788" s="9" t="s">
        <v>22</v>
      </c>
      <c r="B788" s="9" t="s">
        <v>1522</v>
      </c>
      <c r="C788" s="10">
        <v>44407</v>
      </c>
      <c r="D788" s="9" t="s">
        <v>24</v>
      </c>
      <c r="E788" s="9" t="s">
        <v>25</v>
      </c>
      <c r="F788" s="9" t="s">
        <v>26</v>
      </c>
      <c r="G788" s="9" t="s">
        <v>27</v>
      </c>
      <c r="H788" s="9" t="s">
        <v>28</v>
      </c>
      <c r="I788" s="9" t="s">
        <v>29</v>
      </c>
      <c r="J788" s="9" t="s">
        <v>30</v>
      </c>
      <c r="K788" s="9" t="s">
        <v>31</v>
      </c>
      <c r="L788" s="9" t="s">
        <v>32</v>
      </c>
      <c r="M788" s="9" t="s">
        <v>1354</v>
      </c>
      <c r="N788" s="9" t="s">
        <v>1523</v>
      </c>
      <c r="O788" s="9" t="s">
        <v>1355</v>
      </c>
      <c r="P788" s="9" t="s">
        <v>1356</v>
      </c>
      <c r="Q788" s="9">
        <v>101016110</v>
      </c>
      <c r="R788" s="9" t="s">
        <v>38</v>
      </c>
      <c r="S788" s="9" t="s">
        <v>39</v>
      </c>
      <c r="T788" s="11">
        <v>2</v>
      </c>
      <c r="U788" s="15" t="s">
        <v>1355</v>
      </c>
      <c r="V788" s="16" t="s">
        <v>1356</v>
      </c>
      <c r="W788" s="17">
        <v>101016110</v>
      </c>
      <c r="X788" s="16" t="s">
        <v>3010</v>
      </c>
      <c r="Y788" s="17" t="s">
        <v>3011</v>
      </c>
      <c r="Z788" s="17" t="s">
        <v>39</v>
      </c>
      <c r="AA788" s="17" t="s">
        <v>37</v>
      </c>
      <c r="AB788" s="29">
        <v>78.61</v>
      </c>
      <c r="AC788" s="25">
        <v>88.93</v>
      </c>
      <c r="AD788" s="30">
        <f>AC788*T788</f>
        <v>177.86</v>
      </c>
      <c r="AE788" s="25">
        <f>AB788*T788</f>
        <v>157.22</v>
      </c>
      <c r="AF788" s="25">
        <f>AD788-AE788</f>
        <v>20.640000000000015</v>
      </c>
      <c r="AG788" s="26">
        <f>AF788/AD788</f>
        <v>0.11604632857303504</v>
      </c>
      <c r="AH788" s="27" t="str">
        <f>IF(AG788&lt;0,"Negative",IF(AG788=0,"Same",IF(AG788&gt;0.3,"30+%",IF(AG788&gt;0.2,"20-30%",IF(AG788&gt;0.1,"10-20%",IF(AG788&lt;=0.1,"0-10%"))))))</f>
        <v>10-20%</v>
      </c>
      <c r="AI788" s="32"/>
      <c r="AJ788" s="36" t="s">
        <v>3299</v>
      </c>
      <c r="AK788" s="32"/>
    </row>
    <row r="789" spans="1:37" s="1" customFormat="1" ht="19.7" customHeight="1" x14ac:dyDescent="0.25">
      <c r="A789" s="5" t="s">
        <v>22</v>
      </c>
      <c r="B789" s="5" t="s">
        <v>1348</v>
      </c>
      <c r="C789" s="6">
        <v>44379</v>
      </c>
      <c r="D789" s="5" t="s">
        <v>24</v>
      </c>
      <c r="E789" s="5" t="s">
        <v>25</v>
      </c>
      <c r="F789" s="5" t="s">
        <v>26</v>
      </c>
      <c r="G789" s="5" t="s">
        <v>27</v>
      </c>
      <c r="H789" s="5" t="s">
        <v>28</v>
      </c>
      <c r="I789" s="5" t="s">
        <v>29</v>
      </c>
      <c r="J789" s="5" t="s">
        <v>30</v>
      </c>
      <c r="K789" s="5" t="s">
        <v>31</v>
      </c>
      <c r="L789" s="5" t="s">
        <v>32</v>
      </c>
      <c r="M789" s="5" t="s">
        <v>1354</v>
      </c>
      <c r="N789" s="5" t="s">
        <v>1350</v>
      </c>
      <c r="O789" s="5" t="s">
        <v>1355</v>
      </c>
      <c r="P789" s="5" t="s">
        <v>1356</v>
      </c>
      <c r="Q789" s="5">
        <v>101016110</v>
      </c>
      <c r="R789" s="5" t="s">
        <v>38</v>
      </c>
      <c r="S789" s="5" t="s">
        <v>39</v>
      </c>
      <c r="T789" s="7">
        <v>2</v>
      </c>
      <c r="U789" s="15" t="s">
        <v>1355</v>
      </c>
      <c r="V789" s="16" t="s">
        <v>1356</v>
      </c>
      <c r="W789" s="17">
        <v>101016110</v>
      </c>
      <c r="X789" s="16" t="s">
        <v>3010</v>
      </c>
      <c r="Y789" s="17" t="s">
        <v>3011</v>
      </c>
      <c r="Z789" s="17" t="s">
        <v>39</v>
      </c>
      <c r="AA789" s="17" t="s">
        <v>37</v>
      </c>
      <c r="AB789" s="29">
        <v>78.61</v>
      </c>
      <c r="AC789" s="25">
        <v>88.93</v>
      </c>
      <c r="AD789" s="25">
        <f>AC789*T789</f>
        <v>177.86</v>
      </c>
      <c r="AE789" s="25">
        <f>AB789*T789</f>
        <v>157.22</v>
      </c>
      <c r="AF789" s="25">
        <f>AD789-AE789</f>
        <v>20.640000000000015</v>
      </c>
      <c r="AG789" s="26">
        <f>AF789/AD789</f>
        <v>0.11604632857303504</v>
      </c>
      <c r="AH789" s="27" t="str">
        <f>IF(AG789&lt;0,"Negative",IF(AG789=0,"Same",IF(AG789&gt;0.3,"30+%",IF(AG789&gt;0.2,"20-30%",IF(AG789&gt;0.1,"10-20%",IF(AG789&lt;=0.1,"0-10%"))))))</f>
        <v>10-20%</v>
      </c>
      <c r="AI789" s="32"/>
      <c r="AJ789" s="36" t="s">
        <v>3299</v>
      </c>
      <c r="AK789" s="32"/>
    </row>
    <row r="790" spans="1:37" s="1" customFormat="1" ht="19.7" customHeight="1" x14ac:dyDescent="0.25">
      <c r="A790" s="5" t="s">
        <v>22</v>
      </c>
      <c r="B790" s="5" t="s">
        <v>200</v>
      </c>
      <c r="C790" s="6">
        <v>44242</v>
      </c>
      <c r="D790" s="5" t="s">
        <v>24</v>
      </c>
      <c r="E790" s="5" t="s">
        <v>25</v>
      </c>
      <c r="F790" s="5" t="s">
        <v>26</v>
      </c>
      <c r="G790" s="5" t="s">
        <v>67</v>
      </c>
      <c r="H790" s="5" t="s">
        <v>68</v>
      </c>
      <c r="I790" s="5" t="s">
        <v>29</v>
      </c>
      <c r="J790" s="5" t="s">
        <v>30</v>
      </c>
      <c r="K790" s="5" t="s">
        <v>31</v>
      </c>
      <c r="L790" s="5" t="s">
        <v>32</v>
      </c>
      <c r="M790" s="5" t="s">
        <v>206</v>
      </c>
      <c r="N790" s="5" t="s">
        <v>202</v>
      </c>
      <c r="O790" s="5" t="s">
        <v>89</v>
      </c>
      <c r="P790" s="5" t="s">
        <v>207</v>
      </c>
      <c r="Q790" s="5">
        <v>100915038</v>
      </c>
      <c r="R790" s="5" t="s">
        <v>45</v>
      </c>
      <c r="S790" s="5" t="s">
        <v>39</v>
      </c>
      <c r="T790" s="7">
        <v>2</v>
      </c>
      <c r="U790" s="15" t="s">
        <v>89</v>
      </c>
      <c r="V790" s="16" t="s">
        <v>207</v>
      </c>
      <c r="W790" s="17">
        <v>100915038</v>
      </c>
      <c r="X790" s="16" t="s">
        <v>2518</v>
      </c>
      <c r="Y790" s="17" t="s">
        <v>2575</v>
      </c>
      <c r="Z790" s="17" t="s">
        <v>39</v>
      </c>
      <c r="AA790" s="17" t="s">
        <v>37</v>
      </c>
      <c r="AB790" s="43">
        <v>23.53</v>
      </c>
      <c r="AC790" s="25">
        <v>28.95</v>
      </c>
      <c r="AD790" s="31">
        <f>AC790*T790</f>
        <v>57.9</v>
      </c>
      <c r="AE790" s="25">
        <f>AB790*T790</f>
        <v>47.06</v>
      </c>
      <c r="AF790" s="25">
        <f>AD790-AE790</f>
        <v>10.839999999999996</v>
      </c>
      <c r="AG790" s="26">
        <f>AF790/AD790</f>
        <v>0.18721934369602758</v>
      </c>
      <c r="AH790" s="27" t="str">
        <f>IF(AG790&lt;0,"Negative",IF(AG790=0,"Same",IF(AG790&gt;0.3,"30+%",IF(AG790&gt;0.2,"20-30%",IF(AG790&gt;0.1,"10-20%",IF(AG790&lt;=0.1,"0-10%"))))))</f>
        <v>10-20%</v>
      </c>
      <c r="AI790" s="32"/>
      <c r="AJ790" s="36" t="s">
        <v>3299</v>
      </c>
      <c r="AK790" s="32"/>
    </row>
    <row r="791" spans="1:37" s="1" customFormat="1" ht="19.7" customHeight="1" x14ac:dyDescent="0.25">
      <c r="A791" s="5" t="s">
        <v>22</v>
      </c>
      <c r="B791" s="5" t="s">
        <v>689</v>
      </c>
      <c r="C791" s="6">
        <v>44288</v>
      </c>
      <c r="D791" s="5" t="s">
        <v>24</v>
      </c>
      <c r="E791" s="5" t="s">
        <v>25</v>
      </c>
      <c r="F791" s="5" t="s">
        <v>26</v>
      </c>
      <c r="G791" s="5" t="s">
        <v>67</v>
      </c>
      <c r="H791" s="5" t="s">
        <v>68</v>
      </c>
      <c r="I791" s="5" t="s">
        <v>29</v>
      </c>
      <c r="J791" s="5" t="s">
        <v>30</v>
      </c>
      <c r="K791" s="5" t="s">
        <v>31</v>
      </c>
      <c r="L791" s="5" t="s">
        <v>32</v>
      </c>
      <c r="M791" s="5" t="s">
        <v>206</v>
      </c>
      <c r="N791" s="5" t="s">
        <v>690</v>
      </c>
      <c r="O791" s="5" t="s">
        <v>89</v>
      </c>
      <c r="P791" s="5" t="s">
        <v>207</v>
      </c>
      <c r="Q791" s="5">
        <v>100915038</v>
      </c>
      <c r="R791" s="5" t="s">
        <v>45</v>
      </c>
      <c r="S791" s="5" t="s">
        <v>39</v>
      </c>
      <c r="T791" s="7">
        <v>2</v>
      </c>
      <c r="U791" s="15" t="s">
        <v>89</v>
      </c>
      <c r="V791" s="16" t="s">
        <v>207</v>
      </c>
      <c r="W791" s="17">
        <v>100915038</v>
      </c>
      <c r="X791" s="16" t="s">
        <v>2518</v>
      </c>
      <c r="Y791" s="17" t="s">
        <v>2575</v>
      </c>
      <c r="Z791" s="17" t="s">
        <v>39</v>
      </c>
      <c r="AA791" s="17" t="s">
        <v>37</v>
      </c>
      <c r="AB791" s="43">
        <v>23.53</v>
      </c>
      <c r="AC791" s="25">
        <v>28.95</v>
      </c>
      <c r="AD791" s="25">
        <f>AC791*T791</f>
        <v>57.9</v>
      </c>
      <c r="AE791" s="25">
        <f>AB791*T791</f>
        <v>47.06</v>
      </c>
      <c r="AF791" s="25">
        <f>AD791-AE791</f>
        <v>10.839999999999996</v>
      </c>
      <c r="AG791" s="26">
        <f>AF791/AD791</f>
        <v>0.18721934369602758</v>
      </c>
      <c r="AH791" s="27" t="str">
        <f>IF(AG791&lt;0,"Negative",IF(AG791=0,"Same",IF(AG791&gt;0.3,"30+%",IF(AG791&gt;0.2,"20-30%",IF(AG791&gt;0.1,"10-20%",IF(AG791&lt;=0.1,"0-10%"))))))</f>
        <v>10-20%</v>
      </c>
      <c r="AI791" s="32"/>
      <c r="AJ791" s="36" t="s">
        <v>3299</v>
      </c>
      <c r="AK791" s="32"/>
    </row>
    <row r="792" spans="1:37" s="1" customFormat="1" ht="19.7" customHeight="1" x14ac:dyDescent="0.25">
      <c r="A792" s="5" t="s">
        <v>22</v>
      </c>
      <c r="B792" s="5" t="s">
        <v>942</v>
      </c>
      <c r="C792" s="6">
        <v>44320</v>
      </c>
      <c r="D792" s="5" t="s">
        <v>24</v>
      </c>
      <c r="E792" s="5" t="s">
        <v>25</v>
      </c>
      <c r="F792" s="5" t="s">
        <v>26</v>
      </c>
      <c r="G792" s="5" t="s">
        <v>27</v>
      </c>
      <c r="H792" s="5" t="s">
        <v>28</v>
      </c>
      <c r="I792" s="5" t="s">
        <v>29</v>
      </c>
      <c r="J792" s="5" t="s">
        <v>30</v>
      </c>
      <c r="K792" s="5" t="s">
        <v>31</v>
      </c>
      <c r="L792" s="5" t="s">
        <v>32</v>
      </c>
      <c r="M792" s="5" t="s">
        <v>943</v>
      </c>
      <c r="N792" s="5" t="s">
        <v>791</v>
      </c>
      <c r="O792" s="5" t="s">
        <v>557</v>
      </c>
      <c r="P792" s="5" t="s">
        <v>944</v>
      </c>
      <c r="Q792" s="5">
        <v>102742442</v>
      </c>
      <c r="R792" s="5" t="s">
        <v>216</v>
      </c>
      <c r="S792" s="5" t="s">
        <v>39</v>
      </c>
      <c r="T792" s="7">
        <v>1</v>
      </c>
      <c r="U792" s="15" t="s">
        <v>557</v>
      </c>
      <c r="V792" s="16" t="s">
        <v>944</v>
      </c>
      <c r="W792" s="17">
        <v>102742442</v>
      </c>
      <c r="X792" s="16" t="s">
        <v>2728</v>
      </c>
      <c r="Y792" s="17" t="s">
        <v>2871</v>
      </c>
      <c r="Z792" s="17" t="s">
        <v>39</v>
      </c>
      <c r="AA792" s="17" t="s">
        <v>37</v>
      </c>
      <c r="AB792" s="29">
        <v>69.489999999999995</v>
      </c>
      <c r="AC792" s="25">
        <v>66.63</v>
      </c>
      <c r="AD792" s="25">
        <f>AC792*T792</f>
        <v>66.63</v>
      </c>
      <c r="AE792" s="25">
        <f>AB792*T792</f>
        <v>69.489999999999995</v>
      </c>
      <c r="AF792" s="25">
        <f>AD792-AE792</f>
        <v>-2.8599999999999994</v>
      </c>
      <c r="AG792" s="26">
        <f>AF792/AD792</f>
        <v>-4.2923607984391411E-2</v>
      </c>
      <c r="AH792" s="27" t="str">
        <f>IF(AG792&lt;0,"Negative",IF(AG792=0,"Same",IF(AG792&gt;0.3,"30+%",IF(AG792&gt;0.2,"20-30%",IF(AG792&gt;0.1,"10-20%",IF(AG792&lt;=0.1,"0-10%"))))))</f>
        <v>Negative</v>
      </c>
      <c r="AI792" s="32"/>
      <c r="AJ792" s="36" t="s">
        <v>3300</v>
      </c>
      <c r="AK792" s="32"/>
    </row>
    <row r="793" spans="1:37" s="1" customFormat="1" ht="19.7" customHeight="1" x14ac:dyDescent="0.25">
      <c r="A793" s="9" t="s">
        <v>22</v>
      </c>
      <c r="B793" s="9" t="s">
        <v>885</v>
      </c>
      <c r="C793" s="10">
        <v>44316</v>
      </c>
      <c r="D793" s="9" t="s">
        <v>24</v>
      </c>
      <c r="E793" s="9" t="s">
        <v>25</v>
      </c>
      <c r="F793" s="9" t="s">
        <v>26</v>
      </c>
      <c r="G793" s="9" t="s">
        <v>67</v>
      </c>
      <c r="H793" s="9" t="s">
        <v>68</v>
      </c>
      <c r="I793" s="9" t="s">
        <v>29</v>
      </c>
      <c r="J793" s="9" t="s">
        <v>30</v>
      </c>
      <c r="K793" s="9" t="s">
        <v>31</v>
      </c>
      <c r="L793" s="9" t="s">
        <v>32</v>
      </c>
      <c r="M793" s="9" t="s">
        <v>543</v>
      </c>
      <c r="N793" s="9" t="s">
        <v>886</v>
      </c>
      <c r="O793" s="9" t="s">
        <v>71</v>
      </c>
      <c r="P793" s="9" t="s">
        <v>544</v>
      </c>
      <c r="Q793" s="9">
        <v>102193507</v>
      </c>
      <c r="R793" s="9" t="s">
        <v>73</v>
      </c>
      <c r="S793" s="9" t="s">
        <v>39</v>
      </c>
      <c r="T793" s="11">
        <v>1</v>
      </c>
      <c r="U793" s="15" t="s">
        <v>71</v>
      </c>
      <c r="V793" s="41" t="s">
        <v>544</v>
      </c>
      <c r="W793" s="17">
        <v>102193507</v>
      </c>
      <c r="X793" s="16" t="s">
        <v>2510</v>
      </c>
      <c r="Y793" s="17" t="s">
        <v>2724</v>
      </c>
      <c r="Z793" s="17" t="s">
        <v>39</v>
      </c>
      <c r="AA793" s="17" t="s">
        <v>37</v>
      </c>
      <c r="AB793" s="29">
        <v>39.03</v>
      </c>
      <c r="AC793" s="25">
        <v>39.03</v>
      </c>
      <c r="AD793" s="25">
        <f>AC793*T793</f>
        <v>39.03</v>
      </c>
      <c r="AE793" s="25">
        <f>AB793*T793</f>
        <v>39.03</v>
      </c>
      <c r="AF793" s="25">
        <f>AD793-AE793</f>
        <v>0</v>
      </c>
      <c r="AG793" s="26">
        <f>AF793/AD793</f>
        <v>0</v>
      </c>
      <c r="AH793" s="27" t="str">
        <f>IF(AG793&lt;0,"Negative",IF(AG793=0,"Same",IF(AG793&gt;0.3,"30+%",IF(AG793&gt;0.2,"20-30%",IF(AG793&gt;0.1,"10-20%",IF(AG793&lt;=0.1,"0-10%"))))))</f>
        <v>Same</v>
      </c>
      <c r="AI793" s="32"/>
      <c r="AJ793" s="36" t="s">
        <v>3300</v>
      </c>
      <c r="AK793" s="32"/>
    </row>
    <row r="794" spans="1:37" s="1" customFormat="1" ht="19.7" customHeight="1" x14ac:dyDescent="0.25">
      <c r="A794" s="5" t="s">
        <v>22</v>
      </c>
      <c r="B794" s="5" t="s">
        <v>541</v>
      </c>
      <c r="C794" s="6">
        <v>44274</v>
      </c>
      <c r="D794" s="5" t="s">
        <v>24</v>
      </c>
      <c r="E794" s="5" t="s">
        <v>25</v>
      </c>
      <c r="F794" s="5" t="s">
        <v>26</v>
      </c>
      <c r="G794" s="5" t="s">
        <v>67</v>
      </c>
      <c r="H794" s="5" t="s">
        <v>68</v>
      </c>
      <c r="I794" s="5" t="s">
        <v>29</v>
      </c>
      <c r="J794" s="5" t="s">
        <v>30</v>
      </c>
      <c r="K794" s="5" t="s">
        <v>31</v>
      </c>
      <c r="L794" s="5" t="s">
        <v>32</v>
      </c>
      <c r="M794" s="5" t="s">
        <v>543</v>
      </c>
      <c r="N794" s="5" t="s">
        <v>542</v>
      </c>
      <c r="O794" s="5" t="s">
        <v>71</v>
      </c>
      <c r="P794" s="5" t="s">
        <v>544</v>
      </c>
      <c r="Q794" s="5">
        <v>102193507</v>
      </c>
      <c r="R794" s="5" t="s">
        <v>73</v>
      </c>
      <c r="S794" s="5" t="s">
        <v>39</v>
      </c>
      <c r="T794" s="7">
        <v>1</v>
      </c>
      <c r="U794" s="15" t="s">
        <v>71</v>
      </c>
      <c r="V794" s="41" t="s">
        <v>544</v>
      </c>
      <c r="W794" s="17">
        <v>102193507</v>
      </c>
      <c r="X794" s="16" t="s">
        <v>2510</v>
      </c>
      <c r="Y794" s="17" t="s">
        <v>2724</v>
      </c>
      <c r="Z794" s="17" t="s">
        <v>39</v>
      </c>
      <c r="AA794" s="17" t="s">
        <v>37</v>
      </c>
      <c r="AB794" s="29">
        <v>39.03</v>
      </c>
      <c r="AC794" s="25">
        <v>39.03</v>
      </c>
      <c r="AD794" s="25">
        <f>AC794*T794</f>
        <v>39.03</v>
      </c>
      <c r="AE794" s="25">
        <f>AB794*T794</f>
        <v>39.03</v>
      </c>
      <c r="AF794" s="25">
        <f>AD794-AE794</f>
        <v>0</v>
      </c>
      <c r="AG794" s="26">
        <f>AF794/AD794</f>
        <v>0</v>
      </c>
      <c r="AH794" s="27" t="str">
        <f>IF(AG794&lt;0,"Negative",IF(AG794=0,"Same",IF(AG794&gt;0.3,"30+%",IF(AG794&gt;0.2,"20-30%",IF(AG794&gt;0.1,"10-20%",IF(AG794&lt;=0.1,"0-10%"))))))</f>
        <v>Same</v>
      </c>
      <c r="AI794" s="32"/>
      <c r="AJ794" s="36" t="s">
        <v>3300</v>
      </c>
      <c r="AK794" s="32"/>
    </row>
    <row r="795" spans="1:37" s="1" customFormat="1" ht="19.7" customHeight="1" x14ac:dyDescent="0.25">
      <c r="A795" s="9" t="s">
        <v>22</v>
      </c>
      <c r="B795" s="9" t="s">
        <v>2356</v>
      </c>
      <c r="C795" s="10">
        <v>44571</v>
      </c>
      <c r="D795" s="9" t="s">
        <v>24</v>
      </c>
      <c r="E795" s="9" t="s">
        <v>25</v>
      </c>
      <c r="F795" s="9" t="s">
        <v>26</v>
      </c>
      <c r="G795" s="9" t="s">
        <v>27</v>
      </c>
      <c r="H795" s="9" t="s">
        <v>28</v>
      </c>
      <c r="I795" s="9" t="s">
        <v>29</v>
      </c>
      <c r="J795" s="9" t="s">
        <v>30</v>
      </c>
      <c r="K795" s="9" t="s">
        <v>31</v>
      </c>
      <c r="L795" s="9" t="s">
        <v>32</v>
      </c>
      <c r="M795" s="9" t="s">
        <v>246</v>
      </c>
      <c r="N795" s="9" t="s">
        <v>2357</v>
      </c>
      <c r="O795" s="9" t="s">
        <v>35</v>
      </c>
      <c r="P795" s="9" t="s">
        <v>248</v>
      </c>
      <c r="Q795" s="9">
        <v>100493526</v>
      </c>
      <c r="R795" s="9" t="s">
        <v>38</v>
      </c>
      <c r="S795" s="9" t="s">
        <v>39</v>
      </c>
      <c r="T795" s="11">
        <v>3</v>
      </c>
      <c r="U795" s="15" t="s">
        <v>35</v>
      </c>
      <c r="V795" s="16" t="s">
        <v>248</v>
      </c>
      <c r="W795" s="17">
        <v>100493526</v>
      </c>
      <c r="X795" s="16" t="s">
        <v>2593</v>
      </c>
      <c r="Y795" s="17" t="s">
        <v>2594</v>
      </c>
      <c r="Z795" s="17" t="s">
        <v>39</v>
      </c>
      <c r="AA795" s="17" t="s">
        <v>37</v>
      </c>
      <c r="AB795" s="29">
        <v>45.71</v>
      </c>
      <c r="AC795" s="25">
        <v>44.52</v>
      </c>
      <c r="AD795" s="30">
        <f>AC795*T795</f>
        <v>133.56</v>
      </c>
      <c r="AE795" s="25">
        <f>AB795*T795</f>
        <v>137.13</v>
      </c>
      <c r="AF795" s="25">
        <f>AD795-AE795</f>
        <v>-3.5699999999999932</v>
      </c>
      <c r="AG795" s="26">
        <f>AF795/AD795</f>
        <v>-2.6729559748427622E-2</v>
      </c>
      <c r="AH795" s="27" t="str">
        <f>IF(AG795&lt;0,"Negative",IF(AG795=0,"Same",IF(AG795&gt;0.3,"30+%",IF(AG795&gt;0.2,"20-30%",IF(AG795&gt;0.1,"10-20%",IF(AG795&lt;=0.1,"0-10%"))))))</f>
        <v>Negative</v>
      </c>
      <c r="AI795" s="32"/>
      <c r="AJ795" s="36" t="s">
        <v>3299</v>
      </c>
      <c r="AK795" s="32"/>
    </row>
    <row r="796" spans="1:37" s="1" customFormat="1" ht="19.7" customHeight="1" x14ac:dyDescent="0.25">
      <c r="A796" s="5" t="s">
        <v>22</v>
      </c>
      <c r="B796" s="5" t="s">
        <v>2091</v>
      </c>
      <c r="C796" s="6">
        <v>44519</v>
      </c>
      <c r="D796" s="5" t="s">
        <v>24</v>
      </c>
      <c r="E796" s="5" t="s">
        <v>25</v>
      </c>
      <c r="F796" s="5" t="s">
        <v>26</v>
      </c>
      <c r="G796" s="5" t="s">
        <v>27</v>
      </c>
      <c r="H796" s="5" t="s">
        <v>28</v>
      </c>
      <c r="I796" s="5" t="s">
        <v>29</v>
      </c>
      <c r="J796" s="5" t="s">
        <v>30</v>
      </c>
      <c r="K796" s="5" t="s">
        <v>31</v>
      </c>
      <c r="L796" s="5" t="s">
        <v>32</v>
      </c>
      <c r="M796" s="5" t="s">
        <v>246</v>
      </c>
      <c r="N796" s="5" t="s">
        <v>2093</v>
      </c>
      <c r="O796" s="5" t="s">
        <v>35</v>
      </c>
      <c r="P796" s="5" t="s">
        <v>248</v>
      </c>
      <c r="Q796" s="5">
        <v>100493526</v>
      </c>
      <c r="R796" s="5" t="s">
        <v>38</v>
      </c>
      <c r="S796" s="5" t="s">
        <v>39</v>
      </c>
      <c r="T796" s="7">
        <v>3</v>
      </c>
      <c r="U796" s="15" t="s">
        <v>35</v>
      </c>
      <c r="V796" s="16" t="s">
        <v>248</v>
      </c>
      <c r="W796" s="17">
        <v>100493526</v>
      </c>
      <c r="X796" s="16" t="s">
        <v>2593</v>
      </c>
      <c r="Y796" s="17" t="s">
        <v>2594</v>
      </c>
      <c r="Z796" s="17" t="s">
        <v>39</v>
      </c>
      <c r="AA796" s="17" t="s">
        <v>37</v>
      </c>
      <c r="AB796" s="29">
        <v>45.71</v>
      </c>
      <c r="AC796" s="25">
        <v>44.52</v>
      </c>
      <c r="AD796" s="25">
        <f>AC796*T796</f>
        <v>133.56</v>
      </c>
      <c r="AE796" s="25">
        <f>AB796*T796</f>
        <v>137.13</v>
      </c>
      <c r="AF796" s="25">
        <f>AD796-AE796</f>
        <v>-3.5699999999999932</v>
      </c>
      <c r="AG796" s="26">
        <f>AF796/AD796</f>
        <v>-2.6729559748427622E-2</v>
      </c>
      <c r="AH796" s="27" t="str">
        <f>IF(AG796&lt;0,"Negative",IF(AG796=0,"Same",IF(AG796&gt;0.3,"30+%",IF(AG796&gt;0.2,"20-30%",IF(AG796&gt;0.1,"10-20%",IF(AG796&lt;=0.1,"0-10%"))))))</f>
        <v>Negative</v>
      </c>
      <c r="AI796" s="32"/>
      <c r="AJ796" s="36" t="s">
        <v>3299</v>
      </c>
      <c r="AK796" s="32"/>
    </row>
    <row r="797" spans="1:37" s="1" customFormat="1" ht="19.7" customHeight="1" x14ac:dyDescent="0.25">
      <c r="A797" s="9" t="s">
        <v>22</v>
      </c>
      <c r="B797" s="9" t="s">
        <v>2239</v>
      </c>
      <c r="C797" s="10">
        <v>44550</v>
      </c>
      <c r="D797" s="9" t="s">
        <v>24</v>
      </c>
      <c r="E797" s="9" t="s">
        <v>25</v>
      </c>
      <c r="F797" s="9" t="s">
        <v>26</v>
      </c>
      <c r="G797" s="9" t="s">
        <v>27</v>
      </c>
      <c r="H797" s="9" t="s">
        <v>28</v>
      </c>
      <c r="I797" s="9" t="s">
        <v>29</v>
      </c>
      <c r="J797" s="9" t="s">
        <v>30</v>
      </c>
      <c r="K797" s="9" t="s">
        <v>31</v>
      </c>
      <c r="L797" s="9" t="s">
        <v>32</v>
      </c>
      <c r="M797" s="9" t="s">
        <v>2240</v>
      </c>
      <c r="N797" s="9" t="s">
        <v>2241</v>
      </c>
      <c r="O797" s="9" t="s">
        <v>169</v>
      </c>
      <c r="P797" s="9" t="s">
        <v>2242</v>
      </c>
      <c r="Q797" s="9">
        <v>112556684</v>
      </c>
      <c r="R797" s="9" t="s">
        <v>38</v>
      </c>
      <c r="S797" s="9" t="s">
        <v>39</v>
      </c>
      <c r="T797" s="11">
        <v>1</v>
      </c>
      <c r="U797" s="15" t="s">
        <v>169</v>
      </c>
      <c r="V797" s="16" t="s">
        <v>2242</v>
      </c>
      <c r="W797" s="17">
        <v>112556684</v>
      </c>
      <c r="X797" s="16" t="s">
        <v>2583</v>
      </c>
      <c r="Y797" s="17" t="s">
        <v>3233</v>
      </c>
      <c r="Z797" s="17" t="s">
        <v>39</v>
      </c>
      <c r="AA797" s="17" t="s">
        <v>37</v>
      </c>
      <c r="AB797" s="29">
        <v>196.96</v>
      </c>
      <c r="AC797" s="25">
        <v>200.47</v>
      </c>
      <c r="AD797" s="25">
        <f>AC797*T797</f>
        <v>200.47</v>
      </c>
      <c r="AE797" s="25">
        <f>AB797*T797</f>
        <v>196.96</v>
      </c>
      <c r="AF797" s="25">
        <f>AD797-AE797</f>
        <v>3.5099999999999909</v>
      </c>
      <c r="AG797" s="26">
        <f>AF797/AD797</f>
        <v>1.7508854192647232E-2</v>
      </c>
      <c r="AH797" s="27" t="str">
        <f>IF(AG797&lt;0,"Negative",IF(AG797=0,"Same",IF(AG797&gt;0.3,"30+%",IF(AG797&gt;0.2,"20-30%",IF(AG797&gt;0.1,"10-20%",IF(AG797&lt;=0.1,"0-10%"))))))</f>
        <v>0-10%</v>
      </c>
      <c r="AI797" s="32"/>
      <c r="AJ797" s="36" t="s">
        <v>3299</v>
      </c>
      <c r="AK797" s="32"/>
    </row>
    <row r="798" spans="1:37" s="1" customFormat="1" ht="19.7" customHeight="1" x14ac:dyDescent="0.25">
      <c r="A798" s="5" t="s">
        <v>22</v>
      </c>
      <c r="B798" s="5" t="s">
        <v>46</v>
      </c>
      <c r="C798" s="6">
        <v>44229</v>
      </c>
      <c r="D798" s="5" t="s">
        <v>24</v>
      </c>
      <c r="E798" s="5" t="s">
        <v>25</v>
      </c>
      <c r="F798" s="5" t="s">
        <v>26</v>
      </c>
      <c r="G798" s="5" t="s">
        <v>27</v>
      </c>
      <c r="H798" s="5" t="s">
        <v>28</v>
      </c>
      <c r="I798" s="5" t="s">
        <v>29</v>
      </c>
      <c r="J798" s="5" t="s">
        <v>30</v>
      </c>
      <c r="K798" s="5" t="s">
        <v>31</v>
      </c>
      <c r="L798" s="5" t="s">
        <v>32</v>
      </c>
      <c r="M798" s="5" t="s">
        <v>47</v>
      </c>
      <c r="N798" s="5" t="s">
        <v>48</v>
      </c>
      <c r="O798" s="5" t="s">
        <v>49</v>
      </c>
      <c r="P798" s="5" t="s">
        <v>50</v>
      </c>
      <c r="Q798" s="5">
        <v>110998969</v>
      </c>
      <c r="R798" s="5" t="s">
        <v>51</v>
      </c>
      <c r="S798" s="5" t="s">
        <v>39</v>
      </c>
      <c r="T798" s="7">
        <v>1</v>
      </c>
      <c r="U798" s="15" t="s">
        <v>49</v>
      </c>
      <c r="V798" s="16" t="s">
        <v>50</v>
      </c>
      <c r="W798" s="17">
        <v>110998969</v>
      </c>
      <c r="X798" s="16" t="s">
        <v>2502</v>
      </c>
      <c r="Y798" s="17" t="s">
        <v>2503</v>
      </c>
      <c r="Z798" s="17" t="s">
        <v>39</v>
      </c>
      <c r="AA798" s="17" t="s">
        <v>2501</v>
      </c>
      <c r="AB798" s="29">
        <v>124.43</v>
      </c>
      <c r="AC798" s="25">
        <v>136.16999999999999</v>
      </c>
      <c r="AD798" s="25">
        <f>AC798*T798</f>
        <v>136.16999999999999</v>
      </c>
      <c r="AE798" s="25">
        <f>AB798*T798</f>
        <v>124.43</v>
      </c>
      <c r="AF798" s="25">
        <f>AD798-AE798</f>
        <v>11.739999999999981</v>
      </c>
      <c r="AG798" s="26">
        <f>AF798/AD798</f>
        <v>8.6215759712124418E-2</v>
      </c>
      <c r="AH798" s="27" t="str">
        <f>IF(AG798&lt;0,"Negative",IF(AG798=0,"Same",IF(AG798&gt;0.3,"30+%",IF(AG798&gt;0.2,"20-30%",IF(AG798&gt;0.1,"10-20%",IF(AG798&lt;=0.1,"0-10%"))))))</f>
        <v>0-10%</v>
      </c>
      <c r="AI798" s="32"/>
      <c r="AJ798" s="36" t="s">
        <v>3300</v>
      </c>
      <c r="AK798" s="32"/>
    </row>
    <row r="799" spans="1:37" s="1" customFormat="1" ht="19.7" customHeight="1" x14ac:dyDescent="0.25">
      <c r="A799" s="5" t="s">
        <v>22</v>
      </c>
      <c r="B799" s="5" t="s">
        <v>1234</v>
      </c>
      <c r="C799" s="6">
        <v>44364</v>
      </c>
      <c r="D799" s="5" t="s">
        <v>24</v>
      </c>
      <c r="E799" s="5" t="s">
        <v>25</v>
      </c>
      <c r="F799" s="5" t="s">
        <v>26</v>
      </c>
      <c r="G799" s="5" t="s">
        <v>27</v>
      </c>
      <c r="H799" s="5" t="s">
        <v>28</v>
      </c>
      <c r="I799" s="5" t="s">
        <v>29</v>
      </c>
      <c r="J799" s="5" t="s">
        <v>30</v>
      </c>
      <c r="K799" s="5" t="s">
        <v>31</v>
      </c>
      <c r="L799" s="5" t="s">
        <v>32</v>
      </c>
      <c r="M799" s="5" t="s">
        <v>1235</v>
      </c>
      <c r="N799" s="5" t="s">
        <v>1236</v>
      </c>
      <c r="O799" s="5" t="s">
        <v>79</v>
      </c>
      <c r="P799" s="5" t="s">
        <v>1237</v>
      </c>
      <c r="Q799" s="5">
        <v>101171304</v>
      </c>
      <c r="R799" s="5" t="s">
        <v>61</v>
      </c>
      <c r="S799" s="5" t="s">
        <v>39</v>
      </c>
      <c r="T799" s="7">
        <v>2</v>
      </c>
      <c r="U799" s="15" t="s">
        <v>79</v>
      </c>
      <c r="V799" s="16" t="s">
        <v>1237</v>
      </c>
      <c r="W799" s="17">
        <v>101171304</v>
      </c>
      <c r="X799" s="16" t="s">
        <v>2540</v>
      </c>
      <c r="Y799" s="17" t="s">
        <v>2971</v>
      </c>
      <c r="Z799" s="17" t="s">
        <v>39</v>
      </c>
      <c r="AA799" s="17" t="s">
        <v>37</v>
      </c>
      <c r="AB799" s="43">
        <v>32.78</v>
      </c>
      <c r="AC799" s="25">
        <v>34.590000000000003</v>
      </c>
      <c r="AD799" s="25">
        <f>AC799*T799</f>
        <v>69.180000000000007</v>
      </c>
      <c r="AE799" s="25">
        <f>AB799*T799</f>
        <v>65.56</v>
      </c>
      <c r="AF799" s="25">
        <f>AD799-AE799</f>
        <v>3.6200000000000045</v>
      </c>
      <c r="AG799" s="26">
        <f>AF799/AD799</f>
        <v>5.2327262214512928E-2</v>
      </c>
      <c r="AH799" s="27" t="str">
        <f>IF(AG799&lt;0,"Negative",IF(AG799=0,"Same",IF(AG799&gt;0.3,"30+%",IF(AG799&gt;0.2,"20-30%",IF(AG799&gt;0.1,"10-20%",IF(AG799&lt;=0.1,"0-10%"))))))</f>
        <v>0-10%</v>
      </c>
      <c r="AI799" s="32"/>
      <c r="AJ799" s="36" t="s">
        <v>3299</v>
      </c>
      <c r="AK799" s="32"/>
    </row>
    <row r="800" spans="1:37" s="1" customFormat="1" ht="19.7" customHeight="1" x14ac:dyDescent="0.25">
      <c r="A800" s="5" t="s">
        <v>22</v>
      </c>
      <c r="B800" s="5" t="s">
        <v>2358</v>
      </c>
      <c r="C800" s="6">
        <v>44571</v>
      </c>
      <c r="D800" s="5" t="s">
        <v>24</v>
      </c>
      <c r="E800" s="5" t="s">
        <v>25</v>
      </c>
      <c r="F800" s="5" t="s">
        <v>26</v>
      </c>
      <c r="G800" s="5" t="s">
        <v>27</v>
      </c>
      <c r="H800" s="5" t="s">
        <v>28</v>
      </c>
      <c r="I800" s="5" t="s">
        <v>29</v>
      </c>
      <c r="J800" s="5" t="s">
        <v>30</v>
      </c>
      <c r="K800" s="5" t="s">
        <v>31</v>
      </c>
      <c r="L800" s="5" t="s">
        <v>32</v>
      </c>
      <c r="M800" s="5" t="s">
        <v>1859</v>
      </c>
      <c r="N800" s="5" t="s">
        <v>2359</v>
      </c>
      <c r="O800" s="5" t="s">
        <v>1327</v>
      </c>
      <c r="P800" s="5" t="s">
        <v>1861</v>
      </c>
      <c r="Q800" s="5">
        <v>100968476</v>
      </c>
      <c r="R800" s="5" t="s">
        <v>56</v>
      </c>
      <c r="S800" s="5" t="s">
        <v>39</v>
      </c>
      <c r="T800" s="7">
        <v>2</v>
      </c>
      <c r="U800" s="15" t="s">
        <v>1327</v>
      </c>
      <c r="V800" s="16" t="s">
        <v>1861</v>
      </c>
      <c r="W800" s="17">
        <v>100968476</v>
      </c>
      <c r="X800" s="16" t="s">
        <v>3153</v>
      </c>
      <c r="Y800" s="17" t="s">
        <v>3154</v>
      </c>
      <c r="Z800" s="17" t="s">
        <v>39</v>
      </c>
      <c r="AA800" s="17" t="s">
        <v>37</v>
      </c>
      <c r="AB800" s="43">
        <v>776.92</v>
      </c>
      <c r="AC800" s="25">
        <v>811.9</v>
      </c>
      <c r="AD800" s="25">
        <f>AC800*T800</f>
        <v>1623.8</v>
      </c>
      <c r="AE800" s="25">
        <f>AB800*T800</f>
        <v>1553.84</v>
      </c>
      <c r="AF800" s="25">
        <f>AD800-AE800</f>
        <v>69.960000000000036</v>
      </c>
      <c r="AG800" s="26">
        <f>AF800/AD800</f>
        <v>4.3084123660549353E-2</v>
      </c>
      <c r="AH800" s="27" t="str">
        <f>IF(AG800&lt;0,"Negative",IF(AG800=0,"Same",IF(AG800&gt;0.3,"30+%",IF(AG800&gt;0.2,"20-30%",IF(AG800&gt;0.1,"10-20%",IF(AG800&lt;=0.1,"0-10%"))))))</f>
        <v>0-10%</v>
      </c>
      <c r="AI800" s="32"/>
      <c r="AJ800" s="36" t="s">
        <v>3300</v>
      </c>
      <c r="AK800" s="32"/>
    </row>
    <row r="801" spans="1:37" s="1" customFormat="1" ht="19.7" customHeight="1" x14ac:dyDescent="0.25">
      <c r="A801" s="5" t="s">
        <v>22</v>
      </c>
      <c r="B801" s="5" t="s">
        <v>672</v>
      </c>
      <c r="C801" s="6">
        <v>44286</v>
      </c>
      <c r="D801" s="5" t="s">
        <v>24</v>
      </c>
      <c r="E801" s="5" t="s">
        <v>25</v>
      </c>
      <c r="F801" s="5" t="s">
        <v>26</v>
      </c>
      <c r="G801" s="5" t="s">
        <v>27</v>
      </c>
      <c r="H801" s="5" t="s">
        <v>28</v>
      </c>
      <c r="I801" s="5" t="s">
        <v>29</v>
      </c>
      <c r="J801" s="5" t="s">
        <v>30</v>
      </c>
      <c r="K801" s="5" t="s">
        <v>31</v>
      </c>
      <c r="L801" s="5" t="s">
        <v>32</v>
      </c>
      <c r="M801" s="5" t="s">
        <v>261</v>
      </c>
      <c r="N801" s="5" t="s">
        <v>673</v>
      </c>
      <c r="O801" s="5" t="s">
        <v>35</v>
      </c>
      <c r="P801" s="5" t="s">
        <v>674</v>
      </c>
      <c r="Q801" s="5">
        <v>118165156</v>
      </c>
      <c r="R801" s="5" t="s">
        <v>38</v>
      </c>
      <c r="S801" s="5" t="s">
        <v>39</v>
      </c>
      <c r="T801" s="7">
        <v>1</v>
      </c>
      <c r="U801" s="15" t="s">
        <v>35</v>
      </c>
      <c r="V801" s="16" t="s">
        <v>674</v>
      </c>
      <c r="W801" s="17">
        <v>118165156</v>
      </c>
      <c r="X801" s="16" t="s">
        <v>2629</v>
      </c>
      <c r="Y801" s="17" t="s">
        <v>2775</v>
      </c>
      <c r="Z801" s="17" t="s">
        <v>39</v>
      </c>
      <c r="AA801" s="17" t="s">
        <v>2501</v>
      </c>
      <c r="AB801" s="29">
        <v>805.89</v>
      </c>
      <c r="AC801" s="25">
        <v>824.13</v>
      </c>
      <c r="AD801" s="25">
        <f>AC801*T801</f>
        <v>824.13</v>
      </c>
      <c r="AE801" s="25">
        <f>AB801*T801</f>
        <v>805.89</v>
      </c>
      <c r="AF801" s="25">
        <f>AD801-AE801</f>
        <v>18.240000000000009</v>
      </c>
      <c r="AG801" s="26">
        <f>AF801/AD801</f>
        <v>2.2132430563139321E-2</v>
      </c>
      <c r="AH801" s="27" t="str">
        <f>IF(AG801&lt;0,"Negative",IF(AG801=0,"Same",IF(AG801&gt;0.3,"30+%",IF(AG801&gt;0.2,"20-30%",IF(AG801&gt;0.1,"10-20%",IF(AG801&lt;=0.1,"0-10%"))))))</f>
        <v>0-10%</v>
      </c>
      <c r="AI801" s="32"/>
      <c r="AJ801" s="36" t="s">
        <v>3300</v>
      </c>
      <c r="AK801" s="32"/>
    </row>
    <row r="802" spans="1:37" s="1" customFormat="1" ht="19.7" customHeight="1" x14ac:dyDescent="0.25">
      <c r="A802" s="5" t="s">
        <v>22</v>
      </c>
      <c r="B802" s="5" t="s">
        <v>1039</v>
      </c>
      <c r="C802" s="6">
        <v>44333</v>
      </c>
      <c r="D802" s="5" t="s">
        <v>24</v>
      </c>
      <c r="E802" s="5" t="s">
        <v>25</v>
      </c>
      <c r="F802" s="5" t="s">
        <v>26</v>
      </c>
      <c r="G802" s="5" t="s">
        <v>27</v>
      </c>
      <c r="H802" s="5" t="s">
        <v>28</v>
      </c>
      <c r="I802" s="5" t="s">
        <v>29</v>
      </c>
      <c r="J802" s="5" t="s">
        <v>30</v>
      </c>
      <c r="K802" s="5" t="s">
        <v>31</v>
      </c>
      <c r="L802" s="5" t="s">
        <v>32</v>
      </c>
      <c r="M802" s="5" t="s">
        <v>1040</v>
      </c>
      <c r="N802" s="5" t="s">
        <v>660</v>
      </c>
      <c r="O802" s="5" t="s">
        <v>89</v>
      </c>
      <c r="P802" s="5" t="s">
        <v>1041</v>
      </c>
      <c r="Q802" s="5">
        <v>100747953</v>
      </c>
      <c r="R802" s="5" t="s">
        <v>45</v>
      </c>
      <c r="S802" s="5" t="s">
        <v>39</v>
      </c>
      <c r="T802" s="7">
        <v>2</v>
      </c>
      <c r="U802" s="15" t="s">
        <v>89</v>
      </c>
      <c r="V802" s="16" t="s">
        <v>1041</v>
      </c>
      <c r="W802" s="17">
        <v>100747953</v>
      </c>
      <c r="X802" s="16" t="s">
        <v>2520</v>
      </c>
      <c r="Y802" s="17" t="s">
        <v>2902</v>
      </c>
      <c r="Z802" s="17" t="s">
        <v>39</v>
      </c>
      <c r="AA802" s="17" t="s">
        <v>37</v>
      </c>
      <c r="AB802" s="43">
        <v>26.69</v>
      </c>
      <c r="AC802" s="25">
        <v>31.29</v>
      </c>
      <c r="AD802" s="25">
        <f>AC802*T802</f>
        <v>62.58</v>
      </c>
      <c r="AE802" s="25">
        <f>AB802*T802</f>
        <v>53.38</v>
      </c>
      <c r="AF802" s="25">
        <f>AD802-AE802</f>
        <v>9.1999999999999957</v>
      </c>
      <c r="AG802" s="26">
        <f>AF802/AD802</f>
        <v>0.1470118248641738</v>
      </c>
      <c r="AH802" s="27" t="str">
        <f>IF(AG802&lt;0,"Negative",IF(AG802=0,"Same",IF(AG802&gt;0.3,"30+%",IF(AG802&gt;0.2,"20-30%",IF(AG802&gt;0.1,"10-20%",IF(AG802&lt;=0.1,"0-10%"))))))</f>
        <v>10-20%</v>
      </c>
      <c r="AI802" s="32"/>
      <c r="AJ802" s="36" t="s">
        <v>3300</v>
      </c>
      <c r="AK802" s="32"/>
    </row>
    <row r="803" spans="1:37" s="1" customFormat="1" ht="19.7" customHeight="1" x14ac:dyDescent="0.25">
      <c r="A803" s="5" t="s">
        <v>22</v>
      </c>
      <c r="B803" s="5" t="s">
        <v>647</v>
      </c>
      <c r="C803" s="6">
        <v>44284</v>
      </c>
      <c r="D803" s="5" t="s">
        <v>24</v>
      </c>
      <c r="E803" s="5" t="s">
        <v>25</v>
      </c>
      <c r="F803" s="5" t="s">
        <v>26</v>
      </c>
      <c r="G803" s="5" t="s">
        <v>27</v>
      </c>
      <c r="H803" s="5" t="s">
        <v>28</v>
      </c>
      <c r="I803" s="5" t="s">
        <v>29</v>
      </c>
      <c r="J803" s="5" t="s">
        <v>30</v>
      </c>
      <c r="K803" s="5" t="s">
        <v>31</v>
      </c>
      <c r="L803" s="5" t="s">
        <v>32</v>
      </c>
      <c r="M803" s="5" t="s">
        <v>648</v>
      </c>
      <c r="N803" s="5" t="s">
        <v>605</v>
      </c>
      <c r="O803" s="5" t="s">
        <v>109</v>
      </c>
      <c r="P803" s="5" t="s">
        <v>649</v>
      </c>
      <c r="Q803" s="5">
        <v>100001305</v>
      </c>
      <c r="R803" s="5" t="s">
        <v>61</v>
      </c>
      <c r="S803" s="5" t="s">
        <v>39</v>
      </c>
      <c r="T803" s="7">
        <v>1</v>
      </c>
      <c r="U803" s="15" t="s">
        <v>109</v>
      </c>
      <c r="V803" s="16" t="s">
        <v>649</v>
      </c>
      <c r="W803" s="17">
        <v>100001305</v>
      </c>
      <c r="X803" s="16" t="s">
        <v>2526</v>
      </c>
      <c r="Y803" s="17" t="s">
        <v>2767</v>
      </c>
      <c r="Z803" s="17" t="s">
        <v>39</v>
      </c>
      <c r="AA803" s="17" t="s">
        <v>37</v>
      </c>
      <c r="AB803" s="43">
        <v>56.97</v>
      </c>
      <c r="AC803" s="25">
        <v>58.16</v>
      </c>
      <c r="AD803" s="25">
        <f>AC803*T803</f>
        <v>58.16</v>
      </c>
      <c r="AE803" s="25">
        <f>AB803*T803</f>
        <v>56.97</v>
      </c>
      <c r="AF803" s="25">
        <f>AD803-AE803</f>
        <v>1.1899999999999977</v>
      </c>
      <c r="AG803" s="26">
        <f>AF803/AD803</f>
        <v>2.0460797799174653E-2</v>
      </c>
      <c r="AH803" s="27" t="str">
        <f>IF(AG803&lt;0,"Negative",IF(AG803=0,"Same",IF(AG803&gt;0.3,"30+%",IF(AG803&gt;0.2,"20-30%",IF(AG803&gt;0.1,"10-20%",IF(AG803&lt;=0.1,"0-10%"))))))</f>
        <v>0-10%</v>
      </c>
      <c r="AI803" s="32"/>
      <c r="AJ803" s="36" t="s">
        <v>3300</v>
      </c>
      <c r="AK803" s="32"/>
    </row>
    <row r="804" spans="1:37" s="1" customFormat="1" ht="19.7" customHeight="1" x14ac:dyDescent="0.25">
      <c r="A804" s="9" t="s">
        <v>22</v>
      </c>
      <c r="B804" s="9" t="s">
        <v>2280</v>
      </c>
      <c r="C804" s="10">
        <v>44559</v>
      </c>
      <c r="D804" s="9" t="s">
        <v>24</v>
      </c>
      <c r="E804" s="9" t="s">
        <v>25</v>
      </c>
      <c r="F804" s="9" t="s">
        <v>26</v>
      </c>
      <c r="G804" s="9" t="s">
        <v>67</v>
      </c>
      <c r="H804" s="9" t="s">
        <v>68</v>
      </c>
      <c r="I804" s="9" t="s">
        <v>29</v>
      </c>
      <c r="J804" s="9" t="s">
        <v>30</v>
      </c>
      <c r="K804" s="9" t="s">
        <v>31</v>
      </c>
      <c r="L804" s="9" t="s">
        <v>32</v>
      </c>
      <c r="M804" s="9" t="s">
        <v>434</v>
      </c>
      <c r="N804" s="9" t="s">
        <v>2022</v>
      </c>
      <c r="O804" s="9" t="s">
        <v>128</v>
      </c>
      <c r="P804" s="9" t="s">
        <v>435</v>
      </c>
      <c r="Q804" s="9">
        <v>100867416</v>
      </c>
      <c r="R804" s="9" t="s">
        <v>45</v>
      </c>
      <c r="S804" s="9" t="s">
        <v>39</v>
      </c>
      <c r="T804" s="11">
        <v>1</v>
      </c>
      <c r="U804" s="15" t="s">
        <v>128</v>
      </c>
      <c r="V804" s="16" t="s">
        <v>435</v>
      </c>
      <c r="W804" s="17">
        <v>100867416</v>
      </c>
      <c r="X804" s="16" t="s">
        <v>2670</v>
      </c>
      <c r="Y804" s="17" t="s">
        <v>2671</v>
      </c>
      <c r="Z804" s="17" t="s">
        <v>39</v>
      </c>
      <c r="AA804" s="17" t="s">
        <v>37</v>
      </c>
      <c r="AB804" s="29">
        <v>27.67</v>
      </c>
      <c r="AC804" s="25">
        <v>33.78</v>
      </c>
      <c r="AD804" s="25">
        <f>AC804*T804</f>
        <v>33.78</v>
      </c>
      <c r="AE804" s="25">
        <f>AB804*T804</f>
        <v>27.67</v>
      </c>
      <c r="AF804" s="25">
        <f>AD804-AE804</f>
        <v>6.1099999999999994</v>
      </c>
      <c r="AG804" s="26">
        <f>AF804/AD804</f>
        <v>0.18087625814091177</v>
      </c>
      <c r="AH804" s="27" t="str">
        <f>IF(AG804&lt;0,"Negative",IF(AG804=0,"Same",IF(AG804&gt;0.3,"30+%",IF(AG804&gt;0.2,"20-30%",IF(AG804&gt;0.1,"10-20%",IF(AG804&lt;=0.1,"0-10%"))))))</f>
        <v>10-20%</v>
      </c>
      <c r="AI804" s="32"/>
      <c r="AJ804" s="36" t="s">
        <v>3299</v>
      </c>
      <c r="AK804" s="32"/>
    </row>
    <row r="805" spans="1:37" s="1" customFormat="1" ht="19.7" customHeight="1" x14ac:dyDescent="0.25">
      <c r="A805" s="5" t="s">
        <v>22</v>
      </c>
      <c r="B805" s="5" t="s">
        <v>426</v>
      </c>
      <c r="C805" s="6">
        <v>44260</v>
      </c>
      <c r="D805" s="5" t="s">
        <v>24</v>
      </c>
      <c r="E805" s="5" t="s">
        <v>25</v>
      </c>
      <c r="F805" s="5" t="s">
        <v>26</v>
      </c>
      <c r="G805" s="5" t="s">
        <v>67</v>
      </c>
      <c r="H805" s="5" t="s">
        <v>68</v>
      </c>
      <c r="I805" s="5" t="s">
        <v>29</v>
      </c>
      <c r="J805" s="5" t="s">
        <v>30</v>
      </c>
      <c r="K805" s="5" t="s">
        <v>31</v>
      </c>
      <c r="L805" s="5" t="s">
        <v>32</v>
      </c>
      <c r="M805" s="5" t="s">
        <v>434</v>
      </c>
      <c r="N805" s="5" t="s">
        <v>428</v>
      </c>
      <c r="O805" s="5" t="s">
        <v>128</v>
      </c>
      <c r="P805" s="5" t="s">
        <v>435</v>
      </c>
      <c r="Q805" s="5">
        <v>100867416</v>
      </c>
      <c r="R805" s="5" t="s">
        <v>45</v>
      </c>
      <c r="S805" s="5" t="s">
        <v>39</v>
      </c>
      <c r="T805" s="7">
        <v>1</v>
      </c>
      <c r="U805" s="15" t="s">
        <v>128</v>
      </c>
      <c r="V805" s="16" t="s">
        <v>435</v>
      </c>
      <c r="W805" s="17">
        <v>100867416</v>
      </c>
      <c r="X805" s="16" t="s">
        <v>2670</v>
      </c>
      <c r="Y805" s="17" t="s">
        <v>2671</v>
      </c>
      <c r="Z805" s="17" t="s">
        <v>39</v>
      </c>
      <c r="AA805" s="17" t="s">
        <v>37</v>
      </c>
      <c r="AB805" s="29">
        <v>27.67</v>
      </c>
      <c r="AC805" s="25">
        <v>33.78</v>
      </c>
      <c r="AD805" s="25">
        <f>AC805*T805</f>
        <v>33.78</v>
      </c>
      <c r="AE805" s="25">
        <f>AB805*T805</f>
        <v>27.67</v>
      </c>
      <c r="AF805" s="25">
        <f>AD805-AE805</f>
        <v>6.1099999999999994</v>
      </c>
      <c r="AG805" s="26">
        <f>AF805/AD805</f>
        <v>0.18087625814091177</v>
      </c>
      <c r="AH805" s="27" t="str">
        <f>IF(AG805&lt;0,"Negative",IF(AG805=0,"Same",IF(AG805&gt;0.3,"30+%",IF(AG805&gt;0.2,"20-30%",IF(AG805&gt;0.1,"10-20%",IF(AG805&lt;=0.1,"0-10%"))))))</f>
        <v>10-20%</v>
      </c>
      <c r="AI805" s="32"/>
      <c r="AJ805" s="36" t="s">
        <v>3299</v>
      </c>
      <c r="AK805" s="32"/>
    </row>
    <row r="806" spans="1:37" s="1" customFormat="1" ht="19.7" customHeight="1" x14ac:dyDescent="0.25">
      <c r="A806" s="5" t="s">
        <v>22</v>
      </c>
      <c r="B806" s="5" t="s">
        <v>889</v>
      </c>
      <c r="C806" s="6">
        <v>44316</v>
      </c>
      <c r="D806" s="5" t="s">
        <v>24</v>
      </c>
      <c r="E806" s="5" t="s">
        <v>25</v>
      </c>
      <c r="F806" s="5" t="s">
        <v>26</v>
      </c>
      <c r="G806" s="5" t="s">
        <v>67</v>
      </c>
      <c r="H806" s="5" t="s">
        <v>68</v>
      </c>
      <c r="I806" s="5" t="s">
        <v>29</v>
      </c>
      <c r="J806" s="5" t="s">
        <v>30</v>
      </c>
      <c r="K806" s="5" t="s">
        <v>31</v>
      </c>
      <c r="L806" s="5" t="s">
        <v>32</v>
      </c>
      <c r="M806" s="5" t="s">
        <v>434</v>
      </c>
      <c r="N806" s="5" t="s">
        <v>891</v>
      </c>
      <c r="O806" s="5" t="s">
        <v>128</v>
      </c>
      <c r="P806" s="5" t="s">
        <v>435</v>
      </c>
      <c r="Q806" s="5">
        <v>100867416</v>
      </c>
      <c r="R806" s="5" t="s">
        <v>45</v>
      </c>
      <c r="S806" s="5" t="s">
        <v>39</v>
      </c>
      <c r="T806" s="7">
        <v>1</v>
      </c>
      <c r="U806" s="15" t="s">
        <v>128</v>
      </c>
      <c r="V806" s="16" t="s">
        <v>435</v>
      </c>
      <c r="W806" s="17">
        <v>100867416</v>
      </c>
      <c r="X806" s="16" t="s">
        <v>2670</v>
      </c>
      <c r="Y806" s="17" t="s">
        <v>2671</v>
      </c>
      <c r="Z806" s="17" t="s">
        <v>39</v>
      </c>
      <c r="AA806" s="17" t="s">
        <v>37</v>
      </c>
      <c r="AB806" s="29">
        <v>27.67</v>
      </c>
      <c r="AC806" s="25">
        <v>33.78</v>
      </c>
      <c r="AD806" s="25">
        <f>AC806*T806</f>
        <v>33.78</v>
      </c>
      <c r="AE806" s="25">
        <f>AB806*T806</f>
        <v>27.67</v>
      </c>
      <c r="AF806" s="25">
        <f>AD806-AE806</f>
        <v>6.1099999999999994</v>
      </c>
      <c r="AG806" s="26">
        <f>AF806/AD806</f>
        <v>0.18087625814091177</v>
      </c>
      <c r="AH806" s="27" t="str">
        <f>IF(AG806&lt;0,"Negative",IF(AG806=0,"Same",IF(AG806&gt;0.3,"30+%",IF(AG806&gt;0.2,"20-30%",IF(AG806&gt;0.1,"10-20%",IF(AG806&lt;=0.1,"0-10%"))))))</f>
        <v>10-20%</v>
      </c>
      <c r="AI806" s="32"/>
      <c r="AJ806" s="36" t="s">
        <v>3299</v>
      </c>
      <c r="AK806" s="32"/>
    </row>
    <row r="807" spans="1:37" s="1" customFormat="1" ht="19.7" customHeight="1" x14ac:dyDescent="0.25">
      <c r="A807" s="5" t="s">
        <v>22</v>
      </c>
      <c r="B807" s="5" t="s">
        <v>1023</v>
      </c>
      <c r="C807" s="6">
        <v>44333</v>
      </c>
      <c r="D807" s="5" t="s">
        <v>24</v>
      </c>
      <c r="E807" s="5" t="s">
        <v>25</v>
      </c>
      <c r="F807" s="5" t="s">
        <v>26</v>
      </c>
      <c r="G807" s="5" t="s">
        <v>67</v>
      </c>
      <c r="H807" s="5" t="s">
        <v>68</v>
      </c>
      <c r="I807" s="5" t="s">
        <v>29</v>
      </c>
      <c r="J807" s="5" t="s">
        <v>30</v>
      </c>
      <c r="K807" s="5" t="s">
        <v>31</v>
      </c>
      <c r="L807" s="5" t="s">
        <v>32</v>
      </c>
      <c r="M807" s="5" t="s">
        <v>434</v>
      </c>
      <c r="N807" s="5" t="s">
        <v>1024</v>
      </c>
      <c r="O807" s="5" t="s">
        <v>128</v>
      </c>
      <c r="P807" s="5" t="s">
        <v>435</v>
      </c>
      <c r="Q807" s="5">
        <v>100867416</v>
      </c>
      <c r="R807" s="5" t="s">
        <v>45</v>
      </c>
      <c r="S807" s="5" t="s">
        <v>39</v>
      </c>
      <c r="T807" s="7">
        <v>1</v>
      </c>
      <c r="U807" s="15" t="s">
        <v>128</v>
      </c>
      <c r="V807" s="16" t="s">
        <v>435</v>
      </c>
      <c r="W807" s="17">
        <v>100867416</v>
      </c>
      <c r="X807" s="16" t="s">
        <v>2670</v>
      </c>
      <c r="Y807" s="17" t="s">
        <v>2671</v>
      </c>
      <c r="Z807" s="17" t="s">
        <v>39</v>
      </c>
      <c r="AA807" s="17" t="s">
        <v>37</v>
      </c>
      <c r="AB807" s="29">
        <v>27.67</v>
      </c>
      <c r="AC807" s="25">
        <v>33.78</v>
      </c>
      <c r="AD807" s="25">
        <f>AC807*T807</f>
        <v>33.78</v>
      </c>
      <c r="AE807" s="25">
        <f>AB807*T807</f>
        <v>27.67</v>
      </c>
      <c r="AF807" s="25">
        <f>AD807-AE807</f>
        <v>6.1099999999999994</v>
      </c>
      <c r="AG807" s="26">
        <f>AF807/AD807</f>
        <v>0.18087625814091177</v>
      </c>
      <c r="AH807" s="27" t="str">
        <f>IF(AG807&lt;0,"Negative",IF(AG807=0,"Same",IF(AG807&gt;0.3,"30+%",IF(AG807&gt;0.2,"20-30%",IF(AG807&gt;0.1,"10-20%",IF(AG807&lt;=0.1,"0-10%"))))))</f>
        <v>10-20%</v>
      </c>
      <c r="AI807" s="32"/>
      <c r="AJ807" s="36" t="s">
        <v>3299</v>
      </c>
      <c r="AK807" s="32"/>
    </row>
    <row r="808" spans="1:37" s="1" customFormat="1" ht="19.7" customHeight="1" x14ac:dyDescent="0.25">
      <c r="A808" s="9" t="s">
        <v>22</v>
      </c>
      <c r="B808" s="9" t="s">
        <v>1759</v>
      </c>
      <c r="C808" s="10">
        <v>44456</v>
      </c>
      <c r="D808" s="9" t="s">
        <v>24</v>
      </c>
      <c r="E808" s="9" t="s">
        <v>25</v>
      </c>
      <c r="F808" s="9" t="s">
        <v>26</v>
      </c>
      <c r="G808" s="9" t="s">
        <v>67</v>
      </c>
      <c r="H808" s="9" t="s">
        <v>68</v>
      </c>
      <c r="I808" s="9" t="s">
        <v>29</v>
      </c>
      <c r="J808" s="9" t="s">
        <v>30</v>
      </c>
      <c r="K808" s="9" t="s">
        <v>31</v>
      </c>
      <c r="L808" s="9" t="s">
        <v>32</v>
      </c>
      <c r="M808" s="9" t="s">
        <v>434</v>
      </c>
      <c r="N808" s="9" t="s">
        <v>1760</v>
      </c>
      <c r="O808" s="9" t="s">
        <v>128</v>
      </c>
      <c r="P808" s="9" t="s">
        <v>435</v>
      </c>
      <c r="Q808" s="9">
        <v>100867416</v>
      </c>
      <c r="R808" s="9" t="s">
        <v>45</v>
      </c>
      <c r="S808" s="9" t="s">
        <v>39</v>
      </c>
      <c r="T808" s="11">
        <v>2</v>
      </c>
      <c r="U808" s="15" t="s">
        <v>128</v>
      </c>
      <c r="V808" s="16" t="s">
        <v>435</v>
      </c>
      <c r="W808" s="17">
        <v>100867416</v>
      </c>
      <c r="X808" s="16" t="s">
        <v>2670</v>
      </c>
      <c r="Y808" s="17" t="s">
        <v>2671</v>
      </c>
      <c r="Z808" s="17" t="s">
        <v>39</v>
      </c>
      <c r="AA808" s="17" t="s">
        <v>37</v>
      </c>
      <c r="AB808" s="29">
        <v>27.67</v>
      </c>
      <c r="AC808" s="25">
        <v>33.78</v>
      </c>
      <c r="AD808" s="25">
        <f>AC808*T808</f>
        <v>67.56</v>
      </c>
      <c r="AE808" s="25">
        <f>AB808*T808</f>
        <v>55.34</v>
      </c>
      <c r="AF808" s="25">
        <f>AD808-AE808</f>
        <v>12.219999999999999</v>
      </c>
      <c r="AG808" s="26">
        <f>AF808/AD808</f>
        <v>0.18087625814091177</v>
      </c>
      <c r="AH808" s="27" t="str">
        <f>IF(AG808&lt;0,"Negative",IF(AG808=0,"Same",IF(AG808&gt;0.3,"30+%",IF(AG808&gt;0.2,"20-30%",IF(AG808&gt;0.1,"10-20%",IF(AG808&lt;=0.1,"0-10%"))))))</f>
        <v>10-20%</v>
      </c>
      <c r="AI808" s="32"/>
      <c r="AJ808" s="36" t="s">
        <v>3299</v>
      </c>
      <c r="AK808" s="32"/>
    </row>
    <row r="809" spans="1:37" s="1" customFormat="1" ht="19.7" customHeight="1" x14ac:dyDescent="0.25">
      <c r="A809" s="5" t="s">
        <v>22</v>
      </c>
      <c r="B809" s="5" t="s">
        <v>2278</v>
      </c>
      <c r="C809" s="6">
        <v>44559</v>
      </c>
      <c r="D809" s="5" t="s">
        <v>24</v>
      </c>
      <c r="E809" s="5" t="s">
        <v>25</v>
      </c>
      <c r="F809" s="5" t="s">
        <v>26</v>
      </c>
      <c r="G809" s="5" t="s">
        <v>67</v>
      </c>
      <c r="H809" s="5" t="s">
        <v>68</v>
      </c>
      <c r="I809" s="5" t="s">
        <v>29</v>
      </c>
      <c r="J809" s="5" t="s">
        <v>30</v>
      </c>
      <c r="K809" s="5" t="s">
        <v>31</v>
      </c>
      <c r="L809" s="5" t="s">
        <v>32</v>
      </c>
      <c r="M809" s="5" t="s">
        <v>434</v>
      </c>
      <c r="N809" s="5" t="s">
        <v>2279</v>
      </c>
      <c r="O809" s="5" t="s">
        <v>128</v>
      </c>
      <c r="P809" s="5" t="s">
        <v>435</v>
      </c>
      <c r="Q809" s="5">
        <v>100867416</v>
      </c>
      <c r="R809" s="5" t="s">
        <v>45</v>
      </c>
      <c r="S809" s="5" t="s">
        <v>39</v>
      </c>
      <c r="T809" s="7">
        <v>2</v>
      </c>
      <c r="U809" s="15" t="s">
        <v>128</v>
      </c>
      <c r="V809" s="16" t="s">
        <v>435</v>
      </c>
      <c r="W809" s="17">
        <v>100867416</v>
      </c>
      <c r="X809" s="16" t="s">
        <v>2670</v>
      </c>
      <c r="Y809" s="17" t="s">
        <v>2671</v>
      </c>
      <c r="Z809" s="17" t="s">
        <v>39</v>
      </c>
      <c r="AA809" s="17" t="s">
        <v>37</v>
      </c>
      <c r="AB809" s="29">
        <v>27.67</v>
      </c>
      <c r="AC809" s="25">
        <v>33.78</v>
      </c>
      <c r="AD809" s="25">
        <f>AC809*T809</f>
        <v>67.56</v>
      </c>
      <c r="AE809" s="25">
        <f>AB809*T809</f>
        <v>55.34</v>
      </c>
      <c r="AF809" s="25">
        <f>AD809-AE809</f>
        <v>12.219999999999999</v>
      </c>
      <c r="AG809" s="26">
        <f>AF809/AD809</f>
        <v>0.18087625814091177</v>
      </c>
      <c r="AH809" s="27" t="str">
        <f>IF(AG809&lt;0,"Negative",IF(AG809=0,"Same",IF(AG809&gt;0.3,"30+%",IF(AG809&gt;0.2,"20-30%",IF(AG809&gt;0.1,"10-20%",IF(AG809&lt;=0.1,"0-10%"))))))</f>
        <v>10-20%</v>
      </c>
      <c r="AI809" s="32"/>
      <c r="AJ809" s="36" t="s">
        <v>3299</v>
      </c>
      <c r="AK809" s="32"/>
    </row>
    <row r="810" spans="1:37" s="1" customFormat="1" ht="19.7" customHeight="1" x14ac:dyDescent="0.25">
      <c r="A810" s="5" t="s">
        <v>22</v>
      </c>
      <c r="B810" s="5" t="s">
        <v>1619</v>
      </c>
      <c r="C810" s="6">
        <v>44426</v>
      </c>
      <c r="D810" s="5" t="s">
        <v>24</v>
      </c>
      <c r="E810" s="5" t="s">
        <v>25</v>
      </c>
      <c r="F810" s="5" t="s">
        <v>26</v>
      </c>
      <c r="G810" s="5" t="s">
        <v>67</v>
      </c>
      <c r="H810" s="5" t="s">
        <v>68</v>
      </c>
      <c r="I810" s="5" t="s">
        <v>29</v>
      </c>
      <c r="J810" s="5" t="s">
        <v>30</v>
      </c>
      <c r="K810" s="5" t="s">
        <v>31</v>
      </c>
      <c r="L810" s="5" t="s">
        <v>32</v>
      </c>
      <c r="M810" s="5" t="s">
        <v>1621</v>
      </c>
      <c r="N810" s="5" t="s">
        <v>1620</v>
      </c>
      <c r="O810" s="5" t="s">
        <v>502</v>
      </c>
      <c r="P810" s="5" t="s">
        <v>1622</v>
      </c>
      <c r="Q810" s="5">
        <v>102719690</v>
      </c>
      <c r="R810" s="5" t="s">
        <v>38</v>
      </c>
      <c r="S810" s="5" t="s">
        <v>39</v>
      </c>
      <c r="T810" s="7">
        <v>1</v>
      </c>
      <c r="U810" s="15" t="s">
        <v>502</v>
      </c>
      <c r="V810" s="16" t="s">
        <v>1622</v>
      </c>
      <c r="W810" s="17">
        <v>102719690</v>
      </c>
      <c r="X810" s="16" t="s">
        <v>3093</v>
      </c>
      <c r="Y810" s="17" t="s">
        <v>3094</v>
      </c>
      <c r="Z810" s="17" t="s">
        <v>39</v>
      </c>
      <c r="AA810" s="17" t="s">
        <v>2501</v>
      </c>
      <c r="AB810" s="29">
        <v>113.6</v>
      </c>
      <c r="AC810" s="25">
        <v>116.16</v>
      </c>
      <c r="AD810" s="25">
        <f>AC810*T810</f>
        <v>116.16</v>
      </c>
      <c r="AE810" s="25">
        <f>AB810*T810</f>
        <v>113.6</v>
      </c>
      <c r="AF810" s="25">
        <f>AD810-AE810</f>
        <v>2.5600000000000023</v>
      </c>
      <c r="AG810" s="26">
        <f>AF810/AD810</f>
        <v>2.2038567493112969E-2</v>
      </c>
      <c r="AH810" s="27" t="str">
        <f>IF(AG810&lt;0,"Negative",IF(AG810=0,"Same",IF(AG810&gt;0.3,"30+%",IF(AG810&gt;0.2,"20-30%",IF(AG810&gt;0.1,"10-20%",IF(AG810&lt;=0.1,"0-10%"))))))</f>
        <v>0-10%</v>
      </c>
      <c r="AI810" s="32"/>
      <c r="AJ810" s="36" t="s">
        <v>3300</v>
      </c>
      <c r="AK810" s="32"/>
    </row>
    <row r="811" spans="1:37" s="1" customFormat="1" ht="19.7" customHeight="1" x14ac:dyDescent="0.25">
      <c r="A811" s="9" t="s">
        <v>22</v>
      </c>
      <c r="B811" s="9" t="s">
        <v>1076</v>
      </c>
      <c r="C811" s="10">
        <v>44337</v>
      </c>
      <c r="D811" s="9" t="s">
        <v>24</v>
      </c>
      <c r="E811" s="9" t="s">
        <v>25</v>
      </c>
      <c r="F811" s="9" t="s">
        <v>26</v>
      </c>
      <c r="G811" s="9" t="s">
        <v>27</v>
      </c>
      <c r="H811" s="9" t="s">
        <v>28</v>
      </c>
      <c r="I811" s="9" t="s">
        <v>29</v>
      </c>
      <c r="J811" s="9" t="s">
        <v>30</v>
      </c>
      <c r="K811" s="9" t="s">
        <v>31</v>
      </c>
      <c r="L811" s="9" t="s">
        <v>32</v>
      </c>
      <c r="M811" s="9" t="s">
        <v>1077</v>
      </c>
      <c r="N811" s="9" t="s">
        <v>415</v>
      </c>
      <c r="O811" s="9" t="s">
        <v>402</v>
      </c>
      <c r="P811" s="9" t="s">
        <v>1078</v>
      </c>
      <c r="Q811" s="9">
        <v>100742353</v>
      </c>
      <c r="R811" s="9" t="s">
        <v>61</v>
      </c>
      <c r="S811" s="9" t="s">
        <v>39</v>
      </c>
      <c r="T811" s="11">
        <v>1</v>
      </c>
      <c r="U811" s="15" t="s">
        <v>402</v>
      </c>
      <c r="V811" s="16" t="s">
        <v>1078</v>
      </c>
      <c r="W811" s="17">
        <v>100742353</v>
      </c>
      <c r="X811" s="16" t="s">
        <v>2791</v>
      </c>
      <c r="Y811" s="17" t="s">
        <v>2918</v>
      </c>
      <c r="Z811" s="17" t="s">
        <v>39</v>
      </c>
      <c r="AA811" s="17" t="s">
        <v>37</v>
      </c>
      <c r="AB811" s="43">
        <v>56.42</v>
      </c>
      <c r="AC811" s="25">
        <v>57.6</v>
      </c>
      <c r="AD811" s="25">
        <f>AC811*T811</f>
        <v>57.6</v>
      </c>
      <c r="AE811" s="25">
        <f>AB811*T811</f>
        <v>56.42</v>
      </c>
      <c r="AF811" s="25">
        <f>AD811-AE811</f>
        <v>1.1799999999999997</v>
      </c>
      <c r="AG811" s="26">
        <f>AF811/AD811</f>
        <v>2.0486111111111104E-2</v>
      </c>
      <c r="AH811" s="27" t="str">
        <f>IF(AG811&lt;0,"Negative",IF(AG811=0,"Same",IF(AG811&gt;0.3,"30+%",IF(AG811&gt;0.2,"20-30%",IF(AG811&gt;0.1,"10-20%",IF(AG811&lt;=0.1,"0-10%"))))))</f>
        <v>0-10%</v>
      </c>
      <c r="AI811" s="32"/>
      <c r="AJ811" s="36" t="s">
        <v>3300</v>
      </c>
      <c r="AK811" s="32"/>
    </row>
    <row r="812" spans="1:37" s="1" customFormat="1" ht="19.7" customHeight="1" x14ac:dyDescent="0.25">
      <c r="A812" s="5" t="s">
        <v>22</v>
      </c>
      <c r="B812" s="5" t="s">
        <v>1812</v>
      </c>
      <c r="C812" s="6">
        <v>44466</v>
      </c>
      <c r="D812" s="5" t="s">
        <v>24</v>
      </c>
      <c r="E812" s="5" t="s">
        <v>25</v>
      </c>
      <c r="F812" s="5" t="s">
        <v>26</v>
      </c>
      <c r="G812" s="5" t="s">
        <v>67</v>
      </c>
      <c r="H812" s="5" t="s">
        <v>68</v>
      </c>
      <c r="I812" s="5" t="s">
        <v>29</v>
      </c>
      <c r="J812" s="5" t="s">
        <v>30</v>
      </c>
      <c r="K812" s="5" t="s">
        <v>31</v>
      </c>
      <c r="L812" s="5" t="s">
        <v>32</v>
      </c>
      <c r="M812" s="5" t="s">
        <v>911</v>
      </c>
      <c r="N812" s="5" t="s">
        <v>1813</v>
      </c>
      <c r="O812" s="5" t="s">
        <v>109</v>
      </c>
      <c r="P812" s="5" t="s">
        <v>912</v>
      </c>
      <c r="Q812" s="5">
        <v>100721907</v>
      </c>
      <c r="R812" s="5" t="s">
        <v>61</v>
      </c>
      <c r="S812" s="5" t="s">
        <v>39</v>
      </c>
      <c r="T812" s="7">
        <v>1</v>
      </c>
      <c r="U812" s="15" t="s">
        <v>109</v>
      </c>
      <c r="V812" s="16" t="s">
        <v>912</v>
      </c>
      <c r="W812" s="17">
        <v>100721907</v>
      </c>
      <c r="X812" s="16" t="s">
        <v>2526</v>
      </c>
      <c r="Y812" s="17" t="s">
        <v>2859</v>
      </c>
      <c r="Z812" s="17" t="s">
        <v>39</v>
      </c>
      <c r="AA812" s="17" t="s">
        <v>37</v>
      </c>
      <c r="AB812" s="43">
        <v>59.29</v>
      </c>
      <c r="AC812" s="25">
        <v>60.54</v>
      </c>
      <c r="AD812" s="25">
        <f>AC812*T812</f>
        <v>60.54</v>
      </c>
      <c r="AE812" s="25">
        <f>AB812*T812</f>
        <v>59.29</v>
      </c>
      <c r="AF812" s="25">
        <f>AD812-AE812</f>
        <v>1.25</v>
      </c>
      <c r="AG812" s="26">
        <f>AF812/AD812</f>
        <v>2.0647505781301621E-2</v>
      </c>
      <c r="AH812" s="27" t="str">
        <f>IF(AG812&lt;0,"Negative",IF(AG812=0,"Same",IF(AG812&gt;0.3,"30+%",IF(AG812&gt;0.2,"20-30%",IF(AG812&gt;0.1,"10-20%",IF(AG812&lt;=0.1,"0-10%"))))))</f>
        <v>0-10%</v>
      </c>
      <c r="AI812" s="32"/>
      <c r="AJ812" s="36" t="s">
        <v>3300</v>
      </c>
      <c r="AK812" s="32"/>
    </row>
    <row r="813" spans="1:37" s="1" customFormat="1" ht="19.7" customHeight="1" x14ac:dyDescent="0.25">
      <c r="A813" s="9" t="s">
        <v>22</v>
      </c>
      <c r="B813" s="9" t="s">
        <v>1722</v>
      </c>
      <c r="C813" s="10">
        <v>44441</v>
      </c>
      <c r="D813" s="9" t="s">
        <v>24</v>
      </c>
      <c r="E813" s="9" t="s">
        <v>25</v>
      </c>
      <c r="F813" s="9" t="s">
        <v>26</v>
      </c>
      <c r="G813" s="9" t="s">
        <v>27</v>
      </c>
      <c r="H813" s="9" t="s">
        <v>28</v>
      </c>
      <c r="I813" s="9" t="s">
        <v>29</v>
      </c>
      <c r="J813" s="9" t="s">
        <v>30</v>
      </c>
      <c r="K813" s="9" t="s">
        <v>31</v>
      </c>
      <c r="L813" s="9" t="s">
        <v>32</v>
      </c>
      <c r="M813" s="9" t="s">
        <v>261</v>
      </c>
      <c r="N813" s="9" t="s">
        <v>1723</v>
      </c>
      <c r="O813" s="9" t="s">
        <v>35</v>
      </c>
      <c r="P813" s="9" t="s">
        <v>1411</v>
      </c>
      <c r="Q813" s="9">
        <v>116343642</v>
      </c>
      <c r="R813" s="9" t="s">
        <v>38</v>
      </c>
      <c r="S813" s="9" t="s">
        <v>39</v>
      </c>
      <c r="T813" s="11">
        <v>14</v>
      </c>
      <c r="U813" s="15" t="s">
        <v>35</v>
      </c>
      <c r="V813" s="41" t="s">
        <v>1411</v>
      </c>
      <c r="W813" s="17">
        <v>116343642</v>
      </c>
      <c r="X813" s="16" t="s">
        <v>3029</v>
      </c>
      <c r="Y813" s="17" t="s">
        <v>3030</v>
      </c>
      <c r="Z813" s="17" t="s">
        <v>39</v>
      </c>
      <c r="AA813" s="17" t="s">
        <v>37</v>
      </c>
      <c r="AB813" s="29">
        <v>79.27</v>
      </c>
      <c r="AC813" s="25">
        <v>77.209999999999994</v>
      </c>
      <c r="AD813" s="25">
        <f>AC813*T813</f>
        <v>1080.9399999999998</v>
      </c>
      <c r="AE813" s="25">
        <f>AB813*T813</f>
        <v>1109.78</v>
      </c>
      <c r="AF813" s="25">
        <f>AD813-AE813</f>
        <v>-28.840000000000146</v>
      </c>
      <c r="AG813" s="26">
        <f>AF813/AD813</f>
        <v>-2.6680481802875414E-2</v>
      </c>
      <c r="AH813" s="27" t="str">
        <f>IF(AG813&lt;0,"Negative",IF(AG813=0,"Same",IF(AG813&gt;0.3,"30+%",IF(AG813&gt;0.2,"20-30%",IF(AG813&gt;0.1,"10-20%",IF(AG813&lt;=0.1,"0-10%"))))))</f>
        <v>Negative</v>
      </c>
      <c r="AI813" s="32"/>
      <c r="AJ813" s="36" t="s">
        <v>3299</v>
      </c>
      <c r="AK813" s="32"/>
    </row>
    <row r="814" spans="1:37" s="1" customFormat="1" ht="19.7" customHeight="1" x14ac:dyDescent="0.25">
      <c r="A814" s="9" t="s">
        <v>22</v>
      </c>
      <c r="B814" s="9" t="s">
        <v>1409</v>
      </c>
      <c r="C814" s="10">
        <v>44392</v>
      </c>
      <c r="D814" s="9" t="s">
        <v>24</v>
      </c>
      <c r="E814" s="9" t="s">
        <v>25</v>
      </c>
      <c r="F814" s="9" t="s">
        <v>26</v>
      </c>
      <c r="G814" s="9" t="s">
        <v>27</v>
      </c>
      <c r="H814" s="9" t="s">
        <v>28</v>
      </c>
      <c r="I814" s="9" t="s">
        <v>29</v>
      </c>
      <c r="J814" s="9" t="s">
        <v>30</v>
      </c>
      <c r="K814" s="9" t="s">
        <v>31</v>
      </c>
      <c r="L814" s="9" t="s">
        <v>32</v>
      </c>
      <c r="M814" s="9" t="s">
        <v>261</v>
      </c>
      <c r="N814" s="9" t="s">
        <v>1410</v>
      </c>
      <c r="O814" s="9" t="s">
        <v>35</v>
      </c>
      <c r="P814" s="9" t="s">
        <v>1411</v>
      </c>
      <c r="Q814" s="9">
        <v>116343642</v>
      </c>
      <c r="R814" s="9" t="s">
        <v>38</v>
      </c>
      <c r="S814" s="9" t="s">
        <v>39</v>
      </c>
      <c r="T814" s="11">
        <v>4</v>
      </c>
      <c r="U814" s="15" t="s">
        <v>35</v>
      </c>
      <c r="V814" s="41" t="s">
        <v>1411</v>
      </c>
      <c r="W814" s="17">
        <v>116343642</v>
      </c>
      <c r="X814" s="16" t="s">
        <v>3029</v>
      </c>
      <c r="Y814" s="17" t="s">
        <v>3030</v>
      </c>
      <c r="Z814" s="17" t="s">
        <v>39</v>
      </c>
      <c r="AA814" s="17" t="s">
        <v>37</v>
      </c>
      <c r="AB814" s="29">
        <v>79.27</v>
      </c>
      <c r="AC814" s="25">
        <v>77.209999999999994</v>
      </c>
      <c r="AD814" s="25">
        <f>AC814*T814</f>
        <v>308.83999999999997</v>
      </c>
      <c r="AE814" s="25">
        <f>AB814*T814</f>
        <v>317.08</v>
      </c>
      <c r="AF814" s="25">
        <f>AD814-AE814</f>
        <v>-8.2400000000000091</v>
      </c>
      <c r="AG814" s="26">
        <f>AF814/AD814</f>
        <v>-2.6680481802875307E-2</v>
      </c>
      <c r="AH814" s="27" t="str">
        <f>IF(AG814&lt;0,"Negative",IF(AG814=0,"Same",IF(AG814&gt;0.3,"30+%",IF(AG814&gt;0.2,"20-30%",IF(AG814&gt;0.1,"10-20%",IF(AG814&lt;=0.1,"0-10%"))))))</f>
        <v>Negative</v>
      </c>
      <c r="AI814" s="32"/>
      <c r="AJ814" s="36" t="s">
        <v>3299</v>
      </c>
      <c r="AK814" s="32"/>
    </row>
    <row r="815" spans="1:37" s="1" customFormat="1" ht="19.7" customHeight="1" x14ac:dyDescent="0.25">
      <c r="A815" s="9" t="s">
        <v>22</v>
      </c>
      <c r="B815" s="9" t="s">
        <v>2374</v>
      </c>
      <c r="C815" s="10">
        <v>44575</v>
      </c>
      <c r="D815" s="9" t="s">
        <v>24</v>
      </c>
      <c r="E815" s="9" t="s">
        <v>25</v>
      </c>
      <c r="F815" s="9" t="s">
        <v>26</v>
      </c>
      <c r="G815" s="9" t="s">
        <v>27</v>
      </c>
      <c r="H815" s="9" t="s">
        <v>28</v>
      </c>
      <c r="I815" s="9" t="s">
        <v>29</v>
      </c>
      <c r="J815" s="9" t="s">
        <v>30</v>
      </c>
      <c r="K815" s="9" t="s">
        <v>31</v>
      </c>
      <c r="L815" s="9" t="s">
        <v>32</v>
      </c>
      <c r="M815" s="9" t="s">
        <v>2081</v>
      </c>
      <c r="N815" s="9" t="s">
        <v>2375</v>
      </c>
      <c r="O815" s="9" t="s">
        <v>79</v>
      </c>
      <c r="P815" s="9" t="s">
        <v>2082</v>
      </c>
      <c r="Q815" s="9">
        <v>101468161</v>
      </c>
      <c r="R815" s="9" t="s">
        <v>61</v>
      </c>
      <c r="S815" s="9" t="s">
        <v>39</v>
      </c>
      <c r="T815" s="11">
        <v>1</v>
      </c>
      <c r="U815" s="15" t="s">
        <v>79</v>
      </c>
      <c r="V815" s="16" t="s">
        <v>2082</v>
      </c>
      <c r="W815" s="17">
        <v>101468161</v>
      </c>
      <c r="X815" s="16" t="s">
        <v>2540</v>
      </c>
      <c r="Y815" s="17" t="s">
        <v>3202</v>
      </c>
      <c r="Z815" s="17" t="s">
        <v>39</v>
      </c>
      <c r="AA815" s="17" t="s">
        <v>37</v>
      </c>
      <c r="AB815" s="43">
        <v>67.790000000000006</v>
      </c>
      <c r="AC815" s="25">
        <v>71.5</v>
      </c>
      <c r="AD815" s="25">
        <f>AC815*T815</f>
        <v>71.5</v>
      </c>
      <c r="AE815" s="25">
        <f>AB815*T815</f>
        <v>67.790000000000006</v>
      </c>
      <c r="AF815" s="25">
        <f>AD815-AE815</f>
        <v>3.7099999999999937</v>
      </c>
      <c r="AG815" s="26">
        <f>AF815/AD815</f>
        <v>5.18881118881118E-2</v>
      </c>
      <c r="AH815" s="27" t="str">
        <f>IF(AG815&lt;0,"Negative",IF(AG815=0,"Same",IF(AG815&gt;0.3,"30+%",IF(AG815&gt;0.2,"20-30%",IF(AG815&gt;0.1,"10-20%",IF(AG815&lt;=0.1,"0-10%"))))))</f>
        <v>0-10%</v>
      </c>
      <c r="AI815" s="32"/>
      <c r="AJ815" s="36" t="s">
        <v>3299</v>
      </c>
      <c r="AK815" s="32"/>
    </row>
    <row r="816" spans="1:37" s="1" customFormat="1" ht="19.7" customHeight="1" x14ac:dyDescent="0.25">
      <c r="A816" s="9" t="s">
        <v>22</v>
      </c>
      <c r="B816" s="9" t="s">
        <v>536</v>
      </c>
      <c r="C816" s="10">
        <v>44274</v>
      </c>
      <c r="D816" s="9" t="s">
        <v>24</v>
      </c>
      <c r="E816" s="9" t="s">
        <v>25</v>
      </c>
      <c r="F816" s="9" t="s">
        <v>26</v>
      </c>
      <c r="G816" s="9" t="s">
        <v>27</v>
      </c>
      <c r="H816" s="9" t="s">
        <v>28</v>
      </c>
      <c r="I816" s="9" t="s">
        <v>29</v>
      </c>
      <c r="J816" s="9" t="s">
        <v>30</v>
      </c>
      <c r="K816" s="9" t="s">
        <v>31</v>
      </c>
      <c r="L816" s="9" t="s">
        <v>32</v>
      </c>
      <c r="M816" s="9" t="s">
        <v>537</v>
      </c>
      <c r="N816" s="9" t="s">
        <v>534</v>
      </c>
      <c r="O816" s="9" t="s">
        <v>169</v>
      </c>
      <c r="P816" s="9" t="s">
        <v>538</v>
      </c>
      <c r="Q816" s="9">
        <v>100777193</v>
      </c>
      <c r="R816" s="9" t="s">
        <v>56</v>
      </c>
      <c r="S816" s="9" t="s">
        <v>39</v>
      </c>
      <c r="T816" s="11">
        <v>1</v>
      </c>
      <c r="U816" s="15" t="s">
        <v>169</v>
      </c>
      <c r="V816" s="16" t="s">
        <v>538</v>
      </c>
      <c r="W816" s="17">
        <v>100777193</v>
      </c>
      <c r="X816" s="16" t="s">
        <v>2721</v>
      </c>
      <c r="Y816" s="17" t="s">
        <v>2722</v>
      </c>
      <c r="Z816" s="17" t="s">
        <v>39</v>
      </c>
      <c r="AA816" s="17" t="s">
        <v>37</v>
      </c>
      <c r="AB816" s="29">
        <v>50.23</v>
      </c>
      <c r="AC816" s="25">
        <v>54.4</v>
      </c>
      <c r="AD816" s="25">
        <f>AC816*T816</f>
        <v>54.4</v>
      </c>
      <c r="AE816" s="25">
        <f>AB816*T816</f>
        <v>50.23</v>
      </c>
      <c r="AF816" s="25">
        <f>AD816-AE816</f>
        <v>4.1700000000000017</v>
      </c>
      <c r="AG816" s="26">
        <f>AF816/AD816</f>
        <v>7.6654411764705915E-2</v>
      </c>
      <c r="AH816" s="27" t="str">
        <f>IF(AG816&lt;0,"Negative",IF(AG816=0,"Same",IF(AG816&gt;0.3,"30+%",IF(AG816&gt;0.2,"20-30%",IF(AG816&gt;0.1,"10-20%",IF(AG816&lt;=0.1,"0-10%"))))))</f>
        <v>0-10%</v>
      </c>
      <c r="AI816" s="32"/>
      <c r="AJ816" s="36" t="s">
        <v>3300</v>
      </c>
      <c r="AK816" s="32"/>
    </row>
    <row r="817" spans="1:37" s="1" customFormat="1" ht="19.7" customHeight="1" x14ac:dyDescent="0.25">
      <c r="A817" s="9" t="s">
        <v>22</v>
      </c>
      <c r="B817" s="9" t="s">
        <v>1100</v>
      </c>
      <c r="C817" s="10">
        <v>44340</v>
      </c>
      <c r="D817" s="9" t="s">
        <v>24</v>
      </c>
      <c r="E817" s="9" t="s">
        <v>25</v>
      </c>
      <c r="F817" s="9" t="s">
        <v>26</v>
      </c>
      <c r="G817" s="9" t="s">
        <v>27</v>
      </c>
      <c r="H817" s="9" t="s">
        <v>28</v>
      </c>
      <c r="I817" s="9" t="s">
        <v>29</v>
      </c>
      <c r="J817" s="9" t="s">
        <v>30</v>
      </c>
      <c r="K817" s="9" t="s">
        <v>31</v>
      </c>
      <c r="L817" s="9" t="s">
        <v>32</v>
      </c>
      <c r="M817" s="9" t="s">
        <v>305</v>
      </c>
      <c r="N817" s="9" t="s">
        <v>1070</v>
      </c>
      <c r="O817" s="9" t="s">
        <v>186</v>
      </c>
      <c r="P817" s="9" t="s">
        <v>306</v>
      </c>
      <c r="Q817" s="9">
        <v>101086872</v>
      </c>
      <c r="R817" s="9" t="s">
        <v>56</v>
      </c>
      <c r="S817" s="9" t="s">
        <v>39</v>
      </c>
      <c r="T817" s="11">
        <v>2</v>
      </c>
      <c r="U817" s="15" t="s">
        <v>186</v>
      </c>
      <c r="V817" s="16" t="s">
        <v>306</v>
      </c>
      <c r="W817" s="17">
        <v>101086872</v>
      </c>
      <c r="X817" s="16" t="s">
        <v>2618</v>
      </c>
      <c r="Y817" s="17" t="s">
        <v>2619</v>
      </c>
      <c r="Z817" s="17" t="s">
        <v>39</v>
      </c>
      <c r="AA817" s="17" t="s">
        <v>37</v>
      </c>
      <c r="AB817" s="29">
        <v>42.16</v>
      </c>
      <c r="AC817" s="25">
        <v>44.28</v>
      </c>
      <c r="AD817" s="25">
        <f>AC817*T817</f>
        <v>88.56</v>
      </c>
      <c r="AE817" s="25">
        <f>AB817*T817</f>
        <v>84.32</v>
      </c>
      <c r="AF817" s="25">
        <f>AD817-AE817</f>
        <v>4.2400000000000091</v>
      </c>
      <c r="AG817" s="26">
        <f>AF817/AD817</f>
        <v>4.7877145438121146E-2</v>
      </c>
      <c r="AH817" s="27" t="str">
        <f>IF(AG817&lt;0,"Negative",IF(AG817=0,"Same",IF(AG817&gt;0.3,"30+%",IF(AG817&gt;0.2,"20-30%",IF(AG817&gt;0.1,"10-20%",IF(AG817&lt;=0.1,"0-10%"))))))</f>
        <v>0-10%</v>
      </c>
      <c r="AI817" s="32"/>
      <c r="AJ817" s="36" t="s">
        <v>3299</v>
      </c>
      <c r="AK817" s="32"/>
    </row>
    <row r="818" spans="1:37" s="1" customFormat="1" ht="19.7" customHeight="1" x14ac:dyDescent="0.25">
      <c r="A818" s="5" t="s">
        <v>22</v>
      </c>
      <c r="B818" s="5" t="s">
        <v>1061</v>
      </c>
      <c r="C818" s="6">
        <v>44334</v>
      </c>
      <c r="D818" s="5" t="s">
        <v>24</v>
      </c>
      <c r="E818" s="5" t="s">
        <v>25</v>
      </c>
      <c r="F818" s="5" t="s">
        <v>26</v>
      </c>
      <c r="G818" s="5" t="s">
        <v>27</v>
      </c>
      <c r="H818" s="5" t="s">
        <v>28</v>
      </c>
      <c r="I818" s="5" t="s">
        <v>29</v>
      </c>
      <c r="J818" s="5" t="s">
        <v>30</v>
      </c>
      <c r="K818" s="5" t="s">
        <v>31</v>
      </c>
      <c r="L818" s="5" t="s">
        <v>32</v>
      </c>
      <c r="M818" s="5" t="s">
        <v>305</v>
      </c>
      <c r="N818" s="5" t="s">
        <v>1049</v>
      </c>
      <c r="O818" s="5" t="s">
        <v>186</v>
      </c>
      <c r="P818" s="5" t="s">
        <v>306</v>
      </c>
      <c r="Q818" s="5">
        <v>101086872</v>
      </c>
      <c r="R818" s="5" t="s">
        <v>56</v>
      </c>
      <c r="S818" s="5" t="s">
        <v>39</v>
      </c>
      <c r="T818" s="7">
        <v>2</v>
      </c>
      <c r="U818" s="15" t="s">
        <v>186</v>
      </c>
      <c r="V818" s="16" t="s">
        <v>306</v>
      </c>
      <c r="W818" s="17">
        <v>101086872</v>
      </c>
      <c r="X818" s="16" t="s">
        <v>2618</v>
      </c>
      <c r="Y818" s="17" t="s">
        <v>2619</v>
      </c>
      <c r="Z818" s="17" t="s">
        <v>39</v>
      </c>
      <c r="AA818" s="17" t="s">
        <v>37</v>
      </c>
      <c r="AB818" s="29">
        <v>42.16</v>
      </c>
      <c r="AC818" s="25">
        <v>44.28</v>
      </c>
      <c r="AD818" s="25">
        <f>AC818*T818</f>
        <v>88.56</v>
      </c>
      <c r="AE818" s="25">
        <f>AB818*T818</f>
        <v>84.32</v>
      </c>
      <c r="AF818" s="25">
        <f>AD818-AE818</f>
        <v>4.2400000000000091</v>
      </c>
      <c r="AG818" s="26">
        <f>AF818/AD818</f>
        <v>4.7877145438121146E-2</v>
      </c>
      <c r="AH818" s="27" t="str">
        <f>IF(AG818&lt;0,"Negative",IF(AG818=0,"Same",IF(AG818&gt;0.3,"30+%",IF(AG818&gt;0.2,"20-30%",IF(AG818&gt;0.1,"10-20%",IF(AG818&lt;=0.1,"0-10%"))))))</f>
        <v>0-10%</v>
      </c>
      <c r="AI818" s="32"/>
      <c r="AJ818" s="36" t="s">
        <v>3299</v>
      </c>
      <c r="AK818" s="32"/>
    </row>
    <row r="819" spans="1:37" s="1" customFormat="1" ht="19.7" customHeight="1" x14ac:dyDescent="0.25">
      <c r="A819" s="9" t="s">
        <v>22</v>
      </c>
      <c r="B819" s="9" t="s">
        <v>1732</v>
      </c>
      <c r="C819" s="10">
        <v>44448</v>
      </c>
      <c r="D819" s="9" t="s">
        <v>24</v>
      </c>
      <c r="E819" s="9" t="s">
        <v>25</v>
      </c>
      <c r="F819" s="9" t="s">
        <v>26</v>
      </c>
      <c r="G819" s="9" t="s">
        <v>27</v>
      </c>
      <c r="H819" s="9" t="s">
        <v>28</v>
      </c>
      <c r="I819" s="9" t="s">
        <v>29</v>
      </c>
      <c r="J819" s="9" t="s">
        <v>30</v>
      </c>
      <c r="K819" s="9" t="s">
        <v>31</v>
      </c>
      <c r="L819" s="9" t="s">
        <v>32</v>
      </c>
      <c r="M819" s="9" t="s">
        <v>305</v>
      </c>
      <c r="N819" s="9" t="s">
        <v>1733</v>
      </c>
      <c r="O819" s="9" t="s">
        <v>186</v>
      </c>
      <c r="P819" s="9" t="s">
        <v>306</v>
      </c>
      <c r="Q819" s="9">
        <v>101086872</v>
      </c>
      <c r="R819" s="9" t="s">
        <v>56</v>
      </c>
      <c r="S819" s="9" t="s">
        <v>39</v>
      </c>
      <c r="T819" s="11">
        <v>4</v>
      </c>
      <c r="U819" s="15" t="s">
        <v>186</v>
      </c>
      <c r="V819" s="16" t="s">
        <v>306</v>
      </c>
      <c r="W819" s="17">
        <v>101086872</v>
      </c>
      <c r="X819" s="16" t="s">
        <v>2618</v>
      </c>
      <c r="Y819" s="17" t="s">
        <v>2619</v>
      </c>
      <c r="Z819" s="17" t="s">
        <v>39</v>
      </c>
      <c r="AA819" s="17" t="s">
        <v>37</v>
      </c>
      <c r="AB819" s="29">
        <v>42.16</v>
      </c>
      <c r="AC819" s="25">
        <v>44.28</v>
      </c>
      <c r="AD819" s="25">
        <f>AC819*T819</f>
        <v>177.12</v>
      </c>
      <c r="AE819" s="25">
        <f>AB819*T819</f>
        <v>168.64</v>
      </c>
      <c r="AF819" s="25">
        <f>AD819-AE819</f>
        <v>8.4800000000000182</v>
      </c>
      <c r="AG819" s="26">
        <f>AF819/AD819</f>
        <v>4.7877145438121146E-2</v>
      </c>
      <c r="AH819" s="27" t="str">
        <f>IF(AG819&lt;0,"Negative",IF(AG819=0,"Same",IF(AG819&gt;0.3,"30+%",IF(AG819&gt;0.2,"20-30%",IF(AG819&gt;0.1,"10-20%",IF(AG819&lt;=0.1,"0-10%"))))))</f>
        <v>0-10%</v>
      </c>
      <c r="AI819" s="32"/>
      <c r="AJ819" s="36" t="s">
        <v>3299</v>
      </c>
      <c r="AK819" s="32"/>
    </row>
    <row r="820" spans="1:37" s="1" customFormat="1" ht="19.7" customHeight="1" x14ac:dyDescent="0.25">
      <c r="A820" s="9" t="s">
        <v>22</v>
      </c>
      <c r="B820" s="9" t="s">
        <v>304</v>
      </c>
      <c r="C820" s="10">
        <v>44249</v>
      </c>
      <c r="D820" s="9" t="s">
        <v>24</v>
      </c>
      <c r="E820" s="9" t="s">
        <v>25</v>
      </c>
      <c r="F820" s="9" t="s">
        <v>26</v>
      </c>
      <c r="G820" s="9" t="s">
        <v>27</v>
      </c>
      <c r="H820" s="9" t="s">
        <v>28</v>
      </c>
      <c r="I820" s="9" t="s">
        <v>29</v>
      </c>
      <c r="J820" s="9" t="s">
        <v>30</v>
      </c>
      <c r="K820" s="9" t="s">
        <v>31</v>
      </c>
      <c r="L820" s="9" t="s">
        <v>32</v>
      </c>
      <c r="M820" s="9" t="s">
        <v>305</v>
      </c>
      <c r="N820" s="9" t="s">
        <v>251</v>
      </c>
      <c r="O820" s="9" t="s">
        <v>186</v>
      </c>
      <c r="P820" s="9" t="s">
        <v>306</v>
      </c>
      <c r="Q820" s="9">
        <v>101086872</v>
      </c>
      <c r="R820" s="9" t="s">
        <v>56</v>
      </c>
      <c r="S820" s="9" t="s">
        <v>39</v>
      </c>
      <c r="T820" s="11">
        <v>4</v>
      </c>
      <c r="U820" s="15" t="s">
        <v>186</v>
      </c>
      <c r="V820" s="16" t="s">
        <v>306</v>
      </c>
      <c r="W820" s="17">
        <v>101086872</v>
      </c>
      <c r="X820" s="16" t="s">
        <v>2618</v>
      </c>
      <c r="Y820" s="17" t="s">
        <v>2619</v>
      </c>
      <c r="Z820" s="17" t="s">
        <v>39</v>
      </c>
      <c r="AA820" s="17" t="s">
        <v>37</v>
      </c>
      <c r="AB820" s="29">
        <v>42.16</v>
      </c>
      <c r="AC820" s="25">
        <v>44.28</v>
      </c>
      <c r="AD820" s="25">
        <f>AC820*T820</f>
        <v>177.12</v>
      </c>
      <c r="AE820" s="25">
        <f>AB820*T820</f>
        <v>168.64</v>
      </c>
      <c r="AF820" s="25">
        <f>AD820-AE820</f>
        <v>8.4800000000000182</v>
      </c>
      <c r="AG820" s="26">
        <f>AF820/AD820</f>
        <v>4.7877145438121146E-2</v>
      </c>
      <c r="AH820" s="27" t="str">
        <f>IF(AG820&lt;0,"Negative",IF(AG820=0,"Same",IF(AG820&gt;0.3,"30+%",IF(AG820&gt;0.2,"20-30%",IF(AG820&gt;0.1,"10-20%",IF(AG820&lt;=0.1,"0-10%"))))))</f>
        <v>0-10%</v>
      </c>
      <c r="AI820" s="32"/>
      <c r="AJ820" s="36" t="s">
        <v>3299</v>
      </c>
      <c r="AK820" s="32"/>
    </row>
    <row r="821" spans="1:37" s="1" customFormat="1" ht="19.7" customHeight="1" x14ac:dyDescent="0.25">
      <c r="A821" s="5" t="s">
        <v>22</v>
      </c>
      <c r="B821" s="5" t="s">
        <v>2484</v>
      </c>
      <c r="C821" s="6">
        <v>44589</v>
      </c>
      <c r="D821" s="5" t="s">
        <v>24</v>
      </c>
      <c r="E821" s="5" t="s">
        <v>25</v>
      </c>
      <c r="F821" s="5" t="s">
        <v>26</v>
      </c>
      <c r="G821" s="5" t="s">
        <v>67</v>
      </c>
      <c r="H821" s="5" t="s">
        <v>68</v>
      </c>
      <c r="I821" s="5" t="s">
        <v>29</v>
      </c>
      <c r="J821" s="5" t="s">
        <v>30</v>
      </c>
      <c r="K821" s="5" t="s">
        <v>31</v>
      </c>
      <c r="L821" s="5" t="s">
        <v>32</v>
      </c>
      <c r="M821" s="5" t="s">
        <v>758</v>
      </c>
      <c r="N821" s="5" t="s">
        <v>2407</v>
      </c>
      <c r="O821" s="5" t="s">
        <v>727</v>
      </c>
      <c r="P821" s="5" t="s">
        <v>759</v>
      </c>
      <c r="Q821" s="5">
        <v>110914715</v>
      </c>
      <c r="R821" s="5" t="s">
        <v>38</v>
      </c>
      <c r="S821" s="5" t="s">
        <v>39</v>
      </c>
      <c r="T821" s="7">
        <v>1</v>
      </c>
      <c r="U821" s="15" t="s">
        <v>727</v>
      </c>
      <c r="V821" s="16" t="s">
        <v>759</v>
      </c>
      <c r="W821" s="17">
        <v>110914715</v>
      </c>
      <c r="X821" s="16" t="s">
        <v>2795</v>
      </c>
      <c r="Y821" s="17" t="s">
        <v>2807</v>
      </c>
      <c r="Z821" s="17" t="s">
        <v>39</v>
      </c>
      <c r="AA821" s="17" t="s">
        <v>2501</v>
      </c>
      <c r="AB821" s="29">
        <v>864.51</v>
      </c>
      <c r="AC821" s="25">
        <v>884.07</v>
      </c>
      <c r="AD821" s="25">
        <f>AC821*T821</f>
        <v>884.07</v>
      </c>
      <c r="AE821" s="25">
        <f>AB821*T821</f>
        <v>864.51</v>
      </c>
      <c r="AF821" s="25">
        <f>AD821-AE821</f>
        <v>19.560000000000059</v>
      </c>
      <c r="AG821" s="26">
        <f>AF821/AD821</f>
        <v>2.2124944857307746E-2</v>
      </c>
      <c r="AH821" s="27" t="str">
        <f>IF(AG821&lt;0,"Negative",IF(AG821=0,"Same",IF(AG821&gt;0.3,"30+%",IF(AG821&gt;0.2,"20-30%",IF(AG821&gt;0.1,"10-20%",IF(AG821&lt;=0.1,"0-10%"))))))</f>
        <v>0-10%</v>
      </c>
      <c r="AI821" s="32"/>
      <c r="AJ821" s="36" t="s">
        <v>3300</v>
      </c>
      <c r="AK821" s="32"/>
    </row>
    <row r="822" spans="1:37" s="1" customFormat="1" ht="19.7" customHeight="1" x14ac:dyDescent="0.25">
      <c r="A822" s="9" t="s">
        <v>22</v>
      </c>
      <c r="B822" s="9" t="s">
        <v>1435</v>
      </c>
      <c r="C822" s="10">
        <v>44397</v>
      </c>
      <c r="D822" s="9" t="s">
        <v>24</v>
      </c>
      <c r="E822" s="9" t="s">
        <v>25</v>
      </c>
      <c r="F822" s="9" t="s">
        <v>26</v>
      </c>
      <c r="G822" s="9" t="s">
        <v>27</v>
      </c>
      <c r="H822" s="9" t="s">
        <v>28</v>
      </c>
      <c r="I822" s="9" t="s">
        <v>29</v>
      </c>
      <c r="J822" s="9" t="s">
        <v>30</v>
      </c>
      <c r="K822" s="9" t="s">
        <v>31</v>
      </c>
      <c r="L822" s="9" t="s">
        <v>32</v>
      </c>
      <c r="M822" s="9" t="s">
        <v>1436</v>
      </c>
      <c r="N822" s="9" t="s">
        <v>1437</v>
      </c>
      <c r="O822" s="9" t="s">
        <v>154</v>
      </c>
      <c r="P822" s="9" t="s">
        <v>1438</v>
      </c>
      <c r="Q822" s="9">
        <v>100736397</v>
      </c>
      <c r="R822" s="9" t="s">
        <v>61</v>
      </c>
      <c r="S822" s="9" t="s">
        <v>39</v>
      </c>
      <c r="T822" s="11">
        <v>3</v>
      </c>
      <c r="U822" s="15" t="s">
        <v>154</v>
      </c>
      <c r="V822" s="16" t="s">
        <v>1438</v>
      </c>
      <c r="W822" s="17">
        <v>100736397</v>
      </c>
      <c r="X822" s="16" t="s">
        <v>2793</v>
      </c>
      <c r="Y822" s="17" t="s">
        <v>3038</v>
      </c>
      <c r="Z822" s="17" t="s">
        <v>39</v>
      </c>
      <c r="AA822" s="17" t="s">
        <v>37</v>
      </c>
      <c r="AB822" s="43">
        <v>64.150000000000006</v>
      </c>
      <c r="AC822" s="25">
        <v>70.84</v>
      </c>
      <c r="AD822" s="25">
        <f>AC822*T822</f>
        <v>212.52</v>
      </c>
      <c r="AE822" s="25">
        <f>AB822*T822</f>
        <v>192.45000000000002</v>
      </c>
      <c r="AF822" s="25">
        <f>AD822-AE822</f>
        <v>20.069999999999993</v>
      </c>
      <c r="AG822" s="26">
        <f>AF822/AD822</f>
        <v>9.4438170525127013E-2</v>
      </c>
      <c r="AH822" s="27" t="str">
        <f>IF(AG822&lt;0,"Negative",IF(AG822=0,"Same",IF(AG822&gt;0.3,"30+%",IF(AG822&gt;0.2,"20-30%",IF(AG822&gt;0.1,"10-20%",IF(AG822&lt;=0.1,"0-10%"))))))</f>
        <v>0-10%</v>
      </c>
      <c r="AI822" s="32"/>
      <c r="AJ822" s="36" t="s">
        <v>3299</v>
      </c>
      <c r="AK822" s="32"/>
    </row>
    <row r="823" spans="1:37" s="1" customFormat="1" ht="19.7" customHeight="1" x14ac:dyDescent="0.25">
      <c r="A823" s="9" t="s">
        <v>22</v>
      </c>
      <c r="B823" s="9" t="s">
        <v>331</v>
      </c>
      <c r="C823" s="10">
        <v>44251</v>
      </c>
      <c r="D823" s="9" t="s">
        <v>24</v>
      </c>
      <c r="E823" s="9" t="s">
        <v>25</v>
      </c>
      <c r="F823" s="9" t="s">
        <v>26</v>
      </c>
      <c r="G823" s="9" t="s">
        <v>27</v>
      </c>
      <c r="H823" s="9" t="s">
        <v>28</v>
      </c>
      <c r="I823" s="9" t="s">
        <v>29</v>
      </c>
      <c r="J823" s="9" t="s">
        <v>30</v>
      </c>
      <c r="K823" s="9" t="s">
        <v>31</v>
      </c>
      <c r="L823" s="9" t="s">
        <v>32</v>
      </c>
      <c r="M823" s="9" t="s">
        <v>332</v>
      </c>
      <c r="N823" s="9" t="s">
        <v>333</v>
      </c>
      <c r="O823" s="9" t="s">
        <v>334</v>
      </c>
      <c r="P823" s="9" t="s">
        <v>335</v>
      </c>
      <c r="Q823" s="9">
        <v>111624327</v>
      </c>
      <c r="R823" s="9" t="s">
        <v>38</v>
      </c>
      <c r="S823" s="9" t="s">
        <v>39</v>
      </c>
      <c r="T823" s="11">
        <v>2</v>
      </c>
      <c r="U823" s="15" t="s">
        <v>334</v>
      </c>
      <c r="V823" s="16" t="s">
        <v>335</v>
      </c>
      <c r="W823" s="17">
        <v>111624327</v>
      </c>
      <c r="X823" s="16" t="s">
        <v>2629</v>
      </c>
      <c r="Y823" s="17" t="s">
        <v>2630</v>
      </c>
      <c r="Z823" s="17" t="s">
        <v>39</v>
      </c>
      <c r="AA823" s="17" t="s">
        <v>37</v>
      </c>
      <c r="AB823" s="29">
        <v>43.11</v>
      </c>
      <c r="AC823" s="25">
        <v>44.09</v>
      </c>
      <c r="AD823" s="25">
        <f>AC823*T823</f>
        <v>88.18</v>
      </c>
      <c r="AE823" s="25">
        <f>AB823*T823</f>
        <v>86.22</v>
      </c>
      <c r="AF823" s="25">
        <f>AD823-AE823</f>
        <v>1.960000000000008</v>
      </c>
      <c r="AG823" s="26">
        <f>AF823/AD823</f>
        <v>2.2227262417781897E-2</v>
      </c>
      <c r="AH823" s="27" t="str">
        <f>IF(AG823&lt;0,"Negative",IF(AG823=0,"Same",IF(AG823&gt;0.3,"30+%",IF(AG823&gt;0.2,"20-30%",IF(AG823&gt;0.1,"10-20%",IF(AG823&lt;=0.1,"0-10%"))))))</f>
        <v>0-10%</v>
      </c>
      <c r="AI823" s="32"/>
      <c r="AJ823" s="36" t="s">
        <v>3300</v>
      </c>
      <c r="AK823" s="32"/>
    </row>
    <row r="824" spans="1:37" s="1" customFormat="1" ht="19.7" customHeight="1" x14ac:dyDescent="0.25">
      <c r="A824" s="5" t="s">
        <v>22</v>
      </c>
      <c r="B824" s="5" t="s">
        <v>869</v>
      </c>
      <c r="C824" s="6">
        <v>44315</v>
      </c>
      <c r="D824" s="5" t="s">
        <v>24</v>
      </c>
      <c r="E824" s="5" t="s">
        <v>25</v>
      </c>
      <c r="F824" s="5" t="s">
        <v>26</v>
      </c>
      <c r="G824" s="5" t="s">
        <v>27</v>
      </c>
      <c r="H824" s="5" t="s">
        <v>28</v>
      </c>
      <c r="I824" s="5" t="s">
        <v>29</v>
      </c>
      <c r="J824" s="5" t="s">
        <v>30</v>
      </c>
      <c r="K824" s="5" t="s">
        <v>31</v>
      </c>
      <c r="L824" s="5" t="s">
        <v>32</v>
      </c>
      <c r="M824" s="5" t="s">
        <v>261</v>
      </c>
      <c r="N824" s="5" t="s">
        <v>835</v>
      </c>
      <c r="O824" s="5" t="s">
        <v>227</v>
      </c>
      <c r="P824" s="5" t="s">
        <v>836</v>
      </c>
      <c r="Q824" s="5">
        <v>100849164</v>
      </c>
      <c r="R824" s="5" t="s">
        <v>38</v>
      </c>
      <c r="S824" s="5" t="s">
        <v>39</v>
      </c>
      <c r="T824" s="7">
        <v>2</v>
      </c>
      <c r="U824" s="15" t="s">
        <v>227</v>
      </c>
      <c r="V824" s="16" t="s">
        <v>836</v>
      </c>
      <c r="W824" s="17">
        <v>100849164</v>
      </c>
      <c r="X824" s="16" t="s">
        <v>2583</v>
      </c>
      <c r="Y824" s="17" t="s">
        <v>2835</v>
      </c>
      <c r="Z824" s="17" t="s">
        <v>39</v>
      </c>
      <c r="AA824" s="17" t="s">
        <v>37</v>
      </c>
      <c r="AB824" s="29">
        <v>106.01</v>
      </c>
      <c r="AC824" s="25">
        <v>103.23</v>
      </c>
      <c r="AD824" s="25">
        <f>AC824*T824</f>
        <v>206.46</v>
      </c>
      <c r="AE824" s="25">
        <f>AB824*T824</f>
        <v>212.02</v>
      </c>
      <c r="AF824" s="25">
        <f>AD824-AE824</f>
        <v>-5.5600000000000023</v>
      </c>
      <c r="AG824" s="26">
        <f>AF824/AD824</f>
        <v>-2.6930155962414038E-2</v>
      </c>
      <c r="AH824" s="27" t="str">
        <f>IF(AG824&lt;0,"Negative",IF(AG824=0,"Same",IF(AG824&gt;0.3,"30+%",IF(AG824&gt;0.2,"20-30%",IF(AG824&gt;0.1,"10-20%",IF(AG824&lt;=0.1,"0-10%"))))))</f>
        <v>Negative</v>
      </c>
      <c r="AI824" s="32"/>
      <c r="AJ824" s="36" t="s">
        <v>3300</v>
      </c>
      <c r="AK824" s="32"/>
    </row>
    <row r="825" spans="1:37" s="1" customFormat="1" ht="19.7" customHeight="1" x14ac:dyDescent="0.25">
      <c r="A825" s="9" t="s">
        <v>22</v>
      </c>
      <c r="B825" s="9" t="s">
        <v>1392</v>
      </c>
      <c r="C825" s="10">
        <v>44389</v>
      </c>
      <c r="D825" s="9" t="s">
        <v>24</v>
      </c>
      <c r="E825" s="9" t="s">
        <v>25</v>
      </c>
      <c r="F825" s="9" t="s">
        <v>26</v>
      </c>
      <c r="G825" s="9" t="s">
        <v>67</v>
      </c>
      <c r="H825" s="9" t="s">
        <v>68</v>
      </c>
      <c r="I825" s="9" t="s">
        <v>29</v>
      </c>
      <c r="J825" s="9" t="s">
        <v>30</v>
      </c>
      <c r="K825" s="9" t="s">
        <v>31</v>
      </c>
      <c r="L825" s="9" t="s">
        <v>32</v>
      </c>
      <c r="M825" s="9" t="s">
        <v>1394</v>
      </c>
      <c r="N825" s="9" t="s">
        <v>1393</v>
      </c>
      <c r="O825" s="9" t="s">
        <v>169</v>
      </c>
      <c r="P825" s="9" t="s">
        <v>1395</v>
      </c>
      <c r="Q825" s="9">
        <v>101937963</v>
      </c>
      <c r="R825" s="9" t="s">
        <v>56</v>
      </c>
      <c r="S825" s="9" t="s">
        <v>39</v>
      </c>
      <c r="T825" s="11">
        <v>1</v>
      </c>
      <c r="U825" s="15" t="s">
        <v>169</v>
      </c>
      <c r="V825" s="16" t="s">
        <v>1395</v>
      </c>
      <c r="W825" s="17">
        <v>101937963</v>
      </c>
      <c r="X825" s="16" t="s">
        <v>2845</v>
      </c>
      <c r="Y825" s="17" t="s">
        <v>3023</v>
      </c>
      <c r="Z825" s="17" t="s">
        <v>39</v>
      </c>
      <c r="AA825" s="17" t="s">
        <v>37</v>
      </c>
      <c r="AB825" s="43">
        <v>110.89</v>
      </c>
      <c r="AC825" s="25">
        <v>121.85</v>
      </c>
      <c r="AD825" s="25">
        <f>AC825*T825</f>
        <v>121.85</v>
      </c>
      <c r="AE825" s="25">
        <f>AB825*T825</f>
        <v>110.89</v>
      </c>
      <c r="AF825" s="25">
        <f>AD825-AE825</f>
        <v>10.959999999999994</v>
      </c>
      <c r="AG825" s="26">
        <f>AF825/AD825</f>
        <v>8.9946655724251076E-2</v>
      </c>
      <c r="AH825" s="27" t="str">
        <f>IF(AG825&lt;0,"Negative",IF(AG825=0,"Same",IF(AG825&gt;0.3,"30+%",IF(AG825&gt;0.2,"20-30%",IF(AG825&gt;0.1,"10-20%",IF(AG825&lt;=0.1,"0-10%"))))))</f>
        <v>0-10%</v>
      </c>
      <c r="AI825" s="32"/>
      <c r="AJ825" s="36" t="s">
        <v>3299</v>
      </c>
      <c r="AK825" s="32"/>
    </row>
    <row r="826" spans="1:37" s="1" customFormat="1" ht="19.7" customHeight="1" x14ac:dyDescent="0.25">
      <c r="A826" s="5" t="s">
        <v>22</v>
      </c>
      <c r="B826" s="5" t="s">
        <v>956</v>
      </c>
      <c r="C826" s="6">
        <v>44322</v>
      </c>
      <c r="D826" s="5" t="s">
        <v>24</v>
      </c>
      <c r="E826" s="5" t="s">
        <v>25</v>
      </c>
      <c r="F826" s="5" t="s">
        <v>26</v>
      </c>
      <c r="G826" s="5" t="s">
        <v>27</v>
      </c>
      <c r="H826" s="5" t="s">
        <v>28</v>
      </c>
      <c r="I826" s="5" t="s">
        <v>29</v>
      </c>
      <c r="J826" s="5" t="s">
        <v>30</v>
      </c>
      <c r="K826" s="5" t="s">
        <v>31</v>
      </c>
      <c r="L826" s="5" t="s">
        <v>32</v>
      </c>
      <c r="M826" s="5" t="s">
        <v>960</v>
      </c>
      <c r="N826" s="5" t="s">
        <v>958</v>
      </c>
      <c r="O826" s="5" t="s">
        <v>109</v>
      </c>
      <c r="P826" s="5" t="s">
        <v>961</v>
      </c>
      <c r="Q826" s="5">
        <v>100722448</v>
      </c>
      <c r="R826" s="5" t="s">
        <v>61</v>
      </c>
      <c r="S826" s="5" t="s">
        <v>39</v>
      </c>
      <c r="T826" s="7">
        <v>4</v>
      </c>
      <c r="U826" s="15" t="s">
        <v>109</v>
      </c>
      <c r="V826" s="16" t="s">
        <v>961</v>
      </c>
      <c r="W826" s="17">
        <v>100722448</v>
      </c>
      <c r="X826" s="16" t="s">
        <v>2526</v>
      </c>
      <c r="Y826" s="17" t="s">
        <v>2876</v>
      </c>
      <c r="Z826" s="17" t="s">
        <v>39</v>
      </c>
      <c r="AA826" s="17" t="s">
        <v>37</v>
      </c>
      <c r="AB826" s="43">
        <v>62.64</v>
      </c>
      <c r="AC826" s="25">
        <v>63.96</v>
      </c>
      <c r="AD826" s="25">
        <f>AC826*T826</f>
        <v>255.84</v>
      </c>
      <c r="AE826" s="25">
        <f>AB826*T826</f>
        <v>250.56</v>
      </c>
      <c r="AF826" s="25">
        <f>AD826-AE826</f>
        <v>5.2800000000000011</v>
      </c>
      <c r="AG826" s="26">
        <f>AF826/AD826</f>
        <v>2.0637898686679177E-2</v>
      </c>
      <c r="AH826" s="27" t="str">
        <f>IF(AG826&lt;0,"Negative",IF(AG826=0,"Same",IF(AG826&gt;0.3,"30+%",IF(AG826&gt;0.2,"20-30%",IF(AG826&gt;0.1,"10-20%",IF(AG826&lt;=0.1,"0-10%"))))))</f>
        <v>0-10%</v>
      </c>
      <c r="AI826" s="32"/>
      <c r="AJ826" s="36" t="s">
        <v>3300</v>
      </c>
      <c r="AK826" s="32"/>
    </row>
    <row r="827" spans="1:37" s="1" customFormat="1" ht="19.7" customHeight="1" x14ac:dyDescent="0.25">
      <c r="A827" s="9" t="s">
        <v>22</v>
      </c>
      <c r="B827" s="9" t="s">
        <v>1866</v>
      </c>
      <c r="C827" s="10">
        <v>44473</v>
      </c>
      <c r="D827" s="9" t="s">
        <v>24</v>
      </c>
      <c r="E827" s="9" t="s">
        <v>25</v>
      </c>
      <c r="F827" s="9" t="s">
        <v>26</v>
      </c>
      <c r="G827" s="9" t="s">
        <v>67</v>
      </c>
      <c r="H827" s="9" t="s">
        <v>68</v>
      </c>
      <c r="I827" s="9" t="s">
        <v>29</v>
      </c>
      <c r="J827" s="9" t="s">
        <v>30</v>
      </c>
      <c r="K827" s="9" t="s">
        <v>31</v>
      </c>
      <c r="L827" s="9" t="s">
        <v>32</v>
      </c>
      <c r="M827" s="9" t="s">
        <v>1868</v>
      </c>
      <c r="N827" s="9" t="s">
        <v>1867</v>
      </c>
      <c r="O827" s="9" t="s">
        <v>79</v>
      </c>
      <c r="P827" s="9" t="s">
        <v>1869</v>
      </c>
      <c r="Q827" s="9">
        <v>100756326</v>
      </c>
      <c r="R827" s="9" t="s">
        <v>61</v>
      </c>
      <c r="S827" s="9" t="s">
        <v>39</v>
      </c>
      <c r="T827" s="11">
        <v>6</v>
      </c>
      <c r="U827" s="15" t="s">
        <v>79</v>
      </c>
      <c r="V827" s="16" t="s">
        <v>1869</v>
      </c>
      <c r="W827" s="17">
        <v>100756326</v>
      </c>
      <c r="X827" s="16" t="s">
        <v>2540</v>
      </c>
      <c r="Y827" s="17" t="s">
        <v>3155</v>
      </c>
      <c r="Z827" s="17" t="s">
        <v>39</v>
      </c>
      <c r="AA827" s="17" t="s">
        <v>37</v>
      </c>
      <c r="AB827" s="43">
        <v>37.49</v>
      </c>
      <c r="AC827" s="25">
        <v>39.56</v>
      </c>
      <c r="AD827" s="25">
        <f>AC827*T827</f>
        <v>237.36</v>
      </c>
      <c r="AE827" s="25">
        <f>AB827*T827</f>
        <v>224.94</v>
      </c>
      <c r="AF827" s="25">
        <f>AD827-AE827</f>
        <v>12.420000000000016</v>
      </c>
      <c r="AG827" s="26">
        <f>AF827/AD827</f>
        <v>5.2325581395348902E-2</v>
      </c>
      <c r="AH827" s="27" t="str">
        <f>IF(AG827&lt;0,"Negative",IF(AG827=0,"Same",IF(AG827&gt;0.3,"30+%",IF(AG827&gt;0.2,"20-30%",IF(AG827&gt;0.1,"10-20%",IF(AG827&lt;=0.1,"0-10%"))))))</f>
        <v>0-10%</v>
      </c>
      <c r="AI827" s="32"/>
      <c r="AJ827" s="36" t="s">
        <v>3299</v>
      </c>
      <c r="AK827" s="32"/>
    </row>
    <row r="828" spans="1:37" s="1" customFormat="1" ht="19.7" customHeight="1" x14ac:dyDescent="0.25">
      <c r="A828" s="5" t="s">
        <v>22</v>
      </c>
      <c r="B828" s="5" t="s">
        <v>1552</v>
      </c>
      <c r="C828" s="6">
        <v>44412</v>
      </c>
      <c r="D828" s="5" t="s">
        <v>24</v>
      </c>
      <c r="E828" s="5" t="s">
        <v>25</v>
      </c>
      <c r="F828" s="5" t="s">
        <v>26</v>
      </c>
      <c r="G828" s="5" t="s">
        <v>27</v>
      </c>
      <c r="H828" s="5" t="s">
        <v>28</v>
      </c>
      <c r="I828" s="5" t="s">
        <v>29</v>
      </c>
      <c r="J828" s="5" t="s">
        <v>30</v>
      </c>
      <c r="K828" s="5" t="s">
        <v>31</v>
      </c>
      <c r="L828" s="5" t="s">
        <v>32</v>
      </c>
      <c r="M828" s="5" t="s">
        <v>368</v>
      </c>
      <c r="N828" s="5" t="s">
        <v>1553</v>
      </c>
      <c r="O828" s="5" t="s">
        <v>79</v>
      </c>
      <c r="P828" s="5" t="s">
        <v>370</v>
      </c>
      <c r="Q828" s="5">
        <v>101553143</v>
      </c>
      <c r="R828" s="5" t="s">
        <v>61</v>
      </c>
      <c r="S828" s="5" t="s">
        <v>39</v>
      </c>
      <c r="T828" s="7">
        <v>2</v>
      </c>
      <c r="U828" s="15" t="s">
        <v>79</v>
      </c>
      <c r="V828" s="16" t="s">
        <v>370</v>
      </c>
      <c r="W828" s="17">
        <v>101553143</v>
      </c>
      <c r="X828" s="16" t="s">
        <v>2540</v>
      </c>
      <c r="Y828" s="17" t="s">
        <v>2645</v>
      </c>
      <c r="Z828" s="17" t="s">
        <v>39</v>
      </c>
      <c r="AA828" s="17" t="s">
        <v>37</v>
      </c>
      <c r="AB828" s="43">
        <v>31.42</v>
      </c>
      <c r="AC828" s="25">
        <v>39.630000000000003</v>
      </c>
      <c r="AD828" s="25">
        <f>AC828*T828</f>
        <v>79.260000000000005</v>
      </c>
      <c r="AE828" s="25">
        <f>AB828*T828</f>
        <v>62.84</v>
      </c>
      <c r="AF828" s="25">
        <f>AD828-AE828</f>
        <v>16.420000000000002</v>
      </c>
      <c r="AG828" s="26">
        <f>AF828/AD828</f>
        <v>0.20716628816553118</v>
      </c>
      <c r="AH828" s="27" t="str">
        <f>IF(AG828&lt;0,"Negative",IF(AG828=0,"Same",IF(AG828&gt;0.3,"30+%",IF(AG828&gt;0.2,"20-30%",IF(AG828&gt;0.1,"10-20%",IF(AG828&lt;=0.1,"0-10%"))))))</f>
        <v>20-30%</v>
      </c>
      <c r="AI828" s="32"/>
      <c r="AJ828" s="36" t="s">
        <v>3299</v>
      </c>
      <c r="AK828" s="32"/>
    </row>
    <row r="829" spans="1:37" s="1" customFormat="1" ht="19.7" customHeight="1" x14ac:dyDescent="0.25">
      <c r="A829" s="9" t="s">
        <v>22</v>
      </c>
      <c r="B829" s="9" t="s">
        <v>367</v>
      </c>
      <c r="C829" s="10">
        <v>44256</v>
      </c>
      <c r="D829" s="9" t="s">
        <v>24</v>
      </c>
      <c r="E829" s="9" t="s">
        <v>25</v>
      </c>
      <c r="F829" s="9" t="s">
        <v>26</v>
      </c>
      <c r="G829" s="9" t="s">
        <v>27</v>
      </c>
      <c r="H829" s="9" t="s">
        <v>28</v>
      </c>
      <c r="I829" s="9" t="s">
        <v>29</v>
      </c>
      <c r="J829" s="9" t="s">
        <v>30</v>
      </c>
      <c r="K829" s="9" t="s">
        <v>31</v>
      </c>
      <c r="L829" s="9" t="s">
        <v>32</v>
      </c>
      <c r="M829" s="9" t="s">
        <v>368</v>
      </c>
      <c r="N829" s="9" t="s">
        <v>369</v>
      </c>
      <c r="O829" s="9" t="s">
        <v>79</v>
      </c>
      <c r="P829" s="9" t="s">
        <v>370</v>
      </c>
      <c r="Q829" s="9">
        <v>101553143</v>
      </c>
      <c r="R829" s="9" t="s">
        <v>61</v>
      </c>
      <c r="S829" s="9" t="s">
        <v>39</v>
      </c>
      <c r="T829" s="11">
        <v>2</v>
      </c>
      <c r="U829" s="15" t="s">
        <v>79</v>
      </c>
      <c r="V829" s="16" t="s">
        <v>370</v>
      </c>
      <c r="W829" s="17">
        <v>101553143</v>
      </c>
      <c r="X829" s="16" t="s">
        <v>2540</v>
      </c>
      <c r="Y829" s="17" t="s">
        <v>2645</v>
      </c>
      <c r="Z829" s="17" t="s">
        <v>39</v>
      </c>
      <c r="AA829" s="17" t="s">
        <v>37</v>
      </c>
      <c r="AB829" s="43">
        <v>31.42</v>
      </c>
      <c r="AC829" s="25">
        <v>39.630000000000003</v>
      </c>
      <c r="AD829" s="25">
        <f>AC829*T829</f>
        <v>79.260000000000005</v>
      </c>
      <c r="AE829" s="25">
        <f>AB829*T829</f>
        <v>62.84</v>
      </c>
      <c r="AF829" s="25">
        <f>AD829-AE829</f>
        <v>16.420000000000002</v>
      </c>
      <c r="AG829" s="26">
        <f>AF829/AD829</f>
        <v>0.20716628816553118</v>
      </c>
      <c r="AH829" s="27" t="str">
        <f>IF(AG829&lt;0,"Negative",IF(AG829=0,"Same",IF(AG829&gt;0.3,"30+%",IF(AG829&gt;0.2,"20-30%",IF(AG829&gt;0.1,"10-20%",IF(AG829&lt;=0.1,"0-10%"))))))</f>
        <v>20-30%</v>
      </c>
      <c r="AI829" s="32"/>
      <c r="AJ829" s="36" t="s">
        <v>3299</v>
      </c>
      <c r="AK829" s="32"/>
    </row>
    <row r="830" spans="1:37" s="1" customFormat="1" ht="19.7" customHeight="1" x14ac:dyDescent="0.25">
      <c r="A830" s="9" t="s">
        <v>22</v>
      </c>
      <c r="B830" s="9" t="s">
        <v>1562</v>
      </c>
      <c r="C830" s="10">
        <v>44417</v>
      </c>
      <c r="D830" s="9" t="s">
        <v>24</v>
      </c>
      <c r="E830" s="9" t="s">
        <v>25</v>
      </c>
      <c r="F830" s="9" t="s">
        <v>26</v>
      </c>
      <c r="G830" s="9" t="s">
        <v>27</v>
      </c>
      <c r="H830" s="9" t="s">
        <v>28</v>
      </c>
      <c r="I830" s="9" t="s">
        <v>29</v>
      </c>
      <c r="J830" s="9" t="s">
        <v>30</v>
      </c>
      <c r="K830" s="9" t="s">
        <v>31</v>
      </c>
      <c r="L830" s="9" t="s">
        <v>32</v>
      </c>
      <c r="M830" s="9" t="s">
        <v>1563</v>
      </c>
      <c r="N830" s="9" t="s">
        <v>1350</v>
      </c>
      <c r="O830" s="9" t="s">
        <v>553</v>
      </c>
      <c r="P830" s="9" t="s">
        <v>1564</v>
      </c>
      <c r="Q830" s="9">
        <v>101245159</v>
      </c>
      <c r="R830" s="9" t="s">
        <v>38</v>
      </c>
      <c r="S830" s="9" t="s">
        <v>39</v>
      </c>
      <c r="T830" s="11">
        <v>2</v>
      </c>
      <c r="U830" s="15" t="s">
        <v>553</v>
      </c>
      <c r="V830" s="16" t="s">
        <v>1564</v>
      </c>
      <c r="W830" s="17">
        <v>101245159</v>
      </c>
      <c r="X830" s="16" t="s">
        <v>2585</v>
      </c>
      <c r="Y830" s="17" t="s">
        <v>3076</v>
      </c>
      <c r="Z830" s="17" t="s">
        <v>39</v>
      </c>
      <c r="AA830" s="17" t="s">
        <v>37</v>
      </c>
      <c r="AB830" s="29">
        <v>95.98</v>
      </c>
      <c r="AC830" s="25">
        <v>98.15</v>
      </c>
      <c r="AD830" s="25">
        <f>AC830*T830</f>
        <v>196.3</v>
      </c>
      <c r="AE830" s="25">
        <f>AB830*T830</f>
        <v>191.96</v>
      </c>
      <c r="AF830" s="25">
        <f>AD830-AE830</f>
        <v>4.3400000000000034</v>
      </c>
      <c r="AG830" s="26">
        <f>AF830/AD830</f>
        <v>2.2109016811003582E-2</v>
      </c>
      <c r="AH830" s="27" t="str">
        <f>IF(AG830&lt;0,"Negative",IF(AG830=0,"Same",IF(AG830&gt;0.3,"30+%",IF(AG830&gt;0.2,"20-30%",IF(AG830&gt;0.1,"10-20%",IF(AG830&lt;=0.1,"0-10%"))))))</f>
        <v>0-10%</v>
      </c>
      <c r="AI830" s="32"/>
      <c r="AJ830" s="36" t="s">
        <v>3300</v>
      </c>
      <c r="AK830" s="32"/>
    </row>
    <row r="831" spans="1:37" s="1" customFormat="1" ht="19.7" customHeight="1" x14ac:dyDescent="0.25">
      <c r="A831" s="5" t="s">
        <v>22</v>
      </c>
      <c r="B831" s="5" t="s">
        <v>1559</v>
      </c>
      <c r="C831" s="6">
        <v>44413</v>
      </c>
      <c r="D831" s="5" t="s">
        <v>24</v>
      </c>
      <c r="E831" s="5" t="s">
        <v>25</v>
      </c>
      <c r="F831" s="5" t="s">
        <v>26</v>
      </c>
      <c r="G831" s="5" t="s">
        <v>27</v>
      </c>
      <c r="H831" s="5" t="s">
        <v>28</v>
      </c>
      <c r="I831" s="5" t="s">
        <v>29</v>
      </c>
      <c r="J831" s="5" t="s">
        <v>30</v>
      </c>
      <c r="K831" s="5" t="s">
        <v>31</v>
      </c>
      <c r="L831" s="5" t="s">
        <v>32</v>
      </c>
      <c r="M831" s="5" t="s">
        <v>1560</v>
      </c>
      <c r="N831" s="5" t="s">
        <v>1553</v>
      </c>
      <c r="O831" s="5" t="s">
        <v>984</v>
      </c>
      <c r="P831" s="5" t="s">
        <v>1561</v>
      </c>
      <c r="Q831" s="5">
        <v>100465310</v>
      </c>
      <c r="R831" s="5" t="s">
        <v>38</v>
      </c>
      <c r="S831" s="5" t="s">
        <v>39</v>
      </c>
      <c r="T831" s="7">
        <v>1</v>
      </c>
      <c r="U831" s="15" t="s">
        <v>984</v>
      </c>
      <c r="V831" s="16" t="s">
        <v>1561</v>
      </c>
      <c r="W831" s="17">
        <v>100465310</v>
      </c>
      <c r="X831" s="16" t="s">
        <v>3074</v>
      </c>
      <c r="Y831" s="17" t="s">
        <v>3075</v>
      </c>
      <c r="Z831" s="17" t="s">
        <v>39</v>
      </c>
      <c r="AA831" s="17" t="s">
        <v>37</v>
      </c>
      <c r="AB831" s="29">
        <v>204.12</v>
      </c>
      <c r="AC831" s="25">
        <v>208.74</v>
      </c>
      <c r="AD831" s="25">
        <f>AC831*T831</f>
        <v>208.74</v>
      </c>
      <c r="AE831" s="25">
        <f>AB831*T831</f>
        <v>204.12</v>
      </c>
      <c r="AF831" s="25">
        <f>AD831-AE831</f>
        <v>4.6200000000000045</v>
      </c>
      <c r="AG831" s="26">
        <f>AF831/AD831</f>
        <v>2.2132796780684125E-2</v>
      </c>
      <c r="AH831" s="27" t="str">
        <f>IF(AG831&lt;0,"Negative",IF(AG831=0,"Same",IF(AG831&gt;0.3,"30+%",IF(AG831&gt;0.2,"20-30%",IF(AG831&gt;0.1,"10-20%",IF(AG831&lt;=0.1,"0-10%"))))))</f>
        <v>0-10%</v>
      </c>
      <c r="AI831" s="32"/>
      <c r="AJ831" s="36" t="s">
        <v>3299</v>
      </c>
      <c r="AK831" s="32"/>
    </row>
    <row r="832" spans="1:37" s="1" customFormat="1" ht="19.7" customHeight="1" x14ac:dyDescent="0.25">
      <c r="A832" s="5" t="s">
        <v>22</v>
      </c>
      <c r="B832" s="5" t="s">
        <v>2325</v>
      </c>
      <c r="C832" s="6">
        <v>44567</v>
      </c>
      <c r="D832" s="5" t="s">
        <v>24</v>
      </c>
      <c r="E832" s="5" t="s">
        <v>25</v>
      </c>
      <c r="F832" s="5" t="s">
        <v>26</v>
      </c>
      <c r="G832" s="5" t="s">
        <v>27</v>
      </c>
      <c r="H832" s="5" t="s">
        <v>28</v>
      </c>
      <c r="I832" s="5" t="s">
        <v>29</v>
      </c>
      <c r="J832" s="5" t="s">
        <v>30</v>
      </c>
      <c r="K832" s="5" t="s">
        <v>31</v>
      </c>
      <c r="L832" s="5" t="s">
        <v>32</v>
      </c>
      <c r="M832" s="5" t="s">
        <v>261</v>
      </c>
      <c r="N832" s="5" t="s">
        <v>2304</v>
      </c>
      <c r="O832" s="5" t="s">
        <v>79</v>
      </c>
      <c r="P832" s="5" t="s">
        <v>2326</v>
      </c>
      <c r="Q832" s="5">
        <v>101173899</v>
      </c>
      <c r="R832" s="5" t="s">
        <v>61</v>
      </c>
      <c r="S832" s="5" t="s">
        <v>39</v>
      </c>
      <c r="T832" s="7">
        <v>4</v>
      </c>
      <c r="U832" s="15" t="s">
        <v>79</v>
      </c>
      <c r="V832" s="16" t="s">
        <v>2326</v>
      </c>
      <c r="W832" s="17">
        <v>101173899</v>
      </c>
      <c r="X832" s="16" t="s">
        <v>3249</v>
      </c>
      <c r="Y832" s="17" t="s">
        <v>3250</v>
      </c>
      <c r="Z832" s="17" t="s">
        <v>39</v>
      </c>
      <c r="AA832" s="17" t="s">
        <v>37</v>
      </c>
      <c r="AB832" s="43">
        <v>53.79</v>
      </c>
      <c r="AC832" s="25">
        <v>56.74</v>
      </c>
      <c r="AD832" s="25">
        <f>AC832*T832</f>
        <v>226.96</v>
      </c>
      <c r="AE832" s="25">
        <f>AB832*T832</f>
        <v>215.16</v>
      </c>
      <c r="AF832" s="25">
        <f>AD832-AE832</f>
        <v>11.800000000000011</v>
      </c>
      <c r="AG832" s="26">
        <f>AF832/AD832</f>
        <v>5.1991540359534766E-2</v>
      </c>
      <c r="AH832" s="27" t="str">
        <f>IF(AG832&lt;0,"Negative",IF(AG832=0,"Same",IF(AG832&gt;0.3,"30+%",IF(AG832&gt;0.2,"20-30%",IF(AG832&gt;0.1,"10-20%",IF(AG832&lt;=0.1,"0-10%"))))))</f>
        <v>0-10%</v>
      </c>
      <c r="AI832" s="32"/>
      <c r="AJ832" s="36" t="s">
        <v>3300</v>
      </c>
      <c r="AK832" s="32"/>
    </row>
    <row r="833" spans="1:37" s="1" customFormat="1" ht="19.7" customHeight="1" x14ac:dyDescent="0.25">
      <c r="A833" s="5" t="s">
        <v>22</v>
      </c>
      <c r="B833" s="5" t="s">
        <v>1032</v>
      </c>
      <c r="C833" s="6">
        <v>44333</v>
      </c>
      <c r="D833" s="5" t="s">
        <v>24</v>
      </c>
      <c r="E833" s="5" t="s">
        <v>25</v>
      </c>
      <c r="F833" s="5" t="s">
        <v>26</v>
      </c>
      <c r="G833" s="5" t="s">
        <v>67</v>
      </c>
      <c r="H833" s="5" t="s">
        <v>68</v>
      </c>
      <c r="I833" s="5" t="s">
        <v>29</v>
      </c>
      <c r="J833" s="5" t="s">
        <v>30</v>
      </c>
      <c r="K833" s="5" t="s">
        <v>31</v>
      </c>
      <c r="L833" s="5" t="s">
        <v>32</v>
      </c>
      <c r="M833" s="5" t="s">
        <v>1033</v>
      </c>
      <c r="N833" s="5" t="s">
        <v>995</v>
      </c>
      <c r="O833" s="5" t="s">
        <v>1034</v>
      </c>
      <c r="P833" s="5" t="s">
        <v>1035</v>
      </c>
      <c r="Q833" s="5">
        <v>101814402</v>
      </c>
      <c r="R833" s="5" t="s">
        <v>38</v>
      </c>
      <c r="S833" s="5" t="s">
        <v>39</v>
      </c>
      <c r="T833" s="7">
        <v>2</v>
      </c>
      <c r="U833" s="15" t="s">
        <v>1034</v>
      </c>
      <c r="V833" s="16" t="s">
        <v>1035</v>
      </c>
      <c r="W833" s="17">
        <v>101814402</v>
      </c>
      <c r="X833" s="16" t="s">
        <v>2899</v>
      </c>
      <c r="Y833" s="17" t="s">
        <v>2900</v>
      </c>
      <c r="Z833" s="17" t="s">
        <v>39</v>
      </c>
      <c r="AA833" s="17" t="s">
        <v>2501</v>
      </c>
      <c r="AB833" s="29">
        <v>200.24</v>
      </c>
      <c r="AC833" s="25">
        <v>204.78</v>
      </c>
      <c r="AD833" s="25">
        <f>AC833*T833</f>
        <v>409.56</v>
      </c>
      <c r="AE833" s="25">
        <f>AB833*T833</f>
        <v>400.48</v>
      </c>
      <c r="AF833" s="25">
        <f>AD833-AE833</f>
        <v>9.0799999999999841</v>
      </c>
      <c r="AG833" s="26">
        <f>AF833/AD833</f>
        <v>2.2170133802129077E-2</v>
      </c>
      <c r="AH833" s="27" t="str">
        <f>IF(AG833&lt;0,"Negative",IF(AG833=0,"Same",IF(AG833&gt;0.3,"30+%",IF(AG833&gt;0.2,"20-30%",IF(AG833&gt;0.1,"10-20%",IF(AG833&lt;=0.1,"0-10%"))))))</f>
        <v>0-10%</v>
      </c>
      <c r="AI833" s="32"/>
      <c r="AJ833" s="36" t="s">
        <v>3300</v>
      </c>
      <c r="AK833" s="32"/>
    </row>
    <row r="834" spans="1:37" s="1" customFormat="1" ht="19.7" customHeight="1" x14ac:dyDescent="0.25">
      <c r="A834" s="5" t="s">
        <v>22</v>
      </c>
      <c r="B834" s="5" t="s">
        <v>1943</v>
      </c>
      <c r="C834" s="6">
        <v>44488</v>
      </c>
      <c r="D834" s="5" t="s">
        <v>24</v>
      </c>
      <c r="E834" s="5" t="s">
        <v>25</v>
      </c>
      <c r="F834" s="5" t="s">
        <v>26</v>
      </c>
      <c r="G834" s="5" t="s">
        <v>27</v>
      </c>
      <c r="H834" s="5" t="s">
        <v>28</v>
      </c>
      <c r="I834" s="5" t="s">
        <v>29</v>
      </c>
      <c r="J834" s="5" t="s">
        <v>30</v>
      </c>
      <c r="K834" s="5" t="s">
        <v>31</v>
      </c>
      <c r="L834" s="5" t="s">
        <v>32</v>
      </c>
      <c r="M834" s="5" t="s">
        <v>1944</v>
      </c>
      <c r="N834" s="5" t="s">
        <v>1916</v>
      </c>
      <c r="O834" s="5" t="s">
        <v>334</v>
      </c>
      <c r="P834" s="5" t="s">
        <v>1945</v>
      </c>
      <c r="Q834" s="5">
        <v>111634278</v>
      </c>
      <c r="R834" s="5" t="s">
        <v>38</v>
      </c>
      <c r="S834" s="5" t="s">
        <v>39</v>
      </c>
      <c r="T834" s="7">
        <v>2</v>
      </c>
      <c r="U834" s="15" t="s">
        <v>334</v>
      </c>
      <c r="V834" s="16" t="s">
        <v>1945</v>
      </c>
      <c r="W834" s="17">
        <v>111634278</v>
      </c>
      <c r="X834" s="16" t="s">
        <v>2629</v>
      </c>
      <c r="Y834" s="17" t="s">
        <v>3170</v>
      </c>
      <c r="Z834" s="17" t="s">
        <v>39</v>
      </c>
      <c r="AA834" s="17" t="s">
        <v>37</v>
      </c>
      <c r="AB834" s="29">
        <v>52.54</v>
      </c>
      <c r="AC834" s="25">
        <v>53.72</v>
      </c>
      <c r="AD834" s="25">
        <f>AC834*T834</f>
        <v>107.44</v>
      </c>
      <c r="AE834" s="25">
        <f>AB834*T834</f>
        <v>105.08</v>
      </c>
      <c r="AF834" s="25">
        <f>AD834-AE834</f>
        <v>2.3599999999999994</v>
      </c>
      <c r="AG834" s="26">
        <f>AF834/AD834</f>
        <v>2.196574832464631E-2</v>
      </c>
      <c r="AH834" s="27" t="str">
        <f>IF(AG834&lt;0,"Negative",IF(AG834=0,"Same",IF(AG834&gt;0.3,"30+%",IF(AG834&gt;0.2,"20-30%",IF(AG834&gt;0.1,"10-20%",IF(AG834&lt;=0.1,"0-10%"))))))</f>
        <v>0-10%</v>
      </c>
      <c r="AI834" s="32"/>
      <c r="AJ834" s="36" t="s">
        <v>3300</v>
      </c>
      <c r="AK834" s="32"/>
    </row>
    <row r="835" spans="1:37" s="1" customFormat="1" ht="19.7" customHeight="1" x14ac:dyDescent="0.25">
      <c r="A835" s="9" t="s">
        <v>22</v>
      </c>
      <c r="B835" s="9" t="s">
        <v>2252</v>
      </c>
      <c r="C835" s="10">
        <v>44552</v>
      </c>
      <c r="D835" s="9" t="s">
        <v>24</v>
      </c>
      <c r="E835" s="9" t="s">
        <v>25</v>
      </c>
      <c r="F835" s="9" t="s">
        <v>26</v>
      </c>
      <c r="G835" s="9" t="s">
        <v>27</v>
      </c>
      <c r="H835" s="9" t="s">
        <v>28</v>
      </c>
      <c r="I835" s="9" t="s">
        <v>29</v>
      </c>
      <c r="J835" s="9" t="s">
        <v>30</v>
      </c>
      <c r="K835" s="9" t="s">
        <v>31</v>
      </c>
      <c r="L835" s="9" t="s">
        <v>32</v>
      </c>
      <c r="M835" s="9" t="s">
        <v>461</v>
      </c>
      <c r="N835" s="9" t="s">
        <v>2254</v>
      </c>
      <c r="O835" s="9" t="s">
        <v>35</v>
      </c>
      <c r="P835" s="9" t="s">
        <v>462</v>
      </c>
      <c r="Q835" s="9">
        <v>105729239</v>
      </c>
      <c r="R835" s="9" t="s">
        <v>38</v>
      </c>
      <c r="S835" s="9" t="s">
        <v>39</v>
      </c>
      <c r="T835" s="11">
        <v>1</v>
      </c>
      <c r="U835" s="15" t="s">
        <v>35</v>
      </c>
      <c r="V835" s="16" t="s">
        <v>462</v>
      </c>
      <c r="W835" s="17">
        <v>105729239</v>
      </c>
      <c r="X835" s="16" t="s">
        <v>2683</v>
      </c>
      <c r="Y835" s="17" t="s">
        <v>2684</v>
      </c>
      <c r="Z835" s="17" t="s">
        <v>39</v>
      </c>
      <c r="AA835" s="17" t="s">
        <v>37</v>
      </c>
      <c r="AB835" s="29">
        <v>95.07</v>
      </c>
      <c r="AC835" s="25">
        <v>92.6</v>
      </c>
      <c r="AD835" s="25">
        <f>AC835*T835</f>
        <v>92.6</v>
      </c>
      <c r="AE835" s="25">
        <f>AB835*T835</f>
        <v>95.07</v>
      </c>
      <c r="AF835" s="25">
        <f>AD835-AE835</f>
        <v>-2.4699999999999989</v>
      </c>
      <c r="AG835" s="26">
        <f>AF835/AD835</f>
        <v>-2.6673866090712733E-2</v>
      </c>
      <c r="AH835" s="27" t="str">
        <f>IF(AG835&lt;0,"Negative",IF(AG835=0,"Same",IF(AG835&gt;0.3,"30+%",IF(AG835&gt;0.2,"20-30%",IF(AG835&gt;0.1,"10-20%",IF(AG835&lt;=0.1,"0-10%"))))))</f>
        <v>Negative</v>
      </c>
      <c r="AI835" s="32"/>
      <c r="AJ835" s="36" t="s">
        <v>3299</v>
      </c>
      <c r="AK835" s="32"/>
    </row>
    <row r="836" spans="1:37" s="1" customFormat="1" ht="19.7" customHeight="1" x14ac:dyDescent="0.25">
      <c r="A836" s="9" t="s">
        <v>22</v>
      </c>
      <c r="B836" s="9" t="s">
        <v>2250</v>
      </c>
      <c r="C836" s="10">
        <v>44551</v>
      </c>
      <c r="D836" s="9" t="s">
        <v>24</v>
      </c>
      <c r="E836" s="9" t="s">
        <v>25</v>
      </c>
      <c r="F836" s="9" t="s">
        <v>26</v>
      </c>
      <c r="G836" s="9" t="s">
        <v>27</v>
      </c>
      <c r="H836" s="9" t="s">
        <v>28</v>
      </c>
      <c r="I836" s="9" t="s">
        <v>29</v>
      </c>
      <c r="J836" s="9" t="s">
        <v>30</v>
      </c>
      <c r="K836" s="9" t="s">
        <v>31</v>
      </c>
      <c r="L836" s="9" t="s">
        <v>32</v>
      </c>
      <c r="M836" s="9" t="s">
        <v>461</v>
      </c>
      <c r="N836" s="9" t="s">
        <v>2236</v>
      </c>
      <c r="O836" s="9" t="s">
        <v>35</v>
      </c>
      <c r="P836" s="9" t="s">
        <v>462</v>
      </c>
      <c r="Q836" s="9">
        <v>105729239</v>
      </c>
      <c r="R836" s="9" t="s">
        <v>38</v>
      </c>
      <c r="S836" s="9" t="s">
        <v>39</v>
      </c>
      <c r="T836" s="11">
        <v>1</v>
      </c>
      <c r="U836" s="15" t="s">
        <v>35</v>
      </c>
      <c r="V836" s="16" t="s">
        <v>462</v>
      </c>
      <c r="W836" s="17">
        <v>105729239</v>
      </c>
      <c r="X836" s="16" t="s">
        <v>2683</v>
      </c>
      <c r="Y836" s="17" t="s">
        <v>2684</v>
      </c>
      <c r="Z836" s="17" t="s">
        <v>39</v>
      </c>
      <c r="AA836" s="17" t="s">
        <v>37</v>
      </c>
      <c r="AB836" s="29">
        <v>95.07</v>
      </c>
      <c r="AC836" s="25">
        <v>92.6</v>
      </c>
      <c r="AD836" s="25">
        <f>AC836*T836</f>
        <v>92.6</v>
      </c>
      <c r="AE836" s="25">
        <f>AB836*T836</f>
        <v>95.07</v>
      </c>
      <c r="AF836" s="25">
        <f>AD836-AE836</f>
        <v>-2.4699999999999989</v>
      </c>
      <c r="AG836" s="26">
        <f>AF836/AD836</f>
        <v>-2.6673866090712733E-2</v>
      </c>
      <c r="AH836" s="27" t="str">
        <f>IF(AG836&lt;0,"Negative",IF(AG836=0,"Same",IF(AG836&gt;0.3,"30+%",IF(AG836&gt;0.2,"20-30%",IF(AG836&gt;0.1,"10-20%",IF(AG836&lt;=0.1,"0-10%"))))))</f>
        <v>Negative</v>
      </c>
      <c r="AI836" s="32"/>
      <c r="AJ836" s="36" t="s">
        <v>3299</v>
      </c>
      <c r="AK836" s="32"/>
    </row>
    <row r="837" spans="1:37" s="1" customFormat="1" ht="19.7" customHeight="1" x14ac:dyDescent="0.25">
      <c r="A837" s="5" t="s">
        <v>22</v>
      </c>
      <c r="B837" s="5" t="s">
        <v>1652</v>
      </c>
      <c r="C837" s="6">
        <v>44431</v>
      </c>
      <c r="D837" s="5" t="s">
        <v>24</v>
      </c>
      <c r="E837" s="5" t="s">
        <v>25</v>
      </c>
      <c r="F837" s="5" t="s">
        <v>26</v>
      </c>
      <c r="G837" s="5" t="s">
        <v>27</v>
      </c>
      <c r="H837" s="5" t="s">
        <v>28</v>
      </c>
      <c r="I837" s="5" t="s">
        <v>29</v>
      </c>
      <c r="J837" s="5" t="s">
        <v>30</v>
      </c>
      <c r="K837" s="5" t="s">
        <v>31</v>
      </c>
      <c r="L837" s="5" t="s">
        <v>32</v>
      </c>
      <c r="M837" s="5" t="s">
        <v>845</v>
      </c>
      <c r="N837" s="5" t="s">
        <v>1654</v>
      </c>
      <c r="O837" s="5" t="s">
        <v>131</v>
      </c>
      <c r="P837" s="5" t="s">
        <v>847</v>
      </c>
      <c r="Q837" s="5">
        <v>100814531</v>
      </c>
      <c r="R837" s="5" t="s">
        <v>56</v>
      </c>
      <c r="S837" s="5" t="s">
        <v>39</v>
      </c>
      <c r="T837" s="7">
        <v>1</v>
      </c>
      <c r="U837" s="15" t="s">
        <v>131</v>
      </c>
      <c r="V837" s="16" t="s">
        <v>847</v>
      </c>
      <c r="W837" s="17">
        <v>100814531</v>
      </c>
      <c r="X837" s="16" t="s">
        <v>2538</v>
      </c>
      <c r="Y837" s="17" t="s">
        <v>2838</v>
      </c>
      <c r="Z837" s="17" t="s">
        <v>39</v>
      </c>
      <c r="AA837" s="17" t="s">
        <v>37</v>
      </c>
      <c r="AB837" s="43">
        <v>62.01</v>
      </c>
      <c r="AC837" s="25">
        <v>68.69</v>
      </c>
      <c r="AD837" s="25">
        <f>AC837*T837</f>
        <v>68.69</v>
      </c>
      <c r="AE837" s="25">
        <f>AB837*T837</f>
        <v>62.01</v>
      </c>
      <c r="AF837" s="25">
        <f>AD837-AE837</f>
        <v>6.68</v>
      </c>
      <c r="AG837" s="26">
        <f>AF837/AD837</f>
        <v>9.7248507788615518E-2</v>
      </c>
      <c r="AH837" s="27" t="str">
        <f>IF(AG837&lt;0,"Negative",IF(AG837=0,"Same",IF(AG837&gt;0.3,"30+%",IF(AG837&gt;0.2,"20-30%",IF(AG837&gt;0.1,"10-20%",IF(AG837&lt;=0.1,"0-10%"))))))</f>
        <v>0-10%</v>
      </c>
      <c r="AI837" s="32"/>
      <c r="AJ837" s="36" t="s">
        <v>3299</v>
      </c>
      <c r="AK837" s="32"/>
    </row>
    <row r="838" spans="1:37" s="1" customFormat="1" ht="19.7" customHeight="1" x14ac:dyDescent="0.25">
      <c r="A838" s="9" t="s">
        <v>22</v>
      </c>
      <c r="B838" s="9" t="s">
        <v>1159</v>
      </c>
      <c r="C838" s="10">
        <v>44350</v>
      </c>
      <c r="D838" s="9" t="s">
        <v>24</v>
      </c>
      <c r="E838" s="9" t="s">
        <v>25</v>
      </c>
      <c r="F838" s="9" t="s">
        <v>26</v>
      </c>
      <c r="G838" s="9" t="s">
        <v>27</v>
      </c>
      <c r="H838" s="9" t="s">
        <v>28</v>
      </c>
      <c r="I838" s="9" t="s">
        <v>29</v>
      </c>
      <c r="J838" s="9" t="s">
        <v>30</v>
      </c>
      <c r="K838" s="9" t="s">
        <v>31</v>
      </c>
      <c r="L838" s="9" t="s">
        <v>32</v>
      </c>
      <c r="M838" s="9" t="s">
        <v>845</v>
      </c>
      <c r="N838" s="9" t="s">
        <v>1161</v>
      </c>
      <c r="O838" s="9" t="s">
        <v>131</v>
      </c>
      <c r="P838" s="9" t="s">
        <v>847</v>
      </c>
      <c r="Q838" s="9">
        <v>100814531</v>
      </c>
      <c r="R838" s="9" t="s">
        <v>56</v>
      </c>
      <c r="S838" s="9" t="s">
        <v>39</v>
      </c>
      <c r="T838" s="11">
        <v>1</v>
      </c>
      <c r="U838" s="15" t="s">
        <v>131</v>
      </c>
      <c r="V838" s="16" t="s">
        <v>847</v>
      </c>
      <c r="W838" s="17">
        <v>100814531</v>
      </c>
      <c r="X838" s="16" t="s">
        <v>2538</v>
      </c>
      <c r="Y838" s="17" t="s">
        <v>2838</v>
      </c>
      <c r="Z838" s="17" t="s">
        <v>39</v>
      </c>
      <c r="AA838" s="17" t="s">
        <v>37</v>
      </c>
      <c r="AB838" s="43">
        <v>62.01</v>
      </c>
      <c r="AC838" s="25">
        <v>68.69</v>
      </c>
      <c r="AD838" s="25">
        <f>AC838*T838</f>
        <v>68.69</v>
      </c>
      <c r="AE838" s="25">
        <f>AB838*T838</f>
        <v>62.01</v>
      </c>
      <c r="AF838" s="25">
        <f>AD838-AE838</f>
        <v>6.68</v>
      </c>
      <c r="AG838" s="26">
        <f>AF838/AD838</f>
        <v>9.7248507788615518E-2</v>
      </c>
      <c r="AH838" s="27" t="str">
        <f>IF(AG838&lt;0,"Negative",IF(AG838=0,"Same",IF(AG838&gt;0.3,"30+%",IF(AG838&gt;0.2,"20-30%",IF(AG838&gt;0.1,"10-20%",IF(AG838&lt;=0.1,"0-10%"))))))</f>
        <v>0-10%</v>
      </c>
      <c r="AI838" s="32"/>
      <c r="AJ838" s="36" t="s">
        <v>3299</v>
      </c>
      <c r="AK838" s="32"/>
    </row>
    <row r="839" spans="1:37" s="1" customFormat="1" ht="19.7" customHeight="1" x14ac:dyDescent="0.25">
      <c r="A839" s="9" t="s">
        <v>22</v>
      </c>
      <c r="B839" s="9" t="s">
        <v>858</v>
      </c>
      <c r="C839" s="10">
        <v>44312</v>
      </c>
      <c r="D839" s="9" t="s">
        <v>24</v>
      </c>
      <c r="E839" s="9" t="s">
        <v>25</v>
      </c>
      <c r="F839" s="9" t="s">
        <v>26</v>
      </c>
      <c r="G839" s="9" t="s">
        <v>27</v>
      </c>
      <c r="H839" s="9" t="s">
        <v>28</v>
      </c>
      <c r="I839" s="9" t="s">
        <v>29</v>
      </c>
      <c r="J839" s="9" t="s">
        <v>30</v>
      </c>
      <c r="K839" s="9" t="s">
        <v>31</v>
      </c>
      <c r="L839" s="9" t="s">
        <v>32</v>
      </c>
      <c r="M839" s="9" t="s">
        <v>845</v>
      </c>
      <c r="N839" s="9" t="s">
        <v>846</v>
      </c>
      <c r="O839" s="9" t="s">
        <v>131</v>
      </c>
      <c r="P839" s="9" t="s">
        <v>847</v>
      </c>
      <c r="Q839" s="9">
        <v>100814531</v>
      </c>
      <c r="R839" s="9" t="s">
        <v>56</v>
      </c>
      <c r="S839" s="9" t="s">
        <v>39</v>
      </c>
      <c r="T839" s="11">
        <v>1</v>
      </c>
      <c r="U839" s="15" t="s">
        <v>131</v>
      </c>
      <c r="V839" s="16" t="s">
        <v>847</v>
      </c>
      <c r="W839" s="17">
        <v>100814531</v>
      </c>
      <c r="X839" s="16" t="s">
        <v>2538</v>
      </c>
      <c r="Y839" s="17" t="s">
        <v>2838</v>
      </c>
      <c r="Z839" s="17" t="s">
        <v>39</v>
      </c>
      <c r="AA839" s="17" t="s">
        <v>37</v>
      </c>
      <c r="AB839" s="43">
        <v>62.01</v>
      </c>
      <c r="AC839" s="25">
        <v>68.69</v>
      </c>
      <c r="AD839" s="25">
        <f>AC839*T839</f>
        <v>68.69</v>
      </c>
      <c r="AE839" s="25">
        <f>AB839*T839</f>
        <v>62.01</v>
      </c>
      <c r="AF839" s="25">
        <f>AD839-AE839</f>
        <v>6.68</v>
      </c>
      <c r="AG839" s="26">
        <f>AF839/AD839</f>
        <v>9.7248507788615518E-2</v>
      </c>
      <c r="AH839" s="27" t="str">
        <f>IF(AG839&lt;0,"Negative",IF(AG839=0,"Same",IF(AG839&gt;0.3,"30+%",IF(AG839&gt;0.2,"20-30%",IF(AG839&gt;0.1,"10-20%",IF(AG839&lt;=0.1,"0-10%"))))))</f>
        <v>0-10%</v>
      </c>
      <c r="AI839" s="32"/>
      <c r="AJ839" s="36" t="s">
        <v>3299</v>
      </c>
      <c r="AK839" s="32"/>
    </row>
    <row r="840" spans="1:37" s="1" customFormat="1" ht="19.7" customHeight="1" x14ac:dyDescent="0.25">
      <c r="A840" s="9" t="s">
        <v>22</v>
      </c>
      <c r="B840" s="9" t="s">
        <v>844</v>
      </c>
      <c r="C840" s="10">
        <v>44308</v>
      </c>
      <c r="D840" s="9" t="s">
        <v>24</v>
      </c>
      <c r="E840" s="9" t="s">
        <v>25</v>
      </c>
      <c r="F840" s="9" t="s">
        <v>26</v>
      </c>
      <c r="G840" s="9" t="s">
        <v>27</v>
      </c>
      <c r="H840" s="9" t="s">
        <v>28</v>
      </c>
      <c r="I840" s="9" t="s">
        <v>29</v>
      </c>
      <c r="J840" s="9" t="s">
        <v>30</v>
      </c>
      <c r="K840" s="9" t="s">
        <v>31</v>
      </c>
      <c r="L840" s="9" t="s">
        <v>32</v>
      </c>
      <c r="M840" s="9" t="s">
        <v>845</v>
      </c>
      <c r="N840" s="9" t="s">
        <v>846</v>
      </c>
      <c r="O840" s="9" t="s">
        <v>131</v>
      </c>
      <c r="P840" s="9" t="s">
        <v>847</v>
      </c>
      <c r="Q840" s="9">
        <v>100814531</v>
      </c>
      <c r="R840" s="9" t="s">
        <v>56</v>
      </c>
      <c r="S840" s="9" t="s">
        <v>39</v>
      </c>
      <c r="T840" s="11">
        <v>1</v>
      </c>
      <c r="U840" s="15" t="s">
        <v>131</v>
      </c>
      <c r="V840" s="16" t="s">
        <v>847</v>
      </c>
      <c r="W840" s="17">
        <v>100814531</v>
      </c>
      <c r="X840" s="16" t="s">
        <v>2538</v>
      </c>
      <c r="Y840" s="17" t="s">
        <v>2838</v>
      </c>
      <c r="Z840" s="17" t="s">
        <v>39</v>
      </c>
      <c r="AA840" s="17" t="s">
        <v>37</v>
      </c>
      <c r="AB840" s="43">
        <v>62.01</v>
      </c>
      <c r="AC840" s="25">
        <v>68.69</v>
      </c>
      <c r="AD840" s="25">
        <f>AC840*T840</f>
        <v>68.69</v>
      </c>
      <c r="AE840" s="25">
        <f>AB840*T840</f>
        <v>62.01</v>
      </c>
      <c r="AF840" s="25">
        <f>AD840-AE840</f>
        <v>6.68</v>
      </c>
      <c r="AG840" s="26">
        <f>AF840/AD840</f>
        <v>9.7248507788615518E-2</v>
      </c>
      <c r="AH840" s="27" t="str">
        <f>IF(AG840&lt;0,"Negative",IF(AG840=0,"Same",IF(AG840&gt;0.3,"30+%",IF(AG840&gt;0.2,"20-30%",IF(AG840&gt;0.1,"10-20%",IF(AG840&lt;=0.1,"0-10%"))))))</f>
        <v>0-10%</v>
      </c>
      <c r="AI840" s="32"/>
      <c r="AJ840" s="36" t="s">
        <v>3299</v>
      </c>
      <c r="AK840" s="32"/>
    </row>
    <row r="841" spans="1:37" s="1" customFormat="1" ht="19.7" customHeight="1" x14ac:dyDescent="0.25">
      <c r="A841" s="5" t="s">
        <v>22</v>
      </c>
      <c r="B841" s="5" t="s">
        <v>1689</v>
      </c>
      <c r="C841" s="6">
        <v>44439</v>
      </c>
      <c r="D841" s="5" t="s">
        <v>24</v>
      </c>
      <c r="E841" s="5" t="s">
        <v>25</v>
      </c>
      <c r="F841" s="5" t="s">
        <v>26</v>
      </c>
      <c r="G841" s="5" t="s">
        <v>27</v>
      </c>
      <c r="H841" s="5" t="s">
        <v>28</v>
      </c>
      <c r="I841" s="5" t="s">
        <v>29</v>
      </c>
      <c r="J841" s="5" t="s">
        <v>30</v>
      </c>
      <c r="K841" s="5" t="s">
        <v>31</v>
      </c>
      <c r="L841" s="5" t="s">
        <v>32</v>
      </c>
      <c r="M841" s="5" t="s">
        <v>1292</v>
      </c>
      <c r="N841" s="5" t="s">
        <v>1691</v>
      </c>
      <c r="O841" s="5" t="s">
        <v>89</v>
      </c>
      <c r="P841" s="5" t="s">
        <v>1293</v>
      </c>
      <c r="Q841" s="5">
        <v>100747972</v>
      </c>
      <c r="R841" s="5" t="s">
        <v>45</v>
      </c>
      <c r="S841" s="5" t="s">
        <v>39</v>
      </c>
      <c r="T841" s="7">
        <v>1</v>
      </c>
      <c r="U841" s="15" t="s">
        <v>89</v>
      </c>
      <c r="V841" s="16" t="s">
        <v>1293</v>
      </c>
      <c r="W841" s="17">
        <v>100747972</v>
      </c>
      <c r="X841" s="16" t="s">
        <v>2520</v>
      </c>
      <c r="Y841" s="17" t="s">
        <v>2989</v>
      </c>
      <c r="Z841" s="17" t="s">
        <v>39</v>
      </c>
      <c r="AA841" s="17" t="s">
        <v>37</v>
      </c>
      <c r="AB841" s="43">
        <v>31.1</v>
      </c>
      <c r="AC841" s="25">
        <v>36.47</v>
      </c>
      <c r="AD841" s="25">
        <f>AC841*T841</f>
        <v>36.47</v>
      </c>
      <c r="AE841" s="25">
        <f>AB841*T841</f>
        <v>31.1</v>
      </c>
      <c r="AF841" s="25">
        <f>AD841-AE841</f>
        <v>5.3699999999999974</v>
      </c>
      <c r="AG841" s="26">
        <f>AF841/AD841</f>
        <v>0.14724431039210303</v>
      </c>
      <c r="AH841" s="27" t="str">
        <f>IF(AG841&lt;0,"Negative",IF(AG841=0,"Same",IF(AG841&gt;0.3,"30+%",IF(AG841&gt;0.2,"20-30%",IF(AG841&gt;0.1,"10-20%",IF(AG841&lt;=0.1,"0-10%"))))))</f>
        <v>10-20%</v>
      </c>
      <c r="AI841" s="32"/>
      <c r="AJ841" s="36" t="s">
        <v>3300</v>
      </c>
      <c r="AK841" s="32"/>
    </row>
    <row r="842" spans="1:37" s="1" customFormat="1" ht="19.7" customHeight="1" x14ac:dyDescent="0.25">
      <c r="A842" s="5" t="s">
        <v>22</v>
      </c>
      <c r="B842" s="5" t="s">
        <v>1291</v>
      </c>
      <c r="C842" s="6">
        <v>44371</v>
      </c>
      <c r="D842" s="5" t="s">
        <v>24</v>
      </c>
      <c r="E842" s="5" t="s">
        <v>25</v>
      </c>
      <c r="F842" s="5" t="s">
        <v>26</v>
      </c>
      <c r="G842" s="5" t="s">
        <v>27</v>
      </c>
      <c r="H842" s="5" t="s">
        <v>28</v>
      </c>
      <c r="I842" s="5" t="s">
        <v>29</v>
      </c>
      <c r="J842" s="5" t="s">
        <v>30</v>
      </c>
      <c r="K842" s="5" t="s">
        <v>31</v>
      </c>
      <c r="L842" s="5" t="s">
        <v>32</v>
      </c>
      <c r="M842" s="5" t="s">
        <v>1292</v>
      </c>
      <c r="N842" s="5" t="s">
        <v>1236</v>
      </c>
      <c r="O842" s="5" t="s">
        <v>89</v>
      </c>
      <c r="P842" s="5" t="s">
        <v>1293</v>
      </c>
      <c r="Q842" s="5">
        <v>100747972</v>
      </c>
      <c r="R842" s="5" t="s">
        <v>45</v>
      </c>
      <c r="S842" s="5" t="s">
        <v>39</v>
      </c>
      <c r="T842" s="7">
        <v>1</v>
      </c>
      <c r="U842" s="15" t="s">
        <v>89</v>
      </c>
      <c r="V842" s="16" t="s">
        <v>1293</v>
      </c>
      <c r="W842" s="17">
        <v>100747972</v>
      </c>
      <c r="X842" s="16" t="s">
        <v>2520</v>
      </c>
      <c r="Y842" s="17" t="s">
        <v>2989</v>
      </c>
      <c r="Z842" s="17" t="s">
        <v>39</v>
      </c>
      <c r="AA842" s="17" t="s">
        <v>37</v>
      </c>
      <c r="AB842" s="43">
        <v>31.1</v>
      </c>
      <c r="AC842" s="25">
        <v>36.47</v>
      </c>
      <c r="AD842" s="25">
        <f>AC842*T842</f>
        <v>36.47</v>
      </c>
      <c r="AE842" s="25">
        <f>AB842*T842</f>
        <v>31.1</v>
      </c>
      <c r="AF842" s="25">
        <f>AD842-AE842</f>
        <v>5.3699999999999974</v>
      </c>
      <c r="AG842" s="26">
        <f>AF842/AD842</f>
        <v>0.14724431039210303</v>
      </c>
      <c r="AH842" s="27" t="str">
        <f>IF(AG842&lt;0,"Negative",IF(AG842=0,"Same",IF(AG842&gt;0.3,"30+%",IF(AG842&gt;0.2,"20-30%",IF(AG842&gt;0.1,"10-20%",IF(AG842&lt;=0.1,"0-10%"))))))</f>
        <v>10-20%</v>
      </c>
      <c r="AI842" s="32"/>
      <c r="AJ842" s="36" t="s">
        <v>3300</v>
      </c>
      <c r="AK842" s="32"/>
    </row>
    <row r="843" spans="1:37" s="1" customFormat="1" ht="19.7" customHeight="1" x14ac:dyDescent="0.25">
      <c r="A843" s="9" t="s">
        <v>22</v>
      </c>
      <c r="B843" s="9" t="s">
        <v>997</v>
      </c>
      <c r="C843" s="10">
        <v>44326</v>
      </c>
      <c r="D843" s="9" t="s">
        <v>24</v>
      </c>
      <c r="E843" s="9" t="s">
        <v>25</v>
      </c>
      <c r="F843" s="9" t="s">
        <v>26</v>
      </c>
      <c r="G843" s="9" t="s">
        <v>27</v>
      </c>
      <c r="H843" s="9" t="s">
        <v>28</v>
      </c>
      <c r="I843" s="9" t="s">
        <v>29</v>
      </c>
      <c r="J843" s="9" t="s">
        <v>30</v>
      </c>
      <c r="K843" s="9" t="s">
        <v>31</v>
      </c>
      <c r="L843" s="9" t="s">
        <v>32</v>
      </c>
      <c r="M843" s="9" t="s">
        <v>261</v>
      </c>
      <c r="N843" s="9" t="s">
        <v>998</v>
      </c>
      <c r="O843" s="9" t="s">
        <v>89</v>
      </c>
      <c r="P843" s="9" t="s">
        <v>1000</v>
      </c>
      <c r="Q843" s="9">
        <v>100915031</v>
      </c>
      <c r="R843" s="9" t="s">
        <v>45</v>
      </c>
      <c r="S843" s="9" t="s">
        <v>39</v>
      </c>
      <c r="T843" s="11">
        <v>1</v>
      </c>
      <c r="U843" s="15" t="s">
        <v>89</v>
      </c>
      <c r="V843" s="16" t="s">
        <v>1000</v>
      </c>
      <c r="W843" s="17">
        <v>100915031</v>
      </c>
      <c r="X843" s="16" t="s">
        <v>2520</v>
      </c>
      <c r="Y843" s="17" t="s">
        <v>2892</v>
      </c>
      <c r="Z843" s="17" t="s">
        <v>39</v>
      </c>
      <c r="AA843" s="17" t="s">
        <v>37</v>
      </c>
      <c r="AB843" s="43">
        <v>34.950000000000003</v>
      </c>
      <c r="AC843" s="25">
        <v>40.98</v>
      </c>
      <c r="AD843" s="25">
        <f>AC843*T843</f>
        <v>40.98</v>
      </c>
      <c r="AE843" s="25">
        <f>AB843*T843</f>
        <v>34.950000000000003</v>
      </c>
      <c r="AF843" s="25">
        <f>AD843-AE843</f>
        <v>6.029999999999994</v>
      </c>
      <c r="AG843" s="26">
        <f>AF843/AD843</f>
        <v>0.14714494875549036</v>
      </c>
      <c r="AH843" s="27" t="str">
        <f>IF(AG843&lt;0,"Negative",IF(AG843=0,"Same",IF(AG843&gt;0.3,"30+%",IF(AG843&gt;0.2,"20-30%",IF(AG843&gt;0.1,"10-20%",IF(AG843&lt;=0.1,"0-10%"))))))</f>
        <v>10-20%</v>
      </c>
      <c r="AI843" s="32"/>
      <c r="AJ843" s="36" t="s">
        <v>3300</v>
      </c>
      <c r="AK843" s="32"/>
    </row>
    <row r="844" spans="1:37" s="1" customFormat="1" ht="19.7" customHeight="1" x14ac:dyDescent="0.25">
      <c r="A844" s="5" t="s">
        <v>22</v>
      </c>
      <c r="B844" s="5" t="s">
        <v>2292</v>
      </c>
      <c r="C844" s="6">
        <v>44564</v>
      </c>
      <c r="D844" s="5" t="s">
        <v>24</v>
      </c>
      <c r="E844" s="5" t="s">
        <v>25</v>
      </c>
      <c r="F844" s="5" t="s">
        <v>26</v>
      </c>
      <c r="G844" s="5" t="s">
        <v>27</v>
      </c>
      <c r="H844" s="5" t="s">
        <v>28</v>
      </c>
      <c r="I844" s="5" t="s">
        <v>29</v>
      </c>
      <c r="J844" s="5" t="s">
        <v>30</v>
      </c>
      <c r="K844" s="5" t="s">
        <v>31</v>
      </c>
      <c r="L844" s="5" t="s">
        <v>32</v>
      </c>
      <c r="M844" s="5" t="s">
        <v>261</v>
      </c>
      <c r="N844" s="5" t="s">
        <v>2293</v>
      </c>
      <c r="O844" s="5" t="s">
        <v>79</v>
      </c>
      <c r="P844" s="5" t="s">
        <v>2294</v>
      </c>
      <c r="Q844" s="5">
        <v>101557935</v>
      </c>
      <c r="R844" s="5" t="s">
        <v>61</v>
      </c>
      <c r="S844" s="5" t="s">
        <v>39</v>
      </c>
      <c r="T844" s="7">
        <v>2</v>
      </c>
      <c r="U844" s="15" t="s">
        <v>79</v>
      </c>
      <c r="V844" s="16" t="s">
        <v>2294</v>
      </c>
      <c r="W844" s="17">
        <v>101557935</v>
      </c>
      <c r="X844" s="16" t="s">
        <v>2540</v>
      </c>
      <c r="Y844" s="17" t="s">
        <v>3241</v>
      </c>
      <c r="Z844" s="17" t="s">
        <v>39</v>
      </c>
      <c r="AA844" s="17" t="s">
        <v>37</v>
      </c>
      <c r="AB844" s="43">
        <v>40.46</v>
      </c>
      <c r="AC844" s="25">
        <v>42.7</v>
      </c>
      <c r="AD844" s="25">
        <f>AC844*T844</f>
        <v>85.4</v>
      </c>
      <c r="AE844" s="25">
        <f>AB844*T844</f>
        <v>80.92</v>
      </c>
      <c r="AF844" s="25">
        <f>AD844-AE844</f>
        <v>4.480000000000004</v>
      </c>
      <c r="AG844" s="26">
        <f>AF844/AD844</f>
        <v>5.2459016393442665E-2</v>
      </c>
      <c r="AH844" s="27" t="str">
        <f>IF(AG844&lt;0,"Negative",IF(AG844=0,"Same",IF(AG844&gt;0.3,"30+%",IF(AG844&gt;0.2,"20-30%",IF(AG844&gt;0.1,"10-20%",IF(AG844&lt;=0.1,"0-10%"))))))</f>
        <v>0-10%</v>
      </c>
      <c r="AI844" s="32"/>
      <c r="AJ844" s="36" t="s">
        <v>3299</v>
      </c>
      <c r="AK844" s="32"/>
    </row>
    <row r="845" spans="1:37" s="1" customFormat="1" ht="19.7" customHeight="1" x14ac:dyDescent="0.25">
      <c r="A845" s="5" t="s">
        <v>22</v>
      </c>
      <c r="B845" s="5" t="s">
        <v>1498</v>
      </c>
      <c r="C845" s="6">
        <v>44403</v>
      </c>
      <c r="D845" s="5" t="s">
        <v>24</v>
      </c>
      <c r="E845" s="5" t="s">
        <v>25</v>
      </c>
      <c r="F845" s="5" t="s">
        <v>26</v>
      </c>
      <c r="G845" s="5" t="s">
        <v>27</v>
      </c>
      <c r="H845" s="5" t="s">
        <v>28</v>
      </c>
      <c r="I845" s="5" t="s">
        <v>29</v>
      </c>
      <c r="J845" s="5" t="s">
        <v>30</v>
      </c>
      <c r="K845" s="5" t="s">
        <v>31</v>
      </c>
      <c r="L845" s="5" t="s">
        <v>32</v>
      </c>
      <c r="M845" s="5" t="s">
        <v>1378</v>
      </c>
      <c r="N845" s="5" t="s">
        <v>1429</v>
      </c>
      <c r="O845" s="5" t="s">
        <v>71</v>
      </c>
      <c r="P845" s="5" t="s">
        <v>1379</v>
      </c>
      <c r="Q845" s="5">
        <v>103987443</v>
      </c>
      <c r="R845" s="5" t="s">
        <v>73</v>
      </c>
      <c r="S845" s="5" t="s">
        <v>39</v>
      </c>
      <c r="T845" s="7">
        <v>36</v>
      </c>
      <c r="U845" s="15" t="s">
        <v>71</v>
      </c>
      <c r="V845" s="16" t="s">
        <v>1379</v>
      </c>
      <c r="W845" s="17">
        <v>103987443</v>
      </c>
      <c r="X845" s="16" t="s">
        <v>2510</v>
      </c>
      <c r="Y845" s="17" t="s">
        <v>3019</v>
      </c>
      <c r="Z845" s="17" t="s">
        <v>39</v>
      </c>
      <c r="AA845" s="17" t="s">
        <v>37</v>
      </c>
      <c r="AB845" s="29">
        <v>55.69</v>
      </c>
      <c r="AC845" s="25">
        <v>55.69</v>
      </c>
      <c r="AD845" s="25">
        <f>AC845*T845</f>
        <v>2004.84</v>
      </c>
      <c r="AE845" s="25">
        <f>AB845*T845</f>
        <v>2004.84</v>
      </c>
      <c r="AF845" s="25">
        <f>AD845-AE845</f>
        <v>0</v>
      </c>
      <c r="AG845" s="26">
        <f>AF845/AD845</f>
        <v>0</v>
      </c>
      <c r="AH845" s="27" t="str">
        <f>IF(AG845&lt;0,"Negative",IF(AG845=0,"Same",IF(AG845&gt;0.3,"30+%",IF(AG845&gt;0.2,"20-30%",IF(AG845&gt;0.1,"10-20%",IF(AG845&lt;=0.1,"0-10%"))))))</f>
        <v>Same</v>
      </c>
      <c r="AI845" s="32"/>
      <c r="AJ845" s="36" t="s">
        <v>3300</v>
      </c>
      <c r="AK845" s="32"/>
    </row>
    <row r="846" spans="1:37" s="1" customFormat="1" ht="19.7" customHeight="1" x14ac:dyDescent="0.25">
      <c r="A846" s="5" t="s">
        <v>22</v>
      </c>
      <c r="B846" s="5" t="s">
        <v>1377</v>
      </c>
      <c r="C846" s="6">
        <v>44385</v>
      </c>
      <c r="D846" s="5" t="s">
        <v>24</v>
      </c>
      <c r="E846" s="5" t="s">
        <v>25</v>
      </c>
      <c r="F846" s="5" t="s">
        <v>26</v>
      </c>
      <c r="G846" s="5" t="s">
        <v>27</v>
      </c>
      <c r="H846" s="5" t="s">
        <v>28</v>
      </c>
      <c r="I846" s="5" t="s">
        <v>29</v>
      </c>
      <c r="J846" s="5" t="s">
        <v>30</v>
      </c>
      <c r="K846" s="5" t="s">
        <v>31</v>
      </c>
      <c r="L846" s="5" t="s">
        <v>32</v>
      </c>
      <c r="M846" s="5" t="s">
        <v>1378</v>
      </c>
      <c r="N846" s="5" t="s">
        <v>1070</v>
      </c>
      <c r="O846" s="5" t="s">
        <v>71</v>
      </c>
      <c r="P846" s="5" t="s">
        <v>1379</v>
      </c>
      <c r="Q846" s="5">
        <v>103987443</v>
      </c>
      <c r="R846" s="5" t="s">
        <v>73</v>
      </c>
      <c r="S846" s="5" t="s">
        <v>39</v>
      </c>
      <c r="T846" s="7">
        <v>36</v>
      </c>
      <c r="U846" s="15" t="s">
        <v>71</v>
      </c>
      <c r="V846" s="16" t="s">
        <v>1379</v>
      </c>
      <c r="W846" s="17">
        <v>103987443</v>
      </c>
      <c r="X846" s="16" t="s">
        <v>2510</v>
      </c>
      <c r="Y846" s="17" t="s">
        <v>3019</v>
      </c>
      <c r="Z846" s="17" t="s">
        <v>39</v>
      </c>
      <c r="AA846" s="17" t="s">
        <v>37</v>
      </c>
      <c r="AB846" s="29">
        <v>55.69</v>
      </c>
      <c r="AC846" s="25">
        <v>55.69</v>
      </c>
      <c r="AD846" s="25">
        <f>AC846*T846</f>
        <v>2004.84</v>
      </c>
      <c r="AE846" s="25">
        <f>AB846*T846</f>
        <v>2004.84</v>
      </c>
      <c r="AF846" s="25">
        <f>AD846-AE846</f>
        <v>0</v>
      </c>
      <c r="AG846" s="26">
        <f>AF846/AD846</f>
        <v>0</v>
      </c>
      <c r="AH846" s="27" t="str">
        <f>IF(AG846&lt;0,"Negative",IF(AG846=0,"Same",IF(AG846&gt;0.3,"30+%",IF(AG846&gt;0.2,"20-30%",IF(AG846&gt;0.1,"10-20%",IF(AG846&lt;=0.1,"0-10%"))))))</f>
        <v>Same</v>
      </c>
      <c r="AI846" s="32"/>
      <c r="AJ846" s="36" t="s">
        <v>3300</v>
      </c>
      <c r="AK846" s="32"/>
    </row>
    <row r="847" spans="1:37" s="1" customFormat="1" ht="19.7" customHeight="1" x14ac:dyDescent="0.25">
      <c r="A847" s="9" t="s">
        <v>22</v>
      </c>
      <c r="B847" s="9" t="s">
        <v>1390</v>
      </c>
      <c r="C847" s="10">
        <v>44389</v>
      </c>
      <c r="D847" s="9" t="s">
        <v>24</v>
      </c>
      <c r="E847" s="9" t="s">
        <v>25</v>
      </c>
      <c r="F847" s="9" t="s">
        <v>26</v>
      </c>
      <c r="G847" s="9" t="s">
        <v>67</v>
      </c>
      <c r="H847" s="9" t="s">
        <v>68</v>
      </c>
      <c r="I847" s="9" t="s">
        <v>29</v>
      </c>
      <c r="J847" s="9" t="s">
        <v>30</v>
      </c>
      <c r="K847" s="9" t="s">
        <v>31</v>
      </c>
      <c r="L847" s="9" t="s">
        <v>32</v>
      </c>
      <c r="M847" s="9" t="s">
        <v>81</v>
      </c>
      <c r="N847" s="9" t="s">
        <v>1391</v>
      </c>
      <c r="O847" s="9" t="s">
        <v>82</v>
      </c>
      <c r="P847" s="9" t="s">
        <v>83</v>
      </c>
      <c r="Q847" s="9">
        <v>110867517</v>
      </c>
      <c r="R847" s="9" t="s">
        <v>84</v>
      </c>
      <c r="S847" s="9" t="s">
        <v>39</v>
      </c>
      <c r="T847" s="11">
        <v>8</v>
      </c>
      <c r="U847" s="15" t="s">
        <v>82</v>
      </c>
      <c r="V847" s="16" t="s">
        <v>83</v>
      </c>
      <c r="W847" s="17">
        <v>110867517</v>
      </c>
      <c r="X847" s="16" t="s">
        <v>2516</v>
      </c>
      <c r="Y847" s="17" t="s">
        <v>2517</v>
      </c>
      <c r="Z847" s="17" t="s">
        <v>39</v>
      </c>
      <c r="AA847" s="17" t="s">
        <v>37</v>
      </c>
      <c r="AB847" s="29">
        <v>46.24</v>
      </c>
      <c r="AC847" s="25">
        <v>45.49</v>
      </c>
      <c r="AD847" s="25">
        <f>AC847*T847</f>
        <v>363.92</v>
      </c>
      <c r="AE847" s="25">
        <f>AB847*T847</f>
        <v>369.92</v>
      </c>
      <c r="AF847" s="25">
        <f>AD847-AE847</f>
        <v>-6</v>
      </c>
      <c r="AG847" s="26">
        <f>AF847/AD847</f>
        <v>-1.6487140030775994E-2</v>
      </c>
      <c r="AH847" s="27" t="str">
        <f>IF(AG847&lt;0,"Negative",IF(AG847=0,"Same",IF(AG847&gt;0.3,"30+%",IF(AG847&gt;0.2,"20-30%",IF(AG847&gt;0.1,"10-20%",IF(AG847&lt;=0.1,"0-10%"))))))</f>
        <v>Negative</v>
      </c>
      <c r="AI847" s="32"/>
      <c r="AJ847" s="36" t="s">
        <v>3299</v>
      </c>
      <c r="AK847" s="32"/>
    </row>
    <row r="848" spans="1:37" s="1" customFormat="1" ht="19.7" customHeight="1" x14ac:dyDescent="0.25">
      <c r="A848" s="9" t="s">
        <v>22</v>
      </c>
      <c r="B848" s="9" t="s">
        <v>1755</v>
      </c>
      <c r="C848" s="10">
        <v>44452</v>
      </c>
      <c r="D848" s="9" t="s">
        <v>24</v>
      </c>
      <c r="E848" s="9" t="s">
        <v>25</v>
      </c>
      <c r="F848" s="9" t="s">
        <v>26</v>
      </c>
      <c r="G848" s="9" t="s">
        <v>67</v>
      </c>
      <c r="H848" s="9" t="s">
        <v>68</v>
      </c>
      <c r="I848" s="9" t="s">
        <v>29</v>
      </c>
      <c r="J848" s="9" t="s">
        <v>30</v>
      </c>
      <c r="K848" s="9" t="s">
        <v>31</v>
      </c>
      <c r="L848" s="9" t="s">
        <v>32</v>
      </c>
      <c r="M848" s="9" t="s">
        <v>81</v>
      </c>
      <c r="N848" s="9" t="s">
        <v>1756</v>
      </c>
      <c r="O848" s="9" t="s">
        <v>82</v>
      </c>
      <c r="P848" s="9" t="s">
        <v>83</v>
      </c>
      <c r="Q848" s="9">
        <v>110867517</v>
      </c>
      <c r="R848" s="9" t="s">
        <v>84</v>
      </c>
      <c r="S848" s="9" t="s">
        <v>39</v>
      </c>
      <c r="T848" s="11">
        <v>8</v>
      </c>
      <c r="U848" s="15" t="s">
        <v>82</v>
      </c>
      <c r="V848" s="16" t="s">
        <v>83</v>
      </c>
      <c r="W848" s="17">
        <v>110867517</v>
      </c>
      <c r="X848" s="16" t="s">
        <v>2516</v>
      </c>
      <c r="Y848" s="17" t="s">
        <v>2517</v>
      </c>
      <c r="Z848" s="17" t="s">
        <v>39</v>
      </c>
      <c r="AA848" s="17" t="s">
        <v>37</v>
      </c>
      <c r="AB848" s="29">
        <v>46.24</v>
      </c>
      <c r="AC848" s="25">
        <v>45.49</v>
      </c>
      <c r="AD848" s="25">
        <f>AC848*T848</f>
        <v>363.92</v>
      </c>
      <c r="AE848" s="25">
        <f>AB848*T848</f>
        <v>369.92</v>
      </c>
      <c r="AF848" s="25">
        <f>AD848-AE848</f>
        <v>-6</v>
      </c>
      <c r="AG848" s="26">
        <f>AF848/AD848</f>
        <v>-1.6487140030775994E-2</v>
      </c>
      <c r="AH848" s="27" t="str">
        <f>IF(AG848&lt;0,"Negative",IF(AG848=0,"Same",IF(AG848&gt;0.3,"30+%",IF(AG848&gt;0.2,"20-30%",IF(AG848&gt;0.1,"10-20%",IF(AG848&lt;=0.1,"0-10%"))))))</f>
        <v>Negative</v>
      </c>
      <c r="AI848" s="32"/>
      <c r="AJ848" s="36" t="s">
        <v>3299</v>
      </c>
      <c r="AK848" s="32"/>
    </row>
    <row r="849" spans="1:37" s="1" customFormat="1" ht="19.7" customHeight="1" x14ac:dyDescent="0.25">
      <c r="A849" s="5" t="s">
        <v>22</v>
      </c>
      <c r="B849" s="5" t="s">
        <v>495</v>
      </c>
      <c r="C849" s="6">
        <v>44267</v>
      </c>
      <c r="D849" s="5" t="s">
        <v>24</v>
      </c>
      <c r="E849" s="5" t="s">
        <v>25</v>
      </c>
      <c r="F849" s="5" t="s">
        <v>26</v>
      </c>
      <c r="G849" s="5" t="s">
        <v>67</v>
      </c>
      <c r="H849" s="5" t="s">
        <v>68</v>
      </c>
      <c r="I849" s="5" t="s">
        <v>29</v>
      </c>
      <c r="J849" s="5" t="s">
        <v>30</v>
      </c>
      <c r="K849" s="5" t="s">
        <v>31</v>
      </c>
      <c r="L849" s="5" t="s">
        <v>32</v>
      </c>
      <c r="M849" s="5" t="s">
        <v>81</v>
      </c>
      <c r="N849" s="5" t="s">
        <v>496</v>
      </c>
      <c r="O849" s="5" t="s">
        <v>82</v>
      </c>
      <c r="P849" s="5" t="s">
        <v>83</v>
      </c>
      <c r="Q849" s="5">
        <v>110867517</v>
      </c>
      <c r="R849" s="5" t="s">
        <v>84</v>
      </c>
      <c r="S849" s="5" t="s">
        <v>39</v>
      </c>
      <c r="T849" s="7">
        <v>7</v>
      </c>
      <c r="U849" s="15" t="s">
        <v>82</v>
      </c>
      <c r="V849" s="16" t="s">
        <v>83</v>
      </c>
      <c r="W849" s="17">
        <v>110867517</v>
      </c>
      <c r="X849" s="16" t="s">
        <v>2516</v>
      </c>
      <c r="Y849" s="17" t="s">
        <v>2517</v>
      </c>
      <c r="Z849" s="17" t="s">
        <v>39</v>
      </c>
      <c r="AA849" s="17" t="s">
        <v>37</v>
      </c>
      <c r="AB849" s="29">
        <v>46.24</v>
      </c>
      <c r="AC849" s="25">
        <v>45.49</v>
      </c>
      <c r="AD849" s="25">
        <f>AC849*T849</f>
        <v>318.43</v>
      </c>
      <c r="AE849" s="25">
        <f>AB849*T849</f>
        <v>323.68</v>
      </c>
      <c r="AF849" s="25">
        <f>AD849-AE849</f>
        <v>-5.25</v>
      </c>
      <c r="AG849" s="26">
        <f>AF849/AD849</f>
        <v>-1.6487140030775994E-2</v>
      </c>
      <c r="AH849" s="27" t="str">
        <f>IF(AG849&lt;0,"Negative",IF(AG849=0,"Same",IF(AG849&gt;0.3,"30+%",IF(AG849&gt;0.2,"20-30%",IF(AG849&gt;0.1,"10-20%",IF(AG849&lt;=0.1,"0-10%"))))))</f>
        <v>Negative</v>
      </c>
      <c r="AI849" s="32"/>
      <c r="AJ849" s="36" t="s">
        <v>3299</v>
      </c>
      <c r="AK849" s="32"/>
    </row>
    <row r="850" spans="1:37" s="1" customFormat="1" ht="19.7" customHeight="1" x14ac:dyDescent="0.25">
      <c r="A850" s="5" t="s">
        <v>22</v>
      </c>
      <c r="B850" s="5" t="s">
        <v>1759</v>
      </c>
      <c r="C850" s="6">
        <v>44456</v>
      </c>
      <c r="D850" s="5" t="s">
        <v>24</v>
      </c>
      <c r="E850" s="5" t="s">
        <v>25</v>
      </c>
      <c r="F850" s="5" t="s">
        <v>26</v>
      </c>
      <c r="G850" s="5" t="s">
        <v>67</v>
      </c>
      <c r="H850" s="5" t="s">
        <v>68</v>
      </c>
      <c r="I850" s="5" t="s">
        <v>29</v>
      </c>
      <c r="J850" s="5" t="s">
        <v>30</v>
      </c>
      <c r="K850" s="5" t="s">
        <v>31</v>
      </c>
      <c r="L850" s="5" t="s">
        <v>32</v>
      </c>
      <c r="M850" s="5" t="s">
        <v>81</v>
      </c>
      <c r="N850" s="5" t="s">
        <v>1760</v>
      </c>
      <c r="O850" s="5" t="s">
        <v>82</v>
      </c>
      <c r="P850" s="5" t="s">
        <v>83</v>
      </c>
      <c r="Q850" s="5">
        <v>110867517</v>
      </c>
      <c r="R850" s="5" t="s">
        <v>84</v>
      </c>
      <c r="S850" s="5" t="s">
        <v>39</v>
      </c>
      <c r="T850" s="7">
        <v>6</v>
      </c>
      <c r="U850" s="15" t="s">
        <v>82</v>
      </c>
      <c r="V850" s="16" t="s">
        <v>83</v>
      </c>
      <c r="W850" s="17">
        <v>110867517</v>
      </c>
      <c r="X850" s="16" t="s">
        <v>2516</v>
      </c>
      <c r="Y850" s="17" t="s">
        <v>2517</v>
      </c>
      <c r="Z850" s="17" t="s">
        <v>39</v>
      </c>
      <c r="AA850" s="17" t="s">
        <v>37</v>
      </c>
      <c r="AB850" s="29">
        <v>46.24</v>
      </c>
      <c r="AC850" s="25">
        <v>45.49</v>
      </c>
      <c r="AD850" s="25">
        <f>AC850*T850</f>
        <v>272.94</v>
      </c>
      <c r="AE850" s="25">
        <f>AB850*T850</f>
        <v>277.44</v>
      </c>
      <c r="AF850" s="25">
        <f>AD850-AE850</f>
        <v>-4.5</v>
      </c>
      <c r="AG850" s="26">
        <f>AF850/AD850</f>
        <v>-1.6487140030775994E-2</v>
      </c>
      <c r="AH850" s="27" t="str">
        <f>IF(AG850&lt;0,"Negative",IF(AG850=0,"Same",IF(AG850&gt;0.3,"30+%",IF(AG850&gt;0.2,"20-30%",IF(AG850&gt;0.1,"10-20%",IF(AG850&lt;=0.1,"0-10%"))))))</f>
        <v>Negative</v>
      </c>
      <c r="AI850" s="32"/>
      <c r="AJ850" s="36" t="s">
        <v>3299</v>
      </c>
      <c r="AK850" s="32"/>
    </row>
    <row r="851" spans="1:37" s="1" customFormat="1" ht="19.7" customHeight="1" x14ac:dyDescent="0.25">
      <c r="A851" s="5" t="s">
        <v>22</v>
      </c>
      <c r="B851" s="5" t="s">
        <v>800</v>
      </c>
      <c r="C851" s="6">
        <v>44302</v>
      </c>
      <c r="D851" s="5" t="s">
        <v>24</v>
      </c>
      <c r="E851" s="5" t="s">
        <v>25</v>
      </c>
      <c r="F851" s="5" t="s">
        <v>26</v>
      </c>
      <c r="G851" s="5" t="s">
        <v>67</v>
      </c>
      <c r="H851" s="5" t="s">
        <v>68</v>
      </c>
      <c r="I851" s="5" t="s">
        <v>29</v>
      </c>
      <c r="J851" s="5" t="s">
        <v>30</v>
      </c>
      <c r="K851" s="5" t="s">
        <v>31</v>
      </c>
      <c r="L851" s="5" t="s">
        <v>32</v>
      </c>
      <c r="M851" s="5" t="s">
        <v>81</v>
      </c>
      <c r="N851" s="5" t="s">
        <v>801</v>
      </c>
      <c r="O851" s="5" t="s">
        <v>82</v>
      </c>
      <c r="P851" s="5" t="s">
        <v>83</v>
      </c>
      <c r="Q851" s="5">
        <v>110867517</v>
      </c>
      <c r="R851" s="5" t="s">
        <v>84</v>
      </c>
      <c r="S851" s="5" t="s">
        <v>39</v>
      </c>
      <c r="T851" s="7">
        <v>5</v>
      </c>
      <c r="U851" s="15" t="s">
        <v>82</v>
      </c>
      <c r="V851" s="16" t="s">
        <v>83</v>
      </c>
      <c r="W851" s="17">
        <v>110867517</v>
      </c>
      <c r="X851" s="16" t="s">
        <v>2516</v>
      </c>
      <c r="Y851" s="17" t="s">
        <v>2517</v>
      </c>
      <c r="Z851" s="17" t="s">
        <v>39</v>
      </c>
      <c r="AA851" s="17" t="s">
        <v>37</v>
      </c>
      <c r="AB851" s="29">
        <v>46.24</v>
      </c>
      <c r="AC851" s="25">
        <v>45.49</v>
      </c>
      <c r="AD851" s="25">
        <f>AC851*T851</f>
        <v>227.45000000000002</v>
      </c>
      <c r="AE851" s="25">
        <f>AB851*T851</f>
        <v>231.20000000000002</v>
      </c>
      <c r="AF851" s="25">
        <f>AD851-AE851</f>
        <v>-3.75</v>
      </c>
      <c r="AG851" s="26">
        <f>AF851/AD851</f>
        <v>-1.6487140030775994E-2</v>
      </c>
      <c r="AH851" s="27" t="str">
        <f>IF(AG851&lt;0,"Negative",IF(AG851=0,"Same",IF(AG851&gt;0.3,"30+%",IF(AG851&gt;0.2,"20-30%",IF(AG851&gt;0.1,"10-20%",IF(AG851&lt;=0.1,"0-10%"))))))</f>
        <v>Negative</v>
      </c>
      <c r="AI851" s="32"/>
      <c r="AJ851" s="36" t="s">
        <v>3299</v>
      </c>
      <c r="AK851" s="32"/>
    </row>
    <row r="852" spans="1:37" s="1" customFormat="1" ht="19.7" customHeight="1" x14ac:dyDescent="0.25">
      <c r="A852" s="9" t="s">
        <v>22</v>
      </c>
      <c r="B852" s="9" t="s">
        <v>994</v>
      </c>
      <c r="C852" s="10">
        <v>44323</v>
      </c>
      <c r="D852" s="9" t="s">
        <v>24</v>
      </c>
      <c r="E852" s="9" t="s">
        <v>25</v>
      </c>
      <c r="F852" s="9" t="s">
        <v>26</v>
      </c>
      <c r="G852" s="9" t="s">
        <v>67</v>
      </c>
      <c r="H852" s="9" t="s">
        <v>68</v>
      </c>
      <c r="I852" s="9" t="s">
        <v>29</v>
      </c>
      <c r="J852" s="9" t="s">
        <v>30</v>
      </c>
      <c r="K852" s="9" t="s">
        <v>31</v>
      </c>
      <c r="L852" s="9" t="s">
        <v>32</v>
      </c>
      <c r="M852" s="9" t="s">
        <v>81</v>
      </c>
      <c r="N852" s="9" t="s">
        <v>995</v>
      </c>
      <c r="O852" s="9" t="s">
        <v>82</v>
      </c>
      <c r="P852" s="9" t="s">
        <v>83</v>
      </c>
      <c r="Q852" s="9">
        <v>110867517</v>
      </c>
      <c r="R852" s="9" t="s">
        <v>84</v>
      </c>
      <c r="S852" s="9" t="s">
        <v>39</v>
      </c>
      <c r="T852" s="11">
        <v>5</v>
      </c>
      <c r="U852" s="15" t="s">
        <v>82</v>
      </c>
      <c r="V852" s="16" t="s">
        <v>83</v>
      </c>
      <c r="W852" s="17">
        <v>110867517</v>
      </c>
      <c r="X852" s="16" t="s">
        <v>2516</v>
      </c>
      <c r="Y852" s="17" t="s">
        <v>2517</v>
      </c>
      <c r="Z852" s="17" t="s">
        <v>39</v>
      </c>
      <c r="AA852" s="17" t="s">
        <v>37</v>
      </c>
      <c r="AB852" s="29">
        <v>46.24</v>
      </c>
      <c r="AC852" s="25">
        <v>45.49</v>
      </c>
      <c r="AD852" s="25">
        <f>AC852*T852</f>
        <v>227.45000000000002</v>
      </c>
      <c r="AE852" s="25">
        <f>AB852*T852</f>
        <v>231.20000000000002</v>
      </c>
      <c r="AF852" s="25">
        <f>AD852-AE852</f>
        <v>-3.75</v>
      </c>
      <c r="AG852" s="26">
        <f>AF852/AD852</f>
        <v>-1.6487140030775994E-2</v>
      </c>
      <c r="AH852" s="27" t="str">
        <f>IF(AG852&lt;0,"Negative",IF(AG852=0,"Same",IF(AG852&gt;0.3,"30+%",IF(AG852&gt;0.2,"20-30%",IF(AG852&gt;0.1,"10-20%",IF(AG852&lt;=0.1,"0-10%"))))))</f>
        <v>Negative</v>
      </c>
      <c r="AI852" s="32"/>
      <c r="AJ852" s="36" t="s">
        <v>3299</v>
      </c>
      <c r="AK852" s="32"/>
    </row>
    <row r="853" spans="1:37" s="1" customFormat="1" ht="19.7" customHeight="1" x14ac:dyDescent="0.25">
      <c r="A853" s="5" t="s">
        <v>22</v>
      </c>
      <c r="B853" s="5" t="s">
        <v>1141</v>
      </c>
      <c r="C853" s="6">
        <v>44344</v>
      </c>
      <c r="D853" s="5" t="s">
        <v>24</v>
      </c>
      <c r="E853" s="5" t="s">
        <v>25</v>
      </c>
      <c r="F853" s="5" t="s">
        <v>26</v>
      </c>
      <c r="G853" s="5" t="s">
        <v>67</v>
      </c>
      <c r="H853" s="5" t="s">
        <v>68</v>
      </c>
      <c r="I853" s="5" t="s">
        <v>29</v>
      </c>
      <c r="J853" s="5" t="s">
        <v>30</v>
      </c>
      <c r="K853" s="5" t="s">
        <v>31</v>
      </c>
      <c r="L853" s="5" t="s">
        <v>32</v>
      </c>
      <c r="M853" s="5" t="s">
        <v>81</v>
      </c>
      <c r="N853" s="5" t="s">
        <v>1142</v>
      </c>
      <c r="O853" s="5" t="s">
        <v>82</v>
      </c>
      <c r="P853" s="5" t="s">
        <v>83</v>
      </c>
      <c r="Q853" s="5">
        <v>110867517</v>
      </c>
      <c r="R853" s="5" t="s">
        <v>84</v>
      </c>
      <c r="S853" s="5" t="s">
        <v>39</v>
      </c>
      <c r="T853" s="7">
        <v>5</v>
      </c>
      <c r="U853" s="15" t="s">
        <v>82</v>
      </c>
      <c r="V853" s="16" t="s">
        <v>83</v>
      </c>
      <c r="W853" s="17">
        <v>110867517</v>
      </c>
      <c r="X853" s="16" t="s">
        <v>2516</v>
      </c>
      <c r="Y853" s="17" t="s">
        <v>2517</v>
      </c>
      <c r="Z853" s="17" t="s">
        <v>39</v>
      </c>
      <c r="AA853" s="17" t="s">
        <v>37</v>
      </c>
      <c r="AB853" s="29">
        <v>46.24</v>
      </c>
      <c r="AC853" s="25">
        <v>45.49</v>
      </c>
      <c r="AD853" s="25">
        <f>AC853*T853</f>
        <v>227.45000000000002</v>
      </c>
      <c r="AE853" s="25">
        <f>AB853*T853</f>
        <v>231.20000000000002</v>
      </c>
      <c r="AF853" s="25">
        <f>AD853-AE853</f>
        <v>-3.75</v>
      </c>
      <c r="AG853" s="26">
        <f>AF853/AD853</f>
        <v>-1.6487140030775994E-2</v>
      </c>
      <c r="AH853" s="27" t="str">
        <f>IF(AG853&lt;0,"Negative",IF(AG853=0,"Same",IF(AG853&gt;0.3,"30+%",IF(AG853&gt;0.2,"20-30%",IF(AG853&gt;0.1,"10-20%",IF(AG853&lt;=0.1,"0-10%"))))))</f>
        <v>Negative</v>
      </c>
      <c r="AI853" s="32"/>
      <c r="AJ853" s="36" t="s">
        <v>3299</v>
      </c>
      <c r="AK853" s="32"/>
    </row>
    <row r="854" spans="1:37" s="1" customFormat="1" ht="19.7" customHeight="1" x14ac:dyDescent="0.25">
      <c r="A854" s="9" t="s">
        <v>22</v>
      </c>
      <c r="B854" s="9" t="s">
        <v>1256</v>
      </c>
      <c r="C854" s="10">
        <v>44365</v>
      </c>
      <c r="D854" s="9" t="s">
        <v>24</v>
      </c>
      <c r="E854" s="9" t="s">
        <v>25</v>
      </c>
      <c r="F854" s="9" t="s">
        <v>26</v>
      </c>
      <c r="G854" s="9" t="s">
        <v>67</v>
      </c>
      <c r="H854" s="9" t="s">
        <v>68</v>
      </c>
      <c r="I854" s="9" t="s">
        <v>29</v>
      </c>
      <c r="J854" s="9" t="s">
        <v>30</v>
      </c>
      <c r="K854" s="9" t="s">
        <v>31</v>
      </c>
      <c r="L854" s="9" t="s">
        <v>32</v>
      </c>
      <c r="M854" s="9" t="s">
        <v>81</v>
      </c>
      <c r="N854" s="9" t="s">
        <v>1257</v>
      </c>
      <c r="O854" s="9" t="s">
        <v>82</v>
      </c>
      <c r="P854" s="9" t="s">
        <v>83</v>
      </c>
      <c r="Q854" s="9">
        <v>110867517</v>
      </c>
      <c r="R854" s="9" t="s">
        <v>84</v>
      </c>
      <c r="S854" s="9" t="s">
        <v>39</v>
      </c>
      <c r="T854" s="11">
        <v>5</v>
      </c>
      <c r="U854" s="15" t="s">
        <v>82</v>
      </c>
      <c r="V854" s="16" t="s">
        <v>83</v>
      </c>
      <c r="W854" s="17">
        <v>110867517</v>
      </c>
      <c r="X854" s="16" t="s">
        <v>2516</v>
      </c>
      <c r="Y854" s="17" t="s">
        <v>2517</v>
      </c>
      <c r="Z854" s="17" t="s">
        <v>39</v>
      </c>
      <c r="AA854" s="17" t="s">
        <v>37</v>
      </c>
      <c r="AB854" s="29">
        <v>46.24</v>
      </c>
      <c r="AC854" s="25">
        <v>45.49</v>
      </c>
      <c r="AD854" s="25">
        <f>AC854*T854</f>
        <v>227.45000000000002</v>
      </c>
      <c r="AE854" s="25">
        <f>AB854*T854</f>
        <v>231.20000000000002</v>
      </c>
      <c r="AF854" s="25">
        <f>AD854-AE854</f>
        <v>-3.75</v>
      </c>
      <c r="AG854" s="26">
        <f>AF854/AD854</f>
        <v>-1.6487140030775994E-2</v>
      </c>
      <c r="AH854" s="27" t="str">
        <f>IF(AG854&lt;0,"Negative",IF(AG854=0,"Same",IF(AG854&gt;0.3,"30+%",IF(AG854&gt;0.2,"20-30%",IF(AG854&gt;0.1,"10-20%",IF(AG854&lt;=0.1,"0-10%"))))))</f>
        <v>Negative</v>
      </c>
      <c r="AI854" s="32"/>
      <c r="AJ854" s="36" t="s">
        <v>3299</v>
      </c>
      <c r="AK854" s="32"/>
    </row>
    <row r="855" spans="1:37" s="1" customFormat="1" ht="19.7" customHeight="1" x14ac:dyDescent="0.25">
      <c r="A855" s="5" t="s">
        <v>22</v>
      </c>
      <c r="B855" s="5" t="s">
        <v>1862</v>
      </c>
      <c r="C855" s="6">
        <v>44473</v>
      </c>
      <c r="D855" s="5" t="s">
        <v>24</v>
      </c>
      <c r="E855" s="5" t="s">
        <v>25</v>
      </c>
      <c r="F855" s="5" t="s">
        <v>26</v>
      </c>
      <c r="G855" s="5" t="s">
        <v>67</v>
      </c>
      <c r="H855" s="5" t="s">
        <v>68</v>
      </c>
      <c r="I855" s="5" t="s">
        <v>29</v>
      </c>
      <c r="J855" s="5" t="s">
        <v>30</v>
      </c>
      <c r="K855" s="5" t="s">
        <v>31</v>
      </c>
      <c r="L855" s="5" t="s">
        <v>32</v>
      </c>
      <c r="M855" s="5" t="s">
        <v>81</v>
      </c>
      <c r="N855" s="5" t="s">
        <v>1863</v>
      </c>
      <c r="O855" s="5" t="s">
        <v>82</v>
      </c>
      <c r="P855" s="5" t="s">
        <v>83</v>
      </c>
      <c r="Q855" s="5">
        <v>110867517</v>
      </c>
      <c r="R855" s="5" t="s">
        <v>84</v>
      </c>
      <c r="S855" s="5" t="s">
        <v>39</v>
      </c>
      <c r="T855" s="7">
        <v>5</v>
      </c>
      <c r="U855" s="15" t="s">
        <v>82</v>
      </c>
      <c r="V855" s="16" t="s">
        <v>83</v>
      </c>
      <c r="W855" s="17">
        <v>110867517</v>
      </c>
      <c r="X855" s="16" t="s">
        <v>2516</v>
      </c>
      <c r="Y855" s="17" t="s">
        <v>2517</v>
      </c>
      <c r="Z855" s="17" t="s">
        <v>39</v>
      </c>
      <c r="AA855" s="17" t="s">
        <v>37</v>
      </c>
      <c r="AB855" s="29">
        <v>46.24</v>
      </c>
      <c r="AC855" s="25">
        <v>45.49</v>
      </c>
      <c r="AD855" s="25">
        <f>AC855*T855</f>
        <v>227.45000000000002</v>
      </c>
      <c r="AE855" s="25">
        <f>AB855*T855</f>
        <v>231.20000000000002</v>
      </c>
      <c r="AF855" s="25">
        <f>AD855-AE855</f>
        <v>-3.75</v>
      </c>
      <c r="AG855" s="26">
        <f>AF855/AD855</f>
        <v>-1.6487140030775994E-2</v>
      </c>
      <c r="AH855" s="27" t="str">
        <f>IF(AG855&lt;0,"Negative",IF(AG855=0,"Same",IF(AG855&gt;0.3,"30+%",IF(AG855&gt;0.2,"20-30%",IF(AG855&gt;0.1,"10-20%",IF(AG855&lt;=0.1,"0-10%"))))))</f>
        <v>Negative</v>
      </c>
      <c r="AI855" s="32"/>
      <c r="AJ855" s="36" t="s">
        <v>3299</v>
      </c>
      <c r="AK855" s="32"/>
    </row>
    <row r="856" spans="1:37" s="1" customFormat="1" ht="19.7" customHeight="1" x14ac:dyDescent="0.25">
      <c r="A856" s="9" t="s">
        <v>22</v>
      </c>
      <c r="B856" s="9" t="s">
        <v>66</v>
      </c>
      <c r="C856" s="10">
        <v>44230</v>
      </c>
      <c r="D856" s="9" t="s">
        <v>24</v>
      </c>
      <c r="E856" s="9" t="s">
        <v>25</v>
      </c>
      <c r="F856" s="9" t="s">
        <v>26</v>
      </c>
      <c r="G856" s="9" t="s">
        <v>67</v>
      </c>
      <c r="H856" s="9" t="s">
        <v>68</v>
      </c>
      <c r="I856" s="9" t="s">
        <v>29</v>
      </c>
      <c r="J856" s="9" t="s">
        <v>30</v>
      </c>
      <c r="K856" s="9" t="s">
        <v>31</v>
      </c>
      <c r="L856" s="9" t="s">
        <v>32</v>
      </c>
      <c r="M856" s="9" t="s">
        <v>81</v>
      </c>
      <c r="N856" s="9" t="s">
        <v>70</v>
      </c>
      <c r="O856" s="9" t="s">
        <v>82</v>
      </c>
      <c r="P856" s="9" t="s">
        <v>83</v>
      </c>
      <c r="Q856" s="9">
        <v>110867517</v>
      </c>
      <c r="R856" s="9" t="s">
        <v>84</v>
      </c>
      <c r="S856" s="9" t="s">
        <v>39</v>
      </c>
      <c r="T856" s="11">
        <v>5</v>
      </c>
      <c r="U856" s="15" t="s">
        <v>82</v>
      </c>
      <c r="V856" s="16" t="s">
        <v>83</v>
      </c>
      <c r="W856" s="17">
        <v>110867517</v>
      </c>
      <c r="X856" s="16" t="s">
        <v>2516</v>
      </c>
      <c r="Y856" s="17" t="s">
        <v>2517</v>
      </c>
      <c r="Z856" s="17" t="s">
        <v>39</v>
      </c>
      <c r="AA856" s="17" t="s">
        <v>37</v>
      </c>
      <c r="AB856" s="29">
        <v>46.24</v>
      </c>
      <c r="AC856" s="25">
        <v>45.49</v>
      </c>
      <c r="AD856" s="25">
        <f>AC856*T856</f>
        <v>227.45000000000002</v>
      </c>
      <c r="AE856" s="25">
        <f>AB856*T856</f>
        <v>231.20000000000002</v>
      </c>
      <c r="AF856" s="25">
        <f>AD856-AE856</f>
        <v>-3.75</v>
      </c>
      <c r="AG856" s="26">
        <f>AF856/AD856</f>
        <v>-1.6487140030775994E-2</v>
      </c>
      <c r="AH856" s="27" t="str">
        <f>IF(AG856&lt;0,"Negative",IF(AG856=0,"Same",IF(AG856&gt;0.3,"30+%",IF(AG856&gt;0.2,"20-30%",IF(AG856&gt;0.1,"10-20%",IF(AG856&lt;=0.1,"0-10%"))))))</f>
        <v>Negative</v>
      </c>
      <c r="AI856" s="32"/>
      <c r="AJ856" s="36" t="s">
        <v>3299</v>
      </c>
      <c r="AK856" s="32"/>
    </row>
    <row r="857" spans="1:37" s="1" customFormat="1" ht="19.7" customHeight="1" x14ac:dyDescent="0.25">
      <c r="A857" s="9" t="s">
        <v>22</v>
      </c>
      <c r="B857" s="9" t="s">
        <v>292</v>
      </c>
      <c r="C857" s="10">
        <v>44246</v>
      </c>
      <c r="D857" s="9" t="s">
        <v>24</v>
      </c>
      <c r="E857" s="9" t="s">
        <v>25</v>
      </c>
      <c r="F857" s="9" t="s">
        <v>26</v>
      </c>
      <c r="G857" s="9" t="s">
        <v>67</v>
      </c>
      <c r="H857" s="9" t="s">
        <v>68</v>
      </c>
      <c r="I857" s="9" t="s">
        <v>29</v>
      </c>
      <c r="J857" s="9" t="s">
        <v>30</v>
      </c>
      <c r="K857" s="9" t="s">
        <v>31</v>
      </c>
      <c r="L857" s="9" t="s">
        <v>32</v>
      </c>
      <c r="M857" s="9" t="s">
        <v>81</v>
      </c>
      <c r="N857" s="9" t="s">
        <v>212</v>
      </c>
      <c r="O857" s="9" t="s">
        <v>82</v>
      </c>
      <c r="P857" s="9" t="s">
        <v>83</v>
      </c>
      <c r="Q857" s="9">
        <v>110867517</v>
      </c>
      <c r="R857" s="9" t="s">
        <v>84</v>
      </c>
      <c r="S857" s="9" t="s">
        <v>39</v>
      </c>
      <c r="T857" s="11">
        <v>5</v>
      </c>
      <c r="U857" s="15" t="s">
        <v>82</v>
      </c>
      <c r="V857" s="16" t="s">
        <v>83</v>
      </c>
      <c r="W857" s="17">
        <v>110867517</v>
      </c>
      <c r="X857" s="16" t="s">
        <v>2516</v>
      </c>
      <c r="Y857" s="17" t="s">
        <v>2517</v>
      </c>
      <c r="Z857" s="17" t="s">
        <v>39</v>
      </c>
      <c r="AA857" s="17" t="s">
        <v>37</v>
      </c>
      <c r="AB857" s="29">
        <v>46.24</v>
      </c>
      <c r="AC857" s="25">
        <v>45.49</v>
      </c>
      <c r="AD857" s="25">
        <f>AC857*T857</f>
        <v>227.45000000000002</v>
      </c>
      <c r="AE857" s="25">
        <f>AB857*T857</f>
        <v>231.20000000000002</v>
      </c>
      <c r="AF857" s="25">
        <f>AD857-AE857</f>
        <v>-3.75</v>
      </c>
      <c r="AG857" s="26">
        <f>AF857/AD857</f>
        <v>-1.6487140030775994E-2</v>
      </c>
      <c r="AH857" s="27" t="str">
        <f>IF(AG857&lt;0,"Negative",IF(AG857=0,"Same",IF(AG857&gt;0.3,"30+%",IF(AG857&gt;0.2,"20-30%",IF(AG857&gt;0.1,"10-20%",IF(AG857&lt;=0.1,"0-10%"))))))</f>
        <v>Negative</v>
      </c>
      <c r="AI857" s="32"/>
      <c r="AJ857" s="36" t="s">
        <v>3299</v>
      </c>
      <c r="AK857" s="32"/>
    </row>
    <row r="858" spans="1:37" s="1" customFormat="1" ht="19.7" customHeight="1" x14ac:dyDescent="0.25">
      <c r="A858" s="9" t="s">
        <v>22</v>
      </c>
      <c r="B858" s="9" t="s">
        <v>2441</v>
      </c>
      <c r="C858" s="10">
        <v>44587</v>
      </c>
      <c r="D858" s="9" t="s">
        <v>24</v>
      </c>
      <c r="E858" s="9" t="s">
        <v>25</v>
      </c>
      <c r="F858" s="9" t="s">
        <v>26</v>
      </c>
      <c r="G858" s="9" t="s">
        <v>27</v>
      </c>
      <c r="H858" s="9" t="s">
        <v>28</v>
      </c>
      <c r="I858" s="9" t="s">
        <v>29</v>
      </c>
      <c r="J858" s="9" t="s">
        <v>30</v>
      </c>
      <c r="K858" s="9" t="s">
        <v>31</v>
      </c>
      <c r="L858" s="9" t="s">
        <v>32</v>
      </c>
      <c r="M858" s="9" t="s">
        <v>1123</v>
      </c>
      <c r="N858" s="9" t="s">
        <v>2366</v>
      </c>
      <c r="O858" s="9" t="s">
        <v>154</v>
      </c>
      <c r="P858" s="9" t="s">
        <v>2220</v>
      </c>
      <c r="Q858" s="9">
        <v>101185084</v>
      </c>
      <c r="R858" s="9" t="s">
        <v>61</v>
      </c>
      <c r="S858" s="9" t="s">
        <v>39</v>
      </c>
      <c r="T858" s="11">
        <v>1</v>
      </c>
      <c r="U858" s="15" t="s">
        <v>154</v>
      </c>
      <c r="V858" s="16" t="s">
        <v>2220</v>
      </c>
      <c r="W858" s="17">
        <v>101185084</v>
      </c>
      <c r="X858" s="16" t="s">
        <v>3218</v>
      </c>
      <c r="Y858" s="17" t="s">
        <v>3230</v>
      </c>
      <c r="Z858" s="17" t="s">
        <v>39</v>
      </c>
      <c r="AA858" s="17" t="s">
        <v>37</v>
      </c>
      <c r="AB858" s="43">
        <v>291.44</v>
      </c>
      <c r="AC858" s="25">
        <v>310.92</v>
      </c>
      <c r="AD858" s="25">
        <f>AC858*T858</f>
        <v>310.92</v>
      </c>
      <c r="AE858" s="25">
        <f>AB858*T858</f>
        <v>291.44</v>
      </c>
      <c r="AF858" s="25">
        <f>AD858-AE858</f>
        <v>19.480000000000018</v>
      </c>
      <c r="AG858" s="26">
        <f>AF858/AD858</f>
        <v>6.2652772417342142E-2</v>
      </c>
      <c r="AH858" s="27" t="str">
        <f>IF(AG858&lt;0,"Negative",IF(AG858=0,"Same",IF(AG858&gt;0.3,"30+%",IF(AG858&gt;0.2,"20-30%",IF(AG858&gt;0.1,"10-20%",IF(AG858&lt;=0.1,"0-10%"))))))</f>
        <v>0-10%</v>
      </c>
      <c r="AI858" s="32"/>
      <c r="AJ858" s="36" t="s">
        <v>3300</v>
      </c>
      <c r="AK858" s="32"/>
    </row>
    <row r="859" spans="1:37" s="1" customFormat="1" ht="19.7" customHeight="1" x14ac:dyDescent="0.25">
      <c r="A859" s="5" t="s">
        <v>22</v>
      </c>
      <c r="B859" s="5" t="s">
        <v>2218</v>
      </c>
      <c r="C859" s="6">
        <v>44544</v>
      </c>
      <c r="D859" s="5" t="s">
        <v>24</v>
      </c>
      <c r="E859" s="5" t="s">
        <v>25</v>
      </c>
      <c r="F859" s="5" t="s">
        <v>26</v>
      </c>
      <c r="G859" s="5" t="s">
        <v>27</v>
      </c>
      <c r="H859" s="5" t="s">
        <v>28</v>
      </c>
      <c r="I859" s="5" t="s">
        <v>29</v>
      </c>
      <c r="J859" s="5" t="s">
        <v>30</v>
      </c>
      <c r="K859" s="5" t="s">
        <v>31</v>
      </c>
      <c r="L859" s="5" t="s">
        <v>32</v>
      </c>
      <c r="M859" s="5" t="s">
        <v>1123</v>
      </c>
      <c r="N859" s="5" t="s">
        <v>2219</v>
      </c>
      <c r="O859" s="5" t="s">
        <v>154</v>
      </c>
      <c r="P859" s="5" t="s">
        <v>2220</v>
      </c>
      <c r="Q859" s="5">
        <v>101185084</v>
      </c>
      <c r="R859" s="5" t="s">
        <v>61</v>
      </c>
      <c r="S859" s="5" t="s">
        <v>39</v>
      </c>
      <c r="T859" s="7">
        <v>3</v>
      </c>
      <c r="U859" s="15" t="s">
        <v>154</v>
      </c>
      <c r="V859" s="16" t="s">
        <v>2220</v>
      </c>
      <c r="W859" s="17">
        <v>101185084</v>
      </c>
      <c r="X859" s="16" t="s">
        <v>3218</v>
      </c>
      <c r="Y859" s="17" t="s">
        <v>3230</v>
      </c>
      <c r="Z859" s="17" t="s">
        <v>39</v>
      </c>
      <c r="AA859" s="17" t="s">
        <v>37</v>
      </c>
      <c r="AB859" s="43">
        <v>291.44</v>
      </c>
      <c r="AC859" s="25">
        <v>310.92</v>
      </c>
      <c r="AD859" s="25">
        <f>AC859*T859</f>
        <v>932.76</v>
      </c>
      <c r="AE859" s="25">
        <f>AB859*T859</f>
        <v>874.31999999999994</v>
      </c>
      <c r="AF859" s="25">
        <f>AD859-AE859</f>
        <v>58.440000000000055</v>
      </c>
      <c r="AG859" s="26">
        <f>AF859/AD859</f>
        <v>6.2652772417342142E-2</v>
      </c>
      <c r="AH859" s="27" t="str">
        <f>IF(AG859&lt;0,"Negative",IF(AG859=0,"Same",IF(AG859&gt;0.3,"30+%",IF(AG859&gt;0.2,"20-30%",IF(AG859&gt;0.1,"10-20%",IF(AG859&lt;=0.1,"0-10%"))))))</f>
        <v>0-10%</v>
      </c>
      <c r="AI859" s="32"/>
      <c r="AJ859" s="36" t="s">
        <v>3300</v>
      </c>
      <c r="AK859" s="32"/>
    </row>
    <row r="860" spans="1:37" s="1" customFormat="1" ht="19.7" customHeight="1" x14ac:dyDescent="0.25">
      <c r="A860" s="5" t="s">
        <v>22</v>
      </c>
      <c r="B860" s="5" t="s">
        <v>2252</v>
      </c>
      <c r="C860" s="6">
        <v>44552</v>
      </c>
      <c r="D860" s="5" t="s">
        <v>24</v>
      </c>
      <c r="E860" s="5" t="s">
        <v>25</v>
      </c>
      <c r="F860" s="5" t="s">
        <v>26</v>
      </c>
      <c r="G860" s="5" t="s">
        <v>27</v>
      </c>
      <c r="H860" s="5" t="s">
        <v>28</v>
      </c>
      <c r="I860" s="5" t="s">
        <v>29</v>
      </c>
      <c r="J860" s="5" t="s">
        <v>30</v>
      </c>
      <c r="K860" s="5" t="s">
        <v>31</v>
      </c>
      <c r="L860" s="5" t="s">
        <v>32</v>
      </c>
      <c r="M860" s="5" t="s">
        <v>2260</v>
      </c>
      <c r="N860" s="5" t="s">
        <v>2254</v>
      </c>
      <c r="O860" s="5" t="s">
        <v>741</v>
      </c>
      <c r="P860" s="5" t="s">
        <v>2261</v>
      </c>
      <c r="Q860" s="5">
        <v>100166832</v>
      </c>
      <c r="R860" s="5" t="s">
        <v>116</v>
      </c>
      <c r="S860" s="5" t="s">
        <v>39</v>
      </c>
      <c r="T860" s="7">
        <v>1</v>
      </c>
      <c r="U860" s="15" t="s">
        <v>741</v>
      </c>
      <c r="V860" s="16" t="s">
        <v>2261</v>
      </c>
      <c r="W860" s="17">
        <v>100166832</v>
      </c>
      <c r="X860" s="16" t="s">
        <v>3238</v>
      </c>
      <c r="Y860" s="17" t="s">
        <v>3239</v>
      </c>
      <c r="Z860" s="17" t="s">
        <v>39</v>
      </c>
      <c r="AA860" s="17" t="s">
        <v>37</v>
      </c>
      <c r="AB860" s="29">
        <v>139.99</v>
      </c>
      <c r="AC860" s="25">
        <v>146.63999999999999</v>
      </c>
      <c r="AD860" s="25">
        <f>AC860*T860</f>
        <v>146.63999999999999</v>
      </c>
      <c r="AE860" s="25">
        <f>AB860*T860</f>
        <v>139.99</v>
      </c>
      <c r="AF860" s="25">
        <f>AD860-AE860</f>
        <v>6.6499999999999773</v>
      </c>
      <c r="AG860" s="26">
        <f>AF860/AD860</f>
        <v>4.5349154391707433E-2</v>
      </c>
      <c r="AH860" s="27" t="str">
        <f>IF(AG860&lt;0,"Negative",IF(AG860=0,"Same",IF(AG860&gt;0.3,"30+%",IF(AG860&gt;0.2,"20-30%",IF(AG860&gt;0.1,"10-20%",IF(AG860&lt;=0.1,"0-10%"))))))</f>
        <v>0-10%</v>
      </c>
      <c r="AI860" s="32"/>
      <c r="AJ860" s="36" t="s">
        <v>3300</v>
      </c>
      <c r="AK860" s="32"/>
    </row>
    <row r="861" spans="1:37" s="1" customFormat="1" ht="19.7" customHeight="1" x14ac:dyDescent="0.25">
      <c r="A861" s="5" t="s">
        <v>22</v>
      </c>
      <c r="B861" s="5" t="s">
        <v>2306</v>
      </c>
      <c r="C861" s="6">
        <v>44566</v>
      </c>
      <c r="D861" s="5" t="s">
        <v>24</v>
      </c>
      <c r="E861" s="5" t="s">
        <v>25</v>
      </c>
      <c r="F861" s="5" t="s">
        <v>26</v>
      </c>
      <c r="G861" s="5" t="s">
        <v>27</v>
      </c>
      <c r="H861" s="5" t="s">
        <v>28</v>
      </c>
      <c r="I861" s="5" t="s">
        <v>29</v>
      </c>
      <c r="J861" s="5" t="s">
        <v>30</v>
      </c>
      <c r="K861" s="5" t="s">
        <v>31</v>
      </c>
      <c r="L861" s="5" t="s">
        <v>32</v>
      </c>
      <c r="M861" s="5" t="s">
        <v>2307</v>
      </c>
      <c r="N861" s="5" t="s">
        <v>2308</v>
      </c>
      <c r="O861" s="5" t="s">
        <v>79</v>
      </c>
      <c r="P861" s="5" t="s">
        <v>2309</v>
      </c>
      <c r="Q861" s="5">
        <v>100762498</v>
      </c>
      <c r="R861" s="5" t="s">
        <v>61</v>
      </c>
      <c r="S861" s="5" t="s">
        <v>39</v>
      </c>
      <c r="T861" s="7">
        <v>2</v>
      </c>
      <c r="U861" s="15" t="s">
        <v>79</v>
      </c>
      <c r="V861" s="16" t="s">
        <v>2309</v>
      </c>
      <c r="W861" s="17">
        <v>100762498</v>
      </c>
      <c r="X861" s="16" t="s">
        <v>2608</v>
      </c>
      <c r="Y861" s="17" t="s">
        <v>3244</v>
      </c>
      <c r="Z861" s="17" t="s">
        <v>39</v>
      </c>
      <c r="AA861" s="17" t="s">
        <v>37</v>
      </c>
      <c r="AB861" s="43">
        <v>115.28</v>
      </c>
      <c r="AC861" s="25">
        <v>121.61</v>
      </c>
      <c r="AD861" s="25">
        <f>AC861*T861</f>
        <v>243.22</v>
      </c>
      <c r="AE861" s="25">
        <f>AB861*T861</f>
        <v>230.56</v>
      </c>
      <c r="AF861" s="25">
        <f>AD861-AE861</f>
        <v>12.659999999999997</v>
      </c>
      <c r="AG861" s="26">
        <f>AF861/AD861</f>
        <v>5.2051640490091262E-2</v>
      </c>
      <c r="AH861" s="27" t="str">
        <f>IF(AG861&lt;0,"Negative",IF(AG861=0,"Same",IF(AG861&gt;0.3,"30+%",IF(AG861&gt;0.2,"20-30%",IF(AG861&gt;0.1,"10-20%",IF(AG861&lt;=0.1,"0-10%"))))))</f>
        <v>0-10%</v>
      </c>
      <c r="AI861" s="32"/>
      <c r="AJ861" s="36" t="s">
        <v>3300</v>
      </c>
      <c r="AK861" s="32"/>
    </row>
    <row r="862" spans="1:37" s="1" customFormat="1" ht="19.7" customHeight="1" x14ac:dyDescent="0.25">
      <c r="A862" s="9" t="s">
        <v>22</v>
      </c>
      <c r="B862" s="9" t="s">
        <v>2337</v>
      </c>
      <c r="C862" s="10">
        <v>44568</v>
      </c>
      <c r="D862" s="9" t="s">
        <v>24</v>
      </c>
      <c r="E862" s="9" t="s">
        <v>25</v>
      </c>
      <c r="F862" s="9" t="s">
        <v>26</v>
      </c>
      <c r="G862" s="9" t="s">
        <v>67</v>
      </c>
      <c r="H862" s="9" t="s">
        <v>68</v>
      </c>
      <c r="I862" s="9" t="s">
        <v>29</v>
      </c>
      <c r="J862" s="9" t="s">
        <v>30</v>
      </c>
      <c r="K862" s="9" t="s">
        <v>31</v>
      </c>
      <c r="L862" s="9" t="s">
        <v>32</v>
      </c>
      <c r="M862" s="9" t="s">
        <v>78</v>
      </c>
      <c r="N862" s="9" t="s">
        <v>2338</v>
      </c>
      <c r="O862" s="9" t="s">
        <v>79</v>
      </c>
      <c r="P862" s="9" t="s">
        <v>80</v>
      </c>
      <c r="Q862" s="9">
        <v>101169608</v>
      </c>
      <c r="R862" s="9" t="s">
        <v>61</v>
      </c>
      <c r="S862" s="9" t="s">
        <v>39</v>
      </c>
      <c r="T862" s="11">
        <v>5</v>
      </c>
      <c r="U862" s="15" t="s">
        <v>79</v>
      </c>
      <c r="V862" s="16" t="s">
        <v>80</v>
      </c>
      <c r="W862" s="17">
        <v>101169608</v>
      </c>
      <c r="X862" s="16" t="s">
        <v>2514</v>
      </c>
      <c r="Y862" s="17" t="s">
        <v>2515</v>
      </c>
      <c r="Z862" s="17" t="s">
        <v>39</v>
      </c>
      <c r="AA862" s="17" t="s">
        <v>37</v>
      </c>
      <c r="AB862" s="43">
        <v>61.84</v>
      </c>
      <c r="AC862" s="25">
        <v>62.43</v>
      </c>
      <c r="AD862" s="25">
        <f>AC862*T862</f>
        <v>312.14999999999998</v>
      </c>
      <c r="AE862" s="25">
        <f>AB862*T862</f>
        <v>309.20000000000005</v>
      </c>
      <c r="AF862" s="25">
        <f>AD862-AE862</f>
        <v>2.9499999999999318</v>
      </c>
      <c r="AG862" s="26">
        <f>AF862/AD862</f>
        <v>9.4505846548131739E-3</v>
      </c>
      <c r="AH862" s="27" t="str">
        <f>IF(AG862&lt;0,"Negative",IF(AG862=0,"Same",IF(AG862&gt;0.3,"30+%",IF(AG862&gt;0.2,"20-30%",IF(AG862&gt;0.1,"10-20%",IF(AG862&lt;=0.1,"0-10%"))))))</f>
        <v>0-10%</v>
      </c>
      <c r="AI862" s="32"/>
      <c r="AJ862" s="36" t="s">
        <v>3300</v>
      </c>
      <c r="AK862" s="32"/>
    </row>
    <row r="863" spans="1:37" s="1" customFormat="1" ht="19.7" customHeight="1" x14ac:dyDescent="0.25">
      <c r="A863" s="9" t="s">
        <v>22</v>
      </c>
      <c r="B863" s="9" t="s">
        <v>2207</v>
      </c>
      <c r="C863" s="10">
        <v>44540</v>
      </c>
      <c r="D863" s="9" t="s">
        <v>24</v>
      </c>
      <c r="E863" s="9" t="s">
        <v>25</v>
      </c>
      <c r="F863" s="9" t="s">
        <v>26</v>
      </c>
      <c r="G863" s="9" t="s">
        <v>67</v>
      </c>
      <c r="H863" s="9" t="s">
        <v>68</v>
      </c>
      <c r="I863" s="9" t="s">
        <v>29</v>
      </c>
      <c r="J863" s="9" t="s">
        <v>30</v>
      </c>
      <c r="K863" s="9" t="s">
        <v>31</v>
      </c>
      <c r="L863" s="9" t="s">
        <v>32</v>
      </c>
      <c r="M863" s="9" t="s">
        <v>78</v>
      </c>
      <c r="N863" s="9" t="s">
        <v>2208</v>
      </c>
      <c r="O863" s="9" t="s">
        <v>79</v>
      </c>
      <c r="P863" s="9" t="s">
        <v>80</v>
      </c>
      <c r="Q863" s="9">
        <v>101169608</v>
      </c>
      <c r="R863" s="9" t="s">
        <v>61</v>
      </c>
      <c r="S863" s="9" t="s">
        <v>39</v>
      </c>
      <c r="T863" s="11">
        <v>6</v>
      </c>
      <c r="U863" s="15" t="s">
        <v>79</v>
      </c>
      <c r="V863" s="16" t="s">
        <v>80</v>
      </c>
      <c r="W863" s="17">
        <v>101169608</v>
      </c>
      <c r="X863" s="16" t="s">
        <v>2514</v>
      </c>
      <c r="Y863" s="17" t="s">
        <v>2515</v>
      </c>
      <c r="Z863" s="17" t="s">
        <v>39</v>
      </c>
      <c r="AA863" s="17" t="s">
        <v>37</v>
      </c>
      <c r="AB863" s="43">
        <v>61.84</v>
      </c>
      <c r="AC863" s="25">
        <v>62.43</v>
      </c>
      <c r="AD863" s="25">
        <f>AC863*T863</f>
        <v>374.58</v>
      </c>
      <c r="AE863" s="25">
        <f>AB863*T863</f>
        <v>371.04</v>
      </c>
      <c r="AF863" s="25">
        <f>AD863-AE863</f>
        <v>3.5399999999999636</v>
      </c>
      <c r="AG863" s="26">
        <f>AF863/AD863</f>
        <v>9.4505846548132936E-3</v>
      </c>
      <c r="AH863" s="27" t="str">
        <f>IF(AG863&lt;0,"Negative",IF(AG863=0,"Same",IF(AG863&gt;0.3,"30+%",IF(AG863&gt;0.2,"20-30%",IF(AG863&gt;0.1,"10-20%",IF(AG863&lt;=0.1,"0-10%"))))))</f>
        <v>0-10%</v>
      </c>
      <c r="AI863" s="32"/>
      <c r="AJ863" s="36" t="s">
        <v>3300</v>
      </c>
      <c r="AK863" s="32"/>
    </row>
    <row r="864" spans="1:37" s="1" customFormat="1" ht="19.7" customHeight="1" x14ac:dyDescent="0.25">
      <c r="A864" s="5" t="s">
        <v>22</v>
      </c>
      <c r="B864" s="5" t="s">
        <v>2132</v>
      </c>
      <c r="C864" s="6">
        <v>44522</v>
      </c>
      <c r="D864" s="5" t="s">
        <v>24</v>
      </c>
      <c r="E864" s="5" t="s">
        <v>25</v>
      </c>
      <c r="F864" s="5" t="s">
        <v>26</v>
      </c>
      <c r="G864" s="5" t="s">
        <v>67</v>
      </c>
      <c r="H864" s="5" t="s">
        <v>68</v>
      </c>
      <c r="I864" s="5" t="s">
        <v>29</v>
      </c>
      <c r="J864" s="5" t="s">
        <v>30</v>
      </c>
      <c r="K864" s="5" t="s">
        <v>31</v>
      </c>
      <c r="L864" s="5" t="s">
        <v>32</v>
      </c>
      <c r="M864" s="5" t="s">
        <v>78</v>
      </c>
      <c r="N864" s="5" t="s">
        <v>2133</v>
      </c>
      <c r="O864" s="5" t="s">
        <v>79</v>
      </c>
      <c r="P864" s="5" t="s">
        <v>80</v>
      </c>
      <c r="Q864" s="5">
        <v>101169608</v>
      </c>
      <c r="R864" s="5" t="s">
        <v>61</v>
      </c>
      <c r="S864" s="5" t="s">
        <v>39</v>
      </c>
      <c r="T864" s="7">
        <v>9</v>
      </c>
      <c r="U864" s="15" t="s">
        <v>79</v>
      </c>
      <c r="V864" s="16" t="s">
        <v>80</v>
      </c>
      <c r="W864" s="17">
        <v>101169608</v>
      </c>
      <c r="X864" s="16" t="s">
        <v>2514</v>
      </c>
      <c r="Y864" s="17" t="s">
        <v>2515</v>
      </c>
      <c r="Z864" s="17" t="s">
        <v>39</v>
      </c>
      <c r="AA864" s="17" t="s">
        <v>37</v>
      </c>
      <c r="AB864" s="43">
        <v>61.84</v>
      </c>
      <c r="AC864" s="25">
        <v>62.43</v>
      </c>
      <c r="AD864" s="25">
        <f>AC864*T864</f>
        <v>561.87</v>
      </c>
      <c r="AE864" s="25">
        <f>AB864*T864</f>
        <v>556.56000000000006</v>
      </c>
      <c r="AF864" s="25">
        <f>AD864-AE864</f>
        <v>5.3099999999999454</v>
      </c>
      <c r="AG864" s="26">
        <f>AF864/AD864</f>
        <v>9.4505846548132936E-3</v>
      </c>
      <c r="AH864" s="27" t="str">
        <f>IF(AG864&lt;0,"Negative",IF(AG864=0,"Same",IF(AG864&gt;0.3,"30+%",IF(AG864&gt;0.2,"20-30%",IF(AG864&gt;0.1,"10-20%",IF(AG864&lt;=0.1,"0-10%"))))))</f>
        <v>0-10%</v>
      </c>
      <c r="AI864" s="32"/>
      <c r="AJ864" s="36" t="s">
        <v>3300</v>
      </c>
      <c r="AK864" s="32"/>
    </row>
    <row r="865" spans="1:37" s="1" customFormat="1" ht="19.7" customHeight="1" x14ac:dyDescent="0.25">
      <c r="A865" s="9" t="s">
        <v>22</v>
      </c>
      <c r="B865" s="9" t="s">
        <v>1766</v>
      </c>
      <c r="C865" s="10">
        <v>44460</v>
      </c>
      <c r="D865" s="9" t="s">
        <v>24</v>
      </c>
      <c r="E865" s="9" t="s">
        <v>25</v>
      </c>
      <c r="F865" s="9" t="s">
        <v>26</v>
      </c>
      <c r="G865" s="9" t="s">
        <v>27</v>
      </c>
      <c r="H865" s="9" t="s">
        <v>28</v>
      </c>
      <c r="I865" s="9" t="s">
        <v>29</v>
      </c>
      <c r="J865" s="9" t="s">
        <v>30</v>
      </c>
      <c r="K865" s="9" t="s">
        <v>31</v>
      </c>
      <c r="L865" s="9" t="s">
        <v>32</v>
      </c>
      <c r="M865" s="9" t="s">
        <v>261</v>
      </c>
      <c r="N865" s="9" t="s">
        <v>1767</v>
      </c>
      <c r="O865" s="9" t="s">
        <v>169</v>
      </c>
      <c r="P865" s="9" t="s">
        <v>1768</v>
      </c>
      <c r="Q865" s="9">
        <v>100777206</v>
      </c>
      <c r="R865" s="9" t="s">
        <v>56</v>
      </c>
      <c r="S865" s="9" t="s">
        <v>39</v>
      </c>
      <c r="T865" s="11">
        <v>1</v>
      </c>
      <c r="U865" s="15" t="s">
        <v>169</v>
      </c>
      <c r="V865" s="16" t="s">
        <v>1768</v>
      </c>
      <c r="W865" s="17">
        <v>100777206</v>
      </c>
      <c r="X865" s="16" t="s">
        <v>2721</v>
      </c>
      <c r="Y865" s="17" t="s">
        <v>3123</v>
      </c>
      <c r="Z865" s="17" t="s">
        <v>39</v>
      </c>
      <c r="AA865" s="17" t="s">
        <v>37</v>
      </c>
      <c r="AB865" s="29">
        <v>96.54</v>
      </c>
      <c r="AC865" s="25">
        <v>107.69</v>
      </c>
      <c r="AD865" s="25">
        <f>AC865*T865</f>
        <v>107.69</v>
      </c>
      <c r="AE865" s="25">
        <f>AB865*T865</f>
        <v>96.54</v>
      </c>
      <c r="AF865" s="25">
        <f>AD865-AE865</f>
        <v>11.149999999999991</v>
      </c>
      <c r="AG865" s="26">
        <f>AF865/AD865</f>
        <v>0.10353793295570611</v>
      </c>
      <c r="AH865" s="27" t="str">
        <f>IF(AG865&lt;0,"Negative",IF(AG865=0,"Same",IF(AG865&gt;0.3,"30+%",IF(AG865&gt;0.2,"20-30%",IF(AG865&gt;0.1,"10-20%",IF(AG865&lt;=0.1,"0-10%"))))))</f>
        <v>10-20%</v>
      </c>
      <c r="AI865" s="32"/>
      <c r="AJ865" s="36" t="s">
        <v>3299</v>
      </c>
      <c r="AK865" s="32"/>
    </row>
    <row r="866" spans="1:37" s="1" customFormat="1" ht="19.7" customHeight="1" x14ac:dyDescent="0.25">
      <c r="A866" s="9" t="s">
        <v>22</v>
      </c>
      <c r="B866" s="9" t="s">
        <v>220</v>
      </c>
      <c r="C866" s="10">
        <v>44242</v>
      </c>
      <c r="D866" s="9" t="s">
        <v>24</v>
      </c>
      <c r="E866" s="9" t="s">
        <v>25</v>
      </c>
      <c r="F866" s="9" t="s">
        <v>26</v>
      </c>
      <c r="G866" s="9" t="s">
        <v>27</v>
      </c>
      <c r="H866" s="9" t="s">
        <v>28</v>
      </c>
      <c r="I866" s="9" t="s">
        <v>29</v>
      </c>
      <c r="J866" s="9" t="s">
        <v>30</v>
      </c>
      <c r="K866" s="9" t="s">
        <v>31</v>
      </c>
      <c r="L866" s="9" t="s">
        <v>32</v>
      </c>
      <c r="M866" s="9" t="s">
        <v>221</v>
      </c>
      <c r="N866" s="9" t="s">
        <v>222</v>
      </c>
      <c r="O866" s="9" t="s">
        <v>223</v>
      </c>
      <c r="P866" s="9" t="s">
        <v>224</v>
      </c>
      <c r="Q866" s="9">
        <v>102170899</v>
      </c>
      <c r="R866" s="9" t="s">
        <v>56</v>
      </c>
      <c r="S866" s="9" t="s">
        <v>39</v>
      </c>
      <c r="T866" s="11">
        <v>1</v>
      </c>
      <c r="U866" s="15" t="s">
        <v>223</v>
      </c>
      <c r="V866" s="16" t="s">
        <v>224</v>
      </c>
      <c r="W866" s="17">
        <v>102170899</v>
      </c>
      <c r="X866" s="16" t="s">
        <v>2581</v>
      </c>
      <c r="Y866" s="17" t="s">
        <v>2582</v>
      </c>
      <c r="Z866" s="17" t="s">
        <v>39</v>
      </c>
      <c r="AA866" s="17" t="s">
        <v>37</v>
      </c>
      <c r="AB866" s="43">
        <v>64.45</v>
      </c>
      <c r="AC866" s="25">
        <v>71.739999999999995</v>
      </c>
      <c r="AD866" s="25">
        <f>AC866*T866</f>
        <v>71.739999999999995</v>
      </c>
      <c r="AE866" s="25">
        <f>AB866*T866</f>
        <v>64.45</v>
      </c>
      <c r="AF866" s="25">
        <f>AD866-AE866</f>
        <v>7.289999999999992</v>
      </c>
      <c r="AG866" s="26">
        <f>AF866/AD866</f>
        <v>0.10161695009757447</v>
      </c>
      <c r="AH866" s="27" t="str">
        <f>IF(AG866&lt;0,"Negative",IF(AG866=0,"Same",IF(AG866&gt;0.3,"30+%",IF(AG866&gt;0.2,"20-30%",IF(AG866&gt;0.1,"10-20%",IF(AG866&lt;=0.1,"0-10%"))))))</f>
        <v>10-20%</v>
      </c>
      <c r="AI866" s="32"/>
      <c r="AJ866" s="36" t="s">
        <v>3299</v>
      </c>
      <c r="AK866" s="32"/>
    </row>
    <row r="867" spans="1:37" s="1" customFormat="1" ht="19.7" customHeight="1" x14ac:dyDescent="0.25">
      <c r="A867" s="9" t="s">
        <v>22</v>
      </c>
      <c r="B867" s="9" t="s">
        <v>2277</v>
      </c>
      <c r="C867" s="10">
        <v>44559</v>
      </c>
      <c r="D867" s="9" t="s">
        <v>24</v>
      </c>
      <c r="E867" s="9" t="s">
        <v>25</v>
      </c>
      <c r="F867" s="9" t="s">
        <v>26</v>
      </c>
      <c r="G867" s="9" t="s">
        <v>67</v>
      </c>
      <c r="H867" s="9" t="s">
        <v>68</v>
      </c>
      <c r="I867" s="9" t="s">
        <v>29</v>
      </c>
      <c r="J867" s="9" t="s">
        <v>30</v>
      </c>
      <c r="K867" s="9" t="s">
        <v>31</v>
      </c>
      <c r="L867" s="9" t="s">
        <v>32</v>
      </c>
      <c r="M867" s="9" t="s">
        <v>887</v>
      </c>
      <c r="N867" s="9" t="s">
        <v>1871</v>
      </c>
      <c r="O867" s="9" t="s">
        <v>89</v>
      </c>
      <c r="P867" s="9" t="s">
        <v>888</v>
      </c>
      <c r="Q867" s="9">
        <v>100748116</v>
      </c>
      <c r="R867" s="9" t="s">
        <v>45</v>
      </c>
      <c r="S867" s="9" t="s">
        <v>39</v>
      </c>
      <c r="T867" s="11">
        <v>1</v>
      </c>
      <c r="U867" s="15" t="s">
        <v>89</v>
      </c>
      <c r="V867" s="16" t="s">
        <v>888</v>
      </c>
      <c r="W867" s="17">
        <v>100748116</v>
      </c>
      <c r="X867" s="16" t="s">
        <v>2520</v>
      </c>
      <c r="Y867" s="17" t="s">
        <v>2851</v>
      </c>
      <c r="Z867" s="17" t="s">
        <v>39</v>
      </c>
      <c r="AA867" s="17" t="s">
        <v>37</v>
      </c>
      <c r="AB867" s="43">
        <v>33.880000000000003</v>
      </c>
      <c r="AC867" s="25">
        <v>39.72</v>
      </c>
      <c r="AD867" s="25">
        <f>AC867*T867</f>
        <v>39.72</v>
      </c>
      <c r="AE867" s="25">
        <f>AB867*T867</f>
        <v>33.880000000000003</v>
      </c>
      <c r="AF867" s="25">
        <f>AD867-AE867</f>
        <v>5.8399999999999963</v>
      </c>
      <c r="AG867" s="26">
        <f>AF867/AD867</f>
        <v>0.14702920443101702</v>
      </c>
      <c r="AH867" s="27" t="str">
        <f>IF(AG867&lt;0,"Negative",IF(AG867=0,"Same",IF(AG867&gt;0.3,"30+%",IF(AG867&gt;0.2,"20-30%",IF(AG867&gt;0.1,"10-20%",IF(AG867&lt;=0.1,"0-10%"))))))</f>
        <v>10-20%</v>
      </c>
      <c r="AI867" s="32"/>
      <c r="AJ867" s="36" t="s">
        <v>3300</v>
      </c>
      <c r="AK867" s="32"/>
    </row>
    <row r="868" spans="1:37" s="1" customFormat="1" ht="19.7" customHeight="1" x14ac:dyDescent="0.25">
      <c r="A868" s="5" t="s">
        <v>22</v>
      </c>
      <c r="B868" s="5" t="s">
        <v>885</v>
      </c>
      <c r="C868" s="6">
        <v>44316</v>
      </c>
      <c r="D868" s="5" t="s">
        <v>24</v>
      </c>
      <c r="E868" s="5" t="s">
        <v>25</v>
      </c>
      <c r="F868" s="5" t="s">
        <v>26</v>
      </c>
      <c r="G868" s="5" t="s">
        <v>67</v>
      </c>
      <c r="H868" s="5" t="s">
        <v>68</v>
      </c>
      <c r="I868" s="5" t="s">
        <v>29</v>
      </c>
      <c r="J868" s="5" t="s">
        <v>30</v>
      </c>
      <c r="K868" s="5" t="s">
        <v>31</v>
      </c>
      <c r="L868" s="5" t="s">
        <v>32</v>
      </c>
      <c r="M868" s="5" t="s">
        <v>887</v>
      </c>
      <c r="N868" s="5" t="s">
        <v>886</v>
      </c>
      <c r="O868" s="5" t="s">
        <v>89</v>
      </c>
      <c r="P868" s="5" t="s">
        <v>888</v>
      </c>
      <c r="Q868" s="5">
        <v>100748116</v>
      </c>
      <c r="R868" s="5" t="s">
        <v>45</v>
      </c>
      <c r="S868" s="5" t="s">
        <v>39</v>
      </c>
      <c r="T868" s="7">
        <v>1</v>
      </c>
      <c r="U868" s="15" t="s">
        <v>89</v>
      </c>
      <c r="V868" s="16" t="s">
        <v>888</v>
      </c>
      <c r="W868" s="17">
        <v>100748116</v>
      </c>
      <c r="X868" s="16" t="s">
        <v>2520</v>
      </c>
      <c r="Y868" s="17" t="s">
        <v>2851</v>
      </c>
      <c r="Z868" s="17" t="s">
        <v>39</v>
      </c>
      <c r="AA868" s="17" t="s">
        <v>37</v>
      </c>
      <c r="AB868" s="43">
        <v>33.880000000000003</v>
      </c>
      <c r="AC868" s="25">
        <v>39.72</v>
      </c>
      <c r="AD868" s="25">
        <f>AC868*T868</f>
        <v>39.72</v>
      </c>
      <c r="AE868" s="25">
        <f>AB868*T868</f>
        <v>33.880000000000003</v>
      </c>
      <c r="AF868" s="25">
        <f>AD868-AE868</f>
        <v>5.8399999999999963</v>
      </c>
      <c r="AG868" s="26">
        <f>AF868/AD868</f>
        <v>0.14702920443101702</v>
      </c>
      <c r="AH868" s="27" t="str">
        <f>IF(AG868&lt;0,"Negative",IF(AG868=0,"Same",IF(AG868&gt;0.3,"30+%",IF(AG868&gt;0.2,"20-30%",IF(AG868&gt;0.1,"10-20%",IF(AG868&lt;=0.1,"0-10%"))))))</f>
        <v>10-20%</v>
      </c>
      <c r="AI868" s="32"/>
      <c r="AJ868" s="36" t="s">
        <v>3300</v>
      </c>
      <c r="AK868" s="32"/>
    </row>
    <row r="869" spans="1:37" s="1" customFormat="1" ht="19.7" customHeight="1" x14ac:dyDescent="0.25">
      <c r="A869" s="5" t="s">
        <v>22</v>
      </c>
      <c r="B869" s="5" t="s">
        <v>1065</v>
      </c>
      <c r="C869" s="6">
        <v>44335</v>
      </c>
      <c r="D869" s="5" t="s">
        <v>24</v>
      </c>
      <c r="E869" s="5" t="s">
        <v>25</v>
      </c>
      <c r="F869" s="5" t="s">
        <v>26</v>
      </c>
      <c r="G869" s="5" t="s">
        <v>27</v>
      </c>
      <c r="H869" s="5" t="s">
        <v>28</v>
      </c>
      <c r="I869" s="5" t="s">
        <v>29</v>
      </c>
      <c r="J869" s="5" t="s">
        <v>30</v>
      </c>
      <c r="K869" s="5" t="s">
        <v>31</v>
      </c>
      <c r="L869" s="5" t="s">
        <v>32</v>
      </c>
      <c r="M869" s="5" t="s">
        <v>1066</v>
      </c>
      <c r="N869" s="5" t="s">
        <v>1002</v>
      </c>
      <c r="O869" s="5" t="s">
        <v>553</v>
      </c>
      <c r="P869" s="5" t="s">
        <v>1067</v>
      </c>
      <c r="Q869" s="5">
        <v>100009571</v>
      </c>
      <c r="R869" s="5" t="s">
        <v>38</v>
      </c>
      <c r="S869" s="5" t="s">
        <v>39</v>
      </c>
      <c r="T869" s="7">
        <v>1</v>
      </c>
      <c r="U869" s="15" t="s">
        <v>553</v>
      </c>
      <c r="V869" s="16" t="s">
        <v>1067</v>
      </c>
      <c r="W869" s="17">
        <v>100009571</v>
      </c>
      <c r="X869" s="16" t="s">
        <v>2585</v>
      </c>
      <c r="Y869" s="17" t="s">
        <v>2913</v>
      </c>
      <c r="Z869" s="17" t="s">
        <v>39</v>
      </c>
      <c r="AA869" s="17" t="s">
        <v>37</v>
      </c>
      <c r="AB869" s="29">
        <v>110.45</v>
      </c>
      <c r="AC869" s="25">
        <v>112.95</v>
      </c>
      <c r="AD869" s="25">
        <f>AC869*T869</f>
        <v>112.95</v>
      </c>
      <c r="AE869" s="25">
        <f>AB869*T869</f>
        <v>110.45</v>
      </c>
      <c r="AF869" s="25">
        <f>AD869-AE869</f>
        <v>2.5</v>
      </c>
      <c r="AG869" s="26">
        <f>AF869/AD869</f>
        <v>2.2133687472332891E-2</v>
      </c>
      <c r="AH869" s="27" t="str">
        <f>IF(AG869&lt;0,"Negative",IF(AG869=0,"Same",IF(AG869&gt;0.3,"30+%",IF(AG869&gt;0.2,"20-30%",IF(AG869&gt;0.1,"10-20%",IF(AG869&lt;=0.1,"0-10%"))))))</f>
        <v>0-10%</v>
      </c>
      <c r="AI869" s="32"/>
      <c r="AJ869" s="36" t="s">
        <v>3300</v>
      </c>
      <c r="AK869" s="32"/>
    </row>
    <row r="870" spans="1:37" s="1" customFormat="1" ht="19.7" customHeight="1" x14ac:dyDescent="0.25">
      <c r="A870" s="9" t="s">
        <v>22</v>
      </c>
      <c r="B870" s="9" t="s">
        <v>1782</v>
      </c>
      <c r="C870" s="10">
        <v>44462</v>
      </c>
      <c r="D870" s="9" t="s">
        <v>24</v>
      </c>
      <c r="E870" s="9" t="s">
        <v>25</v>
      </c>
      <c r="F870" s="9" t="s">
        <v>26</v>
      </c>
      <c r="G870" s="9" t="s">
        <v>27</v>
      </c>
      <c r="H870" s="9" t="s">
        <v>28</v>
      </c>
      <c r="I870" s="9" t="s">
        <v>29</v>
      </c>
      <c r="J870" s="9" t="s">
        <v>30</v>
      </c>
      <c r="K870" s="9" t="s">
        <v>31</v>
      </c>
      <c r="L870" s="9" t="s">
        <v>32</v>
      </c>
      <c r="M870" s="9" t="s">
        <v>514</v>
      </c>
      <c r="N870" s="9" t="s">
        <v>1772</v>
      </c>
      <c r="O870" s="9" t="s">
        <v>35</v>
      </c>
      <c r="P870" s="9" t="s">
        <v>515</v>
      </c>
      <c r="Q870" s="9">
        <v>100490748</v>
      </c>
      <c r="R870" s="9" t="s">
        <v>38</v>
      </c>
      <c r="S870" s="9" t="s">
        <v>39</v>
      </c>
      <c r="T870" s="11">
        <v>1</v>
      </c>
      <c r="U870" s="15" t="s">
        <v>35</v>
      </c>
      <c r="V870" s="16" t="s">
        <v>515</v>
      </c>
      <c r="W870" s="17">
        <v>100490748</v>
      </c>
      <c r="X870" s="16" t="s">
        <v>2710</v>
      </c>
      <c r="Y870" s="17" t="s">
        <v>2711</v>
      </c>
      <c r="Z870" s="17" t="s">
        <v>39</v>
      </c>
      <c r="AA870" s="17" t="s">
        <v>37</v>
      </c>
      <c r="AB870" s="29">
        <v>55.78</v>
      </c>
      <c r="AC870" s="25">
        <v>57.04</v>
      </c>
      <c r="AD870" s="25">
        <f>AC870*T870</f>
        <v>57.04</v>
      </c>
      <c r="AE870" s="25">
        <f>AB870*T870</f>
        <v>55.78</v>
      </c>
      <c r="AF870" s="25">
        <f>AD870-AE870</f>
        <v>1.259999999999998</v>
      </c>
      <c r="AG870" s="26">
        <f>AF870/AD870</f>
        <v>2.2089761570827454E-2</v>
      </c>
      <c r="AH870" s="27" t="str">
        <f>IF(AG870&lt;0,"Negative",IF(AG870=0,"Same",IF(AG870&gt;0.3,"30+%",IF(AG870&gt;0.2,"20-30%",IF(AG870&gt;0.1,"10-20%",IF(AG870&lt;=0.1,"0-10%"))))))</f>
        <v>0-10%</v>
      </c>
      <c r="AI870" s="32"/>
      <c r="AJ870" s="36" t="s">
        <v>3300</v>
      </c>
      <c r="AK870" s="32"/>
    </row>
    <row r="871" spans="1:37" s="1" customFormat="1" ht="19.7" customHeight="1" x14ac:dyDescent="0.25">
      <c r="A871" s="9" t="s">
        <v>22</v>
      </c>
      <c r="B871" s="9" t="s">
        <v>510</v>
      </c>
      <c r="C871" s="10">
        <v>44272</v>
      </c>
      <c r="D871" s="9" t="s">
        <v>24</v>
      </c>
      <c r="E871" s="9" t="s">
        <v>25</v>
      </c>
      <c r="F871" s="9" t="s">
        <v>26</v>
      </c>
      <c r="G871" s="9" t="s">
        <v>27</v>
      </c>
      <c r="H871" s="9" t="s">
        <v>28</v>
      </c>
      <c r="I871" s="9" t="s">
        <v>29</v>
      </c>
      <c r="J871" s="9" t="s">
        <v>30</v>
      </c>
      <c r="K871" s="9" t="s">
        <v>31</v>
      </c>
      <c r="L871" s="9" t="s">
        <v>32</v>
      </c>
      <c r="M871" s="9" t="s">
        <v>514</v>
      </c>
      <c r="N871" s="9" t="s">
        <v>512</v>
      </c>
      <c r="O871" s="9" t="s">
        <v>35</v>
      </c>
      <c r="P871" s="9" t="s">
        <v>515</v>
      </c>
      <c r="Q871" s="9">
        <v>100490748</v>
      </c>
      <c r="R871" s="9" t="s">
        <v>38</v>
      </c>
      <c r="S871" s="9" t="s">
        <v>39</v>
      </c>
      <c r="T871" s="11">
        <v>1</v>
      </c>
      <c r="U871" s="15" t="s">
        <v>35</v>
      </c>
      <c r="V871" s="16" t="s">
        <v>515</v>
      </c>
      <c r="W871" s="17">
        <v>100490748</v>
      </c>
      <c r="X871" s="16" t="s">
        <v>2710</v>
      </c>
      <c r="Y871" s="17" t="s">
        <v>2711</v>
      </c>
      <c r="Z871" s="17" t="s">
        <v>39</v>
      </c>
      <c r="AA871" s="17" t="s">
        <v>37</v>
      </c>
      <c r="AB871" s="29">
        <v>55.78</v>
      </c>
      <c r="AC871" s="25">
        <v>57.04</v>
      </c>
      <c r="AD871" s="25">
        <f>AC871*T871</f>
        <v>57.04</v>
      </c>
      <c r="AE871" s="25">
        <f>AB871*T871</f>
        <v>55.78</v>
      </c>
      <c r="AF871" s="25">
        <f>AD871-AE871</f>
        <v>1.259999999999998</v>
      </c>
      <c r="AG871" s="26">
        <f>AF871/AD871</f>
        <v>2.2089761570827454E-2</v>
      </c>
      <c r="AH871" s="27" t="str">
        <f>IF(AG871&lt;0,"Negative",IF(AG871=0,"Same",IF(AG871&gt;0.3,"30+%",IF(AG871&gt;0.2,"20-30%",IF(AG871&gt;0.1,"10-20%",IF(AG871&lt;=0.1,"0-10%"))))))</f>
        <v>0-10%</v>
      </c>
      <c r="AI871" s="32"/>
      <c r="AJ871" s="36" t="s">
        <v>3300</v>
      </c>
      <c r="AK871" s="32"/>
    </row>
    <row r="872" spans="1:37" s="1" customFormat="1" ht="19.7" customHeight="1" x14ac:dyDescent="0.25">
      <c r="A872" s="9" t="s">
        <v>22</v>
      </c>
      <c r="B872" s="9" t="s">
        <v>245</v>
      </c>
      <c r="C872" s="10">
        <v>44245</v>
      </c>
      <c r="D872" s="9" t="s">
        <v>24</v>
      </c>
      <c r="E872" s="9" t="s">
        <v>25</v>
      </c>
      <c r="F872" s="9" t="s">
        <v>26</v>
      </c>
      <c r="G872" s="9" t="s">
        <v>27</v>
      </c>
      <c r="H872" s="9" t="s">
        <v>28</v>
      </c>
      <c r="I872" s="9" t="s">
        <v>29</v>
      </c>
      <c r="J872" s="9" t="s">
        <v>30</v>
      </c>
      <c r="K872" s="9" t="s">
        <v>31</v>
      </c>
      <c r="L872" s="9" t="s">
        <v>32</v>
      </c>
      <c r="M872" s="9" t="s">
        <v>246</v>
      </c>
      <c r="N872" s="9" t="s">
        <v>247</v>
      </c>
      <c r="O872" s="9" t="s">
        <v>35</v>
      </c>
      <c r="P872" s="9" t="s">
        <v>248</v>
      </c>
      <c r="Q872" s="9">
        <v>100493526</v>
      </c>
      <c r="R872" s="9" t="s">
        <v>38</v>
      </c>
      <c r="S872" s="9" t="s">
        <v>39</v>
      </c>
      <c r="T872" s="11">
        <v>2</v>
      </c>
      <c r="U872" s="15" t="s">
        <v>35</v>
      </c>
      <c r="V872" s="16" t="s">
        <v>248</v>
      </c>
      <c r="W872" s="17">
        <v>100493526</v>
      </c>
      <c r="X872" s="16" t="s">
        <v>2593</v>
      </c>
      <c r="Y872" s="17" t="s">
        <v>2594</v>
      </c>
      <c r="Z872" s="17" t="s">
        <v>39</v>
      </c>
      <c r="AA872" s="17" t="s">
        <v>37</v>
      </c>
      <c r="AB872" s="29">
        <v>45.71</v>
      </c>
      <c r="AC872" s="25">
        <v>44.52</v>
      </c>
      <c r="AD872" s="25">
        <f>AC872*T872</f>
        <v>89.04</v>
      </c>
      <c r="AE872" s="25">
        <f>AB872*T872</f>
        <v>91.42</v>
      </c>
      <c r="AF872" s="25">
        <f>AD872-AE872</f>
        <v>-2.3799999999999955</v>
      </c>
      <c r="AG872" s="26">
        <f>AF872/AD872</f>
        <v>-2.6729559748427618E-2</v>
      </c>
      <c r="AH872" s="27" t="str">
        <f>IF(AG872&lt;0,"Negative",IF(AG872=0,"Same",IF(AG872&gt;0.3,"30+%",IF(AG872&gt;0.2,"20-30%",IF(AG872&gt;0.1,"10-20%",IF(AG872&lt;=0.1,"0-10%"))))))</f>
        <v>Negative</v>
      </c>
      <c r="AI872" s="32"/>
      <c r="AJ872" s="36" t="s">
        <v>3299</v>
      </c>
      <c r="AK872" s="32"/>
    </row>
    <row r="873" spans="1:37" s="1" customFormat="1" ht="19.7" customHeight="1" x14ac:dyDescent="0.25">
      <c r="A873" s="9" t="s">
        <v>22</v>
      </c>
      <c r="B873" s="9" t="s">
        <v>1912</v>
      </c>
      <c r="C873" s="10">
        <v>44482</v>
      </c>
      <c r="D873" s="9" t="s">
        <v>24</v>
      </c>
      <c r="E873" s="9" t="s">
        <v>25</v>
      </c>
      <c r="F873" s="9" t="s">
        <v>26</v>
      </c>
      <c r="G873" s="9" t="s">
        <v>27</v>
      </c>
      <c r="H873" s="9" t="s">
        <v>28</v>
      </c>
      <c r="I873" s="9" t="s">
        <v>29</v>
      </c>
      <c r="J873" s="9" t="s">
        <v>30</v>
      </c>
      <c r="K873" s="9" t="s">
        <v>31</v>
      </c>
      <c r="L873" s="9" t="s">
        <v>32</v>
      </c>
      <c r="M873" s="9" t="s">
        <v>574</v>
      </c>
      <c r="N873" s="9" t="s">
        <v>1913</v>
      </c>
      <c r="O873" s="9" t="s">
        <v>575</v>
      </c>
      <c r="P873" s="9" t="s">
        <v>576</v>
      </c>
      <c r="Q873" s="9">
        <v>100333256</v>
      </c>
      <c r="R873" s="9" t="s">
        <v>299</v>
      </c>
      <c r="S873" s="9" t="s">
        <v>39</v>
      </c>
      <c r="T873" s="11">
        <v>2</v>
      </c>
      <c r="U873" s="15" t="s">
        <v>575</v>
      </c>
      <c r="V873" s="16" t="s">
        <v>576</v>
      </c>
      <c r="W873" s="17">
        <v>100333256</v>
      </c>
      <c r="X873" s="16" t="s">
        <v>2735</v>
      </c>
      <c r="Y873" s="17" t="s">
        <v>2736</v>
      </c>
      <c r="Z873" s="17" t="s">
        <v>39</v>
      </c>
      <c r="AA873" s="17" t="s">
        <v>37</v>
      </c>
      <c r="AB873" s="29">
        <v>91.8</v>
      </c>
      <c r="AC873" s="25">
        <v>88.02</v>
      </c>
      <c r="AD873" s="25">
        <f>AC873*T873</f>
        <v>176.04</v>
      </c>
      <c r="AE873" s="25">
        <f>AB873*T873</f>
        <v>183.6</v>
      </c>
      <c r="AF873" s="25">
        <f>AD873-AE873</f>
        <v>-7.5600000000000023</v>
      </c>
      <c r="AG873" s="26">
        <f>AF873/AD873</f>
        <v>-4.2944785276073635E-2</v>
      </c>
      <c r="AH873" s="27" t="str">
        <f>IF(AG873&lt;0,"Negative",IF(AG873=0,"Same",IF(AG873&gt;0.3,"30+%",IF(AG873&gt;0.2,"20-30%",IF(AG873&gt;0.1,"10-20%",IF(AG873&lt;=0.1,"0-10%"))))))</f>
        <v>Negative</v>
      </c>
      <c r="AI873" s="32"/>
      <c r="AJ873" s="36" t="s">
        <v>3300</v>
      </c>
      <c r="AK873" s="32"/>
    </row>
    <row r="874" spans="1:37" s="1" customFormat="1" ht="19.7" customHeight="1" x14ac:dyDescent="0.25">
      <c r="A874" s="5" t="s">
        <v>22</v>
      </c>
      <c r="B874" s="5" t="s">
        <v>1454</v>
      </c>
      <c r="C874" s="6">
        <v>44398</v>
      </c>
      <c r="D874" s="5" t="s">
        <v>24</v>
      </c>
      <c r="E874" s="5" t="s">
        <v>25</v>
      </c>
      <c r="F874" s="5" t="s">
        <v>26</v>
      </c>
      <c r="G874" s="5" t="s">
        <v>27</v>
      </c>
      <c r="H874" s="5" t="s">
        <v>28</v>
      </c>
      <c r="I874" s="5" t="s">
        <v>29</v>
      </c>
      <c r="J874" s="5" t="s">
        <v>30</v>
      </c>
      <c r="K874" s="5" t="s">
        <v>31</v>
      </c>
      <c r="L874" s="5" t="s">
        <v>32</v>
      </c>
      <c r="M874" s="5" t="s">
        <v>574</v>
      </c>
      <c r="N874" s="5" t="s">
        <v>1437</v>
      </c>
      <c r="O874" s="5" t="s">
        <v>575</v>
      </c>
      <c r="P874" s="5" t="s">
        <v>576</v>
      </c>
      <c r="Q874" s="5">
        <v>100333256</v>
      </c>
      <c r="R874" s="5" t="s">
        <v>299</v>
      </c>
      <c r="S874" s="5" t="s">
        <v>39</v>
      </c>
      <c r="T874" s="7">
        <v>2</v>
      </c>
      <c r="U874" s="15" t="s">
        <v>575</v>
      </c>
      <c r="V874" s="16" t="s">
        <v>576</v>
      </c>
      <c r="W874" s="17">
        <v>100333256</v>
      </c>
      <c r="X874" s="16" t="s">
        <v>2735</v>
      </c>
      <c r="Y874" s="17" t="s">
        <v>2736</v>
      </c>
      <c r="Z874" s="17" t="s">
        <v>39</v>
      </c>
      <c r="AA874" s="17" t="s">
        <v>37</v>
      </c>
      <c r="AB874" s="29">
        <v>91.8</v>
      </c>
      <c r="AC874" s="25">
        <v>88.02</v>
      </c>
      <c r="AD874" s="25">
        <f>AC874*T874</f>
        <v>176.04</v>
      </c>
      <c r="AE874" s="25">
        <f>AB874*T874</f>
        <v>183.6</v>
      </c>
      <c r="AF874" s="25">
        <f>AD874-AE874</f>
        <v>-7.5600000000000023</v>
      </c>
      <c r="AG874" s="26">
        <f>AF874/AD874</f>
        <v>-4.2944785276073635E-2</v>
      </c>
      <c r="AH874" s="27" t="str">
        <f>IF(AG874&lt;0,"Negative",IF(AG874=0,"Same",IF(AG874&gt;0.3,"30+%",IF(AG874&gt;0.2,"20-30%",IF(AG874&gt;0.1,"10-20%",IF(AG874&lt;=0.1,"0-10%"))))))</f>
        <v>Negative</v>
      </c>
      <c r="AI874" s="32"/>
      <c r="AJ874" s="36" t="s">
        <v>3300</v>
      </c>
      <c r="AK874" s="32"/>
    </row>
    <row r="875" spans="1:37" s="1" customFormat="1" ht="19.7" customHeight="1" x14ac:dyDescent="0.25">
      <c r="A875" s="9" t="s">
        <v>22</v>
      </c>
      <c r="B875" s="9" t="s">
        <v>570</v>
      </c>
      <c r="C875" s="10">
        <v>44277</v>
      </c>
      <c r="D875" s="9" t="s">
        <v>24</v>
      </c>
      <c r="E875" s="9" t="s">
        <v>25</v>
      </c>
      <c r="F875" s="9" t="s">
        <v>26</v>
      </c>
      <c r="G875" s="9" t="s">
        <v>27</v>
      </c>
      <c r="H875" s="9" t="s">
        <v>28</v>
      </c>
      <c r="I875" s="9" t="s">
        <v>29</v>
      </c>
      <c r="J875" s="9" t="s">
        <v>30</v>
      </c>
      <c r="K875" s="9" t="s">
        <v>31</v>
      </c>
      <c r="L875" s="9" t="s">
        <v>32</v>
      </c>
      <c r="M875" s="9" t="s">
        <v>574</v>
      </c>
      <c r="N875" s="9" t="s">
        <v>562</v>
      </c>
      <c r="O875" s="9" t="s">
        <v>575</v>
      </c>
      <c r="P875" s="9" t="s">
        <v>576</v>
      </c>
      <c r="Q875" s="9">
        <v>100333256</v>
      </c>
      <c r="R875" s="9" t="s">
        <v>299</v>
      </c>
      <c r="S875" s="9" t="s">
        <v>39</v>
      </c>
      <c r="T875" s="11">
        <v>2</v>
      </c>
      <c r="U875" s="15" t="s">
        <v>575</v>
      </c>
      <c r="V875" s="16" t="s">
        <v>576</v>
      </c>
      <c r="W875" s="17">
        <v>100333256</v>
      </c>
      <c r="X875" s="16" t="s">
        <v>2735</v>
      </c>
      <c r="Y875" s="17" t="s">
        <v>2736</v>
      </c>
      <c r="Z875" s="17" t="s">
        <v>39</v>
      </c>
      <c r="AA875" s="17" t="s">
        <v>37</v>
      </c>
      <c r="AB875" s="29">
        <v>91.8</v>
      </c>
      <c r="AC875" s="25">
        <v>88.02</v>
      </c>
      <c r="AD875" s="25">
        <f>AC875*T875</f>
        <v>176.04</v>
      </c>
      <c r="AE875" s="25">
        <f>AB875*T875</f>
        <v>183.6</v>
      </c>
      <c r="AF875" s="25">
        <f>AD875-AE875</f>
        <v>-7.5600000000000023</v>
      </c>
      <c r="AG875" s="26">
        <f>AF875/AD875</f>
        <v>-4.2944785276073635E-2</v>
      </c>
      <c r="AH875" s="27" t="str">
        <f>IF(AG875&lt;0,"Negative",IF(AG875=0,"Same",IF(AG875&gt;0.3,"30+%",IF(AG875&gt;0.2,"20-30%",IF(AG875&gt;0.1,"10-20%",IF(AG875&lt;=0.1,"0-10%"))))))</f>
        <v>Negative</v>
      </c>
      <c r="AI875" s="32"/>
      <c r="AJ875" s="36" t="s">
        <v>3300</v>
      </c>
      <c r="AK875" s="32"/>
    </row>
    <row r="876" spans="1:37" s="1" customFormat="1" ht="19.7" customHeight="1" x14ac:dyDescent="0.25">
      <c r="A876" s="9" t="s">
        <v>22</v>
      </c>
      <c r="B876" s="9" t="s">
        <v>1435</v>
      </c>
      <c r="C876" s="10">
        <v>44397</v>
      </c>
      <c r="D876" s="9" t="s">
        <v>24</v>
      </c>
      <c r="E876" s="9" t="s">
        <v>25</v>
      </c>
      <c r="F876" s="9" t="s">
        <v>26</v>
      </c>
      <c r="G876" s="9" t="s">
        <v>27</v>
      </c>
      <c r="H876" s="9" t="s">
        <v>28</v>
      </c>
      <c r="I876" s="9" t="s">
        <v>29</v>
      </c>
      <c r="J876" s="9" t="s">
        <v>30</v>
      </c>
      <c r="K876" s="9" t="s">
        <v>31</v>
      </c>
      <c r="L876" s="9" t="s">
        <v>32</v>
      </c>
      <c r="M876" s="9" t="s">
        <v>574</v>
      </c>
      <c r="N876" s="9" t="s">
        <v>1437</v>
      </c>
      <c r="O876" s="9" t="s">
        <v>575</v>
      </c>
      <c r="P876" s="9" t="s">
        <v>576</v>
      </c>
      <c r="Q876" s="9">
        <v>100333256</v>
      </c>
      <c r="R876" s="9" t="s">
        <v>299</v>
      </c>
      <c r="S876" s="9" t="s">
        <v>39</v>
      </c>
      <c r="T876" s="11">
        <v>1</v>
      </c>
      <c r="U876" s="15" t="s">
        <v>575</v>
      </c>
      <c r="V876" s="16" t="s">
        <v>576</v>
      </c>
      <c r="W876" s="17">
        <v>100333256</v>
      </c>
      <c r="X876" s="16" t="s">
        <v>2735</v>
      </c>
      <c r="Y876" s="17" t="s">
        <v>2736</v>
      </c>
      <c r="Z876" s="17" t="s">
        <v>39</v>
      </c>
      <c r="AA876" s="17" t="s">
        <v>37</v>
      </c>
      <c r="AB876" s="29">
        <v>91.8</v>
      </c>
      <c r="AC876" s="25">
        <v>88.02</v>
      </c>
      <c r="AD876" s="25">
        <f>AC876*T876</f>
        <v>88.02</v>
      </c>
      <c r="AE876" s="25">
        <f>AB876*T876</f>
        <v>91.8</v>
      </c>
      <c r="AF876" s="25">
        <f>AD876-AE876</f>
        <v>-3.7800000000000011</v>
      </c>
      <c r="AG876" s="26">
        <f>AF876/AD876</f>
        <v>-4.2944785276073635E-2</v>
      </c>
      <c r="AH876" s="27" t="str">
        <f>IF(AG876&lt;0,"Negative",IF(AG876=0,"Same",IF(AG876&gt;0.3,"30+%",IF(AG876&gt;0.2,"20-30%",IF(AG876&gt;0.1,"10-20%",IF(AG876&lt;=0.1,"0-10%"))))))</f>
        <v>Negative</v>
      </c>
      <c r="AI876" s="32"/>
      <c r="AJ876" s="36" t="s">
        <v>3300</v>
      </c>
      <c r="AK876" s="32"/>
    </row>
    <row r="877" spans="1:37" s="1" customFormat="1" ht="19.7" customHeight="1" x14ac:dyDescent="0.25">
      <c r="A877" s="9" t="s">
        <v>22</v>
      </c>
      <c r="B877" s="9" t="s">
        <v>1138</v>
      </c>
      <c r="C877" s="10">
        <v>44344</v>
      </c>
      <c r="D877" s="9" t="s">
        <v>24</v>
      </c>
      <c r="E877" s="9" t="s">
        <v>25</v>
      </c>
      <c r="F877" s="9" t="s">
        <v>26</v>
      </c>
      <c r="G877" s="9" t="s">
        <v>27</v>
      </c>
      <c r="H877" s="9" t="s">
        <v>28</v>
      </c>
      <c r="I877" s="9" t="s">
        <v>29</v>
      </c>
      <c r="J877" s="9" t="s">
        <v>30</v>
      </c>
      <c r="K877" s="9" t="s">
        <v>31</v>
      </c>
      <c r="L877" s="9" t="s">
        <v>32</v>
      </c>
      <c r="M877" s="9" t="s">
        <v>1139</v>
      </c>
      <c r="N877" s="9" t="s">
        <v>1128</v>
      </c>
      <c r="O877" s="9" t="s">
        <v>85</v>
      </c>
      <c r="P877" s="9" t="s">
        <v>1140</v>
      </c>
      <c r="Q877" s="9">
        <v>100939481</v>
      </c>
      <c r="R877" s="9" t="s">
        <v>61</v>
      </c>
      <c r="S877" s="9" t="s">
        <v>39</v>
      </c>
      <c r="T877" s="11">
        <v>2</v>
      </c>
      <c r="U877" s="15" t="s">
        <v>85</v>
      </c>
      <c r="V877" s="16" t="s">
        <v>1140</v>
      </c>
      <c r="W877" s="17">
        <v>100939481</v>
      </c>
      <c r="X877" s="16" t="s">
        <v>2938</v>
      </c>
      <c r="Y877" s="17" t="s">
        <v>2939</v>
      </c>
      <c r="Z877" s="17" t="s">
        <v>39</v>
      </c>
      <c r="AA877" s="17" t="s">
        <v>37</v>
      </c>
      <c r="AB877" s="43">
        <v>159.79</v>
      </c>
      <c r="AC877" s="25">
        <v>170.47</v>
      </c>
      <c r="AD877" s="25">
        <f>AC877*T877</f>
        <v>340.94</v>
      </c>
      <c r="AE877" s="25">
        <f>AB877*T877</f>
        <v>319.58</v>
      </c>
      <c r="AF877" s="25">
        <f>AD877-AE877</f>
        <v>21.360000000000014</v>
      </c>
      <c r="AG877" s="26">
        <f>AF877/AD877</f>
        <v>6.2650319704346841E-2</v>
      </c>
      <c r="AH877" s="27" t="str">
        <f>IF(AG877&lt;0,"Negative",IF(AG877=0,"Same",IF(AG877&gt;0.3,"30+%",IF(AG877&gt;0.2,"20-30%",IF(AG877&gt;0.1,"10-20%",IF(AG877&lt;=0.1,"0-10%"))))))</f>
        <v>0-10%</v>
      </c>
      <c r="AI877" s="32"/>
      <c r="AJ877" s="36" t="s">
        <v>3300</v>
      </c>
      <c r="AK877" s="32"/>
    </row>
    <row r="878" spans="1:37" s="1" customFormat="1" ht="19.7" customHeight="1" x14ac:dyDescent="0.25">
      <c r="A878" s="5" t="s">
        <v>22</v>
      </c>
      <c r="B878" s="5" t="s">
        <v>2180</v>
      </c>
      <c r="C878" s="6">
        <v>44533</v>
      </c>
      <c r="D878" s="5" t="s">
        <v>24</v>
      </c>
      <c r="E878" s="5" t="s">
        <v>25</v>
      </c>
      <c r="F878" s="5" t="s">
        <v>26</v>
      </c>
      <c r="G878" s="5" t="s">
        <v>27</v>
      </c>
      <c r="H878" s="5" t="s">
        <v>28</v>
      </c>
      <c r="I878" s="5" t="s">
        <v>29</v>
      </c>
      <c r="J878" s="5" t="s">
        <v>30</v>
      </c>
      <c r="K878" s="5" t="s">
        <v>31</v>
      </c>
      <c r="L878" s="5" t="s">
        <v>32</v>
      </c>
      <c r="M878" s="5" t="s">
        <v>598</v>
      </c>
      <c r="N878" s="5" t="s">
        <v>2093</v>
      </c>
      <c r="O878" s="5" t="s">
        <v>43</v>
      </c>
      <c r="P878" s="5" t="s">
        <v>599</v>
      </c>
      <c r="Q878" s="5">
        <v>110914667</v>
      </c>
      <c r="R878" s="5" t="s">
        <v>73</v>
      </c>
      <c r="S878" s="5" t="s">
        <v>39</v>
      </c>
      <c r="T878" s="7">
        <v>1</v>
      </c>
      <c r="U878" s="15" t="s">
        <v>43</v>
      </c>
      <c r="V878" s="16" t="s">
        <v>599</v>
      </c>
      <c r="W878" s="17">
        <v>110914667</v>
      </c>
      <c r="X878" s="16" t="s">
        <v>2745</v>
      </c>
      <c r="Y878" s="17" t="s">
        <v>2746</v>
      </c>
      <c r="Z878" s="17" t="s">
        <v>39</v>
      </c>
      <c r="AA878" s="17" t="s">
        <v>2501</v>
      </c>
      <c r="AB878" s="29">
        <v>105.25</v>
      </c>
      <c r="AC878" s="25">
        <v>100.91</v>
      </c>
      <c r="AD878" s="25">
        <f>AC878*T878</f>
        <v>100.91</v>
      </c>
      <c r="AE878" s="25">
        <f>AB878*T878</f>
        <v>105.25</v>
      </c>
      <c r="AF878" s="25">
        <f>AD878-AE878</f>
        <v>-4.3400000000000034</v>
      </c>
      <c r="AG878" s="26">
        <f>AF878/AD878</f>
        <v>-4.300862154395009E-2</v>
      </c>
      <c r="AH878" s="27" t="str">
        <f>IF(AG878&lt;0,"Negative",IF(AG878=0,"Same",IF(AG878&gt;0.3,"30+%",IF(AG878&gt;0.2,"20-30%",IF(AG878&gt;0.1,"10-20%",IF(AG878&lt;=0.1,"0-10%"))))))</f>
        <v>Negative</v>
      </c>
      <c r="AI878" s="32"/>
      <c r="AJ878" s="36" t="s">
        <v>3300</v>
      </c>
      <c r="AK878" s="32"/>
    </row>
    <row r="879" spans="1:37" s="1" customFormat="1" ht="19.7" customHeight="1" x14ac:dyDescent="0.25">
      <c r="A879" s="5" t="s">
        <v>22</v>
      </c>
      <c r="B879" s="5" t="s">
        <v>263</v>
      </c>
      <c r="C879" s="6">
        <v>44246</v>
      </c>
      <c r="D879" s="5" t="s">
        <v>24</v>
      </c>
      <c r="E879" s="5" t="s">
        <v>25</v>
      </c>
      <c r="F879" s="5" t="s">
        <v>26</v>
      </c>
      <c r="G879" s="5" t="s">
        <v>27</v>
      </c>
      <c r="H879" s="5" t="s">
        <v>28</v>
      </c>
      <c r="I879" s="5" t="s">
        <v>29</v>
      </c>
      <c r="J879" s="5" t="s">
        <v>30</v>
      </c>
      <c r="K879" s="5" t="s">
        <v>31</v>
      </c>
      <c r="L879" s="5" t="s">
        <v>32</v>
      </c>
      <c r="M879" s="5" t="s">
        <v>63</v>
      </c>
      <c r="N879" s="5" t="s">
        <v>190</v>
      </c>
      <c r="O879" s="5" t="s">
        <v>35</v>
      </c>
      <c r="P879" s="5" t="s">
        <v>65</v>
      </c>
      <c r="Q879" s="5">
        <v>117318359</v>
      </c>
      <c r="R879" s="5" t="s">
        <v>38</v>
      </c>
      <c r="S879" s="5" t="s">
        <v>39</v>
      </c>
      <c r="T879" s="7">
        <v>1</v>
      </c>
      <c r="U879" s="15" t="s">
        <v>35</v>
      </c>
      <c r="V879" s="16" t="s">
        <v>65</v>
      </c>
      <c r="W879" s="17">
        <v>117318359</v>
      </c>
      <c r="X879" s="16" t="s">
        <v>2508</v>
      </c>
      <c r="Y879" s="17" t="s">
        <v>2509</v>
      </c>
      <c r="Z879" s="17" t="s">
        <v>39</v>
      </c>
      <c r="AA879" s="17" t="s">
        <v>37</v>
      </c>
      <c r="AB879" s="29">
        <v>80.069999999999993</v>
      </c>
      <c r="AC879" s="25">
        <v>81.88</v>
      </c>
      <c r="AD879" s="25">
        <f>AC879*T879</f>
        <v>81.88</v>
      </c>
      <c r="AE879" s="25">
        <f>AB879*T879</f>
        <v>80.069999999999993</v>
      </c>
      <c r="AF879" s="25">
        <f>AD879-AE879</f>
        <v>1.8100000000000023</v>
      </c>
      <c r="AG879" s="26">
        <f>AF879/AD879</f>
        <v>2.210552027357111E-2</v>
      </c>
      <c r="AH879" s="27" t="str">
        <f>IF(AG879&lt;0,"Negative",IF(AG879=0,"Same",IF(AG879&gt;0.3,"30+%",IF(AG879&gt;0.2,"20-30%",IF(AG879&gt;0.1,"10-20%",IF(AG879&lt;=0.1,"0-10%"))))))</f>
        <v>0-10%</v>
      </c>
      <c r="AI879" s="32"/>
      <c r="AJ879" s="36" t="s">
        <v>3300</v>
      </c>
      <c r="AK879" s="32"/>
    </row>
    <row r="880" spans="1:37" s="1" customFormat="1" ht="19.7" customHeight="1" x14ac:dyDescent="0.25">
      <c r="A880" s="9" t="s">
        <v>22</v>
      </c>
      <c r="B880" s="9" t="s">
        <v>62</v>
      </c>
      <c r="C880" s="10">
        <v>44230</v>
      </c>
      <c r="D880" s="9" t="s">
        <v>24</v>
      </c>
      <c r="E880" s="9" t="s">
        <v>25</v>
      </c>
      <c r="F880" s="9" t="s">
        <v>26</v>
      </c>
      <c r="G880" s="9" t="s">
        <v>27</v>
      </c>
      <c r="H880" s="9" t="s">
        <v>28</v>
      </c>
      <c r="I880" s="9" t="s">
        <v>29</v>
      </c>
      <c r="J880" s="9" t="s">
        <v>30</v>
      </c>
      <c r="K880" s="9" t="s">
        <v>31</v>
      </c>
      <c r="L880" s="9" t="s">
        <v>32</v>
      </c>
      <c r="M880" s="9" t="s">
        <v>63</v>
      </c>
      <c r="N880" s="9" t="s">
        <v>64</v>
      </c>
      <c r="O880" s="9" t="s">
        <v>35</v>
      </c>
      <c r="P880" s="9" t="s">
        <v>65</v>
      </c>
      <c r="Q880" s="9">
        <v>117318359</v>
      </c>
      <c r="R880" s="9" t="s">
        <v>38</v>
      </c>
      <c r="S880" s="9" t="s">
        <v>39</v>
      </c>
      <c r="T880" s="11">
        <v>1</v>
      </c>
      <c r="U880" s="15" t="s">
        <v>35</v>
      </c>
      <c r="V880" s="16" t="s">
        <v>65</v>
      </c>
      <c r="W880" s="17">
        <v>117318359</v>
      </c>
      <c r="X880" s="16" t="s">
        <v>2508</v>
      </c>
      <c r="Y880" s="17" t="s">
        <v>2509</v>
      </c>
      <c r="Z880" s="17" t="s">
        <v>39</v>
      </c>
      <c r="AA880" s="17" t="s">
        <v>37</v>
      </c>
      <c r="AB880" s="29">
        <v>80.069999999999993</v>
      </c>
      <c r="AC880" s="25">
        <v>81.88</v>
      </c>
      <c r="AD880" s="25">
        <f>AC880*T880</f>
        <v>81.88</v>
      </c>
      <c r="AE880" s="25">
        <f>AB880*T880</f>
        <v>80.069999999999993</v>
      </c>
      <c r="AF880" s="25">
        <f>AD880-AE880</f>
        <v>1.8100000000000023</v>
      </c>
      <c r="AG880" s="26">
        <f>AF880/AD880</f>
        <v>2.210552027357111E-2</v>
      </c>
      <c r="AH880" s="27" t="str">
        <f>IF(AG880&lt;0,"Negative",IF(AG880=0,"Same",IF(AG880&gt;0.3,"30+%",IF(AG880&gt;0.2,"20-30%",IF(AG880&gt;0.1,"10-20%",IF(AG880&lt;=0.1,"0-10%"))))))</f>
        <v>0-10%</v>
      </c>
      <c r="AI880" s="32"/>
      <c r="AJ880" s="36" t="s">
        <v>3300</v>
      </c>
      <c r="AK880" s="32"/>
    </row>
    <row r="881" spans="1:37" s="1" customFormat="1" ht="19.7" customHeight="1" x14ac:dyDescent="0.25">
      <c r="A881" s="5" t="s">
        <v>22</v>
      </c>
      <c r="B881" s="5" t="s">
        <v>769</v>
      </c>
      <c r="C881" s="6">
        <v>44299</v>
      </c>
      <c r="D881" s="5" t="s">
        <v>24</v>
      </c>
      <c r="E881" s="5" t="s">
        <v>25</v>
      </c>
      <c r="F881" s="5" t="s">
        <v>26</v>
      </c>
      <c r="G881" s="5" t="s">
        <v>27</v>
      </c>
      <c r="H881" s="5" t="s">
        <v>28</v>
      </c>
      <c r="I881" s="5" t="s">
        <v>29</v>
      </c>
      <c r="J881" s="5" t="s">
        <v>30</v>
      </c>
      <c r="K881" s="5" t="s">
        <v>31</v>
      </c>
      <c r="L881" s="5" t="s">
        <v>32</v>
      </c>
      <c r="M881" s="5" t="s">
        <v>63</v>
      </c>
      <c r="N881" s="5" t="s">
        <v>770</v>
      </c>
      <c r="O881" s="5" t="s">
        <v>35</v>
      </c>
      <c r="P881" s="5" t="s">
        <v>65</v>
      </c>
      <c r="Q881" s="5">
        <v>117318359</v>
      </c>
      <c r="R881" s="5" t="s">
        <v>38</v>
      </c>
      <c r="S881" s="5" t="s">
        <v>39</v>
      </c>
      <c r="T881" s="7">
        <v>6</v>
      </c>
      <c r="U881" s="15" t="s">
        <v>35</v>
      </c>
      <c r="V881" s="16" t="s">
        <v>65</v>
      </c>
      <c r="W881" s="17">
        <v>117318359</v>
      </c>
      <c r="X881" s="16" t="s">
        <v>2508</v>
      </c>
      <c r="Y881" s="17" t="s">
        <v>2509</v>
      </c>
      <c r="Z881" s="17" t="s">
        <v>39</v>
      </c>
      <c r="AA881" s="17" t="s">
        <v>37</v>
      </c>
      <c r="AB881" s="29">
        <v>80.069999999999993</v>
      </c>
      <c r="AC881" s="25">
        <v>81.88</v>
      </c>
      <c r="AD881" s="25">
        <f>AC881*T881</f>
        <v>491.28</v>
      </c>
      <c r="AE881" s="25">
        <f>AB881*T881</f>
        <v>480.41999999999996</v>
      </c>
      <c r="AF881" s="25">
        <f>AD881-AE881</f>
        <v>10.860000000000014</v>
      </c>
      <c r="AG881" s="26">
        <f>AF881/AD881</f>
        <v>2.210552027357111E-2</v>
      </c>
      <c r="AH881" s="27" t="str">
        <f>IF(AG881&lt;0,"Negative",IF(AG881=0,"Same",IF(AG881&gt;0.3,"30+%",IF(AG881&gt;0.2,"20-30%",IF(AG881&gt;0.1,"10-20%",IF(AG881&lt;=0.1,"0-10%"))))))</f>
        <v>0-10%</v>
      </c>
      <c r="AI881" s="32"/>
      <c r="AJ881" s="36" t="s">
        <v>3300</v>
      </c>
      <c r="AK881" s="32"/>
    </row>
    <row r="882" spans="1:37" s="1" customFormat="1" ht="19.7" customHeight="1" x14ac:dyDescent="0.25">
      <c r="A882" s="9" t="s">
        <v>22</v>
      </c>
      <c r="B882" s="9" t="s">
        <v>771</v>
      </c>
      <c r="C882" s="10">
        <v>44299</v>
      </c>
      <c r="D882" s="9" t="s">
        <v>24</v>
      </c>
      <c r="E882" s="9" t="s">
        <v>25</v>
      </c>
      <c r="F882" s="9" t="s">
        <v>26</v>
      </c>
      <c r="G882" s="9" t="s">
        <v>27</v>
      </c>
      <c r="H882" s="9" t="s">
        <v>28</v>
      </c>
      <c r="I882" s="9" t="s">
        <v>29</v>
      </c>
      <c r="J882" s="9" t="s">
        <v>30</v>
      </c>
      <c r="K882" s="9" t="s">
        <v>31</v>
      </c>
      <c r="L882" s="9" t="s">
        <v>32</v>
      </c>
      <c r="M882" s="9" t="s">
        <v>63</v>
      </c>
      <c r="N882" s="9" t="s">
        <v>772</v>
      </c>
      <c r="O882" s="9" t="s">
        <v>35</v>
      </c>
      <c r="P882" s="9" t="s">
        <v>65</v>
      </c>
      <c r="Q882" s="9">
        <v>117318359</v>
      </c>
      <c r="R882" s="9" t="s">
        <v>38</v>
      </c>
      <c r="S882" s="9" t="s">
        <v>39</v>
      </c>
      <c r="T882" s="11">
        <v>6</v>
      </c>
      <c r="U882" s="15" t="s">
        <v>35</v>
      </c>
      <c r="V882" s="16" t="s">
        <v>65</v>
      </c>
      <c r="W882" s="17">
        <v>117318359</v>
      </c>
      <c r="X882" s="16" t="s">
        <v>2508</v>
      </c>
      <c r="Y882" s="17" t="s">
        <v>2509</v>
      </c>
      <c r="Z882" s="17" t="s">
        <v>39</v>
      </c>
      <c r="AA882" s="17" t="s">
        <v>37</v>
      </c>
      <c r="AB882" s="29">
        <v>80.069999999999993</v>
      </c>
      <c r="AC882" s="25">
        <v>81.88</v>
      </c>
      <c r="AD882" s="25">
        <f>AC882*T882</f>
        <v>491.28</v>
      </c>
      <c r="AE882" s="25">
        <f>AB882*T882</f>
        <v>480.41999999999996</v>
      </c>
      <c r="AF882" s="25">
        <f>AD882-AE882</f>
        <v>10.860000000000014</v>
      </c>
      <c r="AG882" s="26">
        <f>AF882/AD882</f>
        <v>2.210552027357111E-2</v>
      </c>
      <c r="AH882" s="27" t="str">
        <f>IF(AG882&lt;0,"Negative",IF(AG882=0,"Same",IF(AG882&gt;0.3,"30+%",IF(AG882&gt;0.2,"20-30%",IF(AG882&gt;0.1,"10-20%",IF(AG882&lt;=0.1,"0-10%"))))))</f>
        <v>0-10%</v>
      </c>
      <c r="AI882" s="32"/>
      <c r="AJ882" s="36" t="s">
        <v>3300</v>
      </c>
      <c r="AK882" s="32"/>
    </row>
    <row r="883" spans="1:37" s="1" customFormat="1" ht="19.7" customHeight="1" x14ac:dyDescent="0.25">
      <c r="A883" s="5" t="s">
        <v>22</v>
      </c>
      <c r="B883" s="5" t="s">
        <v>1392</v>
      </c>
      <c r="C883" s="6">
        <v>44389</v>
      </c>
      <c r="D883" s="5" t="s">
        <v>24</v>
      </c>
      <c r="E883" s="5" t="s">
        <v>25</v>
      </c>
      <c r="F883" s="5" t="s">
        <v>26</v>
      </c>
      <c r="G883" s="5" t="s">
        <v>67</v>
      </c>
      <c r="H883" s="5" t="s">
        <v>68</v>
      </c>
      <c r="I883" s="5" t="s">
        <v>29</v>
      </c>
      <c r="J883" s="5" t="s">
        <v>30</v>
      </c>
      <c r="K883" s="5" t="s">
        <v>31</v>
      </c>
      <c r="L883" s="5" t="s">
        <v>32</v>
      </c>
      <c r="M883" s="5" t="s">
        <v>1396</v>
      </c>
      <c r="N883" s="5" t="s">
        <v>1393</v>
      </c>
      <c r="O883" s="5" t="s">
        <v>553</v>
      </c>
      <c r="P883" s="5" t="s">
        <v>1397</v>
      </c>
      <c r="Q883" s="5">
        <v>101245158</v>
      </c>
      <c r="R883" s="5" t="s">
        <v>38</v>
      </c>
      <c r="S883" s="5" t="s">
        <v>39</v>
      </c>
      <c r="T883" s="7">
        <v>2</v>
      </c>
      <c r="U883" s="15" t="s">
        <v>553</v>
      </c>
      <c r="V883" s="16" t="s">
        <v>1397</v>
      </c>
      <c r="W883" s="17">
        <v>101245158</v>
      </c>
      <c r="X883" s="16" t="s">
        <v>2650</v>
      </c>
      <c r="Y883" s="17" t="s">
        <v>3024</v>
      </c>
      <c r="Z883" s="17" t="s">
        <v>39</v>
      </c>
      <c r="AA883" s="17" t="s">
        <v>37</v>
      </c>
      <c r="AB883" s="29">
        <v>84.59</v>
      </c>
      <c r="AC883" s="25">
        <v>90.83</v>
      </c>
      <c r="AD883" s="25">
        <f>AC883*T883</f>
        <v>181.66</v>
      </c>
      <c r="AE883" s="25">
        <f>AB883*T883</f>
        <v>169.18</v>
      </c>
      <c r="AF883" s="25">
        <f>AD883-AE883</f>
        <v>12.47999999999999</v>
      </c>
      <c r="AG883" s="26">
        <f>AF883/AD883</f>
        <v>6.8699768798854949E-2</v>
      </c>
      <c r="AH883" s="27" t="str">
        <f>IF(AG883&lt;0,"Negative",IF(AG883=0,"Same",IF(AG883&gt;0.3,"30+%",IF(AG883&gt;0.2,"20-30%",IF(AG883&gt;0.1,"10-20%",IF(AG883&lt;=0.1,"0-10%"))))))</f>
        <v>0-10%</v>
      </c>
      <c r="AI883" s="32"/>
      <c r="AJ883" s="36" t="s">
        <v>3299</v>
      </c>
      <c r="AK883" s="32"/>
    </row>
    <row r="884" spans="1:37" s="1" customFormat="1" ht="19.7" customHeight="1" x14ac:dyDescent="0.25">
      <c r="A884" s="9" t="s">
        <v>22</v>
      </c>
      <c r="B884" s="9" t="s">
        <v>1797</v>
      </c>
      <c r="C884" s="10">
        <v>44463</v>
      </c>
      <c r="D884" s="9" t="s">
        <v>24</v>
      </c>
      <c r="E884" s="9" t="s">
        <v>25</v>
      </c>
      <c r="F884" s="9" t="s">
        <v>26</v>
      </c>
      <c r="G884" s="9" t="s">
        <v>27</v>
      </c>
      <c r="H884" s="9" t="s">
        <v>28</v>
      </c>
      <c r="I884" s="9" t="s">
        <v>29</v>
      </c>
      <c r="J884" s="9" t="s">
        <v>30</v>
      </c>
      <c r="K884" s="9" t="s">
        <v>31</v>
      </c>
      <c r="L884" s="9" t="s">
        <v>32</v>
      </c>
      <c r="M884" s="9" t="s">
        <v>261</v>
      </c>
      <c r="N884" s="9" t="s">
        <v>1723</v>
      </c>
      <c r="O884" s="9" t="s">
        <v>35</v>
      </c>
      <c r="P884" s="9" t="s">
        <v>1798</v>
      </c>
      <c r="Q884" s="9">
        <v>101353433</v>
      </c>
      <c r="R884" s="9" t="s">
        <v>38</v>
      </c>
      <c r="S884" s="9" t="s">
        <v>39</v>
      </c>
      <c r="T884" s="11">
        <v>18</v>
      </c>
      <c r="U884" s="15" t="s">
        <v>35</v>
      </c>
      <c r="V884" s="16" t="s">
        <v>1798</v>
      </c>
      <c r="W884" s="17">
        <v>101353433</v>
      </c>
      <c r="X884" s="16" t="s">
        <v>2683</v>
      </c>
      <c r="Y884" s="17" t="s">
        <v>3134</v>
      </c>
      <c r="Z884" s="17" t="s">
        <v>39</v>
      </c>
      <c r="AA884" s="17" t="s">
        <v>37</v>
      </c>
      <c r="AB884" s="29">
        <v>87.16</v>
      </c>
      <c r="AC884" s="25">
        <v>89.13</v>
      </c>
      <c r="AD884" s="25">
        <f>AC884*T884</f>
        <v>1604.34</v>
      </c>
      <c r="AE884" s="25">
        <f>AB884*T884</f>
        <v>1568.8799999999999</v>
      </c>
      <c r="AF884" s="25">
        <f>AD884-AE884</f>
        <v>35.460000000000036</v>
      </c>
      <c r="AG884" s="26">
        <f>AF884/AD884</f>
        <v>2.2102546841691936E-2</v>
      </c>
      <c r="AH884" s="27" t="str">
        <f>IF(AG884&lt;0,"Negative",IF(AG884=0,"Same",IF(AG884&gt;0.3,"30+%",IF(AG884&gt;0.2,"20-30%",IF(AG884&gt;0.1,"10-20%",IF(AG884&lt;=0.1,"0-10%"))))))</f>
        <v>0-10%</v>
      </c>
      <c r="AI884" s="32"/>
      <c r="AJ884" s="36" t="s">
        <v>3300</v>
      </c>
      <c r="AK884" s="32"/>
    </row>
    <row r="885" spans="1:37" s="1" customFormat="1" ht="19.7" customHeight="1" x14ac:dyDescent="0.25">
      <c r="A885" s="5" t="s">
        <v>22</v>
      </c>
      <c r="B885" s="5" t="s">
        <v>1565</v>
      </c>
      <c r="C885" s="6">
        <v>44417</v>
      </c>
      <c r="D885" s="5" t="s">
        <v>24</v>
      </c>
      <c r="E885" s="5" t="s">
        <v>25</v>
      </c>
      <c r="F885" s="5" t="s">
        <v>26</v>
      </c>
      <c r="G885" s="5" t="s">
        <v>27</v>
      </c>
      <c r="H885" s="5" t="s">
        <v>28</v>
      </c>
      <c r="I885" s="5" t="s">
        <v>29</v>
      </c>
      <c r="J885" s="5" t="s">
        <v>30</v>
      </c>
      <c r="K885" s="5" t="s">
        <v>31</v>
      </c>
      <c r="L885" s="5" t="s">
        <v>32</v>
      </c>
      <c r="M885" s="5" t="s">
        <v>261</v>
      </c>
      <c r="N885" s="5" t="s">
        <v>1566</v>
      </c>
      <c r="O885" s="5" t="s">
        <v>1361</v>
      </c>
      <c r="P885" s="5" t="s">
        <v>1567</v>
      </c>
      <c r="Q885" s="5">
        <v>110547460</v>
      </c>
      <c r="R885" s="5" t="s">
        <v>56</v>
      </c>
      <c r="S885" s="5" t="s">
        <v>39</v>
      </c>
      <c r="T885" s="7">
        <v>1</v>
      </c>
      <c r="U885" s="15" t="s">
        <v>1361</v>
      </c>
      <c r="V885" s="16" t="s">
        <v>1567</v>
      </c>
      <c r="W885" s="17">
        <v>110547460</v>
      </c>
      <c r="X885" s="16" t="s">
        <v>3013</v>
      </c>
      <c r="Y885" s="17" t="s">
        <v>3077</v>
      </c>
      <c r="Z885" s="17" t="s">
        <v>39</v>
      </c>
      <c r="AA885" s="17" t="s">
        <v>2501</v>
      </c>
      <c r="AB885" s="29">
        <v>1095.3399999999999</v>
      </c>
      <c r="AC885" s="25">
        <v>1118.6500000000001</v>
      </c>
      <c r="AD885" s="25">
        <f>AC885*T885</f>
        <v>1118.6500000000001</v>
      </c>
      <c r="AE885" s="25">
        <f>AB885*T885</f>
        <v>1095.3399999999999</v>
      </c>
      <c r="AF885" s="25">
        <f>AD885-AE885</f>
        <v>23.310000000000173</v>
      </c>
      <c r="AG885" s="26">
        <f>AF885/AD885</f>
        <v>2.083761677021425E-2</v>
      </c>
      <c r="AH885" s="27" t="str">
        <f>IF(AG885&lt;0,"Negative",IF(AG885=0,"Same",IF(AG885&gt;0.3,"30+%",IF(AG885&gt;0.2,"20-30%",IF(AG885&gt;0.1,"10-20%",IF(AG885&lt;=0.1,"0-10%"))))))</f>
        <v>0-10%</v>
      </c>
      <c r="AI885" s="32"/>
      <c r="AJ885" s="36" t="s">
        <v>3300</v>
      </c>
      <c r="AK885" s="32"/>
    </row>
    <row r="886" spans="1:37" s="1" customFormat="1" ht="19.7" customHeight="1" x14ac:dyDescent="0.25">
      <c r="A886" s="9" t="s">
        <v>22</v>
      </c>
      <c r="B886" s="9" t="s">
        <v>1828</v>
      </c>
      <c r="C886" s="10">
        <v>44467</v>
      </c>
      <c r="D886" s="9" t="s">
        <v>24</v>
      </c>
      <c r="E886" s="9" t="s">
        <v>25</v>
      </c>
      <c r="F886" s="9" t="s">
        <v>26</v>
      </c>
      <c r="G886" s="9" t="s">
        <v>27</v>
      </c>
      <c r="H886" s="9" t="s">
        <v>28</v>
      </c>
      <c r="I886" s="9" t="s">
        <v>29</v>
      </c>
      <c r="J886" s="9" t="s">
        <v>30</v>
      </c>
      <c r="K886" s="9" t="s">
        <v>31</v>
      </c>
      <c r="L886" s="9" t="s">
        <v>32</v>
      </c>
      <c r="M886" s="9" t="s">
        <v>1829</v>
      </c>
      <c r="N886" s="9" t="s">
        <v>1733</v>
      </c>
      <c r="O886" s="9" t="s">
        <v>984</v>
      </c>
      <c r="P886" s="9" t="s">
        <v>1830</v>
      </c>
      <c r="Q886" s="9">
        <v>100466176</v>
      </c>
      <c r="R886" s="9" t="s">
        <v>38</v>
      </c>
      <c r="S886" s="9" t="s">
        <v>39</v>
      </c>
      <c r="T886" s="11">
        <v>1</v>
      </c>
      <c r="U886" s="15" t="s">
        <v>984</v>
      </c>
      <c r="V886" s="16" t="s">
        <v>1830</v>
      </c>
      <c r="W886" s="17">
        <v>100466176</v>
      </c>
      <c r="X886" s="16" t="s">
        <v>2599</v>
      </c>
      <c r="Y886" s="17" t="s">
        <v>3144</v>
      </c>
      <c r="Z886" s="17" t="s">
        <v>39</v>
      </c>
      <c r="AA886" s="17" t="s">
        <v>37</v>
      </c>
      <c r="AB886" s="29">
        <v>260.08</v>
      </c>
      <c r="AC886" s="25">
        <v>255.18</v>
      </c>
      <c r="AD886" s="25">
        <f>AC886*T886</f>
        <v>255.18</v>
      </c>
      <c r="AE886" s="25">
        <f>AB886*T886</f>
        <v>260.08</v>
      </c>
      <c r="AF886" s="25">
        <f>AD886-AE886</f>
        <v>-4.8999999999999773</v>
      </c>
      <c r="AG886" s="26">
        <f>AF886/AD886</f>
        <v>-1.9202131828513117E-2</v>
      </c>
      <c r="AH886" s="27" t="str">
        <f>IF(AG886&lt;0,"Negative",IF(AG886=0,"Same",IF(AG886&gt;0.3,"30+%",IF(AG886&gt;0.2,"20-30%",IF(AG886&gt;0.1,"10-20%",IF(AG886&lt;=0.1,"0-10%"))))))</f>
        <v>Negative</v>
      </c>
      <c r="AI886" s="32"/>
      <c r="AJ886" s="36" t="s">
        <v>3300</v>
      </c>
      <c r="AK886" s="32"/>
    </row>
    <row r="887" spans="1:37" s="1" customFormat="1" ht="19.7" customHeight="1" x14ac:dyDescent="0.25">
      <c r="A887" s="5" t="s">
        <v>22</v>
      </c>
      <c r="B887" s="5" t="s">
        <v>2401</v>
      </c>
      <c r="C887" s="6">
        <v>44580</v>
      </c>
      <c r="D887" s="5" t="s">
        <v>24</v>
      </c>
      <c r="E887" s="5" t="s">
        <v>25</v>
      </c>
      <c r="F887" s="5" t="s">
        <v>26</v>
      </c>
      <c r="G887" s="5" t="s">
        <v>27</v>
      </c>
      <c r="H887" s="5" t="s">
        <v>28</v>
      </c>
      <c r="I887" s="5" t="s">
        <v>29</v>
      </c>
      <c r="J887" s="5" t="s">
        <v>30</v>
      </c>
      <c r="K887" s="5" t="s">
        <v>31</v>
      </c>
      <c r="L887" s="5" t="s">
        <v>32</v>
      </c>
      <c r="M887" s="5" t="s">
        <v>2168</v>
      </c>
      <c r="N887" s="5" t="s">
        <v>2391</v>
      </c>
      <c r="O887" s="5" t="s">
        <v>1433</v>
      </c>
      <c r="P887" s="5" t="s">
        <v>2169</v>
      </c>
      <c r="Q887" s="5">
        <v>102045991</v>
      </c>
      <c r="R887" s="5" t="s">
        <v>56</v>
      </c>
      <c r="S887" s="5" t="s">
        <v>39</v>
      </c>
      <c r="T887" s="7">
        <v>1</v>
      </c>
      <c r="U887" s="15" t="s">
        <v>1433</v>
      </c>
      <c r="V887" s="16" t="s">
        <v>2169</v>
      </c>
      <c r="W887" s="17">
        <v>102045991</v>
      </c>
      <c r="X887" s="16" t="s">
        <v>3036</v>
      </c>
      <c r="Y887" s="17" t="s">
        <v>3220</v>
      </c>
      <c r="Z887" s="17" t="s">
        <v>39</v>
      </c>
      <c r="AA887" s="17" t="s">
        <v>37</v>
      </c>
      <c r="AB887" s="29">
        <v>82.49</v>
      </c>
      <c r="AC887" s="25">
        <v>84.25</v>
      </c>
      <c r="AD887" s="25">
        <f>AC887*T887</f>
        <v>84.25</v>
      </c>
      <c r="AE887" s="25">
        <f>AB887*T887</f>
        <v>82.49</v>
      </c>
      <c r="AF887" s="25">
        <f>AD887-AE887</f>
        <v>1.7600000000000051</v>
      </c>
      <c r="AG887" s="26">
        <f>AF887/AD887</f>
        <v>2.0890207715133592E-2</v>
      </c>
      <c r="AH887" s="27" t="str">
        <f>IF(AG887&lt;0,"Negative",IF(AG887=0,"Same",IF(AG887&gt;0.3,"30+%",IF(AG887&gt;0.2,"20-30%",IF(AG887&gt;0.1,"10-20%",IF(AG887&lt;=0.1,"0-10%"))))))</f>
        <v>0-10%</v>
      </c>
      <c r="AI887" s="32"/>
      <c r="AJ887" s="36" t="s">
        <v>3299</v>
      </c>
      <c r="AK887" s="32"/>
    </row>
    <row r="888" spans="1:37" s="1" customFormat="1" ht="19.7" customHeight="1" x14ac:dyDescent="0.25">
      <c r="A888" s="5" t="s">
        <v>22</v>
      </c>
      <c r="B888" s="5" t="s">
        <v>2167</v>
      </c>
      <c r="C888" s="6">
        <v>44531</v>
      </c>
      <c r="D888" s="5" t="s">
        <v>24</v>
      </c>
      <c r="E888" s="5" t="s">
        <v>25</v>
      </c>
      <c r="F888" s="5" t="s">
        <v>26</v>
      </c>
      <c r="G888" s="5" t="s">
        <v>27</v>
      </c>
      <c r="H888" s="5" t="s">
        <v>28</v>
      </c>
      <c r="I888" s="5" t="s">
        <v>29</v>
      </c>
      <c r="J888" s="5" t="s">
        <v>30</v>
      </c>
      <c r="K888" s="5" t="s">
        <v>31</v>
      </c>
      <c r="L888" s="5" t="s">
        <v>32</v>
      </c>
      <c r="M888" s="5" t="s">
        <v>2168</v>
      </c>
      <c r="N888" s="5" t="s">
        <v>2144</v>
      </c>
      <c r="O888" s="5" t="s">
        <v>1433</v>
      </c>
      <c r="P888" s="5" t="s">
        <v>2169</v>
      </c>
      <c r="Q888" s="5">
        <v>102045991</v>
      </c>
      <c r="R888" s="5" t="s">
        <v>56</v>
      </c>
      <c r="S888" s="5" t="s">
        <v>39</v>
      </c>
      <c r="T888" s="7">
        <v>1</v>
      </c>
      <c r="U888" s="15" t="s">
        <v>1433</v>
      </c>
      <c r="V888" s="16" t="s">
        <v>2169</v>
      </c>
      <c r="W888" s="17">
        <v>102045991</v>
      </c>
      <c r="X888" s="16" t="s">
        <v>3036</v>
      </c>
      <c r="Y888" s="17" t="s">
        <v>3220</v>
      </c>
      <c r="Z888" s="17" t="s">
        <v>39</v>
      </c>
      <c r="AA888" s="17" t="s">
        <v>37</v>
      </c>
      <c r="AB888" s="29">
        <v>82.49</v>
      </c>
      <c r="AC888" s="25">
        <v>84.25</v>
      </c>
      <c r="AD888" s="25">
        <f>AC888*T888</f>
        <v>84.25</v>
      </c>
      <c r="AE888" s="25">
        <f>AB888*T888</f>
        <v>82.49</v>
      </c>
      <c r="AF888" s="25">
        <f>AD888-AE888</f>
        <v>1.7600000000000051</v>
      </c>
      <c r="AG888" s="26">
        <f>AF888/AD888</f>
        <v>2.0890207715133592E-2</v>
      </c>
      <c r="AH888" s="27" t="str">
        <f>IF(AG888&lt;0,"Negative",IF(AG888=0,"Same",IF(AG888&gt;0.3,"30+%",IF(AG888&gt;0.2,"20-30%",IF(AG888&gt;0.1,"10-20%",IF(AG888&lt;=0.1,"0-10%"))))))</f>
        <v>0-10%</v>
      </c>
      <c r="AI888" s="32"/>
      <c r="AJ888" s="36" t="s">
        <v>3299</v>
      </c>
      <c r="AK888" s="32"/>
    </row>
    <row r="889" spans="1:37" s="1" customFormat="1" ht="19.7" customHeight="1" x14ac:dyDescent="0.25">
      <c r="A889" s="9" t="s">
        <v>22</v>
      </c>
      <c r="B889" s="9" t="s">
        <v>2080</v>
      </c>
      <c r="C889" s="10">
        <v>44516</v>
      </c>
      <c r="D889" s="9" t="s">
        <v>24</v>
      </c>
      <c r="E889" s="9" t="s">
        <v>25</v>
      </c>
      <c r="F889" s="9" t="s">
        <v>26</v>
      </c>
      <c r="G889" s="9" t="s">
        <v>27</v>
      </c>
      <c r="H889" s="9" t="s">
        <v>28</v>
      </c>
      <c r="I889" s="9" t="s">
        <v>29</v>
      </c>
      <c r="J889" s="9" t="s">
        <v>30</v>
      </c>
      <c r="K889" s="9" t="s">
        <v>31</v>
      </c>
      <c r="L889" s="9" t="s">
        <v>32</v>
      </c>
      <c r="M889" s="9" t="s">
        <v>2081</v>
      </c>
      <c r="N889" s="9" t="s">
        <v>2061</v>
      </c>
      <c r="O889" s="9" t="s">
        <v>79</v>
      </c>
      <c r="P889" s="9" t="s">
        <v>2082</v>
      </c>
      <c r="Q889" s="9">
        <v>101468161</v>
      </c>
      <c r="R889" s="9" t="s">
        <v>61</v>
      </c>
      <c r="S889" s="9" t="s">
        <v>39</v>
      </c>
      <c r="T889" s="11">
        <v>2</v>
      </c>
      <c r="U889" s="15" t="s">
        <v>79</v>
      </c>
      <c r="V889" s="16" t="s">
        <v>2082</v>
      </c>
      <c r="W889" s="17">
        <v>101468161</v>
      </c>
      <c r="X889" s="16" t="s">
        <v>2540</v>
      </c>
      <c r="Y889" s="17" t="s">
        <v>3202</v>
      </c>
      <c r="Z889" s="17" t="s">
        <v>39</v>
      </c>
      <c r="AA889" s="17" t="s">
        <v>37</v>
      </c>
      <c r="AB889" s="43">
        <v>67.790000000000006</v>
      </c>
      <c r="AC889" s="25">
        <v>71.5</v>
      </c>
      <c r="AD889" s="25">
        <f>AC889*T889</f>
        <v>143</v>
      </c>
      <c r="AE889" s="25">
        <f>AB889*T889</f>
        <v>135.58000000000001</v>
      </c>
      <c r="AF889" s="25">
        <f>AD889-AE889</f>
        <v>7.4199999999999875</v>
      </c>
      <c r="AG889" s="26">
        <f>AF889/AD889</f>
        <v>5.18881118881118E-2</v>
      </c>
      <c r="AH889" s="27" t="str">
        <f>IF(AG889&lt;0,"Negative",IF(AG889=0,"Same",IF(AG889&gt;0.3,"30+%",IF(AG889&gt;0.2,"20-30%",IF(AG889&gt;0.1,"10-20%",IF(AG889&lt;=0.1,"0-10%"))))))</f>
        <v>0-10%</v>
      </c>
      <c r="AI889" s="32"/>
      <c r="AJ889" s="36" t="s">
        <v>3299</v>
      </c>
      <c r="AK889" s="32"/>
    </row>
    <row r="890" spans="1:37" s="1" customFormat="1" ht="19.7" customHeight="1" x14ac:dyDescent="0.25">
      <c r="A890" s="9" t="s">
        <v>22</v>
      </c>
      <c r="B890" s="9" t="s">
        <v>668</v>
      </c>
      <c r="C890" s="10">
        <v>44286</v>
      </c>
      <c r="D890" s="9" t="s">
        <v>24</v>
      </c>
      <c r="E890" s="9" t="s">
        <v>25</v>
      </c>
      <c r="F890" s="9" t="s">
        <v>26</v>
      </c>
      <c r="G890" s="9" t="s">
        <v>27</v>
      </c>
      <c r="H890" s="9" t="s">
        <v>28</v>
      </c>
      <c r="I890" s="9" t="s">
        <v>29</v>
      </c>
      <c r="J890" s="9" t="s">
        <v>30</v>
      </c>
      <c r="K890" s="9" t="s">
        <v>31</v>
      </c>
      <c r="L890" s="9" t="s">
        <v>32</v>
      </c>
      <c r="M890" s="9" t="s">
        <v>669</v>
      </c>
      <c r="N890" s="9" t="s">
        <v>369</v>
      </c>
      <c r="O890" s="9" t="s">
        <v>670</v>
      </c>
      <c r="P890" s="9" t="s">
        <v>671</v>
      </c>
      <c r="Q890" s="9">
        <v>106007250</v>
      </c>
      <c r="R890" s="9" t="s">
        <v>38</v>
      </c>
      <c r="S890" s="9" t="s">
        <v>39</v>
      </c>
      <c r="T890" s="11">
        <v>1</v>
      </c>
      <c r="U890" s="15" t="s">
        <v>670</v>
      </c>
      <c r="V890" s="16" t="s">
        <v>671</v>
      </c>
      <c r="W890" s="17">
        <v>106007250</v>
      </c>
      <c r="X890" s="16" t="s">
        <v>2599</v>
      </c>
      <c r="Y890" s="17" t="s">
        <v>2774</v>
      </c>
      <c r="Z890" s="17" t="s">
        <v>39</v>
      </c>
      <c r="AA890" s="17" t="s">
        <v>2501</v>
      </c>
      <c r="AB890" s="29">
        <v>128.12</v>
      </c>
      <c r="AC890" s="25">
        <v>131.02000000000001</v>
      </c>
      <c r="AD890" s="25">
        <f>AC890*T890</f>
        <v>131.02000000000001</v>
      </c>
      <c r="AE890" s="25">
        <f>AB890*T890</f>
        <v>128.12</v>
      </c>
      <c r="AF890" s="25">
        <f>AD890-AE890</f>
        <v>2.9000000000000057</v>
      </c>
      <c r="AG890" s="26">
        <f>AF890/AD890</f>
        <v>2.2134025339642843E-2</v>
      </c>
      <c r="AH890" s="27" t="str">
        <f>IF(AG890&lt;0,"Negative",IF(AG890=0,"Same",IF(AG890&gt;0.3,"30+%",IF(AG890&gt;0.2,"20-30%",IF(AG890&gt;0.1,"10-20%",IF(AG890&lt;=0.1,"0-10%"))))))</f>
        <v>0-10%</v>
      </c>
      <c r="AI890" s="32"/>
      <c r="AJ890" s="36" t="s">
        <v>3300</v>
      </c>
      <c r="AK890" s="32"/>
    </row>
    <row r="891" spans="1:37" s="1" customFormat="1" ht="19.7" customHeight="1" x14ac:dyDescent="0.25">
      <c r="A891" s="5" t="s">
        <v>22</v>
      </c>
      <c r="B891" s="5" t="s">
        <v>2017</v>
      </c>
      <c r="C891" s="6">
        <v>44498</v>
      </c>
      <c r="D891" s="5" t="s">
        <v>24</v>
      </c>
      <c r="E891" s="5" t="s">
        <v>25</v>
      </c>
      <c r="F891" s="5" t="s">
        <v>26</v>
      </c>
      <c r="G891" s="5" t="s">
        <v>67</v>
      </c>
      <c r="H891" s="5" t="s">
        <v>68</v>
      </c>
      <c r="I891" s="5" t="s">
        <v>29</v>
      </c>
      <c r="J891" s="5" t="s">
        <v>30</v>
      </c>
      <c r="K891" s="5" t="s">
        <v>31</v>
      </c>
      <c r="L891" s="5" t="s">
        <v>32</v>
      </c>
      <c r="M891" s="5" t="s">
        <v>108</v>
      </c>
      <c r="N891" s="5" t="s">
        <v>2018</v>
      </c>
      <c r="O891" s="5" t="s">
        <v>109</v>
      </c>
      <c r="P891" s="5" t="s">
        <v>110</v>
      </c>
      <c r="Q891" s="5">
        <v>100722411</v>
      </c>
      <c r="R891" s="5" t="s">
        <v>61</v>
      </c>
      <c r="S891" s="5" t="s">
        <v>39</v>
      </c>
      <c r="T891" s="7">
        <v>1</v>
      </c>
      <c r="U891" s="15" t="s">
        <v>109</v>
      </c>
      <c r="V891" s="16" t="s">
        <v>110</v>
      </c>
      <c r="W891" s="17">
        <v>100722411</v>
      </c>
      <c r="X891" s="16" t="s">
        <v>2526</v>
      </c>
      <c r="Y891" s="17" t="s">
        <v>2527</v>
      </c>
      <c r="Z891" s="17" t="s">
        <v>39</v>
      </c>
      <c r="AA891" s="17" t="s">
        <v>37</v>
      </c>
      <c r="AB891" s="43">
        <v>83.14</v>
      </c>
      <c r="AC891" s="25">
        <v>84.88</v>
      </c>
      <c r="AD891" s="25">
        <f>AC891*T891</f>
        <v>84.88</v>
      </c>
      <c r="AE891" s="25">
        <f>AB891*T891</f>
        <v>83.14</v>
      </c>
      <c r="AF891" s="25">
        <f>AD891-AE891</f>
        <v>1.7399999999999949</v>
      </c>
      <c r="AG891" s="26">
        <f>AF891/AD891</f>
        <v>2.0499528746465538E-2</v>
      </c>
      <c r="AH891" s="27" t="str">
        <f>IF(AG891&lt;0,"Negative",IF(AG891=0,"Same",IF(AG891&gt;0.3,"30+%",IF(AG891&gt;0.2,"20-30%",IF(AG891&gt;0.1,"10-20%",IF(AG891&lt;=0.1,"0-10%"))))))</f>
        <v>0-10%</v>
      </c>
      <c r="AI891" s="32"/>
      <c r="AJ891" s="36" t="s">
        <v>3300</v>
      </c>
      <c r="AK891" s="32"/>
    </row>
    <row r="892" spans="1:37" s="1" customFormat="1" ht="19.7" customHeight="1" x14ac:dyDescent="0.25">
      <c r="A892" s="5" t="s">
        <v>22</v>
      </c>
      <c r="B892" s="5" t="s">
        <v>1743</v>
      </c>
      <c r="C892" s="6">
        <v>44452</v>
      </c>
      <c r="D892" s="5" t="s">
        <v>24</v>
      </c>
      <c r="E892" s="5" t="s">
        <v>25</v>
      </c>
      <c r="F892" s="5" t="s">
        <v>26</v>
      </c>
      <c r="G892" s="5" t="s">
        <v>67</v>
      </c>
      <c r="H892" s="5" t="s">
        <v>68</v>
      </c>
      <c r="I892" s="5" t="s">
        <v>29</v>
      </c>
      <c r="J892" s="5" t="s">
        <v>30</v>
      </c>
      <c r="K892" s="5" t="s">
        <v>31</v>
      </c>
      <c r="L892" s="5" t="s">
        <v>32</v>
      </c>
      <c r="M892" s="5" t="s">
        <v>108</v>
      </c>
      <c r="N892" s="5" t="s">
        <v>1744</v>
      </c>
      <c r="O892" s="5" t="s">
        <v>109</v>
      </c>
      <c r="P892" s="5" t="s">
        <v>110</v>
      </c>
      <c r="Q892" s="5">
        <v>100722411</v>
      </c>
      <c r="R892" s="5" t="s">
        <v>61</v>
      </c>
      <c r="S892" s="5" t="s">
        <v>39</v>
      </c>
      <c r="T892" s="7">
        <v>1</v>
      </c>
      <c r="U892" s="15" t="s">
        <v>109</v>
      </c>
      <c r="V892" s="16" t="s">
        <v>110</v>
      </c>
      <c r="W892" s="17">
        <v>100722411</v>
      </c>
      <c r="X892" s="16" t="s">
        <v>2526</v>
      </c>
      <c r="Y892" s="17" t="s">
        <v>2527</v>
      </c>
      <c r="Z892" s="17" t="s">
        <v>39</v>
      </c>
      <c r="AA892" s="17" t="s">
        <v>37</v>
      </c>
      <c r="AB892" s="43">
        <v>83.14</v>
      </c>
      <c r="AC892" s="25">
        <v>84.88</v>
      </c>
      <c r="AD892" s="25">
        <f>AC892*T892</f>
        <v>84.88</v>
      </c>
      <c r="AE892" s="25">
        <f>AB892*T892</f>
        <v>83.14</v>
      </c>
      <c r="AF892" s="25">
        <f>AD892-AE892</f>
        <v>1.7399999999999949</v>
      </c>
      <c r="AG892" s="26">
        <f>AF892/AD892</f>
        <v>2.0499528746465538E-2</v>
      </c>
      <c r="AH892" s="27" t="str">
        <f>IF(AG892&lt;0,"Negative",IF(AG892=0,"Same",IF(AG892&gt;0.3,"30+%",IF(AG892&gt;0.2,"20-30%",IF(AG892&gt;0.1,"10-20%",IF(AG892&lt;=0.1,"0-10%"))))))</f>
        <v>0-10%</v>
      </c>
      <c r="AI892" s="32"/>
      <c r="AJ892" s="36" t="s">
        <v>3300</v>
      </c>
      <c r="AK892" s="32"/>
    </row>
    <row r="893" spans="1:37" s="1" customFormat="1" ht="19.7" customHeight="1" x14ac:dyDescent="0.25">
      <c r="A893" s="9" t="s">
        <v>22</v>
      </c>
      <c r="B893" s="9" t="s">
        <v>1745</v>
      </c>
      <c r="C893" s="10">
        <v>44452</v>
      </c>
      <c r="D893" s="9" t="s">
        <v>24</v>
      </c>
      <c r="E893" s="9" t="s">
        <v>25</v>
      </c>
      <c r="F893" s="9" t="s">
        <v>26</v>
      </c>
      <c r="G893" s="9" t="s">
        <v>67</v>
      </c>
      <c r="H893" s="9" t="s">
        <v>68</v>
      </c>
      <c r="I893" s="9" t="s">
        <v>29</v>
      </c>
      <c r="J893" s="9" t="s">
        <v>30</v>
      </c>
      <c r="K893" s="9" t="s">
        <v>31</v>
      </c>
      <c r="L893" s="9" t="s">
        <v>32</v>
      </c>
      <c r="M893" s="9" t="s">
        <v>108</v>
      </c>
      <c r="N893" s="9" t="s">
        <v>1746</v>
      </c>
      <c r="O893" s="9" t="s">
        <v>109</v>
      </c>
      <c r="P893" s="9" t="s">
        <v>110</v>
      </c>
      <c r="Q893" s="9">
        <v>100722411</v>
      </c>
      <c r="R893" s="9" t="s">
        <v>61</v>
      </c>
      <c r="S893" s="9" t="s">
        <v>39</v>
      </c>
      <c r="T893" s="11">
        <v>1</v>
      </c>
      <c r="U893" s="15" t="s">
        <v>109</v>
      </c>
      <c r="V893" s="16" t="s">
        <v>110</v>
      </c>
      <c r="W893" s="17">
        <v>100722411</v>
      </c>
      <c r="X893" s="16" t="s">
        <v>2526</v>
      </c>
      <c r="Y893" s="17" t="s">
        <v>2527</v>
      </c>
      <c r="Z893" s="17" t="s">
        <v>39</v>
      </c>
      <c r="AA893" s="17" t="s">
        <v>37</v>
      </c>
      <c r="AB893" s="43">
        <v>83.14</v>
      </c>
      <c r="AC893" s="25">
        <v>84.88</v>
      </c>
      <c r="AD893" s="25">
        <f>AC893*T893</f>
        <v>84.88</v>
      </c>
      <c r="AE893" s="25">
        <f>AB893*T893</f>
        <v>83.14</v>
      </c>
      <c r="AF893" s="25">
        <f>AD893-AE893</f>
        <v>1.7399999999999949</v>
      </c>
      <c r="AG893" s="26">
        <f>AF893/AD893</f>
        <v>2.0499528746465538E-2</v>
      </c>
      <c r="AH893" s="27" t="str">
        <f>IF(AG893&lt;0,"Negative",IF(AG893=0,"Same",IF(AG893&gt;0.3,"30+%",IF(AG893&gt;0.2,"20-30%",IF(AG893&gt;0.1,"10-20%",IF(AG893&lt;=0.1,"0-10%"))))))</f>
        <v>0-10%</v>
      </c>
      <c r="AI893" s="32"/>
      <c r="AJ893" s="36" t="s">
        <v>3300</v>
      </c>
      <c r="AK893" s="32"/>
    </row>
    <row r="894" spans="1:37" s="1" customFormat="1" ht="19.7" customHeight="1" x14ac:dyDescent="0.25">
      <c r="A894" s="5" t="s">
        <v>22</v>
      </c>
      <c r="B894" s="5" t="s">
        <v>1599</v>
      </c>
      <c r="C894" s="6">
        <v>44421</v>
      </c>
      <c r="D894" s="5" t="s">
        <v>24</v>
      </c>
      <c r="E894" s="5" t="s">
        <v>25</v>
      </c>
      <c r="F894" s="5" t="s">
        <v>26</v>
      </c>
      <c r="G894" s="5" t="s">
        <v>67</v>
      </c>
      <c r="H894" s="5" t="s">
        <v>68</v>
      </c>
      <c r="I894" s="5" t="s">
        <v>29</v>
      </c>
      <c r="J894" s="5" t="s">
        <v>30</v>
      </c>
      <c r="K894" s="5" t="s">
        <v>31</v>
      </c>
      <c r="L894" s="5" t="s">
        <v>32</v>
      </c>
      <c r="M894" s="5" t="s">
        <v>108</v>
      </c>
      <c r="N894" s="5" t="s">
        <v>1600</v>
      </c>
      <c r="O894" s="5" t="s">
        <v>109</v>
      </c>
      <c r="P894" s="5" t="s">
        <v>110</v>
      </c>
      <c r="Q894" s="5">
        <v>100722411</v>
      </c>
      <c r="R894" s="5" t="s">
        <v>61</v>
      </c>
      <c r="S894" s="5" t="s">
        <v>39</v>
      </c>
      <c r="T894" s="7">
        <v>1</v>
      </c>
      <c r="U894" s="15" t="s">
        <v>109</v>
      </c>
      <c r="V894" s="16" t="s">
        <v>110</v>
      </c>
      <c r="W894" s="17">
        <v>100722411</v>
      </c>
      <c r="X894" s="16" t="s">
        <v>2526</v>
      </c>
      <c r="Y894" s="17" t="s">
        <v>2527</v>
      </c>
      <c r="Z894" s="17" t="s">
        <v>39</v>
      </c>
      <c r="AA894" s="17" t="s">
        <v>37</v>
      </c>
      <c r="AB894" s="43">
        <v>83.14</v>
      </c>
      <c r="AC894" s="25">
        <v>84.88</v>
      </c>
      <c r="AD894" s="25">
        <f>AC894*T894</f>
        <v>84.88</v>
      </c>
      <c r="AE894" s="25">
        <f>AB894*T894</f>
        <v>83.14</v>
      </c>
      <c r="AF894" s="25">
        <f>AD894-AE894</f>
        <v>1.7399999999999949</v>
      </c>
      <c r="AG894" s="26">
        <f>AF894/AD894</f>
        <v>2.0499528746465538E-2</v>
      </c>
      <c r="AH894" s="27" t="str">
        <f>IF(AG894&lt;0,"Negative",IF(AG894=0,"Same",IF(AG894&gt;0.3,"30+%",IF(AG894&gt;0.2,"20-30%",IF(AG894&gt;0.1,"10-20%",IF(AG894&lt;=0.1,"0-10%"))))))</f>
        <v>0-10%</v>
      </c>
      <c r="AI894" s="32"/>
      <c r="AJ894" s="36" t="s">
        <v>3300</v>
      </c>
      <c r="AK894" s="32"/>
    </row>
    <row r="895" spans="1:37" s="1" customFormat="1" ht="19.7" customHeight="1" x14ac:dyDescent="0.25">
      <c r="A895" s="9" t="s">
        <v>22</v>
      </c>
      <c r="B895" s="9" t="s">
        <v>1537</v>
      </c>
      <c r="C895" s="10">
        <v>44407</v>
      </c>
      <c r="D895" s="9" t="s">
        <v>24</v>
      </c>
      <c r="E895" s="9" t="s">
        <v>25</v>
      </c>
      <c r="F895" s="9" t="s">
        <v>26</v>
      </c>
      <c r="G895" s="9" t="s">
        <v>67</v>
      </c>
      <c r="H895" s="9" t="s">
        <v>68</v>
      </c>
      <c r="I895" s="9" t="s">
        <v>29</v>
      </c>
      <c r="J895" s="9" t="s">
        <v>30</v>
      </c>
      <c r="K895" s="9" t="s">
        <v>31</v>
      </c>
      <c r="L895" s="9" t="s">
        <v>32</v>
      </c>
      <c r="M895" s="9" t="s">
        <v>108</v>
      </c>
      <c r="N895" s="9" t="s">
        <v>1538</v>
      </c>
      <c r="O895" s="9" t="s">
        <v>109</v>
      </c>
      <c r="P895" s="9" t="s">
        <v>110</v>
      </c>
      <c r="Q895" s="9">
        <v>100722411</v>
      </c>
      <c r="R895" s="9" t="s">
        <v>61</v>
      </c>
      <c r="S895" s="9" t="s">
        <v>39</v>
      </c>
      <c r="T895" s="11">
        <v>1</v>
      </c>
      <c r="U895" s="15" t="s">
        <v>109</v>
      </c>
      <c r="V895" s="16" t="s">
        <v>110</v>
      </c>
      <c r="W895" s="17">
        <v>100722411</v>
      </c>
      <c r="X895" s="16" t="s">
        <v>2526</v>
      </c>
      <c r="Y895" s="17" t="s">
        <v>2527</v>
      </c>
      <c r="Z895" s="17" t="s">
        <v>39</v>
      </c>
      <c r="AA895" s="17" t="s">
        <v>37</v>
      </c>
      <c r="AB895" s="43">
        <v>83.14</v>
      </c>
      <c r="AC895" s="25">
        <v>84.88</v>
      </c>
      <c r="AD895" s="25">
        <f>AC895*T895</f>
        <v>84.88</v>
      </c>
      <c r="AE895" s="25">
        <f>AB895*T895</f>
        <v>83.14</v>
      </c>
      <c r="AF895" s="25">
        <f>AD895-AE895</f>
        <v>1.7399999999999949</v>
      </c>
      <c r="AG895" s="26">
        <f>AF895/AD895</f>
        <v>2.0499528746465538E-2</v>
      </c>
      <c r="AH895" s="27" t="str">
        <f>IF(AG895&lt;0,"Negative",IF(AG895=0,"Same",IF(AG895&gt;0.3,"30+%",IF(AG895&gt;0.2,"20-30%",IF(AG895&gt;0.1,"10-20%",IF(AG895&lt;=0.1,"0-10%"))))))</f>
        <v>0-10%</v>
      </c>
      <c r="AI895" s="32"/>
      <c r="AJ895" s="36" t="s">
        <v>3300</v>
      </c>
      <c r="AK895" s="32"/>
    </row>
    <row r="896" spans="1:37" s="1" customFormat="1" ht="19.7" customHeight="1" x14ac:dyDescent="0.25">
      <c r="A896" s="9" t="s">
        <v>22</v>
      </c>
      <c r="B896" s="9" t="s">
        <v>616</v>
      </c>
      <c r="C896" s="10">
        <v>44281</v>
      </c>
      <c r="D896" s="9" t="s">
        <v>24</v>
      </c>
      <c r="E896" s="9" t="s">
        <v>25</v>
      </c>
      <c r="F896" s="9" t="s">
        <v>26</v>
      </c>
      <c r="G896" s="9" t="s">
        <v>67</v>
      </c>
      <c r="H896" s="9" t="s">
        <v>68</v>
      </c>
      <c r="I896" s="9" t="s">
        <v>29</v>
      </c>
      <c r="J896" s="9" t="s">
        <v>30</v>
      </c>
      <c r="K896" s="9" t="s">
        <v>31</v>
      </c>
      <c r="L896" s="9" t="s">
        <v>32</v>
      </c>
      <c r="M896" s="9" t="s">
        <v>108</v>
      </c>
      <c r="N896" s="9" t="s">
        <v>617</v>
      </c>
      <c r="O896" s="9" t="s">
        <v>109</v>
      </c>
      <c r="P896" s="9" t="s">
        <v>110</v>
      </c>
      <c r="Q896" s="9">
        <v>100722411</v>
      </c>
      <c r="R896" s="9" t="s">
        <v>61</v>
      </c>
      <c r="S896" s="9" t="s">
        <v>39</v>
      </c>
      <c r="T896" s="11">
        <v>1</v>
      </c>
      <c r="U896" s="15" t="s">
        <v>109</v>
      </c>
      <c r="V896" s="16" t="s">
        <v>110</v>
      </c>
      <c r="W896" s="17">
        <v>100722411</v>
      </c>
      <c r="X896" s="16" t="s">
        <v>2526</v>
      </c>
      <c r="Y896" s="17" t="s">
        <v>2527</v>
      </c>
      <c r="Z896" s="17" t="s">
        <v>39</v>
      </c>
      <c r="AA896" s="17" t="s">
        <v>37</v>
      </c>
      <c r="AB896" s="43">
        <v>83.14</v>
      </c>
      <c r="AC896" s="25">
        <v>84.88</v>
      </c>
      <c r="AD896" s="25">
        <f>AC896*T896</f>
        <v>84.88</v>
      </c>
      <c r="AE896" s="25">
        <f>AB896*T896</f>
        <v>83.14</v>
      </c>
      <c r="AF896" s="25">
        <f>AD896-AE896</f>
        <v>1.7399999999999949</v>
      </c>
      <c r="AG896" s="26">
        <f>AF896/AD896</f>
        <v>2.0499528746465538E-2</v>
      </c>
      <c r="AH896" s="27" t="str">
        <f>IF(AG896&lt;0,"Negative",IF(AG896=0,"Same",IF(AG896&gt;0.3,"30+%",IF(AG896&gt;0.2,"20-30%",IF(AG896&gt;0.1,"10-20%",IF(AG896&lt;=0.1,"0-10%"))))))</f>
        <v>0-10%</v>
      </c>
      <c r="AI896" s="32"/>
      <c r="AJ896" s="36" t="s">
        <v>3300</v>
      </c>
      <c r="AK896" s="32"/>
    </row>
    <row r="897" spans="1:37" s="1" customFormat="1" ht="19.7" customHeight="1" x14ac:dyDescent="0.25">
      <c r="A897" s="9" t="s">
        <v>22</v>
      </c>
      <c r="B897" s="9" t="s">
        <v>192</v>
      </c>
      <c r="C897" s="10">
        <v>44242</v>
      </c>
      <c r="D897" s="9" t="s">
        <v>24</v>
      </c>
      <c r="E897" s="9" t="s">
        <v>25</v>
      </c>
      <c r="F897" s="9" t="s">
        <v>26</v>
      </c>
      <c r="G897" s="9" t="s">
        <v>67</v>
      </c>
      <c r="H897" s="9" t="s">
        <v>68</v>
      </c>
      <c r="I897" s="9" t="s">
        <v>29</v>
      </c>
      <c r="J897" s="9" t="s">
        <v>30</v>
      </c>
      <c r="K897" s="9" t="s">
        <v>31</v>
      </c>
      <c r="L897" s="9" t="s">
        <v>32</v>
      </c>
      <c r="M897" s="9" t="s">
        <v>108</v>
      </c>
      <c r="N897" s="9" t="s">
        <v>194</v>
      </c>
      <c r="O897" s="9" t="s">
        <v>109</v>
      </c>
      <c r="P897" s="9" t="s">
        <v>110</v>
      </c>
      <c r="Q897" s="9">
        <v>100722411</v>
      </c>
      <c r="R897" s="9" t="s">
        <v>61</v>
      </c>
      <c r="S897" s="9" t="s">
        <v>39</v>
      </c>
      <c r="T897" s="11">
        <v>1</v>
      </c>
      <c r="U897" s="15" t="s">
        <v>109</v>
      </c>
      <c r="V897" s="16" t="s">
        <v>110</v>
      </c>
      <c r="W897" s="17">
        <v>100722411</v>
      </c>
      <c r="X897" s="16" t="s">
        <v>2526</v>
      </c>
      <c r="Y897" s="17" t="s">
        <v>2527</v>
      </c>
      <c r="Z897" s="17" t="s">
        <v>39</v>
      </c>
      <c r="AA897" s="17" t="s">
        <v>37</v>
      </c>
      <c r="AB897" s="43">
        <v>83.14</v>
      </c>
      <c r="AC897" s="25">
        <v>84.88</v>
      </c>
      <c r="AD897" s="25">
        <f>AC897*T897</f>
        <v>84.88</v>
      </c>
      <c r="AE897" s="25">
        <f>AB897*T897</f>
        <v>83.14</v>
      </c>
      <c r="AF897" s="25">
        <f>AD897-AE897</f>
        <v>1.7399999999999949</v>
      </c>
      <c r="AG897" s="26">
        <f>AF897/AD897</f>
        <v>2.0499528746465538E-2</v>
      </c>
      <c r="AH897" s="27" t="str">
        <f>IF(AG897&lt;0,"Negative",IF(AG897=0,"Same",IF(AG897&gt;0.3,"30+%",IF(AG897&gt;0.2,"20-30%",IF(AG897&gt;0.1,"10-20%",IF(AG897&lt;=0.1,"0-10%"))))))</f>
        <v>0-10%</v>
      </c>
      <c r="AI897" s="32"/>
      <c r="AJ897" s="36" t="s">
        <v>3300</v>
      </c>
      <c r="AK897" s="32"/>
    </row>
    <row r="898" spans="1:37" s="1" customFormat="1" ht="19.7" customHeight="1" x14ac:dyDescent="0.25">
      <c r="A898" s="9" t="s">
        <v>22</v>
      </c>
      <c r="B898" s="9" t="s">
        <v>2023</v>
      </c>
      <c r="C898" s="10">
        <v>44498</v>
      </c>
      <c r="D898" s="9" t="s">
        <v>24</v>
      </c>
      <c r="E898" s="9" t="s">
        <v>25</v>
      </c>
      <c r="F898" s="9" t="s">
        <v>26</v>
      </c>
      <c r="G898" s="9" t="s">
        <v>67</v>
      </c>
      <c r="H898" s="9" t="s">
        <v>68</v>
      </c>
      <c r="I898" s="9" t="s">
        <v>29</v>
      </c>
      <c r="J898" s="9" t="s">
        <v>30</v>
      </c>
      <c r="K898" s="9" t="s">
        <v>31</v>
      </c>
      <c r="L898" s="9" t="s">
        <v>32</v>
      </c>
      <c r="M898" s="9" t="s">
        <v>108</v>
      </c>
      <c r="N898" s="9" t="s">
        <v>2024</v>
      </c>
      <c r="O898" s="9" t="s">
        <v>109</v>
      </c>
      <c r="P898" s="9" t="s">
        <v>110</v>
      </c>
      <c r="Q898" s="9">
        <v>100722411</v>
      </c>
      <c r="R898" s="9" t="s">
        <v>61</v>
      </c>
      <c r="S898" s="9" t="s">
        <v>39</v>
      </c>
      <c r="T898" s="11">
        <v>2</v>
      </c>
      <c r="U898" s="15" t="s">
        <v>109</v>
      </c>
      <c r="V898" s="16" t="s">
        <v>110</v>
      </c>
      <c r="W898" s="17">
        <v>100722411</v>
      </c>
      <c r="X898" s="16" t="s">
        <v>2526</v>
      </c>
      <c r="Y898" s="17" t="s">
        <v>2527</v>
      </c>
      <c r="Z898" s="17" t="s">
        <v>39</v>
      </c>
      <c r="AA898" s="17" t="s">
        <v>37</v>
      </c>
      <c r="AB898" s="43">
        <v>83.14</v>
      </c>
      <c r="AC898" s="25">
        <v>84.88</v>
      </c>
      <c r="AD898" s="25">
        <f>AC898*T898</f>
        <v>169.76</v>
      </c>
      <c r="AE898" s="25">
        <f>AB898*T898</f>
        <v>166.28</v>
      </c>
      <c r="AF898" s="25">
        <f>AD898-AE898</f>
        <v>3.4799999999999898</v>
      </c>
      <c r="AG898" s="26">
        <f>AF898/AD898</f>
        <v>2.0499528746465538E-2</v>
      </c>
      <c r="AH898" s="27" t="str">
        <f>IF(AG898&lt;0,"Negative",IF(AG898=0,"Same",IF(AG898&gt;0.3,"30+%",IF(AG898&gt;0.2,"20-30%",IF(AG898&gt;0.1,"10-20%",IF(AG898&lt;=0.1,"0-10%"))))))</f>
        <v>0-10%</v>
      </c>
      <c r="AI898" s="32"/>
      <c r="AJ898" s="36" t="s">
        <v>3300</v>
      </c>
      <c r="AK898" s="32"/>
    </row>
    <row r="899" spans="1:37" s="1" customFormat="1" ht="19.7" customHeight="1" x14ac:dyDescent="0.25">
      <c r="A899" s="9" t="s">
        <v>22</v>
      </c>
      <c r="B899" s="9" t="s">
        <v>1392</v>
      </c>
      <c r="C899" s="10">
        <v>44389</v>
      </c>
      <c r="D899" s="9" t="s">
        <v>24</v>
      </c>
      <c r="E899" s="9" t="s">
        <v>25</v>
      </c>
      <c r="F899" s="9" t="s">
        <v>26</v>
      </c>
      <c r="G899" s="9" t="s">
        <v>67</v>
      </c>
      <c r="H899" s="9" t="s">
        <v>68</v>
      </c>
      <c r="I899" s="9" t="s">
        <v>29</v>
      </c>
      <c r="J899" s="9" t="s">
        <v>30</v>
      </c>
      <c r="K899" s="9" t="s">
        <v>31</v>
      </c>
      <c r="L899" s="9" t="s">
        <v>32</v>
      </c>
      <c r="M899" s="9" t="s">
        <v>108</v>
      </c>
      <c r="N899" s="9" t="s">
        <v>1393</v>
      </c>
      <c r="O899" s="9" t="s">
        <v>109</v>
      </c>
      <c r="P899" s="9" t="s">
        <v>110</v>
      </c>
      <c r="Q899" s="9">
        <v>100722411</v>
      </c>
      <c r="R899" s="9" t="s">
        <v>61</v>
      </c>
      <c r="S899" s="9" t="s">
        <v>39</v>
      </c>
      <c r="T899" s="11">
        <v>2</v>
      </c>
      <c r="U899" s="15" t="s">
        <v>109</v>
      </c>
      <c r="V899" s="16" t="s">
        <v>110</v>
      </c>
      <c r="W899" s="17">
        <v>100722411</v>
      </c>
      <c r="X899" s="16" t="s">
        <v>2526</v>
      </c>
      <c r="Y899" s="17" t="s">
        <v>2527</v>
      </c>
      <c r="Z899" s="17" t="s">
        <v>39</v>
      </c>
      <c r="AA899" s="17" t="s">
        <v>37</v>
      </c>
      <c r="AB899" s="43">
        <v>83.14</v>
      </c>
      <c r="AC899" s="25">
        <v>84.88</v>
      </c>
      <c r="AD899" s="25">
        <f>AC899*T899</f>
        <v>169.76</v>
      </c>
      <c r="AE899" s="25">
        <f>AB899*T899</f>
        <v>166.28</v>
      </c>
      <c r="AF899" s="25">
        <f>AD899-AE899</f>
        <v>3.4799999999999898</v>
      </c>
      <c r="AG899" s="26">
        <f>AF899/AD899</f>
        <v>2.0499528746465538E-2</v>
      </c>
      <c r="AH899" s="27" t="str">
        <f>IF(AG899&lt;0,"Negative",IF(AG899=0,"Same",IF(AG899&gt;0.3,"30+%",IF(AG899&gt;0.2,"20-30%",IF(AG899&gt;0.1,"10-20%",IF(AG899&lt;=0.1,"0-10%"))))))</f>
        <v>0-10%</v>
      </c>
      <c r="AI899" s="32"/>
      <c r="AJ899" s="36" t="s">
        <v>3300</v>
      </c>
      <c r="AK899" s="32"/>
    </row>
    <row r="900" spans="1:37" s="1" customFormat="1" ht="19.7" customHeight="1" x14ac:dyDescent="0.25">
      <c r="A900" s="9" t="s">
        <v>22</v>
      </c>
      <c r="B900" s="9" t="s">
        <v>1689</v>
      </c>
      <c r="C900" s="10">
        <v>44439</v>
      </c>
      <c r="D900" s="9" t="s">
        <v>24</v>
      </c>
      <c r="E900" s="9" t="s">
        <v>25</v>
      </c>
      <c r="F900" s="9" t="s">
        <v>26</v>
      </c>
      <c r="G900" s="9" t="s">
        <v>27</v>
      </c>
      <c r="H900" s="9" t="s">
        <v>28</v>
      </c>
      <c r="I900" s="9" t="s">
        <v>29</v>
      </c>
      <c r="J900" s="9" t="s">
        <v>30</v>
      </c>
      <c r="K900" s="9" t="s">
        <v>31</v>
      </c>
      <c r="L900" s="9" t="s">
        <v>32</v>
      </c>
      <c r="M900" s="9" t="s">
        <v>1693</v>
      </c>
      <c r="N900" s="9" t="s">
        <v>1691</v>
      </c>
      <c r="O900" s="9" t="s">
        <v>79</v>
      </c>
      <c r="P900" s="9" t="s">
        <v>1694</v>
      </c>
      <c r="Q900" s="9">
        <v>100742807</v>
      </c>
      <c r="R900" s="9" t="s">
        <v>61</v>
      </c>
      <c r="S900" s="9" t="s">
        <v>39</v>
      </c>
      <c r="T900" s="11">
        <v>1</v>
      </c>
      <c r="U900" s="15" t="s">
        <v>79</v>
      </c>
      <c r="V900" s="16" t="s">
        <v>1694</v>
      </c>
      <c r="W900" s="17">
        <v>100742807</v>
      </c>
      <c r="X900" s="16" t="s">
        <v>3107</v>
      </c>
      <c r="Y900" s="17" t="s">
        <v>3108</v>
      </c>
      <c r="Z900" s="17" t="s">
        <v>39</v>
      </c>
      <c r="AA900" s="17" t="s">
        <v>37</v>
      </c>
      <c r="AB900" s="43">
        <v>60.48</v>
      </c>
      <c r="AC900" s="25">
        <v>61.06</v>
      </c>
      <c r="AD900" s="25">
        <f>AC900*T900</f>
        <v>61.06</v>
      </c>
      <c r="AE900" s="25">
        <f>AB900*T900</f>
        <v>60.48</v>
      </c>
      <c r="AF900" s="25">
        <f>AD900-AE900</f>
        <v>0.5800000000000054</v>
      </c>
      <c r="AG900" s="26">
        <f>AF900/AD900</f>
        <v>9.4988535866361839E-3</v>
      </c>
      <c r="AH900" s="27" t="str">
        <f>IF(AG900&lt;0,"Negative",IF(AG900=0,"Same",IF(AG900&gt;0.3,"30+%",IF(AG900&gt;0.2,"20-30%",IF(AG900&gt;0.1,"10-20%",IF(AG900&lt;=0.1,"0-10%"))))))</f>
        <v>0-10%</v>
      </c>
      <c r="AI900" s="32"/>
      <c r="AJ900" s="36" t="s">
        <v>3300</v>
      </c>
      <c r="AK900" s="32"/>
    </row>
    <row r="901" spans="1:37" s="1" customFormat="1" ht="19.7" customHeight="1" x14ac:dyDescent="0.25">
      <c r="A901" s="9" t="s">
        <v>22</v>
      </c>
      <c r="B901" s="9" t="s">
        <v>2010</v>
      </c>
      <c r="C901" s="10">
        <v>44498</v>
      </c>
      <c r="D901" s="9" t="s">
        <v>24</v>
      </c>
      <c r="E901" s="9" t="s">
        <v>25</v>
      </c>
      <c r="F901" s="9" t="s">
        <v>26</v>
      </c>
      <c r="G901" s="9" t="s">
        <v>27</v>
      </c>
      <c r="H901" s="9" t="s">
        <v>28</v>
      </c>
      <c r="I901" s="9" t="s">
        <v>29</v>
      </c>
      <c r="J901" s="9" t="s">
        <v>30</v>
      </c>
      <c r="K901" s="9" t="s">
        <v>31</v>
      </c>
      <c r="L901" s="9" t="s">
        <v>32</v>
      </c>
      <c r="M901" s="9" t="s">
        <v>2011</v>
      </c>
      <c r="N901" s="9" t="s">
        <v>1399</v>
      </c>
      <c r="O901" s="9" t="s">
        <v>35</v>
      </c>
      <c r="P901" s="9" t="s">
        <v>2012</v>
      </c>
      <c r="Q901" s="9">
        <v>110380769</v>
      </c>
      <c r="R901" s="9" t="s">
        <v>38</v>
      </c>
      <c r="S901" s="9" t="s">
        <v>39</v>
      </c>
      <c r="T901" s="11">
        <v>1</v>
      </c>
      <c r="U901" s="15" t="s">
        <v>35</v>
      </c>
      <c r="V901" s="16" t="s">
        <v>2012</v>
      </c>
      <c r="W901" s="17">
        <v>110380769</v>
      </c>
      <c r="X901" s="16" t="s">
        <v>2737</v>
      </c>
      <c r="Y901" s="17" t="s">
        <v>3188</v>
      </c>
      <c r="Z901" s="17" t="s">
        <v>39</v>
      </c>
      <c r="AA901" s="17" t="s">
        <v>37</v>
      </c>
      <c r="AB901" s="29">
        <v>87.26</v>
      </c>
      <c r="AC901" s="25">
        <v>89.23</v>
      </c>
      <c r="AD901" s="25">
        <f>AC901*T901</f>
        <v>89.23</v>
      </c>
      <c r="AE901" s="25">
        <f>AB901*T901</f>
        <v>87.26</v>
      </c>
      <c r="AF901" s="25">
        <f>AD901-AE901</f>
        <v>1.9699999999999989</v>
      </c>
      <c r="AG901" s="26">
        <f>AF901/AD901</f>
        <v>2.2077776532556301E-2</v>
      </c>
      <c r="AH901" s="27" t="str">
        <f>IF(AG901&lt;0,"Negative",IF(AG901=0,"Same",IF(AG901&gt;0.3,"30+%",IF(AG901&gt;0.2,"20-30%",IF(AG901&gt;0.1,"10-20%",IF(AG901&lt;=0.1,"0-10%"))))))</f>
        <v>0-10%</v>
      </c>
      <c r="AI901" s="32"/>
      <c r="AJ901" s="36" t="s">
        <v>3300</v>
      </c>
      <c r="AK901" s="32"/>
    </row>
    <row r="902" spans="1:37" s="1" customFormat="1" ht="19.7" customHeight="1" x14ac:dyDescent="0.25">
      <c r="A902" s="5" t="s">
        <v>22</v>
      </c>
      <c r="B902" s="5" t="s">
        <v>1224</v>
      </c>
      <c r="C902" s="6">
        <v>44361</v>
      </c>
      <c r="D902" s="5" t="s">
        <v>24</v>
      </c>
      <c r="E902" s="5" t="s">
        <v>25</v>
      </c>
      <c r="F902" s="5" t="s">
        <v>26</v>
      </c>
      <c r="G902" s="5" t="s">
        <v>27</v>
      </c>
      <c r="H902" s="5" t="s">
        <v>28</v>
      </c>
      <c r="I902" s="5" t="s">
        <v>29</v>
      </c>
      <c r="J902" s="5" t="s">
        <v>30</v>
      </c>
      <c r="K902" s="5" t="s">
        <v>31</v>
      </c>
      <c r="L902" s="5" t="s">
        <v>32</v>
      </c>
      <c r="M902" s="5" t="s">
        <v>261</v>
      </c>
      <c r="N902" s="5" t="s">
        <v>1225</v>
      </c>
      <c r="O902" s="5" t="s">
        <v>103</v>
      </c>
      <c r="P902" s="5" t="s">
        <v>1226</v>
      </c>
      <c r="Q902" s="5">
        <v>118034458</v>
      </c>
      <c r="R902" s="5" t="s">
        <v>56</v>
      </c>
      <c r="S902" s="5" t="s">
        <v>39</v>
      </c>
      <c r="T902" s="7">
        <v>2</v>
      </c>
      <c r="U902" s="15" t="s">
        <v>103</v>
      </c>
      <c r="V902" s="16" t="s">
        <v>1226</v>
      </c>
      <c r="W902" s="17">
        <v>118034458</v>
      </c>
      <c r="X902" s="16" t="s">
        <v>2967</v>
      </c>
      <c r="Y902" s="17" t="s">
        <v>2968</v>
      </c>
      <c r="Z902" s="17" t="s">
        <v>39</v>
      </c>
      <c r="AA902" s="17" t="s">
        <v>2501</v>
      </c>
      <c r="AB902" s="29">
        <v>1189.27</v>
      </c>
      <c r="AC902" s="25">
        <v>1214.57</v>
      </c>
      <c r="AD902" s="25">
        <f>AC902*T902</f>
        <v>2429.14</v>
      </c>
      <c r="AE902" s="25">
        <f>AB902*T902</f>
        <v>2378.54</v>
      </c>
      <c r="AF902" s="25">
        <f>AD902-AE902</f>
        <v>50.599999999999909</v>
      </c>
      <c r="AG902" s="26">
        <f>AF902/AD902</f>
        <v>2.0830417349349938E-2</v>
      </c>
      <c r="AH902" s="27" t="str">
        <f>IF(AG902&lt;0,"Negative",IF(AG902=0,"Same",IF(AG902&gt;0.3,"30+%",IF(AG902&gt;0.2,"20-30%",IF(AG902&gt;0.1,"10-20%",IF(AG902&lt;=0.1,"0-10%"))))))</f>
        <v>0-10%</v>
      </c>
      <c r="AI902" s="32"/>
      <c r="AJ902" s="36" t="s">
        <v>3300</v>
      </c>
      <c r="AK902" s="32"/>
    </row>
    <row r="903" spans="1:37" s="1" customFormat="1" ht="19.7" customHeight="1" x14ac:dyDescent="0.25">
      <c r="A903" s="5" t="s">
        <v>22</v>
      </c>
      <c r="B903" s="5" t="s">
        <v>2353</v>
      </c>
      <c r="C903" s="6">
        <v>44571</v>
      </c>
      <c r="D903" s="5" t="s">
        <v>24</v>
      </c>
      <c r="E903" s="5" t="s">
        <v>25</v>
      </c>
      <c r="F903" s="5" t="s">
        <v>26</v>
      </c>
      <c r="G903" s="5" t="s">
        <v>27</v>
      </c>
      <c r="H903" s="5" t="s">
        <v>28</v>
      </c>
      <c r="I903" s="5" t="s">
        <v>29</v>
      </c>
      <c r="J903" s="5" t="s">
        <v>30</v>
      </c>
      <c r="K903" s="5" t="s">
        <v>31</v>
      </c>
      <c r="L903" s="5" t="s">
        <v>32</v>
      </c>
      <c r="M903" s="5" t="s">
        <v>261</v>
      </c>
      <c r="N903" s="5" t="s">
        <v>2354</v>
      </c>
      <c r="O903" s="5" t="s">
        <v>79</v>
      </c>
      <c r="P903" s="5" t="s">
        <v>2355</v>
      </c>
      <c r="Q903" s="5">
        <v>111942536</v>
      </c>
      <c r="R903" s="5" t="s">
        <v>61</v>
      </c>
      <c r="S903" s="5" t="s">
        <v>39</v>
      </c>
      <c r="T903" s="7">
        <v>1</v>
      </c>
      <c r="U903" s="15" t="s">
        <v>79</v>
      </c>
      <c r="V903" s="16" t="s">
        <v>2355</v>
      </c>
      <c r="W903" s="17">
        <v>111942536</v>
      </c>
      <c r="X903" s="16" t="s">
        <v>2608</v>
      </c>
      <c r="Y903" s="17" t="s">
        <v>3253</v>
      </c>
      <c r="Z903" s="17" t="s">
        <v>39</v>
      </c>
      <c r="AA903" s="17" t="s">
        <v>37</v>
      </c>
      <c r="AB903" s="43">
        <v>138.33000000000001</v>
      </c>
      <c r="AC903" s="25">
        <v>145.94</v>
      </c>
      <c r="AD903" s="25">
        <f>AC903*T903</f>
        <v>145.94</v>
      </c>
      <c r="AE903" s="25">
        <f>AB903*T903</f>
        <v>138.33000000000001</v>
      </c>
      <c r="AF903" s="25">
        <f>AD903-AE903</f>
        <v>7.6099999999999852</v>
      </c>
      <c r="AG903" s="26">
        <f>AF903/AD903</f>
        <v>5.2144717006989076E-2</v>
      </c>
      <c r="AH903" s="27" t="str">
        <f>IF(AG903&lt;0,"Negative",IF(AG903=0,"Same",IF(AG903&gt;0.3,"30+%",IF(AG903&gt;0.2,"20-30%",IF(AG903&gt;0.1,"10-20%",IF(AG903&lt;=0.1,"0-10%"))))))</f>
        <v>0-10%</v>
      </c>
      <c r="AI903" s="32"/>
      <c r="AJ903" s="36" t="s">
        <v>3299</v>
      </c>
      <c r="AK903" s="32"/>
    </row>
    <row r="904" spans="1:37" s="1" customFormat="1" ht="19.7" customHeight="1" x14ac:dyDescent="0.25">
      <c r="A904" s="5" t="s">
        <v>22</v>
      </c>
      <c r="B904" s="5" t="s">
        <v>413</v>
      </c>
      <c r="C904" s="6">
        <v>44260</v>
      </c>
      <c r="D904" s="5" t="s">
        <v>24</v>
      </c>
      <c r="E904" s="5" t="s">
        <v>25</v>
      </c>
      <c r="F904" s="5" t="s">
        <v>26</v>
      </c>
      <c r="G904" s="5" t="s">
        <v>27</v>
      </c>
      <c r="H904" s="5" t="s">
        <v>28</v>
      </c>
      <c r="I904" s="5" t="s">
        <v>29</v>
      </c>
      <c r="J904" s="5" t="s">
        <v>30</v>
      </c>
      <c r="K904" s="5" t="s">
        <v>31</v>
      </c>
      <c r="L904" s="5" t="s">
        <v>32</v>
      </c>
      <c r="M904" s="5" t="s">
        <v>414</v>
      </c>
      <c r="N904" s="5" t="s">
        <v>415</v>
      </c>
      <c r="O904" s="5" t="s">
        <v>154</v>
      </c>
      <c r="P904" s="5" t="s">
        <v>416</v>
      </c>
      <c r="Q904" s="5">
        <v>100737371</v>
      </c>
      <c r="R904" s="5" t="s">
        <v>61</v>
      </c>
      <c r="S904" s="5" t="s">
        <v>39</v>
      </c>
      <c r="T904" s="7">
        <v>1</v>
      </c>
      <c r="U904" s="15" t="s">
        <v>154</v>
      </c>
      <c r="V904" s="16" t="s">
        <v>416</v>
      </c>
      <c r="W904" s="17">
        <v>100737371</v>
      </c>
      <c r="X904" s="16" t="s">
        <v>2654</v>
      </c>
      <c r="Y904" s="17" t="s">
        <v>2664</v>
      </c>
      <c r="Z904" s="17" t="s">
        <v>39</v>
      </c>
      <c r="AA904" s="17" t="s">
        <v>37</v>
      </c>
      <c r="AB904" s="43">
        <v>83.06</v>
      </c>
      <c r="AC904" s="25">
        <v>88.62</v>
      </c>
      <c r="AD904" s="25">
        <f>AC904*T904</f>
        <v>88.62</v>
      </c>
      <c r="AE904" s="25">
        <f>AB904*T904</f>
        <v>83.06</v>
      </c>
      <c r="AF904" s="25">
        <f>AD904-AE904</f>
        <v>5.5600000000000023</v>
      </c>
      <c r="AG904" s="26">
        <f>AF904/AD904</f>
        <v>6.2739787858271293E-2</v>
      </c>
      <c r="AH904" s="27" t="str">
        <f>IF(AG904&lt;0,"Negative",IF(AG904=0,"Same",IF(AG904&gt;0.3,"30+%",IF(AG904&gt;0.2,"20-30%",IF(AG904&gt;0.1,"10-20%",IF(AG904&lt;=0.1,"0-10%"))))))</f>
        <v>0-10%</v>
      </c>
      <c r="AI904" s="32"/>
      <c r="AJ904" s="36" t="s">
        <v>3299</v>
      </c>
      <c r="AK904" s="32"/>
    </row>
    <row r="905" spans="1:37" s="1" customFormat="1" ht="19.7" customHeight="1" x14ac:dyDescent="0.25">
      <c r="A905" s="5" t="s">
        <v>22</v>
      </c>
      <c r="B905" s="5" t="s">
        <v>588</v>
      </c>
      <c r="C905" s="6">
        <v>44280</v>
      </c>
      <c r="D905" s="5" t="s">
        <v>24</v>
      </c>
      <c r="E905" s="5" t="s">
        <v>25</v>
      </c>
      <c r="F905" s="5" t="s">
        <v>26</v>
      </c>
      <c r="G905" s="5" t="s">
        <v>27</v>
      </c>
      <c r="H905" s="5" t="s">
        <v>28</v>
      </c>
      <c r="I905" s="5" t="s">
        <v>29</v>
      </c>
      <c r="J905" s="5" t="s">
        <v>30</v>
      </c>
      <c r="K905" s="5" t="s">
        <v>31</v>
      </c>
      <c r="L905" s="5" t="s">
        <v>32</v>
      </c>
      <c r="M905" s="5" t="s">
        <v>261</v>
      </c>
      <c r="N905" s="5" t="s">
        <v>568</v>
      </c>
      <c r="O905" s="5" t="s">
        <v>334</v>
      </c>
      <c r="P905" s="5" t="s">
        <v>590</v>
      </c>
      <c r="Q905" s="5">
        <v>118005658</v>
      </c>
      <c r="R905" s="5" t="s">
        <v>38</v>
      </c>
      <c r="S905" s="5" t="s">
        <v>39</v>
      </c>
      <c r="T905" s="7">
        <v>2</v>
      </c>
      <c r="U905" s="15" t="s">
        <v>334</v>
      </c>
      <c r="V905" s="16" t="s">
        <v>590</v>
      </c>
      <c r="W905" s="17">
        <v>118005658</v>
      </c>
      <c r="X905" s="16" t="s">
        <v>2629</v>
      </c>
      <c r="Y905" s="17" t="s">
        <v>2742</v>
      </c>
      <c r="Z905" s="17" t="s">
        <v>39</v>
      </c>
      <c r="AA905" s="17" t="s">
        <v>2501</v>
      </c>
      <c r="AB905" s="29">
        <v>1216.02</v>
      </c>
      <c r="AC905" s="25">
        <v>1243.55</v>
      </c>
      <c r="AD905" s="25">
        <f>AC905*T905</f>
        <v>2487.1</v>
      </c>
      <c r="AE905" s="25">
        <f>AB905*T905</f>
        <v>2432.04</v>
      </c>
      <c r="AF905" s="25">
        <f>AD905-AE905</f>
        <v>55.059999999999945</v>
      </c>
      <c r="AG905" s="26">
        <f>AF905/AD905</f>
        <v>2.2138233283744098E-2</v>
      </c>
      <c r="AH905" s="27" t="str">
        <f>IF(AG905&lt;0,"Negative",IF(AG905=0,"Same",IF(AG905&gt;0.3,"30+%",IF(AG905&gt;0.2,"20-30%",IF(AG905&gt;0.1,"10-20%",IF(AG905&lt;=0.1,"0-10%"))))))</f>
        <v>0-10%</v>
      </c>
      <c r="AI905" s="32"/>
      <c r="AJ905" s="36" t="s">
        <v>3300</v>
      </c>
      <c r="AK905" s="32"/>
    </row>
    <row r="906" spans="1:37" s="1" customFormat="1" ht="19.7" customHeight="1" x14ac:dyDescent="0.25">
      <c r="A906" s="5" t="s">
        <v>22</v>
      </c>
      <c r="B906" s="5" t="s">
        <v>1126</v>
      </c>
      <c r="C906" s="6">
        <v>44343</v>
      </c>
      <c r="D906" s="5" t="s">
        <v>24</v>
      </c>
      <c r="E906" s="5" t="s">
        <v>25</v>
      </c>
      <c r="F906" s="5" t="s">
        <v>26</v>
      </c>
      <c r="G906" s="5" t="s">
        <v>27</v>
      </c>
      <c r="H906" s="5" t="s">
        <v>28</v>
      </c>
      <c r="I906" s="5" t="s">
        <v>29</v>
      </c>
      <c r="J906" s="5" t="s">
        <v>30</v>
      </c>
      <c r="K906" s="5" t="s">
        <v>31</v>
      </c>
      <c r="L906" s="5" t="s">
        <v>32</v>
      </c>
      <c r="M906" s="5" t="s">
        <v>1127</v>
      </c>
      <c r="N906" s="5" t="s">
        <v>1128</v>
      </c>
      <c r="O906" s="5" t="s">
        <v>169</v>
      </c>
      <c r="P906" s="5" t="s">
        <v>1129</v>
      </c>
      <c r="Q906" s="5">
        <v>101940040</v>
      </c>
      <c r="R906" s="5" t="s">
        <v>56</v>
      </c>
      <c r="S906" s="5" t="s">
        <v>39</v>
      </c>
      <c r="T906" s="7">
        <v>1</v>
      </c>
      <c r="U906" s="15" t="s">
        <v>169</v>
      </c>
      <c r="V906" s="16" t="s">
        <v>1129</v>
      </c>
      <c r="W906" s="17">
        <v>101940040</v>
      </c>
      <c r="X906" s="16" t="s">
        <v>2845</v>
      </c>
      <c r="Y906" s="17" t="s">
        <v>2932</v>
      </c>
      <c r="Z906" s="17" t="s">
        <v>39</v>
      </c>
      <c r="AA906" s="17" t="s">
        <v>37</v>
      </c>
      <c r="AB906" s="43">
        <v>152.21</v>
      </c>
      <c r="AC906" s="25">
        <v>167.24</v>
      </c>
      <c r="AD906" s="25">
        <f>AC906*T906</f>
        <v>167.24</v>
      </c>
      <c r="AE906" s="25">
        <f>AB906*T906</f>
        <v>152.21</v>
      </c>
      <c r="AF906" s="25">
        <f>AD906-AE906</f>
        <v>15.030000000000001</v>
      </c>
      <c r="AG906" s="26">
        <f>AF906/AD906</f>
        <v>8.9870844295623059E-2</v>
      </c>
      <c r="AH906" s="27" t="str">
        <f>IF(AG906&lt;0,"Negative",IF(AG906=0,"Same",IF(AG906&gt;0.3,"30+%",IF(AG906&gt;0.2,"20-30%",IF(AG906&gt;0.1,"10-20%",IF(AG906&lt;=0.1,"0-10%"))))))</f>
        <v>0-10%</v>
      </c>
      <c r="AI906" s="32"/>
      <c r="AJ906" s="36" t="s">
        <v>3299</v>
      </c>
      <c r="AK906" s="32"/>
    </row>
    <row r="907" spans="1:37" s="1" customFormat="1" ht="19.7" customHeight="1" x14ac:dyDescent="0.25">
      <c r="A907" s="9" t="s">
        <v>22</v>
      </c>
      <c r="B907" s="9" t="s">
        <v>2402</v>
      </c>
      <c r="C907" s="10">
        <v>44580</v>
      </c>
      <c r="D907" s="9" t="s">
        <v>24</v>
      </c>
      <c r="E907" s="9" t="s">
        <v>25</v>
      </c>
      <c r="F907" s="9" t="s">
        <v>26</v>
      </c>
      <c r="G907" s="9" t="s">
        <v>27</v>
      </c>
      <c r="H907" s="9" t="s">
        <v>28</v>
      </c>
      <c r="I907" s="9" t="s">
        <v>29</v>
      </c>
      <c r="J907" s="9" t="s">
        <v>30</v>
      </c>
      <c r="K907" s="9" t="s">
        <v>31</v>
      </c>
      <c r="L907" s="9" t="s">
        <v>32</v>
      </c>
      <c r="M907" s="9" t="s">
        <v>261</v>
      </c>
      <c r="N907" s="9" t="s">
        <v>2403</v>
      </c>
      <c r="O907" s="9" t="s">
        <v>2404</v>
      </c>
      <c r="P907" s="9" t="s">
        <v>2405</v>
      </c>
      <c r="Q907" s="9">
        <v>118882366</v>
      </c>
      <c r="R907" s="9" t="s">
        <v>38</v>
      </c>
      <c r="S907" s="9" t="s">
        <v>39</v>
      </c>
      <c r="T907" s="11">
        <v>1</v>
      </c>
      <c r="U907" s="15" t="s">
        <v>2404</v>
      </c>
      <c r="V907" s="16" t="s">
        <v>2405</v>
      </c>
      <c r="W907" s="17">
        <v>118882366</v>
      </c>
      <c r="X907" s="16" t="s">
        <v>2508</v>
      </c>
      <c r="Y907" s="17" t="s">
        <v>3266</v>
      </c>
      <c r="Z907" s="17" t="s">
        <v>39</v>
      </c>
      <c r="AA907" s="17" t="s">
        <v>2501</v>
      </c>
      <c r="AB907" s="29">
        <v>1219.77</v>
      </c>
      <c r="AC907" s="25">
        <v>1247.3699999999999</v>
      </c>
      <c r="AD907" s="25">
        <f>AC907*T907</f>
        <v>1247.3699999999999</v>
      </c>
      <c r="AE907" s="25">
        <f>AB907*T907</f>
        <v>1219.77</v>
      </c>
      <c r="AF907" s="25">
        <f>AD907-AE907</f>
        <v>27.599999999999909</v>
      </c>
      <c r="AG907" s="26">
        <f>AF907/AD907</f>
        <v>2.2126554270184399E-2</v>
      </c>
      <c r="AH907" s="27" t="str">
        <f>IF(AG907&lt;0,"Negative",IF(AG907=0,"Same",IF(AG907&gt;0.3,"30+%",IF(AG907&gt;0.2,"20-30%",IF(AG907&gt;0.1,"10-20%",IF(AG907&lt;=0.1,"0-10%"))))))</f>
        <v>0-10%</v>
      </c>
      <c r="AI907" s="32"/>
      <c r="AJ907" s="36" t="s">
        <v>3300</v>
      </c>
      <c r="AK907" s="32"/>
    </row>
    <row r="908" spans="1:37" s="1" customFormat="1" ht="19.7" customHeight="1" x14ac:dyDescent="0.25">
      <c r="A908" s="5" t="s">
        <v>22</v>
      </c>
      <c r="B908" s="5" t="s">
        <v>551</v>
      </c>
      <c r="C908" s="6">
        <v>44274</v>
      </c>
      <c r="D908" s="5" t="s">
        <v>24</v>
      </c>
      <c r="E908" s="5" t="s">
        <v>25</v>
      </c>
      <c r="F908" s="5" t="s">
        <v>26</v>
      </c>
      <c r="G908" s="5" t="s">
        <v>67</v>
      </c>
      <c r="H908" s="5" t="s">
        <v>68</v>
      </c>
      <c r="I908" s="5" t="s">
        <v>29</v>
      </c>
      <c r="J908" s="5" t="s">
        <v>30</v>
      </c>
      <c r="K908" s="5" t="s">
        <v>31</v>
      </c>
      <c r="L908" s="5" t="s">
        <v>32</v>
      </c>
      <c r="M908" s="5" t="s">
        <v>552</v>
      </c>
      <c r="N908" s="5" t="s">
        <v>202</v>
      </c>
      <c r="O908" s="5" t="s">
        <v>553</v>
      </c>
      <c r="P908" s="5" t="s">
        <v>554</v>
      </c>
      <c r="Q908" s="5">
        <v>100048699</v>
      </c>
      <c r="R908" s="5" t="s">
        <v>38</v>
      </c>
      <c r="S908" s="5" t="s">
        <v>39</v>
      </c>
      <c r="T908" s="7">
        <v>1</v>
      </c>
      <c r="U908" s="15" t="s">
        <v>553</v>
      </c>
      <c r="V908" s="16" t="s">
        <v>554</v>
      </c>
      <c r="W908" s="17">
        <v>100048699</v>
      </c>
      <c r="X908" s="16" t="s">
        <v>2585</v>
      </c>
      <c r="Y908" s="17" t="s">
        <v>2727</v>
      </c>
      <c r="Z908" s="17" t="s">
        <v>39</v>
      </c>
      <c r="AA908" s="17" t="s">
        <v>37</v>
      </c>
      <c r="AB908" s="29">
        <v>81.45</v>
      </c>
      <c r="AC908" s="25">
        <v>83.29</v>
      </c>
      <c r="AD908" s="25">
        <f>AC908*T908</f>
        <v>83.29</v>
      </c>
      <c r="AE908" s="25">
        <f>AB908*T908</f>
        <v>81.45</v>
      </c>
      <c r="AF908" s="25">
        <f>AD908-AE908</f>
        <v>1.8400000000000034</v>
      </c>
      <c r="AG908" s="26">
        <f>AF908/AD908</f>
        <v>2.2091487573538279E-2</v>
      </c>
      <c r="AH908" s="27" t="str">
        <f>IF(AG908&lt;0,"Negative",IF(AG908=0,"Same",IF(AG908&gt;0.3,"30+%",IF(AG908&gt;0.2,"20-30%",IF(AG908&gt;0.1,"10-20%",IF(AG908&lt;=0.1,"0-10%"))))))</f>
        <v>0-10%</v>
      </c>
      <c r="AI908" s="32"/>
      <c r="AJ908" s="36" t="s">
        <v>3300</v>
      </c>
      <c r="AK908" s="32"/>
    </row>
    <row r="909" spans="1:37" s="1" customFormat="1" ht="19.7" customHeight="1" x14ac:dyDescent="0.25">
      <c r="A909" s="5" t="s">
        <v>22</v>
      </c>
      <c r="B909" s="5" t="s">
        <v>1990</v>
      </c>
      <c r="C909" s="6">
        <v>44495</v>
      </c>
      <c r="D909" s="5" t="s">
        <v>24</v>
      </c>
      <c r="E909" s="5" t="s">
        <v>25</v>
      </c>
      <c r="F909" s="5" t="s">
        <v>26</v>
      </c>
      <c r="G909" s="5" t="s">
        <v>27</v>
      </c>
      <c r="H909" s="5" t="s">
        <v>28</v>
      </c>
      <c r="I909" s="5" t="s">
        <v>29</v>
      </c>
      <c r="J909" s="5" t="s">
        <v>30</v>
      </c>
      <c r="K909" s="5" t="s">
        <v>31</v>
      </c>
      <c r="L909" s="5" t="s">
        <v>32</v>
      </c>
      <c r="M909" s="5" t="s">
        <v>1991</v>
      </c>
      <c r="N909" s="5" t="s">
        <v>1992</v>
      </c>
      <c r="O909" s="5" t="s">
        <v>154</v>
      </c>
      <c r="P909" s="5" t="s">
        <v>1993</v>
      </c>
      <c r="Q909" s="5">
        <v>100736395</v>
      </c>
      <c r="R909" s="5" t="s">
        <v>61</v>
      </c>
      <c r="S909" s="5" t="s">
        <v>39</v>
      </c>
      <c r="T909" s="7">
        <v>2</v>
      </c>
      <c r="U909" s="15" t="s">
        <v>154</v>
      </c>
      <c r="V909" s="16" t="s">
        <v>1993</v>
      </c>
      <c r="W909" s="17">
        <v>100736395</v>
      </c>
      <c r="X909" s="16" t="s">
        <v>2793</v>
      </c>
      <c r="Y909" s="17" t="s">
        <v>3182</v>
      </c>
      <c r="Z909" s="17" t="s">
        <v>39</v>
      </c>
      <c r="AA909" s="17" t="s">
        <v>37</v>
      </c>
      <c r="AB909" s="43">
        <v>70.08</v>
      </c>
      <c r="AC909" s="25">
        <v>77.38</v>
      </c>
      <c r="AD909" s="25">
        <f>AC909*T909</f>
        <v>154.76</v>
      </c>
      <c r="AE909" s="25">
        <f>AB909*T909</f>
        <v>140.16</v>
      </c>
      <c r="AF909" s="25">
        <f>AD909-AE909</f>
        <v>14.599999999999994</v>
      </c>
      <c r="AG909" s="26">
        <f>AF909/AD909</f>
        <v>9.4339622641509399E-2</v>
      </c>
      <c r="AH909" s="27" t="str">
        <f>IF(AG909&lt;0,"Negative",IF(AG909=0,"Same",IF(AG909&gt;0.3,"30+%",IF(AG909&gt;0.2,"20-30%",IF(AG909&gt;0.1,"10-20%",IF(AG909&lt;=0.1,"0-10%"))))))</f>
        <v>0-10%</v>
      </c>
      <c r="AI909" s="32"/>
      <c r="AJ909" s="36" t="s">
        <v>3299</v>
      </c>
      <c r="AK909" s="32"/>
    </row>
    <row r="910" spans="1:37" s="1" customFormat="1" ht="19.7" customHeight="1" x14ac:dyDescent="0.25">
      <c r="A910" s="9" t="s">
        <v>22</v>
      </c>
      <c r="B910" s="9" t="s">
        <v>2486</v>
      </c>
      <c r="C910" s="10">
        <v>44592</v>
      </c>
      <c r="D910" s="9" t="s">
        <v>24</v>
      </c>
      <c r="E910" s="9" t="s">
        <v>25</v>
      </c>
      <c r="F910" s="9" t="s">
        <v>26</v>
      </c>
      <c r="G910" s="9" t="s">
        <v>27</v>
      </c>
      <c r="H910" s="9" t="s">
        <v>28</v>
      </c>
      <c r="I910" s="9" t="s">
        <v>29</v>
      </c>
      <c r="J910" s="9" t="s">
        <v>30</v>
      </c>
      <c r="K910" s="9" t="s">
        <v>31</v>
      </c>
      <c r="L910" s="9" t="s">
        <v>32</v>
      </c>
      <c r="M910" s="9" t="s">
        <v>261</v>
      </c>
      <c r="N910" s="9" t="s">
        <v>2487</v>
      </c>
      <c r="O910" s="9" t="s">
        <v>2488</v>
      </c>
      <c r="P910" s="9" t="s">
        <v>2489</v>
      </c>
      <c r="Q910" s="9">
        <v>105322336</v>
      </c>
      <c r="R910" s="9" t="s">
        <v>56</v>
      </c>
      <c r="S910" s="9" t="s">
        <v>39</v>
      </c>
      <c r="T910" s="11">
        <v>1</v>
      </c>
      <c r="U910" s="15" t="s">
        <v>2488</v>
      </c>
      <c r="V910" s="16" t="s">
        <v>2489</v>
      </c>
      <c r="W910" s="17">
        <v>105322336</v>
      </c>
      <c r="X910" s="16" t="s">
        <v>3129</v>
      </c>
      <c r="Y910" s="17" t="s">
        <v>3285</v>
      </c>
      <c r="Z910" s="17" t="s">
        <v>39</v>
      </c>
      <c r="AA910" s="17" t="s">
        <v>2501</v>
      </c>
      <c r="AB910" s="29">
        <v>1287.8399999999999</v>
      </c>
      <c r="AC910" s="25">
        <v>1315.24</v>
      </c>
      <c r="AD910" s="25">
        <f>AC910*T910</f>
        <v>1315.24</v>
      </c>
      <c r="AE910" s="25">
        <f>AB910*T910</f>
        <v>1287.8399999999999</v>
      </c>
      <c r="AF910" s="25">
        <f>AD910-AE910</f>
        <v>27.400000000000091</v>
      </c>
      <c r="AG910" s="26">
        <f>AF910/AD910</f>
        <v>2.0832699735409577E-2</v>
      </c>
      <c r="AH910" s="27" t="str">
        <f>IF(AG910&lt;0,"Negative",IF(AG910=0,"Same",IF(AG910&gt;0.3,"30+%",IF(AG910&gt;0.2,"20-30%",IF(AG910&gt;0.1,"10-20%",IF(AG910&lt;=0.1,"0-10%"))))))</f>
        <v>0-10%</v>
      </c>
      <c r="AI910" s="32"/>
      <c r="AJ910" s="36" t="s">
        <v>3300</v>
      </c>
      <c r="AK910" s="32"/>
    </row>
    <row r="911" spans="1:37" s="1" customFormat="1" ht="19.7" customHeight="1" x14ac:dyDescent="0.25">
      <c r="A911" s="9" t="s">
        <v>22</v>
      </c>
      <c r="B911" s="9" t="s">
        <v>1701</v>
      </c>
      <c r="C911" s="10">
        <v>44439</v>
      </c>
      <c r="D911" s="9" t="s">
        <v>24</v>
      </c>
      <c r="E911" s="9" t="s">
        <v>25</v>
      </c>
      <c r="F911" s="9" t="s">
        <v>26</v>
      </c>
      <c r="G911" s="9" t="s">
        <v>27</v>
      </c>
      <c r="H911" s="9" t="s">
        <v>28</v>
      </c>
      <c r="I911" s="9" t="s">
        <v>29</v>
      </c>
      <c r="J911" s="9" t="s">
        <v>30</v>
      </c>
      <c r="K911" s="9" t="s">
        <v>31</v>
      </c>
      <c r="L911" s="9" t="s">
        <v>32</v>
      </c>
      <c r="M911" s="9" t="s">
        <v>1650</v>
      </c>
      <c r="N911" s="9" t="s">
        <v>1702</v>
      </c>
      <c r="O911" s="9" t="s">
        <v>169</v>
      </c>
      <c r="P911" s="9" t="s">
        <v>1651</v>
      </c>
      <c r="Q911" s="9">
        <v>101963297</v>
      </c>
      <c r="R911" s="9" t="s">
        <v>56</v>
      </c>
      <c r="S911" s="9" t="s">
        <v>39</v>
      </c>
      <c r="T911" s="11">
        <v>1</v>
      </c>
      <c r="U911" s="15" t="s">
        <v>169</v>
      </c>
      <c r="V911" s="16" t="s">
        <v>1651</v>
      </c>
      <c r="W911" s="17">
        <v>101963297</v>
      </c>
      <c r="X911" s="16" t="s">
        <v>2845</v>
      </c>
      <c r="Y911" s="17" t="s">
        <v>3100</v>
      </c>
      <c r="Z911" s="17" t="s">
        <v>39</v>
      </c>
      <c r="AA911" s="17" t="s">
        <v>37</v>
      </c>
      <c r="AB911" s="43">
        <v>161.56</v>
      </c>
      <c r="AC911" s="25">
        <v>177.52</v>
      </c>
      <c r="AD911" s="25">
        <f>AC911*T911</f>
        <v>177.52</v>
      </c>
      <c r="AE911" s="25">
        <f>AB911*T911</f>
        <v>161.56</v>
      </c>
      <c r="AF911" s="25">
        <f>AD911-AE911</f>
        <v>15.960000000000008</v>
      </c>
      <c r="AG911" s="26">
        <f>AF911/AD911</f>
        <v>8.9905362776025274E-2</v>
      </c>
      <c r="AH911" s="27" t="str">
        <f>IF(AG911&lt;0,"Negative",IF(AG911=0,"Same",IF(AG911&gt;0.3,"30+%",IF(AG911&gt;0.2,"20-30%",IF(AG911&gt;0.1,"10-20%",IF(AG911&lt;=0.1,"0-10%"))))))</f>
        <v>0-10%</v>
      </c>
      <c r="AI911" s="32"/>
      <c r="AJ911" s="36" t="s">
        <v>3299</v>
      </c>
      <c r="AK911" s="32"/>
    </row>
    <row r="912" spans="1:37" s="1" customFormat="1" ht="19.7" customHeight="1" x14ac:dyDescent="0.25">
      <c r="A912" s="5" t="s">
        <v>22</v>
      </c>
      <c r="B912" s="5" t="s">
        <v>1649</v>
      </c>
      <c r="C912" s="6">
        <v>44428</v>
      </c>
      <c r="D912" s="5" t="s">
        <v>24</v>
      </c>
      <c r="E912" s="5" t="s">
        <v>25</v>
      </c>
      <c r="F912" s="5" t="s">
        <v>26</v>
      </c>
      <c r="G912" s="5" t="s">
        <v>27</v>
      </c>
      <c r="H912" s="5" t="s">
        <v>28</v>
      </c>
      <c r="I912" s="5" t="s">
        <v>29</v>
      </c>
      <c r="J912" s="5" t="s">
        <v>30</v>
      </c>
      <c r="K912" s="5" t="s">
        <v>31</v>
      </c>
      <c r="L912" s="5" t="s">
        <v>32</v>
      </c>
      <c r="M912" s="5" t="s">
        <v>1650</v>
      </c>
      <c r="N912" s="5" t="s">
        <v>1572</v>
      </c>
      <c r="O912" s="5" t="s">
        <v>169</v>
      </c>
      <c r="P912" s="5" t="s">
        <v>1651</v>
      </c>
      <c r="Q912" s="5">
        <v>101963297</v>
      </c>
      <c r="R912" s="5" t="s">
        <v>56</v>
      </c>
      <c r="S912" s="5" t="s">
        <v>39</v>
      </c>
      <c r="T912" s="7">
        <v>2</v>
      </c>
      <c r="U912" s="15" t="s">
        <v>169</v>
      </c>
      <c r="V912" s="16" t="s">
        <v>1651</v>
      </c>
      <c r="W912" s="17">
        <v>101963297</v>
      </c>
      <c r="X912" s="16" t="s">
        <v>2845</v>
      </c>
      <c r="Y912" s="17" t="s">
        <v>3100</v>
      </c>
      <c r="Z912" s="17" t="s">
        <v>39</v>
      </c>
      <c r="AA912" s="17" t="s">
        <v>37</v>
      </c>
      <c r="AB912" s="43">
        <v>161.56</v>
      </c>
      <c r="AC912" s="25">
        <v>177.52</v>
      </c>
      <c r="AD912" s="25">
        <f>AC912*T912</f>
        <v>355.04</v>
      </c>
      <c r="AE912" s="25">
        <f>AB912*T912</f>
        <v>323.12</v>
      </c>
      <c r="AF912" s="25">
        <f>AD912-AE912</f>
        <v>31.920000000000016</v>
      </c>
      <c r="AG912" s="26">
        <f>AF912/AD912</f>
        <v>8.9905362776025274E-2</v>
      </c>
      <c r="AH912" s="27" t="str">
        <f>IF(AG912&lt;0,"Negative",IF(AG912=0,"Same",IF(AG912&gt;0.3,"30+%",IF(AG912&gt;0.2,"20-30%",IF(AG912&gt;0.1,"10-20%",IF(AG912&lt;=0.1,"0-10%"))))))</f>
        <v>0-10%</v>
      </c>
      <c r="AI912" s="32"/>
      <c r="AJ912" s="36" t="s">
        <v>3299</v>
      </c>
      <c r="AK912" s="32"/>
    </row>
    <row r="913" spans="1:37" s="1" customFormat="1" ht="19.7" customHeight="1" x14ac:dyDescent="0.25">
      <c r="A913" s="9" t="s">
        <v>22</v>
      </c>
      <c r="B913" s="9" t="s">
        <v>603</v>
      </c>
      <c r="C913" s="10">
        <v>44281</v>
      </c>
      <c r="D913" s="9" t="s">
        <v>24</v>
      </c>
      <c r="E913" s="9" t="s">
        <v>25</v>
      </c>
      <c r="F913" s="9" t="s">
        <v>26</v>
      </c>
      <c r="G913" s="9" t="s">
        <v>27</v>
      </c>
      <c r="H913" s="9" t="s">
        <v>28</v>
      </c>
      <c r="I913" s="9" t="s">
        <v>29</v>
      </c>
      <c r="J913" s="9" t="s">
        <v>30</v>
      </c>
      <c r="K913" s="9" t="s">
        <v>31</v>
      </c>
      <c r="L913" s="9" t="s">
        <v>32</v>
      </c>
      <c r="M913" s="9" t="s">
        <v>604</v>
      </c>
      <c r="N913" s="9" t="s">
        <v>605</v>
      </c>
      <c r="O913" s="9" t="s">
        <v>109</v>
      </c>
      <c r="P913" s="9" t="s">
        <v>606</v>
      </c>
      <c r="Q913" s="9">
        <v>100001320</v>
      </c>
      <c r="R913" s="9" t="s">
        <v>61</v>
      </c>
      <c r="S913" s="9" t="s">
        <v>39</v>
      </c>
      <c r="T913" s="11">
        <v>1</v>
      </c>
      <c r="U913" s="15" t="s">
        <v>109</v>
      </c>
      <c r="V913" s="16" t="s">
        <v>606</v>
      </c>
      <c r="W913" s="17">
        <v>100001320</v>
      </c>
      <c r="X913" s="16" t="s">
        <v>2526</v>
      </c>
      <c r="Y913" s="17" t="s">
        <v>2748</v>
      </c>
      <c r="Z913" s="17" t="s">
        <v>39</v>
      </c>
      <c r="AA913" s="17" t="s">
        <v>37</v>
      </c>
      <c r="AB913" s="43">
        <v>91.29</v>
      </c>
      <c r="AC913" s="25">
        <v>93.21</v>
      </c>
      <c r="AD913" s="25">
        <f>AC913*T913</f>
        <v>93.21</v>
      </c>
      <c r="AE913" s="25">
        <f>AB913*T913</f>
        <v>91.29</v>
      </c>
      <c r="AF913" s="25">
        <f>AD913-AE913</f>
        <v>1.9199999999999875</v>
      </c>
      <c r="AG913" s="26">
        <f>AF913/AD913</f>
        <v>2.0598648213710841E-2</v>
      </c>
      <c r="AH913" s="27" t="str">
        <f>IF(AG913&lt;0,"Negative",IF(AG913=0,"Same",IF(AG913&gt;0.3,"30+%",IF(AG913&gt;0.2,"20-30%",IF(AG913&gt;0.1,"10-20%",IF(AG913&lt;=0.1,"0-10%"))))))</f>
        <v>0-10%</v>
      </c>
      <c r="AI913" s="32"/>
      <c r="AJ913" s="36" t="s">
        <v>3300</v>
      </c>
      <c r="AK913" s="32"/>
    </row>
    <row r="914" spans="1:37" s="1" customFormat="1" ht="19.7" customHeight="1" x14ac:dyDescent="0.25">
      <c r="A914" s="5" t="s">
        <v>22</v>
      </c>
      <c r="B914" s="5" t="s">
        <v>1459</v>
      </c>
      <c r="C914" s="6">
        <v>44399</v>
      </c>
      <c r="D914" s="5" t="s">
        <v>24</v>
      </c>
      <c r="E914" s="5" t="s">
        <v>25</v>
      </c>
      <c r="F914" s="5" t="s">
        <v>26</v>
      </c>
      <c r="G914" s="5" t="s">
        <v>27</v>
      </c>
      <c r="H914" s="5" t="s">
        <v>28</v>
      </c>
      <c r="I914" s="5" t="s">
        <v>29</v>
      </c>
      <c r="J914" s="5" t="s">
        <v>30</v>
      </c>
      <c r="K914" s="5" t="s">
        <v>31</v>
      </c>
      <c r="L914" s="5" t="s">
        <v>32</v>
      </c>
      <c r="M914" s="5" t="s">
        <v>316</v>
      </c>
      <c r="N914" s="5" t="s">
        <v>1437</v>
      </c>
      <c r="O914" s="5" t="s">
        <v>79</v>
      </c>
      <c r="P914" s="5" t="s">
        <v>317</v>
      </c>
      <c r="Q914" s="5">
        <v>101176914</v>
      </c>
      <c r="R914" s="5" t="s">
        <v>61</v>
      </c>
      <c r="S914" s="5" t="s">
        <v>39</v>
      </c>
      <c r="T914" s="7">
        <v>2</v>
      </c>
      <c r="U914" s="15" t="s">
        <v>79</v>
      </c>
      <c r="V914" s="16" t="s">
        <v>317</v>
      </c>
      <c r="W914" s="17">
        <v>101176914</v>
      </c>
      <c r="X914" s="16" t="s">
        <v>2623</v>
      </c>
      <c r="Y914" s="17" t="s">
        <v>2624</v>
      </c>
      <c r="Z914" s="17" t="s">
        <v>39</v>
      </c>
      <c r="AA914" s="17" t="s">
        <v>37</v>
      </c>
      <c r="AB914" s="43">
        <v>57.79</v>
      </c>
      <c r="AC914" s="25">
        <v>58.34</v>
      </c>
      <c r="AD914" s="25">
        <f>AC914*T914</f>
        <v>116.68</v>
      </c>
      <c r="AE914" s="25">
        <f>AB914*T914</f>
        <v>115.58</v>
      </c>
      <c r="AF914" s="25">
        <f>AD914-AE914</f>
        <v>1.1000000000000085</v>
      </c>
      <c r="AG914" s="26">
        <f>AF914/AD914</f>
        <v>9.4274940006857082E-3</v>
      </c>
      <c r="AH914" s="27" t="str">
        <f>IF(AG914&lt;0,"Negative",IF(AG914=0,"Same",IF(AG914&gt;0.3,"30+%",IF(AG914&gt;0.2,"20-30%",IF(AG914&gt;0.1,"10-20%",IF(AG914&lt;=0.1,"0-10%"))))))</f>
        <v>0-10%</v>
      </c>
      <c r="AI914" s="32"/>
      <c r="AJ914" s="36" t="s">
        <v>3299</v>
      </c>
      <c r="AK914" s="32"/>
    </row>
    <row r="915" spans="1:37" s="1" customFormat="1" ht="19.7" customHeight="1" x14ac:dyDescent="0.25">
      <c r="A915" s="5" t="s">
        <v>22</v>
      </c>
      <c r="B915" s="5" t="s">
        <v>315</v>
      </c>
      <c r="C915" s="6">
        <v>44250</v>
      </c>
      <c r="D915" s="5" t="s">
        <v>24</v>
      </c>
      <c r="E915" s="5" t="s">
        <v>25</v>
      </c>
      <c r="F915" s="5" t="s">
        <v>26</v>
      </c>
      <c r="G915" s="5" t="s">
        <v>27</v>
      </c>
      <c r="H915" s="5" t="s">
        <v>28</v>
      </c>
      <c r="I915" s="5" t="s">
        <v>29</v>
      </c>
      <c r="J915" s="5" t="s">
        <v>30</v>
      </c>
      <c r="K915" s="5" t="s">
        <v>31</v>
      </c>
      <c r="L915" s="5" t="s">
        <v>32</v>
      </c>
      <c r="M915" s="5" t="s">
        <v>316</v>
      </c>
      <c r="N915" s="5" t="s">
        <v>251</v>
      </c>
      <c r="O915" s="5" t="s">
        <v>79</v>
      </c>
      <c r="P915" s="5" t="s">
        <v>317</v>
      </c>
      <c r="Q915" s="5">
        <v>101176914</v>
      </c>
      <c r="R915" s="5" t="s">
        <v>61</v>
      </c>
      <c r="S915" s="5" t="s">
        <v>39</v>
      </c>
      <c r="T915" s="7">
        <v>2</v>
      </c>
      <c r="U915" s="15" t="s">
        <v>79</v>
      </c>
      <c r="V915" s="16" t="s">
        <v>317</v>
      </c>
      <c r="W915" s="17">
        <v>101176914</v>
      </c>
      <c r="X915" s="16" t="s">
        <v>2623</v>
      </c>
      <c r="Y915" s="17" t="s">
        <v>2624</v>
      </c>
      <c r="Z915" s="17" t="s">
        <v>39</v>
      </c>
      <c r="AA915" s="17" t="s">
        <v>37</v>
      </c>
      <c r="AB915" s="43">
        <v>57.79</v>
      </c>
      <c r="AC915" s="25">
        <v>58.34</v>
      </c>
      <c r="AD915" s="25">
        <f>AC915*T915</f>
        <v>116.68</v>
      </c>
      <c r="AE915" s="25">
        <f>AB915*T915</f>
        <v>115.58</v>
      </c>
      <c r="AF915" s="25">
        <f>AD915-AE915</f>
        <v>1.1000000000000085</v>
      </c>
      <c r="AG915" s="26">
        <f>AF915/AD915</f>
        <v>9.4274940006857082E-3</v>
      </c>
      <c r="AH915" s="27" t="str">
        <f>IF(AG915&lt;0,"Negative",IF(AG915=0,"Same",IF(AG915&gt;0.3,"30+%",IF(AG915&gt;0.2,"20-30%",IF(AG915&gt;0.1,"10-20%",IF(AG915&lt;=0.1,"0-10%"))))))</f>
        <v>0-10%</v>
      </c>
      <c r="AI915" s="32"/>
      <c r="AJ915" s="36" t="s">
        <v>3299</v>
      </c>
      <c r="AK915" s="32"/>
    </row>
    <row r="916" spans="1:37" s="1" customFormat="1" ht="19.7" customHeight="1" x14ac:dyDescent="0.25">
      <c r="A916" s="9" t="s">
        <v>22</v>
      </c>
      <c r="B916" s="9" t="s">
        <v>1907</v>
      </c>
      <c r="C916" s="10">
        <v>44480</v>
      </c>
      <c r="D916" s="9" t="s">
        <v>24</v>
      </c>
      <c r="E916" s="9" t="s">
        <v>25</v>
      </c>
      <c r="F916" s="9" t="s">
        <v>26</v>
      </c>
      <c r="G916" s="9" t="s">
        <v>27</v>
      </c>
      <c r="H916" s="9" t="s">
        <v>28</v>
      </c>
      <c r="I916" s="9" t="s">
        <v>29</v>
      </c>
      <c r="J916" s="9" t="s">
        <v>30</v>
      </c>
      <c r="K916" s="9" t="s">
        <v>31</v>
      </c>
      <c r="L916" s="9" t="s">
        <v>32</v>
      </c>
      <c r="M916" s="9" t="s">
        <v>316</v>
      </c>
      <c r="N916" s="9" t="s">
        <v>1892</v>
      </c>
      <c r="O916" s="9" t="s">
        <v>79</v>
      </c>
      <c r="P916" s="9" t="s">
        <v>317</v>
      </c>
      <c r="Q916" s="9">
        <v>101176914</v>
      </c>
      <c r="R916" s="9" t="s">
        <v>61</v>
      </c>
      <c r="S916" s="9" t="s">
        <v>39</v>
      </c>
      <c r="T916" s="11">
        <v>4</v>
      </c>
      <c r="U916" s="15" t="s">
        <v>79</v>
      </c>
      <c r="V916" s="16" t="s">
        <v>317</v>
      </c>
      <c r="W916" s="17">
        <v>101176914</v>
      </c>
      <c r="X916" s="16" t="s">
        <v>2623</v>
      </c>
      <c r="Y916" s="17" t="s">
        <v>2624</v>
      </c>
      <c r="Z916" s="17" t="s">
        <v>39</v>
      </c>
      <c r="AA916" s="17" t="s">
        <v>37</v>
      </c>
      <c r="AB916" s="43">
        <v>57.79</v>
      </c>
      <c r="AC916" s="25">
        <v>58.34</v>
      </c>
      <c r="AD916" s="25">
        <f>AC916*T916</f>
        <v>233.36</v>
      </c>
      <c r="AE916" s="25">
        <f>AB916*T916</f>
        <v>231.16</v>
      </c>
      <c r="AF916" s="25">
        <f>AD916-AE916</f>
        <v>2.2000000000000171</v>
      </c>
      <c r="AG916" s="26">
        <f>AF916/AD916</f>
        <v>9.4274940006857082E-3</v>
      </c>
      <c r="AH916" s="27" t="str">
        <f>IF(AG916&lt;0,"Negative",IF(AG916=0,"Same",IF(AG916&gt;0.3,"30+%",IF(AG916&gt;0.2,"20-30%",IF(AG916&gt;0.1,"10-20%",IF(AG916&lt;=0.1,"0-10%"))))))</f>
        <v>0-10%</v>
      </c>
      <c r="AI916" s="32"/>
      <c r="AJ916" s="36" t="s">
        <v>3299</v>
      </c>
      <c r="AK916" s="32"/>
    </row>
    <row r="917" spans="1:37" s="1" customFormat="1" ht="19.7" customHeight="1" x14ac:dyDescent="0.25">
      <c r="A917" s="5" t="s">
        <v>22</v>
      </c>
      <c r="B917" s="5" t="s">
        <v>2289</v>
      </c>
      <c r="C917" s="6">
        <v>44559</v>
      </c>
      <c r="D917" s="5" t="s">
        <v>24</v>
      </c>
      <c r="E917" s="5" t="s">
        <v>25</v>
      </c>
      <c r="F917" s="5" t="s">
        <v>26</v>
      </c>
      <c r="G917" s="5" t="s">
        <v>67</v>
      </c>
      <c r="H917" s="5" t="s">
        <v>68</v>
      </c>
      <c r="I917" s="5" t="s">
        <v>29</v>
      </c>
      <c r="J917" s="5" t="s">
        <v>30</v>
      </c>
      <c r="K917" s="5" t="s">
        <v>31</v>
      </c>
      <c r="L917" s="5" t="s">
        <v>32</v>
      </c>
      <c r="M917" s="5" t="s">
        <v>277</v>
      </c>
      <c r="N917" s="5" t="s">
        <v>1927</v>
      </c>
      <c r="O917" s="5" t="s">
        <v>43</v>
      </c>
      <c r="P917" s="5" t="s">
        <v>279</v>
      </c>
      <c r="Q917" s="5">
        <v>114316533</v>
      </c>
      <c r="R917" s="5" t="s">
        <v>73</v>
      </c>
      <c r="S917" s="5" t="s">
        <v>39</v>
      </c>
      <c r="T917" s="7">
        <v>24</v>
      </c>
      <c r="U917" s="15" t="s">
        <v>43</v>
      </c>
      <c r="V917" s="16" t="s">
        <v>279</v>
      </c>
      <c r="W917" s="17">
        <v>114316533</v>
      </c>
      <c r="X917" s="16" t="s">
        <v>2603</v>
      </c>
      <c r="Y917" s="17" t="s">
        <v>2604</v>
      </c>
      <c r="Z917" s="17" t="s">
        <v>39</v>
      </c>
      <c r="AA917" s="17" t="s">
        <v>2501</v>
      </c>
      <c r="AB917" s="29">
        <v>122.4</v>
      </c>
      <c r="AC917" s="25">
        <v>117.36</v>
      </c>
      <c r="AD917" s="25">
        <f>AC917*T917</f>
        <v>2816.64</v>
      </c>
      <c r="AE917" s="25">
        <f>AB917*T917</f>
        <v>2937.6000000000004</v>
      </c>
      <c r="AF917" s="25">
        <f>AD917-AE917</f>
        <v>-120.96000000000049</v>
      </c>
      <c r="AG917" s="26">
        <f>AF917/AD917</f>
        <v>-4.2944785276073795E-2</v>
      </c>
      <c r="AH917" s="27" t="str">
        <f>IF(AG917&lt;0,"Negative",IF(AG917=0,"Same",IF(AG917&gt;0.3,"30+%",IF(AG917&gt;0.2,"20-30%",IF(AG917&gt;0.1,"10-20%",IF(AG917&lt;=0.1,"0-10%"))))))</f>
        <v>Negative</v>
      </c>
      <c r="AI917" s="32"/>
      <c r="AJ917" s="36" t="s">
        <v>3300</v>
      </c>
      <c r="AK917" s="32"/>
    </row>
    <row r="918" spans="1:37" s="1" customFormat="1" ht="19.7" customHeight="1" x14ac:dyDescent="0.25">
      <c r="A918" s="5" t="s">
        <v>22</v>
      </c>
      <c r="B918" s="5" t="s">
        <v>276</v>
      </c>
      <c r="C918" s="6">
        <v>44246</v>
      </c>
      <c r="D918" s="5" t="s">
        <v>24</v>
      </c>
      <c r="E918" s="5" t="s">
        <v>25</v>
      </c>
      <c r="F918" s="5" t="s">
        <v>26</v>
      </c>
      <c r="G918" s="5" t="s">
        <v>67</v>
      </c>
      <c r="H918" s="5" t="s">
        <v>68</v>
      </c>
      <c r="I918" s="5" t="s">
        <v>29</v>
      </c>
      <c r="J918" s="5" t="s">
        <v>30</v>
      </c>
      <c r="K918" s="5" t="s">
        <v>31</v>
      </c>
      <c r="L918" s="5" t="s">
        <v>32</v>
      </c>
      <c r="M918" s="5" t="s">
        <v>277</v>
      </c>
      <c r="N918" s="5" t="s">
        <v>278</v>
      </c>
      <c r="O918" s="5" t="s">
        <v>43</v>
      </c>
      <c r="P918" s="5" t="s">
        <v>279</v>
      </c>
      <c r="Q918" s="5">
        <v>114316533</v>
      </c>
      <c r="R918" s="5" t="s">
        <v>73</v>
      </c>
      <c r="S918" s="5" t="s">
        <v>39</v>
      </c>
      <c r="T918" s="7">
        <v>24</v>
      </c>
      <c r="U918" s="15" t="s">
        <v>43</v>
      </c>
      <c r="V918" s="16" t="s">
        <v>279</v>
      </c>
      <c r="W918" s="17">
        <v>114316533</v>
      </c>
      <c r="X918" s="16" t="s">
        <v>2603</v>
      </c>
      <c r="Y918" s="17" t="s">
        <v>2604</v>
      </c>
      <c r="Z918" s="17" t="s">
        <v>39</v>
      </c>
      <c r="AA918" s="17" t="s">
        <v>2501</v>
      </c>
      <c r="AB918" s="29">
        <v>122.4</v>
      </c>
      <c r="AC918" s="25">
        <v>117.36</v>
      </c>
      <c r="AD918" s="25">
        <f>AC918*T918</f>
        <v>2816.64</v>
      </c>
      <c r="AE918" s="25">
        <f>AB918*T918</f>
        <v>2937.6000000000004</v>
      </c>
      <c r="AF918" s="25">
        <f>AD918-AE918</f>
        <v>-120.96000000000049</v>
      </c>
      <c r="AG918" s="26">
        <f>AF918/AD918</f>
        <v>-4.2944785276073795E-2</v>
      </c>
      <c r="AH918" s="27" t="str">
        <f>IF(AG918&lt;0,"Negative",IF(AG918=0,"Same",IF(AG918&gt;0.3,"30+%",IF(AG918&gt;0.2,"20-30%",IF(AG918&gt;0.1,"10-20%",IF(AG918&lt;=0.1,"0-10%"))))))</f>
        <v>Negative</v>
      </c>
      <c r="AI918" s="32"/>
      <c r="AJ918" s="36" t="s">
        <v>3300</v>
      </c>
      <c r="AK918" s="32"/>
    </row>
    <row r="919" spans="1:37" s="1" customFormat="1" ht="19.7" customHeight="1" x14ac:dyDescent="0.25">
      <c r="A919" s="9" t="s">
        <v>22</v>
      </c>
      <c r="B919" s="9" t="s">
        <v>597</v>
      </c>
      <c r="C919" s="10">
        <v>44280</v>
      </c>
      <c r="D919" s="9" t="s">
        <v>24</v>
      </c>
      <c r="E919" s="9" t="s">
        <v>25</v>
      </c>
      <c r="F919" s="9" t="s">
        <v>26</v>
      </c>
      <c r="G919" s="9" t="s">
        <v>27</v>
      </c>
      <c r="H919" s="9" t="s">
        <v>28</v>
      </c>
      <c r="I919" s="9" t="s">
        <v>29</v>
      </c>
      <c r="J919" s="9" t="s">
        <v>30</v>
      </c>
      <c r="K919" s="9" t="s">
        <v>31</v>
      </c>
      <c r="L919" s="9" t="s">
        <v>32</v>
      </c>
      <c r="M919" s="9" t="s">
        <v>598</v>
      </c>
      <c r="N919" s="9" t="s">
        <v>534</v>
      </c>
      <c r="O919" s="9" t="s">
        <v>43</v>
      </c>
      <c r="P919" s="9" t="s">
        <v>599</v>
      </c>
      <c r="Q919" s="9">
        <v>110914667</v>
      </c>
      <c r="R919" s="9" t="s">
        <v>73</v>
      </c>
      <c r="S919" s="9" t="s">
        <v>39</v>
      </c>
      <c r="T919" s="11">
        <v>1</v>
      </c>
      <c r="U919" s="15" t="s">
        <v>43</v>
      </c>
      <c r="V919" s="16" t="s">
        <v>599</v>
      </c>
      <c r="W919" s="17">
        <v>110914667</v>
      </c>
      <c r="X919" s="16" t="s">
        <v>2745</v>
      </c>
      <c r="Y919" s="17" t="s">
        <v>2746</v>
      </c>
      <c r="Z919" s="17" t="s">
        <v>39</v>
      </c>
      <c r="AA919" s="17" t="s">
        <v>2501</v>
      </c>
      <c r="AB919" s="29">
        <v>105.25</v>
      </c>
      <c r="AC919" s="25">
        <v>100.91</v>
      </c>
      <c r="AD919" s="25">
        <f>AC919*T919</f>
        <v>100.91</v>
      </c>
      <c r="AE919" s="25">
        <f>AB919*T919</f>
        <v>105.25</v>
      </c>
      <c r="AF919" s="25">
        <f>AD919-AE919</f>
        <v>-4.3400000000000034</v>
      </c>
      <c r="AG919" s="26">
        <f>AF919/AD919</f>
        <v>-4.300862154395009E-2</v>
      </c>
      <c r="AH919" s="27" t="str">
        <f>IF(AG919&lt;0,"Negative",IF(AG919=0,"Same",IF(AG919&gt;0.3,"30+%",IF(AG919&gt;0.2,"20-30%",IF(AG919&gt;0.1,"10-20%",IF(AG919&lt;=0.1,"0-10%"))))))</f>
        <v>Negative</v>
      </c>
      <c r="AI919" s="32"/>
      <c r="AJ919" s="36" t="s">
        <v>3300</v>
      </c>
      <c r="AK919" s="32"/>
    </row>
    <row r="920" spans="1:37" s="1" customFormat="1" ht="19.7" customHeight="1" x14ac:dyDescent="0.25">
      <c r="A920" s="5" t="s">
        <v>22</v>
      </c>
      <c r="B920" s="5" t="s">
        <v>1340</v>
      </c>
      <c r="C920" s="6">
        <v>44378</v>
      </c>
      <c r="D920" s="5" t="s">
        <v>24</v>
      </c>
      <c r="E920" s="5" t="s">
        <v>25</v>
      </c>
      <c r="F920" s="5" t="s">
        <v>26</v>
      </c>
      <c r="G920" s="5" t="s">
        <v>27</v>
      </c>
      <c r="H920" s="5" t="s">
        <v>28</v>
      </c>
      <c r="I920" s="5" t="s">
        <v>29</v>
      </c>
      <c r="J920" s="5" t="s">
        <v>30</v>
      </c>
      <c r="K920" s="5" t="s">
        <v>31</v>
      </c>
      <c r="L920" s="5" t="s">
        <v>32</v>
      </c>
      <c r="M920" s="5" t="s">
        <v>1341</v>
      </c>
      <c r="N920" s="5" t="s">
        <v>1319</v>
      </c>
      <c r="O920" s="5" t="s">
        <v>1342</v>
      </c>
      <c r="P920" s="5" t="s">
        <v>1343</v>
      </c>
      <c r="Q920" s="5">
        <v>101977444</v>
      </c>
      <c r="R920" s="5" t="s">
        <v>61</v>
      </c>
      <c r="S920" s="5" t="s">
        <v>39</v>
      </c>
      <c r="T920" s="7">
        <v>6</v>
      </c>
      <c r="U920" s="15" t="s">
        <v>1342</v>
      </c>
      <c r="V920" s="16" t="s">
        <v>1343</v>
      </c>
      <c r="W920" s="17">
        <v>101977444</v>
      </c>
      <c r="X920" s="16" t="s">
        <v>2755</v>
      </c>
      <c r="Y920" s="17" t="s">
        <v>3006</v>
      </c>
      <c r="Z920" s="17" t="s">
        <v>39</v>
      </c>
      <c r="AA920" s="17" t="s">
        <v>37</v>
      </c>
      <c r="AB920" s="43">
        <v>114.62</v>
      </c>
      <c r="AC920" s="25">
        <v>117.02</v>
      </c>
      <c r="AD920" s="25">
        <f>AC920*T920</f>
        <v>702.12</v>
      </c>
      <c r="AE920" s="25">
        <f>AB920*T920</f>
        <v>687.72</v>
      </c>
      <c r="AF920" s="25">
        <f>AD920-AE920</f>
        <v>14.399999999999977</v>
      </c>
      <c r="AG920" s="26">
        <f>AF920/AD920</f>
        <v>2.0509314647068844E-2</v>
      </c>
      <c r="AH920" s="27" t="str">
        <f>IF(AG920&lt;0,"Negative",IF(AG920=0,"Same",IF(AG920&gt;0.3,"30+%",IF(AG920&gt;0.2,"20-30%",IF(AG920&gt;0.1,"10-20%",IF(AG920&lt;=0.1,"0-10%"))))))</f>
        <v>0-10%</v>
      </c>
      <c r="AI920" s="32"/>
      <c r="AJ920" s="36" t="s">
        <v>3300</v>
      </c>
      <c r="AK920" s="32"/>
    </row>
    <row r="921" spans="1:37" s="1" customFormat="1" ht="19.7" customHeight="1" x14ac:dyDescent="0.25">
      <c r="A921" s="5" t="s">
        <v>22</v>
      </c>
      <c r="B921" s="5" t="s">
        <v>2191</v>
      </c>
      <c r="C921" s="6">
        <v>44536</v>
      </c>
      <c r="D921" s="5" t="s">
        <v>24</v>
      </c>
      <c r="E921" s="5" t="s">
        <v>25</v>
      </c>
      <c r="F921" s="5" t="s">
        <v>26</v>
      </c>
      <c r="G921" s="5" t="s">
        <v>67</v>
      </c>
      <c r="H921" s="5" t="s">
        <v>68</v>
      </c>
      <c r="I921" s="5" t="s">
        <v>29</v>
      </c>
      <c r="J921" s="5" t="s">
        <v>30</v>
      </c>
      <c r="K921" s="5" t="s">
        <v>31</v>
      </c>
      <c r="L921" s="5" t="s">
        <v>32</v>
      </c>
      <c r="M921" s="5" t="s">
        <v>211</v>
      </c>
      <c r="N921" s="5" t="s">
        <v>2192</v>
      </c>
      <c r="O921" s="5" t="s">
        <v>71</v>
      </c>
      <c r="P921" s="5" t="s">
        <v>213</v>
      </c>
      <c r="Q921" s="5">
        <v>112432078</v>
      </c>
      <c r="R921" s="5" t="s">
        <v>76</v>
      </c>
      <c r="S921" s="5" t="s">
        <v>77</v>
      </c>
      <c r="T921" s="7">
        <v>48</v>
      </c>
      <c r="U921" s="15" t="s">
        <v>71</v>
      </c>
      <c r="V921" s="41" t="s">
        <v>213</v>
      </c>
      <c r="W921" s="17">
        <v>112432078</v>
      </c>
      <c r="X921" s="16" t="s">
        <v>2512</v>
      </c>
      <c r="Y921" s="17" t="s">
        <v>2576</v>
      </c>
      <c r="Z921" s="17" t="s">
        <v>77</v>
      </c>
      <c r="AA921" s="17" t="s">
        <v>37</v>
      </c>
      <c r="AB921" s="29">
        <v>55.25</v>
      </c>
      <c r="AC921" s="25">
        <v>55.25</v>
      </c>
      <c r="AD921" s="25">
        <f>AC921*T921</f>
        <v>2652</v>
      </c>
      <c r="AE921" s="25">
        <f>AB921*T921</f>
        <v>2652</v>
      </c>
      <c r="AF921" s="25">
        <f>AD921-AE921</f>
        <v>0</v>
      </c>
      <c r="AG921" s="26">
        <f>AF921/AD921</f>
        <v>0</v>
      </c>
      <c r="AH921" s="27" t="str">
        <f>IF(AG921&lt;0,"Negative",IF(AG921=0,"Same",IF(AG921&gt;0.3,"30+%",IF(AG921&gt;0.2,"20-30%",IF(AG921&gt;0.1,"10-20%",IF(AG921&lt;=0.1,"0-10%"))))))</f>
        <v>Same</v>
      </c>
      <c r="AI921" s="32"/>
      <c r="AJ921" s="36" t="s">
        <v>3300</v>
      </c>
      <c r="AK921" s="32"/>
    </row>
    <row r="922" spans="1:37" s="1" customFormat="1" ht="19.7" customHeight="1" x14ac:dyDescent="0.25">
      <c r="A922" s="5" t="s">
        <v>22</v>
      </c>
      <c r="B922" s="5" t="s">
        <v>1729</v>
      </c>
      <c r="C922" s="6">
        <v>44447</v>
      </c>
      <c r="D922" s="5" t="s">
        <v>24</v>
      </c>
      <c r="E922" s="5" t="s">
        <v>25</v>
      </c>
      <c r="F922" s="5" t="s">
        <v>26</v>
      </c>
      <c r="G922" s="5" t="s">
        <v>27</v>
      </c>
      <c r="H922" s="5" t="s">
        <v>28</v>
      </c>
      <c r="I922" s="5" t="s">
        <v>29</v>
      </c>
      <c r="J922" s="5" t="s">
        <v>30</v>
      </c>
      <c r="K922" s="5" t="s">
        <v>31</v>
      </c>
      <c r="L922" s="5" t="s">
        <v>32</v>
      </c>
      <c r="M922" s="5" t="s">
        <v>1730</v>
      </c>
      <c r="N922" s="5" t="s">
        <v>1699</v>
      </c>
      <c r="O922" s="5" t="s">
        <v>79</v>
      </c>
      <c r="P922" s="5" t="s">
        <v>1731</v>
      </c>
      <c r="Q922" s="5">
        <v>100742821</v>
      </c>
      <c r="R922" s="5" t="s">
        <v>61</v>
      </c>
      <c r="S922" s="5" t="s">
        <v>39</v>
      </c>
      <c r="T922" s="7">
        <v>2</v>
      </c>
      <c r="U922" s="15" t="s">
        <v>79</v>
      </c>
      <c r="V922" s="16" t="s">
        <v>1731</v>
      </c>
      <c r="W922" s="17">
        <v>100742821</v>
      </c>
      <c r="X922" s="16" t="s">
        <v>3107</v>
      </c>
      <c r="Y922" s="17" t="s">
        <v>3118</v>
      </c>
      <c r="Z922" s="17" t="s">
        <v>39</v>
      </c>
      <c r="AA922" s="17" t="s">
        <v>37</v>
      </c>
      <c r="AB922" s="43">
        <v>69.94</v>
      </c>
      <c r="AC922" s="25">
        <v>70.61</v>
      </c>
      <c r="AD922" s="25">
        <f>AC922*T922</f>
        <v>141.22</v>
      </c>
      <c r="AE922" s="25">
        <f>AB922*T922</f>
        <v>139.88</v>
      </c>
      <c r="AF922" s="25">
        <f>AD922-AE922</f>
        <v>1.3400000000000034</v>
      </c>
      <c r="AG922" s="26">
        <f>AF922/AD922</f>
        <v>9.488740971533802E-3</v>
      </c>
      <c r="AH922" s="27" t="str">
        <f>IF(AG922&lt;0,"Negative",IF(AG922=0,"Same",IF(AG922&gt;0.3,"30+%",IF(AG922&gt;0.2,"20-30%",IF(AG922&gt;0.1,"10-20%",IF(AG922&lt;=0.1,"0-10%"))))))</f>
        <v>0-10%</v>
      </c>
      <c r="AI922" s="32"/>
      <c r="AJ922" s="36" t="s">
        <v>3300</v>
      </c>
      <c r="AK922" s="32"/>
    </row>
    <row r="923" spans="1:37" s="1" customFormat="1" ht="19.7" customHeight="1" x14ac:dyDescent="0.25">
      <c r="A923" s="5" t="s">
        <v>22</v>
      </c>
      <c r="B923" s="5" t="s">
        <v>1837</v>
      </c>
      <c r="C923" s="6">
        <v>44468</v>
      </c>
      <c r="D923" s="5" t="s">
        <v>24</v>
      </c>
      <c r="E923" s="5" t="s">
        <v>25</v>
      </c>
      <c r="F923" s="5" t="s">
        <v>26</v>
      </c>
      <c r="G923" s="5" t="s">
        <v>27</v>
      </c>
      <c r="H923" s="5" t="s">
        <v>28</v>
      </c>
      <c r="I923" s="5" t="s">
        <v>29</v>
      </c>
      <c r="J923" s="5" t="s">
        <v>30</v>
      </c>
      <c r="K923" s="5" t="s">
        <v>31</v>
      </c>
      <c r="L923" s="5" t="s">
        <v>32</v>
      </c>
      <c r="M923" s="5" t="s">
        <v>1838</v>
      </c>
      <c r="N923" s="5" t="s">
        <v>1839</v>
      </c>
      <c r="O923" s="5" t="s">
        <v>169</v>
      </c>
      <c r="P923" s="5" t="s">
        <v>1840</v>
      </c>
      <c r="Q923" s="5">
        <v>101982814</v>
      </c>
      <c r="R923" s="5" t="s">
        <v>56</v>
      </c>
      <c r="S923" s="5" t="s">
        <v>39</v>
      </c>
      <c r="T923" s="7">
        <v>1</v>
      </c>
      <c r="U923" s="15" t="s">
        <v>169</v>
      </c>
      <c r="V923" s="16" t="s">
        <v>1840</v>
      </c>
      <c r="W923" s="17">
        <v>101982814</v>
      </c>
      <c r="X923" s="16" t="s">
        <v>2845</v>
      </c>
      <c r="Y923" s="17" t="s">
        <v>3148</v>
      </c>
      <c r="Z923" s="17" t="s">
        <v>39</v>
      </c>
      <c r="AA923" s="17" t="s">
        <v>37</v>
      </c>
      <c r="AB923" s="43">
        <v>177.22</v>
      </c>
      <c r="AC923" s="25">
        <v>189.05</v>
      </c>
      <c r="AD923" s="25">
        <f>AC923*T923</f>
        <v>189.05</v>
      </c>
      <c r="AE923" s="25">
        <f>AB923*T923</f>
        <v>177.22</v>
      </c>
      <c r="AF923" s="25">
        <f>AD923-AE923</f>
        <v>11.830000000000013</v>
      </c>
      <c r="AG923" s="26">
        <f>AF923/AD923</f>
        <v>6.2576038085162725E-2</v>
      </c>
      <c r="AH923" s="27" t="str">
        <f>IF(AG923&lt;0,"Negative",IF(AG923=0,"Same",IF(AG923&gt;0.3,"30+%",IF(AG923&gt;0.2,"20-30%",IF(AG923&gt;0.1,"10-20%",IF(AG923&lt;=0.1,"0-10%"))))))</f>
        <v>0-10%</v>
      </c>
      <c r="AI923" s="32"/>
      <c r="AJ923" s="36" t="s">
        <v>3300</v>
      </c>
      <c r="AK923" s="32"/>
    </row>
    <row r="924" spans="1:37" s="1" customFormat="1" ht="19.7" customHeight="1" x14ac:dyDescent="0.25">
      <c r="A924" s="5" t="s">
        <v>22</v>
      </c>
      <c r="B924" s="5" t="s">
        <v>953</v>
      </c>
      <c r="C924" s="6">
        <v>44322</v>
      </c>
      <c r="D924" s="5" t="s">
        <v>24</v>
      </c>
      <c r="E924" s="5" t="s">
        <v>25</v>
      </c>
      <c r="F924" s="5" t="s">
        <v>26</v>
      </c>
      <c r="G924" s="5" t="s">
        <v>27</v>
      </c>
      <c r="H924" s="5" t="s">
        <v>28</v>
      </c>
      <c r="I924" s="5" t="s">
        <v>29</v>
      </c>
      <c r="J924" s="5" t="s">
        <v>30</v>
      </c>
      <c r="K924" s="5" t="s">
        <v>31</v>
      </c>
      <c r="L924" s="5" t="s">
        <v>32</v>
      </c>
      <c r="M924" s="5" t="s">
        <v>954</v>
      </c>
      <c r="N924" s="5" t="s">
        <v>872</v>
      </c>
      <c r="O924" s="5" t="s">
        <v>169</v>
      </c>
      <c r="P924" s="5" t="s">
        <v>955</v>
      </c>
      <c r="Q924" s="5">
        <v>101935274</v>
      </c>
      <c r="R924" s="5" t="s">
        <v>56</v>
      </c>
      <c r="S924" s="5" t="s">
        <v>39</v>
      </c>
      <c r="T924" s="7">
        <v>1</v>
      </c>
      <c r="U924" s="15" t="s">
        <v>169</v>
      </c>
      <c r="V924" s="16" t="s">
        <v>955</v>
      </c>
      <c r="W924" s="17">
        <v>101935274</v>
      </c>
      <c r="X924" s="16" t="s">
        <v>2845</v>
      </c>
      <c r="Y924" s="17" t="s">
        <v>2874</v>
      </c>
      <c r="Z924" s="17" t="s">
        <v>39</v>
      </c>
      <c r="AA924" s="17" t="s">
        <v>37</v>
      </c>
      <c r="AB924" s="43">
        <v>172.69</v>
      </c>
      <c r="AC924" s="25">
        <v>189.75</v>
      </c>
      <c r="AD924" s="25">
        <f>AC924*T924</f>
        <v>189.75</v>
      </c>
      <c r="AE924" s="25">
        <f>AB924*T924</f>
        <v>172.69</v>
      </c>
      <c r="AF924" s="25">
        <f>AD924-AE924</f>
        <v>17.060000000000002</v>
      </c>
      <c r="AG924" s="26">
        <f>AF924/AD924</f>
        <v>8.990777338603427E-2</v>
      </c>
      <c r="AH924" s="27" t="str">
        <f>IF(AG924&lt;0,"Negative",IF(AG924=0,"Same",IF(AG924&gt;0.3,"30+%",IF(AG924&gt;0.2,"20-30%",IF(AG924&gt;0.1,"10-20%",IF(AG924&lt;=0.1,"0-10%"))))))</f>
        <v>0-10%</v>
      </c>
      <c r="AI924" s="32"/>
      <c r="AJ924" s="36" t="s">
        <v>3299</v>
      </c>
      <c r="AK924" s="32"/>
    </row>
    <row r="925" spans="1:37" s="1" customFormat="1" ht="19.7" customHeight="1" x14ac:dyDescent="0.25">
      <c r="A925" s="9" t="s">
        <v>22</v>
      </c>
      <c r="B925" s="9" t="s">
        <v>1007</v>
      </c>
      <c r="C925" s="10">
        <v>44327</v>
      </c>
      <c r="D925" s="9" t="s">
        <v>24</v>
      </c>
      <c r="E925" s="9" t="s">
        <v>25</v>
      </c>
      <c r="F925" s="9" t="s">
        <v>26</v>
      </c>
      <c r="G925" s="9" t="s">
        <v>27</v>
      </c>
      <c r="H925" s="9" t="s">
        <v>28</v>
      </c>
      <c r="I925" s="9" t="s">
        <v>29</v>
      </c>
      <c r="J925" s="9" t="s">
        <v>30</v>
      </c>
      <c r="K925" s="9" t="s">
        <v>31</v>
      </c>
      <c r="L925" s="9" t="s">
        <v>32</v>
      </c>
      <c r="M925" s="9" t="s">
        <v>461</v>
      </c>
      <c r="N925" s="9" t="s">
        <v>839</v>
      </c>
      <c r="O925" s="9" t="s">
        <v>35</v>
      </c>
      <c r="P925" s="9" t="s">
        <v>462</v>
      </c>
      <c r="Q925" s="9">
        <v>105729239</v>
      </c>
      <c r="R925" s="9" t="s">
        <v>38</v>
      </c>
      <c r="S925" s="9" t="s">
        <v>39</v>
      </c>
      <c r="T925" s="11">
        <v>1</v>
      </c>
      <c r="U925" s="15" t="s">
        <v>35</v>
      </c>
      <c r="V925" s="16" t="s">
        <v>462</v>
      </c>
      <c r="W925" s="17">
        <v>105729239</v>
      </c>
      <c r="X925" s="16" t="s">
        <v>2683</v>
      </c>
      <c r="Y925" s="17" t="s">
        <v>2684</v>
      </c>
      <c r="Z925" s="17" t="s">
        <v>39</v>
      </c>
      <c r="AA925" s="17" t="s">
        <v>37</v>
      </c>
      <c r="AB925" s="29">
        <v>95.07</v>
      </c>
      <c r="AC925" s="25">
        <v>92.6</v>
      </c>
      <c r="AD925" s="25">
        <f>AC925*T925</f>
        <v>92.6</v>
      </c>
      <c r="AE925" s="25">
        <f>AB925*T925</f>
        <v>95.07</v>
      </c>
      <c r="AF925" s="25">
        <f>AD925-AE925</f>
        <v>-2.4699999999999989</v>
      </c>
      <c r="AG925" s="26">
        <f>AF925/AD925</f>
        <v>-2.6673866090712733E-2</v>
      </c>
      <c r="AH925" s="27" t="str">
        <f>IF(AG925&lt;0,"Negative",IF(AG925=0,"Same",IF(AG925&gt;0.3,"30+%",IF(AG925&gt;0.2,"20-30%",IF(AG925&gt;0.1,"10-20%",IF(AG925&lt;=0.1,"0-10%"))))))</f>
        <v>Negative</v>
      </c>
      <c r="AI925" s="32"/>
      <c r="AJ925" s="36" t="s">
        <v>3299</v>
      </c>
      <c r="AK925" s="32"/>
    </row>
    <row r="926" spans="1:37" s="1" customFormat="1" ht="19.7" customHeight="1" x14ac:dyDescent="0.25">
      <c r="A926" s="5" t="s">
        <v>22</v>
      </c>
      <c r="B926" s="5" t="s">
        <v>460</v>
      </c>
      <c r="C926" s="6">
        <v>44266</v>
      </c>
      <c r="D926" s="5" t="s">
        <v>24</v>
      </c>
      <c r="E926" s="5" t="s">
        <v>25</v>
      </c>
      <c r="F926" s="5" t="s">
        <v>26</v>
      </c>
      <c r="G926" s="5" t="s">
        <v>27</v>
      </c>
      <c r="H926" s="5" t="s">
        <v>28</v>
      </c>
      <c r="I926" s="5" t="s">
        <v>29</v>
      </c>
      <c r="J926" s="5" t="s">
        <v>30</v>
      </c>
      <c r="K926" s="5" t="s">
        <v>31</v>
      </c>
      <c r="L926" s="5" t="s">
        <v>32</v>
      </c>
      <c r="M926" s="5" t="s">
        <v>461</v>
      </c>
      <c r="N926" s="5" t="s">
        <v>321</v>
      </c>
      <c r="O926" s="5" t="s">
        <v>35</v>
      </c>
      <c r="P926" s="5" t="s">
        <v>462</v>
      </c>
      <c r="Q926" s="5">
        <v>105729239</v>
      </c>
      <c r="R926" s="5" t="s">
        <v>38</v>
      </c>
      <c r="S926" s="5" t="s">
        <v>39</v>
      </c>
      <c r="T926" s="7">
        <v>1</v>
      </c>
      <c r="U926" s="15" t="s">
        <v>35</v>
      </c>
      <c r="V926" s="16" t="s">
        <v>462</v>
      </c>
      <c r="W926" s="17">
        <v>105729239</v>
      </c>
      <c r="X926" s="16" t="s">
        <v>2683</v>
      </c>
      <c r="Y926" s="17" t="s">
        <v>2684</v>
      </c>
      <c r="Z926" s="17" t="s">
        <v>39</v>
      </c>
      <c r="AA926" s="17" t="s">
        <v>37</v>
      </c>
      <c r="AB926" s="29">
        <v>95.07</v>
      </c>
      <c r="AC926" s="25">
        <v>92.6</v>
      </c>
      <c r="AD926" s="25">
        <f>AC926*T926</f>
        <v>92.6</v>
      </c>
      <c r="AE926" s="25">
        <f>AB926*T926</f>
        <v>95.07</v>
      </c>
      <c r="AF926" s="25">
        <f>AD926-AE926</f>
        <v>-2.4699999999999989</v>
      </c>
      <c r="AG926" s="26">
        <f>AF926/AD926</f>
        <v>-2.6673866090712733E-2</v>
      </c>
      <c r="AH926" s="27" t="str">
        <f>IF(AG926&lt;0,"Negative",IF(AG926=0,"Same",IF(AG926&gt;0.3,"30+%",IF(AG926&gt;0.2,"20-30%",IF(AG926&gt;0.1,"10-20%",IF(AG926&lt;=0.1,"0-10%"))))))</f>
        <v>Negative</v>
      </c>
      <c r="AI926" s="32"/>
      <c r="AJ926" s="36" t="s">
        <v>3299</v>
      </c>
      <c r="AK926" s="32"/>
    </row>
    <row r="927" spans="1:37" s="1" customFormat="1" ht="19.7" customHeight="1" x14ac:dyDescent="0.25">
      <c r="A927" s="5" t="s">
        <v>22</v>
      </c>
      <c r="B927" s="5" t="s">
        <v>994</v>
      </c>
      <c r="C927" s="6">
        <v>44323</v>
      </c>
      <c r="D927" s="5" t="s">
        <v>24</v>
      </c>
      <c r="E927" s="5" t="s">
        <v>25</v>
      </c>
      <c r="F927" s="5" t="s">
        <v>26</v>
      </c>
      <c r="G927" s="5" t="s">
        <v>67</v>
      </c>
      <c r="H927" s="5" t="s">
        <v>68</v>
      </c>
      <c r="I927" s="5" t="s">
        <v>29</v>
      </c>
      <c r="J927" s="5" t="s">
        <v>30</v>
      </c>
      <c r="K927" s="5" t="s">
        <v>31</v>
      </c>
      <c r="L927" s="5" t="s">
        <v>32</v>
      </c>
      <c r="M927" s="5" t="s">
        <v>802</v>
      </c>
      <c r="N927" s="5" t="s">
        <v>995</v>
      </c>
      <c r="O927" s="5" t="s">
        <v>239</v>
      </c>
      <c r="P927" s="5" t="s">
        <v>803</v>
      </c>
      <c r="Q927" s="5">
        <v>102197799</v>
      </c>
      <c r="R927" s="5" t="s">
        <v>61</v>
      </c>
      <c r="S927" s="5" t="s">
        <v>39</v>
      </c>
      <c r="T927" s="7">
        <v>2</v>
      </c>
      <c r="U927" s="15" t="s">
        <v>239</v>
      </c>
      <c r="V927" s="16" t="s">
        <v>803</v>
      </c>
      <c r="W927" s="17">
        <v>102197799</v>
      </c>
      <c r="X927" s="16" t="s">
        <v>2548</v>
      </c>
      <c r="Y927" s="17" t="s">
        <v>2822</v>
      </c>
      <c r="Z927" s="17" t="s">
        <v>39</v>
      </c>
      <c r="AA927" s="17" t="s">
        <v>37</v>
      </c>
      <c r="AB927" s="43">
        <v>70.459999999999994</v>
      </c>
      <c r="AC927" s="25">
        <v>75.17</v>
      </c>
      <c r="AD927" s="25">
        <f>AC927*T927</f>
        <v>150.34</v>
      </c>
      <c r="AE927" s="25">
        <f>AB927*T927</f>
        <v>140.91999999999999</v>
      </c>
      <c r="AF927" s="25">
        <f>AD927-AE927</f>
        <v>9.4200000000000159</v>
      </c>
      <c r="AG927" s="26">
        <f>AF927/AD927</f>
        <v>6.265797525608631E-2</v>
      </c>
      <c r="AH927" s="27" t="str">
        <f>IF(AG927&lt;0,"Negative",IF(AG927=0,"Same",IF(AG927&gt;0.3,"30+%",IF(AG927&gt;0.2,"20-30%",IF(AG927&gt;0.1,"10-20%",IF(AG927&lt;=0.1,"0-10%"))))))</f>
        <v>0-10%</v>
      </c>
      <c r="AI927" s="32"/>
      <c r="AJ927" s="36" t="s">
        <v>3300</v>
      </c>
      <c r="AK927" s="32"/>
    </row>
    <row r="928" spans="1:37" s="1" customFormat="1" ht="19.7" customHeight="1" x14ac:dyDescent="0.25">
      <c r="A928" s="9" t="s">
        <v>22</v>
      </c>
      <c r="B928" s="9" t="s">
        <v>800</v>
      </c>
      <c r="C928" s="10">
        <v>44302</v>
      </c>
      <c r="D928" s="9" t="s">
        <v>24</v>
      </c>
      <c r="E928" s="9" t="s">
        <v>25</v>
      </c>
      <c r="F928" s="9" t="s">
        <v>26</v>
      </c>
      <c r="G928" s="9" t="s">
        <v>67</v>
      </c>
      <c r="H928" s="9" t="s">
        <v>68</v>
      </c>
      <c r="I928" s="9" t="s">
        <v>29</v>
      </c>
      <c r="J928" s="9" t="s">
        <v>30</v>
      </c>
      <c r="K928" s="9" t="s">
        <v>31</v>
      </c>
      <c r="L928" s="9" t="s">
        <v>32</v>
      </c>
      <c r="M928" s="9" t="s">
        <v>802</v>
      </c>
      <c r="N928" s="9" t="s">
        <v>801</v>
      </c>
      <c r="O928" s="9" t="s">
        <v>239</v>
      </c>
      <c r="P928" s="9" t="s">
        <v>803</v>
      </c>
      <c r="Q928" s="9">
        <v>102197799</v>
      </c>
      <c r="R928" s="9" t="s">
        <v>61</v>
      </c>
      <c r="S928" s="9" t="s">
        <v>39</v>
      </c>
      <c r="T928" s="11">
        <v>2</v>
      </c>
      <c r="U928" s="15" t="s">
        <v>239</v>
      </c>
      <c r="V928" s="16" t="s">
        <v>803</v>
      </c>
      <c r="W928" s="17">
        <v>102197799</v>
      </c>
      <c r="X928" s="16" t="s">
        <v>2548</v>
      </c>
      <c r="Y928" s="17" t="s">
        <v>2822</v>
      </c>
      <c r="Z928" s="17" t="s">
        <v>39</v>
      </c>
      <c r="AA928" s="17" t="s">
        <v>37</v>
      </c>
      <c r="AB928" s="43">
        <v>70.459999999999994</v>
      </c>
      <c r="AC928" s="25">
        <v>75.17</v>
      </c>
      <c r="AD928" s="25">
        <f>AC928*T928</f>
        <v>150.34</v>
      </c>
      <c r="AE928" s="25">
        <f>AB928*T928</f>
        <v>140.91999999999999</v>
      </c>
      <c r="AF928" s="25">
        <f>AD928-AE928</f>
        <v>9.4200000000000159</v>
      </c>
      <c r="AG928" s="26">
        <f>AF928/AD928</f>
        <v>6.265797525608631E-2</v>
      </c>
      <c r="AH928" s="27" t="str">
        <f>IF(AG928&lt;0,"Negative",IF(AG928=0,"Same",IF(AG928&gt;0.3,"30+%",IF(AG928&gt;0.2,"20-30%",IF(AG928&gt;0.1,"10-20%",IF(AG928&lt;=0.1,"0-10%"))))))</f>
        <v>0-10%</v>
      </c>
      <c r="AI928" s="32"/>
      <c r="AJ928" s="36" t="s">
        <v>3300</v>
      </c>
      <c r="AK928" s="32"/>
    </row>
    <row r="929" spans="1:37" s="1" customFormat="1" ht="19.7" customHeight="1" x14ac:dyDescent="0.25">
      <c r="A929" s="9" t="s">
        <v>22</v>
      </c>
      <c r="B929" s="9" t="s">
        <v>1934</v>
      </c>
      <c r="C929" s="10">
        <v>44484</v>
      </c>
      <c r="D929" s="9" t="s">
        <v>24</v>
      </c>
      <c r="E929" s="9" t="s">
        <v>25</v>
      </c>
      <c r="F929" s="9" t="s">
        <v>26</v>
      </c>
      <c r="G929" s="9" t="s">
        <v>67</v>
      </c>
      <c r="H929" s="9" t="s">
        <v>68</v>
      </c>
      <c r="I929" s="9" t="s">
        <v>29</v>
      </c>
      <c r="J929" s="9" t="s">
        <v>30</v>
      </c>
      <c r="K929" s="9" t="s">
        <v>31</v>
      </c>
      <c r="L929" s="9" t="s">
        <v>32</v>
      </c>
      <c r="M929" s="9" t="s">
        <v>78</v>
      </c>
      <c r="N929" s="9" t="s">
        <v>1935</v>
      </c>
      <c r="O929" s="9" t="s">
        <v>79</v>
      </c>
      <c r="P929" s="9" t="s">
        <v>80</v>
      </c>
      <c r="Q929" s="9">
        <v>101169608</v>
      </c>
      <c r="R929" s="9" t="s">
        <v>61</v>
      </c>
      <c r="S929" s="9" t="s">
        <v>39</v>
      </c>
      <c r="T929" s="11">
        <v>5</v>
      </c>
      <c r="U929" s="15" t="s">
        <v>79</v>
      </c>
      <c r="V929" s="16" t="s">
        <v>80</v>
      </c>
      <c r="W929" s="17">
        <v>101169608</v>
      </c>
      <c r="X929" s="16" t="s">
        <v>2514</v>
      </c>
      <c r="Y929" s="17" t="s">
        <v>2515</v>
      </c>
      <c r="Z929" s="17" t="s">
        <v>39</v>
      </c>
      <c r="AA929" s="17" t="s">
        <v>37</v>
      </c>
      <c r="AB929" s="43">
        <v>61.84</v>
      </c>
      <c r="AC929" s="25">
        <v>62.43</v>
      </c>
      <c r="AD929" s="25">
        <f>AC929*T929</f>
        <v>312.14999999999998</v>
      </c>
      <c r="AE929" s="25">
        <f>AB929*T929</f>
        <v>309.20000000000005</v>
      </c>
      <c r="AF929" s="25">
        <f>AD929-AE929</f>
        <v>2.9499999999999318</v>
      </c>
      <c r="AG929" s="26">
        <f>AF929/AD929</f>
        <v>9.4505846548131739E-3</v>
      </c>
      <c r="AH929" s="27" t="str">
        <f>IF(AG929&lt;0,"Negative",IF(AG929=0,"Same",IF(AG929&gt;0.3,"30+%",IF(AG929&gt;0.2,"20-30%",IF(AG929&gt;0.1,"10-20%",IF(AG929&lt;=0.1,"0-10%"))))))</f>
        <v>0-10%</v>
      </c>
      <c r="AI929" s="32"/>
      <c r="AJ929" s="36" t="s">
        <v>3300</v>
      </c>
      <c r="AK929" s="32"/>
    </row>
    <row r="930" spans="1:37" s="1" customFormat="1" ht="19.7" customHeight="1" x14ac:dyDescent="0.25">
      <c r="A930" s="9" t="s">
        <v>22</v>
      </c>
      <c r="B930" s="9" t="s">
        <v>1085</v>
      </c>
      <c r="C930" s="10">
        <v>44337</v>
      </c>
      <c r="D930" s="9" t="s">
        <v>24</v>
      </c>
      <c r="E930" s="9" t="s">
        <v>25</v>
      </c>
      <c r="F930" s="9" t="s">
        <v>26</v>
      </c>
      <c r="G930" s="9" t="s">
        <v>67</v>
      </c>
      <c r="H930" s="9" t="s">
        <v>68</v>
      </c>
      <c r="I930" s="9" t="s">
        <v>29</v>
      </c>
      <c r="J930" s="9" t="s">
        <v>30</v>
      </c>
      <c r="K930" s="9" t="s">
        <v>31</v>
      </c>
      <c r="L930" s="9" t="s">
        <v>32</v>
      </c>
      <c r="M930" s="9" t="s">
        <v>78</v>
      </c>
      <c r="N930" s="9" t="s">
        <v>1086</v>
      </c>
      <c r="O930" s="9" t="s">
        <v>79</v>
      </c>
      <c r="P930" s="9" t="s">
        <v>80</v>
      </c>
      <c r="Q930" s="9">
        <v>101169608</v>
      </c>
      <c r="R930" s="9" t="s">
        <v>61</v>
      </c>
      <c r="S930" s="9" t="s">
        <v>39</v>
      </c>
      <c r="T930" s="11">
        <v>5</v>
      </c>
      <c r="U930" s="15" t="s">
        <v>79</v>
      </c>
      <c r="V930" s="16" t="s">
        <v>80</v>
      </c>
      <c r="W930" s="17">
        <v>101169608</v>
      </c>
      <c r="X930" s="16" t="s">
        <v>2514</v>
      </c>
      <c r="Y930" s="17" t="s">
        <v>2515</v>
      </c>
      <c r="Z930" s="17" t="s">
        <v>39</v>
      </c>
      <c r="AA930" s="17" t="s">
        <v>37</v>
      </c>
      <c r="AB930" s="43">
        <v>61.84</v>
      </c>
      <c r="AC930" s="25">
        <v>62.43</v>
      </c>
      <c r="AD930" s="25">
        <f>AC930*T930</f>
        <v>312.14999999999998</v>
      </c>
      <c r="AE930" s="25">
        <f>AB930*T930</f>
        <v>309.20000000000005</v>
      </c>
      <c r="AF930" s="25">
        <f>AD930-AE930</f>
        <v>2.9499999999999318</v>
      </c>
      <c r="AG930" s="26">
        <f>AF930/AD930</f>
        <v>9.4505846548131739E-3</v>
      </c>
      <c r="AH930" s="27" t="str">
        <f>IF(AG930&lt;0,"Negative",IF(AG930=0,"Same",IF(AG930&gt;0.3,"30+%",IF(AG930&gt;0.2,"20-30%",IF(AG930&gt;0.1,"10-20%",IF(AG930&lt;=0.1,"0-10%"))))))</f>
        <v>0-10%</v>
      </c>
      <c r="AI930" s="32"/>
      <c r="AJ930" s="36" t="s">
        <v>3300</v>
      </c>
      <c r="AK930" s="32"/>
    </row>
    <row r="931" spans="1:37" s="1" customFormat="1" ht="19.7" customHeight="1" x14ac:dyDescent="0.25">
      <c r="A931" s="5" t="s">
        <v>22</v>
      </c>
      <c r="B931" s="5" t="s">
        <v>192</v>
      </c>
      <c r="C931" s="6">
        <v>44242</v>
      </c>
      <c r="D931" s="5" t="s">
        <v>24</v>
      </c>
      <c r="E931" s="5" t="s">
        <v>25</v>
      </c>
      <c r="F931" s="5" t="s">
        <v>26</v>
      </c>
      <c r="G931" s="5" t="s">
        <v>67</v>
      </c>
      <c r="H931" s="5" t="s">
        <v>68</v>
      </c>
      <c r="I931" s="5" t="s">
        <v>29</v>
      </c>
      <c r="J931" s="5" t="s">
        <v>30</v>
      </c>
      <c r="K931" s="5" t="s">
        <v>31</v>
      </c>
      <c r="L931" s="5" t="s">
        <v>32</v>
      </c>
      <c r="M931" s="5" t="s">
        <v>78</v>
      </c>
      <c r="N931" s="5" t="s">
        <v>194</v>
      </c>
      <c r="O931" s="5" t="s">
        <v>79</v>
      </c>
      <c r="P931" s="5" t="s">
        <v>80</v>
      </c>
      <c r="Q931" s="5">
        <v>101169608</v>
      </c>
      <c r="R931" s="5" t="s">
        <v>61</v>
      </c>
      <c r="S931" s="5" t="s">
        <v>39</v>
      </c>
      <c r="T931" s="7">
        <v>5</v>
      </c>
      <c r="U931" s="15" t="s">
        <v>79</v>
      </c>
      <c r="V931" s="16" t="s">
        <v>80</v>
      </c>
      <c r="W931" s="17">
        <v>101169608</v>
      </c>
      <c r="X931" s="16" t="s">
        <v>2514</v>
      </c>
      <c r="Y931" s="17" t="s">
        <v>2515</v>
      </c>
      <c r="Z931" s="17" t="s">
        <v>39</v>
      </c>
      <c r="AA931" s="17" t="s">
        <v>37</v>
      </c>
      <c r="AB931" s="43">
        <v>61.84</v>
      </c>
      <c r="AC931" s="25">
        <v>62.43</v>
      </c>
      <c r="AD931" s="25">
        <f>AC931*T931</f>
        <v>312.14999999999998</v>
      </c>
      <c r="AE931" s="25">
        <f>AB931*T931</f>
        <v>309.20000000000005</v>
      </c>
      <c r="AF931" s="25">
        <f>AD931-AE931</f>
        <v>2.9499999999999318</v>
      </c>
      <c r="AG931" s="26">
        <f>AF931/AD931</f>
        <v>9.4505846548131739E-3</v>
      </c>
      <c r="AH931" s="27" t="str">
        <f>IF(AG931&lt;0,"Negative",IF(AG931=0,"Same",IF(AG931&gt;0.3,"30+%",IF(AG931&gt;0.2,"20-30%",IF(AG931&gt;0.1,"10-20%",IF(AG931&lt;=0.1,"0-10%"))))))</f>
        <v>0-10%</v>
      </c>
      <c r="AI931" s="32"/>
      <c r="AJ931" s="36" t="s">
        <v>3300</v>
      </c>
      <c r="AK931" s="32"/>
    </row>
    <row r="932" spans="1:37" s="1" customFormat="1" ht="19.7" customHeight="1" x14ac:dyDescent="0.25">
      <c r="A932" s="5" t="s">
        <v>22</v>
      </c>
      <c r="B932" s="5" t="s">
        <v>66</v>
      </c>
      <c r="C932" s="6">
        <v>44230</v>
      </c>
      <c r="D932" s="5" t="s">
        <v>24</v>
      </c>
      <c r="E932" s="5" t="s">
        <v>25</v>
      </c>
      <c r="F932" s="5" t="s">
        <v>26</v>
      </c>
      <c r="G932" s="5" t="s">
        <v>67</v>
      </c>
      <c r="H932" s="5" t="s">
        <v>68</v>
      </c>
      <c r="I932" s="5" t="s">
        <v>29</v>
      </c>
      <c r="J932" s="5" t="s">
        <v>30</v>
      </c>
      <c r="K932" s="5" t="s">
        <v>31</v>
      </c>
      <c r="L932" s="5" t="s">
        <v>32</v>
      </c>
      <c r="M932" s="5" t="s">
        <v>78</v>
      </c>
      <c r="N932" s="5" t="s">
        <v>70</v>
      </c>
      <c r="O932" s="5" t="s">
        <v>79</v>
      </c>
      <c r="P932" s="5" t="s">
        <v>80</v>
      </c>
      <c r="Q932" s="5">
        <v>101169608</v>
      </c>
      <c r="R932" s="5" t="s">
        <v>61</v>
      </c>
      <c r="S932" s="5" t="s">
        <v>39</v>
      </c>
      <c r="T932" s="7">
        <v>5</v>
      </c>
      <c r="U932" s="15" t="s">
        <v>79</v>
      </c>
      <c r="V932" s="16" t="s">
        <v>80</v>
      </c>
      <c r="W932" s="17">
        <v>101169608</v>
      </c>
      <c r="X932" s="16" t="s">
        <v>2514</v>
      </c>
      <c r="Y932" s="17" t="s">
        <v>2515</v>
      </c>
      <c r="Z932" s="17" t="s">
        <v>39</v>
      </c>
      <c r="AA932" s="17" t="s">
        <v>37</v>
      </c>
      <c r="AB932" s="43">
        <v>61.84</v>
      </c>
      <c r="AC932" s="25">
        <v>62.43</v>
      </c>
      <c r="AD932" s="25">
        <f>AC932*T932</f>
        <v>312.14999999999998</v>
      </c>
      <c r="AE932" s="25">
        <f>AB932*T932</f>
        <v>309.20000000000005</v>
      </c>
      <c r="AF932" s="25">
        <f>AD932-AE932</f>
        <v>2.9499999999999318</v>
      </c>
      <c r="AG932" s="26">
        <f>AF932/AD932</f>
        <v>9.4505846548131739E-3</v>
      </c>
      <c r="AH932" s="27" t="str">
        <f>IF(AG932&lt;0,"Negative",IF(AG932=0,"Same",IF(AG932&gt;0.3,"30+%",IF(AG932&gt;0.2,"20-30%",IF(AG932&gt;0.1,"10-20%",IF(AG932&lt;=0.1,"0-10%"))))))</f>
        <v>0-10%</v>
      </c>
      <c r="AI932" s="32"/>
      <c r="AJ932" s="36" t="s">
        <v>3300</v>
      </c>
      <c r="AK932" s="32"/>
    </row>
    <row r="933" spans="1:37" s="1" customFormat="1" ht="19.7" customHeight="1" x14ac:dyDescent="0.25">
      <c r="A933" s="5" t="s">
        <v>22</v>
      </c>
      <c r="B933" s="5" t="s">
        <v>1678</v>
      </c>
      <c r="C933" s="6">
        <v>44435</v>
      </c>
      <c r="D933" s="5" t="s">
        <v>24</v>
      </c>
      <c r="E933" s="5" t="s">
        <v>25</v>
      </c>
      <c r="F933" s="5" t="s">
        <v>26</v>
      </c>
      <c r="G933" s="5" t="s">
        <v>67</v>
      </c>
      <c r="H933" s="5" t="s">
        <v>68</v>
      </c>
      <c r="I933" s="5" t="s">
        <v>29</v>
      </c>
      <c r="J933" s="5" t="s">
        <v>30</v>
      </c>
      <c r="K933" s="5" t="s">
        <v>31</v>
      </c>
      <c r="L933" s="5" t="s">
        <v>32</v>
      </c>
      <c r="M933" s="5" t="s">
        <v>78</v>
      </c>
      <c r="N933" s="5" t="s">
        <v>1679</v>
      </c>
      <c r="O933" s="5" t="s">
        <v>79</v>
      </c>
      <c r="P933" s="5" t="s">
        <v>80</v>
      </c>
      <c r="Q933" s="5">
        <v>101169608</v>
      </c>
      <c r="R933" s="5" t="s">
        <v>61</v>
      </c>
      <c r="S933" s="5" t="s">
        <v>39</v>
      </c>
      <c r="T933" s="7">
        <v>9</v>
      </c>
      <c r="U933" s="15" t="s">
        <v>79</v>
      </c>
      <c r="V933" s="16" t="s">
        <v>80</v>
      </c>
      <c r="W933" s="17">
        <v>101169608</v>
      </c>
      <c r="X933" s="16" t="s">
        <v>2514</v>
      </c>
      <c r="Y933" s="17" t="s">
        <v>2515</v>
      </c>
      <c r="Z933" s="17" t="s">
        <v>39</v>
      </c>
      <c r="AA933" s="17" t="s">
        <v>37</v>
      </c>
      <c r="AB933" s="43">
        <v>61.84</v>
      </c>
      <c r="AC933" s="25">
        <v>62.43</v>
      </c>
      <c r="AD933" s="25">
        <f>AC933*T933</f>
        <v>561.87</v>
      </c>
      <c r="AE933" s="25">
        <f>AB933*T933</f>
        <v>556.56000000000006</v>
      </c>
      <c r="AF933" s="25">
        <f>AD933-AE933</f>
        <v>5.3099999999999454</v>
      </c>
      <c r="AG933" s="26">
        <f>AF933/AD933</f>
        <v>9.4505846548132936E-3</v>
      </c>
      <c r="AH933" s="27" t="str">
        <f>IF(AG933&lt;0,"Negative",IF(AG933=0,"Same",IF(AG933&gt;0.3,"30+%",IF(AG933&gt;0.2,"20-30%",IF(AG933&gt;0.1,"10-20%",IF(AG933&lt;=0.1,"0-10%"))))))</f>
        <v>0-10%</v>
      </c>
      <c r="AI933" s="32"/>
      <c r="AJ933" s="36" t="s">
        <v>3300</v>
      </c>
      <c r="AK933" s="32"/>
    </row>
    <row r="934" spans="1:37" s="1" customFormat="1" ht="19.7" customHeight="1" x14ac:dyDescent="0.25">
      <c r="A934" s="9" t="s">
        <v>22</v>
      </c>
      <c r="B934" s="9" t="s">
        <v>870</v>
      </c>
      <c r="C934" s="10">
        <v>44315</v>
      </c>
      <c r="D934" s="9" t="s">
        <v>24</v>
      </c>
      <c r="E934" s="9" t="s">
        <v>25</v>
      </c>
      <c r="F934" s="9" t="s">
        <v>26</v>
      </c>
      <c r="G934" s="9" t="s">
        <v>27</v>
      </c>
      <c r="H934" s="9" t="s">
        <v>28</v>
      </c>
      <c r="I934" s="9" t="s">
        <v>29</v>
      </c>
      <c r="J934" s="9" t="s">
        <v>30</v>
      </c>
      <c r="K934" s="9" t="s">
        <v>31</v>
      </c>
      <c r="L934" s="9" t="s">
        <v>32</v>
      </c>
      <c r="M934" s="9" t="s">
        <v>871</v>
      </c>
      <c r="N934" s="9" t="s">
        <v>872</v>
      </c>
      <c r="O934" s="9" t="s">
        <v>169</v>
      </c>
      <c r="P934" s="9" t="s">
        <v>873</v>
      </c>
      <c r="Q934" s="9">
        <v>101935275</v>
      </c>
      <c r="R934" s="9" t="s">
        <v>56</v>
      </c>
      <c r="S934" s="9" t="s">
        <v>39</v>
      </c>
      <c r="T934" s="11">
        <v>1</v>
      </c>
      <c r="U934" s="15" t="s">
        <v>169</v>
      </c>
      <c r="V934" s="16" t="s">
        <v>873</v>
      </c>
      <c r="W934" s="17">
        <v>101935275</v>
      </c>
      <c r="X934" s="16" t="s">
        <v>2845</v>
      </c>
      <c r="Y934" s="17" t="s">
        <v>2846</v>
      </c>
      <c r="Z934" s="17" t="s">
        <v>39</v>
      </c>
      <c r="AA934" s="17" t="s">
        <v>37</v>
      </c>
      <c r="AB934" s="43">
        <v>178.08</v>
      </c>
      <c r="AC934" s="25">
        <v>195.68</v>
      </c>
      <c r="AD934" s="25">
        <f>AC934*T934</f>
        <v>195.68</v>
      </c>
      <c r="AE934" s="25">
        <f>AB934*T934</f>
        <v>178.08</v>
      </c>
      <c r="AF934" s="25">
        <f>AD934-AE934</f>
        <v>17.599999999999994</v>
      </c>
      <c r="AG934" s="26">
        <f>AF934/AD934</f>
        <v>8.9942763695829889E-2</v>
      </c>
      <c r="AH934" s="27" t="str">
        <f>IF(AG934&lt;0,"Negative",IF(AG934=0,"Same",IF(AG934&gt;0.3,"30+%",IF(AG934&gt;0.2,"20-30%",IF(AG934&gt;0.1,"10-20%",IF(AG934&lt;=0.1,"0-10%"))))))</f>
        <v>0-10%</v>
      </c>
      <c r="AI934" s="32"/>
      <c r="AJ934" s="36" t="s">
        <v>3299</v>
      </c>
      <c r="AK934" s="32"/>
    </row>
    <row r="935" spans="1:37" s="1" customFormat="1" ht="19.7" customHeight="1" x14ac:dyDescent="0.25">
      <c r="A935" s="5" t="s">
        <v>22</v>
      </c>
      <c r="B935" s="5" t="s">
        <v>210</v>
      </c>
      <c r="C935" s="6">
        <v>44242</v>
      </c>
      <c r="D935" s="5" t="s">
        <v>24</v>
      </c>
      <c r="E935" s="5" t="s">
        <v>25</v>
      </c>
      <c r="F935" s="5" t="s">
        <v>26</v>
      </c>
      <c r="G935" s="5" t="s">
        <v>67</v>
      </c>
      <c r="H935" s="5" t="s">
        <v>68</v>
      </c>
      <c r="I935" s="5" t="s">
        <v>29</v>
      </c>
      <c r="J935" s="5" t="s">
        <v>30</v>
      </c>
      <c r="K935" s="5" t="s">
        <v>31</v>
      </c>
      <c r="L935" s="5" t="s">
        <v>32</v>
      </c>
      <c r="M935" s="5" t="s">
        <v>211</v>
      </c>
      <c r="N935" s="5" t="s">
        <v>212</v>
      </c>
      <c r="O935" s="5" t="s">
        <v>71</v>
      </c>
      <c r="P935" s="5" t="s">
        <v>213</v>
      </c>
      <c r="Q935" s="5">
        <v>112432078</v>
      </c>
      <c r="R935" s="5" t="s">
        <v>76</v>
      </c>
      <c r="S935" s="5" t="s">
        <v>77</v>
      </c>
      <c r="T935" s="7">
        <v>48</v>
      </c>
      <c r="U935" s="15" t="s">
        <v>71</v>
      </c>
      <c r="V935" s="41" t="s">
        <v>213</v>
      </c>
      <c r="W935" s="17">
        <v>112432078</v>
      </c>
      <c r="X935" s="16" t="s">
        <v>2512</v>
      </c>
      <c r="Y935" s="17" t="s">
        <v>2576</v>
      </c>
      <c r="Z935" s="17" t="s">
        <v>77</v>
      </c>
      <c r="AA935" s="17" t="s">
        <v>37</v>
      </c>
      <c r="AB935" s="29">
        <v>55.25</v>
      </c>
      <c r="AC935" s="25">
        <v>55.25</v>
      </c>
      <c r="AD935" s="25">
        <f>AC935*T935</f>
        <v>2652</v>
      </c>
      <c r="AE935" s="25">
        <f>AB935*T935</f>
        <v>2652</v>
      </c>
      <c r="AF935" s="25">
        <f>AD935-AE935</f>
        <v>0</v>
      </c>
      <c r="AG935" s="26">
        <f>AF935/AD935</f>
        <v>0</v>
      </c>
      <c r="AH935" s="27" t="str">
        <f>IF(AG935&lt;0,"Negative",IF(AG935=0,"Same",IF(AG935&gt;0.3,"30+%",IF(AG935&gt;0.2,"20-30%",IF(AG935&gt;0.1,"10-20%",IF(AG935&lt;=0.1,"0-10%"))))))</f>
        <v>Same</v>
      </c>
      <c r="AI935" s="32"/>
      <c r="AJ935" s="36" t="s">
        <v>3300</v>
      </c>
      <c r="AK935" s="32"/>
    </row>
    <row r="936" spans="1:37" s="1" customFormat="1" ht="19.7" customHeight="1" x14ac:dyDescent="0.25">
      <c r="A936" s="5" t="s">
        <v>22</v>
      </c>
      <c r="B936" s="5" t="s">
        <v>773</v>
      </c>
      <c r="C936" s="6">
        <v>44300</v>
      </c>
      <c r="D936" s="5" t="s">
        <v>24</v>
      </c>
      <c r="E936" s="5" t="s">
        <v>25</v>
      </c>
      <c r="F936" s="5" t="s">
        <v>26</v>
      </c>
      <c r="G936" s="5" t="s">
        <v>27</v>
      </c>
      <c r="H936" s="5" t="s">
        <v>28</v>
      </c>
      <c r="I936" s="5" t="s">
        <v>29</v>
      </c>
      <c r="J936" s="5" t="s">
        <v>30</v>
      </c>
      <c r="K936" s="5" t="s">
        <v>31</v>
      </c>
      <c r="L936" s="5" t="s">
        <v>32</v>
      </c>
      <c r="M936" s="5" t="s">
        <v>226</v>
      </c>
      <c r="N936" s="5" t="s">
        <v>715</v>
      </c>
      <c r="O936" s="5" t="s">
        <v>227</v>
      </c>
      <c r="P936" s="5" t="s">
        <v>228</v>
      </c>
      <c r="Q936" s="5">
        <v>100849163</v>
      </c>
      <c r="R936" s="5" t="s">
        <v>38</v>
      </c>
      <c r="S936" s="5" t="s">
        <v>39</v>
      </c>
      <c r="T936" s="7">
        <v>1</v>
      </c>
      <c r="U936" s="15" t="s">
        <v>227</v>
      </c>
      <c r="V936" s="16" t="s">
        <v>228</v>
      </c>
      <c r="W936" s="17">
        <v>100849163</v>
      </c>
      <c r="X936" s="16" t="s">
        <v>2583</v>
      </c>
      <c r="Y936" s="17" t="s">
        <v>2584</v>
      </c>
      <c r="Z936" s="17" t="s">
        <v>39</v>
      </c>
      <c r="AA936" s="17" t="s">
        <v>37</v>
      </c>
      <c r="AB936" s="29">
        <v>136.57</v>
      </c>
      <c r="AC936" s="25">
        <v>133.02000000000001</v>
      </c>
      <c r="AD936" s="25">
        <f>AC936*T936</f>
        <v>133.02000000000001</v>
      </c>
      <c r="AE936" s="25">
        <f>AB936*T936</f>
        <v>136.57</v>
      </c>
      <c r="AF936" s="25">
        <f>AD936-AE936</f>
        <v>-3.5499999999999829</v>
      </c>
      <c r="AG936" s="26">
        <f>AF936/AD936</f>
        <v>-2.6687716132912213E-2</v>
      </c>
      <c r="AH936" s="27" t="str">
        <f>IF(AG936&lt;0,"Negative",IF(AG936=0,"Same",IF(AG936&gt;0.3,"30+%",IF(AG936&gt;0.2,"20-30%",IF(AG936&gt;0.1,"10-20%",IF(AG936&lt;=0.1,"0-10%"))))))</f>
        <v>Negative</v>
      </c>
      <c r="AI936" s="32"/>
      <c r="AJ936" s="36" t="s">
        <v>3300</v>
      </c>
      <c r="AK936" s="32"/>
    </row>
    <row r="937" spans="1:37" s="1" customFormat="1" ht="19.7" customHeight="1" x14ac:dyDescent="0.25">
      <c r="A937" s="5" t="s">
        <v>22</v>
      </c>
      <c r="B937" s="5" t="s">
        <v>613</v>
      </c>
      <c r="C937" s="6">
        <v>44281</v>
      </c>
      <c r="D937" s="5" t="s">
        <v>24</v>
      </c>
      <c r="E937" s="5" t="s">
        <v>25</v>
      </c>
      <c r="F937" s="5" t="s">
        <v>26</v>
      </c>
      <c r="G937" s="5" t="s">
        <v>27</v>
      </c>
      <c r="H937" s="5" t="s">
        <v>28</v>
      </c>
      <c r="I937" s="5" t="s">
        <v>29</v>
      </c>
      <c r="J937" s="5" t="s">
        <v>30</v>
      </c>
      <c r="K937" s="5" t="s">
        <v>31</v>
      </c>
      <c r="L937" s="5" t="s">
        <v>32</v>
      </c>
      <c r="M937" s="5" t="s">
        <v>226</v>
      </c>
      <c r="N937" s="5" t="s">
        <v>583</v>
      </c>
      <c r="O937" s="5" t="s">
        <v>227</v>
      </c>
      <c r="P937" s="5" t="s">
        <v>228</v>
      </c>
      <c r="Q937" s="5">
        <v>100849163</v>
      </c>
      <c r="R937" s="5" t="s">
        <v>38</v>
      </c>
      <c r="S937" s="5" t="s">
        <v>39</v>
      </c>
      <c r="T937" s="7">
        <v>1</v>
      </c>
      <c r="U937" s="15" t="s">
        <v>227</v>
      </c>
      <c r="V937" s="16" t="s">
        <v>228</v>
      </c>
      <c r="W937" s="17">
        <v>100849163</v>
      </c>
      <c r="X937" s="16" t="s">
        <v>2583</v>
      </c>
      <c r="Y937" s="17" t="s">
        <v>2584</v>
      </c>
      <c r="Z937" s="17" t="s">
        <v>39</v>
      </c>
      <c r="AA937" s="17" t="s">
        <v>37</v>
      </c>
      <c r="AB937" s="29">
        <v>136.57</v>
      </c>
      <c r="AC937" s="25">
        <v>133.02000000000001</v>
      </c>
      <c r="AD937" s="25">
        <f>AC937*T937</f>
        <v>133.02000000000001</v>
      </c>
      <c r="AE937" s="25">
        <f>AB937*T937</f>
        <v>136.57</v>
      </c>
      <c r="AF937" s="25">
        <f>AD937-AE937</f>
        <v>-3.5499999999999829</v>
      </c>
      <c r="AG937" s="26">
        <f>AF937/AD937</f>
        <v>-2.6687716132912213E-2</v>
      </c>
      <c r="AH937" s="27" t="str">
        <f>IF(AG937&lt;0,"Negative",IF(AG937=0,"Same",IF(AG937&gt;0.3,"30+%",IF(AG937&gt;0.2,"20-30%",IF(AG937&gt;0.1,"10-20%",IF(AG937&lt;=0.1,"0-10%"))))))</f>
        <v>Negative</v>
      </c>
      <c r="AI937" s="32"/>
      <c r="AJ937" s="36" t="s">
        <v>3300</v>
      </c>
      <c r="AK937" s="32"/>
    </row>
    <row r="938" spans="1:37" s="1" customFormat="1" ht="19.7" customHeight="1" x14ac:dyDescent="0.25">
      <c r="A938" s="5" t="s">
        <v>22</v>
      </c>
      <c r="B938" s="5" t="s">
        <v>225</v>
      </c>
      <c r="C938" s="6">
        <v>44242</v>
      </c>
      <c r="D938" s="5" t="s">
        <v>24</v>
      </c>
      <c r="E938" s="5" t="s">
        <v>25</v>
      </c>
      <c r="F938" s="5" t="s">
        <v>26</v>
      </c>
      <c r="G938" s="5" t="s">
        <v>27</v>
      </c>
      <c r="H938" s="5" t="s">
        <v>28</v>
      </c>
      <c r="I938" s="5" t="s">
        <v>29</v>
      </c>
      <c r="J938" s="5" t="s">
        <v>30</v>
      </c>
      <c r="K938" s="5" t="s">
        <v>31</v>
      </c>
      <c r="L938" s="5" t="s">
        <v>32</v>
      </c>
      <c r="M938" s="5" t="s">
        <v>226</v>
      </c>
      <c r="N938" s="5" t="s">
        <v>168</v>
      </c>
      <c r="O938" s="5" t="s">
        <v>227</v>
      </c>
      <c r="P938" s="5" t="s">
        <v>228</v>
      </c>
      <c r="Q938" s="5">
        <v>100849163</v>
      </c>
      <c r="R938" s="5" t="s">
        <v>38</v>
      </c>
      <c r="S938" s="5" t="s">
        <v>39</v>
      </c>
      <c r="T938" s="7">
        <v>1</v>
      </c>
      <c r="U938" s="15" t="s">
        <v>227</v>
      </c>
      <c r="V938" s="16" t="s">
        <v>228</v>
      </c>
      <c r="W938" s="17">
        <v>100849163</v>
      </c>
      <c r="X938" s="16" t="s">
        <v>2583</v>
      </c>
      <c r="Y938" s="17" t="s">
        <v>2584</v>
      </c>
      <c r="Z938" s="17" t="s">
        <v>39</v>
      </c>
      <c r="AA938" s="17" t="s">
        <v>37</v>
      </c>
      <c r="AB938" s="29">
        <v>136.57</v>
      </c>
      <c r="AC938" s="25">
        <v>133.02000000000001</v>
      </c>
      <c r="AD938" s="25">
        <f>AC938*T938</f>
        <v>133.02000000000001</v>
      </c>
      <c r="AE938" s="25">
        <f>AB938*T938</f>
        <v>136.57</v>
      </c>
      <c r="AF938" s="25">
        <f>AD938-AE938</f>
        <v>-3.5499999999999829</v>
      </c>
      <c r="AG938" s="26">
        <f>AF938/AD938</f>
        <v>-2.6687716132912213E-2</v>
      </c>
      <c r="AH938" s="27" t="str">
        <f>IF(AG938&lt;0,"Negative",IF(AG938=0,"Same",IF(AG938&gt;0.3,"30+%",IF(AG938&gt;0.2,"20-30%",IF(AG938&gt;0.1,"10-20%",IF(AG938&lt;=0.1,"0-10%"))))))</f>
        <v>Negative</v>
      </c>
      <c r="AI938" s="32"/>
      <c r="AJ938" s="36" t="s">
        <v>3300</v>
      </c>
      <c r="AK938" s="32"/>
    </row>
    <row r="939" spans="1:37" s="1" customFormat="1" ht="19.7" customHeight="1" x14ac:dyDescent="0.25">
      <c r="A939" s="5" t="s">
        <v>22</v>
      </c>
      <c r="B939" s="5" t="s">
        <v>1854</v>
      </c>
      <c r="C939" s="6">
        <v>44470</v>
      </c>
      <c r="D939" s="5" t="s">
        <v>24</v>
      </c>
      <c r="E939" s="5" t="s">
        <v>25</v>
      </c>
      <c r="F939" s="5" t="s">
        <v>26</v>
      </c>
      <c r="G939" s="5" t="s">
        <v>27</v>
      </c>
      <c r="H939" s="5" t="s">
        <v>28</v>
      </c>
      <c r="I939" s="5" t="s">
        <v>29</v>
      </c>
      <c r="J939" s="5" t="s">
        <v>30</v>
      </c>
      <c r="K939" s="5" t="s">
        <v>31</v>
      </c>
      <c r="L939" s="5" t="s">
        <v>32</v>
      </c>
      <c r="M939" s="5" t="s">
        <v>180</v>
      </c>
      <c r="N939" s="5" t="s">
        <v>1572</v>
      </c>
      <c r="O939" s="5" t="s">
        <v>35</v>
      </c>
      <c r="P939" s="5" t="s">
        <v>181</v>
      </c>
      <c r="Q939" s="5">
        <v>100493510</v>
      </c>
      <c r="R939" s="5" t="s">
        <v>38</v>
      </c>
      <c r="S939" s="5" t="s">
        <v>39</v>
      </c>
      <c r="T939" s="7">
        <v>1</v>
      </c>
      <c r="U939" s="15" t="s">
        <v>35</v>
      </c>
      <c r="V939" s="16" t="s">
        <v>181</v>
      </c>
      <c r="W939" s="17">
        <v>100493510</v>
      </c>
      <c r="X939" s="16" t="s">
        <v>2563</v>
      </c>
      <c r="Y939" s="17" t="s">
        <v>2564</v>
      </c>
      <c r="Z939" s="17" t="s">
        <v>39</v>
      </c>
      <c r="AA939" s="17" t="s">
        <v>37</v>
      </c>
      <c r="AB939" s="29">
        <v>67.5</v>
      </c>
      <c r="AC939" s="25">
        <v>69.02</v>
      </c>
      <c r="AD939" s="25">
        <f>AC939*T939</f>
        <v>69.02</v>
      </c>
      <c r="AE939" s="25">
        <f>AB939*T939</f>
        <v>67.5</v>
      </c>
      <c r="AF939" s="25">
        <f>AD939-AE939</f>
        <v>1.519999999999996</v>
      </c>
      <c r="AG939" s="26">
        <f>AF939/AD939</f>
        <v>2.2022602144305941E-2</v>
      </c>
      <c r="AH939" s="27" t="str">
        <f>IF(AG939&lt;0,"Negative",IF(AG939=0,"Same",IF(AG939&gt;0.3,"30+%",IF(AG939&gt;0.2,"20-30%",IF(AG939&gt;0.1,"10-20%",IF(AG939&lt;=0.1,"0-10%"))))))</f>
        <v>0-10%</v>
      </c>
      <c r="AI939" s="32"/>
      <c r="AJ939" s="36" t="s">
        <v>3300</v>
      </c>
      <c r="AK939" s="32"/>
    </row>
    <row r="940" spans="1:37" s="1" customFormat="1" ht="19.7" customHeight="1" x14ac:dyDescent="0.25">
      <c r="A940" s="9" t="s">
        <v>22</v>
      </c>
      <c r="B940" s="9" t="s">
        <v>166</v>
      </c>
      <c r="C940" s="10">
        <v>44238</v>
      </c>
      <c r="D940" s="9" t="s">
        <v>24</v>
      </c>
      <c r="E940" s="9" t="s">
        <v>25</v>
      </c>
      <c r="F940" s="9" t="s">
        <v>26</v>
      </c>
      <c r="G940" s="9" t="s">
        <v>27</v>
      </c>
      <c r="H940" s="9" t="s">
        <v>28</v>
      </c>
      <c r="I940" s="9" t="s">
        <v>29</v>
      </c>
      <c r="J940" s="9" t="s">
        <v>30</v>
      </c>
      <c r="K940" s="9" t="s">
        <v>31</v>
      </c>
      <c r="L940" s="9" t="s">
        <v>32</v>
      </c>
      <c r="M940" s="9" t="s">
        <v>180</v>
      </c>
      <c r="N940" s="9" t="s">
        <v>168</v>
      </c>
      <c r="O940" s="9" t="s">
        <v>35</v>
      </c>
      <c r="P940" s="9" t="s">
        <v>181</v>
      </c>
      <c r="Q940" s="9">
        <v>100493510</v>
      </c>
      <c r="R940" s="9" t="s">
        <v>38</v>
      </c>
      <c r="S940" s="9" t="s">
        <v>39</v>
      </c>
      <c r="T940" s="11">
        <v>1</v>
      </c>
      <c r="U940" s="15" t="s">
        <v>35</v>
      </c>
      <c r="V940" s="16" t="s">
        <v>181</v>
      </c>
      <c r="W940" s="17">
        <v>100493510</v>
      </c>
      <c r="X940" s="16" t="s">
        <v>2563</v>
      </c>
      <c r="Y940" s="17" t="s">
        <v>2564</v>
      </c>
      <c r="Z940" s="17" t="s">
        <v>39</v>
      </c>
      <c r="AA940" s="17" t="s">
        <v>37</v>
      </c>
      <c r="AB940" s="29">
        <v>67.5</v>
      </c>
      <c r="AC940" s="25">
        <v>69.02</v>
      </c>
      <c r="AD940" s="25">
        <f>AC940*T940</f>
        <v>69.02</v>
      </c>
      <c r="AE940" s="25">
        <f>AB940*T940</f>
        <v>67.5</v>
      </c>
      <c r="AF940" s="25">
        <f>AD940-AE940</f>
        <v>1.519999999999996</v>
      </c>
      <c r="AG940" s="26">
        <f>AF940/AD940</f>
        <v>2.2022602144305941E-2</v>
      </c>
      <c r="AH940" s="27" t="str">
        <f>IF(AG940&lt;0,"Negative",IF(AG940=0,"Same",IF(AG940&gt;0.3,"30+%",IF(AG940&gt;0.2,"20-30%",IF(AG940&gt;0.1,"10-20%",IF(AG940&lt;=0.1,"0-10%"))))))</f>
        <v>0-10%</v>
      </c>
      <c r="AI940" s="32"/>
      <c r="AJ940" s="36" t="s">
        <v>3300</v>
      </c>
      <c r="AK940" s="32"/>
    </row>
    <row r="941" spans="1:37" s="1" customFormat="1" ht="19.7" customHeight="1" x14ac:dyDescent="0.25">
      <c r="A941" s="9" t="s">
        <v>22</v>
      </c>
      <c r="B941" s="9" t="s">
        <v>1210</v>
      </c>
      <c r="C941" s="10">
        <v>44358</v>
      </c>
      <c r="D941" s="9" t="s">
        <v>24</v>
      </c>
      <c r="E941" s="9" t="s">
        <v>25</v>
      </c>
      <c r="F941" s="9" t="s">
        <v>26</v>
      </c>
      <c r="G941" s="9" t="s">
        <v>27</v>
      </c>
      <c r="H941" s="9" t="s">
        <v>28</v>
      </c>
      <c r="I941" s="9" t="s">
        <v>29</v>
      </c>
      <c r="J941" s="9" t="s">
        <v>30</v>
      </c>
      <c r="K941" s="9" t="s">
        <v>31</v>
      </c>
      <c r="L941" s="9" t="s">
        <v>32</v>
      </c>
      <c r="M941" s="9" t="s">
        <v>242</v>
      </c>
      <c r="N941" s="9" t="s">
        <v>1146</v>
      </c>
      <c r="O941" s="9" t="s">
        <v>243</v>
      </c>
      <c r="P941" s="9" t="s">
        <v>244</v>
      </c>
      <c r="Q941" s="9">
        <v>114325094</v>
      </c>
      <c r="R941" s="9" t="s">
        <v>38</v>
      </c>
      <c r="S941" s="9" t="s">
        <v>39</v>
      </c>
      <c r="T941" s="11">
        <v>1</v>
      </c>
      <c r="U941" s="15" t="s">
        <v>243</v>
      </c>
      <c r="V941" s="16" t="s">
        <v>244</v>
      </c>
      <c r="W941" s="17">
        <v>114325094</v>
      </c>
      <c r="X941" s="16" t="s">
        <v>2591</v>
      </c>
      <c r="Y941" s="17" t="s">
        <v>2592</v>
      </c>
      <c r="Z941" s="17" t="s">
        <v>39</v>
      </c>
      <c r="AA941" s="17" t="s">
        <v>2501</v>
      </c>
      <c r="AB941" s="29">
        <v>102.09</v>
      </c>
      <c r="AC941" s="25">
        <v>104.39</v>
      </c>
      <c r="AD941" s="25">
        <f>AC941*T941</f>
        <v>104.39</v>
      </c>
      <c r="AE941" s="25">
        <f>AB941*T941</f>
        <v>102.09</v>
      </c>
      <c r="AF941" s="25">
        <f>AD941-AE941</f>
        <v>2.2999999999999972</v>
      </c>
      <c r="AG941" s="26">
        <f>AF941/AD941</f>
        <v>2.203276175878913E-2</v>
      </c>
      <c r="AH941" s="27" t="str">
        <f>IF(AG941&lt;0,"Negative",IF(AG941=0,"Same",IF(AG941&gt;0.3,"30+%",IF(AG941&gt;0.2,"20-30%",IF(AG941&gt;0.1,"10-20%",IF(AG941&lt;=0.1,"0-10%"))))))</f>
        <v>0-10%</v>
      </c>
      <c r="AI941" s="32"/>
      <c r="AJ941" s="36" t="s">
        <v>3300</v>
      </c>
      <c r="AK941" s="32"/>
    </row>
    <row r="942" spans="1:37" s="1" customFormat="1" ht="19.7" customHeight="1" x14ac:dyDescent="0.25">
      <c r="A942" s="9" t="s">
        <v>22</v>
      </c>
      <c r="B942" s="9" t="s">
        <v>338</v>
      </c>
      <c r="C942" s="10">
        <v>44252</v>
      </c>
      <c r="D942" s="9" t="s">
        <v>24</v>
      </c>
      <c r="E942" s="9" t="s">
        <v>25</v>
      </c>
      <c r="F942" s="9" t="s">
        <v>26</v>
      </c>
      <c r="G942" s="9" t="s">
        <v>27</v>
      </c>
      <c r="H942" s="9" t="s">
        <v>28</v>
      </c>
      <c r="I942" s="9" t="s">
        <v>29</v>
      </c>
      <c r="J942" s="9" t="s">
        <v>30</v>
      </c>
      <c r="K942" s="9" t="s">
        <v>31</v>
      </c>
      <c r="L942" s="9" t="s">
        <v>32</v>
      </c>
      <c r="M942" s="9" t="s">
        <v>261</v>
      </c>
      <c r="N942" s="9" t="s">
        <v>339</v>
      </c>
      <c r="O942" s="9" t="s">
        <v>227</v>
      </c>
      <c r="P942" s="9" t="s">
        <v>340</v>
      </c>
      <c r="Q942" s="9">
        <v>100849151</v>
      </c>
      <c r="R942" s="9" t="s">
        <v>38</v>
      </c>
      <c r="S942" s="9" t="s">
        <v>39</v>
      </c>
      <c r="T942" s="11">
        <v>2</v>
      </c>
      <c r="U942" s="15" t="s">
        <v>227</v>
      </c>
      <c r="V942" s="16" t="s">
        <v>340</v>
      </c>
      <c r="W942" s="17">
        <v>100849151</v>
      </c>
      <c r="X942" s="16" t="s">
        <v>2583</v>
      </c>
      <c r="Y942" s="17" t="s">
        <v>2632</v>
      </c>
      <c r="Z942" s="17" t="s">
        <v>39</v>
      </c>
      <c r="AA942" s="17" t="s">
        <v>37</v>
      </c>
      <c r="AB942" s="29">
        <v>183.79</v>
      </c>
      <c r="AC942" s="25">
        <v>179.01</v>
      </c>
      <c r="AD942" s="25">
        <f>AC942*T942</f>
        <v>358.02</v>
      </c>
      <c r="AE942" s="25">
        <f>AB942*T942</f>
        <v>367.58</v>
      </c>
      <c r="AF942" s="25">
        <f>AD942-AE942</f>
        <v>-9.5600000000000023</v>
      </c>
      <c r="AG942" s="26">
        <f>AF942/AD942</f>
        <v>-2.6702418859281613E-2</v>
      </c>
      <c r="AH942" s="27" t="str">
        <f>IF(AG942&lt;0,"Negative",IF(AG942=0,"Same",IF(AG942&gt;0.3,"30+%",IF(AG942&gt;0.2,"20-30%",IF(AG942&gt;0.1,"10-20%",IF(AG942&lt;=0.1,"0-10%"))))))</f>
        <v>Negative</v>
      </c>
      <c r="AI942" s="32"/>
      <c r="AJ942" s="36" t="s">
        <v>3300</v>
      </c>
      <c r="AK942" s="32"/>
    </row>
    <row r="943" spans="1:37" s="1" customFormat="1" ht="19.7" customHeight="1" x14ac:dyDescent="0.25">
      <c r="A943" s="9" t="s">
        <v>22</v>
      </c>
      <c r="B943" s="9" t="s">
        <v>986</v>
      </c>
      <c r="C943" s="10">
        <v>44323</v>
      </c>
      <c r="D943" s="9" t="s">
        <v>24</v>
      </c>
      <c r="E943" s="9" t="s">
        <v>25</v>
      </c>
      <c r="F943" s="9" t="s">
        <v>26</v>
      </c>
      <c r="G943" s="9" t="s">
        <v>27</v>
      </c>
      <c r="H943" s="9" t="s">
        <v>28</v>
      </c>
      <c r="I943" s="9" t="s">
        <v>29</v>
      </c>
      <c r="J943" s="9" t="s">
        <v>30</v>
      </c>
      <c r="K943" s="9" t="s">
        <v>31</v>
      </c>
      <c r="L943" s="9" t="s">
        <v>32</v>
      </c>
      <c r="M943" s="9" t="s">
        <v>261</v>
      </c>
      <c r="N943" s="9" t="s">
        <v>987</v>
      </c>
      <c r="O943" s="9" t="s">
        <v>988</v>
      </c>
      <c r="P943" s="9" t="s">
        <v>989</v>
      </c>
      <c r="Q943" s="9">
        <v>117597606</v>
      </c>
      <c r="R943" s="9" t="s">
        <v>45</v>
      </c>
      <c r="S943" s="9" t="s">
        <v>39</v>
      </c>
      <c r="T943" s="11">
        <v>10</v>
      </c>
      <c r="U943" s="15" t="s">
        <v>988</v>
      </c>
      <c r="V943" s="16" t="s">
        <v>989</v>
      </c>
      <c r="W943" s="17">
        <v>117597606</v>
      </c>
      <c r="X943" s="16" t="s">
        <v>2887</v>
      </c>
      <c r="Y943" s="17" t="s">
        <v>2888</v>
      </c>
      <c r="Z943" s="17" t="s">
        <v>39</v>
      </c>
      <c r="AA943" s="17" t="s">
        <v>2501</v>
      </c>
      <c r="AB943" s="29">
        <v>68.81</v>
      </c>
      <c r="AC943" s="25">
        <v>84.15</v>
      </c>
      <c r="AD943" s="25">
        <f>AC943*T943</f>
        <v>841.5</v>
      </c>
      <c r="AE943" s="25">
        <f>AB943*T943</f>
        <v>688.1</v>
      </c>
      <c r="AF943" s="25">
        <f>AD943-AE943</f>
        <v>153.39999999999998</v>
      </c>
      <c r="AG943" s="26">
        <f>AF943/AD943</f>
        <v>0.18229352346999403</v>
      </c>
      <c r="AH943" s="27" t="str">
        <f>IF(AG943&lt;0,"Negative",IF(AG943=0,"Same",IF(AG943&gt;0.3,"30+%",IF(AG943&gt;0.2,"20-30%",IF(AG943&gt;0.1,"10-20%",IF(AG943&lt;=0.1,"0-10%"))))))</f>
        <v>10-20%</v>
      </c>
      <c r="AI943" s="32"/>
      <c r="AJ943" s="36" t="s">
        <v>3300</v>
      </c>
      <c r="AK943" s="32"/>
    </row>
    <row r="944" spans="1:37" s="1" customFormat="1" ht="19.7" customHeight="1" x14ac:dyDescent="0.25">
      <c r="A944" s="5" t="s">
        <v>22</v>
      </c>
      <c r="B944" s="5" t="s">
        <v>2409</v>
      </c>
      <c r="C944" s="6">
        <v>44581</v>
      </c>
      <c r="D944" s="5" t="s">
        <v>24</v>
      </c>
      <c r="E944" s="5" t="s">
        <v>25</v>
      </c>
      <c r="F944" s="5" t="s">
        <v>26</v>
      </c>
      <c r="G944" s="5" t="s">
        <v>27</v>
      </c>
      <c r="H944" s="5" t="s">
        <v>28</v>
      </c>
      <c r="I944" s="5" t="s">
        <v>29</v>
      </c>
      <c r="J944" s="5" t="s">
        <v>30</v>
      </c>
      <c r="K944" s="5" t="s">
        <v>31</v>
      </c>
      <c r="L944" s="5" t="s">
        <v>32</v>
      </c>
      <c r="M944" s="5" t="s">
        <v>2410</v>
      </c>
      <c r="N944" s="5" t="s">
        <v>2411</v>
      </c>
      <c r="O944" s="5" t="s">
        <v>35</v>
      </c>
      <c r="P944" s="5" t="s">
        <v>2412</v>
      </c>
      <c r="Q944" s="5">
        <v>100559419</v>
      </c>
      <c r="R944" s="5" t="s">
        <v>38</v>
      </c>
      <c r="S944" s="5" t="s">
        <v>39</v>
      </c>
      <c r="T944" s="7">
        <v>1</v>
      </c>
      <c r="U944" s="15" t="s">
        <v>35</v>
      </c>
      <c r="V944" s="16" t="s">
        <v>2412</v>
      </c>
      <c r="W944" s="17">
        <v>100559419</v>
      </c>
      <c r="X944" s="16" t="s">
        <v>2553</v>
      </c>
      <c r="Y944" s="17" t="s">
        <v>3267</v>
      </c>
      <c r="Z944" s="17" t="s">
        <v>39</v>
      </c>
      <c r="AA944" s="17" t="s">
        <v>37</v>
      </c>
      <c r="AB944" s="29">
        <v>220.56</v>
      </c>
      <c r="AC944" s="25">
        <v>231.06</v>
      </c>
      <c r="AD944" s="25">
        <f>AC944*T944</f>
        <v>231.06</v>
      </c>
      <c r="AE944" s="25">
        <f>AB944*T944</f>
        <v>220.56</v>
      </c>
      <c r="AF944" s="25">
        <f>AD944-AE944</f>
        <v>10.5</v>
      </c>
      <c r="AG944" s="26">
        <f>AF944/AD944</f>
        <v>4.5442742144897429E-2</v>
      </c>
      <c r="AH944" s="27" t="str">
        <f>IF(AG944&lt;0,"Negative",IF(AG944=0,"Same",IF(AG944&gt;0.3,"30+%",IF(AG944&gt;0.2,"20-30%",IF(AG944&gt;0.1,"10-20%",IF(AG944&lt;=0.1,"0-10%"))))))</f>
        <v>0-10%</v>
      </c>
      <c r="AI944" s="32"/>
      <c r="AJ944" s="36" t="s">
        <v>3300</v>
      </c>
      <c r="AK944" s="32"/>
    </row>
    <row r="945" spans="1:37" s="1" customFormat="1" ht="19.7" customHeight="1" x14ac:dyDescent="0.25">
      <c r="A945" s="5" t="s">
        <v>22</v>
      </c>
      <c r="B945" s="5" t="s">
        <v>2424</v>
      </c>
      <c r="C945" s="6">
        <v>44585</v>
      </c>
      <c r="D945" s="5" t="s">
        <v>24</v>
      </c>
      <c r="E945" s="5" t="s">
        <v>25</v>
      </c>
      <c r="F945" s="5" t="s">
        <v>26</v>
      </c>
      <c r="G945" s="5" t="s">
        <v>27</v>
      </c>
      <c r="H945" s="5" t="s">
        <v>28</v>
      </c>
      <c r="I945" s="5" t="s">
        <v>29</v>
      </c>
      <c r="J945" s="5" t="s">
        <v>30</v>
      </c>
      <c r="K945" s="5" t="s">
        <v>31</v>
      </c>
      <c r="L945" s="5" t="s">
        <v>32</v>
      </c>
      <c r="M945" s="5" t="s">
        <v>2410</v>
      </c>
      <c r="N945" s="5" t="s">
        <v>2411</v>
      </c>
      <c r="O945" s="5" t="s">
        <v>35</v>
      </c>
      <c r="P945" s="5" t="s">
        <v>2412</v>
      </c>
      <c r="Q945" s="5">
        <v>100559419</v>
      </c>
      <c r="R945" s="5" t="s">
        <v>38</v>
      </c>
      <c r="S945" s="5" t="s">
        <v>39</v>
      </c>
      <c r="T945" s="7">
        <v>2</v>
      </c>
      <c r="U945" s="15" t="s">
        <v>35</v>
      </c>
      <c r="V945" s="16" t="s">
        <v>2412</v>
      </c>
      <c r="W945" s="17">
        <v>100559419</v>
      </c>
      <c r="X945" s="16" t="s">
        <v>2553</v>
      </c>
      <c r="Y945" s="17" t="s">
        <v>3267</v>
      </c>
      <c r="Z945" s="17" t="s">
        <v>39</v>
      </c>
      <c r="AA945" s="17" t="s">
        <v>37</v>
      </c>
      <c r="AB945" s="29">
        <v>220.56</v>
      </c>
      <c r="AC945" s="25">
        <v>231.06</v>
      </c>
      <c r="AD945" s="25">
        <f>AC945*T945</f>
        <v>462.12</v>
      </c>
      <c r="AE945" s="25">
        <f>AB945*T945</f>
        <v>441.12</v>
      </c>
      <c r="AF945" s="25">
        <f>AD945-AE945</f>
        <v>21</v>
      </c>
      <c r="AG945" s="26">
        <f>AF945/AD945</f>
        <v>4.5442742144897429E-2</v>
      </c>
      <c r="AH945" s="27" t="str">
        <f>IF(AG945&lt;0,"Negative",IF(AG945=0,"Same",IF(AG945&gt;0.3,"30+%",IF(AG945&gt;0.2,"20-30%",IF(AG945&gt;0.1,"10-20%",IF(AG945&lt;=0.1,"0-10%"))))))</f>
        <v>0-10%</v>
      </c>
      <c r="AI945" s="32"/>
      <c r="AJ945" s="36" t="s">
        <v>3300</v>
      </c>
      <c r="AK945" s="32"/>
    </row>
    <row r="946" spans="1:37" s="1" customFormat="1" ht="19.7" customHeight="1" x14ac:dyDescent="0.25">
      <c r="A946" s="9" t="s">
        <v>22</v>
      </c>
      <c r="B946" s="9" t="s">
        <v>1029</v>
      </c>
      <c r="C946" s="10">
        <v>44333</v>
      </c>
      <c r="D946" s="9" t="s">
        <v>24</v>
      </c>
      <c r="E946" s="9" t="s">
        <v>25</v>
      </c>
      <c r="F946" s="9" t="s">
        <v>26</v>
      </c>
      <c r="G946" s="9" t="s">
        <v>67</v>
      </c>
      <c r="H946" s="9" t="s">
        <v>68</v>
      </c>
      <c r="I946" s="9" t="s">
        <v>29</v>
      </c>
      <c r="J946" s="9" t="s">
        <v>30</v>
      </c>
      <c r="K946" s="9" t="s">
        <v>31</v>
      </c>
      <c r="L946" s="9" t="s">
        <v>32</v>
      </c>
      <c r="M946" s="9" t="s">
        <v>1030</v>
      </c>
      <c r="N946" s="9" t="s">
        <v>467</v>
      </c>
      <c r="O946" s="9" t="s">
        <v>79</v>
      </c>
      <c r="P946" s="9" t="s">
        <v>1031</v>
      </c>
      <c r="Q946" s="9">
        <v>100756623</v>
      </c>
      <c r="R946" s="9" t="s">
        <v>61</v>
      </c>
      <c r="S946" s="9" t="s">
        <v>39</v>
      </c>
      <c r="T946" s="11">
        <v>1</v>
      </c>
      <c r="U946" s="15" t="s">
        <v>79</v>
      </c>
      <c r="V946" s="16" t="s">
        <v>1031</v>
      </c>
      <c r="W946" s="17">
        <v>100756623</v>
      </c>
      <c r="X946" s="16" t="s">
        <v>2540</v>
      </c>
      <c r="Y946" s="17" t="s">
        <v>2898</v>
      </c>
      <c r="Z946" s="17" t="s">
        <v>39</v>
      </c>
      <c r="AA946" s="17" t="s">
        <v>37</v>
      </c>
      <c r="AB946" s="43">
        <v>58.08</v>
      </c>
      <c r="AC946" s="25">
        <v>67.63</v>
      </c>
      <c r="AD946" s="25">
        <f>AC946*T946</f>
        <v>67.63</v>
      </c>
      <c r="AE946" s="25">
        <f>AB946*T946</f>
        <v>58.08</v>
      </c>
      <c r="AF946" s="25">
        <f>AD946-AE946</f>
        <v>9.5499999999999972</v>
      </c>
      <c r="AG946" s="26">
        <f>AF946/AD946</f>
        <v>0.14120952240130116</v>
      </c>
      <c r="AH946" s="27" t="str">
        <f>IF(AG946&lt;0,"Negative",IF(AG946=0,"Same",IF(AG946&gt;0.3,"30+%",IF(AG946&gt;0.2,"20-30%",IF(AG946&gt;0.1,"10-20%",IF(AG946&lt;=0.1,"0-10%"))))))</f>
        <v>10-20%</v>
      </c>
      <c r="AI946" s="32"/>
      <c r="AJ946" s="36" t="s">
        <v>3299</v>
      </c>
      <c r="AK946" s="32"/>
    </row>
    <row r="947" spans="1:37" s="1" customFormat="1" ht="19.7" customHeight="1" x14ac:dyDescent="0.25">
      <c r="A947" s="9" t="s">
        <v>22</v>
      </c>
      <c r="B947" s="9" t="s">
        <v>1759</v>
      </c>
      <c r="C947" s="10">
        <v>44456</v>
      </c>
      <c r="D947" s="9" t="s">
        <v>24</v>
      </c>
      <c r="E947" s="9" t="s">
        <v>25</v>
      </c>
      <c r="F947" s="9" t="s">
        <v>26</v>
      </c>
      <c r="G947" s="9" t="s">
        <v>67</v>
      </c>
      <c r="H947" s="9" t="s">
        <v>68</v>
      </c>
      <c r="I947" s="9" t="s">
        <v>29</v>
      </c>
      <c r="J947" s="9" t="s">
        <v>30</v>
      </c>
      <c r="K947" s="9" t="s">
        <v>31</v>
      </c>
      <c r="L947" s="9" t="s">
        <v>32</v>
      </c>
      <c r="M947" s="9" t="s">
        <v>909</v>
      </c>
      <c r="N947" s="9" t="s">
        <v>1760</v>
      </c>
      <c r="O947" s="9" t="s">
        <v>109</v>
      </c>
      <c r="P947" s="9" t="s">
        <v>910</v>
      </c>
      <c r="Q947" s="9">
        <v>100721905</v>
      </c>
      <c r="R947" s="9" t="s">
        <v>61</v>
      </c>
      <c r="S947" s="9" t="s">
        <v>39</v>
      </c>
      <c r="T947" s="11">
        <v>1</v>
      </c>
      <c r="U947" s="15" t="s">
        <v>109</v>
      </c>
      <c r="V947" s="16" t="s">
        <v>910</v>
      </c>
      <c r="W947" s="17">
        <v>100721905</v>
      </c>
      <c r="X947" s="16" t="s">
        <v>2526</v>
      </c>
      <c r="Y947" s="17" t="s">
        <v>2858</v>
      </c>
      <c r="Z947" s="17" t="s">
        <v>39</v>
      </c>
      <c r="AA947" s="17" t="s">
        <v>37</v>
      </c>
      <c r="AB947" s="43">
        <v>107.79</v>
      </c>
      <c r="AC947" s="25">
        <v>110.04</v>
      </c>
      <c r="AD947" s="25">
        <f>AC947*T947</f>
        <v>110.04</v>
      </c>
      <c r="AE947" s="25">
        <f>AB947*T947</f>
        <v>107.79</v>
      </c>
      <c r="AF947" s="25">
        <f>AD947-AE947</f>
        <v>2.25</v>
      </c>
      <c r="AG947" s="26">
        <f>AF947/AD947</f>
        <v>2.0447110141766631E-2</v>
      </c>
      <c r="AH947" s="27" t="str">
        <f>IF(AG947&lt;0,"Negative",IF(AG947=0,"Same",IF(AG947&gt;0.3,"30+%",IF(AG947&gt;0.2,"20-30%",IF(AG947&gt;0.1,"10-20%",IF(AG947&lt;=0.1,"0-10%"))))))</f>
        <v>0-10%</v>
      </c>
      <c r="AI947" s="32"/>
      <c r="AJ947" s="36" t="s">
        <v>3300</v>
      </c>
      <c r="AK947" s="32"/>
    </row>
    <row r="948" spans="1:37" s="1" customFormat="1" ht="19.7" customHeight="1" x14ac:dyDescent="0.25">
      <c r="A948" s="9" t="s">
        <v>22</v>
      </c>
      <c r="B948" s="9" t="s">
        <v>2395</v>
      </c>
      <c r="C948" s="10">
        <v>44580</v>
      </c>
      <c r="D948" s="9" t="s">
        <v>24</v>
      </c>
      <c r="E948" s="9" t="s">
        <v>25</v>
      </c>
      <c r="F948" s="9" t="s">
        <v>26</v>
      </c>
      <c r="G948" s="9" t="s">
        <v>27</v>
      </c>
      <c r="H948" s="9" t="s">
        <v>28</v>
      </c>
      <c r="I948" s="9" t="s">
        <v>29</v>
      </c>
      <c r="J948" s="9" t="s">
        <v>30</v>
      </c>
      <c r="K948" s="9" t="s">
        <v>31</v>
      </c>
      <c r="L948" s="9" t="s">
        <v>32</v>
      </c>
      <c r="M948" s="9" t="s">
        <v>2396</v>
      </c>
      <c r="N948" s="9" t="s">
        <v>2397</v>
      </c>
      <c r="O948" s="9" t="s">
        <v>79</v>
      </c>
      <c r="P948" s="9" t="s">
        <v>2398</v>
      </c>
      <c r="Q948" s="9">
        <v>101169319</v>
      </c>
      <c r="R948" s="9" t="s">
        <v>61</v>
      </c>
      <c r="S948" s="9" t="s">
        <v>39</v>
      </c>
      <c r="T948" s="11">
        <v>2</v>
      </c>
      <c r="U948" s="15" t="s">
        <v>79</v>
      </c>
      <c r="V948" s="16" t="s">
        <v>2398</v>
      </c>
      <c r="W948" s="17">
        <v>101169319</v>
      </c>
      <c r="X948" s="16" t="s">
        <v>2947</v>
      </c>
      <c r="Y948" s="17" t="s">
        <v>3264</v>
      </c>
      <c r="Z948" s="17" t="s">
        <v>39</v>
      </c>
      <c r="AA948" s="17" t="s">
        <v>37</v>
      </c>
      <c r="AB948" s="43">
        <v>128.91</v>
      </c>
      <c r="AC948" s="25">
        <v>130.12</v>
      </c>
      <c r="AD948" s="25">
        <f>AC948*T948</f>
        <v>260.24</v>
      </c>
      <c r="AE948" s="25">
        <f>AB948*T948</f>
        <v>257.82</v>
      </c>
      <c r="AF948" s="25">
        <f>AD948-AE948</f>
        <v>2.4200000000000159</v>
      </c>
      <c r="AG948" s="26">
        <f>AF948/AD948</f>
        <v>9.2991085152167845E-3</v>
      </c>
      <c r="AH948" s="27" t="str">
        <f>IF(AG948&lt;0,"Negative",IF(AG948=0,"Same",IF(AG948&gt;0.3,"30+%",IF(AG948&gt;0.2,"20-30%",IF(AG948&gt;0.1,"10-20%",IF(AG948&lt;=0.1,"0-10%"))))))</f>
        <v>0-10%</v>
      </c>
      <c r="AI948" s="32"/>
      <c r="AJ948" s="36" t="s">
        <v>3299</v>
      </c>
      <c r="AK948" s="32"/>
    </row>
    <row r="949" spans="1:37" s="1" customFormat="1" ht="19.7" customHeight="1" x14ac:dyDescent="0.25">
      <c r="A949" s="5" t="s">
        <v>22</v>
      </c>
      <c r="B949" s="5" t="s">
        <v>2478</v>
      </c>
      <c r="C949" s="6">
        <v>44589</v>
      </c>
      <c r="D949" s="5" t="s">
        <v>24</v>
      </c>
      <c r="E949" s="5" t="s">
        <v>25</v>
      </c>
      <c r="F949" s="5" t="s">
        <v>26</v>
      </c>
      <c r="G949" s="5" t="s">
        <v>67</v>
      </c>
      <c r="H949" s="5" t="s">
        <v>68</v>
      </c>
      <c r="I949" s="5" t="s">
        <v>29</v>
      </c>
      <c r="J949" s="5" t="s">
        <v>30</v>
      </c>
      <c r="K949" s="5" t="s">
        <v>31</v>
      </c>
      <c r="L949" s="5" t="s">
        <v>32</v>
      </c>
      <c r="M949" s="5" t="s">
        <v>807</v>
      </c>
      <c r="N949" s="5" t="s">
        <v>2480</v>
      </c>
      <c r="O949" s="5" t="s">
        <v>43</v>
      </c>
      <c r="P949" s="5" t="s">
        <v>808</v>
      </c>
      <c r="Q949" s="5">
        <v>110914563</v>
      </c>
      <c r="R949" s="5" t="s">
        <v>73</v>
      </c>
      <c r="S949" s="5" t="s">
        <v>39</v>
      </c>
      <c r="T949" s="7">
        <v>1</v>
      </c>
      <c r="U949" s="15" t="s">
        <v>43</v>
      </c>
      <c r="V949" s="16" t="s">
        <v>808</v>
      </c>
      <c r="W949" s="17">
        <v>110914563</v>
      </c>
      <c r="X949" s="16" t="s">
        <v>2745</v>
      </c>
      <c r="Y949" s="17" t="s">
        <v>2825</v>
      </c>
      <c r="Z949" s="17" t="s">
        <v>39</v>
      </c>
      <c r="AA949" s="17" t="s">
        <v>2501</v>
      </c>
      <c r="AB949" s="29">
        <v>183.79</v>
      </c>
      <c r="AC949" s="25">
        <v>176.21</v>
      </c>
      <c r="AD949" s="25">
        <f>AC949*T949</f>
        <v>176.21</v>
      </c>
      <c r="AE949" s="25">
        <f>AB949*T949</f>
        <v>183.79</v>
      </c>
      <c r="AF949" s="25">
        <f>AD949-AE949</f>
        <v>-7.5799999999999841</v>
      </c>
      <c r="AG949" s="26">
        <f>AF949/AD949</f>
        <v>-4.3016854889052741E-2</v>
      </c>
      <c r="AH949" s="27" t="str">
        <f>IF(AG949&lt;0,"Negative",IF(AG949=0,"Same",IF(AG949&gt;0.3,"30+%",IF(AG949&gt;0.2,"20-30%",IF(AG949&gt;0.1,"10-20%",IF(AG949&lt;=0.1,"0-10%"))))))</f>
        <v>Negative</v>
      </c>
      <c r="AI949" s="32"/>
      <c r="AJ949" s="36" t="s">
        <v>3300</v>
      </c>
      <c r="AK949" s="32"/>
    </row>
    <row r="950" spans="1:37" s="1" customFormat="1" ht="19.7" customHeight="1" x14ac:dyDescent="0.25">
      <c r="A950" s="5" t="s">
        <v>22</v>
      </c>
      <c r="B950" s="5" t="s">
        <v>2484</v>
      </c>
      <c r="C950" s="6">
        <v>44589</v>
      </c>
      <c r="D950" s="5" t="s">
        <v>24</v>
      </c>
      <c r="E950" s="5" t="s">
        <v>25</v>
      </c>
      <c r="F950" s="5" t="s">
        <v>26</v>
      </c>
      <c r="G950" s="5" t="s">
        <v>67</v>
      </c>
      <c r="H950" s="5" t="s">
        <v>68</v>
      </c>
      <c r="I950" s="5" t="s">
        <v>29</v>
      </c>
      <c r="J950" s="5" t="s">
        <v>30</v>
      </c>
      <c r="K950" s="5" t="s">
        <v>31</v>
      </c>
      <c r="L950" s="5" t="s">
        <v>32</v>
      </c>
      <c r="M950" s="5" t="s">
        <v>807</v>
      </c>
      <c r="N950" s="5" t="s">
        <v>2407</v>
      </c>
      <c r="O950" s="5" t="s">
        <v>43</v>
      </c>
      <c r="P950" s="5" t="s">
        <v>808</v>
      </c>
      <c r="Q950" s="5">
        <v>110914563</v>
      </c>
      <c r="R950" s="5" t="s">
        <v>73</v>
      </c>
      <c r="S950" s="5" t="s">
        <v>39</v>
      </c>
      <c r="T950" s="7">
        <v>1</v>
      </c>
      <c r="U950" s="15" t="s">
        <v>43</v>
      </c>
      <c r="V950" s="16" t="s">
        <v>808</v>
      </c>
      <c r="W950" s="17">
        <v>110914563</v>
      </c>
      <c r="X950" s="16" t="s">
        <v>2745</v>
      </c>
      <c r="Y950" s="17" t="s">
        <v>2825</v>
      </c>
      <c r="Z950" s="17" t="s">
        <v>39</v>
      </c>
      <c r="AA950" s="17" t="s">
        <v>2501</v>
      </c>
      <c r="AB950" s="29">
        <v>183.79</v>
      </c>
      <c r="AC950" s="25">
        <v>176.21</v>
      </c>
      <c r="AD950" s="25">
        <f>AC950*T950</f>
        <v>176.21</v>
      </c>
      <c r="AE950" s="25">
        <f>AB950*T950</f>
        <v>183.79</v>
      </c>
      <c r="AF950" s="25">
        <f>AD950-AE950</f>
        <v>-7.5799999999999841</v>
      </c>
      <c r="AG950" s="26">
        <f>AF950/AD950</f>
        <v>-4.3016854889052741E-2</v>
      </c>
      <c r="AH950" s="27" t="str">
        <f>IF(AG950&lt;0,"Negative",IF(AG950=0,"Same",IF(AG950&gt;0.3,"30+%",IF(AG950&gt;0.2,"20-30%",IF(AG950&gt;0.1,"10-20%",IF(AG950&lt;=0.1,"0-10%"))))))</f>
        <v>Negative</v>
      </c>
      <c r="AI950" s="32"/>
      <c r="AJ950" s="36" t="s">
        <v>3300</v>
      </c>
      <c r="AK950" s="32"/>
    </row>
    <row r="951" spans="1:37" s="1" customFormat="1" ht="19.7" customHeight="1" x14ac:dyDescent="0.25">
      <c r="A951" s="9" t="s">
        <v>22</v>
      </c>
      <c r="B951" s="9" t="s">
        <v>1812</v>
      </c>
      <c r="C951" s="10">
        <v>44466</v>
      </c>
      <c r="D951" s="9" t="s">
        <v>24</v>
      </c>
      <c r="E951" s="9" t="s">
        <v>25</v>
      </c>
      <c r="F951" s="9" t="s">
        <v>26</v>
      </c>
      <c r="G951" s="9" t="s">
        <v>67</v>
      </c>
      <c r="H951" s="9" t="s">
        <v>68</v>
      </c>
      <c r="I951" s="9" t="s">
        <v>29</v>
      </c>
      <c r="J951" s="9" t="s">
        <v>30</v>
      </c>
      <c r="K951" s="9" t="s">
        <v>31</v>
      </c>
      <c r="L951" s="9" t="s">
        <v>32</v>
      </c>
      <c r="M951" s="9" t="s">
        <v>907</v>
      </c>
      <c r="N951" s="9" t="s">
        <v>1813</v>
      </c>
      <c r="O951" s="9" t="s">
        <v>109</v>
      </c>
      <c r="P951" s="9" t="s">
        <v>908</v>
      </c>
      <c r="Q951" s="9">
        <v>100721845</v>
      </c>
      <c r="R951" s="9" t="s">
        <v>61</v>
      </c>
      <c r="S951" s="9" t="s">
        <v>39</v>
      </c>
      <c r="T951" s="11">
        <v>1</v>
      </c>
      <c r="U951" s="15" t="s">
        <v>109</v>
      </c>
      <c r="V951" s="16" t="s">
        <v>908</v>
      </c>
      <c r="W951" s="17">
        <v>100721845</v>
      </c>
      <c r="X951" s="16" t="s">
        <v>2526</v>
      </c>
      <c r="Y951" s="17" t="s">
        <v>2857</v>
      </c>
      <c r="Z951" s="17" t="s">
        <v>39</v>
      </c>
      <c r="AA951" s="17" t="s">
        <v>37</v>
      </c>
      <c r="AB951" s="43">
        <v>110.25</v>
      </c>
      <c r="AC951" s="25">
        <v>112.67</v>
      </c>
      <c r="AD951" s="25">
        <f>AC951*T951</f>
        <v>112.67</v>
      </c>
      <c r="AE951" s="25">
        <f>AB951*T951</f>
        <v>110.25</v>
      </c>
      <c r="AF951" s="25">
        <f>AD951-AE951</f>
        <v>2.4200000000000017</v>
      </c>
      <c r="AG951" s="26">
        <f>AF951/AD951</f>
        <v>2.1478654477678188E-2</v>
      </c>
      <c r="AH951" s="27" t="str">
        <f>IF(AG951&lt;0,"Negative",IF(AG951=0,"Same",IF(AG951&gt;0.3,"30+%",IF(AG951&gt;0.2,"20-30%",IF(AG951&gt;0.1,"10-20%",IF(AG951&lt;=0.1,"0-10%"))))))</f>
        <v>0-10%</v>
      </c>
      <c r="AI951" s="32"/>
      <c r="AJ951" s="36" t="s">
        <v>3299</v>
      </c>
      <c r="AK951" s="32"/>
    </row>
    <row r="952" spans="1:37" s="1" customFormat="1" ht="19.7" customHeight="1" x14ac:dyDescent="0.25">
      <c r="A952" s="9" t="s">
        <v>22</v>
      </c>
      <c r="B952" s="9" t="s">
        <v>1460</v>
      </c>
      <c r="C952" s="10">
        <v>44399</v>
      </c>
      <c r="D952" s="9" t="s">
        <v>24</v>
      </c>
      <c r="E952" s="9" t="s">
        <v>25</v>
      </c>
      <c r="F952" s="9" t="s">
        <v>26</v>
      </c>
      <c r="G952" s="9" t="s">
        <v>27</v>
      </c>
      <c r="H952" s="9" t="s">
        <v>28</v>
      </c>
      <c r="I952" s="9" t="s">
        <v>29</v>
      </c>
      <c r="J952" s="9" t="s">
        <v>30</v>
      </c>
      <c r="K952" s="9" t="s">
        <v>31</v>
      </c>
      <c r="L952" s="9" t="s">
        <v>32</v>
      </c>
      <c r="M952" s="9" t="s">
        <v>1461</v>
      </c>
      <c r="N952" s="9" t="s">
        <v>776</v>
      </c>
      <c r="O952" s="9" t="s">
        <v>553</v>
      </c>
      <c r="P952" s="9" t="s">
        <v>1462</v>
      </c>
      <c r="Q952" s="9">
        <v>100010456</v>
      </c>
      <c r="R952" s="9" t="s">
        <v>38</v>
      </c>
      <c r="S952" s="9" t="s">
        <v>39</v>
      </c>
      <c r="T952" s="11">
        <v>2</v>
      </c>
      <c r="U952" s="15" t="s">
        <v>553</v>
      </c>
      <c r="V952" s="16" t="s">
        <v>1462</v>
      </c>
      <c r="W952" s="17">
        <v>100010456</v>
      </c>
      <c r="X952" s="16" t="s">
        <v>2585</v>
      </c>
      <c r="Y952" s="17" t="s">
        <v>3048</v>
      </c>
      <c r="Z952" s="17" t="s">
        <v>39</v>
      </c>
      <c r="AA952" s="17" t="s">
        <v>37</v>
      </c>
      <c r="AB952" s="29">
        <v>169.88</v>
      </c>
      <c r="AC952" s="25">
        <v>173.73</v>
      </c>
      <c r="AD952" s="25">
        <f>AC952*T952</f>
        <v>347.46</v>
      </c>
      <c r="AE952" s="25">
        <f>AB952*T952</f>
        <v>339.76</v>
      </c>
      <c r="AF952" s="25">
        <f>AD952-AE952</f>
        <v>7.6999999999999886</v>
      </c>
      <c r="AG952" s="26">
        <f>AF952/AD952</f>
        <v>2.2160824267541557E-2</v>
      </c>
      <c r="AH952" s="27" t="str">
        <f>IF(AG952&lt;0,"Negative",IF(AG952=0,"Same",IF(AG952&gt;0.3,"30+%",IF(AG952&gt;0.2,"20-30%",IF(AG952&gt;0.1,"10-20%",IF(AG952&lt;=0.1,"0-10%"))))))</f>
        <v>0-10%</v>
      </c>
      <c r="AI952" s="32"/>
      <c r="AJ952" s="36" t="s">
        <v>3300</v>
      </c>
      <c r="AK952" s="32"/>
    </row>
    <row r="953" spans="1:37" s="1" customFormat="1" ht="19.7" customHeight="1" x14ac:dyDescent="0.25">
      <c r="A953" s="9" t="s">
        <v>22</v>
      </c>
      <c r="B953" s="9" t="s">
        <v>2287</v>
      </c>
      <c r="C953" s="10">
        <v>44559</v>
      </c>
      <c r="D953" s="9" t="s">
        <v>24</v>
      </c>
      <c r="E953" s="9" t="s">
        <v>25</v>
      </c>
      <c r="F953" s="9" t="s">
        <v>26</v>
      </c>
      <c r="G953" s="9" t="s">
        <v>67</v>
      </c>
      <c r="H953" s="9" t="s">
        <v>68</v>
      </c>
      <c r="I953" s="9" t="s">
        <v>29</v>
      </c>
      <c r="J953" s="9" t="s">
        <v>30</v>
      </c>
      <c r="K953" s="9" t="s">
        <v>31</v>
      </c>
      <c r="L953" s="9" t="s">
        <v>32</v>
      </c>
      <c r="M953" s="9" t="s">
        <v>468</v>
      </c>
      <c r="N953" s="9" t="s">
        <v>2288</v>
      </c>
      <c r="O953" s="9" t="s">
        <v>71</v>
      </c>
      <c r="P953" s="9" t="s">
        <v>469</v>
      </c>
      <c r="Q953" s="9">
        <v>112228025</v>
      </c>
      <c r="R953" s="9" t="s">
        <v>73</v>
      </c>
      <c r="S953" s="9" t="s">
        <v>39</v>
      </c>
      <c r="T953" s="11">
        <v>128</v>
      </c>
      <c r="U953" s="15" t="s">
        <v>71</v>
      </c>
      <c r="V953" s="41" t="s">
        <v>469</v>
      </c>
      <c r="W953" s="17">
        <v>112228025</v>
      </c>
      <c r="X953" s="16" t="s">
        <v>2510</v>
      </c>
      <c r="Y953" s="17" t="s">
        <v>2687</v>
      </c>
      <c r="Z953" s="17" t="s">
        <v>39</v>
      </c>
      <c r="AA953" s="17" t="s">
        <v>2501</v>
      </c>
      <c r="AB953" s="29">
        <v>15.49</v>
      </c>
      <c r="AC953" s="25">
        <v>29.18</v>
      </c>
      <c r="AD953" s="25">
        <f>AC953*T953</f>
        <v>3735.04</v>
      </c>
      <c r="AE953" s="25">
        <f>AB953*T953</f>
        <v>1982.72</v>
      </c>
      <c r="AF953" s="25">
        <f>AD953-AE953</f>
        <v>1752.32</v>
      </c>
      <c r="AG953" s="26">
        <f>AF953/AD953</f>
        <v>0.46915695681973951</v>
      </c>
      <c r="AH953" s="27" t="str">
        <f>IF(AG953&lt;0,"Negative",IF(AG953=0,"Same",IF(AG953&gt;0.3,"30+%",IF(AG953&gt;0.2,"20-30%",IF(AG953&gt;0.1,"10-20%",IF(AG953&lt;=0.1,"0-10%"))))))</f>
        <v>30+%</v>
      </c>
      <c r="AI953" s="32"/>
      <c r="AJ953" s="36" t="s">
        <v>3300</v>
      </c>
      <c r="AK953" s="32"/>
    </row>
    <row r="954" spans="1:37" s="1" customFormat="1" ht="19.7" customHeight="1" x14ac:dyDescent="0.25">
      <c r="A954" s="9" t="s">
        <v>22</v>
      </c>
      <c r="B954" s="9" t="s">
        <v>2211</v>
      </c>
      <c r="C954" s="10">
        <v>44540</v>
      </c>
      <c r="D954" s="9" t="s">
        <v>24</v>
      </c>
      <c r="E954" s="9" t="s">
        <v>25</v>
      </c>
      <c r="F954" s="9" t="s">
        <v>26</v>
      </c>
      <c r="G954" s="9" t="s">
        <v>67</v>
      </c>
      <c r="H954" s="9" t="s">
        <v>68</v>
      </c>
      <c r="I954" s="9" t="s">
        <v>29</v>
      </c>
      <c r="J954" s="9" t="s">
        <v>30</v>
      </c>
      <c r="K954" s="9" t="s">
        <v>31</v>
      </c>
      <c r="L954" s="9" t="s">
        <v>32</v>
      </c>
      <c r="M954" s="9" t="s">
        <v>468</v>
      </c>
      <c r="N954" s="9" t="s">
        <v>2212</v>
      </c>
      <c r="O954" s="9" t="s">
        <v>71</v>
      </c>
      <c r="P954" s="9" t="s">
        <v>469</v>
      </c>
      <c r="Q954" s="9">
        <v>112228025</v>
      </c>
      <c r="R954" s="9" t="s">
        <v>73</v>
      </c>
      <c r="S954" s="9" t="s">
        <v>39</v>
      </c>
      <c r="T954" s="11">
        <v>216</v>
      </c>
      <c r="U954" s="15" t="s">
        <v>71</v>
      </c>
      <c r="V954" s="41" t="s">
        <v>469</v>
      </c>
      <c r="W954" s="17">
        <v>112228025</v>
      </c>
      <c r="X954" s="16" t="s">
        <v>2510</v>
      </c>
      <c r="Y954" s="17" t="s">
        <v>2687</v>
      </c>
      <c r="Z954" s="17" t="s">
        <v>39</v>
      </c>
      <c r="AA954" s="17" t="s">
        <v>2501</v>
      </c>
      <c r="AB954" s="29">
        <v>15.49</v>
      </c>
      <c r="AC954" s="25">
        <v>29.18</v>
      </c>
      <c r="AD954" s="25">
        <f>AC954*T954</f>
        <v>6302.88</v>
      </c>
      <c r="AE954" s="25">
        <f>AB954*T954</f>
        <v>3345.84</v>
      </c>
      <c r="AF954" s="25">
        <f>AD954-AE954</f>
        <v>2957.04</v>
      </c>
      <c r="AG954" s="26">
        <f>AF954/AD954</f>
        <v>0.46915695681973951</v>
      </c>
      <c r="AH954" s="27" t="str">
        <f>IF(AG954&lt;0,"Negative",IF(AG954=0,"Same",IF(AG954&gt;0.3,"30+%",IF(AG954&gt;0.2,"20-30%",IF(AG954&gt;0.1,"10-20%",IF(AG954&lt;=0.1,"0-10%"))))))</f>
        <v>30+%</v>
      </c>
      <c r="AI954" s="32"/>
      <c r="AJ954" s="36" t="s">
        <v>3300</v>
      </c>
      <c r="AK954" s="32"/>
    </row>
    <row r="955" spans="1:37" s="1" customFormat="1" ht="19.7" customHeight="1" x14ac:dyDescent="0.25">
      <c r="A955" s="5" t="s">
        <v>22</v>
      </c>
      <c r="B955" s="5" t="s">
        <v>1619</v>
      </c>
      <c r="C955" s="6">
        <v>44426</v>
      </c>
      <c r="D955" s="5" t="s">
        <v>24</v>
      </c>
      <c r="E955" s="5" t="s">
        <v>25</v>
      </c>
      <c r="F955" s="5" t="s">
        <v>26</v>
      </c>
      <c r="G955" s="5" t="s">
        <v>67</v>
      </c>
      <c r="H955" s="5" t="s">
        <v>68</v>
      </c>
      <c r="I955" s="5" t="s">
        <v>29</v>
      </c>
      <c r="J955" s="5" t="s">
        <v>30</v>
      </c>
      <c r="K955" s="5" t="s">
        <v>31</v>
      </c>
      <c r="L955" s="5" t="s">
        <v>32</v>
      </c>
      <c r="M955" s="5" t="s">
        <v>468</v>
      </c>
      <c r="N955" s="5" t="s">
        <v>1620</v>
      </c>
      <c r="O955" s="5" t="s">
        <v>71</v>
      </c>
      <c r="P955" s="5" t="s">
        <v>469</v>
      </c>
      <c r="Q955" s="5">
        <v>112228025</v>
      </c>
      <c r="R955" s="5" t="s">
        <v>73</v>
      </c>
      <c r="S955" s="5" t="s">
        <v>39</v>
      </c>
      <c r="T955" s="7">
        <v>216</v>
      </c>
      <c r="U955" s="15" t="s">
        <v>71</v>
      </c>
      <c r="V955" s="41" t="s">
        <v>469</v>
      </c>
      <c r="W955" s="17">
        <v>112228025</v>
      </c>
      <c r="X955" s="16" t="s">
        <v>2510</v>
      </c>
      <c r="Y955" s="17" t="s">
        <v>2687</v>
      </c>
      <c r="Z955" s="17" t="s">
        <v>39</v>
      </c>
      <c r="AA955" s="17" t="s">
        <v>2501</v>
      </c>
      <c r="AB955" s="29">
        <v>15.49</v>
      </c>
      <c r="AC955" s="25">
        <v>29.18</v>
      </c>
      <c r="AD955" s="25">
        <f>AC955*T955</f>
        <v>6302.88</v>
      </c>
      <c r="AE955" s="25">
        <f>AB955*T955</f>
        <v>3345.84</v>
      </c>
      <c r="AF955" s="25">
        <f>AD955-AE955</f>
        <v>2957.04</v>
      </c>
      <c r="AG955" s="26">
        <f>AF955/AD955</f>
        <v>0.46915695681973951</v>
      </c>
      <c r="AH955" s="27" t="str">
        <f>IF(AG955&lt;0,"Negative",IF(AG955=0,"Same",IF(AG955&gt;0.3,"30+%",IF(AG955&gt;0.2,"20-30%",IF(AG955&gt;0.1,"10-20%",IF(AG955&lt;=0.1,"0-10%"))))))</f>
        <v>30+%</v>
      </c>
      <c r="AI955" s="32"/>
      <c r="AJ955" s="36" t="s">
        <v>3300</v>
      </c>
      <c r="AK955" s="32"/>
    </row>
    <row r="956" spans="1:37" s="1" customFormat="1" ht="19.7" customHeight="1" x14ac:dyDescent="0.25">
      <c r="A956" s="5" t="s">
        <v>22</v>
      </c>
      <c r="B956" s="5" t="s">
        <v>1418</v>
      </c>
      <c r="C956" s="6">
        <v>44393</v>
      </c>
      <c r="D956" s="5" t="s">
        <v>24</v>
      </c>
      <c r="E956" s="5" t="s">
        <v>25</v>
      </c>
      <c r="F956" s="5" t="s">
        <v>26</v>
      </c>
      <c r="G956" s="5" t="s">
        <v>67</v>
      </c>
      <c r="H956" s="5" t="s">
        <v>68</v>
      </c>
      <c r="I956" s="5" t="s">
        <v>29</v>
      </c>
      <c r="J956" s="5" t="s">
        <v>30</v>
      </c>
      <c r="K956" s="5" t="s">
        <v>31</v>
      </c>
      <c r="L956" s="5" t="s">
        <v>32</v>
      </c>
      <c r="M956" s="5" t="s">
        <v>468</v>
      </c>
      <c r="N956" s="5" t="s">
        <v>1419</v>
      </c>
      <c r="O956" s="5" t="s">
        <v>71</v>
      </c>
      <c r="P956" s="5" t="s">
        <v>469</v>
      </c>
      <c r="Q956" s="5">
        <v>112228025</v>
      </c>
      <c r="R956" s="5" t="s">
        <v>73</v>
      </c>
      <c r="S956" s="5" t="s">
        <v>39</v>
      </c>
      <c r="T956" s="7">
        <v>216</v>
      </c>
      <c r="U956" s="15" t="s">
        <v>71</v>
      </c>
      <c r="V956" s="41" t="s">
        <v>469</v>
      </c>
      <c r="W956" s="17">
        <v>112228025</v>
      </c>
      <c r="X956" s="16" t="s">
        <v>2510</v>
      </c>
      <c r="Y956" s="17" t="s">
        <v>2687</v>
      </c>
      <c r="Z956" s="17" t="s">
        <v>39</v>
      </c>
      <c r="AA956" s="17" t="s">
        <v>2501</v>
      </c>
      <c r="AB956" s="29">
        <v>15.49</v>
      </c>
      <c r="AC956" s="25">
        <v>29.18</v>
      </c>
      <c r="AD956" s="25">
        <f>AC956*T956</f>
        <v>6302.88</v>
      </c>
      <c r="AE956" s="25">
        <f>AB956*T956</f>
        <v>3345.84</v>
      </c>
      <c r="AF956" s="25">
        <f>AD956-AE956</f>
        <v>2957.04</v>
      </c>
      <c r="AG956" s="26">
        <f>AF956/AD956</f>
        <v>0.46915695681973951</v>
      </c>
      <c r="AH956" s="27" t="str">
        <f>IF(AG956&lt;0,"Negative",IF(AG956=0,"Same",IF(AG956&gt;0.3,"30+%",IF(AG956&gt;0.2,"20-30%",IF(AG956&gt;0.1,"10-20%",IF(AG956&lt;=0.1,"0-10%"))))))</f>
        <v>30+%</v>
      </c>
      <c r="AI956" s="32"/>
      <c r="AJ956" s="36" t="s">
        <v>3300</v>
      </c>
      <c r="AK956" s="32"/>
    </row>
    <row r="957" spans="1:37" s="1" customFormat="1" ht="19.7" customHeight="1" x14ac:dyDescent="0.25">
      <c r="A957" s="5" t="s">
        <v>22</v>
      </c>
      <c r="B957" s="5" t="s">
        <v>1866</v>
      </c>
      <c r="C957" s="6">
        <v>44473</v>
      </c>
      <c r="D957" s="5" t="s">
        <v>24</v>
      </c>
      <c r="E957" s="5" t="s">
        <v>25</v>
      </c>
      <c r="F957" s="5" t="s">
        <v>26</v>
      </c>
      <c r="G957" s="5" t="s">
        <v>67</v>
      </c>
      <c r="H957" s="5" t="s">
        <v>68</v>
      </c>
      <c r="I957" s="5" t="s">
        <v>29</v>
      </c>
      <c r="J957" s="5" t="s">
        <v>30</v>
      </c>
      <c r="K957" s="5" t="s">
        <v>31</v>
      </c>
      <c r="L957" s="5" t="s">
        <v>32</v>
      </c>
      <c r="M957" s="5" t="s">
        <v>468</v>
      </c>
      <c r="N957" s="5" t="s">
        <v>1867</v>
      </c>
      <c r="O957" s="5" t="s">
        <v>71</v>
      </c>
      <c r="P957" s="5" t="s">
        <v>469</v>
      </c>
      <c r="Q957" s="5">
        <v>112228025</v>
      </c>
      <c r="R957" s="5" t="s">
        <v>73</v>
      </c>
      <c r="S957" s="5" t="s">
        <v>39</v>
      </c>
      <c r="T957" s="7">
        <v>216</v>
      </c>
      <c r="U957" s="15" t="s">
        <v>71</v>
      </c>
      <c r="V957" s="41" t="s">
        <v>469</v>
      </c>
      <c r="W957" s="17">
        <v>112228025</v>
      </c>
      <c r="X957" s="16" t="s">
        <v>2510</v>
      </c>
      <c r="Y957" s="17" t="s">
        <v>2687</v>
      </c>
      <c r="Z957" s="17" t="s">
        <v>39</v>
      </c>
      <c r="AA957" s="17" t="s">
        <v>2501</v>
      </c>
      <c r="AB957" s="29">
        <v>15.49</v>
      </c>
      <c r="AC957" s="25">
        <v>29.18</v>
      </c>
      <c r="AD957" s="25">
        <f>AC957*T957</f>
        <v>6302.88</v>
      </c>
      <c r="AE957" s="25">
        <f>AB957*T957</f>
        <v>3345.84</v>
      </c>
      <c r="AF957" s="25">
        <f>AD957-AE957</f>
        <v>2957.04</v>
      </c>
      <c r="AG957" s="26">
        <f>AF957/AD957</f>
        <v>0.46915695681973951</v>
      </c>
      <c r="AH957" s="27" t="str">
        <f>IF(AG957&lt;0,"Negative",IF(AG957=0,"Same",IF(AG957&gt;0.3,"30+%",IF(AG957&gt;0.2,"20-30%",IF(AG957&gt;0.1,"10-20%",IF(AG957&lt;=0.1,"0-10%"))))))</f>
        <v>30+%</v>
      </c>
      <c r="AI957" s="32"/>
      <c r="AJ957" s="36" t="s">
        <v>3300</v>
      </c>
      <c r="AK957" s="32"/>
    </row>
    <row r="958" spans="1:37" s="1" customFormat="1" ht="19.7" customHeight="1" x14ac:dyDescent="0.25">
      <c r="A958" s="9" t="s">
        <v>22</v>
      </c>
      <c r="B958" s="9" t="s">
        <v>466</v>
      </c>
      <c r="C958" s="10">
        <v>44267</v>
      </c>
      <c r="D958" s="9" t="s">
        <v>24</v>
      </c>
      <c r="E958" s="9" t="s">
        <v>25</v>
      </c>
      <c r="F958" s="9" t="s">
        <v>26</v>
      </c>
      <c r="G958" s="9" t="s">
        <v>67</v>
      </c>
      <c r="H958" s="9" t="s">
        <v>68</v>
      </c>
      <c r="I958" s="9" t="s">
        <v>29</v>
      </c>
      <c r="J958" s="9" t="s">
        <v>30</v>
      </c>
      <c r="K958" s="9" t="s">
        <v>31</v>
      </c>
      <c r="L958" s="9" t="s">
        <v>32</v>
      </c>
      <c r="M958" s="9" t="s">
        <v>468</v>
      </c>
      <c r="N958" s="9" t="s">
        <v>467</v>
      </c>
      <c r="O958" s="9" t="s">
        <v>71</v>
      </c>
      <c r="P958" s="9" t="s">
        <v>469</v>
      </c>
      <c r="Q958" s="9">
        <v>112228025</v>
      </c>
      <c r="R958" s="9" t="s">
        <v>73</v>
      </c>
      <c r="S958" s="9" t="s">
        <v>39</v>
      </c>
      <c r="T958" s="11">
        <v>252</v>
      </c>
      <c r="U958" s="15" t="s">
        <v>71</v>
      </c>
      <c r="V958" s="41" t="s">
        <v>469</v>
      </c>
      <c r="W958" s="17">
        <v>112228025</v>
      </c>
      <c r="X958" s="16" t="s">
        <v>2510</v>
      </c>
      <c r="Y958" s="17" t="s">
        <v>2687</v>
      </c>
      <c r="Z958" s="17" t="s">
        <v>39</v>
      </c>
      <c r="AA958" s="17" t="s">
        <v>2501</v>
      </c>
      <c r="AB958" s="29">
        <v>15.49</v>
      </c>
      <c r="AC958" s="25">
        <v>29.18</v>
      </c>
      <c r="AD958" s="25">
        <f>AC958*T958</f>
        <v>7353.36</v>
      </c>
      <c r="AE958" s="25">
        <f>AB958*T958</f>
        <v>3903.48</v>
      </c>
      <c r="AF958" s="25">
        <f>AD958-AE958</f>
        <v>3449.8799999999997</v>
      </c>
      <c r="AG958" s="26">
        <f>AF958/AD958</f>
        <v>0.46915695681973951</v>
      </c>
      <c r="AH958" s="27" t="str">
        <f>IF(AG958&lt;0,"Negative",IF(AG958=0,"Same",IF(AG958&gt;0.3,"30+%",IF(AG958&gt;0.2,"20-30%",IF(AG958&gt;0.1,"10-20%",IF(AG958&lt;=0.1,"0-10%"))))))</f>
        <v>30+%</v>
      </c>
      <c r="AI958" s="32"/>
      <c r="AJ958" s="36" t="s">
        <v>3300</v>
      </c>
      <c r="AK958" s="32"/>
    </row>
    <row r="959" spans="1:37" s="1" customFormat="1" ht="19.7" customHeight="1" x14ac:dyDescent="0.25">
      <c r="A959" s="9" t="s">
        <v>22</v>
      </c>
      <c r="B959" s="9" t="s">
        <v>1570</v>
      </c>
      <c r="C959" s="10">
        <v>44420</v>
      </c>
      <c r="D959" s="9" t="s">
        <v>24</v>
      </c>
      <c r="E959" s="9" t="s">
        <v>25</v>
      </c>
      <c r="F959" s="9" t="s">
        <v>26</v>
      </c>
      <c r="G959" s="9" t="s">
        <v>27</v>
      </c>
      <c r="H959" s="9" t="s">
        <v>28</v>
      </c>
      <c r="I959" s="9" t="s">
        <v>29</v>
      </c>
      <c r="J959" s="9" t="s">
        <v>30</v>
      </c>
      <c r="K959" s="9" t="s">
        <v>31</v>
      </c>
      <c r="L959" s="9" t="s">
        <v>32</v>
      </c>
      <c r="M959" s="9" t="s">
        <v>1574</v>
      </c>
      <c r="N959" s="9" t="s">
        <v>1572</v>
      </c>
      <c r="O959" s="9" t="s">
        <v>169</v>
      </c>
      <c r="P959" s="9" t="s">
        <v>1575</v>
      </c>
      <c r="Q959" s="9">
        <v>101936808</v>
      </c>
      <c r="R959" s="9" t="s">
        <v>56</v>
      </c>
      <c r="S959" s="9" t="s">
        <v>39</v>
      </c>
      <c r="T959" s="11">
        <v>1</v>
      </c>
      <c r="U959" s="15" t="s">
        <v>169</v>
      </c>
      <c r="V959" s="16" t="s">
        <v>1575</v>
      </c>
      <c r="W959" s="17">
        <v>101936808</v>
      </c>
      <c r="X959" s="16" t="s">
        <v>2845</v>
      </c>
      <c r="Y959" s="17" t="s">
        <v>3080</v>
      </c>
      <c r="Z959" s="17" t="s">
        <v>39</v>
      </c>
      <c r="AA959" s="17" t="s">
        <v>37</v>
      </c>
      <c r="AB959" s="43">
        <v>201.73</v>
      </c>
      <c r="AC959" s="25">
        <v>221.66</v>
      </c>
      <c r="AD959" s="25">
        <f>AC959*T959</f>
        <v>221.66</v>
      </c>
      <c r="AE959" s="25">
        <f>AB959*T959</f>
        <v>201.73</v>
      </c>
      <c r="AF959" s="25">
        <f>AD959-AE959</f>
        <v>19.930000000000007</v>
      </c>
      <c r="AG959" s="26">
        <f>AF959/AD959</f>
        <v>8.9912478570784118E-2</v>
      </c>
      <c r="AH959" s="27" t="str">
        <f>IF(AG959&lt;0,"Negative",IF(AG959=0,"Same",IF(AG959&gt;0.3,"30+%",IF(AG959&gt;0.2,"20-30%",IF(AG959&gt;0.1,"10-20%",IF(AG959&lt;=0.1,"0-10%"))))))</f>
        <v>0-10%</v>
      </c>
      <c r="AI959" s="32"/>
      <c r="AJ959" s="36" t="s">
        <v>3299</v>
      </c>
      <c r="AK959" s="32"/>
    </row>
    <row r="960" spans="1:37" s="1" customFormat="1" ht="19.7" customHeight="1" x14ac:dyDescent="0.25">
      <c r="A960" s="5" t="s">
        <v>22</v>
      </c>
      <c r="B960" s="5" t="s">
        <v>725</v>
      </c>
      <c r="C960" s="6">
        <v>44293</v>
      </c>
      <c r="D960" s="5" t="s">
        <v>24</v>
      </c>
      <c r="E960" s="5" t="s">
        <v>25</v>
      </c>
      <c r="F960" s="5" t="s">
        <v>26</v>
      </c>
      <c r="G960" s="5" t="s">
        <v>27</v>
      </c>
      <c r="H960" s="5" t="s">
        <v>28</v>
      </c>
      <c r="I960" s="5" t="s">
        <v>29</v>
      </c>
      <c r="J960" s="5" t="s">
        <v>30</v>
      </c>
      <c r="K960" s="5" t="s">
        <v>31</v>
      </c>
      <c r="L960" s="5" t="s">
        <v>32</v>
      </c>
      <c r="M960" s="5" t="s">
        <v>726</v>
      </c>
      <c r="N960" s="5" t="s">
        <v>384</v>
      </c>
      <c r="O960" s="5" t="s">
        <v>727</v>
      </c>
      <c r="P960" s="5" t="s">
        <v>728</v>
      </c>
      <c r="Q960" s="5">
        <v>110914562</v>
      </c>
      <c r="R960" s="5" t="s">
        <v>38</v>
      </c>
      <c r="S960" s="5" t="s">
        <v>39</v>
      </c>
      <c r="T960" s="7">
        <v>1</v>
      </c>
      <c r="U960" s="15" t="s">
        <v>727</v>
      </c>
      <c r="V960" s="16" t="s">
        <v>728</v>
      </c>
      <c r="W960" s="17">
        <v>110914562</v>
      </c>
      <c r="X960" s="16" t="s">
        <v>2795</v>
      </c>
      <c r="Y960" s="17" t="s">
        <v>2796</v>
      </c>
      <c r="Z960" s="17" t="s">
        <v>39</v>
      </c>
      <c r="AA960" s="17" t="s">
        <v>2501</v>
      </c>
      <c r="AB960" s="29">
        <v>1632.62</v>
      </c>
      <c r="AC960" s="25">
        <v>1669.57</v>
      </c>
      <c r="AD960" s="25">
        <f>AC960*T960</f>
        <v>1669.57</v>
      </c>
      <c r="AE960" s="25">
        <f>AB960*T960</f>
        <v>1632.62</v>
      </c>
      <c r="AF960" s="25">
        <f>AD960-AE960</f>
        <v>36.950000000000045</v>
      </c>
      <c r="AG960" s="26">
        <f>AF960/AD960</f>
        <v>2.213144701929242E-2</v>
      </c>
      <c r="AH960" s="27" t="str">
        <f>IF(AG960&lt;0,"Negative",IF(AG960=0,"Same",IF(AG960&gt;0.3,"30+%",IF(AG960&gt;0.2,"20-30%",IF(AG960&gt;0.1,"10-20%",IF(AG960&lt;=0.1,"0-10%"))))))</f>
        <v>0-10%</v>
      </c>
      <c r="AI960" s="32"/>
      <c r="AJ960" s="36" t="s">
        <v>3300</v>
      </c>
      <c r="AK960" s="32"/>
    </row>
    <row r="961" spans="1:37" s="1" customFormat="1" ht="19.7" customHeight="1" x14ac:dyDescent="0.25">
      <c r="A961" s="5" t="s">
        <v>22</v>
      </c>
      <c r="B961" s="5" t="s">
        <v>1864</v>
      </c>
      <c r="C961" s="6">
        <v>44473</v>
      </c>
      <c r="D961" s="5" t="s">
        <v>24</v>
      </c>
      <c r="E961" s="5" t="s">
        <v>25</v>
      </c>
      <c r="F961" s="5" t="s">
        <v>26</v>
      </c>
      <c r="G961" s="5" t="s">
        <v>67</v>
      </c>
      <c r="H961" s="5" t="s">
        <v>68</v>
      </c>
      <c r="I961" s="5" t="s">
        <v>29</v>
      </c>
      <c r="J961" s="5" t="s">
        <v>30</v>
      </c>
      <c r="K961" s="5" t="s">
        <v>31</v>
      </c>
      <c r="L961" s="5" t="s">
        <v>32</v>
      </c>
      <c r="M961" s="5" t="s">
        <v>895</v>
      </c>
      <c r="N961" s="5" t="s">
        <v>1865</v>
      </c>
      <c r="O961" s="5" t="s">
        <v>79</v>
      </c>
      <c r="P961" s="5" t="s">
        <v>896</v>
      </c>
      <c r="Q961" s="5">
        <v>101481965</v>
      </c>
      <c r="R961" s="5" t="s">
        <v>61</v>
      </c>
      <c r="S961" s="5" t="s">
        <v>39</v>
      </c>
      <c r="T961" s="7">
        <v>1</v>
      </c>
      <c r="U961" s="15" t="s">
        <v>79</v>
      </c>
      <c r="V961" s="16" t="s">
        <v>896</v>
      </c>
      <c r="W961" s="17">
        <v>101481965</v>
      </c>
      <c r="X961" s="16" t="s">
        <v>2540</v>
      </c>
      <c r="Y961" s="17" t="s">
        <v>2854</v>
      </c>
      <c r="Z961" s="17" t="s">
        <v>39</v>
      </c>
      <c r="AA961" s="17" t="s">
        <v>37</v>
      </c>
      <c r="AB961" s="43">
        <v>57.12</v>
      </c>
      <c r="AC961" s="25">
        <v>72.05</v>
      </c>
      <c r="AD961" s="25">
        <f>AC961*T961</f>
        <v>72.05</v>
      </c>
      <c r="AE961" s="25">
        <f>AB961*T961</f>
        <v>57.12</v>
      </c>
      <c r="AF961" s="25">
        <f>AD961-AE961</f>
        <v>14.93</v>
      </c>
      <c r="AG961" s="26">
        <f>AF961/AD961</f>
        <v>0.20721721027064538</v>
      </c>
      <c r="AH961" s="27" t="str">
        <f>IF(AG961&lt;0,"Negative",IF(AG961=0,"Same",IF(AG961&gt;0.3,"30+%",IF(AG961&gt;0.2,"20-30%",IF(AG961&gt;0.1,"10-20%",IF(AG961&lt;=0.1,"0-10%"))))))</f>
        <v>20-30%</v>
      </c>
      <c r="AI961" s="32"/>
      <c r="AJ961" s="36" t="s">
        <v>3299</v>
      </c>
      <c r="AK961" s="32"/>
    </row>
    <row r="962" spans="1:37" s="1" customFormat="1" ht="19.7" customHeight="1" x14ac:dyDescent="0.25">
      <c r="A962" s="5" t="s">
        <v>22</v>
      </c>
      <c r="B962" s="5" t="s">
        <v>1085</v>
      </c>
      <c r="C962" s="6">
        <v>44337</v>
      </c>
      <c r="D962" s="5" t="s">
        <v>24</v>
      </c>
      <c r="E962" s="5" t="s">
        <v>25</v>
      </c>
      <c r="F962" s="5" t="s">
        <v>26</v>
      </c>
      <c r="G962" s="5" t="s">
        <v>67</v>
      </c>
      <c r="H962" s="5" t="s">
        <v>68</v>
      </c>
      <c r="I962" s="5" t="s">
        <v>29</v>
      </c>
      <c r="J962" s="5" t="s">
        <v>30</v>
      </c>
      <c r="K962" s="5" t="s">
        <v>31</v>
      </c>
      <c r="L962" s="5" t="s">
        <v>32</v>
      </c>
      <c r="M962" s="5" t="s">
        <v>895</v>
      </c>
      <c r="N962" s="5" t="s">
        <v>1086</v>
      </c>
      <c r="O962" s="5" t="s">
        <v>79</v>
      </c>
      <c r="P962" s="5" t="s">
        <v>896</v>
      </c>
      <c r="Q962" s="5">
        <v>101481965</v>
      </c>
      <c r="R962" s="5" t="s">
        <v>61</v>
      </c>
      <c r="S962" s="5" t="s">
        <v>39</v>
      </c>
      <c r="T962" s="7">
        <v>1</v>
      </c>
      <c r="U962" s="15" t="s">
        <v>79</v>
      </c>
      <c r="V962" s="16" t="s">
        <v>896</v>
      </c>
      <c r="W962" s="17">
        <v>101481965</v>
      </c>
      <c r="X962" s="16" t="s">
        <v>2540</v>
      </c>
      <c r="Y962" s="17" t="s">
        <v>2854</v>
      </c>
      <c r="Z962" s="17" t="s">
        <v>39</v>
      </c>
      <c r="AA962" s="17" t="s">
        <v>37</v>
      </c>
      <c r="AB962" s="43">
        <v>57.12</v>
      </c>
      <c r="AC962" s="25">
        <v>72.05</v>
      </c>
      <c r="AD962" s="25">
        <f>AC962*T962</f>
        <v>72.05</v>
      </c>
      <c r="AE962" s="25">
        <f>AB962*T962</f>
        <v>57.12</v>
      </c>
      <c r="AF962" s="25">
        <f>AD962-AE962</f>
        <v>14.93</v>
      </c>
      <c r="AG962" s="26">
        <f>AF962/AD962</f>
        <v>0.20721721027064538</v>
      </c>
      <c r="AH962" s="27" t="str">
        <f>IF(AG962&lt;0,"Negative",IF(AG962=0,"Same",IF(AG962&gt;0.3,"30+%",IF(AG962&gt;0.2,"20-30%",IF(AG962&gt;0.1,"10-20%",IF(AG962&lt;=0.1,"0-10%"))))))</f>
        <v>20-30%</v>
      </c>
      <c r="AI962" s="32"/>
      <c r="AJ962" s="36" t="s">
        <v>3299</v>
      </c>
      <c r="AK962" s="32"/>
    </row>
    <row r="963" spans="1:37" s="1" customFormat="1" ht="19.7" customHeight="1" x14ac:dyDescent="0.25">
      <c r="A963" s="9" t="s">
        <v>22</v>
      </c>
      <c r="B963" s="9" t="s">
        <v>889</v>
      </c>
      <c r="C963" s="10">
        <v>44316</v>
      </c>
      <c r="D963" s="9" t="s">
        <v>24</v>
      </c>
      <c r="E963" s="9" t="s">
        <v>25</v>
      </c>
      <c r="F963" s="9" t="s">
        <v>26</v>
      </c>
      <c r="G963" s="9" t="s">
        <v>67</v>
      </c>
      <c r="H963" s="9" t="s">
        <v>68</v>
      </c>
      <c r="I963" s="9" t="s">
        <v>29</v>
      </c>
      <c r="J963" s="9" t="s">
        <v>30</v>
      </c>
      <c r="K963" s="9" t="s">
        <v>31</v>
      </c>
      <c r="L963" s="9" t="s">
        <v>32</v>
      </c>
      <c r="M963" s="9" t="s">
        <v>895</v>
      </c>
      <c r="N963" s="9" t="s">
        <v>891</v>
      </c>
      <c r="O963" s="9" t="s">
        <v>79</v>
      </c>
      <c r="P963" s="9" t="s">
        <v>896</v>
      </c>
      <c r="Q963" s="9">
        <v>101481965</v>
      </c>
      <c r="R963" s="9" t="s">
        <v>61</v>
      </c>
      <c r="S963" s="9" t="s">
        <v>39</v>
      </c>
      <c r="T963" s="11">
        <v>1</v>
      </c>
      <c r="U963" s="15" t="s">
        <v>79</v>
      </c>
      <c r="V963" s="16" t="s">
        <v>896</v>
      </c>
      <c r="W963" s="17">
        <v>101481965</v>
      </c>
      <c r="X963" s="16" t="s">
        <v>2540</v>
      </c>
      <c r="Y963" s="17" t="s">
        <v>2854</v>
      </c>
      <c r="Z963" s="17" t="s">
        <v>39</v>
      </c>
      <c r="AA963" s="17" t="s">
        <v>37</v>
      </c>
      <c r="AB963" s="43">
        <v>57.12</v>
      </c>
      <c r="AC963" s="25">
        <v>72.05</v>
      </c>
      <c r="AD963" s="25">
        <f>AC963*T963</f>
        <v>72.05</v>
      </c>
      <c r="AE963" s="25">
        <f>AB963*T963</f>
        <v>57.12</v>
      </c>
      <c r="AF963" s="25">
        <f>AD963-AE963</f>
        <v>14.93</v>
      </c>
      <c r="AG963" s="26">
        <f>AF963/AD963</f>
        <v>0.20721721027064538</v>
      </c>
      <c r="AH963" s="27" t="str">
        <f>IF(AG963&lt;0,"Negative",IF(AG963=0,"Same",IF(AG963&gt;0.3,"30+%",IF(AG963&gt;0.2,"20-30%",IF(AG963&gt;0.1,"10-20%",IF(AG963&lt;=0.1,"0-10%"))))))</f>
        <v>20-30%</v>
      </c>
      <c r="AI963" s="32"/>
      <c r="AJ963" s="36" t="s">
        <v>3299</v>
      </c>
      <c r="AK963" s="32"/>
    </row>
    <row r="964" spans="1:37" s="1" customFormat="1" ht="19.7" customHeight="1" x14ac:dyDescent="0.25">
      <c r="A964" s="9" t="s">
        <v>22</v>
      </c>
      <c r="B964" s="9" t="s">
        <v>722</v>
      </c>
      <c r="C964" s="10">
        <v>44293</v>
      </c>
      <c r="D964" s="9" t="s">
        <v>24</v>
      </c>
      <c r="E964" s="9" t="s">
        <v>25</v>
      </c>
      <c r="F964" s="9" t="s">
        <v>26</v>
      </c>
      <c r="G964" s="9" t="s">
        <v>27</v>
      </c>
      <c r="H964" s="9" t="s">
        <v>28</v>
      </c>
      <c r="I964" s="9" t="s">
        <v>29</v>
      </c>
      <c r="J964" s="9" t="s">
        <v>30</v>
      </c>
      <c r="K964" s="9" t="s">
        <v>31</v>
      </c>
      <c r="L964" s="9" t="s">
        <v>32</v>
      </c>
      <c r="M964" s="9" t="s">
        <v>723</v>
      </c>
      <c r="N964" s="9" t="s">
        <v>715</v>
      </c>
      <c r="O964" s="9" t="s">
        <v>154</v>
      </c>
      <c r="P964" s="9" t="s">
        <v>724</v>
      </c>
      <c r="Q964" s="9">
        <v>100736409</v>
      </c>
      <c r="R964" s="9" t="s">
        <v>61</v>
      </c>
      <c r="S964" s="9" t="s">
        <v>39</v>
      </c>
      <c r="T964" s="11">
        <v>2</v>
      </c>
      <c r="U964" s="15" t="s">
        <v>154</v>
      </c>
      <c r="V964" s="16" t="s">
        <v>724</v>
      </c>
      <c r="W964" s="17">
        <v>100736409</v>
      </c>
      <c r="X964" s="16" t="s">
        <v>2793</v>
      </c>
      <c r="Y964" s="17" t="s">
        <v>2794</v>
      </c>
      <c r="Z964" s="17" t="s">
        <v>39</v>
      </c>
      <c r="AA964" s="17" t="s">
        <v>37</v>
      </c>
      <c r="AB964" s="43">
        <v>114.08</v>
      </c>
      <c r="AC964" s="25">
        <v>125.97</v>
      </c>
      <c r="AD964" s="25">
        <f>AC964*T964</f>
        <v>251.94</v>
      </c>
      <c r="AE964" s="25">
        <f>AB964*T964</f>
        <v>228.16</v>
      </c>
      <c r="AF964" s="25">
        <f>AD964-AE964</f>
        <v>23.78</v>
      </c>
      <c r="AG964" s="26">
        <f>AF964/AD964</f>
        <v>9.4387552591886956E-2</v>
      </c>
      <c r="AH964" s="27" t="str">
        <f>IF(AG964&lt;0,"Negative",IF(AG964=0,"Same",IF(AG964&gt;0.3,"30+%",IF(AG964&gt;0.2,"20-30%",IF(AG964&gt;0.1,"10-20%",IF(AG964&lt;=0.1,"0-10%"))))))</f>
        <v>0-10%</v>
      </c>
      <c r="AI964" s="32"/>
      <c r="AJ964" s="36" t="s">
        <v>3299</v>
      </c>
      <c r="AK964" s="32"/>
    </row>
    <row r="965" spans="1:37" s="1" customFormat="1" ht="19.7" customHeight="1" x14ac:dyDescent="0.25">
      <c r="A965" s="5" t="s">
        <v>22</v>
      </c>
      <c r="B965" s="5" t="s">
        <v>1524</v>
      </c>
      <c r="C965" s="6">
        <v>44407</v>
      </c>
      <c r="D965" s="5" t="s">
        <v>24</v>
      </c>
      <c r="E965" s="5" t="s">
        <v>25</v>
      </c>
      <c r="F965" s="5" t="s">
        <v>26</v>
      </c>
      <c r="G965" s="5" t="s">
        <v>27</v>
      </c>
      <c r="H965" s="5" t="s">
        <v>28</v>
      </c>
      <c r="I965" s="5" t="s">
        <v>29</v>
      </c>
      <c r="J965" s="5" t="s">
        <v>30</v>
      </c>
      <c r="K965" s="5" t="s">
        <v>31</v>
      </c>
      <c r="L965" s="5" t="s">
        <v>32</v>
      </c>
      <c r="M965" s="5" t="s">
        <v>1525</v>
      </c>
      <c r="N965" s="5" t="s">
        <v>1526</v>
      </c>
      <c r="O965" s="5" t="s">
        <v>455</v>
      </c>
      <c r="P965" s="5" t="s">
        <v>1527</v>
      </c>
      <c r="Q965" s="5">
        <v>102147048</v>
      </c>
      <c r="R965" s="5" t="s">
        <v>51</v>
      </c>
      <c r="S965" s="5" t="s">
        <v>39</v>
      </c>
      <c r="T965" s="7">
        <v>1</v>
      </c>
      <c r="U965" s="15" t="s">
        <v>455</v>
      </c>
      <c r="V965" s="16" t="s">
        <v>1527</v>
      </c>
      <c r="W965" s="17">
        <v>102147048</v>
      </c>
      <c r="X965" s="16" t="s">
        <v>2679</v>
      </c>
      <c r="Y965" s="17" t="s">
        <v>3067</v>
      </c>
      <c r="Z965" s="17" t="s">
        <v>39</v>
      </c>
      <c r="AA965" s="17" t="s">
        <v>37</v>
      </c>
      <c r="AB965" s="29">
        <v>109.79</v>
      </c>
      <c r="AC965" s="25">
        <v>120.14</v>
      </c>
      <c r="AD965" s="25">
        <f>AC965*T965</f>
        <v>120.14</v>
      </c>
      <c r="AE965" s="25">
        <f>AB965*T965</f>
        <v>109.79</v>
      </c>
      <c r="AF965" s="25">
        <f>AD965-AE965</f>
        <v>10.349999999999994</v>
      </c>
      <c r="AG965" s="26">
        <f>AF965/AD965</f>
        <v>8.6149492259031082E-2</v>
      </c>
      <c r="AH965" s="27" t="str">
        <f>IF(AG965&lt;0,"Negative",IF(AG965=0,"Same",IF(AG965&gt;0.3,"30+%",IF(AG965&gt;0.2,"20-30%",IF(AG965&gt;0.1,"10-20%",IF(AG965&lt;=0.1,"0-10%"))))))</f>
        <v>0-10%</v>
      </c>
      <c r="AI965" s="32"/>
      <c r="AJ965" s="36" t="s">
        <v>3299</v>
      </c>
      <c r="AK965" s="32"/>
    </row>
    <row r="966" spans="1:37" s="1" customFormat="1" ht="19.7" customHeight="1" x14ac:dyDescent="0.25">
      <c r="A966" s="9" t="s">
        <v>22</v>
      </c>
      <c r="B966" s="9" t="s">
        <v>1568</v>
      </c>
      <c r="C966" s="10">
        <v>44418</v>
      </c>
      <c r="D966" s="9" t="s">
        <v>24</v>
      </c>
      <c r="E966" s="9" t="s">
        <v>25</v>
      </c>
      <c r="F966" s="9" t="s">
        <v>26</v>
      </c>
      <c r="G966" s="9" t="s">
        <v>27</v>
      </c>
      <c r="H966" s="9" t="s">
        <v>28</v>
      </c>
      <c r="I966" s="9" t="s">
        <v>29</v>
      </c>
      <c r="J966" s="9" t="s">
        <v>30</v>
      </c>
      <c r="K966" s="9" t="s">
        <v>31</v>
      </c>
      <c r="L966" s="9" t="s">
        <v>32</v>
      </c>
      <c r="M966" s="9" t="s">
        <v>1525</v>
      </c>
      <c r="N966" s="9" t="s">
        <v>1569</v>
      </c>
      <c r="O966" s="9" t="s">
        <v>455</v>
      </c>
      <c r="P966" s="9" t="s">
        <v>1527</v>
      </c>
      <c r="Q966" s="9">
        <v>102147048</v>
      </c>
      <c r="R966" s="9" t="s">
        <v>51</v>
      </c>
      <c r="S966" s="9" t="s">
        <v>39</v>
      </c>
      <c r="T966" s="11">
        <v>1</v>
      </c>
      <c r="U966" s="15" t="s">
        <v>455</v>
      </c>
      <c r="V966" s="16" t="s">
        <v>1527</v>
      </c>
      <c r="W966" s="17">
        <v>102147048</v>
      </c>
      <c r="X966" s="16" t="s">
        <v>2679</v>
      </c>
      <c r="Y966" s="17" t="s">
        <v>3067</v>
      </c>
      <c r="Z966" s="17" t="s">
        <v>39</v>
      </c>
      <c r="AA966" s="17" t="s">
        <v>37</v>
      </c>
      <c r="AB966" s="29">
        <v>109.79</v>
      </c>
      <c r="AC966" s="25">
        <v>120.14</v>
      </c>
      <c r="AD966" s="25">
        <f>AC966*T966</f>
        <v>120.14</v>
      </c>
      <c r="AE966" s="25">
        <f>AB966*T966</f>
        <v>109.79</v>
      </c>
      <c r="AF966" s="25">
        <f>AD966-AE966</f>
        <v>10.349999999999994</v>
      </c>
      <c r="AG966" s="26">
        <f>AF966/AD966</f>
        <v>8.6149492259031082E-2</v>
      </c>
      <c r="AH966" s="27" t="str">
        <f>IF(AG966&lt;0,"Negative",IF(AG966=0,"Same",IF(AG966&gt;0.3,"30+%",IF(AG966&gt;0.2,"20-30%",IF(AG966&gt;0.1,"10-20%",IF(AG966&lt;=0.1,"0-10%"))))))</f>
        <v>0-10%</v>
      </c>
      <c r="AI966" s="32"/>
      <c r="AJ966" s="36" t="s">
        <v>3299</v>
      </c>
      <c r="AK966" s="32"/>
    </row>
    <row r="967" spans="1:37" s="1" customFormat="1" ht="19.7" customHeight="1" x14ac:dyDescent="0.25">
      <c r="A967" s="5" t="s">
        <v>22</v>
      </c>
      <c r="B967" s="5" t="s">
        <v>1709</v>
      </c>
      <c r="C967" s="6">
        <v>44440</v>
      </c>
      <c r="D967" s="5" t="s">
        <v>24</v>
      </c>
      <c r="E967" s="5" t="s">
        <v>25</v>
      </c>
      <c r="F967" s="5" t="s">
        <v>26</v>
      </c>
      <c r="G967" s="5" t="s">
        <v>27</v>
      </c>
      <c r="H967" s="5" t="s">
        <v>28</v>
      </c>
      <c r="I967" s="5" t="s">
        <v>29</v>
      </c>
      <c r="J967" s="5" t="s">
        <v>30</v>
      </c>
      <c r="K967" s="5" t="s">
        <v>31</v>
      </c>
      <c r="L967" s="5" t="s">
        <v>32</v>
      </c>
      <c r="M967" s="5" t="s">
        <v>1525</v>
      </c>
      <c r="N967" s="5" t="s">
        <v>1710</v>
      </c>
      <c r="O967" s="5" t="s">
        <v>455</v>
      </c>
      <c r="P967" s="5" t="s">
        <v>1527</v>
      </c>
      <c r="Q967" s="5">
        <v>102147048</v>
      </c>
      <c r="R967" s="5" t="s">
        <v>51</v>
      </c>
      <c r="S967" s="5" t="s">
        <v>39</v>
      </c>
      <c r="T967" s="7">
        <v>1</v>
      </c>
      <c r="U967" s="15" t="s">
        <v>455</v>
      </c>
      <c r="V967" s="16" t="s">
        <v>1527</v>
      </c>
      <c r="W967" s="17">
        <v>102147048</v>
      </c>
      <c r="X967" s="16" t="s">
        <v>2679</v>
      </c>
      <c r="Y967" s="17" t="s">
        <v>3067</v>
      </c>
      <c r="Z967" s="17" t="s">
        <v>39</v>
      </c>
      <c r="AA967" s="17" t="s">
        <v>37</v>
      </c>
      <c r="AB967" s="29">
        <v>109.79</v>
      </c>
      <c r="AC967" s="25">
        <v>120.14</v>
      </c>
      <c r="AD967" s="25">
        <f>AC967*T967</f>
        <v>120.14</v>
      </c>
      <c r="AE967" s="25">
        <f>AB967*T967</f>
        <v>109.79</v>
      </c>
      <c r="AF967" s="25">
        <f>AD967-AE967</f>
        <v>10.349999999999994</v>
      </c>
      <c r="AG967" s="26">
        <f>AF967/AD967</f>
        <v>8.6149492259031082E-2</v>
      </c>
      <c r="AH967" s="27" t="str">
        <f>IF(AG967&lt;0,"Negative",IF(AG967=0,"Same",IF(AG967&gt;0.3,"30+%",IF(AG967&gt;0.2,"20-30%",IF(AG967&gt;0.1,"10-20%",IF(AG967&lt;=0.1,"0-10%"))))))</f>
        <v>0-10%</v>
      </c>
      <c r="AI967" s="32"/>
      <c r="AJ967" s="36" t="s">
        <v>3299</v>
      </c>
      <c r="AK967" s="32"/>
    </row>
    <row r="968" spans="1:37" s="1" customFormat="1" ht="19.7" customHeight="1" x14ac:dyDescent="0.25">
      <c r="A968" s="9" t="s">
        <v>22</v>
      </c>
      <c r="B968" s="9" t="s">
        <v>1765</v>
      </c>
      <c r="C968" s="10">
        <v>44459</v>
      </c>
      <c r="D968" s="9" t="s">
        <v>24</v>
      </c>
      <c r="E968" s="9" t="s">
        <v>25</v>
      </c>
      <c r="F968" s="9" t="s">
        <v>26</v>
      </c>
      <c r="G968" s="9" t="s">
        <v>27</v>
      </c>
      <c r="H968" s="9" t="s">
        <v>28</v>
      </c>
      <c r="I968" s="9" t="s">
        <v>29</v>
      </c>
      <c r="J968" s="9" t="s">
        <v>30</v>
      </c>
      <c r="K968" s="9" t="s">
        <v>31</v>
      </c>
      <c r="L968" s="9" t="s">
        <v>32</v>
      </c>
      <c r="M968" s="9" t="s">
        <v>1525</v>
      </c>
      <c r="N968" s="9" t="s">
        <v>1758</v>
      </c>
      <c r="O968" s="9" t="s">
        <v>455</v>
      </c>
      <c r="P968" s="9" t="s">
        <v>1527</v>
      </c>
      <c r="Q968" s="9">
        <v>102147048</v>
      </c>
      <c r="R968" s="9" t="s">
        <v>51</v>
      </c>
      <c r="S968" s="9" t="s">
        <v>39</v>
      </c>
      <c r="T968" s="11">
        <v>1</v>
      </c>
      <c r="U968" s="15" t="s">
        <v>455</v>
      </c>
      <c r="V968" s="16" t="s">
        <v>1527</v>
      </c>
      <c r="W968" s="17">
        <v>102147048</v>
      </c>
      <c r="X968" s="16" t="s">
        <v>2679</v>
      </c>
      <c r="Y968" s="17" t="s">
        <v>3067</v>
      </c>
      <c r="Z968" s="17" t="s">
        <v>39</v>
      </c>
      <c r="AA968" s="17" t="s">
        <v>37</v>
      </c>
      <c r="AB968" s="29">
        <v>109.79</v>
      </c>
      <c r="AC968" s="25">
        <v>120.14</v>
      </c>
      <c r="AD968" s="25">
        <f>AC968*T968</f>
        <v>120.14</v>
      </c>
      <c r="AE968" s="25">
        <f>AB968*T968</f>
        <v>109.79</v>
      </c>
      <c r="AF968" s="25">
        <f>AD968-AE968</f>
        <v>10.349999999999994</v>
      </c>
      <c r="AG968" s="26">
        <f>AF968/AD968</f>
        <v>8.6149492259031082E-2</v>
      </c>
      <c r="AH968" s="27" t="str">
        <f>IF(AG968&lt;0,"Negative",IF(AG968=0,"Same",IF(AG968&gt;0.3,"30+%",IF(AG968&gt;0.2,"20-30%",IF(AG968&gt;0.1,"10-20%",IF(AG968&lt;=0.1,"0-10%"))))))</f>
        <v>0-10%</v>
      </c>
      <c r="AI968" s="32"/>
      <c r="AJ968" s="36" t="s">
        <v>3299</v>
      </c>
      <c r="AK968" s="32"/>
    </row>
    <row r="969" spans="1:37" s="1" customFormat="1" ht="19.7" customHeight="1" x14ac:dyDescent="0.25">
      <c r="A969" s="5" t="s">
        <v>22</v>
      </c>
      <c r="B969" s="5" t="s">
        <v>635</v>
      </c>
      <c r="C969" s="6">
        <v>44281</v>
      </c>
      <c r="D969" s="5" t="s">
        <v>24</v>
      </c>
      <c r="E969" s="5" t="s">
        <v>25</v>
      </c>
      <c r="F969" s="5" t="s">
        <v>26</v>
      </c>
      <c r="G969" s="5" t="s">
        <v>27</v>
      </c>
      <c r="H969" s="5" t="s">
        <v>28</v>
      </c>
      <c r="I969" s="5" t="s">
        <v>29</v>
      </c>
      <c r="J969" s="5" t="s">
        <v>30</v>
      </c>
      <c r="K969" s="5" t="s">
        <v>31</v>
      </c>
      <c r="L969" s="5" t="s">
        <v>32</v>
      </c>
      <c r="M969" s="5" t="s">
        <v>636</v>
      </c>
      <c r="N969" s="5" t="s">
        <v>421</v>
      </c>
      <c r="O969" s="5" t="s">
        <v>553</v>
      </c>
      <c r="P969" s="5" t="s">
        <v>637</v>
      </c>
      <c r="Q969" s="5">
        <v>101245313</v>
      </c>
      <c r="R969" s="5" t="s">
        <v>38</v>
      </c>
      <c r="S969" s="5" t="s">
        <v>39</v>
      </c>
      <c r="T969" s="7">
        <v>1</v>
      </c>
      <c r="U969" s="15" t="s">
        <v>553</v>
      </c>
      <c r="V969" s="16" t="s">
        <v>637</v>
      </c>
      <c r="W969" s="17">
        <v>101245313</v>
      </c>
      <c r="X969" s="16" t="s">
        <v>2585</v>
      </c>
      <c r="Y969" s="17" t="s">
        <v>2760</v>
      </c>
      <c r="Z969" s="17" t="s">
        <v>39</v>
      </c>
      <c r="AA969" s="17" t="s">
        <v>37</v>
      </c>
      <c r="AB969" s="29">
        <v>188.56</v>
      </c>
      <c r="AC969" s="25">
        <v>192.83</v>
      </c>
      <c r="AD969" s="25">
        <f>AC969*T969</f>
        <v>192.83</v>
      </c>
      <c r="AE969" s="25">
        <f>AB969*T969</f>
        <v>188.56</v>
      </c>
      <c r="AF969" s="25">
        <f>AD969-AE969</f>
        <v>4.2700000000000102</v>
      </c>
      <c r="AG969" s="26">
        <f>AF969/AD969</f>
        <v>2.2143857283617747E-2</v>
      </c>
      <c r="AH969" s="27" t="str">
        <f>IF(AG969&lt;0,"Negative",IF(AG969=0,"Same",IF(AG969&gt;0.3,"30+%",IF(AG969&gt;0.2,"20-30%",IF(AG969&gt;0.1,"10-20%",IF(AG969&lt;=0.1,"0-10%"))))))</f>
        <v>0-10%</v>
      </c>
      <c r="AI969" s="32"/>
      <c r="AJ969" s="36" t="s">
        <v>3300</v>
      </c>
      <c r="AK969" s="32"/>
    </row>
    <row r="970" spans="1:37" s="1" customFormat="1" ht="19.7" customHeight="1" x14ac:dyDescent="0.25">
      <c r="A970" s="5" t="s">
        <v>22</v>
      </c>
      <c r="B970" s="5" t="s">
        <v>156</v>
      </c>
      <c r="C970" s="6">
        <v>44236</v>
      </c>
      <c r="D970" s="5" t="s">
        <v>24</v>
      </c>
      <c r="E970" s="5" t="s">
        <v>25</v>
      </c>
      <c r="F970" s="5" t="s">
        <v>26</v>
      </c>
      <c r="G970" s="5" t="s">
        <v>27</v>
      </c>
      <c r="H970" s="5" t="s">
        <v>28</v>
      </c>
      <c r="I970" s="5" t="s">
        <v>29</v>
      </c>
      <c r="J970" s="5" t="s">
        <v>30</v>
      </c>
      <c r="K970" s="5" t="s">
        <v>31</v>
      </c>
      <c r="L970" s="5" t="s">
        <v>32</v>
      </c>
      <c r="M970" s="5" t="s">
        <v>157</v>
      </c>
      <c r="N970" s="5" t="s">
        <v>96</v>
      </c>
      <c r="O970" s="5" t="s">
        <v>98</v>
      </c>
      <c r="P970" s="5" t="s">
        <v>158</v>
      </c>
      <c r="Q970" s="5">
        <v>102110524</v>
      </c>
      <c r="R970" s="5" t="s">
        <v>56</v>
      </c>
      <c r="S970" s="5" t="s">
        <v>39</v>
      </c>
      <c r="T970" s="7">
        <v>1</v>
      </c>
      <c r="U970" s="15" t="s">
        <v>98</v>
      </c>
      <c r="V970" s="16" t="s">
        <v>158</v>
      </c>
      <c r="W970" s="17">
        <v>102110524</v>
      </c>
      <c r="X970" s="16" t="s">
        <v>2522</v>
      </c>
      <c r="Y970" s="17" t="s">
        <v>2550</v>
      </c>
      <c r="Z970" s="17" t="s">
        <v>39</v>
      </c>
      <c r="AA970" s="17" t="s">
        <v>37</v>
      </c>
      <c r="AB970" s="43">
        <v>99.09</v>
      </c>
      <c r="AC970" s="25">
        <v>110.16</v>
      </c>
      <c r="AD970" s="25">
        <f>AC970*T970</f>
        <v>110.16</v>
      </c>
      <c r="AE970" s="25">
        <f>AB970*T970</f>
        <v>99.09</v>
      </c>
      <c r="AF970" s="25">
        <f>AD970-AE970</f>
        <v>11.069999999999993</v>
      </c>
      <c r="AG970" s="26">
        <f>AF970/AD970</f>
        <v>0.10049019607843131</v>
      </c>
      <c r="AH970" s="27" t="str">
        <f>IF(AG970&lt;0,"Negative",IF(AG970=0,"Same",IF(AG970&gt;0.3,"30+%",IF(AG970&gt;0.2,"20-30%",IF(AG970&gt;0.1,"10-20%",IF(AG970&lt;=0.1,"0-10%"))))))</f>
        <v>10-20%</v>
      </c>
      <c r="AI970" s="32"/>
      <c r="AJ970" s="36" t="s">
        <v>3299</v>
      </c>
      <c r="AK970" s="32"/>
    </row>
    <row r="971" spans="1:37" s="1" customFormat="1" ht="19.7" customHeight="1" x14ac:dyDescent="0.25">
      <c r="A971" s="9" t="s">
        <v>22</v>
      </c>
      <c r="B971" s="9" t="s">
        <v>1234</v>
      </c>
      <c r="C971" s="10">
        <v>44364</v>
      </c>
      <c r="D971" s="9" t="s">
        <v>24</v>
      </c>
      <c r="E971" s="9" t="s">
        <v>25</v>
      </c>
      <c r="F971" s="9" t="s">
        <v>26</v>
      </c>
      <c r="G971" s="9" t="s">
        <v>27</v>
      </c>
      <c r="H971" s="9" t="s">
        <v>28</v>
      </c>
      <c r="I971" s="9" t="s">
        <v>29</v>
      </c>
      <c r="J971" s="9" t="s">
        <v>30</v>
      </c>
      <c r="K971" s="9" t="s">
        <v>31</v>
      </c>
      <c r="L971" s="9" t="s">
        <v>32</v>
      </c>
      <c r="M971" s="9" t="s">
        <v>157</v>
      </c>
      <c r="N971" s="9" t="s">
        <v>1236</v>
      </c>
      <c r="O971" s="9" t="s">
        <v>98</v>
      </c>
      <c r="P971" s="9" t="s">
        <v>158</v>
      </c>
      <c r="Q971" s="9">
        <v>102110524</v>
      </c>
      <c r="R971" s="9" t="s">
        <v>56</v>
      </c>
      <c r="S971" s="9" t="s">
        <v>39</v>
      </c>
      <c r="T971" s="11">
        <v>2</v>
      </c>
      <c r="U971" s="15" t="s">
        <v>98</v>
      </c>
      <c r="V971" s="16" t="s">
        <v>158</v>
      </c>
      <c r="W971" s="17">
        <v>102110524</v>
      </c>
      <c r="X971" s="16" t="s">
        <v>2522</v>
      </c>
      <c r="Y971" s="17" t="s">
        <v>2550</v>
      </c>
      <c r="Z971" s="17" t="s">
        <v>39</v>
      </c>
      <c r="AA971" s="17" t="s">
        <v>37</v>
      </c>
      <c r="AB971" s="43">
        <v>99.09</v>
      </c>
      <c r="AC971" s="25">
        <v>110.16</v>
      </c>
      <c r="AD971" s="25">
        <f>AC971*T971</f>
        <v>220.32</v>
      </c>
      <c r="AE971" s="25">
        <f>AB971*T971</f>
        <v>198.18</v>
      </c>
      <c r="AF971" s="25">
        <f>AD971-AE971</f>
        <v>22.139999999999986</v>
      </c>
      <c r="AG971" s="26">
        <f>AF971/AD971</f>
        <v>0.10049019607843131</v>
      </c>
      <c r="AH971" s="27" t="str">
        <f>IF(AG971&lt;0,"Negative",IF(AG971=0,"Same",IF(AG971&gt;0.3,"30+%",IF(AG971&gt;0.2,"20-30%",IF(AG971&gt;0.1,"10-20%",IF(AG971&lt;=0.1,"0-10%"))))))</f>
        <v>10-20%</v>
      </c>
      <c r="AI971" s="32"/>
      <c r="AJ971" s="36" t="s">
        <v>3299</v>
      </c>
      <c r="AK971" s="32"/>
    </row>
    <row r="972" spans="1:37" s="1" customFormat="1" ht="19.7" customHeight="1" x14ac:dyDescent="0.25">
      <c r="A972" s="5" t="s">
        <v>22</v>
      </c>
      <c r="B972" s="5" t="s">
        <v>1615</v>
      </c>
      <c r="C972" s="6">
        <v>44425</v>
      </c>
      <c r="D972" s="5" t="s">
        <v>24</v>
      </c>
      <c r="E972" s="5" t="s">
        <v>25</v>
      </c>
      <c r="F972" s="5" t="s">
        <v>26</v>
      </c>
      <c r="G972" s="5" t="s">
        <v>27</v>
      </c>
      <c r="H972" s="5" t="s">
        <v>28</v>
      </c>
      <c r="I972" s="5" t="s">
        <v>29</v>
      </c>
      <c r="J972" s="5" t="s">
        <v>30</v>
      </c>
      <c r="K972" s="5" t="s">
        <v>31</v>
      </c>
      <c r="L972" s="5" t="s">
        <v>32</v>
      </c>
      <c r="M972" s="5" t="s">
        <v>405</v>
      </c>
      <c r="N972" s="5" t="s">
        <v>1569</v>
      </c>
      <c r="O972" s="5" t="s">
        <v>334</v>
      </c>
      <c r="P972" s="5" t="s">
        <v>406</v>
      </c>
      <c r="Q972" s="5">
        <v>111630730</v>
      </c>
      <c r="R972" s="5" t="s">
        <v>38</v>
      </c>
      <c r="S972" s="5" t="s">
        <v>39</v>
      </c>
      <c r="T972" s="7">
        <v>1</v>
      </c>
      <c r="U972" s="15" t="s">
        <v>334</v>
      </c>
      <c r="V972" s="16" t="s">
        <v>406</v>
      </c>
      <c r="W972" s="17">
        <v>111630730</v>
      </c>
      <c r="X972" s="16" t="s">
        <v>2629</v>
      </c>
      <c r="Y972" s="17" t="s">
        <v>2660</v>
      </c>
      <c r="Z972" s="17" t="s">
        <v>39</v>
      </c>
      <c r="AA972" s="17" t="s">
        <v>37</v>
      </c>
      <c r="AB972" s="29">
        <v>89.27</v>
      </c>
      <c r="AC972" s="25">
        <v>91.29</v>
      </c>
      <c r="AD972" s="25">
        <f>AC972*T972</f>
        <v>91.29</v>
      </c>
      <c r="AE972" s="25">
        <f>AB972*T972</f>
        <v>89.27</v>
      </c>
      <c r="AF972" s="25">
        <f>AD972-AE972</f>
        <v>2.0200000000000102</v>
      </c>
      <c r="AG972" s="26">
        <f>AF972/AD972</f>
        <v>2.2127286668857597E-2</v>
      </c>
      <c r="AH972" s="27" t="str">
        <f>IF(AG972&lt;0,"Negative",IF(AG972=0,"Same",IF(AG972&gt;0.3,"30+%",IF(AG972&gt;0.2,"20-30%",IF(AG972&gt;0.1,"10-20%",IF(AG972&lt;=0.1,"0-10%"))))))</f>
        <v>0-10%</v>
      </c>
      <c r="AI972" s="32"/>
      <c r="AJ972" s="36" t="s">
        <v>3300</v>
      </c>
      <c r="AK972" s="32"/>
    </row>
    <row r="973" spans="1:37" s="1" customFormat="1" ht="19.7" customHeight="1" x14ac:dyDescent="0.25">
      <c r="A973" s="9" t="s">
        <v>22</v>
      </c>
      <c r="B973" s="9" t="s">
        <v>404</v>
      </c>
      <c r="C973" s="10">
        <v>44258</v>
      </c>
      <c r="D973" s="9" t="s">
        <v>24</v>
      </c>
      <c r="E973" s="9" t="s">
        <v>25</v>
      </c>
      <c r="F973" s="9" t="s">
        <v>26</v>
      </c>
      <c r="G973" s="9" t="s">
        <v>27</v>
      </c>
      <c r="H973" s="9" t="s">
        <v>28</v>
      </c>
      <c r="I973" s="9" t="s">
        <v>29</v>
      </c>
      <c r="J973" s="9" t="s">
        <v>30</v>
      </c>
      <c r="K973" s="9" t="s">
        <v>31</v>
      </c>
      <c r="L973" s="9" t="s">
        <v>32</v>
      </c>
      <c r="M973" s="9" t="s">
        <v>405</v>
      </c>
      <c r="N973" s="9" t="s">
        <v>321</v>
      </c>
      <c r="O973" s="9" t="s">
        <v>334</v>
      </c>
      <c r="P973" s="9" t="s">
        <v>406</v>
      </c>
      <c r="Q973" s="9">
        <v>111630730</v>
      </c>
      <c r="R973" s="9" t="s">
        <v>38</v>
      </c>
      <c r="S973" s="9" t="s">
        <v>39</v>
      </c>
      <c r="T973" s="11">
        <v>1</v>
      </c>
      <c r="U973" s="15" t="s">
        <v>334</v>
      </c>
      <c r="V973" s="16" t="s">
        <v>406</v>
      </c>
      <c r="W973" s="17">
        <v>111630730</v>
      </c>
      <c r="X973" s="16" t="s">
        <v>2629</v>
      </c>
      <c r="Y973" s="17" t="s">
        <v>2660</v>
      </c>
      <c r="Z973" s="17" t="s">
        <v>39</v>
      </c>
      <c r="AA973" s="17" t="s">
        <v>37</v>
      </c>
      <c r="AB973" s="29">
        <v>89.27</v>
      </c>
      <c r="AC973" s="25">
        <v>91.29</v>
      </c>
      <c r="AD973" s="25">
        <f>AC973*T973</f>
        <v>91.29</v>
      </c>
      <c r="AE973" s="25">
        <f>AB973*T973</f>
        <v>89.27</v>
      </c>
      <c r="AF973" s="25">
        <f>AD973-AE973</f>
        <v>2.0200000000000102</v>
      </c>
      <c r="AG973" s="26">
        <f>AF973/AD973</f>
        <v>2.2127286668857597E-2</v>
      </c>
      <c r="AH973" s="27" t="str">
        <f>IF(AG973&lt;0,"Negative",IF(AG973=0,"Same",IF(AG973&gt;0.3,"30+%",IF(AG973&gt;0.2,"20-30%",IF(AG973&gt;0.1,"10-20%",IF(AG973&lt;=0.1,"0-10%"))))))</f>
        <v>0-10%</v>
      </c>
      <c r="AI973" s="32"/>
      <c r="AJ973" s="36" t="s">
        <v>3300</v>
      </c>
      <c r="AK973" s="32"/>
    </row>
    <row r="974" spans="1:37" s="1" customFormat="1" ht="19.7" customHeight="1" x14ac:dyDescent="0.25">
      <c r="A974" s="9" t="s">
        <v>22</v>
      </c>
      <c r="B974" s="9" t="s">
        <v>739</v>
      </c>
      <c r="C974" s="10">
        <v>44295</v>
      </c>
      <c r="D974" s="9" t="s">
        <v>24</v>
      </c>
      <c r="E974" s="9" t="s">
        <v>25</v>
      </c>
      <c r="F974" s="9" t="s">
        <v>26</v>
      </c>
      <c r="G974" s="9" t="s">
        <v>27</v>
      </c>
      <c r="H974" s="9" t="s">
        <v>28</v>
      </c>
      <c r="I974" s="9" t="s">
        <v>29</v>
      </c>
      <c r="J974" s="9" t="s">
        <v>30</v>
      </c>
      <c r="K974" s="9" t="s">
        <v>31</v>
      </c>
      <c r="L974" s="9" t="s">
        <v>32</v>
      </c>
      <c r="M974" s="9" t="s">
        <v>740</v>
      </c>
      <c r="N974" s="9" t="s">
        <v>697</v>
      </c>
      <c r="O974" s="9" t="s">
        <v>741</v>
      </c>
      <c r="P974" s="9" t="s">
        <v>742</v>
      </c>
      <c r="Q974" s="9">
        <v>100166889</v>
      </c>
      <c r="R974" s="9" t="s">
        <v>38</v>
      </c>
      <c r="S974" s="9" t="s">
        <v>39</v>
      </c>
      <c r="T974" s="11">
        <v>1</v>
      </c>
      <c r="U974" s="15" t="s">
        <v>741</v>
      </c>
      <c r="V974" s="16" t="s">
        <v>742</v>
      </c>
      <c r="W974" s="17">
        <v>100166889</v>
      </c>
      <c r="X974" s="16" t="s">
        <v>2799</v>
      </c>
      <c r="Y974" s="17" t="s">
        <v>2800</v>
      </c>
      <c r="Z974" s="17" t="s">
        <v>39</v>
      </c>
      <c r="AA974" s="17" t="s">
        <v>37</v>
      </c>
      <c r="AB974" s="29">
        <v>110.56</v>
      </c>
      <c r="AC974" s="25">
        <v>113.06</v>
      </c>
      <c r="AD974" s="25">
        <f>AC974*T974</f>
        <v>113.06</v>
      </c>
      <c r="AE974" s="25">
        <f>AB974*T974</f>
        <v>110.56</v>
      </c>
      <c r="AF974" s="25">
        <f>AD974-AE974</f>
        <v>2.5</v>
      </c>
      <c r="AG974" s="26">
        <f>AF974/AD974</f>
        <v>2.2112152839200424E-2</v>
      </c>
      <c r="AH974" s="27" t="str">
        <f>IF(AG974&lt;0,"Negative",IF(AG974=0,"Same",IF(AG974&gt;0.3,"30+%",IF(AG974&gt;0.2,"20-30%",IF(AG974&gt;0.1,"10-20%",IF(AG974&lt;=0.1,"0-10%"))))))</f>
        <v>0-10%</v>
      </c>
      <c r="AI974" s="32"/>
      <c r="AJ974" s="36" t="s">
        <v>3300</v>
      </c>
      <c r="AK974" s="32"/>
    </row>
    <row r="975" spans="1:37" s="1" customFormat="1" ht="19.7" customHeight="1" x14ac:dyDescent="0.25">
      <c r="A975" s="5" t="s">
        <v>22</v>
      </c>
      <c r="B975" s="5" t="s">
        <v>1202</v>
      </c>
      <c r="C975" s="6">
        <v>44355</v>
      </c>
      <c r="D975" s="5" t="s">
        <v>24</v>
      </c>
      <c r="E975" s="5" t="s">
        <v>25</v>
      </c>
      <c r="F975" s="5" t="s">
        <v>26</v>
      </c>
      <c r="G975" s="5" t="s">
        <v>27</v>
      </c>
      <c r="H975" s="5" t="s">
        <v>28</v>
      </c>
      <c r="I975" s="5" t="s">
        <v>29</v>
      </c>
      <c r="J975" s="5" t="s">
        <v>30</v>
      </c>
      <c r="K975" s="5" t="s">
        <v>31</v>
      </c>
      <c r="L975" s="5" t="s">
        <v>32</v>
      </c>
      <c r="M975" s="5" t="s">
        <v>740</v>
      </c>
      <c r="N975" s="5" t="s">
        <v>1161</v>
      </c>
      <c r="O975" s="5" t="s">
        <v>741</v>
      </c>
      <c r="P975" s="5" t="s">
        <v>742</v>
      </c>
      <c r="Q975" s="5">
        <v>100166889</v>
      </c>
      <c r="R975" s="5" t="s">
        <v>38</v>
      </c>
      <c r="S975" s="5" t="s">
        <v>39</v>
      </c>
      <c r="T975" s="7">
        <v>1</v>
      </c>
      <c r="U975" s="15" t="s">
        <v>741</v>
      </c>
      <c r="V975" s="16" t="s">
        <v>742</v>
      </c>
      <c r="W975" s="17">
        <v>100166889</v>
      </c>
      <c r="X975" s="16" t="s">
        <v>2799</v>
      </c>
      <c r="Y975" s="17" t="s">
        <v>2800</v>
      </c>
      <c r="Z975" s="17" t="s">
        <v>39</v>
      </c>
      <c r="AA975" s="17" t="s">
        <v>37</v>
      </c>
      <c r="AB975" s="29">
        <v>110.56</v>
      </c>
      <c r="AC975" s="25">
        <v>113.06</v>
      </c>
      <c r="AD975" s="25">
        <f>AC975*T975</f>
        <v>113.06</v>
      </c>
      <c r="AE975" s="25">
        <f>AB975*T975</f>
        <v>110.56</v>
      </c>
      <c r="AF975" s="25">
        <f>AD975-AE975</f>
        <v>2.5</v>
      </c>
      <c r="AG975" s="26">
        <f>AF975/AD975</f>
        <v>2.2112152839200424E-2</v>
      </c>
      <c r="AH975" s="27" t="str">
        <f>IF(AG975&lt;0,"Negative",IF(AG975=0,"Same",IF(AG975&gt;0.3,"30+%",IF(AG975&gt;0.2,"20-30%",IF(AG975&gt;0.1,"10-20%",IF(AG975&lt;=0.1,"0-10%"))))))</f>
        <v>0-10%</v>
      </c>
      <c r="AI975" s="32"/>
      <c r="AJ975" s="36" t="s">
        <v>3300</v>
      </c>
      <c r="AK975" s="32"/>
    </row>
    <row r="976" spans="1:37" s="1" customFormat="1" ht="19.7" customHeight="1" x14ac:dyDescent="0.25">
      <c r="A976" s="5" t="s">
        <v>22</v>
      </c>
      <c r="B976" s="5" t="s">
        <v>2349</v>
      </c>
      <c r="C976" s="6">
        <v>44568</v>
      </c>
      <c r="D976" s="5" t="s">
        <v>24</v>
      </c>
      <c r="E976" s="5" t="s">
        <v>25</v>
      </c>
      <c r="F976" s="5" t="s">
        <v>26</v>
      </c>
      <c r="G976" s="5" t="s">
        <v>67</v>
      </c>
      <c r="H976" s="5" t="s">
        <v>68</v>
      </c>
      <c r="I976" s="5" t="s">
        <v>29</v>
      </c>
      <c r="J976" s="5" t="s">
        <v>30</v>
      </c>
      <c r="K976" s="5" t="s">
        <v>31</v>
      </c>
      <c r="L976" s="5" t="s">
        <v>32</v>
      </c>
      <c r="M976" s="5" t="s">
        <v>931</v>
      </c>
      <c r="N976" s="5" t="s">
        <v>2350</v>
      </c>
      <c r="O976" s="5" t="s">
        <v>932</v>
      </c>
      <c r="P976" s="5" t="s">
        <v>933</v>
      </c>
      <c r="Q976" s="5">
        <v>112091836</v>
      </c>
      <c r="R976" s="5" t="s">
        <v>73</v>
      </c>
      <c r="S976" s="5" t="s">
        <v>77</v>
      </c>
      <c r="T976" s="7">
        <v>72</v>
      </c>
      <c r="U976" s="15" t="s">
        <v>932</v>
      </c>
      <c r="V976" s="16" t="s">
        <v>933</v>
      </c>
      <c r="W976" s="17">
        <v>112091836</v>
      </c>
      <c r="X976" s="16" t="s">
        <v>2603</v>
      </c>
      <c r="Y976" s="17" t="s">
        <v>2867</v>
      </c>
      <c r="Z976" s="17" t="s">
        <v>77</v>
      </c>
      <c r="AA976" s="17" t="s">
        <v>2501</v>
      </c>
      <c r="AB976" s="29">
        <v>92.04</v>
      </c>
      <c r="AC976" s="25">
        <v>93.47</v>
      </c>
      <c r="AD976" s="25">
        <f>AC976*T976</f>
        <v>6729.84</v>
      </c>
      <c r="AE976" s="25">
        <f>AB976*T976</f>
        <v>6626.88</v>
      </c>
      <c r="AF976" s="25">
        <f>AD976-AE976</f>
        <v>102.96000000000004</v>
      </c>
      <c r="AG976" s="26">
        <f>AF976/AD976</f>
        <v>1.5299026425591104E-2</v>
      </c>
      <c r="AH976" s="27" t="str">
        <f>IF(AG976&lt;0,"Negative",IF(AG976=0,"Same",IF(AG976&gt;0.3,"30+%",IF(AG976&gt;0.2,"20-30%",IF(AG976&gt;0.1,"10-20%",IF(AG976&lt;=0.1,"0-10%"))))))</f>
        <v>0-10%</v>
      </c>
      <c r="AI976" s="32"/>
      <c r="AJ976" s="36" t="s">
        <v>3300</v>
      </c>
      <c r="AK976" s="32"/>
    </row>
    <row r="977" spans="1:37" s="1" customFormat="1" ht="19.7" customHeight="1" x14ac:dyDescent="0.25">
      <c r="A977" s="9" t="s">
        <v>22</v>
      </c>
      <c r="B977" s="9" t="s">
        <v>1483</v>
      </c>
      <c r="C977" s="10">
        <v>44403</v>
      </c>
      <c r="D977" s="9" t="s">
        <v>24</v>
      </c>
      <c r="E977" s="9" t="s">
        <v>25</v>
      </c>
      <c r="F977" s="9" t="s">
        <v>26</v>
      </c>
      <c r="G977" s="9" t="s">
        <v>27</v>
      </c>
      <c r="H977" s="9" t="s">
        <v>28</v>
      </c>
      <c r="I977" s="9" t="s">
        <v>29</v>
      </c>
      <c r="J977" s="9" t="s">
        <v>30</v>
      </c>
      <c r="K977" s="9" t="s">
        <v>31</v>
      </c>
      <c r="L977" s="9" t="s">
        <v>32</v>
      </c>
      <c r="M977" s="9" t="s">
        <v>1441</v>
      </c>
      <c r="N977" s="9" t="s">
        <v>1437</v>
      </c>
      <c r="O977" s="9" t="s">
        <v>575</v>
      </c>
      <c r="P977" s="9" t="s">
        <v>1442</v>
      </c>
      <c r="Q977" s="9">
        <v>100332491</v>
      </c>
      <c r="R977" s="9" t="s">
        <v>299</v>
      </c>
      <c r="S977" s="9" t="s">
        <v>39</v>
      </c>
      <c r="T977" s="11">
        <v>2</v>
      </c>
      <c r="U977" s="15" t="s">
        <v>575</v>
      </c>
      <c r="V977" s="41" t="s">
        <v>1442</v>
      </c>
      <c r="W977" s="17">
        <v>100332491</v>
      </c>
      <c r="X977" s="16" t="s">
        <v>3040</v>
      </c>
      <c r="Y977" s="17" t="s">
        <v>3041</v>
      </c>
      <c r="Z977" s="17" t="s">
        <v>39</v>
      </c>
      <c r="AA977" s="17" t="s">
        <v>37</v>
      </c>
      <c r="AB977" s="29">
        <v>162.19</v>
      </c>
      <c r="AC977" s="25">
        <v>155.5</v>
      </c>
      <c r="AD977" s="25">
        <f>AC977*T977</f>
        <v>311</v>
      </c>
      <c r="AE977" s="25">
        <f>AB977*T977</f>
        <v>324.38</v>
      </c>
      <c r="AF977" s="25">
        <f>AD977-AE977</f>
        <v>-13.379999999999995</v>
      </c>
      <c r="AG977" s="26">
        <f>AF977/AD977</f>
        <v>-4.3022508038585192E-2</v>
      </c>
      <c r="AH977" s="27" t="str">
        <f>IF(AG977&lt;0,"Negative",IF(AG977=0,"Same",IF(AG977&gt;0.3,"30+%",IF(AG977&gt;0.2,"20-30%",IF(AG977&gt;0.1,"10-20%",IF(AG977&lt;=0.1,"0-10%"))))))</f>
        <v>Negative</v>
      </c>
      <c r="AI977" s="32"/>
      <c r="AJ977" s="36" t="s">
        <v>3300</v>
      </c>
      <c r="AK977" s="32"/>
    </row>
    <row r="978" spans="1:37" s="1" customFormat="1" ht="19.7" customHeight="1" x14ac:dyDescent="0.25">
      <c r="A978" s="5" t="s">
        <v>22</v>
      </c>
      <c r="B978" s="5" t="s">
        <v>1435</v>
      </c>
      <c r="C978" s="6">
        <v>44397</v>
      </c>
      <c r="D978" s="5" t="s">
        <v>24</v>
      </c>
      <c r="E978" s="5" t="s">
        <v>25</v>
      </c>
      <c r="F978" s="5" t="s">
        <v>26</v>
      </c>
      <c r="G978" s="5" t="s">
        <v>27</v>
      </c>
      <c r="H978" s="5" t="s">
        <v>28</v>
      </c>
      <c r="I978" s="5" t="s">
        <v>29</v>
      </c>
      <c r="J978" s="5" t="s">
        <v>30</v>
      </c>
      <c r="K978" s="5" t="s">
        <v>31</v>
      </c>
      <c r="L978" s="5" t="s">
        <v>32</v>
      </c>
      <c r="M978" s="5" t="s">
        <v>1441</v>
      </c>
      <c r="N978" s="5" t="s">
        <v>1437</v>
      </c>
      <c r="O978" s="5" t="s">
        <v>575</v>
      </c>
      <c r="P978" s="5" t="s">
        <v>1442</v>
      </c>
      <c r="Q978" s="5">
        <v>100332491</v>
      </c>
      <c r="R978" s="5" t="s">
        <v>299</v>
      </c>
      <c r="S978" s="5" t="s">
        <v>39</v>
      </c>
      <c r="T978" s="7">
        <v>1</v>
      </c>
      <c r="U978" s="15" t="s">
        <v>575</v>
      </c>
      <c r="V978" s="41" t="s">
        <v>1442</v>
      </c>
      <c r="W978" s="17">
        <v>100332491</v>
      </c>
      <c r="X978" s="16" t="s">
        <v>3040</v>
      </c>
      <c r="Y978" s="17" t="s">
        <v>3041</v>
      </c>
      <c r="Z978" s="17" t="s">
        <v>39</v>
      </c>
      <c r="AA978" s="17" t="s">
        <v>37</v>
      </c>
      <c r="AB978" s="29">
        <v>162.19</v>
      </c>
      <c r="AC978" s="25">
        <v>155.5</v>
      </c>
      <c r="AD978" s="25">
        <f>AC978*T978</f>
        <v>155.5</v>
      </c>
      <c r="AE978" s="25">
        <f>AB978*T978</f>
        <v>162.19</v>
      </c>
      <c r="AF978" s="25">
        <f>AD978-AE978</f>
        <v>-6.6899999999999977</v>
      </c>
      <c r="AG978" s="26">
        <f>AF978/AD978</f>
        <v>-4.3022508038585192E-2</v>
      </c>
      <c r="AH978" s="27" t="str">
        <f>IF(AG978&lt;0,"Negative",IF(AG978=0,"Same",IF(AG978&gt;0.3,"30+%",IF(AG978&gt;0.2,"20-30%",IF(AG978&gt;0.1,"10-20%",IF(AG978&lt;=0.1,"0-10%"))))))</f>
        <v>Negative</v>
      </c>
      <c r="AI978" s="32"/>
      <c r="AJ978" s="36" t="s">
        <v>3300</v>
      </c>
      <c r="AK978" s="32"/>
    </row>
    <row r="979" spans="1:37" s="1" customFormat="1" ht="19.7" customHeight="1" x14ac:dyDescent="0.25">
      <c r="A979" s="5" t="s">
        <v>22</v>
      </c>
      <c r="B979" s="5" t="s">
        <v>2246</v>
      </c>
      <c r="C979" s="6">
        <v>44547</v>
      </c>
      <c r="D979" s="5" t="s">
        <v>24</v>
      </c>
      <c r="E979" s="5" t="s">
        <v>25</v>
      </c>
      <c r="F979" s="5" t="s">
        <v>26</v>
      </c>
      <c r="G979" s="5" t="s">
        <v>27</v>
      </c>
      <c r="H979" s="5" t="s">
        <v>28</v>
      </c>
      <c r="I979" s="5" t="s">
        <v>29</v>
      </c>
      <c r="J979" s="5" t="s">
        <v>30</v>
      </c>
      <c r="K979" s="5" t="s">
        <v>31</v>
      </c>
      <c r="L979" s="5" t="s">
        <v>32</v>
      </c>
      <c r="M979" s="5" t="s">
        <v>2247</v>
      </c>
      <c r="N979" s="5" t="s">
        <v>2248</v>
      </c>
      <c r="O979" s="5" t="s">
        <v>71</v>
      </c>
      <c r="P979" s="5" t="s">
        <v>2249</v>
      </c>
      <c r="Q979" s="5">
        <v>118901777</v>
      </c>
      <c r="R979" s="5" t="s">
        <v>73</v>
      </c>
      <c r="S979" s="5" t="s">
        <v>39</v>
      </c>
      <c r="T979" s="7">
        <v>132</v>
      </c>
      <c r="U979" s="15" t="s">
        <v>71</v>
      </c>
      <c r="V979" s="16" t="s">
        <v>2249</v>
      </c>
      <c r="W979" s="17">
        <v>118901777</v>
      </c>
      <c r="X979" s="16" t="s">
        <v>2510</v>
      </c>
      <c r="Y979" s="17" t="s">
        <v>3234</v>
      </c>
      <c r="Z979" s="17" t="s">
        <v>39</v>
      </c>
      <c r="AA979" s="17" t="s">
        <v>2501</v>
      </c>
      <c r="AB979" s="29">
        <v>250.61</v>
      </c>
      <c r="AC979" s="25">
        <v>250.61</v>
      </c>
      <c r="AD979" s="25">
        <f>AC979*T979</f>
        <v>33080.520000000004</v>
      </c>
      <c r="AE979" s="25">
        <f>AB979*T979</f>
        <v>33080.520000000004</v>
      </c>
      <c r="AF979" s="25">
        <f>AD979-AE979</f>
        <v>0</v>
      </c>
      <c r="AG979" s="26">
        <f>AF979/AD979</f>
        <v>0</v>
      </c>
      <c r="AH979" s="27" t="str">
        <f>IF(AG979&lt;0,"Negative",IF(AG979=0,"Same",IF(AG979&gt;0.3,"30+%",IF(AG979&gt;0.2,"20-30%",IF(AG979&gt;0.1,"10-20%",IF(AG979&lt;=0.1,"0-10%"))))))</f>
        <v>Same</v>
      </c>
      <c r="AI979" s="32"/>
      <c r="AJ979" s="36" t="s">
        <v>3300</v>
      </c>
      <c r="AK979" s="32"/>
    </row>
    <row r="980" spans="1:37" s="1" customFormat="1" ht="19.7" customHeight="1" x14ac:dyDescent="0.25">
      <c r="A980" s="5" t="s">
        <v>22</v>
      </c>
      <c r="B980" s="5" t="s">
        <v>2251</v>
      </c>
      <c r="C980" s="6">
        <v>44550</v>
      </c>
      <c r="D980" s="5" t="s">
        <v>24</v>
      </c>
      <c r="E980" s="5" t="s">
        <v>25</v>
      </c>
      <c r="F980" s="5" t="s">
        <v>26</v>
      </c>
      <c r="G980" s="5" t="s">
        <v>27</v>
      </c>
      <c r="H980" s="5" t="s">
        <v>28</v>
      </c>
      <c r="I980" s="5" t="s">
        <v>29</v>
      </c>
      <c r="J980" s="5" t="s">
        <v>30</v>
      </c>
      <c r="K980" s="5" t="s">
        <v>31</v>
      </c>
      <c r="L980" s="5" t="s">
        <v>32</v>
      </c>
      <c r="M980" s="5" t="s">
        <v>2247</v>
      </c>
      <c r="N980" s="5" t="s">
        <v>2248</v>
      </c>
      <c r="O980" s="5" t="s">
        <v>71</v>
      </c>
      <c r="P980" s="5" t="s">
        <v>2249</v>
      </c>
      <c r="Q980" s="5">
        <v>118901777</v>
      </c>
      <c r="R980" s="5" t="s">
        <v>73</v>
      </c>
      <c r="S980" s="5" t="s">
        <v>39</v>
      </c>
      <c r="T980" s="7">
        <v>16</v>
      </c>
      <c r="U980" s="15" t="s">
        <v>71</v>
      </c>
      <c r="V980" s="16" t="s">
        <v>2249</v>
      </c>
      <c r="W980" s="17">
        <v>118901777</v>
      </c>
      <c r="X980" s="16" t="s">
        <v>2510</v>
      </c>
      <c r="Y980" s="17" t="s">
        <v>3234</v>
      </c>
      <c r="Z980" s="17" t="s">
        <v>39</v>
      </c>
      <c r="AA980" s="17" t="s">
        <v>2501</v>
      </c>
      <c r="AB980" s="29">
        <v>250.61</v>
      </c>
      <c r="AC980" s="25">
        <v>250.61</v>
      </c>
      <c r="AD980" s="25">
        <f>AC980*T980</f>
        <v>4009.76</v>
      </c>
      <c r="AE980" s="25">
        <f>AB980*T980</f>
        <v>4009.76</v>
      </c>
      <c r="AF980" s="25">
        <f>AD980-AE980</f>
        <v>0</v>
      </c>
      <c r="AG980" s="26">
        <f>AF980/AD980</f>
        <v>0</v>
      </c>
      <c r="AH980" s="27" t="str">
        <f>IF(AG980&lt;0,"Negative",IF(AG980=0,"Same",IF(AG980&gt;0.3,"30+%",IF(AG980&gt;0.2,"20-30%",IF(AG980&gt;0.1,"10-20%",IF(AG980&lt;=0.1,"0-10%"))))))</f>
        <v>Same</v>
      </c>
      <c r="AI980" s="32"/>
      <c r="AJ980" s="36" t="s">
        <v>3300</v>
      </c>
      <c r="AK980" s="32"/>
    </row>
    <row r="981" spans="1:37" s="1" customFormat="1" ht="19.7" customHeight="1" x14ac:dyDescent="0.25">
      <c r="A981" s="9" t="s">
        <v>22</v>
      </c>
      <c r="B981" s="9" t="s">
        <v>2482</v>
      </c>
      <c r="C981" s="10">
        <v>44589</v>
      </c>
      <c r="D981" s="9" t="s">
        <v>24</v>
      </c>
      <c r="E981" s="9" t="s">
        <v>25</v>
      </c>
      <c r="F981" s="9" t="s">
        <v>26</v>
      </c>
      <c r="G981" s="9" t="s">
        <v>67</v>
      </c>
      <c r="H981" s="9" t="s">
        <v>68</v>
      </c>
      <c r="I981" s="9" t="s">
        <v>29</v>
      </c>
      <c r="J981" s="9" t="s">
        <v>30</v>
      </c>
      <c r="K981" s="9" t="s">
        <v>31</v>
      </c>
      <c r="L981" s="9" t="s">
        <v>32</v>
      </c>
      <c r="M981" s="9" t="s">
        <v>124</v>
      </c>
      <c r="N981" s="9" t="s">
        <v>2483</v>
      </c>
      <c r="O981" s="9" t="s">
        <v>125</v>
      </c>
      <c r="P981" s="9" t="s">
        <v>126</v>
      </c>
      <c r="Q981" s="9">
        <v>111135869</v>
      </c>
      <c r="R981" s="9" t="s">
        <v>38</v>
      </c>
      <c r="S981" s="9" t="s">
        <v>39</v>
      </c>
      <c r="T981" s="11">
        <v>1</v>
      </c>
      <c r="U981" s="15" t="s">
        <v>125</v>
      </c>
      <c r="V981" s="16" t="s">
        <v>126</v>
      </c>
      <c r="W981" s="17">
        <v>111135869</v>
      </c>
      <c r="X981" s="16" t="s">
        <v>2534</v>
      </c>
      <c r="Y981" s="17" t="s">
        <v>2535</v>
      </c>
      <c r="Z981" s="17" t="s">
        <v>39</v>
      </c>
      <c r="AA981" s="17" t="s">
        <v>2501</v>
      </c>
      <c r="AB981" s="29">
        <v>1851.33</v>
      </c>
      <c r="AC981" s="25">
        <v>1939.39</v>
      </c>
      <c r="AD981" s="25">
        <f>AC981*T981</f>
        <v>1939.39</v>
      </c>
      <c r="AE981" s="25">
        <f>AB981*T981</f>
        <v>1851.33</v>
      </c>
      <c r="AF981" s="25">
        <f>AD981-AE981</f>
        <v>88.060000000000173</v>
      </c>
      <c r="AG981" s="26">
        <f>AF981/AD981</f>
        <v>4.5406029730997978E-2</v>
      </c>
      <c r="AH981" s="27" t="str">
        <f>IF(AG981&lt;0,"Negative",IF(AG981=0,"Same",IF(AG981&gt;0.3,"30+%",IF(AG981&gt;0.2,"20-30%",IF(AG981&gt;0.1,"10-20%",IF(AG981&lt;=0.1,"0-10%"))))))</f>
        <v>0-10%</v>
      </c>
      <c r="AI981" s="32"/>
      <c r="AJ981" s="36" t="s">
        <v>3300</v>
      </c>
      <c r="AK981" s="32"/>
    </row>
    <row r="982" spans="1:37" s="1" customFormat="1" ht="19.7" customHeight="1" x14ac:dyDescent="0.25">
      <c r="A982" s="5" t="s">
        <v>22</v>
      </c>
      <c r="B982" s="5" t="s">
        <v>2267</v>
      </c>
      <c r="C982" s="6">
        <v>44558</v>
      </c>
      <c r="D982" s="5" t="s">
        <v>24</v>
      </c>
      <c r="E982" s="5" t="s">
        <v>25</v>
      </c>
      <c r="F982" s="5" t="s">
        <v>26</v>
      </c>
      <c r="G982" s="5" t="s">
        <v>27</v>
      </c>
      <c r="H982" s="5" t="s">
        <v>28</v>
      </c>
      <c r="I982" s="5" t="s">
        <v>29</v>
      </c>
      <c r="J982" s="5" t="s">
        <v>30</v>
      </c>
      <c r="K982" s="5" t="s">
        <v>31</v>
      </c>
      <c r="L982" s="5" t="s">
        <v>32</v>
      </c>
      <c r="M982" s="5" t="s">
        <v>242</v>
      </c>
      <c r="N982" s="5" t="s">
        <v>2236</v>
      </c>
      <c r="O982" s="5" t="s">
        <v>243</v>
      </c>
      <c r="P982" s="5" t="s">
        <v>244</v>
      </c>
      <c r="Q982" s="5">
        <v>114325094</v>
      </c>
      <c r="R982" s="5" t="s">
        <v>38</v>
      </c>
      <c r="S982" s="5" t="s">
        <v>39</v>
      </c>
      <c r="T982" s="7">
        <v>1</v>
      </c>
      <c r="U982" s="15" t="s">
        <v>243</v>
      </c>
      <c r="V982" s="16" t="s">
        <v>244</v>
      </c>
      <c r="W982" s="17">
        <v>114325094</v>
      </c>
      <c r="X982" s="16" t="s">
        <v>2591</v>
      </c>
      <c r="Y982" s="17" t="s">
        <v>2592</v>
      </c>
      <c r="Z982" s="17" t="s">
        <v>39</v>
      </c>
      <c r="AA982" s="17" t="s">
        <v>2501</v>
      </c>
      <c r="AB982" s="29">
        <v>102.09</v>
      </c>
      <c r="AC982" s="25">
        <v>104.39</v>
      </c>
      <c r="AD982" s="25">
        <f>AC982*T982</f>
        <v>104.39</v>
      </c>
      <c r="AE982" s="25">
        <f>AB982*T982</f>
        <v>102.09</v>
      </c>
      <c r="AF982" s="25">
        <f>AD982-AE982</f>
        <v>2.2999999999999972</v>
      </c>
      <c r="AG982" s="26">
        <f>AF982/AD982</f>
        <v>2.203276175878913E-2</v>
      </c>
      <c r="AH982" s="27" t="str">
        <f>IF(AG982&lt;0,"Negative",IF(AG982=0,"Same",IF(AG982&gt;0.3,"30+%",IF(AG982&gt;0.2,"20-30%",IF(AG982&gt;0.1,"10-20%",IF(AG982&lt;=0.1,"0-10%"))))))</f>
        <v>0-10%</v>
      </c>
      <c r="AI982" s="32"/>
      <c r="AJ982" s="36" t="s">
        <v>3300</v>
      </c>
      <c r="AK982" s="32"/>
    </row>
    <row r="983" spans="1:37" s="1" customFormat="1" ht="19.7" customHeight="1" x14ac:dyDescent="0.25">
      <c r="A983" s="9" t="s">
        <v>22</v>
      </c>
      <c r="B983" s="9" t="s">
        <v>1812</v>
      </c>
      <c r="C983" s="10">
        <v>44466</v>
      </c>
      <c r="D983" s="9" t="s">
        <v>24</v>
      </c>
      <c r="E983" s="9" t="s">
        <v>25</v>
      </c>
      <c r="F983" s="9" t="s">
        <v>26</v>
      </c>
      <c r="G983" s="9" t="s">
        <v>67</v>
      </c>
      <c r="H983" s="9" t="s">
        <v>68</v>
      </c>
      <c r="I983" s="9" t="s">
        <v>29</v>
      </c>
      <c r="J983" s="9" t="s">
        <v>30</v>
      </c>
      <c r="K983" s="9" t="s">
        <v>31</v>
      </c>
      <c r="L983" s="9" t="s">
        <v>32</v>
      </c>
      <c r="M983" s="9" t="s">
        <v>915</v>
      </c>
      <c r="N983" s="9" t="s">
        <v>1813</v>
      </c>
      <c r="O983" s="9" t="s">
        <v>89</v>
      </c>
      <c r="P983" s="9" t="s">
        <v>916</v>
      </c>
      <c r="Q983" s="9">
        <v>100748184</v>
      </c>
      <c r="R983" s="9" t="s">
        <v>45</v>
      </c>
      <c r="S983" s="9" t="s">
        <v>39</v>
      </c>
      <c r="T983" s="11">
        <v>1</v>
      </c>
      <c r="U983" s="15" t="s">
        <v>89</v>
      </c>
      <c r="V983" s="16" t="s">
        <v>916</v>
      </c>
      <c r="W983" s="17">
        <v>100748184</v>
      </c>
      <c r="X983" s="16" t="s">
        <v>2520</v>
      </c>
      <c r="Y983" s="17" t="s">
        <v>2861</v>
      </c>
      <c r="Z983" s="17" t="s">
        <v>39</v>
      </c>
      <c r="AA983" s="17" t="s">
        <v>37</v>
      </c>
      <c r="AB983" s="43">
        <v>63.1</v>
      </c>
      <c r="AC983" s="25">
        <v>73.98</v>
      </c>
      <c r="AD983" s="25">
        <f>AC983*T983</f>
        <v>73.98</v>
      </c>
      <c r="AE983" s="25">
        <f>AB983*T983</f>
        <v>63.1</v>
      </c>
      <c r="AF983" s="25">
        <f>AD983-AE983</f>
        <v>10.880000000000003</v>
      </c>
      <c r="AG983" s="26">
        <f>AF983/AD983</f>
        <v>0.1470667748040011</v>
      </c>
      <c r="AH983" s="27" t="str">
        <f>IF(AG983&lt;0,"Negative",IF(AG983=0,"Same",IF(AG983&gt;0.3,"30+%",IF(AG983&gt;0.2,"20-30%",IF(AG983&gt;0.1,"10-20%",IF(AG983&lt;=0.1,"0-10%"))))))</f>
        <v>10-20%</v>
      </c>
      <c r="AI983" s="32"/>
      <c r="AJ983" s="36" t="s">
        <v>3300</v>
      </c>
      <c r="AK983" s="32"/>
    </row>
    <row r="984" spans="1:37" s="1" customFormat="1" ht="19.7" customHeight="1" x14ac:dyDescent="0.25">
      <c r="A984" s="9" t="s">
        <v>22</v>
      </c>
      <c r="B984" s="9" t="s">
        <v>1260</v>
      </c>
      <c r="C984" s="10">
        <v>44368</v>
      </c>
      <c r="D984" s="9" t="s">
        <v>24</v>
      </c>
      <c r="E984" s="9" t="s">
        <v>25</v>
      </c>
      <c r="F984" s="9" t="s">
        <v>26</v>
      </c>
      <c r="G984" s="9" t="s">
        <v>27</v>
      </c>
      <c r="H984" s="9" t="s">
        <v>28</v>
      </c>
      <c r="I984" s="9" t="s">
        <v>29</v>
      </c>
      <c r="J984" s="9" t="s">
        <v>30</v>
      </c>
      <c r="K984" s="9" t="s">
        <v>31</v>
      </c>
      <c r="L984" s="9" t="s">
        <v>32</v>
      </c>
      <c r="M984" s="9" t="s">
        <v>1103</v>
      </c>
      <c r="N984" s="9" t="s">
        <v>1236</v>
      </c>
      <c r="O984" s="9" t="s">
        <v>262</v>
      </c>
      <c r="P984" s="9" t="s">
        <v>1104</v>
      </c>
      <c r="Q984" s="9">
        <v>101611680</v>
      </c>
      <c r="R984" s="9" t="s">
        <v>38</v>
      </c>
      <c r="S984" s="9" t="s">
        <v>39</v>
      </c>
      <c r="T984" s="11">
        <v>1</v>
      </c>
      <c r="U984" s="15" t="s">
        <v>262</v>
      </c>
      <c r="V984" s="16" t="s">
        <v>1104</v>
      </c>
      <c r="W984" s="17">
        <v>101611680</v>
      </c>
      <c r="X984" s="16" t="s">
        <v>2508</v>
      </c>
      <c r="Y984" s="17" t="s">
        <v>2923</v>
      </c>
      <c r="Z984" s="17" t="s">
        <v>39</v>
      </c>
      <c r="AA984" s="17" t="s">
        <v>37</v>
      </c>
      <c r="AB984" s="29">
        <v>90.63</v>
      </c>
      <c r="AC984" s="25">
        <v>92.69</v>
      </c>
      <c r="AD984" s="25">
        <f>AC984*T984</f>
        <v>92.69</v>
      </c>
      <c r="AE984" s="25">
        <f>AB984*T984</f>
        <v>90.63</v>
      </c>
      <c r="AF984" s="25">
        <f>AD984-AE984</f>
        <v>2.0600000000000023</v>
      </c>
      <c r="AG984" s="26">
        <f>AF984/AD984</f>
        <v>2.2224619700075547E-2</v>
      </c>
      <c r="AH984" s="27" t="str">
        <f>IF(AG984&lt;0,"Negative",IF(AG984=0,"Same",IF(AG984&gt;0.3,"30+%",IF(AG984&gt;0.2,"20-30%",IF(AG984&gt;0.1,"10-20%",IF(AG984&lt;=0.1,"0-10%"))))))</f>
        <v>0-10%</v>
      </c>
      <c r="AI984" s="32"/>
      <c r="AJ984" s="36" t="s">
        <v>3300</v>
      </c>
      <c r="AK984" s="32"/>
    </row>
    <row r="985" spans="1:37" s="1" customFormat="1" ht="19.7" customHeight="1" x14ac:dyDescent="0.25">
      <c r="A985" s="5" t="s">
        <v>22</v>
      </c>
      <c r="B985" s="5" t="s">
        <v>1102</v>
      </c>
      <c r="C985" s="6">
        <v>44340</v>
      </c>
      <c r="D985" s="5" t="s">
        <v>24</v>
      </c>
      <c r="E985" s="5" t="s">
        <v>25</v>
      </c>
      <c r="F985" s="5" t="s">
        <v>26</v>
      </c>
      <c r="G985" s="5" t="s">
        <v>27</v>
      </c>
      <c r="H985" s="5" t="s">
        <v>28</v>
      </c>
      <c r="I985" s="5" t="s">
        <v>29</v>
      </c>
      <c r="J985" s="5" t="s">
        <v>30</v>
      </c>
      <c r="K985" s="5" t="s">
        <v>31</v>
      </c>
      <c r="L985" s="5" t="s">
        <v>32</v>
      </c>
      <c r="M985" s="5" t="s">
        <v>1103</v>
      </c>
      <c r="N985" s="5" t="s">
        <v>1070</v>
      </c>
      <c r="O985" s="5" t="s">
        <v>262</v>
      </c>
      <c r="P985" s="5" t="s">
        <v>1104</v>
      </c>
      <c r="Q985" s="5">
        <v>101611680</v>
      </c>
      <c r="R985" s="5" t="s">
        <v>38</v>
      </c>
      <c r="S985" s="5" t="s">
        <v>39</v>
      </c>
      <c r="T985" s="7">
        <v>1</v>
      </c>
      <c r="U985" s="15" t="s">
        <v>262</v>
      </c>
      <c r="V985" s="16" t="s">
        <v>1104</v>
      </c>
      <c r="W985" s="17">
        <v>101611680</v>
      </c>
      <c r="X985" s="16" t="s">
        <v>2508</v>
      </c>
      <c r="Y985" s="17" t="s">
        <v>2923</v>
      </c>
      <c r="Z985" s="17" t="s">
        <v>39</v>
      </c>
      <c r="AA985" s="17" t="s">
        <v>37</v>
      </c>
      <c r="AB985" s="29">
        <v>90.63</v>
      </c>
      <c r="AC985" s="25">
        <v>92.69</v>
      </c>
      <c r="AD985" s="25">
        <f>AC985*T985</f>
        <v>92.69</v>
      </c>
      <c r="AE985" s="25">
        <f>AB985*T985</f>
        <v>90.63</v>
      </c>
      <c r="AF985" s="25">
        <f>AD985-AE985</f>
        <v>2.0600000000000023</v>
      </c>
      <c r="AG985" s="26">
        <f>AF985/AD985</f>
        <v>2.2224619700075547E-2</v>
      </c>
      <c r="AH985" s="27" t="str">
        <f>IF(AG985&lt;0,"Negative",IF(AG985=0,"Same",IF(AG985&gt;0.3,"30+%",IF(AG985&gt;0.2,"20-30%",IF(AG985&gt;0.1,"10-20%",IF(AG985&lt;=0.1,"0-10%"))))))</f>
        <v>0-10%</v>
      </c>
      <c r="AI985" s="32"/>
      <c r="AJ985" s="36" t="s">
        <v>3300</v>
      </c>
      <c r="AK985" s="32"/>
    </row>
    <row r="986" spans="1:37" s="1" customFormat="1" ht="19.7" customHeight="1" x14ac:dyDescent="0.25">
      <c r="A986" s="5" t="s">
        <v>22</v>
      </c>
      <c r="B986" s="5" t="s">
        <v>2476</v>
      </c>
      <c r="C986" s="6">
        <v>44589</v>
      </c>
      <c r="D986" s="5" t="s">
        <v>24</v>
      </c>
      <c r="E986" s="5" t="s">
        <v>25</v>
      </c>
      <c r="F986" s="5" t="s">
        <v>26</v>
      </c>
      <c r="G986" s="5" t="s">
        <v>67</v>
      </c>
      <c r="H986" s="5" t="s">
        <v>68</v>
      </c>
      <c r="I986" s="5" t="s">
        <v>29</v>
      </c>
      <c r="J986" s="5" t="s">
        <v>30</v>
      </c>
      <c r="K986" s="5" t="s">
        <v>31</v>
      </c>
      <c r="L986" s="5" t="s">
        <v>32</v>
      </c>
      <c r="M986" s="5" t="s">
        <v>501</v>
      </c>
      <c r="N986" s="5" t="s">
        <v>2477</v>
      </c>
      <c r="O986" s="5" t="s">
        <v>502</v>
      </c>
      <c r="P986" s="5" t="s">
        <v>503</v>
      </c>
      <c r="Q986" s="5">
        <v>103958960</v>
      </c>
      <c r="R986" s="5" t="s">
        <v>38</v>
      </c>
      <c r="S986" s="5" t="s">
        <v>39</v>
      </c>
      <c r="T986" s="7">
        <v>1</v>
      </c>
      <c r="U986" s="15" t="s">
        <v>502</v>
      </c>
      <c r="V986" s="16" t="s">
        <v>503</v>
      </c>
      <c r="W986" s="17">
        <v>103958960</v>
      </c>
      <c r="X986" s="16" t="s">
        <v>2703</v>
      </c>
      <c r="Y986" s="17" t="s">
        <v>2704</v>
      </c>
      <c r="Z986" s="17" t="s">
        <v>39</v>
      </c>
      <c r="AA986" s="17" t="s">
        <v>2501</v>
      </c>
      <c r="AB986" s="29">
        <v>180.98</v>
      </c>
      <c r="AC986" s="25">
        <v>185.06</v>
      </c>
      <c r="AD986" s="25">
        <f>AC986*T986</f>
        <v>185.06</v>
      </c>
      <c r="AE986" s="25">
        <f>AB986*T986</f>
        <v>180.98</v>
      </c>
      <c r="AF986" s="25">
        <f>AD986-AE986</f>
        <v>4.0800000000000125</v>
      </c>
      <c r="AG986" s="26">
        <f>AF986/AD986</f>
        <v>2.2046903706905936E-2</v>
      </c>
      <c r="AH986" s="27" t="str">
        <f>IF(AG986&lt;0,"Negative",IF(AG986=0,"Same",IF(AG986&gt;0.3,"30+%",IF(AG986&gt;0.2,"20-30%",IF(AG986&gt;0.1,"10-20%",IF(AG986&lt;=0.1,"0-10%"))))))</f>
        <v>0-10%</v>
      </c>
      <c r="AI986" s="32"/>
      <c r="AJ986" s="36" t="s">
        <v>3300</v>
      </c>
      <c r="AK986" s="32"/>
    </row>
    <row r="987" spans="1:37" s="1" customFormat="1" ht="19.7" customHeight="1" x14ac:dyDescent="0.25">
      <c r="A987" s="5" t="s">
        <v>22</v>
      </c>
      <c r="B987" s="5" t="s">
        <v>2046</v>
      </c>
      <c r="C987" s="6">
        <v>44505</v>
      </c>
      <c r="D987" s="5" t="s">
        <v>24</v>
      </c>
      <c r="E987" s="5" t="s">
        <v>25</v>
      </c>
      <c r="F987" s="5" t="s">
        <v>26</v>
      </c>
      <c r="G987" s="5" t="s">
        <v>27</v>
      </c>
      <c r="H987" s="5" t="s">
        <v>28</v>
      </c>
      <c r="I987" s="5" t="s">
        <v>29</v>
      </c>
      <c r="J987" s="5" t="s">
        <v>30</v>
      </c>
      <c r="K987" s="5" t="s">
        <v>31</v>
      </c>
      <c r="L987" s="5" t="s">
        <v>32</v>
      </c>
      <c r="M987" s="5" t="s">
        <v>261</v>
      </c>
      <c r="N987" s="5" t="s">
        <v>2047</v>
      </c>
      <c r="O987" s="5" t="s">
        <v>1901</v>
      </c>
      <c r="P987" s="5" t="s">
        <v>2048</v>
      </c>
      <c r="Q987" s="5">
        <v>118791383</v>
      </c>
      <c r="R987" s="5" t="s">
        <v>76</v>
      </c>
      <c r="S987" s="5" t="s">
        <v>39</v>
      </c>
      <c r="T987" s="7">
        <v>6</v>
      </c>
      <c r="U987" s="15" t="s">
        <v>1901</v>
      </c>
      <c r="V987" s="16" t="s">
        <v>2048</v>
      </c>
      <c r="W987" s="17">
        <v>118791383</v>
      </c>
      <c r="X987" s="16" t="s">
        <v>2579</v>
      </c>
      <c r="Y987" s="17" t="s">
        <v>3194</v>
      </c>
      <c r="Z987" s="17" t="s">
        <v>39</v>
      </c>
      <c r="AA987" s="17" t="s">
        <v>2501</v>
      </c>
      <c r="AB987" s="29">
        <v>385.96</v>
      </c>
      <c r="AC987" s="25">
        <v>386.14</v>
      </c>
      <c r="AD987" s="25">
        <f>AC987*T987</f>
        <v>2316.84</v>
      </c>
      <c r="AE987" s="25">
        <f>AB987*T987</f>
        <v>2315.7599999999998</v>
      </c>
      <c r="AF987" s="25">
        <f>AD987-AE987</f>
        <v>1.080000000000382</v>
      </c>
      <c r="AG987" s="26">
        <f>AF987/AD987</f>
        <v>4.6615217278723689E-4</v>
      </c>
      <c r="AH987" s="27" t="str">
        <f>IF(AG987&lt;0,"Negative",IF(AG987=0,"Same",IF(AG987&gt;0.3,"30+%",IF(AG987&gt;0.2,"20-30%",IF(AG987&gt;0.1,"10-20%",IF(AG987&lt;=0.1,"0-10%"))))))</f>
        <v>0-10%</v>
      </c>
      <c r="AI987" s="32"/>
      <c r="AJ987" s="36" t="s">
        <v>3300</v>
      </c>
      <c r="AK987" s="32"/>
    </row>
    <row r="988" spans="1:37" s="1" customFormat="1" ht="19.7" customHeight="1" x14ac:dyDescent="0.25">
      <c r="A988" s="9" t="s">
        <v>22</v>
      </c>
      <c r="B988" s="9" t="s">
        <v>95</v>
      </c>
      <c r="C988" s="10">
        <v>44232</v>
      </c>
      <c r="D988" s="9" t="s">
        <v>24</v>
      </c>
      <c r="E988" s="9" t="s">
        <v>25</v>
      </c>
      <c r="F988" s="9" t="s">
        <v>26</v>
      </c>
      <c r="G988" s="9" t="s">
        <v>27</v>
      </c>
      <c r="H988" s="9" t="s">
        <v>28</v>
      </c>
      <c r="I988" s="9" t="s">
        <v>29</v>
      </c>
      <c r="J988" s="9" t="s">
        <v>30</v>
      </c>
      <c r="K988" s="9" t="s">
        <v>31</v>
      </c>
      <c r="L988" s="9" t="s">
        <v>32</v>
      </c>
      <c r="M988" s="9" t="s">
        <v>97</v>
      </c>
      <c r="N988" s="9" t="s">
        <v>96</v>
      </c>
      <c r="O988" s="9" t="s">
        <v>98</v>
      </c>
      <c r="P988" s="9" t="s">
        <v>99</v>
      </c>
      <c r="Q988" s="9">
        <v>100815837</v>
      </c>
      <c r="R988" s="9" t="s">
        <v>56</v>
      </c>
      <c r="S988" s="9" t="s">
        <v>39</v>
      </c>
      <c r="T988" s="11">
        <v>1</v>
      </c>
      <c r="U988" s="15" t="s">
        <v>98</v>
      </c>
      <c r="V988" s="16" t="s">
        <v>99</v>
      </c>
      <c r="W988" s="17">
        <v>100815837</v>
      </c>
      <c r="X988" s="16" t="s">
        <v>2522</v>
      </c>
      <c r="Y988" s="17" t="s">
        <v>2523</v>
      </c>
      <c r="Z988" s="17" t="s">
        <v>39</v>
      </c>
      <c r="AA988" s="17" t="s">
        <v>37</v>
      </c>
      <c r="AB988" s="43">
        <v>110.56</v>
      </c>
      <c r="AC988" s="25">
        <v>122.89</v>
      </c>
      <c r="AD988" s="25">
        <f>AC988*T988</f>
        <v>122.89</v>
      </c>
      <c r="AE988" s="25">
        <f>AB988*T988</f>
        <v>110.56</v>
      </c>
      <c r="AF988" s="25">
        <f>AD988-AE988</f>
        <v>12.329999999999998</v>
      </c>
      <c r="AG988" s="26">
        <f>AF988/AD988</f>
        <v>0.10033363170314914</v>
      </c>
      <c r="AH988" s="27" t="str">
        <f>IF(AG988&lt;0,"Negative",IF(AG988=0,"Same",IF(AG988&gt;0.3,"30+%",IF(AG988&gt;0.2,"20-30%",IF(AG988&gt;0.1,"10-20%",IF(AG988&lt;=0.1,"0-10%"))))))</f>
        <v>10-20%</v>
      </c>
      <c r="AI988" s="32"/>
      <c r="AJ988" s="36" t="s">
        <v>3299</v>
      </c>
      <c r="AK988" s="32"/>
    </row>
    <row r="989" spans="1:37" s="1" customFormat="1" ht="19.7" customHeight="1" x14ac:dyDescent="0.25">
      <c r="A989" s="5" t="s">
        <v>22</v>
      </c>
      <c r="B989" s="5" t="s">
        <v>1260</v>
      </c>
      <c r="C989" s="6">
        <v>44368</v>
      </c>
      <c r="D989" s="5" t="s">
        <v>24</v>
      </c>
      <c r="E989" s="5" t="s">
        <v>25</v>
      </c>
      <c r="F989" s="5" t="s">
        <v>26</v>
      </c>
      <c r="G989" s="5" t="s">
        <v>27</v>
      </c>
      <c r="H989" s="5" t="s">
        <v>28</v>
      </c>
      <c r="I989" s="5" t="s">
        <v>29</v>
      </c>
      <c r="J989" s="5" t="s">
        <v>30</v>
      </c>
      <c r="K989" s="5" t="s">
        <v>31</v>
      </c>
      <c r="L989" s="5" t="s">
        <v>32</v>
      </c>
      <c r="M989" s="5" t="s">
        <v>97</v>
      </c>
      <c r="N989" s="5" t="s">
        <v>1236</v>
      </c>
      <c r="O989" s="5" t="s">
        <v>98</v>
      </c>
      <c r="P989" s="5" t="s">
        <v>99</v>
      </c>
      <c r="Q989" s="5">
        <v>100815837</v>
      </c>
      <c r="R989" s="5" t="s">
        <v>56</v>
      </c>
      <c r="S989" s="5" t="s">
        <v>39</v>
      </c>
      <c r="T989" s="7">
        <v>2</v>
      </c>
      <c r="U989" s="15" t="s">
        <v>98</v>
      </c>
      <c r="V989" s="16" t="s">
        <v>99</v>
      </c>
      <c r="W989" s="17">
        <v>100815837</v>
      </c>
      <c r="X989" s="16" t="s">
        <v>2522</v>
      </c>
      <c r="Y989" s="17" t="s">
        <v>2523</v>
      </c>
      <c r="Z989" s="17" t="s">
        <v>39</v>
      </c>
      <c r="AA989" s="17" t="s">
        <v>37</v>
      </c>
      <c r="AB989" s="43">
        <v>110.56</v>
      </c>
      <c r="AC989" s="25">
        <v>122.89</v>
      </c>
      <c r="AD989" s="25">
        <f>AC989*T989</f>
        <v>245.78</v>
      </c>
      <c r="AE989" s="25">
        <f>AB989*T989</f>
        <v>221.12</v>
      </c>
      <c r="AF989" s="25">
        <f>AD989-AE989</f>
        <v>24.659999999999997</v>
      </c>
      <c r="AG989" s="26">
        <f>AF989/AD989</f>
        <v>0.10033363170314914</v>
      </c>
      <c r="AH989" s="27" t="str">
        <f>IF(AG989&lt;0,"Negative",IF(AG989=0,"Same",IF(AG989&gt;0.3,"30+%",IF(AG989&gt;0.2,"20-30%",IF(AG989&gt;0.1,"10-20%",IF(AG989&lt;=0.1,"0-10%"))))))</f>
        <v>10-20%</v>
      </c>
      <c r="AI989" s="32"/>
      <c r="AJ989" s="36" t="s">
        <v>3299</v>
      </c>
      <c r="AK989" s="32"/>
    </row>
    <row r="990" spans="1:37" s="1" customFormat="1" ht="19.7" customHeight="1" x14ac:dyDescent="0.25">
      <c r="A990" s="9" t="s">
        <v>22</v>
      </c>
      <c r="B990" s="9" t="s">
        <v>1943</v>
      </c>
      <c r="C990" s="10">
        <v>44488</v>
      </c>
      <c r="D990" s="9" t="s">
        <v>24</v>
      </c>
      <c r="E990" s="9" t="s">
        <v>25</v>
      </c>
      <c r="F990" s="9" t="s">
        <v>26</v>
      </c>
      <c r="G990" s="9" t="s">
        <v>27</v>
      </c>
      <c r="H990" s="9" t="s">
        <v>28</v>
      </c>
      <c r="I990" s="9" t="s">
        <v>29</v>
      </c>
      <c r="J990" s="9" t="s">
        <v>30</v>
      </c>
      <c r="K990" s="9" t="s">
        <v>31</v>
      </c>
      <c r="L990" s="9" t="s">
        <v>32</v>
      </c>
      <c r="M990" s="9" t="s">
        <v>336</v>
      </c>
      <c r="N990" s="9" t="s">
        <v>1916</v>
      </c>
      <c r="O990" s="9" t="s">
        <v>334</v>
      </c>
      <c r="P990" s="9" t="s">
        <v>337</v>
      </c>
      <c r="Q990" s="9">
        <v>111630796</v>
      </c>
      <c r="R990" s="9" t="s">
        <v>38</v>
      </c>
      <c r="S990" s="9" t="s">
        <v>39</v>
      </c>
      <c r="T990" s="11">
        <v>1</v>
      </c>
      <c r="U990" s="15" t="s">
        <v>334</v>
      </c>
      <c r="V990" s="16" t="s">
        <v>337</v>
      </c>
      <c r="W990" s="17">
        <v>111630796</v>
      </c>
      <c r="X990" s="16" t="s">
        <v>2629</v>
      </c>
      <c r="Y990" s="17" t="s">
        <v>2631</v>
      </c>
      <c r="Z990" s="17" t="s">
        <v>39</v>
      </c>
      <c r="AA990" s="17" t="s">
        <v>37</v>
      </c>
      <c r="AB990" s="29">
        <v>99.65</v>
      </c>
      <c r="AC990" s="25">
        <v>101.9</v>
      </c>
      <c r="AD990" s="25">
        <f>AC990*T990</f>
        <v>101.9</v>
      </c>
      <c r="AE990" s="25">
        <f>AB990*T990</f>
        <v>99.65</v>
      </c>
      <c r="AF990" s="25">
        <f>AD990-AE990</f>
        <v>2.25</v>
      </c>
      <c r="AG990" s="26">
        <f>AF990/AD990</f>
        <v>2.2080471050049066E-2</v>
      </c>
      <c r="AH990" s="27" t="str">
        <f>IF(AG990&lt;0,"Negative",IF(AG990=0,"Same",IF(AG990&gt;0.3,"30+%",IF(AG990&gt;0.2,"20-30%",IF(AG990&gt;0.1,"10-20%",IF(AG990&lt;=0.1,"0-10%"))))))</f>
        <v>0-10%</v>
      </c>
      <c r="AI990" s="32"/>
      <c r="AJ990" s="36" t="s">
        <v>3300</v>
      </c>
      <c r="AK990" s="32"/>
    </row>
    <row r="991" spans="1:37" s="1" customFormat="1" ht="19.7" customHeight="1" x14ac:dyDescent="0.25">
      <c r="A991" s="5" t="s">
        <v>22</v>
      </c>
      <c r="B991" s="5" t="s">
        <v>1844</v>
      </c>
      <c r="C991" s="6">
        <v>44468</v>
      </c>
      <c r="D991" s="5" t="s">
        <v>24</v>
      </c>
      <c r="E991" s="5" t="s">
        <v>25</v>
      </c>
      <c r="F991" s="5" t="s">
        <v>26</v>
      </c>
      <c r="G991" s="5" t="s">
        <v>27</v>
      </c>
      <c r="H991" s="5" t="s">
        <v>28</v>
      </c>
      <c r="I991" s="5" t="s">
        <v>29</v>
      </c>
      <c r="J991" s="5" t="s">
        <v>30</v>
      </c>
      <c r="K991" s="5" t="s">
        <v>31</v>
      </c>
      <c r="L991" s="5" t="s">
        <v>32</v>
      </c>
      <c r="M991" s="5" t="s">
        <v>336</v>
      </c>
      <c r="N991" s="5" t="s">
        <v>1763</v>
      </c>
      <c r="O991" s="5" t="s">
        <v>334</v>
      </c>
      <c r="P991" s="5" t="s">
        <v>337</v>
      </c>
      <c r="Q991" s="5">
        <v>111630796</v>
      </c>
      <c r="R991" s="5" t="s">
        <v>38</v>
      </c>
      <c r="S991" s="5" t="s">
        <v>39</v>
      </c>
      <c r="T991" s="7">
        <v>1</v>
      </c>
      <c r="U991" s="15" t="s">
        <v>334</v>
      </c>
      <c r="V991" s="16" t="s">
        <v>337</v>
      </c>
      <c r="W991" s="17">
        <v>111630796</v>
      </c>
      <c r="X991" s="16" t="s">
        <v>2629</v>
      </c>
      <c r="Y991" s="17" t="s">
        <v>2631</v>
      </c>
      <c r="Z991" s="17" t="s">
        <v>39</v>
      </c>
      <c r="AA991" s="17" t="s">
        <v>37</v>
      </c>
      <c r="AB991" s="29">
        <v>99.65</v>
      </c>
      <c r="AC991" s="25">
        <v>101.9</v>
      </c>
      <c r="AD991" s="25">
        <f>AC991*T991</f>
        <v>101.9</v>
      </c>
      <c r="AE991" s="25">
        <f>AB991*T991</f>
        <v>99.65</v>
      </c>
      <c r="AF991" s="25">
        <f>AD991-AE991</f>
        <v>2.25</v>
      </c>
      <c r="AG991" s="26">
        <f>AF991/AD991</f>
        <v>2.2080471050049066E-2</v>
      </c>
      <c r="AH991" s="27" t="str">
        <f>IF(AG991&lt;0,"Negative",IF(AG991=0,"Same",IF(AG991&gt;0.3,"30+%",IF(AG991&gt;0.2,"20-30%",IF(AG991&gt;0.1,"10-20%",IF(AG991&lt;=0.1,"0-10%"))))))</f>
        <v>0-10%</v>
      </c>
      <c r="AI991" s="32"/>
      <c r="AJ991" s="36" t="s">
        <v>3300</v>
      </c>
      <c r="AK991" s="32"/>
    </row>
    <row r="992" spans="1:37" s="1" customFormat="1" ht="19.7" customHeight="1" x14ac:dyDescent="0.25">
      <c r="A992" s="5" t="s">
        <v>22</v>
      </c>
      <c r="B992" s="5" t="s">
        <v>331</v>
      </c>
      <c r="C992" s="6">
        <v>44251</v>
      </c>
      <c r="D992" s="5" t="s">
        <v>24</v>
      </c>
      <c r="E992" s="5" t="s">
        <v>25</v>
      </c>
      <c r="F992" s="5" t="s">
        <v>26</v>
      </c>
      <c r="G992" s="5" t="s">
        <v>27</v>
      </c>
      <c r="H992" s="5" t="s">
        <v>28</v>
      </c>
      <c r="I992" s="5" t="s">
        <v>29</v>
      </c>
      <c r="J992" s="5" t="s">
        <v>30</v>
      </c>
      <c r="K992" s="5" t="s">
        <v>31</v>
      </c>
      <c r="L992" s="5" t="s">
        <v>32</v>
      </c>
      <c r="M992" s="5" t="s">
        <v>336</v>
      </c>
      <c r="N992" s="5" t="s">
        <v>333</v>
      </c>
      <c r="O992" s="5" t="s">
        <v>334</v>
      </c>
      <c r="P992" s="5" t="s">
        <v>337</v>
      </c>
      <c r="Q992" s="5">
        <v>111630796</v>
      </c>
      <c r="R992" s="5" t="s">
        <v>38</v>
      </c>
      <c r="S992" s="5" t="s">
        <v>39</v>
      </c>
      <c r="T992" s="7">
        <v>1</v>
      </c>
      <c r="U992" s="15" t="s">
        <v>334</v>
      </c>
      <c r="V992" s="16" t="s">
        <v>337</v>
      </c>
      <c r="W992" s="17">
        <v>111630796</v>
      </c>
      <c r="X992" s="16" t="s">
        <v>2629</v>
      </c>
      <c r="Y992" s="17" t="s">
        <v>2631</v>
      </c>
      <c r="Z992" s="17" t="s">
        <v>39</v>
      </c>
      <c r="AA992" s="17" t="s">
        <v>37</v>
      </c>
      <c r="AB992" s="29">
        <v>99.65</v>
      </c>
      <c r="AC992" s="25">
        <v>101.9</v>
      </c>
      <c r="AD992" s="25">
        <f>AC992*T992</f>
        <v>101.9</v>
      </c>
      <c r="AE992" s="25">
        <f>AB992*T992</f>
        <v>99.65</v>
      </c>
      <c r="AF992" s="25">
        <f>AD992-AE992</f>
        <v>2.25</v>
      </c>
      <c r="AG992" s="26">
        <f>AF992/AD992</f>
        <v>2.2080471050049066E-2</v>
      </c>
      <c r="AH992" s="27" t="str">
        <f>IF(AG992&lt;0,"Negative",IF(AG992=0,"Same",IF(AG992&gt;0.3,"30+%",IF(AG992&gt;0.2,"20-30%",IF(AG992&gt;0.1,"10-20%",IF(AG992&lt;=0.1,"0-10%"))))))</f>
        <v>0-10%</v>
      </c>
      <c r="AI992" s="32"/>
      <c r="AJ992" s="36" t="s">
        <v>3300</v>
      </c>
      <c r="AK992" s="32"/>
    </row>
    <row r="993" spans="1:37" s="1" customFormat="1" ht="19.7" customHeight="1" x14ac:dyDescent="0.25">
      <c r="A993" s="5" t="s">
        <v>22</v>
      </c>
      <c r="B993" s="5" t="s">
        <v>564</v>
      </c>
      <c r="C993" s="6">
        <v>44277</v>
      </c>
      <c r="D993" s="5" t="s">
        <v>24</v>
      </c>
      <c r="E993" s="5" t="s">
        <v>25</v>
      </c>
      <c r="F993" s="5" t="s">
        <v>26</v>
      </c>
      <c r="G993" s="5" t="s">
        <v>27</v>
      </c>
      <c r="H993" s="5" t="s">
        <v>28</v>
      </c>
      <c r="I993" s="5" t="s">
        <v>29</v>
      </c>
      <c r="J993" s="5" t="s">
        <v>30</v>
      </c>
      <c r="K993" s="5" t="s">
        <v>31</v>
      </c>
      <c r="L993" s="5" t="s">
        <v>32</v>
      </c>
      <c r="M993" s="5" t="s">
        <v>261</v>
      </c>
      <c r="N993" s="5" t="s">
        <v>565</v>
      </c>
      <c r="O993" s="5" t="s">
        <v>169</v>
      </c>
      <c r="P993" s="5" t="s">
        <v>566</v>
      </c>
      <c r="Q993" s="5">
        <v>100805242</v>
      </c>
      <c r="R993" s="5" t="s">
        <v>56</v>
      </c>
      <c r="S993" s="5" t="s">
        <v>39</v>
      </c>
      <c r="T993" s="7">
        <v>2</v>
      </c>
      <c r="U993" s="15" t="s">
        <v>169</v>
      </c>
      <c r="V993" s="16" t="s">
        <v>566</v>
      </c>
      <c r="W993" s="17">
        <v>100805242</v>
      </c>
      <c r="X993" s="16" t="s">
        <v>2731</v>
      </c>
      <c r="Y993" s="17" t="s">
        <v>2732</v>
      </c>
      <c r="Z993" s="17" t="s">
        <v>39</v>
      </c>
      <c r="AA993" s="17" t="s">
        <v>37</v>
      </c>
      <c r="AB993" s="29">
        <v>183.17</v>
      </c>
      <c r="AC993" s="25">
        <v>191.42</v>
      </c>
      <c r="AD993" s="25">
        <f>AC993*T993</f>
        <v>382.84</v>
      </c>
      <c r="AE993" s="25">
        <f>AB993*T993</f>
        <v>366.34</v>
      </c>
      <c r="AF993" s="25">
        <f>AD993-AE993</f>
        <v>16.5</v>
      </c>
      <c r="AG993" s="26">
        <f>AF993/AD993</f>
        <v>4.3098944728868459E-2</v>
      </c>
      <c r="AH993" s="27" t="str">
        <f>IF(AG993&lt;0,"Negative",IF(AG993=0,"Same",IF(AG993&gt;0.3,"30+%",IF(AG993&gt;0.2,"20-30%",IF(AG993&gt;0.1,"10-20%",IF(AG993&lt;=0.1,"0-10%"))))))</f>
        <v>0-10%</v>
      </c>
      <c r="AI993" s="32"/>
      <c r="AJ993" s="36" t="s">
        <v>3300</v>
      </c>
      <c r="AK993" s="32"/>
    </row>
    <row r="994" spans="1:37" s="1" customFormat="1" ht="19.7" customHeight="1" x14ac:dyDescent="0.25">
      <c r="A994" s="5" t="s">
        <v>22</v>
      </c>
      <c r="B994" s="5" t="s">
        <v>1938</v>
      </c>
      <c r="C994" s="6">
        <v>44487</v>
      </c>
      <c r="D994" s="5" t="s">
        <v>24</v>
      </c>
      <c r="E994" s="5" t="s">
        <v>25</v>
      </c>
      <c r="F994" s="5" t="s">
        <v>26</v>
      </c>
      <c r="G994" s="5" t="s">
        <v>27</v>
      </c>
      <c r="H994" s="5" t="s">
        <v>28</v>
      </c>
      <c r="I994" s="5" t="s">
        <v>29</v>
      </c>
      <c r="J994" s="5" t="s">
        <v>30</v>
      </c>
      <c r="K994" s="5" t="s">
        <v>31</v>
      </c>
      <c r="L994" s="5" t="s">
        <v>32</v>
      </c>
      <c r="M994" s="5" t="s">
        <v>261</v>
      </c>
      <c r="N994" s="5" t="s">
        <v>1939</v>
      </c>
      <c r="O994" s="5" t="s">
        <v>1940</v>
      </c>
      <c r="P994" s="5" t="s">
        <v>1941</v>
      </c>
      <c r="Q994" s="5">
        <v>102639836</v>
      </c>
      <c r="R994" s="5" t="s">
        <v>38</v>
      </c>
      <c r="S994" s="5" t="s">
        <v>39</v>
      </c>
      <c r="T994" s="7">
        <v>1</v>
      </c>
      <c r="U994" s="15" t="s">
        <v>1940</v>
      </c>
      <c r="V994" s="16" t="s">
        <v>1941</v>
      </c>
      <c r="W994" s="17">
        <v>102639836</v>
      </c>
      <c r="X994" s="16" t="s">
        <v>2599</v>
      </c>
      <c r="Y994" s="17" t="s">
        <v>3169</v>
      </c>
      <c r="Z994" s="17" t="s">
        <v>39</v>
      </c>
      <c r="AA994" s="17" t="s">
        <v>2501</v>
      </c>
      <c r="AB994" s="29">
        <v>2034.35</v>
      </c>
      <c r="AC994" s="25">
        <v>2080.38</v>
      </c>
      <c r="AD994" s="25">
        <f>AC994*T994</f>
        <v>2080.38</v>
      </c>
      <c r="AE994" s="25">
        <f>AB994*T994</f>
        <v>2034.35</v>
      </c>
      <c r="AF994" s="25">
        <f>AD994-AE994</f>
        <v>46.0300000000002</v>
      </c>
      <c r="AG994" s="26">
        <f>AF994/AD994</f>
        <v>2.2125765485151844E-2</v>
      </c>
      <c r="AH994" s="27" t="str">
        <f>IF(AG994&lt;0,"Negative",IF(AG994=0,"Same",IF(AG994&gt;0.3,"30+%",IF(AG994&gt;0.2,"20-30%",IF(AG994&gt;0.1,"10-20%",IF(AG994&lt;=0.1,"0-10%"))))))</f>
        <v>0-10%</v>
      </c>
      <c r="AI994" s="32"/>
      <c r="AJ994" s="36" t="s">
        <v>3300</v>
      </c>
      <c r="AK994" s="32"/>
    </row>
    <row r="995" spans="1:37" s="1" customFormat="1" ht="19.7" customHeight="1" x14ac:dyDescent="0.25">
      <c r="A995" s="9" t="s">
        <v>22</v>
      </c>
      <c r="B995" s="9" t="s">
        <v>1422</v>
      </c>
      <c r="C995" s="10">
        <v>44393</v>
      </c>
      <c r="D995" s="9" t="s">
        <v>24</v>
      </c>
      <c r="E995" s="9" t="s">
        <v>25</v>
      </c>
      <c r="F995" s="9" t="s">
        <v>26</v>
      </c>
      <c r="G995" s="9" t="s">
        <v>67</v>
      </c>
      <c r="H995" s="9" t="s">
        <v>68</v>
      </c>
      <c r="I995" s="9" t="s">
        <v>29</v>
      </c>
      <c r="J995" s="9" t="s">
        <v>30</v>
      </c>
      <c r="K995" s="9" t="s">
        <v>31</v>
      </c>
      <c r="L995" s="9" t="s">
        <v>32</v>
      </c>
      <c r="M995" s="9" t="s">
        <v>294</v>
      </c>
      <c r="N995" s="9" t="s">
        <v>1423</v>
      </c>
      <c r="O995" s="9" t="s">
        <v>71</v>
      </c>
      <c r="P995" s="9" t="s">
        <v>295</v>
      </c>
      <c r="Q995" s="9">
        <v>112430049</v>
      </c>
      <c r="R995" s="9" t="s">
        <v>76</v>
      </c>
      <c r="S995" s="9" t="s">
        <v>77</v>
      </c>
      <c r="T995" s="11">
        <v>72</v>
      </c>
      <c r="U995" s="15" t="s">
        <v>71</v>
      </c>
      <c r="V995" s="41" t="s">
        <v>295</v>
      </c>
      <c r="W995" s="17">
        <v>112430049</v>
      </c>
      <c r="X995" s="16" t="s">
        <v>2512</v>
      </c>
      <c r="Y995" s="17" t="s">
        <v>2612</v>
      </c>
      <c r="Z995" s="17" t="s">
        <v>77</v>
      </c>
      <c r="AA995" s="17" t="s">
        <v>37</v>
      </c>
      <c r="AB995" s="29">
        <v>59.73</v>
      </c>
      <c r="AC995" s="25">
        <v>59.73</v>
      </c>
      <c r="AD995" s="25">
        <f>AC995*T995</f>
        <v>4300.5599999999995</v>
      </c>
      <c r="AE995" s="25">
        <f>AB995*T995</f>
        <v>4300.5599999999995</v>
      </c>
      <c r="AF995" s="25">
        <f>AD995-AE995</f>
        <v>0</v>
      </c>
      <c r="AG995" s="26">
        <f>AF995/AD995</f>
        <v>0</v>
      </c>
      <c r="AH995" s="27" t="str">
        <f>IF(AG995&lt;0,"Negative",IF(AG995=0,"Same",IF(AG995&gt;0.3,"30+%",IF(AG995&gt;0.2,"20-30%",IF(AG995&gt;0.1,"10-20%",IF(AG995&lt;=0.1,"0-10%"))))))</f>
        <v>Same</v>
      </c>
      <c r="AI995" s="32"/>
      <c r="AJ995" s="36" t="s">
        <v>3300</v>
      </c>
      <c r="AK995" s="32"/>
    </row>
    <row r="996" spans="1:37" s="1" customFormat="1" ht="19.7" customHeight="1" x14ac:dyDescent="0.25">
      <c r="A996" s="9" t="s">
        <v>22</v>
      </c>
      <c r="B996" s="9" t="s">
        <v>2422</v>
      </c>
      <c r="C996" s="10">
        <v>44582</v>
      </c>
      <c r="D996" s="9" t="s">
        <v>24</v>
      </c>
      <c r="E996" s="9" t="s">
        <v>25</v>
      </c>
      <c r="F996" s="9" t="s">
        <v>26</v>
      </c>
      <c r="G996" s="9" t="s">
        <v>67</v>
      </c>
      <c r="H996" s="9" t="s">
        <v>68</v>
      </c>
      <c r="I996" s="9" t="s">
        <v>29</v>
      </c>
      <c r="J996" s="9" t="s">
        <v>30</v>
      </c>
      <c r="K996" s="9" t="s">
        <v>31</v>
      </c>
      <c r="L996" s="9" t="s">
        <v>32</v>
      </c>
      <c r="M996" s="9" t="s">
        <v>294</v>
      </c>
      <c r="N996" s="9" t="s">
        <v>2423</v>
      </c>
      <c r="O996" s="9" t="s">
        <v>71</v>
      </c>
      <c r="P996" s="9" t="s">
        <v>295</v>
      </c>
      <c r="Q996" s="9">
        <v>112430049</v>
      </c>
      <c r="R996" s="9" t="s">
        <v>76</v>
      </c>
      <c r="S996" s="9" t="s">
        <v>77</v>
      </c>
      <c r="T996" s="11">
        <v>72</v>
      </c>
      <c r="U996" s="15" t="s">
        <v>71</v>
      </c>
      <c r="V996" s="41" t="s">
        <v>295</v>
      </c>
      <c r="W996" s="17">
        <v>112430049</v>
      </c>
      <c r="X996" s="16" t="s">
        <v>2512</v>
      </c>
      <c r="Y996" s="17" t="s">
        <v>2612</v>
      </c>
      <c r="Z996" s="17" t="s">
        <v>77</v>
      </c>
      <c r="AA996" s="17" t="s">
        <v>37</v>
      </c>
      <c r="AB996" s="29">
        <v>59.73</v>
      </c>
      <c r="AC996" s="25">
        <v>59.73</v>
      </c>
      <c r="AD996" s="25">
        <f>AC996*T996</f>
        <v>4300.5599999999995</v>
      </c>
      <c r="AE996" s="25">
        <f>AB996*T996</f>
        <v>4300.5599999999995</v>
      </c>
      <c r="AF996" s="25">
        <f>AD996-AE996</f>
        <v>0</v>
      </c>
      <c r="AG996" s="26">
        <f>AF996/AD996</f>
        <v>0</v>
      </c>
      <c r="AH996" s="27" t="str">
        <f>IF(AG996&lt;0,"Negative",IF(AG996=0,"Same",IF(AG996&gt;0.3,"30+%",IF(AG996&gt;0.2,"20-30%",IF(AG996&gt;0.1,"10-20%",IF(AG996&lt;=0.1,"0-10%"))))))</f>
        <v>Same</v>
      </c>
      <c r="AI996" s="32"/>
      <c r="AJ996" s="36" t="s">
        <v>3300</v>
      </c>
      <c r="AK996" s="32"/>
    </row>
    <row r="997" spans="1:37" s="1" customFormat="1" ht="19.7" customHeight="1" x14ac:dyDescent="0.25">
      <c r="A997" s="9" t="s">
        <v>22</v>
      </c>
      <c r="B997" s="9" t="s">
        <v>2290</v>
      </c>
      <c r="C997" s="10">
        <v>44559</v>
      </c>
      <c r="D997" s="9" t="s">
        <v>24</v>
      </c>
      <c r="E997" s="9" t="s">
        <v>25</v>
      </c>
      <c r="F997" s="9" t="s">
        <v>26</v>
      </c>
      <c r="G997" s="9" t="s">
        <v>67</v>
      </c>
      <c r="H997" s="9" t="s">
        <v>68</v>
      </c>
      <c r="I997" s="9" t="s">
        <v>29</v>
      </c>
      <c r="J997" s="9" t="s">
        <v>30</v>
      </c>
      <c r="K997" s="9" t="s">
        <v>31</v>
      </c>
      <c r="L997" s="9" t="s">
        <v>32</v>
      </c>
      <c r="M997" s="9" t="s">
        <v>294</v>
      </c>
      <c r="N997" s="9" t="s">
        <v>2291</v>
      </c>
      <c r="O997" s="9" t="s">
        <v>71</v>
      </c>
      <c r="P997" s="9" t="s">
        <v>295</v>
      </c>
      <c r="Q997" s="9">
        <v>112430049</v>
      </c>
      <c r="R997" s="9" t="s">
        <v>76</v>
      </c>
      <c r="S997" s="9" t="s">
        <v>77</v>
      </c>
      <c r="T997" s="11">
        <v>96</v>
      </c>
      <c r="U997" s="15" t="s">
        <v>71</v>
      </c>
      <c r="V997" s="41" t="s">
        <v>295</v>
      </c>
      <c r="W997" s="17">
        <v>112430049</v>
      </c>
      <c r="X997" s="16" t="s">
        <v>2512</v>
      </c>
      <c r="Y997" s="17" t="s">
        <v>2612</v>
      </c>
      <c r="Z997" s="17" t="s">
        <v>77</v>
      </c>
      <c r="AA997" s="17" t="s">
        <v>37</v>
      </c>
      <c r="AB997" s="29">
        <v>59.73</v>
      </c>
      <c r="AC997" s="25">
        <v>59.73</v>
      </c>
      <c r="AD997" s="25">
        <f>AC997*T997</f>
        <v>5734.08</v>
      </c>
      <c r="AE997" s="25">
        <f>AB997*T997</f>
        <v>5734.08</v>
      </c>
      <c r="AF997" s="25">
        <f>AD997-AE997</f>
        <v>0</v>
      </c>
      <c r="AG997" s="26">
        <f>AF997/AD997</f>
        <v>0</v>
      </c>
      <c r="AH997" s="27" t="str">
        <f>IF(AG997&lt;0,"Negative",IF(AG997=0,"Same",IF(AG997&gt;0.3,"30+%",IF(AG997&gt;0.2,"20-30%",IF(AG997&gt;0.1,"10-20%",IF(AG997&lt;=0.1,"0-10%"))))))</f>
        <v>Same</v>
      </c>
      <c r="AI997" s="32"/>
      <c r="AJ997" s="36" t="s">
        <v>3300</v>
      </c>
      <c r="AK997" s="32"/>
    </row>
    <row r="998" spans="1:37" s="1" customFormat="1" ht="19.7" customHeight="1" x14ac:dyDescent="0.25">
      <c r="A998" s="5" t="s">
        <v>22</v>
      </c>
      <c r="B998" s="5" t="s">
        <v>1214</v>
      </c>
      <c r="C998" s="6">
        <v>44361</v>
      </c>
      <c r="D998" s="5" t="s">
        <v>24</v>
      </c>
      <c r="E998" s="5" t="s">
        <v>25</v>
      </c>
      <c r="F998" s="5" t="s">
        <v>26</v>
      </c>
      <c r="G998" s="5" t="s">
        <v>67</v>
      </c>
      <c r="H998" s="5" t="s">
        <v>68</v>
      </c>
      <c r="I998" s="5" t="s">
        <v>29</v>
      </c>
      <c r="J998" s="5" t="s">
        <v>30</v>
      </c>
      <c r="K998" s="5" t="s">
        <v>31</v>
      </c>
      <c r="L998" s="5" t="s">
        <v>32</v>
      </c>
      <c r="M998" s="5" t="s">
        <v>294</v>
      </c>
      <c r="N998" s="5" t="s">
        <v>1215</v>
      </c>
      <c r="O998" s="5" t="s">
        <v>71</v>
      </c>
      <c r="P998" s="5" t="s">
        <v>295</v>
      </c>
      <c r="Q998" s="5">
        <v>112430049</v>
      </c>
      <c r="R998" s="5" t="s">
        <v>76</v>
      </c>
      <c r="S998" s="5" t="s">
        <v>77</v>
      </c>
      <c r="T998" s="7">
        <v>120</v>
      </c>
      <c r="U998" s="15" t="s">
        <v>71</v>
      </c>
      <c r="V998" s="41" t="s">
        <v>295</v>
      </c>
      <c r="W998" s="17">
        <v>112430049</v>
      </c>
      <c r="X998" s="16" t="s">
        <v>2512</v>
      </c>
      <c r="Y998" s="17" t="s">
        <v>2612</v>
      </c>
      <c r="Z998" s="17" t="s">
        <v>77</v>
      </c>
      <c r="AA998" s="17" t="s">
        <v>37</v>
      </c>
      <c r="AB998" s="29">
        <v>59.73</v>
      </c>
      <c r="AC998" s="25">
        <v>59.73</v>
      </c>
      <c r="AD998" s="25">
        <f>AC998*T998</f>
        <v>7167.5999999999995</v>
      </c>
      <c r="AE998" s="25">
        <f>AB998*T998</f>
        <v>7167.5999999999995</v>
      </c>
      <c r="AF998" s="25">
        <f>AD998-AE998</f>
        <v>0</v>
      </c>
      <c r="AG998" s="26">
        <f>AF998/AD998</f>
        <v>0</v>
      </c>
      <c r="AH998" s="27" t="str">
        <f>IF(AG998&lt;0,"Negative",IF(AG998=0,"Same",IF(AG998&gt;0.3,"30+%",IF(AG998&gt;0.2,"20-30%",IF(AG998&gt;0.1,"10-20%",IF(AG998&lt;=0.1,"0-10%"))))))</f>
        <v>Same</v>
      </c>
      <c r="AI998" s="32"/>
      <c r="AJ998" s="36" t="s">
        <v>3300</v>
      </c>
      <c r="AK998" s="32"/>
    </row>
    <row r="999" spans="1:37" s="1" customFormat="1" ht="19.7" customHeight="1" x14ac:dyDescent="0.25">
      <c r="A999" s="9" t="s">
        <v>22</v>
      </c>
      <c r="B999" s="9" t="s">
        <v>2207</v>
      </c>
      <c r="C999" s="10">
        <v>44540</v>
      </c>
      <c r="D999" s="9" t="s">
        <v>24</v>
      </c>
      <c r="E999" s="9" t="s">
        <v>25</v>
      </c>
      <c r="F999" s="9" t="s">
        <v>26</v>
      </c>
      <c r="G999" s="9" t="s">
        <v>67</v>
      </c>
      <c r="H999" s="9" t="s">
        <v>68</v>
      </c>
      <c r="I999" s="9" t="s">
        <v>29</v>
      </c>
      <c r="J999" s="9" t="s">
        <v>30</v>
      </c>
      <c r="K999" s="9" t="s">
        <v>31</v>
      </c>
      <c r="L999" s="9" t="s">
        <v>32</v>
      </c>
      <c r="M999" s="9" t="s">
        <v>294</v>
      </c>
      <c r="N999" s="9" t="s">
        <v>2208</v>
      </c>
      <c r="O999" s="9" t="s">
        <v>71</v>
      </c>
      <c r="P999" s="9" t="s">
        <v>295</v>
      </c>
      <c r="Q999" s="9">
        <v>112430049</v>
      </c>
      <c r="R999" s="9" t="s">
        <v>76</v>
      </c>
      <c r="S999" s="9" t="s">
        <v>77</v>
      </c>
      <c r="T999" s="11">
        <v>144</v>
      </c>
      <c r="U999" s="15" t="s">
        <v>71</v>
      </c>
      <c r="V999" s="41" t="s">
        <v>295</v>
      </c>
      <c r="W999" s="17">
        <v>112430049</v>
      </c>
      <c r="X999" s="16" t="s">
        <v>2512</v>
      </c>
      <c r="Y999" s="17" t="s">
        <v>2612</v>
      </c>
      <c r="Z999" s="17" t="s">
        <v>77</v>
      </c>
      <c r="AA999" s="17" t="s">
        <v>37</v>
      </c>
      <c r="AB999" s="29">
        <v>59.73</v>
      </c>
      <c r="AC999" s="25">
        <v>59.73</v>
      </c>
      <c r="AD999" s="25">
        <f>AC999*T999</f>
        <v>8601.119999999999</v>
      </c>
      <c r="AE999" s="25">
        <f>AB999*T999</f>
        <v>8601.119999999999</v>
      </c>
      <c r="AF999" s="25">
        <f>AD999-AE999</f>
        <v>0</v>
      </c>
      <c r="AG999" s="26">
        <f>AF999/AD999</f>
        <v>0</v>
      </c>
      <c r="AH999" s="27" t="str">
        <f>IF(AG999&lt;0,"Negative",IF(AG999=0,"Same",IF(AG999&gt;0.3,"30+%",IF(AG999&gt;0.2,"20-30%",IF(AG999&gt;0.1,"10-20%",IF(AG999&lt;=0.1,"0-10%"))))))</f>
        <v>Same</v>
      </c>
      <c r="AI999" s="32"/>
      <c r="AJ999" s="36" t="s">
        <v>3300</v>
      </c>
      <c r="AK999" s="32"/>
    </row>
    <row r="1000" spans="1:37" s="1" customFormat="1" ht="19.7" customHeight="1" x14ac:dyDescent="0.25">
      <c r="A1000" s="5" t="s">
        <v>22</v>
      </c>
      <c r="B1000" s="5" t="s">
        <v>2130</v>
      </c>
      <c r="C1000" s="6">
        <v>44522</v>
      </c>
      <c r="D1000" s="5" t="s">
        <v>24</v>
      </c>
      <c r="E1000" s="5" t="s">
        <v>25</v>
      </c>
      <c r="F1000" s="5" t="s">
        <v>26</v>
      </c>
      <c r="G1000" s="5" t="s">
        <v>67</v>
      </c>
      <c r="H1000" s="5" t="s">
        <v>68</v>
      </c>
      <c r="I1000" s="5" t="s">
        <v>29</v>
      </c>
      <c r="J1000" s="5" t="s">
        <v>30</v>
      </c>
      <c r="K1000" s="5" t="s">
        <v>31</v>
      </c>
      <c r="L1000" s="5" t="s">
        <v>32</v>
      </c>
      <c r="M1000" s="5" t="s">
        <v>294</v>
      </c>
      <c r="N1000" s="5" t="s">
        <v>2131</v>
      </c>
      <c r="O1000" s="5" t="s">
        <v>71</v>
      </c>
      <c r="P1000" s="5" t="s">
        <v>295</v>
      </c>
      <c r="Q1000" s="5">
        <v>112430049</v>
      </c>
      <c r="R1000" s="5" t="s">
        <v>76</v>
      </c>
      <c r="S1000" s="5" t="s">
        <v>77</v>
      </c>
      <c r="T1000" s="7">
        <v>144</v>
      </c>
      <c r="U1000" s="15" t="s">
        <v>71</v>
      </c>
      <c r="V1000" s="41" t="s">
        <v>295</v>
      </c>
      <c r="W1000" s="17">
        <v>112430049</v>
      </c>
      <c r="X1000" s="16" t="s">
        <v>2512</v>
      </c>
      <c r="Y1000" s="17" t="s">
        <v>2612</v>
      </c>
      <c r="Z1000" s="17" t="s">
        <v>77</v>
      </c>
      <c r="AA1000" s="17" t="s">
        <v>37</v>
      </c>
      <c r="AB1000" s="29">
        <v>59.73</v>
      </c>
      <c r="AC1000" s="25">
        <v>59.73</v>
      </c>
      <c r="AD1000" s="25">
        <f>AC1000*T1000</f>
        <v>8601.119999999999</v>
      </c>
      <c r="AE1000" s="25">
        <f>AB1000*T1000</f>
        <v>8601.119999999999</v>
      </c>
      <c r="AF1000" s="25">
        <f>AD1000-AE1000</f>
        <v>0</v>
      </c>
      <c r="AG1000" s="26">
        <f>AF1000/AD1000</f>
        <v>0</v>
      </c>
      <c r="AH1000" s="27" t="str">
        <f>IF(AG1000&lt;0,"Negative",IF(AG1000=0,"Same",IF(AG1000&gt;0.3,"30+%",IF(AG1000&gt;0.2,"20-30%",IF(AG1000&gt;0.1,"10-20%",IF(AG1000&lt;=0.1,"0-10%"))))))</f>
        <v>Same</v>
      </c>
      <c r="AI1000" s="32"/>
      <c r="AJ1000" s="36" t="s">
        <v>3300</v>
      </c>
      <c r="AK1000" s="32"/>
    </row>
    <row r="1001" spans="1:37" s="1" customFormat="1" ht="19.7" customHeight="1" x14ac:dyDescent="0.25">
      <c r="A1001" s="9" t="s">
        <v>22</v>
      </c>
      <c r="B1001" s="9" t="s">
        <v>1862</v>
      </c>
      <c r="C1001" s="10">
        <v>44473</v>
      </c>
      <c r="D1001" s="9" t="s">
        <v>24</v>
      </c>
      <c r="E1001" s="9" t="s">
        <v>25</v>
      </c>
      <c r="F1001" s="9" t="s">
        <v>26</v>
      </c>
      <c r="G1001" s="9" t="s">
        <v>67</v>
      </c>
      <c r="H1001" s="9" t="s">
        <v>68</v>
      </c>
      <c r="I1001" s="9" t="s">
        <v>29</v>
      </c>
      <c r="J1001" s="9" t="s">
        <v>30</v>
      </c>
      <c r="K1001" s="9" t="s">
        <v>31</v>
      </c>
      <c r="L1001" s="9" t="s">
        <v>32</v>
      </c>
      <c r="M1001" s="9" t="s">
        <v>294</v>
      </c>
      <c r="N1001" s="9" t="s">
        <v>1863</v>
      </c>
      <c r="O1001" s="9" t="s">
        <v>71</v>
      </c>
      <c r="P1001" s="9" t="s">
        <v>295</v>
      </c>
      <c r="Q1001" s="9">
        <v>112430049</v>
      </c>
      <c r="R1001" s="9" t="s">
        <v>76</v>
      </c>
      <c r="S1001" s="9" t="s">
        <v>77</v>
      </c>
      <c r="T1001" s="11">
        <v>144</v>
      </c>
      <c r="U1001" s="15" t="s">
        <v>71</v>
      </c>
      <c r="V1001" s="41" t="s">
        <v>295</v>
      </c>
      <c r="W1001" s="17">
        <v>112430049</v>
      </c>
      <c r="X1001" s="16" t="s">
        <v>2512</v>
      </c>
      <c r="Y1001" s="17" t="s">
        <v>2612</v>
      </c>
      <c r="Z1001" s="17" t="s">
        <v>77</v>
      </c>
      <c r="AA1001" s="17" t="s">
        <v>37</v>
      </c>
      <c r="AB1001" s="29">
        <v>59.73</v>
      </c>
      <c r="AC1001" s="25">
        <v>59.73</v>
      </c>
      <c r="AD1001" s="25">
        <f>AC1001*T1001</f>
        <v>8601.119999999999</v>
      </c>
      <c r="AE1001" s="25">
        <f>AB1001*T1001</f>
        <v>8601.119999999999</v>
      </c>
      <c r="AF1001" s="25">
        <f>AD1001-AE1001</f>
        <v>0</v>
      </c>
      <c r="AG1001" s="26">
        <f>AF1001/AD1001</f>
        <v>0</v>
      </c>
      <c r="AH1001" s="27" t="str">
        <f>IF(AG1001&lt;0,"Negative",IF(AG1001=0,"Same",IF(AG1001&gt;0.3,"30+%",IF(AG1001&gt;0.2,"20-30%",IF(AG1001&gt;0.1,"10-20%",IF(AG1001&lt;=0.1,"0-10%"))))))</f>
        <v>Same</v>
      </c>
      <c r="AI1001" s="32"/>
      <c r="AJ1001" s="36" t="s">
        <v>3300</v>
      </c>
      <c r="AK1001" s="32"/>
    </row>
    <row r="1002" spans="1:37" s="1" customFormat="1" ht="19.7" customHeight="1" x14ac:dyDescent="0.25">
      <c r="A1002" s="5" t="s">
        <v>22</v>
      </c>
      <c r="B1002" s="5" t="s">
        <v>1741</v>
      </c>
      <c r="C1002" s="6">
        <v>44452</v>
      </c>
      <c r="D1002" s="5" t="s">
        <v>24</v>
      </c>
      <c r="E1002" s="5" t="s">
        <v>25</v>
      </c>
      <c r="F1002" s="5" t="s">
        <v>26</v>
      </c>
      <c r="G1002" s="5" t="s">
        <v>67</v>
      </c>
      <c r="H1002" s="5" t="s">
        <v>68</v>
      </c>
      <c r="I1002" s="5" t="s">
        <v>29</v>
      </c>
      <c r="J1002" s="5" t="s">
        <v>30</v>
      </c>
      <c r="K1002" s="5" t="s">
        <v>31</v>
      </c>
      <c r="L1002" s="5" t="s">
        <v>32</v>
      </c>
      <c r="M1002" s="5" t="s">
        <v>294</v>
      </c>
      <c r="N1002" s="5" t="s">
        <v>1742</v>
      </c>
      <c r="O1002" s="5" t="s">
        <v>71</v>
      </c>
      <c r="P1002" s="5" t="s">
        <v>295</v>
      </c>
      <c r="Q1002" s="5">
        <v>112430049</v>
      </c>
      <c r="R1002" s="5" t="s">
        <v>76</v>
      </c>
      <c r="S1002" s="5" t="s">
        <v>77</v>
      </c>
      <c r="T1002" s="7">
        <v>144</v>
      </c>
      <c r="U1002" s="15" t="s">
        <v>71</v>
      </c>
      <c r="V1002" s="41" t="s">
        <v>295</v>
      </c>
      <c r="W1002" s="17">
        <v>112430049</v>
      </c>
      <c r="X1002" s="16" t="s">
        <v>2512</v>
      </c>
      <c r="Y1002" s="17" t="s">
        <v>2612</v>
      </c>
      <c r="Z1002" s="17" t="s">
        <v>77</v>
      </c>
      <c r="AA1002" s="17" t="s">
        <v>37</v>
      </c>
      <c r="AB1002" s="29">
        <v>59.73</v>
      </c>
      <c r="AC1002" s="25">
        <v>59.73</v>
      </c>
      <c r="AD1002" s="25">
        <f>AC1002*T1002</f>
        <v>8601.119999999999</v>
      </c>
      <c r="AE1002" s="25">
        <f>AB1002*T1002</f>
        <v>8601.119999999999</v>
      </c>
      <c r="AF1002" s="25">
        <f>AD1002-AE1002</f>
        <v>0</v>
      </c>
      <c r="AG1002" s="26">
        <f>AF1002/AD1002</f>
        <v>0</v>
      </c>
      <c r="AH1002" s="27" t="str">
        <f>IF(AG1002&lt;0,"Negative",IF(AG1002=0,"Same",IF(AG1002&gt;0.3,"30+%",IF(AG1002&gt;0.2,"20-30%",IF(AG1002&gt;0.1,"10-20%",IF(AG1002&lt;=0.1,"0-10%"))))))</f>
        <v>Same</v>
      </c>
      <c r="AI1002" s="32"/>
      <c r="AJ1002" s="36" t="s">
        <v>3300</v>
      </c>
      <c r="AK1002" s="32"/>
    </row>
    <row r="1003" spans="1:37" s="1" customFormat="1" ht="19.7" customHeight="1" x14ac:dyDescent="0.25">
      <c r="A1003" s="5" t="s">
        <v>22</v>
      </c>
      <c r="B1003" s="5" t="s">
        <v>1479</v>
      </c>
      <c r="C1003" s="6">
        <v>44403</v>
      </c>
      <c r="D1003" s="5" t="s">
        <v>24</v>
      </c>
      <c r="E1003" s="5" t="s">
        <v>25</v>
      </c>
      <c r="F1003" s="5" t="s">
        <v>26</v>
      </c>
      <c r="G1003" s="5" t="s">
        <v>67</v>
      </c>
      <c r="H1003" s="5" t="s">
        <v>68</v>
      </c>
      <c r="I1003" s="5" t="s">
        <v>29</v>
      </c>
      <c r="J1003" s="5" t="s">
        <v>30</v>
      </c>
      <c r="K1003" s="5" t="s">
        <v>31</v>
      </c>
      <c r="L1003" s="5" t="s">
        <v>32</v>
      </c>
      <c r="M1003" s="5" t="s">
        <v>294</v>
      </c>
      <c r="N1003" s="5" t="s">
        <v>1480</v>
      </c>
      <c r="O1003" s="5" t="s">
        <v>71</v>
      </c>
      <c r="P1003" s="5" t="s">
        <v>295</v>
      </c>
      <c r="Q1003" s="5">
        <v>112430049</v>
      </c>
      <c r="R1003" s="5" t="s">
        <v>76</v>
      </c>
      <c r="S1003" s="5" t="s">
        <v>77</v>
      </c>
      <c r="T1003" s="7">
        <v>144</v>
      </c>
      <c r="U1003" s="15" t="s">
        <v>71</v>
      </c>
      <c r="V1003" s="41" t="s">
        <v>295</v>
      </c>
      <c r="W1003" s="17">
        <v>112430049</v>
      </c>
      <c r="X1003" s="16" t="s">
        <v>2512</v>
      </c>
      <c r="Y1003" s="17" t="s">
        <v>2612</v>
      </c>
      <c r="Z1003" s="17" t="s">
        <v>77</v>
      </c>
      <c r="AA1003" s="17" t="s">
        <v>37</v>
      </c>
      <c r="AB1003" s="29">
        <v>59.73</v>
      </c>
      <c r="AC1003" s="25">
        <v>59.73</v>
      </c>
      <c r="AD1003" s="25">
        <f>AC1003*T1003</f>
        <v>8601.119999999999</v>
      </c>
      <c r="AE1003" s="25">
        <f>AB1003*T1003</f>
        <v>8601.119999999999</v>
      </c>
      <c r="AF1003" s="25">
        <f>AD1003-AE1003</f>
        <v>0</v>
      </c>
      <c r="AG1003" s="26">
        <f>AF1003/AD1003</f>
        <v>0</v>
      </c>
      <c r="AH1003" s="27" t="str">
        <f>IF(AG1003&lt;0,"Negative",IF(AG1003=0,"Same",IF(AG1003&gt;0.3,"30+%",IF(AG1003&gt;0.2,"20-30%",IF(AG1003&gt;0.1,"10-20%",IF(AG1003&lt;=0.1,"0-10%"))))))</f>
        <v>Same</v>
      </c>
      <c r="AI1003" s="32"/>
      <c r="AJ1003" s="36" t="s">
        <v>3300</v>
      </c>
      <c r="AK1003" s="32"/>
    </row>
    <row r="1004" spans="1:37" s="1" customFormat="1" ht="19.7" customHeight="1" x14ac:dyDescent="0.25">
      <c r="A1004" s="9" t="s">
        <v>22</v>
      </c>
      <c r="B1004" s="9" t="s">
        <v>1261</v>
      </c>
      <c r="C1004" s="10">
        <v>44368</v>
      </c>
      <c r="D1004" s="9" t="s">
        <v>24</v>
      </c>
      <c r="E1004" s="9" t="s">
        <v>25</v>
      </c>
      <c r="F1004" s="9" t="s">
        <v>26</v>
      </c>
      <c r="G1004" s="9" t="s">
        <v>67</v>
      </c>
      <c r="H1004" s="9" t="s">
        <v>68</v>
      </c>
      <c r="I1004" s="9" t="s">
        <v>29</v>
      </c>
      <c r="J1004" s="9" t="s">
        <v>30</v>
      </c>
      <c r="K1004" s="9" t="s">
        <v>31</v>
      </c>
      <c r="L1004" s="9" t="s">
        <v>32</v>
      </c>
      <c r="M1004" s="9" t="s">
        <v>294</v>
      </c>
      <c r="N1004" s="9" t="s">
        <v>1262</v>
      </c>
      <c r="O1004" s="9" t="s">
        <v>71</v>
      </c>
      <c r="P1004" s="9" t="s">
        <v>295</v>
      </c>
      <c r="Q1004" s="9">
        <v>112430049</v>
      </c>
      <c r="R1004" s="9" t="s">
        <v>76</v>
      </c>
      <c r="S1004" s="9" t="s">
        <v>77</v>
      </c>
      <c r="T1004" s="11">
        <v>144</v>
      </c>
      <c r="U1004" s="15" t="s">
        <v>71</v>
      </c>
      <c r="V1004" s="41" t="s">
        <v>295</v>
      </c>
      <c r="W1004" s="17">
        <v>112430049</v>
      </c>
      <c r="X1004" s="16" t="s">
        <v>2512</v>
      </c>
      <c r="Y1004" s="17" t="s">
        <v>2612</v>
      </c>
      <c r="Z1004" s="17" t="s">
        <v>77</v>
      </c>
      <c r="AA1004" s="17" t="s">
        <v>37</v>
      </c>
      <c r="AB1004" s="29">
        <v>59.73</v>
      </c>
      <c r="AC1004" s="25">
        <v>59.73</v>
      </c>
      <c r="AD1004" s="25">
        <f>AC1004*T1004</f>
        <v>8601.119999999999</v>
      </c>
      <c r="AE1004" s="25">
        <f>AB1004*T1004</f>
        <v>8601.119999999999</v>
      </c>
      <c r="AF1004" s="25">
        <f>AD1004-AE1004</f>
        <v>0</v>
      </c>
      <c r="AG1004" s="26">
        <f>AF1004/AD1004</f>
        <v>0</v>
      </c>
      <c r="AH1004" s="27" t="str">
        <f>IF(AG1004&lt;0,"Negative",IF(AG1004=0,"Same",IF(AG1004&gt;0.3,"30+%",IF(AG1004&gt;0.2,"20-30%",IF(AG1004&gt;0.1,"10-20%",IF(AG1004&lt;=0.1,"0-10%"))))))</f>
        <v>Same</v>
      </c>
      <c r="AI1004" s="32"/>
      <c r="AJ1004" s="36" t="s">
        <v>3300</v>
      </c>
      <c r="AK1004" s="32"/>
    </row>
    <row r="1005" spans="1:37" s="1" customFormat="1" ht="19.7" customHeight="1" x14ac:dyDescent="0.25">
      <c r="A1005" s="9" t="s">
        <v>22</v>
      </c>
      <c r="B1005" s="9" t="s">
        <v>796</v>
      </c>
      <c r="C1005" s="10">
        <v>44302</v>
      </c>
      <c r="D1005" s="9" t="s">
        <v>24</v>
      </c>
      <c r="E1005" s="9" t="s">
        <v>25</v>
      </c>
      <c r="F1005" s="9" t="s">
        <v>26</v>
      </c>
      <c r="G1005" s="9" t="s">
        <v>67</v>
      </c>
      <c r="H1005" s="9" t="s">
        <v>68</v>
      </c>
      <c r="I1005" s="9" t="s">
        <v>29</v>
      </c>
      <c r="J1005" s="9" t="s">
        <v>30</v>
      </c>
      <c r="K1005" s="9" t="s">
        <v>31</v>
      </c>
      <c r="L1005" s="9" t="s">
        <v>32</v>
      </c>
      <c r="M1005" s="9" t="s">
        <v>294</v>
      </c>
      <c r="N1005" s="9" t="s">
        <v>797</v>
      </c>
      <c r="O1005" s="9" t="s">
        <v>71</v>
      </c>
      <c r="P1005" s="9" t="s">
        <v>295</v>
      </c>
      <c r="Q1005" s="9">
        <v>112430049</v>
      </c>
      <c r="R1005" s="9" t="s">
        <v>76</v>
      </c>
      <c r="S1005" s="9" t="s">
        <v>77</v>
      </c>
      <c r="T1005" s="11">
        <v>144</v>
      </c>
      <c r="U1005" s="15" t="s">
        <v>71</v>
      </c>
      <c r="V1005" s="41" t="s">
        <v>295</v>
      </c>
      <c r="W1005" s="17">
        <v>112430049</v>
      </c>
      <c r="X1005" s="16" t="s">
        <v>2512</v>
      </c>
      <c r="Y1005" s="17" t="s">
        <v>2612</v>
      </c>
      <c r="Z1005" s="17" t="s">
        <v>77</v>
      </c>
      <c r="AA1005" s="17" t="s">
        <v>37</v>
      </c>
      <c r="AB1005" s="29">
        <v>59.73</v>
      </c>
      <c r="AC1005" s="25">
        <v>59.73</v>
      </c>
      <c r="AD1005" s="25">
        <f>AC1005*T1005</f>
        <v>8601.119999999999</v>
      </c>
      <c r="AE1005" s="25">
        <f>AB1005*T1005</f>
        <v>8601.119999999999</v>
      </c>
      <c r="AF1005" s="25">
        <f>AD1005-AE1005</f>
        <v>0</v>
      </c>
      <c r="AG1005" s="26">
        <f>AF1005/AD1005</f>
        <v>0</v>
      </c>
      <c r="AH1005" s="27" t="str">
        <f>IF(AG1005&lt;0,"Negative",IF(AG1005=0,"Same",IF(AG1005&gt;0.3,"30+%",IF(AG1005&gt;0.2,"20-30%",IF(AG1005&gt;0.1,"10-20%",IF(AG1005&lt;=0.1,"0-10%"))))))</f>
        <v>Same</v>
      </c>
      <c r="AI1005" s="32"/>
      <c r="AJ1005" s="36" t="s">
        <v>3300</v>
      </c>
      <c r="AK1005" s="32"/>
    </row>
    <row r="1006" spans="1:37" s="1" customFormat="1" ht="19.7" customHeight="1" x14ac:dyDescent="0.25">
      <c r="A1006" s="5" t="s">
        <v>22</v>
      </c>
      <c r="B1006" s="5" t="s">
        <v>482</v>
      </c>
      <c r="C1006" s="6">
        <v>44267</v>
      </c>
      <c r="D1006" s="5" t="s">
        <v>24</v>
      </c>
      <c r="E1006" s="5" t="s">
        <v>25</v>
      </c>
      <c r="F1006" s="5" t="s">
        <v>26</v>
      </c>
      <c r="G1006" s="5" t="s">
        <v>67</v>
      </c>
      <c r="H1006" s="5" t="s">
        <v>68</v>
      </c>
      <c r="I1006" s="5" t="s">
        <v>29</v>
      </c>
      <c r="J1006" s="5" t="s">
        <v>30</v>
      </c>
      <c r="K1006" s="5" t="s">
        <v>31</v>
      </c>
      <c r="L1006" s="5" t="s">
        <v>32</v>
      </c>
      <c r="M1006" s="5" t="s">
        <v>294</v>
      </c>
      <c r="N1006" s="5" t="s">
        <v>483</v>
      </c>
      <c r="O1006" s="5" t="s">
        <v>71</v>
      </c>
      <c r="P1006" s="5" t="s">
        <v>295</v>
      </c>
      <c r="Q1006" s="5">
        <v>112430049</v>
      </c>
      <c r="R1006" s="5" t="s">
        <v>76</v>
      </c>
      <c r="S1006" s="5" t="s">
        <v>77</v>
      </c>
      <c r="T1006" s="7">
        <v>144</v>
      </c>
      <c r="U1006" s="15" t="s">
        <v>71</v>
      </c>
      <c r="V1006" s="41" t="s">
        <v>295</v>
      </c>
      <c r="W1006" s="17">
        <v>112430049</v>
      </c>
      <c r="X1006" s="16" t="s">
        <v>2512</v>
      </c>
      <c r="Y1006" s="17" t="s">
        <v>2612</v>
      </c>
      <c r="Z1006" s="17" t="s">
        <v>77</v>
      </c>
      <c r="AA1006" s="17" t="s">
        <v>37</v>
      </c>
      <c r="AB1006" s="29">
        <v>59.73</v>
      </c>
      <c r="AC1006" s="25">
        <v>59.73</v>
      </c>
      <c r="AD1006" s="25">
        <f>AC1006*T1006</f>
        <v>8601.119999999999</v>
      </c>
      <c r="AE1006" s="25">
        <f>AB1006*T1006</f>
        <v>8601.119999999999</v>
      </c>
      <c r="AF1006" s="25">
        <f>AD1006-AE1006</f>
        <v>0</v>
      </c>
      <c r="AG1006" s="26">
        <f>AF1006/AD1006</f>
        <v>0</v>
      </c>
      <c r="AH1006" s="27" t="str">
        <f>IF(AG1006&lt;0,"Negative",IF(AG1006=0,"Same",IF(AG1006&gt;0.3,"30+%",IF(AG1006&gt;0.2,"20-30%",IF(AG1006&gt;0.1,"10-20%",IF(AG1006&lt;=0.1,"0-10%"))))))</f>
        <v>Same</v>
      </c>
      <c r="AI1006" s="32"/>
      <c r="AJ1006" s="36" t="s">
        <v>3300</v>
      </c>
      <c r="AK1006" s="32"/>
    </row>
    <row r="1007" spans="1:37" s="1" customFormat="1" ht="19.7" customHeight="1" x14ac:dyDescent="0.25">
      <c r="A1007" s="5" t="s">
        <v>22</v>
      </c>
      <c r="B1007" s="5" t="s">
        <v>293</v>
      </c>
      <c r="C1007" s="6">
        <v>44246</v>
      </c>
      <c r="D1007" s="5" t="s">
        <v>24</v>
      </c>
      <c r="E1007" s="5" t="s">
        <v>25</v>
      </c>
      <c r="F1007" s="5" t="s">
        <v>26</v>
      </c>
      <c r="G1007" s="5" t="s">
        <v>67</v>
      </c>
      <c r="H1007" s="5" t="s">
        <v>68</v>
      </c>
      <c r="I1007" s="5" t="s">
        <v>29</v>
      </c>
      <c r="J1007" s="5" t="s">
        <v>30</v>
      </c>
      <c r="K1007" s="5" t="s">
        <v>31</v>
      </c>
      <c r="L1007" s="5" t="s">
        <v>32</v>
      </c>
      <c r="M1007" s="5" t="s">
        <v>294</v>
      </c>
      <c r="N1007" s="5" t="s">
        <v>107</v>
      </c>
      <c r="O1007" s="5" t="s">
        <v>71</v>
      </c>
      <c r="P1007" s="5" t="s">
        <v>295</v>
      </c>
      <c r="Q1007" s="5">
        <v>112430049</v>
      </c>
      <c r="R1007" s="5" t="s">
        <v>76</v>
      </c>
      <c r="S1007" s="5" t="s">
        <v>77</v>
      </c>
      <c r="T1007" s="7">
        <v>144</v>
      </c>
      <c r="U1007" s="15" t="s">
        <v>71</v>
      </c>
      <c r="V1007" s="41" t="s">
        <v>295</v>
      </c>
      <c r="W1007" s="17">
        <v>112430049</v>
      </c>
      <c r="X1007" s="16" t="s">
        <v>2512</v>
      </c>
      <c r="Y1007" s="17" t="s">
        <v>2612</v>
      </c>
      <c r="Z1007" s="17" t="s">
        <v>77</v>
      </c>
      <c r="AA1007" s="17" t="s">
        <v>37</v>
      </c>
      <c r="AB1007" s="29">
        <v>59.73</v>
      </c>
      <c r="AC1007" s="25">
        <v>59.73</v>
      </c>
      <c r="AD1007" s="25">
        <f>AC1007*T1007</f>
        <v>8601.119999999999</v>
      </c>
      <c r="AE1007" s="25">
        <f>AB1007*T1007</f>
        <v>8601.119999999999</v>
      </c>
      <c r="AF1007" s="25">
        <f>AD1007-AE1007</f>
        <v>0</v>
      </c>
      <c r="AG1007" s="26">
        <f>AF1007/AD1007</f>
        <v>0</v>
      </c>
      <c r="AH1007" s="27" t="str">
        <f>IF(AG1007&lt;0,"Negative",IF(AG1007=0,"Same",IF(AG1007&gt;0.3,"30+%",IF(AG1007&gt;0.2,"20-30%",IF(AG1007&gt;0.1,"10-20%",IF(AG1007&lt;=0.1,"0-10%"))))))</f>
        <v>Same</v>
      </c>
      <c r="AI1007" s="32"/>
      <c r="AJ1007" s="36" t="s">
        <v>3300</v>
      </c>
      <c r="AK1007" s="32"/>
    </row>
    <row r="1008" spans="1:37" s="1" customFormat="1" ht="19.7" customHeight="1" x14ac:dyDescent="0.25">
      <c r="A1008" s="9" t="s">
        <v>22</v>
      </c>
      <c r="B1008" s="9" t="s">
        <v>1936</v>
      </c>
      <c r="C1008" s="10">
        <v>44487</v>
      </c>
      <c r="D1008" s="9" t="s">
        <v>24</v>
      </c>
      <c r="E1008" s="9" t="s">
        <v>25</v>
      </c>
      <c r="F1008" s="9" t="s">
        <v>26</v>
      </c>
      <c r="G1008" s="9" t="s">
        <v>67</v>
      </c>
      <c r="H1008" s="9" t="s">
        <v>68</v>
      </c>
      <c r="I1008" s="9" t="s">
        <v>29</v>
      </c>
      <c r="J1008" s="9" t="s">
        <v>30</v>
      </c>
      <c r="K1008" s="9" t="s">
        <v>31</v>
      </c>
      <c r="L1008" s="9" t="s">
        <v>32</v>
      </c>
      <c r="M1008" s="9" t="s">
        <v>294</v>
      </c>
      <c r="N1008" s="9" t="s">
        <v>1937</v>
      </c>
      <c r="O1008" s="9" t="s">
        <v>71</v>
      </c>
      <c r="P1008" s="9" t="s">
        <v>295</v>
      </c>
      <c r="Q1008" s="9">
        <v>112430049</v>
      </c>
      <c r="R1008" s="9" t="s">
        <v>76</v>
      </c>
      <c r="S1008" s="9" t="s">
        <v>77</v>
      </c>
      <c r="T1008" s="11">
        <v>168</v>
      </c>
      <c r="U1008" s="15" t="s">
        <v>71</v>
      </c>
      <c r="V1008" s="41" t="s">
        <v>295</v>
      </c>
      <c r="W1008" s="17">
        <v>112430049</v>
      </c>
      <c r="X1008" s="16" t="s">
        <v>2512</v>
      </c>
      <c r="Y1008" s="17" t="s">
        <v>2612</v>
      </c>
      <c r="Z1008" s="17" t="s">
        <v>77</v>
      </c>
      <c r="AA1008" s="17" t="s">
        <v>37</v>
      </c>
      <c r="AB1008" s="29">
        <v>59.73</v>
      </c>
      <c r="AC1008" s="25">
        <v>59.73</v>
      </c>
      <c r="AD1008" s="25">
        <f>AC1008*T1008</f>
        <v>10034.64</v>
      </c>
      <c r="AE1008" s="25">
        <f>AB1008*T1008</f>
        <v>10034.64</v>
      </c>
      <c r="AF1008" s="25">
        <f>AD1008-AE1008</f>
        <v>0</v>
      </c>
      <c r="AG1008" s="26">
        <f>AF1008/AD1008</f>
        <v>0</v>
      </c>
      <c r="AH1008" s="27" t="str">
        <f>IF(AG1008&lt;0,"Negative",IF(AG1008=0,"Same",IF(AG1008&gt;0.3,"30+%",IF(AG1008&gt;0.2,"20-30%",IF(AG1008&gt;0.1,"10-20%",IF(AG1008&lt;=0.1,"0-10%"))))))</f>
        <v>Same</v>
      </c>
      <c r="AI1008" s="32"/>
      <c r="AJ1008" s="36" t="s">
        <v>3300</v>
      </c>
      <c r="AK1008" s="32"/>
    </row>
    <row r="1009" spans="1:37" s="1" customFormat="1" ht="19.7" customHeight="1" x14ac:dyDescent="0.25">
      <c r="A1009" s="5" t="s">
        <v>22</v>
      </c>
      <c r="B1009" s="5" t="s">
        <v>1591</v>
      </c>
      <c r="C1009" s="6">
        <v>44421</v>
      </c>
      <c r="D1009" s="5" t="s">
        <v>24</v>
      </c>
      <c r="E1009" s="5" t="s">
        <v>25</v>
      </c>
      <c r="F1009" s="5" t="s">
        <v>26</v>
      </c>
      <c r="G1009" s="5" t="s">
        <v>67</v>
      </c>
      <c r="H1009" s="5" t="s">
        <v>68</v>
      </c>
      <c r="I1009" s="5" t="s">
        <v>29</v>
      </c>
      <c r="J1009" s="5" t="s">
        <v>30</v>
      </c>
      <c r="K1009" s="5" t="s">
        <v>31</v>
      </c>
      <c r="L1009" s="5" t="s">
        <v>32</v>
      </c>
      <c r="M1009" s="5" t="s">
        <v>294</v>
      </c>
      <c r="N1009" s="5" t="s">
        <v>1592</v>
      </c>
      <c r="O1009" s="5" t="s">
        <v>71</v>
      </c>
      <c r="P1009" s="5" t="s">
        <v>295</v>
      </c>
      <c r="Q1009" s="5">
        <v>112430049</v>
      </c>
      <c r="R1009" s="5" t="s">
        <v>76</v>
      </c>
      <c r="S1009" s="5" t="s">
        <v>77</v>
      </c>
      <c r="T1009" s="7">
        <v>168</v>
      </c>
      <c r="U1009" s="15" t="s">
        <v>71</v>
      </c>
      <c r="V1009" s="41" t="s">
        <v>295</v>
      </c>
      <c r="W1009" s="17">
        <v>112430049</v>
      </c>
      <c r="X1009" s="16" t="s">
        <v>2512</v>
      </c>
      <c r="Y1009" s="17" t="s">
        <v>2612</v>
      </c>
      <c r="Z1009" s="17" t="s">
        <v>77</v>
      </c>
      <c r="AA1009" s="17" t="s">
        <v>37</v>
      </c>
      <c r="AB1009" s="29">
        <v>59.73</v>
      </c>
      <c r="AC1009" s="25">
        <v>59.73</v>
      </c>
      <c r="AD1009" s="25">
        <f>AC1009*T1009</f>
        <v>10034.64</v>
      </c>
      <c r="AE1009" s="25">
        <f>AB1009*T1009</f>
        <v>10034.64</v>
      </c>
      <c r="AF1009" s="25">
        <f>AD1009-AE1009</f>
        <v>0</v>
      </c>
      <c r="AG1009" s="26">
        <f>AF1009/AD1009</f>
        <v>0</v>
      </c>
      <c r="AH1009" s="27" t="str">
        <f>IF(AG1009&lt;0,"Negative",IF(AG1009=0,"Same",IF(AG1009&gt;0.3,"30+%",IF(AG1009&gt;0.2,"20-30%",IF(AG1009&gt;0.1,"10-20%",IF(AG1009&lt;=0.1,"0-10%"))))))</f>
        <v>Same</v>
      </c>
      <c r="AI1009" s="32"/>
      <c r="AJ1009" s="36" t="s">
        <v>3300</v>
      </c>
      <c r="AK1009" s="32"/>
    </row>
    <row r="1010" spans="1:37" s="1" customFormat="1" ht="19.7" customHeight="1" x14ac:dyDescent="0.25">
      <c r="A1010" s="5" t="s">
        <v>22</v>
      </c>
      <c r="B1010" s="5" t="s">
        <v>1601</v>
      </c>
      <c r="C1010" s="6">
        <v>44424</v>
      </c>
      <c r="D1010" s="5" t="s">
        <v>24</v>
      </c>
      <c r="E1010" s="5" t="s">
        <v>25</v>
      </c>
      <c r="F1010" s="5" t="s">
        <v>26</v>
      </c>
      <c r="G1010" s="5" t="s">
        <v>27</v>
      </c>
      <c r="H1010" s="5" t="s">
        <v>28</v>
      </c>
      <c r="I1010" s="5" t="s">
        <v>29</v>
      </c>
      <c r="J1010" s="5" t="s">
        <v>30</v>
      </c>
      <c r="K1010" s="5" t="s">
        <v>31</v>
      </c>
      <c r="L1010" s="5" t="s">
        <v>32</v>
      </c>
      <c r="M1010" s="5" t="s">
        <v>1602</v>
      </c>
      <c r="N1010" s="5" t="s">
        <v>1603</v>
      </c>
      <c r="O1010" s="5" t="s">
        <v>169</v>
      </c>
      <c r="P1010" s="5" t="s">
        <v>1604</v>
      </c>
      <c r="Q1010" s="5">
        <v>101939070</v>
      </c>
      <c r="R1010" s="5" t="s">
        <v>56</v>
      </c>
      <c r="S1010" s="5" t="s">
        <v>39</v>
      </c>
      <c r="T1010" s="7">
        <v>1</v>
      </c>
      <c r="U1010" s="15" t="s">
        <v>169</v>
      </c>
      <c r="V1010" s="16" t="s">
        <v>1604</v>
      </c>
      <c r="W1010" s="17">
        <v>101939070</v>
      </c>
      <c r="X1010" s="16" t="s">
        <v>2845</v>
      </c>
      <c r="Y1010" s="17" t="s">
        <v>3088</v>
      </c>
      <c r="Z1010" s="17" t="s">
        <v>39</v>
      </c>
      <c r="AA1010" s="17" t="s">
        <v>37</v>
      </c>
      <c r="AB1010" s="43">
        <v>267.24</v>
      </c>
      <c r="AC1010" s="25">
        <v>285.08999999999997</v>
      </c>
      <c r="AD1010" s="25">
        <f>AC1010*T1010</f>
        <v>285.08999999999997</v>
      </c>
      <c r="AE1010" s="25">
        <f>AB1010*T1010</f>
        <v>267.24</v>
      </c>
      <c r="AF1010" s="25">
        <f>AD1010-AE1010</f>
        <v>17.849999999999966</v>
      </c>
      <c r="AG1010" s="26">
        <f>AF1010/AD1010</f>
        <v>6.2611806797853192E-2</v>
      </c>
      <c r="AH1010" s="27" t="str">
        <f>IF(AG1010&lt;0,"Negative",IF(AG1010=0,"Same",IF(AG1010&gt;0.3,"30+%",IF(AG1010&gt;0.2,"20-30%",IF(AG1010&gt;0.1,"10-20%",IF(AG1010&lt;=0.1,"0-10%"))))))</f>
        <v>0-10%</v>
      </c>
      <c r="AI1010" s="32"/>
      <c r="AJ1010" s="36" t="s">
        <v>3300</v>
      </c>
      <c r="AK1010" s="32"/>
    </row>
    <row r="1011" spans="1:37" s="1" customFormat="1" ht="19.7" customHeight="1" x14ac:dyDescent="0.25">
      <c r="A1011" s="5" t="s">
        <v>22</v>
      </c>
      <c r="B1011" s="5" t="s">
        <v>822</v>
      </c>
      <c r="C1011" s="6">
        <v>44305</v>
      </c>
      <c r="D1011" s="5" t="s">
        <v>24</v>
      </c>
      <c r="E1011" s="5" t="s">
        <v>25</v>
      </c>
      <c r="F1011" s="5" t="s">
        <v>26</v>
      </c>
      <c r="G1011" s="5" t="s">
        <v>27</v>
      </c>
      <c r="H1011" s="5" t="s">
        <v>28</v>
      </c>
      <c r="I1011" s="5" t="s">
        <v>29</v>
      </c>
      <c r="J1011" s="5" t="s">
        <v>30</v>
      </c>
      <c r="K1011" s="5" t="s">
        <v>31</v>
      </c>
      <c r="L1011" s="5" t="s">
        <v>32</v>
      </c>
      <c r="M1011" s="5" t="s">
        <v>823</v>
      </c>
      <c r="N1011" s="5" t="s">
        <v>791</v>
      </c>
      <c r="O1011" s="5" t="s">
        <v>79</v>
      </c>
      <c r="P1011" s="5" t="s">
        <v>824</v>
      </c>
      <c r="Q1011" s="5">
        <v>101169702</v>
      </c>
      <c r="R1011" s="5" t="s">
        <v>61</v>
      </c>
      <c r="S1011" s="5" t="s">
        <v>39</v>
      </c>
      <c r="T1011" s="7">
        <v>2</v>
      </c>
      <c r="U1011" s="15" t="s">
        <v>79</v>
      </c>
      <c r="V1011" s="16" t="s">
        <v>824</v>
      </c>
      <c r="W1011" s="17">
        <v>101169702</v>
      </c>
      <c r="X1011" s="16" t="s">
        <v>2623</v>
      </c>
      <c r="Y1011" s="17" t="s">
        <v>2830</v>
      </c>
      <c r="Z1011" s="17" t="s">
        <v>39</v>
      </c>
      <c r="AA1011" s="17" t="s">
        <v>37</v>
      </c>
      <c r="AB1011" s="43">
        <v>92.91</v>
      </c>
      <c r="AC1011" s="25">
        <v>93.78</v>
      </c>
      <c r="AD1011" s="25">
        <f>AC1011*T1011</f>
        <v>187.56</v>
      </c>
      <c r="AE1011" s="25">
        <f>AB1011*T1011</f>
        <v>185.82</v>
      </c>
      <c r="AF1011" s="25">
        <f>AD1011-AE1011</f>
        <v>1.7400000000000091</v>
      </c>
      <c r="AG1011" s="26">
        <f>AF1011/AD1011</f>
        <v>9.2770313499680578E-3</v>
      </c>
      <c r="AH1011" s="27" t="str">
        <f>IF(AG1011&lt;0,"Negative",IF(AG1011=0,"Same",IF(AG1011&gt;0.3,"30+%",IF(AG1011&gt;0.2,"20-30%",IF(AG1011&gt;0.1,"10-20%",IF(AG1011&lt;=0.1,"0-10%"))))))</f>
        <v>0-10%</v>
      </c>
      <c r="AI1011" s="32"/>
      <c r="AJ1011" s="36" t="s">
        <v>3299</v>
      </c>
      <c r="AK1011" s="32"/>
    </row>
    <row r="1012" spans="1:37" s="1" customFormat="1" ht="19.7" customHeight="1" x14ac:dyDescent="0.25">
      <c r="A1012" s="9" t="s">
        <v>22</v>
      </c>
      <c r="B1012" s="9" t="s">
        <v>1418</v>
      </c>
      <c r="C1012" s="10">
        <v>44393</v>
      </c>
      <c r="D1012" s="9" t="s">
        <v>24</v>
      </c>
      <c r="E1012" s="9" t="s">
        <v>25</v>
      </c>
      <c r="F1012" s="9" t="s">
        <v>26</v>
      </c>
      <c r="G1012" s="9" t="s">
        <v>67</v>
      </c>
      <c r="H1012" s="9" t="s">
        <v>68</v>
      </c>
      <c r="I1012" s="9" t="s">
        <v>29</v>
      </c>
      <c r="J1012" s="9" t="s">
        <v>30</v>
      </c>
      <c r="K1012" s="9" t="s">
        <v>31</v>
      </c>
      <c r="L1012" s="9" t="s">
        <v>32</v>
      </c>
      <c r="M1012" s="9" t="s">
        <v>1420</v>
      </c>
      <c r="N1012" s="9" t="s">
        <v>1419</v>
      </c>
      <c r="O1012" s="9" t="s">
        <v>169</v>
      </c>
      <c r="P1012" s="9" t="s">
        <v>1421</v>
      </c>
      <c r="Q1012" s="9">
        <v>101935963</v>
      </c>
      <c r="R1012" s="9" t="s">
        <v>56</v>
      </c>
      <c r="S1012" s="9" t="s">
        <v>39</v>
      </c>
      <c r="T1012" s="11">
        <v>1</v>
      </c>
      <c r="U1012" s="15" t="s">
        <v>169</v>
      </c>
      <c r="V1012" s="16" t="s">
        <v>1421</v>
      </c>
      <c r="W1012" s="17">
        <v>101935963</v>
      </c>
      <c r="X1012" s="16" t="s">
        <v>2845</v>
      </c>
      <c r="Y1012" s="17" t="s">
        <v>3033</v>
      </c>
      <c r="Z1012" s="17" t="s">
        <v>39</v>
      </c>
      <c r="AA1012" s="17" t="s">
        <v>37</v>
      </c>
      <c r="AB1012" s="43">
        <v>275.08999999999997</v>
      </c>
      <c r="AC1012" s="25">
        <v>293.45999999999998</v>
      </c>
      <c r="AD1012" s="25">
        <f>AC1012*T1012</f>
        <v>293.45999999999998</v>
      </c>
      <c r="AE1012" s="25">
        <f>AB1012*T1012</f>
        <v>275.08999999999997</v>
      </c>
      <c r="AF1012" s="25">
        <f>AD1012-AE1012</f>
        <v>18.370000000000005</v>
      </c>
      <c r="AG1012" s="26">
        <f>AF1012/AD1012</f>
        <v>6.2597969058815525E-2</v>
      </c>
      <c r="AH1012" s="27" t="str">
        <f>IF(AG1012&lt;0,"Negative",IF(AG1012=0,"Same",IF(AG1012&gt;0.3,"30+%",IF(AG1012&gt;0.2,"20-30%",IF(AG1012&gt;0.1,"10-20%",IF(AG1012&lt;=0.1,"0-10%"))))))</f>
        <v>0-10%</v>
      </c>
      <c r="AI1012" s="32"/>
      <c r="AJ1012" s="36" t="s">
        <v>3300</v>
      </c>
      <c r="AK1012" s="32"/>
    </row>
    <row r="1013" spans="1:37" s="1" customFormat="1" ht="19.7" customHeight="1" x14ac:dyDescent="0.25">
      <c r="A1013" s="5" t="s">
        <v>22</v>
      </c>
      <c r="B1013" s="5" t="s">
        <v>1881</v>
      </c>
      <c r="C1013" s="6">
        <v>44475</v>
      </c>
      <c r="D1013" s="5" t="s">
        <v>24</v>
      </c>
      <c r="E1013" s="5" t="s">
        <v>25</v>
      </c>
      <c r="F1013" s="5" t="s">
        <v>26</v>
      </c>
      <c r="G1013" s="5" t="s">
        <v>27</v>
      </c>
      <c r="H1013" s="5" t="s">
        <v>28</v>
      </c>
      <c r="I1013" s="5" t="s">
        <v>29</v>
      </c>
      <c r="J1013" s="5" t="s">
        <v>30</v>
      </c>
      <c r="K1013" s="5" t="s">
        <v>31</v>
      </c>
      <c r="L1013" s="5" t="s">
        <v>32</v>
      </c>
      <c r="M1013" s="5" t="s">
        <v>1885</v>
      </c>
      <c r="N1013" s="5" t="s">
        <v>1883</v>
      </c>
      <c r="O1013" s="5" t="s">
        <v>79</v>
      </c>
      <c r="P1013" s="5" t="s">
        <v>1886</v>
      </c>
      <c r="Q1013" s="5">
        <v>100731687</v>
      </c>
      <c r="R1013" s="5" t="s">
        <v>61</v>
      </c>
      <c r="S1013" s="5" t="s">
        <v>39</v>
      </c>
      <c r="T1013" s="7">
        <v>2</v>
      </c>
      <c r="U1013" s="15" t="s">
        <v>79</v>
      </c>
      <c r="V1013" s="16" t="s">
        <v>1886</v>
      </c>
      <c r="W1013" s="17">
        <v>100731687</v>
      </c>
      <c r="X1013" s="16" t="s">
        <v>3160</v>
      </c>
      <c r="Y1013" s="17" t="s">
        <v>3161</v>
      </c>
      <c r="Z1013" s="17" t="s">
        <v>39</v>
      </c>
      <c r="AA1013" s="17" t="s">
        <v>37</v>
      </c>
      <c r="AB1013" s="43">
        <v>94.01</v>
      </c>
      <c r="AC1013" s="25">
        <v>94.91</v>
      </c>
      <c r="AD1013" s="25">
        <f>AC1013*T1013</f>
        <v>189.82</v>
      </c>
      <c r="AE1013" s="25">
        <f>AB1013*T1013</f>
        <v>188.02</v>
      </c>
      <c r="AF1013" s="25">
        <f>AD1013-AE1013</f>
        <v>1.7999999999999829</v>
      </c>
      <c r="AG1013" s="26">
        <f>AF1013/AD1013</f>
        <v>9.4826677905383155E-3</v>
      </c>
      <c r="AH1013" s="27" t="str">
        <f>IF(AG1013&lt;0,"Negative",IF(AG1013=0,"Same",IF(AG1013&gt;0.3,"30+%",IF(AG1013&gt;0.2,"20-30%",IF(AG1013&gt;0.1,"10-20%",IF(AG1013&lt;=0.1,"0-10%"))))))</f>
        <v>0-10%</v>
      </c>
      <c r="AI1013" s="32"/>
      <c r="AJ1013" s="36" t="s">
        <v>3300</v>
      </c>
      <c r="AK1013" s="32"/>
    </row>
    <row r="1014" spans="1:37" s="1" customFormat="1" ht="19.7" customHeight="1" x14ac:dyDescent="0.25">
      <c r="A1014" s="9" t="s">
        <v>22</v>
      </c>
      <c r="B1014" s="9" t="s">
        <v>1167</v>
      </c>
      <c r="C1014" s="10">
        <v>44350</v>
      </c>
      <c r="D1014" s="9" t="s">
        <v>24</v>
      </c>
      <c r="E1014" s="9" t="s">
        <v>25</v>
      </c>
      <c r="F1014" s="9" t="s">
        <v>26</v>
      </c>
      <c r="G1014" s="9" t="s">
        <v>27</v>
      </c>
      <c r="H1014" s="9" t="s">
        <v>28</v>
      </c>
      <c r="I1014" s="9" t="s">
        <v>29</v>
      </c>
      <c r="J1014" s="9" t="s">
        <v>30</v>
      </c>
      <c r="K1014" s="9" t="s">
        <v>31</v>
      </c>
      <c r="L1014" s="9" t="s">
        <v>32</v>
      </c>
      <c r="M1014" s="9" t="s">
        <v>1170</v>
      </c>
      <c r="N1014" s="9" t="s">
        <v>1157</v>
      </c>
      <c r="O1014" s="9" t="s">
        <v>85</v>
      </c>
      <c r="P1014" s="9" t="s">
        <v>1171</v>
      </c>
      <c r="Q1014" s="9">
        <v>100813206</v>
      </c>
      <c r="R1014" s="9" t="s">
        <v>56</v>
      </c>
      <c r="S1014" s="9" t="s">
        <v>39</v>
      </c>
      <c r="T1014" s="11">
        <v>2</v>
      </c>
      <c r="U1014" s="15" t="s">
        <v>85</v>
      </c>
      <c r="V1014" s="16" t="s">
        <v>1171</v>
      </c>
      <c r="W1014" s="17">
        <v>100813206</v>
      </c>
      <c r="X1014" s="16" t="s">
        <v>2949</v>
      </c>
      <c r="Y1014" s="17" t="s">
        <v>2950</v>
      </c>
      <c r="Z1014" s="17" t="s">
        <v>39</v>
      </c>
      <c r="AA1014" s="17" t="s">
        <v>37</v>
      </c>
      <c r="AB1014" s="29">
        <v>209.56</v>
      </c>
      <c r="AC1014" s="25">
        <v>218.99</v>
      </c>
      <c r="AD1014" s="25">
        <f>AC1014*T1014</f>
        <v>437.98</v>
      </c>
      <c r="AE1014" s="25">
        <f>AB1014*T1014</f>
        <v>419.12</v>
      </c>
      <c r="AF1014" s="25">
        <f>AD1014-AE1014</f>
        <v>18.860000000000014</v>
      </c>
      <c r="AG1014" s="26">
        <f>AF1014/AD1014</f>
        <v>4.3061327001232962E-2</v>
      </c>
      <c r="AH1014" s="27" t="str">
        <f>IF(AG1014&lt;0,"Negative",IF(AG1014=0,"Same",IF(AG1014&gt;0.3,"30+%",IF(AG1014&gt;0.2,"20-30%",IF(AG1014&gt;0.1,"10-20%",IF(AG1014&lt;=0.1,"0-10%"))))))</f>
        <v>0-10%</v>
      </c>
      <c r="AI1014" s="32"/>
      <c r="AJ1014" s="36" t="s">
        <v>3300</v>
      </c>
      <c r="AK1014" s="32"/>
    </row>
    <row r="1015" spans="1:37" s="1" customFormat="1" ht="19.7" customHeight="1" x14ac:dyDescent="0.25">
      <c r="A1015" s="5" t="s">
        <v>22</v>
      </c>
      <c r="B1015" s="5" t="s">
        <v>2264</v>
      </c>
      <c r="C1015" s="6">
        <v>44558</v>
      </c>
      <c r="D1015" s="5" t="s">
        <v>24</v>
      </c>
      <c r="E1015" s="5" t="s">
        <v>25</v>
      </c>
      <c r="F1015" s="5" t="s">
        <v>26</v>
      </c>
      <c r="G1015" s="5" t="s">
        <v>27</v>
      </c>
      <c r="H1015" s="5" t="s">
        <v>28</v>
      </c>
      <c r="I1015" s="5" t="s">
        <v>29</v>
      </c>
      <c r="J1015" s="5" t="s">
        <v>30</v>
      </c>
      <c r="K1015" s="5" t="s">
        <v>31</v>
      </c>
      <c r="L1015" s="5" t="s">
        <v>32</v>
      </c>
      <c r="M1015" s="5" t="s">
        <v>1055</v>
      </c>
      <c r="N1015" s="5" t="s">
        <v>2059</v>
      </c>
      <c r="O1015" s="5" t="s">
        <v>310</v>
      </c>
      <c r="P1015" s="5" t="s">
        <v>1056</v>
      </c>
      <c r="Q1015" s="5">
        <v>110995401</v>
      </c>
      <c r="R1015" s="5" t="s">
        <v>56</v>
      </c>
      <c r="S1015" s="5" t="s">
        <v>39</v>
      </c>
      <c r="T1015" s="7">
        <v>1</v>
      </c>
      <c r="U1015" s="15" t="s">
        <v>310</v>
      </c>
      <c r="V1015" s="16" t="s">
        <v>1056</v>
      </c>
      <c r="W1015" s="17">
        <v>110995401</v>
      </c>
      <c r="X1015" s="16" t="s">
        <v>2909</v>
      </c>
      <c r="Y1015" s="17" t="s">
        <v>2910</v>
      </c>
      <c r="Z1015" s="17" t="s">
        <v>39</v>
      </c>
      <c r="AA1015" s="17" t="s">
        <v>2501</v>
      </c>
      <c r="AB1015" s="29">
        <v>2213.1</v>
      </c>
      <c r="AC1015" s="25">
        <v>2260.19</v>
      </c>
      <c r="AD1015" s="25">
        <f>AC1015*T1015</f>
        <v>2260.19</v>
      </c>
      <c r="AE1015" s="25">
        <f>AB1015*T1015</f>
        <v>2213.1</v>
      </c>
      <c r="AF1015" s="25">
        <f>AD1015-AE1015</f>
        <v>47.090000000000146</v>
      </c>
      <c r="AG1015" s="26">
        <f>AF1015/AD1015</f>
        <v>2.0834531610174428E-2</v>
      </c>
      <c r="AH1015" s="27" t="str">
        <f>IF(AG1015&lt;0,"Negative",IF(AG1015=0,"Same",IF(AG1015&gt;0.3,"30+%",IF(AG1015&gt;0.2,"20-30%",IF(AG1015&gt;0.1,"10-20%",IF(AG1015&lt;=0.1,"0-10%"))))))</f>
        <v>0-10%</v>
      </c>
      <c r="AI1015" s="32"/>
      <c r="AJ1015" s="36" t="s">
        <v>3300</v>
      </c>
      <c r="AK1015" s="32"/>
    </row>
    <row r="1016" spans="1:37" s="1" customFormat="1" ht="19.7" customHeight="1" x14ac:dyDescent="0.25">
      <c r="A1016" s="9" t="s">
        <v>22</v>
      </c>
      <c r="B1016" s="9" t="s">
        <v>1848</v>
      </c>
      <c r="C1016" s="10">
        <v>44470</v>
      </c>
      <c r="D1016" s="9" t="s">
        <v>24</v>
      </c>
      <c r="E1016" s="9" t="s">
        <v>25</v>
      </c>
      <c r="F1016" s="9" t="s">
        <v>26</v>
      </c>
      <c r="G1016" s="9" t="s">
        <v>27</v>
      </c>
      <c r="H1016" s="9" t="s">
        <v>28</v>
      </c>
      <c r="I1016" s="9" t="s">
        <v>29</v>
      </c>
      <c r="J1016" s="9" t="s">
        <v>30</v>
      </c>
      <c r="K1016" s="9" t="s">
        <v>31</v>
      </c>
      <c r="L1016" s="9" t="s">
        <v>32</v>
      </c>
      <c r="M1016" s="9" t="s">
        <v>1852</v>
      </c>
      <c r="N1016" s="9" t="s">
        <v>1850</v>
      </c>
      <c r="O1016" s="9" t="s">
        <v>154</v>
      </c>
      <c r="P1016" s="9" t="s">
        <v>1853</v>
      </c>
      <c r="Q1016" s="9">
        <v>100736440</v>
      </c>
      <c r="R1016" s="9" t="s">
        <v>61</v>
      </c>
      <c r="S1016" s="9" t="s">
        <v>39</v>
      </c>
      <c r="T1016" s="11">
        <v>1</v>
      </c>
      <c r="U1016" s="15" t="s">
        <v>154</v>
      </c>
      <c r="V1016" s="16" t="s">
        <v>1853</v>
      </c>
      <c r="W1016" s="17">
        <v>100736440</v>
      </c>
      <c r="X1016" s="16" t="s">
        <v>2793</v>
      </c>
      <c r="Y1016" s="17" t="s">
        <v>3152</v>
      </c>
      <c r="Z1016" s="17" t="s">
        <v>39</v>
      </c>
      <c r="AA1016" s="17" t="s">
        <v>37</v>
      </c>
      <c r="AB1016" s="43">
        <v>165</v>
      </c>
      <c r="AC1016" s="25">
        <v>182.21</v>
      </c>
      <c r="AD1016" s="25">
        <f>AC1016*T1016</f>
        <v>182.21</v>
      </c>
      <c r="AE1016" s="25">
        <f>AB1016*T1016</f>
        <v>165</v>
      </c>
      <c r="AF1016" s="25">
        <f>AD1016-AE1016</f>
        <v>17.210000000000008</v>
      </c>
      <c r="AG1016" s="26">
        <f>AF1016/AD1016</f>
        <v>9.4451457109928139E-2</v>
      </c>
      <c r="AH1016" s="27" t="str">
        <f>IF(AG1016&lt;0,"Negative",IF(AG1016=0,"Same",IF(AG1016&gt;0.3,"30+%",IF(AG1016&gt;0.2,"20-30%",IF(AG1016&gt;0.1,"10-20%",IF(AG1016&lt;=0.1,"0-10%"))))))</f>
        <v>0-10%</v>
      </c>
      <c r="AI1016" s="32"/>
      <c r="AJ1016" s="36" t="s">
        <v>3299</v>
      </c>
      <c r="AK1016" s="32"/>
    </row>
    <row r="1017" spans="1:37" s="1" customFormat="1" ht="19.7" customHeight="1" x14ac:dyDescent="0.25">
      <c r="A1017" s="5" t="s">
        <v>22</v>
      </c>
      <c r="B1017" s="5" t="s">
        <v>1680</v>
      </c>
      <c r="C1017" s="6">
        <v>44435</v>
      </c>
      <c r="D1017" s="5" t="s">
        <v>24</v>
      </c>
      <c r="E1017" s="5" t="s">
        <v>25</v>
      </c>
      <c r="F1017" s="5" t="s">
        <v>26</v>
      </c>
      <c r="G1017" s="5" t="s">
        <v>67</v>
      </c>
      <c r="H1017" s="5" t="s">
        <v>68</v>
      </c>
      <c r="I1017" s="5" t="s">
        <v>29</v>
      </c>
      <c r="J1017" s="5" t="s">
        <v>30</v>
      </c>
      <c r="K1017" s="5" t="s">
        <v>31</v>
      </c>
      <c r="L1017" s="5" t="s">
        <v>32</v>
      </c>
      <c r="M1017" s="5" t="s">
        <v>807</v>
      </c>
      <c r="N1017" s="5" t="s">
        <v>1259</v>
      </c>
      <c r="O1017" s="5" t="s">
        <v>43</v>
      </c>
      <c r="P1017" s="5" t="s">
        <v>808</v>
      </c>
      <c r="Q1017" s="5">
        <v>110914563</v>
      </c>
      <c r="R1017" s="5" t="s">
        <v>73</v>
      </c>
      <c r="S1017" s="5" t="s">
        <v>39</v>
      </c>
      <c r="T1017" s="7">
        <v>1</v>
      </c>
      <c r="U1017" s="15" t="s">
        <v>43</v>
      </c>
      <c r="V1017" s="16" t="s">
        <v>808</v>
      </c>
      <c r="W1017" s="17">
        <v>110914563</v>
      </c>
      <c r="X1017" s="16" t="s">
        <v>2745</v>
      </c>
      <c r="Y1017" s="17" t="s">
        <v>2825</v>
      </c>
      <c r="Z1017" s="17" t="s">
        <v>39</v>
      </c>
      <c r="AA1017" s="17" t="s">
        <v>2501</v>
      </c>
      <c r="AB1017" s="29">
        <v>183.79</v>
      </c>
      <c r="AC1017" s="25">
        <v>176.21</v>
      </c>
      <c r="AD1017" s="25">
        <f>AC1017*T1017</f>
        <v>176.21</v>
      </c>
      <c r="AE1017" s="25">
        <f>AB1017*T1017</f>
        <v>183.79</v>
      </c>
      <c r="AF1017" s="25">
        <f>AD1017-AE1017</f>
        <v>-7.5799999999999841</v>
      </c>
      <c r="AG1017" s="26">
        <f>AF1017/AD1017</f>
        <v>-4.3016854889052741E-2</v>
      </c>
      <c r="AH1017" s="27" t="str">
        <f>IF(AG1017&lt;0,"Negative",IF(AG1017=0,"Same",IF(AG1017&gt;0.3,"30+%",IF(AG1017&gt;0.2,"20-30%",IF(AG1017&gt;0.1,"10-20%",IF(AG1017&lt;=0.1,"0-10%"))))))</f>
        <v>Negative</v>
      </c>
      <c r="AI1017" s="32"/>
      <c r="AJ1017" s="36" t="s">
        <v>3300</v>
      </c>
      <c r="AK1017" s="32"/>
    </row>
    <row r="1018" spans="1:37" s="1" customFormat="1" ht="19.7" customHeight="1" x14ac:dyDescent="0.25">
      <c r="A1018" s="9" t="s">
        <v>22</v>
      </c>
      <c r="B1018" s="9" t="s">
        <v>800</v>
      </c>
      <c r="C1018" s="10">
        <v>44302</v>
      </c>
      <c r="D1018" s="9" t="s">
        <v>24</v>
      </c>
      <c r="E1018" s="9" t="s">
        <v>25</v>
      </c>
      <c r="F1018" s="9" t="s">
        <v>26</v>
      </c>
      <c r="G1018" s="9" t="s">
        <v>67</v>
      </c>
      <c r="H1018" s="9" t="s">
        <v>68</v>
      </c>
      <c r="I1018" s="9" t="s">
        <v>29</v>
      </c>
      <c r="J1018" s="9" t="s">
        <v>30</v>
      </c>
      <c r="K1018" s="9" t="s">
        <v>31</v>
      </c>
      <c r="L1018" s="9" t="s">
        <v>32</v>
      </c>
      <c r="M1018" s="9" t="s">
        <v>807</v>
      </c>
      <c r="N1018" s="9" t="s">
        <v>801</v>
      </c>
      <c r="O1018" s="9" t="s">
        <v>43</v>
      </c>
      <c r="P1018" s="9" t="s">
        <v>808</v>
      </c>
      <c r="Q1018" s="9">
        <v>110914563</v>
      </c>
      <c r="R1018" s="9" t="s">
        <v>73</v>
      </c>
      <c r="S1018" s="9" t="s">
        <v>39</v>
      </c>
      <c r="T1018" s="11">
        <v>1</v>
      </c>
      <c r="U1018" s="15" t="s">
        <v>43</v>
      </c>
      <c r="V1018" s="16" t="s">
        <v>808</v>
      </c>
      <c r="W1018" s="17">
        <v>110914563</v>
      </c>
      <c r="X1018" s="16" t="s">
        <v>2745</v>
      </c>
      <c r="Y1018" s="17" t="s">
        <v>2825</v>
      </c>
      <c r="Z1018" s="17" t="s">
        <v>39</v>
      </c>
      <c r="AA1018" s="17" t="s">
        <v>2501</v>
      </c>
      <c r="AB1018" s="29">
        <v>183.79</v>
      </c>
      <c r="AC1018" s="25">
        <v>176.21</v>
      </c>
      <c r="AD1018" s="25">
        <f>AC1018*T1018</f>
        <v>176.21</v>
      </c>
      <c r="AE1018" s="25">
        <f>AB1018*T1018</f>
        <v>183.79</v>
      </c>
      <c r="AF1018" s="25">
        <f>AD1018-AE1018</f>
        <v>-7.5799999999999841</v>
      </c>
      <c r="AG1018" s="26">
        <f>AF1018/AD1018</f>
        <v>-4.3016854889052741E-2</v>
      </c>
      <c r="AH1018" s="27" t="str">
        <f>IF(AG1018&lt;0,"Negative",IF(AG1018=0,"Same",IF(AG1018&gt;0.3,"30+%",IF(AG1018&gt;0.2,"20-30%",IF(AG1018&gt;0.1,"10-20%",IF(AG1018&lt;=0.1,"0-10%"))))))</f>
        <v>Negative</v>
      </c>
      <c r="AI1018" s="32"/>
      <c r="AJ1018" s="36" t="s">
        <v>3300</v>
      </c>
      <c r="AK1018" s="32"/>
    </row>
    <row r="1019" spans="1:37" s="1" customFormat="1" ht="19.7" customHeight="1" x14ac:dyDescent="0.25">
      <c r="A1019" s="5" t="s">
        <v>22</v>
      </c>
      <c r="B1019" s="5" t="s">
        <v>1982</v>
      </c>
      <c r="C1019" s="6">
        <v>44495</v>
      </c>
      <c r="D1019" s="5" t="s">
        <v>24</v>
      </c>
      <c r="E1019" s="5" t="s">
        <v>25</v>
      </c>
      <c r="F1019" s="5" t="s">
        <v>26</v>
      </c>
      <c r="G1019" s="5" t="s">
        <v>27</v>
      </c>
      <c r="H1019" s="5" t="s">
        <v>28</v>
      </c>
      <c r="I1019" s="5" t="s">
        <v>29</v>
      </c>
      <c r="J1019" s="5" t="s">
        <v>30</v>
      </c>
      <c r="K1019" s="5" t="s">
        <v>31</v>
      </c>
      <c r="L1019" s="5" t="s">
        <v>32</v>
      </c>
      <c r="M1019" s="5" t="s">
        <v>1961</v>
      </c>
      <c r="N1019" s="5" t="s">
        <v>1962</v>
      </c>
      <c r="O1019" s="5" t="s">
        <v>35</v>
      </c>
      <c r="P1019" s="5" t="s">
        <v>1963</v>
      </c>
      <c r="Q1019" s="5">
        <v>100559784</v>
      </c>
      <c r="R1019" s="5" t="s">
        <v>38</v>
      </c>
      <c r="S1019" s="5" t="s">
        <v>39</v>
      </c>
      <c r="T1019" s="7">
        <v>3</v>
      </c>
      <c r="U1019" s="15" t="s">
        <v>35</v>
      </c>
      <c r="V1019" s="16" t="s">
        <v>1963</v>
      </c>
      <c r="W1019" s="17">
        <v>100559784</v>
      </c>
      <c r="X1019" s="16" t="s">
        <v>2737</v>
      </c>
      <c r="Y1019" s="17" t="s">
        <v>3176</v>
      </c>
      <c r="Z1019" s="17" t="s">
        <v>39</v>
      </c>
      <c r="AA1019" s="17" t="s">
        <v>37</v>
      </c>
      <c r="AB1019" s="29">
        <v>101.14</v>
      </c>
      <c r="AC1019" s="25">
        <v>98.5</v>
      </c>
      <c r="AD1019" s="25">
        <f>AC1019*T1019</f>
        <v>295.5</v>
      </c>
      <c r="AE1019" s="25">
        <f>AB1019*T1019</f>
        <v>303.42</v>
      </c>
      <c r="AF1019" s="25">
        <f>AD1019-AE1019</f>
        <v>-7.9200000000000159</v>
      </c>
      <c r="AG1019" s="26">
        <f>AF1019/AD1019</f>
        <v>-2.6802030456852845E-2</v>
      </c>
      <c r="AH1019" s="27" t="str">
        <f>IF(AG1019&lt;0,"Negative",IF(AG1019=0,"Same",IF(AG1019&gt;0.3,"30+%",IF(AG1019&gt;0.2,"20-30%",IF(AG1019&gt;0.1,"10-20%",IF(AG1019&lt;=0.1,"0-10%"))))))</f>
        <v>Negative</v>
      </c>
      <c r="AI1019" s="32"/>
      <c r="AJ1019" s="36" t="s">
        <v>3299</v>
      </c>
      <c r="AK1019" s="32"/>
    </row>
    <row r="1020" spans="1:37" s="1" customFormat="1" ht="19.7" customHeight="1" x14ac:dyDescent="0.25">
      <c r="A1020" s="5" t="s">
        <v>22</v>
      </c>
      <c r="B1020" s="5" t="s">
        <v>1960</v>
      </c>
      <c r="C1020" s="6">
        <v>44489</v>
      </c>
      <c r="D1020" s="5" t="s">
        <v>24</v>
      </c>
      <c r="E1020" s="5" t="s">
        <v>25</v>
      </c>
      <c r="F1020" s="5" t="s">
        <v>26</v>
      </c>
      <c r="G1020" s="5" t="s">
        <v>27</v>
      </c>
      <c r="H1020" s="5" t="s">
        <v>28</v>
      </c>
      <c r="I1020" s="5" t="s">
        <v>29</v>
      </c>
      <c r="J1020" s="5" t="s">
        <v>30</v>
      </c>
      <c r="K1020" s="5" t="s">
        <v>31</v>
      </c>
      <c r="L1020" s="5" t="s">
        <v>32</v>
      </c>
      <c r="M1020" s="5" t="s">
        <v>1961</v>
      </c>
      <c r="N1020" s="5" t="s">
        <v>1962</v>
      </c>
      <c r="O1020" s="5" t="s">
        <v>35</v>
      </c>
      <c r="P1020" s="5" t="s">
        <v>1963</v>
      </c>
      <c r="Q1020" s="5">
        <v>100559784</v>
      </c>
      <c r="R1020" s="5" t="s">
        <v>38</v>
      </c>
      <c r="S1020" s="5" t="s">
        <v>39</v>
      </c>
      <c r="T1020" s="7">
        <v>3</v>
      </c>
      <c r="U1020" s="15" t="s">
        <v>35</v>
      </c>
      <c r="V1020" s="16" t="s">
        <v>1963</v>
      </c>
      <c r="W1020" s="17">
        <v>100559784</v>
      </c>
      <c r="X1020" s="16" t="s">
        <v>2737</v>
      </c>
      <c r="Y1020" s="17" t="s">
        <v>3176</v>
      </c>
      <c r="Z1020" s="17" t="s">
        <v>39</v>
      </c>
      <c r="AA1020" s="17" t="s">
        <v>37</v>
      </c>
      <c r="AB1020" s="29">
        <v>101.14</v>
      </c>
      <c r="AC1020" s="25">
        <v>98.5</v>
      </c>
      <c r="AD1020" s="25">
        <f>AC1020*T1020</f>
        <v>295.5</v>
      </c>
      <c r="AE1020" s="25">
        <f>AB1020*T1020</f>
        <v>303.42</v>
      </c>
      <c r="AF1020" s="25">
        <f>AD1020-AE1020</f>
        <v>-7.9200000000000159</v>
      </c>
      <c r="AG1020" s="26">
        <f>AF1020/AD1020</f>
        <v>-2.6802030456852845E-2</v>
      </c>
      <c r="AH1020" s="27" t="str">
        <f>IF(AG1020&lt;0,"Negative",IF(AG1020=0,"Same",IF(AG1020&gt;0.3,"30+%",IF(AG1020&gt;0.2,"20-30%",IF(AG1020&gt;0.1,"10-20%",IF(AG1020&lt;=0.1,"0-10%"))))))</f>
        <v>Negative</v>
      </c>
      <c r="AI1020" s="32"/>
      <c r="AJ1020" s="36" t="s">
        <v>3299</v>
      </c>
      <c r="AK1020" s="32"/>
    </row>
    <row r="1021" spans="1:37" s="1" customFormat="1" ht="19.7" customHeight="1" x14ac:dyDescent="0.25">
      <c r="A1021" s="9" t="s">
        <v>22</v>
      </c>
      <c r="B1021" s="9" t="s">
        <v>2060</v>
      </c>
      <c r="C1021" s="10">
        <v>44510</v>
      </c>
      <c r="D1021" s="9" t="s">
        <v>24</v>
      </c>
      <c r="E1021" s="9" t="s">
        <v>25</v>
      </c>
      <c r="F1021" s="9" t="s">
        <v>26</v>
      </c>
      <c r="G1021" s="9" t="s">
        <v>27</v>
      </c>
      <c r="H1021" s="9" t="s">
        <v>28</v>
      </c>
      <c r="I1021" s="9" t="s">
        <v>29</v>
      </c>
      <c r="J1021" s="9" t="s">
        <v>30</v>
      </c>
      <c r="K1021" s="9" t="s">
        <v>31</v>
      </c>
      <c r="L1021" s="9" t="s">
        <v>32</v>
      </c>
      <c r="M1021" s="9" t="s">
        <v>1330</v>
      </c>
      <c r="N1021" s="9" t="s">
        <v>2061</v>
      </c>
      <c r="O1021" s="9" t="s">
        <v>79</v>
      </c>
      <c r="P1021" s="9" t="s">
        <v>1331</v>
      </c>
      <c r="Q1021" s="9">
        <v>100756469</v>
      </c>
      <c r="R1021" s="9" t="s">
        <v>61</v>
      </c>
      <c r="S1021" s="9" t="s">
        <v>39</v>
      </c>
      <c r="T1021" s="11">
        <v>1</v>
      </c>
      <c r="U1021" s="15" t="s">
        <v>79</v>
      </c>
      <c r="V1021" s="16" t="s">
        <v>1331</v>
      </c>
      <c r="W1021" s="17">
        <v>100756469</v>
      </c>
      <c r="X1021" s="16" t="s">
        <v>2705</v>
      </c>
      <c r="Y1021" s="17" t="s">
        <v>3003</v>
      </c>
      <c r="Z1021" s="17" t="s">
        <v>39</v>
      </c>
      <c r="AA1021" s="17" t="s">
        <v>37</v>
      </c>
      <c r="AB1021" s="43">
        <v>131.16999999999999</v>
      </c>
      <c r="AC1021" s="25">
        <v>146</v>
      </c>
      <c r="AD1021" s="25">
        <f>AC1021*T1021</f>
        <v>146</v>
      </c>
      <c r="AE1021" s="25">
        <f>AB1021*T1021</f>
        <v>131.16999999999999</v>
      </c>
      <c r="AF1021" s="25">
        <f>AD1021-AE1021</f>
        <v>14.830000000000013</v>
      </c>
      <c r="AG1021" s="26">
        <f>AF1021/AD1021</f>
        <v>0.1015753424657535</v>
      </c>
      <c r="AH1021" s="27" t="str">
        <f>IF(AG1021&lt;0,"Negative",IF(AG1021=0,"Same",IF(AG1021&gt;0.3,"30+%",IF(AG1021&gt;0.2,"20-30%",IF(AG1021&gt;0.1,"10-20%",IF(AG1021&lt;=0.1,"0-10%"))))))</f>
        <v>10-20%</v>
      </c>
      <c r="AI1021" s="32"/>
      <c r="AJ1021" s="36" t="s">
        <v>3299</v>
      </c>
      <c r="AK1021" s="32"/>
    </row>
    <row r="1022" spans="1:37" s="1" customFormat="1" ht="19.7" customHeight="1" x14ac:dyDescent="0.25">
      <c r="A1022" s="5" t="s">
        <v>22</v>
      </c>
      <c r="B1022" s="5" t="s">
        <v>1890</v>
      </c>
      <c r="C1022" s="6">
        <v>44477</v>
      </c>
      <c r="D1022" s="5" t="s">
        <v>24</v>
      </c>
      <c r="E1022" s="5" t="s">
        <v>25</v>
      </c>
      <c r="F1022" s="5" t="s">
        <v>26</v>
      </c>
      <c r="G1022" s="5" t="s">
        <v>27</v>
      </c>
      <c r="H1022" s="5" t="s">
        <v>28</v>
      </c>
      <c r="I1022" s="5" t="s">
        <v>29</v>
      </c>
      <c r="J1022" s="5" t="s">
        <v>30</v>
      </c>
      <c r="K1022" s="5" t="s">
        <v>31</v>
      </c>
      <c r="L1022" s="5" t="s">
        <v>32</v>
      </c>
      <c r="M1022" s="5" t="s">
        <v>1891</v>
      </c>
      <c r="N1022" s="5" t="s">
        <v>1892</v>
      </c>
      <c r="O1022" s="5" t="s">
        <v>79</v>
      </c>
      <c r="P1022" s="5" t="s">
        <v>1893</v>
      </c>
      <c r="Q1022" s="5">
        <v>100762501</v>
      </c>
      <c r="R1022" s="5" t="s">
        <v>61</v>
      </c>
      <c r="S1022" s="5" t="s">
        <v>39</v>
      </c>
      <c r="T1022" s="7">
        <v>1</v>
      </c>
      <c r="U1022" s="15" t="s">
        <v>79</v>
      </c>
      <c r="V1022" s="16" t="s">
        <v>1893</v>
      </c>
      <c r="W1022" s="17">
        <v>100762501</v>
      </c>
      <c r="X1022" s="16" t="s">
        <v>2608</v>
      </c>
      <c r="Y1022" s="17" t="s">
        <v>3163</v>
      </c>
      <c r="Z1022" s="17" t="s">
        <v>39</v>
      </c>
      <c r="AA1022" s="17" t="s">
        <v>37</v>
      </c>
      <c r="AB1022" s="43">
        <v>104.43</v>
      </c>
      <c r="AC1022" s="25">
        <v>121.61</v>
      </c>
      <c r="AD1022" s="25">
        <f>AC1022*T1022</f>
        <v>121.61</v>
      </c>
      <c r="AE1022" s="25">
        <f>AB1022*T1022</f>
        <v>104.43</v>
      </c>
      <c r="AF1022" s="25">
        <f>AD1022-AE1022</f>
        <v>17.179999999999993</v>
      </c>
      <c r="AG1022" s="26">
        <f>AF1022/AD1022</f>
        <v>0.14127127703313866</v>
      </c>
      <c r="AH1022" s="27" t="str">
        <f>IF(AG1022&lt;0,"Negative",IF(AG1022=0,"Same",IF(AG1022&gt;0.3,"30+%",IF(AG1022&gt;0.2,"20-30%",IF(AG1022&gt;0.1,"10-20%",IF(AG1022&lt;=0.1,"0-10%"))))))</f>
        <v>10-20%</v>
      </c>
      <c r="AI1022" s="32"/>
      <c r="AJ1022" s="36" t="s">
        <v>3299</v>
      </c>
      <c r="AK1022" s="32"/>
    </row>
    <row r="1023" spans="1:37" s="1" customFormat="1" ht="19.7" customHeight="1" x14ac:dyDescent="0.25">
      <c r="A1023" s="9" t="s">
        <v>22</v>
      </c>
      <c r="B1023" s="9" t="s">
        <v>774</v>
      </c>
      <c r="C1023" s="10">
        <v>44301</v>
      </c>
      <c r="D1023" s="9" t="s">
        <v>24</v>
      </c>
      <c r="E1023" s="9" t="s">
        <v>25</v>
      </c>
      <c r="F1023" s="9" t="s">
        <v>26</v>
      </c>
      <c r="G1023" s="9" t="s">
        <v>27</v>
      </c>
      <c r="H1023" s="9" t="s">
        <v>28</v>
      </c>
      <c r="I1023" s="9" t="s">
        <v>29</v>
      </c>
      <c r="J1023" s="9" t="s">
        <v>30</v>
      </c>
      <c r="K1023" s="9" t="s">
        <v>31</v>
      </c>
      <c r="L1023" s="9" t="s">
        <v>32</v>
      </c>
      <c r="M1023" s="9" t="s">
        <v>775</v>
      </c>
      <c r="N1023" s="9" t="s">
        <v>776</v>
      </c>
      <c r="O1023" s="9" t="s">
        <v>154</v>
      </c>
      <c r="P1023" s="9" t="s">
        <v>777</v>
      </c>
      <c r="Q1023" s="9">
        <v>100736553</v>
      </c>
      <c r="R1023" s="9" t="s">
        <v>61</v>
      </c>
      <c r="S1023" s="9" t="s">
        <v>39</v>
      </c>
      <c r="T1023" s="11">
        <v>1</v>
      </c>
      <c r="U1023" s="15" t="s">
        <v>154</v>
      </c>
      <c r="V1023" s="16" t="s">
        <v>777</v>
      </c>
      <c r="W1023" s="17">
        <v>100736553</v>
      </c>
      <c r="X1023" s="16" t="s">
        <v>2708</v>
      </c>
      <c r="Y1023" s="17" t="s">
        <v>2811</v>
      </c>
      <c r="Z1023" s="17" t="s">
        <v>39</v>
      </c>
      <c r="AA1023" s="17" t="s">
        <v>37</v>
      </c>
      <c r="AB1023" s="43">
        <v>168.97</v>
      </c>
      <c r="AC1023" s="25">
        <v>180.26</v>
      </c>
      <c r="AD1023" s="25">
        <f>AC1023*T1023</f>
        <v>180.26</v>
      </c>
      <c r="AE1023" s="25">
        <f>AB1023*T1023</f>
        <v>168.97</v>
      </c>
      <c r="AF1023" s="25">
        <f>AD1023-AE1023</f>
        <v>11.289999999999992</v>
      </c>
      <c r="AG1023" s="26">
        <f>AF1023/AD1023</f>
        <v>6.2631754132919076E-2</v>
      </c>
      <c r="AH1023" s="27" t="str">
        <f>IF(AG1023&lt;0,"Negative",IF(AG1023=0,"Same",IF(AG1023&gt;0.3,"30+%",IF(AG1023&gt;0.2,"20-30%",IF(AG1023&gt;0.1,"10-20%",IF(AG1023&lt;=0.1,"0-10%"))))))</f>
        <v>0-10%</v>
      </c>
      <c r="AI1023" s="32"/>
      <c r="AJ1023" s="36" t="s">
        <v>3300</v>
      </c>
      <c r="AK1023" s="32"/>
    </row>
    <row r="1024" spans="1:37" s="1" customFormat="1" ht="19.7" customHeight="1" x14ac:dyDescent="0.25">
      <c r="A1024" s="9" t="s">
        <v>22</v>
      </c>
      <c r="B1024" s="9" t="s">
        <v>495</v>
      </c>
      <c r="C1024" s="10">
        <v>44267</v>
      </c>
      <c r="D1024" s="9" t="s">
        <v>24</v>
      </c>
      <c r="E1024" s="9" t="s">
        <v>25</v>
      </c>
      <c r="F1024" s="9" t="s">
        <v>26</v>
      </c>
      <c r="G1024" s="9" t="s">
        <v>67</v>
      </c>
      <c r="H1024" s="9" t="s">
        <v>68</v>
      </c>
      <c r="I1024" s="9" t="s">
        <v>29</v>
      </c>
      <c r="J1024" s="9" t="s">
        <v>30</v>
      </c>
      <c r="K1024" s="9" t="s">
        <v>31</v>
      </c>
      <c r="L1024" s="9" t="s">
        <v>32</v>
      </c>
      <c r="M1024" s="9" t="s">
        <v>501</v>
      </c>
      <c r="N1024" s="9" t="s">
        <v>496</v>
      </c>
      <c r="O1024" s="9" t="s">
        <v>502</v>
      </c>
      <c r="P1024" s="9" t="s">
        <v>503</v>
      </c>
      <c r="Q1024" s="9">
        <v>103958960</v>
      </c>
      <c r="R1024" s="9" t="s">
        <v>38</v>
      </c>
      <c r="S1024" s="9" t="s">
        <v>39</v>
      </c>
      <c r="T1024" s="11">
        <v>1</v>
      </c>
      <c r="U1024" s="15" t="s">
        <v>502</v>
      </c>
      <c r="V1024" s="16" t="s">
        <v>503</v>
      </c>
      <c r="W1024" s="17">
        <v>103958960</v>
      </c>
      <c r="X1024" s="16" t="s">
        <v>2703</v>
      </c>
      <c r="Y1024" s="17" t="s">
        <v>2704</v>
      </c>
      <c r="Z1024" s="17" t="s">
        <v>39</v>
      </c>
      <c r="AA1024" s="17" t="s">
        <v>2501</v>
      </c>
      <c r="AB1024" s="29">
        <v>180.98</v>
      </c>
      <c r="AC1024" s="25">
        <v>185.06</v>
      </c>
      <c r="AD1024" s="25">
        <f>AC1024*T1024</f>
        <v>185.06</v>
      </c>
      <c r="AE1024" s="25">
        <f>AB1024*T1024</f>
        <v>180.98</v>
      </c>
      <c r="AF1024" s="25">
        <f>AD1024-AE1024</f>
        <v>4.0800000000000125</v>
      </c>
      <c r="AG1024" s="26">
        <f>AF1024/AD1024</f>
        <v>2.2046903706905936E-2</v>
      </c>
      <c r="AH1024" s="27" t="str">
        <f>IF(AG1024&lt;0,"Negative",IF(AG1024=0,"Same",IF(AG1024&gt;0.3,"30+%",IF(AG1024&gt;0.2,"20-30%",IF(AG1024&gt;0.1,"10-20%",IF(AG1024&lt;=0.1,"0-10%"))))))</f>
        <v>0-10%</v>
      </c>
      <c r="AI1024" s="32"/>
      <c r="AJ1024" s="36" t="s">
        <v>3300</v>
      </c>
      <c r="AK1024" s="32"/>
    </row>
    <row r="1025" spans="1:37" s="1" customFormat="1" ht="19.7" customHeight="1" x14ac:dyDescent="0.25">
      <c r="A1025" s="5" t="s">
        <v>22</v>
      </c>
      <c r="B1025" s="5" t="s">
        <v>2442</v>
      </c>
      <c r="C1025" s="6">
        <v>44588</v>
      </c>
      <c r="D1025" s="5" t="s">
        <v>24</v>
      </c>
      <c r="E1025" s="5" t="s">
        <v>25</v>
      </c>
      <c r="F1025" s="5" t="s">
        <v>26</v>
      </c>
      <c r="G1025" s="5" t="s">
        <v>27</v>
      </c>
      <c r="H1025" s="5" t="s">
        <v>28</v>
      </c>
      <c r="I1025" s="5" t="s">
        <v>29</v>
      </c>
      <c r="J1025" s="5" t="s">
        <v>30</v>
      </c>
      <c r="K1025" s="5" t="s">
        <v>31</v>
      </c>
      <c r="L1025" s="5" t="s">
        <v>32</v>
      </c>
      <c r="M1025" s="5" t="s">
        <v>401</v>
      </c>
      <c r="N1025" s="5" t="s">
        <v>2443</v>
      </c>
      <c r="O1025" s="5" t="s">
        <v>402</v>
      </c>
      <c r="P1025" s="5" t="s">
        <v>403</v>
      </c>
      <c r="Q1025" s="5">
        <v>100738893</v>
      </c>
      <c r="R1025" s="5" t="s">
        <v>61</v>
      </c>
      <c r="S1025" s="5" t="s">
        <v>39</v>
      </c>
      <c r="T1025" s="7">
        <v>2</v>
      </c>
      <c r="U1025" s="15" t="s">
        <v>402</v>
      </c>
      <c r="V1025" s="16" t="s">
        <v>403</v>
      </c>
      <c r="W1025" s="17">
        <v>100738893</v>
      </c>
      <c r="X1025" s="16" t="s">
        <v>2658</v>
      </c>
      <c r="Y1025" s="17" t="s">
        <v>2659</v>
      </c>
      <c r="Z1025" s="17" t="s">
        <v>39</v>
      </c>
      <c r="AA1025" s="17" t="s">
        <v>37</v>
      </c>
      <c r="AB1025" s="43">
        <v>254.96</v>
      </c>
      <c r="AC1025" s="25">
        <v>271.99</v>
      </c>
      <c r="AD1025" s="25">
        <f>AC1025*T1025</f>
        <v>543.98</v>
      </c>
      <c r="AE1025" s="25">
        <f>AB1025*T1025</f>
        <v>509.92</v>
      </c>
      <c r="AF1025" s="25">
        <f>AD1025-AE1025</f>
        <v>34.06</v>
      </c>
      <c r="AG1025" s="26">
        <f>AF1025/AD1025</f>
        <v>6.2612596051325423E-2</v>
      </c>
      <c r="AH1025" s="27" t="str">
        <f>IF(AG1025&lt;0,"Negative",IF(AG1025=0,"Same",IF(AG1025&gt;0.3,"30+%",IF(AG1025&gt;0.2,"20-30%",IF(AG1025&gt;0.1,"10-20%",IF(AG1025&lt;=0.1,"0-10%"))))))</f>
        <v>0-10%</v>
      </c>
      <c r="AI1025" s="32"/>
      <c r="AJ1025" s="36" t="s">
        <v>3300</v>
      </c>
      <c r="AK1025" s="32"/>
    </row>
    <row r="1026" spans="1:37" s="1" customFormat="1" ht="19.7" customHeight="1" x14ac:dyDescent="0.25">
      <c r="A1026" s="9" t="s">
        <v>22</v>
      </c>
      <c r="B1026" s="9" t="s">
        <v>253</v>
      </c>
      <c r="C1026" s="10">
        <v>44246</v>
      </c>
      <c r="D1026" s="9" t="s">
        <v>24</v>
      </c>
      <c r="E1026" s="9" t="s">
        <v>25</v>
      </c>
      <c r="F1026" s="9" t="s">
        <v>26</v>
      </c>
      <c r="G1026" s="9" t="s">
        <v>27</v>
      </c>
      <c r="H1026" s="9" t="s">
        <v>28</v>
      </c>
      <c r="I1026" s="9" t="s">
        <v>29</v>
      </c>
      <c r="J1026" s="9" t="s">
        <v>30</v>
      </c>
      <c r="K1026" s="9" t="s">
        <v>31</v>
      </c>
      <c r="L1026" s="9" t="s">
        <v>32</v>
      </c>
      <c r="M1026" s="9" t="s">
        <v>254</v>
      </c>
      <c r="N1026" s="9" t="s">
        <v>255</v>
      </c>
      <c r="O1026" s="9" t="s">
        <v>131</v>
      </c>
      <c r="P1026" s="9" t="s">
        <v>256</v>
      </c>
      <c r="Q1026" s="9">
        <v>100814548</v>
      </c>
      <c r="R1026" s="9" t="s">
        <v>56</v>
      </c>
      <c r="S1026" s="9" t="s">
        <v>39</v>
      </c>
      <c r="T1026" s="11">
        <v>1</v>
      </c>
      <c r="U1026" s="15" t="s">
        <v>131</v>
      </c>
      <c r="V1026" s="16" t="s">
        <v>256</v>
      </c>
      <c r="W1026" s="17">
        <v>100814548</v>
      </c>
      <c r="X1026" s="16" t="s">
        <v>2538</v>
      </c>
      <c r="Y1026" s="17" t="s">
        <v>2596</v>
      </c>
      <c r="Z1026" s="17" t="s">
        <v>39</v>
      </c>
      <c r="AA1026" s="17" t="s">
        <v>37</v>
      </c>
      <c r="AB1026" s="43">
        <v>223.08</v>
      </c>
      <c r="AC1026" s="25">
        <v>233.12</v>
      </c>
      <c r="AD1026" s="25">
        <f>AC1026*T1026</f>
        <v>233.12</v>
      </c>
      <c r="AE1026" s="25">
        <f>AB1026*T1026</f>
        <v>223.08</v>
      </c>
      <c r="AF1026" s="25">
        <f>AD1026-AE1026</f>
        <v>10.039999999999992</v>
      </c>
      <c r="AG1026" s="26">
        <f>AF1026/AD1026</f>
        <v>4.3067947838023299E-2</v>
      </c>
      <c r="AH1026" s="27" t="str">
        <f>IF(AG1026&lt;0,"Negative",IF(AG1026=0,"Same",IF(AG1026&gt;0.3,"30+%",IF(AG1026&gt;0.2,"20-30%",IF(AG1026&gt;0.1,"10-20%",IF(AG1026&lt;=0.1,"0-10%"))))))</f>
        <v>0-10%</v>
      </c>
      <c r="AI1026" s="32"/>
      <c r="AJ1026" s="36" t="s">
        <v>3300</v>
      </c>
      <c r="AK1026" s="32"/>
    </row>
    <row r="1027" spans="1:37" s="1" customFormat="1" ht="19.7" customHeight="1" x14ac:dyDescent="0.25">
      <c r="A1027" s="9" t="s">
        <v>22</v>
      </c>
      <c r="B1027" s="9" t="s">
        <v>1675</v>
      </c>
      <c r="C1027" s="10">
        <v>44435</v>
      </c>
      <c r="D1027" s="9" t="s">
        <v>24</v>
      </c>
      <c r="E1027" s="9" t="s">
        <v>25</v>
      </c>
      <c r="F1027" s="9" t="s">
        <v>26</v>
      </c>
      <c r="G1027" s="9" t="s">
        <v>67</v>
      </c>
      <c r="H1027" s="9" t="s">
        <v>68</v>
      </c>
      <c r="I1027" s="9" t="s">
        <v>29</v>
      </c>
      <c r="J1027" s="9" t="s">
        <v>30</v>
      </c>
      <c r="K1027" s="9" t="s">
        <v>31</v>
      </c>
      <c r="L1027" s="9" t="s">
        <v>32</v>
      </c>
      <c r="M1027" s="9" t="s">
        <v>346</v>
      </c>
      <c r="N1027" s="9" t="s">
        <v>1630</v>
      </c>
      <c r="O1027" s="9" t="s">
        <v>79</v>
      </c>
      <c r="P1027" s="9" t="s">
        <v>348</v>
      </c>
      <c r="Q1027" s="9">
        <v>100762503</v>
      </c>
      <c r="R1027" s="9" t="s">
        <v>61</v>
      </c>
      <c r="S1027" s="9" t="s">
        <v>39</v>
      </c>
      <c r="T1027" s="11">
        <v>1</v>
      </c>
      <c r="U1027" s="15" t="s">
        <v>79</v>
      </c>
      <c r="V1027" s="16" t="s">
        <v>348</v>
      </c>
      <c r="W1027" s="17">
        <v>100762503</v>
      </c>
      <c r="X1027" s="16" t="s">
        <v>2608</v>
      </c>
      <c r="Y1027" s="17" t="s">
        <v>2635</v>
      </c>
      <c r="Z1027" s="17" t="s">
        <v>39</v>
      </c>
      <c r="AA1027" s="17" t="s">
        <v>37</v>
      </c>
      <c r="AB1027" s="43">
        <v>114.06</v>
      </c>
      <c r="AC1027" s="25">
        <v>129.37</v>
      </c>
      <c r="AD1027" s="25">
        <f>AC1027*T1027</f>
        <v>129.37</v>
      </c>
      <c r="AE1027" s="25">
        <f>AB1027*T1027</f>
        <v>114.06</v>
      </c>
      <c r="AF1027" s="25">
        <f>AD1027-AE1027</f>
        <v>15.310000000000002</v>
      </c>
      <c r="AG1027" s="26">
        <f>AF1027/AD1027</f>
        <v>0.11834273788358972</v>
      </c>
      <c r="AH1027" s="27" t="str">
        <f>IF(AG1027&lt;0,"Negative",IF(AG1027=0,"Same",IF(AG1027&gt;0.3,"30+%",IF(AG1027&gt;0.2,"20-30%",IF(AG1027&gt;0.1,"10-20%",IF(AG1027&lt;=0.1,"0-10%"))))))</f>
        <v>10-20%</v>
      </c>
      <c r="AI1027" s="32"/>
      <c r="AJ1027" s="36" t="s">
        <v>3299</v>
      </c>
      <c r="AK1027" s="32"/>
    </row>
    <row r="1028" spans="1:37" s="1" customFormat="1" ht="19.7" customHeight="1" x14ac:dyDescent="0.25">
      <c r="A1028" s="5" t="s">
        <v>22</v>
      </c>
      <c r="B1028" s="5" t="s">
        <v>2023</v>
      </c>
      <c r="C1028" s="6">
        <v>44498</v>
      </c>
      <c r="D1028" s="5" t="s">
        <v>24</v>
      </c>
      <c r="E1028" s="5" t="s">
        <v>25</v>
      </c>
      <c r="F1028" s="5" t="s">
        <v>26</v>
      </c>
      <c r="G1028" s="5" t="s">
        <v>67</v>
      </c>
      <c r="H1028" s="5" t="s">
        <v>68</v>
      </c>
      <c r="I1028" s="5" t="s">
        <v>29</v>
      </c>
      <c r="J1028" s="5" t="s">
        <v>30</v>
      </c>
      <c r="K1028" s="5" t="s">
        <v>31</v>
      </c>
      <c r="L1028" s="5" t="s">
        <v>32</v>
      </c>
      <c r="M1028" s="5" t="s">
        <v>346</v>
      </c>
      <c r="N1028" s="5" t="s">
        <v>2024</v>
      </c>
      <c r="O1028" s="5" t="s">
        <v>79</v>
      </c>
      <c r="P1028" s="5" t="s">
        <v>348</v>
      </c>
      <c r="Q1028" s="5">
        <v>100762503</v>
      </c>
      <c r="R1028" s="5" t="s">
        <v>61</v>
      </c>
      <c r="S1028" s="5" t="s">
        <v>39</v>
      </c>
      <c r="T1028" s="7">
        <v>2</v>
      </c>
      <c r="U1028" s="15" t="s">
        <v>79</v>
      </c>
      <c r="V1028" s="16" t="s">
        <v>348</v>
      </c>
      <c r="W1028" s="17">
        <v>100762503</v>
      </c>
      <c r="X1028" s="16" t="s">
        <v>2608</v>
      </c>
      <c r="Y1028" s="17" t="s">
        <v>2635</v>
      </c>
      <c r="Z1028" s="17" t="s">
        <v>39</v>
      </c>
      <c r="AA1028" s="17" t="s">
        <v>37</v>
      </c>
      <c r="AB1028" s="43">
        <v>114.06</v>
      </c>
      <c r="AC1028" s="25">
        <v>129.37</v>
      </c>
      <c r="AD1028" s="25">
        <f>AC1028*T1028</f>
        <v>258.74</v>
      </c>
      <c r="AE1028" s="25">
        <f>AB1028*T1028</f>
        <v>228.12</v>
      </c>
      <c r="AF1028" s="25">
        <f>AD1028-AE1028</f>
        <v>30.620000000000005</v>
      </c>
      <c r="AG1028" s="26">
        <f>AF1028/AD1028</f>
        <v>0.11834273788358972</v>
      </c>
      <c r="AH1028" s="27" t="str">
        <f>IF(AG1028&lt;0,"Negative",IF(AG1028=0,"Same",IF(AG1028&gt;0.3,"30+%",IF(AG1028&gt;0.2,"20-30%",IF(AG1028&gt;0.1,"10-20%",IF(AG1028&lt;=0.1,"0-10%"))))))</f>
        <v>10-20%</v>
      </c>
      <c r="AI1028" s="32"/>
      <c r="AJ1028" s="36" t="s">
        <v>3299</v>
      </c>
      <c r="AK1028" s="32"/>
    </row>
    <row r="1029" spans="1:37" s="1" customFormat="1" ht="19.7" customHeight="1" x14ac:dyDescent="0.25">
      <c r="A1029" s="5" t="s">
        <v>22</v>
      </c>
      <c r="B1029" s="5" t="s">
        <v>1177</v>
      </c>
      <c r="C1029" s="6">
        <v>44351</v>
      </c>
      <c r="D1029" s="5" t="s">
        <v>24</v>
      </c>
      <c r="E1029" s="5" t="s">
        <v>25</v>
      </c>
      <c r="F1029" s="5" t="s">
        <v>26</v>
      </c>
      <c r="G1029" s="5" t="s">
        <v>67</v>
      </c>
      <c r="H1029" s="5" t="s">
        <v>68</v>
      </c>
      <c r="I1029" s="5" t="s">
        <v>29</v>
      </c>
      <c r="J1029" s="5" t="s">
        <v>30</v>
      </c>
      <c r="K1029" s="5" t="s">
        <v>31</v>
      </c>
      <c r="L1029" s="5" t="s">
        <v>32</v>
      </c>
      <c r="M1029" s="5" t="s">
        <v>346</v>
      </c>
      <c r="N1029" s="5" t="s">
        <v>1178</v>
      </c>
      <c r="O1029" s="5" t="s">
        <v>79</v>
      </c>
      <c r="P1029" s="5" t="s">
        <v>348</v>
      </c>
      <c r="Q1029" s="5">
        <v>100762503</v>
      </c>
      <c r="R1029" s="5" t="s">
        <v>61</v>
      </c>
      <c r="S1029" s="5" t="s">
        <v>39</v>
      </c>
      <c r="T1029" s="7">
        <v>2</v>
      </c>
      <c r="U1029" s="15" t="s">
        <v>79</v>
      </c>
      <c r="V1029" s="16" t="s">
        <v>348</v>
      </c>
      <c r="W1029" s="17">
        <v>100762503</v>
      </c>
      <c r="X1029" s="16" t="s">
        <v>2608</v>
      </c>
      <c r="Y1029" s="17" t="s">
        <v>2635</v>
      </c>
      <c r="Z1029" s="17" t="s">
        <v>39</v>
      </c>
      <c r="AA1029" s="17" t="s">
        <v>37</v>
      </c>
      <c r="AB1029" s="43">
        <v>114.06</v>
      </c>
      <c r="AC1029" s="25">
        <v>129.37</v>
      </c>
      <c r="AD1029" s="25">
        <f>AC1029*T1029</f>
        <v>258.74</v>
      </c>
      <c r="AE1029" s="25">
        <f>AB1029*T1029</f>
        <v>228.12</v>
      </c>
      <c r="AF1029" s="25">
        <f>AD1029-AE1029</f>
        <v>30.620000000000005</v>
      </c>
      <c r="AG1029" s="26">
        <f>AF1029/AD1029</f>
        <v>0.11834273788358972</v>
      </c>
      <c r="AH1029" s="27" t="str">
        <f>IF(AG1029&lt;0,"Negative",IF(AG1029=0,"Same",IF(AG1029&gt;0.3,"30+%",IF(AG1029&gt;0.2,"20-30%",IF(AG1029&gt;0.1,"10-20%",IF(AG1029&lt;=0.1,"0-10%"))))))</f>
        <v>10-20%</v>
      </c>
      <c r="AI1029" s="32"/>
      <c r="AJ1029" s="36" t="s">
        <v>3299</v>
      </c>
      <c r="AK1029" s="32"/>
    </row>
    <row r="1030" spans="1:37" s="1" customFormat="1" ht="19.7" customHeight="1" x14ac:dyDescent="0.25">
      <c r="A1030" s="9" t="s">
        <v>22</v>
      </c>
      <c r="B1030" s="9" t="s">
        <v>345</v>
      </c>
      <c r="C1030" s="10">
        <v>44253</v>
      </c>
      <c r="D1030" s="9" t="s">
        <v>24</v>
      </c>
      <c r="E1030" s="9" t="s">
        <v>25</v>
      </c>
      <c r="F1030" s="9" t="s">
        <v>26</v>
      </c>
      <c r="G1030" s="9" t="s">
        <v>67</v>
      </c>
      <c r="H1030" s="9" t="s">
        <v>68</v>
      </c>
      <c r="I1030" s="9" t="s">
        <v>29</v>
      </c>
      <c r="J1030" s="9" t="s">
        <v>30</v>
      </c>
      <c r="K1030" s="9" t="s">
        <v>31</v>
      </c>
      <c r="L1030" s="9" t="s">
        <v>32</v>
      </c>
      <c r="M1030" s="9" t="s">
        <v>346</v>
      </c>
      <c r="N1030" s="9" t="s">
        <v>347</v>
      </c>
      <c r="O1030" s="9" t="s">
        <v>79</v>
      </c>
      <c r="P1030" s="9" t="s">
        <v>348</v>
      </c>
      <c r="Q1030" s="9">
        <v>100762503</v>
      </c>
      <c r="R1030" s="9" t="s">
        <v>61</v>
      </c>
      <c r="S1030" s="9" t="s">
        <v>39</v>
      </c>
      <c r="T1030" s="11">
        <v>2</v>
      </c>
      <c r="U1030" s="15" t="s">
        <v>79</v>
      </c>
      <c r="V1030" s="16" t="s">
        <v>348</v>
      </c>
      <c r="W1030" s="17">
        <v>100762503</v>
      </c>
      <c r="X1030" s="16" t="s">
        <v>2608</v>
      </c>
      <c r="Y1030" s="17" t="s">
        <v>2635</v>
      </c>
      <c r="Z1030" s="17" t="s">
        <v>39</v>
      </c>
      <c r="AA1030" s="17" t="s">
        <v>37</v>
      </c>
      <c r="AB1030" s="43">
        <v>114.06</v>
      </c>
      <c r="AC1030" s="25">
        <v>129.37</v>
      </c>
      <c r="AD1030" s="25">
        <f>AC1030*T1030</f>
        <v>258.74</v>
      </c>
      <c r="AE1030" s="25">
        <f>AB1030*T1030</f>
        <v>228.12</v>
      </c>
      <c r="AF1030" s="25">
        <f>AD1030-AE1030</f>
        <v>30.620000000000005</v>
      </c>
      <c r="AG1030" s="26">
        <f>AF1030/AD1030</f>
        <v>0.11834273788358972</v>
      </c>
      <c r="AH1030" s="27" t="str">
        <f>IF(AG1030&lt;0,"Negative",IF(AG1030=0,"Same",IF(AG1030&gt;0.3,"30+%",IF(AG1030&gt;0.2,"20-30%",IF(AG1030&gt;0.1,"10-20%",IF(AG1030&lt;=0.1,"0-10%"))))))</f>
        <v>10-20%</v>
      </c>
      <c r="AI1030" s="32"/>
      <c r="AJ1030" s="36" t="s">
        <v>3299</v>
      </c>
      <c r="AK1030" s="32"/>
    </row>
    <row r="1031" spans="1:37" s="1" customFormat="1" ht="19.7" customHeight="1" x14ac:dyDescent="0.25">
      <c r="A1031" s="5" t="s">
        <v>22</v>
      </c>
      <c r="B1031" s="5" t="s">
        <v>1119</v>
      </c>
      <c r="C1031" s="6">
        <v>44342</v>
      </c>
      <c r="D1031" s="5" t="s">
        <v>24</v>
      </c>
      <c r="E1031" s="5" t="s">
        <v>25</v>
      </c>
      <c r="F1031" s="5" t="s">
        <v>26</v>
      </c>
      <c r="G1031" s="5" t="s">
        <v>27</v>
      </c>
      <c r="H1031" s="5" t="s">
        <v>28</v>
      </c>
      <c r="I1031" s="5" t="s">
        <v>29</v>
      </c>
      <c r="J1031" s="5" t="s">
        <v>30</v>
      </c>
      <c r="K1031" s="5" t="s">
        <v>31</v>
      </c>
      <c r="L1031" s="5" t="s">
        <v>32</v>
      </c>
      <c r="M1031" s="5" t="s">
        <v>1120</v>
      </c>
      <c r="N1031" s="5" t="s">
        <v>958</v>
      </c>
      <c r="O1031" s="5" t="s">
        <v>79</v>
      </c>
      <c r="P1031" s="5" t="s">
        <v>1121</v>
      </c>
      <c r="Q1031" s="5">
        <v>114728719</v>
      </c>
      <c r="R1031" s="5" t="s">
        <v>61</v>
      </c>
      <c r="S1031" s="5" t="s">
        <v>39</v>
      </c>
      <c r="T1031" s="7">
        <v>4</v>
      </c>
      <c r="U1031" s="15" t="s">
        <v>79</v>
      </c>
      <c r="V1031" s="16" t="s">
        <v>1121</v>
      </c>
      <c r="W1031" s="17">
        <v>114728719</v>
      </c>
      <c r="X1031" s="16" t="s">
        <v>2928</v>
      </c>
      <c r="Y1031" s="17" t="s">
        <v>2929</v>
      </c>
      <c r="Z1031" s="17" t="s">
        <v>39</v>
      </c>
      <c r="AA1031" s="17" t="s">
        <v>37</v>
      </c>
      <c r="AB1031" s="43">
        <v>156.19999999999999</v>
      </c>
      <c r="AC1031" s="25">
        <v>157.69</v>
      </c>
      <c r="AD1031" s="25">
        <f>AC1031*T1031</f>
        <v>630.76</v>
      </c>
      <c r="AE1031" s="25">
        <f>AB1031*T1031</f>
        <v>624.79999999999995</v>
      </c>
      <c r="AF1031" s="25">
        <f>AD1031-AE1031</f>
        <v>5.9600000000000364</v>
      </c>
      <c r="AG1031" s="26">
        <f>AF1031/AD1031</f>
        <v>9.4489187646649066E-3</v>
      </c>
      <c r="AH1031" s="27" t="str">
        <f>IF(AG1031&lt;0,"Negative",IF(AG1031=0,"Same",IF(AG1031&gt;0.3,"30+%",IF(AG1031&gt;0.2,"20-30%",IF(AG1031&gt;0.1,"10-20%",IF(AG1031&lt;=0.1,"0-10%"))))))</f>
        <v>0-10%</v>
      </c>
      <c r="AI1031" s="32"/>
      <c r="AJ1031" s="36" t="s">
        <v>3300</v>
      </c>
      <c r="AK1031" s="32"/>
    </row>
    <row r="1032" spans="1:37" s="1" customFormat="1" ht="19.7" customHeight="1" x14ac:dyDescent="0.25">
      <c r="A1032" s="9" t="s">
        <v>22</v>
      </c>
      <c r="B1032" s="9" t="s">
        <v>2181</v>
      </c>
      <c r="C1032" s="10">
        <v>44533</v>
      </c>
      <c r="D1032" s="9" t="s">
        <v>24</v>
      </c>
      <c r="E1032" s="9" t="s">
        <v>25</v>
      </c>
      <c r="F1032" s="9" t="s">
        <v>26</v>
      </c>
      <c r="G1032" s="9" t="s">
        <v>27</v>
      </c>
      <c r="H1032" s="9" t="s">
        <v>28</v>
      </c>
      <c r="I1032" s="9" t="s">
        <v>29</v>
      </c>
      <c r="J1032" s="9" t="s">
        <v>30</v>
      </c>
      <c r="K1032" s="9" t="s">
        <v>31</v>
      </c>
      <c r="L1032" s="9" t="s">
        <v>32</v>
      </c>
      <c r="M1032" s="9" t="s">
        <v>261</v>
      </c>
      <c r="N1032" s="9" t="s">
        <v>2182</v>
      </c>
      <c r="O1032" s="9" t="s">
        <v>1374</v>
      </c>
      <c r="P1032" s="9" t="s">
        <v>2183</v>
      </c>
      <c r="Q1032" s="9">
        <v>102112939</v>
      </c>
      <c r="R1032" s="9" t="s">
        <v>216</v>
      </c>
      <c r="S1032" s="9" t="s">
        <v>39</v>
      </c>
      <c r="T1032" s="11">
        <v>2</v>
      </c>
      <c r="U1032" s="15" t="s">
        <v>1374</v>
      </c>
      <c r="V1032" s="41" t="s">
        <v>2183</v>
      </c>
      <c r="W1032" s="17">
        <v>102112939</v>
      </c>
      <c r="X1032" s="16" t="s">
        <v>3225</v>
      </c>
      <c r="Y1032" s="17" t="s">
        <v>3226</v>
      </c>
      <c r="Z1032" s="17" t="s">
        <v>39</v>
      </c>
      <c r="AA1032" s="17" t="s">
        <v>37</v>
      </c>
      <c r="AB1032" s="29">
        <v>478.31</v>
      </c>
      <c r="AC1032" s="25">
        <v>458.61</v>
      </c>
      <c r="AD1032" s="25">
        <f>AC1032*T1032</f>
        <v>917.22</v>
      </c>
      <c r="AE1032" s="25">
        <f>AB1032*T1032</f>
        <v>956.62</v>
      </c>
      <c r="AF1032" s="25">
        <f>AD1032-AE1032</f>
        <v>-39.399999999999977</v>
      </c>
      <c r="AG1032" s="26">
        <f>AF1032/AD1032</f>
        <v>-4.2955888445520132E-2</v>
      </c>
      <c r="AH1032" s="27" t="str">
        <f>IF(AG1032&lt;0,"Negative",IF(AG1032=0,"Same",IF(AG1032&gt;0.3,"30+%",IF(AG1032&gt;0.2,"20-30%",IF(AG1032&gt;0.1,"10-20%",IF(AG1032&lt;=0.1,"0-10%"))))))</f>
        <v>Negative</v>
      </c>
      <c r="AI1032" s="32"/>
      <c r="AJ1032" s="36" t="s">
        <v>3300</v>
      </c>
      <c r="AK1032" s="32"/>
    </row>
    <row r="1033" spans="1:37" s="1" customFormat="1" ht="19.7" customHeight="1" x14ac:dyDescent="0.25">
      <c r="A1033" s="5" t="s">
        <v>22</v>
      </c>
      <c r="B1033" s="5" t="s">
        <v>930</v>
      </c>
      <c r="C1033" s="6">
        <v>44316</v>
      </c>
      <c r="D1033" s="5" t="s">
        <v>24</v>
      </c>
      <c r="E1033" s="5" t="s">
        <v>25</v>
      </c>
      <c r="F1033" s="5" t="s">
        <v>26</v>
      </c>
      <c r="G1033" s="5" t="s">
        <v>67</v>
      </c>
      <c r="H1033" s="5" t="s">
        <v>68</v>
      </c>
      <c r="I1033" s="5" t="s">
        <v>29</v>
      </c>
      <c r="J1033" s="5" t="s">
        <v>30</v>
      </c>
      <c r="K1033" s="5" t="s">
        <v>31</v>
      </c>
      <c r="L1033" s="5" t="s">
        <v>32</v>
      </c>
      <c r="M1033" s="5" t="s">
        <v>931</v>
      </c>
      <c r="N1033" s="5" t="s">
        <v>797</v>
      </c>
      <c r="O1033" s="5" t="s">
        <v>932</v>
      </c>
      <c r="P1033" s="5" t="s">
        <v>933</v>
      </c>
      <c r="Q1033" s="5">
        <v>112091836</v>
      </c>
      <c r="R1033" s="5" t="s">
        <v>73</v>
      </c>
      <c r="S1033" s="5" t="s">
        <v>77</v>
      </c>
      <c r="T1033" s="7">
        <v>12</v>
      </c>
      <c r="U1033" s="15" t="s">
        <v>932</v>
      </c>
      <c r="V1033" s="16" t="s">
        <v>933</v>
      </c>
      <c r="W1033" s="17">
        <v>112091836</v>
      </c>
      <c r="X1033" s="16" t="s">
        <v>2603</v>
      </c>
      <c r="Y1033" s="17" t="s">
        <v>2867</v>
      </c>
      <c r="Z1033" s="17" t="s">
        <v>77</v>
      </c>
      <c r="AA1033" s="17" t="s">
        <v>2501</v>
      </c>
      <c r="AB1033" s="29">
        <v>92.04</v>
      </c>
      <c r="AC1033" s="25">
        <v>93.47</v>
      </c>
      <c r="AD1033" s="25">
        <f>AC1033*T1033</f>
        <v>1121.6399999999999</v>
      </c>
      <c r="AE1033" s="25">
        <f>AB1033*T1033</f>
        <v>1104.48</v>
      </c>
      <c r="AF1033" s="25">
        <f>AD1033-AE1033</f>
        <v>17.159999999999854</v>
      </c>
      <c r="AG1033" s="26">
        <f>AF1033/AD1033</f>
        <v>1.5299026425590971E-2</v>
      </c>
      <c r="AH1033" s="27" t="str">
        <f>IF(AG1033&lt;0,"Negative",IF(AG1033=0,"Same",IF(AG1033&gt;0.3,"30+%",IF(AG1033&gt;0.2,"20-30%",IF(AG1033&gt;0.1,"10-20%",IF(AG1033&lt;=0.1,"0-10%"))))))</f>
        <v>0-10%</v>
      </c>
      <c r="AI1033" s="32"/>
      <c r="AJ1033" s="36" t="s">
        <v>3300</v>
      </c>
      <c r="AK1033" s="32"/>
    </row>
    <row r="1034" spans="1:37" s="1" customFormat="1" ht="19.7" customHeight="1" x14ac:dyDescent="0.25">
      <c r="A1034" s="9" t="s">
        <v>22</v>
      </c>
      <c r="B1034" s="9" t="s">
        <v>766</v>
      </c>
      <c r="C1034" s="10">
        <v>44299</v>
      </c>
      <c r="D1034" s="9" t="s">
        <v>24</v>
      </c>
      <c r="E1034" s="9" t="s">
        <v>25</v>
      </c>
      <c r="F1034" s="9" t="s">
        <v>26</v>
      </c>
      <c r="G1034" s="9" t="s">
        <v>27</v>
      </c>
      <c r="H1034" s="9" t="s">
        <v>28</v>
      </c>
      <c r="I1034" s="9" t="s">
        <v>29</v>
      </c>
      <c r="J1034" s="9" t="s">
        <v>30</v>
      </c>
      <c r="K1034" s="9" t="s">
        <v>31</v>
      </c>
      <c r="L1034" s="9" t="s">
        <v>32</v>
      </c>
      <c r="M1034" s="9" t="s">
        <v>767</v>
      </c>
      <c r="N1034" s="9" t="s">
        <v>415</v>
      </c>
      <c r="O1034" s="9" t="s">
        <v>227</v>
      </c>
      <c r="P1034" s="9" t="s">
        <v>768</v>
      </c>
      <c r="Q1034" s="9">
        <v>100849154</v>
      </c>
      <c r="R1034" s="9" t="s">
        <v>38</v>
      </c>
      <c r="S1034" s="9" t="s">
        <v>39</v>
      </c>
      <c r="T1034" s="11">
        <v>1</v>
      </c>
      <c r="U1034" s="15" t="s">
        <v>227</v>
      </c>
      <c r="V1034" s="16" t="s">
        <v>768</v>
      </c>
      <c r="W1034" s="17">
        <v>100849154</v>
      </c>
      <c r="X1034" s="16" t="s">
        <v>2583</v>
      </c>
      <c r="Y1034" s="17" t="s">
        <v>2810</v>
      </c>
      <c r="Z1034" s="17" t="s">
        <v>39</v>
      </c>
      <c r="AA1034" s="17" t="s">
        <v>37</v>
      </c>
      <c r="AB1034" s="29">
        <v>250.63</v>
      </c>
      <c r="AC1034" s="25">
        <v>244.1</v>
      </c>
      <c r="AD1034" s="25">
        <f>AC1034*T1034</f>
        <v>244.1</v>
      </c>
      <c r="AE1034" s="25">
        <f>AB1034*T1034</f>
        <v>250.63</v>
      </c>
      <c r="AF1034" s="25">
        <f>AD1034-AE1034</f>
        <v>-6.5300000000000011</v>
      </c>
      <c r="AG1034" s="26">
        <f>AF1034/AD1034</f>
        <v>-2.6751331421548549E-2</v>
      </c>
      <c r="AH1034" s="27" t="str">
        <f>IF(AG1034&lt;0,"Negative",IF(AG1034=0,"Same",IF(AG1034&gt;0.3,"30+%",IF(AG1034&gt;0.2,"20-30%",IF(AG1034&gt;0.1,"10-20%",IF(AG1034&lt;=0.1,"0-10%"))))))</f>
        <v>Negative</v>
      </c>
      <c r="AI1034" s="32"/>
      <c r="AJ1034" s="36" t="s">
        <v>3300</v>
      </c>
      <c r="AK1034" s="32"/>
    </row>
    <row r="1035" spans="1:37" s="1" customFormat="1" ht="19.7" customHeight="1" x14ac:dyDescent="0.25">
      <c r="A1035" s="5" t="s">
        <v>22</v>
      </c>
      <c r="B1035" s="5" t="s">
        <v>760</v>
      </c>
      <c r="C1035" s="6">
        <v>44298</v>
      </c>
      <c r="D1035" s="5" t="s">
        <v>24</v>
      </c>
      <c r="E1035" s="5" t="s">
        <v>25</v>
      </c>
      <c r="F1035" s="5" t="s">
        <v>26</v>
      </c>
      <c r="G1035" s="5" t="s">
        <v>27</v>
      </c>
      <c r="H1035" s="5" t="s">
        <v>28</v>
      </c>
      <c r="I1035" s="5" t="s">
        <v>29</v>
      </c>
      <c r="J1035" s="5" t="s">
        <v>30</v>
      </c>
      <c r="K1035" s="5" t="s">
        <v>31</v>
      </c>
      <c r="L1035" s="5" t="s">
        <v>32</v>
      </c>
      <c r="M1035" s="5" t="s">
        <v>764</v>
      </c>
      <c r="N1035" s="5" t="s">
        <v>762</v>
      </c>
      <c r="O1035" s="5" t="s">
        <v>79</v>
      </c>
      <c r="P1035" s="5" t="s">
        <v>765</v>
      </c>
      <c r="Q1035" s="5">
        <v>113033840</v>
      </c>
      <c r="R1035" s="5" t="s">
        <v>61</v>
      </c>
      <c r="S1035" s="5" t="s">
        <v>39</v>
      </c>
      <c r="T1035" s="7">
        <v>1</v>
      </c>
      <c r="U1035" s="15" t="s">
        <v>79</v>
      </c>
      <c r="V1035" s="16" t="s">
        <v>765</v>
      </c>
      <c r="W1035" s="17">
        <v>113033840</v>
      </c>
      <c r="X1035" s="16" t="s">
        <v>2608</v>
      </c>
      <c r="Y1035" s="17" t="s">
        <v>2809</v>
      </c>
      <c r="Z1035" s="17" t="s">
        <v>39</v>
      </c>
      <c r="AA1035" s="17" t="s">
        <v>37</v>
      </c>
      <c r="AB1035" s="43">
        <v>123.23</v>
      </c>
      <c r="AC1035" s="25">
        <v>143.97</v>
      </c>
      <c r="AD1035" s="25">
        <f>AC1035*T1035</f>
        <v>143.97</v>
      </c>
      <c r="AE1035" s="25">
        <f>AB1035*T1035</f>
        <v>123.23</v>
      </c>
      <c r="AF1035" s="25">
        <f>AD1035-AE1035</f>
        <v>20.739999999999995</v>
      </c>
      <c r="AG1035" s="26">
        <f>AF1035/AD1035</f>
        <v>0.14405778981732301</v>
      </c>
      <c r="AH1035" s="27" t="str">
        <f>IF(AG1035&lt;0,"Negative",IF(AG1035=0,"Same",IF(AG1035&gt;0.3,"30+%",IF(AG1035&gt;0.2,"20-30%",IF(AG1035&gt;0.1,"10-20%",IF(AG1035&lt;=0.1,"0-10%"))))))</f>
        <v>10-20%</v>
      </c>
      <c r="AI1035" s="32"/>
      <c r="AJ1035" s="36" t="s">
        <v>3299</v>
      </c>
      <c r="AK1035" s="32"/>
    </row>
    <row r="1036" spans="1:37" s="1" customFormat="1" ht="19.7" customHeight="1" x14ac:dyDescent="0.25">
      <c r="A1036" s="9" t="s">
        <v>22</v>
      </c>
      <c r="B1036" s="9" t="s">
        <v>397</v>
      </c>
      <c r="C1036" s="10">
        <v>44258</v>
      </c>
      <c r="D1036" s="9" t="s">
        <v>24</v>
      </c>
      <c r="E1036" s="9" t="s">
        <v>25</v>
      </c>
      <c r="F1036" s="9" t="s">
        <v>26</v>
      </c>
      <c r="G1036" s="9" t="s">
        <v>27</v>
      </c>
      <c r="H1036" s="9" t="s">
        <v>28</v>
      </c>
      <c r="I1036" s="9" t="s">
        <v>29</v>
      </c>
      <c r="J1036" s="9" t="s">
        <v>30</v>
      </c>
      <c r="K1036" s="9" t="s">
        <v>31</v>
      </c>
      <c r="L1036" s="9" t="s">
        <v>32</v>
      </c>
      <c r="M1036" s="9" t="s">
        <v>398</v>
      </c>
      <c r="N1036" s="9" t="s">
        <v>399</v>
      </c>
      <c r="O1036" s="9" t="s">
        <v>79</v>
      </c>
      <c r="P1036" s="9" t="s">
        <v>400</v>
      </c>
      <c r="Q1036" s="9">
        <v>101481692</v>
      </c>
      <c r="R1036" s="9" t="s">
        <v>61</v>
      </c>
      <c r="S1036" s="9" t="s">
        <v>39</v>
      </c>
      <c r="T1036" s="11">
        <v>1</v>
      </c>
      <c r="U1036" s="15" t="s">
        <v>79</v>
      </c>
      <c r="V1036" s="16" t="s">
        <v>400</v>
      </c>
      <c r="W1036" s="17">
        <v>101481692</v>
      </c>
      <c r="X1036" s="16" t="s">
        <v>2540</v>
      </c>
      <c r="Y1036" s="17" t="s">
        <v>2657</v>
      </c>
      <c r="Z1036" s="17" t="s">
        <v>39</v>
      </c>
      <c r="AA1036" s="17" t="s">
        <v>37</v>
      </c>
      <c r="AB1036" s="43">
        <v>119.23</v>
      </c>
      <c r="AC1036" s="25">
        <v>125.78</v>
      </c>
      <c r="AD1036" s="25">
        <f>AC1036*T1036</f>
        <v>125.78</v>
      </c>
      <c r="AE1036" s="25">
        <f>AB1036*T1036</f>
        <v>119.23</v>
      </c>
      <c r="AF1036" s="25">
        <f>AD1036-AE1036</f>
        <v>6.5499999999999972</v>
      </c>
      <c r="AG1036" s="26">
        <f>AF1036/AD1036</f>
        <v>5.2075051677532173E-2</v>
      </c>
      <c r="AH1036" s="27" t="str">
        <f>IF(AG1036&lt;0,"Negative",IF(AG1036=0,"Same",IF(AG1036&gt;0.3,"30+%",IF(AG1036&gt;0.2,"20-30%",IF(AG1036&gt;0.1,"10-20%",IF(AG1036&lt;=0.1,"0-10%"))))))</f>
        <v>0-10%</v>
      </c>
      <c r="AI1036" s="32"/>
      <c r="AJ1036" s="36" t="s">
        <v>3299</v>
      </c>
      <c r="AK1036" s="32"/>
    </row>
    <row r="1037" spans="1:37" s="1" customFormat="1" ht="19.7" customHeight="1" x14ac:dyDescent="0.25">
      <c r="A1037" s="5" t="s">
        <v>22</v>
      </c>
      <c r="B1037" s="5" t="s">
        <v>453</v>
      </c>
      <c r="C1037" s="6">
        <v>44265</v>
      </c>
      <c r="D1037" s="5" t="s">
        <v>24</v>
      </c>
      <c r="E1037" s="5" t="s">
        <v>25</v>
      </c>
      <c r="F1037" s="5" t="s">
        <v>26</v>
      </c>
      <c r="G1037" s="5" t="s">
        <v>27</v>
      </c>
      <c r="H1037" s="5" t="s">
        <v>28</v>
      </c>
      <c r="I1037" s="5" t="s">
        <v>29</v>
      </c>
      <c r="J1037" s="5" t="s">
        <v>30</v>
      </c>
      <c r="K1037" s="5" t="s">
        <v>31</v>
      </c>
      <c r="L1037" s="5" t="s">
        <v>32</v>
      </c>
      <c r="M1037" s="5" t="s">
        <v>454</v>
      </c>
      <c r="N1037" s="5" t="s">
        <v>399</v>
      </c>
      <c r="O1037" s="5" t="s">
        <v>455</v>
      </c>
      <c r="P1037" s="5" t="s">
        <v>456</v>
      </c>
      <c r="Q1037" s="5">
        <v>102088677</v>
      </c>
      <c r="R1037" s="5" t="s">
        <v>51</v>
      </c>
      <c r="S1037" s="5" t="s">
        <v>39</v>
      </c>
      <c r="T1037" s="7">
        <v>1</v>
      </c>
      <c r="U1037" s="15" t="s">
        <v>455</v>
      </c>
      <c r="V1037" s="16" t="s">
        <v>456</v>
      </c>
      <c r="W1037" s="17">
        <v>102088677</v>
      </c>
      <c r="X1037" s="16" t="s">
        <v>2679</v>
      </c>
      <c r="Y1037" s="17" t="s">
        <v>2680</v>
      </c>
      <c r="Z1037" s="17" t="s">
        <v>39</v>
      </c>
      <c r="AA1037" s="17" t="s">
        <v>37</v>
      </c>
      <c r="AB1037" s="29">
        <v>180.93</v>
      </c>
      <c r="AC1037" s="25">
        <v>198.01</v>
      </c>
      <c r="AD1037" s="25">
        <f>AC1037*T1037</f>
        <v>198.01</v>
      </c>
      <c r="AE1037" s="25">
        <f>AB1037*T1037</f>
        <v>180.93</v>
      </c>
      <c r="AF1037" s="25">
        <f>AD1037-AE1037</f>
        <v>17.079999999999984</v>
      </c>
      <c r="AG1037" s="26">
        <f>AF1037/AD1037</f>
        <v>8.6258269784354247E-2</v>
      </c>
      <c r="AH1037" s="27" t="str">
        <f>IF(AG1037&lt;0,"Negative",IF(AG1037=0,"Same",IF(AG1037&gt;0.3,"30+%",IF(AG1037&gt;0.2,"20-30%",IF(AG1037&gt;0.1,"10-20%",IF(AG1037&lt;=0.1,"0-10%"))))))</f>
        <v>0-10%</v>
      </c>
      <c r="AI1037" s="32"/>
      <c r="AJ1037" s="36" t="s">
        <v>3300</v>
      </c>
      <c r="AK1037" s="32"/>
    </row>
    <row r="1038" spans="1:37" s="1" customFormat="1" ht="19.7" customHeight="1" x14ac:dyDescent="0.25">
      <c r="A1038" s="5" t="s">
        <v>22</v>
      </c>
      <c r="B1038" s="5" t="s">
        <v>510</v>
      </c>
      <c r="C1038" s="6">
        <v>44272</v>
      </c>
      <c r="D1038" s="5" t="s">
        <v>24</v>
      </c>
      <c r="E1038" s="5" t="s">
        <v>25</v>
      </c>
      <c r="F1038" s="5" t="s">
        <v>26</v>
      </c>
      <c r="G1038" s="5" t="s">
        <v>27</v>
      </c>
      <c r="H1038" s="5" t="s">
        <v>28</v>
      </c>
      <c r="I1038" s="5" t="s">
        <v>29</v>
      </c>
      <c r="J1038" s="5" t="s">
        <v>30</v>
      </c>
      <c r="K1038" s="5" t="s">
        <v>31</v>
      </c>
      <c r="L1038" s="5" t="s">
        <v>32</v>
      </c>
      <c r="M1038" s="5" t="s">
        <v>511</v>
      </c>
      <c r="N1038" s="5" t="s">
        <v>512</v>
      </c>
      <c r="O1038" s="5" t="s">
        <v>154</v>
      </c>
      <c r="P1038" s="5" t="s">
        <v>513</v>
      </c>
      <c r="Q1038" s="5">
        <v>100736557</v>
      </c>
      <c r="R1038" s="5" t="s">
        <v>61</v>
      </c>
      <c r="S1038" s="5" t="s">
        <v>39</v>
      </c>
      <c r="T1038" s="7">
        <v>1</v>
      </c>
      <c r="U1038" s="15" t="s">
        <v>154</v>
      </c>
      <c r="V1038" s="16" t="s">
        <v>513</v>
      </c>
      <c r="W1038" s="17">
        <v>100736557</v>
      </c>
      <c r="X1038" s="16" t="s">
        <v>2708</v>
      </c>
      <c r="Y1038" s="17" t="s">
        <v>2709</v>
      </c>
      <c r="Z1038" s="17" t="s">
        <v>39</v>
      </c>
      <c r="AA1038" s="17" t="s">
        <v>37</v>
      </c>
      <c r="AB1038" s="43">
        <v>239.45</v>
      </c>
      <c r="AC1038" s="25">
        <v>255.45</v>
      </c>
      <c r="AD1038" s="25">
        <f>AC1038*T1038</f>
        <v>255.45</v>
      </c>
      <c r="AE1038" s="25">
        <f>AB1038*T1038</f>
        <v>239.45</v>
      </c>
      <c r="AF1038" s="25">
        <f>AD1038-AE1038</f>
        <v>16</v>
      </c>
      <c r="AG1038" s="26">
        <f>AF1038/AD1038</f>
        <v>6.2634566451360341E-2</v>
      </c>
      <c r="AH1038" s="27" t="str">
        <f>IF(AG1038&lt;0,"Negative",IF(AG1038=0,"Same",IF(AG1038&gt;0.3,"30+%",IF(AG1038&gt;0.2,"20-30%",IF(AG1038&gt;0.1,"10-20%",IF(AG1038&lt;=0.1,"0-10%"))))))</f>
        <v>0-10%</v>
      </c>
      <c r="AI1038" s="32"/>
      <c r="AJ1038" s="36" t="s">
        <v>3300</v>
      </c>
      <c r="AK1038" s="32"/>
    </row>
    <row r="1039" spans="1:37" s="1" customFormat="1" ht="19.7" customHeight="1" x14ac:dyDescent="0.25">
      <c r="A1039" s="5" t="s">
        <v>22</v>
      </c>
      <c r="B1039" s="5" t="s">
        <v>2432</v>
      </c>
      <c r="C1039" s="6">
        <v>44586</v>
      </c>
      <c r="D1039" s="5" t="s">
        <v>24</v>
      </c>
      <c r="E1039" s="5" t="s">
        <v>25</v>
      </c>
      <c r="F1039" s="5" t="s">
        <v>26</v>
      </c>
      <c r="G1039" s="5" t="s">
        <v>27</v>
      </c>
      <c r="H1039" s="5" t="s">
        <v>28</v>
      </c>
      <c r="I1039" s="5" t="s">
        <v>29</v>
      </c>
      <c r="J1039" s="5" t="s">
        <v>30</v>
      </c>
      <c r="K1039" s="5" t="s">
        <v>31</v>
      </c>
      <c r="L1039" s="5" t="s">
        <v>32</v>
      </c>
      <c r="M1039" s="5" t="s">
        <v>578</v>
      </c>
      <c r="N1039" s="5" t="s">
        <v>2426</v>
      </c>
      <c r="O1039" s="5" t="s">
        <v>35</v>
      </c>
      <c r="P1039" s="5" t="s">
        <v>580</v>
      </c>
      <c r="Q1039" s="5">
        <v>100559768</v>
      </c>
      <c r="R1039" s="5" t="s">
        <v>38</v>
      </c>
      <c r="S1039" s="5" t="s">
        <v>39</v>
      </c>
      <c r="T1039" s="7">
        <v>1</v>
      </c>
      <c r="U1039" s="15" t="s">
        <v>35</v>
      </c>
      <c r="V1039" s="16" t="s">
        <v>580</v>
      </c>
      <c r="W1039" s="17">
        <v>100559768</v>
      </c>
      <c r="X1039" s="16" t="s">
        <v>2737</v>
      </c>
      <c r="Y1039" s="17" t="s">
        <v>2738</v>
      </c>
      <c r="Z1039" s="17" t="s">
        <v>39</v>
      </c>
      <c r="AA1039" s="17" t="s">
        <v>37</v>
      </c>
      <c r="AB1039" s="29">
        <v>173</v>
      </c>
      <c r="AC1039" s="25">
        <v>168.48</v>
      </c>
      <c r="AD1039" s="25">
        <f>AC1039*T1039</f>
        <v>168.48</v>
      </c>
      <c r="AE1039" s="25">
        <f>AB1039*T1039</f>
        <v>173</v>
      </c>
      <c r="AF1039" s="25">
        <f>AD1039-AE1039</f>
        <v>-4.5200000000000102</v>
      </c>
      <c r="AG1039" s="26">
        <f>AF1039/AD1039</f>
        <v>-2.6828110161443559E-2</v>
      </c>
      <c r="AH1039" s="27" t="str">
        <f>IF(AG1039&lt;0,"Negative",IF(AG1039=0,"Same",IF(AG1039&gt;0.3,"30+%",IF(AG1039&gt;0.2,"20-30%",IF(AG1039&gt;0.1,"10-20%",IF(AG1039&lt;=0.1,"0-10%"))))))</f>
        <v>Negative</v>
      </c>
      <c r="AI1039" s="32"/>
      <c r="AJ1039" s="36" t="s">
        <v>3299</v>
      </c>
      <c r="AK1039" s="32"/>
    </row>
    <row r="1040" spans="1:37" s="1" customFormat="1" ht="19.7" customHeight="1" x14ac:dyDescent="0.25">
      <c r="A1040" s="5" t="s">
        <v>22</v>
      </c>
      <c r="B1040" s="5" t="s">
        <v>2417</v>
      </c>
      <c r="C1040" s="6">
        <v>44582</v>
      </c>
      <c r="D1040" s="5" t="s">
        <v>24</v>
      </c>
      <c r="E1040" s="5" t="s">
        <v>25</v>
      </c>
      <c r="F1040" s="5" t="s">
        <v>26</v>
      </c>
      <c r="G1040" s="5" t="s">
        <v>27</v>
      </c>
      <c r="H1040" s="5" t="s">
        <v>28</v>
      </c>
      <c r="I1040" s="5" t="s">
        <v>29</v>
      </c>
      <c r="J1040" s="5" t="s">
        <v>30</v>
      </c>
      <c r="K1040" s="5" t="s">
        <v>31</v>
      </c>
      <c r="L1040" s="5" t="s">
        <v>32</v>
      </c>
      <c r="M1040" s="5" t="s">
        <v>578</v>
      </c>
      <c r="N1040" s="5" t="s">
        <v>2397</v>
      </c>
      <c r="O1040" s="5" t="s">
        <v>35</v>
      </c>
      <c r="P1040" s="5" t="s">
        <v>580</v>
      </c>
      <c r="Q1040" s="5">
        <v>100559768</v>
      </c>
      <c r="R1040" s="5" t="s">
        <v>38</v>
      </c>
      <c r="S1040" s="5" t="s">
        <v>39</v>
      </c>
      <c r="T1040" s="7">
        <v>1</v>
      </c>
      <c r="U1040" s="15" t="s">
        <v>35</v>
      </c>
      <c r="V1040" s="16" t="s">
        <v>580</v>
      </c>
      <c r="W1040" s="17">
        <v>100559768</v>
      </c>
      <c r="X1040" s="16" t="s">
        <v>2737</v>
      </c>
      <c r="Y1040" s="17" t="s">
        <v>2738</v>
      </c>
      <c r="Z1040" s="17" t="s">
        <v>39</v>
      </c>
      <c r="AA1040" s="17" t="s">
        <v>37</v>
      </c>
      <c r="AB1040" s="29">
        <v>173</v>
      </c>
      <c r="AC1040" s="25">
        <v>168.48</v>
      </c>
      <c r="AD1040" s="25">
        <f>AC1040*T1040</f>
        <v>168.48</v>
      </c>
      <c r="AE1040" s="25">
        <f>AB1040*T1040</f>
        <v>173</v>
      </c>
      <c r="AF1040" s="25">
        <f>AD1040-AE1040</f>
        <v>-4.5200000000000102</v>
      </c>
      <c r="AG1040" s="26">
        <f>AF1040/AD1040</f>
        <v>-2.6828110161443559E-2</v>
      </c>
      <c r="AH1040" s="27" t="str">
        <f>IF(AG1040&lt;0,"Negative",IF(AG1040=0,"Same",IF(AG1040&gt;0.3,"30+%",IF(AG1040&gt;0.2,"20-30%",IF(AG1040&gt;0.1,"10-20%",IF(AG1040&lt;=0.1,"0-10%"))))))</f>
        <v>Negative</v>
      </c>
      <c r="AI1040" s="32"/>
      <c r="AJ1040" s="36" t="s">
        <v>3299</v>
      </c>
      <c r="AK1040" s="32"/>
    </row>
    <row r="1041" spans="1:37" s="1" customFormat="1" ht="19.7" customHeight="1" x14ac:dyDescent="0.25">
      <c r="A1041" s="5" t="s">
        <v>22</v>
      </c>
      <c r="B1041" s="5" t="s">
        <v>2312</v>
      </c>
      <c r="C1041" s="6">
        <v>44566</v>
      </c>
      <c r="D1041" s="5" t="s">
        <v>24</v>
      </c>
      <c r="E1041" s="5" t="s">
        <v>25</v>
      </c>
      <c r="F1041" s="5" t="s">
        <v>26</v>
      </c>
      <c r="G1041" s="5" t="s">
        <v>27</v>
      </c>
      <c r="H1041" s="5" t="s">
        <v>28</v>
      </c>
      <c r="I1041" s="5" t="s">
        <v>29</v>
      </c>
      <c r="J1041" s="5" t="s">
        <v>30</v>
      </c>
      <c r="K1041" s="5" t="s">
        <v>31</v>
      </c>
      <c r="L1041" s="5" t="s">
        <v>32</v>
      </c>
      <c r="M1041" s="5" t="s">
        <v>2313</v>
      </c>
      <c r="N1041" s="5" t="s">
        <v>2254</v>
      </c>
      <c r="O1041" s="5" t="s">
        <v>575</v>
      </c>
      <c r="P1041" s="5" t="s">
        <v>2314</v>
      </c>
      <c r="Q1041" s="5">
        <v>100332490</v>
      </c>
      <c r="R1041" s="5" t="s">
        <v>38</v>
      </c>
      <c r="S1041" s="5" t="s">
        <v>39</v>
      </c>
      <c r="T1041" s="7">
        <v>1</v>
      </c>
      <c r="U1041" s="15" t="s">
        <v>575</v>
      </c>
      <c r="V1041" s="16" t="s">
        <v>2314</v>
      </c>
      <c r="W1041" s="17">
        <v>100332490</v>
      </c>
      <c r="X1041" s="16" t="s">
        <v>2763</v>
      </c>
      <c r="Y1041" s="17" t="s">
        <v>3245</v>
      </c>
      <c r="Z1041" s="17" t="s">
        <v>39</v>
      </c>
      <c r="AA1041" s="17" t="s">
        <v>37</v>
      </c>
      <c r="AB1041" s="29">
        <v>271.49</v>
      </c>
      <c r="AC1041" s="25">
        <v>277.63</v>
      </c>
      <c r="AD1041" s="25">
        <f>AC1041*T1041</f>
        <v>277.63</v>
      </c>
      <c r="AE1041" s="25">
        <f>AB1041*T1041</f>
        <v>271.49</v>
      </c>
      <c r="AF1041" s="25">
        <f>AD1041-AE1041</f>
        <v>6.1399999999999864</v>
      </c>
      <c r="AG1041" s="26">
        <f>AF1041/AD1041</f>
        <v>2.2115765587292391E-2</v>
      </c>
      <c r="AH1041" s="27" t="str">
        <f>IF(AG1041&lt;0,"Negative",IF(AG1041=0,"Same",IF(AG1041&gt;0.3,"30+%",IF(AG1041&gt;0.2,"20-30%",IF(AG1041&gt;0.1,"10-20%",IF(AG1041&lt;=0.1,"0-10%"))))))</f>
        <v>0-10%</v>
      </c>
      <c r="AI1041" s="32"/>
      <c r="AJ1041" s="36" t="s">
        <v>3300</v>
      </c>
      <c r="AK1041" s="32"/>
    </row>
    <row r="1042" spans="1:37" s="1" customFormat="1" ht="19.7" customHeight="1" x14ac:dyDescent="0.25">
      <c r="A1042" s="9" t="s">
        <v>22</v>
      </c>
      <c r="B1042" s="9" t="s">
        <v>1400</v>
      </c>
      <c r="C1042" s="10">
        <v>44391</v>
      </c>
      <c r="D1042" s="9" t="s">
        <v>24</v>
      </c>
      <c r="E1042" s="9" t="s">
        <v>25</v>
      </c>
      <c r="F1042" s="9" t="s">
        <v>26</v>
      </c>
      <c r="G1042" s="9" t="s">
        <v>27</v>
      </c>
      <c r="H1042" s="9" t="s">
        <v>28</v>
      </c>
      <c r="I1042" s="9" t="s">
        <v>29</v>
      </c>
      <c r="J1042" s="9" t="s">
        <v>30</v>
      </c>
      <c r="K1042" s="9" t="s">
        <v>31</v>
      </c>
      <c r="L1042" s="9" t="s">
        <v>32</v>
      </c>
      <c r="M1042" s="9" t="s">
        <v>1405</v>
      </c>
      <c r="N1042" s="9" t="s">
        <v>1399</v>
      </c>
      <c r="O1042" s="9" t="s">
        <v>98</v>
      </c>
      <c r="P1042" s="9" t="s">
        <v>1406</v>
      </c>
      <c r="Q1042" s="9">
        <v>102109851</v>
      </c>
      <c r="R1042" s="9" t="s">
        <v>56</v>
      </c>
      <c r="S1042" s="9" t="s">
        <v>39</v>
      </c>
      <c r="T1042" s="11">
        <v>2</v>
      </c>
      <c r="U1042" s="15" t="s">
        <v>98</v>
      </c>
      <c r="V1042" s="16" t="s">
        <v>1406</v>
      </c>
      <c r="W1042" s="17">
        <v>102109851</v>
      </c>
      <c r="X1042" s="16" t="s">
        <v>2522</v>
      </c>
      <c r="Y1042" s="17" t="s">
        <v>3027</v>
      </c>
      <c r="Z1042" s="17" t="s">
        <v>39</v>
      </c>
      <c r="AA1042" s="17" t="s">
        <v>37</v>
      </c>
      <c r="AB1042" s="43">
        <v>168.36</v>
      </c>
      <c r="AC1042" s="25">
        <v>187.16</v>
      </c>
      <c r="AD1042" s="25">
        <f>AC1042*T1042</f>
        <v>374.32</v>
      </c>
      <c r="AE1042" s="25">
        <f>AB1042*T1042</f>
        <v>336.72</v>
      </c>
      <c r="AF1042" s="25">
        <f>AD1042-AE1042</f>
        <v>37.599999999999966</v>
      </c>
      <c r="AG1042" s="26">
        <f>AF1042/AD1042</f>
        <v>0.10044881384911297</v>
      </c>
      <c r="AH1042" s="27" t="str">
        <f>IF(AG1042&lt;0,"Negative",IF(AG1042=0,"Same",IF(AG1042&gt;0.3,"30+%",IF(AG1042&gt;0.2,"20-30%",IF(AG1042&gt;0.1,"10-20%",IF(AG1042&lt;=0.1,"0-10%"))))))</f>
        <v>10-20%</v>
      </c>
      <c r="AI1042" s="32"/>
      <c r="AJ1042" s="36" t="s">
        <v>3299</v>
      </c>
      <c r="AK1042" s="32"/>
    </row>
    <row r="1043" spans="1:37" s="1" customFormat="1" ht="19.7" customHeight="1" x14ac:dyDescent="0.25">
      <c r="A1043" s="9" t="s">
        <v>22</v>
      </c>
      <c r="B1043" s="9" t="s">
        <v>1823</v>
      </c>
      <c r="C1043" s="10">
        <v>44467</v>
      </c>
      <c r="D1043" s="9" t="s">
        <v>24</v>
      </c>
      <c r="E1043" s="9" t="s">
        <v>25</v>
      </c>
      <c r="F1043" s="9" t="s">
        <v>26</v>
      </c>
      <c r="G1043" s="9" t="s">
        <v>27</v>
      </c>
      <c r="H1043" s="9" t="s">
        <v>28</v>
      </c>
      <c r="I1043" s="9" t="s">
        <v>29</v>
      </c>
      <c r="J1043" s="9" t="s">
        <v>30</v>
      </c>
      <c r="K1043" s="9" t="s">
        <v>31</v>
      </c>
      <c r="L1043" s="9" t="s">
        <v>32</v>
      </c>
      <c r="M1043" s="9" t="s">
        <v>1824</v>
      </c>
      <c r="N1043" s="9" t="s">
        <v>1825</v>
      </c>
      <c r="O1043" s="9" t="s">
        <v>35</v>
      </c>
      <c r="P1043" s="9" t="s">
        <v>1826</v>
      </c>
      <c r="Q1043" s="9">
        <v>101766780</v>
      </c>
      <c r="R1043" s="9" t="s">
        <v>38</v>
      </c>
      <c r="S1043" s="9" t="s">
        <v>39</v>
      </c>
      <c r="T1043" s="11">
        <v>1</v>
      </c>
      <c r="U1043" s="15" t="s">
        <v>35</v>
      </c>
      <c r="V1043" s="16" t="s">
        <v>1826</v>
      </c>
      <c r="W1043" s="17">
        <v>101766780</v>
      </c>
      <c r="X1043" s="16" t="s">
        <v>2737</v>
      </c>
      <c r="Y1043" s="17" t="s">
        <v>3143</v>
      </c>
      <c r="Z1043" s="17" t="s">
        <v>39</v>
      </c>
      <c r="AA1043" s="17" t="s">
        <v>37</v>
      </c>
      <c r="AB1043" s="29">
        <v>164.76</v>
      </c>
      <c r="AC1043" s="25">
        <v>168.48</v>
      </c>
      <c r="AD1043" s="25">
        <f>AC1043*T1043</f>
        <v>168.48</v>
      </c>
      <c r="AE1043" s="25">
        <f>AB1043*T1043</f>
        <v>164.76</v>
      </c>
      <c r="AF1043" s="25">
        <f>AD1043-AE1043</f>
        <v>3.7199999999999989</v>
      </c>
      <c r="AG1043" s="26">
        <f>AF1043/AD1043</f>
        <v>2.2079772079772075E-2</v>
      </c>
      <c r="AH1043" s="27" t="str">
        <f>IF(AG1043&lt;0,"Negative",IF(AG1043=0,"Same",IF(AG1043&gt;0.3,"30+%",IF(AG1043&gt;0.2,"20-30%",IF(AG1043&gt;0.1,"10-20%",IF(AG1043&lt;=0.1,"0-10%"))))))</f>
        <v>0-10%</v>
      </c>
      <c r="AI1043" s="32"/>
      <c r="AJ1043" s="36" t="s">
        <v>3300</v>
      </c>
      <c r="AK1043" s="32"/>
    </row>
    <row r="1044" spans="1:37" s="1" customFormat="1" ht="19.7" customHeight="1" x14ac:dyDescent="0.25">
      <c r="A1044" s="9" t="s">
        <v>22</v>
      </c>
      <c r="B1044" s="9" t="s">
        <v>1582</v>
      </c>
      <c r="C1044" s="10">
        <v>44421</v>
      </c>
      <c r="D1044" s="9" t="s">
        <v>24</v>
      </c>
      <c r="E1044" s="9" t="s">
        <v>25</v>
      </c>
      <c r="F1044" s="9" t="s">
        <v>26</v>
      </c>
      <c r="G1044" s="9" t="s">
        <v>27</v>
      </c>
      <c r="H1044" s="9" t="s">
        <v>28</v>
      </c>
      <c r="I1044" s="9" t="s">
        <v>29</v>
      </c>
      <c r="J1044" s="9" t="s">
        <v>30</v>
      </c>
      <c r="K1044" s="9" t="s">
        <v>31</v>
      </c>
      <c r="L1044" s="9" t="s">
        <v>32</v>
      </c>
      <c r="M1044" s="9" t="s">
        <v>1584</v>
      </c>
      <c r="N1044" s="9" t="s">
        <v>1526</v>
      </c>
      <c r="O1044" s="9" t="s">
        <v>455</v>
      </c>
      <c r="P1044" s="9" t="s">
        <v>1585</v>
      </c>
      <c r="Q1044" s="9">
        <v>102220137</v>
      </c>
      <c r="R1044" s="9" t="s">
        <v>51</v>
      </c>
      <c r="S1044" s="9" t="s">
        <v>39</v>
      </c>
      <c r="T1044" s="11">
        <v>1</v>
      </c>
      <c r="U1044" s="15" t="s">
        <v>455</v>
      </c>
      <c r="V1044" s="16" t="s">
        <v>1585</v>
      </c>
      <c r="W1044" s="17">
        <v>102220137</v>
      </c>
      <c r="X1044" s="16" t="s">
        <v>2679</v>
      </c>
      <c r="Y1044" s="17" t="s">
        <v>3084</v>
      </c>
      <c r="Z1044" s="17" t="s">
        <v>39</v>
      </c>
      <c r="AA1044" s="17" t="s">
        <v>37</v>
      </c>
      <c r="AB1044" s="29">
        <v>185.28</v>
      </c>
      <c r="AC1044" s="25">
        <v>214.91</v>
      </c>
      <c r="AD1044" s="25">
        <f>AC1044*T1044</f>
        <v>214.91</v>
      </c>
      <c r="AE1044" s="25">
        <f>AB1044*T1044</f>
        <v>185.28</v>
      </c>
      <c r="AF1044" s="25">
        <f>AD1044-AE1044</f>
        <v>29.629999999999995</v>
      </c>
      <c r="AG1044" s="26">
        <f>AF1044/AD1044</f>
        <v>0.13787166720952956</v>
      </c>
      <c r="AH1044" s="27" t="str">
        <f>IF(AG1044&lt;0,"Negative",IF(AG1044=0,"Same",IF(AG1044&gt;0.3,"30+%",IF(AG1044&gt;0.2,"20-30%",IF(AG1044&gt;0.1,"10-20%",IF(AG1044&lt;=0.1,"0-10%"))))))</f>
        <v>10-20%</v>
      </c>
      <c r="AI1044" s="32"/>
      <c r="AJ1044" s="36" t="s">
        <v>3299</v>
      </c>
      <c r="AK1044" s="32"/>
    </row>
    <row r="1045" spans="1:37" s="1" customFormat="1" ht="19.7" customHeight="1" x14ac:dyDescent="0.25">
      <c r="A1045" s="9" t="s">
        <v>22</v>
      </c>
      <c r="B1045" s="9" t="s">
        <v>1978</v>
      </c>
      <c r="C1045" s="10">
        <v>44494</v>
      </c>
      <c r="D1045" s="9" t="s">
        <v>24</v>
      </c>
      <c r="E1045" s="9" t="s">
        <v>25</v>
      </c>
      <c r="F1045" s="9" t="s">
        <v>26</v>
      </c>
      <c r="G1045" s="9" t="s">
        <v>67</v>
      </c>
      <c r="H1045" s="9" t="s">
        <v>68</v>
      </c>
      <c r="I1045" s="9" t="s">
        <v>29</v>
      </c>
      <c r="J1045" s="9" t="s">
        <v>30</v>
      </c>
      <c r="K1045" s="9" t="s">
        <v>31</v>
      </c>
      <c r="L1045" s="9" t="s">
        <v>32</v>
      </c>
      <c r="M1045" s="9" t="s">
        <v>758</v>
      </c>
      <c r="N1045" s="9" t="s">
        <v>1979</v>
      </c>
      <c r="O1045" s="9" t="s">
        <v>727</v>
      </c>
      <c r="P1045" s="9" t="s">
        <v>759</v>
      </c>
      <c r="Q1045" s="9">
        <v>110914715</v>
      </c>
      <c r="R1045" s="9" t="s">
        <v>38</v>
      </c>
      <c r="S1045" s="9" t="s">
        <v>39</v>
      </c>
      <c r="T1045" s="11">
        <v>1</v>
      </c>
      <c r="U1045" s="15" t="s">
        <v>727</v>
      </c>
      <c r="V1045" s="16" t="s">
        <v>759</v>
      </c>
      <c r="W1045" s="17">
        <v>110914715</v>
      </c>
      <c r="X1045" s="16" t="s">
        <v>2795</v>
      </c>
      <c r="Y1045" s="17" t="s">
        <v>2807</v>
      </c>
      <c r="Z1045" s="17" t="s">
        <v>39</v>
      </c>
      <c r="AA1045" s="17" t="s">
        <v>2501</v>
      </c>
      <c r="AB1045" s="29">
        <v>864.51</v>
      </c>
      <c r="AC1045" s="25">
        <v>884.07</v>
      </c>
      <c r="AD1045" s="25">
        <f>AC1045*T1045</f>
        <v>884.07</v>
      </c>
      <c r="AE1045" s="25">
        <f>AB1045*T1045</f>
        <v>864.51</v>
      </c>
      <c r="AF1045" s="25">
        <f>AD1045-AE1045</f>
        <v>19.560000000000059</v>
      </c>
      <c r="AG1045" s="26">
        <f>AF1045/AD1045</f>
        <v>2.2124944857307746E-2</v>
      </c>
      <c r="AH1045" s="27" t="str">
        <f>IF(AG1045&lt;0,"Negative",IF(AG1045=0,"Same",IF(AG1045&gt;0.3,"30+%",IF(AG1045&gt;0.2,"20-30%",IF(AG1045&gt;0.1,"10-20%",IF(AG1045&lt;=0.1,"0-10%"))))))</f>
        <v>0-10%</v>
      </c>
      <c r="AI1045" s="32"/>
      <c r="AJ1045" s="36" t="s">
        <v>3300</v>
      </c>
      <c r="AK1045" s="32"/>
    </row>
    <row r="1046" spans="1:37" s="1" customFormat="1" ht="19.7" customHeight="1" x14ac:dyDescent="0.25">
      <c r="A1046" s="5" t="s">
        <v>22</v>
      </c>
      <c r="B1046" s="5" t="s">
        <v>1805</v>
      </c>
      <c r="C1046" s="6">
        <v>44466</v>
      </c>
      <c r="D1046" s="5" t="s">
        <v>24</v>
      </c>
      <c r="E1046" s="5" t="s">
        <v>25</v>
      </c>
      <c r="F1046" s="5" t="s">
        <v>26</v>
      </c>
      <c r="G1046" s="5" t="s">
        <v>67</v>
      </c>
      <c r="H1046" s="5" t="s">
        <v>68</v>
      </c>
      <c r="I1046" s="5" t="s">
        <v>29</v>
      </c>
      <c r="J1046" s="5" t="s">
        <v>30</v>
      </c>
      <c r="K1046" s="5" t="s">
        <v>31</v>
      </c>
      <c r="L1046" s="5" t="s">
        <v>32</v>
      </c>
      <c r="M1046" s="5" t="s">
        <v>758</v>
      </c>
      <c r="N1046" s="5" t="s">
        <v>1767</v>
      </c>
      <c r="O1046" s="5" t="s">
        <v>727</v>
      </c>
      <c r="P1046" s="5" t="s">
        <v>759</v>
      </c>
      <c r="Q1046" s="5">
        <v>110914715</v>
      </c>
      <c r="R1046" s="5" t="s">
        <v>38</v>
      </c>
      <c r="S1046" s="5" t="s">
        <v>39</v>
      </c>
      <c r="T1046" s="7">
        <v>1</v>
      </c>
      <c r="U1046" s="15" t="s">
        <v>727</v>
      </c>
      <c r="V1046" s="16" t="s">
        <v>759</v>
      </c>
      <c r="W1046" s="17">
        <v>110914715</v>
      </c>
      <c r="X1046" s="16" t="s">
        <v>2795</v>
      </c>
      <c r="Y1046" s="17" t="s">
        <v>2807</v>
      </c>
      <c r="Z1046" s="17" t="s">
        <v>39</v>
      </c>
      <c r="AA1046" s="17" t="s">
        <v>2501</v>
      </c>
      <c r="AB1046" s="29">
        <v>864.51</v>
      </c>
      <c r="AC1046" s="25">
        <v>884.07</v>
      </c>
      <c r="AD1046" s="25">
        <f>AC1046*T1046</f>
        <v>884.07</v>
      </c>
      <c r="AE1046" s="25">
        <f>AB1046*T1046</f>
        <v>864.51</v>
      </c>
      <c r="AF1046" s="25">
        <f>AD1046-AE1046</f>
        <v>19.560000000000059</v>
      </c>
      <c r="AG1046" s="26">
        <f>AF1046/AD1046</f>
        <v>2.2124944857307746E-2</v>
      </c>
      <c r="AH1046" s="27" t="str">
        <f>IF(AG1046&lt;0,"Negative",IF(AG1046=0,"Same",IF(AG1046&gt;0.3,"30+%",IF(AG1046&gt;0.2,"20-30%",IF(AG1046&gt;0.1,"10-20%",IF(AG1046&lt;=0.1,"0-10%"))))))</f>
        <v>0-10%</v>
      </c>
      <c r="AI1046" s="32"/>
      <c r="AJ1046" s="36" t="s">
        <v>3300</v>
      </c>
      <c r="AK1046" s="32"/>
    </row>
    <row r="1047" spans="1:37" s="1" customFormat="1" ht="19.7" customHeight="1" x14ac:dyDescent="0.25">
      <c r="A1047" s="5" t="s">
        <v>22</v>
      </c>
      <c r="B1047" s="5" t="s">
        <v>1675</v>
      </c>
      <c r="C1047" s="6">
        <v>44435</v>
      </c>
      <c r="D1047" s="5" t="s">
        <v>24</v>
      </c>
      <c r="E1047" s="5" t="s">
        <v>25</v>
      </c>
      <c r="F1047" s="5" t="s">
        <v>26</v>
      </c>
      <c r="G1047" s="5" t="s">
        <v>67</v>
      </c>
      <c r="H1047" s="5" t="s">
        <v>68</v>
      </c>
      <c r="I1047" s="5" t="s">
        <v>29</v>
      </c>
      <c r="J1047" s="5" t="s">
        <v>30</v>
      </c>
      <c r="K1047" s="5" t="s">
        <v>31</v>
      </c>
      <c r="L1047" s="5" t="s">
        <v>32</v>
      </c>
      <c r="M1047" s="5" t="s">
        <v>758</v>
      </c>
      <c r="N1047" s="5" t="s">
        <v>1630</v>
      </c>
      <c r="O1047" s="5" t="s">
        <v>727</v>
      </c>
      <c r="P1047" s="5" t="s">
        <v>759</v>
      </c>
      <c r="Q1047" s="5">
        <v>110914715</v>
      </c>
      <c r="R1047" s="5" t="s">
        <v>38</v>
      </c>
      <c r="S1047" s="5" t="s">
        <v>39</v>
      </c>
      <c r="T1047" s="7">
        <v>1</v>
      </c>
      <c r="U1047" s="15" t="s">
        <v>727</v>
      </c>
      <c r="V1047" s="16" t="s">
        <v>759</v>
      </c>
      <c r="W1047" s="17">
        <v>110914715</v>
      </c>
      <c r="X1047" s="16" t="s">
        <v>2795</v>
      </c>
      <c r="Y1047" s="17" t="s">
        <v>2807</v>
      </c>
      <c r="Z1047" s="17" t="s">
        <v>39</v>
      </c>
      <c r="AA1047" s="17" t="s">
        <v>2501</v>
      </c>
      <c r="AB1047" s="29">
        <v>864.51</v>
      </c>
      <c r="AC1047" s="25">
        <v>884.07</v>
      </c>
      <c r="AD1047" s="25">
        <f>AC1047*T1047</f>
        <v>884.07</v>
      </c>
      <c r="AE1047" s="25">
        <f>AB1047*T1047</f>
        <v>864.51</v>
      </c>
      <c r="AF1047" s="25">
        <f>AD1047-AE1047</f>
        <v>19.560000000000059</v>
      </c>
      <c r="AG1047" s="26">
        <f>AF1047/AD1047</f>
        <v>2.2124944857307746E-2</v>
      </c>
      <c r="AH1047" s="27" t="str">
        <f>IF(AG1047&lt;0,"Negative",IF(AG1047=0,"Same",IF(AG1047&gt;0.3,"30+%",IF(AG1047&gt;0.2,"20-30%",IF(AG1047&gt;0.1,"10-20%",IF(AG1047&lt;=0.1,"0-10%"))))))</f>
        <v>0-10%</v>
      </c>
      <c r="AI1047" s="32"/>
      <c r="AJ1047" s="36" t="s">
        <v>3300</v>
      </c>
      <c r="AK1047" s="32"/>
    </row>
    <row r="1048" spans="1:37" s="1" customFormat="1" ht="19.7" customHeight="1" x14ac:dyDescent="0.25">
      <c r="A1048" s="9" t="s">
        <v>22</v>
      </c>
      <c r="B1048" s="9" t="s">
        <v>1093</v>
      </c>
      <c r="C1048" s="10">
        <v>44337</v>
      </c>
      <c r="D1048" s="9" t="s">
        <v>24</v>
      </c>
      <c r="E1048" s="9" t="s">
        <v>25</v>
      </c>
      <c r="F1048" s="9" t="s">
        <v>26</v>
      </c>
      <c r="G1048" s="9" t="s">
        <v>67</v>
      </c>
      <c r="H1048" s="9" t="s">
        <v>68</v>
      </c>
      <c r="I1048" s="9" t="s">
        <v>29</v>
      </c>
      <c r="J1048" s="9" t="s">
        <v>30</v>
      </c>
      <c r="K1048" s="9" t="s">
        <v>31</v>
      </c>
      <c r="L1048" s="9" t="s">
        <v>32</v>
      </c>
      <c r="M1048" s="9" t="s">
        <v>758</v>
      </c>
      <c r="N1048" s="9" t="s">
        <v>1094</v>
      </c>
      <c r="O1048" s="9" t="s">
        <v>727</v>
      </c>
      <c r="P1048" s="9" t="s">
        <v>759</v>
      </c>
      <c r="Q1048" s="9">
        <v>110914715</v>
      </c>
      <c r="R1048" s="9" t="s">
        <v>38</v>
      </c>
      <c r="S1048" s="9" t="s">
        <v>39</v>
      </c>
      <c r="T1048" s="11">
        <v>1</v>
      </c>
      <c r="U1048" s="15" t="s">
        <v>727</v>
      </c>
      <c r="V1048" s="16" t="s">
        <v>759</v>
      </c>
      <c r="W1048" s="17">
        <v>110914715</v>
      </c>
      <c r="X1048" s="16" t="s">
        <v>2795</v>
      </c>
      <c r="Y1048" s="17" t="s">
        <v>2807</v>
      </c>
      <c r="Z1048" s="17" t="s">
        <v>39</v>
      </c>
      <c r="AA1048" s="17" t="s">
        <v>2501</v>
      </c>
      <c r="AB1048" s="29">
        <v>864.51</v>
      </c>
      <c r="AC1048" s="25">
        <v>884.07</v>
      </c>
      <c r="AD1048" s="25">
        <f>AC1048*T1048</f>
        <v>884.07</v>
      </c>
      <c r="AE1048" s="25">
        <f>AB1048*T1048</f>
        <v>864.51</v>
      </c>
      <c r="AF1048" s="25">
        <f>AD1048-AE1048</f>
        <v>19.560000000000059</v>
      </c>
      <c r="AG1048" s="26">
        <f>AF1048/AD1048</f>
        <v>2.2124944857307746E-2</v>
      </c>
      <c r="AH1048" s="27" t="str">
        <f>IF(AG1048&lt;0,"Negative",IF(AG1048=0,"Same",IF(AG1048&gt;0.3,"30+%",IF(AG1048&gt;0.2,"20-30%",IF(AG1048&gt;0.1,"10-20%",IF(AG1048&lt;=0.1,"0-10%"))))))</f>
        <v>0-10%</v>
      </c>
      <c r="AI1048" s="32"/>
      <c r="AJ1048" s="36" t="s">
        <v>3300</v>
      </c>
      <c r="AK1048" s="32"/>
    </row>
    <row r="1049" spans="1:37" s="1" customFormat="1" ht="19.7" customHeight="1" x14ac:dyDescent="0.25">
      <c r="A1049" s="5" t="s">
        <v>22</v>
      </c>
      <c r="B1049" s="5" t="s">
        <v>811</v>
      </c>
      <c r="C1049" s="6">
        <v>44302</v>
      </c>
      <c r="D1049" s="5" t="s">
        <v>24</v>
      </c>
      <c r="E1049" s="5" t="s">
        <v>25</v>
      </c>
      <c r="F1049" s="5" t="s">
        <v>26</v>
      </c>
      <c r="G1049" s="5" t="s">
        <v>67</v>
      </c>
      <c r="H1049" s="5" t="s">
        <v>68</v>
      </c>
      <c r="I1049" s="5" t="s">
        <v>29</v>
      </c>
      <c r="J1049" s="5" t="s">
        <v>30</v>
      </c>
      <c r="K1049" s="5" t="s">
        <v>31</v>
      </c>
      <c r="L1049" s="5" t="s">
        <v>32</v>
      </c>
      <c r="M1049" s="5" t="s">
        <v>758</v>
      </c>
      <c r="N1049" s="5" t="s">
        <v>813</v>
      </c>
      <c r="O1049" s="5" t="s">
        <v>727</v>
      </c>
      <c r="P1049" s="5" t="s">
        <v>759</v>
      </c>
      <c r="Q1049" s="5">
        <v>110914715</v>
      </c>
      <c r="R1049" s="5" t="s">
        <v>38</v>
      </c>
      <c r="S1049" s="5" t="s">
        <v>39</v>
      </c>
      <c r="T1049" s="7">
        <v>1</v>
      </c>
      <c r="U1049" s="15" t="s">
        <v>727</v>
      </c>
      <c r="V1049" s="16" t="s">
        <v>759</v>
      </c>
      <c r="W1049" s="17">
        <v>110914715</v>
      </c>
      <c r="X1049" s="16" t="s">
        <v>2795</v>
      </c>
      <c r="Y1049" s="17" t="s">
        <v>2807</v>
      </c>
      <c r="Z1049" s="17" t="s">
        <v>39</v>
      </c>
      <c r="AA1049" s="17" t="s">
        <v>2501</v>
      </c>
      <c r="AB1049" s="29">
        <v>864.51</v>
      </c>
      <c r="AC1049" s="25">
        <v>884.07</v>
      </c>
      <c r="AD1049" s="25">
        <f>AC1049*T1049</f>
        <v>884.07</v>
      </c>
      <c r="AE1049" s="25">
        <f>AB1049*T1049</f>
        <v>864.51</v>
      </c>
      <c r="AF1049" s="25">
        <f>AD1049-AE1049</f>
        <v>19.560000000000059</v>
      </c>
      <c r="AG1049" s="26">
        <f>AF1049/AD1049</f>
        <v>2.2124944857307746E-2</v>
      </c>
      <c r="AH1049" s="27" t="str">
        <f>IF(AG1049&lt;0,"Negative",IF(AG1049=0,"Same",IF(AG1049&gt;0.3,"30+%",IF(AG1049&gt;0.2,"20-30%",IF(AG1049&gt;0.1,"10-20%",IF(AG1049&lt;=0.1,"0-10%"))))))</f>
        <v>0-10%</v>
      </c>
      <c r="AI1049" s="32"/>
      <c r="AJ1049" s="36" t="s">
        <v>3300</v>
      </c>
      <c r="AK1049" s="32"/>
    </row>
    <row r="1050" spans="1:37" s="1" customFormat="1" ht="19.7" customHeight="1" x14ac:dyDescent="0.25">
      <c r="A1050" s="9" t="s">
        <v>22</v>
      </c>
      <c r="B1050" s="9" t="s">
        <v>899</v>
      </c>
      <c r="C1050" s="10">
        <v>44316</v>
      </c>
      <c r="D1050" s="9" t="s">
        <v>24</v>
      </c>
      <c r="E1050" s="9" t="s">
        <v>25</v>
      </c>
      <c r="F1050" s="9" t="s">
        <v>26</v>
      </c>
      <c r="G1050" s="9" t="s">
        <v>67</v>
      </c>
      <c r="H1050" s="9" t="s">
        <v>68</v>
      </c>
      <c r="I1050" s="9" t="s">
        <v>29</v>
      </c>
      <c r="J1050" s="9" t="s">
        <v>30</v>
      </c>
      <c r="K1050" s="9" t="s">
        <v>31</v>
      </c>
      <c r="L1050" s="9" t="s">
        <v>32</v>
      </c>
      <c r="M1050" s="9" t="s">
        <v>758</v>
      </c>
      <c r="N1050" s="9" t="s">
        <v>900</v>
      </c>
      <c r="O1050" s="9" t="s">
        <v>727</v>
      </c>
      <c r="P1050" s="9" t="s">
        <v>759</v>
      </c>
      <c r="Q1050" s="9">
        <v>110914715</v>
      </c>
      <c r="R1050" s="9" t="s">
        <v>38</v>
      </c>
      <c r="S1050" s="9" t="s">
        <v>39</v>
      </c>
      <c r="T1050" s="11">
        <v>1</v>
      </c>
      <c r="U1050" s="15" t="s">
        <v>727</v>
      </c>
      <c r="V1050" s="16" t="s">
        <v>759</v>
      </c>
      <c r="W1050" s="17">
        <v>110914715</v>
      </c>
      <c r="X1050" s="16" t="s">
        <v>2795</v>
      </c>
      <c r="Y1050" s="17" t="s">
        <v>2807</v>
      </c>
      <c r="Z1050" s="17" t="s">
        <v>39</v>
      </c>
      <c r="AA1050" s="17" t="s">
        <v>2501</v>
      </c>
      <c r="AB1050" s="29">
        <v>864.51</v>
      </c>
      <c r="AC1050" s="25">
        <v>884.07</v>
      </c>
      <c r="AD1050" s="25">
        <f>AC1050*T1050</f>
        <v>884.07</v>
      </c>
      <c r="AE1050" s="25">
        <f>AB1050*T1050</f>
        <v>864.51</v>
      </c>
      <c r="AF1050" s="25">
        <f>AD1050-AE1050</f>
        <v>19.560000000000059</v>
      </c>
      <c r="AG1050" s="26">
        <f>AF1050/AD1050</f>
        <v>2.2124944857307746E-2</v>
      </c>
      <c r="AH1050" s="27" t="str">
        <f>IF(AG1050&lt;0,"Negative",IF(AG1050=0,"Same",IF(AG1050&gt;0.3,"30+%",IF(AG1050&gt;0.2,"20-30%",IF(AG1050&gt;0.1,"10-20%",IF(AG1050&lt;=0.1,"0-10%"))))))</f>
        <v>0-10%</v>
      </c>
      <c r="AI1050" s="32"/>
      <c r="AJ1050" s="36" t="s">
        <v>3300</v>
      </c>
      <c r="AK1050" s="32"/>
    </row>
    <row r="1051" spans="1:37" s="1" customFormat="1" ht="19.7" customHeight="1" x14ac:dyDescent="0.25">
      <c r="A1051" s="5" t="s">
        <v>22</v>
      </c>
      <c r="B1051" s="5" t="s">
        <v>1256</v>
      </c>
      <c r="C1051" s="6">
        <v>44365</v>
      </c>
      <c r="D1051" s="5" t="s">
        <v>24</v>
      </c>
      <c r="E1051" s="5" t="s">
        <v>25</v>
      </c>
      <c r="F1051" s="5" t="s">
        <v>26</v>
      </c>
      <c r="G1051" s="5" t="s">
        <v>67</v>
      </c>
      <c r="H1051" s="5" t="s">
        <v>68</v>
      </c>
      <c r="I1051" s="5" t="s">
        <v>29</v>
      </c>
      <c r="J1051" s="5" t="s">
        <v>30</v>
      </c>
      <c r="K1051" s="5" t="s">
        <v>31</v>
      </c>
      <c r="L1051" s="5" t="s">
        <v>32</v>
      </c>
      <c r="M1051" s="5" t="s">
        <v>758</v>
      </c>
      <c r="N1051" s="5" t="s">
        <v>1257</v>
      </c>
      <c r="O1051" s="5" t="s">
        <v>727</v>
      </c>
      <c r="P1051" s="5" t="s">
        <v>759</v>
      </c>
      <c r="Q1051" s="5">
        <v>110914715</v>
      </c>
      <c r="R1051" s="5" t="s">
        <v>38</v>
      </c>
      <c r="S1051" s="5" t="s">
        <v>39</v>
      </c>
      <c r="T1051" s="7">
        <v>1</v>
      </c>
      <c r="U1051" s="15" t="s">
        <v>727</v>
      </c>
      <c r="V1051" s="16" t="s">
        <v>759</v>
      </c>
      <c r="W1051" s="17">
        <v>110914715</v>
      </c>
      <c r="X1051" s="16" t="s">
        <v>2795</v>
      </c>
      <c r="Y1051" s="17" t="s">
        <v>2807</v>
      </c>
      <c r="Z1051" s="17" t="s">
        <v>39</v>
      </c>
      <c r="AA1051" s="17" t="s">
        <v>2501</v>
      </c>
      <c r="AB1051" s="29">
        <v>864.51</v>
      </c>
      <c r="AC1051" s="25">
        <v>884.07</v>
      </c>
      <c r="AD1051" s="25">
        <f>AC1051*T1051</f>
        <v>884.07</v>
      </c>
      <c r="AE1051" s="25">
        <f>AB1051*T1051</f>
        <v>864.51</v>
      </c>
      <c r="AF1051" s="25">
        <f>AD1051-AE1051</f>
        <v>19.560000000000059</v>
      </c>
      <c r="AG1051" s="26">
        <f>AF1051/AD1051</f>
        <v>2.2124944857307746E-2</v>
      </c>
      <c r="AH1051" s="27" t="str">
        <f>IF(AG1051&lt;0,"Negative",IF(AG1051=0,"Same",IF(AG1051&gt;0.3,"30+%",IF(AG1051&gt;0.2,"20-30%",IF(AG1051&gt;0.1,"10-20%",IF(AG1051&lt;=0.1,"0-10%"))))))</f>
        <v>0-10%</v>
      </c>
      <c r="AI1051" s="32"/>
      <c r="AJ1051" s="36" t="s">
        <v>3300</v>
      </c>
      <c r="AK1051" s="32"/>
    </row>
    <row r="1052" spans="1:37" s="1" customFormat="1" ht="19.7" customHeight="1" x14ac:dyDescent="0.25">
      <c r="A1052" s="5" t="s">
        <v>22</v>
      </c>
      <c r="B1052" s="5" t="s">
        <v>1633</v>
      </c>
      <c r="C1052" s="6">
        <v>44427</v>
      </c>
      <c r="D1052" s="5" t="s">
        <v>24</v>
      </c>
      <c r="E1052" s="5" t="s">
        <v>25</v>
      </c>
      <c r="F1052" s="5" t="s">
        <v>26</v>
      </c>
      <c r="G1052" s="5" t="s">
        <v>67</v>
      </c>
      <c r="H1052" s="5" t="s">
        <v>68</v>
      </c>
      <c r="I1052" s="5" t="s">
        <v>29</v>
      </c>
      <c r="J1052" s="5" t="s">
        <v>30</v>
      </c>
      <c r="K1052" s="5" t="s">
        <v>31</v>
      </c>
      <c r="L1052" s="5" t="s">
        <v>32</v>
      </c>
      <c r="M1052" s="5" t="s">
        <v>758</v>
      </c>
      <c r="N1052" s="5" t="s">
        <v>1635</v>
      </c>
      <c r="O1052" s="5" t="s">
        <v>727</v>
      </c>
      <c r="P1052" s="5" t="s">
        <v>759</v>
      </c>
      <c r="Q1052" s="5">
        <v>110914715</v>
      </c>
      <c r="R1052" s="5" t="s">
        <v>38</v>
      </c>
      <c r="S1052" s="5" t="s">
        <v>39</v>
      </c>
      <c r="T1052" s="7">
        <v>1</v>
      </c>
      <c r="U1052" s="15" t="s">
        <v>727</v>
      </c>
      <c r="V1052" s="16" t="s">
        <v>759</v>
      </c>
      <c r="W1052" s="17">
        <v>110914715</v>
      </c>
      <c r="X1052" s="16" t="s">
        <v>2795</v>
      </c>
      <c r="Y1052" s="17" t="s">
        <v>2807</v>
      </c>
      <c r="Z1052" s="17" t="s">
        <v>39</v>
      </c>
      <c r="AA1052" s="17" t="s">
        <v>2501</v>
      </c>
      <c r="AB1052" s="29">
        <v>864.51</v>
      </c>
      <c r="AC1052" s="25">
        <v>884.07</v>
      </c>
      <c r="AD1052" s="25">
        <f>AC1052*T1052</f>
        <v>884.07</v>
      </c>
      <c r="AE1052" s="25">
        <f>AB1052*T1052</f>
        <v>864.51</v>
      </c>
      <c r="AF1052" s="25">
        <f>AD1052-AE1052</f>
        <v>19.560000000000059</v>
      </c>
      <c r="AG1052" s="26">
        <f>AF1052/AD1052</f>
        <v>2.2124944857307746E-2</v>
      </c>
      <c r="AH1052" s="27" t="str">
        <f>IF(AG1052&lt;0,"Negative",IF(AG1052=0,"Same",IF(AG1052&gt;0.3,"30+%",IF(AG1052&gt;0.2,"20-30%",IF(AG1052&gt;0.1,"10-20%",IF(AG1052&lt;=0.1,"0-10%"))))))</f>
        <v>0-10%</v>
      </c>
      <c r="AI1052" s="32"/>
      <c r="AJ1052" s="36" t="s">
        <v>3300</v>
      </c>
      <c r="AK1052" s="32"/>
    </row>
    <row r="1053" spans="1:37" s="1" customFormat="1" ht="19.7" customHeight="1" x14ac:dyDescent="0.25">
      <c r="A1053" s="5" t="s">
        <v>22</v>
      </c>
      <c r="B1053" s="5" t="s">
        <v>1753</v>
      </c>
      <c r="C1053" s="6">
        <v>44452</v>
      </c>
      <c r="D1053" s="5" t="s">
        <v>24</v>
      </c>
      <c r="E1053" s="5" t="s">
        <v>25</v>
      </c>
      <c r="F1053" s="5" t="s">
        <v>26</v>
      </c>
      <c r="G1053" s="5" t="s">
        <v>67</v>
      </c>
      <c r="H1053" s="5" t="s">
        <v>68</v>
      </c>
      <c r="I1053" s="5" t="s">
        <v>29</v>
      </c>
      <c r="J1053" s="5" t="s">
        <v>30</v>
      </c>
      <c r="K1053" s="5" t="s">
        <v>31</v>
      </c>
      <c r="L1053" s="5" t="s">
        <v>32</v>
      </c>
      <c r="M1053" s="5" t="s">
        <v>758</v>
      </c>
      <c r="N1053" s="5" t="s">
        <v>1754</v>
      </c>
      <c r="O1053" s="5" t="s">
        <v>727</v>
      </c>
      <c r="P1053" s="5" t="s">
        <v>759</v>
      </c>
      <c r="Q1053" s="5">
        <v>110914715</v>
      </c>
      <c r="R1053" s="5" t="s">
        <v>38</v>
      </c>
      <c r="S1053" s="5" t="s">
        <v>39</v>
      </c>
      <c r="T1053" s="7">
        <v>1</v>
      </c>
      <c r="U1053" s="15" t="s">
        <v>727</v>
      </c>
      <c r="V1053" s="16" t="s">
        <v>759</v>
      </c>
      <c r="W1053" s="17">
        <v>110914715</v>
      </c>
      <c r="X1053" s="16" t="s">
        <v>2795</v>
      </c>
      <c r="Y1053" s="17" t="s">
        <v>2807</v>
      </c>
      <c r="Z1053" s="17" t="s">
        <v>39</v>
      </c>
      <c r="AA1053" s="17" t="s">
        <v>2501</v>
      </c>
      <c r="AB1053" s="29">
        <v>864.51</v>
      </c>
      <c r="AC1053" s="25">
        <v>884.07</v>
      </c>
      <c r="AD1053" s="25">
        <f>AC1053*T1053</f>
        <v>884.07</v>
      </c>
      <c r="AE1053" s="25">
        <f>AB1053*T1053</f>
        <v>864.51</v>
      </c>
      <c r="AF1053" s="25">
        <f>AD1053-AE1053</f>
        <v>19.560000000000059</v>
      </c>
      <c r="AG1053" s="26">
        <f>AF1053/AD1053</f>
        <v>2.2124944857307746E-2</v>
      </c>
      <c r="AH1053" s="27" t="str">
        <f>IF(AG1053&lt;0,"Negative",IF(AG1053=0,"Same",IF(AG1053&gt;0.3,"30+%",IF(AG1053&gt;0.2,"20-30%",IF(AG1053&gt;0.1,"10-20%",IF(AG1053&lt;=0.1,"0-10%"))))))</f>
        <v>0-10%</v>
      </c>
      <c r="AI1053" s="32"/>
      <c r="AJ1053" s="36" t="s">
        <v>3300</v>
      </c>
      <c r="AK1053" s="32"/>
    </row>
    <row r="1054" spans="1:37" s="1" customFormat="1" ht="19.7" customHeight="1" x14ac:dyDescent="0.25">
      <c r="A1054" s="5" t="s">
        <v>22</v>
      </c>
      <c r="B1054" s="5" t="s">
        <v>1864</v>
      </c>
      <c r="C1054" s="6">
        <v>44473</v>
      </c>
      <c r="D1054" s="5" t="s">
        <v>24</v>
      </c>
      <c r="E1054" s="5" t="s">
        <v>25</v>
      </c>
      <c r="F1054" s="5" t="s">
        <v>26</v>
      </c>
      <c r="G1054" s="5" t="s">
        <v>67</v>
      </c>
      <c r="H1054" s="5" t="s">
        <v>68</v>
      </c>
      <c r="I1054" s="5" t="s">
        <v>29</v>
      </c>
      <c r="J1054" s="5" t="s">
        <v>30</v>
      </c>
      <c r="K1054" s="5" t="s">
        <v>31</v>
      </c>
      <c r="L1054" s="5" t="s">
        <v>32</v>
      </c>
      <c r="M1054" s="5" t="s">
        <v>758</v>
      </c>
      <c r="N1054" s="5" t="s">
        <v>1865</v>
      </c>
      <c r="O1054" s="5" t="s">
        <v>727</v>
      </c>
      <c r="P1054" s="5" t="s">
        <v>759</v>
      </c>
      <c r="Q1054" s="5">
        <v>110914715</v>
      </c>
      <c r="R1054" s="5" t="s">
        <v>38</v>
      </c>
      <c r="S1054" s="5" t="s">
        <v>39</v>
      </c>
      <c r="T1054" s="7">
        <v>1</v>
      </c>
      <c r="U1054" s="15" t="s">
        <v>727</v>
      </c>
      <c r="V1054" s="16" t="s">
        <v>759</v>
      </c>
      <c r="W1054" s="17">
        <v>110914715</v>
      </c>
      <c r="X1054" s="16" t="s">
        <v>2795</v>
      </c>
      <c r="Y1054" s="17" t="s">
        <v>2807</v>
      </c>
      <c r="Z1054" s="17" t="s">
        <v>39</v>
      </c>
      <c r="AA1054" s="17" t="s">
        <v>2501</v>
      </c>
      <c r="AB1054" s="29">
        <v>864.51</v>
      </c>
      <c r="AC1054" s="25">
        <v>884.07</v>
      </c>
      <c r="AD1054" s="31">
        <f>AC1054*T1054</f>
        <v>884.07</v>
      </c>
      <c r="AE1054" s="25">
        <f>AB1054*T1054</f>
        <v>864.51</v>
      </c>
      <c r="AF1054" s="25">
        <f>AD1054-AE1054</f>
        <v>19.560000000000059</v>
      </c>
      <c r="AG1054" s="26">
        <f>AF1054/AD1054</f>
        <v>2.2124944857307746E-2</v>
      </c>
      <c r="AH1054" s="27" t="str">
        <f>IF(AG1054&lt;0,"Negative",IF(AG1054=0,"Same",IF(AG1054&gt;0.3,"30+%",IF(AG1054&gt;0.2,"20-30%",IF(AG1054&gt;0.1,"10-20%",IF(AG1054&lt;=0.1,"0-10%"))))))</f>
        <v>0-10%</v>
      </c>
      <c r="AI1054" s="32"/>
      <c r="AJ1054" s="36" t="s">
        <v>3300</v>
      </c>
      <c r="AK1054" s="32"/>
    </row>
    <row r="1055" spans="1:37" s="1" customFormat="1" ht="19.7" customHeight="1" x14ac:dyDescent="0.25">
      <c r="A1055" s="9" t="s">
        <v>22</v>
      </c>
      <c r="B1055" s="9" t="s">
        <v>1759</v>
      </c>
      <c r="C1055" s="10">
        <v>44456</v>
      </c>
      <c r="D1055" s="9" t="s">
        <v>24</v>
      </c>
      <c r="E1055" s="9" t="s">
        <v>25</v>
      </c>
      <c r="F1055" s="9" t="s">
        <v>26</v>
      </c>
      <c r="G1055" s="9" t="s">
        <v>67</v>
      </c>
      <c r="H1055" s="9" t="s">
        <v>68</v>
      </c>
      <c r="I1055" s="9" t="s">
        <v>29</v>
      </c>
      <c r="J1055" s="9" t="s">
        <v>30</v>
      </c>
      <c r="K1055" s="9" t="s">
        <v>31</v>
      </c>
      <c r="L1055" s="9" t="s">
        <v>32</v>
      </c>
      <c r="M1055" s="9" t="s">
        <v>758</v>
      </c>
      <c r="N1055" s="9" t="s">
        <v>1760</v>
      </c>
      <c r="O1055" s="9" t="s">
        <v>727</v>
      </c>
      <c r="P1055" s="9" t="s">
        <v>759</v>
      </c>
      <c r="Q1055" s="9">
        <v>110914715</v>
      </c>
      <c r="R1055" s="9" t="s">
        <v>38</v>
      </c>
      <c r="S1055" s="9" t="s">
        <v>39</v>
      </c>
      <c r="T1055" s="11">
        <v>2</v>
      </c>
      <c r="U1055" s="15" t="s">
        <v>727</v>
      </c>
      <c r="V1055" s="16" t="s">
        <v>759</v>
      </c>
      <c r="W1055" s="17">
        <v>110914715</v>
      </c>
      <c r="X1055" s="16" t="s">
        <v>2795</v>
      </c>
      <c r="Y1055" s="17" t="s">
        <v>2807</v>
      </c>
      <c r="Z1055" s="17" t="s">
        <v>39</v>
      </c>
      <c r="AA1055" s="17" t="s">
        <v>2501</v>
      </c>
      <c r="AB1055" s="29">
        <v>864.51</v>
      </c>
      <c r="AC1055" s="25">
        <v>884.07</v>
      </c>
      <c r="AD1055" s="30">
        <f>AC1055*T1055</f>
        <v>1768.14</v>
      </c>
      <c r="AE1055" s="25">
        <f>AB1055*T1055</f>
        <v>1729.02</v>
      </c>
      <c r="AF1055" s="25">
        <f>AD1055-AE1055</f>
        <v>39.120000000000118</v>
      </c>
      <c r="AG1055" s="26">
        <f>AF1055/AD1055</f>
        <v>2.2124944857307746E-2</v>
      </c>
      <c r="AH1055" s="27" t="str">
        <f>IF(AG1055&lt;0,"Negative",IF(AG1055=0,"Same",IF(AG1055&gt;0.3,"30+%",IF(AG1055&gt;0.2,"20-30%",IF(AG1055&gt;0.1,"10-20%",IF(AG1055&lt;=0.1,"0-10%"))))))</f>
        <v>0-10%</v>
      </c>
      <c r="AI1055" s="32"/>
      <c r="AJ1055" s="36" t="s">
        <v>3300</v>
      </c>
      <c r="AK1055" s="32"/>
    </row>
    <row r="1056" spans="1:37" s="1" customFormat="1" ht="19.7" customHeight="1" x14ac:dyDescent="0.25">
      <c r="A1056" s="5" t="s">
        <v>22</v>
      </c>
      <c r="B1056" s="5" t="s">
        <v>750</v>
      </c>
      <c r="C1056" s="6">
        <v>44298</v>
      </c>
      <c r="D1056" s="5" t="s">
        <v>24</v>
      </c>
      <c r="E1056" s="5" t="s">
        <v>25</v>
      </c>
      <c r="F1056" s="5" t="s">
        <v>26</v>
      </c>
      <c r="G1056" s="5" t="s">
        <v>67</v>
      </c>
      <c r="H1056" s="5" t="s">
        <v>68</v>
      </c>
      <c r="I1056" s="5" t="s">
        <v>29</v>
      </c>
      <c r="J1056" s="5" t="s">
        <v>30</v>
      </c>
      <c r="K1056" s="5" t="s">
        <v>31</v>
      </c>
      <c r="L1056" s="5" t="s">
        <v>32</v>
      </c>
      <c r="M1056" s="5" t="s">
        <v>758</v>
      </c>
      <c r="N1056" s="5" t="s">
        <v>752</v>
      </c>
      <c r="O1056" s="5" t="s">
        <v>727</v>
      </c>
      <c r="P1056" s="5" t="s">
        <v>759</v>
      </c>
      <c r="Q1056" s="5">
        <v>110914715</v>
      </c>
      <c r="R1056" s="5" t="s">
        <v>38</v>
      </c>
      <c r="S1056" s="5" t="s">
        <v>39</v>
      </c>
      <c r="T1056" s="7">
        <v>2</v>
      </c>
      <c r="U1056" s="15" t="s">
        <v>727</v>
      </c>
      <c r="V1056" s="16" t="s">
        <v>759</v>
      </c>
      <c r="W1056" s="17">
        <v>110914715</v>
      </c>
      <c r="X1056" s="16" t="s">
        <v>2795</v>
      </c>
      <c r="Y1056" s="17" t="s">
        <v>2807</v>
      </c>
      <c r="Z1056" s="17" t="s">
        <v>39</v>
      </c>
      <c r="AA1056" s="17" t="s">
        <v>2501</v>
      </c>
      <c r="AB1056" s="29">
        <v>864.51</v>
      </c>
      <c r="AC1056" s="25">
        <v>884.07</v>
      </c>
      <c r="AD1056" s="25">
        <f>AC1056*T1056</f>
        <v>1768.14</v>
      </c>
      <c r="AE1056" s="25">
        <f>AB1056*T1056</f>
        <v>1729.02</v>
      </c>
      <c r="AF1056" s="25">
        <f>AD1056-AE1056</f>
        <v>39.120000000000118</v>
      </c>
      <c r="AG1056" s="26">
        <f>AF1056/AD1056</f>
        <v>2.2124944857307746E-2</v>
      </c>
      <c r="AH1056" s="27" t="str">
        <f>IF(AG1056&lt;0,"Negative",IF(AG1056=0,"Same",IF(AG1056&gt;0.3,"30+%",IF(AG1056&gt;0.2,"20-30%",IF(AG1056&gt;0.1,"10-20%",IF(AG1056&lt;=0.1,"0-10%"))))))</f>
        <v>0-10%</v>
      </c>
      <c r="AI1056" s="32"/>
      <c r="AJ1056" s="36" t="s">
        <v>3300</v>
      </c>
      <c r="AK1056" s="32"/>
    </row>
    <row r="1057" spans="1:37" s="1" customFormat="1" ht="19.7" customHeight="1" x14ac:dyDescent="0.25">
      <c r="A1057" s="9" t="s">
        <v>22</v>
      </c>
      <c r="B1057" s="9" t="s">
        <v>994</v>
      </c>
      <c r="C1057" s="10">
        <v>44323</v>
      </c>
      <c r="D1057" s="9" t="s">
        <v>24</v>
      </c>
      <c r="E1057" s="9" t="s">
        <v>25</v>
      </c>
      <c r="F1057" s="9" t="s">
        <v>26</v>
      </c>
      <c r="G1057" s="9" t="s">
        <v>67</v>
      </c>
      <c r="H1057" s="9" t="s">
        <v>68</v>
      </c>
      <c r="I1057" s="9" t="s">
        <v>29</v>
      </c>
      <c r="J1057" s="9" t="s">
        <v>30</v>
      </c>
      <c r="K1057" s="9" t="s">
        <v>31</v>
      </c>
      <c r="L1057" s="9" t="s">
        <v>32</v>
      </c>
      <c r="M1057" s="9" t="s">
        <v>758</v>
      </c>
      <c r="N1057" s="9" t="s">
        <v>995</v>
      </c>
      <c r="O1057" s="9" t="s">
        <v>727</v>
      </c>
      <c r="P1057" s="9" t="s">
        <v>759</v>
      </c>
      <c r="Q1057" s="9">
        <v>110914715</v>
      </c>
      <c r="R1057" s="9" t="s">
        <v>38</v>
      </c>
      <c r="S1057" s="9" t="s">
        <v>39</v>
      </c>
      <c r="T1057" s="11">
        <v>2</v>
      </c>
      <c r="U1057" s="15" t="s">
        <v>727</v>
      </c>
      <c r="V1057" s="16" t="s">
        <v>759</v>
      </c>
      <c r="W1057" s="17">
        <v>110914715</v>
      </c>
      <c r="X1057" s="16" t="s">
        <v>2795</v>
      </c>
      <c r="Y1057" s="17" t="s">
        <v>2807</v>
      </c>
      <c r="Z1057" s="17" t="s">
        <v>39</v>
      </c>
      <c r="AA1057" s="17" t="s">
        <v>2501</v>
      </c>
      <c r="AB1057" s="29">
        <v>864.51</v>
      </c>
      <c r="AC1057" s="25">
        <v>884.07</v>
      </c>
      <c r="AD1057" s="25">
        <f>AC1057*T1057</f>
        <v>1768.14</v>
      </c>
      <c r="AE1057" s="25">
        <f>AB1057*T1057</f>
        <v>1729.02</v>
      </c>
      <c r="AF1057" s="25">
        <f>AD1057-AE1057</f>
        <v>39.120000000000118</v>
      </c>
      <c r="AG1057" s="26">
        <f>AF1057/AD1057</f>
        <v>2.2124944857307746E-2</v>
      </c>
      <c r="AH1057" s="27" t="str">
        <f>IF(AG1057&lt;0,"Negative",IF(AG1057=0,"Same",IF(AG1057&gt;0.3,"30+%",IF(AG1057&gt;0.2,"20-30%",IF(AG1057&gt;0.1,"10-20%",IF(AG1057&lt;=0.1,"0-10%"))))))</f>
        <v>0-10%</v>
      </c>
      <c r="AI1057" s="32"/>
      <c r="AJ1057" s="36" t="s">
        <v>3300</v>
      </c>
      <c r="AK1057" s="32"/>
    </row>
    <row r="1058" spans="1:37" s="1" customFormat="1" ht="19.7" customHeight="1" x14ac:dyDescent="0.25">
      <c r="A1058" s="9" t="s">
        <v>22</v>
      </c>
      <c r="B1058" s="9" t="s">
        <v>1599</v>
      </c>
      <c r="C1058" s="10">
        <v>44421</v>
      </c>
      <c r="D1058" s="9" t="s">
        <v>24</v>
      </c>
      <c r="E1058" s="9" t="s">
        <v>25</v>
      </c>
      <c r="F1058" s="9" t="s">
        <v>26</v>
      </c>
      <c r="G1058" s="9" t="s">
        <v>67</v>
      </c>
      <c r="H1058" s="9" t="s">
        <v>68</v>
      </c>
      <c r="I1058" s="9" t="s">
        <v>29</v>
      </c>
      <c r="J1058" s="9" t="s">
        <v>30</v>
      </c>
      <c r="K1058" s="9" t="s">
        <v>31</v>
      </c>
      <c r="L1058" s="9" t="s">
        <v>32</v>
      </c>
      <c r="M1058" s="9" t="s">
        <v>758</v>
      </c>
      <c r="N1058" s="9" t="s">
        <v>1600</v>
      </c>
      <c r="O1058" s="9" t="s">
        <v>727</v>
      </c>
      <c r="P1058" s="9" t="s">
        <v>759</v>
      </c>
      <c r="Q1058" s="9">
        <v>110914715</v>
      </c>
      <c r="R1058" s="9" t="s">
        <v>38</v>
      </c>
      <c r="S1058" s="9" t="s">
        <v>39</v>
      </c>
      <c r="T1058" s="11">
        <v>4</v>
      </c>
      <c r="U1058" s="15" t="s">
        <v>727</v>
      </c>
      <c r="V1058" s="16" t="s">
        <v>759</v>
      </c>
      <c r="W1058" s="17">
        <v>110914715</v>
      </c>
      <c r="X1058" s="16" t="s">
        <v>2795</v>
      </c>
      <c r="Y1058" s="17" t="s">
        <v>2807</v>
      </c>
      <c r="Z1058" s="17" t="s">
        <v>39</v>
      </c>
      <c r="AA1058" s="17" t="s">
        <v>2501</v>
      </c>
      <c r="AB1058" s="29">
        <v>864.51</v>
      </c>
      <c r="AC1058" s="25">
        <v>884.07</v>
      </c>
      <c r="AD1058" s="25">
        <f>AC1058*T1058</f>
        <v>3536.28</v>
      </c>
      <c r="AE1058" s="25">
        <f>AB1058*T1058</f>
        <v>3458.04</v>
      </c>
      <c r="AF1058" s="25">
        <f>AD1058-AE1058</f>
        <v>78.240000000000236</v>
      </c>
      <c r="AG1058" s="26">
        <f>AF1058/AD1058</f>
        <v>2.2124944857307746E-2</v>
      </c>
      <c r="AH1058" s="27" t="str">
        <f>IF(AG1058&lt;0,"Negative",IF(AG1058=0,"Same",IF(AG1058&gt;0.3,"30+%",IF(AG1058&gt;0.2,"20-30%",IF(AG1058&gt;0.1,"10-20%",IF(AG1058&lt;=0.1,"0-10%"))))))</f>
        <v>0-10%</v>
      </c>
      <c r="AI1058" s="32"/>
      <c r="AJ1058" s="36" t="s">
        <v>3300</v>
      </c>
      <c r="AK1058" s="32"/>
    </row>
    <row r="1059" spans="1:37" s="1" customFormat="1" ht="19.7" customHeight="1" x14ac:dyDescent="0.25">
      <c r="A1059" s="9" t="s">
        <v>22</v>
      </c>
      <c r="B1059" s="9" t="s">
        <v>2475</v>
      </c>
      <c r="C1059" s="10">
        <v>44589</v>
      </c>
      <c r="D1059" s="9" t="s">
        <v>24</v>
      </c>
      <c r="E1059" s="9" t="s">
        <v>25</v>
      </c>
      <c r="F1059" s="9" t="s">
        <v>26</v>
      </c>
      <c r="G1059" s="9" t="s">
        <v>27</v>
      </c>
      <c r="H1059" s="9" t="s">
        <v>28</v>
      </c>
      <c r="I1059" s="9" t="s">
        <v>29</v>
      </c>
      <c r="J1059" s="9" t="s">
        <v>30</v>
      </c>
      <c r="K1059" s="9" t="s">
        <v>31</v>
      </c>
      <c r="L1059" s="9" t="s">
        <v>32</v>
      </c>
      <c r="M1059" s="9" t="s">
        <v>1037</v>
      </c>
      <c r="N1059" s="9" t="s">
        <v>2426</v>
      </c>
      <c r="O1059" s="9" t="s">
        <v>1021</v>
      </c>
      <c r="P1059" s="9" t="s">
        <v>1038</v>
      </c>
      <c r="Q1059" s="9">
        <v>103803558</v>
      </c>
      <c r="R1059" s="9" t="s">
        <v>56</v>
      </c>
      <c r="S1059" s="9" t="s">
        <v>39</v>
      </c>
      <c r="T1059" s="11">
        <v>1</v>
      </c>
      <c r="U1059" s="15" t="s">
        <v>1021</v>
      </c>
      <c r="V1059" s="16" t="s">
        <v>1038</v>
      </c>
      <c r="W1059" s="17">
        <v>103803558</v>
      </c>
      <c r="X1059" s="16" t="s">
        <v>2845</v>
      </c>
      <c r="Y1059" s="17" t="s">
        <v>2901</v>
      </c>
      <c r="Z1059" s="17" t="s">
        <v>39</v>
      </c>
      <c r="AA1059" s="17" t="s">
        <v>37</v>
      </c>
      <c r="AB1059" s="43">
        <v>977.64</v>
      </c>
      <c r="AC1059" s="25">
        <v>998.44</v>
      </c>
      <c r="AD1059" s="25">
        <f>AC1059*T1059</f>
        <v>998.44</v>
      </c>
      <c r="AE1059" s="25">
        <f>AB1059*T1059</f>
        <v>977.64</v>
      </c>
      <c r="AF1059" s="25">
        <f>AD1059-AE1059</f>
        <v>20.800000000000068</v>
      </c>
      <c r="AG1059" s="26">
        <f>AF1059/AD1059</f>
        <v>2.0832498697968899E-2</v>
      </c>
      <c r="AH1059" s="27" t="str">
        <f>IF(AG1059&lt;0,"Negative",IF(AG1059=0,"Same",IF(AG1059&gt;0.3,"30+%",IF(AG1059&gt;0.2,"20-30%",IF(AG1059&gt;0.1,"10-20%",IF(AG1059&lt;=0.1,"0-10%"))))))</f>
        <v>0-10%</v>
      </c>
      <c r="AI1059" s="32"/>
      <c r="AJ1059" s="36" t="s">
        <v>3300</v>
      </c>
      <c r="AK1059" s="32"/>
    </row>
    <row r="1060" spans="1:37" s="1" customFormat="1" ht="19.7" customHeight="1" x14ac:dyDescent="0.25">
      <c r="A1060" s="9" t="s">
        <v>22</v>
      </c>
      <c r="B1060" s="9" t="s">
        <v>1337</v>
      </c>
      <c r="C1060" s="10">
        <v>44378</v>
      </c>
      <c r="D1060" s="9" t="s">
        <v>24</v>
      </c>
      <c r="E1060" s="9" t="s">
        <v>25</v>
      </c>
      <c r="F1060" s="9" t="s">
        <v>26</v>
      </c>
      <c r="G1060" s="9" t="s">
        <v>27</v>
      </c>
      <c r="H1060" s="9" t="s">
        <v>28</v>
      </c>
      <c r="I1060" s="9" t="s">
        <v>29</v>
      </c>
      <c r="J1060" s="9" t="s">
        <v>30</v>
      </c>
      <c r="K1060" s="9" t="s">
        <v>31</v>
      </c>
      <c r="L1060" s="9" t="s">
        <v>32</v>
      </c>
      <c r="M1060" s="9" t="s">
        <v>261</v>
      </c>
      <c r="N1060" s="9" t="s">
        <v>1338</v>
      </c>
      <c r="O1060" s="9" t="s">
        <v>402</v>
      </c>
      <c r="P1060" s="9" t="s">
        <v>1339</v>
      </c>
      <c r="Q1060" s="9">
        <v>101544706</v>
      </c>
      <c r="R1060" s="9" t="s">
        <v>61</v>
      </c>
      <c r="S1060" s="9" t="s">
        <v>39</v>
      </c>
      <c r="T1060" s="11">
        <v>2</v>
      </c>
      <c r="U1060" s="15" t="s">
        <v>402</v>
      </c>
      <c r="V1060" s="16" t="s">
        <v>1339</v>
      </c>
      <c r="W1060" s="17">
        <v>101544706</v>
      </c>
      <c r="X1060" s="16" t="s">
        <v>2654</v>
      </c>
      <c r="Y1060" s="17" t="s">
        <v>3005</v>
      </c>
      <c r="Z1060" s="17" t="s">
        <v>39</v>
      </c>
      <c r="AA1060" s="17" t="s">
        <v>37</v>
      </c>
      <c r="AB1060" s="43">
        <v>282.12</v>
      </c>
      <c r="AC1060" s="25">
        <v>300.97000000000003</v>
      </c>
      <c r="AD1060" s="25">
        <f>AC1060*T1060</f>
        <v>601.94000000000005</v>
      </c>
      <c r="AE1060" s="25">
        <f>AB1060*T1060</f>
        <v>564.24</v>
      </c>
      <c r="AF1060" s="25">
        <f>AD1060-AE1060</f>
        <v>37.700000000000045</v>
      </c>
      <c r="AG1060" s="26">
        <f>AF1060/AD1060</f>
        <v>6.2630826992723598E-2</v>
      </c>
      <c r="AH1060" s="27" t="str">
        <f>IF(AG1060&lt;0,"Negative",IF(AG1060=0,"Same",IF(AG1060&gt;0.3,"30+%",IF(AG1060&gt;0.2,"20-30%",IF(AG1060&gt;0.1,"10-20%",IF(AG1060&lt;=0.1,"0-10%"))))))</f>
        <v>0-10%</v>
      </c>
      <c r="AI1060" s="32"/>
      <c r="AJ1060" s="36" t="s">
        <v>3300</v>
      </c>
      <c r="AK1060" s="32"/>
    </row>
    <row r="1061" spans="1:37" s="1" customFormat="1" ht="19.7" customHeight="1" x14ac:dyDescent="0.25">
      <c r="A1061" s="5" t="s">
        <v>22</v>
      </c>
      <c r="B1061" s="5" t="s">
        <v>1400</v>
      </c>
      <c r="C1061" s="6">
        <v>44391</v>
      </c>
      <c r="D1061" s="5" t="s">
        <v>24</v>
      </c>
      <c r="E1061" s="5" t="s">
        <v>25</v>
      </c>
      <c r="F1061" s="5" t="s">
        <v>26</v>
      </c>
      <c r="G1061" s="5" t="s">
        <v>27</v>
      </c>
      <c r="H1061" s="5" t="s">
        <v>28</v>
      </c>
      <c r="I1061" s="5" t="s">
        <v>29</v>
      </c>
      <c r="J1061" s="5" t="s">
        <v>30</v>
      </c>
      <c r="K1061" s="5" t="s">
        <v>31</v>
      </c>
      <c r="L1061" s="5" t="s">
        <v>32</v>
      </c>
      <c r="M1061" s="5" t="s">
        <v>1403</v>
      </c>
      <c r="N1061" s="5" t="s">
        <v>1399</v>
      </c>
      <c r="O1061" s="5" t="s">
        <v>98</v>
      </c>
      <c r="P1061" s="5" t="s">
        <v>1404</v>
      </c>
      <c r="Q1061" s="5">
        <v>100815878</v>
      </c>
      <c r="R1061" s="5" t="s">
        <v>56</v>
      </c>
      <c r="S1061" s="5" t="s">
        <v>39</v>
      </c>
      <c r="T1061" s="7">
        <v>1</v>
      </c>
      <c r="U1061" s="15" t="s">
        <v>98</v>
      </c>
      <c r="V1061" s="16" t="s">
        <v>1404</v>
      </c>
      <c r="W1061" s="17">
        <v>100815878</v>
      </c>
      <c r="X1061" s="16" t="s">
        <v>2522</v>
      </c>
      <c r="Y1061" s="17" t="s">
        <v>3026</v>
      </c>
      <c r="Z1061" s="17" t="s">
        <v>39</v>
      </c>
      <c r="AA1061" s="17" t="s">
        <v>37</v>
      </c>
      <c r="AB1061" s="43">
        <v>183.49</v>
      </c>
      <c r="AC1061" s="25">
        <v>203.98</v>
      </c>
      <c r="AD1061" s="25">
        <f>AC1061*T1061</f>
        <v>203.98</v>
      </c>
      <c r="AE1061" s="25">
        <f>AB1061*T1061</f>
        <v>183.49</v>
      </c>
      <c r="AF1061" s="25">
        <f>AD1061-AE1061</f>
        <v>20.489999999999981</v>
      </c>
      <c r="AG1061" s="26">
        <f>AF1061/AD1061</f>
        <v>0.10045102461025582</v>
      </c>
      <c r="AH1061" s="27" t="str">
        <f>IF(AG1061&lt;0,"Negative",IF(AG1061=0,"Same",IF(AG1061&gt;0.3,"30+%",IF(AG1061&gt;0.2,"20-30%",IF(AG1061&gt;0.1,"10-20%",IF(AG1061&lt;=0.1,"0-10%"))))))</f>
        <v>10-20%</v>
      </c>
      <c r="AI1061" s="32"/>
      <c r="AJ1061" s="36" t="s">
        <v>3299</v>
      </c>
      <c r="AK1061" s="32"/>
    </row>
    <row r="1062" spans="1:37" s="1" customFormat="1" ht="19.7" customHeight="1" x14ac:dyDescent="0.25">
      <c r="A1062" s="5" t="s">
        <v>22</v>
      </c>
      <c r="B1062" s="5" t="s">
        <v>1329</v>
      </c>
      <c r="C1062" s="6">
        <v>44377</v>
      </c>
      <c r="D1062" s="5" t="s">
        <v>24</v>
      </c>
      <c r="E1062" s="5" t="s">
        <v>25</v>
      </c>
      <c r="F1062" s="5" t="s">
        <v>26</v>
      </c>
      <c r="G1062" s="5" t="s">
        <v>27</v>
      </c>
      <c r="H1062" s="5" t="s">
        <v>28</v>
      </c>
      <c r="I1062" s="5" t="s">
        <v>29</v>
      </c>
      <c r="J1062" s="5" t="s">
        <v>30</v>
      </c>
      <c r="K1062" s="5" t="s">
        <v>31</v>
      </c>
      <c r="L1062" s="5" t="s">
        <v>32</v>
      </c>
      <c r="M1062" s="5" t="s">
        <v>1330</v>
      </c>
      <c r="N1062" s="5" t="s">
        <v>1319</v>
      </c>
      <c r="O1062" s="5" t="s">
        <v>79</v>
      </c>
      <c r="P1062" s="5" t="s">
        <v>1331</v>
      </c>
      <c r="Q1062" s="5">
        <v>100756469</v>
      </c>
      <c r="R1062" s="5" t="s">
        <v>61</v>
      </c>
      <c r="S1062" s="5" t="s">
        <v>39</v>
      </c>
      <c r="T1062" s="7">
        <v>2</v>
      </c>
      <c r="U1062" s="15" t="s">
        <v>79</v>
      </c>
      <c r="V1062" s="16" t="s">
        <v>1331</v>
      </c>
      <c r="W1062" s="17">
        <v>100756469</v>
      </c>
      <c r="X1062" s="16" t="s">
        <v>2705</v>
      </c>
      <c r="Y1062" s="17" t="s">
        <v>3003</v>
      </c>
      <c r="Z1062" s="17" t="s">
        <v>39</v>
      </c>
      <c r="AA1062" s="17" t="s">
        <v>37</v>
      </c>
      <c r="AB1062" s="43">
        <v>131.16999999999999</v>
      </c>
      <c r="AC1062" s="25">
        <v>146</v>
      </c>
      <c r="AD1062" s="25">
        <f>AC1062*T1062</f>
        <v>292</v>
      </c>
      <c r="AE1062" s="25">
        <f>AB1062*T1062</f>
        <v>262.33999999999997</v>
      </c>
      <c r="AF1062" s="25">
        <f>AD1062-AE1062</f>
        <v>29.660000000000025</v>
      </c>
      <c r="AG1062" s="26">
        <f>AF1062/AD1062</f>
        <v>0.1015753424657535</v>
      </c>
      <c r="AH1062" s="27" t="str">
        <f>IF(AG1062&lt;0,"Negative",IF(AG1062=0,"Same",IF(AG1062&gt;0.3,"30+%",IF(AG1062&gt;0.2,"20-30%",IF(AG1062&gt;0.1,"10-20%",IF(AG1062&lt;=0.1,"0-10%"))))))</f>
        <v>10-20%</v>
      </c>
      <c r="AI1062" s="32"/>
      <c r="AJ1062" s="36" t="s">
        <v>3299</v>
      </c>
      <c r="AK1062" s="32"/>
    </row>
    <row r="1063" spans="1:37" s="1" customFormat="1" ht="19.7" customHeight="1" x14ac:dyDescent="0.25">
      <c r="A1063" s="5" t="s">
        <v>22</v>
      </c>
      <c r="B1063" s="5" t="s">
        <v>1986</v>
      </c>
      <c r="C1063" s="6">
        <v>44495</v>
      </c>
      <c r="D1063" s="5" t="s">
        <v>24</v>
      </c>
      <c r="E1063" s="5" t="s">
        <v>25</v>
      </c>
      <c r="F1063" s="5" t="s">
        <v>26</v>
      </c>
      <c r="G1063" s="5" t="s">
        <v>27</v>
      </c>
      <c r="H1063" s="5" t="s">
        <v>28</v>
      </c>
      <c r="I1063" s="5" t="s">
        <v>29</v>
      </c>
      <c r="J1063" s="5" t="s">
        <v>30</v>
      </c>
      <c r="K1063" s="5" t="s">
        <v>31</v>
      </c>
      <c r="L1063" s="5" t="s">
        <v>32</v>
      </c>
      <c r="M1063" s="5" t="s">
        <v>1987</v>
      </c>
      <c r="N1063" s="5" t="s">
        <v>1988</v>
      </c>
      <c r="O1063" s="5" t="s">
        <v>79</v>
      </c>
      <c r="P1063" s="5" t="s">
        <v>1989</v>
      </c>
      <c r="Q1063" s="5">
        <v>100762516</v>
      </c>
      <c r="R1063" s="5" t="s">
        <v>61</v>
      </c>
      <c r="S1063" s="5" t="s">
        <v>39</v>
      </c>
      <c r="T1063" s="7">
        <v>1</v>
      </c>
      <c r="U1063" s="15" t="s">
        <v>79</v>
      </c>
      <c r="V1063" s="16" t="s">
        <v>1989</v>
      </c>
      <c r="W1063" s="17">
        <v>100762516</v>
      </c>
      <c r="X1063" s="16" t="s">
        <v>2608</v>
      </c>
      <c r="Y1063" s="17" t="s">
        <v>3181</v>
      </c>
      <c r="Z1063" s="17" t="s">
        <v>39</v>
      </c>
      <c r="AA1063" s="17" t="s">
        <v>37</v>
      </c>
      <c r="AB1063" s="43">
        <v>154.27000000000001</v>
      </c>
      <c r="AC1063" s="25">
        <v>171.27</v>
      </c>
      <c r="AD1063" s="25">
        <f>AC1063*T1063</f>
        <v>171.27</v>
      </c>
      <c r="AE1063" s="25">
        <f>AB1063*T1063</f>
        <v>154.27000000000001</v>
      </c>
      <c r="AF1063" s="25">
        <f>AD1063-AE1063</f>
        <v>17</v>
      </c>
      <c r="AG1063" s="26">
        <f>AF1063/AD1063</f>
        <v>9.9258480761370935E-2</v>
      </c>
      <c r="AH1063" s="27" t="str">
        <f>IF(AG1063&lt;0,"Negative",IF(AG1063=0,"Same",IF(AG1063&gt;0.3,"30+%",IF(AG1063&gt;0.2,"20-30%",IF(AG1063&gt;0.1,"10-20%",IF(AG1063&lt;=0.1,"0-10%"))))))</f>
        <v>0-10%</v>
      </c>
      <c r="AI1063" s="32"/>
      <c r="AJ1063" s="36" t="s">
        <v>3299</v>
      </c>
      <c r="AK1063" s="32"/>
    </row>
    <row r="1064" spans="1:37" s="1" customFormat="1" ht="19.7" customHeight="1" x14ac:dyDescent="0.25">
      <c r="A1064" s="9" t="s">
        <v>22</v>
      </c>
      <c r="B1064" s="9" t="s">
        <v>1990</v>
      </c>
      <c r="C1064" s="10">
        <v>44495</v>
      </c>
      <c r="D1064" s="9" t="s">
        <v>24</v>
      </c>
      <c r="E1064" s="9" t="s">
        <v>25</v>
      </c>
      <c r="F1064" s="9" t="s">
        <v>26</v>
      </c>
      <c r="G1064" s="9" t="s">
        <v>27</v>
      </c>
      <c r="H1064" s="9" t="s">
        <v>28</v>
      </c>
      <c r="I1064" s="9" t="s">
        <v>29</v>
      </c>
      <c r="J1064" s="9" t="s">
        <v>30</v>
      </c>
      <c r="K1064" s="9" t="s">
        <v>31</v>
      </c>
      <c r="L1064" s="9" t="s">
        <v>32</v>
      </c>
      <c r="M1064" s="9" t="s">
        <v>1994</v>
      </c>
      <c r="N1064" s="9" t="s">
        <v>1992</v>
      </c>
      <c r="O1064" s="9" t="s">
        <v>79</v>
      </c>
      <c r="P1064" s="9" t="s">
        <v>1995</v>
      </c>
      <c r="Q1064" s="9">
        <v>100762518</v>
      </c>
      <c r="R1064" s="9" t="s">
        <v>61</v>
      </c>
      <c r="S1064" s="9" t="s">
        <v>39</v>
      </c>
      <c r="T1064" s="11">
        <v>1</v>
      </c>
      <c r="U1064" s="15" t="s">
        <v>79</v>
      </c>
      <c r="V1064" s="16" t="s">
        <v>1995</v>
      </c>
      <c r="W1064" s="17">
        <v>100762518</v>
      </c>
      <c r="X1064" s="16" t="s">
        <v>2608</v>
      </c>
      <c r="Y1064" s="17" t="s">
        <v>3183</v>
      </c>
      <c r="Z1064" s="17" t="s">
        <v>39</v>
      </c>
      <c r="AA1064" s="17" t="s">
        <v>37</v>
      </c>
      <c r="AB1064" s="43">
        <v>149.5</v>
      </c>
      <c r="AC1064" s="25">
        <v>171.27</v>
      </c>
      <c r="AD1064" s="25">
        <f>AC1064*T1064</f>
        <v>171.27</v>
      </c>
      <c r="AE1064" s="25">
        <f>AB1064*T1064</f>
        <v>149.5</v>
      </c>
      <c r="AF1064" s="25">
        <f>AD1064-AE1064</f>
        <v>21.77000000000001</v>
      </c>
      <c r="AG1064" s="26">
        <f>AF1064/AD1064</f>
        <v>0.12710924271617918</v>
      </c>
      <c r="AH1064" s="27" t="str">
        <f>IF(AG1064&lt;0,"Negative",IF(AG1064=0,"Same",IF(AG1064&gt;0.3,"30+%",IF(AG1064&gt;0.2,"20-30%",IF(AG1064&gt;0.1,"10-20%",IF(AG1064&lt;=0.1,"0-10%"))))))</f>
        <v>10-20%</v>
      </c>
      <c r="AI1064" s="32"/>
      <c r="AJ1064" s="36" t="s">
        <v>3299</v>
      </c>
      <c r="AK1064" s="32"/>
    </row>
    <row r="1065" spans="1:37" s="1" customFormat="1" ht="19.7" customHeight="1" x14ac:dyDescent="0.25">
      <c r="A1065" s="5" t="s">
        <v>22</v>
      </c>
      <c r="B1065" s="5" t="s">
        <v>2276</v>
      </c>
      <c r="C1065" s="6">
        <v>44559</v>
      </c>
      <c r="D1065" s="5" t="s">
        <v>24</v>
      </c>
      <c r="E1065" s="5" t="s">
        <v>25</v>
      </c>
      <c r="F1065" s="5" t="s">
        <v>26</v>
      </c>
      <c r="G1065" s="5" t="s">
        <v>67</v>
      </c>
      <c r="H1065" s="5" t="s">
        <v>68</v>
      </c>
      <c r="I1065" s="5" t="s">
        <v>29</v>
      </c>
      <c r="J1065" s="5" t="s">
        <v>30</v>
      </c>
      <c r="K1065" s="5" t="s">
        <v>31</v>
      </c>
      <c r="L1065" s="5" t="s">
        <v>32</v>
      </c>
      <c r="M1065" s="5" t="s">
        <v>1222</v>
      </c>
      <c r="N1065" s="5" t="s">
        <v>1760</v>
      </c>
      <c r="O1065" s="5" t="s">
        <v>109</v>
      </c>
      <c r="P1065" s="5" t="s">
        <v>1223</v>
      </c>
      <c r="Q1065" s="5">
        <v>100721848</v>
      </c>
      <c r="R1065" s="5" t="s">
        <v>61</v>
      </c>
      <c r="S1065" s="5" t="s">
        <v>39</v>
      </c>
      <c r="T1065" s="7">
        <v>1</v>
      </c>
      <c r="U1065" s="15" t="s">
        <v>109</v>
      </c>
      <c r="V1065" s="16" t="s">
        <v>1223</v>
      </c>
      <c r="W1065" s="17">
        <v>100721848</v>
      </c>
      <c r="X1065" s="16" t="s">
        <v>2526</v>
      </c>
      <c r="Y1065" s="17" t="s">
        <v>2966</v>
      </c>
      <c r="Z1065" s="17" t="s">
        <v>39</v>
      </c>
      <c r="AA1065" s="17" t="s">
        <v>37</v>
      </c>
      <c r="AB1065" s="43">
        <v>243.6</v>
      </c>
      <c r="AC1065" s="25">
        <v>248.7</v>
      </c>
      <c r="AD1065" s="25">
        <f>AC1065*T1065</f>
        <v>248.7</v>
      </c>
      <c r="AE1065" s="25">
        <f>AB1065*T1065</f>
        <v>243.6</v>
      </c>
      <c r="AF1065" s="25">
        <f>AD1065-AE1065</f>
        <v>5.0999999999999943</v>
      </c>
      <c r="AG1065" s="26">
        <f>AF1065/AD1065</f>
        <v>2.0506634499396843E-2</v>
      </c>
      <c r="AH1065" s="27" t="str">
        <f>IF(AG1065&lt;0,"Negative",IF(AG1065=0,"Same",IF(AG1065&gt;0.3,"30+%",IF(AG1065&gt;0.2,"20-30%",IF(AG1065&gt;0.1,"10-20%",IF(AG1065&lt;=0.1,"0-10%"))))))</f>
        <v>0-10%</v>
      </c>
      <c r="AI1065" s="32"/>
      <c r="AJ1065" s="36" t="s">
        <v>3300</v>
      </c>
      <c r="AK1065" s="32"/>
    </row>
    <row r="1066" spans="1:37" s="1" customFormat="1" ht="19.7" customHeight="1" x14ac:dyDescent="0.25">
      <c r="A1066" s="5" t="s">
        <v>22</v>
      </c>
      <c r="B1066" s="5" t="s">
        <v>438</v>
      </c>
      <c r="C1066" s="6">
        <v>44263</v>
      </c>
      <c r="D1066" s="5" t="s">
        <v>24</v>
      </c>
      <c r="E1066" s="5" t="s">
        <v>25</v>
      </c>
      <c r="F1066" s="5" t="s">
        <v>26</v>
      </c>
      <c r="G1066" s="5" t="s">
        <v>27</v>
      </c>
      <c r="H1066" s="5" t="s">
        <v>28</v>
      </c>
      <c r="I1066" s="5" t="s">
        <v>29</v>
      </c>
      <c r="J1066" s="5" t="s">
        <v>30</v>
      </c>
      <c r="K1066" s="5" t="s">
        <v>31</v>
      </c>
      <c r="L1066" s="5" t="s">
        <v>32</v>
      </c>
      <c r="M1066" s="5" t="s">
        <v>439</v>
      </c>
      <c r="N1066" s="5" t="s">
        <v>96</v>
      </c>
      <c r="O1066" s="5" t="s">
        <v>440</v>
      </c>
      <c r="P1066" s="5" t="s">
        <v>441</v>
      </c>
      <c r="Q1066" s="5">
        <v>105335521</v>
      </c>
      <c r="R1066" s="5" t="s">
        <v>51</v>
      </c>
      <c r="S1066" s="5" t="s">
        <v>39</v>
      </c>
      <c r="T1066" s="7">
        <v>1</v>
      </c>
      <c r="U1066" s="15" t="s">
        <v>440</v>
      </c>
      <c r="V1066" s="16" t="s">
        <v>441</v>
      </c>
      <c r="W1066" s="17">
        <v>105335521</v>
      </c>
      <c r="X1066" s="16" t="s">
        <v>2673</v>
      </c>
      <c r="Y1066" s="17" t="s">
        <v>2674</v>
      </c>
      <c r="Z1066" s="17" t="s">
        <v>39</v>
      </c>
      <c r="AA1066" s="17" t="s">
        <v>2501</v>
      </c>
      <c r="AB1066" s="29">
        <v>534.70000000000005</v>
      </c>
      <c r="AC1066" s="25">
        <v>585.14</v>
      </c>
      <c r="AD1066" s="25">
        <f>AC1066*T1066</f>
        <v>585.14</v>
      </c>
      <c r="AE1066" s="25">
        <f>AB1066*T1066</f>
        <v>534.70000000000005</v>
      </c>
      <c r="AF1066" s="25">
        <f>AD1066-AE1066</f>
        <v>50.439999999999941</v>
      </c>
      <c r="AG1066" s="26">
        <f>AF1066/AD1066</f>
        <v>8.6201592781214656E-2</v>
      </c>
      <c r="AH1066" s="27" t="str">
        <f>IF(AG1066&lt;0,"Negative",IF(AG1066=0,"Same",IF(AG1066&gt;0.3,"30+%",IF(AG1066&gt;0.2,"20-30%",IF(AG1066&gt;0.1,"10-20%",IF(AG1066&lt;=0.1,"0-10%"))))))</f>
        <v>0-10%</v>
      </c>
      <c r="AI1066" s="32"/>
      <c r="AJ1066" s="36" t="s">
        <v>3300</v>
      </c>
      <c r="AK1066" s="32"/>
    </row>
    <row r="1067" spans="1:37" s="1" customFormat="1" ht="19.7" customHeight="1" x14ac:dyDescent="0.25">
      <c r="A1067" s="5" t="s">
        <v>22</v>
      </c>
      <c r="B1067" s="5" t="s">
        <v>827</v>
      </c>
      <c r="C1067" s="6">
        <v>44305</v>
      </c>
      <c r="D1067" s="5" t="s">
        <v>24</v>
      </c>
      <c r="E1067" s="5" t="s">
        <v>25</v>
      </c>
      <c r="F1067" s="5" t="s">
        <v>26</v>
      </c>
      <c r="G1067" s="5" t="s">
        <v>27</v>
      </c>
      <c r="H1067" s="5" t="s">
        <v>28</v>
      </c>
      <c r="I1067" s="5" t="s">
        <v>29</v>
      </c>
      <c r="J1067" s="5" t="s">
        <v>30</v>
      </c>
      <c r="K1067" s="5" t="s">
        <v>31</v>
      </c>
      <c r="L1067" s="5" t="s">
        <v>32</v>
      </c>
      <c r="M1067" s="5" t="s">
        <v>828</v>
      </c>
      <c r="N1067" s="5" t="s">
        <v>829</v>
      </c>
      <c r="O1067" s="5" t="s">
        <v>79</v>
      </c>
      <c r="P1067" s="5" t="s">
        <v>830</v>
      </c>
      <c r="Q1067" s="5">
        <v>112439619</v>
      </c>
      <c r="R1067" s="5" t="s">
        <v>61</v>
      </c>
      <c r="S1067" s="5" t="s">
        <v>39</v>
      </c>
      <c r="T1067" s="7">
        <v>1</v>
      </c>
      <c r="U1067" s="15" t="s">
        <v>79</v>
      </c>
      <c r="V1067" s="16" t="s">
        <v>830</v>
      </c>
      <c r="W1067" s="17">
        <v>112439619</v>
      </c>
      <c r="X1067" s="16" t="s">
        <v>2608</v>
      </c>
      <c r="Y1067" s="17" t="s">
        <v>2832</v>
      </c>
      <c r="Z1067" s="17" t="s">
        <v>39</v>
      </c>
      <c r="AA1067" s="17" t="s">
        <v>37</v>
      </c>
      <c r="AB1067" s="43">
        <v>146.6</v>
      </c>
      <c r="AC1067" s="25">
        <v>171.27</v>
      </c>
      <c r="AD1067" s="25">
        <f>AC1067*T1067</f>
        <v>171.27</v>
      </c>
      <c r="AE1067" s="25">
        <f>AB1067*T1067</f>
        <v>146.6</v>
      </c>
      <c r="AF1067" s="25">
        <f>AD1067-AE1067</f>
        <v>24.670000000000016</v>
      </c>
      <c r="AG1067" s="26">
        <f>AF1067/AD1067</f>
        <v>0.14404157178723662</v>
      </c>
      <c r="AH1067" s="27" t="str">
        <f>IF(AG1067&lt;0,"Negative",IF(AG1067=0,"Same",IF(AG1067&gt;0.3,"30+%",IF(AG1067&gt;0.2,"20-30%",IF(AG1067&gt;0.1,"10-20%",IF(AG1067&lt;=0.1,"0-10%"))))))</f>
        <v>10-20%</v>
      </c>
      <c r="AI1067" s="32"/>
      <c r="AJ1067" s="36" t="s">
        <v>3299</v>
      </c>
      <c r="AK1067" s="32"/>
    </row>
    <row r="1068" spans="1:37" s="1" customFormat="1" ht="19.7" customHeight="1" x14ac:dyDescent="0.25">
      <c r="A1068" s="9" t="s">
        <v>22</v>
      </c>
      <c r="B1068" s="9" t="s">
        <v>1112</v>
      </c>
      <c r="C1068" s="10">
        <v>44341</v>
      </c>
      <c r="D1068" s="9" t="s">
        <v>24</v>
      </c>
      <c r="E1068" s="9" t="s">
        <v>25</v>
      </c>
      <c r="F1068" s="9" t="s">
        <v>26</v>
      </c>
      <c r="G1068" s="9" t="s">
        <v>27</v>
      </c>
      <c r="H1068" s="9" t="s">
        <v>28</v>
      </c>
      <c r="I1068" s="9" t="s">
        <v>29</v>
      </c>
      <c r="J1068" s="9" t="s">
        <v>30</v>
      </c>
      <c r="K1068" s="9" t="s">
        <v>31</v>
      </c>
      <c r="L1068" s="9" t="s">
        <v>32</v>
      </c>
      <c r="M1068" s="9" t="s">
        <v>261</v>
      </c>
      <c r="N1068" s="9" t="s">
        <v>1113</v>
      </c>
      <c r="O1068" s="9" t="s">
        <v>154</v>
      </c>
      <c r="P1068" s="9" t="s">
        <v>1114</v>
      </c>
      <c r="Q1068" s="9">
        <v>100736601</v>
      </c>
      <c r="R1068" s="9" t="s">
        <v>61</v>
      </c>
      <c r="S1068" s="9" t="s">
        <v>39</v>
      </c>
      <c r="T1068" s="11">
        <v>4</v>
      </c>
      <c r="U1068" s="15" t="s">
        <v>154</v>
      </c>
      <c r="V1068" s="16" t="s">
        <v>1114</v>
      </c>
      <c r="W1068" s="17">
        <v>100736601</v>
      </c>
      <c r="X1068" s="16" t="s">
        <v>2708</v>
      </c>
      <c r="Y1068" s="17" t="s">
        <v>2926</v>
      </c>
      <c r="Z1068" s="17" t="s">
        <v>39</v>
      </c>
      <c r="AA1068" s="17" t="s">
        <v>37</v>
      </c>
      <c r="AB1068" s="43">
        <v>291.41000000000003</v>
      </c>
      <c r="AC1068" s="25">
        <v>310.89</v>
      </c>
      <c r="AD1068" s="25">
        <f>AC1068*T1068</f>
        <v>1243.56</v>
      </c>
      <c r="AE1068" s="25">
        <f>AB1068*T1068</f>
        <v>1165.6400000000001</v>
      </c>
      <c r="AF1068" s="25">
        <f>AD1068-AE1068</f>
        <v>77.919999999999845</v>
      </c>
      <c r="AG1068" s="26">
        <f>AF1068/AD1068</f>
        <v>6.2658818231528718E-2</v>
      </c>
      <c r="AH1068" s="27" t="str">
        <f>IF(AG1068&lt;0,"Negative",IF(AG1068=0,"Same",IF(AG1068&gt;0.3,"30+%",IF(AG1068&gt;0.2,"20-30%",IF(AG1068&gt;0.1,"10-20%",IF(AG1068&lt;=0.1,"0-10%"))))))</f>
        <v>0-10%</v>
      </c>
      <c r="AI1068" s="32"/>
      <c r="AJ1068" s="36" t="s">
        <v>3300</v>
      </c>
      <c r="AK1068" s="32"/>
    </row>
    <row r="1069" spans="1:37" s="1" customFormat="1" ht="19.7" customHeight="1" x14ac:dyDescent="0.25">
      <c r="A1069" s="5" t="s">
        <v>22</v>
      </c>
      <c r="B1069" s="5" t="s">
        <v>2142</v>
      </c>
      <c r="C1069" s="6">
        <v>44523</v>
      </c>
      <c r="D1069" s="5" t="s">
        <v>24</v>
      </c>
      <c r="E1069" s="5" t="s">
        <v>25</v>
      </c>
      <c r="F1069" s="5" t="s">
        <v>26</v>
      </c>
      <c r="G1069" s="5" t="s">
        <v>27</v>
      </c>
      <c r="H1069" s="5" t="s">
        <v>28</v>
      </c>
      <c r="I1069" s="5" t="s">
        <v>29</v>
      </c>
      <c r="J1069" s="5" t="s">
        <v>30</v>
      </c>
      <c r="K1069" s="5" t="s">
        <v>31</v>
      </c>
      <c r="L1069" s="5" t="s">
        <v>32</v>
      </c>
      <c r="M1069" s="5" t="s">
        <v>1554</v>
      </c>
      <c r="N1069" s="5" t="s">
        <v>2073</v>
      </c>
      <c r="O1069" s="5" t="s">
        <v>381</v>
      </c>
      <c r="P1069" s="5" t="s">
        <v>1555</v>
      </c>
      <c r="Q1069" s="5">
        <v>112348519</v>
      </c>
      <c r="R1069" s="5" t="s">
        <v>38</v>
      </c>
      <c r="S1069" s="5" t="s">
        <v>39</v>
      </c>
      <c r="T1069" s="7">
        <v>1</v>
      </c>
      <c r="U1069" s="15" t="s">
        <v>381</v>
      </c>
      <c r="V1069" s="16" t="s">
        <v>1555</v>
      </c>
      <c r="W1069" s="17">
        <v>112348519</v>
      </c>
      <c r="X1069" s="16" t="s">
        <v>2648</v>
      </c>
      <c r="Y1069" s="17" t="s">
        <v>3072</v>
      </c>
      <c r="Z1069" s="17" t="s">
        <v>39</v>
      </c>
      <c r="AA1069" s="17" t="s">
        <v>37</v>
      </c>
      <c r="AB1069" s="29">
        <v>371.57</v>
      </c>
      <c r="AC1069" s="25">
        <v>389.25</v>
      </c>
      <c r="AD1069" s="25">
        <f>AC1069*T1069</f>
        <v>389.25</v>
      </c>
      <c r="AE1069" s="25">
        <f>AB1069*T1069</f>
        <v>371.57</v>
      </c>
      <c r="AF1069" s="25">
        <f>AD1069-AE1069</f>
        <v>17.680000000000007</v>
      </c>
      <c r="AG1069" s="26">
        <f>AF1069/AD1069</f>
        <v>4.5420680796403358E-2</v>
      </c>
      <c r="AH1069" s="27" t="str">
        <f>IF(AG1069&lt;0,"Negative",IF(AG1069=0,"Same",IF(AG1069&gt;0.3,"30+%",IF(AG1069&gt;0.2,"20-30%",IF(AG1069&gt;0.1,"10-20%",IF(AG1069&lt;=0.1,"0-10%"))))))</f>
        <v>0-10%</v>
      </c>
      <c r="AI1069" s="32"/>
      <c r="AJ1069" s="36" t="s">
        <v>3300</v>
      </c>
      <c r="AK1069" s="32"/>
    </row>
    <row r="1070" spans="1:37" s="1" customFormat="1" ht="19.7" customHeight="1" x14ac:dyDescent="0.25">
      <c r="A1070" s="5" t="s">
        <v>22</v>
      </c>
      <c r="B1070" s="5" t="s">
        <v>2072</v>
      </c>
      <c r="C1070" s="6">
        <v>44515</v>
      </c>
      <c r="D1070" s="5" t="s">
        <v>24</v>
      </c>
      <c r="E1070" s="5" t="s">
        <v>25</v>
      </c>
      <c r="F1070" s="5" t="s">
        <v>26</v>
      </c>
      <c r="G1070" s="5" t="s">
        <v>27</v>
      </c>
      <c r="H1070" s="5" t="s">
        <v>28</v>
      </c>
      <c r="I1070" s="5" t="s">
        <v>29</v>
      </c>
      <c r="J1070" s="5" t="s">
        <v>30</v>
      </c>
      <c r="K1070" s="5" t="s">
        <v>31</v>
      </c>
      <c r="L1070" s="5" t="s">
        <v>32</v>
      </c>
      <c r="M1070" s="5" t="s">
        <v>1554</v>
      </c>
      <c r="N1070" s="5" t="s">
        <v>2073</v>
      </c>
      <c r="O1070" s="5" t="s">
        <v>381</v>
      </c>
      <c r="P1070" s="5" t="s">
        <v>1555</v>
      </c>
      <c r="Q1070" s="5">
        <v>112348519</v>
      </c>
      <c r="R1070" s="5" t="s">
        <v>38</v>
      </c>
      <c r="S1070" s="5" t="s">
        <v>39</v>
      </c>
      <c r="T1070" s="7">
        <v>3</v>
      </c>
      <c r="U1070" s="15" t="s">
        <v>381</v>
      </c>
      <c r="V1070" s="16" t="s">
        <v>1555</v>
      </c>
      <c r="W1070" s="17">
        <v>112348519</v>
      </c>
      <c r="X1070" s="16" t="s">
        <v>2648</v>
      </c>
      <c r="Y1070" s="17" t="s">
        <v>3072</v>
      </c>
      <c r="Z1070" s="17" t="s">
        <v>39</v>
      </c>
      <c r="AA1070" s="17" t="s">
        <v>37</v>
      </c>
      <c r="AB1070" s="29">
        <v>371.57</v>
      </c>
      <c r="AC1070" s="25">
        <v>389.25</v>
      </c>
      <c r="AD1070" s="25">
        <f>AC1070*T1070</f>
        <v>1167.75</v>
      </c>
      <c r="AE1070" s="25">
        <f>AB1070*T1070</f>
        <v>1114.71</v>
      </c>
      <c r="AF1070" s="25">
        <f>AD1070-AE1070</f>
        <v>53.039999999999964</v>
      </c>
      <c r="AG1070" s="26">
        <f>AF1070/AD1070</f>
        <v>4.5420680796403309E-2</v>
      </c>
      <c r="AH1070" s="27" t="str">
        <f>IF(AG1070&lt;0,"Negative",IF(AG1070=0,"Same",IF(AG1070&gt;0.3,"30+%",IF(AG1070&gt;0.2,"20-30%",IF(AG1070&gt;0.1,"10-20%",IF(AG1070&lt;=0.1,"0-10%"))))))</f>
        <v>0-10%</v>
      </c>
      <c r="AI1070" s="32"/>
      <c r="AJ1070" s="36" t="s">
        <v>3300</v>
      </c>
      <c r="AK1070" s="32"/>
    </row>
    <row r="1071" spans="1:37" s="1" customFormat="1" ht="19.7" customHeight="1" x14ac:dyDescent="0.25">
      <c r="A1071" s="5" t="s">
        <v>22</v>
      </c>
      <c r="B1071" s="5" t="s">
        <v>1047</v>
      </c>
      <c r="C1071" s="6">
        <v>44333</v>
      </c>
      <c r="D1071" s="5" t="s">
        <v>24</v>
      </c>
      <c r="E1071" s="5" t="s">
        <v>25</v>
      </c>
      <c r="F1071" s="5" t="s">
        <v>26</v>
      </c>
      <c r="G1071" s="5" t="s">
        <v>27</v>
      </c>
      <c r="H1071" s="5" t="s">
        <v>28</v>
      </c>
      <c r="I1071" s="5" t="s">
        <v>29</v>
      </c>
      <c r="J1071" s="5" t="s">
        <v>30</v>
      </c>
      <c r="K1071" s="5" t="s">
        <v>31</v>
      </c>
      <c r="L1071" s="5" t="s">
        <v>32</v>
      </c>
      <c r="M1071" s="5" t="s">
        <v>1048</v>
      </c>
      <c r="N1071" s="5" t="s">
        <v>1049</v>
      </c>
      <c r="O1071" s="5" t="s">
        <v>334</v>
      </c>
      <c r="P1071" s="5" t="s">
        <v>1050</v>
      </c>
      <c r="Q1071" s="5">
        <v>111613743</v>
      </c>
      <c r="R1071" s="5" t="s">
        <v>38</v>
      </c>
      <c r="S1071" s="5" t="s">
        <v>39</v>
      </c>
      <c r="T1071" s="7">
        <v>1</v>
      </c>
      <c r="U1071" s="15" t="s">
        <v>334</v>
      </c>
      <c r="V1071" s="16" t="s">
        <v>1050</v>
      </c>
      <c r="W1071" s="17">
        <v>111613743</v>
      </c>
      <c r="X1071" s="16" t="s">
        <v>2906</v>
      </c>
      <c r="Y1071" s="17" t="s">
        <v>2907</v>
      </c>
      <c r="Z1071" s="17" t="s">
        <v>39</v>
      </c>
      <c r="AA1071" s="17" t="s">
        <v>37</v>
      </c>
      <c r="AB1071" s="29">
        <v>230</v>
      </c>
      <c r="AC1071" s="25">
        <v>235.21</v>
      </c>
      <c r="AD1071" s="25">
        <f>AC1071*T1071</f>
        <v>235.21</v>
      </c>
      <c r="AE1071" s="25">
        <f>AB1071*T1071</f>
        <v>230</v>
      </c>
      <c r="AF1071" s="25">
        <f>AD1071-AE1071</f>
        <v>5.210000000000008</v>
      </c>
      <c r="AG1071" s="26">
        <f>AF1071/AD1071</f>
        <v>2.2150418774711994E-2</v>
      </c>
      <c r="AH1071" s="27" t="str">
        <f>IF(AG1071&lt;0,"Negative",IF(AG1071=0,"Same",IF(AG1071&gt;0.3,"30+%",IF(AG1071&gt;0.2,"20-30%",IF(AG1071&gt;0.1,"10-20%",IF(AG1071&lt;=0.1,"0-10%"))))))</f>
        <v>0-10%</v>
      </c>
      <c r="AI1071" s="32"/>
      <c r="AJ1071" s="36" t="s">
        <v>3300</v>
      </c>
      <c r="AK1071" s="32"/>
    </row>
    <row r="1072" spans="1:37" s="1" customFormat="1" ht="19.7" customHeight="1" x14ac:dyDescent="0.25">
      <c r="A1072" s="5" t="s">
        <v>22</v>
      </c>
      <c r="B1072" s="5" t="s">
        <v>1917</v>
      </c>
      <c r="C1072" s="6">
        <v>44483</v>
      </c>
      <c r="D1072" s="5" t="s">
        <v>24</v>
      </c>
      <c r="E1072" s="5" t="s">
        <v>25</v>
      </c>
      <c r="F1072" s="5" t="s">
        <v>26</v>
      </c>
      <c r="G1072" s="5" t="s">
        <v>27</v>
      </c>
      <c r="H1072" s="5" t="s">
        <v>28</v>
      </c>
      <c r="I1072" s="5" t="s">
        <v>29</v>
      </c>
      <c r="J1072" s="5" t="s">
        <v>30</v>
      </c>
      <c r="K1072" s="5" t="s">
        <v>31</v>
      </c>
      <c r="L1072" s="5" t="s">
        <v>32</v>
      </c>
      <c r="M1072" s="5" t="s">
        <v>1918</v>
      </c>
      <c r="N1072" s="5" t="s">
        <v>1892</v>
      </c>
      <c r="O1072" s="5" t="s">
        <v>1919</v>
      </c>
      <c r="P1072" s="5" t="s">
        <v>1920</v>
      </c>
      <c r="Q1072" s="5">
        <v>114363189</v>
      </c>
      <c r="R1072" s="5" t="s">
        <v>56</v>
      </c>
      <c r="S1072" s="5" t="s">
        <v>39</v>
      </c>
      <c r="T1072" s="7">
        <v>1</v>
      </c>
      <c r="U1072" s="15" t="s">
        <v>1919</v>
      </c>
      <c r="V1072" s="16" t="s">
        <v>1920</v>
      </c>
      <c r="W1072" s="17">
        <v>114363189</v>
      </c>
      <c r="X1072" s="16" t="s">
        <v>2568</v>
      </c>
      <c r="Y1072" s="17" t="s">
        <v>3167</v>
      </c>
      <c r="Z1072" s="17" t="s">
        <v>39</v>
      </c>
      <c r="AA1072" s="17" t="s">
        <v>2501</v>
      </c>
      <c r="AB1072" s="29">
        <v>1161.3699999999999</v>
      </c>
      <c r="AC1072" s="25">
        <v>1186.08</v>
      </c>
      <c r="AD1072" s="25">
        <f>AC1072*T1072</f>
        <v>1186.08</v>
      </c>
      <c r="AE1072" s="25">
        <f>AB1072*T1072</f>
        <v>1161.3699999999999</v>
      </c>
      <c r="AF1072" s="25">
        <f>AD1072-AE1072</f>
        <v>24.710000000000036</v>
      </c>
      <c r="AG1072" s="26">
        <f>AF1072/AD1072</f>
        <v>2.0833333333333367E-2</v>
      </c>
      <c r="AH1072" s="27" t="str">
        <f>IF(AG1072&lt;0,"Negative",IF(AG1072=0,"Same",IF(AG1072&gt;0.3,"30+%",IF(AG1072&gt;0.2,"20-30%",IF(AG1072&gt;0.1,"10-20%",IF(AG1072&lt;=0.1,"0-10%"))))))</f>
        <v>0-10%</v>
      </c>
      <c r="AI1072" s="32"/>
      <c r="AJ1072" s="36" t="s">
        <v>3300</v>
      </c>
      <c r="AK1072" s="32"/>
    </row>
    <row r="1073" spans="1:37" s="1" customFormat="1" ht="19.7" customHeight="1" x14ac:dyDescent="0.25">
      <c r="A1073" s="5" t="s">
        <v>22</v>
      </c>
      <c r="B1073" s="5" t="s">
        <v>1099</v>
      </c>
      <c r="C1073" s="6">
        <v>44340</v>
      </c>
      <c r="D1073" s="5" t="s">
        <v>24</v>
      </c>
      <c r="E1073" s="5" t="s">
        <v>25</v>
      </c>
      <c r="F1073" s="5" t="s">
        <v>26</v>
      </c>
      <c r="G1073" s="5" t="s">
        <v>27</v>
      </c>
      <c r="H1073" s="5" t="s">
        <v>28</v>
      </c>
      <c r="I1073" s="5" t="s">
        <v>29</v>
      </c>
      <c r="J1073" s="5" t="s">
        <v>30</v>
      </c>
      <c r="K1073" s="5" t="s">
        <v>31</v>
      </c>
      <c r="L1073" s="5" t="s">
        <v>32</v>
      </c>
      <c r="M1073" s="5" t="s">
        <v>33</v>
      </c>
      <c r="N1073" s="5" t="s">
        <v>872</v>
      </c>
      <c r="O1073" s="5" t="s">
        <v>35</v>
      </c>
      <c r="P1073" s="5" t="s">
        <v>36</v>
      </c>
      <c r="Q1073" s="5">
        <v>100560063</v>
      </c>
      <c r="R1073" s="5" t="s">
        <v>38</v>
      </c>
      <c r="S1073" s="5" t="s">
        <v>39</v>
      </c>
      <c r="T1073" s="7">
        <v>1</v>
      </c>
      <c r="U1073" s="15" t="s">
        <v>35</v>
      </c>
      <c r="V1073" s="16" t="s">
        <v>36</v>
      </c>
      <c r="W1073" s="17">
        <v>100560063</v>
      </c>
      <c r="X1073" s="16" t="s">
        <v>2497</v>
      </c>
      <c r="Y1073" s="17" t="s">
        <v>2498</v>
      </c>
      <c r="Z1073" s="17" t="s">
        <v>39</v>
      </c>
      <c r="AA1073" s="17" t="s">
        <v>37</v>
      </c>
      <c r="AB1073" s="29">
        <v>190.29</v>
      </c>
      <c r="AC1073" s="25">
        <v>196.97</v>
      </c>
      <c r="AD1073" s="25">
        <f>AC1073*T1073</f>
        <v>196.97</v>
      </c>
      <c r="AE1073" s="25">
        <f>AB1073*T1073</f>
        <v>190.29</v>
      </c>
      <c r="AF1073" s="25">
        <f>AD1073-AE1073</f>
        <v>6.6800000000000068</v>
      </c>
      <c r="AG1073" s="26">
        <f>AF1073/AD1073</f>
        <v>3.3913793978778528E-2</v>
      </c>
      <c r="AH1073" s="27" t="str">
        <f>IF(AG1073&lt;0,"Negative",IF(AG1073=0,"Same",IF(AG1073&gt;0.3,"30+%",IF(AG1073&gt;0.2,"20-30%",IF(AG1073&gt;0.1,"10-20%",IF(AG1073&lt;=0.1,"0-10%"))))))</f>
        <v>0-10%</v>
      </c>
      <c r="AI1073" s="32"/>
      <c r="AJ1073" s="36" t="s">
        <v>3300</v>
      </c>
      <c r="AK1073" s="32"/>
    </row>
    <row r="1074" spans="1:37" s="1" customFormat="1" ht="19.7" customHeight="1" x14ac:dyDescent="0.25">
      <c r="A1074" s="5" t="s">
        <v>22</v>
      </c>
      <c r="B1074" s="5" t="s">
        <v>396</v>
      </c>
      <c r="C1074" s="6">
        <v>44258</v>
      </c>
      <c r="D1074" s="5" t="s">
        <v>24</v>
      </c>
      <c r="E1074" s="5" t="s">
        <v>25</v>
      </c>
      <c r="F1074" s="5" t="s">
        <v>26</v>
      </c>
      <c r="G1074" s="5" t="s">
        <v>27</v>
      </c>
      <c r="H1074" s="5" t="s">
        <v>28</v>
      </c>
      <c r="I1074" s="5" t="s">
        <v>29</v>
      </c>
      <c r="J1074" s="5" t="s">
        <v>30</v>
      </c>
      <c r="K1074" s="5" t="s">
        <v>31</v>
      </c>
      <c r="L1074" s="5" t="s">
        <v>32</v>
      </c>
      <c r="M1074" s="5" t="s">
        <v>33</v>
      </c>
      <c r="N1074" s="5" t="s">
        <v>168</v>
      </c>
      <c r="O1074" s="5" t="s">
        <v>35</v>
      </c>
      <c r="P1074" s="5" t="s">
        <v>36</v>
      </c>
      <c r="Q1074" s="5">
        <v>100560063</v>
      </c>
      <c r="R1074" s="5" t="s">
        <v>38</v>
      </c>
      <c r="S1074" s="5" t="s">
        <v>39</v>
      </c>
      <c r="T1074" s="7">
        <v>2</v>
      </c>
      <c r="U1074" s="15" t="s">
        <v>35</v>
      </c>
      <c r="V1074" s="16" t="s">
        <v>36</v>
      </c>
      <c r="W1074" s="17">
        <v>100560063</v>
      </c>
      <c r="X1074" s="16" t="s">
        <v>2497</v>
      </c>
      <c r="Y1074" s="17" t="s">
        <v>2498</v>
      </c>
      <c r="Z1074" s="17" t="s">
        <v>39</v>
      </c>
      <c r="AA1074" s="17" t="s">
        <v>37</v>
      </c>
      <c r="AB1074" s="29">
        <v>190.29</v>
      </c>
      <c r="AC1074" s="25">
        <v>196.97</v>
      </c>
      <c r="AD1074" s="25">
        <f>AC1074*T1074</f>
        <v>393.94</v>
      </c>
      <c r="AE1074" s="25">
        <f>AB1074*T1074</f>
        <v>380.58</v>
      </c>
      <c r="AF1074" s="25">
        <f>AD1074-AE1074</f>
        <v>13.360000000000014</v>
      </c>
      <c r="AG1074" s="26">
        <f>AF1074/AD1074</f>
        <v>3.3913793978778528E-2</v>
      </c>
      <c r="AH1074" s="27" t="str">
        <f>IF(AG1074&lt;0,"Negative",IF(AG1074=0,"Same",IF(AG1074&gt;0.3,"30+%",IF(AG1074&gt;0.2,"20-30%",IF(AG1074&gt;0.1,"10-20%",IF(AG1074&lt;=0.1,"0-10%"))))))</f>
        <v>0-10%</v>
      </c>
      <c r="AI1074" s="32"/>
      <c r="AJ1074" s="36" t="s">
        <v>3300</v>
      </c>
      <c r="AK1074" s="32"/>
    </row>
    <row r="1075" spans="1:37" s="1" customFormat="1" ht="19.7" customHeight="1" x14ac:dyDescent="0.25">
      <c r="A1075" s="9" t="s">
        <v>22</v>
      </c>
      <c r="B1075" s="9" t="s">
        <v>656</v>
      </c>
      <c r="C1075" s="10">
        <v>44285</v>
      </c>
      <c r="D1075" s="9" t="s">
        <v>24</v>
      </c>
      <c r="E1075" s="9" t="s">
        <v>25</v>
      </c>
      <c r="F1075" s="9" t="s">
        <v>26</v>
      </c>
      <c r="G1075" s="9" t="s">
        <v>27</v>
      </c>
      <c r="H1075" s="9" t="s">
        <v>28</v>
      </c>
      <c r="I1075" s="9" t="s">
        <v>29</v>
      </c>
      <c r="J1075" s="9" t="s">
        <v>30</v>
      </c>
      <c r="K1075" s="9" t="s">
        <v>31</v>
      </c>
      <c r="L1075" s="9" t="s">
        <v>32</v>
      </c>
      <c r="M1075" s="9" t="s">
        <v>33</v>
      </c>
      <c r="N1075" s="9" t="s">
        <v>657</v>
      </c>
      <c r="O1075" s="9" t="s">
        <v>35</v>
      </c>
      <c r="P1075" s="9" t="s">
        <v>36</v>
      </c>
      <c r="Q1075" s="9">
        <v>100560063</v>
      </c>
      <c r="R1075" s="9" t="s">
        <v>38</v>
      </c>
      <c r="S1075" s="9" t="s">
        <v>39</v>
      </c>
      <c r="T1075" s="11">
        <v>9</v>
      </c>
      <c r="U1075" s="15" t="s">
        <v>35</v>
      </c>
      <c r="V1075" s="16" t="s">
        <v>36</v>
      </c>
      <c r="W1075" s="17">
        <v>100560063</v>
      </c>
      <c r="X1075" s="16" t="s">
        <v>2497</v>
      </c>
      <c r="Y1075" s="17" t="s">
        <v>2498</v>
      </c>
      <c r="Z1075" s="17" t="s">
        <v>39</v>
      </c>
      <c r="AA1075" s="17" t="s">
        <v>37</v>
      </c>
      <c r="AB1075" s="29">
        <v>190.29</v>
      </c>
      <c r="AC1075" s="25">
        <v>196.97</v>
      </c>
      <c r="AD1075" s="25">
        <f>AC1075*T1075</f>
        <v>1772.73</v>
      </c>
      <c r="AE1075" s="25">
        <f>AB1075*T1075</f>
        <v>1712.61</v>
      </c>
      <c r="AF1075" s="25">
        <f>AD1075-AE1075</f>
        <v>60.120000000000118</v>
      </c>
      <c r="AG1075" s="26">
        <f>AF1075/AD1075</f>
        <v>3.3913793978778563E-2</v>
      </c>
      <c r="AH1075" s="27" t="str">
        <f>IF(AG1075&lt;0,"Negative",IF(AG1075=0,"Same",IF(AG1075&gt;0.3,"30+%",IF(AG1075&gt;0.2,"20-30%",IF(AG1075&gt;0.1,"10-20%",IF(AG1075&lt;=0.1,"0-10%"))))))</f>
        <v>0-10%</v>
      </c>
      <c r="AI1075" s="32"/>
      <c r="AJ1075" s="36" t="s">
        <v>3300</v>
      </c>
      <c r="AK1075" s="32"/>
    </row>
    <row r="1076" spans="1:37" s="1" customFormat="1" ht="19.7" customHeight="1" x14ac:dyDescent="0.25">
      <c r="A1076" s="5" t="s">
        <v>22</v>
      </c>
      <c r="B1076" s="5" t="s">
        <v>23</v>
      </c>
      <c r="C1076" s="6">
        <v>44228</v>
      </c>
      <c r="D1076" s="5" t="s">
        <v>24</v>
      </c>
      <c r="E1076" s="5" t="s">
        <v>25</v>
      </c>
      <c r="F1076" s="5" t="s">
        <v>26</v>
      </c>
      <c r="G1076" s="5" t="s">
        <v>27</v>
      </c>
      <c r="H1076" s="5" t="s">
        <v>28</v>
      </c>
      <c r="I1076" s="5" t="s">
        <v>29</v>
      </c>
      <c r="J1076" s="5" t="s">
        <v>30</v>
      </c>
      <c r="K1076" s="5" t="s">
        <v>31</v>
      </c>
      <c r="L1076" s="5" t="s">
        <v>32</v>
      </c>
      <c r="M1076" s="5" t="s">
        <v>33</v>
      </c>
      <c r="N1076" s="5" t="s">
        <v>34</v>
      </c>
      <c r="O1076" s="5" t="s">
        <v>35</v>
      </c>
      <c r="P1076" s="5" t="s">
        <v>36</v>
      </c>
      <c r="Q1076" s="5">
        <v>100560063</v>
      </c>
      <c r="R1076" s="5" t="s">
        <v>38</v>
      </c>
      <c r="S1076" s="5" t="s">
        <v>39</v>
      </c>
      <c r="T1076" s="7">
        <v>12</v>
      </c>
      <c r="U1076" s="15" t="s">
        <v>35</v>
      </c>
      <c r="V1076" s="16" t="s">
        <v>36</v>
      </c>
      <c r="W1076" s="17">
        <v>100560063</v>
      </c>
      <c r="X1076" s="16" t="s">
        <v>2497</v>
      </c>
      <c r="Y1076" s="17" t="s">
        <v>2498</v>
      </c>
      <c r="Z1076" s="17" t="s">
        <v>39</v>
      </c>
      <c r="AA1076" s="17" t="s">
        <v>37</v>
      </c>
      <c r="AB1076" s="29">
        <v>190.29</v>
      </c>
      <c r="AC1076" s="25">
        <v>196.97</v>
      </c>
      <c r="AD1076" s="25">
        <f>AC1076*T1076</f>
        <v>2363.64</v>
      </c>
      <c r="AE1076" s="25">
        <f>AB1076*T1076</f>
        <v>2283.48</v>
      </c>
      <c r="AF1076" s="25">
        <f>AD1076-AE1076</f>
        <v>80.159999999999854</v>
      </c>
      <c r="AG1076" s="26">
        <f>AF1076/AD1076</f>
        <v>3.3913793978778438E-2</v>
      </c>
      <c r="AH1076" s="27" t="str">
        <f>IF(AG1076&lt;0,"Negative",IF(AG1076=0,"Same",IF(AG1076&gt;0.3,"30+%",IF(AG1076&gt;0.2,"20-30%",IF(AG1076&gt;0.1,"10-20%",IF(AG1076&lt;=0.1,"0-10%"))))))</f>
        <v>0-10%</v>
      </c>
      <c r="AI1076" s="32"/>
      <c r="AJ1076" s="36" t="s">
        <v>3300</v>
      </c>
      <c r="AK1076" s="32"/>
    </row>
    <row r="1077" spans="1:37" s="1" customFormat="1" ht="19.7" customHeight="1" x14ac:dyDescent="0.25">
      <c r="A1077" s="5" t="s">
        <v>22</v>
      </c>
      <c r="B1077" s="5" t="s">
        <v>2099</v>
      </c>
      <c r="C1077" s="6">
        <v>44519</v>
      </c>
      <c r="D1077" s="5" t="s">
        <v>24</v>
      </c>
      <c r="E1077" s="5" t="s">
        <v>25</v>
      </c>
      <c r="F1077" s="5" t="s">
        <v>26</v>
      </c>
      <c r="G1077" s="5" t="s">
        <v>27</v>
      </c>
      <c r="H1077" s="5" t="s">
        <v>28</v>
      </c>
      <c r="I1077" s="5" t="s">
        <v>29</v>
      </c>
      <c r="J1077" s="5" t="s">
        <v>30</v>
      </c>
      <c r="K1077" s="5" t="s">
        <v>31</v>
      </c>
      <c r="L1077" s="5" t="s">
        <v>32</v>
      </c>
      <c r="M1077" s="5" t="s">
        <v>401</v>
      </c>
      <c r="N1077" s="5" t="s">
        <v>1910</v>
      </c>
      <c r="O1077" s="5" t="s">
        <v>402</v>
      </c>
      <c r="P1077" s="5" t="s">
        <v>403</v>
      </c>
      <c r="Q1077" s="5">
        <v>100738893</v>
      </c>
      <c r="R1077" s="5" t="s">
        <v>61</v>
      </c>
      <c r="S1077" s="5" t="s">
        <v>39</v>
      </c>
      <c r="T1077" s="7">
        <v>2</v>
      </c>
      <c r="U1077" s="15" t="s">
        <v>402</v>
      </c>
      <c r="V1077" s="16" t="s">
        <v>403</v>
      </c>
      <c r="W1077" s="17">
        <v>100738893</v>
      </c>
      <c r="X1077" s="16" t="s">
        <v>2658</v>
      </c>
      <c r="Y1077" s="17" t="s">
        <v>2659</v>
      </c>
      <c r="Z1077" s="17" t="s">
        <v>39</v>
      </c>
      <c r="AA1077" s="17" t="s">
        <v>37</v>
      </c>
      <c r="AB1077" s="43">
        <v>254.96</v>
      </c>
      <c r="AC1077" s="25">
        <v>271.99</v>
      </c>
      <c r="AD1077" s="25">
        <f>AC1077*T1077</f>
        <v>543.98</v>
      </c>
      <c r="AE1077" s="25">
        <f>AB1077*T1077</f>
        <v>509.92</v>
      </c>
      <c r="AF1077" s="25">
        <f>AD1077-AE1077</f>
        <v>34.06</v>
      </c>
      <c r="AG1077" s="26">
        <f>AF1077/AD1077</f>
        <v>6.2612596051325423E-2</v>
      </c>
      <c r="AH1077" s="27" t="str">
        <f>IF(AG1077&lt;0,"Negative",IF(AG1077=0,"Same",IF(AG1077&gt;0.3,"30+%",IF(AG1077&gt;0.2,"20-30%",IF(AG1077&gt;0.1,"10-20%",IF(AG1077&lt;=0.1,"0-10%"))))))</f>
        <v>0-10%</v>
      </c>
      <c r="AI1077" s="32"/>
      <c r="AJ1077" s="36" t="s">
        <v>3300</v>
      </c>
      <c r="AK1077" s="32"/>
    </row>
    <row r="1078" spans="1:37" s="1" customFormat="1" ht="19.7" customHeight="1" x14ac:dyDescent="0.25">
      <c r="A1078" s="5" t="s">
        <v>22</v>
      </c>
      <c r="B1078" s="5" t="s">
        <v>774</v>
      </c>
      <c r="C1078" s="6">
        <v>44301</v>
      </c>
      <c r="D1078" s="5" t="s">
        <v>24</v>
      </c>
      <c r="E1078" s="5" t="s">
        <v>25</v>
      </c>
      <c r="F1078" s="5" t="s">
        <v>26</v>
      </c>
      <c r="G1078" s="5" t="s">
        <v>27</v>
      </c>
      <c r="H1078" s="5" t="s">
        <v>28</v>
      </c>
      <c r="I1078" s="5" t="s">
        <v>29</v>
      </c>
      <c r="J1078" s="5" t="s">
        <v>30</v>
      </c>
      <c r="K1078" s="5" t="s">
        <v>31</v>
      </c>
      <c r="L1078" s="5" t="s">
        <v>32</v>
      </c>
      <c r="M1078" s="5" t="s">
        <v>401</v>
      </c>
      <c r="N1078" s="5" t="s">
        <v>776</v>
      </c>
      <c r="O1078" s="5" t="s">
        <v>402</v>
      </c>
      <c r="P1078" s="5" t="s">
        <v>403</v>
      </c>
      <c r="Q1078" s="5">
        <v>100738893</v>
      </c>
      <c r="R1078" s="5" t="s">
        <v>61</v>
      </c>
      <c r="S1078" s="5" t="s">
        <v>39</v>
      </c>
      <c r="T1078" s="7">
        <v>2</v>
      </c>
      <c r="U1078" s="15" t="s">
        <v>402</v>
      </c>
      <c r="V1078" s="16" t="s">
        <v>403</v>
      </c>
      <c r="W1078" s="17">
        <v>100738893</v>
      </c>
      <c r="X1078" s="16" t="s">
        <v>2658</v>
      </c>
      <c r="Y1078" s="17" t="s">
        <v>2659</v>
      </c>
      <c r="Z1078" s="17" t="s">
        <v>39</v>
      </c>
      <c r="AA1078" s="17" t="s">
        <v>37</v>
      </c>
      <c r="AB1078" s="43">
        <v>254.96</v>
      </c>
      <c r="AC1078" s="25">
        <v>271.99</v>
      </c>
      <c r="AD1078" s="25">
        <f>AC1078*T1078</f>
        <v>543.98</v>
      </c>
      <c r="AE1078" s="25">
        <f>AB1078*T1078</f>
        <v>509.92</v>
      </c>
      <c r="AF1078" s="25">
        <f>AD1078-AE1078</f>
        <v>34.06</v>
      </c>
      <c r="AG1078" s="26">
        <f>AF1078/AD1078</f>
        <v>6.2612596051325423E-2</v>
      </c>
      <c r="AH1078" s="27" t="str">
        <f>IF(AG1078&lt;0,"Negative",IF(AG1078=0,"Same",IF(AG1078&gt;0.3,"30+%",IF(AG1078&gt;0.2,"20-30%",IF(AG1078&gt;0.1,"10-20%",IF(AG1078&lt;=0.1,"0-10%"))))))</f>
        <v>0-10%</v>
      </c>
      <c r="AI1078" s="32"/>
      <c r="AJ1078" s="36" t="s">
        <v>3300</v>
      </c>
      <c r="AK1078" s="32"/>
    </row>
    <row r="1079" spans="1:37" s="1" customFormat="1" ht="19.7" customHeight="1" x14ac:dyDescent="0.25">
      <c r="A1079" s="5" t="s">
        <v>22</v>
      </c>
      <c r="B1079" s="5" t="s">
        <v>397</v>
      </c>
      <c r="C1079" s="6">
        <v>44258</v>
      </c>
      <c r="D1079" s="5" t="s">
        <v>24</v>
      </c>
      <c r="E1079" s="5" t="s">
        <v>25</v>
      </c>
      <c r="F1079" s="5" t="s">
        <v>26</v>
      </c>
      <c r="G1079" s="5" t="s">
        <v>27</v>
      </c>
      <c r="H1079" s="5" t="s">
        <v>28</v>
      </c>
      <c r="I1079" s="5" t="s">
        <v>29</v>
      </c>
      <c r="J1079" s="5" t="s">
        <v>30</v>
      </c>
      <c r="K1079" s="5" t="s">
        <v>31</v>
      </c>
      <c r="L1079" s="5" t="s">
        <v>32</v>
      </c>
      <c r="M1079" s="5" t="s">
        <v>401</v>
      </c>
      <c r="N1079" s="5" t="s">
        <v>399</v>
      </c>
      <c r="O1079" s="5" t="s">
        <v>402</v>
      </c>
      <c r="P1079" s="5" t="s">
        <v>403</v>
      </c>
      <c r="Q1079" s="5">
        <v>100738893</v>
      </c>
      <c r="R1079" s="5" t="s">
        <v>61</v>
      </c>
      <c r="S1079" s="5" t="s">
        <v>39</v>
      </c>
      <c r="T1079" s="7">
        <v>2</v>
      </c>
      <c r="U1079" s="15" t="s">
        <v>402</v>
      </c>
      <c r="V1079" s="16" t="s">
        <v>403</v>
      </c>
      <c r="W1079" s="17">
        <v>100738893</v>
      </c>
      <c r="X1079" s="16" t="s">
        <v>2658</v>
      </c>
      <c r="Y1079" s="17" t="s">
        <v>2659</v>
      </c>
      <c r="Z1079" s="17" t="s">
        <v>39</v>
      </c>
      <c r="AA1079" s="17" t="s">
        <v>37</v>
      </c>
      <c r="AB1079" s="43">
        <v>254.96</v>
      </c>
      <c r="AC1079" s="25">
        <v>271.99</v>
      </c>
      <c r="AD1079" s="25">
        <f>AC1079*T1079</f>
        <v>543.98</v>
      </c>
      <c r="AE1079" s="25">
        <f>AB1079*T1079</f>
        <v>509.92</v>
      </c>
      <c r="AF1079" s="25">
        <f>AD1079-AE1079</f>
        <v>34.06</v>
      </c>
      <c r="AG1079" s="26">
        <f>AF1079/AD1079</f>
        <v>6.2612596051325423E-2</v>
      </c>
      <c r="AH1079" s="27" t="str">
        <f>IF(AG1079&lt;0,"Negative",IF(AG1079=0,"Same",IF(AG1079&gt;0.3,"30+%",IF(AG1079&gt;0.2,"20-30%",IF(AG1079&gt;0.1,"10-20%",IF(AG1079&lt;=0.1,"0-10%"))))))</f>
        <v>0-10%</v>
      </c>
      <c r="AI1079" s="32"/>
      <c r="AJ1079" s="36" t="s">
        <v>3300</v>
      </c>
      <c r="AK1079" s="32"/>
    </row>
    <row r="1080" spans="1:37" s="1" customFormat="1" ht="19.7" customHeight="1" x14ac:dyDescent="0.25">
      <c r="A1080" s="9" t="s">
        <v>22</v>
      </c>
      <c r="B1080" s="9" t="s">
        <v>1711</v>
      </c>
      <c r="C1080" s="10">
        <v>44440</v>
      </c>
      <c r="D1080" s="9" t="s">
        <v>24</v>
      </c>
      <c r="E1080" s="9" t="s">
        <v>25</v>
      </c>
      <c r="F1080" s="9" t="s">
        <v>26</v>
      </c>
      <c r="G1080" s="9" t="s">
        <v>27</v>
      </c>
      <c r="H1080" s="9" t="s">
        <v>28</v>
      </c>
      <c r="I1080" s="9" t="s">
        <v>29</v>
      </c>
      <c r="J1080" s="9" t="s">
        <v>30</v>
      </c>
      <c r="K1080" s="9" t="s">
        <v>31</v>
      </c>
      <c r="L1080" s="9" t="s">
        <v>32</v>
      </c>
      <c r="M1080" s="9" t="s">
        <v>1712</v>
      </c>
      <c r="N1080" s="9" t="s">
        <v>1710</v>
      </c>
      <c r="O1080" s="9" t="s">
        <v>1713</v>
      </c>
      <c r="P1080" s="9" t="s">
        <v>1714</v>
      </c>
      <c r="Q1080" s="9">
        <v>113576491</v>
      </c>
      <c r="R1080" s="9" t="s">
        <v>216</v>
      </c>
      <c r="S1080" s="9" t="s">
        <v>39</v>
      </c>
      <c r="T1080" s="11">
        <v>25</v>
      </c>
      <c r="U1080" s="15" t="s">
        <v>1713</v>
      </c>
      <c r="V1080" s="16" t="s">
        <v>1714</v>
      </c>
      <c r="W1080" s="17">
        <v>113576491</v>
      </c>
      <c r="X1080" s="16" t="s">
        <v>2805</v>
      </c>
      <c r="Y1080" s="17" t="s">
        <v>3114</v>
      </c>
      <c r="Z1080" s="17" t="s">
        <v>39</v>
      </c>
      <c r="AA1080" s="17" t="s">
        <v>2501</v>
      </c>
      <c r="AB1080" s="29">
        <v>42.51</v>
      </c>
      <c r="AC1080" s="25">
        <v>40.75</v>
      </c>
      <c r="AD1080" s="25">
        <f>AC1080*T1080</f>
        <v>1018.75</v>
      </c>
      <c r="AE1080" s="25">
        <f>AB1080*T1080</f>
        <v>1062.75</v>
      </c>
      <c r="AF1080" s="25">
        <f>AD1080-AE1080</f>
        <v>-44</v>
      </c>
      <c r="AG1080" s="26">
        <f>AF1080/AD1080</f>
        <v>-4.3190184049079754E-2</v>
      </c>
      <c r="AH1080" s="27" t="str">
        <f>IF(AG1080&lt;0,"Negative",IF(AG1080=0,"Same",IF(AG1080&gt;0.3,"30+%",IF(AG1080&gt;0.2,"20-30%",IF(AG1080&gt;0.1,"10-20%",IF(AG1080&lt;=0.1,"0-10%"))))))</f>
        <v>Negative</v>
      </c>
      <c r="AI1080" s="32"/>
      <c r="AJ1080" s="36" t="s">
        <v>3300</v>
      </c>
      <c r="AK1080" s="32"/>
    </row>
    <row r="1081" spans="1:37" s="1" customFormat="1" ht="19.7" customHeight="1" x14ac:dyDescent="0.25">
      <c r="A1081" s="5" t="s">
        <v>22</v>
      </c>
      <c r="B1081" s="5" t="s">
        <v>2027</v>
      </c>
      <c r="C1081" s="6">
        <v>44501</v>
      </c>
      <c r="D1081" s="5" t="s">
        <v>24</v>
      </c>
      <c r="E1081" s="5" t="s">
        <v>25</v>
      </c>
      <c r="F1081" s="5" t="s">
        <v>26</v>
      </c>
      <c r="G1081" s="5" t="s">
        <v>27</v>
      </c>
      <c r="H1081" s="5" t="s">
        <v>28</v>
      </c>
      <c r="I1081" s="5" t="s">
        <v>29</v>
      </c>
      <c r="J1081" s="5" t="s">
        <v>30</v>
      </c>
      <c r="K1081" s="5" t="s">
        <v>31</v>
      </c>
      <c r="L1081" s="5" t="s">
        <v>32</v>
      </c>
      <c r="M1081" s="5" t="s">
        <v>2028</v>
      </c>
      <c r="N1081" s="5" t="s">
        <v>2029</v>
      </c>
      <c r="O1081" s="5" t="s">
        <v>1433</v>
      </c>
      <c r="P1081" s="5" t="s">
        <v>2030</v>
      </c>
      <c r="Q1081" s="5">
        <v>102057218</v>
      </c>
      <c r="R1081" s="5" t="s">
        <v>56</v>
      </c>
      <c r="S1081" s="5" t="s">
        <v>39</v>
      </c>
      <c r="T1081" s="7">
        <v>1</v>
      </c>
      <c r="U1081" s="15" t="s">
        <v>1433</v>
      </c>
      <c r="V1081" s="16" t="s">
        <v>2030</v>
      </c>
      <c r="W1081" s="17">
        <v>102057218</v>
      </c>
      <c r="X1081" s="16" t="s">
        <v>3036</v>
      </c>
      <c r="Y1081" s="17" t="s">
        <v>3190</v>
      </c>
      <c r="Z1081" s="17" t="s">
        <v>39</v>
      </c>
      <c r="AA1081" s="17" t="s">
        <v>37</v>
      </c>
      <c r="AB1081" s="29">
        <v>330.73</v>
      </c>
      <c r="AC1081" s="25">
        <v>337.77</v>
      </c>
      <c r="AD1081" s="25">
        <f>AC1081*T1081</f>
        <v>337.77</v>
      </c>
      <c r="AE1081" s="25">
        <f>AB1081*T1081</f>
        <v>330.73</v>
      </c>
      <c r="AF1081" s="25">
        <f>AD1081-AE1081</f>
        <v>7.0399999999999636</v>
      </c>
      <c r="AG1081" s="26">
        <f>AF1081/AD1081</f>
        <v>2.0842585191106267E-2</v>
      </c>
      <c r="AH1081" s="27" t="str">
        <f>IF(AG1081&lt;0,"Negative",IF(AG1081=0,"Same",IF(AG1081&gt;0.3,"30+%",IF(AG1081&gt;0.2,"20-30%",IF(AG1081&gt;0.1,"10-20%",IF(AG1081&lt;=0.1,"0-10%"))))))</f>
        <v>0-10%</v>
      </c>
      <c r="AI1081" s="32"/>
      <c r="AJ1081" s="36" t="s">
        <v>3300</v>
      </c>
      <c r="AK1081" s="32"/>
    </row>
    <row r="1082" spans="1:37" s="1" customFormat="1" ht="19.7" customHeight="1" x14ac:dyDescent="0.25">
      <c r="A1082" s="9" t="s">
        <v>22</v>
      </c>
      <c r="B1082" s="9" t="s">
        <v>1344</v>
      </c>
      <c r="C1082" s="10">
        <v>44378</v>
      </c>
      <c r="D1082" s="9" t="s">
        <v>24</v>
      </c>
      <c r="E1082" s="9" t="s">
        <v>25</v>
      </c>
      <c r="F1082" s="9" t="s">
        <v>26</v>
      </c>
      <c r="G1082" s="9" t="s">
        <v>27</v>
      </c>
      <c r="H1082" s="9" t="s">
        <v>28</v>
      </c>
      <c r="I1082" s="9" t="s">
        <v>29</v>
      </c>
      <c r="J1082" s="9" t="s">
        <v>30</v>
      </c>
      <c r="K1082" s="9" t="s">
        <v>31</v>
      </c>
      <c r="L1082" s="9" t="s">
        <v>32</v>
      </c>
      <c r="M1082" s="9" t="s">
        <v>1345</v>
      </c>
      <c r="N1082" s="9" t="s">
        <v>1298</v>
      </c>
      <c r="O1082" s="9" t="s">
        <v>169</v>
      </c>
      <c r="P1082" s="9" t="s">
        <v>1346</v>
      </c>
      <c r="Q1082" s="9">
        <v>101936812</v>
      </c>
      <c r="R1082" s="9" t="s">
        <v>56</v>
      </c>
      <c r="S1082" s="9" t="s">
        <v>39</v>
      </c>
      <c r="T1082" s="11">
        <v>1</v>
      </c>
      <c r="U1082" s="15" t="s">
        <v>169</v>
      </c>
      <c r="V1082" s="16" t="s">
        <v>1346</v>
      </c>
      <c r="W1082" s="17">
        <v>101936812</v>
      </c>
      <c r="X1082" s="16" t="s">
        <v>2845</v>
      </c>
      <c r="Y1082" s="17" t="s">
        <v>3007</v>
      </c>
      <c r="Z1082" s="17" t="s">
        <v>39</v>
      </c>
      <c r="AA1082" s="17" t="s">
        <v>37</v>
      </c>
      <c r="AB1082" s="43">
        <v>497.69</v>
      </c>
      <c r="AC1082" s="25">
        <v>546.84</v>
      </c>
      <c r="AD1082" s="25">
        <f>AC1082*T1082</f>
        <v>546.84</v>
      </c>
      <c r="AE1082" s="25">
        <f>AB1082*T1082</f>
        <v>497.69</v>
      </c>
      <c r="AF1082" s="25">
        <f>AD1082-AE1082</f>
        <v>49.150000000000034</v>
      </c>
      <c r="AG1082" s="26">
        <f>AF1082/AD1082</f>
        <v>8.9880038036720122E-2</v>
      </c>
      <c r="AH1082" s="27" t="str">
        <f>IF(AG1082&lt;0,"Negative",IF(AG1082=0,"Same",IF(AG1082&gt;0.3,"30+%",IF(AG1082&gt;0.2,"20-30%",IF(AG1082&gt;0.1,"10-20%",IF(AG1082&lt;=0.1,"0-10%"))))))</f>
        <v>0-10%</v>
      </c>
      <c r="AI1082" s="32"/>
      <c r="AJ1082" s="36" t="s">
        <v>3299</v>
      </c>
      <c r="AK1082" s="32"/>
    </row>
    <row r="1083" spans="1:37" s="1" customFormat="1" ht="19.7" customHeight="1" x14ac:dyDescent="0.25">
      <c r="A1083" s="9" t="s">
        <v>22</v>
      </c>
      <c r="B1083" s="9" t="s">
        <v>236</v>
      </c>
      <c r="C1083" s="10">
        <v>44242</v>
      </c>
      <c r="D1083" s="9" t="s">
        <v>24</v>
      </c>
      <c r="E1083" s="9" t="s">
        <v>25</v>
      </c>
      <c r="F1083" s="9" t="s">
        <v>26</v>
      </c>
      <c r="G1083" s="9" t="s">
        <v>27</v>
      </c>
      <c r="H1083" s="9" t="s">
        <v>28</v>
      </c>
      <c r="I1083" s="9" t="s">
        <v>29</v>
      </c>
      <c r="J1083" s="9" t="s">
        <v>30</v>
      </c>
      <c r="K1083" s="9" t="s">
        <v>31</v>
      </c>
      <c r="L1083" s="9" t="s">
        <v>32</v>
      </c>
      <c r="M1083" s="9" t="s">
        <v>237</v>
      </c>
      <c r="N1083" s="9" t="s">
        <v>238</v>
      </c>
      <c r="O1083" s="9" t="s">
        <v>239</v>
      </c>
      <c r="P1083" s="9" t="s">
        <v>240</v>
      </c>
      <c r="Q1083" s="9">
        <v>101019408</v>
      </c>
      <c r="R1083" s="9" t="s">
        <v>61</v>
      </c>
      <c r="S1083" s="9" t="s">
        <v>39</v>
      </c>
      <c r="T1083" s="11">
        <v>1</v>
      </c>
      <c r="U1083" s="15" t="s">
        <v>239</v>
      </c>
      <c r="V1083" s="16" t="s">
        <v>240</v>
      </c>
      <c r="W1083" s="17">
        <v>101019408</v>
      </c>
      <c r="X1083" s="16" t="s">
        <v>2589</v>
      </c>
      <c r="Y1083" s="17" t="s">
        <v>2590</v>
      </c>
      <c r="Z1083" s="17" t="s">
        <v>39</v>
      </c>
      <c r="AA1083" s="17" t="s">
        <v>37</v>
      </c>
      <c r="AB1083" s="43">
        <v>200.67</v>
      </c>
      <c r="AC1083" s="25">
        <v>214.08</v>
      </c>
      <c r="AD1083" s="25">
        <f>AC1083*T1083</f>
        <v>214.08</v>
      </c>
      <c r="AE1083" s="25">
        <f>AB1083*T1083</f>
        <v>200.67</v>
      </c>
      <c r="AF1083" s="25">
        <f>AD1083-AE1083</f>
        <v>13.410000000000025</v>
      </c>
      <c r="AG1083" s="26">
        <f>AF1083/AD1083</f>
        <v>6.26401345291481E-2</v>
      </c>
      <c r="AH1083" s="27" t="str">
        <f>IF(AG1083&lt;0,"Negative",IF(AG1083=0,"Same",IF(AG1083&gt;0.3,"30+%",IF(AG1083&gt;0.2,"20-30%",IF(AG1083&gt;0.1,"10-20%",IF(AG1083&lt;=0.1,"0-10%"))))))</f>
        <v>0-10%</v>
      </c>
      <c r="AI1083" s="32"/>
      <c r="AJ1083" s="36" t="s">
        <v>3300</v>
      </c>
      <c r="AK1083" s="32"/>
    </row>
    <row r="1084" spans="1:37" s="1" customFormat="1" ht="19.7" customHeight="1" x14ac:dyDescent="0.25">
      <c r="A1084" s="5" t="s">
        <v>22</v>
      </c>
      <c r="B1084" s="5" t="s">
        <v>1641</v>
      </c>
      <c r="C1084" s="6">
        <v>44427</v>
      </c>
      <c r="D1084" s="5" t="s">
        <v>24</v>
      </c>
      <c r="E1084" s="5" t="s">
        <v>25</v>
      </c>
      <c r="F1084" s="5" t="s">
        <v>26</v>
      </c>
      <c r="G1084" s="5" t="s">
        <v>67</v>
      </c>
      <c r="H1084" s="5" t="s">
        <v>68</v>
      </c>
      <c r="I1084" s="5" t="s">
        <v>29</v>
      </c>
      <c r="J1084" s="5" t="s">
        <v>30</v>
      </c>
      <c r="K1084" s="5" t="s">
        <v>31</v>
      </c>
      <c r="L1084" s="5" t="s">
        <v>32</v>
      </c>
      <c r="M1084" s="5" t="s">
        <v>1642</v>
      </c>
      <c r="N1084" s="5" t="s">
        <v>1643</v>
      </c>
      <c r="O1084" s="5" t="s">
        <v>1021</v>
      </c>
      <c r="P1084" s="5" t="s">
        <v>1644</v>
      </c>
      <c r="Q1084" s="5">
        <v>100780459</v>
      </c>
      <c r="R1084" s="5" t="s">
        <v>56</v>
      </c>
      <c r="S1084" s="5" t="s">
        <v>39</v>
      </c>
      <c r="T1084" s="7">
        <v>1</v>
      </c>
      <c r="U1084" s="15" t="s">
        <v>1021</v>
      </c>
      <c r="V1084" s="16" t="s">
        <v>1644</v>
      </c>
      <c r="W1084" s="17">
        <v>100780459</v>
      </c>
      <c r="X1084" s="16" t="s">
        <v>3097</v>
      </c>
      <c r="Y1084" s="17" t="s">
        <v>3098</v>
      </c>
      <c r="Z1084" s="17" t="s">
        <v>39</v>
      </c>
      <c r="AA1084" s="17" t="s">
        <v>2501</v>
      </c>
      <c r="AB1084" s="43">
        <v>1196.77</v>
      </c>
      <c r="AC1084" s="25">
        <v>1222.23</v>
      </c>
      <c r="AD1084" s="25">
        <f>AC1084*T1084</f>
        <v>1222.23</v>
      </c>
      <c r="AE1084" s="25">
        <f>AB1084*T1084</f>
        <v>1196.77</v>
      </c>
      <c r="AF1084" s="25">
        <f>AD1084-AE1084</f>
        <v>25.460000000000036</v>
      </c>
      <c r="AG1084" s="26">
        <f>AF1084/AD1084</f>
        <v>2.0830776531422103E-2</v>
      </c>
      <c r="AH1084" s="27" t="str">
        <f>IF(AG1084&lt;0,"Negative",IF(AG1084=0,"Same",IF(AG1084&gt;0.3,"30+%",IF(AG1084&gt;0.2,"20-30%",IF(AG1084&gt;0.1,"10-20%",IF(AG1084&lt;=0.1,"0-10%"))))))</f>
        <v>0-10%</v>
      </c>
      <c r="AI1084" s="32"/>
      <c r="AJ1084" s="36" t="s">
        <v>3300</v>
      </c>
      <c r="AK1084" s="32"/>
    </row>
    <row r="1085" spans="1:37" s="1" customFormat="1" ht="19.7" customHeight="1" x14ac:dyDescent="0.25">
      <c r="A1085" s="5" t="s">
        <v>22</v>
      </c>
      <c r="B1085" s="5" t="s">
        <v>1506</v>
      </c>
      <c r="C1085" s="6">
        <v>44405</v>
      </c>
      <c r="D1085" s="5" t="s">
        <v>24</v>
      </c>
      <c r="E1085" s="5" t="s">
        <v>25</v>
      </c>
      <c r="F1085" s="5" t="s">
        <v>26</v>
      </c>
      <c r="G1085" s="5" t="s">
        <v>27</v>
      </c>
      <c r="H1085" s="5" t="s">
        <v>28</v>
      </c>
      <c r="I1085" s="5" t="s">
        <v>29</v>
      </c>
      <c r="J1085" s="5" t="s">
        <v>30</v>
      </c>
      <c r="K1085" s="5" t="s">
        <v>31</v>
      </c>
      <c r="L1085" s="5" t="s">
        <v>32</v>
      </c>
      <c r="M1085" s="5" t="s">
        <v>1384</v>
      </c>
      <c r="N1085" s="5" t="s">
        <v>1507</v>
      </c>
      <c r="O1085" s="5" t="s">
        <v>227</v>
      </c>
      <c r="P1085" s="5" t="s">
        <v>1385</v>
      </c>
      <c r="Q1085" s="5">
        <v>100849123</v>
      </c>
      <c r="R1085" s="5" t="s">
        <v>38</v>
      </c>
      <c r="S1085" s="5" t="s">
        <v>39</v>
      </c>
      <c r="T1085" s="7">
        <v>1</v>
      </c>
      <c r="U1085" s="15" t="s">
        <v>227</v>
      </c>
      <c r="V1085" s="16" t="s">
        <v>1385</v>
      </c>
      <c r="W1085" s="17">
        <v>100849123</v>
      </c>
      <c r="X1085" s="16" t="s">
        <v>2583</v>
      </c>
      <c r="Y1085" s="17" t="s">
        <v>3021</v>
      </c>
      <c r="Z1085" s="17" t="s">
        <v>39</v>
      </c>
      <c r="AA1085" s="17" t="s">
        <v>37</v>
      </c>
      <c r="AB1085" s="29">
        <v>364.73</v>
      </c>
      <c r="AC1085" s="25">
        <v>355.22</v>
      </c>
      <c r="AD1085" s="25">
        <f>AC1085*T1085</f>
        <v>355.22</v>
      </c>
      <c r="AE1085" s="25">
        <f>AB1085*T1085</f>
        <v>364.73</v>
      </c>
      <c r="AF1085" s="25">
        <f>AD1085-AE1085</f>
        <v>-9.5099999999999909</v>
      </c>
      <c r="AG1085" s="26">
        <f>AF1085/AD1085</f>
        <v>-2.6772141208265272E-2</v>
      </c>
      <c r="AH1085" s="27" t="str">
        <f>IF(AG1085&lt;0,"Negative",IF(AG1085=0,"Same",IF(AG1085&gt;0.3,"30+%",IF(AG1085&gt;0.2,"20-30%",IF(AG1085&gt;0.1,"10-20%",IF(AG1085&lt;=0.1,"0-10%"))))))</f>
        <v>Negative</v>
      </c>
      <c r="AI1085" s="32"/>
      <c r="AJ1085" s="36" t="s">
        <v>3300</v>
      </c>
      <c r="AK1085" s="32"/>
    </row>
    <row r="1086" spans="1:37" s="1" customFormat="1" ht="19.7" customHeight="1" x14ac:dyDescent="0.25">
      <c r="A1086" s="5" t="s">
        <v>22</v>
      </c>
      <c r="B1086" s="5" t="s">
        <v>1383</v>
      </c>
      <c r="C1086" s="6">
        <v>44386</v>
      </c>
      <c r="D1086" s="5" t="s">
        <v>24</v>
      </c>
      <c r="E1086" s="5" t="s">
        <v>25</v>
      </c>
      <c r="F1086" s="5" t="s">
        <v>26</v>
      </c>
      <c r="G1086" s="5" t="s">
        <v>27</v>
      </c>
      <c r="H1086" s="5" t="s">
        <v>28</v>
      </c>
      <c r="I1086" s="5" t="s">
        <v>29</v>
      </c>
      <c r="J1086" s="5" t="s">
        <v>30</v>
      </c>
      <c r="K1086" s="5" t="s">
        <v>31</v>
      </c>
      <c r="L1086" s="5" t="s">
        <v>32</v>
      </c>
      <c r="M1086" s="5" t="s">
        <v>1384</v>
      </c>
      <c r="N1086" s="5" t="s">
        <v>1319</v>
      </c>
      <c r="O1086" s="5" t="s">
        <v>227</v>
      </c>
      <c r="P1086" s="5" t="s">
        <v>1385</v>
      </c>
      <c r="Q1086" s="5">
        <v>100849123</v>
      </c>
      <c r="R1086" s="5" t="s">
        <v>38</v>
      </c>
      <c r="S1086" s="5" t="s">
        <v>39</v>
      </c>
      <c r="T1086" s="7">
        <v>1</v>
      </c>
      <c r="U1086" s="15" t="s">
        <v>227</v>
      </c>
      <c r="V1086" s="16" t="s">
        <v>1385</v>
      </c>
      <c r="W1086" s="17">
        <v>100849123</v>
      </c>
      <c r="X1086" s="16" t="s">
        <v>2583</v>
      </c>
      <c r="Y1086" s="17" t="s">
        <v>3021</v>
      </c>
      <c r="Z1086" s="17" t="s">
        <v>39</v>
      </c>
      <c r="AA1086" s="17" t="s">
        <v>37</v>
      </c>
      <c r="AB1086" s="29">
        <v>364.73</v>
      </c>
      <c r="AC1086" s="25">
        <v>355.22</v>
      </c>
      <c r="AD1086" s="25">
        <f>AC1086*T1086</f>
        <v>355.22</v>
      </c>
      <c r="AE1086" s="25">
        <f>AB1086*T1086</f>
        <v>364.73</v>
      </c>
      <c r="AF1086" s="25">
        <f>AD1086-AE1086</f>
        <v>-9.5099999999999909</v>
      </c>
      <c r="AG1086" s="26">
        <f>AF1086/AD1086</f>
        <v>-2.6772141208265272E-2</v>
      </c>
      <c r="AH1086" s="27" t="str">
        <f>IF(AG1086&lt;0,"Negative",IF(AG1086=0,"Same",IF(AG1086&gt;0.3,"30+%",IF(AG1086&gt;0.2,"20-30%",IF(AG1086&gt;0.1,"10-20%",IF(AG1086&lt;=0.1,"0-10%"))))))</f>
        <v>Negative</v>
      </c>
      <c r="AI1086" s="32"/>
      <c r="AJ1086" s="36" t="s">
        <v>3300</v>
      </c>
      <c r="AK1086" s="32"/>
    </row>
    <row r="1087" spans="1:37" s="1" customFormat="1" ht="19.7" customHeight="1" x14ac:dyDescent="0.25">
      <c r="A1087" s="5" t="s">
        <v>22</v>
      </c>
      <c r="B1087" s="5" t="s">
        <v>1415</v>
      </c>
      <c r="C1087" s="6">
        <v>44393</v>
      </c>
      <c r="D1087" s="5" t="s">
        <v>24</v>
      </c>
      <c r="E1087" s="5" t="s">
        <v>25</v>
      </c>
      <c r="F1087" s="5" t="s">
        <v>26</v>
      </c>
      <c r="G1087" s="5" t="s">
        <v>27</v>
      </c>
      <c r="H1087" s="5" t="s">
        <v>28</v>
      </c>
      <c r="I1087" s="5" t="s">
        <v>29</v>
      </c>
      <c r="J1087" s="5" t="s">
        <v>30</v>
      </c>
      <c r="K1087" s="5" t="s">
        <v>31</v>
      </c>
      <c r="L1087" s="5" t="s">
        <v>32</v>
      </c>
      <c r="M1087" s="5" t="s">
        <v>578</v>
      </c>
      <c r="N1087" s="5" t="s">
        <v>1399</v>
      </c>
      <c r="O1087" s="5" t="s">
        <v>35</v>
      </c>
      <c r="P1087" s="5" t="s">
        <v>580</v>
      </c>
      <c r="Q1087" s="5">
        <v>100559768</v>
      </c>
      <c r="R1087" s="5" t="s">
        <v>38</v>
      </c>
      <c r="S1087" s="5" t="s">
        <v>39</v>
      </c>
      <c r="T1087" s="7">
        <v>2</v>
      </c>
      <c r="U1087" s="15" t="s">
        <v>35</v>
      </c>
      <c r="V1087" s="16" t="s">
        <v>580</v>
      </c>
      <c r="W1087" s="17">
        <v>100559768</v>
      </c>
      <c r="X1087" s="16" t="s">
        <v>2737</v>
      </c>
      <c r="Y1087" s="17" t="s">
        <v>2738</v>
      </c>
      <c r="Z1087" s="17" t="s">
        <v>39</v>
      </c>
      <c r="AA1087" s="17" t="s">
        <v>37</v>
      </c>
      <c r="AB1087" s="29">
        <v>173</v>
      </c>
      <c r="AC1087" s="25">
        <v>168.48</v>
      </c>
      <c r="AD1087" s="25">
        <f>AC1087*T1087</f>
        <v>336.96</v>
      </c>
      <c r="AE1087" s="25">
        <f>AB1087*T1087</f>
        <v>346</v>
      </c>
      <c r="AF1087" s="25">
        <f>AD1087-AE1087</f>
        <v>-9.0400000000000205</v>
      </c>
      <c r="AG1087" s="26">
        <f>AF1087/AD1087</f>
        <v>-2.6828110161443559E-2</v>
      </c>
      <c r="AH1087" s="27" t="str">
        <f>IF(AG1087&lt;0,"Negative",IF(AG1087=0,"Same",IF(AG1087&gt;0.3,"30+%",IF(AG1087&gt;0.2,"20-30%",IF(AG1087&gt;0.1,"10-20%",IF(AG1087&lt;=0.1,"0-10%"))))))</f>
        <v>Negative</v>
      </c>
      <c r="AI1087" s="32"/>
      <c r="AJ1087" s="36" t="s">
        <v>3299</v>
      </c>
      <c r="AK1087" s="32"/>
    </row>
    <row r="1088" spans="1:37" s="1" customFormat="1" ht="19.7" customHeight="1" x14ac:dyDescent="0.25">
      <c r="A1088" s="5" t="s">
        <v>22</v>
      </c>
      <c r="B1088" s="5" t="s">
        <v>577</v>
      </c>
      <c r="C1088" s="6">
        <v>44278</v>
      </c>
      <c r="D1088" s="5" t="s">
        <v>24</v>
      </c>
      <c r="E1088" s="5" t="s">
        <v>25</v>
      </c>
      <c r="F1088" s="5" t="s">
        <v>26</v>
      </c>
      <c r="G1088" s="5" t="s">
        <v>27</v>
      </c>
      <c r="H1088" s="5" t="s">
        <v>28</v>
      </c>
      <c r="I1088" s="5" t="s">
        <v>29</v>
      </c>
      <c r="J1088" s="5" t="s">
        <v>30</v>
      </c>
      <c r="K1088" s="5" t="s">
        <v>31</v>
      </c>
      <c r="L1088" s="5" t="s">
        <v>32</v>
      </c>
      <c r="M1088" s="5" t="s">
        <v>578</v>
      </c>
      <c r="N1088" s="5" t="s">
        <v>579</v>
      </c>
      <c r="O1088" s="5" t="s">
        <v>35</v>
      </c>
      <c r="P1088" s="5" t="s">
        <v>580</v>
      </c>
      <c r="Q1088" s="5">
        <v>100559768</v>
      </c>
      <c r="R1088" s="5" t="s">
        <v>38</v>
      </c>
      <c r="S1088" s="5" t="s">
        <v>39</v>
      </c>
      <c r="T1088" s="7">
        <v>1</v>
      </c>
      <c r="U1088" s="15" t="s">
        <v>35</v>
      </c>
      <c r="V1088" s="16" t="s">
        <v>580</v>
      </c>
      <c r="W1088" s="17">
        <v>100559768</v>
      </c>
      <c r="X1088" s="16" t="s">
        <v>2737</v>
      </c>
      <c r="Y1088" s="17" t="s">
        <v>2738</v>
      </c>
      <c r="Z1088" s="17" t="s">
        <v>39</v>
      </c>
      <c r="AA1088" s="17" t="s">
        <v>37</v>
      </c>
      <c r="AB1088" s="29">
        <v>173</v>
      </c>
      <c r="AC1088" s="25">
        <v>168.48</v>
      </c>
      <c r="AD1088" s="25">
        <f>AC1088*T1088</f>
        <v>168.48</v>
      </c>
      <c r="AE1088" s="25">
        <f>AB1088*T1088</f>
        <v>173</v>
      </c>
      <c r="AF1088" s="25">
        <f>AD1088-AE1088</f>
        <v>-4.5200000000000102</v>
      </c>
      <c r="AG1088" s="26">
        <f>AF1088/AD1088</f>
        <v>-2.6828110161443559E-2</v>
      </c>
      <c r="AH1088" s="27" t="str">
        <f>IF(AG1088&lt;0,"Negative",IF(AG1088=0,"Same",IF(AG1088&gt;0.3,"30+%",IF(AG1088&gt;0.2,"20-30%",IF(AG1088&gt;0.1,"10-20%",IF(AG1088&lt;=0.1,"0-10%"))))))</f>
        <v>Negative</v>
      </c>
      <c r="AI1088" s="32"/>
      <c r="AJ1088" s="36" t="s">
        <v>3299</v>
      </c>
      <c r="AK1088" s="32"/>
    </row>
    <row r="1089" spans="1:37" s="1" customFormat="1" ht="19.7" customHeight="1" x14ac:dyDescent="0.25">
      <c r="A1089" s="5" t="s">
        <v>22</v>
      </c>
      <c r="B1089" s="5" t="s">
        <v>970</v>
      </c>
      <c r="C1089" s="6">
        <v>44323</v>
      </c>
      <c r="D1089" s="5" t="s">
        <v>24</v>
      </c>
      <c r="E1089" s="5" t="s">
        <v>25</v>
      </c>
      <c r="F1089" s="5" t="s">
        <v>26</v>
      </c>
      <c r="G1089" s="5" t="s">
        <v>27</v>
      </c>
      <c r="H1089" s="5" t="s">
        <v>28</v>
      </c>
      <c r="I1089" s="5" t="s">
        <v>29</v>
      </c>
      <c r="J1089" s="5" t="s">
        <v>30</v>
      </c>
      <c r="K1089" s="5" t="s">
        <v>31</v>
      </c>
      <c r="L1089" s="5" t="s">
        <v>32</v>
      </c>
      <c r="M1089" s="5" t="s">
        <v>971</v>
      </c>
      <c r="N1089" s="5" t="s">
        <v>972</v>
      </c>
      <c r="O1089" s="5" t="s">
        <v>402</v>
      </c>
      <c r="P1089" s="5" t="s">
        <v>973</v>
      </c>
      <c r="Q1089" s="5">
        <v>100738962</v>
      </c>
      <c r="R1089" s="5" t="s">
        <v>61</v>
      </c>
      <c r="S1089" s="5" t="s">
        <v>39</v>
      </c>
      <c r="T1089" s="7">
        <v>2</v>
      </c>
      <c r="U1089" s="15" t="s">
        <v>402</v>
      </c>
      <c r="V1089" s="16" t="s">
        <v>973</v>
      </c>
      <c r="W1089" s="17">
        <v>100738962</v>
      </c>
      <c r="X1089" s="16" t="s">
        <v>2880</v>
      </c>
      <c r="Y1089" s="17" t="s">
        <v>2881</v>
      </c>
      <c r="Z1089" s="17" t="s">
        <v>39</v>
      </c>
      <c r="AA1089" s="17" t="s">
        <v>37</v>
      </c>
      <c r="AB1089" s="43">
        <v>264.7</v>
      </c>
      <c r="AC1089" s="25">
        <v>282.39</v>
      </c>
      <c r="AD1089" s="25">
        <f>AC1089*T1089</f>
        <v>564.78</v>
      </c>
      <c r="AE1089" s="25">
        <f>AB1089*T1089</f>
        <v>529.4</v>
      </c>
      <c r="AF1089" s="25">
        <f>AD1089-AE1089</f>
        <v>35.379999999999995</v>
      </c>
      <c r="AG1089" s="26">
        <f>AF1089/AD1089</f>
        <v>6.2643861326534225E-2</v>
      </c>
      <c r="AH1089" s="27" t="str">
        <f>IF(AG1089&lt;0,"Negative",IF(AG1089=0,"Same",IF(AG1089&gt;0.3,"30+%",IF(AG1089&gt;0.2,"20-30%",IF(AG1089&gt;0.1,"10-20%",IF(AG1089&lt;=0.1,"0-10%"))))))</f>
        <v>0-10%</v>
      </c>
      <c r="AI1089" s="32"/>
      <c r="AJ1089" s="36" t="s">
        <v>3300</v>
      </c>
      <c r="AK1089" s="32"/>
    </row>
    <row r="1090" spans="1:37" s="1" customFormat="1" ht="19.7" customHeight="1" x14ac:dyDescent="0.25">
      <c r="A1090" s="9" t="s">
        <v>22</v>
      </c>
      <c r="B1090" s="9" t="s">
        <v>1013</v>
      </c>
      <c r="C1090" s="10">
        <v>44328</v>
      </c>
      <c r="D1090" s="9" t="s">
        <v>24</v>
      </c>
      <c r="E1090" s="9" t="s">
        <v>25</v>
      </c>
      <c r="F1090" s="9" t="s">
        <v>26</v>
      </c>
      <c r="G1090" s="9" t="s">
        <v>27</v>
      </c>
      <c r="H1090" s="9" t="s">
        <v>28</v>
      </c>
      <c r="I1090" s="9" t="s">
        <v>29</v>
      </c>
      <c r="J1090" s="9" t="s">
        <v>30</v>
      </c>
      <c r="K1090" s="9" t="s">
        <v>31</v>
      </c>
      <c r="L1090" s="9" t="s">
        <v>32</v>
      </c>
      <c r="M1090" s="9" t="s">
        <v>1014</v>
      </c>
      <c r="N1090" s="9" t="s">
        <v>972</v>
      </c>
      <c r="O1090" s="9" t="s">
        <v>334</v>
      </c>
      <c r="P1090" s="9" t="s">
        <v>1015</v>
      </c>
      <c r="Q1090" s="9">
        <v>111631681</v>
      </c>
      <c r="R1090" s="9" t="s">
        <v>38</v>
      </c>
      <c r="S1090" s="9" t="s">
        <v>39</v>
      </c>
      <c r="T1090" s="11">
        <v>1</v>
      </c>
      <c r="U1090" s="15" t="s">
        <v>334</v>
      </c>
      <c r="V1090" s="16" t="s">
        <v>1015</v>
      </c>
      <c r="W1090" s="17">
        <v>111631681</v>
      </c>
      <c r="X1090" s="16" t="s">
        <v>2629</v>
      </c>
      <c r="Y1090" s="17" t="s">
        <v>2895</v>
      </c>
      <c r="Z1090" s="17" t="s">
        <v>39</v>
      </c>
      <c r="AA1090" s="17" t="s">
        <v>37</v>
      </c>
      <c r="AB1090" s="29">
        <v>234.4</v>
      </c>
      <c r="AC1090" s="25">
        <v>239.7</v>
      </c>
      <c r="AD1090" s="25">
        <f>AC1090*T1090</f>
        <v>239.7</v>
      </c>
      <c r="AE1090" s="25">
        <f>AB1090*T1090</f>
        <v>234.4</v>
      </c>
      <c r="AF1090" s="25">
        <f>AD1090-AE1090</f>
        <v>5.2999999999999829</v>
      </c>
      <c r="AG1090" s="26">
        <f>AF1090/AD1090</f>
        <v>2.2110972048393754E-2</v>
      </c>
      <c r="AH1090" s="27" t="str">
        <f>IF(AG1090&lt;0,"Negative",IF(AG1090=0,"Same",IF(AG1090&gt;0.3,"30+%",IF(AG1090&gt;0.2,"20-30%",IF(AG1090&gt;0.1,"10-20%",IF(AG1090&lt;=0.1,"0-10%"))))))</f>
        <v>0-10%</v>
      </c>
      <c r="AI1090" s="32"/>
      <c r="AJ1090" s="36" t="s">
        <v>3300</v>
      </c>
      <c r="AK1090" s="32"/>
    </row>
    <row r="1091" spans="1:37" s="1" customFormat="1" ht="19.7" customHeight="1" x14ac:dyDescent="0.25">
      <c r="A1091" s="5" t="s">
        <v>22</v>
      </c>
      <c r="B1091" s="5" t="s">
        <v>163</v>
      </c>
      <c r="C1091" s="6">
        <v>44237</v>
      </c>
      <c r="D1091" s="5" t="s">
        <v>24</v>
      </c>
      <c r="E1091" s="5" t="s">
        <v>25</v>
      </c>
      <c r="F1091" s="5" t="s">
        <v>26</v>
      </c>
      <c r="G1091" s="5" t="s">
        <v>27</v>
      </c>
      <c r="H1091" s="5" t="s">
        <v>28</v>
      </c>
      <c r="I1091" s="5" t="s">
        <v>29</v>
      </c>
      <c r="J1091" s="5" t="s">
        <v>30</v>
      </c>
      <c r="K1091" s="5" t="s">
        <v>31</v>
      </c>
      <c r="L1091" s="5" t="s">
        <v>32</v>
      </c>
      <c r="M1091" s="5" t="s">
        <v>164</v>
      </c>
      <c r="N1091" s="5" t="s">
        <v>42</v>
      </c>
      <c r="O1091" s="5" t="s">
        <v>35</v>
      </c>
      <c r="P1091" s="5" t="s">
        <v>165</v>
      </c>
      <c r="Q1091" s="5">
        <v>101617072</v>
      </c>
      <c r="R1091" s="5" t="s">
        <v>38</v>
      </c>
      <c r="S1091" s="5" t="s">
        <v>39</v>
      </c>
      <c r="T1091" s="7">
        <v>2</v>
      </c>
      <c r="U1091" s="15" t="s">
        <v>35</v>
      </c>
      <c r="V1091" s="16" t="s">
        <v>165</v>
      </c>
      <c r="W1091" s="17">
        <v>101617072</v>
      </c>
      <c r="X1091" s="16" t="s">
        <v>2553</v>
      </c>
      <c r="Y1091" s="17" t="s">
        <v>2554</v>
      </c>
      <c r="Z1091" s="17" t="s">
        <v>39</v>
      </c>
      <c r="AA1091" s="17" t="s">
        <v>37</v>
      </c>
      <c r="AB1091" s="29">
        <v>220.56</v>
      </c>
      <c r="AC1091" s="25">
        <v>231.06</v>
      </c>
      <c r="AD1091" s="25">
        <f>AC1091*T1091</f>
        <v>462.12</v>
      </c>
      <c r="AE1091" s="25">
        <f>AB1091*T1091</f>
        <v>441.12</v>
      </c>
      <c r="AF1091" s="25">
        <f>AD1091-AE1091</f>
        <v>21</v>
      </c>
      <c r="AG1091" s="26">
        <f>AF1091/AD1091</f>
        <v>4.5442742144897429E-2</v>
      </c>
      <c r="AH1091" s="27" t="str">
        <f>IF(AG1091&lt;0,"Negative",IF(AG1091=0,"Same",IF(AG1091&gt;0.3,"30+%",IF(AG1091&gt;0.2,"20-30%",IF(AG1091&gt;0.1,"10-20%",IF(AG1091&lt;=0.1,"0-10%"))))))</f>
        <v>0-10%</v>
      </c>
      <c r="AI1091" s="32"/>
      <c r="AJ1091" s="36" t="s">
        <v>3300</v>
      </c>
      <c r="AK1091" s="32"/>
    </row>
    <row r="1092" spans="1:37" s="1" customFormat="1" ht="19.7" customHeight="1" x14ac:dyDescent="0.25">
      <c r="A1092" s="5" t="s">
        <v>22</v>
      </c>
      <c r="B1092" s="5" t="s">
        <v>1689</v>
      </c>
      <c r="C1092" s="6">
        <v>44439</v>
      </c>
      <c r="D1092" s="5" t="s">
        <v>24</v>
      </c>
      <c r="E1092" s="5" t="s">
        <v>25</v>
      </c>
      <c r="F1092" s="5" t="s">
        <v>26</v>
      </c>
      <c r="G1092" s="5" t="s">
        <v>27</v>
      </c>
      <c r="H1092" s="5" t="s">
        <v>28</v>
      </c>
      <c r="I1092" s="5" t="s">
        <v>29</v>
      </c>
      <c r="J1092" s="5" t="s">
        <v>30</v>
      </c>
      <c r="K1092" s="5" t="s">
        <v>31</v>
      </c>
      <c r="L1092" s="5" t="s">
        <v>32</v>
      </c>
      <c r="M1092" s="5" t="s">
        <v>1695</v>
      </c>
      <c r="N1092" s="5" t="s">
        <v>1691</v>
      </c>
      <c r="O1092" s="5" t="s">
        <v>35</v>
      </c>
      <c r="P1092" s="5" t="s">
        <v>1696</v>
      </c>
      <c r="Q1092" s="5">
        <v>100490733</v>
      </c>
      <c r="R1092" s="5" t="s">
        <v>38</v>
      </c>
      <c r="S1092" s="5" t="s">
        <v>39</v>
      </c>
      <c r="T1092" s="7">
        <v>2</v>
      </c>
      <c r="U1092" s="15" t="s">
        <v>35</v>
      </c>
      <c r="V1092" s="16" t="s">
        <v>1696</v>
      </c>
      <c r="W1092" s="17">
        <v>100490733</v>
      </c>
      <c r="X1092" s="16" t="s">
        <v>2737</v>
      </c>
      <c r="Y1092" s="17" t="s">
        <v>3109</v>
      </c>
      <c r="Z1092" s="17" t="s">
        <v>39</v>
      </c>
      <c r="AA1092" s="17" t="s">
        <v>37</v>
      </c>
      <c r="AB1092" s="29">
        <v>221.43</v>
      </c>
      <c r="AC1092" s="25">
        <v>215.67</v>
      </c>
      <c r="AD1092" s="25">
        <f>AC1092*T1092</f>
        <v>431.34</v>
      </c>
      <c r="AE1092" s="25">
        <f>AB1092*T1092</f>
        <v>442.86</v>
      </c>
      <c r="AF1092" s="25">
        <f>AD1092-AE1092</f>
        <v>-11.520000000000039</v>
      </c>
      <c r="AG1092" s="26">
        <f>AF1092/AD1092</f>
        <v>-2.670746974544452E-2</v>
      </c>
      <c r="AH1092" s="27" t="str">
        <f>IF(AG1092&lt;0,"Negative",IF(AG1092=0,"Same",IF(AG1092&gt;0.3,"30+%",IF(AG1092&gt;0.2,"20-30%",IF(AG1092&gt;0.1,"10-20%",IF(AG1092&lt;=0.1,"0-10%"))))))</f>
        <v>Negative</v>
      </c>
      <c r="AI1092" s="32"/>
      <c r="AJ1092" s="36" t="s">
        <v>3299</v>
      </c>
      <c r="AK1092" s="32"/>
    </row>
    <row r="1093" spans="1:37" s="1" customFormat="1" ht="19.7" customHeight="1" x14ac:dyDescent="0.25">
      <c r="A1093" s="9" t="s">
        <v>22</v>
      </c>
      <c r="B1093" s="9" t="s">
        <v>2216</v>
      </c>
      <c r="C1093" s="10">
        <v>44543</v>
      </c>
      <c r="D1093" s="9" t="s">
        <v>24</v>
      </c>
      <c r="E1093" s="9" t="s">
        <v>25</v>
      </c>
      <c r="F1093" s="9" t="s">
        <v>26</v>
      </c>
      <c r="G1093" s="9" t="s">
        <v>27</v>
      </c>
      <c r="H1093" s="9" t="s">
        <v>28</v>
      </c>
      <c r="I1093" s="9" t="s">
        <v>29</v>
      </c>
      <c r="J1093" s="9" t="s">
        <v>30</v>
      </c>
      <c r="K1093" s="9" t="s">
        <v>31</v>
      </c>
      <c r="L1093" s="9" t="s">
        <v>32</v>
      </c>
      <c r="M1093" s="9" t="s">
        <v>1188</v>
      </c>
      <c r="N1093" s="9" t="s">
        <v>2217</v>
      </c>
      <c r="O1093" s="9" t="s">
        <v>805</v>
      </c>
      <c r="P1093" s="9" t="s">
        <v>1189</v>
      </c>
      <c r="Q1093" s="9">
        <v>112907864</v>
      </c>
      <c r="R1093" s="9" t="s">
        <v>38</v>
      </c>
      <c r="S1093" s="9" t="s">
        <v>39</v>
      </c>
      <c r="T1093" s="11">
        <v>2</v>
      </c>
      <c r="U1093" s="15" t="s">
        <v>805</v>
      </c>
      <c r="V1093" s="16" t="s">
        <v>1189</v>
      </c>
      <c r="W1093" s="17">
        <v>112907864</v>
      </c>
      <c r="X1093" s="16" t="s">
        <v>2956</v>
      </c>
      <c r="Y1093" s="17" t="s">
        <v>2957</v>
      </c>
      <c r="Z1093" s="17" t="s">
        <v>39</v>
      </c>
      <c r="AA1093" s="17" t="s">
        <v>2501</v>
      </c>
      <c r="AB1093" s="29">
        <v>1032.44</v>
      </c>
      <c r="AC1093" s="25">
        <v>1055.8</v>
      </c>
      <c r="AD1093" s="25">
        <f>AC1093*T1093</f>
        <v>2111.6</v>
      </c>
      <c r="AE1093" s="25">
        <f>AB1093*T1093</f>
        <v>2064.88</v>
      </c>
      <c r="AF1093" s="25">
        <f>AD1093-AE1093</f>
        <v>46.7199999999998</v>
      </c>
      <c r="AG1093" s="26">
        <f>AF1093/AD1093</f>
        <v>2.2125402538359443E-2</v>
      </c>
      <c r="AH1093" s="27" t="str">
        <f>IF(AG1093&lt;0,"Negative",IF(AG1093=0,"Same",IF(AG1093&gt;0.3,"30+%",IF(AG1093&gt;0.2,"20-30%",IF(AG1093&gt;0.1,"10-20%",IF(AG1093&lt;=0.1,"0-10%"))))))</f>
        <v>0-10%</v>
      </c>
      <c r="AI1093" s="32"/>
      <c r="AJ1093" s="36" t="s">
        <v>3300</v>
      </c>
      <c r="AK1093" s="32"/>
    </row>
    <row r="1094" spans="1:37" s="1" customFormat="1" ht="19.7" customHeight="1" x14ac:dyDescent="0.25">
      <c r="A1094" s="9" t="s">
        <v>22</v>
      </c>
      <c r="B1094" s="9" t="s">
        <v>735</v>
      </c>
      <c r="C1094" s="10">
        <v>44294</v>
      </c>
      <c r="D1094" s="9" t="s">
        <v>24</v>
      </c>
      <c r="E1094" s="9" t="s">
        <v>25</v>
      </c>
      <c r="F1094" s="9" t="s">
        <v>26</v>
      </c>
      <c r="G1094" s="9" t="s">
        <v>27</v>
      </c>
      <c r="H1094" s="9" t="s">
        <v>28</v>
      </c>
      <c r="I1094" s="9" t="s">
        <v>29</v>
      </c>
      <c r="J1094" s="9" t="s">
        <v>30</v>
      </c>
      <c r="K1094" s="9" t="s">
        <v>31</v>
      </c>
      <c r="L1094" s="9" t="s">
        <v>32</v>
      </c>
      <c r="M1094" s="9" t="s">
        <v>645</v>
      </c>
      <c r="N1094" s="9" t="s">
        <v>715</v>
      </c>
      <c r="O1094" s="9" t="s">
        <v>79</v>
      </c>
      <c r="P1094" s="9" t="s">
        <v>646</v>
      </c>
      <c r="Q1094" s="9">
        <v>101169478</v>
      </c>
      <c r="R1094" s="9" t="s">
        <v>61</v>
      </c>
      <c r="S1094" s="9" t="s">
        <v>39</v>
      </c>
      <c r="T1094" s="11">
        <v>1</v>
      </c>
      <c r="U1094" s="15" t="s">
        <v>79</v>
      </c>
      <c r="V1094" s="16" t="s">
        <v>646</v>
      </c>
      <c r="W1094" s="17">
        <v>101169478</v>
      </c>
      <c r="X1094" s="16" t="s">
        <v>2765</v>
      </c>
      <c r="Y1094" s="17" t="s">
        <v>2766</v>
      </c>
      <c r="Z1094" s="17" t="s">
        <v>39</v>
      </c>
      <c r="AA1094" s="17" t="s">
        <v>37</v>
      </c>
      <c r="AB1094" s="29">
        <v>207.38</v>
      </c>
      <c r="AC1094" s="25">
        <v>211.73</v>
      </c>
      <c r="AD1094" s="25">
        <f>AC1094*T1094</f>
        <v>211.73</v>
      </c>
      <c r="AE1094" s="25">
        <f>AB1094*T1094</f>
        <v>207.38</v>
      </c>
      <c r="AF1094" s="25">
        <f>AD1094-AE1094</f>
        <v>4.3499999999999943</v>
      </c>
      <c r="AG1094" s="26">
        <f>AF1094/AD1094</f>
        <v>2.0545033769423297E-2</v>
      </c>
      <c r="AH1094" s="27" t="str">
        <f>IF(AG1094&lt;0,"Negative",IF(AG1094=0,"Same",IF(AG1094&gt;0.3,"30+%",IF(AG1094&gt;0.2,"20-30%",IF(AG1094&gt;0.1,"10-20%",IF(AG1094&lt;=0.1,"0-10%"))))))</f>
        <v>0-10%</v>
      </c>
      <c r="AI1094" s="32"/>
      <c r="AJ1094" s="36" t="s">
        <v>3300</v>
      </c>
      <c r="AK1094" s="32"/>
    </row>
    <row r="1095" spans="1:37" s="1" customFormat="1" ht="19.7" customHeight="1" x14ac:dyDescent="0.25">
      <c r="A1095" s="5" t="s">
        <v>22</v>
      </c>
      <c r="B1095" s="5" t="s">
        <v>666</v>
      </c>
      <c r="C1095" s="6">
        <v>44286</v>
      </c>
      <c r="D1095" s="5" t="s">
        <v>24</v>
      </c>
      <c r="E1095" s="5" t="s">
        <v>25</v>
      </c>
      <c r="F1095" s="5" t="s">
        <v>26</v>
      </c>
      <c r="G1095" s="5" t="s">
        <v>27</v>
      </c>
      <c r="H1095" s="5" t="s">
        <v>28</v>
      </c>
      <c r="I1095" s="5" t="s">
        <v>29</v>
      </c>
      <c r="J1095" s="5" t="s">
        <v>30</v>
      </c>
      <c r="K1095" s="5" t="s">
        <v>31</v>
      </c>
      <c r="L1095" s="5" t="s">
        <v>32</v>
      </c>
      <c r="M1095" s="5" t="s">
        <v>645</v>
      </c>
      <c r="N1095" s="5" t="s">
        <v>667</v>
      </c>
      <c r="O1095" s="5" t="s">
        <v>79</v>
      </c>
      <c r="P1095" s="5" t="s">
        <v>646</v>
      </c>
      <c r="Q1095" s="5">
        <v>101169478</v>
      </c>
      <c r="R1095" s="5" t="s">
        <v>61</v>
      </c>
      <c r="S1095" s="5" t="s">
        <v>39</v>
      </c>
      <c r="T1095" s="7">
        <v>1</v>
      </c>
      <c r="U1095" s="15" t="s">
        <v>79</v>
      </c>
      <c r="V1095" s="16" t="s">
        <v>646</v>
      </c>
      <c r="W1095" s="17">
        <v>101169478</v>
      </c>
      <c r="X1095" s="16" t="s">
        <v>2765</v>
      </c>
      <c r="Y1095" s="17" t="s">
        <v>2766</v>
      </c>
      <c r="Z1095" s="17" t="s">
        <v>39</v>
      </c>
      <c r="AA1095" s="17" t="s">
        <v>37</v>
      </c>
      <c r="AB1095" s="29">
        <v>207.38</v>
      </c>
      <c r="AC1095" s="25">
        <v>211.73</v>
      </c>
      <c r="AD1095" s="25">
        <f>AC1095*T1095</f>
        <v>211.73</v>
      </c>
      <c r="AE1095" s="25">
        <f>AB1095*T1095</f>
        <v>207.38</v>
      </c>
      <c r="AF1095" s="25">
        <f>AD1095-AE1095</f>
        <v>4.3499999999999943</v>
      </c>
      <c r="AG1095" s="26">
        <f>AF1095/AD1095</f>
        <v>2.0545033769423297E-2</v>
      </c>
      <c r="AH1095" s="27" t="str">
        <f>IF(AG1095&lt;0,"Negative",IF(AG1095=0,"Same",IF(AG1095&gt;0.3,"30+%",IF(AG1095&gt;0.2,"20-30%",IF(AG1095&gt;0.1,"10-20%",IF(AG1095&lt;=0.1,"0-10%"))))))</f>
        <v>0-10%</v>
      </c>
      <c r="AI1095" s="32"/>
      <c r="AJ1095" s="36" t="s">
        <v>3300</v>
      </c>
      <c r="AK1095" s="32"/>
    </row>
    <row r="1096" spans="1:37" s="1" customFormat="1" ht="19.7" customHeight="1" x14ac:dyDescent="0.25">
      <c r="A1096" s="9" t="s">
        <v>22</v>
      </c>
      <c r="B1096" s="9" t="s">
        <v>644</v>
      </c>
      <c r="C1096" s="10">
        <v>44284</v>
      </c>
      <c r="D1096" s="9" t="s">
        <v>24</v>
      </c>
      <c r="E1096" s="9" t="s">
        <v>25</v>
      </c>
      <c r="F1096" s="9" t="s">
        <v>26</v>
      </c>
      <c r="G1096" s="9" t="s">
        <v>27</v>
      </c>
      <c r="H1096" s="9" t="s">
        <v>28</v>
      </c>
      <c r="I1096" s="9" t="s">
        <v>29</v>
      </c>
      <c r="J1096" s="9" t="s">
        <v>30</v>
      </c>
      <c r="K1096" s="9" t="s">
        <v>31</v>
      </c>
      <c r="L1096" s="9" t="s">
        <v>32</v>
      </c>
      <c r="M1096" s="9" t="s">
        <v>645</v>
      </c>
      <c r="N1096" s="9" t="s">
        <v>583</v>
      </c>
      <c r="O1096" s="9" t="s">
        <v>79</v>
      </c>
      <c r="P1096" s="9" t="s">
        <v>646</v>
      </c>
      <c r="Q1096" s="9">
        <v>101169478</v>
      </c>
      <c r="R1096" s="9" t="s">
        <v>61</v>
      </c>
      <c r="S1096" s="9" t="s">
        <v>39</v>
      </c>
      <c r="T1096" s="11">
        <v>1</v>
      </c>
      <c r="U1096" s="15" t="s">
        <v>79</v>
      </c>
      <c r="V1096" s="16" t="s">
        <v>646</v>
      </c>
      <c r="W1096" s="17">
        <v>101169478</v>
      </c>
      <c r="X1096" s="16" t="s">
        <v>2765</v>
      </c>
      <c r="Y1096" s="17" t="s">
        <v>2766</v>
      </c>
      <c r="Z1096" s="17" t="s">
        <v>39</v>
      </c>
      <c r="AA1096" s="17" t="s">
        <v>37</v>
      </c>
      <c r="AB1096" s="29">
        <v>207.38</v>
      </c>
      <c r="AC1096" s="25">
        <v>211.73</v>
      </c>
      <c r="AD1096" s="25">
        <f>AC1096*T1096</f>
        <v>211.73</v>
      </c>
      <c r="AE1096" s="25">
        <f>AB1096*T1096</f>
        <v>207.38</v>
      </c>
      <c r="AF1096" s="25">
        <f>AD1096-AE1096</f>
        <v>4.3499999999999943</v>
      </c>
      <c r="AG1096" s="26">
        <f>AF1096/AD1096</f>
        <v>2.0545033769423297E-2</v>
      </c>
      <c r="AH1096" s="27" t="str">
        <f>IF(AG1096&lt;0,"Negative",IF(AG1096=0,"Same",IF(AG1096&gt;0.3,"30+%",IF(AG1096&gt;0.2,"20-30%",IF(AG1096&gt;0.1,"10-20%",IF(AG1096&lt;=0.1,"0-10%"))))))</f>
        <v>0-10%</v>
      </c>
      <c r="AI1096" s="32"/>
      <c r="AJ1096" s="36" t="s">
        <v>3300</v>
      </c>
      <c r="AK1096" s="32"/>
    </row>
    <row r="1097" spans="1:37" s="1" customFormat="1" ht="19.7" customHeight="1" x14ac:dyDescent="0.25">
      <c r="A1097" s="9" t="s">
        <v>22</v>
      </c>
      <c r="B1097" s="9" t="s">
        <v>2388</v>
      </c>
      <c r="C1097" s="10">
        <v>44578</v>
      </c>
      <c r="D1097" s="9" t="s">
        <v>24</v>
      </c>
      <c r="E1097" s="9" t="s">
        <v>25</v>
      </c>
      <c r="F1097" s="9" t="s">
        <v>26</v>
      </c>
      <c r="G1097" s="9" t="s">
        <v>27</v>
      </c>
      <c r="H1097" s="9" t="s">
        <v>28</v>
      </c>
      <c r="I1097" s="9" t="s">
        <v>29</v>
      </c>
      <c r="J1097" s="9" t="s">
        <v>30</v>
      </c>
      <c r="K1097" s="9" t="s">
        <v>31</v>
      </c>
      <c r="L1097" s="9" t="s">
        <v>32</v>
      </c>
      <c r="M1097" s="9" t="s">
        <v>234</v>
      </c>
      <c r="N1097" s="9" t="s">
        <v>2230</v>
      </c>
      <c r="O1097" s="9" t="s">
        <v>43</v>
      </c>
      <c r="P1097" s="9" t="s">
        <v>235</v>
      </c>
      <c r="Q1097" s="9">
        <v>105956596</v>
      </c>
      <c r="R1097" s="9" t="s">
        <v>45</v>
      </c>
      <c r="S1097" s="9" t="s">
        <v>39</v>
      </c>
      <c r="T1097" s="11">
        <v>2</v>
      </c>
      <c r="U1097" s="15" t="s">
        <v>43</v>
      </c>
      <c r="V1097" s="16" t="s">
        <v>235</v>
      </c>
      <c r="W1097" s="17">
        <v>105956596</v>
      </c>
      <c r="X1097" s="16" t="s">
        <v>2587</v>
      </c>
      <c r="Y1097" s="17" t="s">
        <v>2588</v>
      </c>
      <c r="Z1097" s="17" t="s">
        <v>39</v>
      </c>
      <c r="AA1097" s="17" t="s">
        <v>2501</v>
      </c>
      <c r="AB1097" s="29">
        <v>535.57000000000005</v>
      </c>
      <c r="AC1097" s="25">
        <v>580.27</v>
      </c>
      <c r="AD1097" s="25">
        <f>AC1097*T1097</f>
        <v>1160.54</v>
      </c>
      <c r="AE1097" s="25">
        <f>AB1097*T1097</f>
        <v>1071.1400000000001</v>
      </c>
      <c r="AF1097" s="25">
        <f>AD1097-AE1097</f>
        <v>89.399999999999864</v>
      </c>
      <c r="AG1097" s="26">
        <f>AF1097/AD1097</f>
        <v>7.7033105278577096E-2</v>
      </c>
      <c r="AH1097" s="27" t="str">
        <f>IF(AG1097&lt;0,"Negative",IF(AG1097=0,"Same",IF(AG1097&gt;0.3,"30+%",IF(AG1097&gt;0.2,"20-30%",IF(AG1097&gt;0.1,"10-20%",IF(AG1097&lt;=0.1,"0-10%"))))))</f>
        <v>0-10%</v>
      </c>
      <c r="AI1097" s="32"/>
      <c r="AJ1097" s="36" t="s">
        <v>3300</v>
      </c>
      <c r="AK1097" s="32"/>
    </row>
    <row r="1098" spans="1:37" s="1" customFormat="1" ht="19.7" customHeight="1" x14ac:dyDescent="0.25">
      <c r="A1098" s="5" t="s">
        <v>22</v>
      </c>
      <c r="B1098" s="5" t="s">
        <v>733</v>
      </c>
      <c r="C1098" s="6">
        <v>44294</v>
      </c>
      <c r="D1098" s="5" t="s">
        <v>24</v>
      </c>
      <c r="E1098" s="5" t="s">
        <v>25</v>
      </c>
      <c r="F1098" s="5" t="s">
        <v>26</v>
      </c>
      <c r="G1098" s="5" t="s">
        <v>27</v>
      </c>
      <c r="H1098" s="5" t="s">
        <v>28</v>
      </c>
      <c r="I1098" s="5" t="s">
        <v>29</v>
      </c>
      <c r="J1098" s="5" t="s">
        <v>30</v>
      </c>
      <c r="K1098" s="5" t="s">
        <v>31</v>
      </c>
      <c r="L1098" s="5" t="s">
        <v>32</v>
      </c>
      <c r="M1098" s="5" t="s">
        <v>734</v>
      </c>
      <c r="N1098" s="5" t="s">
        <v>697</v>
      </c>
      <c r="O1098" s="5" t="s">
        <v>664</v>
      </c>
      <c r="P1098" s="5" t="s">
        <v>665</v>
      </c>
      <c r="Q1098" s="5">
        <v>100760259</v>
      </c>
      <c r="R1098" s="5" t="s">
        <v>61</v>
      </c>
      <c r="S1098" s="5" t="s">
        <v>39</v>
      </c>
      <c r="T1098" s="7">
        <v>1</v>
      </c>
      <c r="U1098" s="15" t="s">
        <v>664</v>
      </c>
      <c r="V1098" s="16" t="s">
        <v>665</v>
      </c>
      <c r="W1098" s="17">
        <v>100760259</v>
      </c>
      <c r="X1098" s="16" t="s">
        <v>2540</v>
      </c>
      <c r="Y1098" s="17" t="s">
        <v>2773</v>
      </c>
      <c r="Z1098" s="17" t="s">
        <v>39</v>
      </c>
      <c r="AA1098" s="17" t="s">
        <v>37</v>
      </c>
      <c r="AB1098" s="43">
        <v>241.71</v>
      </c>
      <c r="AC1098" s="25">
        <v>257.86</v>
      </c>
      <c r="AD1098" s="25">
        <f>AC1098*T1098</f>
        <v>257.86</v>
      </c>
      <c r="AE1098" s="25">
        <f>AB1098*T1098</f>
        <v>241.71</v>
      </c>
      <c r="AF1098" s="25">
        <f>AD1098-AE1098</f>
        <v>16.150000000000006</v>
      </c>
      <c r="AG1098" s="26">
        <f>AF1098/AD1098</f>
        <v>6.2630884976343768E-2</v>
      </c>
      <c r="AH1098" s="27" t="str">
        <f>IF(AG1098&lt;0,"Negative",IF(AG1098=0,"Same",IF(AG1098&gt;0.3,"30+%",IF(AG1098&gt;0.2,"20-30%",IF(AG1098&gt;0.1,"10-20%",IF(AG1098&lt;=0.1,"0-10%"))))))</f>
        <v>0-10%</v>
      </c>
      <c r="AI1098" s="32"/>
      <c r="AJ1098" s="36" t="s">
        <v>3300</v>
      </c>
      <c r="AK1098" s="32"/>
    </row>
    <row r="1099" spans="1:37" s="1" customFormat="1" ht="19.7" customHeight="1" x14ac:dyDescent="0.25">
      <c r="A1099" s="9" t="s">
        <v>22</v>
      </c>
      <c r="B1099" s="9" t="s">
        <v>662</v>
      </c>
      <c r="C1099" s="10">
        <v>44285</v>
      </c>
      <c r="D1099" s="9" t="s">
        <v>24</v>
      </c>
      <c r="E1099" s="9" t="s">
        <v>25</v>
      </c>
      <c r="F1099" s="9" t="s">
        <v>26</v>
      </c>
      <c r="G1099" s="9" t="s">
        <v>27</v>
      </c>
      <c r="H1099" s="9" t="s">
        <v>28</v>
      </c>
      <c r="I1099" s="9" t="s">
        <v>29</v>
      </c>
      <c r="J1099" s="9" t="s">
        <v>30</v>
      </c>
      <c r="K1099" s="9" t="s">
        <v>31</v>
      </c>
      <c r="L1099" s="9" t="s">
        <v>32</v>
      </c>
      <c r="M1099" s="9" t="s">
        <v>261</v>
      </c>
      <c r="N1099" s="9" t="s">
        <v>663</v>
      </c>
      <c r="O1099" s="9" t="s">
        <v>664</v>
      </c>
      <c r="P1099" s="9" t="s">
        <v>665</v>
      </c>
      <c r="Q1099" s="9">
        <v>100760259</v>
      </c>
      <c r="R1099" s="9" t="s">
        <v>61</v>
      </c>
      <c r="S1099" s="9" t="s">
        <v>39</v>
      </c>
      <c r="T1099" s="11">
        <v>2</v>
      </c>
      <c r="U1099" s="15" t="s">
        <v>664</v>
      </c>
      <c r="V1099" s="16" t="s">
        <v>665</v>
      </c>
      <c r="W1099" s="17">
        <v>100760259</v>
      </c>
      <c r="X1099" s="16" t="s">
        <v>2540</v>
      </c>
      <c r="Y1099" s="17" t="s">
        <v>2773</v>
      </c>
      <c r="Z1099" s="17" t="s">
        <v>39</v>
      </c>
      <c r="AA1099" s="17" t="s">
        <v>37</v>
      </c>
      <c r="AB1099" s="43">
        <v>241.71</v>
      </c>
      <c r="AC1099" s="25">
        <v>257.86</v>
      </c>
      <c r="AD1099" s="25">
        <f>AC1099*T1099</f>
        <v>515.72</v>
      </c>
      <c r="AE1099" s="25">
        <f>AB1099*T1099</f>
        <v>483.42</v>
      </c>
      <c r="AF1099" s="25">
        <f>AD1099-AE1099</f>
        <v>32.300000000000011</v>
      </c>
      <c r="AG1099" s="26">
        <f>AF1099/AD1099</f>
        <v>6.2630884976343768E-2</v>
      </c>
      <c r="AH1099" s="27" t="str">
        <f>IF(AG1099&lt;0,"Negative",IF(AG1099=0,"Same",IF(AG1099&gt;0.3,"30+%",IF(AG1099&gt;0.2,"20-30%",IF(AG1099&gt;0.1,"10-20%",IF(AG1099&lt;=0.1,"0-10%"))))))</f>
        <v>0-10%</v>
      </c>
      <c r="AI1099" s="32"/>
      <c r="AJ1099" s="36" t="s">
        <v>3300</v>
      </c>
      <c r="AK1099" s="32"/>
    </row>
    <row r="1100" spans="1:37" s="1" customFormat="1" ht="19.7" customHeight="1" x14ac:dyDescent="0.25">
      <c r="A1100" s="9" t="s">
        <v>22</v>
      </c>
      <c r="B1100" s="9" t="s">
        <v>1122</v>
      </c>
      <c r="C1100" s="10">
        <v>44342</v>
      </c>
      <c r="D1100" s="9" t="s">
        <v>24</v>
      </c>
      <c r="E1100" s="9" t="s">
        <v>25</v>
      </c>
      <c r="F1100" s="9" t="s">
        <v>26</v>
      </c>
      <c r="G1100" s="9" t="s">
        <v>27</v>
      </c>
      <c r="H1100" s="9" t="s">
        <v>28</v>
      </c>
      <c r="I1100" s="9" t="s">
        <v>29</v>
      </c>
      <c r="J1100" s="9" t="s">
        <v>30</v>
      </c>
      <c r="K1100" s="9" t="s">
        <v>31</v>
      </c>
      <c r="L1100" s="9" t="s">
        <v>32</v>
      </c>
      <c r="M1100" s="9" t="s">
        <v>1123</v>
      </c>
      <c r="N1100" s="9" t="s">
        <v>1124</v>
      </c>
      <c r="O1100" s="9" t="s">
        <v>154</v>
      </c>
      <c r="P1100" s="9" t="s">
        <v>1125</v>
      </c>
      <c r="Q1100" s="9">
        <v>101184869</v>
      </c>
      <c r="R1100" s="9" t="s">
        <v>61</v>
      </c>
      <c r="S1100" s="9" t="s">
        <v>39</v>
      </c>
      <c r="T1100" s="11">
        <v>1</v>
      </c>
      <c r="U1100" s="15" t="s">
        <v>154</v>
      </c>
      <c r="V1100" s="16" t="s">
        <v>1125</v>
      </c>
      <c r="W1100" s="17">
        <v>101184869</v>
      </c>
      <c r="X1100" s="16" t="s">
        <v>2930</v>
      </c>
      <c r="Y1100" s="17" t="s">
        <v>2931</v>
      </c>
      <c r="Z1100" s="17" t="s">
        <v>39</v>
      </c>
      <c r="AA1100" s="17" t="s">
        <v>37</v>
      </c>
      <c r="AB1100" s="43">
        <v>351.51</v>
      </c>
      <c r="AC1100" s="25">
        <v>374.99</v>
      </c>
      <c r="AD1100" s="25">
        <f>AC1100*T1100</f>
        <v>374.99</v>
      </c>
      <c r="AE1100" s="25">
        <f>AB1100*T1100</f>
        <v>351.51</v>
      </c>
      <c r="AF1100" s="25">
        <f>AD1100-AE1100</f>
        <v>23.480000000000018</v>
      </c>
      <c r="AG1100" s="26">
        <f>AF1100/AD1100</f>
        <v>6.2615003066748498E-2</v>
      </c>
      <c r="AH1100" s="27" t="str">
        <f>IF(AG1100&lt;0,"Negative",IF(AG1100=0,"Same",IF(AG1100&gt;0.3,"30+%",IF(AG1100&gt;0.2,"20-30%",IF(AG1100&gt;0.1,"10-20%",IF(AG1100&lt;=0.1,"0-10%"))))))</f>
        <v>0-10%</v>
      </c>
      <c r="AI1100" s="32"/>
      <c r="AJ1100" s="36" t="s">
        <v>3300</v>
      </c>
      <c r="AK1100" s="32"/>
    </row>
    <row r="1101" spans="1:37" s="1" customFormat="1" ht="19.7" customHeight="1" x14ac:dyDescent="0.25">
      <c r="A1101" s="5" t="s">
        <v>22</v>
      </c>
      <c r="B1101" s="5" t="s">
        <v>1848</v>
      </c>
      <c r="C1101" s="6">
        <v>44470</v>
      </c>
      <c r="D1101" s="5" t="s">
        <v>24</v>
      </c>
      <c r="E1101" s="5" t="s">
        <v>25</v>
      </c>
      <c r="F1101" s="5" t="s">
        <v>26</v>
      </c>
      <c r="G1101" s="5" t="s">
        <v>27</v>
      </c>
      <c r="H1101" s="5" t="s">
        <v>28</v>
      </c>
      <c r="I1101" s="5" t="s">
        <v>29</v>
      </c>
      <c r="J1101" s="5" t="s">
        <v>30</v>
      </c>
      <c r="K1101" s="5" t="s">
        <v>31</v>
      </c>
      <c r="L1101" s="5" t="s">
        <v>32</v>
      </c>
      <c r="M1101" s="5" t="s">
        <v>1849</v>
      </c>
      <c r="N1101" s="5" t="s">
        <v>1850</v>
      </c>
      <c r="O1101" s="5" t="s">
        <v>154</v>
      </c>
      <c r="P1101" s="5" t="s">
        <v>1851</v>
      </c>
      <c r="Q1101" s="5">
        <v>101178247</v>
      </c>
      <c r="R1101" s="5" t="s">
        <v>61</v>
      </c>
      <c r="S1101" s="5" t="s">
        <v>39</v>
      </c>
      <c r="T1101" s="7">
        <v>1</v>
      </c>
      <c r="U1101" s="15" t="s">
        <v>154</v>
      </c>
      <c r="V1101" s="16" t="s">
        <v>1851</v>
      </c>
      <c r="W1101" s="17">
        <v>101178247</v>
      </c>
      <c r="X1101" s="16" t="s">
        <v>2793</v>
      </c>
      <c r="Y1101" s="17" t="s">
        <v>3151</v>
      </c>
      <c r="Z1101" s="17" t="s">
        <v>39</v>
      </c>
      <c r="AA1101" s="17" t="s">
        <v>37</v>
      </c>
      <c r="AB1101" s="43">
        <v>344.33</v>
      </c>
      <c r="AC1101" s="25">
        <v>380.25</v>
      </c>
      <c r="AD1101" s="25">
        <f>AC1101*T1101</f>
        <v>380.25</v>
      </c>
      <c r="AE1101" s="25">
        <f>AB1101*T1101</f>
        <v>344.33</v>
      </c>
      <c r="AF1101" s="25">
        <f>AD1101-AE1101</f>
        <v>35.920000000000016</v>
      </c>
      <c r="AG1101" s="26">
        <f>AF1101/AD1101</f>
        <v>9.44641683103222E-2</v>
      </c>
      <c r="AH1101" s="27" t="str">
        <f>IF(AG1101&lt;0,"Negative",IF(AG1101=0,"Same",IF(AG1101&gt;0.3,"30+%",IF(AG1101&gt;0.2,"20-30%",IF(AG1101&gt;0.1,"10-20%",IF(AG1101&lt;=0.1,"0-10%"))))))</f>
        <v>0-10%</v>
      </c>
      <c r="AI1101" s="32"/>
      <c r="AJ1101" s="36" t="s">
        <v>3299</v>
      </c>
      <c r="AK1101" s="32"/>
    </row>
    <row r="1102" spans="1:37" s="1" customFormat="1" ht="19.7" customHeight="1" x14ac:dyDescent="0.25">
      <c r="A1102" s="5" t="s">
        <v>22</v>
      </c>
      <c r="B1102" s="5" t="s">
        <v>877</v>
      </c>
      <c r="C1102" s="6">
        <v>44315</v>
      </c>
      <c r="D1102" s="5" t="s">
        <v>24</v>
      </c>
      <c r="E1102" s="5" t="s">
        <v>25</v>
      </c>
      <c r="F1102" s="5" t="s">
        <v>26</v>
      </c>
      <c r="G1102" s="5" t="s">
        <v>27</v>
      </c>
      <c r="H1102" s="5" t="s">
        <v>28</v>
      </c>
      <c r="I1102" s="5" t="s">
        <v>29</v>
      </c>
      <c r="J1102" s="5" t="s">
        <v>30</v>
      </c>
      <c r="K1102" s="5" t="s">
        <v>31</v>
      </c>
      <c r="L1102" s="5" t="s">
        <v>32</v>
      </c>
      <c r="M1102" s="5" t="s">
        <v>878</v>
      </c>
      <c r="N1102" s="5" t="s">
        <v>879</v>
      </c>
      <c r="O1102" s="5" t="s">
        <v>381</v>
      </c>
      <c r="P1102" s="5" t="s">
        <v>880</v>
      </c>
      <c r="Q1102" s="5">
        <v>112348506</v>
      </c>
      <c r="R1102" s="5" t="s">
        <v>38</v>
      </c>
      <c r="S1102" s="5" t="s">
        <v>39</v>
      </c>
      <c r="T1102" s="7">
        <v>1</v>
      </c>
      <c r="U1102" s="15" t="s">
        <v>381</v>
      </c>
      <c r="V1102" s="16" t="s">
        <v>880</v>
      </c>
      <c r="W1102" s="17">
        <v>112348506</v>
      </c>
      <c r="X1102" s="16" t="s">
        <v>2648</v>
      </c>
      <c r="Y1102" s="17" t="s">
        <v>2848</v>
      </c>
      <c r="Z1102" s="17" t="s">
        <v>39</v>
      </c>
      <c r="AA1102" s="17" t="s">
        <v>37</v>
      </c>
      <c r="AB1102" s="29">
        <v>499.44</v>
      </c>
      <c r="AC1102" s="25">
        <v>523.20000000000005</v>
      </c>
      <c r="AD1102" s="25">
        <f>AC1102*T1102</f>
        <v>523.20000000000005</v>
      </c>
      <c r="AE1102" s="25">
        <f>AB1102*T1102</f>
        <v>499.44</v>
      </c>
      <c r="AF1102" s="25">
        <f>AD1102-AE1102</f>
        <v>23.760000000000048</v>
      </c>
      <c r="AG1102" s="26">
        <f>AF1102/AD1102</f>
        <v>4.5412844036697333E-2</v>
      </c>
      <c r="AH1102" s="27" t="str">
        <f>IF(AG1102&lt;0,"Negative",IF(AG1102=0,"Same",IF(AG1102&gt;0.3,"30+%",IF(AG1102&gt;0.2,"20-30%",IF(AG1102&gt;0.1,"10-20%",IF(AG1102&lt;=0.1,"0-10%"))))))</f>
        <v>0-10%</v>
      </c>
      <c r="AI1102" s="32"/>
      <c r="AJ1102" s="36" t="s">
        <v>3300</v>
      </c>
      <c r="AK1102" s="32"/>
    </row>
    <row r="1103" spans="1:37" s="1" customFormat="1" ht="19.7" customHeight="1" x14ac:dyDescent="0.25">
      <c r="A1103" s="9" t="s">
        <v>22</v>
      </c>
      <c r="B1103" s="9" t="s">
        <v>2013</v>
      </c>
      <c r="C1103" s="10">
        <v>44498</v>
      </c>
      <c r="D1103" s="9" t="s">
        <v>24</v>
      </c>
      <c r="E1103" s="9" t="s">
        <v>25</v>
      </c>
      <c r="F1103" s="9" t="s">
        <v>26</v>
      </c>
      <c r="G1103" s="9" t="s">
        <v>67</v>
      </c>
      <c r="H1103" s="9" t="s">
        <v>68</v>
      </c>
      <c r="I1103" s="9" t="s">
        <v>29</v>
      </c>
      <c r="J1103" s="9" t="s">
        <v>30</v>
      </c>
      <c r="K1103" s="9" t="s">
        <v>31</v>
      </c>
      <c r="L1103" s="9" t="s">
        <v>32</v>
      </c>
      <c r="M1103" s="9" t="s">
        <v>2015</v>
      </c>
      <c r="N1103" s="9" t="s">
        <v>2014</v>
      </c>
      <c r="O1103" s="9" t="s">
        <v>79</v>
      </c>
      <c r="P1103" s="9" t="s">
        <v>2016</v>
      </c>
      <c r="Q1103" s="9">
        <v>101169320</v>
      </c>
      <c r="R1103" s="9" t="s">
        <v>61</v>
      </c>
      <c r="S1103" s="9" t="s">
        <v>39</v>
      </c>
      <c r="T1103" s="11">
        <v>2</v>
      </c>
      <c r="U1103" s="15" t="s">
        <v>79</v>
      </c>
      <c r="V1103" s="16" t="s">
        <v>2016</v>
      </c>
      <c r="W1103" s="17">
        <v>101169320</v>
      </c>
      <c r="X1103" s="16" t="s">
        <v>2947</v>
      </c>
      <c r="Y1103" s="17" t="s">
        <v>3189</v>
      </c>
      <c r="Z1103" s="17" t="s">
        <v>39</v>
      </c>
      <c r="AA1103" s="17" t="s">
        <v>37</v>
      </c>
      <c r="AB1103" s="43">
        <v>200.41</v>
      </c>
      <c r="AC1103" s="25">
        <v>211.43</v>
      </c>
      <c r="AD1103" s="25">
        <f>AC1103*T1103</f>
        <v>422.86</v>
      </c>
      <c r="AE1103" s="25">
        <f>AB1103*T1103</f>
        <v>400.82</v>
      </c>
      <c r="AF1103" s="25">
        <f>AD1103-AE1103</f>
        <v>22.04000000000002</v>
      </c>
      <c r="AG1103" s="26">
        <f>AF1103/AD1103</f>
        <v>5.2121269450882135E-2</v>
      </c>
      <c r="AH1103" s="27" t="str">
        <f>IF(AG1103&lt;0,"Negative",IF(AG1103=0,"Same",IF(AG1103&gt;0.3,"30+%",IF(AG1103&gt;0.2,"20-30%",IF(AG1103&gt;0.1,"10-20%",IF(AG1103&lt;=0.1,"0-10%"))))))</f>
        <v>0-10%</v>
      </c>
      <c r="AI1103" s="32"/>
      <c r="AJ1103" s="36" t="s">
        <v>3299</v>
      </c>
      <c r="AK1103" s="32"/>
    </row>
    <row r="1104" spans="1:37" s="1" customFormat="1" ht="19.7" customHeight="1" x14ac:dyDescent="0.25">
      <c r="A1104" s="9" t="s">
        <v>22</v>
      </c>
      <c r="B1104" s="9" t="s">
        <v>2021</v>
      </c>
      <c r="C1104" s="10">
        <v>44498</v>
      </c>
      <c r="D1104" s="9" t="s">
        <v>24</v>
      </c>
      <c r="E1104" s="9" t="s">
        <v>25</v>
      </c>
      <c r="F1104" s="9" t="s">
        <v>26</v>
      </c>
      <c r="G1104" s="9" t="s">
        <v>67</v>
      </c>
      <c r="H1104" s="9" t="s">
        <v>68</v>
      </c>
      <c r="I1104" s="9" t="s">
        <v>29</v>
      </c>
      <c r="J1104" s="9" t="s">
        <v>30</v>
      </c>
      <c r="K1104" s="9" t="s">
        <v>31</v>
      </c>
      <c r="L1104" s="9" t="s">
        <v>32</v>
      </c>
      <c r="M1104" s="9" t="s">
        <v>2015</v>
      </c>
      <c r="N1104" s="9" t="s">
        <v>2022</v>
      </c>
      <c r="O1104" s="9" t="s">
        <v>79</v>
      </c>
      <c r="P1104" s="9" t="s">
        <v>2016</v>
      </c>
      <c r="Q1104" s="9">
        <v>101169320</v>
      </c>
      <c r="R1104" s="9" t="s">
        <v>61</v>
      </c>
      <c r="S1104" s="9" t="s">
        <v>39</v>
      </c>
      <c r="T1104" s="11">
        <v>2</v>
      </c>
      <c r="U1104" s="15" t="s">
        <v>79</v>
      </c>
      <c r="V1104" s="16" t="s">
        <v>2016</v>
      </c>
      <c r="W1104" s="17">
        <v>101169320</v>
      </c>
      <c r="X1104" s="16" t="s">
        <v>2947</v>
      </c>
      <c r="Y1104" s="17" t="s">
        <v>3189</v>
      </c>
      <c r="Z1104" s="17" t="s">
        <v>39</v>
      </c>
      <c r="AA1104" s="17" t="s">
        <v>37</v>
      </c>
      <c r="AB1104" s="43">
        <v>200.41</v>
      </c>
      <c r="AC1104" s="25">
        <v>211.43</v>
      </c>
      <c r="AD1104" s="25">
        <f>AC1104*T1104</f>
        <v>422.86</v>
      </c>
      <c r="AE1104" s="25">
        <f>AB1104*T1104</f>
        <v>400.82</v>
      </c>
      <c r="AF1104" s="25">
        <f>AD1104-AE1104</f>
        <v>22.04000000000002</v>
      </c>
      <c r="AG1104" s="26">
        <f>AF1104/AD1104</f>
        <v>5.2121269450882135E-2</v>
      </c>
      <c r="AH1104" s="27" t="str">
        <f>IF(AG1104&lt;0,"Negative",IF(AG1104=0,"Same",IF(AG1104&gt;0.3,"30+%",IF(AG1104&gt;0.2,"20-30%",IF(AG1104&gt;0.1,"10-20%",IF(AG1104&lt;=0.1,"0-10%"))))))</f>
        <v>0-10%</v>
      </c>
      <c r="AI1104" s="32"/>
      <c r="AJ1104" s="36" t="s">
        <v>3299</v>
      </c>
      <c r="AK1104" s="32"/>
    </row>
    <row r="1105" spans="1:37" s="1" customFormat="1" ht="19.7" customHeight="1" x14ac:dyDescent="0.25">
      <c r="A1105" s="9" t="s">
        <v>22</v>
      </c>
      <c r="B1105" s="9" t="s">
        <v>1738</v>
      </c>
      <c r="C1105" s="10">
        <v>44452</v>
      </c>
      <c r="D1105" s="9" t="s">
        <v>24</v>
      </c>
      <c r="E1105" s="9" t="s">
        <v>25</v>
      </c>
      <c r="F1105" s="9" t="s">
        <v>26</v>
      </c>
      <c r="G1105" s="9" t="s">
        <v>27</v>
      </c>
      <c r="H1105" s="9" t="s">
        <v>28</v>
      </c>
      <c r="I1105" s="9" t="s">
        <v>29</v>
      </c>
      <c r="J1105" s="9" t="s">
        <v>30</v>
      </c>
      <c r="K1105" s="9" t="s">
        <v>31</v>
      </c>
      <c r="L1105" s="9" t="s">
        <v>32</v>
      </c>
      <c r="M1105" s="9" t="s">
        <v>1739</v>
      </c>
      <c r="N1105" s="9" t="s">
        <v>1727</v>
      </c>
      <c r="O1105" s="9" t="s">
        <v>402</v>
      </c>
      <c r="P1105" s="9" t="s">
        <v>1740</v>
      </c>
      <c r="Q1105" s="9">
        <v>102095442</v>
      </c>
      <c r="R1105" s="9" t="s">
        <v>61</v>
      </c>
      <c r="S1105" s="9" t="s">
        <v>39</v>
      </c>
      <c r="T1105" s="11">
        <v>1</v>
      </c>
      <c r="U1105" s="15" t="s">
        <v>402</v>
      </c>
      <c r="V1105" s="16" t="s">
        <v>1740</v>
      </c>
      <c r="W1105" s="17">
        <v>102095442</v>
      </c>
      <c r="X1105" s="16" t="s">
        <v>2608</v>
      </c>
      <c r="Y1105" s="17" t="s">
        <v>3120</v>
      </c>
      <c r="Z1105" s="17" t="s">
        <v>39</v>
      </c>
      <c r="AA1105" s="17" t="s">
        <v>37</v>
      </c>
      <c r="AB1105" s="43">
        <v>312.79000000000002</v>
      </c>
      <c r="AC1105" s="25">
        <v>333.69</v>
      </c>
      <c r="AD1105" s="25">
        <f>AC1105*T1105</f>
        <v>333.69</v>
      </c>
      <c r="AE1105" s="25">
        <f>AB1105*T1105</f>
        <v>312.79000000000002</v>
      </c>
      <c r="AF1105" s="25">
        <f>AD1105-AE1105</f>
        <v>20.899999999999977</v>
      </c>
      <c r="AG1105" s="26">
        <f>AF1105/AD1105</f>
        <v>6.263298270850183E-2</v>
      </c>
      <c r="AH1105" s="27" t="str">
        <f>IF(AG1105&lt;0,"Negative",IF(AG1105=0,"Same",IF(AG1105&gt;0.3,"30+%",IF(AG1105&gt;0.2,"20-30%",IF(AG1105&gt;0.1,"10-20%",IF(AG1105&lt;=0.1,"0-10%"))))))</f>
        <v>0-10%</v>
      </c>
      <c r="AI1105" s="32"/>
      <c r="AJ1105" s="36" t="s">
        <v>3300</v>
      </c>
      <c r="AK1105" s="32"/>
    </row>
    <row r="1106" spans="1:37" s="1" customFormat="1" ht="19.7" customHeight="1" x14ac:dyDescent="0.25">
      <c r="A1106" s="9" t="s">
        <v>22</v>
      </c>
      <c r="B1106" s="9" t="s">
        <v>1325</v>
      </c>
      <c r="C1106" s="10">
        <v>44376</v>
      </c>
      <c r="D1106" s="9" t="s">
        <v>24</v>
      </c>
      <c r="E1106" s="9" t="s">
        <v>25</v>
      </c>
      <c r="F1106" s="9" t="s">
        <v>26</v>
      </c>
      <c r="G1106" s="9" t="s">
        <v>27</v>
      </c>
      <c r="H1106" s="9" t="s">
        <v>28</v>
      </c>
      <c r="I1106" s="9" t="s">
        <v>29</v>
      </c>
      <c r="J1106" s="9" t="s">
        <v>30</v>
      </c>
      <c r="K1106" s="9" t="s">
        <v>31</v>
      </c>
      <c r="L1106" s="9" t="s">
        <v>32</v>
      </c>
      <c r="M1106" s="9" t="s">
        <v>1326</v>
      </c>
      <c r="N1106" s="9" t="s">
        <v>1319</v>
      </c>
      <c r="O1106" s="9" t="s">
        <v>1327</v>
      </c>
      <c r="P1106" s="9" t="s">
        <v>1328</v>
      </c>
      <c r="Q1106" s="9">
        <v>100812238</v>
      </c>
      <c r="R1106" s="9" t="s">
        <v>56</v>
      </c>
      <c r="S1106" s="9" t="s">
        <v>39</v>
      </c>
      <c r="T1106" s="11">
        <v>2</v>
      </c>
      <c r="U1106" s="15" t="s">
        <v>1327</v>
      </c>
      <c r="V1106" s="16" t="s">
        <v>1328</v>
      </c>
      <c r="W1106" s="17">
        <v>100812238</v>
      </c>
      <c r="X1106" s="16" t="s">
        <v>3001</v>
      </c>
      <c r="Y1106" s="17" t="s">
        <v>3002</v>
      </c>
      <c r="Z1106" s="17" t="s">
        <v>39</v>
      </c>
      <c r="AA1106" s="17" t="s">
        <v>37</v>
      </c>
      <c r="AB1106" s="43">
        <v>324.01</v>
      </c>
      <c r="AC1106" s="25">
        <v>330.9</v>
      </c>
      <c r="AD1106" s="25">
        <f>AC1106*T1106</f>
        <v>661.8</v>
      </c>
      <c r="AE1106" s="25">
        <f>AB1106*T1106</f>
        <v>648.02</v>
      </c>
      <c r="AF1106" s="25">
        <f>AD1106-AE1106</f>
        <v>13.779999999999973</v>
      </c>
      <c r="AG1106" s="26">
        <f>AF1106/AD1106</f>
        <v>2.082200060441217E-2</v>
      </c>
      <c r="AH1106" s="27" t="str">
        <f>IF(AG1106&lt;0,"Negative",IF(AG1106=0,"Same",IF(AG1106&gt;0.3,"30+%",IF(AG1106&gt;0.2,"20-30%",IF(AG1106&gt;0.1,"10-20%",IF(AG1106&lt;=0.1,"0-10%"))))))</f>
        <v>0-10%</v>
      </c>
      <c r="AI1106" s="32"/>
      <c r="AJ1106" s="36" t="s">
        <v>3300</v>
      </c>
      <c r="AK1106" s="32"/>
    </row>
    <row r="1107" spans="1:37" s="1" customFormat="1" ht="19.7" customHeight="1" x14ac:dyDescent="0.25">
      <c r="A1107" s="5" t="s">
        <v>22</v>
      </c>
      <c r="B1107" s="5" t="s">
        <v>861</v>
      </c>
      <c r="C1107" s="6">
        <v>44313</v>
      </c>
      <c r="D1107" s="5" t="s">
        <v>24</v>
      </c>
      <c r="E1107" s="5" t="s">
        <v>25</v>
      </c>
      <c r="F1107" s="5" t="s">
        <v>26</v>
      </c>
      <c r="G1107" s="5" t="s">
        <v>27</v>
      </c>
      <c r="H1107" s="5" t="s">
        <v>28</v>
      </c>
      <c r="I1107" s="5" t="s">
        <v>29</v>
      </c>
      <c r="J1107" s="5" t="s">
        <v>30</v>
      </c>
      <c r="K1107" s="5" t="s">
        <v>31</v>
      </c>
      <c r="L1107" s="5" t="s">
        <v>32</v>
      </c>
      <c r="M1107" s="5" t="s">
        <v>862</v>
      </c>
      <c r="N1107" s="5" t="s">
        <v>863</v>
      </c>
      <c r="O1107" s="5" t="s">
        <v>334</v>
      </c>
      <c r="P1107" s="5" t="s">
        <v>864</v>
      </c>
      <c r="Q1107" s="5">
        <v>111630877</v>
      </c>
      <c r="R1107" s="5" t="s">
        <v>38</v>
      </c>
      <c r="S1107" s="5" t="s">
        <v>39</v>
      </c>
      <c r="T1107" s="7">
        <v>1</v>
      </c>
      <c r="U1107" s="15" t="s">
        <v>334</v>
      </c>
      <c r="V1107" s="16" t="s">
        <v>864</v>
      </c>
      <c r="W1107" s="17">
        <v>111630877</v>
      </c>
      <c r="X1107" s="16" t="s">
        <v>2629</v>
      </c>
      <c r="Y1107" s="17" t="s">
        <v>2843</v>
      </c>
      <c r="Z1107" s="17" t="s">
        <v>39</v>
      </c>
      <c r="AA1107" s="17" t="s">
        <v>37</v>
      </c>
      <c r="AB1107" s="29">
        <v>244.19</v>
      </c>
      <c r="AC1107" s="25">
        <v>249.72</v>
      </c>
      <c r="AD1107" s="25">
        <f>AC1107*T1107</f>
        <v>249.72</v>
      </c>
      <c r="AE1107" s="25">
        <f>AB1107*T1107</f>
        <v>244.19</v>
      </c>
      <c r="AF1107" s="25">
        <f>AD1107-AE1107</f>
        <v>5.5300000000000011</v>
      </c>
      <c r="AG1107" s="26">
        <f>AF1107/AD1107</f>
        <v>2.2144802178439858E-2</v>
      </c>
      <c r="AH1107" s="27" t="str">
        <f>IF(AG1107&lt;0,"Negative",IF(AG1107=0,"Same",IF(AG1107&gt;0.3,"30+%",IF(AG1107&gt;0.2,"20-30%",IF(AG1107&gt;0.1,"10-20%",IF(AG1107&lt;=0.1,"0-10%"))))))</f>
        <v>0-10%</v>
      </c>
      <c r="AI1107" s="32"/>
      <c r="AJ1107" s="36" t="s">
        <v>3300</v>
      </c>
      <c r="AK1107" s="32"/>
    </row>
    <row r="1108" spans="1:37" s="1" customFormat="1" ht="19.7" customHeight="1" x14ac:dyDescent="0.25">
      <c r="A1108" s="5" t="s">
        <v>22</v>
      </c>
      <c r="B1108" s="5" t="s">
        <v>653</v>
      </c>
      <c r="C1108" s="6">
        <v>44284</v>
      </c>
      <c r="D1108" s="5" t="s">
        <v>24</v>
      </c>
      <c r="E1108" s="5" t="s">
        <v>25</v>
      </c>
      <c r="F1108" s="5" t="s">
        <v>26</v>
      </c>
      <c r="G1108" s="5" t="s">
        <v>27</v>
      </c>
      <c r="H1108" s="5" t="s">
        <v>28</v>
      </c>
      <c r="I1108" s="5" t="s">
        <v>29</v>
      </c>
      <c r="J1108" s="5" t="s">
        <v>30</v>
      </c>
      <c r="K1108" s="5" t="s">
        <v>31</v>
      </c>
      <c r="L1108" s="5" t="s">
        <v>32</v>
      </c>
      <c r="M1108" s="5" t="s">
        <v>654</v>
      </c>
      <c r="N1108" s="5" t="s">
        <v>443</v>
      </c>
      <c r="O1108" s="5" t="s">
        <v>334</v>
      </c>
      <c r="P1108" s="5" t="s">
        <v>655</v>
      </c>
      <c r="Q1108" s="5">
        <v>111599625</v>
      </c>
      <c r="R1108" s="5" t="s">
        <v>38</v>
      </c>
      <c r="S1108" s="5" t="s">
        <v>39</v>
      </c>
      <c r="T1108" s="7">
        <v>1</v>
      </c>
      <c r="U1108" s="15" t="s">
        <v>334</v>
      </c>
      <c r="V1108" s="16" t="s">
        <v>655</v>
      </c>
      <c r="W1108" s="17">
        <v>111599625</v>
      </c>
      <c r="X1108" s="16" t="s">
        <v>2769</v>
      </c>
      <c r="Y1108" s="17" t="s">
        <v>2770</v>
      </c>
      <c r="Z1108" s="17" t="s">
        <v>39</v>
      </c>
      <c r="AA1108" s="17" t="s">
        <v>37</v>
      </c>
      <c r="AB1108" s="29">
        <v>397.23</v>
      </c>
      <c r="AC1108" s="25">
        <v>406.22</v>
      </c>
      <c r="AD1108" s="25">
        <f>AC1108*T1108</f>
        <v>406.22</v>
      </c>
      <c r="AE1108" s="25">
        <f>AB1108*T1108</f>
        <v>397.23</v>
      </c>
      <c r="AF1108" s="25">
        <f>AD1108-AE1108</f>
        <v>8.9900000000000091</v>
      </c>
      <c r="AG1108" s="26">
        <f>AF1108/AD1108</f>
        <v>2.2130865048495908E-2</v>
      </c>
      <c r="AH1108" s="27" t="str">
        <f>IF(AG1108&lt;0,"Negative",IF(AG1108=0,"Same",IF(AG1108&gt;0.3,"30+%",IF(AG1108&gt;0.2,"20-30%",IF(AG1108&gt;0.1,"10-20%",IF(AG1108&lt;=0.1,"0-10%"))))))</f>
        <v>0-10%</v>
      </c>
      <c r="AI1108" s="32"/>
      <c r="AJ1108" s="36" t="s">
        <v>3300</v>
      </c>
      <c r="AK1108" s="32"/>
    </row>
    <row r="1109" spans="1:37" s="1" customFormat="1" ht="19.7" customHeight="1" x14ac:dyDescent="0.25">
      <c r="A1109" s="9" t="s">
        <v>22</v>
      </c>
      <c r="B1109" s="9" t="s">
        <v>555</v>
      </c>
      <c r="C1109" s="10">
        <v>44274</v>
      </c>
      <c r="D1109" s="9" t="s">
        <v>24</v>
      </c>
      <c r="E1109" s="9" t="s">
        <v>25</v>
      </c>
      <c r="F1109" s="9" t="s">
        <v>26</v>
      </c>
      <c r="G1109" s="9" t="s">
        <v>67</v>
      </c>
      <c r="H1109" s="9" t="s">
        <v>68</v>
      </c>
      <c r="I1109" s="9" t="s">
        <v>29</v>
      </c>
      <c r="J1109" s="9" t="s">
        <v>30</v>
      </c>
      <c r="K1109" s="9" t="s">
        <v>31</v>
      </c>
      <c r="L1109" s="9" t="s">
        <v>32</v>
      </c>
      <c r="M1109" s="9" t="s">
        <v>556</v>
      </c>
      <c r="N1109" s="9" t="s">
        <v>284</v>
      </c>
      <c r="O1109" s="9" t="s">
        <v>557</v>
      </c>
      <c r="P1109" s="9" t="s">
        <v>558</v>
      </c>
      <c r="Q1109" s="9">
        <v>110197862</v>
      </c>
      <c r="R1109" s="9" t="s">
        <v>216</v>
      </c>
      <c r="S1109" s="9" t="s">
        <v>39</v>
      </c>
      <c r="T1109" s="11">
        <v>1</v>
      </c>
      <c r="U1109" s="15" t="s">
        <v>557</v>
      </c>
      <c r="V1109" s="41" t="s">
        <v>558</v>
      </c>
      <c r="W1109" s="17">
        <v>110197862</v>
      </c>
      <c r="X1109" s="16" t="s">
        <v>2728</v>
      </c>
      <c r="Y1109" s="17" t="s">
        <v>2729</v>
      </c>
      <c r="Z1109" s="17" t="s">
        <v>39</v>
      </c>
      <c r="AA1109" s="17" t="s">
        <v>37</v>
      </c>
      <c r="AB1109" s="29">
        <v>381.13</v>
      </c>
      <c r="AC1109" s="25">
        <v>365.43</v>
      </c>
      <c r="AD1109" s="25">
        <f>AC1109*T1109</f>
        <v>365.43</v>
      </c>
      <c r="AE1109" s="25">
        <f>AB1109*T1109</f>
        <v>381.13</v>
      </c>
      <c r="AF1109" s="25">
        <f>AD1109-AE1109</f>
        <v>-15.699999999999989</v>
      </c>
      <c r="AG1109" s="26">
        <f>AF1109/AD1109</f>
        <v>-4.2963084585283057E-2</v>
      </c>
      <c r="AH1109" s="27" t="str">
        <f>IF(AG1109&lt;0,"Negative",IF(AG1109=0,"Same",IF(AG1109&gt;0.3,"30+%",IF(AG1109&gt;0.2,"20-30%",IF(AG1109&gt;0.1,"10-20%",IF(AG1109&lt;=0.1,"0-10%"))))))</f>
        <v>Negative</v>
      </c>
      <c r="AI1109" s="32"/>
      <c r="AJ1109" s="36" t="s">
        <v>3300</v>
      </c>
      <c r="AK1109" s="32"/>
    </row>
    <row r="1110" spans="1:37" s="1" customFormat="1" ht="19.7" customHeight="1" x14ac:dyDescent="0.25">
      <c r="A1110" s="5" t="s">
        <v>22</v>
      </c>
      <c r="B1110" s="5" t="s">
        <v>1552</v>
      </c>
      <c r="C1110" s="6">
        <v>44412</v>
      </c>
      <c r="D1110" s="5" t="s">
        <v>24</v>
      </c>
      <c r="E1110" s="5" t="s">
        <v>25</v>
      </c>
      <c r="F1110" s="5" t="s">
        <v>26</v>
      </c>
      <c r="G1110" s="5" t="s">
        <v>27</v>
      </c>
      <c r="H1110" s="5" t="s">
        <v>28</v>
      </c>
      <c r="I1110" s="5" t="s">
        <v>29</v>
      </c>
      <c r="J1110" s="5" t="s">
        <v>30</v>
      </c>
      <c r="K1110" s="5" t="s">
        <v>31</v>
      </c>
      <c r="L1110" s="5" t="s">
        <v>32</v>
      </c>
      <c r="M1110" s="5" t="s">
        <v>1554</v>
      </c>
      <c r="N1110" s="5" t="s">
        <v>1553</v>
      </c>
      <c r="O1110" s="5" t="s">
        <v>381</v>
      </c>
      <c r="P1110" s="5" t="s">
        <v>1555</v>
      </c>
      <c r="Q1110" s="5">
        <v>112348519</v>
      </c>
      <c r="R1110" s="5" t="s">
        <v>38</v>
      </c>
      <c r="S1110" s="5" t="s">
        <v>39</v>
      </c>
      <c r="T1110" s="7">
        <v>4</v>
      </c>
      <c r="U1110" s="15" t="s">
        <v>381</v>
      </c>
      <c r="V1110" s="16" t="s">
        <v>1555</v>
      </c>
      <c r="W1110" s="17">
        <v>112348519</v>
      </c>
      <c r="X1110" s="16" t="s">
        <v>2648</v>
      </c>
      <c r="Y1110" s="17" t="s">
        <v>3072</v>
      </c>
      <c r="Z1110" s="17" t="s">
        <v>39</v>
      </c>
      <c r="AA1110" s="17" t="s">
        <v>37</v>
      </c>
      <c r="AB1110" s="29">
        <v>371.57</v>
      </c>
      <c r="AC1110" s="25">
        <v>389.25</v>
      </c>
      <c r="AD1110" s="25">
        <f>AC1110*T1110</f>
        <v>1557</v>
      </c>
      <c r="AE1110" s="25">
        <f>AB1110*T1110</f>
        <v>1486.28</v>
      </c>
      <c r="AF1110" s="25">
        <f>AD1110-AE1110</f>
        <v>70.720000000000027</v>
      </c>
      <c r="AG1110" s="26">
        <f>AF1110/AD1110</f>
        <v>4.5420680796403358E-2</v>
      </c>
      <c r="AH1110" s="27" t="str">
        <f>IF(AG1110&lt;0,"Negative",IF(AG1110=0,"Same",IF(AG1110&gt;0.3,"30+%",IF(AG1110&gt;0.2,"20-30%",IF(AG1110&gt;0.1,"10-20%",IF(AG1110&lt;=0.1,"0-10%"))))))</f>
        <v>0-10%</v>
      </c>
      <c r="AI1110" s="32"/>
      <c r="AJ1110" s="36" t="s">
        <v>3300</v>
      </c>
      <c r="AK1110" s="32"/>
    </row>
    <row r="1111" spans="1:37" s="1" customFormat="1" ht="19.7" customHeight="1" x14ac:dyDescent="0.25">
      <c r="A1111" s="9" t="s">
        <v>22</v>
      </c>
      <c r="B1111" s="9" t="s">
        <v>2124</v>
      </c>
      <c r="C1111" s="10">
        <v>44519</v>
      </c>
      <c r="D1111" s="9" t="s">
        <v>24</v>
      </c>
      <c r="E1111" s="9" t="s">
        <v>25</v>
      </c>
      <c r="F1111" s="9" t="s">
        <v>26</v>
      </c>
      <c r="G1111" s="9" t="s">
        <v>67</v>
      </c>
      <c r="H1111" s="9" t="s">
        <v>68</v>
      </c>
      <c r="I1111" s="9" t="s">
        <v>29</v>
      </c>
      <c r="J1111" s="9" t="s">
        <v>30</v>
      </c>
      <c r="K1111" s="9" t="s">
        <v>31</v>
      </c>
      <c r="L1111" s="9" t="s">
        <v>32</v>
      </c>
      <c r="M1111" s="9" t="s">
        <v>2121</v>
      </c>
      <c r="N1111" s="9" t="s">
        <v>2125</v>
      </c>
      <c r="O1111" s="9" t="s">
        <v>455</v>
      </c>
      <c r="P1111" s="9" t="s">
        <v>2123</v>
      </c>
      <c r="Q1111" s="9">
        <v>102223533</v>
      </c>
      <c r="R1111" s="9" t="s">
        <v>51</v>
      </c>
      <c r="S1111" s="9" t="s">
        <v>39</v>
      </c>
      <c r="T1111" s="11">
        <v>1</v>
      </c>
      <c r="U1111" s="15" t="s">
        <v>455</v>
      </c>
      <c r="V1111" s="16" t="s">
        <v>2123</v>
      </c>
      <c r="W1111" s="17">
        <v>102223533</v>
      </c>
      <c r="X1111" s="16" t="s">
        <v>2620</v>
      </c>
      <c r="Y1111" s="17" t="s">
        <v>3212</v>
      </c>
      <c r="Z1111" s="17" t="s">
        <v>39</v>
      </c>
      <c r="AA1111" s="17" t="s">
        <v>37</v>
      </c>
      <c r="AB1111" s="29">
        <v>389.58</v>
      </c>
      <c r="AC1111" s="25">
        <v>451.92</v>
      </c>
      <c r="AD1111" s="25">
        <f>AC1111*T1111</f>
        <v>451.92</v>
      </c>
      <c r="AE1111" s="25">
        <f>AB1111*T1111</f>
        <v>389.58</v>
      </c>
      <c r="AF1111" s="25">
        <f>AD1111-AE1111</f>
        <v>62.340000000000032</v>
      </c>
      <c r="AG1111" s="26">
        <f>AF1111/AD1111</f>
        <v>0.13794476898566124</v>
      </c>
      <c r="AH1111" s="27" t="str">
        <f>IF(AG1111&lt;0,"Negative",IF(AG1111=0,"Same",IF(AG1111&gt;0.3,"30+%",IF(AG1111&gt;0.2,"20-30%",IF(AG1111&gt;0.1,"10-20%",IF(AG1111&lt;=0.1,"0-10%"))))))</f>
        <v>10-20%</v>
      </c>
      <c r="AI1111" s="32"/>
      <c r="AJ1111" s="36" t="s">
        <v>3299</v>
      </c>
      <c r="AK1111" s="32"/>
    </row>
    <row r="1112" spans="1:37" s="1" customFormat="1" ht="19.7" customHeight="1" x14ac:dyDescent="0.25">
      <c r="A1112" s="5" t="s">
        <v>22</v>
      </c>
      <c r="B1112" s="5" t="s">
        <v>2120</v>
      </c>
      <c r="C1112" s="6">
        <v>44519</v>
      </c>
      <c r="D1112" s="5" t="s">
        <v>24</v>
      </c>
      <c r="E1112" s="5" t="s">
        <v>25</v>
      </c>
      <c r="F1112" s="5" t="s">
        <v>26</v>
      </c>
      <c r="G1112" s="5" t="s">
        <v>67</v>
      </c>
      <c r="H1112" s="5" t="s">
        <v>68</v>
      </c>
      <c r="I1112" s="5" t="s">
        <v>29</v>
      </c>
      <c r="J1112" s="5" t="s">
        <v>30</v>
      </c>
      <c r="K1112" s="5" t="s">
        <v>31</v>
      </c>
      <c r="L1112" s="5" t="s">
        <v>32</v>
      </c>
      <c r="M1112" s="5" t="s">
        <v>2121</v>
      </c>
      <c r="N1112" s="5" t="s">
        <v>2122</v>
      </c>
      <c r="O1112" s="5" t="s">
        <v>455</v>
      </c>
      <c r="P1112" s="5" t="s">
        <v>2123</v>
      </c>
      <c r="Q1112" s="5">
        <v>102223533</v>
      </c>
      <c r="R1112" s="5" t="s">
        <v>51</v>
      </c>
      <c r="S1112" s="5" t="s">
        <v>39</v>
      </c>
      <c r="T1112" s="7">
        <v>2</v>
      </c>
      <c r="U1112" s="15" t="s">
        <v>455</v>
      </c>
      <c r="V1112" s="16" t="s">
        <v>2123</v>
      </c>
      <c r="W1112" s="17">
        <v>102223533</v>
      </c>
      <c r="X1112" s="16" t="s">
        <v>2620</v>
      </c>
      <c r="Y1112" s="17" t="s">
        <v>3212</v>
      </c>
      <c r="Z1112" s="17" t="s">
        <v>39</v>
      </c>
      <c r="AA1112" s="17" t="s">
        <v>37</v>
      </c>
      <c r="AB1112" s="29">
        <v>389.58</v>
      </c>
      <c r="AC1112" s="25">
        <v>451.92</v>
      </c>
      <c r="AD1112" s="25">
        <f>AC1112*T1112</f>
        <v>903.84</v>
      </c>
      <c r="AE1112" s="25">
        <f>AB1112*T1112</f>
        <v>779.16</v>
      </c>
      <c r="AF1112" s="25">
        <f>AD1112-AE1112</f>
        <v>124.68000000000006</v>
      </c>
      <c r="AG1112" s="26">
        <f>AF1112/AD1112</f>
        <v>0.13794476898566124</v>
      </c>
      <c r="AH1112" s="27" t="str">
        <f>IF(AG1112&lt;0,"Negative",IF(AG1112=0,"Same",IF(AG1112&gt;0.3,"30+%",IF(AG1112&gt;0.2,"20-30%",IF(AG1112&gt;0.1,"10-20%",IF(AG1112&lt;=0.1,"0-10%"))))))</f>
        <v>10-20%</v>
      </c>
      <c r="AI1112" s="32"/>
      <c r="AJ1112" s="36" t="s">
        <v>3299</v>
      </c>
      <c r="AK1112" s="32"/>
    </row>
    <row r="1113" spans="1:37" s="1" customFormat="1" ht="19.7" customHeight="1" x14ac:dyDescent="0.25">
      <c r="A1113" s="5" t="s">
        <v>22</v>
      </c>
      <c r="B1113" s="5" t="s">
        <v>1878</v>
      </c>
      <c r="C1113" s="6">
        <v>44473</v>
      </c>
      <c r="D1113" s="5" t="s">
        <v>24</v>
      </c>
      <c r="E1113" s="5" t="s">
        <v>25</v>
      </c>
      <c r="F1113" s="5" t="s">
        <v>26</v>
      </c>
      <c r="G1113" s="5" t="s">
        <v>27</v>
      </c>
      <c r="H1113" s="5" t="s">
        <v>28</v>
      </c>
      <c r="I1113" s="5" t="s">
        <v>29</v>
      </c>
      <c r="J1113" s="5" t="s">
        <v>30</v>
      </c>
      <c r="K1113" s="5" t="s">
        <v>31</v>
      </c>
      <c r="L1113" s="5" t="s">
        <v>32</v>
      </c>
      <c r="M1113" s="5" t="s">
        <v>1879</v>
      </c>
      <c r="N1113" s="5" t="s">
        <v>1860</v>
      </c>
      <c r="O1113" s="5" t="s">
        <v>131</v>
      </c>
      <c r="P1113" s="5" t="s">
        <v>1880</v>
      </c>
      <c r="Q1113" s="5">
        <v>100788036</v>
      </c>
      <c r="R1113" s="5" t="s">
        <v>56</v>
      </c>
      <c r="S1113" s="5" t="s">
        <v>39</v>
      </c>
      <c r="T1113" s="7">
        <v>1</v>
      </c>
      <c r="U1113" s="15" t="s">
        <v>131</v>
      </c>
      <c r="V1113" s="16" t="s">
        <v>1880</v>
      </c>
      <c r="W1113" s="17">
        <v>100788036</v>
      </c>
      <c r="X1113" s="16" t="s">
        <v>3153</v>
      </c>
      <c r="Y1113" s="17" t="s">
        <v>3158</v>
      </c>
      <c r="Z1113" s="17" t="s">
        <v>39</v>
      </c>
      <c r="AA1113" s="17" t="s">
        <v>37</v>
      </c>
      <c r="AB1113" s="29">
        <v>619.9</v>
      </c>
      <c r="AC1113" s="25">
        <v>647.80999999999995</v>
      </c>
      <c r="AD1113" s="25">
        <f>AC1113*T1113</f>
        <v>647.80999999999995</v>
      </c>
      <c r="AE1113" s="25">
        <f>AB1113*T1113</f>
        <v>619.9</v>
      </c>
      <c r="AF1113" s="25">
        <f>AD1113-AE1113</f>
        <v>27.909999999999968</v>
      </c>
      <c r="AG1113" s="26">
        <f>AF1113/AD1113</f>
        <v>4.3083620197280022E-2</v>
      </c>
      <c r="AH1113" s="27" t="str">
        <f>IF(AG1113&lt;0,"Negative",IF(AG1113=0,"Same",IF(AG1113&gt;0.3,"30+%",IF(AG1113&gt;0.2,"20-30%",IF(AG1113&gt;0.1,"10-20%",IF(AG1113&lt;=0.1,"0-10%"))))))</f>
        <v>0-10%</v>
      </c>
      <c r="AI1113" s="32"/>
      <c r="AJ1113" s="36" t="s">
        <v>3300</v>
      </c>
      <c r="AK1113" s="32"/>
    </row>
    <row r="1114" spans="1:37" s="1" customFormat="1" ht="19.7" customHeight="1" x14ac:dyDescent="0.25">
      <c r="A1114" s="9" t="s">
        <v>22</v>
      </c>
      <c r="B1114" s="9" t="s">
        <v>2453</v>
      </c>
      <c r="C1114" s="10">
        <v>44588</v>
      </c>
      <c r="D1114" s="9" t="s">
        <v>24</v>
      </c>
      <c r="E1114" s="9" t="s">
        <v>25</v>
      </c>
      <c r="F1114" s="9" t="s">
        <v>26</v>
      </c>
      <c r="G1114" s="9" t="s">
        <v>27</v>
      </c>
      <c r="H1114" s="9" t="s">
        <v>28</v>
      </c>
      <c r="I1114" s="9" t="s">
        <v>29</v>
      </c>
      <c r="J1114" s="9" t="s">
        <v>30</v>
      </c>
      <c r="K1114" s="9" t="s">
        <v>31</v>
      </c>
      <c r="L1114" s="9" t="s">
        <v>32</v>
      </c>
      <c r="M1114" s="9" t="s">
        <v>1879</v>
      </c>
      <c r="N1114" s="9" t="s">
        <v>2454</v>
      </c>
      <c r="O1114" s="9" t="s">
        <v>131</v>
      </c>
      <c r="P1114" s="9" t="s">
        <v>1880</v>
      </c>
      <c r="Q1114" s="9">
        <v>100788036</v>
      </c>
      <c r="R1114" s="9" t="s">
        <v>56</v>
      </c>
      <c r="S1114" s="9" t="s">
        <v>39</v>
      </c>
      <c r="T1114" s="11">
        <v>2</v>
      </c>
      <c r="U1114" s="15" t="s">
        <v>131</v>
      </c>
      <c r="V1114" s="16" t="s">
        <v>1880</v>
      </c>
      <c r="W1114" s="17">
        <v>100788036</v>
      </c>
      <c r="X1114" s="16" t="s">
        <v>3153</v>
      </c>
      <c r="Y1114" s="17" t="s">
        <v>3158</v>
      </c>
      <c r="Z1114" s="17" t="s">
        <v>39</v>
      </c>
      <c r="AA1114" s="17" t="s">
        <v>37</v>
      </c>
      <c r="AB1114" s="29">
        <v>619.9</v>
      </c>
      <c r="AC1114" s="25">
        <v>647.80999999999995</v>
      </c>
      <c r="AD1114" s="25">
        <f>AC1114*T1114</f>
        <v>1295.6199999999999</v>
      </c>
      <c r="AE1114" s="25">
        <f>AB1114*T1114</f>
        <v>1239.8</v>
      </c>
      <c r="AF1114" s="25">
        <f>AD1114-AE1114</f>
        <v>55.819999999999936</v>
      </c>
      <c r="AG1114" s="26">
        <f>AF1114/AD1114</f>
        <v>4.3083620197280022E-2</v>
      </c>
      <c r="AH1114" s="27" t="str">
        <f>IF(AG1114&lt;0,"Negative",IF(AG1114=0,"Same",IF(AG1114&gt;0.3,"30+%",IF(AG1114&gt;0.2,"20-30%",IF(AG1114&gt;0.1,"10-20%",IF(AG1114&lt;=0.1,"0-10%"))))))</f>
        <v>0-10%</v>
      </c>
      <c r="AI1114" s="32"/>
      <c r="AJ1114" s="36" t="s">
        <v>3300</v>
      </c>
      <c r="AK1114" s="32"/>
    </row>
    <row r="1115" spans="1:37" s="1" customFormat="1" ht="19.7" customHeight="1" x14ac:dyDescent="0.25">
      <c r="A1115" s="9" t="s">
        <v>22</v>
      </c>
      <c r="B1115" s="9" t="s">
        <v>2327</v>
      </c>
      <c r="C1115" s="10">
        <v>44567</v>
      </c>
      <c r="D1115" s="9" t="s">
        <v>24</v>
      </c>
      <c r="E1115" s="9" t="s">
        <v>25</v>
      </c>
      <c r="F1115" s="9" t="s">
        <v>26</v>
      </c>
      <c r="G1115" s="9" t="s">
        <v>27</v>
      </c>
      <c r="H1115" s="9" t="s">
        <v>28</v>
      </c>
      <c r="I1115" s="9" t="s">
        <v>29</v>
      </c>
      <c r="J1115" s="9" t="s">
        <v>30</v>
      </c>
      <c r="K1115" s="9" t="s">
        <v>31</v>
      </c>
      <c r="L1115" s="9" t="s">
        <v>32</v>
      </c>
      <c r="M1115" s="9" t="s">
        <v>1879</v>
      </c>
      <c r="N1115" s="9" t="s">
        <v>2328</v>
      </c>
      <c r="O1115" s="9" t="s">
        <v>131</v>
      </c>
      <c r="P1115" s="9" t="s">
        <v>1880</v>
      </c>
      <c r="Q1115" s="9">
        <v>100788036</v>
      </c>
      <c r="R1115" s="9" t="s">
        <v>56</v>
      </c>
      <c r="S1115" s="9" t="s">
        <v>39</v>
      </c>
      <c r="T1115" s="11">
        <v>2</v>
      </c>
      <c r="U1115" s="15" t="s">
        <v>131</v>
      </c>
      <c r="V1115" s="16" t="s">
        <v>1880</v>
      </c>
      <c r="W1115" s="17">
        <v>100788036</v>
      </c>
      <c r="X1115" s="16" t="s">
        <v>3153</v>
      </c>
      <c r="Y1115" s="17" t="s">
        <v>3158</v>
      </c>
      <c r="Z1115" s="17" t="s">
        <v>39</v>
      </c>
      <c r="AA1115" s="17" t="s">
        <v>37</v>
      </c>
      <c r="AB1115" s="29">
        <v>619.9</v>
      </c>
      <c r="AC1115" s="25">
        <v>647.80999999999995</v>
      </c>
      <c r="AD1115" s="25">
        <f>AC1115*T1115</f>
        <v>1295.6199999999999</v>
      </c>
      <c r="AE1115" s="25">
        <f>AB1115*T1115</f>
        <v>1239.8</v>
      </c>
      <c r="AF1115" s="25">
        <f>AD1115-AE1115</f>
        <v>55.819999999999936</v>
      </c>
      <c r="AG1115" s="26">
        <f>AF1115/AD1115</f>
        <v>4.3083620197280022E-2</v>
      </c>
      <c r="AH1115" s="27" t="str">
        <f>IF(AG1115&lt;0,"Negative",IF(AG1115=0,"Same",IF(AG1115&gt;0.3,"30+%",IF(AG1115&gt;0.2,"20-30%",IF(AG1115&gt;0.1,"10-20%",IF(AG1115&lt;=0.1,"0-10%"))))))</f>
        <v>0-10%</v>
      </c>
      <c r="AI1115" s="32"/>
      <c r="AJ1115" s="36" t="s">
        <v>3300</v>
      </c>
      <c r="AK1115" s="32"/>
    </row>
    <row r="1116" spans="1:37" s="1" customFormat="1" ht="19.7" customHeight="1" x14ac:dyDescent="0.25">
      <c r="A1116" s="9" t="s">
        <v>22</v>
      </c>
      <c r="B1116" s="9" t="s">
        <v>2112</v>
      </c>
      <c r="C1116" s="10">
        <v>44519</v>
      </c>
      <c r="D1116" s="9" t="s">
        <v>24</v>
      </c>
      <c r="E1116" s="9" t="s">
        <v>25</v>
      </c>
      <c r="F1116" s="9" t="s">
        <v>26</v>
      </c>
      <c r="G1116" s="9" t="s">
        <v>67</v>
      </c>
      <c r="H1116" s="9" t="s">
        <v>68</v>
      </c>
      <c r="I1116" s="9" t="s">
        <v>29</v>
      </c>
      <c r="J1116" s="9" t="s">
        <v>30</v>
      </c>
      <c r="K1116" s="9" t="s">
        <v>31</v>
      </c>
      <c r="L1116" s="9" t="s">
        <v>32</v>
      </c>
      <c r="M1116" s="9" t="s">
        <v>201</v>
      </c>
      <c r="N1116" s="9" t="s">
        <v>2114</v>
      </c>
      <c r="O1116" s="9" t="s">
        <v>203</v>
      </c>
      <c r="P1116" s="9" t="s">
        <v>204</v>
      </c>
      <c r="Q1116" s="9">
        <v>101751942</v>
      </c>
      <c r="R1116" s="9" t="s">
        <v>105</v>
      </c>
      <c r="S1116" s="9" t="s">
        <v>205</v>
      </c>
      <c r="T1116" s="11">
        <v>4</v>
      </c>
      <c r="U1116" s="15" t="s">
        <v>203</v>
      </c>
      <c r="V1116" s="41" t="s">
        <v>204</v>
      </c>
      <c r="W1116" s="17">
        <v>101751942</v>
      </c>
      <c r="X1116" s="16" t="s">
        <v>2573</v>
      </c>
      <c r="Y1116" s="17" t="s">
        <v>2574</v>
      </c>
      <c r="Z1116" s="17" t="s">
        <v>205</v>
      </c>
      <c r="AA1116" s="17" t="s">
        <v>37</v>
      </c>
      <c r="AB1116" s="29">
        <v>165.56</v>
      </c>
      <c r="AC1116" s="25">
        <v>158.74</v>
      </c>
      <c r="AD1116" s="25">
        <f>AC1116*T1116</f>
        <v>634.96</v>
      </c>
      <c r="AE1116" s="25">
        <f>AB1116*T1116</f>
        <v>662.24</v>
      </c>
      <c r="AF1116" s="25">
        <f>AD1116-AE1116</f>
        <v>-27.279999999999973</v>
      </c>
      <c r="AG1116" s="26">
        <f>AF1116/AD1116</f>
        <v>-4.296333627315102E-2</v>
      </c>
      <c r="AH1116" s="27" t="str">
        <f>IF(AG1116&lt;0,"Negative",IF(AG1116=0,"Same",IF(AG1116&gt;0.3,"30+%",IF(AG1116&gt;0.2,"20-30%",IF(AG1116&gt;0.1,"10-20%",IF(AG1116&lt;=0.1,"0-10%"))))))</f>
        <v>Negative</v>
      </c>
      <c r="AI1116" s="32"/>
      <c r="AJ1116" s="36" t="s">
        <v>3300</v>
      </c>
      <c r="AK1116" s="32"/>
    </row>
    <row r="1117" spans="1:37" s="1" customFormat="1" ht="19.7" customHeight="1" x14ac:dyDescent="0.25">
      <c r="A1117" s="9" t="s">
        <v>22</v>
      </c>
      <c r="B1117" s="9" t="s">
        <v>1479</v>
      </c>
      <c r="C1117" s="10">
        <v>44403</v>
      </c>
      <c r="D1117" s="9" t="s">
        <v>24</v>
      </c>
      <c r="E1117" s="9" t="s">
        <v>25</v>
      </c>
      <c r="F1117" s="9" t="s">
        <v>26</v>
      </c>
      <c r="G1117" s="9" t="s">
        <v>67</v>
      </c>
      <c r="H1117" s="9" t="s">
        <v>68</v>
      </c>
      <c r="I1117" s="9" t="s">
        <v>29</v>
      </c>
      <c r="J1117" s="9" t="s">
        <v>30</v>
      </c>
      <c r="K1117" s="9" t="s">
        <v>31</v>
      </c>
      <c r="L1117" s="9" t="s">
        <v>32</v>
      </c>
      <c r="M1117" s="9" t="s">
        <v>201</v>
      </c>
      <c r="N1117" s="9" t="s">
        <v>1480</v>
      </c>
      <c r="O1117" s="9" t="s">
        <v>203</v>
      </c>
      <c r="P1117" s="9" t="s">
        <v>204</v>
      </c>
      <c r="Q1117" s="9">
        <v>101751942</v>
      </c>
      <c r="R1117" s="9" t="s">
        <v>105</v>
      </c>
      <c r="S1117" s="9" t="s">
        <v>205</v>
      </c>
      <c r="T1117" s="11">
        <v>5</v>
      </c>
      <c r="U1117" s="15" t="s">
        <v>203</v>
      </c>
      <c r="V1117" s="41" t="s">
        <v>204</v>
      </c>
      <c r="W1117" s="17">
        <v>101751942</v>
      </c>
      <c r="X1117" s="16" t="s">
        <v>2573</v>
      </c>
      <c r="Y1117" s="17" t="s">
        <v>2574</v>
      </c>
      <c r="Z1117" s="17" t="s">
        <v>205</v>
      </c>
      <c r="AA1117" s="17" t="s">
        <v>37</v>
      </c>
      <c r="AB1117" s="29">
        <v>165.56</v>
      </c>
      <c r="AC1117" s="25">
        <v>158.74</v>
      </c>
      <c r="AD1117" s="25">
        <f>AC1117*T1117</f>
        <v>793.7</v>
      </c>
      <c r="AE1117" s="25">
        <f>AB1117*T1117</f>
        <v>827.8</v>
      </c>
      <c r="AF1117" s="25">
        <f>AD1117-AE1117</f>
        <v>-34.099999999999909</v>
      </c>
      <c r="AG1117" s="26">
        <f>AF1117/AD1117</f>
        <v>-4.2963336273150951E-2</v>
      </c>
      <c r="AH1117" s="27" t="str">
        <f>IF(AG1117&lt;0,"Negative",IF(AG1117=0,"Same",IF(AG1117&gt;0.3,"30+%",IF(AG1117&gt;0.2,"20-30%",IF(AG1117&gt;0.1,"10-20%",IF(AG1117&lt;=0.1,"0-10%"))))))</f>
        <v>Negative</v>
      </c>
      <c r="AI1117" s="32"/>
      <c r="AJ1117" s="36" t="s">
        <v>3300</v>
      </c>
      <c r="AK1117" s="32"/>
    </row>
    <row r="1118" spans="1:37" s="1" customFormat="1" ht="19.7" customHeight="1" x14ac:dyDescent="0.25">
      <c r="A1118" s="5" t="s">
        <v>22</v>
      </c>
      <c r="B1118" s="5" t="s">
        <v>1386</v>
      </c>
      <c r="C1118" s="6">
        <v>44389</v>
      </c>
      <c r="D1118" s="5" t="s">
        <v>24</v>
      </c>
      <c r="E1118" s="5" t="s">
        <v>25</v>
      </c>
      <c r="F1118" s="5" t="s">
        <v>26</v>
      </c>
      <c r="G1118" s="5" t="s">
        <v>67</v>
      </c>
      <c r="H1118" s="5" t="s">
        <v>68</v>
      </c>
      <c r="I1118" s="5" t="s">
        <v>29</v>
      </c>
      <c r="J1118" s="5" t="s">
        <v>30</v>
      </c>
      <c r="K1118" s="5" t="s">
        <v>31</v>
      </c>
      <c r="L1118" s="5" t="s">
        <v>32</v>
      </c>
      <c r="M1118" s="5" t="s">
        <v>201</v>
      </c>
      <c r="N1118" s="5" t="s">
        <v>1388</v>
      </c>
      <c r="O1118" s="5" t="s">
        <v>203</v>
      </c>
      <c r="P1118" s="5" t="s">
        <v>204</v>
      </c>
      <c r="Q1118" s="5">
        <v>101751942</v>
      </c>
      <c r="R1118" s="5" t="s">
        <v>105</v>
      </c>
      <c r="S1118" s="5" t="s">
        <v>205</v>
      </c>
      <c r="T1118" s="7">
        <v>4</v>
      </c>
      <c r="U1118" s="15" t="s">
        <v>203</v>
      </c>
      <c r="V1118" s="41" t="s">
        <v>204</v>
      </c>
      <c r="W1118" s="17">
        <v>101751942</v>
      </c>
      <c r="X1118" s="16" t="s">
        <v>2573</v>
      </c>
      <c r="Y1118" s="17" t="s">
        <v>2574</v>
      </c>
      <c r="Z1118" s="17" t="s">
        <v>205</v>
      </c>
      <c r="AA1118" s="17" t="s">
        <v>37</v>
      </c>
      <c r="AB1118" s="29">
        <v>165.56</v>
      </c>
      <c r="AC1118" s="25">
        <v>158.74</v>
      </c>
      <c r="AD1118" s="25">
        <f>AC1118*T1118</f>
        <v>634.96</v>
      </c>
      <c r="AE1118" s="25">
        <f>AB1118*T1118</f>
        <v>662.24</v>
      </c>
      <c r="AF1118" s="25">
        <f>AD1118-AE1118</f>
        <v>-27.279999999999973</v>
      </c>
      <c r="AG1118" s="26">
        <f>AF1118/AD1118</f>
        <v>-4.296333627315102E-2</v>
      </c>
      <c r="AH1118" s="27" t="str">
        <f>IF(AG1118&lt;0,"Negative",IF(AG1118=0,"Same",IF(AG1118&gt;0.3,"30+%",IF(AG1118&gt;0.2,"20-30%",IF(AG1118&gt;0.1,"10-20%",IF(AG1118&lt;=0.1,"0-10%"))))))</f>
        <v>Negative</v>
      </c>
      <c r="AI1118" s="32"/>
      <c r="AJ1118" s="36" t="s">
        <v>3300</v>
      </c>
      <c r="AK1118" s="32"/>
    </row>
    <row r="1119" spans="1:37" s="1" customFormat="1" ht="19.7" customHeight="1" x14ac:dyDescent="0.25">
      <c r="A1119" s="5" t="s">
        <v>22</v>
      </c>
      <c r="B1119" s="5" t="s">
        <v>1591</v>
      </c>
      <c r="C1119" s="6">
        <v>44421</v>
      </c>
      <c r="D1119" s="5" t="s">
        <v>24</v>
      </c>
      <c r="E1119" s="5" t="s">
        <v>25</v>
      </c>
      <c r="F1119" s="5" t="s">
        <v>26</v>
      </c>
      <c r="G1119" s="5" t="s">
        <v>67</v>
      </c>
      <c r="H1119" s="5" t="s">
        <v>68</v>
      </c>
      <c r="I1119" s="5" t="s">
        <v>29</v>
      </c>
      <c r="J1119" s="5" t="s">
        <v>30</v>
      </c>
      <c r="K1119" s="5" t="s">
        <v>31</v>
      </c>
      <c r="L1119" s="5" t="s">
        <v>32</v>
      </c>
      <c r="M1119" s="5" t="s">
        <v>201</v>
      </c>
      <c r="N1119" s="5" t="s">
        <v>1592</v>
      </c>
      <c r="O1119" s="5" t="s">
        <v>203</v>
      </c>
      <c r="P1119" s="5" t="s">
        <v>204</v>
      </c>
      <c r="Q1119" s="5">
        <v>101751942</v>
      </c>
      <c r="R1119" s="5" t="s">
        <v>105</v>
      </c>
      <c r="S1119" s="5" t="s">
        <v>205</v>
      </c>
      <c r="T1119" s="7">
        <v>4</v>
      </c>
      <c r="U1119" s="15" t="s">
        <v>203</v>
      </c>
      <c r="V1119" s="41" t="s">
        <v>204</v>
      </c>
      <c r="W1119" s="17">
        <v>101751942</v>
      </c>
      <c r="X1119" s="16" t="s">
        <v>2573</v>
      </c>
      <c r="Y1119" s="17" t="s">
        <v>2574</v>
      </c>
      <c r="Z1119" s="17" t="s">
        <v>205</v>
      </c>
      <c r="AA1119" s="17" t="s">
        <v>37</v>
      </c>
      <c r="AB1119" s="29">
        <v>165.56</v>
      </c>
      <c r="AC1119" s="25">
        <v>158.74</v>
      </c>
      <c r="AD1119" s="25">
        <f>AC1119*T1119</f>
        <v>634.96</v>
      </c>
      <c r="AE1119" s="25">
        <f>AB1119*T1119</f>
        <v>662.24</v>
      </c>
      <c r="AF1119" s="25">
        <f>AD1119-AE1119</f>
        <v>-27.279999999999973</v>
      </c>
      <c r="AG1119" s="26">
        <f>AF1119/AD1119</f>
        <v>-4.296333627315102E-2</v>
      </c>
      <c r="AH1119" s="27" t="str">
        <f>IF(AG1119&lt;0,"Negative",IF(AG1119=0,"Same",IF(AG1119&gt;0.3,"30+%",IF(AG1119&gt;0.2,"20-30%",IF(AG1119&gt;0.1,"10-20%",IF(AG1119&lt;=0.1,"0-10%"))))))</f>
        <v>Negative</v>
      </c>
      <c r="AI1119" s="32"/>
      <c r="AJ1119" s="36" t="s">
        <v>3300</v>
      </c>
      <c r="AK1119" s="32"/>
    </row>
    <row r="1120" spans="1:37" s="1" customFormat="1" ht="19.7" customHeight="1" x14ac:dyDescent="0.25">
      <c r="A1120" s="9" t="s">
        <v>22</v>
      </c>
      <c r="B1120" s="9" t="s">
        <v>1667</v>
      </c>
      <c r="C1120" s="10">
        <v>44435</v>
      </c>
      <c r="D1120" s="9" t="s">
        <v>24</v>
      </c>
      <c r="E1120" s="9" t="s">
        <v>25</v>
      </c>
      <c r="F1120" s="9" t="s">
        <v>26</v>
      </c>
      <c r="G1120" s="9" t="s">
        <v>67</v>
      </c>
      <c r="H1120" s="9" t="s">
        <v>68</v>
      </c>
      <c r="I1120" s="9" t="s">
        <v>29</v>
      </c>
      <c r="J1120" s="9" t="s">
        <v>30</v>
      </c>
      <c r="K1120" s="9" t="s">
        <v>31</v>
      </c>
      <c r="L1120" s="9" t="s">
        <v>32</v>
      </c>
      <c r="M1120" s="9" t="s">
        <v>201</v>
      </c>
      <c r="N1120" s="9" t="s">
        <v>1668</v>
      </c>
      <c r="O1120" s="9" t="s">
        <v>203</v>
      </c>
      <c r="P1120" s="9" t="s">
        <v>204</v>
      </c>
      <c r="Q1120" s="9">
        <v>101751942</v>
      </c>
      <c r="R1120" s="9" t="s">
        <v>105</v>
      </c>
      <c r="S1120" s="9" t="s">
        <v>205</v>
      </c>
      <c r="T1120" s="11">
        <v>4</v>
      </c>
      <c r="U1120" s="15" t="s">
        <v>203</v>
      </c>
      <c r="V1120" s="41" t="s">
        <v>204</v>
      </c>
      <c r="W1120" s="17">
        <v>101751942</v>
      </c>
      <c r="X1120" s="16" t="s">
        <v>2573</v>
      </c>
      <c r="Y1120" s="17" t="s">
        <v>2574</v>
      </c>
      <c r="Z1120" s="17" t="s">
        <v>205</v>
      </c>
      <c r="AA1120" s="17" t="s">
        <v>37</v>
      </c>
      <c r="AB1120" s="29">
        <v>165.56</v>
      </c>
      <c r="AC1120" s="25">
        <v>158.74</v>
      </c>
      <c r="AD1120" s="25">
        <f>AC1120*T1120</f>
        <v>634.96</v>
      </c>
      <c r="AE1120" s="25">
        <f>AB1120*T1120</f>
        <v>662.24</v>
      </c>
      <c r="AF1120" s="25">
        <f>AD1120-AE1120</f>
        <v>-27.279999999999973</v>
      </c>
      <c r="AG1120" s="26">
        <f>AF1120/AD1120</f>
        <v>-4.296333627315102E-2</v>
      </c>
      <c r="AH1120" s="27" t="str">
        <f>IF(AG1120&lt;0,"Negative",IF(AG1120=0,"Same",IF(AG1120&gt;0.3,"30+%",IF(AG1120&gt;0.2,"20-30%",IF(AG1120&gt;0.1,"10-20%",IF(AG1120&lt;=0.1,"0-10%"))))))</f>
        <v>Negative</v>
      </c>
      <c r="AI1120" s="32"/>
      <c r="AJ1120" s="36" t="s">
        <v>3300</v>
      </c>
      <c r="AK1120" s="32"/>
    </row>
    <row r="1121" spans="1:37" s="1" customFormat="1" ht="19.7" customHeight="1" x14ac:dyDescent="0.25">
      <c r="A1121" s="5" t="s">
        <v>22</v>
      </c>
      <c r="B1121" s="5" t="s">
        <v>1759</v>
      </c>
      <c r="C1121" s="6">
        <v>44456</v>
      </c>
      <c r="D1121" s="5" t="s">
        <v>24</v>
      </c>
      <c r="E1121" s="5" t="s">
        <v>25</v>
      </c>
      <c r="F1121" s="5" t="s">
        <v>26</v>
      </c>
      <c r="G1121" s="5" t="s">
        <v>67</v>
      </c>
      <c r="H1121" s="5" t="s">
        <v>68</v>
      </c>
      <c r="I1121" s="5" t="s">
        <v>29</v>
      </c>
      <c r="J1121" s="5" t="s">
        <v>30</v>
      </c>
      <c r="K1121" s="5" t="s">
        <v>31</v>
      </c>
      <c r="L1121" s="5" t="s">
        <v>32</v>
      </c>
      <c r="M1121" s="5" t="s">
        <v>201</v>
      </c>
      <c r="N1121" s="5" t="s">
        <v>1760</v>
      </c>
      <c r="O1121" s="5" t="s">
        <v>203</v>
      </c>
      <c r="P1121" s="5" t="s">
        <v>204</v>
      </c>
      <c r="Q1121" s="5">
        <v>101751942</v>
      </c>
      <c r="R1121" s="5" t="s">
        <v>105</v>
      </c>
      <c r="S1121" s="5" t="s">
        <v>205</v>
      </c>
      <c r="T1121" s="7">
        <v>4</v>
      </c>
      <c r="U1121" s="15" t="s">
        <v>203</v>
      </c>
      <c r="V1121" s="41" t="s">
        <v>204</v>
      </c>
      <c r="W1121" s="17">
        <v>101751942</v>
      </c>
      <c r="X1121" s="16" t="s">
        <v>2573</v>
      </c>
      <c r="Y1121" s="17" t="s">
        <v>2574</v>
      </c>
      <c r="Z1121" s="17" t="s">
        <v>205</v>
      </c>
      <c r="AA1121" s="17" t="s">
        <v>37</v>
      </c>
      <c r="AB1121" s="29">
        <v>165.56</v>
      </c>
      <c r="AC1121" s="25">
        <v>158.74</v>
      </c>
      <c r="AD1121" s="25">
        <f>AC1121*T1121</f>
        <v>634.96</v>
      </c>
      <c r="AE1121" s="25">
        <f>AB1121*T1121</f>
        <v>662.24</v>
      </c>
      <c r="AF1121" s="25">
        <f>AD1121-AE1121</f>
        <v>-27.279999999999973</v>
      </c>
      <c r="AG1121" s="26">
        <f>AF1121/AD1121</f>
        <v>-4.296333627315102E-2</v>
      </c>
      <c r="AH1121" s="27" t="str">
        <f>IF(AG1121&lt;0,"Negative",IF(AG1121=0,"Same",IF(AG1121&gt;0.3,"30+%",IF(AG1121&gt;0.2,"20-30%",IF(AG1121&gt;0.1,"10-20%",IF(AG1121&lt;=0.1,"0-10%"))))))</f>
        <v>Negative</v>
      </c>
      <c r="AI1121" s="32"/>
      <c r="AJ1121" s="36" t="s">
        <v>3300</v>
      </c>
      <c r="AK1121" s="32"/>
    </row>
    <row r="1122" spans="1:37" s="1" customFormat="1" ht="19.7" customHeight="1" x14ac:dyDescent="0.25">
      <c r="A1122" s="9" t="s">
        <v>22</v>
      </c>
      <c r="B1122" s="9" t="s">
        <v>495</v>
      </c>
      <c r="C1122" s="10">
        <v>44267</v>
      </c>
      <c r="D1122" s="9" t="s">
        <v>24</v>
      </c>
      <c r="E1122" s="9" t="s">
        <v>25</v>
      </c>
      <c r="F1122" s="9" t="s">
        <v>26</v>
      </c>
      <c r="G1122" s="9" t="s">
        <v>67</v>
      </c>
      <c r="H1122" s="9" t="s">
        <v>68</v>
      </c>
      <c r="I1122" s="9" t="s">
        <v>29</v>
      </c>
      <c r="J1122" s="9" t="s">
        <v>30</v>
      </c>
      <c r="K1122" s="9" t="s">
        <v>31</v>
      </c>
      <c r="L1122" s="9" t="s">
        <v>32</v>
      </c>
      <c r="M1122" s="9" t="s">
        <v>201</v>
      </c>
      <c r="N1122" s="9" t="s">
        <v>496</v>
      </c>
      <c r="O1122" s="9" t="s">
        <v>203</v>
      </c>
      <c r="P1122" s="9" t="s">
        <v>204</v>
      </c>
      <c r="Q1122" s="9">
        <v>101751942</v>
      </c>
      <c r="R1122" s="9" t="s">
        <v>105</v>
      </c>
      <c r="S1122" s="9" t="s">
        <v>205</v>
      </c>
      <c r="T1122" s="11">
        <v>4</v>
      </c>
      <c r="U1122" s="15" t="s">
        <v>203</v>
      </c>
      <c r="V1122" s="41" t="s">
        <v>204</v>
      </c>
      <c r="W1122" s="17">
        <v>101751942</v>
      </c>
      <c r="X1122" s="16" t="s">
        <v>2573</v>
      </c>
      <c r="Y1122" s="17" t="s">
        <v>2574</v>
      </c>
      <c r="Z1122" s="17" t="s">
        <v>205</v>
      </c>
      <c r="AA1122" s="17" t="s">
        <v>37</v>
      </c>
      <c r="AB1122" s="29">
        <v>165.56</v>
      </c>
      <c r="AC1122" s="25">
        <v>158.74</v>
      </c>
      <c r="AD1122" s="25">
        <f>AC1122*T1122</f>
        <v>634.96</v>
      </c>
      <c r="AE1122" s="25">
        <f>AB1122*T1122</f>
        <v>662.24</v>
      </c>
      <c r="AF1122" s="25">
        <f>AD1122-AE1122</f>
        <v>-27.279999999999973</v>
      </c>
      <c r="AG1122" s="26">
        <f>AF1122/AD1122</f>
        <v>-4.296333627315102E-2</v>
      </c>
      <c r="AH1122" s="27" t="str">
        <f>IF(AG1122&lt;0,"Negative",IF(AG1122=0,"Same",IF(AG1122&gt;0.3,"30+%",IF(AG1122&gt;0.2,"20-30%",IF(AG1122&gt;0.1,"10-20%",IF(AG1122&lt;=0.1,"0-10%"))))))</f>
        <v>Negative</v>
      </c>
      <c r="AI1122" s="32"/>
      <c r="AJ1122" s="36" t="s">
        <v>3300</v>
      </c>
      <c r="AK1122" s="32"/>
    </row>
    <row r="1123" spans="1:37" s="1" customFormat="1" ht="19.7" customHeight="1" x14ac:dyDescent="0.25">
      <c r="A1123" s="9" t="s">
        <v>22</v>
      </c>
      <c r="B1123" s="9" t="s">
        <v>689</v>
      </c>
      <c r="C1123" s="10">
        <v>44288</v>
      </c>
      <c r="D1123" s="9" t="s">
        <v>24</v>
      </c>
      <c r="E1123" s="9" t="s">
        <v>25</v>
      </c>
      <c r="F1123" s="9" t="s">
        <v>26</v>
      </c>
      <c r="G1123" s="9" t="s">
        <v>67</v>
      </c>
      <c r="H1123" s="9" t="s">
        <v>68</v>
      </c>
      <c r="I1123" s="9" t="s">
        <v>29</v>
      </c>
      <c r="J1123" s="9" t="s">
        <v>30</v>
      </c>
      <c r="K1123" s="9" t="s">
        <v>31</v>
      </c>
      <c r="L1123" s="9" t="s">
        <v>32</v>
      </c>
      <c r="M1123" s="9" t="s">
        <v>201</v>
      </c>
      <c r="N1123" s="9" t="s">
        <v>690</v>
      </c>
      <c r="O1123" s="9" t="s">
        <v>203</v>
      </c>
      <c r="P1123" s="9" t="s">
        <v>204</v>
      </c>
      <c r="Q1123" s="9">
        <v>101751942</v>
      </c>
      <c r="R1123" s="9" t="s">
        <v>105</v>
      </c>
      <c r="S1123" s="9" t="s">
        <v>205</v>
      </c>
      <c r="T1123" s="11">
        <v>4</v>
      </c>
      <c r="U1123" s="15" t="s">
        <v>203</v>
      </c>
      <c r="V1123" s="41" t="s">
        <v>204</v>
      </c>
      <c r="W1123" s="17">
        <v>101751942</v>
      </c>
      <c r="X1123" s="16" t="s">
        <v>2573</v>
      </c>
      <c r="Y1123" s="17" t="s">
        <v>2574</v>
      </c>
      <c r="Z1123" s="17" t="s">
        <v>205</v>
      </c>
      <c r="AA1123" s="17" t="s">
        <v>37</v>
      </c>
      <c r="AB1123" s="29">
        <v>165.56</v>
      </c>
      <c r="AC1123" s="25">
        <v>158.74</v>
      </c>
      <c r="AD1123" s="25">
        <f>AC1123*T1123</f>
        <v>634.96</v>
      </c>
      <c r="AE1123" s="25">
        <f>AB1123*T1123</f>
        <v>662.24</v>
      </c>
      <c r="AF1123" s="25">
        <f>AD1123-AE1123</f>
        <v>-27.279999999999973</v>
      </c>
      <c r="AG1123" s="26">
        <f>AF1123/AD1123</f>
        <v>-4.296333627315102E-2</v>
      </c>
      <c r="AH1123" s="27" t="str">
        <f>IF(AG1123&lt;0,"Negative",IF(AG1123=0,"Same",IF(AG1123&gt;0.3,"30+%",IF(AG1123&gt;0.2,"20-30%",IF(AG1123&gt;0.1,"10-20%",IF(AG1123&lt;=0.1,"0-10%"))))))</f>
        <v>Negative</v>
      </c>
      <c r="AI1123" s="32"/>
      <c r="AJ1123" s="36" t="s">
        <v>3300</v>
      </c>
      <c r="AK1123" s="32"/>
    </row>
    <row r="1124" spans="1:37" s="1" customFormat="1" ht="19.7" customHeight="1" x14ac:dyDescent="0.25">
      <c r="A1124" s="9" t="s">
        <v>22</v>
      </c>
      <c r="B1124" s="9" t="s">
        <v>889</v>
      </c>
      <c r="C1124" s="10">
        <v>44316</v>
      </c>
      <c r="D1124" s="9" t="s">
        <v>24</v>
      </c>
      <c r="E1124" s="9" t="s">
        <v>25</v>
      </c>
      <c r="F1124" s="9" t="s">
        <v>26</v>
      </c>
      <c r="G1124" s="9" t="s">
        <v>67</v>
      </c>
      <c r="H1124" s="9" t="s">
        <v>68</v>
      </c>
      <c r="I1124" s="9" t="s">
        <v>29</v>
      </c>
      <c r="J1124" s="9" t="s">
        <v>30</v>
      </c>
      <c r="K1124" s="9" t="s">
        <v>31</v>
      </c>
      <c r="L1124" s="9" t="s">
        <v>32</v>
      </c>
      <c r="M1124" s="9" t="s">
        <v>201</v>
      </c>
      <c r="N1124" s="9" t="s">
        <v>891</v>
      </c>
      <c r="O1124" s="9" t="s">
        <v>203</v>
      </c>
      <c r="P1124" s="9" t="s">
        <v>204</v>
      </c>
      <c r="Q1124" s="9">
        <v>101751942</v>
      </c>
      <c r="R1124" s="9" t="s">
        <v>105</v>
      </c>
      <c r="S1124" s="9" t="s">
        <v>205</v>
      </c>
      <c r="T1124" s="11">
        <v>4</v>
      </c>
      <c r="U1124" s="15" t="s">
        <v>203</v>
      </c>
      <c r="V1124" s="41" t="s">
        <v>204</v>
      </c>
      <c r="W1124" s="17">
        <v>101751942</v>
      </c>
      <c r="X1124" s="16" t="s">
        <v>2573</v>
      </c>
      <c r="Y1124" s="17" t="s">
        <v>2574</v>
      </c>
      <c r="Z1124" s="17" t="s">
        <v>205</v>
      </c>
      <c r="AA1124" s="17" t="s">
        <v>37</v>
      </c>
      <c r="AB1124" s="29">
        <v>165.56</v>
      </c>
      <c r="AC1124" s="25">
        <v>158.74</v>
      </c>
      <c r="AD1124" s="25">
        <f>AC1124*T1124</f>
        <v>634.96</v>
      </c>
      <c r="AE1124" s="25">
        <f>AB1124*T1124</f>
        <v>662.24</v>
      </c>
      <c r="AF1124" s="25">
        <f>AD1124-AE1124</f>
        <v>-27.279999999999973</v>
      </c>
      <c r="AG1124" s="26">
        <f>AF1124/AD1124</f>
        <v>-4.296333627315102E-2</v>
      </c>
      <c r="AH1124" s="27" t="str">
        <f>IF(AG1124&lt;0,"Negative",IF(AG1124=0,"Same",IF(AG1124&gt;0.3,"30+%",IF(AG1124&gt;0.2,"20-30%",IF(AG1124&gt;0.1,"10-20%",IF(AG1124&lt;=0.1,"0-10%"))))))</f>
        <v>Negative</v>
      </c>
      <c r="AI1124" s="32"/>
      <c r="AJ1124" s="36" t="s">
        <v>3300</v>
      </c>
      <c r="AK1124" s="32"/>
    </row>
    <row r="1125" spans="1:37" s="1" customFormat="1" ht="19.7" customHeight="1" x14ac:dyDescent="0.25">
      <c r="A1125" s="5" t="s">
        <v>22</v>
      </c>
      <c r="B1125" s="5" t="s">
        <v>1856</v>
      </c>
      <c r="C1125" s="6">
        <v>44470</v>
      </c>
      <c r="D1125" s="5" t="s">
        <v>24</v>
      </c>
      <c r="E1125" s="5" t="s">
        <v>25</v>
      </c>
      <c r="F1125" s="5" t="s">
        <v>26</v>
      </c>
      <c r="G1125" s="5" t="s">
        <v>67</v>
      </c>
      <c r="H1125" s="5" t="s">
        <v>68</v>
      </c>
      <c r="I1125" s="5" t="s">
        <v>29</v>
      </c>
      <c r="J1125" s="5" t="s">
        <v>30</v>
      </c>
      <c r="K1125" s="5" t="s">
        <v>31</v>
      </c>
      <c r="L1125" s="5" t="s">
        <v>32</v>
      </c>
      <c r="M1125" s="5" t="s">
        <v>201</v>
      </c>
      <c r="N1125" s="5" t="s">
        <v>1857</v>
      </c>
      <c r="O1125" s="5" t="s">
        <v>203</v>
      </c>
      <c r="P1125" s="5" t="s">
        <v>204</v>
      </c>
      <c r="Q1125" s="5">
        <v>101751942</v>
      </c>
      <c r="R1125" s="5" t="s">
        <v>105</v>
      </c>
      <c r="S1125" s="5" t="s">
        <v>205</v>
      </c>
      <c r="T1125" s="7">
        <v>3</v>
      </c>
      <c r="U1125" s="15" t="s">
        <v>203</v>
      </c>
      <c r="V1125" s="41" t="s">
        <v>204</v>
      </c>
      <c r="W1125" s="17">
        <v>101751942</v>
      </c>
      <c r="X1125" s="16" t="s">
        <v>2573</v>
      </c>
      <c r="Y1125" s="17" t="s">
        <v>2574</v>
      </c>
      <c r="Z1125" s="17" t="s">
        <v>205</v>
      </c>
      <c r="AA1125" s="17" t="s">
        <v>37</v>
      </c>
      <c r="AB1125" s="29">
        <v>165.56</v>
      </c>
      <c r="AC1125" s="25">
        <v>158.74</v>
      </c>
      <c r="AD1125" s="25">
        <f>AC1125*T1125</f>
        <v>476.22</v>
      </c>
      <c r="AE1125" s="25">
        <f>AB1125*T1125</f>
        <v>496.68</v>
      </c>
      <c r="AF1125" s="25">
        <f>AD1125-AE1125</f>
        <v>-20.45999999999998</v>
      </c>
      <c r="AG1125" s="26">
        <f>AF1125/AD1125</f>
        <v>-4.296333627315102E-2</v>
      </c>
      <c r="AH1125" s="27" t="str">
        <f>IF(AG1125&lt;0,"Negative",IF(AG1125=0,"Same",IF(AG1125&gt;0.3,"30+%",IF(AG1125&gt;0.2,"20-30%",IF(AG1125&gt;0.1,"10-20%",IF(AG1125&lt;=0.1,"0-10%"))))))</f>
        <v>Negative</v>
      </c>
      <c r="AI1125" s="32"/>
      <c r="AJ1125" s="36" t="s">
        <v>3300</v>
      </c>
      <c r="AK1125" s="32"/>
    </row>
    <row r="1126" spans="1:37" s="1" customFormat="1" ht="19.7" customHeight="1" x14ac:dyDescent="0.25">
      <c r="A1126" s="9" t="s">
        <v>22</v>
      </c>
      <c r="B1126" s="9" t="s">
        <v>1864</v>
      </c>
      <c r="C1126" s="10">
        <v>44473</v>
      </c>
      <c r="D1126" s="9" t="s">
        <v>24</v>
      </c>
      <c r="E1126" s="9" t="s">
        <v>25</v>
      </c>
      <c r="F1126" s="9" t="s">
        <v>26</v>
      </c>
      <c r="G1126" s="9" t="s">
        <v>67</v>
      </c>
      <c r="H1126" s="9" t="s">
        <v>68</v>
      </c>
      <c r="I1126" s="9" t="s">
        <v>29</v>
      </c>
      <c r="J1126" s="9" t="s">
        <v>30</v>
      </c>
      <c r="K1126" s="9" t="s">
        <v>31</v>
      </c>
      <c r="L1126" s="9" t="s">
        <v>32</v>
      </c>
      <c r="M1126" s="9" t="s">
        <v>201</v>
      </c>
      <c r="N1126" s="9" t="s">
        <v>1865</v>
      </c>
      <c r="O1126" s="9" t="s">
        <v>203</v>
      </c>
      <c r="P1126" s="9" t="s">
        <v>204</v>
      </c>
      <c r="Q1126" s="9">
        <v>101751942</v>
      </c>
      <c r="R1126" s="9" t="s">
        <v>105</v>
      </c>
      <c r="S1126" s="9" t="s">
        <v>205</v>
      </c>
      <c r="T1126" s="11">
        <v>3</v>
      </c>
      <c r="U1126" s="15" t="s">
        <v>203</v>
      </c>
      <c r="V1126" s="41" t="s">
        <v>204</v>
      </c>
      <c r="W1126" s="17">
        <v>101751942</v>
      </c>
      <c r="X1126" s="16" t="s">
        <v>2573</v>
      </c>
      <c r="Y1126" s="17" t="s">
        <v>2574</v>
      </c>
      <c r="Z1126" s="17" t="s">
        <v>205</v>
      </c>
      <c r="AA1126" s="17" t="s">
        <v>37</v>
      </c>
      <c r="AB1126" s="29">
        <v>165.56</v>
      </c>
      <c r="AC1126" s="25">
        <v>158.74</v>
      </c>
      <c r="AD1126" s="25">
        <f>AC1126*T1126</f>
        <v>476.22</v>
      </c>
      <c r="AE1126" s="25">
        <f>AB1126*T1126</f>
        <v>496.68</v>
      </c>
      <c r="AF1126" s="25">
        <f>AD1126-AE1126</f>
        <v>-20.45999999999998</v>
      </c>
      <c r="AG1126" s="26">
        <f>AF1126/AD1126</f>
        <v>-4.296333627315102E-2</v>
      </c>
      <c r="AH1126" s="27" t="str">
        <f>IF(AG1126&lt;0,"Negative",IF(AG1126=0,"Same",IF(AG1126&gt;0.3,"30+%",IF(AG1126&gt;0.2,"20-30%",IF(AG1126&gt;0.1,"10-20%",IF(AG1126&lt;=0.1,"0-10%"))))))</f>
        <v>Negative</v>
      </c>
      <c r="AI1126" s="32"/>
      <c r="AJ1126" s="36" t="s">
        <v>3300</v>
      </c>
      <c r="AK1126" s="32"/>
    </row>
    <row r="1127" spans="1:37" s="1" customFormat="1" ht="19.7" customHeight="1" x14ac:dyDescent="0.25">
      <c r="A1127" s="9" t="s">
        <v>22</v>
      </c>
      <c r="B1127" s="9" t="s">
        <v>268</v>
      </c>
      <c r="C1127" s="10">
        <v>44246</v>
      </c>
      <c r="D1127" s="9" t="s">
        <v>24</v>
      </c>
      <c r="E1127" s="9" t="s">
        <v>25</v>
      </c>
      <c r="F1127" s="9" t="s">
        <v>26</v>
      </c>
      <c r="G1127" s="9" t="s">
        <v>67</v>
      </c>
      <c r="H1127" s="9" t="s">
        <v>68</v>
      </c>
      <c r="I1127" s="9" t="s">
        <v>29</v>
      </c>
      <c r="J1127" s="9" t="s">
        <v>30</v>
      </c>
      <c r="K1127" s="9" t="s">
        <v>31</v>
      </c>
      <c r="L1127" s="9" t="s">
        <v>32</v>
      </c>
      <c r="M1127" s="9" t="s">
        <v>201</v>
      </c>
      <c r="N1127" s="9" t="s">
        <v>269</v>
      </c>
      <c r="O1127" s="9" t="s">
        <v>203</v>
      </c>
      <c r="P1127" s="9" t="s">
        <v>204</v>
      </c>
      <c r="Q1127" s="9">
        <v>101751942</v>
      </c>
      <c r="R1127" s="9" t="s">
        <v>105</v>
      </c>
      <c r="S1127" s="9" t="s">
        <v>205</v>
      </c>
      <c r="T1127" s="11">
        <v>3</v>
      </c>
      <c r="U1127" s="15" t="s">
        <v>203</v>
      </c>
      <c r="V1127" s="41" t="s">
        <v>204</v>
      </c>
      <c r="W1127" s="17">
        <v>101751942</v>
      </c>
      <c r="X1127" s="16" t="s">
        <v>2573</v>
      </c>
      <c r="Y1127" s="17" t="s">
        <v>2574</v>
      </c>
      <c r="Z1127" s="17" t="s">
        <v>205</v>
      </c>
      <c r="AA1127" s="17" t="s">
        <v>37</v>
      </c>
      <c r="AB1127" s="29">
        <v>165.56</v>
      </c>
      <c r="AC1127" s="25">
        <v>158.74</v>
      </c>
      <c r="AD1127" s="25">
        <f>AC1127*T1127</f>
        <v>476.22</v>
      </c>
      <c r="AE1127" s="25">
        <f>AB1127*T1127</f>
        <v>496.68</v>
      </c>
      <c r="AF1127" s="25">
        <f>AD1127-AE1127</f>
        <v>-20.45999999999998</v>
      </c>
      <c r="AG1127" s="26">
        <f>AF1127/AD1127</f>
        <v>-4.296333627315102E-2</v>
      </c>
      <c r="AH1127" s="27" t="str">
        <f>IF(AG1127&lt;0,"Negative",IF(AG1127=0,"Same",IF(AG1127&gt;0.3,"30+%",IF(AG1127&gt;0.2,"20-30%",IF(AG1127&gt;0.1,"10-20%",IF(AG1127&lt;=0.1,"0-10%"))))))</f>
        <v>Negative</v>
      </c>
      <c r="AI1127" s="32"/>
      <c r="AJ1127" s="36" t="s">
        <v>3300</v>
      </c>
      <c r="AK1127" s="32"/>
    </row>
    <row r="1128" spans="1:37" s="1" customFormat="1" ht="19.7" customHeight="1" x14ac:dyDescent="0.25">
      <c r="A1128" s="9" t="s">
        <v>22</v>
      </c>
      <c r="B1128" s="9" t="s">
        <v>1141</v>
      </c>
      <c r="C1128" s="10">
        <v>44344</v>
      </c>
      <c r="D1128" s="9" t="s">
        <v>24</v>
      </c>
      <c r="E1128" s="9" t="s">
        <v>25</v>
      </c>
      <c r="F1128" s="9" t="s">
        <v>26</v>
      </c>
      <c r="G1128" s="9" t="s">
        <v>67</v>
      </c>
      <c r="H1128" s="9" t="s">
        <v>68</v>
      </c>
      <c r="I1128" s="9" t="s">
        <v>29</v>
      </c>
      <c r="J1128" s="9" t="s">
        <v>30</v>
      </c>
      <c r="K1128" s="9" t="s">
        <v>31</v>
      </c>
      <c r="L1128" s="9" t="s">
        <v>32</v>
      </c>
      <c r="M1128" s="9" t="s">
        <v>201</v>
      </c>
      <c r="N1128" s="9" t="s">
        <v>1142</v>
      </c>
      <c r="O1128" s="9" t="s">
        <v>203</v>
      </c>
      <c r="P1128" s="9" t="s">
        <v>204</v>
      </c>
      <c r="Q1128" s="9">
        <v>101751942</v>
      </c>
      <c r="R1128" s="9" t="s">
        <v>105</v>
      </c>
      <c r="S1128" s="9" t="s">
        <v>205</v>
      </c>
      <c r="T1128" s="11">
        <v>3</v>
      </c>
      <c r="U1128" s="15" t="s">
        <v>203</v>
      </c>
      <c r="V1128" s="41" t="s">
        <v>204</v>
      </c>
      <c r="W1128" s="17">
        <v>101751942</v>
      </c>
      <c r="X1128" s="16" t="s">
        <v>2573</v>
      </c>
      <c r="Y1128" s="17" t="s">
        <v>2574</v>
      </c>
      <c r="Z1128" s="17" t="s">
        <v>205</v>
      </c>
      <c r="AA1128" s="17" t="s">
        <v>37</v>
      </c>
      <c r="AB1128" s="29">
        <v>165.56</v>
      </c>
      <c r="AC1128" s="25">
        <v>158.74</v>
      </c>
      <c r="AD1128" s="25">
        <f>AC1128*T1128</f>
        <v>476.22</v>
      </c>
      <c r="AE1128" s="25">
        <f>AB1128*T1128</f>
        <v>496.68</v>
      </c>
      <c r="AF1128" s="25">
        <f>AD1128-AE1128</f>
        <v>-20.45999999999998</v>
      </c>
      <c r="AG1128" s="26">
        <f>AF1128/AD1128</f>
        <v>-4.296333627315102E-2</v>
      </c>
      <c r="AH1128" s="27" t="str">
        <f>IF(AG1128&lt;0,"Negative",IF(AG1128=0,"Same",IF(AG1128&gt;0.3,"30+%",IF(AG1128&gt;0.2,"20-30%",IF(AG1128&gt;0.1,"10-20%",IF(AG1128&lt;=0.1,"0-10%"))))))</f>
        <v>Negative</v>
      </c>
      <c r="AI1128" s="32"/>
      <c r="AJ1128" s="36" t="s">
        <v>3300</v>
      </c>
      <c r="AK1128" s="32"/>
    </row>
    <row r="1129" spans="1:37" s="1" customFormat="1" ht="19.7" customHeight="1" x14ac:dyDescent="0.25">
      <c r="A1129" s="9" t="s">
        <v>22</v>
      </c>
      <c r="B1129" s="9" t="s">
        <v>1983</v>
      </c>
      <c r="C1129" s="10">
        <v>44495</v>
      </c>
      <c r="D1129" s="9" t="s">
        <v>24</v>
      </c>
      <c r="E1129" s="9" t="s">
        <v>25</v>
      </c>
      <c r="F1129" s="9" t="s">
        <v>26</v>
      </c>
      <c r="G1129" s="9" t="s">
        <v>27</v>
      </c>
      <c r="H1129" s="9" t="s">
        <v>28</v>
      </c>
      <c r="I1129" s="9" t="s">
        <v>29</v>
      </c>
      <c r="J1129" s="9" t="s">
        <v>30</v>
      </c>
      <c r="K1129" s="9" t="s">
        <v>31</v>
      </c>
      <c r="L1129" s="9" t="s">
        <v>32</v>
      </c>
      <c r="M1129" s="9" t="s">
        <v>1984</v>
      </c>
      <c r="N1129" s="9" t="s">
        <v>1839</v>
      </c>
      <c r="O1129" s="9" t="s">
        <v>35</v>
      </c>
      <c r="P1129" s="9" t="s">
        <v>1985</v>
      </c>
      <c r="Q1129" s="9">
        <v>100560383</v>
      </c>
      <c r="R1129" s="9" t="s">
        <v>38</v>
      </c>
      <c r="S1129" s="9" t="s">
        <v>39</v>
      </c>
      <c r="T1129" s="11">
        <v>1</v>
      </c>
      <c r="U1129" s="15" t="s">
        <v>35</v>
      </c>
      <c r="V1129" s="16" t="s">
        <v>1985</v>
      </c>
      <c r="W1129" s="17">
        <v>100560383</v>
      </c>
      <c r="X1129" s="16" t="s">
        <v>2737</v>
      </c>
      <c r="Y1129" s="17" t="s">
        <v>3180</v>
      </c>
      <c r="Z1129" s="17" t="s">
        <v>39</v>
      </c>
      <c r="AA1129" s="17" t="s">
        <v>37</v>
      </c>
      <c r="AB1129" s="29">
        <v>256.87</v>
      </c>
      <c r="AC1129" s="25">
        <v>262.68</v>
      </c>
      <c r="AD1129" s="25">
        <f>AC1129*T1129</f>
        <v>262.68</v>
      </c>
      <c r="AE1129" s="25">
        <f>AB1129*T1129</f>
        <v>256.87</v>
      </c>
      <c r="AF1129" s="25">
        <f>AD1129-AE1129</f>
        <v>5.8100000000000023</v>
      </c>
      <c r="AG1129" s="26">
        <f>AF1129/AD1129</f>
        <v>2.2118166590528409E-2</v>
      </c>
      <c r="AH1129" s="27" t="str">
        <f>IF(AG1129&lt;0,"Negative",IF(AG1129=0,"Same",IF(AG1129&gt;0.3,"30+%",IF(AG1129&gt;0.2,"20-30%",IF(AG1129&gt;0.1,"10-20%",IF(AG1129&lt;=0.1,"0-10%"))))))</f>
        <v>0-10%</v>
      </c>
      <c r="AI1129" s="32"/>
      <c r="AJ1129" s="36" t="s">
        <v>3300</v>
      </c>
      <c r="AK1129" s="32"/>
    </row>
    <row r="1130" spans="1:37" s="1" customFormat="1" ht="19.7" customHeight="1" x14ac:dyDescent="0.25">
      <c r="A1130" s="9" t="s">
        <v>22</v>
      </c>
      <c r="B1130" s="9" t="s">
        <v>1689</v>
      </c>
      <c r="C1130" s="10">
        <v>44439</v>
      </c>
      <c r="D1130" s="9" t="s">
        <v>24</v>
      </c>
      <c r="E1130" s="9" t="s">
        <v>25</v>
      </c>
      <c r="F1130" s="9" t="s">
        <v>26</v>
      </c>
      <c r="G1130" s="9" t="s">
        <v>27</v>
      </c>
      <c r="H1130" s="9" t="s">
        <v>28</v>
      </c>
      <c r="I1130" s="9" t="s">
        <v>29</v>
      </c>
      <c r="J1130" s="9" t="s">
        <v>30</v>
      </c>
      <c r="K1130" s="9" t="s">
        <v>31</v>
      </c>
      <c r="L1130" s="9" t="s">
        <v>32</v>
      </c>
      <c r="M1130" s="9" t="s">
        <v>1690</v>
      </c>
      <c r="N1130" s="9" t="s">
        <v>1691</v>
      </c>
      <c r="O1130" s="9" t="s">
        <v>35</v>
      </c>
      <c r="P1130" s="9" t="s">
        <v>1692</v>
      </c>
      <c r="Q1130" s="9">
        <v>100560377</v>
      </c>
      <c r="R1130" s="9" t="s">
        <v>38</v>
      </c>
      <c r="S1130" s="9" t="s">
        <v>39</v>
      </c>
      <c r="T1130" s="11">
        <v>1</v>
      </c>
      <c r="U1130" s="15" t="s">
        <v>35</v>
      </c>
      <c r="V1130" s="16" t="s">
        <v>1692</v>
      </c>
      <c r="W1130" s="17">
        <v>100560377</v>
      </c>
      <c r="X1130" s="16" t="s">
        <v>2737</v>
      </c>
      <c r="Y1130" s="17" t="s">
        <v>3106</v>
      </c>
      <c r="Z1130" s="17" t="s">
        <v>39</v>
      </c>
      <c r="AA1130" s="17" t="s">
        <v>37</v>
      </c>
      <c r="AB1130" s="29">
        <v>267.89999999999998</v>
      </c>
      <c r="AC1130" s="25">
        <v>273.95999999999998</v>
      </c>
      <c r="AD1130" s="25">
        <f>AC1130*T1130</f>
        <v>273.95999999999998</v>
      </c>
      <c r="AE1130" s="25">
        <f>AB1130*T1130</f>
        <v>267.89999999999998</v>
      </c>
      <c r="AF1130" s="25">
        <f>AD1130-AE1130</f>
        <v>6.0600000000000023</v>
      </c>
      <c r="AG1130" s="26">
        <f>AF1130/AD1130</f>
        <v>2.2120017520805967E-2</v>
      </c>
      <c r="AH1130" s="27" t="str">
        <f>IF(AG1130&lt;0,"Negative",IF(AG1130=0,"Same",IF(AG1130&gt;0.3,"30+%",IF(AG1130&gt;0.2,"20-30%",IF(AG1130&gt;0.1,"10-20%",IF(AG1130&lt;=0.1,"0-10%"))))))</f>
        <v>0-10%</v>
      </c>
      <c r="AI1130" s="32"/>
      <c r="AJ1130" s="36" t="s">
        <v>3300</v>
      </c>
      <c r="AK1130" s="32"/>
    </row>
    <row r="1131" spans="1:37" s="1" customFormat="1" ht="19.7" customHeight="1" x14ac:dyDescent="0.25">
      <c r="A1131" s="9" t="s">
        <v>22</v>
      </c>
      <c r="B1131" s="9" t="s">
        <v>1894</v>
      </c>
      <c r="C1131" s="10">
        <v>44477</v>
      </c>
      <c r="D1131" s="9" t="s">
        <v>24</v>
      </c>
      <c r="E1131" s="9" t="s">
        <v>25</v>
      </c>
      <c r="F1131" s="9" t="s">
        <v>26</v>
      </c>
      <c r="G1131" s="9" t="s">
        <v>27</v>
      </c>
      <c r="H1131" s="9" t="s">
        <v>28</v>
      </c>
      <c r="I1131" s="9" t="s">
        <v>29</v>
      </c>
      <c r="J1131" s="9" t="s">
        <v>30</v>
      </c>
      <c r="K1131" s="9" t="s">
        <v>31</v>
      </c>
      <c r="L1131" s="9" t="s">
        <v>32</v>
      </c>
      <c r="M1131" s="9" t="s">
        <v>1690</v>
      </c>
      <c r="N1131" s="9" t="s">
        <v>1895</v>
      </c>
      <c r="O1131" s="9" t="s">
        <v>35</v>
      </c>
      <c r="P1131" s="9" t="s">
        <v>1692</v>
      </c>
      <c r="Q1131" s="9">
        <v>100560377</v>
      </c>
      <c r="R1131" s="9" t="s">
        <v>38</v>
      </c>
      <c r="S1131" s="9" t="s">
        <v>39</v>
      </c>
      <c r="T1131" s="11">
        <v>2</v>
      </c>
      <c r="U1131" s="15" t="s">
        <v>35</v>
      </c>
      <c r="V1131" s="16" t="s">
        <v>1692</v>
      </c>
      <c r="W1131" s="17">
        <v>100560377</v>
      </c>
      <c r="X1131" s="16" t="s">
        <v>2737</v>
      </c>
      <c r="Y1131" s="17" t="s">
        <v>3106</v>
      </c>
      <c r="Z1131" s="17" t="s">
        <v>39</v>
      </c>
      <c r="AA1131" s="17" t="s">
        <v>37</v>
      </c>
      <c r="AB1131" s="29">
        <v>267.89999999999998</v>
      </c>
      <c r="AC1131" s="25">
        <v>273.95999999999998</v>
      </c>
      <c r="AD1131" s="25">
        <f>AC1131*T1131</f>
        <v>547.91999999999996</v>
      </c>
      <c r="AE1131" s="25">
        <f>AB1131*T1131</f>
        <v>535.79999999999995</v>
      </c>
      <c r="AF1131" s="25">
        <f>AD1131-AE1131</f>
        <v>12.120000000000005</v>
      </c>
      <c r="AG1131" s="26">
        <f>AF1131/AD1131</f>
        <v>2.2120017520805967E-2</v>
      </c>
      <c r="AH1131" s="27" t="str">
        <f>IF(AG1131&lt;0,"Negative",IF(AG1131=0,"Same",IF(AG1131&gt;0.3,"30+%",IF(AG1131&gt;0.2,"20-30%",IF(AG1131&gt;0.1,"10-20%",IF(AG1131&lt;=0.1,"0-10%"))))))</f>
        <v>0-10%</v>
      </c>
      <c r="AI1131" s="32"/>
      <c r="AJ1131" s="36" t="s">
        <v>3300</v>
      </c>
      <c r="AK1131" s="32"/>
    </row>
    <row r="1132" spans="1:37" s="1" customFormat="1" ht="19.7" customHeight="1" x14ac:dyDescent="0.25">
      <c r="A1132" s="9" t="s">
        <v>22</v>
      </c>
      <c r="B1132" s="9" t="s">
        <v>391</v>
      </c>
      <c r="C1132" s="10">
        <v>44258</v>
      </c>
      <c r="D1132" s="9" t="s">
        <v>24</v>
      </c>
      <c r="E1132" s="9" t="s">
        <v>25</v>
      </c>
      <c r="F1132" s="9" t="s">
        <v>26</v>
      </c>
      <c r="G1132" s="9" t="s">
        <v>27</v>
      </c>
      <c r="H1132" s="9" t="s">
        <v>28</v>
      </c>
      <c r="I1132" s="9" t="s">
        <v>29</v>
      </c>
      <c r="J1132" s="9" t="s">
        <v>30</v>
      </c>
      <c r="K1132" s="9" t="s">
        <v>31</v>
      </c>
      <c r="L1132" s="9" t="s">
        <v>32</v>
      </c>
      <c r="M1132" s="9" t="s">
        <v>394</v>
      </c>
      <c r="N1132" s="9" t="s">
        <v>384</v>
      </c>
      <c r="O1132" s="9" t="s">
        <v>79</v>
      </c>
      <c r="P1132" s="9" t="s">
        <v>395</v>
      </c>
      <c r="Q1132" s="9">
        <v>100762533</v>
      </c>
      <c r="R1132" s="9" t="s">
        <v>61</v>
      </c>
      <c r="S1132" s="9" t="s">
        <v>39</v>
      </c>
      <c r="T1132" s="11">
        <v>1</v>
      </c>
      <c r="U1132" s="15" t="s">
        <v>79</v>
      </c>
      <c r="V1132" s="16" t="s">
        <v>395</v>
      </c>
      <c r="W1132" s="17">
        <v>100762533</v>
      </c>
      <c r="X1132" s="16" t="s">
        <v>2608</v>
      </c>
      <c r="Y1132" s="17" t="s">
        <v>2656</v>
      </c>
      <c r="Z1132" s="17" t="s">
        <v>39</v>
      </c>
      <c r="AA1132" s="17" t="s">
        <v>37</v>
      </c>
      <c r="AB1132" s="43">
        <v>263.98</v>
      </c>
      <c r="AC1132" s="25">
        <v>278.48</v>
      </c>
      <c r="AD1132" s="25">
        <f>AC1132*T1132</f>
        <v>278.48</v>
      </c>
      <c r="AE1132" s="25">
        <f>AB1132*T1132</f>
        <v>263.98</v>
      </c>
      <c r="AF1132" s="25">
        <f>AD1132-AE1132</f>
        <v>14.5</v>
      </c>
      <c r="AG1132" s="26">
        <f>AF1132/AD1132</f>
        <v>5.2068371157713296E-2</v>
      </c>
      <c r="AH1132" s="27" t="str">
        <f>IF(AG1132&lt;0,"Negative",IF(AG1132=0,"Same",IF(AG1132&gt;0.3,"30+%",IF(AG1132&gt;0.2,"20-30%",IF(AG1132&gt;0.1,"10-20%",IF(AG1132&lt;=0.1,"0-10%"))))))</f>
        <v>0-10%</v>
      </c>
      <c r="AI1132" s="32"/>
      <c r="AJ1132" s="36" t="s">
        <v>3300</v>
      </c>
      <c r="AK1132" s="32"/>
    </row>
    <row r="1133" spans="1:37" s="1" customFormat="1" ht="19.7" customHeight="1" x14ac:dyDescent="0.25">
      <c r="A1133" s="5" t="s">
        <v>22</v>
      </c>
      <c r="B1133" s="5" t="s">
        <v>1778</v>
      </c>
      <c r="C1133" s="6">
        <v>44461</v>
      </c>
      <c r="D1133" s="5" t="s">
        <v>24</v>
      </c>
      <c r="E1133" s="5" t="s">
        <v>25</v>
      </c>
      <c r="F1133" s="5" t="s">
        <v>26</v>
      </c>
      <c r="G1133" s="5" t="s">
        <v>27</v>
      </c>
      <c r="H1133" s="5" t="s">
        <v>28</v>
      </c>
      <c r="I1133" s="5" t="s">
        <v>29</v>
      </c>
      <c r="J1133" s="5" t="s">
        <v>30</v>
      </c>
      <c r="K1133" s="5" t="s">
        <v>31</v>
      </c>
      <c r="L1133" s="5" t="s">
        <v>32</v>
      </c>
      <c r="M1133" s="5" t="s">
        <v>1779</v>
      </c>
      <c r="N1133" s="5" t="s">
        <v>1780</v>
      </c>
      <c r="O1133" s="5" t="s">
        <v>402</v>
      </c>
      <c r="P1133" s="5" t="s">
        <v>1781</v>
      </c>
      <c r="Q1133" s="5">
        <v>100738968</v>
      </c>
      <c r="R1133" s="5" t="s">
        <v>61</v>
      </c>
      <c r="S1133" s="5" t="s">
        <v>39</v>
      </c>
      <c r="T1133" s="7">
        <v>1</v>
      </c>
      <c r="U1133" s="15" t="s">
        <v>402</v>
      </c>
      <c r="V1133" s="16" t="s">
        <v>1781</v>
      </c>
      <c r="W1133" s="17">
        <v>100738968</v>
      </c>
      <c r="X1133" s="16" t="s">
        <v>3127</v>
      </c>
      <c r="Y1133" s="17" t="s">
        <v>3128</v>
      </c>
      <c r="Z1133" s="17" t="s">
        <v>39</v>
      </c>
      <c r="AA1133" s="17" t="s">
        <v>37</v>
      </c>
      <c r="AB1133" s="43">
        <v>354.1</v>
      </c>
      <c r="AC1133" s="25">
        <v>377.77</v>
      </c>
      <c r="AD1133" s="25">
        <f>AC1133*T1133</f>
        <v>377.77</v>
      </c>
      <c r="AE1133" s="25">
        <f>AB1133*T1133</f>
        <v>354.1</v>
      </c>
      <c r="AF1133" s="25">
        <f>AD1133-AE1133</f>
        <v>23.669999999999959</v>
      </c>
      <c r="AG1133" s="26">
        <f>AF1133/AD1133</f>
        <v>6.2657172353548354E-2</v>
      </c>
      <c r="AH1133" s="27" t="str">
        <f>IF(AG1133&lt;0,"Negative",IF(AG1133=0,"Same",IF(AG1133&gt;0.3,"30+%",IF(AG1133&gt;0.2,"20-30%",IF(AG1133&gt;0.1,"10-20%",IF(AG1133&lt;=0.1,"0-10%"))))))</f>
        <v>0-10%</v>
      </c>
      <c r="AI1133" s="32"/>
      <c r="AJ1133" s="36" t="s">
        <v>3300</v>
      </c>
      <c r="AK1133" s="32"/>
    </row>
    <row r="1134" spans="1:37" s="1" customFormat="1" ht="19.7" customHeight="1" x14ac:dyDescent="0.25">
      <c r="A1134" s="9" t="s">
        <v>22</v>
      </c>
      <c r="B1134" s="9" t="s">
        <v>2393</v>
      </c>
      <c r="C1134" s="10">
        <v>44579</v>
      </c>
      <c r="D1134" s="9" t="s">
        <v>24</v>
      </c>
      <c r="E1134" s="9" t="s">
        <v>25</v>
      </c>
      <c r="F1134" s="9" t="s">
        <v>26</v>
      </c>
      <c r="G1134" s="9" t="s">
        <v>27</v>
      </c>
      <c r="H1134" s="9" t="s">
        <v>28</v>
      </c>
      <c r="I1134" s="9" t="s">
        <v>29</v>
      </c>
      <c r="J1134" s="9" t="s">
        <v>30</v>
      </c>
      <c r="K1134" s="9" t="s">
        <v>31</v>
      </c>
      <c r="L1134" s="9" t="s">
        <v>32</v>
      </c>
      <c r="M1134" s="9" t="s">
        <v>743</v>
      </c>
      <c r="N1134" s="9" t="s">
        <v>2375</v>
      </c>
      <c r="O1134" s="9" t="s">
        <v>455</v>
      </c>
      <c r="P1134" s="9" t="s">
        <v>744</v>
      </c>
      <c r="Q1134" s="9">
        <v>101386515</v>
      </c>
      <c r="R1134" s="9" t="s">
        <v>51</v>
      </c>
      <c r="S1134" s="9" t="s">
        <v>39</v>
      </c>
      <c r="T1134" s="11">
        <v>1</v>
      </c>
      <c r="U1134" s="15" t="s">
        <v>455</v>
      </c>
      <c r="V1134" s="16" t="s">
        <v>744</v>
      </c>
      <c r="W1134" s="17">
        <v>101386515</v>
      </c>
      <c r="X1134" s="16" t="s">
        <v>2620</v>
      </c>
      <c r="Y1134" s="17" t="s">
        <v>2801</v>
      </c>
      <c r="Z1134" s="17" t="s">
        <v>39</v>
      </c>
      <c r="AA1134" s="17" t="s">
        <v>37</v>
      </c>
      <c r="AB1134" s="29">
        <v>424.03</v>
      </c>
      <c r="AC1134" s="25">
        <v>491.89</v>
      </c>
      <c r="AD1134" s="25">
        <f>AC1134*T1134</f>
        <v>491.89</v>
      </c>
      <c r="AE1134" s="25">
        <f>AB1134*T1134</f>
        <v>424.03</v>
      </c>
      <c r="AF1134" s="25">
        <f>AD1134-AE1134</f>
        <v>67.860000000000014</v>
      </c>
      <c r="AG1134" s="26">
        <f>AF1134/AD1134</f>
        <v>0.13795767346357929</v>
      </c>
      <c r="AH1134" s="27" t="str">
        <f>IF(AG1134&lt;0,"Negative",IF(AG1134=0,"Same",IF(AG1134&gt;0.3,"30+%",IF(AG1134&gt;0.2,"20-30%",IF(AG1134&gt;0.1,"10-20%",IF(AG1134&lt;=0.1,"0-10%"))))))</f>
        <v>10-20%</v>
      </c>
      <c r="AI1134" s="32"/>
      <c r="AJ1134" s="36" t="s">
        <v>3299</v>
      </c>
      <c r="AK1134" s="32"/>
    </row>
    <row r="1135" spans="1:37" s="1" customFormat="1" ht="19.7" customHeight="1" x14ac:dyDescent="0.25">
      <c r="A1135" s="5" t="s">
        <v>22</v>
      </c>
      <c r="B1135" s="5" t="s">
        <v>2334</v>
      </c>
      <c r="C1135" s="6">
        <v>44568</v>
      </c>
      <c r="D1135" s="5" t="s">
        <v>24</v>
      </c>
      <c r="E1135" s="5" t="s">
        <v>25</v>
      </c>
      <c r="F1135" s="5" t="s">
        <v>26</v>
      </c>
      <c r="G1135" s="5" t="s">
        <v>27</v>
      </c>
      <c r="H1135" s="5" t="s">
        <v>28</v>
      </c>
      <c r="I1135" s="5" t="s">
        <v>29</v>
      </c>
      <c r="J1135" s="5" t="s">
        <v>30</v>
      </c>
      <c r="K1135" s="5" t="s">
        <v>31</v>
      </c>
      <c r="L1135" s="5" t="s">
        <v>32</v>
      </c>
      <c r="M1135" s="5" t="s">
        <v>743</v>
      </c>
      <c r="N1135" s="5" t="s">
        <v>2298</v>
      </c>
      <c r="O1135" s="5" t="s">
        <v>455</v>
      </c>
      <c r="P1135" s="5" t="s">
        <v>744</v>
      </c>
      <c r="Q1135" s="5">
        <v>101386515</v>
      </c>
      <c r="R1135" s="5" t="s">
        <v>51</v>
      </c>
      <c r="S1135" s="5" t="s">
        <v>39</v>
      </c>
      <c r="T1135" s="7">
        <v>1</v>
      </c>
      <c r="U1135" s="15" t="s">
        <v>455</v>
      </c>
      <c r="V1135" s="16" t="s">
        <v>744</v>
      </c>
      <c r="W1135" s="17">
        <v>101386515</v>
      </c>
      <c r="X1135" s="16" t="s">
        <v>2620</v>
      </c>
      <c r="Y1135" s="17" t="s">
        <v>2801</v>
      </c>
      <c r="Z1135" s="17" t="s">
        <v>39</v>
      </c>
      <c r="AA1135" s="17" t="s">
        <v>37</v>
      </c>
      <c r="AB1135" s="29">
        <v>424.03</v>
      </c>
      <c r="AC1135" s="25">
        <v>491.89</v>
      </c>
      <c r="AD1135" s="25">
        <f>AC1135*T1135</f>
        <v>491.89</v>
      </c>
      <c r="AE1135" s="25">
        <f>AB1135*T1135</f>
        <v>424.03</v>
      </c>
      <c r="AF1135" s="25">
        <f>AD1135-AE1135</f>
        <v>67.860000000000014</v>
      </c>
      <c r="AG1135" s="26">
        <f>AF1135/AD1135</f>
        <v>0.13795767346357929</v>
      </c>
      <c r="AH1135" s="27" t="str">
        <f>IF(AG1135&lt;0,"Negative",IF(AG1135=0,"Same",IF(AG1135&gt;0.3,"30+%",IF(AG1135&gt;0.2,"20-30%",IF(AG1135&gt;0.1,"10-20%",IF(AG1135&lt;=0.1,"0-10%"))))))</f>
        <v>10-20%</v>
      </c>
      <c r="AI1135" s="32"/>
      <c r="AJ1135" s="36" t="s">
        <v>3299</v>
      </c>
      <c r="AK1135" s="32"/>
    </row>
    <row r="1136" spans="1:37" s="1" customFormat="1" ht="19.7" customHeight="1" x14ac:dyDescent="0.25">
      <c r="A1136" s="9" t="s">
        <v>22</v>
      </c>
      <c r="B1136" s="9" t="s">
        <v>1942</v>
      </c>
      <c r="C1136" s="10">
        <v>44488</v>
      </c>
      <c r="D1136" s="9" t="s">
        <v>24</v>
      </c>
      <c r="E1136" s="9" t="s">
        <v>25</v>
      </c>
      <c r="F1136" s="9" t="s">
        <v>26</v>
      </c>
      <c r="G1136" s="9" t="s">
        <v>27</v>
      </c>
      <c r="H1136" s="9" t="s">
        <v>28</v>
      </c>
      <c r="I1136" s="9" t="s">
        <v>29</v>
      </c>
      <c r="J1136" s="9" t="s">
        <v>30</v>
      </c>
      <c r="K1136" s="9" t="s">
        <v>31</v>
      </c>
      <c r="L1136" s="9" t="s">
        <v>32</v>
      </c>
      <c r="M1136" s="9" t="s">
        <v>1776</v>
      </c>
      <c r="N1136" s="9" t="s">
        <v>1916</v>
      </c>
      <c r="O1136" s="9" t="s">
        <v>79</v>
      </c>
      <c r="P1136" s="9" t="s">
        <v>1777</v>
      </c>
      <c r="Q1136" s="9">
        <v>100762634</v>
      </c>
      <c r="R1136" s="9" t="s">
        <v>61</v>
      </c>
      <c r="S1136" s="9" t="s">
        <v>39</v>
      </c>
      <c r="T1136" s="11">
        <v>2</v>
      </c>
      <c r="U1136" s="15" t="s">
        <v>79</v>
      </c>
      <c r="V1136" s="16" t="s">
        <v>1777</v>
      </c>
      <c r="W1136" s="17">
        <v>100762634</v>
      </c>
      <c r="X1136" s="16" t="s">
        <v>2608</v>
      </c>
      <c r="Y1136" s="17" t="s">
        <v>3126</v>
      </c>
      <c r="Z1136" s="17" t="s">
        <v>39</v>
      </c>
      <c r="AA1136" s="17" t="s">
        <v>37</v>
      </c>
      <c r="AB1136" s="43">
        <v>270.93</v>
      </c>
      <c r="AC1136" s="25">
        <v>285.8</v>
      </c>
      <c r="AD1136" s="25">
        <f>AC1136*T1136</f>
        <v>571.6</v>
      </c>
      <c r="AE1136" s="25">
        <f>AB1136*T1136</f>
        <v>541.86</v>
      </c>
      <c r="AF1136" s="25">
        <f>AD1136-AE1136</f>
        <v>29.740000000000009</v>
      </c>
      <c r="AG1136" s="26">
        <f>AF1136/AD1136</f>
        <v>5.202939118264522E-2</v>
      </c>
      <c r="AH1136" s="27" t="str">
        <f>IF(AG1136&lt;0,"Negative",IF(AG1136=0,"Same",IF(AG1136&gt;0.3,"30+%",IF(AG1136&gt;0.2,"20-30%",IF(AG1136&gt;0.1,"10-20%",IF(AG1136&lt;=0.1,"0-10%"))))))</f>
        <v>0-10%</v>
      </c>
      <c r="AI1136" s="32"/>
      <c r="AJ1136" s="36" t="s">
        <v>3300</v>
      </c>
      <c r="AK1136" s="32"/>
    </row>
    <row r="1137" spans="1:37" s="1" customFormat="1" ht="19.7" customHeight="1" x14ac:dyDescent="0.25">
      <c r="A1137" s="9" t="s">
        <v>22</v>
      </c>
      <c r="B1137" s="9" t="s">
        <v>1773</v>
      </c>
      <c r="C1137" s="10">
        <v>44461</v>
      </c>
      <c r="D1137" s="9" t="s">
        <v>24</v>
      </c>
      <c r="E1137" s="9" t="s">
        <v>25</v>
      </c>
      <c r="F1137" s="9" t="s">
        <v>26</v>
      </c>
      <c r="G1137" s="9" t="s">
        <v>27</v>
      </c>
      <c r="H1137" s="9" t="s">
        <v>28</v>
      </c>
      <c r="I1137" s="9" t="s">
        <v>29</v>
      </c>
      <c r="J1137" s="9" t="s">
        <v>30</v>
      </c>
      <c r="K1137" s="9" t="s">
        <v>31</v>
      </c>
      <c r="L1137" s="9" t="s">
        <v>32</v>
      </c>
      <c r="M1137" s="9" t="s">
        <v>1776</v>
      </c>
      <c r="N1137" s="9" t="s">
        <v>1763</v>
      </c>
      <c r="O1137" s="9" t="s">
        <v>79</v>
      </c>
      <c r="P1137" s="9" t="s">
        <v>1777</v>
      </c>
      <c r="Q1137" s="9">
        <v>100762634</v>
      </c>
      <c r="R1137" s="9" t="s">
        <v>61</v>
      </c>
      <c r="S1137" s="9" t="s">
        <v>39</v>
      </c>
      <c r="T1137" s="11">
        <v>2</v>
      </c>
      <c r="U1137" s="15" t="s">
        <v>79</v>
      </c>
      <c r="V1137" s="16" t="s">
        <v>1777</v>
      </c>
      <c r="W1137" s="17">
        <v>100762634</v>
      </c>
      <c r="X1137" s="16" t="s">
        <v>2608</v>
      </c>
      <c r="Y1137" s="17" t="s">
        <v>3126</v>
      </c>
      <c r="Z1137" s="17" t="s">
        <v>39</v>
      </c>
      <c r="AA1137" s="17" t="s">
        <v>37</v>
      </c>
      <c r="AB1137" s="43">
        <v>270.93</v>
      </c>
      <c r="AC1137" s="25">
        <v>285.8</v>
      </c>
      <c r="AD1137" s="25">
        <f>AC1137*T1137</f>
        <v>571.6</v>
      </c>
      <c r="AE1137" s="25">
        <f>AB1137*T1137</f>
        <v>541.86</v>
      </c>
      <c r="AF1137" s="25">
        <f>AD1137-AE1137</f>
        <v>29.740000000000009</v>
      </c>
      <c r="AG1137" s="26">
        <f>AF1137/AD1137</f>
        <v>5.202939118264522E-2</v>
      </c>
      <c r="AH1137" s="27" t="str">
        <f>IF(AG1137&lt;0,"Negative",IF(AG1137=0,"Same",IF(AG1137&gt;0.3,"30+%",IF(AG1137&gt;0.2,"20-30%",IF(AG1137&gt;0.1,"10-20%",IF(AG1137&lt;=0.1,"0-10%"))))))</f>
        <v>0-10%</v>
      </c>
      <c r="AI1137" s="32"/>
      <c r="AJ1137" s="36" t="s">
        <v>3300</v>
      </c>
      <c r="AK1137" s="32"/>
    </row>
    <row r="1138" spans="1:37" s="1" customFormat="1" ht="19.7" customHeight="1" x14ac:dyDescent="0.25">
      <c r="A1138" s="5" t="s">
        <v>22</v>
      </c>
      <c r="B1138" s="5" t="s">
        <v>1359</v>
      </c>
      <c r="C1138" s="6">
        <v>44379</v>
      </c>
      <c r="D1138" s="5" t="s">
        <v>24</v>
      </c>
      <c r="E1138" s="5" t="s">
        <v>25</v>
      </c>
      <c r="F1138" s="5" t="s">
        <v>26</v>
      </c>
      <c r="G1138" s="5" t="s">
        <v>27</v>
      </c>
      <c r="H1138" s="5" t="s">
        <v>28</v>
      </c>
      <c r="I1138" s="5" t="s">
        <v>29</v>
      </c>
      <c r="J1138" s="5" t="s">
        <v>30</v>
      </c>
      <c r="K1138" s="5" t="s">
        <v>31</v>
      </c>
      <c r="L1138" s="5" t="s">
        <v>32</v>
      </c>
      <c r="M1138" s="5" t="s">
        <v>1360</v>
      </c>
      <c r="N1138" s="5" t="s">
        <v>1319</v>
      </c>
      <c r="O1138" s="5" t="s">
        <v>1361</v>
      </c>
      <c r="P1138" s="5" t="s">
        <v>1362</v>
      </c>
      <c r="Q1138" s="5">
        <v>110545510</v>
      </c>
      <c r="R1138" s="5" t="s">
        <v>56</v>
      </c>
      <c r="S1138" s="5" t="s">
        <v>39</v>
      </c>
      <c r="T1138" s="7">
        <v>1</v>
      </c>
      <c r="U1138" s="15" t="s">
        <v>1361</v>
      </c>
      <c r="V1138" s="16" t="s">
        <v>1362</v>
      </c>
      <c r="W1138" s="17">
        <v>110545510</v>
      </c>
      <c r="X1138" s="16" t="s">
        <v>3013</v>
      </c>
      <c r="Y1138" s="17" t="s">
        <v>3014</v>
      </c>
      <c r="Z1138" s="17" t="s">
        <v>39</v>
      </c>
      <c r="AA1138" s="17" t="s">
        <v>37</v>
      </c>
      <c r="AB1138" s="29">
        <v>502.24</v>
      </c>
      <c r="AC1138" s="25">
        <v>512.91999999999996</v>
      </c>
      <c r="AD1138" s="25">
        <f>AC1138*T1138</f>
        <v>512.91999999999996</v>
      </c>
      <c r="AE1138" s="25">
        <f>AB1138*T1138</f>
        <v>502.24</v>
      </c>
      <c r="AF1138" s="25">
        <f>AD1138-AE1138</f>
        <v>10.67999999999995</v>
      </c>
      <c r="AG1138" s="26">
        <f>AF1138/AD1138</f>
        <v>2.082196053965521E-2</v>
      </c>
      <c r="AH1138" s="27" t="str">
        <f>IF(AG1138&lt;0,"Negative",IF(AG1138=0,"Same",IF(AG1138&gt;0.3,"30+%",IF(AG1138&gt;0.2,"20-30%",IF(AG1138&gt;0.1,"10-20%",IF(AG1138&lt;=0.1,"0-10%"))))))</f>
        <v>0-10%</v>
      </c>
      <c r="AI1138" s="32"/>
      <c r="AJ1138" s="36" t="s">
        <v>3300</v>
      </c>
      <c r="AK1138" s="32"/>
    </row>
    <row r="1139" spans="1:37" s="1" customFormat="1" ht="19.7" customHeight="1" x14ac:dyDescent="0.25">
      <c r="A1139" s="5" t="s">
        <v>22</v>
      </c>
      <c r="B1139" s="5" t="s">
        <v>2439</v>
      </c>
      <c r="C1139" s="6">
        <v>44587</v>
      </c>
      <c r="D1139" s="5" t="s">
        <v>24</v>
      </c>
      <c r="E1139" s="5" t="s">
        <v>25</v>
      </c>
      <c r="F1139" s="5" t="s">
        <v>26</v>
      </c>
      <c r="G1139" s="5" t="s">
        <v>27</v>
      </c>
      <c r="H1139" s="5" t="s">
        <v>28</v>
      </c>
      <c r="I1139" s="5" t="s">
        <v>29</v>
      </c>
      <c r="J1139" s="5" t="s">
        <v>30</v>
      </c>
      <c r="K1139" s="5" t="s">
        <v>31</v>
      </c>
      <c r="L1139" s="5" t="s">
        <v>32</v>
      </c>
      <c r="M1139" s="5" t="s">
        <v>1333</v>
      </c>
      <c r="N1139" s="5" t="s">
        <v>2440</v>
      </c>
      <c r="O1139" s="5" t="s">
        <v>1334</v>
      </c>
      <c r="P1139" s="5" t="s">
        <v>1335</v>
      </c>
      <c r="Q1139" s="5">
        <v>105353398</v>
      </c>
      <c r="R1139" s="5" t="s">
        <v>56</v>
      </c>
      <c r="S1139" s="5" t="s">
        <v>39</v>
      </c>
      <c r="T1139" s="7">
        <v>1</v>
      </c>
      <c r="U1139" s="15" t="s">
        <v>1334</v>
      </c>
      <c r="V1139" s="16" t="s">
        <v>1335</v>
      </c>
      <c r="W1139" s="17">
        <v>105353398</v>
      </c>
      <c r="X1139" s="16" t="s">
        <v>2568</v>
      </c>
      <c r="Y1139" s="17" t="s">
        <v>3004</v>
      </c>
      <c r="Z1139" s="17" t="s">
        <v>39</v>
      </c>
      <c r="AA1139" s="17" t="s">
        <v>2501</v>
      </c>
      <c r="AB1139" s="29">
        <v>1737.39</v>
      </c>
      <c r="AC1139" s="25">
        <v>1774.36</v>
      </c>
      <c r="AD1139" s="25">
        <f>AC1139*T1139</f>
        <v>1774.36</v>
      </c>
      <c r="AE1139" s="25">
        <f>AB1139*T1139</f>
        <v>1737.39</v>
      </c>
      <c r="AF1139" s="25">
        <f>AD1139-AE1139</f>
        <v>36.9699999999998</v>
      </c>
      <c r="AG1139" s="26">
        <f>AF1139/AD1139</f>
        <v>2.0835681597871795E-2</v>
      </c>
      <c r="AH1139" s="27" t="str">
        <f>IF(AG1139&lt;0,"Negative",IF(AG1139=0,"Same",IF(AG1139&gt;0.3,"30+%",IF(AG1139&gt;0.2,"20-30%",IF(AG1139&gt;0.1,"10-20%",IF(AG1139&lt;=0.1,"0-10%"))))))</f>
        <v>0-10%</v>
      </c>
      <c r="AI1139" s="32"/>
      <c r="AJ1139" s="36" t="s">
        <v>3300</v>
      </c>
      <c r="AK1139" s="32"/>
    </row>
    <row r="1140" spans="1:37" s="1" customFormat="1" ht="19.7" customHeight="1" x14ac:dyDescent="0.25">
      <c r="A1140" s="9" t="s">
        <v>22</v>
      </c>
      <c r="B1140" s="9" t="s">
        <v>638</v>
      </c>
      <c r="C1140" s="10">
        <v>44281</v>
      </c>
      <c r="D1140" s="9" t="s">
        <v>24</v>
      </c>
      <c r="E1140" s="9" t="s">
        <v>25</v>
      </c>
      <c r="F1140" s="9" t="s">
        <v>26</v>
      </c>
      <c r="G1140" s="9" t="s">
        <v>27</v>
      </c>
      <c r="H1140" s="9" t="s">
        <v>28</v>
      </c>
      <c r="I1140" s="9" t="s">
        <v>29</v>
      </c>
      <c r="J1140" s="9" t="s">
        <v>30</v>
      </c>
      <c r="K1140" s="9" t="s">
        <v>31</v>
      </c>
      <c r="L1140" s="9" t="s">
        <v>32</v>
      </c>
      <c r="M1140" s="9" t="s">
        <v>639</v>
      </c>
      <c r="N1140" s="9" t="s">
        <v>579</v>
      </c>
      <c r="O1140" s="9" t="s">
        <v>154</v>
      </c>
      <c r="P1140" s="9" t="s">
        <v>640</v>
      </c>
      <c r="Q1140" s="9">
        <v>101185502</v>
      </c>
      <c r="R1140" s="9" t="s">
        <v>61</v>
      </c>
      <c r="S1140" s="9" t="s">
        <v>39</v>
      </c>
      <c r="T1140" s="11">
        <v>2</v>
      </c>
      <c r="U1140" s="15" t="s">
        <v>154</v>
      </c>
      <c r="V1140" s="16" t="s">
        <v>640</v>
      </c>
      <c r="W1140" s="17">
        <v>101185502</v>
      </c>
      <c r="X1140" s="16" t="s">
        <v>2761</v>
      </c>
      <c r="Y1140" s="17" t="s">
        <v>2762</v>
      </c>
      <c r="Z1140" s="17" t="s">
        <v>39</v>
      </c>
      <c r="AA1140" s="17" t="s">
        <v>37</v>
      </c>
      <c r="AB1140" s="43">
        <v>328.15</v>
      </c>
      <c r="AC1140" s="25">
        <v>350.08</v>
      </c>
      <c r="AD1140" s="25">
        <f>AC1140*T1140</f>
        <v>700.16</v>
      </c>
      <c r="AE1140" s="25">
        <f>AB1140*T1140</f>
        <v>656.3</v>
      </c>
      <c r="AF1140" s="25">
        <f>AD1140-AE1140</f>
        <v>43.860000000000014</v>
      </c>
      <c r="AG1140" s="26">
        <f>AF1140/AD1140</f>
        <v>6.264282449725779E-2</v>
      </c>
      <c r="AH1140" s="27" t="str">
        <f>IF(AG1140&lt;0,"Negative",IF(AG1140=0,"Same",IF(AG1140&gt;0.3,"30+%",IF(AG1140&gt;0.2,"20-30%",IF(AG1140&gt;0.1,"10-20%",IF(AG1140&lt;=0.1,"0-10%"))))))</f>
        <v>0-10%</v>
      </c>
      <c r="AI1140" s="32"/>
      <c r="AJ1140" s="36" t="s">
        <v>3300</v>
      </c>
      <c r="AK1140" s="32"/>
    </row>
    <row r="1141" spans="1:37" s="1" customFormat="1" ht="19.7" customHeight="1" x14ac:dyDescent="0.25">
      <c r="A1141" s="9" t="s">
        <v>22</v>
      </c>
      <c r="B1141" s="9" t="s">
        <v>2088</v>
      </c>
      <c r="C1141" s="10">
        <v>44517</v>
      </c>
      <c r="D1141" s="9" t="s">
        <v>24</v>
      </c>
      <c r="E1141" s="9" t="s">
        <v>25</v>
      </c>
      <c r="F1141" s="9" t="s">
        <v>26</v>
      </c>
      <c r="G1141" s="9" t="s">
        <v>27</v>
      </c>
      <c r="H1141" s="9" t="s">
        <v>28</v>
      </c>
      <c r="I1141" s="9" t="s">
        <v>29</v>
      </c>
      <c r="J1141" s="9" t="s">
        <v>30</v>
      </c>
      <c r="K1141" s="9" t="s">
        <v>31</v>
      </c>
      <c r="L1141" s="9" t="s">
        <v>32</v>
      </c>
      <c r="M1141" s="9" t="s">
        <v>505</v>
      </c>
      <c r="N1141" s="9" t="s">
        <v>2070</v>
      </c>
      <c r="O1141" s="9" t="s">
        <v>79</v>
      </c>
      <c r="P1141" s="9" t="s">
        <v>506</v>
      </c>
      <c r="Q1141" s="9">
        <v>100756966</v>
      </c>
      <c r="R1141" s="9" t="s">
        <v>61</v>
      </c>
      <c r="S1141" s="9" t="s">
        <v>39</v>
      </c>
      <c r="T1141" s="11">
        <v>4</v>
      </c>
      <c r="U1141" s="15" t="s">
        <v>79</v>
      </c>
      <c r="V1141" s="16" t="s">
        <v>506</v>
      </c>
      <c r="W1141" s="17">
        <v>100756966</v>
      </c>
      <c r="X1141" s="16" t="s">
        <v>2705</v>
      </c>
      <c r="Y1141" s="17" t="s">
        <v>2706</v>
      </c>
      <c r="Z1141" s="17" t="s">
        <v>39</v>
      </c>
      <c r="AA1141" s="17" t="s">
        <v>37</v>
      </c>
      <c r="AB1141" s="43">
        <v>371.23</v>
      </c>
      <c r="AC1141" s="25">
        <v>374.77</v>
      </c>
      <c r="AD1141" s="25">
        <f>AC1141*T1141</f>
        <v>1499.08</v>
      </c>
      <c r="AE1141" s="25">
        <f>AB1141*T1141</f>
        <v>1484.92</v>
      </c>
      <c r="AF1141" s="25">
        <f>AD1141-AE1141</f>
        <v>14.159999999999854</v>
      </c>
      <c r="AG1141" s="26">
        <f>AF1141/AD1141</f>
        <v>9.4457934199641477E-3</v>
      </c>
      <c r="AH1141" s="27" t="str">
        <f>IF(AG1141&lt;0,"Negative",IF(AG1141=0,"Same",IF(AG1141&gt;0.3,"30+%",IF(AG1141&gt;0.2,"20-30%",IF(AG1141&gt;0.1,"10-20%",IF(AG1141&lt;=0.1,"0-10%"))))))</f>
        <v>0-10%</v>
      </c>
      <c r="AI1141" s="32"/>
      <c r="AJ1141" s="36" t="s">
        <v>3300</v>
      </c>
      <c r="AK1141" s="32"/>
    </row>
    <row r="1142" spans="1:37" s="1" customFormat="1" ht="19.7" customHeight="1" x14ac:dyDescent="0.25">
      <c r="A1142" s="9" t="s">
        <v>22</v>
      </c>
      <c r="B1142" s="9" t="s">
        <v>613</v>
      </c>
      <c r="C1142" s="10">
        <v>44281</v>
      </c>
      <c r="D1142" s="9" t="s">
        <v>24</v>
      </c>
      <c r="E1142" s="9" t="s">
        <v>25</v>
      </c>
      <c r="F1142" s="9" t="s">
        <v>26</v>
      </c>
      <c r="G1142" s="9" t="s">
        <v>27</v>
      </c>
      <c r="H1142" s="9" t="s">
        <v>28</v>
      </c>
      <c r="I1142" s="9" t="s">
        <v>29</v>
      </c>
      <c r="J1142" s="9" t="s">
        <v>30</v>
      </c>
      <c r="K1142" s="9" t="s">
        <v>31</v>
      </c>
      <c r="L1142" s="9" t="s">
        <v>32</v>
      </c>
      <c r="M1142" s="9" t="s">
        <v>614</v>
      </c>
      <c r="N1142" s="9" t="s">
        <v>583</v>
      </c>
      <c r="O1142" s="9" t="s">
        <v>79</v>
      </c>
      <c r="P1142" s="9" t="s">
        <v>615</v>
      </c>
      <c r="Q1142" s="9">
        <v>101572450</v>
      </c>
      <c r="R1142" s="9" t="s">
        <v>61</v>
      </c>
      <c r="S1142" s="9" t="s">
        <v>39</v>
      </c>
      <c r="T1142" s="11">
        <v>1</v>
      </c>
      <c r="U1142" s="15" t="s">
        <v>79</v>
      </c>
      <c r="V1142" s="16" t="s">
        <v>615</v>
      </c>
      <c r="W1142" s="17">
        <v>101572450</v>
      </c>
      <c r="X1142" s="16" t="s">
        <v>2540</v>
      </c>
      <c r="Y1142" s="17" t="s">
        <v>2753</v>
      </c>
      <c r="Z1142" s="17" t="s">
        <v>39</v>
      </c>
      <c r="AA1142" s="17" t="s">
        <v>37</v>
      </c>
      <c r="AB1142" s="43">
        <v>254.81</v>
      </c>
      <c r="AC1142" s="25">
        <v>268.79000000000002</v>
      </c>
      <c r="AD1142" s="25">
        <f>AC1142*T1142</f>
        <v>268.79000000000002</v>
      </c>
      <c r="AE1142" s="25">
        <f>AB1142*T1142</f>
        <v>254.81</v>
      </c>
      <c r="AF1142" s="25">
        <f>AD1142-AE1142</f>
        <v>13.980000000000018</v>
      </c>
      <c r="AG1142" s="26">
        <f>AF1142/AD1142</f>
        <v>5.2010863499386203E-2</v>
      </c>
      <c r="AH1142" s="27" t="str">
        <f>IF(AG1142&lt;0,"Negative",IF(AG1142=0,"Same",IF(AG1142&gt;0.3,"30+%",IF(AG1142&gt;0.2,"20-30%",IF(AG1142&gt;0.1,"10-20%",IF(AG1142&lt;=0.1,"0-10%"))))))</f>
        <v>0-10%</v>
      </c>
      <c r="AI1142" s="32"/>
      <c r="AJ1142" s="36" t="s">
        <v>3300</v>
      </c>
      <c r="AK1142" s="32"/>
    </row>
    <row r="1143" spans="1:37" s="1" customFormat="1" ht="19.7" customHeight="1" x14ac:dyDescent="0.25">
      <c r="A1143" s="5" t="s">
        <v>22</v>
      </c>
      <c r="B1143" s="5" t="s">
        <v>841</v>
      </c>
      <c r="C1143" s="6">
        <v>44308</v>
      </c>
      <c r="D1143" s="5" t="s">
        <v>24</v>
      </c>
      <c r="E1143" s="5" t="s">
        <v>25</v>
      </c>
      <c r="F1143" s="5" t="s">
        <v>26</v>
      </c>
      <c r="G1143" s="5" t="s">
        <v>27</v>
      </c>
      <c r="H1143" s="5" t="s">
        <v>28</v>
      </c>
      <c r="I1143" s="5" t="s">
        <v>29</v>
      </c>
      <c r="J1143" s="5" t="s">
        <v>30</v>
      </c>
      <c r="K1143" s="5" t="s">
        <v>31</v>
      </c>
      <c r="L1143" s="5" t="s">
        <v>32</v>
      </c>
      <c r="M1143" s="5" t="s">
        <v>842</v>
      </c>
      <c r="N1143" s="5" t="s">
        <v>839</v>
      </c>
      <c r="O1143" s="5" t="s">
        <v>169</v>
      </c>
      <c r="P1143" s="5" t="s">
        <v>843</v>
      </c>
      <c r="Q1143" s="5">
        <v>100777223</v>
      </c>
      <c r="R1143" s="5" t="s">
        <v>56</v>
      </c>
      <c r="S1143" s="5" t="s">
        <v>39</v>
      </c>
      <c r="T1143" s="7">
        <v>1</v>
      </c>
      <c r="U1143" s="15" t="s">
        <v>169</v>
      </c>
      <c r="V1143" s="16" t="s">
        <v>843</v>
      </c>
      <c r="W1143" s="17">
        <v>100777223</v>
      </c>
      <c r="X1143" s="16" t="s">
        <v>2721</v>
      </c>
      <c r="Y1143" s="17" t="s">
        <v>2837</v>
      </c>
      <c r="Z1143" s="17" t="s">
        <v>39</v>
      </c>
      <c r="AA1143" s="17" t="s">
        <v>37</v>
      </c>
      <c r="AB1143" s="29">
        <v>361.95</v>
      </c>
      <c r="AC1143" s="25">
        <v>392.07</v>
      </c>
      <c r="AD1143" s="25">
        <f>AC1143*T1143</f>
        <v>392.07</v>
      </c>
      <c r="AE1143" s="25">
        <f>AB1143*T1143</f>
        <v>361.95</v>
      </c>
      <c r="AF1143" s="25">
        <f>AD1143-AE1143</f>
        <v>30.120000000000005</v>
      </c>
      <c r="AG1143" s="26">
        <f>AF1143/AD1143</f>
        <v>7.6823016298110045E-2</v>
      </c>
      <c r="AH1143" s="27" t="str">
        <f>IF(AG1143&lt;0,"Negative",IF(AG1143=0,"Same",IF(AG1143&gt;0.3,"30+%",IF(AG1143&gt;0.2,"20-30%",IF(AG1143&gt;0.1,"10-20%",IF(AG1143&lt;=0.1,"0-10%"))))))</f>
        <v>0-10%</v>
      </c>
      <c r="AI1143" s="32"/>
      <c r="AJ1143" s="36" t="s">
        <v>3300</v>
      </c>
      <c r="AK1143" s="32"/>
    </row>
    <row r="1144" spans="1:37" s="1" customFormat="1" ht="19.7" customHeight="1" x14ac:dyDescent="0.25">
      <c r="A1144" s="5" t="s">
        <v>22</v>
      </c>
      <c r="B1144" s="5" t="s">
        <v>233</v>
      </c>
      <c r="C1144" s="6">
        <v>44242</v>
      </c>
      <c r="D1144" s="5" t="s">
        <v>24</v>
      </c>
      <c r="E1144" s="5" t="s">
        <v>25</v>
      </c>
      <c r="F1144" s="5" t="s">
        <v>26</v>
      </c>
      <c r="G1144" s="5" t="s">
        <v>27</v>
      </c>
      <c r="H1144" s="5" t="s">
        <v>28</v>
      </c>
      <c r="I1144" s="5" t="s">
        <v>29</v>
      </c>
      <c r="J1144" s="5" t="s">
        <v>30</v>
      </c>
      <c r="K1144" s="5" t="s">
        <v>31</v>
      </c>
      <c r="L1144" s="5" t="s">
        <v>32</v>
      </c>
      <c r="M1144" s="5" t="s">
        <v>234</v>
      </c>
      <c r="N1144" s="5" t="s">
        <v>168</v>
      </c>
      <c r="O1144" s="5" t="s">
        <v>43</v>
      </c>
      <c r="P1144" s="5" t="s">
        <v>235</v>
      </c>
      <c r="Q1144" s="5">
        <v>105956596</v>
      </c>
      <c r="R1144" s="5" t="s">
        <v>45</v>
      </c>
      <c r="S1144" s="5" t="s">
        <v>39</v>
      </c>
      <c r="T1144" s="7">
        <v>2</v>
      </c>
      <c r="U1144" s="15" t="s">
        <v>43</v>
      </c>
      <c r="V1144" s="16" t="s">
        <v>235</v>
      </c>
      <c r="W1144" s="17">
        <v>105956596</v>
      </c>
      <c r="X1144" s="16" t="s">
        <v>2587</v>
      </c>
      <c r="Y1144" s="17" t="s">
        <v>2588</v>
      </c>
      <c r="Z1144" s="17" t="s">
        <v>39</v>
      </c>
      <c r="AA1144" s="17" t="s">
        <v>2501</v>
      </c>
      <c r="AB1144" s="29">
        <v>535.57000000000005</v>
      </c>
      <c r="AC1144" s="25">
        <v>580.27</v>
      </c>
      <c r="AD1144" s="25">
        <f>AC1144*T1144</f>
        <v>1160.54</v>
      </c>
      <c r="AE1144" s="25">
        <f>AB1144*T1144</f>
        <v>1071.1400000000001</v>
      </c>
      <c r="AF1144" s="25">
        <f>AD1144-AE1144</f>
        <v>89.399999999999864</v>
      </c>
      <c r="AG1144" s="26">
        <f>AF1144/AD1144</f>
        <v>7.7033105278577096E-2</v>
      </c>
      <c r="AH1144" s="27" t="str">
        <f>IF(AG1144&lt;0,"Negative",IF(AG1144=0,"Same",IF(AG1144&gt;0.3,"30+%",IF(AG1144&gt;0.2,"20-30%",IF(AG1144&gt;0.1,"10-20%",IF(AG1144&lt;=0.1,"0-10%"))))))</f>
        <v>0-10%</v>
      </c>
      <c r="AI1144" s="32"/>
      <c r="AJ1144" s="36" t="s">
        <v>3300</v>
      </c>
      <c r="AK1144" s="32"/>
    </row>
    <row r="1145" spans="1:37" s="1" customFormat="1" ht="19.7" customHeight="1" x14ac:dyDescent="0.25">
      <c r="A1145" s="5" t="s">
        <v>22</v>
      </c>
      <c r="B1145" s="5" t="s">
        <v>1435</v>
      </c>
      <c r="C1145" s="6">
        <v>44397</v>
      </c>
      <c r="D1145" s="5" t="s">
        <v>24</v>
      </c>
      <c r="E1145" s="5" t="s">
        <v>25</v>
      </c>
      <c r="F1145" s="5" t="s">
        <v>26</v>
      </c>
      <c r="G1145" s="5" t="s">
        <v>27</v>
      </c>
      <c r="H1145" s="5" t="s">
        <v>28</v>
      </c>
      <c r="I1145" s="5" t="s">
        <v>29</v>
      </c>
      <c r="J1145" s="5" t="s">
        <v>30</v>
      </c>
      <c r="K1145" s="5" t="s">
        <v>31</v>
      </c>
      <c r="L1145" s="5" t="s">
        <v>32</v>
      </c>
      <c r="M1145" s="5" t="s">
        <v>1080</v>
      </c>
      <c r="N1145" s="5" t="s">
        <v>1437</v>
      </c>
      <c r="O1145" s="5" t="s">
        <v>79</v>
      </c>
      <c r="P1145" s="5" t="s">
        <v>1082</v>
      </c>
      <c r="Q1145" s="5">
        <v>100762537</v>
      </c>
      <c r="R1145" s="5" t="s">
        <v>61</v>
      </c>
      <c r="S1145" s="5" t="s">
        <v>39</v>
      </c>
      <c r="T1145" s="7">
        <v>1</v>
      </c>
      <c r="U1145" s="15" t="s">
        <v>79</v>
      </c>
      <c r="V1145" s="16" t="s">
        <v>1082</v>
      </c>
      <c r="W1145" s="17">
        <v>100762537</v>
      </c>
      <c r="X1145" s="16" t="s">
        <v>2608</v>
      </c>
      <c r="Y1145" s="17" t="s">
        <v>2919</v>
      </c>
      <c r="Z1145" s="17" t="s">
        <v>39</v>
      </c>
      <c r="AA1145" s="17" t="s">
        <v>37</v>
      </c>
      <c r="AB1145" s="43">
        <v>302.16000000000003</v>
      </c>
      <c r="AC1145" s="25">
        <v>318.76</v>
      </c>
      <c r="AD1145" s="25">
        <f>AC1145*T1145</f>
        <v>318.76</v>
      </c>
      <c r="AE1145" s="25">
        <f>AB1145*T1145</f>
        <v>302.16000000000003</v>
      </c>
      <c r="AF1145" s="25">
        <f>AD1145-AE1145</f>
        <v>16.599999999999966</v>
      </c>
      <c r="AG1145" s="26">
        <f>AF1145/AD1145</f>
        <v>5.2076797590663713E-2</v>
      </c>
      <c r="AH1145" s="27" t="str">
        <f>IF(AG1145&lt;0,"Negative",IF(AG1145=0,"Same",IF(AG1145&gt;0.3,"30+%",IF(AG1145&gt;0.2,"20-30%",IF(AG1145&gt;0.1,"10-20%",IF(AG1145&lt;=0.1,"0-10%"))))))</f>
        <v>0-10%</v>
      </c>
      <c r="AI1145" s="32"/>
      <c r="AJ1145" s="36" t="s">
        <v>3300</v>
      </c>
      <c r="AK1145" s="32"/>
    </row>
    <row r="1146" spans="1:37" s="1" customFormat="1" ht="19.7" customHeight="1" x14ac:dyDescent="0.25">
      <c r="A1146" s="5" t="s">
        <v>22</v>
      </c>
      <c r="B1146" s="5" t="s">
        <v>1079</v>
      </c>
      <c r="C1146" s="6">
        <v>44337</v>
      </c>
      <c r="D1146" s="5" t="s">
        <v>24</v>
      </c>
      <c r="E1146" s="5" t="s">
        <v>25</v>
      </c>
      <c r="F1146" s="5" t="s">
        <v>26</v>
      </c>
      <c r="G1146" s="5" t="s">
        <v>27</v>
      </c>
      <c r="H1146" s="5" t="s">
        <v>28</v>
      </c>
      <c r="I1146" s="5" t="s">
        <v>29</v>
      </c>
      <c r="J1146" s="5" t="s">
        <v>30</v>
      </c>
      <c r="K1146" s="5" t="s">
        <v>31</v>
      </c>
      <c r="L1146" s="5" t="s">
        <v>32</v>
      </c>
      <c r="M1146" s="5" t="s">
        <v>1080</v>
      </c>
      <c r="N1146" s="5" t="s">
        <v>1081</v>
      </c>
      <c r="O1146" s="5" t="s">
        <v>79</v>
      </c>
      <c r="P1146" s="5" t="s">
        <v>1082</v>
      </c>
      <c r="Q1146" s="5">
        <v>100762537</v>
      </c>
      <c r="R1146" s="5" t="s">
        <v>61</v>
      </c>
      <c r="S1146" s="5" t="s">
        <v>39</v>
      </c>
      <c r="T1146" s="7">
        <v>2</v>
      </c>
      <c r="U1146" s="15" t="s">
        <v>79</v>
      </c>
      <c r="V1146" s="16" t="s">
        <v>1082</v>
      </c>
      <c r="W1146" s="17">
        <v>100762537</v>
      </c>
      <c r="X1146" s="16" t="s">
        <v>2608</v>
      </c>
      <c r="Y1146" s="17" t="s">
        <v>2919</v>
      </c>
      <c r="Z1146" s="17" t="s">
        <v>39</v>
      </c>
      <c r="AA1146" s="17" t="s">
        <v>37</v>
      </c>
      <c r="AB1146" s="43">
        <v>302.16000000000003</v>
      </c>
      <c r="AC1146" s="25">
        <v>318.76</v>
      </c>
      <c r="AD1146" s="25">
        <f>AC1146*T1146</f>
        <v>637.52</v>
      </c>
      <c r="AE1146" s="25">
        <f>AB1146*T1146</f>
        <v>604.32000000000005</v>
      </c>
      <c r="AF1146" s="25">
        <f>AD1146-AE1146</f>
        <v>33.199999999999932</v>
      </c>
      <c r="AG1146" s="26">
        <f>AF1146/AD1146</f>
        <v>5.2076797590663713E-2</v>
      </c>
      <c r="AH1146" s="27" t="str">
        <f>IF(AG1146&lt;0,"Negative",IF(AG1146=0,"Same",IF(AG1146&gt;0.3,"30+%",IF(AG1146&gt;0.2,"20-30%",IF(AG1146&gt;0.1,"10-20%",IF(AG1146&lt;=0.1,"0-10%"))))))</f>
        <v>0-10%</v>
      </c>
      <c r="AI1146" s="32"/>
      <c r="AJ1146" s="36" t="s">
        <v>3300</v>
      </c>
      <c r="AK1146" s="32"/>
    </row>
    <row r="1147" spans="1:37" s="1" customFormat="1" ht="19.7" customHeight="1" x14ac:dyDescent="0.25">
      <c r="A1147" s="9" t="s">
        <v>22</v>
      </c>
      <c r="B1147" s="9" t="s">
        <v>1881</v>
      </c>
      <c r="C1147" s="10">
        <v>44475</v>
      </c>
      <c r="D1147" s="9" t="s">
        <v>24</v>
      </c>
      <c r="E1147" s="9" t="s">
        <v>25</v>
      </c>
      <c r="F1147" s="9" t="s">
        <v>26</v>
      </c>
      <c r="G1147" s="9" t="s">
        <v>27</v>
      </c>
      <c r="H1147" s="9" t="s">
        <v>28</v>
      </c>
      <c r="I1147" s="9" t="s">
        <v>29</v>
      </c>
      <c r="J1147" s="9" t="s">
        <v>30</v>
      </c>
      <c r="K1147" s="9" t="s">
        <v>31</v>
      </c>
      <c r="L1147" s="9" t="s">
        <v>32</v>
      </c>
      <c r="M1147" s="9" t="s">
        <v>1882</v>
      </c>
      <c r="N1147" s="9" t="s">
        <v>1883</v>
      </c>
      <c r="O1147" s="9" t="s">
        <v>79</v>
      </c>
      <c r="P1147" s="9" t="s">
        <v>1884</v>
      </c>
      <c r="Q1147" s="9">
        <v>100762539</v>
      </c>
      <c r="R1147" s="9" t="s">
        <v>61</v>
      </c>
      <c r="S1147" s="9" t="s">
        <v>39</v>
      </c>
      <c r="T1147" s="11">
        <v>2</v>
      </c>
      <c r="U1147" s="15" t="s">
        <v>79</v>
      </c>
      <c r="V1147" s="16" t="s">
        <v>1884</v>
      </c>
      <c r="W1147" s="17">
        <v>100762539</v>
      </c>
      <c r="X1147" s="16" t="s">
        <v>2608</v>
      </c>
      <c r="Y1147" s="17" t="s">
        <v>3159</v>
      </c>
      <c r="Z1147" s="17" t="s">
        <v>39</v>
      </c>
      <c r="AA1147" s="17" t="s">
        <v>37</v>
      </c>
      <c r="AB1147" s="43">
        <v>273.7</v>
      </c>
      <c r="AC1147" s="25">
        <v>318.76</v>
      </c>
      <c r="AD1147" s="25">
        <f>AC1147*T1147</f>
        <v>637.52</v>
      </c>
      <c r="AE1147" s="25">
        <f>AB1147*T1147</f>
        <v>547.4</v>
      </c>
      <c r="AF1147" s="25">
        <f>AD1147-AE1147</f>
        <v>90.12</v>
      </c>
      <c r="AG1147" s="26">
        <f>AF1147/AD1147</f>
        <v>0.14136027105032001</v>
      </c>
      <c r="AH1147" s="27" t="str">
        <f>IF(AG1147&lt;0,"Negative",IF(AG1147=0,"Same",IF(AG1147&gt;0.3,"30+%",IF(AG1147&gt;0.2,"20-30%",IF(AG1147&gt;0.1,"10-20%",IF(AG1147&lt;=0.1,"0-10%"))))))</f>
        <v>10-20%</v>
      </c>
      <c r="AI1147" s="32"/>
      <c r="AJ1147" s="36" t="s">
        <v>3299</v>
      </c>
      <c r="AK1147" s="32"/>
    </row>
    <row r="1148" spans="1:37" s="1" customFormat="1" ht="19.7" customHeight="1" x14ac:dyDescent="0.25">
      <c r="A1148" s="5" t="s">
        <v>22</v>
      </c>
      <c r="B1148" s="5" t="s">
        <v>1724</v>
      </c>
      <c r="C1148" s="6">
        <v>44442</v>
      </c>
      <c r="D1148" s="5" t="s">
        <v>24</v>
      </c>
      <c r="E1148" s="5" t="s">
        <v>25</v>
      </c>
      <c r="F1148" s="5" t="s">
        <v>26</v>
      </c>
      <c r="G1148" s="5" t="s">
        <v>27</v>
      </c>
      <c r="H1148" s="5" t="s">
        <v>28</v>
      </c>
      <c r="I1148" s="5" t="s">
        <v>29</v>
      </c>
      <c r="J1148" s="5" t="s">
        <v>30</v>
      </c>
      <c r="K1148" s="5" t="s">
        <v>31</v>
      </c>
      <c r="L1148" s="5" t="s">
        <v>32</v>
      </c>
      <c r="M1148" s="5" t="s">
        <v>1416</v>
      </c>
      <c r="N1148" s="5" t="s">
        <v>1691</v>
      </c>
      <c r="O1148" s="5" t="s">
        <v>35</v>
      </c>
      <c r="P1148" s="5" t="s">
        <v>1417</v>
      </c>
      <c r="Q1148" s="5">
        <v>100560366</v>
      </c>
      <c r="R1148" s="5" t="s">
        <v>38</v>
      </c>
      <c r="S1148" s="5" t="s">
        <v>39</v>
      </c>
      <c r="T1148" s="7">
        <v>1</v>
      </c>
      <c r="U1148" s="15" t="s">
        <v>35</v>
      </c>
      <c r="V1148" s="16" t="s">
        <v>1417</v>
      </c>
      <c r="W1148" s="17">
        <v>100560366</v>
      </c>
      <c r="X1148" s="16" t="s">
        <v>2737</v>
      </c>
      <c r="Y1148" s="17" t="s">
        <v>3032</v>
      </c>
      <c r="Z1148" s="17" t="s">
        <v>39</v>
      </c>
      <c r="AA1148" s="17" t="s">
        <v>37</v>
      </c>
      <c r="AB1148" s="29">
        <v>326.33999999999997</v>
      </c>
      <c r="AC1148" s="25">
        <v>317.83</v>
      </c>
      <c r="AD1148" s="25">
        <f>AC1148*T1148</f>
        <v>317.83</v>
      </c>
      <c r="AE1148" s="25">
        <f>AB1148*T1148</f>
        <v>326.33999999999997</v>
      </c>
      <c r="AF1148" s="25">
        <f>AD1148-AE1148</f>
        <v>-8.5099999999999909</v>
      </c>
      <c r="AG1148" s="26">
        <f>AF1148/AD1148</f>
        <v>-2.6775320139697294E-2</v>
      </c>
      <c r="AH1148" s="27" t="str">
        <f>IF(AG1148&lt;0,"Negative",IF(AG1148=0,"Same",IF(AG1148&gt;0.3,"30+%",IF(AG1148&gt;0.2,"20-30%",IF(AG1148&gt;0.1,"10-20%",IF(AG1148&lt;=0.1,"0-10%"))))))</f>
        <v>Negative</v>
      </c>
      <c r="AI1148" s="32"/>
      <c r="AJ1148" s="36" t="s">
        <v>3299</v>
      </c>
      <c r="AK1148" s="32"/>
    </row>
    <row r="1149" spans="1:37" s="1" customFormat="1" ht="19.7" customHeight="1" x14ac:dyDescent="0.25">
      <c r="A1149" s="9" t="s">
        <v>22</v>
      </c>
      <c r="B1149" s="9" t="s">
        <v>1415</v>
      </c>
      <c r="C1149" s="10">
        <v>44393</v>
      </c>
      <c r="D1149" s="9" t="s">
        <v>24</v>
      </c>
      <c r="E1149" s="9" t="s">
        <v>25</v>
      </c>
      <c r="F1149" s="9" t="s">
        <v>26</v>
      </c>
      <c r="G1149" s="9" t="s">
        <v>27</v>
      </c>
      <c r="H1149" s="9" t="s">
        <v>28</v>
      </c>
      <c r="I1149" s="9" t="s">
        <v>29</v>
      </c>
      <c r="J1149" s="9" t="s">
        <v>30</v>
      </c>
      <c r="K1149" s="9" t="s">
        <v>31</v>
      </c>
      <c r="L1149" s="9" t="s">
        <v>32</v>
      </c>
      <c r="M1149" s="9" t="s">
        <v>1416</v>
      </c>
      <c r="N1149" s="9" t="s">
        <v>1399</v>
      </c>
      <c r="O1149" s="9" t="s">
        <v>35</v>
      </c>
      <c r="P1149" s="9" t="s">
        <v>1417</v>
      </c>
      <c r="Q1149" s="9">
        <v>100560366</v>
      </c>
      <c r="R1149" s="9" t="s">
        <v>38</v>
      </c>
      <c r="S1149" s="9" t="s">
        <v>39</v>
      </c>
      <c r="T1149" s="11">
        <v>1</v>
      </c>
      <c r="U1149" s="15" t="s">
        <v>35</v>
      </c>
      <c r="V1149" s="16" t="s">
        <v>1417</v>
      </c>
      <c r="W1149" s="17">
        <v>100560366</v>
      </c>
      <c r="X1149" s="16" t="s">
        <v>2737</v>
      </c>
      <c r="Y1149" s="17" t="s">
        <v>3032</v>
      </c>
      <c r="Z1149" s="17" t="s">
        <v>39</v>
      </c>
      <c r="AA1149" s="17" t="s">
        <v>37</v>
      </c>
      <c r="AB1149" s="29">
        <v>326.33999999999997</v>
      </c>
      <c r="AC1149" s="25">
        <v>317.83</v>
      </c>
      <c r="AD1149" s="25">
        <f>AC1149*T1149</f>
        <v>317.83</v>
      </c>
      <c r="AE1149" s="25">
        <f>AB1149*T1149</f>
        <v>326.33999999999997</v>
      </c>
      <c r="AF1149" s="25">
        <f>AD1149-AE1149</f>
        <v>-8.5099999999999909</v>
      </c>
      <c r="AG1149" s="26">
        <f>AF1149/AD1149</f>
        <v>-2.6775320139697294E-2</v>
      </c>
      <c r="AH1149" s="27" t="str">
        <f>IF(AG1149&lt;0,"Negative",IF(AG1149=0,"Same",IF(AG1149&gt;0.3,"30+%",IF(AG1149&gt;0.2,"20-30%",IF(AG1149&gt;0.1,"10-20%",IF(AG1149&lt;=0.1,"0-10%"))))))</f>
        <v>Negative</v>
      </c>
      <c r="AI1149" s="32"/>
      <c r="AJ1149" s="36" t="s">
        <v>3299</v>
      </c>
      <c r="AK1149" s="32"/>
    </row>
    <row r="1150" spans="1:37" s="1" customFormat="1" ht="19.7" customHeight="1" x14ac:dyDescent="0.25">
      <c r="A1150" s="5" t="s">
        <v>22</v>
      </c>
      <c r="B1150" s="5" t="s">
        <v>2157</v>
      </c>
      <c r="C1150" s="6">
        <v>44529</v>
      </c>
      <c r="D1150" s="5" t="s">
        <v>24</v>
      </c>
      <c r="E1150" s="5" t="s">
        <v>25</v>
      </c>
      <c r="F1150" s="5" t="s">
        <v>26</v>
      </c>
      <c r="G1150" s="5" t="s">
        <v>27</v>
      </c>
      <c r="H1150" s="5" t="s">
        <v>28</v>
      </c>
      <c r="I1150" s="5" t="s">
        <v>29</v>
      </c>
      <c r="J1150" s="5" t="s">
        <v>30</v>
      </c>
      <c r="K1150" s="5" t="s">
        <v>31</v>
      </c>
      <c r="L1150" s="5" t="s">
        <v>32</v>
      </c>
      <c r="M1150" s="5" t="s">
        <v>2158</v>
      </c>
      <c r="N1150" s="5" t="s">
        <v>2093</v>
      </c>
      <c r="O1150" s="5" t="s">
        <v>402</v>
      </c>
      <c r="P1150" s="5" t="s">
        <v>2159</v>
      </c>
      <c r="Q1150" s="5">
        <v>100736372</v>
      </c>
      <c r="R1150" s="5" t="s">
        <v>61</v>
      </c>
      <c r="S1150" s="5" t="s">
        <v>39</v>
      </c>
      <c r="T1150" s="7">
        <v>2</v>
      </c>
      <c r="U1150" s="15" t="s">
        <v>402</v>
      </c>
      <c r="V1150" s="16" t="s">
        <v>2159</v>
      </c>
      <c r="W1150" s="17">
        <v>100736372</v>
      </c>
      <c r="X1150" s="16" t="s">
        <v>3218</v>
      </c>
      <c r="Y1150" s="17" t="s">
        <v>3219</v>
      </c>
      <c r="Z1150" s="17" t="s">
        <v>39</v>
      </c>
      <c r="AA1150" s="17" t="s">
        <v>37</v>
      </c>
      <c r="AB1150" s="43">
        <v>593.33000000000004</v>
      </c>
      <c r="AC1150" s="25">
        <v>632.99</v>
      </c>
      <c r="AD1150" s="25">
        <f>AC1150*T1150</f>
        <v>1265.98</v>
      </c>
      <c r="AE1150" s="25">
        <f>AB1150*T1150</f>
        <v>1186.6600000000001</v>
      </c>
      <c r="AF1150" s="25">
        <f>AD1150-AE1150</f>
        <v>79.319999999999936</v>
      </c>
      <c r="AG1150" s="26">
        <f>AF1150/AD1150</f>
        <v>6.265501824673371E-2</v>
      </c>
      <c r="AH1150" s="27" t="str">
        <f>IF(AG1150&lt;0,"Negative",IF(AG1150=0,"Same",IF(AG1150&gt;0.3,"30+%",IF(AG1150&gt;0.2,"20-30%",IF(AG1150&gt;0.1,"10-20%",IF(AG1150&lt;=0.1,"0-10%"))))))</f>
        <v>0-10%</v>
      </c>
      <c r="AI1150" s="32"/>
      <c r="AJ1150" s="36" t="s">
        <v>3300</v>
      </c>
      <c r="AK1150" s="32"/>
    </row>
    <row r="1151" spans="1:37" s="1" customFormat="1" ht="19.7" customHeight="1" x14ac:dyDescent="0.25">
      <c r="A1151" s="9" t="s">
        <v>22</v>
      </c>
      <c r="B1151" s="9" t="s">
        <v>2206</v>
      </c>
      <c r="C1151" s="10">
        <v>44540</v>
      </c>
      <c r="D1151" s="9" t="s">
        <v>24</v>
      </c>
      <c r="E1151" s="9" t="s">
        <v>25</v>
      </c>
      <c r="F1151" s="9" t="s">
        <v>26</v>
      </c>
      <c r="G1151" s="9" t="s">
        <v>27</v>
      </c>
      <c r="H1151" s="9" t="s">
        <v>28</v>
      </c>
      <c r="I1151" s="9" t="s">
        <v>29</v>
      </c>
      <c r="J1151" s="9" t="s">
        <v>30</v>
      </c>
      <c r="K1151" s="9" t="s">
        <v>31</v>
      </c>
      <c r="L1151" s="9" t="s">
        <v>32</v>
      </c>
      <c r="M1151" s="9" t="s">
        <v>1284</v>
      </c>
      <c r="N1151" s="9" t="s">
        <v>2059</v>
      </c>
      <c r="O1151" s="9" t="s">
        <v>1285</v>
      </c>
      <c r="P1151" s="9" t="s">
        <v>1286</v>
      </c>
      <c r="Q1151" s="9">
        <v>110061865</v>
      </c>
      <c r="R1151" s="9" t="s">
        <v>51</v>
      </c>
      <c r="S1151" s="9" t="s">
        <v>39</v>
      </c>
      <c r="T1151" s="11">
        <v>2</v>
      </c>
      <c r="U1151" s="15" t="s">
        <v>1285</v>
      </c>
      <c r="V1151" s="16" t="s">
        <v>1286</v>
      </c>
      <c r="W1151" s="17">
        <v>110061865</v>
      </c>
      <c r="X1151" s="16" t="s">
        <v>2986</v>
      </c>
      <c r="Y1151" s="17" t="s">
        <v>2987</v>
      </c>
      <c r="Z1151" s="17" t="s">
        <v>39</v>
      </c>
      <c r="AA1151" s="17" t="s">
        <v>2501</v>
      </c>
      <c r="AB1151" s="29">
        <v>1270.8900000000001</v>
      </c>
      <c r="AC1151" s="25">
        <v>1188.74</v>
      </c>
      <c r="AD1151" s="25">
        <f>AC1151*T1151</f>
        <v>2377.48</v>
      </c>
      <c r="AE1151" s="25">
        <f>AB1151*T1151</f>
        <v>2541.7800000000002</v>
      </c>
      <c r="AF1151" s="25">
        <f>AD1151-AE1151</f>
        <v>-164.30000000000018</v>
      </c>
      <c r="AG1151" s="26">
        <f>AF1151/AD1151</f>
        <v>-6.9106785335733709E-2</v>
      </c>
      <c r="AH1151" s="27" t="str">
        <f>IF(AG1151&lt;0,"Negative",IF(AG1151=0,"Same",IF(AG1151&gt;0.3,"30+%",IF(AG1151&gt;0.2,"20-30%",IF(AG1151&gt;0.1,"10-20%",IF(AG1151&lt;=0.1,"0-10%"))))))</f>
        <v>Negative</v>
      </c>
      <c r="AI1151" s="32"/>
      <c r="AJ1151" s="36" t="s">
        <v>3300</v>
      </c>
      <c r="AK1151" s="32"/>
    </row>
    <row r="1152" spans="1:37" s="1" customFormat="1" ht="19.7" customHeight="1" x14ac:dyDescent="0.25">
      <c r="A1152" s="9" t="s">
        <v>22</v>
      </c>
      <c r="B1152" s="9" t="s">
        <v>1283</v>
      </c>
      <c r="C1152" s="10">
        <v>44370</v>
      </c>
      <c r="D1152" s="9" t="s">
        <v>24</v>
      </c>
      <c r="E1152" s="9" t="s">
        <v>25</v>
      </c>
      <c r="F1152" s="9" t="s">
        <v>26</v>
      </c>
      <c r="G1152" s="9" t="s">
        <v>67</v>
      </c>
      <c r="H1152" s="9" t="s">
        <v>68</v>
      </c>
      <c r="I1152" s="9" t="s">
        <v>29</v>
      </c>
      <c r="J1152" s="9" t="s">
        <v>30</v>
      </c>
      <c r="K1152" s="9" t="s">
        <v>31</v>
      </c>
      <c r="L1152" s="9" t="s">
        <v>32</v>
      </c>
      <c r="M1152" s="9" t="s">
        <v>1284</v>
      </c>
      <c r="N1152" s="9" t="s">
        <v>1247</v>
      </c>
      <c r="O1152" s="9" t="s">
        <v>1285</v>
      </c>
      <c r="P1152" s="9" t="s">
        <v>1286</v>
      </c>
      <c r="Q1152" s="9">
        <v>110061865</v>
      </c>
      <c r="R1152" s="9" t="s">
        <v>51</v>
      </c>
      <c r="S1152" s="9" t="s">
        <v>39</v>
      </c>
      <c r="T1152" s="11">
        <v>1</v>
      </c>
      <c r="U1152" s="15" t="s">
        <v>1285</v>
      </c>
      <c r="V1152" s="16" t="s">
        <v>1286</v>
      </c>
      <c r="W1152" s="17">
        <v>110061865</v>
      </c>
      <c r="X1152" s="16" t="s">
        <v>2986</v>
      </c>
      <c r="Y1152" s="17" t="s">
        <v>2987</v>
      </c>
      <c r="Z1152" s="17" t="s">
        <v>39</v>
      </c>
      <c r="AA1152" s="17" t="s">
        <v>2501</v>
      </c>
      <c r="AB1152" s="29">
        <v>1270.8900000000001</v>
      </c>
      <c r="AC1152" s="25">
        <v>1188.74</v>
      </c>
      <c r="AD1152" s="25">
        <f>AC1152*T1152</f>
        <v>1188.74</v>
      </c>
      <c r="AE1152" s="25">
        <f>AB1152*T1152</f>
        <v>1270.8900000000001</v>
      </c>
      <c r="AF1152" s="25">
        <f>AD1152-AE1152</f>
        <v>-82.150000000000091</v>
      </c>
      <c r="AG1152" s="26">
        <f>AF1152/AD1152</f>
        <v>-6.9106785335733709E-2</v>
      </c>
      <c r="AH1152" s="27" t="str">
        <f>IF(AG1152&lt;0,"Negative",IF(AG1152=0,"Same",IF(AG1152&gt;0.3,"30+%",IF(AG1152&gt;0.2,"20-30%",IF(AG1152&gt;0.1,"10-20%",IF(AG1152&lt;=0.1,"0-10%"))))))</f>
        <v>Negative</v>
      </c>
      <c r="AI1152" s="32"/>
      <c r="AJ1152" s="36" t="s">
        <v>3300</v>
      </c>
      <c r="AK1152" s="32"/>
    </row>
    <row r="1153" spans="1:37" s="1" customFormat="1" ht="19.7" customHeight="1" x14ac:dyDescent="0.25">
      <c r="A1153" s="5" t="s">
        <v>22</v>
      </c>
      <c r="B1153" s="5" t="s">
        <v>1582</v>
      </c>
      <c r="C1153" s="6">
        <v>44421</v>
      </c>
      <c r="D1153" s="5" t="s">
        <v>24</v>
      </c>
      <c r="E1153" s="5" t="s">
        <v>25</v>
      </c>
      <c r="F1153" s="5" t="s">
        <v>26</v>
      </c>
      <c r="G1153" s="5" t="s">
        <v>27</v>
      </c>
      <c r="H1153" s="5" t="s">
        <v>28</v>
      </c>
      <c r="I1153" s="5" t="s">
        <v>29</v>
      </c>
      <c r="J1153" s="5" t="s">
        <v>30</v>
      </c>
      <c r="K1153" s="5" t="s">
        <v>31</v>
      </c>
      <c r="L1153" s="5" t="s">
        <v>32</v>
      </c>
      <c r="M1153" s="5" t="s">
        <v>261</v>
      </c>
      <c r="N1153" s="5" t="s">
        <v>1526</v>
      </c>
      <c r="O1153" s="5" t="s">
        <v>455</v>
      </c>
      <c r="P1153" s="5" t="s">
        <v>1583</v>
      </c>
      <c r="Q1153" s="5">
        <v>102088119</v>
      </c>
      <c r="R1153" s="5" t="s">
        <v>51</v>
      </c>
      <c r="S1153" s="5" t="s">
        <v>39</v>
      </c>
      <c r="T1153" s="7">
        <v>1</v>
      </c>
      <c r="U1153" s="15" t="s">
        <v>455</v>
      </c>
      <c r="V1153" s="16" t="s">
        <v>1583</v>
      </c>
      <c r="W1153" s="17">
        <v>102088119</v>
      </c>
      <c r="X1153" s="16" t="s">
        <v>2679</v>
      </c>
      <c r="Y1153" s="17" t="s">
        <v>3083</v>
      </c>
      <c r="Z1153" s="17" t="s">
        <v>39</v>
      </c>
      <c r="AA1153" s="17" t="s">
        <v>37</v>
      </c>
      <c r="AB1153" s="29">
        <v>561.52</v>
      </c>
      <c r="AC1153" s="25">
        <v>614.49</v>
      </c>
      <c r="AD1153" s="25">
        <f>AC1153*T1153</f>
        <v>614.49</v>
      </c>
      <c r="AE1153" s="25">
        <f>AB1153*T1153</f>
        <v>561.52</v>
      </c>
      <c r="AF1153" s="25">
        <f>AD1153-AE1153</f>
        <v>52.970000000000027</v>
      </c>
      <c r="AG1153" s="26">
        <f>AF1153/AD1153</f>
        <v>8.6201565525883289E-2</v>
      </c>
      <c r="AH1153" s="27" t="str">
        <f>IF(AG1153&lt;0,"Negative",IF(AG1153=0,"Same",IF(AG1153&gt;0.3,"30+%",IF(AG1153&gt;0.2,"20-30%",IF(AG1153&gt;0.1,"10-20%",IF(AG1153&lt;=0.1,"0-10%"))))))</f>
        <v>0-10%</v>
      </c>
      <c r="AI1153" s="32"/>
      <c r="AJ1153" s="36" t="s">
        <v>3299</v>
      </c>
      <c r="AK1153" s="32"/>
    </row>
    <row r="1154" spans="1:37" s="1" customFormat="1" ht="19.7" customHeight="1" x14ac:dyDescent="0.25">
      <c r="A1154" s="9" t="s">
        <v>22</v>
      </c>
      <c r="B1154" s="9" t="s">
        <v>1834</v>
      </c>
      <c r="C1154" s="10">
        <v>44468</v>
      </c>
      <c r="D1154" s="9" t="s">
        <v>24</v>
      </c>
      <c r="E1154" s="9" t="s">
        <v>25</v>
      </c>
      <c r="F1154" s="9" t="s">
        <v>26</v>
      </c>
      <c r="G1154" s="9" t="s">
        <v>27</v>
      </c>
      <c r="H1154" s="9" t="s">
        <v>28</v>
      </c>
      <c r="I1154" s="9" t="s">
        <v>29</v>
      </c>
      <c r="J1154" s="9" t="s">
        <v>30</v>
      </c>
      <c r="K1154" s="9" t="s">
        <v>31</v>
      </c>
      <c r="L1154" s="9" t="s">
        <v>32</v>
      </c>
      <c r="M1154" s="9" t="s">
        <v>1835</v>
      </c>
      <c r="N1154" s="9" t="s">
        <v>1772</v>
      </c>
      <c r="O1154" s="9" t="s">
        <v>169</v>
      </c>
      <c r="P1154" s="9" t="s">
        <v>1836</v>
      </c>
      <c r="Q1154" s="9">
        <v>102170153</v>
      </c>
      <c r="R1154" s="9" t="s">
        <v>56</v>
      </c>
      <c r="S1154" s="9" t="s">
        <v>39</v>
      </c>
      <c r="T1154" s="11">
        <v>1</v>
      </c>
      <c r="U1154" s="15" t="s">
        <v>169</v>
      </c>
      <c r="V1154" s="16" t="s">
        <v>1836</v>
      </c>
      <c r="W1154" s="17">
        <v>102170153</v>
      </c>
      <c r="X1154" s="16" t="s">
        <v>2845</v>
      </c>
      <c r="Y1154" s="17" t="s">
        <v>3147</v>
      </c>
      <c r="Z1154" s="17" t="s">
        <v>39</v>
      </c>
      <c r="AA1154" s="17" t="s">
        <v>37</v>
      </c>
      <c r="AB1154" s="43">
        <v>918.19</v>
      </c>
      <c r="AC1154" s="25">
        <v>979.49</v>
      </c>
      <c r="AD1154" s="25">
        <f>AC1154*T1154</f>
        <v>979.49</v>
      </c>
      <c r="AE1154" s="25">
        <f>AB1154*T1154</f>
        <v>918.19</v>
      </c>
      <c r="AF1154" s="25">
        <f>AD1154-AE1154</f>
        <v>61.299999999999955</v>
      </c>
      <c r="AG1154" s="26">
        <f>AF1154/AD1154</f>
        <v>6.2583589418983301E-2</v>
      </c>
      <c r="AH1154" s="27" t="str">
        <f>IF(AG1154&lt;0,"Negative",IF(AG1154=0,"Same",IF(AG1154&gt;0.3,"30+%",IF(AG1154&gt;0.2,"20-30%",IF(AG1154&gt;0.1,"10-20%",IF(AG1154&lt;=0.1,"0-10%"))))))</f>
        <v>0-10%</v>
      </c>
      <c r="AI1154" s="32"/>
      <c r="AJ1154" s="36" t="s">
        <v>3300</v>
      </c>
      <c r="AK1154" s="32"/>
    </row>
    <row r="1155" spans="1:37" s="1" customFormat="1" ht="19.7" customHeight="1" x14ac:dyDescent="0.25">
      <c r="A1155" s="5" t="s">
        <v>22</v>
      </c>
      <c r="B1155" s="5" t="s">
        <v>1955</v>
      </c>
      <c r="C1155" s="6">
        <v>44489</v>
      </c>
      <c r="D1155" s="5" t="s">
        <v>24</v>
      </c>
      <c r="E1155" s="5" t="s">
        <v>25</v>
      </c>
      <c r="F1155" s="5" t="s">
        <v>26</v>
      </c>
      <c r="G1155" s="5" t="s">
        <v>27</v>
      </c>
      <c r="H1155" s="5" t="s">
        <v>28</v>
      </c>
      <c r="I1155" s="5" t="s">
        <v>29</v>
      </c>
      <c r="J1155" s="5" t="s">
        <v>30</v>
      </c>
      <c r="K1155" s="5" t="s">
        <v>31</v>
      </c>
      <c r="L1155" s="5" t="s">
        <v>32</v>
      </c>
      <c r="M1155" s="5" t="s">
        <v>1835</v>
      </c>
      <c r="N1155" s="5" t="s">
        <v>1956</v>
      </c>
      <c r="O1155" s="5" t="s">
        <v>169</v>
      </c>
      <c r="P1155" s="5" t="s">
        <v>1836</v>
      </c>
      <c r="Q1155" s="5">
        <v>102170153</v>
      </c>
      <c r="R1155" s="5" t="s">
        <v>56</v>
      </c>
      <c r="S1155" s="5" t="s">
        <v>39</v>
      </c>
      <c r="T1155" s="7">
        <v>2</v>
      </c>
      <c r="U1155" s="15" t="s">
        <v>169</v>
      </c>
      <c r="V1155" s="16" t="s">
        <v>1836</v>
      </c>
      <c r="W1155" s="17">
        <v>102170153</v>
      </c>
      <c r="X1155" s="16" t="s">
        <v>2845</v>
      </c>
      <c r="Y1155" s="17" t="s">
        <v>3147</v>
      </c>
      <c r="Z1155" s="17" t="s">
        <v>39</v>
      </c>
      <c r="AA1155" s="17" t="s">
        <v>37</v>
      </c>
      <c r="AB1155" s="43">
        <v>918.19</v>
      </c>
      <c r="AC1155" s="25">
        <v>979.49</v>
      </c>
      <c r="AD1155" s="25">
        <f>AC1155*T1155</f>
        <v>1958.98</v>
      </c>
      <c r="AE1155" s="25">
        <f>AB1155*T1155</f>
        <v>1836.38</v>
      </c>
      <c r="AF1155" s="25">
        <f>AD1155-AE1155</f>
        <v>122.59999999999991</v>
      </c>
      <c r="AG1155" s="26">
        <f>AF1155/AD1155</f>
        <v>6.2583589418983301E-2</v>
      </c>
      <c r="AH1155" s="27" t="str">
        <f>IF(AG1155&lt;0,"Negative",IF(AG1155=0,"Same",IF(AG1155&gt;0.3,"30+%",IF(AG1155&gt;0.2,"20-30%",IF(AG1155&gt;0.1,"10-20%",IF(AG1155&lt;=0.1,"0-10%"))))))</f>
        <v>0-10%</v>
      </c>
      <c r="AI1155" s="32"/>
      <c r="AJ1155" s="36" t="s">
        <v>3300</v>
      </c>
      <c r="AK1155" s="32"/>
    </row>
    <row r="1156" spans="1:37" s="1" customFormat="1" ht="19.7" customHeight="1" x14ac:dyDescent="0.25">
      <c r="A1156" s="9" t="s">
        <v>22</v>
      </c>
      <c r="B1156" s="9" t="s">
        <v>1855</v>
      </c>
      <c r="C1156" s="10">
        <v>44470</v>
      </c>
      <c r="D1156" s="9" t="s">
        <v>24</v>
      </c>
      <c r="E1156" s="9" t="s">
        <v>25</v>
      </c>
      <c r="F1156" s="9" t="s">
        <v>26</v>
      </c>
      <c r="G1156" s="9" t="s">
        <v>27</v>
      </c>
      <c r="H1156" s="9" t="s">
        <v>28</v>
      </c>
      <c r="I1156" s="9" t="s">
        <v>29</v>
      </c>
      <c r="J1156" s="9" t="s">
        <v>30</v>
      </c>
      <c r="K1156" s="9" t="s">
        <v>31</v>
      </c>
      <c r="L1156" s="9" t="s">
        <v>32</v>
      </c>
      <c r="M1156" s="9" t="s">
        <v>743</v>
      </c>
      <c r="N1156" s="9" t="s">
        <v>1839</v>
      </c>
      <c r="O1156" s="9" t="s">
        <v>455</v>
      </c>
      <c r="P1156" s="9" t="s">
        <v>744</v>
      </c>
      <c r="Q1156" s="9">
        <v>101386515</v>
      </c>
      <c r="R1156" s="9" t="s">
        <v>51</v>
      </c>
      <c r="S1156" s="9" t="s">
        <v>39</v>
      </c>
      <c r="T1156" s="11">
        <v>1</v>
      </c>
      <c r="U1156" s="15" t="s">
        <v>455</v>
      </c>
      <c r="V1156" s="16" t="s">
        <v>744</v>
      </c>
      <c r="W1156" s="17">
        <v>101386515</v>
      </c>
      <c r="X1156" s="16" t="s">
        <v>2620</v>
      </c>
      <c r="Y1156" s="17" t="s">
        <v>2801</v>
      </c>
      <c r="Z1156" s="17" t="s">
        <v>39</v>
      </c>
      <c r="AA1156" s="17" t="s">
        <v>37</v>
      </c>
      <c r="AB1156" s="29">
        <v>424.03</v>
      </c>
      <c r="AC1156" s="25">
        <v>491.89</v>
      </c>
      <c r="AD1156" s="25">
        <f>AC1156*T1156</f>
        <v>491.89</v>
      </c>
      <c r="AE1156" s="25">
        <f>AB1156*T1156</f>
        <v>424.03</v>
      </c>
      <c r="AF1156" s="25">
        <f>AD1156-AE1156</f>
        <v>67.860000000000014</v>
      </c>
      <c r="AG1156" s="26">
        <f>AF1156/AD1156</f>
        <v>0.13795767346357929</v>
      </c>
      <c r="AH1156" s="27" t="str">
        <f>IF(AG1156&lt;0,"Negative",IF(AG1156=0,"Same",IF(AG1156&gt;0.3,"30+%",IF(AG1156&gt;0.2,"20-30%",IF(AG1156&gt;0.1,"10-20%",IF(AG1156&lt;=0.1,"0-10%"))))))</f>
        <v>10-20%</v>
      </c>
      <c r="AI1156" s="32"/>
      <c r="AJ1156" s="36" t="s">
        <v>3299</v>
      </c>
      <c r="AK1156" s="32"/>
    </row>
    <row r="1157" spans="1:37" s="1" customFormat="1" ht="19.7" customHeight="1" x14ac:dyDescent="0.25">
      <c r="A1157" s="5" t="s">
        <v>22</v>
      </c>
      <c r="B1157" s="5" t="s">
        <v>739</v>
      </c>
      <c r="C1157" s="6">
        <v>44295</v>
      </c>
      <c r="D1157" s="5" t="s">
        <v>24</v>
      </c>
      <c r="E1157" s="5" t="s">
        <v>25</v>
      </c>
      <c r="F1157" s="5" t="s">
        <v>26</v>
      </c>
      <c r="G1157" s="5" t="s">
        <v>27</v>
      </c>
      <c r="H1157" s="5" t="s">
        <v>28</v>
      </c>
      <c r="I1157" s="5" t="s">
        <v>29</v>
      </c>
      <c r="J1157" s="5" t="s">
        <v>30</v>
      </c>
      <c r="K1157" s="5" t="s">
        <v>31</v>
      </c>
      <c r="L1157" s="5" t="s">
        <v>32</v>
      </c>
      <c r="M1157" s="5" t="s">
        <v>743</v>
      </c>
      <c r="N1157" s="5" t="s">
        <v>697</v>
      </c>
      <c r="O1157" s="5" t="s">
        <v>455</v>
      </c>
      <c r="P1157" s="5" t="s">
        <v>744</v>
      </c>
      <c r="Q1157" s="5">
        <v>101386515</v>
      </c>
      <c r="R1157" s="5" t="s">
        <v>51</v>
      </c>
      <c r="S1157" s="5" t="s">
        <v>39</v>
      </c>
      <c r="T1157" s="7">
        <v>1</v>
      </c>
      <c r="U1157" s="15" t="s">
        <v>455</v>
      </c>
      <c r="V1157" s="16" t="s">
        <v>744</v>
      </c>
      <c r="W1157" s="17">
        <v>101386515</v>
      </c>
      <c r="X1157" s="16" t="s">
        <v>2620</v>
      </c>
      <c r="Y1157" s="17" t="s">
        <v>2801</v>
      </c>
      <c r="Z1157" s="17" t="s">
        <v>39</v>
      </c>
      <c r="AA1157" s="17" t="s">
        <v>37</v>
      </c>
      <c r="AB1157" s="29">
        <v>424.03</v>
      </c>
      <c r="AC1157" s="25">
        <v>491.89</v>
      </c>
      <c r="AD1157" s="25">
        <f>AC1157*T1157</f>
        <v>491.89</v>
      </c>
      <c r="AE1157" s="25">
        <f>AB1157*T1157</f>
        <v>424.03</v>
      </c>
      <c r="AF1157" s="25">
        <f>AD1157-AE1157</f>
        <v>67.860000000000014</v>
      </c>
      <c r="AG1157" s="26">
        <f>AF1157/AD1157</f>
        <v>0.13795767346357929</v>
      </c>
      <c r="AH1157" s="27" t="str">
        <f>IF(AG1157&lt;0,"Negative",IF(AG1157=0,"Same",IF(AG1157&gt;0.3,"30+%",IF(AG1157&gt;0.2,"20-30%",IF(AG1157&gt;0.1,"10-20%",IF(AG1157&lt;=0.1,"0-10%"))))))</f>
        <v>10-20%</v>
      </c>
      <c r="AI1157" s="32"/>
      <c r="AJ1157" s="36" t="s">
        <v>3299</v>
      </c>
      <c r="AK1157" s="32"/>
    </row>
    <row r="1158" spans="1:37" s="1" customFormat="1" ht="19.7" customHeight="1" x14ac:dyDescent="0.25">
      <c r="A1158" s="5" t="s">
        <v>22</v>
      </c>
      <c r="B1158" s="5" t="s">
        <v>1314</v>
      </c>
      <c r="C1158" s="6">
        <v>44376</v>
      </c>
      <c r="D1158" s="5" t="s">
        <v>24</v>
      </c>
      <c r="E1158" s="5" t="s">
        <v>25</v>
      </c>
      <c r="F1158" s="5" t="s">
        <v>26</v>
      </c>
      <c r="G1158" s="5" t="s">
        <v>27</v>
      </c>
      <c r="H1158" s="5" t="s">
        <v>28</v>
      </c>
      <c r="I1158" s="5" t="s">
        <v>29</v>
      </c>
      <c r="J1158" s="5" t="s">
        <v>30</v>
      </c>
      <c r="K1158" s="5" t="s">
        <v>31</v>
      </c>
      <c r="L1158" s="5" t="s">
        <v>32</v>
      </c>
      <c r="M1158" s="5" t="s">
        <v>261</v>
      </c>
      <c r="N1158" s="5" t="s">
        <v>1315</v>
      </c>
      <c r="O1158" s="5" t="s">
        <v>103</v>
      </c>
      <c r="P1158" s="5" t="s">
        <v>1316</v>
      </c>
      <c r="Q1158" s="5">
        <v>118013857</v>
      </c>
      <c r="R1158" s="5" t="s">
        <v>56</v>
      </c>
      <c r="S1158" s="5" t="s">
        <v>39</v>
      </c>
      <c r="T1158" s="7">
        <v>1</v>
      </c>
      <c r="U1158" s="15" t="s">
        <v>103</v>
      </c>
      <c r="V1158" s="16" t="s">
        <v>1316</v>
      </c>
      <c r="W1158" s="17">
        <v>118013857</v>
      </c>
      <c r="X1158" s="16" t="s">
        <v>2995</v>
      </c>
      <c r="Y1158" s="17" t="s">
        <v>2996</v>
      </c>
      <c r="Z1158" s="17" t="s">
        <v>39</v>
      </c>
      <c r="AA1158" s="17" t="s">
        <v>2501</v>
      </c>
      <c r="AB1158" s="29">
        <v>7297.74</v>
      </c>
      <c r="AC1158" s="25">
        <v>7453.01</v>
      </c>
      <c r="AD1158" s="25">
        <f>AC1158*T1158</f>
        <v>7453.01</v>
      </c>
      <c r="AE1158" s="25">
        <f>AB1158*T1158</f>
        <v>7297.74</v>
      </c>
      <c r="AF1158" s="25">
        <f>AD1158-AE1158</f>
        <v>155.27000000000044</v>
      </c>
      <c r="AG1158" s="26">
        <f>AF1158/AD1158</f>
        <v>2.0833193568772942E-2</v>
      </c>
      <c r="AH1158" s="27" t="str">
        <f>IF(AG1158&lt;0,"Negative",IF(AG1158=0,"Same",IF(AG1158&gt;0.3,"30+%",IF(AG1158&gt;0.2,"20-30%",IF(AG1158&gt;0.1,"10-20%",IF(AG1158&lt;=0.1,"0-10%"))))))</f>
        <v>0-10%</v>
      </c>
      <c r="AI1158" s="32"/>
      <c r="AJ1158" s="36" t="s">
        <v>3300</v>
      </c>
      <c r="AK1158" s="32"/>
    </row>
    <row r="1159" spans="1:37" s="1" customFormat="1" ht="19.7" customHeight="1" x14ac:dyDescent="0.25">
      <c r="A1159" s="9" t="s">
        <v>22</v>
      </c>
      <c r="B1159" s="9" t="s">
        <v>1897</v>
      </c>
      <c r="C1159" s="10">
        <v>44477</v>
      </c>
      <c r="D1159" s="9" t="s">
        <v>24</v>
      </c>
      <c r="E1159" s="9" t="s">
        <v>25</v>
      </c>
      <c r="F1159" s="9" t="s">
        <v>26</v>
      </c>
      <c r="G1159" s="9" t="s">
        <v>27</v>
      </c>
      <c r="H1159" s="9" t="s">
        <v>28</v>
      </c>
      <c r="I1159" s="9" t="s">
        <v>29</v>
      </c>
      <c r="J1159" s="9" t="s">
        <v>30</v>
      </c>
      <c r="K1159" s="9" t="s">
        <v>31</v>
      </c>
      <c r="L1159" s="9" t="s">
        <v>32</v>
      </c>
      <c r="M1159" s="9" t="s">
        <v>1037</v>
      </c>
      <c r="N1159" s="9" t="s">
        <v>1898</v>
      </c>
      <c r="O1159" s="9" t="s">
        <v>1021</v>
      </c>
      <c r="P1159" s="9" t="s">
        <v>1038</v>
      </c>
      <c r="Q1159" s="9">
        <v>103803558</v>
      </c>
      <c r="R1159" s="9" t="s">
        <v>56</v>
      </c>
      <c r="S1159" s="9" t="s">
        <v>39</v>
      </c>
      <c r="T1159" s="11">
        <v>3</v>
      </c>
      <c r="U1159" s="15" t="s">
        <v>1021</v>
      </c>
      <c r="V1159" s="16" t="s">
        <v>1038</v>
      </c>
      <c r="W1159" s="17">
        <v>103803558</v>
      </c>
      <c r="X1159" s="16" t="s">
        <v>2845</v>
      </c>
      <c r="Y1159" s="17" t="s">
        <v>2901</v>
      </c>
      <c r="Z1159" s="17" t="s">
        <v>39</v>
      </c>
      <c r="AA1159" s="17" t="s">
        <v>37</v>
      </c>
      <c r="AB1159" s="43">
        <v>977.64</v>
      </c>
      <c r="AC1159" s="25">
        <v>998.44</v>
      </c>
      <c r="AD1159" s="25">
        <f>AC1159*T1159</f>
        <v>2995.32</v>
      </c>
      <c r="AE1159" s="25">
        <f>AB1159*T1159</f>
        <v>2932.92</v>
      </c>
      <c r="AF1159" s="25">
        <f>AD1159-AE1159</f>
        <v>62.400000000000091</v>
      </c>
      <c r="AG1159" s="26">
        <f>AF1159/AD1159</f>
        <v>2.0832498697968861E-2</v>
      </c>
      <c r="AH1159" s="27" t="str">
        <f>IF(AG1159&lt;0,"Negative",IF(AG1159=0,"Same",IF(AG1159&gt;0.3,"30+%",IF(AG1159&gt;0.2,"20-30%",IF(AG1159&gt;0.1,"10-20%",IF(AG1159&lt;=0.1,"0-10%"))))))</f>
        <v>0-10%</v>
      </c>
      <c r="AI1159" s="32"/>
      <c r="AJ1159" s="36" t="s">
        <v>3300</v>
      </c>
      <c r="AK1159" s="32"/>
    </row>
    <row r="1160" spans="1:37" s="1" customFormat="1" ht="19.7" customHeight="1" x14ac:dyDescent="0.25">
      <c r="A1160" s="5" t="s">
        <v>22</v>
      </c>
      <c r="B1160" s="5" t="s">
        <v>345</v>
      </c>
      <c r="C1160" s="6">
        <v>44253</v>
      </c>
      <c r="D1160" s="5" t="s">
        <v>24</v>
      </c>
      <c r="E1160" s="5" t="s">
        <v>25</v>
      </c>
      <c r="F1160" s="5" t="s">
        <v>26</v>
      </c>
      <c r="G1160" s="5" t="s">
        <v>67</v>
      </c>
      <c r="H1160" s="5" t="s">
        <v>68</v>
      </c>
      <c r="I1160" s="5" t="s">
        <v>29</v>
      </c>
      <c r="J1160" s="5" t="s">
        <v>30</v>
      </c>
      <c r="K1160" s="5" t="s">
        <v>31</v>
      </c>
      <c r="L1160" s="5" t="s">
        <v>32</v>
      </c>
      <c r="M1160" s="5" t="s">
        <v>288</v>
      </c>
      <c r="N1160" s="5" t="s">
        <v>347</v>
      </c>
      <c r="O1160" s="5" t="s">
        <v>79</v>
      </c>
      <c r="P1160" s="5" t="s">
        <v>289</v>
      </c>
      <c r="Q1160" s="5">
        <v>100762644</v>
      </c>
      <c r="R1160" s="5" t="s">
        <v>61</v>
      </c>
      <c r="S1160" s="5" t="s">
        <v>39</v>
      </c>
      <c r="T1160" s="7">
        <v>1</v>
      </c>
      <c r="U1160" s="15" t="s">
        <v>79</v>
      </c>
      <c r="V1160" s="16" t="s">
        <v>289</v>
      </c>
      <c r="W1160" s="17">
        <v>100762644</v>
      </c>
      <c r="X1160" s="16" t="s">
        <v>2608</v>
      </c>
      <c r="Y1160" s="17" t="s">
        <v>2609</v>
      </c>
      <c r="Z1160" s="17" t="s">
        <v>39</v>
      </c>
      <c r="AA1160" s="17" t="s">
        <v>37</v>
      </c>
      <c r="AB1160" s="43">
        <v>383.72</v>
      </c>
      <c r="AC1160" s="25">
        <v>404.79</v>
      </c>
      <c r="AD1160" s="25">
        <f>AC1160*T1160</f>
        <v>404.79</v>
      </c>
      <c r="AE1160" s="25">
        <f>AB1160*T1160</f>
        <v>383.72</v>
      </c>
      <c r="AF1160" s="25">
        <f>AD1160-AE1160</f>
        <v>21.069999999999993</v>
      </c>
      <c r="AG1160" s="26">
        <f>AF1160/AD1160</f>
        <v>5.2051681118604691E-2</v>
      </c>
      <c r="AH1160" s="27" t="str">
        <f>IF(AG1160&lt;0,"Negative",IF(AG1160=0,"Same",IF(AG1160&gt;0.3,"30+%",IF(AG1160&gt;0.2,"20-30%",IF(AG1160&gt;0.1,"10-20%",IF(AG1160&lt;=0.1,"0-10%"))))))</f>
        <v>0-10%</v>
      </c>
      <c r="AI1160" s="32"/>
      <c r="AJ1160" s="36" t="s">
        <v>3300</v>
      </c>
      <c r="AK1160" s="32"/>
    </row>
    <row r="1161" spans="1:37" s="1" customFormat="1" ht="19.7" customHeight="1" x14ac:dyDescent="0.25">
      <c r="A1161" s="9" t="s">
        <v>22</v>
      </c>
      <c r="B1161" s="9" t="s">
        <v>282</v>
      </c>
      <c r="C1161" s="10">
        <v>44246</v>
      </c>
      <c r="D1161" s="9" t="s">
        <v>24</v>
      </c>
      <c r="E1161" s="9" t="s">
        <v>25</v>
      </c>
      <c r="F1161" s="9" t="s">
        <v>26</v>
      </c>
      <c r="G1161" s="9" t="s">
        <v>67</v>
      </c>
      <c r="H1161" s="9" t="s">
        <v>68</v>
      </c>
      <c r="I1161" s="9" t="s">
        <v>29</v>
      </c>
      <c r="J1161" s="9" t="s">
        <v>30</v>
      </c>
      <c r="K1161" s="9" t="s">
        <v>31</v>
      </c>
      <c r="L1161" s="9" t="s">
        <v>32</v>
      </c>
      <c r="M1161" s="9" t="s">
        <v>288</v>
      </c>
      <c r="N1161" s="9" t="s">
        <v>284</v>
      </c>
      <c r="O1161" s="9" t="s">
        <v>79</v>
      </c>
      <c r="P1161" s="9" t="s">
        <v>289</v>
      </c>
      <c r="Q1161" s="9">
        <v>100762644</v>
      </c>
      <c r="R1161" s="9" t="s">
        <v>61</v>
      </c>
      <c r="S1161" s="9" t="s">
        <v>39</v>
      </c>
      <c r="T1161" s="11">
        <v>1</v>
      </c>
      <c r="U1161" s="15" t="s">
        <v>79</v>
      </c>
      <c r="V1161" s="16" t="s">
        <v>289</v>
      </c>
      <c r="W1161" s="17">
        <v>100762644</v>
      </c>
      <c r="X1161" s="16" t="s">
        <v>2608</v>
      </c>
      <c r="Y1161" s="17" t="s">
        <v>2609</v>
      </c>
      <c r="Z1161" s="17" t="s">
        <v>39</v>
      </c>
      <c r="AA1161" s="17" t="s">
        <v>37</v>
      </c>
      <c r="AB1161" s="43">
        <v>383.72</v>
      </c>
      <c r="AC1161" s="25">
        <v>404.79</v>
      </c>
      <c r="AD1161" s="25">
        <f>AC1161*T1161</f>
        <v>404.79</v>
      </c>
      <c r="AE1161" s="25">
        <f>AB1161*T1161</f>
        <v>383.72</v>
      </c>
      <c r="AF1161" s="25">
        <f>AD1161-AE1161</f>
        <v>21.069999999999993</v>
      </c>
      <c r="AG1161" s="26">
        <f>AF1161/AD1161</f>
        <v>5.2051681118604691E-2</v>
      </c>
      <c r="AH1161" s="27" t="str">
        <f>IF(AG1161&lt;0,"Negative",IF(AG1161=0,"Same",IF(AG1161&gt;0.3,"30+%",IF(AG1161&gt;0.2,"20-30%",IF(AG1161&gt;0.1,"10-20%",IF(AG1161&lt;=0.1,"0-10%"))))))</f>
        <v>0-10%</v>
      </c>
      <c r="AI1161" s="32"/>
      <c r="AJ1161" s="36" t="s">
        <v>3300</v>
      </c>
      <c r="AK1161" s="32"/>
    </row>
    <row r="1162" spans="1:37" s="1" customFormat="1" ht="19.7" customHeight="1" x14ac:dyDescent="0.25">
      <c r="A1162" s="9" t="s">
        <v>22</v>
      </c>
      <c r="B1162" s="9" t="s">
        <v>1479</v>
      </c>
      <c r="C1162" s="10">
        <v>44403</v>
      </c>
      <c r="D1162" s="9" t="s">
        <v>24</v>
      </c>
      <c r="E1162" s="9" t="s">
        <v>25</v>
      </c>
      <c r="F1162" s="9" t="s">
        <v>26</v>
      </c>
      <c r="G1162" s="9" t="s">
        <v>67</v>
      </c>
      <c r="H1162" s="9" t="s">
        <v>68</v>
      </c>
      <c r="I1162" s="9" t="s">
        <v>29</v>
      </c>
      <c r="J1162" s="9" t="s">
        <v>30</v>
      </c>
      <c r="K1162" s="9" t="s">
        <v>31</v>
      </c>
      <c r="L1162" s="9" t="s">
        <v>32</v>
      </c>
      <c r="M1162" s="9" t="s">
        <v>288</v>
      </c>
      <c r="N1162" s="9" t="s">
        <v>1480</v>
      </c>
      <c r="O1162" s="9" t="s">
        <v>79</v>
      </c>
      <c r="P1162" s="9" t="s">
        <v>289</v>
      </c>
      <c r="Q1162" s="9">
        <v>100762644</v>
      </c>
      <c r="R1162" s="9" t="s">
        <v>61</v>
      </c>
      <c r="S1162" s="9" t="s">
        <v>39</v>
      </c>
      <c r="T1162" s="11">
        <v>2</v>
      </c>
      <c r="U1162" s="15" t="s">
        <v>79</v>
      </c>
      <c r="V1162" s="16" t="s">
        <v>289</v>
      </c>
      <c r="W1162" s="17">
        <v>100762644</v>
      </c>
      <c r="X1162" s="16" t="s">
        <v>2608</v>
      </c>
      <c r="Y1162" s="17" t="s">
        <v>2609</v>
      </c>
      <c r="Z1162" s="17" t="s">
        <v>39</v>
      </c>
      <c r="AA1162" s="17" t="s">
        <v>37</v>
      </c>
      <c r="AB1162" s="43">
        <v>383.72</v>
      </c>
      <c r="AC1162" s="25">
        <v>404.79</v>
      </c>
      <c r="AD1162" s="25">
        <f>AC1162*T1162</f>
        <v>809.58</v>
      </c>
      <c r="AE1162" s="25">
        <f>AB1162*T1162</f>
        <v>767.44</v>
      </c>
      <c r="AF1162" s="25">
        <f>AD1162-AE1162</f>
        <v>42.139999999999986</v>
      </c>
      <c r="AG1162" s="26">
        <f>AF1162/AD1162</f>
        <v>5.2051681118604691E-2</v>
      </c>
      <c r="AH1162" s="27" t="str">
        <f>IF(AG1162&lt;0,"Negative",IF(AG1162=0,"Same",IF(AG1162&gt;0.3,"30+%",IF(AG1162&gt;0.2,"20-30%",IF(AG1162&gt;0.1,"10-20%",IF(AG1162&lt;=0.1,"0-10%"))))))</f>
        <v>0-10%</v>
      </c>
      <c r="AI1162" s="32"/>
      <c r="AJ1162" s="36" t="s">
        <v>3300</v>
      </c>
      <c r="AK1162" s="32"/>
    </row>
    <row r="1163" spans="1:37" s="1" customFormat="1" ht="19.7" customHeight="1" x14ac:dyDescent="0.25">
      <c r="A1163" s="9" t="s">
        <v>22</v>
      </c>
      <c r="B1163" s="9" t="s">
        <v>2408</v>
      </c>
      <c r="C1163" s="10">
        <v>44580</v>
      </c>
      <c r="D1163" s="9" t="s">
        <v>24</v>
      </c>
      <c r="E1163" s="9" t="s">
        <v>25</v>
      </c>
      <c r="F1163" s="9" t="s">
        <v>26</v>
      </c>
      <c r="G1163" s="9" t="s">
        <v>27</v>
      </c>
      <c r="H1163" s="9" t="s">
        <v>28</v>
      </c>
      <c r="I1163" s="9" t="s">
        <v>29</v>
      </c>
      <c r="J1163" s="9" t="s">
        <v>30</v>
      </c>
      <c r="K1163" s="9" t="s">
        <v>31</v>
      </c>
      <c r="L1163" s="9" t="s">
        <v>32</v>
      </c>
      <c r="M1163" s="9" t="s">
        <v>936</v>
      </c>
      <c r="N1163" s="9" t="s">
        <v>2204</v>
      </c>
      <c r="O1163" s="9" t="s">
        <v>937</v>
      </c>
      <c r="P1163" s="9" t="s">
        <v>938</v>
      </c>
      <c r="Q1163" s="9">
        <v>100749339</v>
      </c>
      <c r="R1163" s="9" t="s">
        <v>45</v>
      </c>
      <c r="S1163" s="9" t="s">
        <v>39</v>
      </c>
      <c r="T1163" s="11">
        <v>2</v>
      </c>
      <c r="U1163" s="15" t="s">
        <v>937</v>
      </c>
      <c r="V1163" s="16" t="s">
        <v>938</v>
      </c>
      <c r="W1163" s="17">
        <v>100749339</v>
      </c>
      <c r="X1163" s="16" t="s">
        <v>2868</v>
      </c>
      <c r="Y1163" s="17" t="s">
        <v>2869</v>
      </c>
      <c r="Z1163" s="17" t="s">
        <v>39</v>
      </c>
      <c r="AA1163" s="17" t="s">
        <v>37</v>
      </c>
      <c r="AB1163" s="29">
        <v>662.49</v>
      </c>
      <c r="AC1163" s="25">
        <v>717.77</v>
      </c>
      <c r="AD1163" s="25">
        <f>AC1163*T1163</f>
        <v>1435.54</v>
      </c>
      <c r="AE1163" s="25">
        <f>AB1163*T1163</f>
        <v>1324.98</v>
      </c>
      <c r="AF1163" s="25">
        <f>AD1163-AE1163</f>
        <v>110.55999999999995</v>
      </c>
      <c r="AG1163" s="26">
        <f>AF1163/AD1163</f>
        <v>7.7016314418267659E-2</v>
      </c>
      <c r="AH1163" s="27" t="str">
        <f>IF(AG1163&lt;0,"Negative",IF(AG1163=0,"Same",IF(AG1163&gt;0.3,"30+%",IF(AG1163&gt;0.2,"20-30%",IF(AG1163&gt;0.1,"10-20%",IF(AG1163&lt;=0.1,"0-10%"))))))</f>
        <v>0-10%</v>
      </c>
      <c r="AI1163" s="32"/>
      <c r="AJ1163" s="36" t="s">
        <v>3300</v>
      </c>
      <c r="AK1163" s="32"/>
    </row>
    <row r="1164" spans="1:37" s="1" customFormat="1" ht="19.7" customHeight="1" x14ac:dyDescent="0.25">
      <c r="A1164" s="5" t="s">
        <v>22</v>
      </c>
      <c r="B1164" s="5" t="s">
        <v>1831</v>
      </c>
      <c r="C1164" s="6">
        <v>44468</v>
      </c>
      <c r="D1164" s="5" t="s">
        <v>24</v>
      </c>
      <c r="E1164" s="5" t="s">
        <v>25</v>
      </c>
      <c r="F1164" s="5" t="s">
        <v>26</v>
      </c>
      <c r="G1164" s="5" t="s">
        <v>27</v>
      </c>
      <c r="H1164" s="5" t="s">
        <v>28</v>
      </c>
      <c r="I1164" s="5" t="s">
        <v>29</v>
      </c>
      <c r="J1164" s="5" t="s">
        <v>30</v>
      </c>
      <c r="K1164" s="5" t="s">
        <v>31</v>
      </c>
      <c r="L1164" s="5" t="s">
        <v>32</v>
      </c>
      <c r="M1164" s="5" t="s">
        <v>261</v>
      </c>
      <c r="N1164" s="5" t="s">
        <v>1832</v>
      </c>
      <c r="O1164" s="5" t="s">
        <v>43</v>
      </c>
      <c r="P1164" s="5" t="s">
        <v>1833</v>
      </c>
      <c r="Q1164" s="5">
        <v>118584777</v>
      </c>
      <c r="R1164" s="5" t="s">
        <v>73</v>
      </c>
      <c r="S1164" s="5" t="s">
        <v>39</v>
      </c>
      <c r="T1164" s="7">
        <v>4</v>
      </c>
      <c r="U1164" s="15" t="s">
        <v>43</v>
      </c>
      <c r="V1164" s="16" t="s">
        <v>1833</v>
      </c>
      <c r="W1164" s="17">
        <v>118584777</v>
      </c>
      <c r="X1164" s="16" t="s">
        <v>3145</v>
      </c>
      <c r="Y1164" s="17" t="s">
        <v>3146</v>
      </c>
      <c r="Z1164" s="17" t="s">
        <v>39</v>
      </c>
      <c r="AA1164" s="17" t="s">
        <v>2501</v>
      </c>
      <c r="AB1164" s="29">
        <v>1366.8</v>
      </c>
      <c r="AC1164" s="25">
        <v>1394.54</v>
      </c>
      <c r="AD1164" s="25">
        <f>AC1164*T1164</f>
        <v>5578.16</v>
      </c>
      <c r="AE1164" s="25">
        <f>AB1164*T1164</f>
        <v>5467.2</v>
      </c>
      <c r="AF1164" s="25">
        <f>AD1164-AE1164</f>
        <v>110.96000000000004</v>
      </c>
      <c r="AG1164" s="26">
        <f>AF1164/AD1164</f>
        <v>1.989186398382263E-2</v>
      </c>
      <c r="AH1164" s="27" t="str">
        <f>IF(AG1164&lt;0,"Negative",IF(AG1164=0,"Same",IF(AG1164&gt;0.3,"30+%",IF(AG1164&gt;0.2,"20-30%",IF(AG1164&gt;0.1,"10-20%",IF(AG1164&lt;=0.1,"0-10%"))))))</f>
        <v>0-10%</v>
      </c>
      <c r="AI1164" s="32"/>
      <c r="AJ1164" s="36" t="s">
        <v>3300</v>
      </c>
      <c r="AK1164" s="32"/>
    </row>
    <row r="1165" spans="1:37" s="1" customFormat="1" ht="19.7" customHeight="1" x14ac:dyDescent="0.25">
      <c r="A1165" s="5" t="s">
        <v>22</v>
      </c>
      <c r="B1165" s="5" t="s">
        <v>504</v>
      </c>
      <c r="C1165" s="6">
        <v>44270</v>
      </c>
      <c r="D1165" s="5" t="s">
        <v>24</v>
      </c>
      <c r="E1165" s="5" t="s">
        <v>25</v>
      </c>
      <c r="F1165" s="5" t="s">
        <v>26</v>
      </c>
      <c r="G1165" s="5" t="s">
        <v>27</v>
      </c>
      <c r="H1165" s="5" t="s">
        <v>28</v>
      </c>
      <c r="I1165" s="5" t="s">
        <v>29</v>
      </c>
      <c r="J1165" s="5" t="s">
        <v>30</v>
      </c>
      <c r="K1165" s="5" t="s">
        <v>31</v>
      </c>
      <c r="L1165" s="5" t="s">
        <v>32</v>
      </c>
      <c r="M1165" s="5" t="s">
        <v>505</v>
      </c>
      <c r="N1165" s="5" t="s">
        <v>222</v>
      </c>
      <c r="O1165" s="5" t="s">
        <v>79</v>
      </c>
      <c r="P1165" s="5" t="s">
        <v>506</v>
      </c>
      <c r="Q1165" s="5">
        <v>100756966</v>
      </c>
      <c r="R1165" s="5" t="s">
        <v>61</v>
      </c>
      <c r="S1165" s="5" t="s">
        <v>39</v>
      </c>
      <c r="T1165" s="7">
        <v>2</v>
      </c>
      <c r="U1165" s="15" t="s">
        <v>79</v>
      </c>
      <c r="V1165" s="16" t="s">
        <v>506</v>
      </c>
      <c r="W1165" s="17">
        <v>100756966</v>
      </c>
      <c r="X1165" s="16" t="s">
        <v>2705</v>
      </c>
      <c r="Y1165" s="17" t="s">
        <v>2706</v>
      </c>
      <c r="Z1165" s="17" t="s">
        <v>39</v>
      </c>
      <c r="AA1165" s="17" t="s">
        <v>37</v>
      </c>
      <c r="AB1165" s="43">
        <v>371.23</v>
      </c>
      <c r="AC1165" s="25">
        <v>374.77</v>
      </c>
      <c r="AD1165" s="25">
        <f>AC1165*T1165</f>
        <v>749.54</v>
      </c>
      <c r="AE1165" s="25">
        <f>AB1165*T1165</f>
        <v>742.46</v>
      </c>
      <c r="AF1165" s="25">
        <f>AD1165-AE1165</f>
        <v>7.0799999999999272</v>
      </c>
      <c r="AG1165" s="26">
        <f>AF1165/AD1165</f>
        <v>9.4457934199641477E-3</v>
      </c>
      <c r="AH1165" s="27" t="str">
        <f>IF(AG1165&lt;0,"Negative",IF(AG1165=0,"Same",IF(AG1165&gt;0.3,"30+%",IF(AG1165&gt;0.2,"20-30%",IF(AG1165&gt;0.1,"10-20%",IF(AG1165&lt;=0.1,"0-10%"))))))</f>
        <v>0-10%</v>
      </c>
      <c r="AI1165" s="32"/>
      <c r="AJ1165" s="36" t="s">
        <v>3300</v>
      </c>
      <c r="AK1165" s="32"/>
    </row>
    <row r="1166" spans="1:37" s="1" customFormat="1" ht="19.7" customHeight="1" x14ac:dyDescent="0.25">
      <c r="A1166" s="9" t="s">
        <v>22</v>
      </c>
      <c r="B1166" s="9" t="s">
        <v>2197</v>
      </c>
      <c r="C1166" s="10">
        <v>44537</v>
      </c>
      <c r="D1166" s="9" t="s">
        <v>24</v>
      </c>
      <c r="E1166" s="9" t="s">
        <v>25</v>
      </c>
      <c r="F1166" s="9" t="s">
        <v>26</v>
      </c>
      <c r="G1166" s="9" t="s">
        <v>27</v>
      </c>
      <c r="H1166" s="9" t="s">
        <v>28</v>
      </c>
      <c r="I1166" s="9" t="s">
        <v>29</v>
      </c>
      <c r="J1166" s="9" t="s">
        <v>30</v>
      </c>
      <c r="K1166" s="9" t="s">
        <v>31</v>
      </c>
      <c r="L1166" s="9" t="s">
        <v>32</v>
      </c>
      <c r="M1166" s="9" t="s">
        <v>1489</v>
      </c>
      <c r="N1166" s="9" t="s">
        <v>2165</v>
      </c>
      <c r="O1166" s="9" t="s">
        <v>575</v>
      </c>
      <c r="P1166" s="9" t="s">
        <v>1490</v>
      </c>
      <c r="Q1166" s="9">
        <v>100351993</v>
      </c>
      <c r="R1166" s="9" t="s">
        <v>38</v>
      </c>
      <c r="S1166" s="9" t="s">
        <v>39</v>
      </c>
      <c r="T1166" s="11">
        <v>1</v>
      </c>
      <c r="U1166" s="15" t="s">
        <v>575</v>
      </c>
      <c r="V1166" s="16" t="s">
        <v>1490</v>
      </c>
      <c r="W1166" s="17">
        <v>100351993</v>
      </c>
      <c r="X1166" s="16" t="s">
        <v>2763</v>
      </c>
      <c r="Y1166" s="17" t="s">
        <v>3056</v>
      </c>
      <c r="Z1166" s="17" t="s">
        <v>39</v>
      </c>
      <c r="AA1166" s="17" t="s">
        <v>37</v>
      </c>
      <c r="AB1166" s="29">
        <v>789.25</v>
      </c>
      <c r="AC1166" s="25">
        <v>807.12</v>
      </c>
      <c r="AD1166" s="25">
        <f>AC1166*T1166</f>
        <v>807.12</v>
      </c>
      <c r="AE1166" s="25">
        <f>AB1166*T1166</f>
        <v>789.25</v>
      </c>
      <c r="AF1166" s="25">
        <f>AD1166-AE1166</f>
        <v>17.870000000000005</v>
      </c>
      <c r="AG1166" s="26">
        <f>AF1166/AD1166</f>
        <v>2.2140449995044113E-2</v>
      </c>
      <c r="AH1166" s="27" t="str">
        <f>IF(AG1166&lt;0,"Negative",IF(AG1166=0,"Same",IF(AG1166&gt;0.3,"30+%",IF(AG1166&gt;0.2,"20-30%",IF(AG1166&gt;0.1,"10-20%",IF(AG1166&lt;=0.1,"0-10%"))))))</f>
        <v>0-10%</v>
      </c>
      <c r="AI1166" s="32"/>
      <c r="AJ1166" s="36" t="s">
        <v>3300</v>
      </c>
      <c r="AK1166" s="32"/>
    </row>
    <row r="1167" spans="1:37" s="1" customFormat="1" ht="19.7" customHeight="1" x14ac:dyDescent="0.25">
      <c r="A1167" s="9" t="s">
        <v>22</v>
      </c>
      <c r="B1167" s="9" t="s">
        <v>1841</v>
      </c>
      <c r="C1167" s="10">
        <v>44468</v>
      </c>
      <c r="D1167" s="9" t="s">
        <v>24</v>
      </c>
      <c r="E1167" s="9" t="s">
        <v>25</v>
      </c>
      <c r="F1167" s="9" t="s">
        <v>26</v>
      </c>
      <c r="G1167" s="9" t="s">
        <v>27</v>
      </c>
      <c r="H1167" s="9" t="s">
        <v>28</v>
      </c>
      <c r="I1167" s="9" t="s">
        <v>29</v>
      </c>
      <c r="J1167" s="9" t="s">
        <v>30</v>
      </c>
      <c r="K1167" s="9" t="s">
        <v>31</v>
      </c>
      <c r="L1167" s="9" t="s">
        <v>32</v>
      </c>
      <c r="M1167" s="9" t="s">
        <v>1842</v>
      </c>
      <c r="N1167" s="9" t="s">
        <v>1772</v>
      </c>
      <c r="O1167" s="9" t="s">
        <v>455</v>
      </c>
      <c r="P1167" s="9" t="s">
        <v>1843</v>
      </c>
      <c r="Q1167" s="9">
        <v>104747960</v>
      </c>
      <c r="R1167" s="9" t="s">
        <v>51</v>
      </c>
      <c r="S1167" s="9" t="s">
        <v>39</v>
      </c>
      <c r="T1167" s="11">
        <v>1</v>
      </c>
      <c r="U1167" s="15" t="s">
        <v>455</v>
      </c>
      <c r="V1167" s="16" t="s">
        <v>1843</v>
      </c>
      <c r="W1167" s="17">
        <v>104747960</v>
      </c>
      <c r="X1167" s="16" t="s">
        <v>2620</v>
      </c>
      <c r="Y1167" s="17" t="s">
        <v>3149</v>
      </c>
      <c r="Z1167" s="17" t="s">
        <v>39</v>
      </c>
      <c r="AA1167" s="17" t="s">
        <v>37</v>
      </c>
      <c r="AB1167" s="29">
        <v>554.84</v>
      </c>
      <c r="AC1167" s="25">
        <v>607.17999999999995</v>
      </c>
      <c r="AD1167" s="25">
        <f>AC1167*T1167</f>
        <v>607.17999999999995</v>
      </c>
      <c r="AE1167" s="25">
        <f>AB1167*T1167</f>
        <v>554.84</v>
      </c>
      <c r="AF1167" s="25">
        <f>AD1167-AE1167</f>
        <v>52.339999999999918</v>
      </c>
      <c r="AG1167" s="26">
        <f>AF1167/AD1167</f>
        <v>8.6201785302546075E-2</v>
      </c>
      <c r="AH1167" s="27" t="str">
        <f>IF(AG1167&lt;0,"Negative",IF(AG1167=0,"Same",IF(AG1167&gt;0.3,"30+%",IF(AG1167&gt;0.2,"20-30%",IF(AG1167&gt;0.1,"10-20%",IF(AG1167&lt;=0.1,"0-10%"))))))</f>
        <v>0-10%</v>
      </c>
      <c r="AI1167" s="32"/>
      <c r="AJ1167" s="36" t="s">
        <v>3300</v>
      </c>
      <c r="AK1167" s="32"/>
    </row>
    <row r="1168" spans="1:37" s="1" customFormat="1" ht="19.7" customHeight="1" x14ac:dyDescent="0.25">
      <c r="A1168" s="9" t="s">
        <v>22</v>
      </c>
      <c r="B1168" s="9" t="s">
        <v>2311</v>
      </c>
      <c r="C1168" s="10">
        <v>44566</v>
      </c>
      <c r="D1168" s="9" t="s">
        <v>24</v>
      </c>
      <c r="E1168" s="9" t="s">
        <v>25</v>
      </c>
      <c r="F1168" s="9" t="s">
        <v>26</v>
      </c>
      <c r="G1168" s="9" t="s">
        <v>27</v>
      </c>
      <c r="H1168" s="9" t="s">
        <v>28</v>
      </c>
      <c r="I1168" s="9" t="s">
        <v>29</v>
      </c>
      <c r="J1168" s="9" t="s">
        <v>30</v>
      </c>
      <c r="K1168" s="9" t="s">
        <v>31</v>
      </c>
      <c r="L1168" s="9" t="s">
        <v>32</v>
      </c>
      <c r="M1168" s="9" t="s">
        <v>642</v>
      </c>
      <c r="N1168" s="9" t="s">
        <v>2266</v>
      </c>
      <c r="O1168" s="9" t="s">
        <v>575</v>
      </c>
      <c r="P1168" s="9" t="s">
        <v>643</v>
      </c>
      <c r="Q1168" s="9">
        <v>100333806</v>
      </c>
      <c r="R1168" s="9" t="s">
        <v>38</v>
      </c>
      <c r="S1168" s="9" t="s">
        <v>39</v>
      </c>
      <c r="T1168" s="11">
        <v>1</v>
      </c>
      <c r="U1168" s="15" t="s">
        <v>575</v>
      </c>
      <c r="V1168" s="16" t="s">
        <v>643</v>
      </c>
      <c r="W1168" s="17">
        <v>100333806</v>
      </c>
      <c r="X1168" s="16" t="s">
        <v>2763</v>
      </c>
      <c r="Y1168" s="17" t="s">
        <v>2764</v>
      </c>
      <c r="Z1168" s="17" t="s">
        <v>39</v>
      </c>
      <c r="AA1168" s="17" t="s">
        <v>37</v>
      </c>
      <c r="AB1168" s="29">
        <v>831.24</v>
      </c>
      <c r="AC1168" s="25">
        <v>850.05</v>
      </c>
      <c r="AD1168" s="25">
        <f>AC1168*T1168</f>
        <v>850.05</v>
      </c>
      <c r="AE1168" s="25">
        <f>AB1168*T1168</f>
        <v>831.24</v>
      </c>
      <c r="AF1168" s="25">
        <f>AD1168-AE1168</f>
        <v>18.809999999999945</v>
      </c>
      <c r="AG1168" s="26">
        <f>AF1168/AD1168</f>
        <v>2.2128110111169868E-2</v>
      </c>
      <c r="AH1168" s="27" t="str">
        <f>IF(AG1168&lt;0,"Negative",IF(AG1168=0,"Same",IF(AG1168&gt;0.3,"30+%",IF(AG1168&gt;0.2,"20-30%",IF(AG1168&gt;0.1,"10-20%",IF(AG1168&lt;=0.1,"0-10%"))))))</f>
        <v>0-10%</v>
      </c>
      <c r="AI1168" s="32"/>
      <c r="AJ1168" s="36" t="s">
        <v>3300</v>
      </c>
      <c r="AK1168" s="32"/>
    </row>
    <row r="1169" spans="1:37" s="1" customFormat="1" ht="19.7" customHeight="1" x14ac:dyDescent="0.25">
      <c r="A1169" s="5" t="s">
        <v>22</v>
      </c>
      <c r="B1169" s="5" t="s">
        <v>585</v>
      </c>
      <c r="C1169" s="6">
        <v>44279</v>
      </c>
      <c r="D1169" s="5" t="s">
        <v>24</v>
      </c>
      <c r="E1169" s="5" t="s">
        <v>25</v>
      </c>
      <c r="F1169" s="5" t="s">
        <v>26</v>
      </c>
      <c r="G1169" s="5" t="s">
        <v>27</v>
      </c>
      <c r="H1169" s="5" t="s">
        <v>28</v>
      </c>
      <c r="I1169" s="5" t="s">
        <v>29</v>
      </c>
      <c r="J1169" s="5" t="s">
        <v>30</v>
      </c>
      <c r="K1169" s="5" t="s">
        <v>31</v>
      </c>
      <c r="L1169" s="5" t="s">
        <v>32</v>
      </c>
      <c r="M1169" s="5" t="s">
        <v>586</v>
      </c>
      <c r="N1169" s="5" t="s">
        <v>579</v>
      </c>
      <c r="O1169" s="5" t="s">
        <v>125</v>
      </c>
      <c r="P1169" s="5" t="s">
        <v>587</v>
      </c>
      <c r="Q1169" s="5">
        <v>102098459</v>
      </c>
      <c r="R1169" s="5" t="s">
        <v>38</v>
      </c>
      <c r="S1169" s="5" t="s">
        <v>39</v>
      </c>
      <c r="T1169" s="7">
        <v>1</v>
      </c>
      <c r="U1169" s="15" t="s">
        <v>125</v>
      </c>
      <c r="V1169" s="16" t="s">
        <v>587</v>
      </c>
      <c r="W1169" s="17">
        <v>102098459</v>
      </c>
      <c r="X1169" s="16" t="s">
        <v>2585</v>
      </c>
      <c r="Y1169" s="17" t="s">
        <v>2740</v>
      </c>
      <c r="Z1169" s="17" t="s">
        <v>39</v>
      </c>
      <c r="AA1169" s="17" t="s">
        <v>2501</v>
      </c>
      <c r="AB1169" s="29">
        <v>2780.99</v>
      </c>
      <c r="AC1169" s="25">
        <v>2843.93</v>
      </c>
      <c r="AD1169" s="25">
        <f>AC1169*T1169</f>
        <v>2843.93</v>
      </c>
      <c r="AE1169" s="25">
        <f>AB1169*T1169</f>
        <v>2780.99</v>
      </c>
      <c r="AF1169" s="25">
        <f>AD1169-AE1169</f>
        <v>62.940000000000055</v>
      </c>
      <c r="AG1169" s="26">
        <f>AF1169/AD1169</f>
        <v>2.2131346411479909E-2</v>
      </c>
      <c r="AH1169" s="27" t="str">
        <f>IF(AG1169&lt;0,"Negative",IF(AG1169=0,"Same",IF(AG1169&gt;0.3,"30+%",IF(AG1169&gt;0.2,"20-30%",IF(AG1169&gt;0.1,"10-20%",IF(AG1169&lt;=0.1,"0-10%"))))))</f>
        <v>0-10%</v>
      </c>
      <c r="AI1169" s="32"/>
      <c r="AJ1169" s="36" t="s">
        <v>3300</v>
      </c>
      <c r="AK1169" s="32"/>
    </row>
    <row r="1170" spans="1:37" s="1" customFormat="1" ht="19.7" customHeight="1" x14ac:dyDescent="0.25">
      <c r="A1170" s="5" t="s">
        <v>22</v>
      </c>
      <c r="B1170" s="5" t="s">
        <v>796</v>
      </c>
      <c r="C1170" s="6">
        <v>44302</v>
      </c>
      <c r="D1170" s="5" t="s">
        <v>24</v>
      </c>
      <c r="E1170" s="5" t="s">
        <v>25</v>
      </c>
      <c r="F1170" s="5" t="s">
        <v>26</v>
      </c>
      <c r="G1170" s="5" t="s">
        <v>67</v>
      </c>
      <c r="H1170" s="5" t="s">
        <v>68</v>
      </c>
      <c r="I1170" s="5" t="s">
        <v>29</v>
      </c>
      <c r="J1170" s="5" t="s">
        <v>30</v>
      </c>
      <c r="K1170" s="5" t="s">
        <v>31</v>
      </c>
      <c r="L1170" s="5" t="s">
        <v>32</v>
      </c>
      <c r="M1170" s="5" t="s">
        <v>798</v>
      </c>
      <c r="N1170" s="5" t="s">
        <v>797</v>
      </c>
      <c r="O1170" s="5" t="s">
        <v>109</v>
      </c>
      <c r="P1170" s="5" t="s">
        <v>799</v>
      </c>
      <c r="Q1170" s="5">
        <v>100722227</v>
      </c>
      <c r="R1170" s="5" t="s">
        <v>61</v>
      </c>
      <c r="S1170" s="5" t="s">
        <v>39</v>
      </c>
      <c r="T1170" s="7">
        <v>2</v>
      </c>
      <c r="U1170" s="15" t="s">
        <v>109</v>
      </c>
      <c r="V1170" s="16" t="s">
        <v>799</v>
      </c>
      <c r="W1170" s="17">
        <v>100722227</v>
      </c>
      <c r="X1170" s="16" t="s">
        <v>2526</v>
      </c>
      <c r="Y1170" s="17" t="s">
        <v>2821</v>
      </c>
      <c r="Z1170" s="17" t="s">
        <v>39</v>
      </c>
      <c r="AA1170" s="17" t="s">
        <v>37</v>
      </c>
      <c r="AB1170" s="43">
        <v>671.78</v>
      </c>
      <c r="AC1170" s="25">
        <v>685.85</v>
      </c>
      <c r="AD1170" s="25">
        <f>AC1170*T1170</f>
        <v>1371.7</v>
      </c>
      <c r="AE1170" s="25">
        <f>AB1170*T1170</f>
        <v>1343.56</v>
      </c>
      <c r="AF1170" s="25">
        <f>AD1170-AE1170</f>
        <v>28.1400000000001</v>
      </c>
      <c r="AG1170" s="26">
        <f>AF1170/AD1170</f>
        <v>2.0514689800976961E-2</v>
      </c>
      <c r="AH1170" s="27" t="str">
        <f>IF(AG1170&lt;0,"Negative",IF(AG1170=0,"Same",IF(AG1170&gt;0.3,"30+%",IF(AG1170&gt;0.2,"20-30%",IF(AG1170&gt;0.1,"10-20%",IF(AG1170&lt;=0.1,"0-10%"))))))</f>
        <v>0-10%</v>
      </c>
      <c r="AI1170" s="32"/>
      <c r="AJ1170" s="36" t="s">
        <v>3300</v>
      </c>
      <c r="AK1170" s="32"/>
    </row>
    <row r="1171" spans="1:37" s="1" customFormat="1" ht="19.7" customHeight="1" x14ac:dyDescent="0.25">
      <c r="A1171" s="5" t="s">
        <v>22</v>
      </c>
      <c r="B1171" s="5" t="s">
        <v>935</v>
      </c>
      <c r="C1171" s="6">
        <v>44319</v>
      </c>
      <c r="D1171" s="5" t="s">
        <v>24</v>
      </c>
      <c r="E1171" s="5" t="s">
        <v>25</v>
      </c>
      <c r="F1171" s="5" t="s">
        <v>26</v>
      </c>
      <c r="G1171" s="5" t="s">
        <v>27</v>
      </c>
      <c r="H1171" s="5" t="s">
        <v>28</v>
      </c>
      <c r="I1171" s="5" t="s">
        <v>29</v>
      </c>
      <c r="J1171" s="5" t="s">
        <v>30</v>
      </c>
      <c r="K1171" s="5" t="s">
        <v>31</v>
      </c>
      <c r="L1171" s="5" t="s">
        <v>32</v>
      </c>
      <c r="M1171" s="5" t="s">
        <v>936</v>
      </c>
      <c r="N1171" s="5" t="s">
        <v>863</v>
      </c>
      <c r="O1171" s="5" t="s">
        <v>937</v>
      </c>
      <c r="P1171" s="5" t="s">
        <v>938</v>
      </c>
      <c r="Q1171" s="5">
        <v>100749339</v>
      </c>
      <c r="R1171" s="5" t="s">
        <v>45</v>
      </c>
      <c r="S1171" s="5" t="s">
        <v>39</v>
      </c>
      <c r="T1171" s="7">
        <v>2</v>
      </c>
      <c r="U1171" s="15" t="s">
        <v>937</v>
      </c>
      <c r="V1171" s="16" t="s">
        <v>938</v>
      </c>
      <c r="W1171" s="17">
        <v>100749339</v>
      </c>
      <c r="X1171" s="16" t="s">
        <v>2868</v>
      </c>
      <c r="Y1171" s="17" t="s">
        <v>2869</v>
      </c>
      <c r="Z1171" s="17" t="s">
        <v>39</v>
      </c>
      <c r="AA1171" s="17" t="s">
        <v>37</v>
      </c>
      <c r="AB1171" s="29">
        <v>662.49</v>
      </c>
      <c r="AC1171" s="25">
        <v>717.77</v>
      </c>
      <c r="AD1171" s="25">
        <f>AC1171*T1171</f>
        <v>1435.54</v>
      </c>
      <c r="AE1171" s="25">
        <f>AB1171*T1171</f>
        <v>1324.98</v>
      </c>
      <c r="AF1171" s="25">
        <f>AD1171-AE1171</f>
        <v>110.55999999999995</v>
      </c>
      <c r="AG1171" s="26">
        <f>AF1171/AD1171</f>
        <v>7.7016314418267659E-2</v>
      </c>
      <c r="AH1171" s="27" t="str">
        <f>IF(AG1171&lt;0,"Negative",IF(AG1171=0,"Same",IF(AG1171&gt;0.3,"30+%",IF(AG1171&gt;0.2,"20-30%",IF(AG1171&gt;0.1,"10-20%",IF(AG1171&lt;=0.1,"0-10%"))))))</f>
        <v>0-10%</v>
      </c>
      <c r="AI1171" s="32"/>
      <c r="AJ1171" s="36" t="s">
        <v>3300</v>
      </c>
      <c r="AK1171" s="32"/>
    </row>
    <row r="1172" spans="1:37" s="1" customFormat="1" ht="19.7" customHeight="1" x14ac:dyDescent="0.25">
      <c r="A1172" s="9" t="s">
        <v>22</v>
      </c>
      <c r="B1172" s="9" t="s">
        <v>2166</v>
      </c>
      <c r="C1172" s="10">
        <v>44531</v>
      </c>
      <c r="D1172" s="9" t="s">
        <v>24</v>
      </c>
      <c r="E1172" s="9" t="s">
        <v>25</v>
      </c>
      <c r="F1172" s="9" t="s">
        <v>26</v>
      </c>
      <c r="G1172" s="9" t="s">
        <v>27</v>
      </c>
      <c r="H1172" s="9" t="s">
        <v>28</v>
      </c>
      <c r="I1172" s="9" t="s">
        <v>29</v>
      </c>
      <c r="J1172" s="9" t="s">
        <v>30</v>
      </c>
      <c r="K1172" s="9" t="s">
        <v>31</v>
      </c>
      <c r="L1172" s="9" t="s">
        <v>32</v>
      </c>
      <c r="M1172" s="9" t="s">
        <v>380</v>
      </c>
      <c r="N1172" s="9" t="s">
        <v>2073</v>
      </c>
      <c r="O1172" s="9" t="s">
        <v>381</v>
      </c>
      <c r="P1172" s="9" t="s">
        <v>382</v>
      </c>
      <c r="Q1172" s="9">
        <v>112340637</v>
      </c>
      <c r="R1172" s="9" t="s">
        <v>38</v>
      </c>
      <c r="S1172" s="9" t="s">
        <v>39</v>
      </c>
      <c r="T1172" s="11">
        <v>2</v>
      </c>
      <c r="U1172" s="15" t="s">
        <v>381</v>
      </c>
      <c r="V1172" s="16" t="s">
        <v>382</v>
      </c>
      <c r="W1172" s="17">
        <v>112340637</v>
      </c>
      <c r="X1172" s="16" t="s">
        <v>2648</v>
      </c>
      <c r="Y1172" s="17" t="s">
        <v>2649</v>
      </c>
      <c r="Z1172" s="17" t="s">
        <v>39</v>
      </c>
      <c r="AA1172" s="17" t="s">
        <v>37</v>
      </c>
      <c r="AB1172" s="29">
        <v>1033.8499999999999</v>
      </c>
      <c r="AC1172" s="25">
        <v>1083.02</v>
      </c>
      <c r="AD1172" s="25">
        <f>AC1172*T1172</f>
        <v>2166.04</v>
      </c>
      <c r="AE1172" s="25">
        <f>AB1172*T1172</f>
        <v>2067.6999999999998</v>
      </c>
      <c r="AF1172" s="25">
        <f>AD1172-AE1172</f>
        <v>98.340000000000146</v>
      </c>
      <c r="AG1172" s="26">
        <f>AF1172/AD1172</f>
        <v>4.5400823622832515E-2</v>
      </c>
      <c r="AH1172" s="27" t="str">
        <f>IF(AG1172&lt;0,"Negative",IF(AG1172=0,"Same",IF(AG1172&gt;0.3,"30+%",IF(AG1172&gt;0.2,"20-30%",IF(AG1172&gt;0.1,"10-20%",IF(AG1172&lt;=0.1,"0-10%"))))))</f>
        <v>0-10%</v>
      </c>
      <c r="AI1172" s="32"/>
      <c r="AJ1172" s="36" t="s">
        <v>3300</v>
      </c>
      <c r="AK1172" s="32"/>
    </row>
    <row r="1173" spans="1:37" s="1" customFormat="1" ht="19.7" customHeight="1" x14ac:dyDescent="0.25">
      <c r="A1173" s="5" t="s">
        <v>22</v>
      </c>
      <c r="B1173" s="5" t="s">
        <v>1799</v>
      </c>
      <c r="C1173" s="6">
        <v>44466</v>
      </c>
      <c r="D1173" s="5" t="s">
        <v>24</v>
      </c>
      <c r="E1173" s="5" t="s">
        <v>25</v>
      </c>
      <c r="F1173" s="5" t="s">
        <v>26</v>
      </c>
      <c r="G1173" s="5" t="s">
        <v>67</v>
      </c>
      <c r="H1173" s="5" t="s">
        <v>68</v>
      </c>
      <c r="I1173" s="5" t="s">
        <v>29</v>
      </c>
      <c r="J1173" s="5" t="s">
        <v>30</v>
      </c>
      <c r="K1173" s="5" t="s">
        <v>31</v>
      </c>
      <c r="L1173" s="5" t="s">
        <v>32</v>
      </c>
      <c r="M1173" s="5" t="s">
        <v>349</v>
      </c>
      <c r="N1173" s="5" t="s">
        <v>1801</v>
      </c>
      <c r="O1173" s="5" t="s">
        <v>350</v>
      </c>
      <c r="P1173" s="5" t="s">
        <v>351</v>
      </c>
      <c r="Q1173" s="5">
        <v>112300033</v>
      </c>
      <c r="R1173" s="5" t="s">
        <v>56</v>
      </c>
      <c r="S1173" s="5" t="s">
        <v>39</v>
      </c>
      <c r="T1173" s="7">
        <v>1</v>
      </c>
      <c r="U1173" s="15" t="s">
        <v>350</v>
      </c>
      <c r="V1173" s="16" t="s">
        <v>351</v>
      </c>
      <c r="W1173" s="17">
        <v>112300033</v>
      </c>
      <c r="X1173" s="16" t="s">
        <v>2636</v>
      </c>
      <c r="Y1173" s="17" t="s">
        <v>2637</v>
      </c>
      <c r="Z1173" s="17" t="s">
        <v>39</v>
      </c>
      <c r="AA1173" s="17" t="s">
        <v>2501</v>
      </c>
      <c r="AB1173" s="29">
        <v>599.20000000000005</v>
      </c>
      <c r="AC1173" s="25">
        <v>611.94000000000005</v>
      </c>
      <c r="AD1173" s="25">
        <f>AC1173*T1173</f>
        <v>611.94000000000005</v>
      </c>
      <c r="AE1173" s="25">
        <f>AB1173*T1173</f>
        <v>599.20000000000005</v>
      </c>
      <c r="AF1173" s="25">
        <f>AD1173-AE1173</f>
        <v>12.740000000000009</v>
      </c>
      <c r="AG1173" s="26">
        <f>AF1173/AD1173</f>
        <v>2.0819034545870523E-2</v>
      </c>
      <c r="AH1173" s="27" t="str">
        <f>IF(AG1173&lt;0,"Negative",IF(AG1173=0,"Same",IF(AG1173&gt;0.3,"30+%",IF(AG1173&gt;0.2,"20-30%",IF(AG1173&gt;0.1,"10-20%",IF(AG1173&lt;=0.1,"0-10%"))))))</f>
        <v>0-10%</v>
      </c>
      <c r="AI1173" s="32"/>
      <c r="AJ1173" s="36" t="s">
        <v>3300</v>
      </c>
      <c r="AK1173" s="32"/>
    </row>
    <row r="1174" spans="1:37" s="1" customFormat="1" ht="19.7" customHeight="1" x14ac:dyDescent="0.25">
      <c r="A1174" s="5" t="s">
        <v>22</v>
      </c>
      <c r="B1174" s="5" t="s">
        <v>2116</v>
      </c>
      <c r="C1174" s="6">
        <v>44519</v>
      </c>
      <c r="D1174" s="5" t="s">
        <v>24</v>
      </c>
      <c r="E1174" s="5" t="s">
        <v>25</v>
      </c>
      <c r="F1174" s="5" t="s">
        <v>26</v>
      </c>
      <c r="G1174" s="5" t="s">
        <v>67</v>
      </c>
      <c r="H1174" s="5" t="s">
        <v>68</v>
      </c>
      <c r="I1174" s="5" t="s">
        <v>29</v>
      </c>
      <c r="J1174" s="5" t="s">
        <v>30</v>
      </c>
      <c r="K1174" s="5" t="s">
        <v>31</v>
      </c>
      <c r="L1174" s="5" t="s">
        <v>32</v>
      </c>
      <c r="M1174" s="5" t="s">
        <v>349</v>
      </c>
      <c r="N1174" s="5" t="s">
        <v>2117</v>
      </c>
      <c r="O1174" s="5" t="s">
        <v>350</v>
      </c>
      <c r="P1174" s="5" t="s">
        <v>351</v>
      </c>
      <c r="Q1174" s="5">
        <v>112300033</v>
      </c>
      <c r="R1174" s="5" t="s">
        <v>56</v>
      </c>
      <c r="S1174" s="5" t="s">
        <v>39</v>
      </c>
      <c r="T1174" s="7">
        <v>1</v>
      </c>
      <c r="U1174" s="15" t="s">
        <v>350</v>
      </c>
      <c r="V1174" s="16" t="s">
        <v>351</v>
      </c>
      <c r="W1174" s="17">
        <v>112300033</v>
      </c>
      <c r="X1174" s="16" t="s">
        <v>2636</v>
      </c>
      <c r="Y1174" s="17" t="s">
        <v>2637</v>
      </c>
      <c r="Z1174" s="17" t="s">
        <v>39</v>
      </c>
      <c r="AA1174" s="17" t="s">
        <v>2501</v>
      </c>
      <c r="AB1174" s="29">
        <v>599.20000000000005</v>
      </c>
      <c r="AC1174" s="25">
        <v>611.94000000000005</v>
      </c>
      <c r="AD1174" s="25">
        <f>AC1174*T1174</f>
        <v>611.94000000000005</v>
      </c>
      <c r="AE1174" s="25">
        <f>AB1174*T1174</f>
        <v>599.20000000000005</v>
      </c>
      <c r="AF1174" s="25">
        <f>AD1174-AE1174</f>
        <v>12.740000000000009</v>
      </c>
      <c r="AG1174" s="26">
        <f>AF1174/AD1174</f>
        <v>2.0819034545870523E-2</v>
      </c>
      <c r="AH1174" s="27" t="str">
        <f>IF(AG1174&lt;0,"Negative",IF(AG1174=0,"Same",IF(AG1174&gt;0.3,"30+%",IF(AG1174&gt;0.2,"20-30%",IF(AG1174&gt;0.1,"10-20%",IF(AG1174&lt;=0.1,"0-10%"))))))</f>
        <v>0-10%</v>
      </c>
      <c r="AI1174" s="32"/>
      <c r="AJ1174" s="36" t="s">
        <v>3300</v>
      </c>
      <c r="AK1174" s="32"/>
    </row>
    <row r="1175" spans="1:37" s="1" customFormat="1" ht="19.7" customHeight="1" x14ac:dyDescent="0.25">
      <c r="A1175" s="9" t="s">
        <v>22</v>
      </c>
      <c r="B1175" s="9" t="s">
        <v>2112</v>
      </c>
      <c r="C1175" s="10">
        <v>44519</v>
      </c>
      <c r="D1175" s="9" t="s">
        <v>24</v>
      </c>
      <c r="E1175" s="9" t="s">
        <v>25</v>
      </c>
      <c r="F1175" s="9" t="s">
        <v>26</v>
      </c>
      <c r="G1175" s="9" t="s">
        <v>67</v>
      </c>
      <c r="H1175" s="9" t="s">
        <v>68</v>
      </c>
      <c r="I1175" s="9" t="s">
        <v>29</v>
      </c>
      <c r="J1175" s="9" t="s">
        <v>30</v>
      </c>
      <c r="K1175" s="9" t="s">
        <v>31</v>
      </c>
      <c r="L1175" s="9" t="s">
        <v>32</v>
      </c>
      <c r="M1175" s="9" t="s">
        <v>349</v>
      </c>
      <c r="N1175" s="9" t="s">
        <v>2114</v>
      </c>
      <c r="O1175" s="9" t="s">
        <v>350</v>
      </c>
      <c r="P1175" s="9" t="s">
        <v>351</v>
      </c>
      <c r="Q1175" s="9">
        <v>112300033</v>
      </c>
      <c r="R1175" s="9" t="s">
        <v>56</v>
      </c>
      <c r="S1175" s="9" t="s">
        <v>39</v>
      </c>
      <c r="T1175" s="11">
        <v>1</v>
      </c>
      <c r="U1175" s="15" t="s">
        <v>350</v>
      </c>
      <c r="V1175" s="16" t="s">
        <v>351</v>
      </c>
      <c r="W1175" s="17">
        <v>112300033</v>
      </c>
      <c r="X1175" s="16" t="s">
        <v>2636</v>
      </c>
      <c r="Y1175" s="17" t="s">
        <v>2637</v>
      </c>
      <c r="Z1175" s="17" t="s">
        <v>39</v>
      </c>
      <c r="AA1175" s="17" t="s">
        <v>2501</v>
      </c>
      <c r="AB1175" s="29">
        <v>599.20000000000005</v>
      </c>
      <c r="AC1175" s="25">
        <v>611.94000000000005</v>
      </c>
      <c r="AD1175" s="25">
        <f>AC1175*T1175</f>
        <v>611.94000000000005</v>
      </c>
      <c r="AE1175" s="25">
        <f>AB1175*T1175</f>
        <v>599.20000000000005</v>
      </c>
      <c r="AF1175" s="25">
        <f>AD1175-AE1175</f>
        <v>12.740000000000009</v>
      </c>
      <c r="AG1175" s="26">
        <f>AF1175/AD1175</f>
        <v>2.0819034545870523E-2</v>
      </c>
      <c r="AH1175" s="27" t="str">
        <f>IF(AG1175&lt;0,"Negative",IF(AG1175=0,"Same",IF(AG1175&gt;0.3,"30+%",IF(AG1175&gt;0.2,"20-30%",IF(AG1175&gt;0.1,"10-20%",IF(AG1175&lt;=0.1,"0-10%"))))))</f>
        <v>0-10%</v>
      </c>
      <c r="AI1175" s="32"/>
      <c r="AJ1175" s="36" t="s">
        <v>3300</v>
      </c>
      <c r="AK1175" s="32"/>
    </row>
    <row r="1176" spans="1:37" s="1" customFormat="1" ht="19.7" customHeight="1" x14ac:dyDescent="0.25">
      <c r="A1176" s="9" t="s">
        <v>22</v>
      </c>
      <c r="B1176" s="9" t="s">
        <v>1023</v>
      </c>
      <c r="C1176" s="10">
        <v>44333</v>
      </c>
      <c r="D1176" s="9" t="s">
        <v>24</v>
      </c>
      <c r="E1176" s="9" t="s">
        <v>25</v>
      </c>
      <c r="F1176" s="9" t="s">
        <v>26</v>
      </c>
      <c r="G1176" s="9" t="s">
        <v>67</v>
      </c>
      <c r="H1176" s="9" t="s">
        <v>68</v>
      </c>
      <c r="I1176" s="9" t="s">
        <v>29</v>
      </c>
      <c r="J1176" s="9" t="s">
        <v>30</v>
      </c>
      <c r="K1176" s="9" t="s">
        <v>31</v>
      </c>
      <c r="L1176" s="9" t="s">
        <v>32</v>
      </c>
      <c r="M1176" s="9" t="s">
        <v>349</v>
      </c>
      <c r="N1176" s="9" t="s">
        <v>1024</v>
      </c>
      <c r="O1176" s="9" t="s">
        <v>350</v>
      </c>
      <c r="P1176" s="9" t="s">
        <v>351</v>
      </c>
      <c r="Q1176" s="9">
        <v>112300033</v>
      </c>
      <c r="R1176" s="9" t="s">
        <v>56</v>
      </c>
      <c r="S1176" s="9" t="s">
        <v>39</v>
      </c>
      <c r="T1176" s="11">
        <v>2</v>
      </c>
      <c r="U1176" s="15" t="s">
        <v>350</v>
      </c>
      <c r="V1176" s="16" t="s">
        <v>351</v>
      </c>
      <c r="W1176" s="17">
        <v>112300033</v>
      </c>
      <c r="X1176" s="16" t="s">
        <v>2636</v>
      </c>
      <c r="Y1176" s="17" t="s">
        <v>2637</v>
      </c>
      <c r="Z1176" s="17" t="s">
        <v>39</v>
      </c>
      <c r="AA1176" s="17" t="s">
        <v>2501</v>
      </c>
      <c r="AB1176" s="29">
        <v>599.20000000000005</v>
      </c>
      <c r="AC1176" s="25">
        <v>611.94000000000005</v>
      </c>
      <c r="AD1176" s="25">
        <f>AC1176*T1176</f>
        <v>1223.8800000000001</v>
      </c>
      <c r="AE1176" s="25">
        <f>AB1176*T1176</f>
        <v>1198.4000000000001</v>
      </c>
      <c r="AF1176" s="25">
        <f>AD1176-AE1176</f>
        <v>25.480000000000018</v>
      </c>
      <c r="AG1176" s="26">
        <f>AF1176/AD1176</f>
        <v>2.0819034545870523E-2</v>
      </c>
      <c r="AH1176" s="27" t="str">
        <f>IF(AG1176&lt;0,"Negative",IF(AG1176=0,"Same",IF(AG1176&gt;0.3,"30+%",IF(AG1176&gt;0.2,"20-30%",IF(AG1176&gt;0.1,"10-20%",IF(AG1176&lt;=0.1,"0-10%"))))))</f>
        <v>0-10%</v>
      </c>
      <c r="AI1176" s="32"/>
      <c r="AJ1176" s="36" t="s">
        <v>3300</v>
      </c>
      <c r="AK1176" s="32"/>
    </row>
    <row r="1177" spans="1:37" s="1" customFormat="1" ht="19.7" customHeight="1" x14ac:dyDescent="0.25">
      <c r="A1177" s="5" t="s">
        <v>22</v>
      </c>
      <c r="B1177" s="5" t="s">
        <v>2243</v>
      </c>
      <c r="C1177" s="6">
        <v>44551</v>
      </c>
      <c r="D1177" s="5" t="s">
        <v>24</v>
      </c>
      <c r="E1177" s="5" t="s">
        <v>25</v>
      </c>
      <c r="F1177" s="5" t="s">
        <v>26</v>
      </c>
      <c r="G1177" s="5" t="s">
        <v>67</v>
      </c>
      <c r="H1177" s="5" t="s">
        <v>68</v>
      </c>
      <c r="I1177" s="5" t="s">
        <v>29</v>
      </c>
      <c r="J1177" s="5" t="s">
        <v>30</v>
      </c>
      <c r="K1177" s="5" t="s">
        <v>31</v>
      </c>
      <c r="L1177" s="5" t="s">
        <v>32</v>
      </c>
      <c r="M1177" s="5" t="s">
        <v>349</v>
      </c>
      <c r="N1177" s="5" t="s">
        <v>1746</v>
      </c>
      <c r="O1177" s="5" t="s">
        <v>350</v>
      </c>
      <c r="P1177" s="5" t="s">
        <v>351</v>
      </c>
      <c r="Q1177" s="5">
        <v>112300033</v>
      </c>
      <c r="R1177" s="5" t="s">
        <v>56</v>
      </c>
      <c r="S1177" s="5" t="s">
        <v>39</v>
      </c>
      <c r="T1177" s="7">
        <v>2</v>
      </c>
      <c r="U1177" s="15" t="s">
        <v>350</v>
      </c>
      <c r="V1177" s="16" t="s">
        <v>351</v>
      </c>
      <c r="W1177" s="17">
        <v>112300033</v>
      </c>
      <c r="X1177" s="16" t="s">
        <v>2636</v>
      </c>
      <c r="Y1177" s="17" t="s">
        <v>2637</v>
      </c>
      <c r="Z1177" s="17" t="s">
        <v>39</v>
      </c>
      <c r="AA1177" s="17" t="s">
        <v>2501</v>
      </c>
      <c r="AB1177" s="29">
        <v>599.20000000000005</v>
      </c>
      <c r="AC1177" s="25">
        <v>611.94000000000005</v>
      </c>
      <c r="AD1177" s="25">
        <f>AC1177*T1177</f>
        <v>1223.8800000000001</v>
      </c>
      <c r="AE1177" s="25">
        <f>AB1177*T1177</f>
        <v>1198.4000000000001</v>
      </c>
      <c r="AF1177" s="25">
        <f>AD1177-AE1177</f>
        <v>25.480000000000018</v>
      </c>
      <c r="AG1177" s="26">
        <f>AF1177/AD1177</f>
        <v>2.0819034545870523E-2</v>
      </c>
      <c r="AH1177" s="27" t="str">
        <f>IF(AG1177&lt;0,"Negative",IF(AG1177=0,"Same",IF(AG1177&gt;0.3,"30+%",IF(AG1177&gt;0.2,"20-30%",IF(AG1177&gt;0.1,"10-20%",IF(AG1177&lt;=0.1,"0-10%"))))))</f>
        <v>0-10%</v>
      </c>
      <c r="AI1177" s="32"/>
      <c r="AJ1177" s="36" t="s">
        <v>3300</v>
      </c>
      <c r="AK1177" s="32"/>
    </row>
    <row r="1178" spans="1:37" s="1" customFormat="1" ht="19.7" customHeight="1" x14ac:dyDescent="0.25">
      <c r="A1178" s="9" t="s">
        <v>22</v>
      </c>
      <c r="B1178" s="9" t="s">
        <v>1141</v>
      </c>
      <c r="C1178" s="10">
        <v>44344</v>
      </c>
      <c r="D1178" s="9" t="s">
        <v>24</v>
      </c>
      <c r="E1178" s="9" t="s">
        <v>25</v>
      </c>
      <c r="F1178" s="9" t="s">
        <v>26</v>
      </c>
      <c r="G1178" s="9" t="s">
        <v>67</v>
      </c>
      <c r="H1178" s="9" t="s">
        <v>68</v>
      </c>
      <c r="I1178" s="9" t="s">
        <v>29</v>
      </c>
      <c r="J1178" s="9" t="s">
        <v>30</v>
      </c>
      <c r="K1178" s="9" t="s">
        <v>31</v>
      </c>
      <c r="L1178" s="9" t="s">
        <v>32</v>
      </c>
      <c r="M1178" s="9" t="s">
        <v>349</v>
      </c>
      <c r="N1178" s="9" t="s">
        <v>1142</v>
      </c>
      <c r="O1178" s="9" t="s">
        <v>350</v>
      </c>
      <c r="P1178" s="9" t="s">
        <v>351</v>
      </c>
      <c r="Q1178" s="9">
        <v>112300033</v>
      </c>
      <c r="R1178" s="9" t="s">
        <v>56</v>
      </c>
      <c r="S1178" s="9" t="s">
        <v>39</v>
      </c>
      <c r="T1178" s="11">
        <v>3</v>
      </c>
      <c r="U1178" s="15" t="s">
        <v>350</v>
      </c>
      <c r="V1178" s="16" t="s">
        <v>351</v>
      </c>
      <c r="W1178" s="17">
        <v>112300033</v>
      </c>
      <c r="X1178" s="16" t="s">
        <v>2636</v>
      </c>
      <c r="Y1178" s="17" t="s">
        <v>2637</v>
      </c>
      <c r="Z1178" s="17" t="s">
        <v>39</v>
      </c>
      <c r="AA1178" s="17" t="s">
        <v>2501</v>
      </c>
      <c r="AB1178" s="29">
        <v>599.20000000000005</v>
      </c>
      <c r="AC1178" s="25">
        <v>611.94000000000005</v>
      </c>
      <c r="AD1178" s="25">
        <f>AC1178*T1178</f>
        <v>1835.8200000000002</v>
      </c>
      <c r="AE1178" s="25">
        <f>AB1178*T1178</f>
        <v>1797.6000000000001</v>
      </c>
      <c r="AF1178" s="25">
        <f>AD1178-AE1178</f>
        <v>38.220000000000027</v>
      </c>
      <c r="AG1178" s="26">
        <f>AF1178/AD1178</f>
        <v>2.0819034545870523E-2</v>
      </c>
      <c r="AH1178" s="27" t="str">
        <f>IF(AG1178&lt;0,"Negative",IF(AG1178=0,"Same",IF(AG1178&gt;0.3,"30+%",IF(AG1178&gt;0.2,"20-30%",IF(AG1178&gt;0.1,"10-20%",IF(AG1178&lt;=0.1,"0-10%"))))))</f>
        <v>0-10%</v>
      </c>
      <c r="AI1178" s="32"/>
      <c r="AJ1178" s="36" t="s">
        <v>3300</v>
      </c>
      <c r="AK1178" s="32"/>
    </row>
    <row r="1179" spans="1:37" s="1" customFormat="1" ht="19.7" customHeight="1" x14ac:dyDescent="0.25">
      <c r="A1179" s="5" t="s">
        <v>22</v>
      </c>
      <c r="B1179" s="5" t="s">
        <v>2436</v>
      </c>
      <c r="C1179" s="6">
        <v>44582</v>
      </c>
      <c r="D1179" s="5" t="s">
        <v>24</v>
      </c>
      <c r="E1179" s="5" t="s">
        <v>25</v>
      </c>
      <c r="F1179" s="5" t="s">
        <v>26</v>
      </c>
      <c r="G1179" s="5" t="s">
        <v>67</v>
      </c>
      <c r="H1179" s="5" t="s">
        <v>68</v>
      </c>
      <c r="I1179" s="5" t="s">
        <v>29</v>
      </c>
      <c r="J1179" s="5" t="s">
        <v>30</v>
      </c>
      <c r="K1179" s="5" t="s">
        <v>31</v>
      </c>
      <c r="L1179" s="5" t="s">
        <v>32</v>
      </c>
      <c r="M1179" s="5" t="s">
        <v>349</v>
      </c>
      <c r="N1179" s="5" t="s">
        <v>2437</v>
      </c>
      <c r="O1179" s="5" t="s">
        <v>350</v>
      </c>
      <c r="P1179" s="5" t="s">
        <v>351</v>
      </c>
      <c r="Q1179" s="5">
        <v>112300033</v>
      </c>
      <c r="R1179" s="5" t="s">
        <v>56</v>
      </c>
      <c r="S1179" s="5" t="s">
        <v>39</v>
      </c>
      <c r="T1179" s="7">
        <v>6</v>
      </c>
      <c r="U1179" s="15" t="s">
        <v>350</v>
      </c>
      <c r="V1179" s="16" t="s">
        <v>351</v>
      </c>
      <c r="W1179" s="17">
        <v>112300033</v>
      </c>
      <c r="X1179" s="16" t="s">
        <v>2636</v>
      </c>
      <c r="Y1179" s="17" t="s">
        <v>2637</v>
      </c>
      <c r="Z1179" s="17" t="s">
        <v>39</v>
      </c>
      <c r="AA1179" s="17" t="s">
        <v>2501</v>
      </c>
      <c r="AB1179" s="29">
        <v>599.20000000000005</v>
      </c>
      <c r="AC1179" s="25">
        <v>611.94000000000005</v>
      </c>
      <c r="AD1179" s="25">
        <f>AC1179*T1179</f>
        <v>3671.6400000000003</v>
      </c>
      <c r="AE1179" s="25">
        <f>AB1179*T1179</f>
        <v>3595.2000000000003</v>
      </c>
      <c r="AF1179" s="25">
        <f>AD1179-AE1179</f>
        <v>76.440000000000055</v>
      </c>
      <c r="AG1179" s="26">
        <f>AF1179/AD1179</f>
        <v>2.0819034545870523E-2</v>
      </c>
      <c r="AH1179" s="27" t="str">
        <f>IF(AG1179&lt;0,"Negative",IF(AG1179=0,"Same",IF(AG1179&gt;0.3,"30+%",IF(AG1179&gt;0.2,"20-30%",IF(AG1179&gt;0.1,"10-20%",IF(AG1179&lt;=0.1,"0-10%"))))))</f>
        <v>0-10%</v>
      </c>
      <c r="AI1179" s="32"/>
      <c r="AJ1179" s="36" t="s">
        <v>3300</v>
      </c>
      <c r="AK1179" s="32"/>
    </row>
    <row r="1180" spans="1:37" s="1" customFormat="1" ht="19.7" customHeight="1" x14ac:dyDescent="0.25">
      <c r="A1180" s="5" t="s">
        <v>22</v>
      </c>
      <c r="B1180" s="5" t="s">
        <v>345</v>
      </c>
      <c r="C1180" s="6">
        <v>44253</v>
      </c>
      <c r="D1180" s="5" t="s">
        <v>24</v>
      </c>
      <c r="E1180" s="5" t="s">
        <v>25</v>
      </c>
      <c r="F1180" s="5" t="s">
        <v>26</v>
      </c>
      <c r="G1180" s="5" t="s">
        <v>67</v>
      </c>
      <c r="H1180" s="5" t="s">
        <v>68</v>
      </c>
      <c r="I1180" s="5" t="s">
        <v>29</v>
      </c>
      <c r="J1180" s="5" t="s">
        <v>30</v>
      </c>
      <c r="K1180" s="5" t="s">
        <v>31</v>
      </c>
      <c r="L1180" s="5" t="s">
        <v>32</v>
      </c>
      <c r="M1180" s="5" t="s">
        <v>349</v>
      </c>
      <c r="N1180" s="5" t="s">
        <v>347</v>
      </c>
      <c r="O1180" s="5" t="s">
        <v>350</v>
      </c>
      <c r="P1180" s="5" t="s">
        <v>351</v>
      </c>
      <c r="Q1180" s="5">
        <v>112300033</v>
      </c>
      <c r="R1180" s="5" t="s">
        <v>56</v>
      </c>
      <c r="S1180" s="5" t="s">
        <v>39</v>
      </c>
      <c r="T1180" s="7">
        <v>6</v>
      </c>
      <c r="U1180" s="15" t="s">
        <v>350</v>
      </c>
      <c r="V1180" s="16" t="s">
        <v>351</v>
      </c>
      <c r="W1180" s="17">
        <v>112300033</v>
      </c>
      <c r="X1180" s="16" t="s">
        <v>2636</v>
      </c>
      <c r="Y1180" s="17" t="s">
        <v>2637</v>
      </c>
      <c r="Z1180" s="17" t="s">
        <v>39</v>
      </c>
      <c r="AA1180" s="17" t="s">
        <v>2501</v>
      </c>
      <c r="AB1180" s="29">
        <v>599.20000000000005</v>
      </c>
      <c r="AC1180" s="25">
        <v>611.94000000000005</v>
      </c>
      <c r="AD1180" s="25">
        <f>AC1180*T1180</f>
        <v>3671.6400000000003</v>
      </c>
      <c r="AE1180" s="25">
        <f>AB1180*T1180</f>
        <v>3595.2000000000003</v>
      </c>
      <c r="AF1180" s="25">
        <f>AD1180-AE1180</f>
        <v>76.440000000000055</v>
      </c>
      <c r="AG1180" s="26">
        <f>AF1180/AD1180</f>
        <v>2.0819034545870523E-2</v>
      </c>
      <c r="AH1180" s="27" t="str">
        <f>IF(AG1180&lt;0,"Negative",IF(AG1180=0,"Same",IF(AG1180&gt;0.3,"30+%",IF(AG1180&gt;0.2,"20-30%",IF(AG1180&gt;0.1,"10-20%",IF(AG1180&lt;=0.1,"0-10%"))))))</f>
        <v>0-10%</v>
      </c>
      <c r="AI1180" s="32"/>
      <c r="AJ1180" s="36" t="s">
        <v>3300</v>
      </c>
      <c r="AK1180" s="32"/>
    </row>
    <row r="1181" spans="1:37" s="1" customFormat="1" ht="19.7" customHeight="1" x14ac:dyDescent="0.25">
      <c r="A1181" s="9" t="s">
        <v>22</v>
      </c>
      <c r="B1181" s="9" t="s">
        <v>1386</v>
      </c>
      <c r="C1181" s="10">
        <v>44389</v>
      </c>
      <c r="D1181" s="9" t="s">
        <v>24</v>
      </c>
      <c r="E1181" s="9" t="s">
        <v>25</v>
      </c>
      <c r="F1181" s="9" t="s">
        <v>26</v>
      </c>
      <c r="G1181" s="9" t="s">
        <v>67</v>
      </c>
      <c r="H1181" s="9" t="s">
        <v>68</v>
      </c>
      <c r="I1181" s="9" t="s">
        <v>29</v>
      </c>
      <c r="J1181" s="9" t="s">
        <v>30</v>
      </c>
      <c r="K1181" s="9" t="s">
        <v>31</v>
      </c>
      <c r="L1181" s="9" t="s">
        <v>32</v>
      </c>
      <c r="M1181" s="9" t="s">
        <v>349</v>
      </c>
      <c r="N1181" s="9" t="s">
        <v>1388</v>
      </c>
      <c r="O1181" s="9" t="s">
        <v>350</v>
      </c>
      <c r="P1181" s="9" t="s">
        <v>351</v>
      </c>
      <c r="Q1181" s="9">
        <v>112300033</v>
      </c>
      <c r="R1181" s="9" t="s">
        <v>56</v>
      </c>
      <c r="S1181" s="9" t="s">
        <v>39</v>
      </c>
      <c r="T1181" s="11">
        <v>6</v>
      </c>
      <c r="U1181" s="15" t="s">
        <v>350</v>
      </c>
      <c r="V1181" s="16" t="s">
        <v>351</v>
      </c>
      <c r="W1181" s="17">
        <v>112300033</v>
      </c>
      <c r="X1181" s="16" t="s">
        <v>2636</v>
      </c>
      <c r="Y1181" s="17" t="s">
        <v>2637</v>
      </c>
      <c r="Z1181" s="17" t="s">
        <v>39</v>
      </c>
      <c r="AA1181" s="17" t="s">
        <v>2501</v>
      </c>
      <c r="AB1181" s="29">
        <v>599.20000000000005</v>
      </c>
      <c r="AC1181" s="25">
        <v>611.94000000000005</v>
      </c>
      <c r="AD1181" s="25">
        <f>AC1181*T1181</f>
        <v>3671.6400000000003</v>
      </c>
      <c r="AE1181" s="25">
        <f>AB1181*T1181</f>
        <v>3595.2000000000003</v>
      </c>
      <c r="AF1181" s="25">
        <f>AD1181-AE1181</f>
        <v>76.440000000000055</v>
      </c>
      <c r="AG1181" s="26">
        <f>AF1181/AD1181</f>
        <v>2.0819034545870523E-2</v>
      </c>
      <c r="AH1181" s="27" t="str">
        <f>IF(AG1181&lt;0,"Negative",IF(AG1181=0,"Same",IF(AG1181&gt;0.3,"30+%",IF(AG1181&gt;0.2,"20-30%",IF(AG1181&gt;0.1,"10-20%",IF(AG1181&lt;=0.1,"0-10%"))))))</f>
        <v>0-10%</v>
      </c>
      <c r="AI1181" s="32"/>
      <c r="AJ1181" s="36" t="s">
        <v>3300</v>
      </c>
      <c r="AK1181" s="32"/>
    </row>
    <row r="1182" spans="1:37" s="1" customFormat="1" ht="19.7" customHeight="1" x14ac:dyDescent="0.25">
      <c r="A1182" s="9" t="s">
        <v>22</v>
      </c>
      <c r="B1182" s="9" t="s">
        <v>1051</v>
      </c>
      <c r="C1182" s="10">
        <v>44333</v>
      </c>
      <c r="D1182" s="9" t="s">
        <v>24</v>
      </c>
      <c r="E1182" s="9" t="s">
        <v>25</v>
      </c>
      <c r="F1182" s="9" t="s">
        <v>26</v>
      </c>
      <c r="G1182" s="9" t="s">
        <v>27</v>
      </c>
      <c r="H1182" s="9" t="s">
        <v>28</v>
      </c>
      <c r="I1182" s="9" t="s">
        <v>29</v>
      </c>
      <c r="J1182" s="9" t="s">
        <v>30</v>
      </c>
      <c r="K1182" s="9" t="s">
        <v>31</v>
      </c>
      <c r="L1182" s="9" t="s">
        <v>32</v>
      </c>
      <c r="M1182" s="9" t="s">
        <v>1052</v>
      </c>
      <c r="N1182" s="9" t="s">
        <v>972</v>
      </c>
      <c r="O1182" s="9" t="s">
        <v>310</v>
      </c>
      <c r="P1182" s="9" t="s">
        <v>1053</v>
      </c>
      <c r="Q1182" s="9">
        <v>104666035</v>
      </c>
      <c r="R1182" s="9" t="s">
        <v>51</v>
      </c>
      <c r="S1182" s="9" t="s">
        <v>39</v>
      </c>
      <c r="T1182" s="11">
        <v>1</v>
      </c>
      <c r="U1182" s="15" t="s">
        <v>310</v>
      </c>
      <c r="V1182" s="16" t="s">
        <v>1053</v>
      </c>
      <c r="W1182" s="17">
        <v>104666035</v>
      </c>
      <c r="X1182" s="16" t="s">
        <v>2620</v>
      </c>
      <c r="Y1182" s="17" t="s">
        <v>2908</v>
      </c>
      <c r="Z1182" s="17" t="s">
        <v>39</v>
      </c>
      <c r="AA1182" s="17" t="s">
        <v>2501</v>
      </c>
      <c r="AB1182" s="29">
        <v>1576.76</v>
      </c>
      <c r="AC1182" s="25">
        <v>1725.5</v>
      </c>
      <c r="AD1182" s="25">
        <f>AC1182*T1182</f>
        <v>1725.5</v>
      </c>
      <c r="AE1182" s="25">
        <f>AB1182*T1182</f>
        <v>1576.76</v>
      </c>
      <c r="AF1182" s="25">
        <f>AD1182-AE1182</f>
        <v>148.74</v>
      </c>
      <c r="AG1182" s="26">
        <f>AF1182/AD1182</f>
        <v>8.6201101130107219E-2</v>
      </c>
      <c r="AH1182" s="27" t="str">
        <f>IF(AG1182&lt;0,"Negative",IF(AG1182=0,"Same",IF(AG1182&gt;0.3,"30+%",IF(AG1182&gt;0.2,"20-30%",IF(AG1182&gt;0.1,"10-20%",IF(AG1182&lt;=0.1,"0-10%"))))))</f>
        <v>0-10%</v>
      </c>
      <c r="AI1182" s="32"/>
      <c r="AJ1182" s="36" t="s">
        <v>3300</v>
      </c>
      <c r="AK1182" s="32"/>
    </row>
    <row r="1183" spans="1:37" s="1" customFormat="1" ht="19.7" customHeight="1" x14ac:dyDescent="0.25">
      <c r="A1183" s="5" t="s">
        <v>22</v>
      </c>
      <c r="B1183" s="5" t="s">
        <v>1483</v>
      </c>
      <c r="C1183" s="6">
        <v>44403</v>
      </c>
      <c r="D1183" s="5" t="s">
        <v>24</v>
      </c>
      <c r="E1183" s="5" t="s">
        <v>25</v>
      </c>
      <c r="F1183" s="5" t="s">
        <v>26</v>
      </c>
      <c r="G1183" s="5" t="s">
        <v>27</v>
      </c>
      <c r="H1183" s="5" t="s">
        <v>28</v>
      </c>
      <c r="I1183" s="5" t="s">
        <v>29</v>
      </c>
      <c r="J1183" s="5" t="s">
        <v>30</v>
      </c>
      <c r="K1183" s="5" t="s">
        <v>31</v>
      </c>
      <c r="L1183" s="5" t="s">
        <v>32</v>
      </c>
      <c r="M1183" s="5" t="s">
        <v>1489</v>
      </c>
      <c r="N1183" s="5" t="s">
        <v>1437</v>
      </c>
      <c r="O1183" s="5" t="s">
        <v>575</v>
      </c>
      <c r="P1183" s="5" t="s">
        <v>1490</v>
      </c>
      <c r="Q1183" s="5">
        <v>100351993</v>
      </c>
      <c r="R1183" s="5" t="s">
        <v>38</v>
      </c>
      <c r="S1183" s="5" t="s">
        <v>39</v>
      </c>
      <c r="T1183" s="7">
        <v>2</v>
      </c>
      <c r="U1183" s="15" t="s">
        <v>575</v>
      </c>
      <c r="V1183" s="16" t="s">
        <v>1490</v>
      </c>
      <c r="W1183" s="17">
        <v>100351993</v>
      </c>
      <c r="X1183" s="16" t="s">
        <v>2763</v>
      </c>
      <c r="Y1183" s="17" t="s">
        <v>3056</v>
      </c>
      <c r="Z1183" s="17" t="s">
        <v>39</v>
      </c>
      <c r="AA1183" s="17" t="s">
        <v>37</v>
      </c>
      <c r="AB1183" s="29">
        <v>789.25</v>
      </c>
      <c r="AC1183" s="25">
        <v>807.12</v>
      </c>
      <c r="AD1183" s="25">
        <f>AC1183*T1183</f>
        <v>1614.24</v>
      </c>
      <c r="AE1183" s="25">
        <f>AB1183*T1183</f>
        <v>1578.5</v>
      </c>
      <c r="AF1183" s="25">
        <f>AD1183-AE1183</f>
        <v>35.740000000000009</v>
      </c>
      <c r="AG1183" s="26">
        <f>AF1183/AD1183</f>
        <v>2.2140449995044113E-2</v>
      </c>
      <c r="AH1183" s="27" t="str">
        <f>IF(AG1183&lt;0,"Negative",IF(AG1183=0,"Same",IF(AG1183&gt;0.3,"30+%",IF(AG1183&gt;0.2,"20-30%",IF(AG1183&gt;0.1,"10-20%",IF(AG1183&lt;=0.1,"0-10%"))))))</f>
        <v>0-10%</v>
      </c>
      <c r="AI1183" s="32"/>
      <c r="AJ1183" s="36" t="s">
        <v>3300</v>
      </c>
      <c r="AK1183" s="32"/>
    </row>
    <row r="1184" spans="1:37" s="1" customFormat="1" ht="19.7" customHeight="1" x14ac:dyDescent="0.25">
      <c r="A1184" s="5" t="s">
        <v>22</v>
      </c>
      <c r="B1184" s="5" t="s">
        <v>2455</v>
      </c>
      <c r="C1184" s="6">
        <v>44588</v>
      </c>
      <c r="D1184" s="5" t="s">
        <v>24</v>
      </c>
      <c r="E1184" s="5" t="s">
        <v>25</v>
      </c>
      <c r="F1184" s="5" t="s">
        <v>26</v>
      </c>
      <c r="G1184" s="5" t="s">
        <v>27</v>
      </c>
      <c r="H1184" s="5" t="s">
        <v>28</v>
      </c>
      <c r="I1184" s="5" t="s">
        <v>29</v>
      </c>
      <c r="J1184" s="5" t="s">
        <v>30</v>
      </c>
      <c r="K1184" s="5" t="s">
        <v>31</v>
      </c>
      <c r="L1184" s="5" t="s">
        <v>32</v>
      </c>
      <c r="M1184" s="5" t="s">
        <v>261</v>
      </c>
      <c r="N1184" s="5" t="s">
        <v>2029</v>
      </c>
      <c r="O1184" s="5" t="s">
        <v>1901</v>
      </c>
      <c r="P1184" s="5" t="s">
        <v>2456</v>
      </c>
      <c r="Q1184" s="5">
        <v>118914556</v>
      </c>
      <c r="R1184" s="5" t="s">
        <v>76</v>
      </c>
      <c r="S1184" s="5" t="s">
        <v>2457</v>
      </c>
      <c r="T1184" s="7">
        <v>1</v>
      </c>
      <c r="U1184" s="15" t="s">
        <v>1901</v>
      </c>
      <c r="V1184" s="16" t="s">
        <v>2456</v>
      </c>
      <c r="W1184" s="17">
        <v>118914556</v>
      </c>
      <c r="X1184" s="16" t="s">
        <v>3276</v>
      </c>
      <c r="Y1184" s="17" t="s">
        <v>3277</v>
      </c>
      <c r="Z1184" s="17" t="s">
        <v>2457</v>
      </c>
      <c r="AA1184" s="17" t="s">
        <v>2501</v>
      </c>
      <c r="AB1184" s="29">
        <v>1621.46</v>
      </c>
      <c r="AC1184" s="25">
        <v>1645.94</v>
      </c>
      <c r="AD1184" s="25">
        <f>AC1184*T1184</f>
        <v>1645.94</v>
      </c>
      <c r="AE1184" s="25">
        <f>AB1184*T1184</f>
        <v>1621.46</v>
      </c>
      <c r="AF1184" s="25">
        <f>AD1184-AE1184</f>
        <v>24.480000000000018</v>
      </c>
      <c r="AG1184" s="26">
        <f>AF1184/AD1184</f>
        <v>1.4872960132204101E-2</v>
      </c>
      <c r="AH1184" s="27" t="str">
        <f>IF(AG1184&lt;0,"Negative",IF(AG1184=0,"Same",IF(AG1184&gt;0.3,"30+%",IF(AG1184&gt;0.2,"20-30%",IF(AG1184&gt;0.1,"10-20%",IF(AG1184&lt;=0.1,"0-10%"))))))</f>
        <v>0-10%</v>
      </c>
      <c r="AI1184" s="32"/>
      <c r="AJ1184" s="36" t="s">
        <v>3300</v>
      </c>
      <c r="AK1184" s="32"/>
    </row>
    <row r="1185" spans="1:37" s="1" customFormat="1" ht="19.7" customHeight="1" x14ac:dyDescent="0.25">
      <c r="A1185" s="9" t="s">
        <v>22</v>
      </c>
      <c r="B1185" s="9" t="s">
        <v>457</v>
      </c>
      <c r="C1185" s="10">
        <v>44265</v>
      </c>
      <c r="D1185" s="9" t="s">
        <v>24</v>
      </c>
      <c r="E1185" s="9" t="s">
        <v>25</v>
      </c>
      <c r="F1185" s="9" t="s">
        <v>26</v>
      </c>
      <c r="G1185" s="9" t="s">
        <v>27</v>
      </c>
      <c r="H1185" s="9" t="s">
        <v>28</v>
      </c>
      <c r="I1185" s="9" t="s">
        <v>29</v>
      </c>
      <c r="J1185" s="9" t="s">
        <v>30</v>
      </c>
      <c r="K1185" s="9" t="s">
        <v>31</v>
      </c>
      <c r="L1185" s="9" t="s">
        <v>32</v>
      </c>
      <c r="M1185" s="9" t="s">
        <v>458</v>
      </c>
      <c r="N1185" s="9" t="s">
        <v>415</v>
      </c>
      <c r="O1185" s="9" t="s">
        <v>43</v>
      </c>
      <c r="P1185" s="9" t="s">
        <v>459</v>
      </c>
      <c r="Q1185" s="9">
        <v>111864034</v>
      </c>
      <c r="R1185" s="9" t="s">
        <v>448</v>
      </c>
      <c r="S1185" s="9" t="s">
        <v>39</v>
      </c>
      <c r="T1185" s="11">
        <v>1</v>
      </c>
      <c r="U1185" s="15" t="s">
        <v>43</v>
      </c>
      <c r="V1185" s="16" t="s">
        <v>459</v>
      </c>
      <c r="W1185" s="17">
        <v>111864034</v>
      </c>
      <c r="X1185" s="16" t="s">
        <v>2681</v>
      </c>
      <c r="Y1185" s="17" t="s">
        <v>2682</v>
      </c>
      <c r="Z1185" s="17" t="s">
        <v>39</v>
      </c>
      <c r="AA1185" s="17" t="s">
        <v>2501</v>
      </c>
      <c r="AB1185" s="29">
        <v>1389.95</v>
      </c>
      <c r="AC1185" s="25">
        <v>1375.75</v>
      </c>
      <c r="AD1185" s="25">
        <f>AC1185*T1185</f>
        <v>1375.75</v>
      </c>
      <c r="AE1185" s="25">
        <f>AB1185*T1185</f>
        <v>1389.95</v>
      </c>
      <c r="AF1185" s="25">
        <f>AD1185-AE1185</f>
        <v>-14.200000000000045</v>
      </c>
      <c r="AG1185" s="26">
        <f>AF1185/AD1185</f>
        <v>-1.0321642740323492E-2</v>
      </c>
      <c r="AH1185" s="27" t="str">
        <f>IF(AG1185&lt;0,"Negative",IF(AG1185=0,"Same",IF(AG1185&gt;0.3,"30+%",IF(AG1185&gt;0.2,"20-30%",IF(AG1185&gt;0.1,"10-20%",IF(AG1185&lt;=0.1,"0-10%"))))))</f>
        <v>Negative</v>
      </c>
      <c r="AI1185" s="32"/>
      <c r="AJ1185" s="36" t="s">
        <v>3300</v>
      </c>
      <c r="AK1185" s="32"/>
    </row>
    <row r="1186" spans="1:37" s="1" customFormat="1" ht="19.7" customHeight="1" x14ac:dyDescent="0.25">
      <c r="A1186" s="5" t="s">
        <v>22</v>
      </c>
      <c r="B1186" s="5" t="s">
        <v>119</v>
      </c>
      <c r="C1186" s="6">
        <v>44232</v>
      </c>
      <c r="D1186" s="5" t="s">
        <v>24</v>
      </c>
      <c r="E1186" s="5" t="s">
        <v>25</v>
      </c>
      <c r="F1186" s="5" t="s">
        <v>26</v>
      </c>
      <c r="G1186" s="5" t="s">
        <v>67</v>
      </c>
      <c r="H1186" s="5" t="s">
        <v>68</v>
      </c>
      <c r="I1186" s="5" t="s">
        <v>29</v>
      </c>
      <c r="J1186" s="5" t="s">
        <v>30</v>
      </c>
      <c r="K1186" s="5" t="s">
        <v>31</v>
      </c>
      <c r="L1186" s="5" t="s">
        <v>32</v>
      </c>
      <c r="M1186" s="5" t="s">
        <v>124</v>
      </c>
      <c r="N1186" s="5" t="s">
        <v>121</v>
      </c>
      <c r="O1186" s="5" t="s">
        <v>125</v>
      </c>
      <c r="P1186" s="5" t="s">
        <v>126</v>
      </c>
      <c r="Q1186" s="5">
        <v>111135869</v>
      </c>
      <c r="R1186" s="5" t="s">
        <v>38</v>
      </c>
      <c r="S1186" s="5" t="s">
        <v>39</v>
      </c>
      <c r="T1186" s="7">
        <v>1</v>
      </c>
      <c r="U1186" s="15" t="s">
        <v>125</v>
      </c>
      <c r="V1186" s="16" t="s">
        <v>126</v>
      </c>
      <c r="W1186" s="17">
        <v>111135869</v>
      </c>
      <c r="X1186" s="16" t="s">
        <v>2534</v>
      </c>
      <c r="Y1186" s="17" t="s">
        <v>2535</v>
      </c>
      <c r="Z1186" s="17" t="s">
        <v>39</v>
      </c>
      <c r="AA1186" s="17" t="s">
        <v>2501</v>
      </c>
      <c r="AB1186" s="29">
        <v>1851.33</v>
      </c>
      <c r="AC1186" s="25">
        <v>1939.39</v>
      </c>
      <c r="AD1186" s="25">
        <f>AC1186*T1186</f>
        <v>1939.39</v>
      </c>
      <c r="AE1186" s="25">
        <f>AB1186*T1186</f>
        <v>1851.33</v>
      </c>
      <c r="AF1186" s="25">
        <f>AD1186-AE1186</f>
        <v>88.060000000000173</v>
      </c>
      <c r="AG1186" s="26">
        <f>AF1186/AD1186</f>
        <v>4.5406029730997978E-2</v>
      </c>
      <c r="AH1186" s="27" t="str">
        <f>IF(AG1186&lt;0,"Negative",IF(AG1186=0,"Same",IF(AG1186&gt;0.3,"30+%",IF(AG1186&gt;0.2,"20-30%",IF(AG1186&gt;0.1,"10-20%",IF(AG1186&lt;=0.1,"0-10%"))))))</f>
        <v>0-10%</v>
      </c>
      <c r="AI1186" s="32"/>
      <c r="AJ1186" s="36" t="s">
        <v>3300</v>
      </c>
      <c r="AK1186" s="32"/>
    </row>
    <row r="1187" spans="1:37" s="1" customFormat="1" ht="19.7" customHeight="1" x14ac:dyDescent="0.25">
      <c r="A1187" s="9" t="s">
        <v>22</v>
      </c>
      <c r="B1187" s="9" t="s">
        <v>1954</v>
      </c>
      <c r="C1187" s="10">
        <v>44489</v>
      </c>
      <c r="D1187" s="9" t="s">
        <v>24</v>
      </c>
      <c r="E1187" s="9" t="s">
        <v>25</v>
      </c>
      <c r="F1187" s="9" t="s">
        <v>26</v>
      </c>
      <c r="G1187" s="9" t="s">
        <v>27</v>
      </c>
      <c r="H1187" s="9" t="s">
        <v>28</v>
      </c>
      <c r="I1187" s="9" t="s">
        <v>29</v>
      </c>
      <c r="J1187" s="9" t="s">
        <v>30</v>
      </c>
      <c r="K1187" s="9" t="s">
        <v>31</v>
      </c>
      <c r="L1187" s="9" t="s">
        <v>32</v>
      </c>
      <c r="M1187" s="9" t="s">
        <v>642</v>
      </c>
      <c r="N1187" s="9" t="s">
        <v>1913</v>
      </c>
      <c r="O1187" s="9" t="s">
        <v>575</v>
      </c>
      <c r="P1187" s="9" t="s">
        <v>643</v>
      </c>
      <c r="Q1187" s="9">
        <v>100333806</v>
      </c>
      <c r="R1187" s="9" t="s">
        <v>38</v>
      </c>
      <c r="S1187" s="9" t="s">
        <v>39</v>
      </c>
      <c r="T1187" s="11">
        <v>1</v>
      </c>
      <c r="U1187" s="15" t="s">
        <v>575</v>
      </c>
      <c r="V1187" s="16" t="s">
        <v>643</v>
      </c>
      <c r="W1187" s="17">
        <v>100333806</v>
      </c>
      <c r="X1187" s="16" t="s">
        <v>2763</v>
      </c>
      <c r="Y1187" s="17" t="s">
        <v>2764</v>
      </c>
      <c r="Z1187" s="17" t="s">
        <v>39</v>
      </c>
      <c r="AA1187" s="17" t="s">
        <v>37</v>
      </c>
      <c r="AB1187" s="29">
        <v>831.24</v>
      </c>
      <c r="AC1187" s="25">
        <v>850.05</v>
      </c>
      <c r="AD1187" s="25">
        <f>AC1187*T1187</f>
        <v>850.05</v>
      </c>
      <c r="AE1187" s="25">
        <f>AB1187*T1187</f>
        <v>831.24</v>
      </c>
      <c r="AF1187" s="25">
        <f>AD1187-AE1187</f>
        <v>18.809999999999945</v>
      </c>
      <c r="AG1187" s="26">
        <f>AF1187/AD1187</f>
        <v>2.2128110111169868E-2</v>
      </c>
      <c r="AH1187" s="27" t="str">
        <f>IF(AG1187&lt;0,"Negative",IF(AG1187=0,"Same",IF(AG1187&gt;0.3,"30+%",IF(AG1187&gt;0.2,"20-30%",IF(AG1187&gt;0.1,"10-20%",IF(AG1187&lt;=0.1,"0-10%"))))))</f>
        <v>0-10%</v>
      </c>
      <c r="AI1187" s="32"/>
      <c r="AJ1187" s="36" t="s">
        <v>3300</v>
      </c>
      <c r="AK1187" s="32"/>
    </row>
    <row r="1188" spans="1:37" s="1" customFormat="1" ht="19.7" customHeight="1" x14ac:dyDescent="0.25">
      <c r="A1188" s="5" t="s">
        <v>22</v>
      </c>
      <c r="B1188" s="5" t="s">
        <v>641</v>
      </c>
      <c r="C1188" s="6">
        <v>44284</v>
      </c>
      <c r="D1188" s="5" t="s">
        <v>24</v>
      </c>
      <c r="E1188" s="5" t="s">
        <v>25</v>
      </c>
      <c r="F1188" s="5" t="s">
        <v>26</v>
      </c>
      <c r="G1188" s="5" t="s">
        <v>27</v>
      </c>
      <c r="H1188" s="5" t="s">
        <v>28</v>
      </c>
      <c r="I1188" s="5" t="s">
        <v>29</v>
      </c>
      <c r="J1188" s="5" t="s">
        <v>30</v>
      </c>
      <c r="K1188" s="5" t="s">
        <v>31</v>
      </c>
      <c r="L1188" s="5" t="s">
        <v>32</v>
      </c>
      <c r="M1188" s="5" t="s">
        <v>642</v>
      </c>
      <c r="N1188" s="5" t="s">
        <v>562</v>
      </c>
      <c r="O1188" s="5" t="s">
        <v>575</v>
      </c>
      <c r="P1188" s="5" t="s">
        <v>643</v>
      </c>
      <c r="Q1188" s="5">
        <v>100333806</v>
      </c>
      <c r="R1188" s="5" t="s">
        <v>38</v>
      </c>
      <c r="S1188" s="5" t="s">
        <v>39</v>
      </c>
      <c r="T1188" s="7">
        <v>1</v>
      </c>
      <c r="U1188" s="15" t="s">
        <v>575</v>
      </c>
      <c r="V1188" s="16" t="s">
        <v>643</v>
      </c>
      <c r="W1188" s="17">
        <v>100333806</v>
      </c>
      <c r="X1188" s="16" t="s">
        <v>2763</v>
      </c>
      <c r="Y1188" s="17" t="s">
        <v>2764</v>
      </c>
      <c r="Z1188" s="17" t="s">
        <v>39</v>
      </c>
      <c r="AA1188" s="17" t="s">
        <v>37</v>
      </c>
      <c r="AB1188" s="29">
        <v>831.24</v>
      </c>
      <c r="AC1188" s="25">
        <v>850.05</v>
      </c>
      <c r="AD1188" s="25">
        <f>AC1188*T1188</f>
        <v>850.05</v>
      </c>
      <c r="AE1188" s="25">
        <f>AB1188*T1188</f>
        <v>831.24</v>
      </c>
      <c r="AF1188" s="25">
        <f>AD1188-AE1188</f>
        <v>18.809999999999945</v>
      </c>
      <c r="AG1188" s="26">
        <f>AF1188/AD1188</f>
        <v>2.2128110111169868E-2</v>
      </c>
      <c r="AH1188" s="27" t="str">
        <f>IF(AG1188&lt;0,"Negative",IF(AG1188=0,"Same",IF(AG1188&gt;0.3,"30+%",IF(AG1188&gt;0.2,"20-30%",IF(AG1188&gt;0.1,"10-20%",IF(AG1188&lt;=0.1,"0-10%"))))))</f>
        <v>0-10%</v>
      </c>
      <c r="AI1188" s="32"/>
      <c r="AJ1188" s="36" t="s">
        <v>3300</v>
      </c>
      <c r="AK1188" s="32"/>
    </row>
    <row r="1189" spans="1:37" s="1" customFormat="1" ht="19.7" customHeight="1" x14ac:dyDescent="0.25">
      <c r="A1189" s="5" t="s">
        <v>22</v>
      </c>
      <c r="B1189" s="5" t="s">
        <v>1418</v>
      </c>
      <c r="C1189" s="6">
        <v>44393</v>
      </c>
      <c r="D1189" s="5" t="s">
        <v>24</v>
      </c>
      <c r="E1189" s="5" t="s">
        <v>25</v>
      </c>
      <c r="F1189" s="5" t="s">
        <v>26</v>
      </c>
      <c r="G1189" s="5" t="s">
        <v>67</v>
      </c>
      <c r="H1189" s="5" t="s">
        <v>68</v>
      </c>
      <c r="I1189" s="5" t="s">
        <v>29</v>
      </c>
      <c r="J1189" s="5" t="s">
        <v>30</v>
      </c>
      <c r="K1189" s="5" t="s">
        <v>31</v>
      </c>
      <c r="L1189" s="5" t="s">
        <v>32</v>
      </c>
      <c r="M1189" s="5" t="s">
        <v>124</v>
      </c>
      <c r="N1189" s="5" t="s">
        <v>1419</v>
      </c>
      <c r="O1189" s="5" t="s">
        <v>125</v>
      </c>
      <c r="P1189" s="5" t="s">
        <v>126</v>
      </c>
      <c r="Q1189" s="5">
        <v>111135869</v>
      </c>
      <c r="R1189" s="5" t="s">
        <v>38</v>
      </c>
      <c r="S1189" s="5" t="s">
        <v>39</v>
      </c>
      <c r="T1189" s="7">
        <v>1</v>
      </c>
      <c r="U1189" s="15" t="s">
        <v>125</v>
      </c>
      <c r="V1189" s="16" t="s">
        <v>126</v>
      </c>
      <c r="W1189" s="17">
        <v>111135869</v>
      </c>
      <c r="X1189" s="16" t="s">
        <v>2534</v>
      </c>
      <c r="Y1189" s="17" t="s">
        <v>2535</v>
      </c>
      <c r="Z1189" s="17" t="s">
        <v>39</v>
      </c>
      <c r="AA1189" s="17" t="s">
        <v>2501</v>
      </c>
      <c r="AB1189" s="29">
        <v>1851.33</v>
      </c>
      <c r="AC1189" s="25">
        <v>1939.39</v>
      </c>
      <c r="AD1189" s="25">
        <f>AC1189*T1189</f>
        <v>1939.39</v>
      </c>
      <c r="AE1189" s="25">
        <f>AB1189*T1189</f>
        <v>1851.33</v>
      </c>
      <c r="AF1189" s="25">
        <f>AD1189-AE1189</f>
        <v>88.060000000000173</v>
      </c>
      <c r="AG1189" s="26">
        <f>AF1189/AD1189</f>
        <v>4.5406029730997978E-2</v>
      </c>
      <c r="AH1189" s="27" t="str">
        <f>IF(AG1189&lt;0,"Negative",IF(AG1189=0,"Same",IF(AG1189&gt;0.3,"30+%",IF(AG1189&gt;0.2,"20-30%",IF(AG1189&gt;0.1,"10-20%",IF(AG1189&lt;=0.1,"0-10%"))))))</f>
        <v>0-10%</v>
      </c>
      <c r="AI1189" s="32"/>
      <c r="AJ1189" s="36" t="s">
        <v>3300</v>
      </c>
      <c r="AK1189" s="32"/>
    </row>
    <row r="1190" spans="1:37" s="1" customFormat="1" ht="19.7" customHeight="1" x14ac:dyDescent="0.25">
      <c r="A1190" s="9" t="s">
        <v>22</v>
      </c>
      <c r="B1190" s="9" t="s">
        <v>1858</v>
      </c>
      <c r="C1190" s="10">
        <v>44473</v>
      </c>
      <c r="D1190" s="9" t="s">
        <v>24</v>
      </c>
      <c r="E1190" s="9" t="s">
        <v>25</v>
      </c>
      <c r="F1190" s="9" t="s">
        <v>26</v>
      </c>
      <c r="G1190" s="9" t="s">
        <v>27</v>
      </c>
      <c r="H1190" s="9" t="s">
        <v>28</v>
      </c>
      <c r="I1190" s="9" t="s">
        <v>29</v>
      </c>
      <c r="J1190" s="9" t="s">
        <v>30</v>
      </c>
      <c r="K1190" s="9" t="s">
        <v>31</v>
      </c>
      <c r="L1190" s="9" t="s">
        <v>32</v>
      </c>
      <c r="M1190" s="9" t="s">
        <v>1859</v>
      </c>
      <c r="N1190" s="9" t="s">
        <v>1860</v>
      </c>
      <c r="O1190" s="9" t="s">
        <v>1327</v>
      </c>
      <c r="P1190" s="9" t="s">
        <v>1861</v>
      </c>
      <c r="Q1190" s="9">
        <v>100968476</v>
      </c>
      <c r="R1190" s="9" t="s">
        <v>56</v>
      </c>
      <c r="S1190" s="9" t="s">
        <v>39</v>
      </c>
      <c r="T1190" s="11">
        <v>2</v>
      </c>
      <c r="U1190" s="15" t="s">
        <v>1327</v>
      </c>
      <c r="V1190" s="16" t="s">
        <v>1861</v>
      </c>
      <c r="W1190" s="17">
        <v>100968476</v>
      </c>
      <c r="X1190" s="16" t="s">
        <v>3153</v>
      </c>
      <c r="Y1190" s="17" t="s">
        <v>3154</v>
      </c>
      <c r="Z1190" s="17" t="s">
        <v>39</v>
      </c>
      <c r="AA1190" s="17" t="s">
        <v>37</v>
      </c>
      <c r="AB1190" s="43">
        <v>776.92</v>
      </c>
      <c r="AC1190" s="25">
        <v>811.9</v>
      </c>
      <c r="AD1190" s="25">
        <f>AC1190*T1190</f>
        <v>1623.8</v>
      </c>
      <c r="AE1190" s="25">
        <f>AB1190*T1190</f>
        <v>1553.84</v>
      </c>
      <c r="AF1190" s="25">
        <f>AD1190-AE1190</f>
        <v>69.960000000000036</v>
      </c>
      <c r="AG1190" s="26">
        <f>AF1190/AD1190</f>
        <v>4.3084123660549353E-2</v>
      </c>
      <c r="AH1190" s="27" t="str">
        <f>IF(AG1190&lt;0,"Negative",IF(AG1190=0,"Same",IF(AG1190&gt;0.3,"30+%",IF(AG1190&gt;0.2,"20-30%",IF(AG1190&gt;0.1,"10-20%",IF(AG1190&lt;=0.1,"0-10%"))))))</f>
        <v>0-10%</v>
      </c>
      <c r="AI1190" s="32"/>
      <c r="AJ1190" s="36" t="s">
        <v>3300</v>
      </c>
      <c r="AK1190" s="32"/>
    </row>
    <row r="1191" spans="1:37" s="1" customFormat="1" ht="19.7" customHeight="1" x14ac:dyDescent="0.25">
      <c r="A1191" s="9" t="s">
        <v>22</v>
      </c>
      <c r="B1191" s="9" t="s">
        <v>133</v>
      </c>
      <c r="C1191" s="10">
        <v>44232</v>
      </c>
      <c r="D1191" s="9" t="s">
        <v>24</v>
      </c>
      <c r="E1191" s="9" t="s">
        <v>25</v>
      </c>
      <c r="F1191" s="9" t="s">
        <v>26</v>
      </c>
      <c r="G1191" s="9" t="s">
        <v>67</v>
      </c>
      <c r="H1191" s="9" t="s">
        <v>68</v>
      </c>
      <c r="I1191" s="9" t="s">
        <v>29</v>
      </c>
      <c r="J1191" s="9" t="s">
        <v>30</v>
      </c>
      <c r="K1191" s="9" t="s">
        <v>31</v>
      </c>
      <c r="L1191" s="9" t="s">
        <v>32</v>
      </c>
      <c r="M1191" s="9" t="s">
        <v>134</v>
      </c>
      <c r="N1191" s="9" t="s">
        <v>135</v>
      </c>
      <c r="O1191" s="9" t="s">
        <v>79</v>
      </c>
      <c r="P1191" s="9" t="s">
        <v>136</v>
      </c>
      <c r="Q1191" s="9">
        <v>100757231</v>
      </c>
      <c r="R1191" s="9" t="s">
        <v>61</v>
      </c>
      <c r="S1191" s="9" t="s">
        <v>39</v>
      </c>
      <c r="T1191" s="11">
        <v>2</v>
      </c>
      <c r="U1191" s="15" t="s">
        <v>79</v>
      </c>
      <c r="V1191" s="16" t="s">
        <v>136</v>
      </c>
      <c r="W1191" s="17">
        <v>100757231</v>
      </c>
      <c r="X1191" s="16" t="s">
        <v>2540</v>
      </c>
      <c r="Y1191" s="17" t="s">
        <v>2541</v>
      </c>
      <c r="Z1191" s="17" t="s">
        <v>39</v>
      </c>
      <c r="AA1191" s="17" t="s">
        <v>37</v>
      </c>
      <c r="AB1191" s="43">
        <v>503.22</v>
      </c>
      <c r="AC1191" s="25">
        <v>530.85</v>
      </c>
      <c r="AD1191" s="25">
        <f>AC1191*T1191</f>
        <v>1061.7</v>
      </c>
      <c r="AE1191" s="25">
        <f>AB1191*T1191</f>
        <v>1006.44</v>
      </c>
      <c r="AF1191" s="25">
        <f>AD1191-AE1191</f>
        <v>55.259999999999991</v>
      </c>
      <c r="AG1191" s="26">
        <f>AF1191/AD1191</f>
        <v>5.204860129980219E-2</v>
      </c>
      <c r="AH1191" s="27" t="str">
        <f>IF(AG1191&lt;0,"Negative",IF(AG1191=0,"Same",IF(AG1191&gt;0.3,"30+%",IF(AG1191&gt;0.2,"20-30%",IF(AG1191&gt;0.1,"10-20%",IF(AG1191&lt;=0.1,"0-10%"))))))</f>
        <v>0-10%</v>
      </c>
      <c r="AI1191" s="32"/>
      <c r="AJ1191" s="36" t="s">
        <v>3300</v>
      </c>
      <c r="AK1191" s="32"/>
    </row>
    <row r="1192" spans="1:37" s="1" customFormat="1" ht="19.7" customHeight="1" x14ac:dyDescent="0.25">
      <c r="A1192" s="5" t="s">
        <v>22</v>
      </c>
      <c r="B1192" s="5" t="s">
        <v>2062</v>
      </c>
      <c r="C1192" s="6">
        <v>44511</v>
      </c>
      <c r="D1192" s="5" t="s">
        <v>24</v>
      </c>
      <c r="E1192" s="5" t="s">
        <v>25</v>
      </c>
      <c r="F1192" s="5" t="s">
        <v>26</v>
      </c>
      <c r="G1192" s="5" t="s">
        <v>27</v>
      </c>
      <c r="H1192" s="5" t="s">
        <v>28</v>
      </c>
      <c r="I1192" s="5" t="s">
        <v>29</v>
      </c>
      <c r="J1192" s="5" t="s">
        <v>30</v>
      </c>
      <c r="K1192" s="5" t="s">
        <v>31</v>
      </c>
      <c r="L1192" s="5" t="s">
        <v>32</v>
      </c>
      <c r="M1192" s="5" t="s">
        <v>261</v>
      </c>
      <c r="N1192" s="5" t="s">
        <v>1666</v>
      </c>
      <c r="O1192" s="5" t="s">
        <v>381</v>
      </c>
      <c r="P1192" s="5" t="s">
        <v>1408</v>
      </c>
      <c r="Q1192" s="5">
        <v>112342192</v>
      </c>
      <c r="R1192" s="5" t="s">
        <v>38</v>
      </c>
      <c r="S1192" s="5" t="s">
        <v>39</v>
      </c>
      <c r="T1192" s="7">
        <v>1</v>
      </c>
      <c r="U1192" s="15" t="s">
        <v>381</v>
      </c>
      <c r="V1192" s="16" t="s">
        <v>1408</v>
      </c>
      <c r="W1192" s="17">
        <v>112342192</v>
      </c>
      <c r="X1192" s="16" t="s">
        <v>2648</v>
      </c>
      <c r="Y1192" s="17" t="s">
        <v>3028</v>
      </c>
      <c r="Z1192" s="17" t="s">
        <v>39</v>
      </c>
      <c r="AA1192" s="17" t="s">
        <v>37</v>
      </c>
      <c r="AB1192" s="29">
        <v>1355.15</v>
      </c>
      <c r="AC1192" s="25">
        <v>1419.61</v>
      </c>
      <c r="AD1192" s="25">
        <f>AC1192*T1192</f>
        <v>1419.61</v>
      </c>
      <c r="AE1192" s="25">
        <f>AB1192*T1192</f>
        <v>1355.15</v>
      </c>
      <c r="AF1192" s="25">
        <f>AD1192-AE1192</f>
        <v>64.459999999999809</v>
      </c>
      <c r="AG1192" s="26">
        <f>AF1192/AD1192</f>
        <v>4.5406837089059543E-2</v>
      </c>
      <c r="AH1192" s="27" t="str">
        <f>IF(AG1192&lt;0,"Negative",IF(AG1192=0,"Same",IF(AG1192&gt;0.3,"30+%",IF(AG1192&gt;0.2,"20-30%",IF(AG1192&gt;0.1,"10-20%",IF(AG1192&lt;=0.1,"0-10%"))))))</f>
        <v>0-10%</v>
      </c>
      <c r="AI1192" s="32"/>
      <c r="AJ1192" s="36" t="s">
        <v>3300</v>
      </c>
      <c r="AK1192" s="32"/>
    </row>
    <row r="1193" spans="1:37" s="1" customFormat="1" ht="19.7" customHeight="1" x14ac:dyDescent="0.25">
      <c r="A1193" s="5" t="s">
        <v>22</v>
      </c>
      <c r="B1193" s="5" t="s">
        <v>1407</v>
      </c>
      <c r="C1193" s="6">
        <v>44391</v>
      </c>
      <c r="D1193" s="5" t="s">
        <v>24</v>
      </c>
      <c r="E1193" s="5" t="s">
        <v>25</v>
      </c>
      <c r="F1193" s="5" t="s">
        <v>26</v>
      </c>
      <c r="G1193" s="5" t="s">
        <v>27</v>
      </c>
      <c r="H1193" s="5" t="s">
        <v>28</v>
      </c>
      <c r="I1193" s="5" t="s">
        <v>29</v>
      </c>
      <c r="J1193" s="5" t="s">
        <v>30</v>
      </c>
      <c r="K1193" s="5" t="s">
        <v>31</v>
      </c>
      <c r="L1193" s="5" t="s">
        <v>32</v>
      </c>
      <c r="M1193" s="5" t="s">
        <v>261</v>
      </c>
      <c r="N1193" s="5" t="s">
        <v>1043</v>
      </c>
      <c r="O1193" s="5" t="s">
        <v>381</v>
      </c>
      <c r="P1193" s="5" t="s">
        <v>1408</v>
      </c>
      <c r="Q1193" s="5">
        <v>112342192</v>
      </c>
      <c r="R1193" s="5" t="s">
        <v>38</v>
      </c>
      <c r="S1193" s="5" t="s">
        <v>39</v>
      </c>
      <c r="T1193" s="7">
        <v>1</v>
      </c>
      <c r="U1193" s="15" t="s">
        <v>381</v>
      </c>
      <c r="V1193" s="16" t="s">
        <v>1408</v>
      </c>
      <c r="W1193" s="17">
        <v>112342192</v>
      </c>
      <c r="X1193" s="16" t="s">
        <v>2648</v>
      </c>
      <c r="Y1193" s="17" t="s">
        <v>3028</v>
      </c>
      <c r="Z1193" s="17" t="s">
        <v>39</v>
      </c>
      <c r="AA1193" s="17" t="s">
        <v>37</v>
      </c>
      <c r="AB1193" s="29">
        <v>1355.15</v>
      </c>
      <c r="AC1193" s="25">
        <v>1419.61</v>
      </c>
      <c r="AD1193" s="25">
        <f>AC1193*T1193</f>
        <v>1419.61</v>
      </c>
      <c r="AE1193" s="25">
        <f>AB1193*T1193</f>
        <v>1355.15</v>
      </c>
      <c r="AF1193" s="25">
        <f>AD1193-AE1193</f>
        <v>64.459999999999809</v>
      </c>
      <c r="AG1193" s="26">
        <f>AF1193/AD1193</f>
        <v>4.5406837089059543E-2</v>
      </c>
      <c r="AH1193" s="27" t="str">
        <f>IF(AG1193&lt;0,"Negative",IF(AG1193=0,"Same",IF(AG1193&gt;0.3,"30+%",IF(AG1193&gt;0.2,"20-30%",IF(AG1193&gt;0.1,"10-20%",IF(AG1193&lt;=0.1,"0-10%"))))))</f>
        <v>0-10%</v>
      </c>
      <c r="AI1193" s="32"/>
      <c r="AJ1193" s="36" t="s">
        <v>3300</v>
      </c>
      <c r="AK1193" s="32"/>
    </row>
    <row r="1194" spans="1:37" s="1" customFormat="1" ht="19.7" customHeight="1" x14ac:dyDescent="0.25">
      <c r="A1194" s="5" t="s">
        <v>22</v>
      </c>
      <c r="B1194" s="5" t="s">
        <v>1665</v>
      </c>
      <c r="C1194" s="6">
        <v>44433</v>
      </c>
      <c r="D1194" s="5" t="s">
        <v>24</v>
      </c>
      <c r="E1194" s="5" t="s">
        <v>25</v>
      </c>
      <c r="F1194" s="5" t="s">
        <v>26</v>
      </c>
      <c r="G1194" s="5" t="s">
        <v>27</v>
      </c>
      <c r="H1194" s="5" t="s">
        <v>28</v>
      </c>
      <c r="I1194" s="5" t="s">
        <v>29</v>
      </c>
      <c r="J1194" s="5" t="s">
        <v>30</v>
      </c>
      <c r="K1194" s="5" t="s">
        <v>31</v>
      </c>
      <c r="L1194" s="5" t="s">
        <v>32</v>
      </c>
      <c r="M1194" s="5" t="s">
        <v>261</v>
      </c>
      <c r="N1194" s="5" t="s">
        <v>1666</v>
      </c>
      <c r="O1194" s="5" t="s">
        <v>381</v>
      </c>
      <c r="P1194" s="5" t="s">
        <v>1045</v>
      </c>
      <c r="Q1194" s="5">
        <v>112342624</v>
      </c>
      <c r="R1194" s="5" t="s">
        <v>38</v>
      </c>
      <c r="S1194" s="5" t="s">
        <v>39</v>
      </c>
      <c r="T1194" s="7">
        <v>1</v>
      </c>
      <c r="U1194" s="15" t="s">
        <v>381</v>
      </c>
      <c r="V1194" s="16" t="s">
        <v>1045</v>
      </c>
      <c r="W1194" s="17">
        <v>112342624</v>
      </c>
      <c r="X1194" s="16" t="s">
        <v>2648</v>
      </c>
      <c r="Y1194" s="17" t="s">
        <v>2904</v>
      </c>
      <c r="Z1194" s="17" t="s">
        <v>39</v>
      </c>
      <c r="AA1194" s="17" t="s">
        <v>37</v>
      </c>
      <c r="AB1194" s="29">
        <v>1359.52</v>
      </c>
      <c r="AC1194" s="25">
        <v>1424.19</v>
      </c>
      <c r="AD1194" s="25">
        <f>AC1194*T1194</f>
        <v>1424.19</v>
      </c>
      <c r="AE1194" s="25">
        <f>AB1194*T1194</f>
        <v>1359.52</v>
      </c>
      <c r="AF1194" s="25">
        <f>AD1194-AE1194</f>
        <v>64.670000000000073</v>
      </c>
      <c r="AG1194" s="26">
        <f>AF1194/AD1194</f>
        <v>4.5408267155365556E-2</v>
      </c>
      <c r="AH1194" s="27" t="str">
        <f>IF(AG1194&lt;0,"Negative",IF(AG1194=0,"Same",IF(AG1194&gt;0.3,"30+%",IF(AG1194&gt;0.2,"20-30%",IF(AG1194&gt;0.1,"10-20%",IF(AG1194&lt;=0.1,"0-10%"))))))</f>
        <v>0-10%</v>
      </c>
      <c r="AI1194" s="32"/>
      <c r="AJ1194" s="36" t="s">
        <v>3300</v>
      </c>
      <c r="AK1194" s="32"/>
    </row>
    <row r="1195" spans="1:37" s="1" customFormat="1" ht="19.7" customHeight="1" x14ac:dyDescent="0.25">
      <c r="A1195" s="5" t="s">
        <v>22</v>
      </c>
      <c r="B1195" s="5" t="s">
        <v>1042</v>
      </c>
      <c r="C1195" s="6">
        <v>44333</v>
      </c>
      <c r="D1195" s="5" t="s">
        <v>24</v>
      </c>
      <c r="E1195" s="5" t="s">
        <v>25</v>
      </c>
      <c r="F1195" s="5" t="s">
        <v>26</v>
      </c>
      <c r="G1195" s="5" t="s">
        <v>27</v>
      </c>
      <c r="H1195" s="5" t="s">
        <v>28</v>
      </c>
      <c r="I1195" s="5" t="s">
        <v>29</v>
      </c>
      <c r="J1195" s="5" t="s">
        <v>30</v>
      </c>
      <c r="K1195" s="5" t="s">
        <v>31</v>
      </c>
      <c r="L1195" s="5" t="s">
        <v>32</v>
      </c>
      <c r="M1195" s="5" t="s">
        <v>261</v>
      </c>
      <c r="N1195" s="5" t="s">
        <v>1043</v>
      </c>
      <c r="O1195" s="5" t="s">
        <v>381</v>
      </c>
      <c r="P1195" s="5" t="s">
        <v>1045</v>
      </c>
      <c r="Q1195" s="5">
        <v>112342624</v>
      </c>
      <c r="R1195" s="5" t="s">
        <v>38</v>
      </c>
      <c r="S1195" s="5" t="s">
        <v>39</v>
      </c>
      <c r="T1195" s="7">
        <v>1</v>
      </c>
      <c r="U1195" s="15" t="s">
        <v>381</v>
      </c>
      <c r="V1195" s="16" t="s">
        <v>1045</v>
      </c>
      <c r="W1195" s="17">
        <v>112342624</v>
      </c>
      <c r="X1195" s="16" t="s">
        <v>2648</v>
      </c>
      <c r="Y1195" s="17" t="s">
        <v>2904</v>
      </c>
      <c r="Z1195" s="17" t="s">
        <v>39</v>
      </c>
      <c r="AA1195" s="17" t="s">
        <v>37</v>
      </c>
      <c r="AB1195" s="29">
        <v>1359.52</v>
      </c>
      <c r="AC1195" s="25">
        <v>1424.19</v>
      </c>
      <c r="AD1195" s="25">
        <f>AC1195*T1195</f>
        <v>1424.19</v>
      </c>
      <c r="AE1195" s="25">
        <f>AB1195*T1195</f>
        <v>1359.52</v>
      </c>
      <c r="AF1195" s="25">
        <f>AD1195-AE1195</f>
        <v>64.670000000000073</v>
      </c>
      <c r="AG1195" s="26">
        <f>AF1195/AD1195</f>
        <v>4.5408267155365556E-2</v>
      </c>
      <c r="AH1195" s="27" t="str">
        <f>IF(AG1195&lt;0,"Negative",IF(AG1195=0,"Same",IF(AG1195&gt;0.3,"30+%",IF(AG1195&gt;0.2,"20-30%",IF(AG1195&gt;0.1,"10-20%",IF(AG1195&lt;=0.1,"0-10%"))))))</f>
        <v>0-10%</v>
      </c>
      <c r="AI1195" s="32"/>
      <c r="AJ1195" s="36" t="s">
        <v>3300</v>
      </c>
      <c r="AK1195" s="32"/>
    </row>
    <row r="1196" spans="1:37" s="1" customFormat="1" ht="19.7" customHeight="1" x14ac:dyDescent="0.25">
      <c r="A1196" s="9" t="s">
        <v>22</v>
      </c>
      <c r="B1196" s="9" t="s">
        <v>1294</v>
      </c>
      <c r="C1196" s="10">
        <v>44371</v>
      </c>
      <c r="D1196" s="9" t="s">
        <v>24</v>
      </c>
      <c r="E1196" s="9" t="s">
        <v>25</v>
      </c>
      <c r="F1196" s="9" t="s">
        <v>26</v>
      </c>
      <c r="G1196" s="9" t="s">
        <v>27</v>
      </c>
      <c r="H1196" s="9" t="s">
        <v>28</v>
      </c>
      <c r="I1196" s="9" t="s">
        <v>29</v>
      </c>
      <c r="J1196" s="9" t="s">
        <v>30</v>
      </c>
      <c r="K1196" s="9" t="s">
        <v>31</v>
      </c>
      <c r="L1196" s="9" t="s">
        <v>32</v>
      </c>
      <c r="M1196" s="9" t="s">
        <v>1295</v>
      </c>
      <c r="N1196" s="9" t="s">
        <v>1268</v>
      </c>
      <c r="O1196" s="9" t="s">
        <v>109</v>
      </c>
      <c r="P1196" s="9" t="s">
        <v>1296</v>
      </c>
      <c r="Q1196" s="9">
        <v>101190380</v>
      </c>
      <c r="R1196" s="9" t="s">
        <v>61</v>
      </c>
      <c r="S1196" s="9" t="s">
        <v>39</v>
      </c>
      <c r="T1196" s="11">
        <v>1</v>
      </c>
      <c r="U1196" s="15" t="s">
        <v>109</v>
      </c>
      <c r="V1196" s="16" t="s">
        <v>1296</v>
      </c>
      <c r="W1196" s="17">
        <v>101190380</v>
      </c>
      <c r="X1196" s="16" t="s">
        <v>2526</v>
      </c>
      <c r="Y1196" s="17" t="s">
        <v>2990</v>
      </c>
      <c r="Z1196" s="17" t="s">
        <v>39</v>
      </c>
      <c r="AA1196" s="17" t="s">
        <v>37</v>
      </c>
      <c r="AB1196" s="43">
        <v>907.41</v>
      </c>
      <c r="AC1196" s="25">
        <v>926.42</v>
      </c>
      <c r="AD1196" s="25">
        <f>AC1196*T1196</f>
        <v>926.42</v>
      </c>
      <c r="AE1196" s="25">
        <f>AB1196*T1196</f>
        <v>907.41</v>
      </c>
      <c r="AF1196" s="25">
        <f>AD1196-AE1196</f>
        <v>19.009999999999991</v>
      </c>
      <c r="AG1196" s="26">
        <f>AF1196/AD1196</f>
        <v>2.0519850607715714E-2</v>
      </c>
      <c r="AH1196" s="27" t="str">
        <f>IF(AG1196&lt;0,"Negative",IF(AG1196=0,"Same",IF(AG1196&gt;0.3,"30+%",IF(AG1196&gt;0.2,"20-30%",IF(AG1196&gt;0.1,"10-20%",IF(AG1196&lt;=0.1,"0-10%"))))))</f>
        <v>0-10%</v>
      </c>
      <c r="AI1196" s="32"/>
      <c r="AJ1196" s="36" t="s">
        <v>3300</v>
      </c>
      <c r="AK1196" s="32"/>
    </row>
    <row r="1197" spans="1:37" s="1" customFormat="1" ht="19.7" customHeight="1" x14ac:dyDescent="0.25">
      <c r="A1197" s="5" t="s">
        <v>22</v>
      </c>
      <c r="B1197" s="5" t="s">
        <v>379</v>
      </c>
      <c r="C1197" s="6">
        <v>44257</v>
      </c>
      <c r="D1197" s="5" t="s">
        <v>24</v>
      </c>
      <c r="E1197" s="5" t="s">
        <v>25</v>
      </c>
      <c r="F1197" s="5" t="s">
        <v>26</v>
      </c>
      <c r="G1197" s="5" t="s">
        <v>27</v>
      </c>
      <c r="H1197" s="5" t="s">
        <v>28</v>
      </c>
      <c r="I1197" s="5" t="s">
        <v>29</v>
      </c>
      <c r="J1197" s="5" t="s">
        <v>30</v>
      </c>
      <c r="K1197" s="5" t="s">
        <v>31</v>
      </c>
      <c r="L1197" s="5" t="s">
        <v>32</v>
      </c>
      <c r="M1197" s="5" t="s">
        <v>380</v>
      </c>
      <c r="N1197" s="5" t="s">
        <v>190</v>
      </c>
      <c r="O1197" s="5" t="s">
        <v>381</v>
      </c>
      <c r="P1197" s="5" t="s">
        <v>382</v>
      </c>
      <c r="Q1197" s="5">
        <v>112340637</v>
      </c>
      <c r="R1197" s="5" t="s">
        <v>38</v>
      </c>
      <c r="S1197" s="5" t="s">
        <v>39</v>
      </c>
      <c r="T1197" s="7">
        <v>1</v>
      </c>
      <c r="U1197" s="15" t="s">
        <v>381</v>
      </c>
      <c r="V1197" s="16" t="s">
        <v>382</v>
      </c>
      <c r="W1197" s="17">
        <v>112340637</v>
      </c>
      <c r="X1197" s="16" t="s">
        <v>2648</v>
      </c>
      <c r="Y1197" s="17" t="s">
        <v>2649</v>
      </c>
      <c r="Z1197" s="17" t="s">
        <v>39</v>
      </c>
      <c r="AA1197" s="17" t="s">
        <v>37</v>
      </c>
      <c r="AB1197" s="29">
        <v>1033.8499999999999</v>
      </c>
      <c r="AC1197" s="25">
        <v>1083.02</v>
      </c>
      <c r="AD1197" s="25">
        <f>AC1197*T1197</f>
        <v>1083.02</v>
      </c>
      <c r="AE1197" s="25">
        <f>AB1197*T1197</f>
        <v>1033.8499999999999</v>
      </c>
      <c r="AF1197" s="25">
        <f>AD1197-AE1197</f>
        <v>49.170000000000073</v>
      </c>
      <c r="AG1197" s="26">
        <f>AF1197/AD1197</f>
        <v>4.5400823622832515E-2</v>
      </c>
      <c r="AH1197" s="27" t="str">
        <f>IF(AG1197&lt;0,"Negative",IF(AG1197=0,"Same",IF(AG1197&gt;0.3,"30+%",IF(AG1197&gt;0.2,"20-30%",IF(AG1197&gt;0.1,"10-20%",IF(AG1197&lt;=0.1,"0-10%"))))))</f>
        <v>0-10%</v>
      </c>
      <c r="AI1197" s="32"/>
      <c r="AJ1197" s="36" t="s">
        <v>3300</v>
      </c>
      <c r="AK1197" s="32"/>
    </row>
    <row r="1198" spans="1:37" s="1" customFormat="1" ht="19.7" customHeight="1" x14ac:dyDescent="0.25">
      <c r="A1198" s="9" t="s">
        <v>22</v>
      </c>
      <c r="B1198" s="9" t="s">
        <v>1632</v>
      </c>
      <c r="C1198" s="10">
        <v>44427</v>
      </c>
      <c r="D1198" s="9" t="s">
        <v>24</v>
      </c>
      <c r="E1198" s="9" t="s">
        <v>25</v>
      </c>
      <c r="F1198" s="9" t="s">
        <v>26</v>
      </c>
      <c r="G1198" s="9" t="s">
        <v>27</v>
      </c>
      <c r="H1198" s="9" t="s">
        <v>28</v>
      </c>
      <c r="I1198" s="9" t="s">
        <v>29</v>
      </c>
      <c r="J1198" s="9" t="s">
        <v>30</v>
      </c>
      <c r="K1198" s="9" t="s">
        <v>31</v>
      </c>
      <c r="L1198" s="9" t="s">
        <v>32</v>
      </c>
      <c r="M1198" s="9" t="s">
        <v>380</v>
      </c>
      <c r="N1198" s="9" t="s">
        <v>1553</v>
      </c>
      <c r="O1198" s="9" t="s">
        <v>381</v>
      </c>
      <c r="P1198" s="9" t="s">
        <v>382</v>
      </c>
      <c r="Q1198" s="9">
        <v>112340637</v>
      </c>
      <c r="R1198" s="9" t="s">
        <v>38</v>
      </c>
      <c r="S1198" s="9" t="s">
        <v>39</v>
      </c>
      <c r="T1198" s="11">
        <v>2</v>
      </c>
      <c r="U1198" s="15" t="s">
        <v>381</v>
      </c>
      <c r="V1198" s="16" t="s">
        <v>382</v>
      </c>
      <c r="W1198" s="17">
        <v>112340637</v>
      </c>
      <c r="X1198" s="16" t="s">
        <v>2648</v>
      </c>
      <c r="Y1198" s="17" t="s">
        <v>2649</v>
      </c>
      <c r="Z1198" s="17" t="s">
        <v>39</v>
      </c>
      <c r="AA1198" s="17" t="s">
        <v>37</v>
      </c>
      <c r="AB1198" s="29">
        <v>1033.8499999999999</v>
      </c>
      <c r="AC1198" s="25">
        <v>1083.02</v>
      </c>
      <c r="AD1198" s="25">
        <f>AC1198*T1198</f>
        <v>2166.04</v>
      </c>
      <c r="AE1198" s="25">
        <f>AB1198*T1198</f>
        <v>2067.6999999999998</v>
      </c>
      <c r="AF1198" s="25">
        <f>AD1198-AE1198</f>
        <v>98.340000000000146</v>
      </c>
      <c r="AG1198" s="26">
        <f>AF1198/AD1198</f>
        <v>4.5400823622832515E-2</v>
      </c>
      <c r="AH1198" s="27" t="str">
        <f>IF(AG1198&lt;0,"Negative",IF(AG1198=0,"Same",IF(AG1198&gt;0.3,"30+%",IF(AG1198&gt;0.2,"20-30%",IF(AG1198&gt;0.1,"10-20%",IF(AG1198&lt;=0.1,"0-10%"))))))</f>
        <v>0-10%</v>
      </c>
      <c r="AI1198" s="32"/>
      <c r="AJ1198" s="36" t="s">
        <v>3300</v>
      </c>
      <c r="AK1198" s="32"/>
    </row>
    <row r="1199" spans="1:37" s="1" customFormat="1" ht="19.7" customHeight="1" x14ac:dyDescent="0.25">
      <c r="A1199" s="9" t="s">
        <v>22</v>
      </c>
      <c r="B1199" s="9" t="s">
        <v>876</v>
      </c>
      <c r="C1199" s="10">
        <v>44315</v>
      </c>
      <c r="D1199" s="9" t="s">
        <v>24</v>
      </c>
      <c r="E1199" s="9" t="s">
        <v>25</v>
      </c>
      <c r="F1199" s="9" t="s">
        <v>26</v>
      </c>
      <c r="G1199" s="9" t="s">
        <v>27</v>
      </c>
      <c r="H1199" s="9" t="s">
        <v>28</v>
      </c>
      <c r="I1199" s="9" t="s">
        <v>29</v>
      </c>
      <c r="J1199" s="9" t="s">
        <v>30</v>
      </c>
      <c r="K1199" s="9" t="s">
        <v>31</v>
      </c>
      <c r="L1199" s="9" t="s">
        <v>32</v>
      </c>
      <c r="M1199" s="9" t="s">
        <v>380</v>
      </c>
      <c r="N1199" s="9" t="s">
        <v>791</v>
      </c>
      <c r="O1199" s="9" t="s">
        <v>381</v>
      </c>
      <c r="P1199" s="9" t="s">
        <v>382</v>
      </c>
      <c r="Q1199" s="9">
        <v>112340637</v>
      </c>
      <c r="R1199" s="9" t="s">
        <v>38</v>
      </c>
      <c r="S1199" s="9" t="s">
        <v>39</v>
      </c>
      <c r="T1199" s="11">
        <v>2</v>
      </c>
      <c r="U1199" s="15" t="s">
        <v>381</v>
      </c>
      <c r="V1199" s="16" t="s">
        <v>382</v>
      </c>
      <c r="W1199" s="17">
        <v>112340637</v>
      </c>
      <c r="X1199" s="16" t="s">
        <v>2648</v>
      </c>
      <c r="Y1199" s="17" t="s">
        <v>2649</v>
      </c>
      <c r="Z1199" s="17" t="s">
        <v>39</v>
      </c>
      <c r="AA1199" s="17" t="s">
        <v>37</v>
      </c>
      <c r="AB1199" s="29">
        <v>1033.8499999999999</v>
      </c>
      <c r="AC1199" s="25">
        <v>1083.02</v>
      </c>
      <c r="AD1199" s="25">
        <f>AC1199*T1199</f>
        <v>2166.04</v>
      </c>
      <c r="AE1199" s="25">
        <f>AB1199*T1199</f>
        <v>2067.6999999999998</v>
      </c>
      <c r="AF1199" s="25">
        <f>AD1199-AE1199</f>
        <v>98.340000000000146</v>
      </c>
      <c r="AG1199" s="26">
        <f>AF1199/AD1199</f>
        <v>4.5400823622832515E-2</v>
      </c>
      <c r="AH1199" s="27" t="str">
        <f>IF(AG1199&lt;0,"Negative",IF(AG1199=0,"Same",IF(AG1199&gt;0.3,"30+%",IF(AG1199&gt;0.2,"20-30%",IF(AG1199&gt;0.1,"10-20%",IF(AG1199&lt;=0.1,"0-10%"))))))</f>
        <v>0-10%</v>
      </c>
      <c r="AI1199" s="32"/>
      <c r="AJ1199" s="36" t="s">
        <v>3300</v>
      </c>
      <c r="AK1199" s="32"/>
    </row>
    <row r="1200" spans="1:37" s="1" customFormat="1" ht="19.7" customHeight="1" x14ac:dyDescent="0.25">
      <c r="A1200" s="5" t="s">
        <v>22</v>
      </c>
      <c r="B1200" s="5" t="s">
        <v>600</v>
      </c>
      <c r="C1200" s="6">
        <v>44281</v>
      </c>
      <c r="D1200" s="5" t="s">
        <v>24</v>
      </c>
      <c r="E1200" s="5" t="s">
        <v>25</v>
      </c>
      <c r="F1200" s="5" t="s">
        <v>26</v>
      </c>
      <c r="G1200" s="5" t="s">
        <v>27</v>
      </c>
      <c r="H1200" s="5" t="s">
        <v>28</v>
      </c>
      <c r="I1200" s="5" t="s">
        <v>29</v>
      </c>
      <c r="J1200" s="5" t="s">
        <v>30</v>
      </c>
      <c r="K1200" s="5" t="s">
        <v>31</v>
      </c>
      <c r="L1200" s="5" t="s">
        <v>32</v>
      </c>
      <c r="M1200" s="5" t="s">
        <v>601</v>
      </c>
      <c r="N1200" s="5" t="s">
        <v>518</v>
      </c>
      <c r="O1200" s="5" t="s">
        <v>455</v>
      </c>
      <c r="P1200" s="5" t="s">
        <v>602</v>
      </c>
      <c r="Q1200" s="5">
        <v>101825521</v>
      </c>
      <c r="R1200" s="5" t="s">
        <v>51</v>
      </c>
      <c r="S1200" s="5" t="s">
        <v>39</v>
      </c>
      <c r="T1200" s="7">
        <v>1</v>
      </c>
      <c r="U1200" s="15" t="s">
        <v>455</v>
      </c>
      <c r="V1200" s="16" t="s">
        <v>602</v>
      </c>
      <c r="W1200" s="17">
        <v>101825521</v>
      </c>
      <c r="X1200" s="16" t="s">
        <v>2620</v>
      </c>
      <c r="Y1200" s="17" t="s">
        <v>2747</v>
      </c>
      <c r="Z1200" s="17" t="s">
        <v>39</v>
      </c>
      <c r="AA1200" s="17" t="s">
        <v>37</v>
      </c>
      <c r="AB1200" s="29">
        <v>843.47</v>
      </c>
      <c r="AC1200" s="25">
        <v>923.05</v>
      </c>
      <c r="AD1200" s="25">
        <f>AC1200*T1200</f>
        <v>923.05</v>
      </c>
      <c r="AE1200" s="25">
        <f>AB1200*T1200</f>
        <v>843.47</v>
      </c>
      <c r="AF1200" s="25">
        <f>AD1200-AE1200</f>
        <v>79.579999999999927</v>
      </c>
      <c r="AG1200" s="26">
        <f>AF1200/AD1200</f>
        <v>8.6214181246952959E-2</v>
      </c>
      <c r="AH1200" s="27" t="str">
        <f>IF(AG1200&lt;0,"Negative",IF(AG1200=0,"Same",IF(AG1200&gt;0.3,"30+%",IF(AG1200&gt;0.2,"20-30%",IF(AG1200&gt;0.1,"10-20%",IF(AG1200&lt;=0.1,"0-10%"))))))</f>
        <v>0-10%</v>
      </c>
      <c r="AI1200" s="32"/>
      <c r="AJ1200" s="36" t="s">
        <v>3300</v>
      </c>
      <c r="AK1200" s="32"/>
    </row>
    <row r="1201" spans="1:37" s="1" customFormat="1" ht="19.7" customHeight="1" x14ac:dyDescent="0.25">
      <c r="A1201" s="9" t="s">
        <v>22</v>
      </c>
      <c r="B1201" s="9" t="s">
        <v>1246</v>
      </c>
      <c r="C1201" s="10">
        <v>44364</v>
      </c>
      <c r="D1201" s="9" t="s">
        <v>24</v>
      </c>
      <c r="E1201" s="9" t="s">
        <v>25</v>
      </c>
      <c r="F1201" s="9" t="s">
        <v>26</v>
      </c>
      <c r="G1201" s="9" t="s">
        <v>67</v>
      </c>
      <c r="H1201" s="9" t="s">
        <v>68</v>
      </c>
      <c r="I1201" s="9" t="s">
        <v>29</v>
      </c>
      <c r="J1201" s="9" t="s">
        <v>30</v>
      </c>
      <c r="K1201" s="9" t="s">
        <v>31</v>
      </c>
      <c r="L1201" s="9" t="s">
        <v>32</v>
      </c>
      <c r="M1201" s="9" t="s">
        <v>1037</v>
      </c>
      <c r="N1201" s="9" t="s">
        <v>1247</v>
      </c>
      <c r="O1201" s="9" t="s">
        <v>1021</v>
      </c>
      <c r="P1201" s="9" t="s">
        <v>1038</v>
      </c>
      <c r="Q1201" s="9">
        <v>103803558</v>
      </c>
      <c r="R1201" s="9" t="s">
        <v>56</v>
      </c>
      <c r="S1201" s="9" t="s">
        <v>39</v>
      </c>
      <c r="T1201" s="11">
        <v>1</v>
      </c>
      <c r="U1201" s="15" t="s">
        <v>1021</v>
      </c>
      <c r="V1201" s="16" t="s">
        <v>1038</v>
      </c>
      <c r="W1201" s="17">
        <v>103803558</v>
      </c>
      <c r="X1201" s="16" t="s">
        <v>2845</v>
      </c>
      <c r="Y1201" s="17" t="s">
        <v>2901</v>
      </c>
      <c r="Z1201" s="17" t="s">
        <v>39</v>
      </c>
      <c r="AA1201" s="17" t="s">
        <v>37</v>
      </c>
      <c r="AB1201" s="43">
        <v>977.64</v>
      </c>
      <c r="AC1201" s="25">
        <v>998.44</v>
      </c>
      <c r="AD1201" s="25">
        <f>AC1201*T1201</f>
        <v>998.44</v>
      </c>
      <c r="AE1201" s="25">
        <f>AB1201*T1201</f>
        <v>977.64</v>
      </c>
      <c r="AF1201" s="25">
        <f>AD1201-AE1201</f>
        <v>20.800000000000068</v>
      </c>
      <c r="AG1201" s="26">
        <f>AF1201/AD1201</f>
        <v>2.0832498697968899E-2</v>
      </c>
      <c r="AH1201" s="27" t="str">
        <f>IF(AG1201&lt;0,"Negative",IF(AG1201=0,"Same",IF(AG1201&gt;0.3,"30+%",IF(AG1201&gt;0.2,"20-30%",IF(AG1201&gt;0.1,"10-20%",IF(AG1201&lt;=0.1,"0-10%"))))))</f>
        <v>0-10%</v>
      </c>
      <c r="AI1201" s="32"/>
      <c r="AJ1201" s="36" t="s">
        <v>3300</v>
      </c>
      <c r="AK1201" s="32"/>
    </row>
    <row r="1202" spans="1:37" s="1" customFormat="1" ht="19.7" customHeight="1" x14ac:dyDescent="0.25">
      <c r="A1202" s="9" t="s">
        <v>22</v>
      </c>
      <c r="B1202" s="9" t="s">
        <v>1118</v>
      </c>
      <c r="C1202" s="10">
        <v>44341</v>
      </c>
      <c r="D1202" s="9" t="s">
        <v>24</v>
      </c>
      <c r="E1202" s="9" t="s">
        <v>25</v>
      </c>
      <c r="F1202" s="9" t="s">
        <v>26</v>
      </c>
      <c r="G1202" s="9" t="s">
        <v>27</v>
      </c>
      <c r="H1202" s="9" t="s">
        <v>28</v>
      </c>
      <c r="I1202" s="9" t="s">
        <v>29</v>
      </c>
      <c r="J1202" s="9" t="s">
        <v>30</v>
      </c>
      <c r="K1202" s="9" t="s">
        <v>31</v>
      </c>
      <c r="L1202" s="9" t="s">
        <v>32</v>
      </c>
      <c r="M1202" s="9" t="s">
        <v>1037</v>
      </c>
      <c r="N1202" s="9" t="s">
        <v>1070</v>
      </c>
      <c r="O1202" s="9" t="s">
        <v>1021</v>
      </c>
      <c r="P1202" s="9" t="s">
        <v>1038</v>
      </c>
      <c r="Q1202" s="9">
        <v>103803558</v>
      </c>
      <c r="R1202" s="9" t="s">
        <v>56</v>
      </c>
      <c r="S1202" s="9" t="s">
        <v>39</v>
      </c>
      <c r="T1202" s="11">
        <v>1</v>
      </c>
      <c r="U1202" s="15" t="s">
        <v>1021</v>
      </c>
      <c r="V1202" s="16" t="s">
        <v>1038</v>
      </c>
      <c r="W1202" s="17">
        <v>103803558</v>
      </c>
      <c r="X1202" s="16" t="s">
        <v>2845</v>
      </c>
      <c r="Y1202" s="17" t="s">
        <v>2901</v>
      </c>
      <c r="Z1202" s="17" t="s">
        <v>39</v>
      </c>
      <c r="AA1202" s="17" t="s">
        <v>37</v>
      </c>
      <c r="AB1202" s="43">
        <v>977.64</v>
      </c>
      <c r="AC1202" s="25">
        <v>998.44</v>
      </c>
      <c r="AD1202" s="25">
        <f>AC1202*T1202</f>
        <v>998.44</v>
      </c>
      <c r="AE1202" s="25">
        <f>AB1202*T1202</f>
        <v>977.64</v>
      </c>
      <c r="AF1202" s="25">
        <f>AD1202-AE1202</f>
        <v>20.800000000000068</v>
      </c>
      <c r="AG1202" s="26">
        <f>AF1202/AD1202</f>
        <v>2.0832498697968899E-2</v>
      </c>
      <c r="AH1202" s="27" t="str">
        <f>IF(AG1202&lt;0,"Negative",IF(AG1202=0,"Same",IF(AG1202&gt;0.3,"30+%",IF(AG1202&gt;0.2,"20-30%",IF(AG1202&gt;0.1,"10-20%",IF(AG1202&lt;=0.1,"0-10%"))))))</f>
        <v>0-10%</v>
      </c>
      <c r="AI1202" s="32"/>
      <c r="AJ1202" s="36" t="s">
        <v>3300</v>
      </c>
      <c r="AK1202" s="32"/>
    </row>
    <row r="1203" spans="1:37" s="1" customFormat="1" ht="19.7" customHeight="1" x14ac:dyDescent="0.25">
      <c r="A1203" s="9" t="s">
        <v>22</v>
      </c>
      <c r="B1203" s="9" t="s">
        <v>1036</v>
      </c>
      <c r="C1203" s="10">
        <v>44333</v>
      </c>
      <c r="D1203" s="9" t="s">
        <v>24</v>
      </c>
      <c r="E1203" s="9" t="s">
        <v>25</v>
      </c>
      <c r="F1203" s="9" t="s">
        <v>26</v>
      </c>
      <c r="G1203" s="9" t="s">
        <v>27</v>
      </c>
      <c r="H1203" s="9" t="s">
        <v>28</v>
      </c>
      <c r="I1203" s="9" t="s">
        <v>29</v>
      </c>
      <c r="J1203" s="9" t="s">
        <v>30</v>
      </c>
      <c r="K1203" s="9" t="s">
        <v>31</v>
      </c>
      <c r="L1203" s="9" t="s">
        <v>32</v>
      </c>
      <c r="M1203" s="9" t="s">
        <v>1037</v>
      </c>
      <c r="N1203" s="9" t="s">
        <v>972</v>
      </c>
      <c r="O1203" s="9" t="s">
        <v>1021</v>
      </c>
      <c r="P1203" s="9" t="s">
        <v>1038</v>
      </c>
      <c r="Q1203" s="9">
        <v>103803558</v>
      </c>
      <c r="R1203" s="9" t="s">
        <v>56</v>
      </c>
      <c r="S1203" s="9" t="s">
        <v>39</v>
      </c>
      <c r="T1203" s="11">
        <v>1</v>
      </c>
      <c r="U1203" s="15" t="s">
        <v>1021</v>
      </c>
      <c r="V1203" s="16" t="s">
        <v>1038</v>
      </c>
      <c r="W1203" s="17">
        <v>103803558</v>
      </c>
      <c r="X1203" s="16" t="s">
        <v>2845</v>
      </c>
      <c r="Y1203" s="17" t="s">
        <v>2901</v>
      </c>
      <c r="Z1203" s="17" t="s">
        <v>39</v>
      </c>
      <c r="AA1203" s="17" t="s">
        <v>37</v>
      </c>
      <c r="AB1203" s="43">
        <v>977.64</v>
      </c>
      <c r="AC1203" s="25">
        <v>998.44</v>
      </c>
      <c r="AD1203" s="25">
        <f>AC1203*T1203</f>
        <v>998.44</v>
      </c>
      <c r="AE1203" s="25">
        <f>AB1203*T1203</f>
        <v>977.64</v>
      </c>
      <c r="AF1203" s="25">
        <f>AD1203-AE1203</f>
        <v>20.800000000000068</v>
      </c>
      <c r="AG1203" s="26">
        <f>AF1203/AD1203</f>
        <v>2.0832498697968899E-2</v>
      </c>
      <c r="AH1203" s="27" t="str">
        <f>IF(AG1203&lt;0,"Negative",IF(AG1203=0,"Same",IF(AG1203&gt;0.3,"30+%",IF(AG1203&gt;0.2,"20-30%",IF(AG1203&gt;0.1,"10-20%",IF(AG1203&lt;=0.1,"0-10%"))))))</f>
        <v>0-10%</v>
      </c>
      <c r="AI1203" s="32"/>
      <c r="AJ1203" s="36" t="s">
        <v>3300</v>
      </c>
      <c r="AK1203" s="32"/>
    </row>
    <row r="1204" spans="1:37" s="1" customFormat="1" ht="19.7" customHeight="1" x14ac:dyDescent="0.25">
      <c r="A1204" s="9" t="s">
        <v>22</v>
      </c>
      <c r="B1204" s="9" t="s">
        <v>2033</v>
      </c>
      <c r="C1204" s="10">
        <v>44502</v>
      </c>
      <c r="D1204" s="9" t="s">
        <v>24</v>
      </c>
      <c r="E1204" s="9" t="s">
        <v>25</v>
      </c>
      <c r="F1204" s="9" t="s">
        <v>26</v>
      </c>
      <c r="G1204" s="9" t="s">
        <v>27</v>
      </c>
      <c r="H1204" s="9" t="s">
        <v>28</v>
      </c>
      <c r="I1204" s="9" t="s">
        <v>29</v>
      </c>
      <c r="J1204" s="9" t="s">
        <v>30</v>
      </c>
      <c r="K1204" s="9" t="s">
        <v>31</v>
      </c>
      <c r="L1204" s="9" t="s">
        <v>32</v>
      </c>
      <c r="M1204" s="9" t="s">
        <v>1276</v>
      </c>
      <c r="N1204" s="9" t="s">
        <v>1977</v>
      </c>
      <c r="O1204" s="9" t="s">
        <v>131</v>
      </c>
      <c r="P1204" s="9" t="s">
        <v>1277</v>
      </c>
      <c r="Q1204" s="9">
        <v>100778831</v>
      </c>
      <c r="R1204" s="9" t="s">
        <v>56</v>
      </c>
      <c r="S1204" s="9" t="s">
        <v>39</v>
      </c>
      <c r="T1204" s="11">
        <v>1</v>
      </c>
      <c r="U1204" s="15" t="s">
        <v>131</v>
      </c>
      <c r="V1204" s="16" t="s">
        <v>1277</v>
      </c>
      <c r="W1204" s="17">
        <v>100778831</v>
      </c>
      <c r="X1204" s="16" t="s">
        <v>2845</v>
      </c>
      <c r="Y1204" s="17" t="s">
        <v>2981</v>
      </c>
      <c r="Z1204" s="17" t="s">
        <v>39</v>
      </c>
      <c r="AA1204" s="17" t="s">
        <v>37</v>
      </c>
      <c r="AB1204" s="29">
        <v>986.88</v>
      </c>
      <c r="AC1204" s="25">
        <v>1031.32</v>
      </c>
      <c r="AD1204" s="25">
        <f>AC1204*T1204</f>
        <v>1031.32</v>
      </c>
      <c r="AE1204" s="25">
        <f>AB1204*T1204</f>
        <v>986.88</v>
      </c>
      <c r="AF1204" s="25">
        <f>AD1204-AE1204</f>
        <v>44.439999999999941</v>
      </c>
      <c r="AG1204" s="26">
        <f>AF1204/AD1204</f>
        <v>4.3090408408641298E-2</v>
      </c>
      <c r="AH1204" s="27" t="str">
        <f>IF(AG1204&lt;0,"Negative",IF(AG1204=0,"Same",IF(AG1204&gt;0.3,"30+%",IF(AG1204&gt;0.2,"20-30%",IF(AG1204&gt;0.1,"10-20%",IF(AG1204&lt;=0.1,"0-10%"))))))</f>
        <v>0-10%</v>
      </c>
      <c r="AI1204" s="32"/>
      <c r="AJ1204" s="36" t="s">
        <v>3300</v>
      </c>
      <c r="AK1204" s="32"/>
    </row>
    <row r="1205" spans="1:37" s="1" customFormat="1" ht="19.7" customHeight="1" x14ac:dyDescent="0.25">
      <c r="A1205" s="9" t="s">
        <v>22</v>
      </c>
      <c r="B1205" s="9" t="s">
        <v>1275</v>
      </c>
      <c r="C1205" s="10">
        <v>44369</v>
      </c>
      <c r="D1205" s="9" t="s">
        <v>24</v>
      </c>
      <c r="E1205" s="9" t="s">
        <v>25</v>
      </c>
      <c r="F1205" s="9" t="s">
        <v>26</v>
      </c>
      <c r="G1205" s="9" t="s">
        <v>67</v>
      </c>
      <c r="H1205" s="9" t="s">
        <v>68</v>
      </c>
      <c r="I1205" s="9" t="s">
        <v>29</v>
      </c>
      <c r="J1205" s="9" t="s">
        <v>30</v>
      </c>
      <c r="K1205" s="9" t="s">
        <v>31</v>
      </c>
      <c r="L1205" s="9" t="s">
        <v>32</v>
      </c>
      <c r="M1205" s="9" t="s">
        <v>1276</v>
      </c>
      <c r="N1205" s="9" t="s">
        <v>1247</v>
      </c>
      <c r="O1205" s="9" t="s">
        <v>131</v>
      </c>
      <c r="P1205" s="9" t="s">
        <v>1277</v>
      </c>
      <c r="Q1205" s="9">
        <v>100778831</v>
      </c>
      <c r="R1205" s="9" t="s">
        <v>56</v>
      </c>
      <c r="S1205" s="9" t="s">
        <v>39</v>
      </c>
      <c r="T1205" s="11">
        <v>1</v>
      </c>
      <c r="U1205" s="15" t="s">
        <v>131</v>
      </c>
      <c r="V1205" s="16" t="s">
        <v>1277</v>
      </c>
      <c r="W1205" s="17">
        <v>100778831</v>
      </c>
      <c r="X1205" s="16" t="s">
        <v>2845</v>
      </c>
      <c r="Y1205" s="17" t="s">
        <v>2981</v>
      </c>
      <c r="Z1205" s="17" t="s">
        <v>39</v>
      </c>
      <c r="AA1205" s="17" t="s">
        <v>37</v>
      </c>
      <c r="AB1205" s="29">
        <v>986.88</v>
      </c>
      <c r="AC1205" s="25">
        <v>1031.32</v>
      </c>
      <c r="AD1205" s="25">
        <f>AC1205*T1205</f>
        <v>1031.32</v>
      </c>
      <c r="AE1205" s="25">
        <f>AB1205*T1205</f>
        <v>986.88</v>
      </c>
      <c r="AF1205" s="25">
        <f>AD1205-AE1205</f>
        <v>44.439999999999941</v>
      </c>
      <c r="AG1205" s="26">
        <f>AF1205/AD1205</f>
        <v>4.3090408408641298E-2</v>
      </c>
      <c r="AH1205" s="27" t="str">
        <f>IF(AG1205&lt;0,"Negative",IF(AG1205=0,"Same",IF(AG1205&gt;0.3,"30+%",IF(AG1205&gt;0.2,"20-30%",IF(AG1205&gt;0.1,"10-20%",IF(AG1205&lt;=0.1,"0-10%"))))))</f>
        <v>0-10%</v>
      </c>
      <c r="AI1205" s="32"/>
      <c r="AJ1205" s="36" t="s">
        <v>3300</v>
      </c>
      <c r="AK1205" s="32"/>
    </row>
    <row r="1206" spans="1:37" s="1" customFormat="1" ht="19.7" customHeight="1" x14ac:dyDescent="0.25">
      <c r="A1206" s="9" t="s">
        <v>22</v>
      </c>
      <c r="B1206" s="9" t="s">
        <v>1332</v>
      </c>
      <c r="C1206" s="10">
        <v>44377</v>
      </c>
      <c r="D1206" s="9" t="s">
        <v>24</v>
      </c>
      <c r="E1206" s="9" t="s">
        <v>25</v>
      </c>
      <c r="F1206" s="9" t="s">
        <v>26</v>
      </c>
      <c r="G1206" s="9" t="s">
        <v>27</v>
      </c>
      <c r="H1206" s="9" t="s">
        <v>28</v>
      </c>
      <c r="I1206" s="9" t="s">
        <v>29</v>
      </c>
      <c r="J1206" s="9" t="s">
        <v>30</v>
      </c>
      <c r="K1206" s="9" t="s">
        <v>31</v>
      </c>
      <c r="L1206" s="9" t="s">
        <v>32</v>
      </c>
      <c r="M1206" s="9" t="s">
        <v>1333</v>
      </c>
      <c r="N1206" s="9" t="s">
        <v>1319</v>
      </c>
      <c r="O1206" s="9" t="s">
        <v>1334</v>
      </c>
      <c r="P1206" s="9" t="s">
        <v>1335</v>
      </c>
      <c r="Q1206" s="9">
        <v>105353398</v>
      </c>
      <c r="R1206" s="9" t="s">
        <v>56</v>
      </c>
      <c r="S1206" s="9" t="s">
        <v>39</v>
      </c>
      <c r="T1206" s="11">
        <v>1</v>
      </c>
      <c r="U1206" s="15" t="s">
        <v>1334</v>
      </c>
      <c r="V1206" s="16" t="s">
        <v>1335</v>
      </c>
      <c r="W1206" s="17">
        <v>105353398</v>
      </c>
      <c r="X1206" s="16" t="s">
        <v>2568</v>
      </c>
      <c r="Y1206" s="17" t="s">
        <v>3004</v>
      </c>
      <c r="Z1206" s="17" t="s">
        <v>39</v>
      </c>
      <c r="AA1206" s="17" t="s">
        <v>2501</v>
      </c>
      <c r="AB1206" s="29">
        <v>1737.39</v>
      </c>
      <c r="AC1206" s="25">
        <v>1774.36</v>
      </c>
      <c r="AD1206" s="25">
        <f>AC1206*T1206</f>
        <v>1774.36</v>
      </c>
      <c r="AE1206" s="25">
        <f>AB1206*T1206</f>
        <v>1737.39</v>
      </c>
      <c r="AF1206" s="25">
        <f>AD1206-AE1206</f>
        <v>36.9699999999998</v>
      </c>
      <c r="AG1206" s="26">
        <f>AF1206/AD1206</f>
        <v>2.0835681597871795E-2</v>
      </c>
      <c r="AH1206" s="27" t="str">
        <f>IF(AG1206&lt;0,"Negative",IF(AG1206=0,"Same",IF(AG1206&gt;0.3,"30+%",IF(AG1206&gt;0.2,"20-30%",IF(AG1206&gt;0.1,"10-20%",IF(AG1206&lt;=0.1,"0-10%"))))))</f>
        <v>0-10%</v>
      </c>
      <c r="AI1206" s="32"/>
      <c r="AJ1206" s="36" t="s">
        <v>3300</v>
      </c>
      <c r="AK1206" s="32"/>
    </row>
    <row r="1207" spans="1:37" s="1" customFormat="1" ht="19.7" customHeight="1" x14ac:dyDescent="0.25">
      <c r="A1207" s="5" t="s">
        <v>22</v>
      </c>
      <c r="B1207" s="5" t="s">
        <v>1612</v>
      </c>
      <c r="C1207" s="6">
        <v>44425</v>
      </c>
      <c r="D1207" s="5" t="s">
        <v>24</v>
      </c>
      <c r="E1207" s="5" t="s">
        <v>25</v>
      </c>
      <c r="F1207" s="5" t="s">
        <v>26</v>
      </c>
      <c r="G1207" s="5" t="s">
        <v>27</v>
      </c>
      <c r="H1207" s="5" t="s">
        <v>28</v>
      </c>
      <c r="I1207" s="5" t="s">
        <v>29</v>
      </c>
      <c r="J1207" s="5" t="s">
        <v>30</v>
      </c>
      <c r="K1207" s="5" t="s">
        <v>31</v>
      </c>
      <c r="L1207" s="5" t="s">
        <v>32</v>
      </c>
      <c r="M1207" s="5" t="s">
        <v>1613</v>
      </c>
      <c r="N1207" s="5" t="s">
        <v>1526</v>
      </c>
      <c r="O1207" s="5" t="s">
        <v>455</v>
      </c>
      <c r="P1207" s="5" t="s">
        <v>1614</v>
      </c>
      <c r="Q1207" s="5">
        <v>102556877</v>
      </c>
      <c r="R1207" s="5" t="s">
        <v>51</v>
      </c>
      <c r="S1207" s="5" t="s">
        <v>39</v>
      </c>
      <c r="T1207" s="7">
        <v>1</v>
      </c>
      <c r="U1207" s="15" t="s">
        <v>455</v>
      </c>
      <c r="V1207" s="16" t="s">
        <v>1614</v>
      </c>
      <c r="W1207" s="17">
        <v>102556877</v>
      </c>
      <c r="X1207" s="16" t="s">
        <v>2620</v>
      </c>
      <c r="Y1207" s="17" t="s">
        <v>3091</v>
      </c>
      <c r="Z1207" s="17" t="s">
        <v>39</v>
      </c>
      <c r="AA1207" s="17" t="s">
        <v>37</v>
      </c>
      <c r="AB1207" s="29">
        <v>1014.14</v>
      </c>
      <c r="AC1207" s="25">
        <v>1109.81</v>
      </c>
      <c r="AD1207" s="25">
        <f>AC1207*T1207</f>
        <v>1109.81</v>
      </c>
      <c r="AE1207" s="25">
        <f>AB1207*T1207</f>
        <v>1014.14</v>
      </c>
      <c r="AF1207" s="25">
        <f>AD1207-AE1207</f>
        <v>95.669999999999959</v>
      </c>
      <c r="AG1207" s="26">
        <f>AF1207/AD1207</f>
        <v>8.6203944819383468E-2</v>
      </c>
      <c r="AH1207" s="27" t="str">
        <f>IF(AG1207&lt;0,"Negative",IF(AG1207=0,"Same",IF(AG1207&gt;0.3,"30+%",IF(AG1207&gt;0.2,"20-30%",IF(AG1207&gt;0.1,"10-20%",IF(AG1207&lt;=0.1,"0-10%"))))))</f>
        <v>0-10%</v>
      </c>
      <c r="AI1207" s="32"/>
      <c r="AJ1207" s="36" t="s">
        <v>3300</v>
      </c>
      <c r="AK1207" s="32"/>
    </row>
    <row r="1208" spans="1:37" s="1" customFormat="1" ht="19.7" customHeight="1" x14ac:dyDescent="0.25">
      <c r="A1208" s="9" t="s">
        <v>22</v>
      </c>
      <c r="B1208" s="9" t="s">
        <v>1494</v>
      </c>
      <c r="C1208" s="10">
        <v>44403</v>
      </c>
      <c r="D1208" s="9" t="s">
        <v>24</v>
      </c>
      <c r="E1208" s="9" t="s">
        <v>25</v>
      </c>
      <c r="F1208" s="9" t="s">
        <v>26</v>
      </c>
      <c r="G1208" s="9" t="s">
        <v>27</v>
      </c>
      <c r="H1208" s="9" t="s">
        <v>28</v>
      </c>
      <c r="I1208" s="9" t="s">
        <v>29</v>
      </c>
      <c r="J1208" s="9" t="s">
        <v>30</v>
      </c>
      <c r="K1208" s="9" t="s">
        <v>31</v>
      </c>
      <c r="L1208" s="9" t="s">
        <v>32</v>
      </c>
      <c r="M1208" s="9" t="s">
        <v>1495</v>
      </c>
      <c r="N1208" s="9" t="s">
        <v>1437</v>
      </c>
      <c r="O1208" s="9" t="s">
        <v>1496</v>
      </c>
      <c r="P1208" s="9" t="s">
        <v>1497</v>
      </c>
      <c r="Q1208" s="9">
        <v>111878509</v>
      </c>
      <c r="R1208" s="9" t="s">
        <v>51</v>
      </c>
      <c r="S1208" s="9" t="s">
        <v>39</v>
      </c>
      <c r="T1208" s="11">
        <v>1</v>
      </c>
      <c r="U1208" s="15" t="s">
        <v>1496</v>
      </c>
      <c r="V1208" s="16" t="s">
        <v>1497</v>
      </c>
      <c r="W1208" s="17">
        <v>111878509</v>
      </c>
      <c r="X1208" s="16" t="s">
        <v>3059</v>
      </c>
      <c r="Y1208" s="17" t="s">
        <v>3060</v>
      </c>
      <c r="Z1208" s="17" t="s">
        <v>39</v>
      </c>
      <c r="AA1208" s="17" t="s">
        <v>2501</v>
      </c>
      <c r="AB1208" s="29">
        <v>2775.29</v>
      </c>
      <c r="AC1208" s="25">
        <v>3037.11</v>
      </c>
      <c r="AD1208" s="25">
        <f>AC1208*T1208</f>
        <v>3037.11</v>
      </c>
      <c r="AE1208" s="25">
        <f>AB1208*T1208</f>
        <v>2775.29</v>
      </c>
      <c r="AF1208" s="25">
        <f>AD1208-AE1208</f>
        <v>261.82000000000016</v>
      </c>
      <c r="AG1208" s="26">
        <f>AF1208/AD1208</f>
        <v>8.6206953320755633E-2</v>
      </c>
      <c r="AH1208" s="27" t="str">
        <f>IF(AG1208&lt;0,"Negative",IF(AG1208=0,"Same",IF(AG1208&gt;0.3,"30+%",IF(AG1208&gt;0.2,"20-30%",IF(AG1208&gt;0.1,"10-20%",IF(AG1208&lt;=0.1,"0-10%"))))))</f>
        <v>0-10%</v>
      </c>
      <c r="AI1208" s="32"/>
      <c r="AJ1208" s="36" t="s">
        <v>3300</v>
      </c>
      <c r="AK1208" s="32"/>
    </row>
    <row r="1209" spans="1:37" s="1" customFormat="1" ht="19.7" customHeight="1" x14ac:dyDescent="0.25">
      <c r="A1209" s="5" t="s">
        <v>22</v>
      </c>
      <c r="B1209" s="5" t="s">
        <v>1109</v>
      </c>
      <c r="C1209" s="6">
        <v>44340</v>
      </c>
      <c r="D1209" s="5" t="s">
        <v>24</v>
      </c>
      <c r="E1209" s="5" t="s">
        <v>25</v>
      </c>
      <c r="F1209" s="5" t="s">
        <v>26</v>
      </c>
      <c r="G1209" s="5" t="s">
        <v>27</v>
      </c>
      <c r="H1209" s="5" t="s">
        <v>28</v>
      </c>
      <c r="I1209" s="5" t="s">
        <v>29</v>
      </c>
      <c r="J1209" s="5" t="s">
        <v>30</v>
      </c>
      <c r="K1209" s="5" t="s">
        <v>31</v>
      </c>
      <c r="L1209" s="5" t="s">
        <v>32</v>
      </c>
      <c r="M1209" s="5" t="s">
        <v>1110</v>
      </c>
      <c r="N1209" s="5" t="s">
        <v>879</v>
      </c>
      <c r="O1209" s="5" t="s">
        <v>381</v>
      </c>
      <c r="P1209" s="5" t="s">
        <v>1111</v>
      </c>
      <c r="Q1209" s="5">
        <v>112347429</v>
      </c>
      <c r="R1209" s="5" t="s">
        <v>38</v>
      </c>
      <c r="S1209" s="5" t="s">
        <v>39</v>
      </c>
      <c r="T1209" s="7">
        <v>1</v>
      </c>
      <c r="U1209" s="15" t="s">
        <v>381</v>
      </c>
      <c r="V1209" s="16" t="s">
        <v>1111</v>
      </c>
      <c r="W1209" s="17">
        <v>112347429</v>
      </c>
      <c r="X1209" s="16" t="s">
        <v>2648</v>
      </c>
      <c r="Y1209" s="17" t="s">
        <v>2925</v>
      </c>
      <c r="Z1209" s="17" t="s">
        <v>39</v>
      </c>
      <c r="AA1209" s="17" t="s">
        <v>37</v>
      </c>
      <c r="AB1209" s="29">
        <v>2127.8000000000002</v>
      </c>
      <c r="AC1209" s="25">
        <v>2229.0100000000002</v>
      </c>
      <c r="AD1209" s="25">
        <f>AC1209*T1209</f>
        <v>2229.0100000000002</v>
      </c>
      <c r="AE1209" s="25">
        <f>AB1209*T1209</f>
        <v>2127.8000000000002</v>
      </c>
      <c r="AF1209" s="25">
        <f>AD1209-AE1209</f>
        <v>101.21000000000004</v>
      </c>
      <c r="AG1209" s="26">
        <f>AF1209/AD1209</f>
        <v>4.5405807959587451E-2</v>
      </c>
      <c r="AH1209" s="27" t="str">
        <f>IF(AG1209&lt;0,"Negative",IF(AG1209=0,"Same",IF(AG1209&gt;0.3,"30+%",IF(AG1209&gt;0.2,"20-30%",IF(AG1209&gt;0.1,"10-20%",IF(AG1209&lt;=0.1,"0-10%"))))))</f>
        <v>0-10%</v>
      </c>
      <c r="AI1209" s="32"/>
      <c r="AJ1209" s="36" t="s">
        <v>3300</v>
      </c>
      <c r="AK1209" s="32"/>
    </row>
    <row r="1210" spans="1:37" s="1" customFormat="1" ht="19.7" customHeight="1" x14ac:dyDescent="0.25">
      <c r="A1210" s="9" t="s">
        <v>22</v>
      </c>
      <c r="B1210" s="9" t="s">
        <v>1808</v>
      </c>
      <c r="C1210" s="10">
        <v>44466</v>
      </c>
      <c r="D1210" s="9" t="s">
        <v>24</v>
      </c>
      <c r="E1210" s="9" t="s">
        <v>25</v>
      </c>
      <c r="F1210" s="9" t="s">
        <v>26</v>
      </c>
      <c r="G1210" s="9" t="s">
        <v>67</v>
      </c>
      <c r="H1210" s="9" t="s">
        <v>68</v>
      </c>
      <c r="I1210" s="9" t="s">
        <v>29</v>
      </c>
      <c r="J1210" s="9" t="s">
        <v>30</v>
      </c>
      <c r="K1210" s="9" t="s">
        <v>31</v>
      </c>
      <c r="L1210" s="9" t="s">
        <v>32</v>
      </c>
      <c r="M1210" s="9" t="s">
        <v>1810</v>
      </c>
      <c r="N1210" s="9" t="s">
        <v>1809</v>
      </c>
      <c r="O1210" s="9" t="s">
        <v>79</v>
      </c>
      <c r="P1210" s="9" t="s">
        <v>1811</v>
      </c>
      <c r="Q1210" s="9">
        <v>100763020</v>
      </c>
      <c r="R1210" s="9" t="s">
        <v>61</v>
      </c>
      <c r="S1210" s="9" t="s">
        <v>39</v>
      </c>
      <c r="T1210" s="11">
        <v>2</v>
      </c>
      <c r="U1210" s="15" t="s">
        <v>79</v>
      </c>
      <c r="V1210" s="16" t="s">
        <v>1811</v>
      </c>
      <c r="W1210" s="17">
        <v>100763020</v>
      </c>
      <c r="X1210" s="16" t="s">
        <v>2608</v>
      </c>
      <c r="Y1210" s="17" t="s">
        <v>3138</v>
      </c>
      <c r="Z1210" s="17" t="s">
        <v>39</v>
      </c>
      <c r="AA1210" s="17" t="s">
        <v>37</v>
      </c>
      <c r="AB1210" s="43">
        <v>975.47</v>
      </c>
      <c r="AC1210" s="25">
        <v>1029.03</v>
      </c>
      <c r="AD1210" s="25">
        <f>AC1210*T1210</f>
        <v>2058.06</v>
      </c>
      <c r="AE1210" s="25">
        <f>AB1210*T1210</f>
        <v>1950.94</v>
      </c>
      <c r="AF1210" s="25">
        <f>AD1210-AE1210</f>
        <v>107.11999999999989</v>
      </c>
      <c r="AG1210" s="26">
        <f>AF1210/AD1210</f>
        <v>5.2049017035460526E-2</v>
      </c>
      <c r="AH1210" s="27" t="str">
        <f>IF(AG1210&lt;0,"Negative",IF(AG1210=0,"Same",IF(AG1210&gt;0.3,"30+%",IF(AG1210&gt;0.2,"20-30%",IF(AG1210&gt;0.1,"10-20%",IF(AG1210&lt;=0.1,"0-10%"))))))</f>
        <v>0-10%</v>
      </c>
      <c r="AI1210" s="32"/>
      <c r="AJ1210" s="36" t="s">
        <v>3300</v>
      </c>
      <c r="AK1210" s="32"/>
    </row>
    <row r="1211" spans="1:37" s="1" customFormat="1" ht="19.7" customHeight="1" x14ac:dyDescent="0.25">
      <c r="A1211" s="5" t="s">
        <v>22</v>
      </c>
      <c r="B1211" s="5" t="s">
        <v>1633</v>
      </c>
      <c r="C1211" s="6">
        <v>44427</v>
      </c>
      <c r="D1211" s="5" t="s">
        <v>24</v>
      </c>
      <c r="E1211" s="5" t="s">
        <v>25</v>
      </c>
      <c r="F1211" s="5" t="s">
        <v>26</v>
      </c>
      <c r="G1211" s="5" t="s">
        <v>67</v>
      </c>
      <c r="H1211" s="5" t="s">
        <v>68</v>
      </c>
      <c r="I1211" s="5" t="s">
        <v>29</v>
      </c>
      <c r="J1211" s="5" t="s">
        <v>30</v>
      </c>
      <c r="K1211" s="5" t="s">
        <v>31</v>
      </c>
      <c r="L1211" s="5" t="s">
        <v>32</v>
      </c>
      <c r="M1211" s="5" t="s">
        <v>1634</v>
      </c>
      <c r="N1211" s="5" t="s">
        <v>1635</v>
      </c>
      <c r="O1211" s="5" t="s">
        <v>79</v>
      </c>
      <c r="P1211" s="5" t="s">
        <v>1636</v>
      </c>
      <c r="Q1211" s="5">
        <v>101169262</v>
      </c>
      <c r="R1211" s="5" t="s">
        <v>61</v>
      </c>
      <c r="S1211" s="5" t="s">
        <v>39</v>
      </c>
      <c r="T1211" s="7">
        <v>2</v>
      </c>
      <c r="U1211" s="15" t="s">
        <v>79</v>
      </c>
      <c r="V1211" s="16" t="s">
        <v>1636</v>
      </c>
      <c r="W1211" s="17">
        <v>101169262</v>
      </c>
      <c r="X1211" s="16" t="s">
        <v>2540</v>
      </c>
      <c r="Y1211" s="17" t="s">
        <v>3096</v>
      </c>
      <c r="Z1211" s="17" t="s">
        <v>39</v>
      </c>
      <c r="AA1211" s="17" t="s">
        <v>37</v>
      </c>
      <c r="AB1211" s="43">
        <v>917.64</v>
      </c>
      <c r="AC1211" s="25">
        <v>968.03</v>
      </c>
      <c r="AD1211" s="25">
        <f>AC1211*T1211</f>
        <v>1936.06</v>
      </c>
      <c r="AE1211" s="25">
        <f>AB1211*T1211</f>
        <v>1835.28</v>
      </c>
      <c r="AF1211" s="25">
        <f>AD1211-AE1211</f>
        <v>100.77999999999997</v>
      </c>
      <c r="AG1211" s="26">
        <f>AF1211/AD1211</f>
        <v>5.205417187483858E-2</v>
      </c>
      <c r="AH1211" s="27" t="str">
        <f>IF(AG1211&lt;0,"Negative",IF(AG1211=0,"Same",IF(AG1211&gt;0.3,"30+%",IF(AG1211&gt;0.2,"20-30%",IF(AG1211&gt;0.1,"10-20%",IF(AG1211&lt;=0.1,"0-10%"))))))</f>
        <v>0-10%</v>
      </c>
      <c r="AI1211" s="32"/>
      <c r="AJ1211" s="36" t="s">
        <v>3300</v>
      </c>
      <c r="AK1211" s="32"/>
    </row>
    <row r="1212" spans="1:37" s="1" customFormat="1" ht="19.7" customHeight="1" x14ac:dyDescent="0.25">
      <c r="A1212" s="5" t="s">
        <v>22</v>
      </c>
      <c r="B1212" s="5" t="s">
        <v>1769</v>
      </c>
      <c r="C1212" s="6">
        <v>44460</v>
      </c>
      <c r="D1212" s="5" t="s">
        <v>24</v>
      </c>
      <c r="E1212" s="5" t="s">
        <v>25</v>
      </c>
      <c r="F1212" s="5" t="s">
        <v>26</v>
      </c>
      <c r="G1212" s="5" t="s">
        <v>27</v>
      </c>
      <c r="H1212" s="5" t="s">
        <v>28</v>
      </c>
      <c r="I1212" s="5" t="s">
        <v>29</v>
      </c>
      <c r="J1212" s="5" t="s">
        <v>30</v>
      </c>
      <c r="K1212" s="5" t="s">
        <v>31</v>
      </c>
      <c r="L1212" s="5" t="s">
        <v>32</v>
      </c>
      <c r="M1212" s="5" t="s">
        <v>1770</v>
      </c>
      <c r="N1212" s="5" t="s">
        <v>1627</v>
      </c>
      <c r="O1212" s="5" t="s">
        <v>310</v>
      </c>
      <c r="P1212" s="5" t="s">
        <v>1771</v>
      </c>
      <c r="Q1212" s="5">
        <v>110920968</v>
      </c>
      <c r="R1212" s="5" t="s">
        <v>51</v>
      </c>
      <c r="S1212" s="5" t="s">
        <v>39</v>
      </c>
      <c r="T1212" s="7">
        <v>1</v>
      </c>
      <c r="U1212" s="15" t="s">
        <v>310</v>
      </c>
      <c r="V1212" s="16" t="s">
        <v>1771</v>
      </c>
      <c r="W1212" s="17">
        <v>110920968</v>
      </c>
      <c r="X1212" s="16" t="s">
        <v>3059</v>
      </c>
      <c r="Y1212" s="17" t="s">
        <v>3124</v>
      </c>
      <c r="Z1212" s="17" t="s">
        <v>39</v>
      </c>
      <c r="AA1212" s="17" t="s">
        <v>2501</v>
      </c>
      <c r="AB1212" s="29">
        <v>3642.25</v>
      </c>
      <c r="AC1212" s="25">
        <v>3985.85</v>
      </c>
      <c r="AD1212" s="25">
        <f>AC1212*T1212</f>
        <v>3985.85</v>
      </c>
      <c r="AE1212" s="25">
        <f>AB1212*T1212</f>
        <v>3642.25</v>
      </c>
      <c r="AF1212" s="25">
        <f>AD1212-AE1212</f>
        <v>343.59999999999991</v>
      </c>
      <c r="AG1212" s="26">
        <f>AF1212/AD1212</f>
        <v>8.6204950010662695E-2</v>
      </c>
      <c r="AH1212" s="27" t="str">
        <f>IF(AG1212&lt;0,"Negative",IF(AG1212=0,"Same",IF(AG1212&gt;0.3,"30+%",IF(AG1212&gt;0.2,"20-30%",IF(AG1212&gt;0.1,"10-20%",IF(AG1212&lt;=0.1,"0-10%"))))))</f>
        <v>0-10%</v>
      </c>
      <c r="AI1212" s="32"/>
      <c r="AJ1212" s="36" t="s">
        <v>3300</v>
      </c>
      <c r="AK1212" s="32"/>
    </row>
    <row r="1213" spans="1:37" s="1" customFormat="1" ht="19.7" customHeight="1" x14ac:dyDescent="0.25">
      <c r="A1213" s="5" t="s">
        <v>22</v>
      </c>
      <c r="B1213" s="5" t="s">
        <v>2112</v>
      </c>
      <c r="C1213" s="6">
        <v>44519</v>
      </c>
      <c r="D1213" s="5" t="s">
        <v>24</v>
      </c>
      <c r="E1213" s="5" t="s">
        <v>25</v>
      </c>
      <c r="F1213" s="5" t="s">
        <v>26</v>
      </c>
      <c r="G1213" s="5" t="s">
        <v>67</v>
      </c>
      <c r="H1213" s="5" t="s">
        <v>68</v>
      </c>
      <c r="I1213" s="5" t="s">
        <v>29</v>
      </c>
      <c r="J1213" s="5" t="s">
        <v>30</v>
      </c>
      <c r="K1213" s="5" t="s">
        <v>31</v>
      </c>
      <c r="L1213" s="5" t="s">
        <v>32</v>
      </c>
      <c r="M1213" s="5" t="s">
        <v>2113</v>
      </c>
      <c r="N1213" s="5" t="s">
        <v>2114</v>
      </c>
      <c r="O1213" s="5" t="s">
        <v>79</v>
      </c>
      <c r="P1213" s="5" t="s">
        <v>2115</v>
      </c>
      <c r="Q1213" s="5">
        <v>100762937</v>
      </c>
      <c r="R1213" s="5" t="s">
        <v>61</v>
      </c>
      <c r="S1213" s="5" t="s">
        <v>39</v>
      </c>
      <c r="T1213" s="7">
        <v>2</v>
      </c>
      <c r="U1213" s="15" t="s">
        <v>79</v>
      </c>
      <c r="V1213" s="16" t="s">
        <v>2115</v>
      </c>
      <c r="W1213" s="17">
        <v>100762937</v>
      </c>
      <c r="X1213" s="16" t="s">
        <v>2608</v>
      </c>
      <c r="Y1213" s="17" t="s">
        <v>3211</v>
      </c>
      <c r="Z1213" s="17" t="s">
        <v>39</v>
      </c>
      <c r="AA1213" s="17" t="s">
        <v>37</v>
      </c>
      <c r="AB1213" s="43">
        <v>1927.57</v>
      </c>
      <c r="AC1213" s="25">
        <v>2033.41</v>
      </c>
      <c r="AD1213" s="25">
        <f>AC1213*T1213</f>
        <v>4066.82</v>
      </c>
      <c r="AE1213" s="25">
        <f>AB1213*T1213</f>
        <v>3855.14</v>
      </c>
      <c r="AF1213" s="25">
        <f>AD1213-AE1213</f>
        <v>211.68000000000029</v>
      </c>
      <c r="AG1213" s="26">
        <f>AF1213/AD1213</f>
        <v>5.2050496456691048E-2</v>
      </c>
      <c r="AH1213" s="27" t="str">
        <f>IF(AG1213&lt;0,"Negative",IF(AG1213=0,"Same",IF(AG1213&gt;0.3,"30+%",IF(AG1213&gt;0.2,"20-30%",IF(AG1213&gt;0.1,"10-20%",IF(AG1213&lt;=0.1,"0-10%"))))))</f>
        <v>0-10%</v>
      </c>
      <c r="AI1213" s="32"/>
      <c r="AJ1213" s="36" t="s">
        <v>3300</v>
      </c>
      <c r="AK1213" s="32"/>
    </row>
    <row r="1214" spans="1:37" s="1" customFormat="1" ht="19.7" customHeight="1" x14ac:dyDescent="0.25">
      <c r="A1214" s="9" t="s">
        <v>22</v>
      </c>
      <c r="B1214" s="9" t="s">
        <v>520</v>
      </c>
      <c r="C1214" s="10">
        <v>44272</v>
      </c>
      <c r="D1214" s="9" t="s">
        <v>24</v>
      </c>
      <c r="E1214" s="9" t="s">
        <v>25</v>
      </c>
      <c r="F1214" s="9" t="s">
        <v>26</v>
      </c>
      <c r="G1214" s="9" t="s">
        <v>27</v>
      </c>
      <c r="H1214" s="9" t="s">
        <v>28</v>
      </c>
      <c r="I1214" s="9" t="s">
        <v>29</v>
      </c>
      <c r="J1214" s="9" t="s">
        <v>30</v>
      </c>
      <c r="K1214" s="9" t="s">
        <v>31</v>
      </c>
      <c r="L1214" s="9" t="s">
        <v>32</v>
      </c>
      <c r="M1214" s="9" t="s">
        <v>521</v>
      </c>
      <c r="N1214" s="9" t="s">
        <v>522</v>
      </c>
      <c r="O1214" s="9" t="s">
        <v>523</v>
      </c>
      <c r="P1214" s="9" t="s">
        <v>524</v>
      </c>
      <c r="Q1214" s="9">
        <v>100816835</v>
      </c>
      <c r="R1214" s="9" t="s">
        <v>56</v>
      </c>
      <c r="S1214" s="9" t="s">
        <v>39</v>
      </c>
      <c r="T1214" s="11">
        <v>1</v>
      </c>
      <c r="U1214" s="15" t="s">
        <v>523</v>
      </c>
      <c r="V1214" s="16" t="s">
        <v>524</v>
      </c>
      <c r="W1214" s="17">
        <v>100816835</v>
      </c>
      <c r="X1214" s="16" t="s">
        <v>2714</v>
      </c>
      <c r="Y1214" s="17" t="s">
        <v>2715</v>
      </c>
      <c r="Z1214" s="17" t="s">
        <v>39</v>
      </c>
      <c r="AA1214" s="17" t="s">
        <v>37</v>
      </c>
      <c r="AB1214" s="29">
        <v>1637.75</v>
      </c>
      <c r="AC1214" s="25">
        <v>1672.6</v>
      </c>
      <c r="AD1214" s="25">
        <f>AC1214*T1214</f>
        <v>1672.6</v>
      </c>
      <c r="AE1214" s="25">
        <f>AB1214*T1214</f>
        <v>1637.75</v>
      </c>
      <c r="AF1214" s="25">
        <f>AD1214-AE1214</f>
        <v>34.849999999999909</v>
      </c>
      <c r="AG1214" s="26">
        <f>AF1214/AD1214</f>
        <v>2.0835824464904885E-2</v>
      </c>
      <c r="AH1214" s="27" t="str">
        <f>IF(AG1214&lt;0,"Negative",IF(AG1214=0,"Same",IF(AG1214&gt;0.3,"30+%",IF(AG1214&gt;0.2,"20-30%",IF(AG1214&gt;0.1,"10-20%",IF(AG1214&lt;=0.1,"0-10%"))))))</f>
        <v>0-10%</v>
      </c>
      <c r="AI1214" s="32"/>
      <c r="AJ1214" s="36" t="s">
        <v>3300</v>
      </c>
      <c r="AK1214" s="32"/>
    </row>
    <row r="1215" spans="1:37" s="1" customFormat="1" ht="19.7" customHeight="1" x14ac:dyDescent="0.25">
      <c r="A1215" s="9" t="s">
        <v>22</v>
      </c>
      <c r="B1215" s="9" t="s">
        <v>1376</v>
      </c>
      <c r="C1215" s="10">
        <v>44384</v>
      </c>
      <c r="D1215" s="9" t="s">
        <v>24</v>
      </c>
      <c r="E1215" s="9" t="s">
        <v>25</v>
      </c>
      <c r="F1215" s="9" t="s">
        <v>26</v>
      </c>
      <c r="G1215" s="9" t="s">
        <v>27</v>
      </c>
      <c r="H1215" s="9" t="s">
        <v>28</v>
      </c>
      <c r="I1215" s="9" t="s">
        <v>29</v>
      </c>
      <c r="J1215" s="9" t="s">
        <v>30</v>
      </c>
      <c r="K1215" s="9" t="s">
        <v>31</v>
      </c>
      <c r="L1215" s="9" t="s">
        <v>32</v>
      </c>
      <c r="M1215" s="9" t="s">
        <v>1188</v>
      </c>
      <c r="N1215" s="9" t="s">
        <v>1319</v>
      </c>
      <c r="O1215" s="9" t="s">
        <v>805</v>
      </c>
      <c r="P1215" s="9" t="s">
        <v>1189</v>
      </c>
      <c r="Q1215" s="9">
        <v>112907864</v>
      </c>
      <c r="R1215" s="9" t="s">
        <v>38</v>
      </c>
      <c r="S1215" s="9" t="s">
        <v>39</v>
      </c>
      <c r="T1215" s="11">
        <v>1</v>
      </c>
      <c r="U1215" s="15" t="s">
        <v>805</v>
      </c>
      <c r="V1215" s="16" t="s">
        <v>1189</v>
      </c>
      <c r="W1215" s="17">
        <v>112907864</v>
      </c>
      <c r="X1215" s="16" t="s">
        <v>2956</v>
      </c>
      <c r="Y1215" s="17" t="s">
        <v>2957</v>
      </c>
      <c r="Z1215" s="17" t="s">
        <v>39</v>
      </c>
      <c r="AA1215" s="17" t="s">
        <v>2501</v>
      </c>
      <c r="AB1215" s="29">
        <v>1032.44</v>
      </c>
      <c r="AC1215" s="25">
        <v>1055.8</v>
      </c>
      <c r="AD1215" s="25">
        <f>AC1215*T1215</f>
        <v>1055.8</v>
      </c>
      <c r="AE1215" s="25">
        <f>AB1215*T1215</f>
        <v>1032.44</v>
      </c>
      <c r="AF1215" s="25">
        <f>AD1215-AE1215</f>
        <v>23.3599999999999</v>
      </c>
      <c r="AG1215" s="26">
        <f>AF1215/AD1215</f>
        <v>2.2125402538359443E-2</v>
      </c>
      <c r="AH1215" s="27" t="str">
        <f>IF(AG1215&lt;0,"Negative",IF(AG1215=0,"Same",IF(AG1215&gt;0.3,"30+%",IF(AG1215&gt;0.2,"20-30%",IF(AG1215&gt;0.1,"10-20%",IF(AG1215&lt;=0.1,"0-10%"))))))</f>
        <v>0-10%</v>
      </c>
      <c r="AI1215" s="32"/>
      <c r="AJ1215" s="36" t="s">
        <v>3300</v>
      </c>
      <c r="AK1215" s="32"/>
    </row>
    <row r="1216" spans="1:37" s="1" customFormat="1" ht="19.7" customHeight="1" x14ac:dyDescent="0.25">
      <c r="A1216" s="9" t="s">
        <v>22</v>
      </c>
      <c r="B1216" s="9" t="s">
        <v>1187</v>
      </c>
      <c r="C1216" s="10">
        <v>44354</v>
      </c>
      <c r="D1216" s="9" t="s">
        <v>24</v>
      </c>
      <c r="E1216" s="9" t="s">
        <v>25</v>
      </c>
      <c r="F1216" s="9" t="s">
        <v>26</v>
      </c>
      <c r="G1216" s="9" t="s">
        <v>27</v>
      </c>
      <c r="H1216" s="9" t="s">
        <v>28</v>
      </c>
      <c r="I1216" s="9" t="s">
        <v>29</v>
      </c>
      <c r="J1216" s="9" t="s">
        <v>30</v>
      </c>
      <c r="K1216" s="9" t="s">
        <v>31</v>
      </c>
      <c r="L1216" s="9" t="s">
        <v>32</v>
      </c>
      <c r="M1216" s="9" t="s">
        <v>1188</v>
      </c>
      <c r="N1216" s="9" t="s">
        <v>1002</v>
      </c>
      <c r="O1216" s="9" t="s">
        <v>805</v>
      </c>
      <c r="P1216" s="9" t="s">
        <v>1189</v>
      </c>
      <c r="Q1216" s="9">
        <v>112907864</v>
      </c>
      <c r="R1216" s="9" t="s">
        <v>38</v>
      </c>
      <c r="S1216" s="9" t="s">
        <v>39</v>
      </c>
      <c r="T1216" s="11">
        <v>1</v>
      </c>
      <c r="U1216" s="15" t="s">
        <v>805</v>
      </c>
      <c r="V1216" s="16" t="s">
        <v>1189</v>
      </c>
      <c r="W1216" s="17">
        <v>112907864</v>
      </c>
      <c r="X1216" s="16" t="s">
        <v>2956</v>
      </c>
      <c r="Y1216" s="17" t="s">
        <v>2957</v>
      </c>
      <c r="Z1216" s="17" t="s">
        <v>39</v>
      </c>
      <c r="AA1216" s="17" t="s">
        <v>2501</v>
      </c>
      <c r="AB1216" s="29">
        <v>1032.44</v>
      </c>
      <c r="AC1216" s="25">
        <v>1055.8</v>
      </c>
      <c r="AD1216" s="25">
        <f>AC1216*T1216</f>
        <v>1055.8</v>
      </c>
      <c r="AE1216" s="25">
        <f>AB1216*T1216</f>
        <v>1032.44</v>
      </c>
      <c r="AF1216" s="25">
        <f>AD1216-AE1216</f>
        <v>23.3599999999999</v>
      </c>
      <c r="AG1216" s="26">
        <f>AF1216/AD1216</f>
        <v>2.2125402538359443E-2</v>
      </c>
      <c r="AH1216" s="27" t="str">
        <f>IF(AG1216&lt;0,"Negative",IF(AG1216=0,"Same",IF(AG1216&gt;0.3,"30+%",IF(AG1216&gt;0.2,"20-30%",IF(AG1216&gt;0.1,"10-20%",IF(AG1216&lt;=0.1,"0-10%"))))))</f>
        <v>0-10%</v>
      </c>
      <c r="AI1216" s="32"/>
      <c r="AJ1216" s="36" t="s">
        <v>3300</v>
      </c>
      <c r="AK1216" s="32"/>
    </row>
    <row r="1217" spans="1:37" s="1" customFormat="1" ht="19.7" customHeight="1" x14ac:dyDescent="0.25">
      <c r="A1217" s="5" t="s">
        <v>22</v>
      </c>
      <c r="B1217" s="5" t="s">
        <v>1908</v>
      </c>
      <c r="C1217" s="6">
        <v>44482</v>
      </c>
      <c r="D1217" s="5" t="s">
        <v>24</v>
      </c>
      <c r="E1217" s="5" t="s">
        <v>25</v>
      </c>
      <c r="F1217" s="5" t="s">
        <v>26</v>
      </c>
      <c r="G1217" s="5" t="s">
        <v>27</v>
      </c>
      <c r="H1217" s="5" t="s">
        <v>28</v>
      </c>
      <c r="I1217" s="5" t="s">
        <v>29</v>
      </c>
      <c r="J1217" s="5" t="s">
        <v>30</v>
      </c>
      <c r="K1217" s="5" t="s">
        <v>31</v>
      </c>
      <c r="L1217" s="5" t="s">
        <v>32</v>
      </c>
      <c r="M1217" s="5" t="s">
        <v>1909</v>
      </c>
      <c r="N1217" s="5" t="s">
        <v>1910</v>
      </c>
      <c r="O1217" s="5" t="s">
        <v>35</v>
      </c>
      <c r="P1217" s="5" t="s">
        <v>1911</v>
      </c>
      <c r="Q1217" s="5">
        <v>100560099</v>
      </c>
      <c r="R1217" s="5" t="s">
        <v>38</v>
      </c>
      <c r="S1217" s="5" t="s">
        <v>39</v>
      </c>
      <c r="T1217" s="7">
        <v>1</v>
      </c>
      <c r="U1217" s="15" t="s">
        <v>35</v>
      </c>
      <c r="V1217" s="16" t="s">
        <v>1911</v>
      </c>
      <c r="W1217" s="17">
        <v>100560099</v>
      </c>
      <c r="X1217" s="16" t="s">
        <v>2497</v>
      </c>
      <c r="Y1217" s="17" t="s">
        <v>3166</v>
      </c>
      <c r="Z1217" s="17" t="s">
        <v>39</v>
      </c>
      <c r="AA1217" s="17" t="s">
        <v>37</v>
      </c>
      <c r="AB1217" s="29">
        <v>1316.23</v>
      </c>
      <c r="AC1217" s="25">
        <v>1362.43</v>
      </c>
      <c r="AD1217" s="25">
        <f>AC1217*T1217</f>
        <v>1362.43</v>
      </c>
      <c r="AE1217" s="25">
        <f>AB1217*T1217</f>
        <v>1316.23</v>
      </c>
      <c r="AF1217" s="25">
        <f>AD1217-AE1217</f>
        <v>46.200000000000045</v>
      </c>
      <c r="AG1217" s="26">
        <f>AF1217/AD1217</f>
        <v>3.3909999045822571E-2</v>
      </c>
      <c r="AH1217" s="27" t="str">
        <f>IF(AG1217&lt;0,"Negative",IF(AG1217=0,"Same",IF(AG1217&gt;0.3,"30+%",IF(AG1217&gt;0.2,"20-30%",IF(AG1217&gt;0.1,"10-20%",IF(AG1217&lt;=0.1,"0-10%"))))))</f>
        <v>0-10%</v>
      </c>
      <c r="AI1217" s="32"/>
      <c r="AJ1217" s="36" t="s">
        <v>3300</v>
      </c>
      <c r="AK1217" s="32"/>
    </row>
    <row r="1218" spans="1:37" s="1" customFormat="1" ht="19.7" customHeight="1" x14ac:dyDescent="0.25">
      <c r="A1218" s="9" t="s">
        <v>22</v>
      </c>
      <c r="B1218" s="9" t="s">
        <v>2244</v>
      </c>
      <c r="C1218" s="10">
        <v>44551</v>
      </c>
      <c r="D1218" s="9" t="s">
        <v>24</v>
      </c>
      <c r="E1218" s="9" t="s">
        <v>25</v>
      </c>
      <c r="F1218" s="9" t="s">
        <v>26</v>
      </c>
      <c r="G1218" s="9" t="s">
        <v>27</v>
      </c>
      <c r="H1218" s="9" t="s">
        <v>28</v>
      </c>
      <c r="I1218" s="9" t="s">
        <v>29</v>
      </c>
      <c r="J1218" s="9" t="s">
        <v>30</v>
      </c>
      <c r="K1218" s="9" t="s">
        <v>31</v>
      </c>
      <c r="L1218" s="9" t="s">
        <v>32</v>
      </c>
      <c r="M1218" s="9" t="s">
        <v>261</v>
      </c>
      <c r="N1218" s="9" t="s">
        <v>2245</v>
      </c>
      <c r="O1218" s="9" t="s">
        <v>79</v>
      </c>
      <c r="P1218" s="9" t="s">
        <v>712</v>
      </c>
      <c r="Q1218" s="9">
        <v>100762762</v>
      </c>
      <c r="R1218" s="9" t="s">
        <v>61</v>
      </c>
      <c r="S1218" s="9" t="s">
        <v>39</v>
      </c>
      <c r="T1218" s="11">
        <v>2</v>
      </c>
      <c r="U1218" s="15" t="s">
        <v>79</v>
      </c>
      <c r="V1218" s="16" t="s">
        <v>712</v>
      </c>
      <c r="W1218" s="17">
        <v>100762762</v>
      </c>
      <c r="X1218" s="16" t="s">
        <v>2608</v>
      </c>
      <c r="Y1218" s="17" t="s">
        <v>2788</v>
      </c>
      <c r="Z1218" s="17" t="s">
        <v>39</v>
      </c>
      <c r="AA1218" s="17" t="s">
        <v>37</v>
      </c>
      <c r="AB1218" s="43">
        <v>2408.37</v>
      </c>
      <c r="AC1218" s="25">
        <v>2540.61</v>
      </c>
      <c r="AD1218" s="25">
        <f>AC1218*T1218</f>
        <v>5081.22</v>
      </c>
      <c r="AE1218" s="25">
        <f>AB1218*T1218</f>
        <v>4816.74</v>
      </c>
      <c r="AF1218" s="25">
        <f>AD1218-AE1218</f>
        <v>264.48000000000047</v>
      </c>
      <c r="AG1218" s="26">
        <f>AF1218/AD1218</f>
        <v>5.2050491811021851E-2</v>
      </c>
      <c r="AH1218" s="27" t="str">
        <f>IF(AG1218&lt;0,"Negative",IF(AG1218=0,"Same",IF(AG1218&gt;0.3,"30+%",IF(AG1218&gt;0.2,"20-30%",IF(AG1218&gt;0.1,"10-20%",IF(AG1218&lt;=0.1,"0-10%"))))))</f>
        <v>0-10%</v>
      </c>
      <c r="AI1218" s="32"/>
      <c r="AJ1218" s="36" t="s">
        <v>3300</v>
      </c>
      <c r="AK1218" s="32"/>
    </row>
    <row r="1219" spans="1:37" s="1" customFormat="1" ht="19.7" customHeight="1" x14ac:dyDescent="0.25">
      <c r="A1219" s="5" t="s">
        <v>22</v>
      </c>
      <c r="B1219" s="5" t="s">
        <v>1054</v>
      </c>
      <c r="C1219" s="6">
        <v>44333</v>
      </c>
      <c r="D1219" s="5" t="s">
        <v>24</v>
      </c>
      <c r="E1219" s="5" t="s">
        <v>25</v>
      </c>
      <c r="F1219" s="5" t="s">
        <v>26</v>
      </c>
      <c r="G1219" s="5" t="s">
        <v>27</v>
      </c>
      <c r="H1219" s="5" t="s">
        <v>28</v>
      </c>
      <c r="I1219" s="5" t="s">
        <v>29</v>
      </c>
      <c r="J1219" s="5" t="s">
        <v>30</v>
      </c>
      <c r="K1219" s="5" t="s">
        <v>31</v>
      </c>
      <c r="L1219" s="5" t="s">
        <v>32</v>
      </c>
      <c r="M1219" s="5" t="s">
        <v>1055</v>
      </c>
      <c r="N1219" s="5" t="s">
        <v>958</v>
      </c>
      <c r="O1219" s="5" t="s">
        <v>310</v>
      </c>
      <c r="P1219" s="5" t="s">
        <v>1056</v>
      </c>
      <c r="Q1219" s="5">
        <v>110995401</v>
      </c>
      <c r="R1219" s="5" t="s">
        <v>56</v>
      </c>
      <c r="S1219" s="5" t="s">
        <v>39</v>
      </c>
      <c r="T1219" s="7">
        <v>1</v>
      </c>
      <c r="U1219" s="15" t="s">
        <v>310</v>
      </c>
      <c r="V1219" s="16" t="s">
        <v>1056</v>
      </c>
      <c r="W1219" s="17">
        <v>110995401</v>
      </c>
      <c r="X1219" s="16" t="s">
        <v>2909</v>
      </c>
      <c r="Y1219" s="17" t="s">
        <v>2910</v>
      </c>
      <c r="Z1219" s="17" t="s">
        <v>39</v>
      </c>
      <c r="AA1219" s="17" t="s">
        <v>2501</v>
      </c>
      <c r="AB1219" s="29">
        <v>2213.1</v>
      </c>
      <c r="AC1219" s="25">
        <v>2260.19</v>
      </c>
      <c r="AD1219" s="25">
        <f>AC1219*T1219</f>
        <v>2260.19</v>
      </c>
      <c r="AE1219" s="25">
        <f>AB1219*T1219</f>
        <v>2213.1</v>
      </c>
      <c r="AF1219" s="25">
        <f>AD1219-AE1219</f>
        <v>47.090000000000146</v>
      </c>
      <c r="AG1219" s="26">
        <f>AF1219/AD1219</f>
        <v>2.0834531610174428E-2</v>
      </c>
      <c r="AH1219" s="27" t="str">
        <f>IF(AG1219&lt;0,"Negative",IF(AG1219=0,"Same",IF(AG1219&gt;0.3,"30+%",IF(AG1219&gt;0.2,"20-30%",IF(AG1219&gt;0.1,"10-20%",IF(AG1219&lt;=0.1,"0-10%"))))))</f>
        <v>0-10%</v>
      </c>
      <c r="AI1219" s="32"/>
      <c r="AJ1219" s="36" t="s">
        <v>3300</v>
      </c>
      <c r="AK1219" s="32"/>
    </row>
    <row r="1220" spans="1:37" s="1" customFormat="1" ht="19.7" customHeight="1" x14ac:dyDescent="0.25">
      <c r="A1220" s="5" t="s">
        <v>22</v>
      </c>
      <c r="B1220" s="5" t="s">
        <v>710</v>
      </c>
      <c r="C1220" s="6">
        <v>44293</v>
      </c>
      <c r="D1220" s="5" t="s">
        <v>24</v>
      </c>
      <c r="E1220" s="5" t="s">
        <v>25</v>
      </c>
      <c r="F1220" s="5" t="s">
        <v>26</v>
      </c>
      <c r="G1220" s="5" t="s">
        <v>27</v>
      </c>
      <c r="H1220" s="5" t="s">
        <v>28</v>
      </c>
      <c r="I1220" s="5" t="s">
        <v>29</v>
      </c>
      <c r="J1220" s="5" t="s">
        <v>30</v>
      </c>
      <c r="K1220" s="5" t="s">
        <v>31</v>
      </c>
      <c r="L1220" s="5" t="s">
        <v>32</v>
      </c>
      <c r="M1220" s="5" t="s">
        <v>261</v>
      </c>
      <c r="N1220" s="5" t="s">
        <v>711</v>
      </c>
      <c r="O1220" s="5" t="s">
        <v>79</v>
      </c>
      <c r="P1220" s="5" t="s">
        <v>712</v>
      </c>
      <c r="Q1220" s="5">
        <v>100762762</v>
      </c>
      <c r="R1220" s="5" t="s">
        <v>61</v>
      </c>
      <c r="S1220" s="5" t="s">
        <v>39</v>
      </c>
      <c r="T1220" s="7">
        <v>1</v>
      </c>
      <c r="U1220" s="15" t="s">
        <v>79</v>
      </c>
      <c r="V1220" s="16" t="s">
        <v>712</v>
      </c>
      <c r="W1220" s="17">
        <v>100762762</v>
      </c>
      <c r="X1220" s="16" t="s">
        <v>2608</v>
      </c>
      <c r="Y1220" s="17" t="s">
        <v>2788</v>
      </c>
      <c r="Z1220" s="17" t="s">
        <v>39</v>
      </c>
      <c r="AA1220" s="17" t="s">
        <v>37</v>
      </c>
      <c r="AB1220" s="43">
        <v>2408.37</v>
      </c>
      <c r="AC1220" s="25">
        <v>2540.61</v>
      </c>
      <c r="AD1220" s="25">
        <f>AC1220*T1220</f>
        <v>2540.61</v>
      </c>
      <c r="AE1220" s="25">
        <f>AB1220*T1220</f>
        <v>2408.37</v>
      </c>
      <c r="AF1220" s="25">
        <f>AD1220-AE1220</f>
        <v>132.24000000000024</v>
      </c>
      <c r="AG1220" s="26">
        <f>AF1220/AD1220</f>
        <v>5.2050491811021851E-2</v>
      </c>
      <c r="AH1220" s="27" t="str">
        <f>IF(AG1220&lt;0,"Negative",IF(AG1220=0,"Same",IF(AG1220&gt;0.3,"30+%",IF(AG1220&gt;0.2,"20-30%",IF(AG1220&gt;0.1,"10-20%",IF(AG1220&lt;=0.1,"0-10%"))))))</f>
        <v>0-10%</v>
      </c>
      <c r="AI1220" s="32"/>
      <c r="AJ1220" s="36" t="s">
        <v>3300</v>
      </c>
      <c r="AK1220" s="32"/>
    </row>
    <row r="1221" spans="1:37" s="1" customFormat="1" ht="19.7" customHeight="1" x14ac:dyDescent="0.25">
      <c r="A1221" s="9" t="s">
        <v>22</v>
      </c>
      <c r="B1221" s="9" t="s">
        <v>2160</v>
      </c>
      <c r="C1221" s="10">
        <v>44529</v>
      </c>
      <c r="D1221" s="9" t="s">
        <v>24</v>
      </c>
      <c r="E1221" s="9" t="s">
        <v>25</v>
      </c>
      <c r="F1221" s="9" t="s">
        <v>26</v>
      </c>
      <c r="G1221" s="9" t="s">
        <v>27</v>
      </c>
      <c r="H1221" s="9" t="s">
        <v>28</v>
      </c>
      <c r="I1221" s="9" t="s">
        <v>29</v>
      </c>
      <c r="J1221" s="9" t="s">
        <v>30</v>
      </c>
      <c r="K1221" s="9" t="s">
        <v>31</v>
      </c>
      <c r="L1221" s="9" t="s">
        <v>32</v>
      </c>
      <c r="M1221" s="9" t="s">
        <v>852</v>
      </c>
      <c r="N1221" s="9" t="s">
        <v>2161</v>
      </c>
      <c r="O1221" s="9" t="s">
        <v>381</v>
      </c>
      <c r="P1221" s="9" t="s">
        <v>854</v>
      </c>
      <c r="Q1221" s="9">
        <v>116638616</v>
      </c>
      <c r="R1221" s="9" t="s">
        <v>38</v>
      </c>
      <c r="S1221" s="9" t="s">
        <v>39</v>
      </c>
      <c r="T1221" s="11">
        <v>1</v>
      </c>
      <c r="U1221" s="15" t="s">
        <v>381</v>
      </c>
      <c r="V1221" s="16" t="s">
        <v>854</v>
      </c>
      <c r="W1221" s="17">
        <v>116638616</v>
      </c>
      <c r="X1221" s="16" t="s">
        <v>2840</v>
      </c>
      <c r="Y1221" s="17" t="s">
        <v>2841</v>
      </c>
      <c r="Z1221" s="17" t="s">
        <v>39</v>
      </c>
      <c r="AA1221" s="17" t="s">
        <v>37</v>
      </c>
      <c r="AB1221" s="29">
        <v>5605.28</v>
      </c>
      <c r="AC1221" s="25">
        <v>5871.91</v>
      </c>
      <c r="AD1221" s="25">
        <f>AC1221*T1221</f>
        <v>5871.91</v>
      </c>
      <c r="AE1221" s="25">
        <f>AB1221*T1221</f>
        <v>5605.28</v>
      </c>
      <c r="AF1221" s="25">
        <f>AD1221-AE1221</f>
        <v>266.63000000000011</v>
      </c>
      <c r="AG1221" s="26">
        <f>AF1221/AD1221</f>
        <v>4.5407712311666924E-2</v>
      </c>
      <c r="AH1221" s="27" t="str">
        <f>IF(AG1221&lt;0,"Negative",IF(AG1221=0,"Same",IF(AG1221&gt;0.3,"30+%",IF(AG1221&gt;0.2,"20-30%",IF(AG1221&gt;0.1,"10-20%",IF(AG1221&lt;=0.1,"0-10%"))))))</f>
        <v>0-10%</v>
      </c>
      <c r="AI1221" s="32"/>
      <c r="AJ1221" s="36" t="s">
        <v>3300</v>
      </c>
      <c r="AK1221" s="32"/>
    </row>
    <row r="1222" spans="1:37" s="1" customFormat="1" ht="19.7" customHeight="1" x14ac:dyDescent="0.25">
      <c r="A1222" s="9" t="s">
        <v>22</v>
      </c>
      <c r="B1222" s="9" t="s">
        <v>851</v>
      </c>
      <c r="C1222" s="10">
        <v>44308</v>
      </c>
      <c r="D1222" s="9" t="s">
        <v>24</v>
      </c>
      <c r="E1222" s="9" t="s">
        <v>25</v>
      </c>
      <c r="F1222" s="9" t="s">
        <v>26</v>
      </c>
      <c r="G1222" s="9" t="s">
        <v>27</v>
      </c>
      <c r="H1222" s="9" t="s">
        <v>28</v>
      </c>
      <c r="I1222" s="9" t="s">
        <v>29</v>
      </c>
      <c r="J1222" s="9" t="s">
        <v>30</v>
      </c>
      <c r="K1222" s="9" t="s">
        <v>31</v>
      </c>
      <c r="L1222" s="9" t="s">
        <v>32</v>
      </c>
      <c r="M1222" s="9" t="s">
        <v>852</v>
      </c>
      <c r="N1222" s="9" t="s">
        <v>853</v>
      </c>
      <c r="O1222" s="9" t="s">
        <v>381</v>
      </c>
      <c r="P1222" s="9" t="s">
        <v>854</v>
      </c>
      <c r="Q1222" s="9">
        <v>116638616</v>
      </c>
      <c r="R1222" s="9" t="s">
        <v>38</v>
      </c>
      <c r="S1222" s="9" t="s">
        <v>39</v>
      </c>
      <c r="T1222" s="11">
        <v>1</v>
      </c>
      <c r="U1222" s="15" t="s">
        <v>381</v>
      </c>
      <c r="V1222" s="16" t="s">
        <v>854</v>
      </c>
      <c r="W1222" s="17">
        <v>116638616</v>
      </c>
      <c r="X1222" s="16" t="s">
        <v>2840</v>
      </c>
      <c r="Y1222" s="17" t="s">
        <v>2841</v>
      </c>
      <c r="Z1222" s="17" t="s">
        <v>39</v>
      </c>
      <c r="AA1222" s="17" t="s">
        <v>37</v>
      </c>
      <c r="AB1222" s="29">
        <v>5605.28</v>
      </c>
      <c r="AC1222" s="25">
        <v>5871.91</v>
      </c>
      <c r="AD1222" s="25">
        <f>AC1222*T1222</f>
        <v>5871.91</v>
      </c>
      <c r="AE1222" s="25">
        <f>AB1222*T1222</f>
        <v>5605.28</v>
      </c>
      <c r="AF1222" s="25">
        <f>AD1222-AE1222</f>
        <v>266.63000000000011</v>
      </c>
      <c r="AG1222" s="26">
        <f>AF1222/AD1222</f>
        <v>4.5407712311666924E-2</v>
      </c>
      <c r="AH1222" s="27" t="str">
        <f>IF(AG1222&lt;0,"Negative",IF(AG1222=0,"Same",IF(AG1222&gt;0.3,"30+%",IF(AG1222&gt;0.2,"20-30%",IF(AG1222&gt;0.1,"10-20%",IF(AG1222&lt;=0.1,"0-10%"))))))</f>
        <v>0-10%</v>
      </c>
      <c r="AI1222" s="32"/>
      <c r="AJ1222" s="36" t="s">
        <v>3300</v>
      </c>
      <c r="AK1222" s="32"/>
    </row>
    <row r="1223" spans="1:37" s="1" customFormat="1" ht="19.7" customHeight="1" x14ac:dyDescent="0.25">
      <c r="A1223" s="9" t="s">
        <v>22</v>
      </c>
      <c r="B1223" s="9" t="s">
        <v>388</v>
      </c>
      <c r="C1223" s="10">
        <v>44257</v>
      </c>
      <c r="D1223" s="9" t="s">
        <v>24</v>
      </c>
      <c r="E1223" s="9" t="s">
        <v>25</v>
      </c>
      <c r="F1223" s="9" t="s">
        <v>26</v>
      </c>
      <c r="G1223" s="9" t="s">
        <v>27</v>
      </c>
      <c r="H1223" s="9" t="s">
        <v>28</v>
      </c>
      <c r="I1223" s="9" t="s">
        <v>29</v>
      </c>
      <c r="J1223" s="9" t="s">
        <v>30</v>
      </c>
      <c r="K1223" s="9" t="s">
        <v>31</v>
      </c>
      <c r="L1223" s="9" t="s">
        <v>32</v>
      </c>
      <c r="M1223" s="9" t="s">
        <v>261</v>
      </c>
      <c r="N1223" s="9" t="s">
        <v>389</v>
      </c>
      <c r="O1223" s="9" t="s">
        <v>334</v>
      </c>
      <c r="P1223" s="9" t="s">
        <v>390</v>
      </c>
      <c r="Q1223" s="9">
        <v>115972728</v>
      </c>
      <c r="R1223" s="9" t="s">
        <v>38</v>
      </c>
      <c r="S1223" s="9" t="s">
        <v>39</v>
      </c>
      <c r="T1223" s="11">
        <v>1</v>
      </c>
      <c r="U1223" s="15" t="s">
        <v>334</v>
      </c>
      <c r="V1223" s="16" t="s">
        <v>390</v>
      </c>
      <c r="W1223" s="17">
        <v>115972728</v>
      </c>
      <c r="X1223" s="16" t="s">
        <v>2652</v>
      </c>
      <c r="Y1223" s="17" t="s">
        <v>2653</v>
      </c>
      <c r="Z1223" s="17" t="s">
        <v>39</v>
      </c>
      <c r="AA1223" s="17" t="s">
        <v>37</v>
      </c>
      <c r="AB1223" s="29">
        <v>4347.8900000000003</v>
      </c>
      <c r="AC1223" s="25">
        <v>4446.28</v>
      </c>
      <c r="AD1223" s="25">
        <f>AC1223*T1223</f>
        <v>4446.28</v>
      </c>
      <c r="AE1223" s="25">
        <f>AB1223*T1223</f>
        <v>4347.8900000000003</v>
      </c>
      <c r="AF1223" s="25">
        <f>AD1223-AE1223</f>
        <v>98.389999999999418</v>
      </c>
      <c r="AG1223" s="26">
        <f>AF1223/AD1223</f>
        <v>2.2128610883704901E-2</v>
      </c>
      <c r="AH1223" s="27" t="str">
        <f>IF(AG1223&lt;0,"Negative",IF(AG1223=0,"Same",IF(AG1223&gt;0.3,"30+%",IF(AG1223&gt;0.2,"20-30%",IF(AG1223&gt;0.1,"10-20%",IF(AG1223&lt;=0.1,"0-10%"))))))</f>
        <v>0-10%</v>
      </c>
      <c r="AI1223" s="32"/>
      <c r="AJ1223" s="36" t="s">
        <v>3300</v>
      </c>
      <c r="AK1223" s="32"/>
    </row>
    <row r="1224" spans="1:37" s="1" customFormat="1" ht="19.7" customHeight="1" x14ac:dyDescent="0.25">
      <c r="A1224" s="9" t="s">
        <v>22</v>
      </c>
      <c r="B1224" s="9" t="s">
        <v>2347</v>
      </c>
      <c r="C1224" s="10">
        <v>44568</v>
      </c>
      <c r="D1224" s="9" t="s">
        <v>24</v>
      </c>
      <c r="E1224" s="9" t="s">
        <v>25</v>
      </c>
      <c r="F1224" s="9" t="s">
        <v>26</v>
      </c>
      <c r="G1224" s="9" t="s">
        <v>67</v>
      </c>
      <c r="H1224" s="9" t="s">
        <v>68</v>
      </c>
      <c r="I1224" s="9" t="s">
        <v>29</v>
      </c>
      <c r="J1224" s="9" t="s">
        <v>30</v>
      </c>
      <c r="K1224" s="9" t="s">
        <v>31</v>
      </c>
      <c r="L1224" s="9" t="s">
        <v>32</v>
      </c>
      <c r="M1224" s="9" t="s">
        <v>682</v>
      </c>
      <c r="N1224" s="9" t="s">
        <v>2348</v>
      </c>
      <c r="O1224" s="9" t="s">
        <v>71</v>
      </c>
      <c r="P1224" s="9" t="s">
        <v>684</v>
      </c>
      <c r="Q1224" s="9">
        <v>112424061</v>
      </c>
      <c r="R1224" s="9" t="s">
        <v>73</v>
      </c>
      <c r="S1224" s="9" t="s">
        <v>39</v>
      </c>
      <c r="T1224" s="11">
        <v>96</v>
      </c>
      <c r="U1224" s="15" t="s">
        <v>71</v>
      </c>
      <c r="V1224" s="44" t="s">
        <v>684</v>
      </c>
      <c r="W1224" s="17">
        <v>112424061</v>
      </c>
      <c r="X1224" s="16" t="s">
        <v>2510</v>
      </c>
      <c r="Y1224" s="17" t="s">
        <v>2777</v>
      </c>
      <c r="Z1224" s="17" t="s">
        <v>39</v>
      </c>
      <c r="AA1224" s="17" t="s">
        <v>37</v>
      </c>
      <c r="AB1224" s="29">
        <v>122.56</v>
      </c>
      <c r="AC1224" s="25">
        <v>122.56</v>
      </c>
      <c r="AD1224" s="25">
        <f>AC1224*T1224</f>
        <v>11765.76</v>
      </c>
      <c r="AE1224" s="25">
        <f>AB1224*T1224</f>
        <v>11765.76</v>
      </c>
      <c r="AF1224" s="25">
        <f>AD1224-AE1224</f>
        <v>0</v>
      </c>
      <c r="AG1224" s="26">
        <f>AF1224/AD1224</f>
        <v>0</v>
      </c>
      <c r="AH1224" s="27" t="str">
        <f>IF(AG1224&lt;0,"Negative",IF(AG1224=0,"Same",IF(AG1224&gt;0.3,"30+%",IF(AG1224&gt;0.2,"20-30%",IF(AG1224&gt;0.1,"10-20%",IF(AG1224&lt;=0.1,"0-10%"))))))</f>
        <v>Same</v>
      </c>
      <c r="AI1224" s="32"/>
      <c r="AJ1224" s="36" t="s">
        <v>3300</v>
      </c>
      <c r="AK1224" s="32"/>
    </row>
    <row r="1225" spans="1:37" s="1" customFormat="1" ht="19.7" customHeight="1" x14ac:dyDescent="0.25">
      <c r="A1225" s="5" t="s">
        <v>22</v>
      </c>
      <c r="B1225" s="5" t="s">
        <v>2262</v>
      </c>
      <c r="C1225" s="6">
        <v>44552</v>
      </c>
      <c r="D1225" s="5" t="s">
        <v>24</v>
      </c>
      <c r="E1225" s="5" t="s">
        <v>25</v>
      </c>
      <c r="F1225" s="5" t="s">
        <v>26</v>
      </c>
      <c r="G1225" s="5" t="s">
        <v>67</v>
      </c>
      <c r="H1225" s="5" t="s">
        <v>68</v>
      </c>
      <c r="I1225" s="5" t="s">
        <v>29</v>
      </c>
      <c r="J1225" s="5" t="s">
        <v>30</v>
      </c>
      <c r="K1225" s="5" t="s">
        <v>31</v>
      </c>
      <c r="L1225" s="5" t="s">
        <v>32</v>
      </c>
      <c r="M1225" s="5" t="s">
        <v>682</v>
      </c>
      <c r="N1225" s="5" t="s">
        <v>2225</v>
      </c>
      <c r="O1225" s="5" t="s">
        <v>71</v>
      </c>
      <c r="P1225" s="5" t="s">
        <v>684</v>
      </c>
      <c r="Q1225" s="5">
        <v>112424061</v>
      </c>
      <c r="R1225" s="5" t="s">
        <v>73</v>
      </c>
      <c r="S1225" s="5" t="s">
        <v>39</v>
      </c>
      <c r="T1225" s="7">
        <v>96</v>
      </c>
      <c r="U1225" s="15" t="s">
        <v>71</v>
      </c>
      <c r="V1225" s="44" t="s">
        <v>684</v>
      </c>
      <c r="W1225" s="17">
        <v>112424061</v>
      </c>
      <c r="X1225" s="16" t="s">
        <v>2510</v>
      </c>
      <c r="Y1225" s="17" t="s">
        <v>2777</v>
      </c>
      <c r="Z1225" s="17" t="s">
        <v>39</v>
      </c>
      <c r="AA1225" s="17" t="s">
        <v>37</v>
      </c>
      <c r="AB1225" s="29">
        <v>122.56</v>
      </c>
      <c r="AC1225" s="25">
        <v>122.56</v>
      </c>
      <c r="AD1225" s="25">
        <f>AC1225*T1225</f>
        <v>11765.76</v>
      </c>
      <c r="AE1225" s="25">
        <f>AB1225*T1225</f>
        <v>11765.76</v>
      </c>
      <c r="AF1225" s="25">
        <f>AD1225-AE1225</f>
        <v>0</v>
      </c>
      <c r="AG1225" s="26">
        <f>AF1225/AD1225</f>
        <v>0</v>
      </c>
      <c r="AH1225" s="27" t="str">
        <f>IF(AG1225&lt;0,"Negative",IF(AG1225=0,"Same",IF(AG1225&gt;0.3,"30+%",IF(AG1225&gt;0.2,"20-30%",IF(AG1225&gt;0.1,"10-20%",IF(AG1225&lt;=0.1,"0-10%"))))))</f>
        <v>Same</v>
      </c>
      <c r="AI1225" s="32"/>
      <c r="AJ1225" s="36" t="s">
        <v>3300</v>
      </c>
      <c r="AK1225" s="32"/>
    </row>
    <row r="1226" spans="1:37" s="1" customFormat="1" ht="19.7" customHeight="1" x14ac:dyDescent="0.25">
      <c r="A1226" s="9" t="s">
        <v>22</v>
      </c>
      <c r="B1226" s="9" t="s">
        <v>1903</v>
      </c>
      <c r="C1226" s="10">
        <v>44480</v>
      </c>
      <c r="D1226" s="9" t="s">
        <v>24</v>
      </c>
      <c r="E1226" s="9" t="s">
        <v>25</v>
      </c>
      <c r="F1226" s="9" t="s">
        <v>26</v>
      </c>
      <c r="G1226" s="9" t="s">
        <v>67</v>
      </c>
      <c r="H1226" s="9" t="s">
        <v>68</v>
      </c>
      <c r="I1226" s="9" t="s">
        <v>29</v>
      </c>
      <c r="J1226" s="9" t="s">
        <v>30</v>
      </c>
      <c r="K1226" s="9" t="s">
        <v>31</v>
      </c>
      <c r="L1226" s="9" t="s">
        <v>32</v>
      </c>
      <c r="M1226" s="9" t="s">
        <v>682</v>
      </c>
      <c r="N1226" s="9" t="s">
        <v>1499</v>
      </c>
      <c r="O1226" s="9" t="s">
        <v>71</v>
      </c>
      <c r="P1226" s="9" t="s">
        <v>684</v>
      </c>
      <c r="Q1226" s="9">
        <v>112424061</v>
      </c>
      <c r="R1226" s="9" t="s">
        <v>73</v>
      </c>
      <c r="S1226" s="9" t="s">
        <v>39</v>
      </c>
      <c r="T1226" s="11">
        <v>24</v>
      </c>
      <c r="U1226" s="15" t="s">
        <v>71</v>
      </c>
      <c r="V1226" s="44" t="s">
        <v>684</v>
      </c>
      <c r="W1226" s="17">
        <v>112424061</v>
      </c>
      <c r="X1226" s="16" t="s">
        <v>2510</v>
      </c>
      <c r="Y1226" s="17" t="s">
        <v>2777</v>
      </c>
      <c r="Z1226" s="17" t="s">
        <v>39</v>
      </c>
      <c r="AA1226" s="17" t="s">
        <v>37</v>
      </c>
      <c r="AB1226" s="29">
        <v>122.56</v>
      </c>
      <c r="AC1226" s="25">
        <v>122.56</v>
      </c>
      <c r="AD1226" s="25">
        <f>AC1226*T1226</f>
        <v>2941.44</v>
      </c>
      <c r="AE1226" s="25">
        <f>AB1226*T1226</f>
        <v>2941.44</v>
      </c>
      <c r="AF1226" s="25">
        <f>AD1226-AE1226</f>
        <v>0</v>
      </c>
      <c r="AG1226" s="26">
        <f>AF1226/AD1226</f>
        <v>0</v>
      </c>
      <c r="AH1226" s="27" t="str">
        <f>IF(AG1226&lt;0,"Negative",IF(AG1226=0,"Same",IF(AG1226&gt;0.3,"30+%",IF(AG1226&gt;0.2,"20-30%",IF(AG1226&gt;0.1,"10-20%",IF(AG1226&lt;=0.1,"0-10%"))))))</f>
        <v>Same</v>
      </c>
      <c r="AI1226" s="32"/>
      <c r="AJ1226" s="36" t="s">
        <v>3300</v>
      </c>
      <c r="AK1226" s="32"/>
    </row>
    <row r="1227" spans="1:37" s="1" customFormat="1" ht="19.7" customHeight="1" x14ac:dyDescent="0.25">
      <c r="A1227" s="9" t="s">
        <v>22</v>
      </c>
      <c r="B1227" s="9" t="s">
        <v>2466</v>
      </c>
      <c r="C1227" s="10">
        <v>44588</v>
      </c>
      <c r="D1227" s="9" t="s">
        <v>24</v>
      </c>
      <c r="E1227" s="9" t="s">
        <v>25</v>
      </c>
      <c r="F1227" s="9" t="s">
        <v>26</v>
      </c>
      <c r="G1227" s="9" t="s">
        <v>67</v>
      </c>
      <c r="H1227" s="9" t="s">
        <v>68</v>
      </c>
      <c r="I1227" s="9" t="s">
        <v>29</v>
      </c>
      <c r="J1227" s="9" t="s">
        <v>30</v>
      </c>
      <c r="K1227" s="9" t="s">
        <v>31</v>
      </c>
      <c r="L1227" s="9" t="s">
        <v>32</v>
      </c>
      <c r="M1227" s="9" t="s">
        <v>682</v>
      </c>
      <c r="N1227" s="9" t="s">
        <v>1499</v>
      </c>
      <c r="O1227" s="9" t="s">
        <v>71</v>
      </c>
      <c r="P1227" s="9" t="s">
        <v>684</v>
      </c>
      <c r="Q1227" s="9">
        <v>112424061</v>
      </c>
      <c r="R1227" s="9" t="s">
        <v>73</v>
      </c>
      <c r="S1227" s="9" t="s">
        <v>39</v>
      </c>
      <c r="T1227" s="11">
        <v>24</v>
      </c>
      <c r="U1227" s="15" t="s">
        <v>71</v>
      </c>
      <c r="V1227" s="44" t="s">
        <v>684</v>
      </c>
      <c r="W1227" s="17">
        <v>112424061</v>
      </c>
      <c r="X1227" s="16" t="s">
        <v>2510</v>
      </c>
      <c r="Y1227" s="17" t="s">
        <v>2777</v>
      </c>
      <c r="Z1227" s="17" t="s">
        <v>39</v>
      </c>
      <c r="AA1227" s="17" t="s">
        <v>37</v>
      </c>
      <c r="AB1227" s="29">
        <v>122.56</v>
      </c>
      <c r="AC1227" s="25">
        <v>122.56</v>
      </c>
      <c r="AD1227" s="25">
        <f>AC1227*T1227</f>
        <v>2941.44</v>
      </c>
      <c r="AE1227" s="25">
        <f>AB1227*T1227</f>
        <v>2941.44</v>
      </c>
      <c r="AF1227" s="25">
        <f>AD1227-AE1227</f>
        <v>0</v>
      </c>
      <c r="AG1227" s="26">
        <f>AF1227/AD1227</f>
        <v>0</v>
      </c>
      <c r="AH1227" s="27" t="str">
        <f>IF(AG1227&lt;0,"Negative",IF(AG1227=0,"Same",IF(AG1227&gt;0.3,"30+%",IF(AG1227&gt;0.2,"20-30%",IF(AG1227&gt;0.1,"10-20%",IF(AG1227&lt;=0.1,"0-10%"))))))</f>
        <v>Same</v>
      </c>
      <c r="AI1227" s="32"/>
      <c r="AJ1227" s="36" t="s">
        <v>3300</v>
      </c>
      <c r="AK1227" s="32"/>
    </row>
    <row r="1228" spans="1:37" s="1" customFormat="1" ht="19.7" customHeight="1" x14ac:dyDescent="0.25">
      <c r="A1228" s="5" t="s">
        <v>22</v>
      </c>
      <c r="B1228" s="5" t="s">
        <v>1091</v>
      </c>
      <c r="C1228" s="6">
        <v>44337</v>
      </c>
      <c r="D1228" s="5" t="s">
        <v>24</v>
      </c>
      <c r="E1228" s="5" t="s">
        <v>25</v>
      </c>
      <c r="F1228" s="5" t="s">
        <v>26</v>
      </c>
      <c r="G1228" s="5" t="s">
        <v>67</v>
      </c>
      <c r="H1228" s="5" t="s">
        <v>68</v>
      </c>
      <c r="I1228" s="5" t="s">
        <v>29</v>
      </c>
      <c r="J1228" s="5" t="s">
        <v>30</v>
      </c>
      <c r="K1228" s="5" t="s">
        <v>31</v>
      </c>
      <c r="L1228" s="5" t="s">
        <v>32</v>
      </c>
      <c r="M1228" s="5" t="s">
        <v>682</v>
      </c>
      <c r="N1228" s="5" t="s">
        <v>1092</v>
      </c>
      <c r="O1228" s="5" t="s">
        <v>71</v>
      </c>
      <c r="P1228" s="5" t="s">
        <v>684</v>
      </c>
      <c r="Q1228" s="5">
        <v>112424061</v>
      </c>
      <c r="R1228" s="5" t="s">
        <v>73</v>
      </c>
      <c r="S1228" s="5" t="s">
        <v>39</v>
      </c>
      <c r="T1228" s="7">
        <v>24</v>
      </c>
      <c r="U1228" s="15" t="s">
        <v>71</v>
      </c>
      <c r="V1228" s="44" t="s">
        <v>684</v>
      </c>
      <c r="W1228" s="17">
        <v>112424061</v>
      </c>
      <c r="X1228" s="16" t="s">
        <v>2510</v>
      </c>
      <c r="Y1228" s="17" t="s">
        <v>2777</v>
      </c>
      <c r="Z1228" s="17" t="s">
        <v>39</v>
      </c>
      <c r="AA1228" s="17" t="s">
        <v>37</v>
      </c>
      <c r="AB1228" s="29">
        <v>122.56</v>
      </c>
      <c r="AC1228" s="25">
        <v>122.56</v>
      </c>
      <c r="AD1228" s="25">
        <f>AC1228*T1228</f>
        <v>2941.44</v>
      </c>
      <c r="AE1228" s="25">
        <f>AB1228*T1228</f>
        <v>2941.44</v>
      </c>
      <c r="AF1228" s="25">
        <f>AD1228-AE1228</f>
        <v>0</v>
      </c>
      <c r="AG1228" s="26">
        <f>AF1228/AD1228</f>
        <v>0</v>
      </c>
      <c r="AH1228" s="27" t="str">
        <f>IF(AG1228&lt;0,"Negative",IF(AG1228=0,"Same",IF(AG1228&gt;0.3,"30+%",IF(AG1228&gt;0.2,"20-30%",IF(AG1228&gt;0.1,"10-20%",IF(AG1228&lt;=0.1,"0-10%"))))))</f>
        <v>Same</v>
      </c>
      <c r="AI1228" s="32"/>
      <c r="AJ1228" s="36" t="s">
        <v>3300</v>
      </c>
      <c r="AK1228" s="32"/>
    </row>
    <row r="1229" spans="1:37" s="1" customFormat="1" ht="19.7" customHeight="1" x14ac:dyDescent="0.25">
      <c r="A1229" s="5" t="s">
        <v>22</v>
      </c>
      <c r="B1229" s="5" t="s">
        <v>917</v>
      </c>
      <c r="C1229" s="6">
        <v>44316</v>
      </c>
      <c r="D1229" s="5" t="s">
        <v>24</v>
      </c>
      <c r="E1229" s="5" t="s">
        <v>25</v>
      </c>
      <c r="F1229" s="5" t="s">
        <v>26</v>
      </c>
      <c r="G1229" s="5" t="s">
        <v>67</v>
      </c>
      <c r="H1229" s="5" t="s">
        <v>68</v>
      </c>
      <c r="I1229" s="5" t="s">
        <v>29</v>
      </c>
      <c r="J1229" s="5" t="s">
        <v>30</v>
      </c>
      <c r="K1229" s="5" t="s">
        <v>31</v>
      </c>
      <c r="L1229" s="5" t="s">
        <v>32</v>
      </c>
      <c r="M1229" s="5" t="s">
        <v>682</v>
      </c>
      <c r="N1229" s="5" t="s">
        <v>918</v>
      </c>
      <c r="O1229" s="5" t="s">
        <v>71</v>
      </c>
      <c r="P1229" s="5" t="s">
        <v>684</v>
      </c>
      <c r="Q1229" s="5">
        <v>112424061</v>
      </c>
      <c r="R1229" s="5" t="s">
        <v>73</v>
      </c>
      <c r="S1229" s="5" t="s">
        <v>39</v>
      </c>
      <c r="T1229" s="7">
        <v>24</v>
      </c>
      <c r="U1229" s="15" t="s">
        <v>71</v>
      </c>
      <c r="V1229" s="44" t="s">
        <v>684</v>
      </c>
      <c r="W1229" s="17">
        <v>112424061</v>
      </c>
      <c r="X1229" s="16" t="s">
        <v>2510</v>
      </c>
      <c r="Y1229" s="17" t="s">
        <v>2777</v>
      </c>
      <c r="Z1229" s="17" t="s">
        <v>39</v>
      </c>
      <c r="AA1229" s="17" t="s">
        <v>37</v>
      </c>
      <c r="AB1229" s="29">
        <v>122.56</v>
      </c>
      <c r="AC1229" s="25">
        <v>122.56</v>
      </c>
      <c r="AD1229" s="25">
        <f>AC1229*T1229</f>
        <v>2941.44</v>
      </c>
      <c r="AE1229" s="25">
        <f>AB1229*T1229</f>
        <v>2941.44</v>
      </c>
      <c r="AF1229" s="25">
        <f>AD1229-AE1229</f>
        <v>0</v>
      </c>
      <c r="AG1229" s="26">
        <f>AF1229/AD1229</f>
        <v>0</v>
      </c>
      <c r="AH1229" s="27" t="str">
        <f>IF(AG1229&lt;0,"Negative",IF(AG1229=0,"Same",IF(AG1229&gt;0.3,"30+%",IF(AG1229&gt;0.2,"20-30%",IF(AG1229&gt;0.1,"10-20%",IF(AG1229&lt;=0.1,"0-10%"))))))</f>
        <v>Same</v>
      </c>
      <c r="AI1229" s="32"/>
      <c r="AJ1229" s="36" t="s">
        <v>3300</v>
      </c>
      <c r="AK1229" s="32"/>
    </row>
    <row r="1230" spans="1:37" s="1" customFormat="1" ht="19.7" customHeight="1" x14ac:dyDescent="0.25">
      <c r="A1230" s="9" t="s">
        <v>22</v>
      </c>
      <c r="B1230" s="9" t="s">
        <v>681</v>
      </c>
      <c r="C1230" s="10">
        <v>44288</v>
      </c>
      <c r="D1230" s="9" t="s">
        <v>24</v>
      </c>
      <c r="E1230" s="9" t="s">
        <v>25</v>
      </c>
      <c r="F1230" s="9" t="s">
        <v>26</v>
      </c>
      <c r="G1230" s="9" t="s">
        <v>67</v>
      </c>
      <c r="H1230" s="9" t="s">
        <v>68</v>
      </c>
      <c r="I1230" s="9" t="s">
        <v>29</v>
      </c>
      <c r="J1230" s="9" t="s">
        <v>30</v>
      </c>
      <c r="K1230" s="9" t="s">
        <v>31</v>
      </c>
      <c r="L1230" s="9" t="s">
        <v>32</v>
      </c>
      <c r="M1230" s="9" t="s">
        <v>682</v>
      </c>
      <c r="N1230" s="9" t="s">
        <v>683</v>
      </c>
      <c r="O1230" s="9" t="s">
        <v>71</v>
      </c>
      <c r="P1230" s="9" t="s">
        <v>684</v>
      </c>
      <c r="Q1230" s="9">
        <v>112424061</v>
      </c>
      <c r="R1230" s="9" t="s">
        <v>73</v>
      </c>
      <c r="S1230" s="9" t="s">
        <v>39</v>
      </c>
      <c r="T1230" s="11">
        <v>24</v>
      </c>
      <c r="U1230" s="15" t="s">
        <v>71</v>
      </c>
      <c r="V1230" s="44" t="s">
        <v>684</v>
      </c>
      <c r="W1230" s="17">
        <v>112424061</v>
      </c>
      <c r="X1230" s="16" t="s">
        <v>2510</v>
      </c>
      <c r="Y1230" s="17" t="s">
        <v>2777</v>
      </c>
      <c r="Z1230" s="17" t="s">
        <v>39</v>
      </c>
      <c r="AA1230" s="17" t="s">
        <v>37</v>
      </c>
      <c r="AB1230" s="29">
        <v>122.56</v>
      </c>
      <c r="AC1230" s="25">
        <v>122.56</v>
      </c>
      <c r="AD1230" s="25">
        <f>AC1230*T1230</f>
        <v>2941.44</v>
      </c>
      <c r="AE1230" s="25">
        <f>AB1230*T1230</f>
        <v>2941.44</v>
      </c>
      <c r="AF1230" s="25">
        <f>AD1230-AE1230</f>
        <v>0</v>
      </c>
      <c r="AG1230" s="26">
        <f>AF1230/AD1230</f>
        <v>0</v>
      </c>
      <c r="AH1230" s="27" t="str">
        <f>IF(AG1230&lt;0,"Negative",IF(AG1230=0,"Same",IF(AG1230&gt;0.3,"30+%",IF(AG1230&gt;0.2,"20-30%",IF(AG1230&gt;0.1,"10-20%",IF(AG1230&lt;=0.1,"0-10%"))))))</f>
        <v>Same</v>
      </c>
      <c r="AI1230" s="32"/>
      <c r="AJ1230" s="36" t="s">
        <v>3300</v>
      </c>
      <c r="AK1230" s="32"/>
    </row>
    <row r="1231" spans="1:37" s="1" customFormat="1" ht="19.7" customHeight="1" x14ac:dyDescent="0.25">
      <c r="A1231" s="5" t="s">
        <v>22</v>
      </c>
      <c r="B1231" s="5" t="s">
        <v>1473</v>
      </c>
      <c r="C1231" s="6">
        <v>44403</v>
      </c>
      <c r="D1231" s="5" t="s">
        <v>24</v>
      </c>
      <c r="E1231" s="5" t="s">
        <v>25</v>
      </c>
      <c r="F1231" s="5" t="s">
        <v>26</v>
      </c>
      <c r="G1231" s="5" t="s">
        <v>67</v>
      </c>
      <c r="H1231" s="5" t="s">
        <v>68</v>
      </c>
      <c r="I1231" s="5" t="s">
        <v>29</v>
      </c>
      <c r="J1231" s="5" t="s">
        <v>30</v>
      </c>
      <c r="K1231" s="5" t="s">
        <v>31</v>
      </c>
      <c r="L1231" s="5" t="s">
        <v>32</v>
      </c>
      <c r="M1231" s="5" t="s">
        <v>682</v>
      </c>
      <c r="N1231" s="5" t="s">
        <v>1474</v>
      </c>
      <c r="O1231" s="5" t="s">
        <v>71</v>
      </c>
      <c r="P1231" s="5" t="s">
        <v>684</v>
      </c>
      <c r="Q1231" s="5">
        <v>112424061</v>
      </c>
      <c r="R1231" s="5" t="s">
        <v>73</v>
      </c>
      <c r="S1231" s="5" t="s">
        <v>39</v>
      </c>
      <c r="T1231" s="7">
        <v>48</v>
      </c>
      <c r="U1231" s="15" t="s">
        <v>71</v>
      </c>
      <c r="V1231" s="44" t="s">
        <v>684</v>
      </c>
      <c r="W1231" s="17">
        <v>112424061</v>
      </c>
      <c r="X1231" s="16" t="s">
        <v>2510</v>
      </c>
      <c r="Y1231" s="17" t="s">
        <v>2777</v>
      </c>
      <c r="Z1231" s="17" t="s">
        <v>39</v>
      </c>
      <c r="AA1231" s="17" t="s">
        <v>37</v>
      </c>
      <c r="AB1231" s="29">
        <v>122.56</v>
      </c>
      <c r="AC1231" s="25">
        <v>122.56</v>
      </c>
      <c r="AD1231" s="25">
        <f>AC1231*T1231</f>
        <v>5882.88</v>
      </c>
      <c r="AE1231" s="25">
        <f>AB1231*T1231</f>
        <v>5882.88</v>
      </c>
      <c r="AF1231" s="25">
        <f>AD1231-AE1231</f>
        <v>0</v>
      </c>
      <c r="AG1231" s="26">
        <f>AF1231/AD1231</f>
        <v>0</v>
      </c>
      <c r="AH1231" s="27" t="str">
        <f>IF(AG1231&lt;0,"Negative",IF(AG1231=0,"Same",IF(AG1231&gt;0.3,"30+%",IF(AG1231&gt;0.2,"20-30%",IF(AG1231&gt;0.1,"10-20%",IF(AG1231&lt;=0.1,"0-10%"))))))</f>
        <v>Same</v>
      </c>
      <c r="AI1231" s="32"/>
      <c r="AJ1231" s="36" t="s">
        <v>3300</v>
      </c>
      <c r="AK1231" s="32"/>
    </row>
    <row r="1232" spans="1:37" s="1" customFormat="1" ht="19.7" customHeight="1" x14ac:dyDescent="0.25">
      <c r="A1232" s="5" t="s">
        <v>22</v>
      </c>
      <c r="B1232" s="5" t="s">
        <v>1532</v>
      </c>
      <c r="C1232" s="6">
        <v>44407</v>
      </c>
      <c r="D1232" s="5" t="s">
        <v>24</v>
      </c>
      <c r="E1232" s="5" t="s">
        <v>25</v>
      </c>
      <c r="F1232" s="5" t="s">
        <v>26</v>
      </c>
      <c r="G1232" s="5" t="s">
        <v>67</v>
      </c>
      <c r="H1232" s="5" t="s">
        <v>68</v>
      </c>
      <c r="I1232" s="5" t="s">
        <v>29</v>
      </c>
      <c r="J1232" s="5" t="s">
        <v>30</v>
      </c>
      <c r="K1232" s="5" t="s">
        <v>31</v>
      </c>
      <c r="L1232" s="5" t="s">
        <v>32</v>
      </c>
      <c r="M1232" s="5" t="s">
        <v>682</v>
      </c>
      <c r="N1232" s="5" t="s">
        <v>1499</v>
      </c>
      <c r="O1232" s="5" t="s">
        <v>71</v>
      </c>
      <c r="P1232" s="5" t="s">
        <v>684</v>
      </c>
      <c r="Q1232" s="5">
        <v>112424061</v>
      </c>
      <c r="R1232" s="5" t="s">
        <v>73</v>
      </c>
      <c r="S1232" s="5" t="s">
        <v>39</v>
      </c>
      <c r="T1232" s="7">
        <v>72</v>
      </c>
      <c r="U1232" s="15" t="s">
        <v>71</v>
      </c>
      <c r="V1232" s="44" t="s">
        <v>684</v>
      </c>
      <c r="W1232" s="17">
        <v>112424061</v>
      </c>
      <c r="X1232" s="16" t="s">
        <v>2510</v>
      </c>
      <c r="Y1232" s="17" t="s">
        <v>2777</v>
      </c>
      <c r="Z1232" s="17" t="s">
        <v>39</v>
      </c>
      <c r="AA1232" s="17" t="s">
        <v>37</v>
      </c>
      <c r="AB1232" s="29">
        <v>122.56</v>
      </c>
      <c r="AC1232" s="25">
        <v>122.56</v>
      </c>
      <c r="AD1232" s="25">
        <f>AC1232*T1232</f>
        <v>8824.32</v>
      </c>
      <c r="AE1232" s="25">
        <f>AB1232*T1232</f>
        <v>8824.32</v>
      </c>
      <c r="AF1232" s="25">
        <f>AD1232-AE1232</f>
        <v>0</v>
      </c>
      <c r="AG1232" s="26">
        <f>AF1232/AD1232</f>
        <v>0</v>
      </c>
      <c r="AH1232" s="27" t="str">
        <f>IF(AG1232&lt;0,"Negative",IF(AG1232=0,"Same",IF(AG1232&gt;0.3,"30+%",IF(AG1232&gt;0.2,"20-30%",IF(AG1232&gt;0.1,"10-20%",IF(AG1232&lt;=0.1,"0-10%"))))))</f>
        <v>Same</v>
      </c>
      <c r="AI1232" s="32"/>
      <c r="AJ1232" s="36" t="s">
        <v>3300</v>
      </c>
      <c r="AK1232" s="32"/>
    </row>
  </sheetData>
  <autoFilter ref="A2:AM1232"/>
  <conditionalFormatting sqref="W1:W1048576">
    <cfRule type="duplicateValues" dxfId="1" priority="1"/>
  </conditionalFormatting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workbookViewId="0">
      <selection activeCell="R6" sqref="R6"/>
    </sheetView>
  </sheetViews>
  <sheetFormatPr defaultRowHeight="12.75" x14ac:dyDescent="0.2"/>
  <cols>
    <col min="1" max="1" width="5" bestFit="1" customWidth="1"/>
    <col min="2" max="2" width="21.85546875" bestFit="1" customWidth="1"/>
    <col min="3" max="3" width="10" bestFit="1" customWidth="1"/>
    <col min="4" max="4" width="23.7109375" bestFit="1" customWidth="1"/>
    <col min="5" max="5" width="30.7109375" bestFit="1" customWidth="1"/>
    <col min="6" max="6" width="12.42578125" bestFit="1" customWidth="1"/>
    <col min="7" max="7" width="11.85546875" bestFit="1" customWidth="1"/>
    <col min="8" max="8" width="37.7109375" bestFit="1" customWidth="1"/>
    <col min="9" max="9" width="19.7109375" bestFit="1" customWidth="1"/>
    <col min="10" max="10" width="10" bestFit="1" customWidth="1"/>
    <col min="11" max="11" width="5.28515625" bestFit="1" customWidth="1"/>
    <col min="12" max="12" width="10.7109375" bestFit="1" customWidth="1"/>
    <col min="14" max="14" width="10" bestFit="1" customWidth="1"/>
    <col min="15" max="15" width="9" bestFit="1" customWidth="1"/>
    <col min="16" max="16" width="23.140625" bestFit="1" customWidth="1"/>
    <col min="17" max="17" width="10" bestFit="1" customWidth="1"/>
    <col min="18" max="18" width="33.140625" bestFit="1" customWidth="1"/>
    <col min="19" max="19" width="4.85546875" bestFit="1" customWidth="1"/>
    <col min="20" max="20" width="7.7109375" bestFit="1" customWidth="1"/>
    <col min="21" max="22" width="8.85546875" bestFit="1" customWidth="1"/>
    <col min="23" max="23" width="6.7109375" bestFit="1" customWidth="1"/>
    <col min="24" max="24" width="17.28515625" bestFit="1" customWidth="1"/>
    <col min="25" max="25" width="8.7109375" bestFit="1" customWidth="1"/>
    <col min="26" max="26" width="22.28515625" bestFit="1" customWidth="1"/>
    <col min="27" max="27" width="6.7109375" bestFit="1" customWidth="1"/>
    <col min="28" max="28" width="25" bestFit="1" customWidth="1"/>
    <col min="29" max="29" width="11" bestFit="1" customWidth="1"/>
    <col min="30" max="30" width="5.140625" bestFit="1" customWidth="1"/>
    <col min="31" max="31" width="5.85546875" bestFit="1" customWidth="1"/>
  </cols>
  <sheetData>
    <row r="1" spans="1:31" s="1" customFormat="1" ht="55.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3" t="s">
        <v>2490</v>
      </c>
      <c r="X1" s="14" t="s">
        <v>2491</v>
      </c>
      <c r="Y1" s="14" t="s">
        <v>2492</v>
      </c>
      <c r="Z1" s="14" t="s">
        <v>2494</v>
      </c>
      <c r="AA1" s="14" t="s">
        <v>2495</v>
      </c>
      <c r="AB1" s="14" t="s">
        <v>2496</v>
      </c>
      <c r="AC1" s="24" t="s">
        <v>3291</v>
      </c>
      <c r="AD1" s="24" t="s">
        <v>3292</v>
      </c>
      <c r="AE1" s="24" t="s">
        <v>3293</v>
      </c>
    </row>
    <row r="2" spans="1:31" s="1" customFormat="1" ht="19.7" customHeight="1" x14ac:dyDescent="0.2">
      <c r="A2" s="5" t="s">
        <v>22</v>
      </c>
      <c r="B2" s="5" t="s">
        <v>2021</v>
      </c>
      <c r="C2" s="6">
        <v>44498</v>
      </c>
      <c r="D2" s="5" t="s">
        <v>24</v>
      </c>
      <c r="E2" s="5" t="s">
        <v>25</v>
      </c>
      <c r="F2" s="5" t="s">
        <v>26</v>
      </c>
      <c r="G2" s="5" t="s">
        <v>67</v>
      </c>
      <c r="H2" s="5" t="s">
        <v>68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296</v>
      </c>
      <c r="N2" s="5" t="s">
        <v>2022</v>
      </c>
      <c r="O2" s="5" t="s">
        <v>297</v>
      </c>
      <c r="P2" s="5" t="s">
        <v>298</v>
      </c>
      <c r="Q2" s="5">
        <v>102212930</v>
      </c>
      <c r="R2" s="5" t="s">
        <v>299</v>
      </c>
      <c r="S2" s="5" t="s">
        <v>39</v>
      </c>
      <c r="T2" s="7">
        <v>12</v>
      </c>
      <c r="U2" s="8">
        <v>14.05</v>
      </c>
      <c r="V2" s="8">
        <v>168.6</v>
      </c>
      <c r="W2" s="15" t="s">
        <v>297</v>
      </c>
      <c r="X2" s="16" t="s">
        <v>298</v>
      </c>
      <c r="Y2" s="17">
        <v>102212930</v>
      </c>
      <c r="Z2" s="17" t="s">
        <v>2614</v>
      </c>
      <c r="AA2" s="17" t="s">
        <v>39</v>
      </c>
      <c r="AB2" s="17" t="s">
        <v>2615</v>
      </c>
      <c r="AC2" s="32" t="s">
        <v>3301</v>
      </c>
      <c r="AD2" s="36" t="s">
        <v>3300</v>
      </c>
      <c r="AE2" s="32"/>
    </row>
    <row r="3" spans="1:31" s="1" customFormat="1" ht="19.7" customHeight="1" x14ac:dyDescent="0.2">
      <c r="A3" s="9" t="s">
        <v>22</v>
      </c>
      <c r="B3" s="9" t="s">
        <v>567</v>
      </c>
      <c r="C3" s="10">
        <v>44277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261</v>
      </c>
      <c r="N3" s="9" t="s">
        <v>568</v>
      </c>
      <c r="O3" s="9" t="s">
        <v>334</v>
      </c>
      <c r="P3" s="9" t="s">
        <v>569</v>
      </c>
      <c r="Q3" s="9">
        <v>111529129</v>
      </c>
      <c r="R3" s="9" t="s">
        <v>38</v>
      </c>
      <c r="S3" s="9" t="s">
        <v>39</v>
      </c>
      <c r="T3" s="11">
        <v>2</v>
      </c>
      <c r="U3" s="12">
        <v>41.38</v>
      </c>
      <c r="V3" s="12">
        <v>82.76</v>
      </c>
      <c r="W3" s="15" t="s">
        <v>334</v>
      </c>
      <c r="X3" s="16" t="s">
        <v>569</v>
      </c>
      <c r="Y3" s="17">
        <v>111529129</v>
      </c>
      <c r="Z3" s="17" t="s">
        <v>2733</v>
      </c>
      <c r="AA3" s="17" t="s">
        <v>39</v>
      </c>
      <c r="AB3" s="17" t="s">
        <v>2615</v>
      </c>
      <c r="AC3" s="32" t="s">
        <v>3301</v>
      </c>
      <c r="AD3" s="36" t="s">
        <v>3300</v>
      </c>
      <c r="AE3" s="32"/>
    </row>
    <row r="4" spans="1:31" s="1" customFormat="1" ht="19.7" customHeight="1" x14ac:dyDescent="0.2">
      <c r="A4" s="9" t="s">
        <v>22</v>
      </c>
      <c r="B4" s="9" t="s">
        <v>588</v>
      </c>
      <c r="C4" s="10">
        <v>44280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261</v>
      </c>
      <c r="N4" s="9" t="s">
        <v>568</v>
      </c>
      <c r="O4" s="9" t="s">
        <v>334</v>
      </c>
      <c r="P4" s="9" t="s">
        <v>589</v>
      </c>
      <c r="Q4" s="9">
        <v>111540435</v>
      </c>
      <c r="R4" s="9" t="s">
        <v>116</v>
      </c>
      <c r="S4" s="9" t="s">
        <v>39</v>
      </c>
      <c r="T4" s="11">
        <v>2</v>
      </c>
      <c r="U4" s="12">
        <v>368.58</v>
      </c>
      <c r="V4" s="12">
        <v>737.16</v>
      </c>
      <c r="W4" s="15" t="s">
        <v>334</v>
      </c>
      <c r="X4" s="16" t="s">
        <v>589</v>
      </c>
      <c r="Y4" s="17">
        <v>111540435</v>
      </c>
      <c r="Z4" s="17" t="s">
        <v>2741</v>
      </c>
      <c r="AA4" s="17" t="s">
        <v>39</v>
      </c>
      <c r="AB4" s="17" t="s">
        <v>2615</v>
      </c>
      <c r="AC4" s="32" t="s">
        <v>3301</v>
      </c>
      <c r="AD4" s="36" t="s">
        <v>3300</v>
      </c>
      <c r="AE4" s="32"/>
    </row>
    <row r="5" spans="1:31" s="1" customFormat="1" ht="19.7" customHeight="1" x14ac:dyDescent="0.2">
      <c r="A5" s="9" t="s">
        <v>22</v>
      </c>
      <c r="B5" s="9" t="s">
        <v>426</v>
      </c>
      <c r="C5" s="10">
        <v>44260</v>
      </c>
      <c r="D5" s="9" t="s">
        <v>24</v>
      </c>
      <c r="E5" s="9" t="s">
        <v>25</v>
      </c>
      <c r="F5" s="9" t="s">
        <v>26</v>
      </c>
      <c r="G5" s="9" t="s">
        <v>67</v>
      </c>
      <c r="H5" s="9" t="s">
        <v>68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432</v>
      </c>
      <c r="N5" s="9" t="s">
        <v>428</v>
      </c>
      <c r="O5" s="9" t="s">
        <v>203</v>
      </c>
      <c r="P5" s="9" t="s">
        <v>433</v>
      </c>
      <c r="Q5" s="9">
        <v>112520194</v>
      </c>
      <c r="R5" s="9" t="s">
        <v>105</v>
      </c>
      <c r="S5" s="9" t="s">
        <v>205</v>
      </c>
      <c r="T5" s="11">
        <v>1</v>
      </c>
      <c r="U5" s="12">
        <v>139.75</v>
      </c>
      <c r="V5" s="12">
        <v>139.75</v>
      </c>
      <c r="W5" s="15" t="s">
        <v>203</v>
      </c>
      <c r="X5" s="16" t="s">
        <v>433</v>
      </c>
      <c r="Y5" s="17">
        <v>112520194</v>
      </c>
      <c r="Z5" s="17" t="s">
        <v>2669</v>
      </c>
      <c r="AA5" s="17" t="s">
        <v>205</v>
      </c>
      <c r="AB5" s="17" t="s">
        <v>2615</v>
      </c>
      <c r="AC5" s="32" t="s">
        <v>3301</v>
      </c>
      <c r="AD5" s="36" t="s">
        <v>3300</v>
      </c>
      <c r="AE5" s="32"/>
    </row>
    <row r="6" spans="1:31" s="1" customFormat="1" ht="19.7" customHeight="1" x14ac:dyDescent="0.2">
      <c r="A6" s="5" t="s">
        <v>22</v>
      </c>
      <c r="B6" s="5" t="s">
        <v>1141</v>
      </c>
      <c r="C6" s="6">
        <v>44344</v>
      </c>
      <c r="D6" s="5" t="s">
        <v>24</v>
      </c>
      <c r="E6" s="5" t="s">
        <v>25</v>
      </c>
      <c r="F6" s="5" t="s">
        <v>26</v>
      </c>
      <c r="G6" s="5" t="s">
        <v>67</v>
      </c>
      <c r="H6" s="5" t="s">
        <v>68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432</v>
      </c>
      <c r="N6" s="5" t="s">
        <v>1142</v>
      </c>
      <c r="O6" s="5" t="s">
        <v>203</v>
      </c>
      <c r="P6" s="5" t="s">
        <v>433</v>
      </c>
      <c r="Q6" s="5">
        <v>112520194</v>
      </c>
      <c r="R6" s="5" t="s">
        <v>105</v>
      </c>
      <c r="S6" s="5" t="s">
        <v>205</v>
      </c>
      <c r="T6" s="7">
        <v>1</v>
      </c>
      <c r="U6" s="8">
        <v>139.75</v>
      </c>
      <c r="V6" s="8">
        <v>139.75</v>
      </c>
      <c r="W6" s="15" t="s">
        <v>203</v>
      </c>
      <c r="X6" s="16" t="s">
        <v>433</v>
      </c>
      <c r="Y6" s="17">
        <v>112520194</v>
      </c>
      <c r="Z6" s="17" t="s">
        <v>2669</v>
      </c>
      <c r="AA6" s="17" t="s">
        <v>205</v>
      </c>
      <c r="AB6" s="17" t="s">
        <v>2615</v>
      </c>
      <c r="AC6" s="32" t="s">
        <v>3301</v>
      </c>
      <c r="AD6" s="36" t="s">
        <v>3300</v>
      </c>
      <c r="AE6" s="32"/>
    </row>
    <row r="7" spans="1:31" s="1" customFormat="1" ht="19.7" customHeight="1" x14ac:dyDescent="0.2">
      <c r="A7" s="5" t="s">
        <v>22</v>
      </c>
      <c r="B7" s="5" t="s">
        <v>1479</v>
      </c>
      <c r="C7" s="6">
        <v>44403</v>
      </c>
      <c r="D7" s="5" t="s">
        <v>24</v>
      </c>
      <c r="E7" s="5" t="s">
        <v>25</v>
      </c>
      <c r="F7" s="5" t="s">
        <v>26</v>
      </c>
      <c r="G7" s="5" t="s">
        <v>67</v>
      </c>
      <c r="H7" s="5" t="s">
        <v>68</v>
      </c>
      <c r="I7" s="5" t="s">
        <v>29</v>
      </c>
      <c r="J7" s="5" t="s">
        <v>30</v>
      </c>
      <c r="K7" s="5" t="s">
        <v>31</v>
      </c>
      <c r="L7" s="5" t="s">
        <v>32</v>
      </c>
      <c r="M7" s="5" t="s">
        <v>432</v>
      </c>
      <c r="N7" s="5" t="s">
        <v>1480</v>
      </c>
      <c r="O7" s="5" t="s">
        <v>203</v>
      </c>
      <c r="P7" s="5" t="s">
        <v>433</v>
      </c>
      <c r="Q7" s="5">
        <v>112520194</v>
      </c>
      <c r="R7" s="5" t="s">
        <v>105</v>
      </c>
      <c r="S7" s="5" t="s">
        <v>205</v>
      </c>
      <c r="T7" s="7">
        <v>1</v>
      </c>
      <c r="U7" s="8">
        <v>139.75</v>
      </c>
      <c r="V7" s="8">
        <v>139.75</v>
      </c>
      <c r="W7" s="15" t="s">
        <v>203</v>
      </c>
      <c r="X7" s="16" t="s">
        <v>433</v>
      </c>
      <c r="Y7" s="17">
        <v>112520194</v>
      </c>
      <c r="Z7" s="17" t="s">
        <v>2669</v>
      </c>
      <c r="AA7" s="17" t="s">
        <v>205</v>
      </c>
      <c r="AB7" s="17" t="s">
        <v>2615</v>
      </c>
      <c r="AC7" s="32" t="s">
        <v>3301</v>
      </c>
      <c r="AD7" s="36" t="s">
        <v>3300</v>
      </c>
      <c r="AE7" s="32"/>
    </row>
    <row r="8" spans="1:31" s="1" customFormat="1" ht="19.7" customHeight="1" x14ac:dyDescent="0.2">
      <c r="A8" s="9" t="s">
        <v>22</v>
      </c>
      <c r="B8" s="9" t="s">
        <v>1591</v>
      </c>
      <c r="C8" s="10">
        <v>44421</v>
      </c>
      <c r="D8" s="9" t="s">
        <v>24</v>
      </c>
      <c r="E8" s="9" t="s">
        <v>25</v>
      </c>
      <c r="F8" s="9" t="s">
        <v>26</v>
      </c>
      <c r="G8" s="9" t="s">
        <v>67</v>
      </c>
      <c r="H8" s="9" t="s">
        <v>68</v>
      </c>
      <c r="I8" s="9" t="s">
        <v>29</v>
      </c>
      <c r="J8" s="9" t="s">
        <v>30</v>
      </c>
      <c r="K8" s="9" t="s">
        <v>31</v>
      </c>
      <c r="L8" s="9" t="s">
        <v>32</v>
      </c>
      <c r="M8" s="9" t="s">
        <v>432</v>
      </c>
      <c r="N8" s="9" t="s">
        <v>1592</v>
      </c>
      <c r="O8" s="9" t="s">
        <v>203</v>
      </c>
      <c r="P8" s="9" t="s">
        <v>433</v>
      </c>
      <c r="Q8" s="9">
        <v>112520194</v>
      </c>
      <c r="R8" s="9" t="s">
        <v>105</v>
      </c>
      <c r="S8" s="9" t="s">
        <v>205</v>
      </c>
      <c r="T8" s="11">
        <v>2</v>
      </c>
      <c r="U8" s="12">
        <v>139.75</v>
      </c>
      <c r="V8" s="12">
        <v>279.5</v>
      </c>
      <c r="W8" s="15" t="s">
        <v>203</v>
      </c>
      <c r="X8" s="16" t="s">
        <v>433</v>
      </c>
      <c r="Y8" s="17">
        <v>112520194</v>
      </c>
      <c r="Z8" s="17" t="s">
        <v>2669</v>
      </c>
      <c r="AA8" s="17" t="s">
        <v>205</v>
      </c>
      <c r="AB8" s="17" t="s">
        <v>2615</v>
      </c>
      <c r="AC8" s="32" t="s">
        <v>3301</v>
      </c>
      <c r="AD8" s="36" t="s">
        <v>3300</v>
      </c>
      <c r="AE8" s="32"/>
    </row>
    <row r="9" spans="1:31" s="1" customFormat="1" ht="19.7" customHeight="1" x14ac:dyDescent="0.2">
      <c r="A9" s="9" t="s">
        <v>22</v>
      </c>
      <c r="B9" s="9" t="s">
        <v>1957</v>
      </c>
      <c r="C9" s="10">
        <v>44489</v>
      </c>
      <c r="D9" s="9" t="s">
        <v>24</v>
      </c>
      <c r="E9" s="9" t="s">
        <v>25</v>
      </c>
      <c r="F9" s="9" t="s">
        <v>26</v>
      </c>
      <c r="G9" s="9" t="s">
        <v>27</v>
      </c>
      <c r="H9" s="9" t="s">
        <v>28</v>
      </c>
      <c r="I9" s="9" t="s">
        <v>29</v>
      </c>
      <c r="J9" s="9" t="s">
        <v>30</v>
      </c>
      <c r="K9" s="9" t="s">
        <v>31</v>
      </c>
      <c r="L9" s="9" t="s">
        <v>32</v>
      </c>
      <c r="M9" s="9" t="s">
        <v>1958</v>
      </c>
      <c r="N9" s="9" t="s">
        <v>1526</v>
      </c>
      <c r="O9" s="9" t="s">
        <v>446</v>
      </c>
      <c r="P9" s="9" t="s">
        <v>1959</v>
      </c>
      <c r="Q9" s="9">
        <v>102200110</v>
      </c>
      <c r="R9" s="9" t="s">
        <v>448</v>
      </c>
      <c r="S9" s="9" t="s">
        <v>39</v>
      </c>
      <c r="T9" s="11">
        <v>2</v>
      </c>
      <c r="U9" s="12">
        <v>104.98</v>
      </c>
      <c r="V9" s="12">
        <v>209.96</v>
      </c>
      <c r="W9" s="15" t="s">
        <v>446</v>
      </c>
      <c r="X9" s="16" t="s">
        <v>1959</v>
      </c>
      <c r="Y9" s="17">
        <v>102200110</v>
      </c>
      <c r="Z9" s="17" t="s">
        <v>3175</v>
      </c>
      <c r="AA9" s="17" t="s">
        <v>39</v>
      </c>
      <c r="AB9" s="17" t="s">
        <v>2615</v>
      </c>
      <c r="AC9" s="32" t="s">
        <v>3301</v>
      </c>
      <c r="AD9" s="36" t="s">
        <v>3300</v>
      </c>
      <c r="AE9" s="32"/>
    </row>
    <row r="10" spans="1:31" s="1" customFormat="1" ht="19.7" customHeight="1" x14ac:dyDescent="0.2">
      <c r="A10" s="5" t="s">
        <v>22</v>
      </c>
      <c r="B10" s="5" t="s">
        <v>2041</v>
      </c>
      <c r="C10" s="6">
        <v>44504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1958</v>
      </c>
      <c r="N10" s="5" t="s">
        <v>1526</v>
      </c>
      <c r="O10" s="5" t="s">
        <v>446</v>
      </c>
      <c r="P10" s="5" t="s">
        <v>1959</v>
      </c>
      <c r="Q10" s="5">
        <v>102200110</v>
      </c>
      <c r="R10" s="5" t="s">
        <v>448</v>
      </c>
      <c r="S10" s="5" t="s">
        <v>39</v>
      </c>
      <c r="T10" s="7">
        <v>2</v>
      </c>
      <c r="U10" s="8">
        <v>104.98</v>
      </c>
      <c r="V10" s="8">
        <v>209.96</v>
      </c>
      <c r="W10" s="15" t="s">
        <v>446</v>
      </c>
      <c r="X10" s="16" t="s">
        <v>1959</v>
      </c>
      <c r="Y10" s="17">
        <v>102200110</v>
      </c>
      <c r="Z10" s="17" t="s">
        <v>3175</v>
      </c>
      <c r="AA10" s="17" t="s">
        <v>39</v>
      </c>
      <c r="AB10" s="17" t="s">
        <v>2615</v>
      </c>
      <c r="AC10" s="32" t="s">
        <v>3301</v>
      </c>
      <c r="AD10" s="36" t="s">
        <v>3300</v>
      </c>
      <c r="AE10" s="32"/>
    </row>
    <row r="11" spans="1:31" s="1" customFormat="1" ht="19.7" customHeight="1" x14ac:dyDescent="0.2">
      <c r="A11" s="5" t="s">
        <v>22</v>
      </c>
      <c r="B11" s="5" t="s">
        <v>1783</v>
      </c>
      <c r="C11" s="6">
        <v>44462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5" t="s">
        <v>29</v>
      </c>
      <c r="J11" s="5" t="s">
        <v>30</v>
      </c>
      <c r="K11" s="5" t="s">
        <v>31</v>
      </c>
      <c r="L11" s="5" t="s">
        <v>32</v>
      </c>
      <c r="M11" s="5" t="s">
        <v>1784</v>
      </c>
      <c r="N11" s="5" t="s">
        <v>1758</v>
      </c>
      <c r="O11" s="5" t="s">
        <v>1785</v>
      </c>
      <c r="P11" s="5" t="s">
        <v>1786</v>
      </c>
      <c r="Q11" s="5">
        <v>105198145</v>
      </c>
      <c r="R11" s="5" t="s">
        <v>56</v>
      </c>
      <c r="S11" s="5" t="s">
        <v>39</v>
      </c>
      <c r="T11" s="7">
        <v>1</v>
      </c>
      <c r="U11" s="8">
        <v>1247.67</v>
      </c>
      <c r="V11" s="8">
        <v>1247.67</v>
      </c>
      <c r="W11" s="15" t="s">
        <v>1785</v>
      </c>
      <c r="X11" s="16" t="s">
        <v>1786</v>
      </c>
      <c r="Y11" s="17">
        <v>105198145</v>
      </c>
      <c r="Z11" s="17" t="s">
        <v>3130</v>
      </c>
      <c r="AA11" s="17" t="s">
        <v>39</v>
      </c>
      <c r="AB11" s="17" t="s">
        <v>2615</v>
      </c>
      <c r="AC11" s="32" t="s">
        <v>3301</v>
      </c>
      <c r="AD11" s="36" t="s">
        <v>3300</v>
      </c>
      <c r="AE11" s="32"/>
    </row>
    <row r="12" spans="1:31" s="1" customFormat="1" ht="19.7" customHeight="1" x14ac:dyDescent="0.2">
      <c r="A12" s="9" t="s">
        <v>22</v>
      </c>
      <c r="B12" s="9" t="s">
        <v>293</v>
      </c>
      <c r="C12" s="10">
        <v>44246</v>
      </c>
      <c r="D12" s="9" t="s">
        <v>24</v>
      </c>
      <c r="E12" s="9" t="s">
        <v>25</v>
      </c>
      <c r="F12" s="9" t="s">
        <v>26</v>
      </c>
      <c r="G12" s="9" t="s">
        <v>67</v>
      </c>
      <c r="H12" s="9" t="s">
        <v>68</v>
      </c>
      <c r="I12" s="9" t="s">
        <v>29</v>
      </c>
      <c r="J12" s="9" t="s">
        <v>30</v>
      </c>
      <c r="K12" s="9" t="s">
        <v>31</v>
      </c>
      <c r="L12" s="9" t="s">
        <v>32</v>
      </c>
      <c r="M12" s="9" t="s">
        <v>296</v>
      </c>
      <c r="N12" s="9" t="s">
        <v>107</v>
      </c>
      <c r="O12" s="9" t="s">
        <v>297</v>
      </c>
      <c r="P12" s="9" t="s">
        <v>298</v>
      </c>
      <c r="Q12" s="9">
        <v>102212930</v>
      </c>
      <c r="R12" s="9" t="s">
        <v>299</v>
      </c>
      <c r="S12" s="9" t="s">
        <v>39</v>
      </c>
      <c r="T12" s="11">
        <v>12</v>
      </c>
      <c r="U12" s="12">
        <v>14.05</v>
      </c>
      <c r="V12" s="12">
        <v>168.6</v>
      </c>
      <c r="W12" s="15" t="s">
        <v>297</v>
      </c>
      <c r="X12" s="16" t="s">
        <v>298</v>
      </c>
      <c r="Y12" s="17">
        <v>102212930</v>
      </c>
      <c r="Z12" s="17" t="s">
        <v>2614</v>
      </c>
      <c r="AA12" s="17" t="s">
        <v>39</v>
      </c>
      <c r="AB12" s="17" t="s">
        <v>2615</v>
      </c>
      <c r="AC12" s="32" t="s">
        <v>3301</v>
      </c>
      <c r="AD12" s="36" t="s">
        <v>3300</v>
      </c>
      <c r="AE12" s="32"/>
    </row>
    <row r="13" spans="1:31" s="1" customFormat="1" ht="19.7" customHeight="1" x14ac:dyDescent="0.2">
      <c r="A13" s="9" t="s">
        <v>22</v>
      </c>
      <c r="B13" s="9" t="s">
        <v>547</v>
      </c>
      <c r="C13" s="10">
        <v>44274</v>
      </c>
      <c r="D13" s="9" t="s">
        <v>24</v>
      </c>
      <c r="E13" s="9" t="s">
        <v>25</v>
      </c>
      <c r="F13" s="9" t="s">
        <v>26</v>
      </c>
      <c r="G13" s="9" t="s">
        <v>67</v>
      </c>
      <c r="H13" s="9" t="s">
        <v>68</v>
      </c>
      <c r="I13" s="9" t="s">
        <v>29</v>
      </c>
      <c r="J13" s="9" t="s">
        <v>30</v>
      </c>
      <c r="K13" s="9" t="s">
        <v>31</v>
      </c>
      <c r="L13" s="9" t="s">
        <v>32</v>
      </c>
      <c r="M13" s="9" t="s">
        <v>296</v>
      </c>
      <c r="N13" s="9" t="s">
        <v>549</v>
      </c>
      <c r="O13" s="9" t="s">
        <v>297</v>
      </c>
      <c r="P13" s="9" t="s">
        <v>298</v>
      </c>
      <c r="Q13" s="9">
        <v>102212930</v>
      </c>
      <c r="R13" s="9" t="s">
        <v>299</v>
      </c>
      <c r="S13" s="9" t="s">
        <v>39</v>
      </c>
      <c r="T13" s="11">
        <v>12</v>
      </c>
      <c r="U13" s="12">
        <v>14.05</v>
      </c>
      <c r="V13" s="12">
        <v>168.6</v>
      </c>
      <c r="W13" s="15" t="s">
        <v>297</v>
      </c>
      <c r="X13" s="16" t="s">
        <v>298</v>
      </c>
      <c r="Y13" s="17">
        <v>102212930</v>
      </c>
      <c r="Z13" s="17" t="s">
        <v>2614</v>
      </c>
      <c r="AA13" s="17" t="s">
        <v>39</v>
      </c>
      <c r="AB13" s="17" t="s">
        <v>2615</v>
      </c>
      <c r="AC13" s="32" t="s">
        <v>3301</v>
      </c>
      <c r="AD13" s="36" t="s">
        <v>3300</v>
      </c>
      <c r="AE13" s="32"/>
    </row>
    <row r="14" spans="1:31" s="1" customFormat="1" ht="19.7" customHeight="1" x14ac:dyDescent="0.2">
      <c r="A14" s="5" t="s">
        <v>22</v>
      </c>
      <c r="B14" s="5" t="s">
        <v>1023</v>
      </c>
      <c r="C14" s="6">
        <v>44333</v>
      </c>
      <c r="D14" s="5" t="s">
        <v>24</v>
      </c>
      <c r="E14" s="5" t="s">
        <v>25</v>
      </c>
      <c r="F14" s="5" t="s">
        <v>26</v>
      </c>
      <c r="G14" s="5" t="s">
        <v>67</v>
      </c>
      <c r="H14" s="5" t="s">
        <v>68</v>
      </c>
      <c r="I14" s="5" t="s">
        <v>29</v>
      </c>
      <c r="J14" s="5" t="s">
        <v>30</v>
      </c>
      <c r="K14" s="5" t="s">
        <v>31</v>
      </c>
      <c r="L14" s="5" t="s">
        <v>32</v>
      </c>
      <c r="M14" s="5" t="s">
        <v>296</v>
      </c>
      <c r="N14" s="5" t="s">
        <v>1024</v>
      </c>
      <c r="O14" s="5" t="s">
        <v>297</v>
      </c>
      <c r="P14" s="5" t="s">
        <v>298</v>
      </c>
      <c r="Q14" s="5">
        <v>102212930</v>
      </c>
      <c r="R14" s="5" t="s">
        <v>299</v>
      </c>
      <c r="S14" s="5" t="s">
        <v>39</v>
      </c>
      <c r="T14" s="7">
        <v>12</v>
      </c>
      <c r="U14" s="8">
        <v>14.05</v>
      </c>
      <c r="V14" s="8">
        <v>168.6</v>
      </c>
      <c r="W14" s="15" t="s">
        <v>297</v>
      </c>
      <c r="X14" s="16" t="s">
        <v>298</v>
      </c>
      <c r="Y14" s="17">
        <v>102212930</v>
      </c>
      <c r="Z14" s="17" t="s">
        <v>2614</v>
      </c>
      <c r="AA14" s="17" t="s">
        <v>39</v>
      </c>
      <c r="AB14" s="17" t="s">
        <v>2615</v>
      </c>
      <c r="AC14" s="32" t="s">
        <v>3301</v>
      </c>
      <c r="AD14" s="36" t="s">
        <v>3300</v>
      </c>
      <c r="AE14" s="32"/>
    </row>
    <row r="15" spans="1:31" s="1" customFormat="1" ht="19.7" customHeight="1" x14ac:dyDescent="0.2">
      <c r="A15" s="5" t="s">
        <v>22</v>
      </c>
      <c r="B15" s="5" t="s">
        <v>1599</v>
      </c>
      <c r="C15" s="6">
        <v>44421</v>
      </c>
      <c r="D15" s="5" t="s">
        <v>24</v>
      </c>
      <c r="E15" s="5" t="s">
        <v>25</v>
      </c>
      <c r="F15" s="5" t="s">
        <v>26</v>
      </c>
      <c r="G15" s="5" t="s">
        <v>67</v>
      </c>
      <c r="H15" s="5" t="s">
        <v>68</v>
      </c>
      <c r="I15" s="5" t="s">
        <v>29</v>
      </c>
      <c r="J15" s="5" t="s">
        <v>30</v>
      </c>
      <c r="K15" s="5" t="s">
        <v>31</v>
      </c>
      <c r="L15" s="5" t="s">
        <v>32</v>
      </c>
      <c r="M15" s="5" t="s">
        <v>296</v>
      </c>
      <c r="N15" s="5" t="s">
        <v>1600</v>
      </c>
      <c r="O15" s="5" t="s">
        <v>297</v>
      </c>
      <c r="P15" s="5" t="s">
        <v>298</v>
      </c>
      <c r="Q15" s="5">
        <v>102212930</v>
      </c>
      <c r="R15" s="5" t="s">
        <v>299</v>
      </c>
      <c r="S15" s="5" t="s">
        <v>39</v>
      </c>
      <c r="T15" s="7">
        <v>12</v>
      </c>
      <c r="U15" s="8">
        <v>14.05</v>
      </c>
      <c r="V15" s="8">
        <v>168.6</v>
      </c>
      <c r="W15" s="15" t="s">
        <v>297</v>
      </c>
      <c r="X15" s="16" t="s">
        <v>298</v>
      </c>
      <c r="Y15" s="17">
        <v>102212930</v>
      </c>
      <c r="Z15" s="17" t="s">
        <v>2614</v>
      </c>
      <c r="AA15" s="17" t="s">
        <v>39</v>
      </c>
      <c r="AB15" s="17" t="s">
        <v>2615</v>
      </c>
      <c r="AC15" s="32" t="s">
        <v>3301</v>
      </c>
      <c r="AD15" s="36" t="s">
        <v>3300</v>
      </c>
      <c r="AE15" s="32"/>
    </row>
    <row r="16" spans="1:31" s="1" customFormat="1" ht="19.7" customHeight="1" x14ac:dyDescent="0.2">
      <c r="A16" s="9" t="s">
        <v>22</v>
      </c>
      <c r="B16" s="9" t="s">
        <v>1759</v>
      </c>
      <c r="C16" s="10">
        <v>44456</v>
      </c>
      <c r="D16" s="9" t="s">
        <v>24</v>
      </c>
      <c r="E16" s="9" t="s">
        <v>25</v>
      </c>
      <c r="F16" s="9" t="s">
        <v>26</v>
      </c>
      <c r="G16" s="9" t="s">
        <v>67</v>
      </c>
      <c r="H16" s="9" t="s">
        <v>68</v>
      </c>
      <c r="I16" s="9" t="s">
        <v>29</v>
      </c>
      <c r="J16" s="9" t="s">
        <v>30</v>
      </c>
      <c r="K16" s="9" t="s">
        <v>31</v>
      </c>
      <c r="L16" s="9" t="s">
        <v>32</v>
      </c>
      <c r="M16" s="9" t="s">
        <v>296</v>
      </c>
      <c r="N16" s="9" t="s">
        <v>1760</v>
      </c>
      <c r="O16" s="9" t="s">
        <v>297</v>
      </c>
      <c r="P16" s="9" t="s">
        <v>298</v>
      </c>
      <c r="Q16" s="9">
        <v>102212930</v>
      </c>
      <c r="R16" s="9" t="s">
        <v>299</v>
      </c>
      <c r="S16" s="9" t="s">
        <v>39</v>
      </c>
      <c r="T16" s="11">
        <v>12</v>
      </c>
      <c r="U16" s="12">
        <v>14.05</v>
      </c>
      <c r="V16" s="12">
        <v>168.6</v>
      </c>
      <c r="W16" s="15" t="s">
        <v>297</v>
      </c>
      <c r="X16" s="16" t="s">
        <v>298</v>
      </c>
      <c r="Y16" s="17">
        <v>102212930</v>
      </c>
      <c r="Z16" s="17" t="s">
        <v>2614</v>
      </c>
      <c r="AA16" s="17" t="s">
        <v>39</v>
      </c>
      <c r="AB16" s="17" t="s">
        <v>2615</v>
      </c>
      <c r="AC16" s="32" t="s">
        <v>3301</v>
      </c>
      <c r="AD16" s="36" t="s">
        <v>3300</v>
      </c>
      <c r="AE16" s="32"/>
    </row>
    <row r="17" spans="1:31" s="1" customFormat="1" ht="19.7" customHeight="1" thickBot="1" x14ac:dyDescent="0.25">
      <c r="A17" s="9" t="s">
        <v>22</v>
      </c>
      <c r="B17" s="9" t="s">
        <v>2345</v>
      </c>
      <c r="C17" s="10">
        <v>44568</v>
      </c>
      <c r="D17" s="9" t="s">
        <v>24</v>
      </c>
      <c r="E17" s="9" t="s">
        <v>25</v>
      </c>
      <c r="F17" s="9" t="s">
        <v>26</v>
      </c>
      <c r="G17" s="9" t="s">
        <v>67</v>
      </c>
      <c r="H17" s="9" t="s">
        <v>68</v>
      </c>
      <c r="I17" s="9" t="s">
        <v>29</v>
      </c>
      <c r="J17" s="9" t="s">
        <v>30</v>
      </c>
      <c r="K17" s="9" t="s">
        <v>31</v>
      </c>
      <c r="L17" s="9" t="s">
        <v>32</v>
      </c>
      <c r="M17" s="9" t="s">
        <v>296</v>
      </c>
      <c r="N17" s="9" t="s">
        <v>2346</v>
      </c>
      <c r="O17" s="9" t="s">
        <v>297</v>
      </c>
      <c r="P17" s="9" t="s">
        <v>298</v>
      </c>
      <c r="Q17" s="9">
        <v>102212930</v>
      </c>
      <c r="R17" s="9" t="s">
        <v>299</v>
      </c>
      <c r="S17" s="9" t="s">
        <v>39</v>
      </c>
      <c r="T17" s="11">
        <v>12</v>
      </c>
      <c r="U17" s="12">
        <v>15.17</v>
      </c>
      <c r="V17" s="12">
        <v>182.04</v>
      </c>
      <c r="W17" s="18" t="s">
        <v>297</v>
      </c>
      <c r="X17" s="19" t="s">
        <v>298</v>
      </c>
      <c r="Y17" s="20">
        <v>102212930</v>
      </c>
      <c r="Z17" s="20" t="s">
        <v>2614</v>
      </c>
      <c r="AA17" s="20" t="s">
        <v>39</v>
      </c>
      <c r="AB17" s="20" t="s">
        <v>2615</v>
      </c>
      <c r="AC17" s="32" t="s">
        <v>3301</v>
      </c>
      <c r="AD17" s="36" t="s">
        <v>3300</v>
      </c>
      <c r="AE17" s="32"/>
    </row>
  </sheetData>
  <conditionalFormatting sqref="Y1:Y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 Details</vt:lpstr>
      <vt:lpstr>OBSOLETE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Green, Elizabeth</cp:lastModifiedBy>
  <dcterms:created xsi:type="dcterms:W3CDTF">2022-02-09T18:45:31Z</dcterms:created>
  <dcterms:modified xsi:type="dcterms:W3CDTF">2022-03-11T17:11:00Z</dcterms:modified>
</cp:coreProperties>
</file>