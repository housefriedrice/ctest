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johnso\Documents\GPO INFO\VRC\"/>
    </mc:Choice>
  </mc:AlternateContent>
  <xr:revisionPtr revIDLastSave="0" documentId="8_{3CBF6CCD-14EB-4AA7-AAB7-0F33A71DFBA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Data" sheetId="1" r:id="rId1"/>
    <sheet name="Guideline" sheetId="5" r:id="rId2"/>
    <sheet name="Match Types" sheetId="3" r:id="rId3"/>
  </sheets>
  <definedNames>
    <definedName name="_xlnm._FilterDatabase" localSheetId="0" hidden="1">Data!$A$2:$BS$540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5" l="1"/>
  <c r="E24" i="5"/>
  <c r="E23" i="5"/>
  <c r="E22" i="5"/>
  <c r="E21" i="5"/>
  <c r="E20" i="5"/>
  <c r="BS4" i="1"/>
  <c r="BQ4" i="1" s="1"/>
  <c r="BS5" i="1"/>
  <c r="BS57" i="1"/>
  <c r="BJ57" i="1" s="1"/>
  <c r="BS28" i="1"/>
  <c r="BM28" i="1" s="1"/>
  <c r="BS103" i="1"/>
  <c r="BO103" i="1" s="1"/>
  <c r="BS9" i="1"/>
  <c r="BS10" i="1"/>
  <c r="BS12" i="1"/>
  <c r="BQ12" i="1" s="1"/>
  <c r="BS87" i="1"/>
  <c r="BH87" i="1" s="1"/>
  <c r="BS107" i="1"/>
  <c r="BS24" i="1"/>
  <c r="BS51" i="1"/>
  <c r="BL51" i="1" s="1"/>
  <c r="BS17" i="1"/>
  <c r="BS18" i="1"/>
  <c r="BS20" i="1"/>
  <c r="BS41" i="1"/>
  <c r="BM41" i="1" s="1"/>
  <c r="BS22" i="1"/>
  <c r="BS66" i="1"/>
  <c r="BM66" i="1" s="1"/>
  <c r="BS34" i="1"/>
  <c r="BS105" i="1"/>
  <c r="BS80" i="1"/>
  <c r="BI80" i="1" s="1"/>
  <c r="BS73" i="1"/>
  <c r="BI73" i="1" s="1"/>
  <c r="BS11" i="1"/>
  <c r="BL11" i="1" s="1"/>
  <c r="BS29" i="1"/>
  <c r="BS30" i="1"/>
  <c r="BS26" i="1"/>
  <c r="BS32" i="1"/>
  <c r="BS33" i="1"/>
  <c r="BS61" i="1"/>
  <c r="BL61" i="1" s="1"/>
  <c r="BS35" i="1"/>
  <c r="BS58" i="1"/>
  <c r="BM58" i="1" s="1"/>
  <c r="BS68" i="1"/>
  <c r="BS52" i="1"/>
  <c r="BO52" i="1" s="1"/>
  <c r="BS25" i="1"/>
  <c r="BS63" i="1"/>
  <c r="BJ63" i="1" s="1"/>
  <c r="BS117" i="1"/>
  <c r="BM117" i="1" s="1"/>
  <c r="BS116" i="1"/>
  <c r="BS104" i="1"/>
  <c r="BJ104" i="1" s="1"/>
  <c r="BS96" i="1"/>
  <c r="BJ96" i="1" s="1"/>
  <c r="BS121" i="1"/>
  <c r="BM121" i="1" s="1"/>
  <c r="BS95" i="1"/>
  <c r="BS39" i="1"/>
  <c r="BR39" i="1" s="1"/>
  <c r="BS53" i="1"/>
  <c r="BS54" i="1"/>
  <c r="BS55" i="1"/>
  <c r="BS79" i="1"/>
  <c r="BK79" i="1" s="1"/>
  <c r="BS91" i="1"/>
  <c r="BS86" i="1"/>
  <c r="BI86" i="1" s="1"/>
  <c r="BS19" i="1"/>
  <c r="BR19" i="1" s="1"/>
  <c r="BS60" i="1"/>
  <c r="BS106" i="1"/>
  <c r="BK106" i="1" s="1"/>
  <c r="BS42" i="1"/>
  <c r="BH42" i="1" s="1"/>
  <c r="BS84" i="1"/>
  <c r="BI84" i="1" s="1"/>
  <c r="BS83" i="1"/>
  <c r="BI83" i="1" s="1"/>
  <c r="BS27" i="1"/>
  <c r="BM27" i="1" s="1"/>
  <c r="BS109" i="1"/>
  <c r="BK109" i="1" s="1"/>
  <c r="BS21" i="1"/>
  <c r="BL21" i="1" s="1"/>
  <c r="BS69" i="1"/>
  <c r="BP69" i="1" s="1"/>
  <c r="BS70" i="1"/>
  <c r="BS49" i="1"/>
  <c r="BM49" i="1" s="1"/>
  <c r="BS72" i="1"/>
  <c r="BS71" i="1"/>
  <c r="BS59" i="1"/>
  <c r="BS75" i="1"/>
  <c r="BS14" i="1"/>
  <c r="BN14" i="1" s="1"/>
  <c r="BS77" i="1"/>
  <c r="BS102" i="1"/>
  <c r="BO102" i="1" s="1"/>
  <c r="BS97" i="1"/>
  <c r="BS64" i="1"/>
  <c r="BS81" i="1"/>
  <c r="BS111" i="1"/>
  <c r="BI111" i="1" s="1"/>
  <c r="BS44" i="1"/>
  <c r="BM44" i="1" s="1"/>
  <c r="BS67" i="1"/>
  <c r="BO67" i="1" s="1"/>
  <c r="BS85" i="1"/>
  <c r="BS74" i="1"/>
  <c r="BI74" i="1" s="1"/>
  <c r="BS82" i="1"/>
  <c r="BS43" i="1"/>
  <c r="BO43" i="1" s="1"/>
  <c r="BS15" i="1"/>
  <c r="BM15" i="1" s="1"/>
  <c r="BS90" i="1"/>
  <c r="BS65" i="1"/>
  <c r="BH65" i="1" s="1"/>
  <c r="BS92" i="1"/>
  <c r="BS78" i="1"/>
  <c r="BI78" i="1" s="1"/>
  <c r="BS31" i="1"/>
  <c r="BN31" i="1" s="1"/>
  <c r="BS48" i="1"/>
  <c r="BJ48" i="1" s="1"/>
  <c r="BS98" i="1"/>
  <c r="BS56" i="1"/>
  <c r="BS36" i="1"/>
  <c r="BL36" i="1" s="1"/>
  <c r="BS45" i="1"/>
  <c r="BM45" i="1" s="1"/>
  <c r="BS46" i="1"/>
  <c r="BK46" i="1" s="1"/>
  <c r="BS89" i="1"/>
  <c r="BM89" i="1" s="1"/>
  <c r="BS13" i="1"/>
  <c r="BH13" i="1" s="1"/>
  <c r="BS108" i="1"/>
  <c r="BS110" i="1"/>
  <c r="BL110" i="1" s="1"/>
  <c r="BS119" i="1"/>
  <c r="BM119" i="1" s="1"/>
  <c r="BS218" i="1"/>
  <c r="BS38" i="1"/>
  <c r="BM38" i="1" s="1"/>
  <c r="BS40" i="1"/>
  <c r="BO40" i="1" s="1"/>
  <c r="BS76" i="1"/>
  <c r="BN76" i="1" s="1"/>
  <c r="BS88" i="1"/>
  <c r="BM88" i="1" s="1"/>
  <c r="BS115" i="1"/>
  <c r="BS113" i="1"/>
  <c r="BM113" i="1" s="1"/>
  <c r="BS114" i="1"/>
  <c r="BH114" i="1" s="1"/>
  <c r="BS118" i="1"/>
  <c r="BS6" i="1"/>
  <c r="BS120" i="1"/>
  <c r="BS8" i="1"/>
  <c r="BS122" i="1"/>
  <c r="BS123" i="1"/>
  <c r="BQ123" i="1" s="1"/>
  <c r="BS124" i="1"/>
  <c r="BS125" i="1"/>
  <c r="BS126" i="1"/>
  <c r="BS127" i="1"/>
  <c r="BS128" i="1"/>
  <c r="BS129" i="1"/>
  <c r="BS130" i="1"/>
  <c r="BS131" i="1"/>
  <c r="BS132" i="1"/>
  <c r="BQ132" i="1" s="1"/>
  <c r="BS133" i="1"/>
  <c r="BS134" i="1"/>
  <c r="BS135" i="1"/>
  <c r="BS136" i="1"/>
  <c r="BS137" i="1"/>
  <c r="BQ137" i="1" s="1"/>
  <c r="BS138" i="1"/>
  <c r="BQ138" i="1" s="1"/>
  <c r="BS139" i="1"/>
  <c r="BS140" i="1"/>
  <c r="BS141" i="1"/>
  <c r="BQ141" i="1" s="1"/>
  <c r="BS142" i="1"/>
  <c r="BS143" i="1"/>
  <c r="BS144" i="1"/>
  <c r="BS145" i="1"/>
  <c r="BS146" i="1"/>
  <c r="BS147" i="1"/>
  <c r="BS148" i="1"/>
  <c r="BS149" i="1"/>
  <c r="BQ149" i="1" s="1"/>
  <c r="BS150" i="1"/>
  <c r="BS151" i="1"/>
  <c r="BS152" i="1"/>
  <c r="BS153" i="1"/>
  <c r="BQ153" i="1" s="1"/>
  <c r="BS154" i="1"/>
  <c r="BS155" i="1"/>
  <c r="BS156" i="1"/>
  <c r="BQ156" i="1" s="1"/>
  <c r="BS157" i="1"/>
  <c r="BS158" i="1"/>
  <c r="BQ158" i="1" s="1"/>
  <c r="BS159" i="1"/>
  <c r="BS160" i="1"/>
  <c r="BS161" i="1"/>
  <c r="BS162" i="1"/>
  <c r="BQ162" i="1" s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Q184" i="1" s="1"/>
  <c r="BS185" i="1"/>
  <c r="BS186" i="1"/>
  <c r="BQ186" i="1" s="1"/>
  <c r="BS187" i="1"/>
  <c r="BQ187" i="1" s="1"/>
  <c r="BS188" i="1"/>
  <c r="BS189" i="1"/>
  <c r="BQ189" i="1" s="1"/>
  <c r="BS190" i="1"/>
  <c r="BS191" i="1"/>
  <c r="BS192" i="1"/>
  <c r="BS193" i="1"/>
  <c r="BS194" i="1"/>
  <c r="BS195" i="1"/>
  <c r="BS196" i="1"/>
  <c r="BQ196" i="1" s="1"/>
  <c r="BS197" i="1"/>
  <c r="BS198" i="1"/>
  <c r="BQ198" i="1" s="1"/>
  <c r="BS199" i="1"/>
  <c r="BQ199" i="1" s="1"/>
  <c r="BS200" i="1"/>
  <c r="BS201" i="1"/>
  <c r="BS202" i="1"/>
  <c r="BS203" i="1"/>
  <c r="BS204" i="1"/>
  <c r="BS205" i="1"/>
  <c r="BQ205" i="1" s="1"/>
  <c r="BS206" i="1"/>
  <c r="BS207" i="1"/>
  <c r="BS208" i="1"/>
  <c r="BS209" i="1"/>
  <c r="BS210" i="1"/>
  <c r="BS211" i="1"/>
  <c r="BQ211" i="1" s="1"/>
  <c r="BS212" i="1"/>
  <c r="BS213" i="1"/>
  <c r="BS214" i="1"/>
  <c r="BQ214" i="1" s="1"/>
  <c r="BS215" i="1"/>
  <c r="BS216" i="1"/>
  <c r="BS217" i="1"/>
  <c r="BS112" i="1"/>
  <c r="BM112" i="1" s="1"/>
  <c r="BS219" i="1"/>
  <c r="BS220" i="1"/>
  <c r="BS221" i="1"/>
  <c r="BS222" i="1"/>
  <c r="BQ222" i="1" s="1"/>
  <c r="BS223" i="1"/>
  <c r="BS224" i="1"/>
  <c r="BS225" i="1"/>
  <c r="BQ225" i="1" s="1"/>
  <c r="BS226" i="1"/>
  <c r="BS227" i="1"/>
  <c r="BQ227" i="1" s="1"/>
  <c r="BS228" i="1"/>
  <c r="BS229" i="1"/>
  <c r="BS230" i="1"/>
  <c r="BS231" i="1"/>
  <c r="BS232" i="1"/>
  <c r="BS233" i="1"/>
  <c r="BQ233" i="1" s="1"/>
  <c r="BS234" i="1"/>
  <c r="BS235" i="1"/>
  <c r="BS236" i="1"/>
  <c r="BS237" i="1"/>
  <c r="BS238" i="1"/>
  <c r="BS239" i="1"/>
  <c r="BS240" i="1"/>
  <c r="BQ240" i="1" s="1"/>
  <c r="BS241" i="1"/>
  <c r="BS242" i="1"/>
  <c r="BS243" i="1"/>
  <c r="BS244" i="1"/>
  <c r="BS245" i="1"/>
  <c r="BS246" i="1"/>
  <c r="BQ246" i="1" s="1"/>
  <c r="BS247" i="1"/>
  <c r="BS248" i="1"/>
  <c r="BS249" i="1"/>
  <c r="BS250" i="1"/>
  <c r="BS251" i="1"/>
  <c r="BQ251" i="1" s="1"/>
  <c r="BS252" i="1"/>
  <c r="BS253" i="1"/>
  <c r="BS254" i="1"/>
  <c r="BQ254" i="1" s="1"/>
  <c r="BS255" i="1"/>
  <c r="BQ255" i="1" s="1"/>
  <c r="BS256" i="1"/>
  <c r="BS257" i="1"/>
  <c r="BQ257" i="1" s="1"/>
  <c r="BS258" i="1"/>
  <c r="BS259" i="1"/>
  <c r="BS260" i="1"/>
  <c r="BQ260" i="1" s="1"/>
  <c r="BS261" i="1"/>
  <c r="BQ261" i="1" s="1"/>
  <c r="BS262" i="1"/>
  <c r="BS263" i="1"/>
  <c r="BS264" i="1"/>
  <c r="BS265" i="1"/>
  <c r="BS266" i="1"/>
  <c r="BS267" i="1"/>
  <c r="BS268" i="1"/>
  <c r="BS269" i="1"/>
  <c r="BS270" i="1"/>
  <c r="BS271" i="1"/>
  <c r="BS272" i="1"/>
  <c r="BQ272" i="1" s="1"/>
  <c r="BS273" i="1"/>
  <c r="BS274" i="1"/>
  <c r="BS275" i="1"/>
  <c r="BS276" i="1"/>
  <c r="BS277" i="1"/>
  <c r="BS278" i="1"/>
  <c r="BS279" i="1"/>
  <c r="BS280" i="1"/>
  <c r="BS281" i="1"/>
  <c r="BS282" i="1"/>
  <c r="BQ282" i="1" s="1"/>
  <c r="BS283" i="1"/>
  <c r="BS284" i="1"/>
  <c r="BQ284" i="1" s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Q334" i="1" s="1"/>
  <c r="BS335" i="1"/>
  <c r="BS336" i="1"/>
  <c r="BQ336" i="1" s="1"/>
  <c r="BS337" i="1"/>
  <c r="BS338" i="1"/>
  <c r="BS339" i="1"/>
  <c r="BS340" i="1"/>
  <c r="BQ340" i="1" s="1"/>
  <c r="BS341" i="1"/>
  <c r="BS342" i="1"/>
  <c r="BS343" i="1"/>
  <c r="BQ343" i="1" s="1"/>
  <c r="BS344" i="1"/>
  <c r="BS345" i="1"/>
  <c r="BS346" i="1"/>
  <c r="BQ346" i="1" s="1"/>
  <c r="BS347" i="1"/>
  <c r="BS348" i="1"/>
  <c r="BS349" i="1"/>
  <c r="BS350" i="1"/>
  <c r="BS351" i="1"/>
  <c r="BS352" i="1"/>
  <c r="BQ352" i="1" s="1"/>
  <c r="BS353" i="1"/>
  <c r="BS354" i="1"/>
  <c r="BQ354" i="1" s="1"/>
  <c r="BS355" i="1"/>
  <c r="BS356" i="1"/>
  <c r="BS357" i="1"/>
  <c r="BS358" i="1"/>
  <c r="BS359" i="1"/>
  <c r="BS360" i="1"/>
  <c r="BS361" i="1"/>
  <c r="BQ361" i="1" s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Q374" i="1" s="1"/>
  <c r="BS375" i="1"/>
  <c r="BS376" i="1"/>
  <c r="BS377" i="1"/>
  <c r="BS378" i="1"/>
  <c r="BS379" i="1"/>
  <c r="BS380" i="1"/>
  <c r="BS381" i="1"/>
  <c r="BQ381" i="1" s="1"/>
  <c r="BS382" i="1"/>
  <c r="BS383" i="1"/>
  <c r="BS384" i="1"/>
  <c r="BQ384" i="1" s="1"/>
  <c r="BS385" i="1"/>
  <c r="BS386" i="1"/>
  <c r="BS387" i="1"/>
  <c r="BS388" i="1"/>
  <c r="BS389" i="1"/>
  <c r="BS390" i="1"/>
  <c r="BQ390" i="1" s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Q402" i="1" s="1"/>
  <c r="BS403" i="1"/>
  <c r="BS404" i="1"/>
  <c r="BS405" i="1"/>
  <c r="BS406" i="1"/>
  <c r="BS407" i="1"/>
  <c r="BS408" i="1"/>
  <c r="BS409" i="1"/>
  <c r="BS410" i="1"/>
  <c r="BS411" i="1"/>
  <c r="BQ411" i="1" s="1"/>
  <c r="BS412" i="1"/>
  <c r="BS413" i="1"/>
  <c r="BQ413" i="1" s="1"/>
  <c r="BS414" i="1"/>
  <c r="BQ414" i="1" s="1"/>
  <c r="BS415" i="1"/>
  <c r="BS416" i="1"/>
  <c r="BS417" i="1"/>
  <c r="BQ417" i="1" s="1"/>
  <c r="BS418" i="1"/>
  <c r="BS419" i="1"/>
  <c r="BS420" i="1"/>
  <c r="BS421" i="1"/>
  <c r="BS422" i="1"/>
  <c r="BS423" i="1"/>
  <c r="BS424" i="1"/>
  <c r="BS425" i="1"/>
  <c r="BS426" i="1"/>
  <c r="BQ426" i="1" s="1"/>
  <c r="BS427" i="1"/>
  <c r="BS428" i="1"/>
  <c r="BS429" i="1"/>
  <c r="BS430" i="1"/>
  <c r="BS431" i="1"/>
  <c r="BS432" i="1"/>
  <c r="BS433" i="1"/>
  <c r="BQ433" i="1" s="1"/>
  <c r="BS434" i="1"/>
  <c r="BS435" i="1"/>
  <c r="BS436" i="1"/>
  <c r="BS437" i="1"/>
  <c r="BS438" i="1"/>
  <c r="BS439" i="1"/>
  <c r="BQ439" i="1" s="1"/>
  <c r="BS440" i="1"/>
  <c r="BS441" i="1"/>
  <c r="BS442" i="1"/>
  <c r="BS443" i="1"/>
  <c r="BQ443" i="1" s="1"/>
  <c r="BS444" i="1"/>
  <c r="BS445" i="1"/>
  <c r="BS446" i="1"/>
  <c r="BS447" i="1"/>
  <c r="BS448" i="1"/>
  <c r="BS449" i="1"/>
  <c r="BS450" i="1"/>
  <c r="BS451" i="1"/>
  <c r="BQ451" i="1" s="1"/>
  <c r="BS452" i="1"/>
  <c r="BS453" i="1"/>
  <c r="BS454" i="1"/>
  <c r="BS455" i="1"/>
  <c r="BQ455" i="1" s="1"/>
  <c r="BS456" i="1"/>
  <c r="BS457" i="1"/>
  <c r="BS458" i="1"/>
  <c r="BS459" i="1"/>
  <c r="BS460" i="1"/>
  <c r="BS461" i="1"/>
  <c r="BQ461" i="1" s="1"/>
  <c r="BS462" i="1"/>
  <c r="BQ462" i="1" s="1"/>
  <c r="BS463" i="1"/>
  <c r="BQ463" i="1" s="1"/>
  <c r="BS464" i="1"/>
  <c r="BS465" i="1"/>
  <c r="BS466" i="1"/>
  <c r="BS467" i="1"/>
  <c r="BS468" i="1"/>
  <c r="BS469" i="1"/>
  <c r="BS470" i="1"/>
  <c r="BS471" i="1"/>
  <c r="BS472" i="1"/>
  <c r="BS473" i="1"/>
  <c r="BS474" i="1"/>
  <c r="BQ474" i="1" s="1"/>
  <c r="BS475" i="1"/>
  <c r="BQ475" i="1" s="1"/>
  <c r="BS476" i="1"/>
  <c r="BS477" i="1"/>
  <c r="BS478" i="1"/>
  <c r="BS479" i="1"/>
  <c r="BQ479" i="1" s="1"/>
  <c r="BS480" i="1"/>
  <c r="BS481" i="1"/>
  <c r="BQ481" i="1" s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Q496" i="1" s="1"/>
  <c r="BS497" i="1"/>
  <c r="BS498" i="1"/>
  <c r="BS499" i="1"/>
  <c r="BQ499" i="1" s="1"/>
  <c r="BS500" i="1"/>
  <c r="BS501" i="1"/>
  <c r="BS502" i="1"/>
  <c r="BQ502" i="1" s="1"/>
  <c r="BS503" i="1"/>
  <c r="BS504" i="1"/>
  <c r="BQ504" i="1" s="1"/>
  <c r="BS505" i="1"/>
  <c r="BQ505" i="1" s="1"/>
  <c r="BS506" i="1"/>
  <c r="BS507" i="1"/>
  <c r="BS508" i="1"/>
  <c r="BS509" i="1"/>
  <c r="BS510" i="1"/>
  <c r="BS511" i="1"/>
  <c r="BQ511" i="1" s="1"/>
  <c r="BS512" i="1"/>
  <c r="BQ512" i="1" s="1"/>
  <c r="BS513" i="1"/>
  <c r="BS514" i="1"/>
  <c r="BS515" i="1"/>
  <c r="BS516" i="1"/>
  <c r="BS517" i="1"/>
  <c r="BS518" i="1"/>
  <c r="BS519" i="1"/>
  <c r="BS520" i="1"/>
  <c r="BS521" i="1"/>
  <c r="BS522" i="1"/>
  <c r="BS523" i="1"/>
  <c r="BQ523" i="1" s="1"/>
  <c r="BS524" i="1"/>
  <c r="BS525" i="1"/>
  <c r="BS526" i="1"/>
  <c r="BS527" i="1"/>
  <c r="BQ527" i="1" s="1"/>
  <c r="BS528" i="1"/>
  <c r="BS529" i="1"/>
  <c r="BQ529" i="1" s="1"/>
  <c r="BS530" i="1"/>
  <c r="BS531" i="1"/>
  <c r="BS532" i="1"/>
  <c r="BS533" i="1"/>
  <c r="BQ533" i="1" s="1"/>
  <c r="BS534" i="1"/>
  <c r="BS535" i="1"/>
  <c r="BS536" i="1"/>
  <c r="BS537" i="1"/>
  <c r="BS538" i="1"/>
  <c r="BS539" i="1"/>
  <c r="BQ539" i="1" s="1"/>
  <c r="BS540" i="1"/>
  <c r="BS3" i="1"/>
  <c r="BQ3" i="1" s="1"/>
  <c r="AP50" i="1"/>
  <c r="BH110" i="1" l="1"/>
  <c r="BR119" i="1"/>
  <c r="BM83" i="1"/>
  <c r="BO19" i="1"/>
  <c r="BR27" i="1"/>
  <c r="BO61" i="1"/>
  <c r="BK27" i="1"/>
  <c r="BP27" i="1"/>
  <c r="BL19" i="1"/>
  <c r="BI61" i="1"/>
  <c r="BO110" i="1"/>
  <c r="BO27" i="1"/>
  <c r="BK19" i="1"/>
  <c r="BI27" i="1"/>
  <c r="BM63" i="1"/>
  <c r="BL112" i="1"/>
  <c r="BQ119" i="1"/>
  <c r="BP36" i="1"/>
  <c r="BO49" i="1"/>
  <c r="BP58" i="1"/>
  <c r="BM103" i="1"/>
  <c r="BO119" i="1"/>
  <c r="BO36" i="1"/>
  <c r="BI58" i="1"/>
  <c r="BJ119" i="1"/>
  <c r="BH36" i="1"/>
  <c r="BM96" i="1"/>
  <c r="BK113" i="1"/>
  <c r="BH69" i="1"/>
  <c r="BQ297" i="1"/>
  <c r="BQ155" i="1"/>
  <c r="BP15" i="1"/>
  <c r="BM102" i="1"/>
  <c r="BN79" i="1"/>
  <c r="BQ535" i="1"/>
  <c r="BQ420" i="1"/>
  <c r="BH21" i="1"/>
  <c r="BR58" i="1"/>
  <c r="BR28" i="1"/>
  <c r="BM13" i="1"/>
  <c r="BQ65" i="1"/>
  <c r="BJ109" i="1"/>
  <c r="BP86" i="1"/>
  <c r="BO58" i="1"/>
  <c r="BQ110" i="1"/>
  <c r="BN36" i="1"/>
  <c r="BI31" i="1"/>
  <c r="BP104" i="1"/>
  <c r="BN58" i="1"/>
  <c r="BO11" i="1"/>
  <c r="BQ150" i="1"/>
  <c r="BK88" i="1"/>
  <c r="BI119" i="1"/>
  <c r="BQ45" i="1"/>
  <c r="BN65" i="1"/>
  <c r="BK15" i="1"/>
  <c r="BQ111" i="1"/>
  <c r="BK49" i="1"/>
  <c r="BN11" i="1"/>
  <c r="BL105" i="1"/>
  <c r="BP45" i="1"/>
  <c r="BI15" i="1"/>
  <c r="BO111" i="1"/>
  <c r="BH49" i="1"/>
  <c r="BI11" i="1"/>
  <c r="BO45" i="1"/>
  <c r="BH15" i="1"/>
  <c r="BN111" i="1"/>
  <c r="BQ391" i="1"/>
  <c r="BQ243" i="1"/>
  <c r="BN45" i="1"/>
  <c r="BP31" i="1"/>
  <c r="BR15" i="1"/>
  <c r="BM111" i="1"/>
  <c r="BM109" i="1"/>
  <c r="BN104" i="1"/>
  <c r="BP66" i="1"/>
  <c r="BH45" i="1"/>
  <c r="BN119" i="1"/>
  <c r="BN110" i="1"/>
  <c r="BJ45" i="1"/>
  <c r="BR65" i="1"/>
  <c r="BQ15" i="1"/>
  <c r="BK43" i="1"/>
  <c r="BO44" i="1"/>
  <c r="BQ49" i="1"/>
  <c r="BO69" i="1"/>
  <c r="BQ96" i="1"/>
  <c r="BI104" i="1"/>
  <c r="BQ11" i="1"/>
  <c r="BL80" i="1"/>
  <c r="BH51" i="1"/>
  <c r="BQ490" i="1"/>
  <c r="BQ219" i="1"/>
  <c r="BQ165" i="1"/>
  <c r="BO114" i="1"/>
  <c r="BJ113" i="1"/>
  <c r="BJ88" i="1"/>
  <c r="BR38" i="1"/>
  <c r="BK119" i="1"/>
  <c r="BP110" i="1"/>
  <c r="BL13" i="1"/>
  <c r="BJ15" i="1"/>
  <c r="BG15" i="1" s="1"/>
  <c r="BI43" i="1"/>
  <c r="BK44" i="1"/>
  <c r="BP111" i="1"/>
  <c r="BK102" i="1"/>
  <c r="BQ14" i="1"/>
  <c r="BP49" i="1"/>
  <c r="BI69" i="1"/>
  <c r="BQ27" i="1"/>
  <c r="BH27" i="1"/>
  <c r="BH83" i="1"/>
  <c r="BP106" i="1"/>
  <c r="BN19" i="1"/>
  <c r="BI79" i="1"/>
  <c r="BN39" i="1"/>
  <c r="BR121" i="1"/>
  <c r="BN96" i="1"/>
  <c r="BO104" i="1"/>
  <c r="BI63" i="1"/>
  <c r="BQ58" i="1"/>
  <c r="BH58" i="1"/>
  <c r="BN61" i="1"/>
  <c r="BM26" i="1"/>
  <c r="BP11" i="1"/>
  <c r="BO73" i="1"/>
  <c r="BJ66" i="1"/>
  <c r="BQ51" i="1"/>
  <c r="BN28" i="1"/>
  <c r="BQ234" i="1"/>
  <c r="BN114" i="1"/>
  <c r="BQ38" i="1"/>
  <c r="BH79" i="1"/>
  <c r="BM39" i="1"/>
  <c r="BP121" i="1"/>
  <c r="BP51" i="1"/>
  <c r="BP14" i="1"/>
  <c r="BN106" i="1"/>
  <c r="BQ510" i="1"/>
  <c r="BQ484" i="1"/>
  <c r="BQ466" i="1"/>
  <c r="BQ425" i="1"/>
  <c r="BQ373" i="1"/>
  <c r="BQ291" i="1"/>
  <c r="BQ269" i="1"/>
  <c r="BQ236" i="1"/>
  <c r="BQ213" i="1"/>
  <c r="BQ154" i="1"/>
  <c r="BM76" i="1"/>
  <c r="BN38" i="1"/>
  <c r="BR13" i="1"/>
  <c r="BL89" i="1"/>
  <c r="BR44" i="1"/>
  <c r="BI44" i="1"/>
  <c r="BM14" i="1"/>
  <c r="BP83" i="1"/>
  <c r="BR84" i="1"/>
  <c r="BR79" i="1"/>
  <c r="BL39" i="1"/>
  <c r="BQ63" i="1"/>
  <c r="BH61" i="1"/>
  <c r="BR80" i="1"/>
  <c r="BQ18" i="1"/>
  <c r="BO51" i="1"/>
  <c r="BJ44" i="1"/>
  <c r="BQ220" i="1"/>
  <c r="BP112" i="1"/>
  <c r="BQ175" i="1"/>
  <c r="BQ172" i="1"/>
  <c r="BQ131" i="1"/>
  <c r="BQ113" i="1"/>
  <c r="BR88" i="1"/>
  <c r="BK38" i="1"/>
  <c r="BP119" i="1"/>
  <c r="BH119" i="1"/>
  <c r="BK110" i="1"/>
  <c r="BO13" i="1"/>
  <c r="BI48" i="1"/>
  <c r="BN74" i="1"/>
  <c r="BQ44" i="1"/>
  <c r="BH44" i="1"/>
  <c r="BR102" i="1"/>
  <c r="BQ77" i="1"/>
  <c r="BJ14" i="1"/>
  <c r="BJ49" i="1"/>
  <c r="BR69" i="1"/>
  <c r="BP21" i="1"/>
  <c r="BO83" i="1"/>
  <c r="BP84" i="1"/>
  <c r="BQ79" i="1"/>
  <c r="BQ53" i="1"/>
  <c r="BJ39" i="1"/>
  <c r="BI121" i="1"/>
  <c r="BH104" i="1"/>
  <c r="BG104" i="1" s="1"/>
  <c r="BP63" i="1"/>
  <c r="BQ61" i="1"/>
  <c r="BN80" i="1"/>
  <c r="BP41" i="1"/>
  <c r="BN51" i="1"/>
  <c r="BN113" i="1"/>
  <c r="BQ88" i="1"/>
  <c r="BI38" i="1"/>
  <c r="BI110" i="1"/>
  <c r="BN13" i="1"/>
  <c r="BI45" i="1"/>
  <c r="BK36" i="1"/>
  <c r="BM65" i="1"/>
  <c r="BO15" i="1"/>
  <c r="BM43" i="1"/>
  <c r="BP44" i="1"/>
  <c r="BH111" i="1"/>
  <c r="BQ102" i="1"/>
  <c r="BI14" i="1"/>
  <c r="BR49" i="1"/>
  <c r="BI49" i="1"/>
  <c r="BJ27" i="1"/>
  <c r="BN83" i="1"/>
  <c r="BQ86" i="1"/>
  <c r="BO79" i="1"/>
  <c r="BR104" i="1"/>
  <c r="BO63" i="1"/>
  <c r="BJ58" i="1"/>
  <c r="BP61" i="1"/>
  <c r="BH11" i="1"/>
  <c r="BM80" i="1"/>
  <c r="BR66" i="1"/>
  <c r="BI41" i="1"/>
  <c r="BI51" i="1"/>
  <c r="BQ526" i="1"/>
  <c r="BQ486" i="1"/>
  <c r="BQ485" i="1"/>
  <c r="BQ469" i="1"/>
  <c r="BQ454" i="1"/>
  <c r="BQ385" i="1"/>
  <c r="BQ358" i="1"/>
  <c r="BQ399" i="1"/>
  <c r="BQ367" i="1"/>
  <c r="BQ487" i="1"/>
  <c r="BQ538" i="1"/>
  <c r="BQ5" i="1"/>
  <c r="BQ508" i="1"/>
  <c r="BQ478" i="1"/>
  <c r="BQ532" i="1"/>
  <c r="BQ493" i="1"/>
  <c r="BQ435" i="1"/>
  <c r="BQ355" i="1"/>
  <c r="BQ318" i="1"/>
  <c r="BQ143" i="1"/>
  <c r="BQ386" i="1"/>
  <c r="BQ480" i="1"/>
  <c r="BQ472" i="1"/>
  <c r="BQ448" i="1"/>
  <c r="BQ442" i="1"/>
  <c r="BQ331" i="1"/>
  <c r="BQ325" i="1"/>
  <c r="BQ309" i="1"/>
  <c r="BQ299" i="1"/>
  <c r="BQ273" i="1"/>
  <c r="BQ287" i="1"/>
  <c r="BQ517" i="1"/>
  <c r="BQ473" i="1"/>
  <c r="BQ468" i="1"/>
  <c r="BQ460" i="1"/>
  <c r="BQ457" i="1"/>
  <c r="BQ449" i="1"/>
  <c r="BQ445" i="1"/>
  <c r="BQ437" i="1"/>
  <c r="BQ432" i="1"/>
  <c r="BQ429" i="1"/>
  <c r="BQ408" i="1"/>
  <c r="BQ403" i="1"/>
  <c r="BQ379" i="1"/>
  <c r="BQ376" i="1"/>
  <c r="BQ360" i="1"/>
  <c r="BQ349" i="1"/>
  <c r="BQ348" i="1"/>
  <c r="BQ324" i="1"/>
  <c r="BQ293" i="1"/>
  <c r="BQ252" i="1"/>
  <c r="BQ423" i="1"/>
  <c r="BQ404" i="1"/>
  <c r="BQ337" i="1"/>
  <c r="BQ306" i="1"/>
  <c r="BQ201" i="1"/>
  <c r="BQ467" i="1"/>
  <c r="BQ405" i="1"/>
  <c r="BQ397" i="1"/>
  <c r="BQ394" i="1"/>
  <c r="BQ330" i="1"/>
  <c r="BQ300" i="1"/>
  <c r="BQ315" i="1"/>
  <c r="BQ303" i="1"/>
  <c r="BQ294" i="1"/>
  <c r="BQ217" i="1"/>
  <c r="BQ364" i="1"/>
  <c r="BQ342" i="1"/>
  <c r="BQ321" i="1"/>
  <c r="BQ312" i="1"/>
  <c r="BM25" i="1"/>
  <c r="BR25" i="1"/>
  <c r="BN25" i="1"/>
  <c r="BH25" i="1"/>
  <c r="BO25" i="1"/>
  <c r="BI25" i="1"/>
  <c r="BP25" i="1"/>
  <c r="BJ25" i="1"/>
  <c r="BL25" i="1"/>
  <c r="BQ25" i="1"/>
  <c r="BQ181" i="1"/>
  <c r="BQ159" i="1"/>
  <c r="BQ178" i="1"/>
  <c r="BI218" i="1"/>
  <c r="BO218" i="1"/>
  <c r="BP218" i="1"/>
  <c r="BQ202" i="1"/>
  <c r="BQ60" i="1"/>
  <c r="BK60" i="1"/>
  <c r="BQ327" i="1"/>
  <c r="BQ279" i="1"/>
  <c r="BQ275" i="1"/>
  <c r="BQ267" i="1"/>
  <c r="BQ266" i="1"/>
  <c r="BQ248" i="1"/>
  <c r="BQ195" i="1"/>
  <c r="BQ147" i="1"/>
  <c r="BM108" i="1"/>
  <c r="BN108" i="1"/>
  <c r="BK56" i="1"/>
  <c r="BL56" i="1"/>
  <c r="BM56" i="1"/>
  <c r="BN56" i="1"/>
  <c r="BR56" i="1"/>
  <c r="BP97" i="1"/>
  <c r="BH97" i="1"/>
  <c r="BQ97" i="1"/>
  <c r="BK97" i="1"/>
  <c r="BM97" i="1"/>
  <c r="BN97" i="1"/>
  <c r="BR97" i="1"/>
  <c r="BQ288" i="1"/>
  <c r="BQ281" i="1"/>
  <c r="BQ278" i="1"/>
  <c r="BQ270" i="1"/>
  <c r="BQ264" i="1"/>
  <c r="BQ263" i="1"/>
  <c r="BQ258" i="1"/>
  <c r="BQ249" i="1"/>
  <c r="BQ245" i="1"/>
  <c r="BQ231" i="1"/>
  <c r="BQ230" i="1"/>
  <c r="BQ226" i="1"/>
  <c r="BQ207" i="1"/>
  <c r="BQ190" i="1"/>
  <c r="BQ168" i="1"/>
  <c r="BQ126" i="1"/>
  <c r="BJ97" i="1"/>
  <c r="BM59" i="1"/>
  <c r="BN59" i="1"/>
  <c r="BO59" i="1"/>
  <c r="BH59" i="1"/>
  <c r="BI59" i="1"/>
  <c r="BK59" i="1"/>
  <c r="BQ59" i="1"/>
  <c r="BQ285" i="1"/>
  <c r="BQ276" i="1"/>
  <c r="BQ237" i="1"/>
  <c r="BQ228" i="1"/>
  <c r="BQ208" i="1"/>
  <c r="BQ193" i="1"/>
  <c r="BL6" i="1"/>
  <c r="BN6" i="1"/>
  <c r="BP6" i="1"/>
  <c r="BQ6" i="1"/>
  <c r="BI6" i="1"/>
  <c r="BR6" i="1"/>
  <c r="BJ6" i="1"/>
  <c r="BK6" i="1"/>
  <c r="BR59" i="1"/>
  <c r="BQ144" i="1"/>
  <c r="BQ135" i="1"/>
  <c r="BN71" i="1"/>
  <c r="BQ71" i="1"/>
  <c r="BR71" i="1"/>
  <c r="BJ71" i="1"/>
  <c r="BK71" i="1"/>
  <c r="BQ242" i="1"/>
  <c r="BQ239" i="1"/>
  <c r="BQ192" i="1"/>
  <c r="BQ183" i="1"/>
  <c r="BQ180" i="1"/>
  <c r="BQ171" i="1"/>
  <c r="BQ125" i="1"/>
  <c r="BH40" i="1"/>
  <c r="BN40" i="1"/>
  <c r="BM71" i="1"/>
  <c r="BQ120" i="1"/>
  <c r="BJ82" i="1"/>
  <c r="BO82" i="1"/>
  <c r="BM68" i="1"/>
  <c r="BP68" i="1"/>
  <c r="BI68" i="1"/>
  <c r="BP88" i="1"/>
  <c r="BI88" i="1"/>
  <c r="BL78" i="1"/>
  <c r="BM78" i="1"/>
  <c r="BH74" i="1"/>
  <c r="BK74" i="1"/>
  <c r="BM74" i="1"/>
  <c r="BP109" i="1"/>
  <c r="BI109" i="1"/>
  <c r="BQ109" i="1"/>
  <c r="BM106" i="1"/>
  <c r="BR34" i="1"/>
  <c r="BL34" i="1"/>
  <c r="BP34" i="1"/>
  <c r="BQ22" i="1"/>
  <c r="BQ177" i="1"/>
  <c r="BQ174" i="1"/>
  <c r="BO88" i="1"/>
  <c r="BH88" i="1"/>
  <c r="BL45" i="1"/>
  <c r="BJ36" i="1"/>
  <c r="BG36" i="1" s="1"/>
  <c r="BH31" i="1"/>
  <c r="BJ31" i="1"/>
  <c r="BM31" i="1"/>
  <c r="BP78" i="1"/>
  <c r="BR74" i="1"/>
  <c r="BR67" i="1"/>
  <c r="BR109" i="1"/>
  <c r="BO91" i="1"/>
  <c r="BH91" i="1"/>
  <c r="BO116" i="1"/>
  <c r="BL116" i="1"/>
  <c r="BR116" i="1"/>
  <c r="BQ34" i="1"/>
  <c r="BI24" i="1"/>
  <c r="BM24" i="1"/>
  <c r="BN24" i="1"/>
  <c r="BO24" i="1"/>
  <c r="BP24" i="1"/>
  <c r="BQ169" i="1"/>
  <c r="BQ166" i="1"/>
  <c r="BQ160" i="1"/>
  <c r="BQ129" i="1"/>
  <c r="BR113" i="1"/>
  <c r="BN88" i="1"/>
  <c r="BL119" i="1"/>
  <c r="BJ110" i="1"/>
  <c r="BG110" i="1" s="1"/>
  <c r="BR45" i="1"/>
  <c r="BK45" i="1"/>
  <c r="BQ36" i="1"/>
  <c r="BI36" i="1"/>
  <c r="BQ31" i="1"/>
  <c r="BO78" i="1"/>
  <c r="BQ74" i="1"/>
  <c r="BM69" i="1"/>
  <c r="BJ69" i="1"/>
  <c r="BN69" i="1"/>
  <c r="BO109" i="1"/>
  <c r="BM19" i="1"/>
  <c r="BI19" i="1"/>
  <c r="BP19" i="1"/>
  <c r="BJ19" i="1"/>
  <c r="BQ19" i="1"/>
  <c r="BH19" i="1"/>
  <c r="BL91" i="1"/>
  <c r="BH116" i="1"/>
  <c r="BI107" i="1"/>
  <c r="BL107" i="1"/>
  <c r="BM107" i="1"/>
  <c r="BO107" i="1"/>
  <c r="BR107" i="1"/>
  <c r="BL88" i="1"/>
  <c r="BN84" i="1"/>
  <c r="BJ84" i="1"/>
  <c r="BM84" i="1"/>
  <c r="BH106" i="1"/>
  <c r="BQ106" i="1"/>
  <c r="BJ106" i="1"/>
  <c r="BR106" i="1"/>
  <c r="BN86" i="1"/>
  <c r="BJ86" i="1"/>
  <c r="BM86" i="1"/>
  <c r="BM87" i="1"/>
  <c r="BL87" i="1"/>
  <c r="BN87" i="1"/>
  <c r="BQ87" i="1"/>
  <c r="BR87" i="1"/>
  <c r="BK65" i="1"/>
  <c r="BN15" i="1"/>
  <c r="BN44" i="1"/>
  <c r="BJ111" i="1"/>
  <c r="BJ102" i="1"/>
  <c r="BN49" i="1"/>
  <c r="BN27" i="1"/>
  <c r="BJ83" i="1"/>
  <c r="BG83" i="1" s="1"/>
  <c r="BM79" i="1"/>
  <c r="BQ55" i="1"/>
  <c r="BQ54" i="1"/>
  <c r="BO121" i="1"/>
  <c r="BH121" i="1"/>
  <c r="BM104" i="1"/>
  <c r="BK63" i="1"/>
  <c r="BL58" i="1"/>
  <c r="BQ29" i="1"/>
  <c r="BJ73" i="1"/>
  <c r="BO66" i="1"/>
  <c r="BQ17" i="1"/>
  <c r="BL103" i="1"/>
  <c r="BL28" i="1"/>
  <c r="BJ65" i="1"/>
  <c r="BG65" i="1" s="1"/>
  <c r="BL15" i="1"/>
  <c r="BL44" i="1"/>
  <c r="BL49" i="1"/>
  <c r="BL27" i="1"/>
  <c r="BQ83" i="1"/>
  <c r="BN121" i="1"/>
  <c r="BR63" i="1"/>
  <c r="BJ61" i="1"/>
  <c r="BJ11" i="1"/>
  <c r="BR105" i="1"/>
  <c r="BL66" i="1"/>
  <c r="BJ51" i="1"/>
  <c r="BI103" i="1"/>
  <c r="BL121" i="1"/>
  <c r="BH28" i="1"/>
  <c r="BQ121" i="1"/>
  <c r="BJ121" i="1"/>
  <c r="BQ66" i="1"/>
  <c r="BI66" i="1"/>
  <c r="BJ41" i="1"/>
  <c r="BQ10" i="1"/>
  <c r="BR103" i="1"/>
  <c r="BQ28" i="1"/>
  <c r="BM57" i="1"/>
  <c r="BQ513" i="1"/>
  <c r="BQ483" i="1"/>
  <c r="BQ471" i="1"/>
  <c r="BQ492" i="1"/>
  <c r="BQ498" i="1"/>
  <c r="BQ456" i="1"/>
  <c r="BQ438" i="1"/>
  <c r="BQ434" i="1"/>
  <c r="BQ453" i="1"/>
  <c r="BQ518" i="1"/>
  <c r="BQ540" i="1"/>
  <c r="BQ537" i="1"/>
  <c r="BQ534" i="1"/>
  <c r="BQ531" i="1"/>
  <c r="BQ528" i="1"/>
  <c r="BQ525" i="1"/>
  <c r="BQ522" i="1"/>
  <c r="BQ520" i="1"/>
  <c r="BQ501" i="1"/>
  <c r="BQ494" i="1"/>
  <c r="BQ441" i="1"/>
  <c r="BQ419" i="1"/>
  <c r="BQ383" i="1"/>
  <c r="BQ489" i="1"/>
  <c r="BQ459" i="1"/>
  <c r="BQ431" i="1"/>
  <c r="BQ516" i="1"/>
  <c r="BQ536" i="1"/>
  <c r="BQ530" i="1"/>
  <c r="BQ524" i="1"/>
  <c r="BQ450" i="1"/>
  <c r="BQ407" i="1"/>
  <c r="BQ507" i="1"/>
  <c r="BQ500" i="1"/>
  <c r="BQ477" i="1"/>
  <c r="BQ465" i="1"/>
  <c r="BQ444" i="1"/>
  <c r="BQ416" i="1"/>
  <c r="BQ380" i="1"/>
  <c r="BQ519" i="1"/>
  <c r="BQ514" i="1"/>
  <c r="BQ506" i="1"/>
  <c r="BQ495" i="1"/>
  <c r="BQ488" i="1"/>
  <c r="BQ482" i="1"/>
  <c r="BQ476" i="1"/>
  <c r="BQ470" i="1"/>
  <c r="BQ464" i="1"/>
  <c r="BQ458" i="1"/>
  <c r="BQ447" i="1"/>
  <c r="BQ428" i="1"/>
  <c r="BQ452" i="1"/>
  <c r="BQ446" i="1"/>
  <c r="BQ440" i="1"/>
  <c r="BQ421" i="1"/>
  <c r="BQ393" i="1"/>
  <c r="BQ366" i="1"/>
  <c r="BQ356" i="1"/>
  <c r="BQ310" i="1"/>
  <c r="BQ427" i="1"/>
  <c r="BQ410" i="1"/>
  <c r="BQ398" i="1"/>
  <c r="BQ388" i="1"/>
  <c r="BQ375" i="1"/>
  <c r="BQ370" i="1"/>
  <c r="BQ521" i="1"/>
  <c r="BQ515" i="1"/>
  <c r="BQ509" i="1"/>
  <c r="BQ503" i="1"/>
  <c r="BQ497" i="1"/>
  <c r="BQ491" i="1"/>
  <c r="BQ409" i="1"/>
  <c r="BQ396" i="1"/>
  <c r="BQ372" i="1"/>
  <c r="BQ422" i="1"/>
  <c r="BQ415" i="1"/>
  <c r="BQ401" i="1"/>
  <c r="BQ378" i="1"/>
  <c r="BQ320" i="1"/>
  <c r="BQ302" i="1"/>
  <c r="BQ368" i="1"/>
  <c r="BQ344" i="1"/>
  <c r="BQ326" i="1"/>
  <c r="BQ304" i="1"/>
  <c r="BQ290" i="1"/>
  <c r="BQ395" i="1"/>
  <c r="BQ377" i="1"/>
  <c r="BQ369" i="1"/>
  <c r="BQ362" i="1"/>
  <c r="BQ338" i="1"/>
  <c r="BQ332" i="1"/>
  <c r="BQ436" i="1"/>
  <c r="BQ430" i="1"/>
  <c r="BQ424" i="1"/>
  <c r="BQ418" i="1"/>
  <c r="BQ412" i="1"/>
  <c r="BQ406" i="1"/>
  <c r="BQ400" i="1"/>
  <c r="BQ392" i="1"/>
  <c r="BQ389" i="1"/>
  <c r="BQ387" i="1"/>
  <c r="BQ382" i="1"/>
  <c r="BQ350" i="1"/>
  <c r="BQ322" i="1"/>
  <c r="BQ314" i="1"/>
  <c r="BQ210" i="1"/>
  <c r="BQ316" i="1"/>
  <c r="BQ308" i="1"/>
  <c r="BQ296" i="1"/>
  <c r="BQ363" i="1"/>
  <c r="BQ357" i="1"/>
  <c r="BQ351" i="1"/>
  <c r="BQ345" i="1"/>
  <c r="BQ339" i="1"/>
  <c r="BQ333" i="1"/>
  <c r="BQ286" i="1"/>
  <c r="BQ271" i="1"/>
  <c r="BQ265" i="1"/>
  <c r="BQ259" i="1"/>
  <c r="BQ253" i="1"/>
  <c r="BQ247" i="1"/>
  <c r="BQ241" i="1"/>
  <c r="BQ235" i="1"/>
  <c r="BQ229" i="1"/>
  <c r="BQ298" i="1"/>
  <c r="BQ292" i="1"/>
  <c r="BQ277" i="1"/>
  <c r="BQ204" i="1"/>
  <c r="BQ371" i="1"/>
  <c r="BQ365" i="1"/>
  <c r="BQ359" i="1"/>
  <c r="BQ353" i="1"/>
  <c r="BQ347" i="1"/>
  <c r="BQ341" i="1"/>
  <c r="BQ335" i="1"/>
  <c r="BQ329" i="1"/>
  <c r="BQ319" i="1"/>
  <c r="BQ313" i="1"/>
  <c r="BQ307" i="1"/>
  <c r="BQ301" i="1"/>
  <c r="BQ280" i="1"/>
  <c r="BQ221" i="1"/>
  <c r="BQ274" i="1"/>
  <c r="BQ215" i="1"/>
  <c r="BQ328" i="1"/>
  <c r="BQ323" i="1"/>
  <c r="BQ317" i="1"/>
  <c r="BQ311" i="1"/>
  <c r="BQ305" i="1"/>
  <c r="BQ295" i="1"/>
  <c r="BQ289" i="1"/>
  <c r="BQ283" i="1"/>
  <c r="BQ200" i="1"/>
  <c r="BO112" i="1"/>
  <c r="BQ212" i="1"/>
  <c r="BQ206" i="1"/>
  <c r="BQ268" i="1"/>
  <c r="BQ262" i="1"/>
  <c r="BQ256" i="1"/>
  <c r="BQ250" i="1"/>
  <c r="BQ244" i="1"/>
  <c r="BQ238" i="1"/>
  <c r="BQ232" i="1"/>
  <c r="BQ223" i="1"/>
  <c r="BQ194" i="1"/>
  <c r="BQ224" i="1"/>
  <c r="BK112" i="1"/>
  <c r="BQ112" i="1"/>
  <c r="BH112" i="1"/>
  <c r="BN112" i="1"/>
  <c r="BJ112" i="1"/>
  <c r="BQ161" i="1"/>
  <c r="BQ127" i="1"/>
  <c r="BR112" i="1"/>
  <c r="BI112" i="1"/>
  <c r="BQ216" i="1"/>
  <c r="BQ209" i="1"/>
  <c r="BQ203" i="1"/>
  <c r="BQ197" i="1"/>
  <c r="BQ188" i="1"/>
  <c r="BQ182" i="1"/>
  <c r="BQ176" i="1"/>
  <c r="BQ170" i="1"/>
  <c r="BQ164" i="1"/>
  <c r="BK8" i="1"/>
  <c r="BQ8" i="1"/>
  <c r="BL8" i="1"/>
  <c r="BR8" i="1"/>
  <c r="BH8" i="1"/>
  <c r="BN8" i="1"/>
  <c r="BI8" i="1"/>
  <c r="BO8" i="1"/>
  <c r="BJ8" i="1"/>
  <c r="BP8" i="1"/>
  <c r="BM8" i="1"/>
  <c r="BQ157" i="1"/>
  <c r="BI98" i="1"/>
  <c r="BO98" i="1"/>
  <c r="BL98" i="1"/>
  <c r="BR98" i="1"/>
  <c r="BN98" i="1"/>
  <c r="BP98" i="1"/>
  <c r="BM98" i="1"/>
  <c r="BQ98" i="1"/>
  <c r="BH98" i="1"/>
  <c r="BJ98" i="1"/>
  <c r="BK98" i="1"/>
  <c r="BQ152" i="1"/>
  <c r="BQ146" i="1"/>
  <c r="BQ140" i="1"/>
  <c r="BQ133" i="1"/>
  <c r="BQ191" i="1"/>
  <c r="BQ185" i="1"/>
  <c r="BQ179" i="1"/>
  <c r="BQ173" i="1"/>
  <c r="BQ167" i="1"/>
  <c r="BQ151" i="1"/>
  <c r="BQ148" i="1"/>
  <c r="BQ145" i="1"/>
  <c r="BQ142" i="1"/>
  <c r="BQ139" i="1"/>
  <c r="BQ134" i="1"/>
  <c r="BH46" i="1"/>
  <c r="BN46" i="1"/>
  <c r="BI46" i="1"/>
  <c r="BO46" i="1"/>
  <c r="BQ46" i="1"/>
  <c r="BJ46" i="1"/>
  <c r="BR46" i="1"/>
  <c r="BL46" i="1"/>
  <c r="BM46" i="1"/>
  <c r="BP46" i="1"/>
  <c r="BQ128" i="1"/>
  <c r="BQ163" i="1"/>
  <c r="BQ122" i="1"/>
  <c r="BJ114" i="1"/>
  <c r="BG114" i="1" s="1"/>
  <c r="BP114" i="1"/>
  <c r="BL114" i="1"/>
  <c r="BQ115" i="1"/>
  <c r="BP76" i="1"/>
  <c r="BI76" i="1"/>
  <c r="BK40" i="1"/>
  <c r="BQ40" i="1"/>
  <c r="BL40" i="1"/>
  <c r="BH218" i="1"/>
  <c r="BN218" i="1"/>
  <c r="BL218" i="1"/>
  <c r="BK108" i="1"/>
  <c r="BQ108" i="1"/>
  <c r="BL108" i="1"/>
  <c r="BR108" i="1"/>
  <c r="BI108" i="1"/>
  <c r="BQ89" i="1"/>
  <c r="BP48" i="1"/>
  <c r="BJ64" i="1"/>
  <c r="BP64" i="1"/>
  <c r="BN64" i="1"/>
  <c r="BI64" i="1"/>
  <c r="BQ64" i="1"/>
  <c r="BK64" i="1"/>
  <c r="BR64" i="1"/>
  <c r="BH64" i="1"/>
  <c r="BM64" i="1"/>
  <c r="BM6" i="1"/>
  <c r="BR114" i="1"/>
  <c r="BK114" i="1"/>
  <c r="BO76" i="1"/>
  <c r="BH76" i="1"/>
  <c r="BR40" i="1"/>
  <c r="BJ40" i="1"/>
  <c r="BR218" i="1"/>
  <c r="BK218" i="1"/>
  <c r="BP108" i="1"/>
  <c r="BH108" i="1"/>
  <c r="BN89" i="1"/>
  <c r="BL48" i="1"/>
  <c r="BO64" i="1"/>
  <c r="BQ136" i="1"/>
  <c r="BQ130" i="1"/>
  <c r="BQ124" i="1"/>
  <c r="BQ114" i="1"/>
  <c r="BI114" i="1"/>
  <c r="BI113" i="1"/>
  <c r="BO113" i="1"/>
  <c r="BL113" i="1"/>
  <c r="BP40" i="1"/>
  <c r="BI40" i="1"/>
  <c r="BJ38" i="1"/>
  <c r="BP38" i="1"/>
  <c r="BL38" i="1"/>
  <c r="BQ218" i="1"/>
  <c r="BJ218" i="1"/>
  <c r="BO108" i="1"/>
  <c r="BK82" i="1"/>
  <c r="BQ82" i="1"/>
  <c r="BI82" i="1"/>
  <c r="BP82" i="1"/>
  <c r="BM82" i="1"/>
  <c r="BL82" i="1"/>
  <c r="BN82" i="1"/>
  <c r="BR82" i="1"/>
  <c r="BH67" i="1"/>
  <c r="BN67" i="1"/>
  <c r="BJ67" i="1"/>
  <c r="BQ67" i="1"/>
  <c r="BM67" i="1"/>
  <c r="BK67" i="1"/>
  <c r="BL67" i="1"/>
  <c r="BP67" i="1"/>
  <c r="BL64" i="1"/>
  <c r="BQ70" i="1"/>
  <c r="BJ42" i="1"/>
  <c r="BG42" i="1" s="1"/>
  <c r="BP42" i="1"/>
  <c r="BM42" i="1"/>
  <c r="BN42" i="1"/>
  <c r="BI42" i="1"/>
  <c r="BQ42" i="1"/>
  <c r="BK42" i="1"/>
  <c r="BR42" i="1"/>
  <c r="BL42" i="1"/>
  <c r="BO42" i="1"/>
  <c r="BK118" i="1"/>
  <c r="BQ118" i="1"/>
  <c r="BL76" i="1"/>
  <c r="BR76" i="1"/>
  <c r="BK76" i="1"/>
  <c r="BI89" i="1"/>
  <c r="BO89" i="1"/>
  <c r="BJ89" i="1"/>
  <c r="BP89" i="1"/>
  <c r="BK89" i="1"/>
  <c r="BH48" i="1"/>
  <c r="BG48" i="1" s="1"/>
  <c r="BN48" i="1"/>
  <c r="BK48" i="1"/>
  <c r="BQ48" i="1"/>
  <c r="BM48" i="1"/>
  <c r="BO48" i="1"/>
  <c r="BQ85" i="1"/>
  <c r="BO6" i="1"/>
  <c r="BH6" i="1"/>
  <c r="BM114" i="1"/>
  <c r="BP113" i="1"/>
  <c r="BH113" i="1"/>
  <c r="BG113" i="1" s="1"/>
  <c r="BQ76" i="1"/>
  <c r="BJ76" i="1"/>
  <c r="BM40" i="1"/>
  <c r="BO38" i="1"/>
  <c r="BH38" i="1"/>
  <c r="BM218" i="1"/>
  <c r="BJ108" i="1"/>
  <c r="BJ13" i="1"/>
  <c r="BG13" i="1" s="1"/>
  <c r="BP13" i="1"/>
  <c r="BK13" i="1"/>
  <c r="BQ13" i="1"/>
  <c r="BI13" i="1"/>
  <c r="BR89" i="1"/>
  <c r="BH89" i="1"/>
  <c r="BJ56" i="1"/>
  <c r="BP56" i="1"/>
  <c r="BH56" i="1"/>
  <c r="BO56" i="1"/>
  <c r="BI56" i="1"/>
  <c r="BQ56" i="1"/>
  <c r="BR48" i="1"/>
  <c r="BH82" i="1"/>
  <c r="BG82" i="1" s="1"/>
  <c r="BI67" i="1"/>
  <c r="BH95" i="1"/>
  <c r="BN95" i="1"/>
  <c r="BI95" i="1"/>
  <c r="BP95" i="1"/>
  <c r="BJ95" i="1"/>
  <c r="BQ95" i="1"/>
  <c r="BO95" i="1"/>
  <c r="BR95" i="1"/>
  <c r="BL95" i="1"/>
  <c r="BM95" i="1"/>
  <c r="BQ92" i="1"/>
  <c r="BQ72" i="1"/>
  <c r="BI117" i="1"/>
  <c r="BO117" i="1"/>
  <c r="BH117" i="1"/>
  <c r="BP117" i="1"/>
  <c r="BJ117" i="1"/>
  <c r="BQ117" i="1"/>
  <c r="BN117" i="1"/>
  <c r="BR117" i="1"/>
  <c r="BL117" i="1"/>
  <c r="BQ52" i="1"/>
  <c r="BI52" i="1"/>
  <c r="BM52" i="1"/>
  <c r="BN52" i="1"/>
  <c r="BP52" i="1"/>
  <c r="BR52" i="1"/>
  <c r="BJ52" i="1"/>
  <c r="BL52" i="1"/>
  <c r="BM110" i="1"/>
  <c r="BM36" i="1"/>
  <c r="BL43" i="1"/>
  <c r="BR43" i="1"/>
  <c r="BN43" i="1"/>
  <c r="BJ43" i="1"/>
  <c r="BQ43" i="1"/>
  <c r="BH43" i="1"/>
  <c r="BQ75" i="1"/>
  <c r="BH52" i="1"/>
  <c r="BR110" i="1"/>
  <c r="BR36" i="1"/>
  <c r="BK78" i="1"/>
  <c r="BQ78" i="1"/>
  <c r="BN78" i="1"/>
  <c r="BJ78" i="1"/>
  <c r="BR78" i="1"/>
  <c r="BH78" i="1"/>
  <c r="BQ90" i="1"/>
  <c r="BP43" i="1"/>
  <c r="BI21" i="1"/>
  <c r="BO21" i="1"/>
  <c r="BM21" i="1"/>
  <c r="BN21" i="1"/>
  <c r="BJ21" i="1"/>
  <c r="BG21" i="1" s="1"/>
  <c r="BQ21" i="1"/>
  <c r="BK21" i="1"/>
  <c r="BR21" i="1"/>
  <c r="BK91" i="1"/>
  <c r="BQ91" i="1"/>
  <c r="BM91" i="1"/>
  <c r="BN91" i="1"/>
  <c r="BI91" i="1"/>
  <c r="BP91" i="1"/>
  <c r="BJ91" i="1"/>
  <c r="BR91" i="1"/>
  <c r="BO31" i="1"/>
  <c r="BP65" i="1"/>
  <c r="BO74" i="1"/>
  <c r="BP102" i="1"/>
  <c r="BI102" i="1"/>
  <c r="BO14" i="1"/>
  <c r="BH14" i="1"/>
  <c r="BP71" i="1"/>
  <c r="BH71" i="1"/>
  <c r="BO84" i="1"/>
  <c r="BH84" i="1"/>
  <c r="BO86" i="1"/>
  <c r="BH86" i="1"/>
  <c r="BQ116" i="1"/>
  <c r="BL111" i="1"/>
  <c r="BR111" i="1"/>
  <c r="BK111" i="1"/>
  <c r="BI97" i="1"/>
  <c r="BO97" i="1"/>
  <c r="BL97" i="1"/>
  <c r="BJ59" i="1"/>
  <c r="BP59" i="1"/>
  <c r="BL59" i="1"/>
  <c r="BK69" i="1"/>
  <c r="BQ69" i="1"/>
  <c r="BL69" i="1"/>
  <c r="BH109" i="1"/>
  <c r="BG109" i="1" s="1"/>
  <c r="BN109" i="1"/>
  <c r="BL109" i="1"/>
  <c r="BL83" i="1"/>
  <c r="BR83" i="1"/>
  <c r="BK83" i="1"/>
  <c r="BI106" i="1"/>
  <c r="BO106" i="1"/>
  <c r="BL106" i="1"/>
  <c r="BJ79" i="1"/>
  <c r="BP79" i="1"/>
  <c r="BL79" i="1"/>
  <c r="BK39" i="1"/>
  <c r="BQ39" i="1"/>
  <c r="BH39" i="1"/>
  <c r="BO39" i="1"/>
  <c r="BI39" i="1"/>
  <c r="BP39" i="1"/>
  <c r="BL96" i="1"/>
  <c r="BR96" i="1"/>
  <c r="BH96" i="1"/>
  <c r="BG96" i="1" s="1"/>
  <c r="BO96" i="1"/>
  <c r="BI96" i="1"/>
  <c r="BP96" i="1"/>
  <c r="BQ30" i="1"/>
  <c r="BL31" i="1"/>
  <c r="BR31" i="1"/>
  <c r="BK31" i="1"/>
  <c r="BI65" i="1"/>
  <c r="BO65" i="1"/>
  <c r="BL65" i="1"/>
  <c r="BJ74" i="1"/>
  <c r="BP74" i="1"/>
  <c r="BL74" i="1"/>
  <c r="BQ81" i="1"/>
  <c r="BH102" i="1"/>
  <c r="BN102" i="1"/>
  <c r="BL102" i="1"/>
  <c r="BL14" i="1"/>
  <c r="BR14" i="1"/>
  <c r="BK14" i="1"/>
  <c r="BI71" i="1"/>
  <c r="BO71" i="1"/>
  <c r="BL71" i="1"/>
  <c r="BK84" i="1"/>
  <c r="BQ84" i="1"/>
  <c r="BL84" i="1"/>
  <c r="BL86" i="1"/>
  <c r="BR86" i="1"/>
  <c r="BK86" i="1"/>
  <c r="BJ116" i="1"/>
  <c r="BG116" i="1" s="1"/>
  <c r="BP116" i="1"/>
  <c r="BM116" i="1"/>
  <c r="BN116" i="1"/>
  <c r="BI116" i="1"/>
  <c r="BQ104" i="1"/>
  <c r="BL104" i="1"/>
  <c r="BH63" i="1"/>
  <c r="BG63" i="1" s="1"/>
  <c r="BN63" i="1"/>
  <c r="BL63" i="1"/>
  <c r="BO68" i="1"/>
  <c r="BQ33" i="1"/>
  <c r="BL26" i="1"/>
  <c r="BN73" i="1"/>
  <c r="BQ105" i="1"/>
  <c r="BO41" i="1"/>
  <c r="BQ24" i="1"/>
  <c r="BL24" i="1"/>
  <c r="BR24" i="1"/>
  <c r="BJ24" i="1"/>
  <c r="BH24" i="1"/>
  <c r="BM73" i="1"/>
  <c r="BJ80" i="1"/>
  <c r="BP80" i="1"/>
  <c r="BQ80" i="1"/>
  <c r="BO80" i="1"/>
  <c r="BH80" i="1"/>
  <c r="BM105" i="1"/>
  <c r="BH34" i="1"/>
  <c r="BN34" i="1"/>
  <c r="BI34" i="1"/>
  <c r="BO34" i="1"/>
  <c r="BM34" i="1"/>
  <c r="BJ34" i="1"/>
  <c r="BQ20" i="1"/>
  <c r="BH68" i="1"/>
  <c r="BN68" i="1"/>
  <c r="BL68" i="1"/>
  <c r="BI26" i="1"/>
  <c r="BO26" i="1"/>
  <c r="BJ26" i="1"/>
  <c r="BP26" i="1"/>
  <c r="BH26" i="1"/>
  <c r="BR26" i="1"/>
  <c r="BK9" i="1"/>
  <c r="BQ9" i="1"/>
  <c r="BR68" i="1"/>
  <c r="BQ35" i="1"/>
  <c r="BQ26" i="1"/>
  <c r="BQ68" i="1"/>
  <c r="BJ68" i="1"/>
  <c r="BN26" i="1"/>
  <c r="BQ73" i="1"/>
  <c r="BL73" i="1"/>
  <c r="BR73" i="1"/>
  <c r="BH73" i="1"/>
  <c r="BP73" i="1"/>
  <c r="BI105" i="1"/>
  <c r="BO105" i="1"/>
  <c r="BJ105" i="1"/>
  <c r="BP105" i="1"/>
  <c r="BN105" i="1"/>
  <c r="BH105" i="1"/>
  <c r="BQ41" i="1"/>
  <c r="BL41" i="1"/>
  <c r="BR41" i="1"/>
  <c r="BN41" i="1"/>
  <c r="BH41" i="1"/>
  <c r="BQ32" i="1"/>
  <c r="BH107" i="1"/>
  <c r="BN107" i="1"/>
  <c r="BJ107" i="1"/>
  <c r="BP107" i="1"/>
  <c r="BQ107" i="1"/>
  <c r="BK57" i="1"/>
  <c r="BQ57" i="1"/>
  <c r="BL57" i="1"/>
  <c r="BR57" i="1"/>
  <c r="BH57" i="1"/>
  <c r="BG57" i="1" s="1"/>
  <c r="BN57" i="1"/>
  <c r="BI57" i="1"/>
  <c r="BO57" i="1"/>
  <c r="BH103" i="1"/>
  <c r="BN103" i="1"/>
  <c r="BJ103" i="1"/>
  <c r="BP103" i="1"/>
  <c r="BQ103" i="1"/>
  <c r="BP57" i="1"/>
  <c r="BM61" i="1"/>
  <c r="BM11" i="1"/>
  <c r="BN66" i="1"/>
  <c r="BH66" i="1"/>
  <c r="BG66" i="1" s="1"/>
  <c r="BM51" i="1"/>
  <c r="BP87" i="1"/>
  <c r="BJ87" i="1"/>
  <c r="BG87" i="1" s="1"/>
  <c r="BP28" i="1"/>
  <c r="BJ28" i="1"/>
  <c r="BR61" i="1"/>
  <c r="BR11" i="1"/>
  <c r="BR51" i="1"/>
  <c r="BO87" i="1"/>
  <c r="BI87" i="1"/>
  <c r="BO28" i="1"/>
  <c r="BI28" i="1"/>
  <c r="AP99" i="1"/>
  <c r="AP93" i="1"/>
  <c r="AP37" i="1"/>
  <c r="AP7" i="1"/>
  <c r="AP101" i="1"/>
  <c r="AP16" i="1"/>
  <c r="AP62" i="1"/>
  <c r="AP47" i="1"/>
  <c r="AP100" i="1"/>
  <c r="Y37" i="1"/>
  <c r="Y44" i="1"/>
  <c r="Y47" i="1"/>
  <c r="Y51" i="1"/>
  <c r="Y59" i="1"/>
  <c r="Y63" i="1"/>
  <c r="Y67" i="1"/>
  <c r="Y74" i="1"/>
  <c r="Y84" i="1"/>
  <c r="Y89" i="1"/>
  <c r="Y94" i="1"/>
  <c r="Y98" i="1"/>
  <c r="Y106" i="1"/>
  <c r="AP23" i="1"/>
  <c r="AP94" i="1"/>
  <c r="Y15" i="1"/>
  <c r="Y36" i="1"/>
  <c r="Y41" i="1"/>
  <c r="Y56" i="1"/>
  <c r="Y71" i="1"/>
  <c r="Y78" i="1"/>
  <c r="Y86" i="1"/>
  <c r="Y105" i="1"/>
  <c r="Y109" i="1"/>
  <c r="Y113" i="1"/>
  <c r="Y117" i="1"/>
  <c r="Y14" i="1"/>
  <c r="Y31" i="1"/>
  <c r="Y40" i="1"/>
  <c r="Y48" i="1"/>
  <c r="Y64" i="1"/>
  <c r="Y76" i="1"/>
  <c r="Y83" i="1"/>
  <c r="Y104" i="1"/>
  <c r="Y108" i="1"/>
  <c r="Y112" i="1"/>
  <c r="Y116" i="1"/>
  <c r="Y218" i="1"/>
  <c r="Y6" i="1"/>
  <c r="Y28" i="1"/>
  <c r="Y39" i="1"/>
  <c r="Y45" i="1"/>
  <c r="Y49" i="1"/>
  <c r="Y52" i="1"/>
  <c r="Y61" i="1"/>
  <c r="Y65" i="1"/>
  <c r="Y68" i="1"/>
  <c r="Y79" i="1"/>
  <c r="Y87" i="1"/>
  <c r="Y91" i="1"/>
  <c r="Y95" i="1"/>
  <c r="Y96" i="1"/>
  <c r="Y102" i="1"/>
  <c r="Y103" i="1"/>
  <c r="Y13" i="1"/>
  <c r="Y19" i="1"/>
  <c r="Y38" i="1"/>
  <c r="Y42" i="1"/>
  <c r="Y57" i="1"/>
  <c r="Y73" i="1"/>
  <c r="Y82" i="1"/>
  <c r="Y97" i="1"/>
  <c r="Y107" i="1"/>
  <c r="Y110" i="1"/>
  <c r="Y114" i="1"/>
  <c r="Y119" i="1"/>
  <c r="Y8" i="1"/>
  <c r="Y21" i="1"/>
  <c r="Y25" i="1"/>
  <c r="Y16" i="1"/>
  <c r="Y27" i="1"/>
  <c r="Y111" i="1"/>
  <c r="Y24" i="1"/>
  <c r="Y34" i="1"/>
  <c r="Y46" i="1"/>
  <c r="Y58" i="1"/>
  <c r="Y66" i="1"/>
  <c r="Y80" i="1"/>
  <c r="Y93" i="1"/>
  <c r="Y100" i="1"/>
  <c r="Y121" i="1"/>
  <c r="Y23" i="1"/>
  <c r="Y101" i="1"/>
  <c r="Y11" i="1"/>
  <c r="Y26" i="1"/>
  <c r="Y43" i="1"/>
  <c r="Y50" i="1"/>
  <c r="BS50" i="1" s="1"/>
  <c r="Y62" i="1"/>
  <c r="Y69" i="1"/>
  <c r="Y88" i="1"/>
  <c r="Y99" i="1"/>
  <c r="BG119" i="1" l="1"/>
  <c r="BG121" i="1"/>
  <c r="BG41" i="1"/>
  <c r="BG14" i="1"/>
  <c r="BG69" i="1"/>
  <c r="BG26" i="1"/>
  <c r="BG58" i="1"/>
  <c r="BG111" i="1"/>
  <c r="BG102" i="1"/>
  <c r="BG49" i="1"/>
  <c r="BG51" i="1"/>
  <c r="BG79" i="1"/>
  <c r="BG88" i="1"/>
  <c r="BG11" i="1"/>
  <c r="BG24" i="1"/>
  <c r="BG34" i="1"/>
  <c r="BG91" i="1"/>
  <c r="BG45" i="1"/>
  <c r="BS94" i="1"/>
  <c r="BH94" i="1" s="1"/>
  <c r="BG84" i="1"/>
  <c r="BG27" i="1"/>
  <c r="BG59" i="1"/>
  <c r="BG44" i="1"/>
  <c r="BG71" i="1"/>
  <c r="BG52" i="1"/>
  <c r="BG40" i="1"/>
  <c r="BS99" i="1"/>
  <c r="BK99" i="1" s="1"/>
  <c r="BS16" i="1"/>
  <c r="BP16" i="1" s="1"/>
  <c r="BG39" i="1"/>
  <c r="BS23" i="1"/>
  <c r="BJ23" i="1" s="1"/>
  <c r="BS101" i="1"/>
  <c r="BO101" i="1" s="1"/>
  <c r="BG78" i="1"/>
  <c r="BG19" i="1"/>
  <c r="BG97" i="1"/>
  <c r="BG25" i="1"/>
  <c r="BS37" i="1"/>
  <c r="BK37" i="1" s="1"/>
  <c r="BG28" i="1"/>
  <c r="BG80" i="1"/>
  <c r="BG86" i="1"/>
  <c r="BG95" i="1"/>
  <c r="BG98" i="1"/>
  <c r="BG61" i="1"/>
  <c r="BG106" i="1"/>
  <c r="BN50" i="1"/>
  <c r="BM50" i="1"/>
  <c r="BJ50" i="1"/>
  <c r="BR50" i="1"/>
  <c r="BI50" i="1"/>
  <c r="BK50" i="1"/>
  <c r="BO50" i="1"/>
  <c r="BQ50" i="1"/>
  <c r="BL50" i="1"/>
  <c r="BP50" i="1"/>
  <c r="BH50" i="1"/>
  <c r="BP94" i="1"/>
  <c r="BG6" i="1"/>
  <c r="BG107" i="1"/>
  <c r="BG105" i="1"/>
  <c r="BI94" i="1"/>
  <c r="BS100" i="1"/>
  <c r="BG73" i="1"/>
  <c r="BG38" i="1"/>
  <c r="BS47" i="1"/>
  <c r="BS93" i="1"/>
  <c r="BG74" i="1"/>
  <c r="BG56" i="1"/>
  <c r="BG64" i="1"/>
  <c r="BG31" i="1"/>
  <c r="BS62" i="1"/>
  <c r="BL94" i="1"/>
  <c r="BG43" i="1"/>
  <c r="BG76" i="1"/>
  <c r="BG46" i="1"/>
  <c r="BG218" i="1"/>
  <c r="BG103" i="1"/>
  <c r="BG8" i="1"/>
  <c r="BG108" i="1"/>
  <c r="BG68" i="1"/>
  <c r="BG117" i="1"/>
  <c r="BG89" i="1"/>
  <c r="BG67" i="1"/>
  <c r="BG112" i="1"/>
  <c r="BO94" i="1" l="1"/>
  <c r="BK101" i="1"/>
  <c r="BQ101" i="1"/>
  <c r="BI99" i="1"/>
  <c r="BM94" i="1"/>
  <c r="BJ94" i="1"/>
  <c r="BG94" i="1" s="1"/>
  <c r="BP101" i="1"/>
  <c r="BL101" i="1"/>
  <c r="BR16" i="1"/>
  <c r="BQ94" i="1"/>
  <c r="BM101" i="1"/>
  <c r="BQ16" i="1"/>
  <c r="BR101" i="1"/>
  <c r="BK94" i="1"/>
  <c r="BJ101" i="1"/>
  <c r="BR94" i="1"/>
  <c r="BH101" i="1"/>
  <c r="BJ16" i="1"/>
  <c r="BR23" i="1"/>
  <c r="BO16" i="1"/>
  <c r="BL99" i="1"/>
  <c r="BH16" i="1"/>
  <c r="BR37" i="1"/>
  <c r="BH99" i="1"/>
  <c r="BP99" i="1"/>
  <c r="BR99" i="1"/>
  <c r="BO99" i="1"/>
  <c r="BM99" i="1"/>
  <c r="BN99" i="1"/>
  <c r="BM37" i="1"/>
  <c r="BI23" i="1"/>
  <c r="BH37" i="1"/>
  <c r="BQ23" i="1"/>
  <c r="BM16" i="1"/>
  <c r="BI101" i="1"/>
  <c r="BN16" i="1"/>
  <c r="BL16" i="1"/>
  <c r="BN94" i="1"/>
  <c r="BI16" i="1"/>
  <c r="BM23" i="1"/>
  <c r="BH23" i="1"/>
  <c r="BG23" i="1" s="1"/>
  <c r="BP23" i="1"/>
  <c r="BL23" i="1"/>
  <c r="BN37" i="1"/>
  <c r="BO23" i="1"/>
  <c r="BN23" i="1"/>
  <c r="BI37" i="1"/>
  <c r="BO37" i="1"/>
  <c r="BK23" i="1"/>
  <c r="BQ99" i="1"/>
  <c r="BN101" i="1"/>
  <c r="BG50" i="1"/>
  <c r="BJ37" i="1"/>
  <c r="BQ37" i="1"/>
  <c r="BP37" i="1"/>
  <c r="BL37" i="1"/>
  <c r="BJ99" i="1"/>
  <c r="BK16" i="1"/>
  <c r="BN62" i="1"/>
  <c r="BK62" i="1"/>
  <c r="BM62" i="1"/>
  <c r="BR62" i="1"/>
  <c r="BJ62" i="1"/>
  <c r="BP62" i="1"/>
  <c r="BQ62" i="1"/>
  <c r="BL62" i="1"/>
  <c r="BH62" i="1"/>
  <c r="BI62" i="1"/>
  <c r="BO62" i="1"/>
  <c r="BH93" i="1"/>
  <c r="BP93" i="1"/>
  <c r="BJ93" i="1"/>
  <c r="BM93" i="1"/>
  <c r="BN93" i="1"/>
  <c r="BQ93" i="1"/>
  <c r="BI93" i="1"/>
  <c r="BO93" i="1"/>
  <c r="BL93" i="1"/>
  <c r="BR93" i="1"/>
  <c r="BK93" i="1"/>
  <c r="BN47" i="1"/>
  <c r="BH47" i="1"/>
  <c r="BQ47" i="1"/>
  <c r="BJ47" i="1"/>
  <c r="BR47" i="1"/>
  <c r="BK47" i="1"/>
  <c r="BP47" i="1"/>
  <c r="BM47" i="1"/>
  <c r="BI47" i="1"/>
  <c r="BO47" i="1"/>
  <c r="BL47" i="1"/>
  <c r="BJ100" i="1"/>
  <c r="BO100" i="1"/>
  <c r="BH100" i="1"/>
  <c r="BN100" i="1"/>
  <c r="BP100" i="1"/>
  <c r="BL100" i="1"/>
  <c r="BR100" i="1"/>
  <c r="BM100" i="1"/>
  <c r="BK100" i="1"/>
  <c r="BQ100" i="1"/>
  <c r="BI100" i="1"/>
  <c r="BG101" i="1" l="1"/>
  <c r="BG16" i="1"/>
  <c r="BG99" i="1"/>
  <c r="BG37" i="1"/>
  <c r="BG100" i="1"/>
  <c r="BG47" i="1"/>
  <c r="BG93" i="1"/>
  <c r="BG62" i="1"/>
  <c r="Y7" i="1" l="1"/>
  <c r="BS7" i="1" s="1"/>
  <c r="BM7" i="1" l="1"/>
  <c r="BO7" i="1"/>
  <c r="BP7" i="1"/>
  <c r="BI7" i="1"/>
  <c r="BQ7" i="1"/>
  <c r="BJ7" i="1"/>
  <c r="BR7" i="1"/>
  <c r="BL7" i="1"/>
  <c r="BN7" i="1"/>
  <c r="BH7" i="1"/>
  <c r="S540" i="1"/>
  <c r="R540" i="1"/>
  <c r="S539" i="1"/>
  <c r="R539" i="1"/>
  <c r="S538" i="1"/>
  <c r="R538" i="1"/>
  <c r="S537" i="1"/>
  <c r="R537" i="1"/>
  <c r="S536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S517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S506" i="1"/>
  <c r="R506" i="1"/>
  <c r="S505" i="1"/>
  <c r="R505" i="1"/>
  <c r="S504" i="1"/>
  <c r="R504" i="1"/>
  <c r="S503" i="1"/>
  <c r="R503" i="1"/>
  <c r="S502" i="1"/>
  <c r="R502" i="1"/>
  <c r="S501" i="1"/>
  <c r="R501" i="1"/>
  <c r="S500" i="1"/>
  <c r="R500" i="1"/>
  <c r="S499" i="1"/>
  <c r="R499" i="1"/>
  <c r="S498" i="1"/>
  <c r="R498" i="1"/>
  <c r="S497" i="1"/>
  <c r="R497" i="1"/>
  <c r="S496" i="1"/>
  <c r="R496" i="1"/>
  <c r="S495" i="1"/>
  <c r="R495" i="1"/>
  <c r="S494" i="1"/>
  <c r="R494" i="1"/>
  <c r="S493" i="1"/>
  <c r="R493" i="1"/>
  <c r="S492" i="1"/>
  <c r="R492" i="1"/>
  <c r="S491" i="1"/>
  <c r="R491" i="1"/>
  <c r="S490" i="1"/>
  <c r="R490" i="1"/>
  <c r="S489" i="1"/>
  <c r="R489" i="1"/>
  <c r="S488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S471" i="1"/>
  <c r="R471" i="1"/>
  <c r="S470" i="1"/>
  <c r="R470" i="1"/>
  <c r="S469" i="1"/>
  <c r="R469" i="1"/>
  <c r="S468" i="1"/>
  <c r="R468" i="1"/>
  <c r="S467" i="1"/>
  <c r="R467" i="1"/>
  <c r="S466" i="1"/>
  <c r="R466" i="1"/>
  <c r="S465" i="1"/>
  <c r="R465" i="1"/>
  <c r="S464" i="1"/>
  <c r="R464" i="1"/>
  <c r="S463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S452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BF101" i="1" s="1"/>
  <c r="R101" i="1"/>
  <c r="S100" i="1"/>
  <c r="BF100" i="1" s="1"/>
  <c r="R100" i="1"/>
  <c r="S99" i="1"/>
  <c r="BF99" i="1" s="1"/>
  <c r="R99" i="1"/>
  <c r="S98" i="1"/>
  <c r="R98" i="1"/>
  <c r="S97" i="1"/>
  <c r="R97" i="1"/>
  <c r="S96" i="1"/>
  <c r="R96" i="1"/>
  <c r="S95" i="1"/>
  <c r="R95" i="1"/>
  <c r="S94" i="1"/>
  <c r="BF94" i="1" s="1"/>
  <c r="R94" i="1"/>
  <c r="S93" i="1"/>
  <c r="BF93" i="1" s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BF62" i="1" s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BF50" i="1" s="1"/>
  <c r="R50" i="1"/>
  <c r="S49" i="1"/>
  <c r="R49" i="1"/>
  <c r="S48" i="1"/>
  <c r="R48" i="1"/>
  <c r="S47" i="1"/>
  <c r="BF47" i="1" s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BF37" i="1" s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BF23" i="1" s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BF16" i="1" s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X24" i="1" l="1"/>
  <c r="BF24" i="1"/>
  <c r="X36" i="1"/>
  <c r="BF36" i="1"/>
  <c r="X57" i="1"/>
  <c r="BF57" i="1"/>
  <c r="X84" i="1"/>
  <c r="BF84" i="1"/>
  <c r="X96" i="1"/>
  <c r="BF96" i="1"/>
  <c r="X111" i="1"/>
  <c r="BF111" i="1"/>
  <c r="BG7" i="1"/>
  <c r="BF7" i="1" s="1"/>
  <c r="X21" i="1"/>
  <c r="BF21" i="1"/>
  <c r="X39" i="1"/>
  <c r="BF39" i="1"/>
  <c r="X69" i="1"/>
  <c r="BF69" i="1"/>
  <c r="X78" i="1"/>
  <c r="BF78" i="1"/>
  <c r="X87" i="1"/>
  <c r="BF87" i="1"/>
  <c r="X105" i="1"/>
  <c r="BF105" i="1"/>
  <c r="X117" i="1"/>
  <c r="BF117" i="1"/>
  <c r="X19" i="1"/>
  <c r="BF19" i="1"/>
  <c r="X34" i="1"/>
  <c r="BF34" i="1"/>
  <c r="X52" i="1"/>
  <c r="BF52" i="1"/>
  <c r="X91" i="1"/>
  <c r="BF91" i="1"/>
  <c r="X97" i="1"/>
  <c r="BF97" i="1"/>
  <c r="X106" i="1"/>
  <c r="BF106" i="1"/>
  <c r="X27" i="1"/>
  <c r="BF27" i="1"/>
  <c r="X13" i="1"/>
  <c r="BF13" i="1"/>
  <c r="X25" i="1"/>
  <c r="BF25" i="1"/>
  <c r="X28" i="1"/>
  <c r="BF28" i="1"/>
  <c r="X31" i="1"/>
  <c r="BF31" i="1"/>
  <c r="X40" i="1"/>
  <c r="BF40" i="1"/>
  <c r="X43" i="1"/>
  <c r="BF43" i="1"/>
  <c r="X46" i="1"/>
  <c r="BF46" i="1"/>
  <c r="X49" i="1"/>
  <c r="BF49" i="1"/>
  <c r="X58" i="1"/>
  <c r="BF58" i="1"/>
  <c r="X61" i="1"/>
  <c r="BF61" i="1"/>
  <c r="X64" i="1"/>
  <c r="BF64" i="1"/>
  <c r="X67" i="1"/>
  <c r="BF67" i="1"/>
  <c r="X73" i="1"/>
  <c r="BF73" i="1"/>
  <c r="X76" i="1"/>
  <c r="BF76" i="1"/>
  <c r="X79" i="1"/>
  <c r="BF79" i="1"/>
  <c r="X82" i="1"/>
  <c r="BF82" i="1"/>
  <c r="X88" i="1"/>
  <c r="BF88" i="1"/>
  <c r="X103" i="1"/>
  <c r="BF103" i="1"/>
  <c r="X109" i="1"/>
  <c r="BF109" i="1"/>
  <c r="X112" i="1"/>
  <c r="BF112" i="1"/>
  <c r="X121" i="1"/>
  <c r="BF121" i="1"/>
  <c r="X15" i="1"/>
  <c r="BF15" i="1"/>
  <c r="X45" i="1"/>
  <c r="BF45" i="1"/>
  <c r="X51" i="1"/>
  <c r="BF51" i="1"/>
  <c r="X66" i="1"/>
  <c r="BF66" i="1"/>
  <c r="X108" i="1"/>
  <c r="BF108" i="1"/>
  <c r="X14" i="1"/>
  <c r="BF14" i="1"/>
  <c r="X41" i="1"/>
  <c r="BF41" i="1"/>
  <c r="X59" i="1"/>
  <c r="BF59" i="1"/>
  <c r="X98" i="1"/>
  <c r="BF98" i="1"/>
  <c r="X110" i="1"/>
  <c r="BF110" i="1"/>
  <c r="X119" i="1"/>
  <c r="BF119" i="1"/>
  <c r="X218" i="1"/>
  <c r="BF218" i="1"/>
  <c r="X6" i="1"/>
  <c r="BF6" i="1"/>
  <c r="X42" i="1"/>
  <c r="BF42" i="1"/>
  <c r="X48" i="1"/>
  <c r="BF48" i="1"/>
  <c r="X63" i="1"/>
  <c r="BF63" i="1"/>
  <c r="X102" i="1"/>
  <c r="BF102" i="1"/>
  <c r="X114" i="1"/>
  <c r="BF114" i="1"/>
  <c r="X8" i="1"/>
  <c r="BF8" i="1"/>
  <c r="X11" i="1"/>
  <c r="BF11" i="1"/>
  <c r="X26" i="1"/>
  <c r="BF26" i="1"/>
  <c r="X38" i="1"/>
  <c r="BF38" i="1"/>
  <c r="X44" i="1"/>
  <c r="BF44" i="1"/>
  <c r="X56" i="1"/>
  <c r="BF56" i="1"/>
  <c r="X65" i="1"/>
  <c r="BF65" i="1"/>
  <c r="X68" i="1"/>
  <c r="BF68" i="1"/>
  <c r="X71" i="1"/>
  <c r="BF71" i="1"/>
  <c r="X74" i="1"/>
  <c r="BF74" i="1"/>
  <c r="X80" i="1"/>
  <c r="BF80" i="1"/>
  <c r="X83" i="1"/>
  <c r="BF83" i="1"/>
  <c r="X86" i="1"/>
  <c r="BF86" i="1"/>
  <c r="X89" i="1"/>
  <c r="BF89" i="1"/>
  <c r="X95" i="1"/>
  <c r="BF95" i="1"/>
  <c r="X104" i="1"/>
  <c r="BF104" i="1"/>
  <c r="X107" i="1"/>
  <c r="BF107" i="1"/>
  <c r="X113" i="1"/>
  <c r="BF113" i="1"/>
  <c r="X116" i="1"/>
  <c r="BF116" i="1"/>
  <c r="X7" i="1"/>
  <c r="AO7" i="1"/>
  <c r="X16" i="1"/>
  <c r="AO16" i="1"/>
  <c r="X37" i="1"/>
  <c r="AO37" i="1"/>
  <c r="X94" i="1"/>
  <c r="AO94" i="1"/>
  <c r="X100" i="1"/>
  <c r="AO100" i="1"/>
  <c r="X23" i="1"/>
  <c r="AO23" i="1"/>
  <c r="X47" i="1"/>
  <c r="AO47" i="1"/>
  <c r="X50" i="1"/>
  <c r="AO50" i="1"/>
  <c r="X62" i="1"/>
  <c r="AO62" i="1"/>
  <c r="X101" i="1"/>
  <c r="AO101" i="1"/>
  <c r="X93" i="1"/>
  <c r="AO93" i="1"/>
  <c r="X99" i="1"/>
  <c r="AO9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BC16" i="1" s="1"/>
  <c r="BD16" i="1" s="1"/>
  <c r="BE16" i="1" s="1"/>
  <c r="T17" i="1"/>
  <c r="T18" i="1"/>
  <c r="T19" i="1"/>
  <c r="T20" i="1"/>
  <c r="T21" i="1"/>
  <c r="T22" i="1"/>
  <c r="T23" i="1"/>
  <c r="BC23" i="1" s="1"/>
  <c r="BD23" i="1" s="1"/>
  <c r="BE23" i="1" s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BC47" i="1" s="1"/>
  <c r="BD47" i="1" s="1"/>
  <c r="BE47" i="1" s="1"/>
  <c r="T48" i="1"/>
  <c r="T49" i="1"/>
  <c r="T50" i="1"/>
  <c r="BC50" i="1" s="1"/>
  <c r="BD50" i="1" s="1"/>
  <c r="BE50" i="1" s="1"/>
  <c r="T51" i="1"/>
  <c r="T52" i="1"/>
  <c r="T53" i="1"/>
  <c r="T54" i="1"/>
  <c r="T55" i="1"/>
  <c r="T56" i="1"/>
  <c r="T57" i="1"/>
  <c r="T58" i="1"/>
  <c r="T59" i="1"/>
  <c r="T60" i="1"/>
  <c r="T61" i="1"/>
  <c r="T62" i="1"/>
  <c r="BC62" i="1" s="1"/>
  <c r="BD62" i="1" s="1"/>
  <c r="BE62" i="1" s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BC93" i="1" s="1"/>
  <c r="BD93" i="1" s="1"/>
  <c r="BE93" i="1" s="1"/>
  <c r="T94" i="1"/>
  <c r="T95" i="1"/>
  <c r="T96" i="1"/>
  <c r="T97" i="1"/>
  <c r="T98" i="1"/>
  <c r="T99" i="1"/>
  <c r="BC99" i="1" s="1"/>
  <c r="BD99" i="1" s="1"/>
  <c r="BE99" i="1" s="1"/>
  <c r="T100" i="1"/>
  <c r="BC100" i="1" s="1"/>
  <c r="BD100" i="1" s="1"/>
  <c r="BE100" i="1" s="1"/>
  <c r="T101" i="1"/>
  <c r="BC101" i="1" s="1"/>
  <c r="BD101" i="1" s="1"/>
  <c r="BE101" i="1" s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U117" i="1" l="1"/>
  <c r="V117" i="1" s="1"/>
  <c r="W117" i="1" s="1"/>
  <c r="U45" i="1"/>
  <c r="V45" i="1" s="1"/>
  <c r="W45" i="1" s="1"/>
  <c r="U37" i="1"/>
  <c r="V37" i="1" s="1"/>
  <c r="W37" i="1" s="1"/>
  <c r="U21" i="1"/>
  <c r="V21" i="1" s="1"/>
  <c r="W21" i="1" s="1"/>
  <c r="U28" i="1"/>
  <c r="V28" i="1" s="1"/>
  <c r="W28" i="1" s="1"/>
  <c r="U58" i="1"/>
  <c r="V58" i="1" s="1"/>
  <c r="W58" i="1" s="1"/>
  <c r="U96" i="1"/>
  <c r="V96" i="1" s="1"/>
  <c r="W96" i="1" s="1"/>
  <c r="U84" i="1"/>
  <c r="V84" i="1" s="1"/>
  <c r="W84" i="1" s="1"/>
  <c r="U87" i="1"/>
  <c r="V87" i="1" s="1"/>
  <c r="W87" i="1" s="1"/>
  <c r="U119" i="1"/>
  <c r="V119" i="1" s="1"/>
  <c r="W119" i="1" s="1"/>
  <c r="U107" i="1"/>
  <c r="V107" i="1" s="1"/>
  <c r="W107" i="1" s="1"/>
  <c r="U112" i="1"/>
  <c r="V112" i="1" s="1"/>
  <c r="W112" i="1" s="1"/>
  <c r="U94" i="1"/>
  <c r="V94" i="1" s="1"/>
  <c r="W94" i="1" s="1"/>
  <c r="U88" i="1"/>
  <c r="V88" i="1" s="1"/>
  <c r="W88" i="1" s="1"/>
  <c r="U76" i="1"/>
  <c r="V76" i="1" s="1"/>
  <c r="W76" i="1" s="1"/>
  <c r="U64" i="1"/>
  <c r="V64" i="1" s="1"/>
  <c r="W64" i="1" s="1"/>
  <c r="U52" i="1"/>
  <c r="V52" i="1" s="1"/>
  <c r="W52" i="1" s="1"/>
  <c r="U51" i="1"/>
  <c r="V51" i="1" s="1"/>
  <c r="W51" i="1" s="1"/>
  <c r="U39" i="1"/>
  <c r="V39" i="1" s="1"/>
  <c r="W39" i="1" s="1"/>
  <c r="U27" i="1"/>
  <c r="V27" i="1" s="1"/>
  <c r="W27" i="1" s="1"/>
  <c r="BC56" i="1"/>
  <c r="BD56" i="1" s="1"/>
  <c r="BE56" i="1" s="1"/>
  <c r="U103" i="1"/>
  <c r="V103" i="1" s="1"/>
  <c r="W103" i="1" s="1"/>
  <c r="U91" i="1"/>
  <c r="V91" i="1" s="1"/>
  <c r="W91" i="1" s="1"/>
  <c r="U79" i="1"/>
  <c r="V79" i="1" s="1"/>
  <c r="W79" i="1" s="1"/>
  <c r="U67" i="1"/>
  <c r="V67" i="1" s="1"/>
  <c r="W67" i="1" s="1"/>
  <c r="U43" i="1"/>
  <c r="V43" i="1" s="1"/>
  <c r="W43" i="1" s="1"/>
  <c r="U25" i="1"/>
  <c r="V25" i="1" s="1"/>
  <c r="W25" i="1" s="1"/>
  <c r="U114" i="1"/>
  <c r="V114" i="1" s="1"/>
  <c r="W114" i="1" s="1"/>
  <c r="U108" i="1"/>
  <c r="V108" i="1" s="1"/>
  <c r="W108" i="1" s="1"/>
  <c r="U102" i="1"/>
  <c r="V102" i="1" s="1"/>
  <c r="W102" i="1" s="1"/>
  <c r="U78" i="1"/>
  <c r="V78" i="1" s="1"/>
  <c r="W78" i="1" s="1"/>
  <c r="U48" i="1"/>
  <c r="V48" i="1" s="1"/>
  <c r="W48" i="1" s="1"/>
  <c r="U42" i="1"/>
  <c r="V42" i="1" s="1"/>
  <c r="W42" i="1" s="1"/>
  <c r="U36" i="1"/>
  <c r="V36" i="1" s="1"/>
  <c r="W36" i="1" s="1"/>
  <c r="U218" i="1"/>
  <c r="V218" i="1" s="1"/>
  <c r="W218" i="1" s="1"/>
  <c r="U98" i="1"/>
  <c r="V98" i="1" s="1"/>
  <c r="W98" i="1" s="1"/>
  <c r="U80" i="1"/>
  <c r="V80" i="1" s="1"/>
  <c r="W80" i="1" s="1"/>
  <c r="U68" i="1"/>
  <c r="V68" i="1" s="1"/>
  <c r="W68" i="1" s="1"/>
  <c r="BC103" i="1"/>
  <c r="BD103" i="1" s="1"/>
  <c r="BE103" i="1" s="1"/>
  <c r="U82" i="1"/>
  <c r="V82" i="1" s="1"/>
  <c r="W82" i="1" s="1"/>
  <c r="U46" i="1"/>
  <c r="V46" i="1" s="1"/>
  <c r="W46" i="1" s="1"/>
  <c r="U34" i="1"/>
  <c r="V34" i="1" s="1"/>
  <c r="W34" i="1" s="1"/>
  <c r="U111" i="1"/>
  <c r="V111" i="1" s="1"/>
  <c r="W111" i="1" s="1"/>
  <c r="U105" i="1"/>
  <c r="V105" i="1" s="1"/>
  <c r="W105" i="1" s="1"/>
  <c r="U63" i="1"/>
  <c r="V63" i="1" s="1"/>
  <c r="W63" i="1" s="1"/>
  <c r="U15" i="1"/>
  <c r="V15" i="1" s="1"/>
  <c r="W15" i="1" s="1"/>
  <c r="U14" i="1"/>
  <c r="V14" i="1" s="1"/>
  <c r="W14" i="1" s="1"/>
  <c r="BC38" i="1"/>
  <c r="BD38" i="1" s="1"/>
  <c r="BE38" i="1" s="1"/>
  <c r="BC7" i="1"/>
  <c r="BD7" i="1" s="1"/>
  <c r="BE7" i="1" s="1"/>
  <c r="U116" i="1"/>
  <c r="V116" i="1" s="1"/>
  <c r="W116" i="1" s="1"/>
  <c r="U110" i="1"/>
  <c r="V110" i="1" s="1"/>
  <c r="W110" i="1" s="1"/>
  <c r="U104" i="1"/>
  <c r="V104" i="1" s="1"/>
  <c r="W104" i="1" s="1"/>
  <c r="U86" i="1"/>
  <c r="V86" i="1" s="1"/>
  <c r="W86" i="1" s="1"/>
  <c r="U74" i="1"/>
  <c r="V74" i="1" s="1"/>
  <c r="W74" i="1" s="1"/>
  <c r="U56" i="1"/>
  <c r="V56" i="1" s="1"/>
  <c r="W56" i="1" s="1"/>
  <c r="U44" i="1"/>
  <c r="V44" i="1" s="1"/>
  <c r="W44" i="1" s="1"/>
  <c r="U38" i="1"/>
  <c r="V38" i="1" s="1"/>
  <c r="W38" i="1" s="1"/>
  <c r="U26" i="1"/>
  <c r="V26" i="1" s="1"/>
  <c r="W26" i="1" s="1"/>
  <c r="U8" i="1"/>
  <c r="V8" i="1" s="1"/>
  <c r="W8" i="1" s="1"/>
  <c r="BC87" i="1"/>
  <c r="BD87" i="1" s="1"/>
  <c r="BE87" i="1" s="1"/>
  <c r="U109" i="1"/>
  <c r="V109" i="1" s="1"/>
  <c r="W109" i="1" s="1"/>
  <c r="U97" i="1"/>
  <c r="V97" i="1" s="1"/>
  <c r="W97" i="1" s="1"/>
  <c r="U73" i="1"/>
  <c r="V73" i="1" s="1"/>
  <c r="W73" i="1" s="1"/>
  <c r="U61" i="1"/>
  <c r="V61" i="1" s="1"/>
  <c r="W61" i="1" s="1"/>
  <c r="U31" i="1"/>
  <c r="V31" i="1" s="1"/>
  <c r="W31" i="1" s="1"/>
  <c r="U13" i="1"/>
  <c r="V13" i="1" s="1"/>
  <c r="W13" i="1" s="1"/>
  <c r="BC65" i="1"/>
  <c r="BD65" i="1" s="1"/>
  <c r="BE65" i="1" s="1"/>
  <c r="BC11" i="1"/>
  <c r="BD11" i="1" s="1"/>
  <c r="BE11" i="1" s="1"/>
  <c r="BC119" i="1"/>
  <c r="BD119" i="1" s="1"/>
  <c r="BE119" i="1" s="1"/>
  <c r="BC59" i="1"/>
  <c r="BD59" i="1" s="1"/>
  <c r="BE59" i="1" s="1"/>
  <c r="BC45" i="1"/>
  <c r="BD45" i="1" s="1"/>
  <c r="BE45" i="1" s="1"/>
  <c r="BC25" i="1"/>
  <c r="BD25" i="1" s="1"/>
  <c r="BE25" i="1" s="1"/>
  <c r="U66" i="1"/>
  <c r="V66" i="1" s="1"/>
  <c r="W66" i="1" s="1"/>
  <c r="U24" i="1"/>
  <c r="V24" i="1" s="1"/>
  <c r="W24" i="1" s="1"/>
  <c r="U6" i="1"/>
  <c r="V6" i="1" s="1"/>
  <c r="W6" i="1" s="1"/>
  <c r="BC113" i="1"/>
  <c r="BD113" i="1" s="1"/>
  <c r="BE113" i="1" s="1"/>
  <c r="BC95" i="1"/>
  <c r="BD95" i="1" s="1"/>
  <c r="BE95" i="1" s="1"/>
  <c r="BC83" i="1"/>
  <c r="BD83" i="1" s="1"/>
  <c r="BE83" i="1" s="1"/>
  <c r="BC71" i="1"/>
  <c r="BD71" i="1" s="1"/>
  <c r="BE71" i="1" s="1"/>
  <c r="BC41" i="1"/>
  <c r="BD41" i="1" s="1"/>
  <c r="BE41" i="1" s="1"/>
  <c r="BC82" i="1"/>
  <c r="BD82" i="1" s="1"/>
  <c r="BE82" i="1" s="1"/>
  <c r="BC73" i="1"/>
  <c r="BD73" i="1" s="1"/>
  <c r="BE73" i="1" s="1"/>
  <c r="BC61" i="1"/>
  <c r="BD61" i="1" s="1"/>
  <c r="BE61" i="1" s="1"/>
  <c r="BC107" i="1"/>
  <c r="BD107" i="1" s="1"/>
  <c r="BE107" i="1" s="1"/>
  <c r="U113" i="1"/>
  <c r="V113" i="1" s="1"/>
  <c r="W113" i="1" s="1"/>
  <c r="U95" i="1"/>
  <c r="V95" i="1" s="1"/>
  <c r="W95" i="1" s="1"/>
  <c r="U89" i="1"/>
  <c r="V89" i="1" s="1"/>
  <c r="W89" i="1" s="1"/>
  <c r="U83" i="1"/>
  <c r="V83" i="1" s="1"/>
  <c r="W83" i="1" s="1"/>
  <c r="U71" i="1"/>
  <c r="V71" i="1" s="1"/>
  <c r="W71" i="1" s="1"/>
  <c r="U65" i="1"/>
  <c r="V65" i="1" s="1"/>
  <c r="W65" i="1" s="1"/>
  <c r="U59" i="1"/>
  <c r="V59" i="1" s="1"/>
  <c r="W59" i="1" s="1"/>
  <c r="U41" i="1"/>
  <c r="V41" i="1" s="1"/>
  <c r="W41" i="1" s="1"/>
  <c r="U11" i="1"/>
  <c r="V11" i="1" s="1"/>
  <c r="W11" i="1" s="1"/>
  <c r="BC89" i="1"/>
  <c r="BD89" i="1" s="1"/>
  <c r="BE89" i="1" s="1"/>
  <c r="BC80" i="1"/>
  <c r="BD80" i="1" s="1"/>
  <c r="BE80" i="1" s="1"/>
  <c r="BC68" i="1"/>
  <c r="BD68" i="1" s="1"/>
  <c r="BE68" i="1" s="1"/>
  <c r="BC42" i="1"/>
  <c r="BD42" i="1" s="1"/>
  <c r="BE42" i="1" s="1"/>
  <c r="BC46" i="1"/>
  <c r="BD46" i="1" s="1"/>
  <c r="BE46" i="1" s="1"/>
  <c r="BC37" i="1"/>
  <c r="BD37" i="1" s="1"/>
  <c r="BE37" i="1" s="1"/>
  <c r="BC97" i="1"/>
  <c r="BD97" i="1" s="1"/>
  <c r="BE97" i="1" s="1"/>
  <c r="BC52" i="1"/>
  <c r="BD52" i="1" s="1"/>
  <c r="BE52" i="1" s="1"/>
  <c r="BC39" i="1"/>
  <c r="BD39" i="1" s="1"/>
  <c r="BE39" i="1" s="1"/>
  <c r="BC36" i="1"/>
  <c r="BD36" i="1" s="1"/>
  <c r="BE36" i="1" s="1"/>
  <c r="BC96" i="1"/>
  <c r="BD96" i="1" s="1"/>
  <c r="BE96" i="1" s="1"/>
  <c r="U106" i="1"/>
  <c r="V106" i="1" s="1"/>
  <c r="W106" i="1" s="1"/>
  <c r="U40" i="1"/>
  <c r="V40" i="1" s="1"/>
  <c r="W40" i="1" s="1"/>
  <c r="BC116" i="1"/>
  <c r="BD116" i="1" s="1"/>
  <c r="BE116" i="1" s="1"/>
  <c r="BC104" i="1"/>
  <c r="BD104" i="1" s="1"/>
  <c r="BE104" i="1" s="1"/>
  <c r="BC110" i="1"/>
  <c r="BD110" i="1" s="1"/>
  <c r="BE110" i="1" s="1"/>
  <c r="BC66" i="1"/>
  <c r="BD66" i="1" s="1"/>
  <c r="BE66" i="1" s="1"/>
  <c r="BC112" i="1"/>
  <c r="BD112" i="1" s="1"/>
  <c r="BE112" i="1" s="1"/>
  <c r="BC79" i="1"/>
  <c r="BD79" i="1" s="1"/>
  <c r="BE79" i="1" s="1"/>
  <c r="BC67" i="1"/>
  <c r="BD67" i="1" s="1"/>
  <c r="BE67" i="1" s="1"/>
  <c r="BC58" i="1"/>
  <c r="BD58" i="1" s="1"/>
  <c r="BE58" i="1" s="1"/>
  <c r="BC31" i="1"/>
  <c r="BD31" i="1" s="1"/>
  <c r="BE31" i="1" s="1"/>
  <c r="BC117" i="1"/>
  <c r="BD117" i="1" s="1"/>
  <c r="BE117" i="1" s="1"/>
  <c r="BC78" i="1"/>
  <c r="BD78" i="1" s="1"/>
  <c r="BE78" i="1" s="1"/>
  <c r="BC84" i="1"/>
  <c r="BD84" i="1" s="1"/>
  <c r="BE84" i="1" s="1"/>
  <c r="U69" i="1"/>
  <c r="V69" i="1" s="1"/>
  <c r="W69" i="1" s="1"/>
  <c r="BC69" i="1"/>
  <c r="BD69" i="1" s="1"/>
  <c r="BE69" i="1" s="1"/>
  <c r="U57" i="1"/>
  <c r="V57" i="1" s="1"/>
  <c r="W57" i="1" s="1"/>
  <c r="BC86" i="1"/>
  <c r="BD86" i="1" s="1"/>
  <c r="BE86" i="1" s="1"/>
  <c r="BC74" i="1"/>
  <c r="BD74" i="1" s="1"/>
  <c r="BE74" i="1" s="1"/>
  <c r="BC114" i="1"/>
  <c r="BD114" i="1" s="1"/>
  <c r="BE114" i="1" s="1"/>
  <c r="BC63" i="1"/>
  <c r="BD63" i="1" s="1"/>
  <c r="BE63" i="1" s="1"/>
  <c r="BC218" i="1"/>
  <c r="BD218" i="1" s="1"/>
  <c r="BE218" i="1" s="1"/>
  <c r="BC14" i="1"/>
  <c r="BD14" i="1" s="1"/>
  <c r="BE14" i="1" s="1"/>
  <c r="BC15" i="1"/>
  <c r="BD15" i="1" s="1"/>
  <c r="BE15" i="1" s="1"/>
  <c r="BC94" i="1"/>
  <c r="BD94" i="1" s="1"/>
  <c r="BE94" i="1" s="1"/>
  <c r="BC43" i="1"/>
  <c r="BD43" i="1" s="1"/>
  <c r="BE43" i="1" s="1"/>
  <c r="BC27" i="1"/>
  <c r="BD27" i="1" s="1"/>
  <c r="BE27" i="1" s="1"/>
  <c r="BC91" i="1"/>
  <c r="BD91" i="1" s="1"/>
  <c r="BE91" i="1" s="1"/>
  <c r="BC34" i="1"/>
  <c r="BD34" i="1" s="1"/>
  <c r="BE34" i="1" s="1"/>
  <c r="BC21" i="1"/>
  <c r="BD21" i="1" s="1"/>
  <c r="BE21" i="1" s="1"/>
  <c r="BC24" i="1"/>
  <c r="BD24" i="1" s="1"/>
  <c r="BE24" i="1" s="1"/>
  <c r="BC44" i="1"/>
  <c r="BD44" i="1" s="1"/>
  <c r="BE44" i="1" s="1"/>
  <c r="BC26" i="1"/>
  <c r="BD26" i="1" s="1"/>
  <c r="BE26" i="1" s="1"/>
  <c r="BC8" i="1"/>
  <c r="BD8" i="1" s="1"/>
  <c r="BE8" i="1" s="1"/>
  <c r="BC98" i="1"/>
  <c r="BD98" i="1" s="1"/>
  <c r="BE98" i="1" s="1"/>
  <c r="BC51" i="1"/>
  <c r="BD51" i="1" s="1"/>
  <c r="BE51" i="1" s="1"/>
  <c r="BC109" i="1"/>
  <c r="BD109" i="1" s="1"/>
  <c r="BE109" i="1" s="1"/>
  <c r="BC88" i="1"/>
  <c r="BD88" i="1" s="1"/>
  <c r="BE88" i="1" s="1"/>
  <c r="BC76" i="1"/>
  <c r="BD76" i="1" s="1"/>
  <c r="BE76" i="1" s="1"/>
  <c r="BC64" i="1"/>
  <c r="BD64" i="1" s="1"/>
  <c r="BE64" i="1" s="1"/>
  <c r="BC28" i="1"/>
  <c r="BD28" i="1" s="1"/>
  <c r="BE28" i="1" s="1"/>
  <c r="BC13" i="1"/>
  <c r="BD13" i="1" s="1"/>
  <c r="BE13" i="1" s="1"/>
  <c r="BC105" i="1"/>
  <c r="BD105" i="1" s="1"/>
  <c r="BE105" i="1" s="1"/>
  <c r="BC111" i="1"/>
  <c r="BD111" i="1" s="1"/>
  <c r="BE111" i="1" s="1"/>
  <c r="U121" i="1"/>
  <c r="V121" i="1" s="1"/>
  <c r="W121" i="1" s="1"/>
  <c r="U49" i="1"/>
  <c r="V49" i="1" s="1"/>
  <c r="W49" i="1" s="1"/>
  <c r="U19" i="1"/>
  <c r="V19" i="1" s="1"/>
  <c r="W19" i="1" s="1"/>
  <c r="BC102" i="1"/>
  <c r="BD102" i="1" s="1"/>
  <c r="BE102" i="1" s="1"/>
  <c r="BC48" i="1"/>
  <c r="BD48" i="1" s="1"/>
  <c r="BE48" i="1" s="1"/>
  <c r="BC6" i="1"/>
  <c r="BD6" i="1" s="1"/>
  <c r="BE6" i="1" s="1"/>
  <c r="BC108" i="1"/>
  <c r="BD108" i="1" s="1"/>
  <c r="BE108" i="1" s="1"/>
  <c r="BC121" i="1"/>
  <c r="BD121" i="1" s="1"/>
  <c r="BE121" i="1" s="1"/>
  <c r="BC49" i="1"/>
  <c r="BD49" i="1" s="1"/>
  <c r="BE49" i="1" s="1"/>
  <c r="BC40" i="1"/>
  <c r="BD40" i="1" s="1"/>
  <c r="BE40" i="1" s="1"/>
  <c r="BC106" i="1"/>
  <c r="BD106" i="1" s="1"/>
  <c r="BE106" i="1" s="1"/>
  <c r="BC19" i="1"/>
  <c r="BD19" i="1" s="1"/>
  <c r="BE19" i="1" s="1"/>
  <c r="BC57" i="1"/>
  <c r="BD57" i="1" s="1"/>
  <c r="BE57" i="1" s="1"/>
  <c r="U99" i="1"/>
  <c r="V99" i="1" s="1"/>
  <c r="W99" i="1" s="1"/>
  <c r="U93" i="1"/>
  <c r="V93" i="1" s="1"/>
  <c r="W93" i="1" s="1"/>
  <c r="AL23" i="1"/>
  <c r="AM23" i="1" s="1"/>
  <c r="AN23" i="1" s="1"/>
  <c r="U7" i="1"/>
  <c r="V7" i="1" s="1"/>
  <c r="W7" i="1" s="1"/>
  <c r="U101" i="1"/>
  <c r="V101" i="1" s="1"/>
  <c r="W101" i="1" s="1"/>
  <c r="AL62" i="1"/>
  <c r="AM62" i="1" s="1"/>
  <c r="AN62" i="1" s="1"/>
  <c r="AL37" i="1"/>
  <c r="AM37" i="1" s="1"/>
  <c r="AN37" i="1" s="1"/>
  <c r="AL99" i="1"/>
  <c r="AM99" i="1" s="1"/>
  <c r="AN99" i="1" s="1"/>
  <c r="U100" i="1"/>
  <c r="V100" i="1" s="1"/>
  <c r="W100" i="1" s="1"/>
  <c r="U16" i="1"/>
  <c r="V16" i="1" s="1"/>
  <c r="W16" i="1" s="1"/>
  <c r="U47" i="1"/>
  <c r="V47" i="1" s="1"/>
  <c r="W47" i="1" s="1"/>
  <c r="U62" i="1"/>
  <c r="V62" i="1" s="1"/>
  <c r="W62" i="1" s="1"/>
  <c r="U50" i="1"/>
  <c r="V50" i="1" s="1"/>
  <c r="W50" i="1" s="1"/>
  <c r="AL93" i="1"/>
  <c r="AM93" i="1" s="1"/>
  <c r="AN93" i="1" s="1"/>
  <c r="AL50" i="1"/>
  <c r="AM50" i="1" s="1"/>
  <c r="AN50" i="1" s="1"/>
  <c r="AL100" i="1"/>
  <c r="AM100" i="1" s="1"/>
  <c r="AN100" i="1" s="1"/>
  <c r="AL16" i="1"/>
  <c r="AM16" i="1" s="1"/>
  <c r="AN16" i="1" s="1"/>
  <c r="AL101" i="1"/>
  <c r="AM101" i="1" s="1"/>
  <c r="AN101" i="1" s="1"/>
  <c r="AL47" i="1"/>
  <c r="AM47" i="1" s="1"/>
  <c r="AN47" i="1" s="1"/>
  <c r="AL94" i="1"/>
  <c r="AM94" i="1" s="1"/>
  <c r="AN94" i="1" s="1"/>
  <c r="AL7" i="1"/>
  <c r="U23" i="1"/>
  <c r="V23" i="1" s="1"/>
  <c r="W23" i="1" s="1"/>
  <c r="AM7" i="1" l="1"/>
  <c r="AN7" i="1" s="1"/>
  <c r="AO1" i="1" l="1"/>
  <c r="S1" i="1"/>
  <c r="X1" i="1"/>
  <c r="AL1" i="1" l="1"/>
  <c r="T1" i="1"/>
  <c r="U1" i="1" l="1"/>
  <c r="V1" i="1" s="1"/>
  <c r="AM1" i="1"/>
  <c r="BF1" i="1"/>
  <c r="BC1" i="1" l="1"/>
  <c r="BD1" i="1" l="1"/>
</calcChain>
</file>

<file path=xl/sharedStrings.xml><?xml version="1.0" encoding="utf-8"?>
<sst xmlns="http://schemas.openxmlformats.org/spreadsheetml/2006/main" count="4171" uniqueCount="1523">
  <si>
    <t>Project Name</t>
  </si>
  <si>
    <t>Sequence Number</t>
  </si>
  <si>
    <t>Location</t>
  </si>
  <si>
    <t>Transaction Date</t>
  </si>
  <si>
    <t xml:space="preserve">Customer Internal Part number </t>
  </si>
  <si>
    <t>Distributor Name</t>
  </si>
  <si>
    <t>Distributor Part Number</t>
  </si>
  <si>
    <t>Item Description</t>
  </si>
  <si>
    <t>Manufacturer</t>
  </si>
  <si>
    <t>Manufacturer Part Number</t>
  </si>
  <si>
    <t>Other Notes 1</t>
  </si>
  <si>
    <t>Other Notes 2</t>
  </si>
  <si>
    <t>Other Notes 3</t>
  </si>
  <si>
    <t>Unit of Measure (UoM)</t>
  </si>
  <si>
    <t>UoM Quantity</t>
  </si>
  <si>
    <t>Incumbent Pack Price</t>
  </si>
  <si>
    <t>Quantity</t>
  </si>
  <si>
    <t>Unit price</t>
  </si>
  <si>
    <t>Total baseline units</t>
  </si>
  <si>
    <t>CURRENT EXT</t>
  </si>
  <si>
    <t>Savings $</t>
  </si>
  <si>
    <t>Savings %</t>
  </si>
  <si>
    <t>Savings cat.</t>
  </si>
  <si>
    <t>PA EXT</t>
  </si>
  <si>
    <t>UNIT PRICE</t>
  </si>
  <si>
    <t>PA PRICE</t>
  </si>
  <si>
    <t>Fastenal UOM</t>
  </si>
  <si>
    <t>Fastenal UNITS/ PACK</t>
  </si>
  <si>
    <t>NOTES</t>
  </si>
  <si>
    <t>Fastenal MANUFACTURER NAME</t>
  </si>
  <si>
    <t>Fastenal MANUFACTURER PART NUMBER</t>
  </si>
  <si>
    <t>Fastenal SKU</t>
  </si>
  <si>
    <t>CATEGORY</t>
  </si>
  <si>
    <t>PRODUCT DESCRIPTION</t>
  </si>
  <si>
    <t>MATCH TYPE</t>
  </si>
  <si>
    <t>PA CORE</t>
  </si>
  <si>
    <t>PA NOTES</t>
  </si>
  <si>
    <t>CSPL</t>
  </si>
  <si>
    <t>PA Core</t>
  </si>
  <si>
    <t>VRC_Cascadia Multiple Suppliers</t>
  </si>
  <si>
    <t>McMaster-Carr</t>
  </si>
  <si>
    <t>COM-0567</t>
  </si>
  <si>
    <t>P900-00616</t>
  </si>
  <si>
    <t>EA</t>
  </si>
  <si>
    <t>Not Enough Product Data</t>
  </si>
  <si>
    <t>COM-0456</t>
  </si>
  <si>
    <t>96697A500 SPRING STEEL WAVE WASHER .43" OD</t>
  </si>
  <si>
    <t>COM-0453</t>
  </si>
  <si>
    <t>96562A146  6-32 X 3/8 SS SCREW</t>
  </si>
  <si>
    <t>MSC</t>
  </si>
  <si>
    <t>73039844</t>
  </si>
  <si>
    <t>14" Cable ties 100/pk</t>
  </si>
  <si>
    <t>Pack</t>
  </si>
  <si>
    <t>Possible UOM or LPP issue.</t>
  </si>
  <si>
    <t>Power Phase[REG]</t>
  </si>
  <si>
    <t>0775548</t>
  </si>
  <si>
    <t>Electrical</t>
  </si>
  <si>
    <t>14.6" 50lb Tensile Blue Nylon 6.6 Power Phase[REG] Colored Cable Tie Pkg</t>
  </si>
  <si>
    <t>Similar Match</t>
  </si>
  <si>
    <t>No</t>
  </si>
  <si>
    <t>Grainger</t>
  </si>
  <si>
    <t>1YND9</t>
  </si>
  <si>
    <t>30 Gal flammable cabinet.</t>
  </si>
  <si>
    <t>Piece</t>
  </si>
  <si>
    <t>JUSTRITE MANUFACTURING COMPANY</t>
  </si>
  <si>
    <t>893000</t>
  </si>
  <si>
    <t>1018401</t>
  </si>
  <si>
    <t>Safety</t>
  </si>
  <si>
    <t>30 Gallon 44"Hx43"Wx18"D Yellow Steel 1-Shelf 2-Door Manual Close Safety Cabinet</t>
  </si>
  <si>
    <t>Exact Match</t>
  </si>
  <si>
    <t>Agent[REG]</t>
  </si>
  <si>
    <t>1068342</t>
  </si>
  <si>
    <t>30gal Capacity Yellow Steel Agent[REG] 1-Shelf Manual Close Standard Flammable Storage Cabinet</t>
  </si>
  <si>
    <t>Yes</t>
  </si>
  <si>
    <t>73125288</t>
  </si>
  <si>
    <t>14" CABLE TIES 100/PK</t>
  </si>
  <si>
    <t>Carlon[REG]</t>
  </si>
  <si>
    <t>L-14-50-9-C</t>
  </si>
  <si>
    <t>0719823</t>
  </si>
  <si>
    <t>14.1" 50lb Tensile Natural Nylon 6.6 Cable Tie</t>
  </si>
  <si>
    <t>4587t73</t>
  </si>
  <si>
    <t>cabinet</t>
  </si>
  <si>
    <t>Need color of cabinet.</t>
  </si>
  <si>
    <t>COM-0454</t>
  </si>
  <si>
    <t>99461A130/0408LPP188 SS4 X 1/2 TRI HD</t>
  </si>
  <si>
    <t>4YV87</t>
  </si>
  <si>
    <t>fluke thermometer w/certificate</t>
  </si>
  <si>
    <t>Fluke Corp</t>
  </si>
  <si>
    <t>674686</t>
  </si>
  <si>
    <t>0712562</t>
  </si>
  <si>
    <t>Test and Measurement</t>
  </si>
  <si>
    <t>Fluke-51-2 Single Input Thermometer</t>
  </si>
  <si>
    <t>COM-0555</t>
  </si>
  <si>
    <t>SCREWS - P900-00684</t>
  </si>
  <si>
    <t>61843553</t>
  </si>
  <si>
    <t>Granular Ice &amp; Snow Melter &amp; De-Icer</t>
  </si>
  <si>
    <t>Bag</t>
  </si>
  <si>
    <t>TILLSON BRANDS INC</t>
  </si>
  <si>
    <t>TB-ECO-SALT227KG</t>
  </si>
  <si>
    <t>0610682</t>
  </si>
  <si>
    <t>Outdoor Products and Equipment</t>
  </si>
  <si>
    <t>50lb Bag Eco Salt Ice Melter</t>
  </si>
  <si>
    <t>8975k426</t>
  </si>
  <si>
    <t>3/8 by 4 by 6 foot aluminum, shop ,dovetails</t>
  </si>
  <si>
    <t>Fastenal Approved Vendor</t>
  </si>
  <si>
    <t>1161_36_0</t>
  </si>
  <si>
    <t>0963984</t>
  </si>
  <si>
    <t>Raw Materials</t>
  </si>
  <si>
    <t>3/8" Thick x 4" Width x 3' Long ASTM B221 6061 Aluminum Flat Bar</t>
  </si>
  <si>
    <t>2F625</t>
  </si>
  <si>
    <t>hydraulic quick connect</t>
  </si>
  <si>
    <t>Eaton/Hansen</t>
  </si>
  <si>
    <t>2H16</t>
  </si>
  <si>
    <t>0482607</t>
  </si>
  <si>
    <t>Hydraulics</t>
  </si>
  <si>
    <t>1/4" Plug x 1/4" Female NPT Steel Double Shut-Off Hydraulic Coupler</t>
  </si>
  <si>
    <t>11Z107</t>
  </si>
  <si>
    <t>Floor Marking Tape, Pattern Solid, Yellow, Width 3 in, Roll Length 100 ft</t>
  </si>
  <si>
    <t>Roll</t>
  </si>
  <si>
    <t>Toughstripe[TM]</t>
  </si>
  <si>
    <t>104342</t>
  </si>
  <si>
    <t>1031850</t>
  </si>
  <si>
    <t>33 yd (100') L X 3" W 8 mil Toughstripe[TM] Yellow General Purpose Floor Marking Tape Blank</t>
  </si>
  <si>
    <t>1054438</t>
  </si>
  <si>
    <t>36 yd (108') L X 3" W 6 mil  Yellow General Purpose Aisle Marking Tape Blank</t>
  </si>
  <si>
    <t>COM-0403</t>
  </si>
  <si>
    <t>91755A205  RETAINER</t>
  </si>
  <si>
    <t>MSC # 37997988</t>
  </si>
  <si>
    <t>0-1" range, 0.0005" Graduation, electonic Drop Indicator</t>
  </si>
  <si>
    <t xml:space="preserve">Non-Supported Product </t>
  </si>
  <si>
    <t>50215A3</t>
  </si>
  <si>
    <t>Auto-Adjusting Heavy Duty Hold-Down Toggle Clamps</t>
  </si>
  <si>
    <t>DESTACO</t>
  </si>
  <si>
    <t>7-101</t>
  </si>
  <si>
    <t>03054785</t>
  </si>
  <si>
    <t>Cutting Tools and Metalworking</t>
  </si>
  <si>
    <t>7-101 Cam-Action Clamp</t>
  </si>
  <si>
    <t>8975k224</t>
  </si>
  <si>
    <t>5/8 by6 by 6 foot aluminum              pry bars</t>
  </si>
  <si>
    <t>75638437</t>
  </si>
  <si>
    <t>Mitutoyo 1/4" range 0-50-0 dial reading 0.001" Graduation Dial Drop Indicator</t>
  </si>
  <si>
    <t>MITUTOYO AMERICA CORPORATION</t>
  </si>
  <si>
    <t>1411S</t>
  </si>
  <si>
    <t>99029064</t>
  </si>
  <si>
    <t>1411S DIAL INDICATOR, .001-.25"</t>
  </si>
  <si>
    <t>2547k43</t>
  </si>
  <si>
    <t>1/2 by 39 by 39 garolite                  welder table</t>
  </si>
  <si>
    <t>84540673</t>
  </si>
  <si>
    <t>tool wrap</t>
  </si>
  <si>
    <t>PRECISION BRAND PRODUCTS, INC.</t>
  </si>
  <si>
    <t>20310</t>
  </si>
  <si>
    <t>7041389</t>
  </si>
  <si>
    <t>12" x 50' x .002" Type 321 Stainless Steel Tool Wrap/Foil</t>
  </si>
  <si>
    <t>0993323</t>
  </si>
  <si>
    <t>12" x .002" x 50' 321 Stainless Steel Foil</t>
  </si>
  <si>
    <t>11C909</t>
  </si>
  <si>
    <t>pistol grip air impact</t>
  </si>
  <si>
    <t>CHICAGO PNEUMATIC TOOL COMPANY</t>
  </si>
  <si>
    <t>T025214</t>
  </si>
  <si>
    <t>2183431</t>
  </si>
  <si>
    <t>Tools and Equipment</t>
  </si>
  <si>
    <t>1/2" 6400rpm Square Heavy Duty Air Impact Wrench 96 dBA Pistol Grip</t>
  </si>
  <si>
    <t>46Z647</t>
  </si>
  <si>
    <t>24VDC Air Valve</t>
  </si>
  <si>
    <t>Dynaquip</t>
  </si>
  <si>
    <t>145855.03</t>
  </si>
  <si>
    <t>BSS</t>
  </si>
  <si>
    <t>Pneumatics</t>
  </si>
  <si>
    <t>Air Vaulve</t>
  </si>
  <si>
    <t>09413121</t>
  </si>
  <si>
    <t>kool mister</t>
  </si>
  <si>
    <t>Lennox</t>
  </si>
  <si>
    <t>60M12</t>
  </si>
  <si>
    <t>922890735</t>
  </si>
  <si>
    <t>60M12 24v Coil 3P 25AMP W/AUX CONT</t>
  </si>
  <si>
    <t>4YTG5</t>
  </si>
  <si>
    <t>3 Way/2 Position, 24VDC Air Valve</t>
  </si>
  <si>
    <t>Ingersoll Rand[REG]</t>
  </si>
  <si>
    <t>M253SS-024-D</t>
  </si>
  <si>
    <t>921107524</t>
  </si>
  <si>
    <t>ARO Solenoid Air Control Valve 3-Way/2-Position Voltage 24Vdc Valve Actuator/Return Solenoid/Spring Pipe Size 3/8" Max. Cfm Valves 61.00 Pressure Range 45 To 115 Psi Temp Range 15 - 122 Degrees</t>
  </si>
  <si>
    <t>9246k564</t>
  </si>
  <si>
    <t>3/4 alu by 6 by 48 inches           shop</t>
  </si>
  <si>
    <t>1184_144_0</t>
  </si>
  <si>
    <t>0964089</t>
  </si>
  <si>
    <t>3/4" Thick x 6" Width x 12' Long ASTM B221 6061 Aluminum Flat Bar</t>
  </si>
  <si>
    <t>31AX37</t>
  </si>
  <si>
    <t>Indoor convex mirror</t>
  </si>
  <si>
    <t>COM-0440</t>
  </si>
  <si>
    <t>BRT DK2214 LABEL FOR VIEWER</t>
  </si>
  <si>
    <t>88915k21</t>
  </si>
  <si>
    <t>ss rod</t>
  </si>
  <si>
    <t>2014_72_0</t>
  </si>
  <si>
    <t>0964653</t>
  </si>
  <si>
    <t>3/8" Dia x 6' Long ASTM A582 303 Stainless Steel Round Stock</t>
  </si>
  <si>
    <t>2547k52</t>
  </si>
  <si>
    <t>3/4 by 18 by 39 Garolite</t>
  </si>
  <si>
    <t>8975k446</t>
  </si>
  <si>
    <t>alu plate by  3 feet</t>
  </si>
  <si>
    <t>1ETT9</t>
  </si>
  <si>
    <t>Polycarbonate sheet stock, 48"x96"</t>
  </si>
  <si>
    <t>11328101</t>
  </si>
  <si>
    <t>0954800</t>
  </si>
  <si>
    <t>0.236" x 48" x 96" Clear Polycarbonate Sheet</t>
  </si>
  <si>
    <t>8975k244</t>
  </si>
  <si>
    <t xml:space="preserve"> 1 by 6 inches by 3 feet alu                 F6815</t>
  </si>
  <si>
    <t>Potential Sourcing</t>
  </si>
  <si>
    <t>ADH-0039</t>
  </si>
  <si>
    <t>EPX Plus II Mixing Nozzle</t>
  </si>
  <si>
    <t>3M PRODUCTS</t>
  </si>
  <si>
    <t>00076308864347</t>
  </si>
  <si>
    <t>0626172</t>
  </si>
  <si>
    <t>Adhesives, Sealants, and Tape</t>
  </si>
  <si>
    <t>48.5mL &amp; 50mL EPX Mixing Nozzle</t>
  </si>
  <si>
    <t>11Z095</t>
  </si>
  <si>
    <t>Floor Marking Tape, Pattern Solid, White, Width 2 in, Roll Length 100 ft</t>
  </si>
  <si>
    <t>104311</t>
  </si>
  <si>
    <t>1031839</t>
  </si>
  <si>
    <t>33 yd (100') L X 2" W 8 mil  White General Purpose Floor Marking Tape Blank</t>
  </si>
  <si>
    <t>1014655</t>
  </si>
  <si>
    <t>36 yd (108') L X 2" W 6 mil  White General Purpose Aisle Marking Tape Blank</t>
  </si>
  <si>
    <t>65590697</t>
  </si>
  <si>
    <t>Large nitrile gloves</t>
  </si>
  <si>
    <t>Body Guard[REG]</t>
  </si>
  <si>
    <t>1334819</t>
  </si>
  <si>
    <t>L Series 816BK 6 mil Black Nitrile Industrial Powder Free  Body Guard[REG] Disposable Glove</t>
  </si>
  <si>
    <t>56484967</t>
  </si>
  <si>
    <t>MAUDLIN &amp; SON MFG. CO., INC.</t>
  </si>
  <si>
    <t>SSFW309-20-25</t>
  </si>
  <si>
    <t>4135004</t>
  </si>
  <si>
    <t>0.002" x 20" x 25' 309 Stainless Steel Tool Wrap</t>
  </si>
  <si>
    <t>65590713</t>
  </si>
  <si>
    <t>Medium nitrile gloves</t>
  </si>
  <si>
    <t>1334818</t>
  </si>
  <si>
    <t>M Series 816BK 6 mil Black Nitrile Industrial Powder Free  Body Guard[REG]Disposable Glove</t>
  </si>
  <si>
    <t>06222558</t>
  </si>
  <si>
    <t>indicators                             F6815</t>
  </si>
  <si>
    <t>L.S. STARRETT COMPANY</t>
  </si>
  <si>
    <t>25-631J</t>
  </si>
  <si>
    <t>0325063</t>
  </si>
  <si>
    <t>0" - 1.000" Range x 2.250" Dial x 0.0005" Grad AGD Group 2 Dial Indicator</t>
  </si>
  <si>
    <t>27055a51</t>
  </si>
  <si>
    <t>1/2-13 tap</t>
  </si>
  <si>
    <t>WIDIA - GTD</t>
  </si>
  <si>
    <t>5390249</t>
  </si>
  <si>
    <t>3389638</t>
  </si>
  <si>
    <t>1/2 - 13 NC/UNC Oxide HSS-E 3 Flute H5 Bottoming Widia[TM] VariTap[TM]</t>
  </si>
  <si>
    <t>33J010</t>
  </si>
  <si>
    <t>400 lb, 6" plate caster</t>
  </si>
  <si>
    <t>Colson Group USA Inc.</t>
  </si>
  <si>
    <t>DCIB06041S002</t>
  </si>
  <si>
    <t>Hardware</t>
  </si>
  <si>
    <t>STANDARD PLATE CASTER, SWIVEL, POLYOLEFIN, 400 LB, 6 IN WHEEL DIA.</t>
  </si>
  <si>
    <t>70851944</t>
  </si>
  <si>
    <t>1/4 -20 TAP</t>
  </si>
  <si>
    <t>OSG USA, INC</t>
  </si>
  <si>
    <t>1732605</t>
  </si>
  <si>
    <t>3235527</t>
  </si>
  <si>
    <t>1/4-20 x 2-1/2"OAL TiN Finish VC-10 Spiral Flute H3 EXOTAP VA-3[REG] UNC Semi Bottoming Tap</t>
  </si>
  <si>
    <t>6606k85</t>
  </si>
  <si>
    <t>7/8 hex by 6 feet</t>
  </si>
  <si>
    <t>Foot</t>
  </si>
  <si>
    <t>19775_144_0</t>
  </si>
  <si>
    <t>0967403</t>
  </si>
  <si>
    <t>7/8" x 12' 12L14 Steel Hexagonal Bar</t>
  </si>
  <si>
    <t>1BX45</t>
  </si>
  <si>
    <t>15 amp fuse</t>
  </si>
  <si>
    <t>Case</t>
  </si>
  <si>
    <t>COOPER BUSSMANN</t>
  </si>
  <si>
    <t>ABC-15-R</t>
  </si>
  <si>
    <t>07009111</t>
  </si>
  <si>
    <t>15A 250V Gray Fast-Acting ABC Ceramic Body Fuse-RoHS</t>
  </si>
  <si>
    <t>11Z090</t>
  </si>
  <si>
    <t>Floor Marking Tape, Pattern Solid, Blue, Width 2 in, Roll Length 100 ft</t>
  </si>
  <si>
    <t>104314</t>
  </si>
  <si>
    <t>1031842</t>
  </si>
  <si>
    <t>33 yd (100') L X 2" W 8 mil Toughstripe[TM] Blue General Purpose Floor Marking Tape Blank</t>
  </si>
  <si>
    <t>1364278</t>
  </si>
  <si>
    <t>108' L X 2" W 6 mil Agent[REG] Blue General Purpose Aisle Marking Tape</t>
  </si>
  <si>
    <t>35575A615</t>
  </si>
  <si>
    <t>BLUE RUBBER HANDLE X-ACTO HANDLES (PACK OF 10)</t>
  </si>
  <si>
    <t>X-ACTO</t>
  </si>
  <si>
    <t>X3627</t>
  </si>
  <si>
    <t>0530665</t>
  </si>
  <si>
    <t>X3627 X-Acto[REG] 9" Black Gripster Fine Point Knife w/ Safety Cap</t>
  </si>
  <si>
    <t>89012249</t>
  </si>
  <si>
    <t>3/8" diam. 1-1/8" LOC 1 flute solid carbide down cut spiral router bit</t>
  </si>
  <si>
    <t>LMT ONSRUD LP</t>
  </si>
  <si>
    <t>62-783</t>
  </si>
  <si>
    <t>920055871</t>
  </si>
  <si>
    <t>3/8 x 1 1/8 SC SINGLE EDGE DOWNCUT ""O''' SP</t>
  </si>
  <si>
    <t>6T545</t>
  </si>
  <si>
    <t>3M TaperFit 32db Earplugs (200 per box)</t>
  </si>
  <si>
    <t>10080529120134</t>
  </si>
  <si>
    <t>1012237</t>
  </si>
  <si>
    <t>One Size Yellow NRR 32 E-A-R[TM] TaperFit[TM] 2 PP Tapered Uncorded Disposable Earplug Pair in Poly Bag</t>
  </si>
  <si>
    <t>1017247</t>
  </si>
  <si>
    <t>Orange NRR 32 Body Guard[REG] PU Bullet Uncorded Disposable Earplug Pair</t>
  </si>
  <si>
    <t>06463038</t>
  </si>
  <si>
    <t>pin set</t>
  </si>
  <si>
    <t>Set</t>
  </si>
  <si>
    <t>8050314</t>
  </si>
  <si>
    <t>REPR VERMONT 101100400 PIN SET ZZ .0610-.2500"</t>
  </si>
  <si>
    <t>6KP53</t>
  </si>
  <si>
    <t>Concrete Patching Compound, 5 gal.</t>
  </si>
  <si>
    <t>RUSTOLEUM CORPORATION</t>
  </si>
  <si>
    <t>5494323</t>
  </si>
  <si>
    <t>0140241</t>
  </si>
  <si>
    <t>3.5gal Pail Gray Epoxy Concrete / Grout Repair</t>
  </si>
  <si>
    <t>8975K121</t>
  </si>
  <si>
    <t>aluminum plate 3 ft plate</t>
  </si>
  <si>
    <t>9246k81</t>
  </si>
  <si>
    <t>1.5 by8 by8 aluminum</t>
  </si>
  <si>
    <t>81162851</t>
  </si>
  <si>
    <t>14by2by5 grinding wheel</t>
  </si>
  <si>
    <t>38EF89</t>
  </si>
  <si>
    <t>1/4" ball valves</t>
  </si>
  <si>
    <t>RUB INC.</t>
  </si>
  <si>
    <t>S35BZ0</t>
  </si>
  <si>
    <t>0427029</t>
  </si>
  <si>
    <t>Plumbing</t>
  </si>
  <si>
    <t>1/4 M-NPT x F-NPT Chrome Plated RuB s35 Mini Ball Valve</t>
  </si>
  <si>
    <t>56484975</t>
  </si>
  <si>
    <t>20610</t>
  </si>
  <si>
    <t>0993327</t>
  </si>
  <si>
    <t>24" x 50' x .002" Type 309 Stainless Steel Tool Wrap/Foil</t>
  </si>
  <si>
    <t>1MDL9</t>
  </si>
  <si>
    <t>Floor Tape Applicator, For Use With 1 to 4 in Wide Rolls, 7 in Max Roll Diameter</t>
  </si>
  <si>
    <t>VESTIL MFG. CO.</t>
  </si>
  <si>
    <t>TPA-10</t>
  </si>
  <si>
    <t>7019036</t>
  </si>
  <si>
    <t>Economy Floor Tape Applicator</t>
  </si>
  <si>
    <t>6XFY4</t>
  </si>
  <si>
    <t>Hand Ratchet, 1/4 in. Dr, 3-17/32 in. L</t>
  </si>
  <si>
    <t>WERA TOOLS NA INC.</t>
  </si>
  <si>
    <t>05073230001</t>
  </si>
  <si>
    <t>0251078</t>
  </si>
  <si>
    <t>1/4" Mini Ratchet 1/2" x 3.25" OAL holds insert or power bits</t>
  </si>
  <si>
    <t>9008k62</t>
  </si>
  <si>
    <t>alu bar, safeworks fixture</t>
  </si>
  <si>
    <t>Need length.</t>
  </si>
  <si>
    <t>11Z091</t>
  </si>
  <si>
    <t>Floor Marking Tape, Pattern Solid, Green, Width 2 in, Roll Length 100 ft</t>
  </si>
  <si>
    <t>104315</t>
  </si>
  <si>
    <t>1031843</t>
  </si>
  <si>
    <t>33 yd (100') L X 2" W 8 mil Toughstripe[TM] Green General Purpose Floor Marking Tape Blank</t>
  </si>
  <si>
    <t>11Z092</t>
  </si>
  <si>
    <t>Floor Marking Tape, Pattern Solid, Orange, Width 2 in, Roll Length 100 ft</t>
  </si>
  <si>
    <t>104316</t>
  </si>
  <si>
    <t>1031844</t>
  </si>
  <si>
    <t>33 yd (100') L X 2" W 8 mil  Orange General Purpose Floor Marking Tape Blank</t>
  </si>
  <si>
    <t>1054432</t>
  </si>
  <si>
    <t>36 yd (108') L X 2" W 6 mil  Orange General Purpose Aisle Marking Tape Blank</t>
  </si>
  <si>
    <t>2ZJ16</t>
  </si>
  <si>
    <t>Lower Hook</t>
  </si>
  <si>
    <t>$200 order minimum.</t>
  </si>
  <si>
    <t>2225165</t>
  </si>
  <si>
    <t>REPR Columbus McKinnon 35612 Lower Hook</t>
  </si>
  <si>
    <t>06450076</t>
  </si>
  <si>
    <t>Teclock Dial Indicator 1" Range</t>
  </si>
  <si>
    <t>Tritan[REG]</t>
  </si>
  <si>
    <t>3299166</t>
  </si>
  <si>
    <t>0" - 1.000" Range x 2.375" Dial x 0.001" Grad AGD Group 2 Dial Indicator</t>
  </si>
  <si>
    <t>91259A826</t>
  </si>
  <si>
    <t>SHOULDER BOLTS 5/8X7</t>
  </si>
  <si>
    <t>0154606</t>
  </si>
  <si>
    <t>Fasteners</t>
  </si>
  <si>
    <t>5/8" Shoulder x 7" Shoulder Length x 1/2"-13 Black Oxide/Plain Finish Alloy Steel Socket Shoulder Bolt</t>
  </si>
  <si>
    <t>5ZW70</t>
  </si>
  <si>
    <t>strapping tensioner</t>
  </si>
  <si>
    <t>SIGNODE ACME</t>
  </si>
  <si>
    <t>MIP-1200</t>
  </si>
  <si>
    <t>1605691</t>
  </si>
  <si>
    <t>Packaging and Shipping Products</t>
  </si>
  <si>
    <t>3/8" to 3/4" Compact Feedwheel Steel Strapping Tensioner</t>
  </si>
  <si>
    <t>60EZ48</t>
  </si>
  <si>
    <t>2IN CASTER W/BRAKE</t>
  </si>
  <si>
    <t>Colson Group USA Inc.Shepherd Caster</t>
  </si>
  <si>
    <t>C0020748ZN-POL01(KK)B</t>
  </si>
  <si>
    <t>STEM CASTER, 2 IN WHEEL DIA., 300 LB LOAD RATING</t>
  </si>
  <si>
    <t>22FR52</t>
  </si>
  <si>
    <t>6"x10' SCH 80 PVC pipe</t>
  </si>
  <si>
    <t>GEORG FISCHER HARVEL</t>
  </si>
  <si>
    <t>0800600-PG-1000</t>
  </si>
  <si>
    <t>0472046</t>
  </si>
  <si>
    <t>6" x 10 ft Gray Schedule 80 PVC Plain End Pipe</t>
  </si>
  <si>
    <t>56564958</t>
  </si>
  <si>
    <t>deburr wheel</t>
  </si>
  <si>
    <t>00048011280233</t>
  </si>
  <si>
    <t>99352586</t>
  </si>
  <si>
    <t>Abrasives</t>
  </si>
  <si>
    <t>Scotch-Brite[TM] EXL Unitized Wheel 6" x 1/2" x 5/8"2A MED</t>
  </si>
  <si>
    <t>8923a75</t>
  </si>
  <si>
    <t>3/8 end mills</t>
  </si>
  <si>
    <t>Metalworking Program</t>
  </si>
  <si>
    <t>01982826</t>
  </si>
  <si>
    <t>1/2 sqare endmill</t>
  </si>
  <si>
    <t>FMT ELEMENT[REG]</t>
  </si>
  <si>
    <t>0322704</t>
  </si>
  <si>
    <t>1/2" Dia x 1" LOC x 3" OAL Carbide 4 Fl AlTiN Finish Single End 30[DEG] Hlx Finishing SQ EM</t>
  </si>
  <si>
    <t>33Z301</t>
  </si>
  <si>
    <t>Blue shelf bin</t>
  </si>
  <si>
    <t>45LV97</t>
  </si>
  <si>
    <t>Condensate Removal Pump</t>
  </si>
  <si>
    <t>DIVERSITECH</t>
  </si>
  <si>
    <t>CP-22</t>
  </si>
  <si>
    <t>0493172</t>
  </si>
  <si>
    <t>HVAC and Refrigeration</t>
  </si>
  <si>
    <t>120V 22' Lift Condensate Pump</t>
  </si>
  <si>
    <t>60EZ47</t>
  </si>
  <si>
    <t>2IN CASTER</t>
  </si>
  <si>
    <t>C0020748ZN-POL01(KK)</t>
  </si>
  <si>
    <t>STEM CASTER, 2 IN WHEEL DIA., 300 LB RATING</t>
  </si>
  <si>
    <t>8745a13</t>
  </si>
  <si>
    <t>3/8 end mill</t>
  </si>
  <si>
    <t>65590705</t>
  </si>
  <si>
    <t>Small nitrile gloves</t>
  </si>
  <si>
    <t>1334834</t>
  </si>
  <si>
    <t>S Series 815G 9" 5 mil Green Nitrile Industrial Powder Free  Body Guard[REG] Disposable Glove</t>
  </si>
  <si>
    <t>60638343</t>
  </si>
  <si>
    <t>1/4- 20 TAP</t>
  </si>
  <si>
    <t>26255A32</t>
  </si>
  <si>
    <t>6-32 TAP, SHOP</t>
  </si>
  <si>
    <t>2748369</t>
  </si>
  <si>
    <t>7003745</t>
  </si>
  <si>
    <t>6-32 NC HSS 2 Flute Bright Finish H3, Spiral Flute Tap</t>
  </si>
  <si>
    <t>30RR09</t>
  </si>
  <si>
    <t>Heat Shrink Label Cartridge</t>
  </si>
  <si>
    <t>BROTHER MOBILE SOLUTIONS INC</t>
  </si>
  <si>
    <t>HSE221</t>
  </si>
  <si>
    <t>1621131</t>
  </si>
  <si>
    <t>0.34" x 4.9" Black on White Polyolefin Heat Shrink Tube Tape Cartridge</t>
  </si>
  <si>
    <t>40GL48</t>
  </si>
  <si>
    <t>hex pipe wrench</t>
  </si>
  <si>
    <t>RIDGID[REG]</t>
  </si>
  <si>
    <t>31280</t>
  </si>
  <si>
    <t>5228-31280</t>
  </si>
  <si>
    <t>20" OAL 2" Capacity Hex Pipe Wrench</t>
  </si>
  <si>
    <t>4DA96</t>
  </si>
  <si>
    <t>torque wrench</t>
  </si>
  <si>
    <t>26255a55</t>
  </si>
  <si>
    <t>10-32 taps</t>
  </si>
  <si>
    <t>2746466</t>
  </si>
  <si>
    <t>7003476</t>
  </si>
  <si>
    <t>10-32 HSS 3 Flute TiN Finish H3 NF, Fast Spiral Bottoming Tap</t>
  </si>
  <si>
    <t>75623090</t>
  </si>
  <si>
    <t>1/4 pipe tap</t>
  </si>
  <si>
    <t>REGAL CUTTING TOOLS</t>
  </si>
  <si>
    <t>015913AS</t>
  </si>
  <si>
    <t>3714577</t>
  </si>
  <si>
    <t>1/4-18 4 Flute Plug Taper Pipe Extension Tap - 4"</t>
  </si>
  <si>
    <t>05976535</t>
  </si>
  <si>
    <t>1/2 by 1 1/4 by 8 60 grit</t>
  </si>
  <si>
    <t>Norton Abrasives</t>
  </si>
  <si>
    <t>66253043727</t>
  </si>
  <si>
    <t>0851155</t>
  </si>
  <si>
    <t>8" x 1/2" x 1-1/4" Type 01 32A60-JVBE Grinding Wheel</t>
  </si>
  <si>
    <t>4VMY7</t>
  </si>
  <si>
    <t>Rapid start ballast.</t>
  </si>
  <si>
    <t>6527K274</t>
  </si>
  <si>
    <t>1 1/2 square tube 6ft long</t>
  </si>
  <si>
    <t>0964966</t>
  </si>
  <si>
    <t>1-1/2" OD x 0.083" Wall x 6' L ASTM A513 ERW Welded Mechanical Steel Square Tube</t>
  </si>
  <si>
    <t>03359361</t>
  </si>
  <si>
    <t>1 1/2 by  12 wheel</t>
  </si>
  <si>
    <t>66253214987</t>
  </si>
  <si>
    <t>0890467</t>
  </si>
  <si>
    <t>12" X 1-1/2" X 5" White Aluminum Oxide Grade I Type 01 Toolroom Wheels</t>
  </si>
  <si>
    <t>INS-0080</t>
  </si>
  <si>
    <t>HI 008 WH 8-32 EZ LOK</t>
  </si>
  <si>
    <t>HI-008-WH</t>
  </si>
  <si>
    <t>11126017</t>
  </si>
  <si>
    <t>#8-32 IntThrd Brass Straight Flush Insert For Thermoplastic</t>
  </si>
  <si>
    <t>24W596</t>
  </si>
  <si>
    <t>T12 Flourescent Bulb 30 pk</t>
  </si>
  <si>
    <t>ATR LIGHTING</t>
  </si>
  <si>
    <t>52715</t>
  </si>
  <si>
    <t>07002157</t>
  </si>
  <si>
    <t>Lighting</t>
  </si>
  <si>
    <t>34W 48" T12 Bi-Pin Base F34/CX41/WM/ECO 4100K 20000hr GE Linear Fluorescent Lamp</t>
  </si>
  <si>
    <t>45015k21</t>
  </si>
  <si>
    <t>Rod seal installation tool 1"-1.5"</t>
  </si>
  <si>
    <t>2302A114</t>
  </si>
  <si>
    <t>gage pin handles</t>
  </si>
  <si>
    <t>ACCURATE MANUFACTURED PRODUCTS</t>
  </si>
  <si>
    <t>Z2800-PURPLE</t>
  </si>
  <si>
    <t>920147528</t>
  </si>
  <si>
    <t>PIN GAGE HANDLE PURPLE SOLID ALUMINUM 1/32-1/2GO/NO GO</t>
  </si>
  <si>
    <t>2302A55</t>
  </si>
  <si>
    <t>Gage pin handles           f6815</t>
  </si>
  <si>
    <t>11Z094</t>
  </si>
  <si>
    <t>Floor Marking Tape, Pattern Striped, Red, White, Width 2 in, Roll Length 100 ft</t>
  </si>
  <si>
    <t>Brady[REG]</t>
  </si>
  <si>
    <t>104318</t>
  </si>
  <si>
    <t>1031846</t>
  </si>
  <si>
    <t>33 yd (100') L X 2" W 8 mil Toughstripe[TM] Red / White Stripe Hazard Warning Tape Blank</t>
  </si>
  <si>
    <t>Possible UOM or LPP issue. Offering 36 yards vs 33 yards of Exact Match and 6 mil rather than 8 mil.</t>
  </si>
  <si>
    <t>1054431</t>
  </si>
  <si>
    <t>36 yd (108') L X 2" W 6 mil Agent[REG] Red / White Stripe Hazard Warning Tape Blank</t>
  </si>
  <si>
    <t>11Z096</t>
  </si>
  <si>
    <t>Yellow floor marking tape</t>
  </si>
  <si>
    <t>104312</t>
  </si>
  <si>
    <t>1031840</t>
  </si>
  <si>
    <t>33 yd (100') L X 2" W 8 mil Toughstripe[TM] Yellow General Purpose Floor Marking Tape Blank</t>
  </si>
  <si>
    <t>Talon[REG]</t>
  </si>
  <si>
    <t>1014652</t>
  </si>
  <si>
    <t>36 yd (108') L X 2" W 6 mil  Yellow General Purpose Aisle Marking Tape Blank</t>
  </si>
  <si>
    <t>55306153</t>
  </si>
  <si>
    <t>#2-56 Class 2B, 3B, Single End PPlug Thread Go Gage</t>
  </si>
  <si>
    <t>GF Gage</t>
  </si>
  <si>
    <t>W008656GK</t>
  </si>
  <si>
    <t>0357716</t>
  </si>
  <si>
    <t>#2-56 2B, 3B Taperlock GO Plug Gage</t>
  </si>
  <si>
    <t>60476157</t>
  </si>
  <si>
    <t>band saw blades</t>
  </si>
  <si>
    <t>Lenox[REG]</t>
  </si>
  <si>
    <t>80455CLB113530</t>
  </si>
  <si>
    <t>3246808</t>
  </si>
  <si>
    <t>11' 7" x 3/4" 6-10 TPI 0.035" Classic[REG] Band Saw Blade</t>
  </si>
  <si>
    <t>01408301</t>
  </si>
  <si>
    <t>#30 Drill Bit</t>
  </si>
  <si>
    <t>Chicago-Latrobe</t>
  </si>
  <si>
    <t>50320</t>
  </si>
  <si>
    <t>0356498</t>
  </si>
  <si>
    <t>#30 HSS 118[DEG] Black Oxide Finish, Taper Length Drill</t>
  </si>
  <si>
    <t>1AZ97</t>
  </si>
  <si>
    <t>GLACIER FREEZE GATORADE</t>
  </si>
  <si>
    <t>Glacier Freeze[TM]</t>
  </si>
  <si>
    <t>33677</t>
  </si>
  <si>
    <t>1002864</t>
  </si>
  <si>
    <t>21oz Packet (2.5gal Yield) Glacier Freeze[TM] Gatorade[TM] Powder Concentrate Sports Drink</t>
  </si>
  <si>
    <t>3AP83</t>
  </si>
  <si>
    <t>FRUIT PUNCH GATORADE</t>
  </si>
  <si>
    <t>GATORADE/FRITO LAY</t>
  </si>
  <si>
    <t>33691</t>
  </si>
  <si>
    <t>2326-33691</t>
  </si>
  <si>
    <t>21oz Packet (2.5gal Yield) Fruit Punch Gatorade[TM]Powder Concentrate Sports Drink</t>
  </si>
  <si>
    <t>Sqwincher[REG]</t>
  </si>
  <si>
    <t>159016042</t>
  </si>
  <si>
    <t>1003020</t>
  </si>
  <si>
    <t>23.83oz Packet (2.5gal Yield) Fruit Punch Sqwincher[REG] Powder Concentrate Electrolyte Replacement Sports Drink</t>
  </si>
  <si>
    <t>5T405</t>
  </si>
  <si>
    <t>LEMON LIME GATORADE</t>
  </si>
  <si>
    <t>03969</t>
  </si>
  <si>
    <t>2326-03969</t>
  </si>
  <si>
    <t>21oz Packet (2.5gal Yield) Lemon-Lime Gatorade[TM] Powder Concentrate Sports Drink</t>
  </si>
  <si>
    <t>159016043</t>
  </si>
  <si>
    <t>1003021</t>
  </si>
  <si>
    <t>23.83oz Packet (2.5gal Yield) Lemon-Lime Sqwincher[REG] Powder Concentrate Electrolyte Replacement Sports Drink</t>
  </si>
  <si>
    <t>5t406</t>
  </si>
  <si>
    <t>gatorade, orange</t>
  </si>
  <si>
    <t>03970</t>
  </si>
  <si>
    <t>2326-03970</t>
  </si>
  <si>
    <t>21oz Packet (2.5gal Yield) Orange Gatorade[TM] Powder Concentrate Sports Drink</t>
  </si>
  <si>
    <t>159016041</t>
  </si>
  <si>
    <t>1003019</t>
  </si>
  <si>
    <t>23.83oz Packet (2.5gal Yield) Orange Sqwincher[REG] Powder Concentrate Electrolyte Replacement Sports Drink</t>
  </si>
  <si>
    <t>4ZMH6</t>
  </si>
  <si>
    <t>Air Filter</t>
  </si>
  <si>
    <t>BALDWIN FILTERS</t>
  </si>
  <si>
    <t>PA1719</t>
  </si>
  <si>
    <t>921250843</t>
  </si>
  <si>
    <t>Fleet and Automotive</t>
  </si>
  <si>
    <t>PA1719 Air Element 8-1/4 OD Air Filter</t>
  </si>
  <si>
    <t>85005460</t>
  </si>
  <si>
    <t>Fowler 0 to 1" Range, 0.0005" Graduation, Electronic Drop Indicator</t>
  </si>
  <si>
    <t>FOWLER, FRED V. CO.</t>
  </si>
  <si>
    <t>54-520-250</t>
  </si>
  <si>
    <t>Electronic Drop IndicatorInch &amp; Metric System Digital Display</t>
  </si>
  <si>
    <t>1997A273</t>
  </si>
  <si>
    <t>.035 BY 3/4 BY 139 INCH SAW BLADE, SHOP</t>
  </si>
  <si>
    <t>47299CLB113530</t>
  </si>
  <si>
    <t>3246803</t>
  </si>
  <si>
    <t>11' 7" x 3/4" 10-14 TPI 0.035" Classic[REG] Band Saw Blade</t>
  </si>
  <si>
    <t>8525K171</t>
  </si>
  <si>
    <t xml:space="preserve"> ALU PLATE</t>
  </si>
  <si>
    <t>USA Sealing</t>
  </si>
  <si>
    <t>BULK-CS-GXX-22</t>
  </si>
  <si>
    <t>922198011</t>
  </si>
  <si>
    <t>XX Garolite Sheet - 3/4" Thick x 24" Wide x 24" Long</t>
  </si>
  <si>
    <t>4TTP3</t>
  </si>
  <si>
    <t>5/8" Leveling Stud</t>
  </si>
  <si>
    <t>S&amp;W MANUFACTURING CO.</t>
  </si>
  <si>
    <t>BNYLC58</t>
  </si>
  <si>
    <t>Leveling Mount: Swiveling Stud, 5 in Base Dia., 10.25 in Ht, 10,000 lb, 5/8-11 Thread Size</t>
  </si>
  <si>
    <t>423M59</t>
  </si>
  <si>
    <t>Drafting chair</t>
  </si>
  <si>
    <t>WorkSmart[TM]</t>
  </si>
  <si>
    <t>ST235V-3</t>
  </si>
  <si>
    <t>1602232</t>
  </si>
  <si>
    <t>Office and Breakroom Supplies</t>
  </si>
  <si>
    <t>Office Star WorkSmart[TM] Black Vinyl Stool w/ Backrest</t>
  </si>
  <si>
    <t>0653 1099</t>
  </si>
  <si>
    <t>#17 EXCEL BLADE 100/PK</t>
  </si>
  <si>
    <t>EXCEL HOBBY BLADES CORP.</t>
  </si>
  <si>
    <t>22618</t>
  </si>
  <si>
    <t>920313193</t>
  </si>
  <si>
    <t>No. 18 Chisel Chiseling Blade 100Ct</t>
  </si>
  <si>
    <t>4397a53</t>
  </si>
  <si>
    <t>grinding wheels</t>
  </si>
  <si>
    <t>66253043757</t>
  </si>
  <si>
    <t>0851120</t>
  </si>
  <si>
    <t>8" x 1/2" x 1-1/4" Type 01 38A60-IVBE Grinding Wheel</t>
  </si>
  <si>
    <t>89965K551</t>
  </si>
  <si>
    <t>General Purpose Aluminum Tubing 1-1/4" OD, 0.049" Wall Thickness</t>
  </si>
  <si>
    <t>0950853</t>
  </si>
  <si>
    <t>Work Order Parts</t>
  </si>
  <si>
    <t>6061 DR SMLS TUBE 1-1/4 X .049</t>
  </si>
  <si>
    <t>03859980</t>
  </si>
  <si>
    <t>destaco clamps                                   f 2467</t>
  </si>
  <si>
    <t>202-UL</t>
  </si>
  <si>
    <t>0316966</t>
  </si>
  <si>
    <t>202-UL 200lb Capacity Vertical Hold-Down Clamp</t>
  </si>
  <si>
    <t>65590689</t>
  </si>
  <si>
    <t>Size XL, 5 mil, Industrial Grade, Powder Free Nitrile Disposable Gloves</t>
  </si>
  <si>
    <t>1334820</t>
  </si>
  <si>
    <t>XL Series 816BK 6 mil Black Nitrile Industrial Powder Free  Body Guard[REG] Disposable Glove</t>
  </si>
  <si>
    <t>02040210</t>
  </si>
  <si>
    <t>PRO-SAFE - Size M, 5 mil, Industrial Grade, Powder Free Nitrile Disposable Gloves</t>
  </si>
  <si>
    <t>1334835</t>
  </si>
  <si>
    <t>M Series 815G 9" 5 mil Green Nitrile Industrial Powder Free  Body Guard[REG] Disposable Glove</t>
  </si>
  <si>
    <t>02095743</t>
  </si>
  <si>
    <t>Size S, 5 mil, Industrial Grade, Powder Free Nitrile Disposable Gloves</t>
  </si>
  <si>
    <t>6498K602</t>
  </si>
  <si>
    <t>Round Body Air Cylinder Round Body Air Cylinder</t>
  </si>
  <si>
    <t>4179A791</t>
  </si>
  <si>
    <t>SAW BLADE</t>
  </si>
  <si>
    <t>80260D2B113555</t>
  </si>
  <si>
    <t>3254611</t>
  </si>
  <si>
    <t>11' 8" x 1/2" 10-14 TPI 0.025" Diemaster 2[REG] Band Saw Blade</t>
  </si>
  <si>
    <t>4179A485</t>
  </si>
  <si>
    <t>73304D2B113480</t>
  </si>
  <si>
    <t>3254547</t>
  </si>
  <si>
    <t>11' 5" x 1/2" 6-10 TPI 0.025" Diemaster 2[REG] Band Saw Blade</t>
  </si>
  <si>
    <t>25ZR07</t>
  </si>
  <si>
    <t>SORBENT PADS</t>
  </si>
  <si>
    <t>Part Number and description do line up.</t>
  </si>
  <si>
    <t>06531057</t>
  </si>
  <si>
    <t>#11 EXCEL BLADE 100/PK</t>
  </si>
  <si>
    <t>X611</t>
  </si>
  <si>
    <t>0530675</t>
  </si>
  <si>
    <t>Carbon Steel X-Acto[REG] No. 11 Precision Blade 100Ct</t>
  </si>
  <si>
    <t>8560k605</t>
  </si>
  <si>
    <t>24" x 48" clear acrylic sheet</t>
  </si>
  <si>
    <t>60FD29</t>
  </si>
  <si>
    <t>Plate caster, swivel</t>
  </si>
  <si>
    <t>P2XA04031SF</t>
  </si>
  <si>
    <t>PLATE CASTER, SWIVEL, POLYURETHANE, 250 LB, 4 IN WHEEL DIA.</t>
  </si>
  <si>
    <t>8910K782</t>
  </si>
  <si>
    <t>Low-Carbon Steel Bar, 3/4" Thick, 2" Wide 6'</t>
  </si>
  <si>
    <t>31335a52</t>
  </si>
  <si>
    <t>1/2 liner                  shop</t>
  </si>
  <si>
    <t>Low Threshold Spend</t>
  </si>
  <si>
    <t>67365486</t>
  </si>
  <si>
    <t>brass wood screw #8</t>
  </si>
  <si>
    <t>5HK39</t>
  </si>
  <si>
    <t>vacuum hose segments pkg of 18</t>
  </si>
  <si>
    <t>63118251</t>
  </si>
  <si>
    <t>1/4 pipe reamer</t>
  </si>
  <si>
    <t>2921A17</t>
  </si>
  <si>
    <t>Drill-Bit Counterbore 1-3/4" Body Diameter</t>
  </si>
  <si>
    <t>3AAA6</t>
  </si>
  <si>
    <t>thermocouple probe type J</t>
  </si>
  <si>
    <t>4YV57</t>
  </si>
  <si>
    <t>probe type J</t>
  </si>
  <si>
    <t>6589a21</t>
  </si>
  <si>
    <t>storage case</t>
  </si>
  <si>
    <t>08146847</t>
  </si>
  <si>
    <t>bt40        33jt holder</t>
  </si>
  <si>
    <t>5XV76</t>
  </si>
  <si>
    <t>fluke test lead kit</t>
  </si>
  <si>
    <t>#75887646</t>
  </si>
  <si>
    <t>#4-40, Class 2B, 3B, Single End Plug Thread Go Gage</t>
  </si>
  <si>
    <t>8975k631</t>
  </si>
  <si>
    <t>alum,degate fixture</t>
  </si>
  <si>
    <t>5147a73</t>
  </si>
  <si>
    <t>swivel tip</t>
  </si>
  <si>
    <t>21VL02</t>
  </si>
  <si>
    <t>GROUND BLOCK</t>
  </si>
  <si>
    <t>31335a12</t>
  </si>
  <si>
    <t>1/2 round pin                     shop</t>
  </si>
  <si>
    <t>4ZNT3</t>
  </si>
  <si>
    <t>Baldwin filter 8 5/8" x 6"</t>
  </si>
  <si>
    <t>75654103</t>
  </si>
  <si>
    <t>Holo-Krome - 1/2" Shoulder Diam x 1" Shoulder Length, 3/8–16 UNRC</t>
  </si>
  <si>
    <t>74117276</t>
  </si>
  <si>
    <t>LAP FILM</t>
  </si>
  <si>
    <t>8298a321</t>
  </si>
  <si>
    <t>1/4 end mill</t>
  </si>
  <si>
    <t>07771983</t>
  </si>
  <si>
    <t>9/16 end mill</t>
  </si>
  <si>
    <t>MSC # 55306153</t>
  </si>
  <si>
    <t>2-56 Class 2B,3B, single end plug thread gage GO gage</t>
  </si>
  <si>
    <t>2PYH4</t>
  </si>
  <si>
    <t>Yellow mop bucket</t>
  </si>
  <si>
    <t>9008k51</t>
  </si>
  <si>
    <t xml:space="preserve"> 1 3/4 by 1 3/4 by 36 inches aluminum          welder table</t>
  </si>
  <si>
    <t>59JM15</t>
  </si>
  <si>
    <t>Broom and dust pan</t>
  </si>
  <si>
    <t>8587k13</t>
  </si>
  <si>
    <t>3 1/2 by 12 plastic,vacumb clamp</t>
  </si>
  <si>
    <t>87636163</t>
  </si>
  <si>
    <t>9949T17</t>
  </si>
  <si>
    <t>caster swivel with brake</t>
  </si>
  <si>
    <t>5GVA9</t>
  </si>
  <si>
    <t>T-12 Ballast</t>
  </si>
  <si>
    <t>9949T357</t>
  </si>
  <si>
    <t>caster swivel</t>
  </si>
  <si>
    <t>05976337</t>
  </si>
  <si>
    <t>1/2 by 1  1/4 by 8    046</t>
  </si>
  <si>
    <t>67583963</t>
  </si>
  <si>
    <t>brass wood screws #10</t>
  </si>
  <si>
    <t>2ZJ27</t>
  </si>
  <si>
    <t>Latch Kit</t>
  </si>
  <si>
    <t>6589 A22</t>
  </si>
  <si>
    <t>STORAGE BOX</t>
  </si>
  <si>
    <t>8525k121</t>
  </si>
  <si>
    <t>alu,  degate fixture 303453</t>
  </si>
  <si>
    <t>34JM30</t>
  </si>
  <si>
    <t>eye protection sign</t>
  </si>
  <si>
    <t>46365A36</t>
  </si>
  <si>
    <t>Box of scotch brite</t>
  </si>
  <si>
    <t>COM-0035</t>
  </si>
  <si>
    <t>0261-0239 SCREW HEX WASHER #10X 5/8</t>
  </si>
  <si>
    <t>1ZHL1</t>
  </si>
  <si>
    <t>8X8X4 ENCLOSURE</t>
  </si>
  <si>
    <t>35446616</t>
  </si>
  <si>
    <t>11/16" Stroke x 1" Bore Single Acting Air Cylinder 150 Max psi, -40 to 250°F</t>
  </si>
  <si>
    <t>33Z351</t>
  </si>
  <si>
    <t>PLASTIC BIN DIVIDERS PKG OF 50</t>
  </si>
  <si>
    <t>39UK43</t>
  </si>
  <si>
    <t>Tie Wire</t>
  </si>
  <si>
    <t>4xc42</t>
  </si>
  <si>
    <t>ktk 10 fuse</t>
  </si>
  <si>
    <t>89965K32</t>
  </si>
  <si>
    <t>General Purpose Aluminum Tubing 1-1/2" OD, 1/8" Wall Thickness</t>
  </si>
  <si>
    <t>4ZFJ3</t>
  </si>
  <si>
    <t>air filter</t>
  </si>
  <si>
    <t>5W510</t>
  </si>
  <si>
    <t>Pleated air filter 16x25x1</t>
  </si>
  <si>
    <t>4179a154</t>
  </si>
  <si>
    <t xml:space="preserve"> band saw blade ,shop</t>
  </si>
  <si>
    <t>4WRZ8</t>
  </si>
  <si>
    <t>hard case</t>
  </si>
  <si>
    <t>75889253</t>
  </si>
  <si>
    <t>1/4-20, Class 2B, Double End Plug Thread Go/No Go Gage</t>
  </si>
  <si>
    <t>05975602</t>
  </si>
  <si>
    <t>80 grit grind wheel</t>
  </si>
  <si>
    <t>55315238</t>
  </si>
  <si>
    <t>1/4-20 Thread, Steel, Screw Thread Insert (STI) Class 2B, Plug Thread Insert no go gage</t>
  </si>
  <si>
    <t>1TYL8</t>
  </si>
  <si>
    <t>Cotton Mop Head</t>
  </si>
  <si>
    <t>9EVZ6</t>
  </si>
  <si>
    <t>repair tags pkg of 25</t>
  </si>
  <si>
    <t>9005k33</t>
  </si>
  <si>
    <t>alu bar,safeworks fixture</t>
  </si>
  <si>
    <t>51619286</t>
  </si>
  <si>
    <t>7447 6X9" 20/PK SCOTCH-BRITE HAND PAD</t>
  </si>
  <si>
    <t>05975529</t>
  </si>
  <si>
    <t>60 grit grind wheel</t>
  </si>
  <si>
    <t>1413k35</t>
  </si>
  <si>
    <t>tap magic</t>
  </si>
  <si>
    <t>3014t929</t>
  </si>
  <si>
    <t xml:space="preserve"> 1 inch eyebolt</t>
  </si>
  <si>
    <t>41N473</t>
  </si>
  <si>
    <t>Lens Cleaning Toweletee Dispenser 100 count</t>
  </si>
  <si>
    <t>3ryx1</t>
  </si>
  <si>
    <t>cigarette receptacle</t>
  </si>
  <si>
    <t>8525A14</t>
  </si>
  <si>
    <t>clamps</t>
  </si>
  <si>
    <t>5FY89</t>
  </si>
  <si>
    <t>monkey wrench</t>
  </si>
  <si>
    <t>01056787</t>
  </si>
  <si>
    <t>grind wheel 100grit</t>
  </si>
  <si>
    <t>5X786</t>
  </si>
  <si>
    <t>Air gun</t>
  </si>
  <si>
    <t>11Z104</t>
  </si>
  <si>
    <t>Floor Marking Tape, Pattern Solid, Red, Width 3 in, Roll Length 100 ft</t>
  </si>
  <si>
    <t>8885a321</t>
  </si>
  <si>
    <t>1/4 ball</t>
  </si>
  <si>
    <t>8887a323</t>
  </si>
  <si>
    <t>1/4 ball end mill</t>
  </si>
  <si>
    <t>49YK49</t>
  </si>
  <si>
    <t>15 AMP MALE PLUG</t>
  </si>
  <si>
    <t>COM-0455</t>
  </si>
  <si>
    <t>98032A429 FLAT STL WASHER .38OD .02-.04</t>
  </si>
  <si>
    <t>9713k51</t>
  </si>
  <si>
    <t>springs</t>
  </si>
  <si>
    <t>29515a72</t>
  </si>
  <si>
    <t>71/6 by 8 drill</t>
  </si>
  <si>
    <t>9949T358</t>
  </si>
  <si>
    <t>caster rigid</t>
  </si>
  <si>
    <t>5W511</t>
  </si>
  <si>
    <t>Pleated Air filter 20x20x1- Package of 12.</t>
  </si>
  <si>
    <t>4HCX2</t>
  </si>
  <si>
    <t>ZURN FLUSH VALVE</t>
  </si>
  <si>
    <t>8975k211</t>
  </si>
  <si>
    <t>3/8 by 4 by 3 foot aluminum ,shop, dovetai vise</t>
  </si>
  <si>
    <t>2626A32</t>
  </si>
  <si>
    <t>tap</t>
  </si>
  <si>
    <t>8302A32</t>
  </si>
  <si>
    <t>M2 taps</t>
  </si>
  <si>
    <t>59924563</t>
  </si>
  <si>
    <t>7/16 end mill</t>
  </si>
  <si>
    <t>8525A13</t>
  </si>
  <si>
    <t>CLAMPS</t>
  </si>
  <si>
    <t>5128a85</t>
  </si>
  <si>
    <t>clamps,degate fixture 303453</t>
  </si>
  <si>
    <t>3CUP2</t>
  </si>
  <si>
    <t>Strapping sealer</t>
  </si>
  <si>
    <t>48RU11</t>
  </si>
  <si>
    <t>Plastic lock out tag 25 pk</t>
  </si>
  <si>
    <t>29745a83</t>
  </si>
  <si>
    <t>71/6 by 12 inch drill,shop</t>
  </si>
  <si>
    <t>5563K14</t>
  </si>
  <si>
    <t>3" hose</t>
  </si>
  <si>
    <t>1NYA2</t>
  </si>
  <si>
    <t>Adjustable Wrench, Alloy Steel, Chrome, 6 in, Jaw Capacity 15/16 in, Plain</t>
  </si>
  <si>
    <t>9001K86</t>
  </si>
  <si>
    <t>3" aluminum U channel 4 ft</t>
  </si>
  <si>
    <t>05934708</t>
  </si>
  <si>
    <t>grinding wheel</t>
  </si>
  <si>
    <t>9949T27</t>
  </si>
  <si>
    <t>rigid 3 "caster</t>
  </si>
  <si>
    <t>40cp80</t>
  </si>
  <si>
    <t>emergancy licght</t>
  </si>
  <si>
    <t>MSC #55307474</t>
  </si>
  <si>
    <t>6-32. Class 2B, single end plug thread, No Go Gage</t>
  </si>
  <si>
    <t>3190k21</t>
  </si>
  <si>
    <t>acetone</t>
  </si>
  <si>
    <t>34645k85</t>
  </si>
  <si>
    <t>cleaner</t>
  </si>
  <si>
    <t>31DT34</t>
  </si>
  <si>
    <t>cap cover w/spring</t>
  </si>
  <si>
    <t>52DY60</t>
  </si>
  <si>
    <t>Brother label maker</t>
  </si>
  <si>
    <t>16d126</t>
  </si>
  <si>
    <t>Plate caster w/lock</t>
  </si>
  <si>
    <t>0653 1057</t>
  </si>
  <si>
    <t>09798042</t>
  </si>
  <si>
    <t>earplugs</t>
  </si>
  <si>
    <t>8ttd7</t>
  </si>
  <si>
    <t>plastic drawer bin cabinet</t>
  </si>
  <si>
    <t>5JLD8</t>
  </si>
  <si>
    <t>VELCRO 3/4IN X 15FT</t>
  </si>
  <si>
    <t>75870717</t>
  </si>
  <si>
    <t>cut off wheel</t>
  </si>
  <si>
    <t>01403229</t>
  </si>
  <si>
    <t>11/32 DRILL</t>
  </si>
  <si>
    <t>5128A17</t>
  </si>
  <si>
    <t>CLAMPS                  F6815</t>
  </si>
  <si>
    <t>9657k321</t>
  </si>
  <si>
    <t xml:space="preserve"> 5/8 by 6 inch springs</t>
  </si>
  <si>
    <t>456D03</t>
  </si>
  <si>
    <t>Caution Sign 7" X 10" (Do not operate when wearing gloves/loose clothing)</t>
  </si>
  <si>
    <t>8302a12</t>
  </si>
  <si>
    <t>m3 taps</t>
  </si>
  <si>
    <t>8975k971</t>
  </si>
  <si>
    <t>alu plate by 1 foot                F6809</t>
  </si>
  <si>
    <t>90298a544</t>
  </si>
  <si>
    <t>1/4 by 1  and 1/4 socket head shoulder bolt</t>
  </si>
  <si>
    <t>38GV74</t>
  </si>
  <si>
    <t>16 oz Oiler</t>
  </si>
  <si>
    <t>5901a14</t>
  </si>
  <si>
    <t>1/4 -20 ball plunger</t>
  </si>
  <si>
    <t>7345t81</t>
  </si>
  <si>
    <t>zep spirit ii (simply green discontinued)</t>
  </si>
  <si>
    <t>4BY76</t>
  </si>
  <si>
    <t>grease gun</t>
  </si>
  <si>
    <t>6fav1</t>
  </si>
  <si>
    <t>16oz plastic bottles</t>
  </si>
  <si>
    <t>29515a67</t>
  </si>
  <si>
    <t>5/16 by 8 drill</t>
  </si>
  <si>
    <t>5128a83</t>
  </si>
  <si>
    <t>toggle clamps</t>
  </si>
  <si>
    <t>cx 17</t>
  </si>
  <si>
    <t>core pin</t>
  </si>
  <si>
    <t>53UJ77</t>
  </si>
  <si>
    <t>angle broom</t>
  </si>
  <si>
    <t>3023a254</t>
  </si>
  <si>
    <t xml:space="preserve"> 5/8 oversize rod                       r5349</t>
  </si>
  <si>
    <t>148051T721     acetone</t>
  </si>
  <si>
    <t>acetone container</t>
  </si>
  <si>
    <t>91251A811</t>
  </si>
  <si>
    <t>Black-Oxide Alloy Steel Socket Head Screw, 5/8"-11 Thread Size, 4-1/4" Long</t>
  </si>
  <si>
    <t>22JY91</t>
  </si>
  <si>
    <t>6" PVC Flange</t>
  </si>
  <si>
    <t>86319886</t>
  </si>
  <si>
    <t xml:space="preserve"> clamps                      F6809</t>
  </si>
  <si>
    <t>06444491</t>
  </si>
  <si>
    <t>tips</t>
  </si>
  <si>
    <t>29745a53</t>
  </si>
  <si>
    <t>7/16 by 8 inch drill, shop</t>
  </si>
  <si>
    <t>05948922</t>
  </si>
  <si>
    <t>100 grit  wheel</t>
  </si>
  <si>
    <t>02035053</t>
  </si>
  <si>
    <t>.505 reamer</t>
  </si>
  <si>
    <t>55405t25</t>
  </si>
  <si>
    <t xml:space="preserve"> cabinet gloves</t>
  </si>
  <si>
    <t>6498k407</t>
  </si>
  <si>
    <t>air cylinder</t>
  </si>
  <si>
    <t>9008k46</t>
  </si>
  <si>
    <t xml:space="preserve"> 1.5 by1.5 by 2 feet aluminum</t>
  </si>
  <si>
    <t>8982k127</t>
  </si>
  <si>
    <t>3 " aluminum 90 4 ft</t>
  </si>
  <si>
    <t>8302a14</t>
  </si>
  <si>
    <t>m4 taps</t>
  </si>
  <si>
    <t>8302a16</t>
  </si>
  <si>
    <t>m5 taps</t>
  </si>
  <si>
    <t>49EC22</t>
  </si>
  <si>
    <t>Caution Sign 3 1/2" x 5" (Do not operate when wearing gloves/loose clothing)</t>
  </si>
  <si>
    <t>11Z089</t>
  </si>
  <si>
    <t>Floor Marking Tape, Pattern Striped, Black, Yellow, Width 2 in, Roll Length 100 ft</t>
  </si>
  <si>
    <t>493G73</t>
  </si>
  <si>
    <t>stack bin black</t>
  </si>
  <si>
    <t>31JF99</t>
  </si>
  <si>
    <t>Brass screw pkg of 100</t>
  </si>
  <si>
    <t>31tt93</t>
  </si>
  <si>
    <t>24 drawer bin cabinet</t>
  </si>
  <si>
    <t>22pg36</t>
  </si>
  <si>
    <t>1/4" to 3/8" drive bit</t>
  </si>
  <si>
    <t>91290A228</t>
  </si>
  <si>
    <t>Black-Oxide Alloy Steel Socket Head Screw M5 x 0.8 mm Thread, 12 mm Long Packs of 100</t>
  </si>
  <si>
    <t>400H31</t>
  </si>
  <si>
    <t>LED flush mount light</t>
  </si>
  <si>
    <t>COM-0662</t>
  </si>
  <si>
    <t>96817A867 Screw - 25 Pack</t>
  </si>
  <si>
    <t>22RY57</t>
  </si>
  <si>
    <t>1/2-13 x 3/4" bolt 25 pk</t>
  </si>
  <si>
    <t>3126A68</t>
  </si>
  <si>
    <t>Spring plunger</t>
  </si>
  <si>
    <t>22JY78</t>
  </si>
  <si>
    <t>PVC reducer bushing, 6"x4"</t>
  </si>
  <si>
    <t>IECL5</t>
  </si>
  <si>
    <t>mop/ Broom rack</t>
  </si>
  <si>
    <t>5779K246</t>
  </si>
  <si>
    <t>1/4 push connect 10/32 thread</t>
  </si>
  <si>
    <t>6305K161</t>
  </si>
  <si>
    <t>1/4-20 black handle,shop ,dovetail vise</t>
  </si>
  <si>
    <t>8975k12</t>
  </si>
  <si>
    <t>aluminum 5/8 by 1 by 3 foot, shop, dovetail vise</t>
  </si>
  <si>
    <t>5128a62</t>
  </si>
  <si>
    <t>clamps    F6809</t>
  </si>
  <si>
    <t>9263K722</t>
  </si>
  <si>
    <t>ORING  pack of 10</t>
  </si>
  <si>
    <t>1MKR4</t>
  </si>
  <si>
    <t>12 ft Steel SAE Tape Measure, Chrome</t>
  </si>
  <si>
    <t>22JY77</t>
  </si>
  <si>
    <t>6" to 3" reducing bushing for chiller repair</t>
  </si>
  <si>
    <t>15C142</t>
  </si>
  <si>
    <t>3M DOUBLE SIDED TAPE</t>
  </si>
  <si>
    <t>1A098</t>
  </si>
  <si>
    <t>v belt A47</t>
  </si>
  <si>
    <t>8910K939</t>
  </si>
  <si>
    <t>1/2" steel bar 6 ft</t>
  </si>
  <si>
    <t>32J965</t>
  </si>
  <si>
    <t>GP CASTSER</t>
  </si>
  <si>
    <t>82028770</t>
  </si>
  <si>
    <t>36X056</t>
  </si>
  <si>
    <t>3/8" male adapter</t>
  </si>
  <si>
    <t>4DE66</t>
  </si>
  <si>
    <t>4 in caster</t>
  </si>
  <si>
    <t>4Z252</t>
  </si>
  <si>
    <t>honeywell T stat</t>
  </si>
  <si>
    <t>88700059</t>
  </si>
  <si>
    <t>0.18-.281 inch double end plug gage handle</t>
  </si>
  <si>
    <t>5YRF1</t>
  </si>
  <si>
    <t>M8-1.25 x 40mm Socket head cap screw 100 pk</t>
  </si>
  <si>
    <t>91259a587</t>
  </si>
  <si>
    <t xml:space="preserve"> 5/16 shoulder by 1 1/2  shouder bolt</t>
  </si>
  <si>
    <t>67365122</t>
  </si>
  <si>
    <t>#6 brass screw 100/pack</t>
  </si>
  <si>
    <t>15u844</t>
  </si>
  <si>
    <t>sorbent pads 15x17"</t>
  </si>
  <si>
    <t>60FD27</t>
  </si>
  <si>
    <t>Plate caster, Rigid</t>
  </si>
  <si>
    <t>91251a542</t>
  </si>
  <si>
    <t>1/4-20 by 1 shcs</t>
  </si>
  <si>
    <t>36X057</t>
  </si>
  <si>
    <t>3/8 brass male adapter</t>
  </si>
  <si>
    <t>22C609</t>
  </si>
  <si>
    <t>SIMPLE GREEN 1 GAL</t>
  </si>
  <si>
    <t>1AM99</t>
  </si>
  <si>
    <t>Socket, 1/2 in Drive Size, 15/16 in Socket Size, 12 Point</t>
  </si>
  <si>
    <t>21EK77</t>
  </si>
  <si>
    <t>Batteries D 12pk</t>
  </si>
  <si>
    <t>01401645</t>
  </si>
  <si>
    <t>retention knob</t>
  </si>
  <si>
    <t>4HY37</t>
  </si>
  <si>
    <t>Stacking Bin, Red, 12 1/2 inH x 17 1/2 inL x 10 7/8 inW, 1EA</t>
  </si>
  <si>
    <t>67365163</t>
  </si>
  <si>
    <t>brass wood screw #6</t>
  </si>
  <si>
    <t>53YU91</t>
  </si>
  <si>
    <t>Socket, 1/2 in Drive Size, 7/8 in Socket Size, 6-point</t>
  </si>
  <si>
    <t>91274A194</t>
  </si>
  <si>
    <t>Zinc-Aluminum-Coated Alloy Steel Socket Head Screw, 3/4"-10 Thread Size, 2-1/2" Long</t>
  </si>
  <si>
    <t>8910k659</t>
  </si>
  <si>
    <t>3/8 by 3 feet steel               welder table</t>
  </si>
  <si>
    <t>31CN63</t>
  </si>
  <si>
    <t>Dewalt staple gun</t>
  </si>
  <si>
    <t>83075820</t>
  </si>
  <si>
    <t>grinding wax</t>
  </si>
  <si>
    <t>8953k95</t>
  </si>
  <si>
    <t>3/4 brass rod , by 1 foot  mro 37827</t>
  </si>
  <si>
    <t>3JT05</t>
  </si>
  <si>
    <t>24" Gloves pair</t>
  </si>
  <si>
    <t>4592k43</t>
  </si>
  <si>
    <t xml:space="preserve"> thread seal</t>
  </si>
  <si>
    <t>54635k2</t>
  </si>
  <si>
    <t>air hose</t>
  </si>
  <si>
    <t>89279574</t>
  </si>
  <si>
    <t>tip</t>
  </si>
  <si>
    <t>09476268</t>
  </si>
  <si>
    <t>Burn Dressin 4" long X 4" wide</t>
  </si>
  <si>
    <t>24T319</t>
  </si>
  <si>
    <t>3/8 leg pk 5000 staples</t>
  </si>
  <si>
    <t>02557387</t>
  </si>
  <si>
    <t>0.376 reamer</t>
  </si>
  <si>
    <t>6091k49</t>
  </si>
  <si>
    <t>knob</t>
  </si>
  <si>
    <t>45JX13</t>
  </si>
  <si>
    <t>staples 1/4 heavy duty pk 5000</t>
  </si>
  <si>
    <t>02557379</t>
  </si>
  <si>
    <t>0.374 reamer</t>
  </si>
  <si>
    <t>8481A36</t>
  </si>
  <si>
    <t>TOOLING BALL, SHOP</t>
  </si>
  <si>
    <t>3CTV6</t>
  </si>
  <si>
    <t>open seal 3/4 in pkg of 200</t>
  </si>
  <si>
    <t>6271k16</t>
  </si>
  <si>
    <t>handles                          shop vacumb  clamp</t>
  </si>
  <si>
    <t>30005581</t>
  </si>
  <si>
    <t>wd40</t>
  </si>
  <si>
    <t>33152588</t>
  </si>
  <si>
    <t>19/64 reamer</t>
  </si>
  <si>
    <t>9573k12</t>
  </si>
  <si>
    <t>1DYB5</t>
  </si>
  <si>
    <t>tapered oval nozzle</t>
  </si>
  <si>
    <t>93827a277</t>
  </si>
  <si>
    <t xml:space="preserve"> 1 inch nut</t>
  </si>
  <si>
    <t>49en35</t>
  </si>
  <si>
    <t>5 gallon bucket</t>
  </si>
  <si>
    <t>4997a55</t>
  </si>
  <si>
    <t>clamp</t>
  </si>
  <si>
    <t>60FC02</t>
  </si>
  <si>
    <t>3 in caster w/brake</t>
  </si>
  <si>
    <t>5128a24</t>
  </si>
  <si>
    <t>clamp,safeworks fixture</t>
  </si>
  <si>
    <t>5779K244</t>
  </si>
  <si>
    <t>Push-to-Connect Tube Fitting for Air Adapter, for 5/32" Tube OD x 10-32 Thread Male Pipe</t>
  </si>
  <si>
    <t>33148990</t>
  </si>
  <si>
    <t>0.3115 reamer</t>
  </si>
  <si>
    <t>2DDB6</t>
  </si>
  <si>
    <t>ELECTRICAL BOX</t>
  </si>
  <si>
    <t>9657k657</t>
  </si>
  <si>
    <t xml:space="preserve"> 1/4 by .360 by .625 springs,dovetail vises</t>
  </si>
  <si>
    <t>88800289</t>
  </si>
  <si>
    <t>0.204-0.212 inch plug gage handle bushing</t>
  </si>
  <si>
    <t>23NY07</t>
  </si>
  <si>
    <t>TERMINAL BLOCK</t>
  </si>
  <si>
    <t>35915362</t>
  </si>
  <si>
    <t>#4-48. 0.0250" Diam, Black Oxide Steel Flat Needle Contact Point</t>
  </si>
  <si>
    <t>22UJ94</t>
  </si>
  <si>
    <t>1/2" Star Washer 10 pk</t>
  </si>
  <si>
    <t>22TZ93</t>
  </si>
  <si>
    <t>M12-1.75 Socket Head Cap Screw 25 pk</t>
  </si>
  <si>
    <t>9434k43</t>
  </si>
  <si>
    <t xml:space="preserve"> 1/4by5/8 spring , dovetail vise</t>
  </si>
  <si>
    <t>55EC55</t>
  </si>
  <si>
    <t>25' Yellow 2" chain</t>
  </si>
  <si>
    <t>64MV50</t>
  </si>
  <si>
    <t>Not an entrance sign</t>
  </si>
  <si>
    <t>41D625</t>
  </si>
  <si>
    <t>T8 Torx power bit 5 pk</t>
  </si>
  <si>
    <t>9220T78</t>
  </si>
  <si>
    <t>steel wire cloth</t>
  </si>
  <si>
    <t>36UV50</t>
  </si>
  <si>
    <t>blank brass tag</t>
  </si>
  <si>
    <t>9464K33</t>
  </si>
  <si>
    <t>orings</t>
  </si>
  <si>
    <t>30144521</t>
  </si>
  <si>
    <t>0.249 reamer</t>
  </si>
  <si>
    <t>9220T81</t>
  </si>
  <si>
    <t>84945A47</t>
  </si>
  <si>
    <t>02557254</t>
  </si>
  <si>
    <t>0.251 reamer</t>
  </si>
  <si>
    <t>7327t21</t>
  </si>
  <si>
    <t>brass brush</t>
  </si>
  <si>
    <t>31UD34</t>
  </si>
  <si>
    <t>Hook Pin</t>
  </si>
  <si>
    <t>MSC# 88700059</t>
  </si>
  <si>
    <t>.18-.281" DOUBLE END PLUG GAGE HANDLE GO/NOGO</t>
  </si>
  <si>
    <t>5C228</t>
  </si>
  <si>
    <t>DUPLEX WALLPLATE</t>
  </si>
  <si>
    <t>65220097</t>
  </si>
  <si>
    <t>1/4-20 BALL PLUNGER W LOCK , 3 BAGS 5 EACH</t>
  </si>
  <si>
    <t>60FC01</t>
  </si>
  <si>
    <t>3 in caster</t>
  </si>
  <si>
    <t>91255A618</t>
  </si>
  <si>
    <t>button head  screw  3/8-16 by 4 inches</t>
  </si>
  <si>
    <t>33155177</t>
  </si>
  <si>
    <t>3/16 reamer</t>
  </si>
  <si>
    <t>43Z107</t>
  </si>
  <si>
    <t>Carpet Adhesive, 1 gal</t>
  </si>
  <si>
    <t>23NY28</t>
  </si>
  <si>
    <t>END CLAMP</t>
  </si>
  <si>
    <t>90298a597</t>
  </si>
  <si>
    <t>5/16 by   3 1/2  shoulder bolts</t>
  </si>
  <si>
    <t>02290161</t>
  </si>
  <si>
    <t>1/4 reamer</t>
  </si>
  <si>
    <t>9223K84</t>
  </si>
  <si>
    <t>Threaded-Stud Bumper Polyurethane, 3/8"-16 Thread, 2" OD, 3/8" High, Durometer 85A, Black</t>
  </si>
  <si>
    <t>33147992</t>
  </si>
  <si>
    <t>0.1885 reamer</t>
  </si>
  <si>
    <t>1DYB6</t>
  </si>
  <si>
    <t>vacuum hose pvc adapter</t>
  </si>
  <si>
    <t>26475a81</t>
  </si>
  <si>
    <t>26LG51</t>
  </si>
  <si>
    <t>M8-1.25 x 35mm Socket head cap screw 100 pk</t>
  </si>
  <si>
    <t>5EMK5</t>
  </si>
  <si>
    <t>GENERAL PURPOSE RELAY</t>
  </si>
  <si>
    <t>8947A142</t>
  </si>
  <si>
    <t>Short-Length High-Speed Steel Drill Bit Uncoated, 1/2" Size</t>
  </si>
  <si>
    <t>8870a32</t>
  </si>
  <si>
    <t>5  /16 drill</t>
  </si>
  <si>
    <t>02557189</t>
  </si>
  <si>
    <t>0.1865 reamer</t>
  </si>
  <si>
    <t>4FCC2</t>
  </si>
  <si>
    <t>1/2-13 nut 50 pk</t>
  </si>
  <si>
    <t>93625K183</t>
  </si>
  <si>
    <t>Wear-Resistant Natural Gum Foam Strip Adhesive-Back, 4" Wide, 1/8" Thick</t>
  </si>
  <si>
    <t>43475151</t>
  </si>
  <si>
    <t>paint marker</t>
  </si>
  <si>
    <t>36A216</t>
  </si>
  <si>
    <t>Combination Wrench, Alloy Steel, Chrome, 7/8 in Head Size, 11 1/2 in Overall Length</t>
  </si>
  <si>
    <t>9125aa619</t>
  </si>
  <si>
    <t>shoulder bolts</t>
  </si>
  <si>
    <t>13N723</t>
  </si>
  <si>
    <t>1 1/8 socket</t>
  </si>
  <si>
    <t>5P509</t>
  </si>
  <si>
    <t>3/8" NPT male to 1/4"NPT female  bushing</t>
  </si>
  <si>
    <t>91290A210</t>
  </si>
  <si>
    <t>metric bolt pkg of 10</t>
  </si>
  <si>
    <t>8950k542</t>
  </si>
  <si>
    <t>1/4 od brass tube by  6 foot , mro 37827</t>
  </si>
  <si>
    <t>MSC# 78372554</t>
  </si>
  <si>
    <t>0.059" Diam Class ZZ Minus Plug &amp; Pin Gage</t>
  </si>
  <si>
    <t>ADH-0017</t>
  </si>
  <si>
    <t>737 SEALANT, COLOR CLEAR</t>
  </si>
  <si>
    <t>24VA84</t>
  </si>
  <si>
    <t>VINYL LETTER C 10 PKG</t>
  </si>
  <si>
    <t>33152216</t>
  </si>
  <si>
    <t>5/32 reamer</t>
  </si>
  <si>
    <t>35HV79</t>
  </si>
  <si>
    <t>1/2" x 1-1/4" Fender washer 50 pk</t>
  </si>
  <si>
    <t>60221515</t>
  </si>
  <si>
    <t>9/32 drill</t>
  </si>
  <si>
    <t>1L035</t>
  </si>
  <si>
    <t>radial bearing 8mm bore x22mm OD</t>
  </si>
  <si>
    <t>24VA83</t>
  </si>
  <si>
    <t>VIYNL LETTER B PKG OF 10</t>
  </si>
  <si>
    <t>401L48</t>
  </si>
  <si>
    <t>Precision Slotted Screwdriver, Tip Size 1/16 in</t>
  </si>
  <si>
    <t>91458A340</t>
  </si>
  <si>
    <t>High Locking Strength Retaining Compound for Oily Close-Fit Parts, Loctite® 603, 0.34 oz.</t>
  </si>
  <si>
    <t>1GUD4</t>
  </si>
  <si>
    <t>Drum Faucet</t>
  </si>
  <si>
    <t>24VA85</t>
  </si>
  <si>
    <t>VINYL LETTER D 10 PKG</t>
  </si>
  <si>
    <t>24VA92</t>
  </si>
  <si>
    <t>VINYL LETTER K 10 PKG</t>
  </si>
  <si>
    <t>24VA93</t>
  </si>
  <si>
    <t>VINYL LETTER L PKG OF 10</t>
  </si>
  <si>
    <t>24VA96</t>
  </si>
  <si>
    <t>VINYL LETTER O 10 PKG</t>
  </si>
  <si>
    <t>452C34</t>
  </si>
  <si>
    <t>Floor Marking Tape: Gen Purpose, Striped, Black/Yellow, 1 1/2 in x 54 ft, 6 mil Tape Thick</t>
  </si>
  <si>
    <t>67364729</t>
  </si>
  <si>
    <t>brass wood screw #4 qty 100</t>
  </si>
  <si>
    <t>ADH-0037</t>
  </si>
  <si>
    <t>Permatex Clear RTV Silicone 80050</t>
  </si>
  <si>
    <t>1VFR6</t>
  </si>
  <si>
    <t>3" PVC Flange</t>
  </si>
  <si>
    <t>473C29</t>
  </si>
  <si>
    <t>receiving sign right arrow</t>
  </si>
  <si>
    <t>13A631</t>
  </si>
  <si>
    <t>Notched Trowel</t>
  </si>
  <si>
    <t>1289N155</t>
  </si>
  <si>
    <t>ORING PACK</t>
  </si>
  <si>
    <t>9528k29</t>
  </si>
  <si>
    <t>ball bearings                  welder table</t>
  </si>
  <si>
    <t>MSC#88800289</t>
  </si>
  <si>
    <t>.204-.212" PLUG GAGE HANDLE BUSHING GO/NOGO</t>
  </si>
  <si>
    <t>49en42</t>
  </si>
  <si>
    <t>pail lid</t>
  </si>
  <si>
    <t>13N720</t>
  </si>
  <si>
    <t>15/16 socket</t>
  </si>
  <si>
    <t>2EYR6</t>
  </si>
  <si>
    <t>aluminum angle 2 in</t>
  </si>
  <si>
    <t>65362709</t>
  </si>
  <si>
    <t>bottle</t>
  </si>
  <si>
    <t>65362717</t>
  </si>
  <si>
    <t>26LG30</t>
  </si>
  <si>
    <t>M5-0.80 x 30mm Socket head cap screw 100 pk</t>
  </si>
  <si>
    <t>6A111</t>
  </si>
  <si>
    <t>handle storage device</t>
  </si>
  <si>
    <t>11k258</t>
  </si>
  <si>
    <t>wall anchors- #10x 2 1/16th</t>
  </si>
  <si>
    <t>16Y028</t>
  </si>
  <si>
    <t>bailing wire</t>
  </si>
  <si>
    <t>24VA86</t>
  </si>
  <si>
    <t>VINYL LETTER E 10 PKG</t>
  </si>
  <si>
    <t>1TZB1</t>
  </si>
  <si>
    <t>mop handle</t>
  </si>
  <si>
    <t>12F309</t>
  </si>
  <si>
    <t>hazardous material paint can shippers kit.</t>
  </si>
  <si>
    <t>6CU13</t>
  </si>
  <si>
    <t>M8-1.25 x 10mm Socket head cap screw 100 pk</t>
  </si>
  <si>
    <t>MSC# 35915966</t>
  </si>
  <si>
    <t>#4-48, 1/64" Diam, Black Oxide Steel Tapered Contact Point</t>
  </si>
  <si>
    <t>7767t56</t>
  </si>
  <si>
    <t>steel tube 1 foot</t>
  </si>
  <si>
    <t>91253a008</t>
  </si>
  <si>
    <t xml:space="preserve"> flat head screws</t>
  </si>
  <si>
    <t>91251a541</t>
  </si>
  <si>
    <t xml:space="preserve"> 1/4 -20 by 7/8 shcs</t>
  </si>
  <si>
    <t>1TUV5</t>
  </si>
  <si>
    <t>FLANGE GASKET</t>
  </si>
  <si>
    <t>8975k594</t>
  </si>
  <si>
    <t>aluminum 1/4 by 3/4 by 3 foot, shop, dovetail vise</t>
  </si>
  <si>
    <t>7815K12</t>
  </si>
  <si>
    <t>Flanged Sleeve Bushing 1/4"</t>
  </si>
  <si>
    <t>6YB52</t>
  </si>
  <si>
    <t>peg board hook</t>
  </si>
  <si>
    <t>9435k129</t>
  </si>
  <si>
    <t>springs             welder table</t>
  </si>
  <si>
    <t>9435k132</t>
  </si>
  <si>
    <t>springs               welder table</t>
  </si>
  <si>
    <t>5WZU9</t>
  </si>
  <si>
    <t>Helical insert 1/4 20 x .375- pack of 10</t>
  </si>
  <si>
    <t>6yB56</t>
  </si>
  <si>
    <t>spring clip</t>
  </si>
  <si>
    <t>91375a196</t>
  </si>
  <si>
    <t>8-32 by ¼ set screws</t>
  </si>
  <si>
    <t>91251a540</t>
  </si>
  <si>
    <t xml:space="preserve"> 1/4 -20 by 3/4 shcs</t>
  </si>
  <si>
    <t>4FLZ8</t>
  </si>
  <si>
    <t>Pressure Guage</t>
  </si>
  <si>
    <t>1CNZ2</t>
  </si>
  <si>
    <t>Utility Knife</t>
  </si>
  <si>
    <t>6ZEG6</t>
  </si>
  <si>
    <t>TERMIAL STRIP</t>
  </si>
  <si>
    <t>53596425</t>
  </si>
  <si>
    <t>acid brush</t>
  </si>
  <si>
    <t>02290088</t>
  </si>
  <si>
    <t>1/8 reamer</t>
  </si>
  <si>
    <t>49nw13</t>
  </si>
  <si>
    <t>tough guy Degreaser</t>
  </si>
  <si>
    <t>6CU15</t>
  </si>
  <si>
    <t>M8-1.25 x 16mm Socket head cap screw 100 pk</t>
  </si>
  <si>
    <t>91251a537</t>
  </si>
  <si>
    <t xml:space="preserve">   1/2  shcs</t>
  </si>
  <si>
    <t>26LG28</t>
  </si>
  <si>
    <t>M5-0.80 x 20mm Socket head cap screw 100 pk</t>
  </si>
  <si>
    <t>98296a021</t>
  </si>
  <si>
    <t>core pins</t>
  </si>
  <si>
    <t>9929t18</t>
  </si>
  <si>
    <t>aluminum  tube 3 feet</t>
  </si>
  <si>
    <t>1WEA1</t>
  </si>
  <si>
    <t>13 in x 4 1/8 in x 7 in Plastic Wall File, Smoke</t>
  </si>
  <si>
    <t>98381a540</t>
  </si>
  <si>
    <t>1/4 dowels</t>
  </si>
  <si>
    <t>45909629</t>
  </si>
  <si>
    <t>Burn cream w/lidocane (packs of 25)</t>
  </si>
  <si>
    <t>473C46</t>
  </si>
  <si>
    <t>receiving sign</t>
  </si>
  <si>
    <t>98381a510</t>
  </si>
  <si>
    <t>3/16 by 1 inch dowel, dovetail vises</t>
  </si>
  <si>
    <t>9219T154</t>
  </si>
  <si>
    <t>.104 mesh screen 1ft x 1ft</t>
  </si>
  <si>
    <t>92220a221</t>
  </si>
  <si>
    <t>5/16/18 low head</t>
  </si>
  <si>
    <t>5LE25</t>
  </si>
  <si>
    <t>AAA batteries 24 pk</t>
  </si>
  <si>
    <t>91253a192</t>
  </si>
  <si>
    <t>8-32 by 3/8 fhcs</t>
  </si>
  <si>
    <t>45910148</t>
  </si>
  <si>
    <t>3x3 Gauze pads (25 pads per box)</t>
  </si>
  <si>
    <t>91251a148</t>
  </si>
  <si>
    <t>6-32 by 1/2 shcs,dovetail vises</t>
  </si>
  <si>
    <t>5B365</t>
  </si>
  <si>
    <t>TERMINAL BLOCK JUMPER</t>
  </si>
  <si>
    <t>5LE23</t>
  </si>
  <si>
    <t>AA batteries 24 pk</t>
  </si>
  <si>
    <t>90145A540</t>
  </si>
  <si>
    <t>1/4 BY 3/ 4 dowel pins</t>
  </si>
  <si>
    <t>90920a270</t>
  </si>
  <si>
    <t>torx screws</t>
  </si>
  <si>
    <t>9452522</t>
  </si>
  <si>
    <t>110 orings</t>
  </si>
  <si>
    <t>78374485</t>
  </si>
  <si>
    <t>.252 pin</t>
  </si>
  <si>
    <t>78374519</t>
  </si>
  <si>
    <t>.255 pin</t>
  </si>
  <si>
    <t>2901a214</t>
  </si>
  <si>
    <t>#40 drill</t>
  </si>
  <si>
    <t>2901a221</t>
  </si>
  <si>
    <t>#46 drill</t>
  </si>
  <si>
    <t>2901a225</t>
  </si>
  <si>
    <t>#50drill,</t>
  </si>
  <si>
    <t>91251a544</t>
  </si>
  <si>
    <t>1/7 -20 by 1 /14 shcs</t>
  </si>
  <si>
    <t>2901a232</t>
  </si>
  <si>
    <t>#56 drill</t>
  </si>
  <si>
    <t>2FP65</t>
  </si>
  <si>
    <t>High Performance Rust Preventative Spray Paint in Gloss Equipment Yellow for Metal, Steel, 15 oz</t>
  </si>
  <si>
    <t>2FP66</t>
  </si>
  <si>
    <t>High Performance Rust Preventative Spray Paint in Flat Black for Metal, Steel, 15 oz</t>
  </si>
  <si>
    <t>5H902</t>
  </si>
  <si>
    <t>High Performance Rust Preventative Spray Paint in Gloss Tan for Metal, Steel, 15 oz</t>
  </si>
  <si>
    <t>8870a23</t>
  </si>
  <si>
    <t>3/16 drill</t>
  </si>
  <si>
    <t>98381a548</t>
  </si>
  <si>
    <t>40PM79</t>
  </si>
  <si>
    <t>Universal Spray Paint in Gloss White for Aluminum, Metal, Wood, 12 oz</t>
  </si>
  <si>
    <t>7767T331</t>
  </si>
  <si>
    <t>steel round tube</t>
  </si>
  <si>
    <t>9396k138</t>
  </si>
  <si>
    <t>High-Temperature High-Purity Silicone O-Ring, 3/32 Fractional Width, Dash Number 108</t>
  </si>
  <si>
    <t>8870a17</t>
  </si>
  <si>
    <t>7/64 drill</t>
  </si>
  <si>
    <t>8975k591</t>
  </si>
  <si>
    <t>1/4 by 1/2 by 3 foot aluminum, shop ,dovetail vise</t>
  </si>
  <si>
    <t>9396K136</t>
  </si>
  <si>
    <t>High-Temperature High-Purity Silicone O-Ring, 3/32 Fractional Width, Dash Number 105</t>
  </si>
  <si>
    <t>92220a215</t>
  </si>
  <si>
    <t>6YH34</t>
  </si>
  <si>
    <t>Twist on Wire Connector Gray 100 pk</t>
  </si>
  <si>
    <t>9452K34</t>
  </si>
  <si>
    <t>Oil-Resistant Buna-N O-Rings</t>
  </si>
  <si>
    <t>35915370</t>
  </si>
  <si>
    <t>indicator tips</t>
  </si>
  <si>
    <t>9657k122</t>
  </si>
  <si>
    <t>92220A174</t>
  </si>
  <si>
    <t xml:space="preserve"> 10-32 BY  5/8 LOW HEAD  CAP SCREW</t>
  </si>
  <si>
    <t>92220a184</t>
  </si>
  <si>
    <t xml:space="preserve"> 1/4 -20   LOW HEAD CAP SCREW</t>
  </si>
  <si>
    <t>98381a507</t>
  </si>
  <si>
    <t>3/16 dovel by .625 ,dovetail vise</t>
  </si>
  <si>
    <t>22UJ92</t>
  </si>
  <si>
    <t>3/8" Star Washer 50 pk</t>
  </si>
  <si>
    <t>54TJ13</t>
  </si>
  <si>
    <t>Tough Coat Rust Preventative Spray Paint in Gloss Zinger Pink for Metal, Steel, 12 oz</t>
  </si>
  <si>
    <t>54TJ28</t>
  </si>
  <si>
    <t>Tough Coat Rust Preventative Spray Paint in Gloss Purple for Metal, Steel, 12 oz</t>
  </si>
  <si>
    <t>54TJ34</t>
  </si>
  <si>
    <t>Tough Coat Rust Preventative Spray Paint in Gloss Silver for Metal, Steel, 12 oz</t>
  </si>
  <si>
    <t>23055a 002</t>
  </si>
  <si>
    <t>.090  gauge pins</t>
  </si>
  <si>
    <t>23055a002               .254</t>
  </si>
  <si>
    <t>.254 diamater gauge pins</t>
  </si>
  <si>
    <t>23055a002           .099</t>
  </si>
  <si>
    <t>.099 diamater gauge pins</t>
  </si>
  <si>
    <t>23055a002           .131</t>
  </si>
  <si>
    <t xml:space="preserve"> .131 gauge pins</t>
  </si>
  <si>
    <t>23055a002        .100</t>
  </si>
  <si>
    <t>.100 diamater  gauge  pins</t>
  </si>
  <si>
    <t>23055a002     .250</t>
  </si>
  <si>
    <t>.250 diamater gauge pins</t>
  </si>
  <si>
    <t>23055a002    .094 diameter</t>
  </si>
  <si>
    <t xml:space="preserve"> .094 diamater gauge pins</t>
  </si>
  <si>
    <t>23055a002    .122</t>
  </si>
  <si>
    <t xml:space="preserve">  .122 gauge pins</t>
  </si>
  <si>
    <t>91239A160</t>
  </si>
  <si>
    <t>M4 SCREWS PACK OF 25</t>
  </si>
  <si>
    <t>5128A112</t>
  </si>
  <si>
    <t>clamp, safeworks fixture</t>
  </si>
  <si>
    <t>92220A172</t>
  </si>
  <si>
    <t>10-32 BY  3/8    LOW HEAD CAP SCREW</t>
  </si>
  <si>
    <t>91502a167</t>
  </si>
  <si>
    <t>screws, shop</t>
  </si>
  <si>
    <t>91502a166</t>
  </si>
  <si>
    <t>35916279</t>
  </si>
  <si>
    <t>39DT60</t>
  </si>
  <si>
    <t>Scissors, Multi Purpose, Offset, Ambidextrous Stainless Steel, 4 in</t>
  </si>
  <si>
    <t>8870a19</t>
  </si>
  <si>
    <t>9/64 drill</t>
  </si>
  <si>
    <t>6CUR2</t>
  </si>
  <si>
    <t>DIN RAIL</t>
  </si>
  <si>
    <t>92373A123</t>
  </si>
  <si>
    <t>roll pins,  pack of 100</t>
  </si>
  <si>
    <t>87115k355</t>
  </si>
  <si>
    <t>plexy  glass</t>
  </si>
  <si>
    <t>6YH35</t>
  </si>
  <si>
    <t>Twist on wire connector-blue 100 pk</t>
  </si>
  <si>
    <t>91239a126</t>
  </si>
  <si>
    <t>M3 SCREWS PACK OF 50</t>
  </si>
  <si>
    <t>8870a18</t>
  </si>
  <si>
    <t>1/8 drill</t>
  </si>
  <si>
    <t>9464k113</t>
  </si>
  <si>
    <t>Chemical-Resistant Viton® Fluoroelastomer O-Ring, 3/32 Fractional Width, Dash Number 108</t>
  </si>
  <si>
    <t>22UJ91</t>
  </si>
  <si>
    <t>5/16" Star Washer 50 pk</t>
  </si>
  <si>
    <t>9464k515</t>
  </si>
  <si>
    <t>Chemical-Resistant Viton® Fluoroelastomer O-Ring, 3/32 Fractional Width, Dash Number 105</t>
  </si>
  <si>
    <t>91239a707</t>
  </si>
  <si>
    <t>m2 screws pack of 10</t>
  </si>
  <si>
    <t>91239A241</t>
  </si>
  <si>
    <t>M5 SCREWS PACK OF 50</t>
  </si>
  <si>
    <t>40TD96</t>
  </si>
  <si>
    <t>SIMPLE GREEN LABEL</t>
  </si>
  <si>
    <t>1JY70</t>
  </si>
  <si>
    <t>1/4" Flat Washer 100 pk</t>
  </si>
  <si>
    <t>78379229</t>
  </si>
  <si>
    <t>0.726" Diam Class ZZ Minus Plug &amp; Pin Gage</t>
  </si>
  <si>
    <t>78379336</t>
  </si>
  <si>
    <t>0.737" Diam Class ZZ Minus Plug &amp; Pin Gage</t>
  </si>
  <si>
    <t>2DDA7</t>
  </si>
  <si>
    <t>EXTENSION RING</t>
  </si>
  <si>
    <t>91251a550</t>
  </si>
  <si>
    <t>1/4-20 by 2 shcs</t>
  </si>
  <si>
    <t>1TUV6</t>
  </si>
  <si>
    <t>Flange Gasket</t>
  </si>
  <si>
    <t>91251a353</t>
  </si>
  <si>
    <t>10-32 by 2 socket head cap screw</t>
  </si>
  <si>
    <t>24A424</t>
  </si>
  <si>
    <t>plastic spigot threaded for 5g container</t>
  </si>
  <si>
    <t>45EJ87</t>
  </si>
  <si>
    <t>1.5V battery</t>
  </si>
  <si>
    <t>41AA40</t>
  </si>
  <si>
    <t xml:space="preserve">  grease gun injector needle</t>
  </si>
  <si>
    <t>1DYC1</t>
  </si>
  <si>
    <t>loc line vacuum hose adapter</t>
  </si>
  <si>
    <t>22UJ84</t>
  </si>
  <si>
    <t>#3 Star Washer</t>
  </si>
  <si>
    <t>56GL86</t>
  </si>
  <si>
    <t>Ear Muffs</t>
  </si>
  <si>
    <t>22UJ83</t>
  </si>
  <si>
    <t>#2 Star Washer 50 pk</t>
  </si>
  <si>
    <t>469V42</t>
  </si>
  <si>
    <t>Fire extinguisher sign</t>
  </si>
  <si>
    <t>22UJ87</t>
  </si>
  <si>
    <t>#6 Star Washer 50 pk</t>
  </si>
  <si>
    <t>9219T173</t>
  </si>
  <si>
    <t>.100 mesh screen 1ft x 1ft</t>
  </si>
  <si>
    <t>92005A725</t>
  </si>
  <si>
    <t>Pan head phillips screw-Pack of 25</t>
  </si>
  <si>
    <t>22UJ89</t>
  </si>
  <si>
    <t>#12 Star Washer 50 pk</t>
  </si>
  <si>
    <t>22UJ90</t>
  </si>
  <si>
    <t>1/4" Star Washer 50 pk</t>
  </si>
  <si>
    <t>22UJ85</t>
  </si>
  <si>
    <t>#4 Star Washer 50 pk</t>
  </si>
  <si>
    <t>5125k51</t>
  </si>
  <si>
    <t>knob, shop</t>
  </si>
  <si>
    <t>22UJ86</t>
  </si>
  <si>
    <t>45909017</t>
  </si>
  <si>
    <t>Triple Antibiotic Ointment</t>
  </si>
  <si>
    <t>22UJ88</t>
  </si>
  <si>
    <t>#10 Star Washer 50 pk</t>
  </si>
  <si>
    <t>1MU10</t>
  </si>
  <si>
    <t>#4-40 x 1" Machine Screw 100 pk</t>
  </si>
  <si>
    <t>1ME96</t>
  </si>
  <si>
    <t>#4-40 x 3/8" Machine Screw 100 pk</t>
  </si>
  <si>
    <t>1ME99</t>
  </si>
  <si>
    <t>#4-40 x 4/3/4" Machine Screw 100 pk</t>
  </si>
  <si>
    <t>1ME97</t>
  </si>
  <si>
    <t>#4-40 x 1/2" Machine Screw 100 pk</t>
  </si>
  <si>
    <t>1ME94</t>
  </si>
  <si>
    <t>#4-40 x 1/4" Machine Screw 100 pk</t>
  </si>
  <si>
    <t>1ME98</t>
  </si>
  <si>
    <t>#4-40 x 5/8" Machine Screw 100 pk</t>
  </si>
  <si>
    <t>Color Code Legend</t>
  </si>
  <si>
    <t>Columns Found</t>
  </si>
  <si>
    <t>Notes</t>
  </si>
  <si>
    <t>Customer Data</t>
  </si>
  <si>
    <t>A-T</t>
  </si>
  <si>
    <t>Member data provided by PA team in columns "A-T". No changes should be made to these columns, sequence numbers must remain in tact</t>
  </si>
  <si>
    <t>Savings Calculations Formulas</t>
  </si>
  <si>
    <t>U-W, AL-AN, BC-BE</t>
  </si>
  <si>
    <t>Formulas should be copied down to review file savings. Use savings categories to aid in UoM and match checks</t>
  </si>
  <si>
    <t>PA Formula Fields</t>
  </si>
  <si>
    <t>X-Y, AO-AP, BF-BS</t>
  </si>
  <si>
    <t>No changes to be made, copy down formulas to aid in savings calculation</t>
  </si>
  <si>
    <t>Fastenal Product Input</t>
  </si>
  <si>
    <t>Z-AJ</t>
  </si>
  <si>
    <t>Provide product crosses that are exact or the closest possible match based on function and quality</t>
  </si>
  <si>
    <t>PA Notes</t>
  </si>
  <si>
    <t>AK, BB</t>
  </si>
  <si>
    <t>Used by PA to provide notes to Vendor</t>
  </si>
  <si>
    <t>Fastenal Alternate Solution</t>
  </si>
  <si>
    <t>AQ-BA</t>
  </si>
  <si>
    <t>Provide alternate products when possible with goal of maximizing savings</t>
  </si>
  <si>
    <t>Pricing Validation</t>
  </si>
  <si>
    <t>PA pricing per pack should be entered into Columns Z and AQ (as applicable). An example is Blue Nitrile Gloves - $8.95/ PK100. Please provide $8.95 in this cell</t>
  </si>
  <si>
    <t>Unit of Measure to be provided in column AA and AR (as applicable). e.g. EA and PK.</t>
  </si>
  <si>
    <t>Number of items in pack entered into column AB and AS (as applicable). Based on our example on Nitrile Gloves please provide 100 in this cell</t>
  </si>
  <si>
    <t>Final File Check</t>
  </si>
  <si>
    <t>Outliers that are either +60% savings or -80% should have a note that the SKU has been confirmed</t>
  </si>
  <si>
    <t>File Checks</t>
  </si>
  <si>
    <t>Validation</t>
  </si>
  <si>
    <t>Match Type (Column AI)</t>
  </si>
  <si>
    <t>Should be provided for all lines</t>
  </si>
  <si>
    <t>Provided for all SKU crosses</t>
  </si>
  <si>
    <t>Match Type</t>
  </si>
  <si>
    <t>Code</t>
  </si>
  <si>
    <t>Definition</t>
  </si>
  <si>
    <t>E</t>
  </si>
  <si>
    <t>Item matches the Mfg/Vendor Name and Mfg/Vendor Part Number provided by Member</t>
  </si>
  <si>
    <t>SM</t>
  </si>
  <si>
    <t>Similar product related to form, fit, function based on Mfg/Vendor Name, Mfg/Vendor Part Number and/or Detailed Item Description provided by Member</t>
  </si>
  <si>
    <t>O</t>
  </si>
  <si>
    <t>Products are not available through the primary product offering. They would be sourced upon request for convienance.</t>
  </si>
  <si>
    <t>X</t>
  </si>
  <si>
    <t>Unable to process due to: missing or incomplete Mfg/Vendor Name, Mfg/Vendor Part Number, incomplete detailed item descriptions and/or poor data quality in original Member data</t>
  </si>
  <si>
    <t>MW</t>
  </si>
  <si>
    <t>Item would fall under Metalworking Program which is based on Total Cost of Ownership (TCO) savings</t>
  </si>
  <si>
    <t>TAIL</t>
  </si>
  <si>
    <t>Items with low usage and/ or low spend (less than $100)</t>
  </si>
  <si>
    <t>Not Product Data</t>
  </si>
  <si>
    <t>NPD</t>
  </si>
  <si>
    <t>Lines representing non-product related data i.e. service fees, instruction manuals, quotes, repair services, calibration services, etc.</t>
  </si>
  <si>
    <t>NSP</t>
  </si>
  <si>
    <t>Products that are not supported by Fastenal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</si>
</sst>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.0000_);_(&quot;$&quot;* \(#,##0.00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Arial"/>
      <family val="2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4" fontId="0" fillId="0" borderId="0" xfId="1" applyFont="1" applyFill="1" applyBorder="1"/>
    <xf numFmtId="44" fontId="0" fillId="0" borderId="0" xfId="1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1" fillId="0" borderId="0" xfId="2" applyFont="1" applyAlignment="1">
      <alignment horizontal="center"/>
    </xf>
    <xf numFmtId="9" fontId="1" fillId="0" borderId="0" xfId="2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7" borderId="2" xfId="1" applyFont="1" applyFill="1" applyBorder="1" applyAlignment="1">
      <alignment horizontal="center" vertical="center" wrapText="1"/>
    </xf>
    <xf numFmtId="0" fontId="6" fillId="8" borderId="0" xfId="0" applyFont="1" applyFill="1"/>
    <xf numFmtId="44" fontId="3" fillId="4" borderId="2" xfId="1" applyFont="1" applyFill="1" applyBorder="1" applyAlignment="1">
      <alignment horizontal="left" vertical="center"/>
    </xf>
    <xf numFmtId="0" fontId="0" fillId="8" borderId="0" xfId="0" applyFill="1"/>
    <xf numFmtId="0" fontId="6" fillId="8" borderId="0" xfId="0" applyFont="1" applyFill="1" applyAlignment="1">
      <alignment horizontal="center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3" xfId="0" applyBorder="1"/>
    <xf numFmtId="0" fontId="4" fillId="3" borderId="3" xfId="3" applyBorder="1" applyAlignment="1">
      <alignment horizontal="left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44" fontId="1" fillId="5" borderId="2" xfId="1" applyFont="1" applyFill="1" applyBorder="1" applyAlignment="1">
      <alignment horizontal="center" vertical="center"/>
    </xf>
    <xf numFmtId="44" fontId="5" fillId="6" borderId="2" xfId="1" applyFont="1" applyFill="1" applyBorder="1" applyAlignment="1">
      <alignment horizontal="center" vertical="center"/>
    </xf>
    <xf numFmtId="44" fontId="3" fillId="4" borderId="2" xfId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6" fillId="8" borderId="2" xfId="0" applyFont="1" applyFill="1" applyBorder="1" applyAlignment="1">
      <alignment horizontal="left" vertical="center"/>
    </xf>
    <xf numFmtId="0" fontId="0" fillId="0" borderId="0" xfId="0" applyAlignment="1">
      <alignment vertical="top"/>
    </xf>
    <xf numFmtId="0" fontId="3" fillId="9" borderId="2" xfId="0" applyFont="1" applyFill="1" applyBorder="1" applyAlignment="1">
      <alignment horizontal="center" vertical="center" wrapText="1"/>
    </xf>
    <xf numFmtId="44" fontId="3" fillId="9" borderId="2" xfId="1" applyFont="1" applyFill="1" applyBorder="1" applyAlignment="1">
      <alignment horizontal="center" vertical="center" wrapText="1"/>
    </xf>
    <xf numFmtId="9" fontId="1" fillId="5" borderId="2" xfId="2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/>
    </xf>
    <xf numFmtId="44" fontId="0" fillId="0" borderId="2" xfId="1" applyFont="1" applyBorder="1" applyAlignment="1">
      <alignment vertical="top"/>
    </xf>
    <xf numFmtId="9" fontId="0" fillId="0" borderId="2" xfId="2" applyFont="1" applyBorder="1" applyAlignment="1">
      <alignment vertical="top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4" fontId="1" fillId="0" borderId="0" xfId="1" applyFont="1"/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44" fontId="2" fillId="0" borderId="2" xfId="1" applyFont="1" applyFill="1" applyBorder="1" applyAlignment="1">
      <alignment horizontal="center"/>
    </xf>
    <xf numFmtId="9" fontId="2" fillId="0" borderId="2" xfId="2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44" fontId="2" fillId="0" borderId="2" xfId="1" applyFont="1" applyFill="1" applyBorder="1"/>
    <xf numFmtId="9" fontId="2" fillId="0" borderId="2" xfId="2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165" fontId="1" fillId="0" borderId="0" xfId="1" applyNumberFormat="1" applyFont="1"/>
    <xf numFmtId="165" fontId="5" fillId="6" borderId="2" xfId="1" applyNumberFormat="1" applyFont="1" applyFill="1" applyBorder="1" applyAlignment="1">
      <alignment horizontal="center" vertical="center"/>
    </xf>
    <xf numFmtId="165" fontId="5" fillId="6" borderId="2" xfId="1" applyNumberFormat="1" applyFont="1" applyFill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horizontal="center"/>
    </xf>
    <xf numFmtId="165" fontId="2" fillId="0" borderId="2" xfId="1" applyNumberFormat="1" applyFont="1" applyFill="1" applyBorder="1"/>
    <xf numFmtId="165" fontId="0" fillId="0" borderId="0" xfId="1" applyNumberFormat="1" applyFont="1"/>
    <xf numFmtId="165" fontId="3" fillId="7" borderId="2" xfId="1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vertical="top"/>
    </xf>
    <xf numFmtId="165" fontId="3" fillId="4" borderId="2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/>
    <xf numFmtId="165" fontId="0" fillId="0" borderId="0" xfId="1" applyNumberFormat="1" applyFont="1" applyAlignment="1">
      <alignment horizontal="center"/>
    </xf>
  </cellXfs>
  <cellStyles count="4">
    <cellStyle name="Currency" xfId="1" builtinId="4"/>
    <cellStyle name="Good" xfId="3" builtinId="26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BC5A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BC5A7"/>
      <color rgb="FF6AA342"/>
      <color rgb="FF4F81BD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PA Color Template">
      <a:dk1>
        <a:srgbClr val="303030"/>
      </a:dk1>
      <a:lt1>
        <a:sysClr val="window" lastClr="FFFFFF"/>
      </a:lt1>
      <a:dk2>
        <a:srgbClr val="444444"/>
      </a:dk2>
      <a:lt2>
        <a:srgbClr val="C0C0C0"/>
      </a:lt2>
      <a:accent1>
        <a:srgbClr val="1A2374"/>
      </a:accent1>
      <a:accent2>
        <a:srgbClr val="5A8CC9"/>
      </a:accent2>
      <a:accent3>
        <a:srgbClr val="6AA342"/>
      </a:accent3>
      <a:accent4>
        <a:srgbClr val="8EB0DA"/>
      </a:accent4>
      <a:accent5>
        <a:srgbClr val="BED1EA"/>
      </a:accent5>
      <a:accent6>
        <a:srgbClr val="F3F6FB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540"/>
  <sheetViews>
    <sheetView showGridLines="0" tabSelected="1" workbookViewId="0">
      <pane ySplit="2" topLeftCell="A3" activePane="bottomLeft" state="frozen"/>
      <selection pane="bottomLeft" activeCell="G22" sqref="G22"/>
    </sheetView>
  </sheetViews>
  <sheetFormatPr defaultColWidth="9.1796875" defaultRowHeight="14.5" x14ac:dyDescent="0.35"/>
  <cols>
    <col min="1" max="1" width="21.7265625" customWidth="1"/>
    <col min="2" max="2" width="14.26953125" style="2" bestFit="1" customWidth="1"/>
    <col min="3" max="3" width="13" customWidth="1"/>
    <col min="4" max="4" width="15.7265625" style="4" customWidth="1"/>
    <col min="5" max="5" width="19.7265625" customWidth="1"/>
    <col min="6" max="6" width="15.1796875" customWidth="1"/>
    <col min="7" max="7" width="19.26953125" customWidth="1"/>
    <col min="8" max="8" width="46.26953125" style="3" customWidth="1"/>
    <col min="9" max="9" width="17.81640625" customWidth="1"/>
    <col min="10" max="10" width="16" style="2" customWidth="1"/>
    <col min="11" max="11" width="18" style="2" customWidth="1"/>
    <col min="12" max="12" width="14.81640625" style="2" customWidth="1"/>
    <col min="13" max="13" width="18" style="2" customWidth="1"/>
    <col min="14" max="14" width="20.1796875" style="2" customWidth="1"/>
    <col min="15" max="15" width="13.26953125" customWidth="1"/>
    <col min="16" max="16" width="14.81640625" style="5" customWidth="1"/>
    <col min="17" max="17" width="13.26953125" customWidth="1"/>
    <col min="18" max="18" width="14.7265625" style="5" customWidth="1"/>
    <col min="19" max="19" width="18.1796875" style="2" customWidth="1"/>
    <col min="20" max="20" width="18" style="5" customWidth="1"/>
    <col min="21" max="21" width="15" style="6" customWidth="1"/>
    <col min="22" max="22" width="14.1796875" style="7" customWidth="1"/>
    <col min="23" max="23" width="15.7265625" style="2" customWidth="1"/>
    <col min="24" max="24" width="14.26953125" style="71" bestFit="1" customWidth="1"/>
    <col min="25" max="25" width="15.81640625" style="71" bestFit="1" customWidth="1"/>
    <col min="26" max="26" width="14.81640625" style="72" customWidth="1"/>
    <col min="27" max="27" width="17" customWidth="1"/>
    <col min="28" max="28" width="17" style="2" customWidth="1"/>
    <col min="29" max="29" width="13.54296875" customWidth="1"/>
    <col min="30" max="30" width="25.1796875" style="5" customWidth="1"/>
    <col min="31" max="31" width="20.81640625" customWidth="1"/>
    <col min="32" max="32" width="28.26953125" style="2" customWidth="1"/>
    <col min="33" max="33" width="15.1796875" style="2" customWidth="1"/>
    <col min="34" max="34" width="17.26953125" customWidth="1"/>
    <col min="35" max="35" width="16.81640625" bestFit="1" customWidth="1"/>
    <col min="36" max="36" width="9.7265625" style="2" customWidth="1"/>
    <col min="37" max="37" width="20.54296875" customWidth="1"/>
    <col min="38" max="38" width="14.1796875" customWidth="1"/>
    <col min="39" max="39" width="13.26953125" customWidth="1"/>
    <col min="40" max="40" width="13.81640625" customWidth="1"/>
    <col min="41" max="41" width="14.26953125" style="67" bestFit="1" customWidth="1"/>
    <col min="42" max="42" width="16.81640625" style="67" bestFit="1" customWidth="1"/>
    <col min="43" max="43" width="14.81640625" style="67" bestFit="1" customWidth="1"/>
    <col min="44" max="44" width="13.54296875" style="2" customWidth="1"/>
    <col min="45" max="45" width="15.1796875" style="2" customWidth="1"/>
    <col min="46" max="46" width="11.453125" customWidth="1"/>
    <col min="47" max="47" width="28.7265625" customWidth="1"/>
    <col min="48" max="48" width="20.81640625" customWidth="1"/>
    <col min="49" max="49" width="31.81640625" customWidth="1"/>
    <col min="50" max="50" width="15.1796875" customWidth="1"/>
    <col min="51" max="51" width="20.1796875" customWidth="1"/>
    <col min="52" max="52" width="29.54296875" customWidth="1"/>
    <col min="53" max="53" width="14.7265625" customWidth="1"/>
    <col min="54" max="54" width="9.7265625" bestFit="1" customWidth="1"/>
    <col min="55" max="55" width="15" bestFit="1" customWidth="1"/>
    <col min="56" max="56" width="9.54296875" bestFit="1" customWidth="1"/>
    <col min="57" max="57" width="11.1796875" bestFit="1" customWidth="1"/>
    <col min="58" max="58" width="14.26953125" style="67" bestFit="1" customWidth="1"/>
    <col min="59" max="59" width="15.81640625" style="67" bestFit="1" customWidth="1"/>
    <col min="60" max="60" width="14.81640625" style="67" bestFit="1" customWidth="1"/>
    <col min="64" max="66" width="18.7265625" customWidth="1"/>
    <col min="67" max="67" width="15.7265625" customWidth="1"/>
    <col min="68" max="68" width="12.453125" customWidth="1"/>
    <col min="71" max="71" width="9.81640625" customWidth="1"/>
  </cols>
  <sheetData>
    <row r="1" spans="1:71" s="1" customFormat="1" x14ac:dyDescent="0.35">
      <c r="B1" s="46"/>
      <c r="D1" s="47"/>
      <c r="P1" s="48"/>
      <c r="R1" s="48"/>
      <c r="S1" s="46">
        <f>SUBTOTAL(2,S3:S540)</f>
        <v>538</v>
      </c>
      <c r="T1" s="48">
        <f>SUBTOTAL(9,T3:T1048576)</f>
        <v>48540.569999999992</v>
      </c>
      <c r="U1" s="48">
        <f>SUBTOTAL(9,U3:U1048576)</f>
        <v>11416.383682666663</v>
      </c>
      <c r="V1" s="8">
        <f>U1/T1</f>
        <v>0.23519261687010815</v>
      </c>
      <c r="W1" s="46"/>
      <c r="X1" s="62">
        <f>SUBTOTAL(9,X3:X1048576)</f>
        <v>7718.1963173333343</v>
      </c>
      <c r="Y1" s="62"/>
      <c r="Z1" s="62"/>
      <c r="AL1" s="48">
        <f>SUBTOTAL(9,AL3:AL1048576)</f>
        <v>2216.4068777777779</v>
      </c>
      <c r="AM1" s="9">
        <f>AL1/T1</f>
        <v>4.5660915761347225E-2</v>
      </c>
      <c r="AO1" s="62">
        <f>SUBTOTAL(9,AO3:AO1048576)</f>
        <v>841.12312222222238</v>
      </c>
      <c r="AP1" s="62"/>
      <c r="AQ1" s="62"/>
      <c r="AR1" s="46"/>
      <c r="AS1" s="46"/>
      <c r="BC1" s="48">
        <f>SUBTOTAL(9,BC3:BC1048576)</f>
        <v>12492.062160444442</v>
      </c>
      <c r="BD1" s="8">
        <f>BC1/T1</f>
        <v>0.25735301749535378</v>
      </c>
      <c r="BE1" s="46"/>
      <c r="BF1" s="62">
        <f>SUBTOTAL(9,BF3:BF1048576)</f>
        <v>6642.5178395555558</v>
      </c>
      <c r="BG1" s="62"/>
      <c r="BH1" s="62"/>
    </row>
    <row r="2" spans="1:71" s="10" customFormat="1" ht="48" customHeight="1" x14ac:dyDescent="0.35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3" t="s">
        <v>15</v>
      </c>
      <c r="Q2" s="32" t="s">
        <v>16</v>
      </c>
      <c r="R2" s="33" t="s">
        <v>17</v>
      </c>
      <c r="S2" s="32" t="s">
        <v>18</v>
      </c>
      <c r="T2" s="33" t="s">
        <v>19</v>
      </c>
      <c r="U2" s="24" t="s">
        <v>20</v>
      </c>
      <c r="V2" s="34" t="s">
        <v>21</v>
      </c>
      <c r="W2" s="35" t="s">
        <v>22</v>
      </c>
      <c r="X2" s="63" t="s">
        <v>23</v>
      </c>
      <c r="Y2" s="64" t="s">
        <v>24</v>
      </c>
      <c r="Z2" s="70" t="s">
        <v>25</v>
      </c>
      <c r="AA2" s="36" t="s">
        <v>26</v>
      </c>
      <c r="AB2" s="36" t="s">
        <v>27</v>
      </c>
      <c r="AC2" s="19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9" t="s">
        <v>35</v>
      </c>
      <c r="AK2" s="27" t="s">
        <v>36</v>
      </c>
      <c r="AL2" s="24" t="s">
        <v>20</v>
      </c>
      <c r="AM2" s="34" t="s">
        <v>21</v>
      </c>
      <c r="AN2" s="35" t="s">
        <v>22</v>
      </c>
      <c r="AO2" s="63" t="s">
        <v>23</v>
      </c>
      <c r="AP2" s="63" t="s">
        <v>24</v>
      </c>
      <c r="AQ2" s="68" t="s">
        <v>25</v>
      </c>
      <c r="AR2" s="37" t="s">
        <v>26</v>
      </c>
      <c r="AS2" s="37" t="s">
        <v>27</v>
      </c>
      <c r="AT2" s="38" t="s">
        <v>28</v>
      </c>
      <c r="AU2" s="39" t="s">
        <v>29</v>
      </c>
      <c r="AV2" s="39" t="s">
        <v>30</v>
      </c>
      <c r="AW2" s="39" t="s">
        <v>31</v>
      </c>
      <c r="AX2" s="39" t="s">
        <v>32</v>
      </c>
      <c r="AY2" s="39" t="s">
        <v>33</v>
      </c>
      <c r="AZ2" s="39" t="s">
        <v>34</v>
      </c>
      <c r="BA2" s="38" t="s">
        <v>37</v>
      </c>
      <c r="BB2" s="27" t="s">
        <v>36</v>
      </c>
      <c r="BC2" s="24" t="s">
        <v>20</v>
      </c>
      <c r="BD2" s="34" t="s">
        <v>21</v>
      </c>
      <c r="BE2" s="35" t="s">
        <v>22</v>
      </c>
      <c r="BF2" s="63" t="s">
        <v>23</v>
      </c>
      <c r="BG2" s="64" t="s">
        <v>24</v>
      </c>
      <c r="BH2" s="63" t="s">
        <v>25</v>
      </c>
      <c r="BI2" s="40" t="s">
        <v>26</v>
      </c>
      <c r="BJ2" s="40" t="s">
        <v>27</v>
      </c>
      <c r="BK2" s="41" t="s">
        <v>28</v>
      </c>
      <c r="BL2" s="42" t="s">
        <v>29</v>
      </c>
      <c r="BM2" s="42" t="s">
        <v>30</v>
      </c>
      <c r="BN2" s="42" t="s">
        <v>31</v>
      </c>
      <c r="BO2" s="42" t="s">
        <v>32</v>
      </c>
      <c r="BP2" s="42" t="s">
        <v>33</v>
      </c>
      <c r="BQ2" s="42" t="s">
        <v>34</v>
      </c>
      <c r="BR2" s="41" t="s">
        <v>38</v>
      </c>
      <c r="BS2" s="41" t="s">
        <v>36</v>
      </c>
    </row>
    <row r="3" spans="1:71" s="31" customFormat="1" x14ac:dyDescent="0.35">
      <c r="A3" s="53" t="s">
        <v>39</v>
      </c>
      <c r="B3" s="49">
        <v>1</v>
      </c>
      <c r="C3" s="50"/>
      <c r="D3" s="50"/>
      <c r="E3" s="51"/>
      <c r="F3" s="50" t="s">
        <v>40</v>
      </c>
      <c r="G3" s="50" t="s">
        <v>41</v>
      </c>
      <c r="H3" s="50" t="s">
        <v>42</v>
      </c>
      <c r="I3" s="50"/>
      <c r="J3" s="50"/>
      <c r="K3" s="50"/>
      <c r="L3" s="50"/>
      <c r="M3" s="50"/>
      <c r="N3" s="54" t="s">
        <v>43</v>
      </c>
      <c r="O3" s="49">
        <v>1</v>
      </c>
      <c r="P3" s="43">
        <v>1238.06</v>
      </c>
      <c r="Q3" s="49">
        <v>5</v>
      </c>
      <c r="R3" s="44">
        <f>P3/O3</f>
        <v>1238.06</v>
      </c>
      <c r="S3" s="49">
        <f>Q3*O3</f>
        <v>5</v>
      </c>
      <c r="T3" s="52">
        <f>S3*R3</f>
        <v>6190.2999999999993</v>
      </c>
      <c r="U3" s="50"/>
      <c r="V3" s="50"/>
      <c r="W3" s="50"/>
      <c r="X3" s="69"/>
      <c r="Y3" s="69"/>
      <c r="Z3" s="69"/>
      <c r="AA3" s="50"/>
      <c r="AB3" s="50"/>
      <c r="AC3" s="50"/>
      <c r="AD3" s="50"/>
      <c r="AE3" s="50"/>
      <c r="AF3" s="50"/>
      <c r="AG3" s="50"/>
      <c r="AH3" s="50"/>
      <c r="AI3" s="50" t="s">
        <v>44</v>
      </c>
      <c r="AJ3" s="50"/>
      <c r="AK3" s="50"/>
      <c r="AL3" s="44"/>
      <c r="AM3" s="45"/>
      <c r="AN3" s="50"/>
      <c r="AO3" s="69"/>
      <c r="AP3" s="69"/>
      <c r="AQ3" s="69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5"/>
      <c r="BD3" s="56"/>
      <c r="BE3" s="61"/>
      <c r="BF3" s="65"/>
      <c r="BG3" s="66"/>
      <c r="BH3" s="66"/>
      <c r="BI3" s="60"/>
      <c r="BJ3" s="60"/>
      <c r="BK3" s="60"/>
      <c r="BL3" s="60"/>
      <c r="BM3" s="60"/>
      <c r="BN3" s="60"/>
      <c r="BO3" s="60"/>
      <c r="BP3" s="60"/>
      <c r="BQ3" s="60" t="str">
        <f>IF(BS3="Original",AI3,AZ3)</f>
        <v>Not Enough Product Data</v>
      </c>
      <c r="BR3" s="60"/>
      <c r="BS3" s="60" t="str">
        <f>IF(AQ3="","Original",IF(AP3&lt;Y3,"Alternate","Original"))</f>
        <v>Original</v>
      </c>
    </row>
    <row r="4" spans="1:71" s="31" customFormat="1" x14ac:dyDescent="0.35">
      <c r="A4" s="53" t="s">
        <v>39</v>
      </c>
      <c r="B4" s="49">
        <v>2</v>
      </c>
      <c r="C4" s="50"/>
      <c r="D4" s="50"/>
      <c r="E4" s="51"/>
      <c r="F4" s="50" t="s">
        <v>40</v>
      </c>
      <c r="G4" s="50" t="s">
        <v>45</v>
      </c>
      <c r="H4" s="50" t="s">
        <v>46</v>
      </c>
      <c r="I4" s="50"/>
      <c r="J4" s="50"/>
      <c r="K4" s="50"/>
      <c r="L4" s="50"/>
      <c r="M4" s="50"/>
      <c r="N4" s="54" t="s">
        <v>43</v>
      </c>
      <c r="O4" s="49">
        <v>1</v>
      </c>
      <c r="P4" s="43">
        <v>1388.16</v>
      </c>
      <c r="Q4" s="49">
        <v>1</v>
      </c>
      <c r="R4" s="44">
        <f>P4/O4</f>
        <v>1388.16</v>
      </c>
      <c r="S4" s="49">
        <f>Q4*O4</f>
        <v>1</v>
      </c>
      <c r="T4" s="52">
        <f>S4*R4</f>
        <v>1388.16</v>
      </c>
      <c r="U4" s="50"/>
      <c r="V4" s="50"/>
      <c r="W4" s="50"/>
      <c r="X4" s="69"/>
      <c r="Y4" s="69"/>
      <c r="Z4" s="69"/>
      <c r="AA4" s="50"/>
      <c r="AB4" s="50"/>
      <c r="AC4" s="50"/>
      <c r="AD4" s="50"/>
      <c r="AE4" s="50"/>
      <c r="AF4" s="50"/>
      <c r="AG4" s="50"/>
      <c r="AH4" s="50"/>
      <c r="AI4" s="50" t="s">
        <v>44</v>
      </c>
      <c r="AJ4" s="50"/>
      <c r="AK4" s="50"/>
      <c r="AL4" s="44"/>
      <c r="AM4" s="45"/>
      <c r="AN4" s="50"/>
      <c r="AO4" s="69"/>
      <c r="AP4" s="69"/>
      <c r="AQ4" s="69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5"/>
      <c r="BD4" s="56"/>
      <c r="BE4" s="61"/>
      <c r="BF4" s="65"/>
      <c r="BG4" s="66"/>
      <c r="BH4" s="66"/>
      <c r="BI4" s="60"/>
      <c r="BJ4" s="60"/>
      <c r="BK4" s="60"/>
      <c r="BL4" s="60"/>
      <c r="BM4" s="60"/>
      <c r="BN4" s="60"/>
      <c r="BO4" s="60"/>
      <c r="BP4" s="60"/>
      <c r="BQ4" s="60" t="str">
        <f>IF(BS4="Original",AI4,AZ4)</f>
        <v>Not Enough Product Data</v>
      </c>
      <c r="BR4" s="60"/>
      <c r="BS4" s="60" t="str">
        <f>IF(AQ4="","Original",IF(AP4&lt;Y4,"Alternate","Original"))</f>
        <v>Original</v>
      </c>
    </row>
    <row r="5" spans="1:71" s="31" customFormat="1" x14ac:dyDescent="0.35">
      <c r="A5" s="53" t="s">
        <v>39</v>
      </c>
      <c r="B5" s="49">
        <v>3</v>
      </c>
      <c r="C5" s="50"/>
      <c r="D5" s="50"/>
      <c r="E5" s="51"/>
      <c r="F5" s="50" t="s">
        <v>40</v>
      </c>
      <c r="G5" s="50" t="s">
        <v>47</v>
      </c>
      <c r="H5" s="50" t="s">
        <v>48</v>
      </c>
      <c r="I5" s="50"/>
      <c r="J5" s="50"/>
      <c r="K5" s="50"/>
      <c r="L5" s="50"/>
      <c r="M5" s="50"/>
      <c r="N5" s="54" t="s">
        <v>43</v>
      </c>
      <c r="O5" s="49">
        <v>1</v>
      </c>
      <c r="P5" s="43">
        <v>1242.6300000000001</v>
      </c>
      <c r="Q5" s="49">
        <v>1</v>
      </c>
      <c r="R5" s="44">
        <f>P5/O5</f>
        <v>1242.6300000000001</v>
      </c>
      <c r="S5" s="49">
        <f>Q5*O5</f>
        <v>1</v>
      </c>
      <c r="T5" s="52">
        <f>S5*R5</f>
        <v>1242.6300000000001</v>
      </c>
      <c r="U5" s="50"/>
      <c r="V5" s="50"/>
      <c r="W5" s="50"/>
      <c r="X5" s="69"/>
      <c r="Y5" s="69"/>
      <c r="Z5" s="69"/>
      <c r="AA5" s="50"/>
      <c r="AB5" s="50"/>
      <c r="AC5" s="50"/>
      <c r="AD5" s="50"/>
      <c r="AE5" s="50"/>
      <c r="AF5" s="50"/>
      <c r="AG5" s="50"/>
      <c r="AH5" s="50"/>
      <c r="AI5" s="50" t="s">
        <v>44</v>
      </c>
      <c r="AJ5" s="50"/>
      <c r="AK5" s="50"/>
      <c r="AL5" s="44"/>
      <c r="AM5" s="45"/>
      <c r="AN5" s="50"/>
      <c r="AO5" s="69"/>
      <c r="AP5" s="69"/>
      <c r="AQ5" s="69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5"/>
      <c r="BD5" s="56"/>
      <c r="BE5" s="61"/>
      <c r="BF5" s="65"/>
      <c r="BG5" s="66"/>
      <c r="BH5" s="66"/>
      <c r="BI5" s="60"/>
      <c r="BJ5" s="60"/>
      <c r="BK5" s="60"/>
      <c r="BL5" s="60"/>
      <c r="BM5" s="60"/>
      <c r="BN5" s="60"/>
      <c r="BO5" s="60"/>
      <c r="BP5" s="60"/>
      <c r="BQ5" s="60" t="str">
        <f>IF(BS5="Original",AI5,AZ5)</f>
        <v>Not Enough Product Data</v>
      </c>
      <c r="BR5" s="60"/>
      <c r="BS5" s="60" t="str">
        <f>IF(AQ5="","Original",IF(AP5&lt;Y5,"Alternate","Original"))</f>
        <v>Original</v>
      </c>
    </row>
    <row r="6" spans="1:71" s="31" customFormat="1" x14ac:dyDescent="0.35">
      <c r="A6" s="53" t="s">
        <v>39</v>
      </c>
      <c r="B6" s="49">
        <v>4</v>
      </c>
      <c r="C6" s="50"/>
      <c r="D6" s="50"/>
      <c r="E6" s="51"/>
      <c r="F6" s="50" t="s">
        <v>49</v>
      </c>
      <c r="G6" s="50" t="s">
        <v>50</v>
      </c>
      <c r="H6" s="50" t="s">
        <v>51</v>
      </c>
      <c r="I6" s="50"/>
      <c r="J6" s="50"/>
      <c r="K6" s="50"/>
      <c r="L6" s="50"/>
      <c r="M6" s="50"/>
      <c r="N6" s="54" t="s">
        <v>43</v>
      </c>
      <c r="O6" s="49">
        <v>1</v>
      </c>
      <c r="P6" s="43">
        <v>273.7</v>
      </c>
      <c r="Q6" s="49">
        <v>3</v>
      </c>
      <c r="R6" s="44">
        <f>P6/O6</f>
        <v>273.7</v>
      </c>
      <c r="S6" s="49">
        <f>Q6*O6</f>
        <v>3</v>
      </c>
      <c r="T6" s="52">
        <f>S6*R6</f>
        <v>821.09999999999991</v>
      </c>
      <c r="U6" s="55">
        <f>IFERROR(T6-X6,0)</f>
        <v>820.9538399999999</v>
      </c>
      <c r="V6" s="56">
        <f>IFERROR(U6/T6,0)</f>
        <v>0.99982199488491053</v>
      </c>
      <c r="W6" s="57" t="str">
        <f>IF($V6&lt;0,"Negative",IF($V6=0,"Same",IF($V6&gt;0.3,"30+%",IF($V6&gt;0.2,"20-30%",IF($V6&gt;0.1,"10-20%",IF($V6&lt;=0.1,"0-10%"))))))</f>
        <v>30+%</v>
      </c>
      <c r="X6" s="66">
        <f>IFERROR(Y6*S6,0)</f>
        <v>0.14616000000000001</v>
      </c>
      <c r="Y6" s="66">
        <f>IFERROR(Z6/AB6,0)</f>
        <v>4.8719999999999999E-2</v>
      </c>
      <c r="Z6" s="69">
        <v>4.8719999999999999</v>
      </c>
      <c r="AA6" s="50" t="s">
        <v>52</v>
      </c>
      <c r="AB6" s="50">
        <v>100</v>
      </c>
      <c r="AC6" s="50" t="s">
        <v>53</v>
      </c>
      <c r="AD6" s="50" t="s">
        <v>54</v>
      </c>
      <c r="AE6" s="50" t="s">
        <v>55</v>
      </c>
      <c r="AF6" s="50" t="s">
        <v>55</v>
      </c>
      <c r="AG6" s="50" t="s">
        <v>56</v>
      </c>
      <c r="AH6" s="50" t="s">
        <v>57</v>
      </c>
      <c r="AI6" s="50" t="s">
        <v>58</v>
      </c>
      <c r="AJ6" s="50" t="s">
        <v>59</v>
      </c>
      <c r="AK6" s="50"/>
      <c r="AL6" s="44"/>
      <c r="AM6" s="45"/>
      <c r="AN6" s="50"/>
      <c r="AO6" s="69"/>
      <c r="AP6" s="69"/>
      <c r="AQ6" s="69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5">
        <f>T6-BF6</f>
        <v>820.9538399999999</v>
      </c>
      <c r="BD6" s="56">
        <f>BC6/T6</f>
        <v>0.99982199488491053</v>
      </c>
      <c r="BE6" s="61" t="str">
        <f>IF(BD6&lt;0,"Negative",IF(BD6=0,"Same",IF(BD6&gt;0.3,"30+%",IF(BD6&gt;0.2,"20-30%",IF(BD6&gt;0.1,"10-20%",IF(BD6&lt;=0.1,"0-10%"))))))</f>
        <v>30+%</v>
      </c>
      <c r="BF6" s="65">
        <f>BG6*S6</f>
        <v>0.14616000000000001</v>
      </c>
      <c r="BG6" s="66">
        <f>BH6/BJ6</f>
        <v>4.8719999999999999E-2</v>
      </c>
      <c r="BH6" s="66">
        <f>IF(BS6="Original",Z6,AQ6)</f>
        <v>4.8719999999999999</v>
      </c>
      <c r="BI6" s="60" t="str">
        <f>IF(BS6="Original",AA6,AR6)</f>
        <v>Pack</v>
      </c>
      <c r="BJ6" s="60">
        <f>IF(BS6="Original",AB6,AS6)</f>
        <v>100</v>
      </c>
      <c r="BK6" s="60" t="str">
        <f>IF(BS6="Original",AC6,AT6)</f>
        <v>Possible UOM or LPP issue.</v>
      </c>
      <c r="BL6" s="60" t="str">
        <f>IF(BS6="Original",AD6,AU6)</f>
        <v>Power Phase[REG]</v>
      </c>
      <c r="BM6" s="60" t="str">
        <f>IF(BS6="Original",AE6,AV6)</f>
        <v>0775548</v>
      </c>
      <c r="BN6" s="60" t="str">
        <f>IF(BS6="Original",AF6,AW6)</f>
        <v>0775548</v>
      </c>
      <c r="BO6" s="60" t="str">
        <f>IF(BS6="Original",AG6,AX6)</f>
        <v>Electrical</v>
      </c>
      <c r="BP6" s="60" t="str">
        <f>IF(BS6="Original",AH6,AY6)</f>
        <v>14.6" 50lb Tensile Blue Nylon 6.6 Power Phase[REG] Colored Cable Tie Pkg</v>
      </c>
      <c r="BQ6" s="60" t="str">
        <f>IF(BS6="Original",AI6,AZ6)</f>
        <v>Similar Match</v>
      </c>
      <c r="BR6" s="60" t="str">
        <f>IF(BS6="Original",AJ6,BA6)</f>
        <v>No</v>
      </c>
      <c r="BS6" s="60" t="str">
        <f>IF(AQ6="","Original",IF(AP6&lt;Y6,"Alternate","Original"))</f>
        <v>Original</v>
      </c>
    </row>
    <row r="7" spans="1:71" s="31" customFormat="1" x14ac:dyDescent="0.35">
      <c r="A7" s="53" t="s">
        <v>39</v>
      </c>
      <c r="B7" s="49">
        <v>5</v>
      </c>
      <c r="C7" s="50"/>
      <c r="D7" s="50"/>
      <c r="E7" s="51"/>
      <c r="F7" s="50" t="s">
        <v>60</v>
      </c>
      <c r="G7" s="50" t="s">
        <v>61</v>
      </c>
      <c r="H7" s="50" t="s">
        <v>62</v>
      </c>
      <c r="I7" s="50"/>
      <c r="J7" s="50"/>
      <c r="K7" s="50"/>
      <c r="L7" s="50"/>
      <c r="M7" s="50"/>
      <c r="N7" s="54" t="s">
        <v>43</v>
      </c>
      <c r="O7" s="49">
        <v>1</v>
      </c>
      <c r="P7" s="43">
        <v>796.82</v>
      </c>
      <c r="Q7" s="49">
        <v>1</v>
      </c>
      <c r="R7" s="44">
        <f>P7/O7</f>
        <v>796.82</v>
      </c>
      <c r="S7" s="49">
        <f>Q7*O7</f>
        <v>1</v>
      </c>
      <c r="T7" s="52">
        <f>S7*R7</f>
        <v>796.82</v>
      </c>
      <c r="U7" s="55">
        <f>IFERROR(T7-X7,0)</f>
        <v>-209.08629999999994</v>
      </c>
      <c r="V7" s="56">
        <f>IFERROR(U7/T7,0)</f>
        <v>-0.26240091865164017</v>
      </c>
      <c r="W7" s="57" t="str">
        <f>IF($V7&lt;0,"Negative",IF($V7=0,"Same",IF($V7&gt;0.3,"30+%",IF($V7&gt;0.2,"20-30%",IF($V7&gt;0.1,"10-20%",IF($V7&lt;=0.1,"0-10%"))))))</f>
        <v>Negative</v>
      </c>
      <c r="X7" s="66">
        <f>IFERROR(Y7*S7,0)</f>
        <v>1005.9063</v>
      </c>
      <c r="Y7" s="66">
        <f>IFERROR(Z7/AB7,0)</f>
        <v>1005.9063</v>
      </c>
      <c r="Z7" s="69">
        <v>1005.9063</v>
      </c>
      <c r="AA7" s="50" t="s">
        <v>63</v>
      </c>
      <c r="AB7" s="50">
        <v>1</v>
      </c>
      <c r="AC7" s="50"/>
      <c r="AD7" s="50" t="s">
        <v>64</v>
      </c>
      <c r="AE7" s="50" t="s">
        <v>65</v>
      </c>
      <c r="AF7" s="50" t="s">
        <v>66</v>
      </c>
      <c r="AG7" s="50" t="s">
        <v>67</v>
      </c>
      <c r="AH7" s="50" t="s">
        <v>68</v>
      </c>
      <c r="AI7" s="50" t="s">
        <v>69</v>
      </c>
      <c r="AJ7" s="50" t="s">
        <v>59</v>
      </c>
      <c r="AK7" s="50"/>
      <c r="AL7" s="58">
        <f>IF(AQ7="","",T7-AO7)</f>
        <v>188.53690000000006</v>
      </c>
      <c r="AM7" s="59">
        <f>IFERROR(AL7/T7,"")</f>
        <v>0.23661165633392742</v>
      </c>
      <c r="AN7" s="60" t="str">
        <f>IF(AM7="","",IF(AM7&lt;0,"Negative",IF(AM7=0,"Same",IF(AM7&gt;0.3,"30+%",IF(AM7&gt;0.2,"20-30%",IF(AM7&gt;0.1,"10-20%",IF(AM7&lt;=0.1,"0-10%")))))))</f>
        <v>20-30%</v>
      </c>
      <c r="AO7" s="66">
        <f>IFERROR(AP7*S7,"")</f>
        <v>608.28309999999999</v>
      </c>
      <c r="AP7" s="66">
        <f>IFERROR(AQ7/AS7,"")</f>
        <v>608.28309999999999</v>
      </c>
      <c r="AQ7" s="69">
        <v>608.28309999999999</v>
      </c>
      <c r="AR7" s="50" t="s">
        <v>63</v>
      </c>
      <c r="AS7" s="50">
        <v>1</v>
      </c>
      <c r="AT7" s="50"/>
      <c r="AU7" s="50" t="s">
        <v>70</v>
      </c>
      <c r="AV7" s="50" t="s">
        <v>71</v>
      </c>
      <c r="AW7" s="50" t="s">
        <v>71</v>
      </c>
      <c r="AX7" s="50" t="s">
        <v>67</v>
      </c>
      <c r="AY7" s="50" t="s">
        <v>72</v>
      </c>
      <c r="AZ7" s="50" t="s">
        <v>58</v>
      </c>
      <c r="BA7" s="50" t="s">
        <v>73</v>
      </c>
      <c r="BB7" s="50"/>
      <c r="BC7" s="55">
        <f>T7-BF7</f>
        <v>188.53690000000006</v>
      </c>
      <c r="BD7" s="56">
        <f>BC7/T7</f>
        <v>0.23661165633392742</v>
      </c>
      <c r="BE7" s="61" t="str">
        <f>IF(BD7&lt;0,"Negative",IF(BD7=0,"Same",IF(BD7&gt;0.3,"30+%",IF(BD7&gt;0.2,"20-30%",IF(BD7&gt;0.1,"10-20%",IF(BD7&lt;=0.1,"0-10%"))))))</f>
        <v>20-30%</v>
      </c>
      <c r="BF7" s="65">
        <f>BG7*S7</f>
        <v>608.28309999999999</v>
      </c>
      <c r="BG7" s="66">
        <f>BH7/BJ7</f>
        <v>608.28309999999999</v>
      </c>
      <c r="BH7" s="66">
        <f>IF(BS7="Original",Z7,AQ7)</f>
        <v>608.28309999999999</v>
      </c>
      <c r="BI7" s="60" t="str">
        <f>IF(BS7="Original",AA7,AR7)</f>
        <v>Piece</v>
      </c>
      <c r="BJ7" s="60">
        <f>IF(BS7="Original",AB7,AS7)</f>
        <v>1</v>
      </c>
      <c r="BK7" s="60"/>
      <c r="BL7" s="60" t="str">
        <f>IF(BS7="Original",AD7,AU7)</f>
        <v>Agent[REG]</v>
      </c>
      <c r="BM7" s="60" t="str">
        <f>IF(BS7="Original",AE7,AV7)</f>
        <v>1068342</v>
      </c>
      <c r="BN7" s="60" t="str">
        <f>IF(BS7="Original",AF7,AW7)</f>
        <v>1068342</v>
      </c>
      <c r="BO7" s="60" t="str">
        <f>IF(BS7="Original",AG7,AX7)</f>
        <v>Safety</v>
      </c>
      <c r="BP7" s="60" t="str">
        <f>IF(BS7="Original",AH7,AY7)</f>
        <v>30gal Capacity Yellow Steel Agent[REG] 1-Shelf Manual Close Standard Flammable Storage Cabinet</v>
      </c>
      <c r="BQ7" s="60" t="str">
        <f>IF(BS7="Original",AI7,AZ7)</f>
        <v>Similar Match</v>
      </c>
      <c r="BR7" s="60" t="str">
        <f>IF(BS7="Original",AJ7,BA7)</f>
        <v>Yes</v>
      </c>
      <c r="BS7" s="60" t="str">
        <f>IF(AQ7="","Original",IF(AP7&lt;Y7,"Alternate","Original"))</f>
        <v>Alternate</v>
      </c>
    </row>
    <row r="8" spans="1:71" s="31" customFormat="1" x14ac:dyDescent="0.35">
      <c r="A8" s="53" t="s">
        <v>39</v>
      </c>
      <c r="B8" s="49">
        <v>6</v>
      </c>
      <c r="C8" s="50"/>
      <c r="D8" s="50"/>
      <c r="E8" s="51"/>
      <c r="F8" s="50" t="s">
        <v>49</v>
      </c>
      <c r="G8" s="50" t="s">
        <v>74</v>
      </c>
      <c r="H8" s="50" t="s">
        <v>75</v>
      </c>
      <c r="I8" s="50"/>
      <c r="J8" s="50"/>
      <c r="K8" s="50"/>
      <c r="L8" s="50"/>
      <c r="M8" s="50"/>
      <c r="N8" s="54" t="s">
        <v>43</v>
      </c>
      <c r="O8" s="49">
        <v>1</v>
      </c>
      <c r="P8" s="43">
        <v>347.86</v>
      </c>
      <c r="Q8" s="49">
        <v>2</v>
      </c>
      <c r="R8" s="44">
        <f>P8/O8</f>
        <v>347.86</v>
      </c>
      <c r="S8" s="49">
        <f>Q8*O8</f>
        <v>2</v>
      </c>
      <c r="T8" s="52">
        <f>S8*R8</f>
        <v>695.72</v>
      </c>
      <c r="U8" s="55">
        <f>IFERROR(T8-X8,0)</f>
        <v>695.64859999999999</v>
      </c>
      <c r="V8" s="56">
        <f>IFERROR(U8/T8,0)</f>
        <v>0.9998973725061806</v>
      </c>
      <c r="W8" s="57" t="str">
        <f>IF($V8&lt;0,"Negative",IF($V8=0,"Same",IF($V8&gt;0.3,"30+%",IF($V8&gt;0.2,"20-30%",IF($V8&gt;0.1,"10-20%",IF($V8&lt;=0.1,"0-10%"))))))</f>
        <v>30+%</v>
      </c>
      <c r="X8" s="66">
        <f>IFERROR(Y8*S8,0)</f>
        <v>7.1399999999999991E-2</v>
      </c>
      <c r="Y8" s="66">
        <f>IFERROR(Z8/AB8,0)</f>
        <v>3.5699999999999996E-2</v>
      </c>
      <c r="Z8" s="69">
        <v>3.57</v>
      </c>
      <c r="AA8" s="50" t="s">
        <v>52</v>
      </c>
      <c r="AB8" s="50">
        <v>100</v>
      </c>
      <c r="AC8" s="50" t="s">
        <v>53</v>
      </c>
      <c r="AD8" s="50" t="s">
        <v>76</v>
      </c>
      <c r="AE8" s="50" t="s">
        <v>77</v>
      </c>
      <c r="AF8" s="50" t="s">
        <v>78</v>
      </c>
      <c r="AG8" s="50" t="s">
        <v>56</v>
      </c>
      <c r="AH8" s="50" t="s">
        <v>79</v>
      </c>
      <c r="AI8" s="50" t="s">
        <v>69</v>
      </c>
      <c r="AJ8" s="50" t="s">
        <v>59</v>
      </c>
      <c r="AK8" s="50"/>
      <c r="AL8" s="44"/>
      <c r="AM8" s="45"/>
      <c r="AN8" s="50"/>
      <c r="AO8" s="69"/>
      <c r="AP8" s="69"/>
      <c r="AQ8" s="69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5">
        <f>T8-BF8</f>
        <v>695.64859999999999</v>
      </c>
      <c r="BD8" s="56">
        <f>BC8/T8</f>
        <v>0.9998973725061806</v>
      </c>
      <c r="BE8" s="61" t="str">
        <f>IF(BD8&lt;0,"Negative",IF(BD8=0,"Same",IF(BD8&gt;0.3,"30+%",IF(BD8&gt;0.2,"20-30%",IF(BD8&gt;0.1,"10-20%",IF(BD8&lt;=0.1,"0-10%"))))))</f>
        <v>30+%</v>
      </c>
      <c r="BF8" s="65">
        <f>BG8*S8</f>
        <v>7.1399999999999991E-2</v>
      </c>
      <c r="BG8" s="66">
        <f>BH8/BJ8</f>
        <v>3.5699999999999996E-2</v>
      </c>
      <c r="BH8" s="66">
        <f>IF(BS8="Original",Z8,AQ8)</f>
        <v>3.57</v>
      </c>
      <c r="BI8" s="60" t="str">
        <f>IF(BS8="Original",AA8,AR8)</f>
        <v>Pack</v>
      </c>
      <c r="BJ8" s="60">
        <f>IF(BS8="Original",AB8,AS8)</f>
        <v>100</v>
      </c>
      <c r="BK8" s="60" t="str">
        <f>IF(BS8="Original",AC8,AT8)</f>
        <v>Possible UOM or LPP issue.</v>
      </c>
      <c r="BL8" s="60" t="str">
        <f>IF(BS8="Original",AD8,AU8)</f>
        <v>Carlon[REG]</v>
      </c>
      <c r="BM8" s="60" t="str">
        <f>IF(BS8="Original",AE8,AV8)</f>
        <v>L-14-50-9-C</v>
      </c>
      <c r="BN8" s="60" t="str">
        <f>IF(BS8="Original",AF8,AW8)</f>
        <v>0719823</v>
      </c>
      <c r="BO8" s="60" t="str">
        <f>IF(BS8="Original",AG8,AX8)</f>
        <v>Electrical</v>
      </c>
      <c r="BP8" s="60" t="str">
        <f>IF(BS8="Original",AH8,AY8)</f>
        <v>14.1" 50lb Tensile Natural Nylon 6.6 Cable Tie</v>
      </c>
      <c r="BQ8" s="60" t="str">
        <f>IF(BS8="Original",AI8,AZ8)</f>
        <v>Exact Match</v>
      </c>
      <c r="BR8" s="60" t="str">
        <f>IF(BS8="Original",AJ8,BA8)</f>
        <v>No</v>
      </c>
      <c r="BS8" s="60" t="str">
        <f>IF(AQ8="","Original",IF(AP8&lt;Y8,"Alternate","Original"))</f>
        <v>Original</v>
      </c>
    </row>
    <row r="9" spans="1:71" s="31" customFormat="1" x14ac:dyDescent="0.35">
      <c r="A9" s="53" t="s">
        <v>39</v>
      </c>
      <c r="B9" s="49">
        <v>7</v>
      </c>
      <c r="C9" s="50"/>
      <c r="D9" s="50"/>
      <c r="E9" s="51"/>
      <c r="F9" s="50" t="s">
        <v>40</v>
      </c>
      <c r="G9" s="50" t="s">
        <v>80</v>
      </c>
      <c r="H9" s="50" t="s">
        <v>81</v>
      </c>
      <c r="I9" s="50"/>
      <c r="J9" s="50"/>
      <c r="K9" s="50"/>
      <c r="L9" s="50"/>
      <c r="M9" s="50"/>
      <c r="N9" s="54" t="s">
        <v>43</v>
      </c>
      <c r="O9" s="49">
        <v>1</v>
      </c>
      <c r="P9" s="43">
        <v>669.77</v>
      </c>
      <c r="Q9" s="49">
        <v>1</v>
      </c>
      <c r="R9" s="44">
        <f>P9/O9</f>
        <v>669.77</v>
      </c>
      <c r="S9" s="49">
        <f>Q9*O9</f>
        <v>1</v>
      </c>
      <c r="T9" s="52">
        <f>S9*R9</f>
        <v>669.77</v>
      </c>
      <c r="U9" s="50"/>
      <c r="V9" s="50"/>
      <c r="W9" s="50"/>
      <c r="X9" s="69"/>
      <c r="Y9" s="69"/>
      <c r="Z9" s="69"/>
      <c r="AA9" s="50"/>
      <c r="AB9" s="50"/>
      <c r="AC9" s="50" t="s">
        <v>82</v>
      </c>
      <c r="AD9" s="50"/>
      <c r="AE9" s="50"/>
      <c r="AF9" s="50"/>
      <c r="AG9" s="50"/>
      <c r="AH9" s="50"/>
      <c r="AI9" s="50" t="s">
        <v>44</v>
      </c>
      <c r="AJ9" s="50"/>
      <c r="AK9" s="50"/>
      <c r="AL9" s="44"/>
      <c r="AM9" s="45"/>
      <c r="AN9" s="50"/>
      <c r="AO9" s="69"/>
      <c r="AP9" s="69"/>
      <c r="AQ9" s="69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5"/>
      <c r="BD9" s="56"/>
      <c r="BE9" s="61"/>
      <c r="BF9" s="65"/>
      <c r="BG9" s="66"/>
      <c r="BH9" s="66"/>
      <c r="BI9" s="60"/>
      <c r="BJ9" s="60"/>
      <c r="BK9" s="60" t="str">
        <f>IF(BS9="Original",AC9,AT9)</f>
        <v>Need color of cabinet.</v>
      </c>
      <c r="BL9" s="60"/>
      <c r="BM9" s="60"/>
      <c r="BN9" s="60"/>
      <c r="BO9" s="60"/>
      <c r="BP9" s="60"/>
      <c r="BQ9" s="60" t="str">
        <f>IF(BS9="Original",AI9,AZ9)</f>
        <v>Not Enough Product Data</v>
      </c>
      <c r="BR9" s="60"/>
      <c r="BS9" s="60" t="str">
        <f>IF(AQ9="","Original",IF(AP9&lt;Y9,"Alternate","Original"))</f>
        <v>Original</v>
      </c>
    </row>
    <row r="10" spans="1:71" s="31" customFormat="1" x14ac:dyDescent="0.35">
      <c r="A10" s="53" t="s">
        <v>39</v>
      </c>
      <c r="B10" s="49">
        <v>8</v>
      </c>
      <c r="C10" s="50"/>
      <c r="D10" s="50"/>
      <c r="E10" s="51"/>
      <c r="F10" s="50" t="s">
        <v>40</v>
      </c>
      <c r="G10" s="50" t="s">
        <v>83</v>
      </c>
      <c r="H10" s="50" t="s">
        <v>84</v>
      </c>
      <c r="I10" s="50"/>
      <c r="J10" s="50"/>
      <c r="K10" s="50"/>
      <c r="L10" s="50"/>
      <c r="M10" s="50"/>
      <c r="N10" s="54" t="s">
        <v>43</v>
      </c>
      <c r="O10" s="49">
        <v>1</v>
      </c>
      <c r="P10" s="43">
        <v>575.23</v>
      </c>
      <c r="Q10" s="49">
        <v>1</v>
      </c>
      <c r="R10" s="44">
        <f>P10/O10</f>
        <v>575.23</v>
      </c>
      <c r="S10" s="49">
        <f>Q10*O10</f>
        <v>1</v>
      </c>
      <c r="T10" s="52">
        <f>S10*R10</f>
        <v>575.23</v>
      </c>
      <c r="U10" s="50"/>
      <c r="V10" s="50"/>
      <c r="W10" s="50"/>
      <c r="X10" s="69"/>
      <c r="Y10" s="69"/>
      <c r="Z10" s="69"/>
      <c r="AA10" s="50"/>
      <c r="AB10" s="50"/>
      <c r="AC10" s="50"/>
      <c r="AD10" s="50"/>
      <c r="AE10" s="50"/>
      <c r="AF10" s="50"/>
      <c r="AG10" s="50"/>
      <c r="AH10" s="50"/>
      <c r="AI10" s="50" t="s">
        <v>44</v>
      </c>
      <c r="AJ10" s="50"/>
      <c r="AK10" s="50"/>
      <c r="AL10" s="44"/>
      <c r="AM10" s="45"/>
      <c r="AN10" s="50"/>
      <c r="AO10" s="69"/>
      <c r="AP10" s="69"/>
      <c r="AQ10" s="69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5"/>
      <c r="BD10" s="56"/>
      <c r="BE10" s="61"/>
      <c r="BF10" s="65"/>
      <c r="BG10" s="66"/>
      <c r="BH10" s="66"/>
      <c r="BI10" s="60"/>
      <c r="BJ10" s="60"/>
      <c r="BK10" s="60"/>
      <c r="BL10" s="60"/>
      <c r="BM10" s="60"/>
      <c r="BN10" s="60"/>
      <c r="BO10" s="60"/>
      <c r="BP10" s="60"/>
      <c r="BQ10" s="60" t="str">
        <f>IF(BS10="Original",AI10,AZ10)</f>
        <v>Not Enough Product Data</v>
      </c>
      <c r="BR10" s="60"/>
      <c r="BS10" s="60" t="str">
        <f>IF(AQ10="","Original",IF(AP10&lt;Y10,"Alternate","Original"))</f>
        <v>Original</v>
      </c>
    </row>
    <row r="11" spans="1:71" s="31" customFormat="1" x14ac:dyDescent="0.35">
      <c r="A11" s="53" t="s">
        <v>39</v>
      </c>
      <c r="B11" s="49">
        <v>9</v>
      </c>
      <c r="C11" s="50"/>
      <c r="D11" s="50"/>
      <c r="E11" s="51"/>
      <c r="F11" s="50" t="s">
        <v>60</v>
      </c>
      <c r="G11" s="50" t="s">
        <v>85</v>
      </c>
      <c r="H11" s="50" t="s">
        <v>86</v>
      </c>
      <c r="I11" s="50"/>
      <c r="J11" s="50"/>
      <c r="K11" s="50"/>
      <c r="L11" s="50"/>
      <c r="M11" s="50"/>
      <c r="N11" s="54" t="s">
        <v>43</v>
      </c>
      <c r="O11" s="49">
        <v>1</v>
      </c>
      <c r="P11" s="43">
        <v>534.48</v>
      </c>
      <c r="Q11" s="49">
        <v>1</v>
      </c>
      <c r="R11" s="44">
        <f>P11/O11</f>
        <v>534.48</v>
      </c>
      <c r="S11" s="49">
        <f>Q11*O11</f>
        <v>1</v>
      </c>
      <c r="T11" s="52">
        <f>S11*R11</f>
        <v>534.48</v>
      </c>
      <c r="U11" s="55">
        <f>IFERROR(T11-X11,0)</f>
        <v>152.50050000000005</v>
      </c>
      <c r="V11" s="56">
        <f>IFERROR(U11/T11,0)</f>
        <v>0.2853249887741357</v>
      </c>
      <c r="W11" s="57" t="str">
        <f>IF($V11&lt;0,"Negative",IF($V11=0,"Same",IF($V11&gt;0.3,"30+%",IF($V11&gt;0.2,"20-30%",IF($V11&gt;0.1,"10-20%",IF($V11&lt;=0.1,"0-10%"))))))</f>
        <v>20-30%</v>
      </c>
      <c r="X11" s="66">
        <f>IFERROR(Y11*S11,0)</f>
        <v>381.97949999999997</v>
      </c>
      <c r="Y11" s="66">
        <f>IFERROR(Z11/AB11,0)</f>
        <v>381.97949999999997</v>
      </c>
      <c r="Z11" s="69">
        <v>381.97949999999997</v>
      </c>
      <c r="AA11" s="50" t="s">
        <v>63</v>
      </c>
      <c r="AB11" s="50">
        <v>1</v>
      </c>
      <c r="AC11" s="50"/>
      <c r="AD11" s="50" t="s">
        <v>87</v>
      </c>
      <c r="AE11" s="50" t="s">
        <v>88</v>
      </c>
      <c r="AF11" s="50" t="s">
        <v>89</v>
      </c>
      <c r="AG11" s="50" t="s">
        <v>90</v>
      </c>
      <c r="AH11" s="50" t="s">
        <v>91</v>
      </c>
      <c r="AI11" s="50" t="s">
        <v>69</v>
      </c>
      <c r="AJ11" s="50" t="s">
        <v>59</v>
      </c>
      <c r="AK11" s="50"/>
      <c r="AL11" s="44"/>
      <c r="AM11" s="45"/>
      <c r="AN11" s="50"/>
      <c r="AO11" s="69"/>
      <c r="AP11" s="69"/>
      <c r="AQ11" s="69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5">
        <f>T11-BF11</f>
        <v>152.50050000000005</v>
      </c>
      <c r="BD11" s="56">
        <f>BC11/T11</f>
        <v>0.2853249887741357</v>
      </c>
      <c r="BE11" s="61" t="str">
        <f>IF(BD11&lt;0,"Negative",IF(BD11=0,"Same",IF(BD11&gt;0.3,"30+%",IF(BD11&gt;0.2,"20-30%",IF(BD11&gt;0.1,"10-20%",IF(BD11&lt;=0.1,"0-10%"))))))</f>
        <v>20-30%</v>
      </c>
      <c r="BF11" s="65">
        <f>BG11*S11</f>
        <v>381.97949999999997</v>
      </c>
      <c r="BG11" s="66">
        <f>BH11/BJ11</f>
        <v>381.97949999999997</v>
      </c>
      <c r="BH11" s="66">
        <f>IF(BS11="Original",Z11,AQ11)</f>
        <v>381.97949999999997</v>
      </c>
      <c r="BI11" s="60" t="str">
        <f>IF(BS11="Original",AA11,AR11)</f>
        <v>Piece</v>
      </c>
      <c r="BJ11" s="60">
        <f>IF(BS11="Original",AB11,AS11)</f>
        <v>1</v>
      </c>
      <c r="BK11" s="60"/>
      <c r="BL11" s="60" t="str">
        <f>IF(BS11="Original",AD11,AU11)</f>
        <v>Fluke Corp</v>
      </c>
      <c r="BM11" s="60" t="str">
        <f>IF(BS11="Original",AE11,AV11)</f>
        <v>674686</v>
      </c>
      <c r="BN11" s="60" t="str">
        <f>IF(BS11="Original",AF11,AW11)</f>
        <v>0712562</v>
      </c>
      <c r="BO11" s="60" t="str">
        <f>IF(BS11="Original",AG11,AX11)</f>
        <v>Test and Measurement</v>
      </c>
      <c r="BP11" s="60" t="str">
        <f>IF(BS11="Original",AH11,AY11)</f>
        <v>Fluke-51-2 Single Input Thermometer</v>
      </c>
      <c r="BQ11" s="60" t="str">
        <f>IF(BS11="Original",AI11,AZ11)</f>
        <v>Exact Match</v>
      </c>
      <c r="BR11" s="60" t="str">
        <f>IF(BS11="Original",AJ11,BA11)</f>
        <v>No</v>
      </c>
      <c r="BS11" s="60" t="str">
        <f>IF(AQ11="","Original",IF(AP11&lt;Y11,"Alternate","Original"))</f>
        <v>Original</v>
      </c>
    </row>
    <row r="12" spans="1:71" s="31" customFormat="1" x14ac:dyDescent="0.35">
      <c r="A12" s="53" t="s">
        <v>39</v>
      </c>
      <c r="B12" s="49">
        <v>10</v>
      </c>
      <c r="C12" s="50"/>
      <c r="D12" s="50"/>
      <c r="E12" s="51"/>
      <c r="F12" s="50" t="s">
        <v>40</v>
      </c>
      <c r="G12" s="50" t="s">
        <v>92</v>
      </c>
      <c r="H12" s="50" t="s">
        <v>93</v>
      </c>
      <c r="I12" s="50"/>
      <c r="J12" s="50"/>
      <c r="K12" s="50"/>
      <c r="L12" s="50"/>
      <c r="M12" s="50"/>
      <c r="N12" s="54" t="s">
        <v>43</v>
      </c>
      <c r="O12" s="49">
        <v>1</v>
      </c>
      <c r="P12" s="43">
        <v>131.6</v>
      </c>
      <c r="Q12" s="49">
        <v>4</v>
      </c>
      <c r="R12" s="44">
        <f>P12/O12</f>
        <v>131.6</v>
      </c>
      <c r="S12" s="49">
        <f>Q12*O12</f>
        <v>4</v>
      </c>
      <c r="T12" s="52">
        <f>S12*R12</f>
        <v>526.4</v>
      </c>
      <c r="U12" s="50"/>
      <c r="V12" s="50"/>
      <c r="W12" s="50"/>
      <c r="X12" s="69"/>
      <c r="Y12" s="69"/>
      <c r="Z12" s="69"/>
      <c r="AA12" s="50"/>
      <c r="AB12" s="50"/>
      <c r="AC12" s="50"/>
      <c r="AD12" s="50"/>
      <c r="AE12" s="50"/>
      <c r="AF12" s="50"/>
      <c r="AG12" s="50"/>
      <c r="AH12" s="50"/>
      <c r="AI12" s="50" t="s">
        <v>44</v>
      </c>
      <c r="AJ12" s="50"/>
      <c r="AK12" s="50"/>
      <c r="AL12" s="44"/>
      <c r="AM12" s="45"/>
      <c r="AN12" s="50"/>
      <c r="AO12" s="69"/>
      <c r="AP12" s="69"/>
      <c r="AQ12" s="69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5"/>
      <c r="BD12" s="56"/>
      <c r="BE12" s="61"/>
      <c r="BF12" s="65"/>
      <c r="BG12" s="66"/>
      <c r="BH12" s="66"/>
      <c r="BI12" s="60"/>
      <c r="BJ12" s="60"/>
      <c r="BK12" s="60"/>
      <c r="BL12" s="60"/>
      <c r="BM12" s="60"/>
      <c r="BN12" s="60"/>
      <c r="BO12" s="60"/>
      <c r="BP12" s="60"/>
      <c r="BQ12" s="60" t="str">
        <f>IF(BS12="Original",AI12,AZ12)</f>
        <v>Not Enough Product Data</v>
      </c>
      <c r="BR12" s="60"/>
      <c r="BS12" s="60" t="str">
        <f>IF(AQ12="","Original",IF(AP12&lt;Y12,"Alternate","Original"))</f>
        <v>Original</v>
      </c>
    </row>
    <row r="13" spans="1:71" s="31" customFormat="1" x14ac:dyDescent="0.35">
      <c r="A13" s="53" t="s">
        <v>39</v>
      </c>
      <c r="B13" s="49">
        <v>11</v>
      </c>
      <c r="C13" s="50"/>
      <c r="D13" s="50"/>
      <c r="E13" s="51"/>
      <c r="F13" s="50" t="s">
        <v>49</v>
      </c>
      <c r="G13" s="50" t="s">
        <v>94</v>
      </c>
      <c r="H13" s="50" t="s">
        <v>95</v>
      </c>
      <c r="I13" s="50"/>
      <c r="J13" s="50"/>
      <c r="K13" s="50"/>
      <c r="L13" s="50"/>
      <c r="M13" s="50"/>
      <c r="N13" s="54" t="s">
        <v>43</v>
      </c>
      <c r="O13" s="49">
        <v>1</v>
      </c>
      <c r="P13" s="43">
        <v>460.99</v>
      </c>
      <c r="Q13" s="49">
        <v>1</v>
      </c>
      <c r="R13" s="44">
        <f>P13/O13</f>
        <v>460.99</v>
      </c>
      <c r="S13" s="49">
        <f>Q13*O13</f>
        <v>1</v>
      </c>
      <c r="T13" s="52">
        <f>S13*R13</f>
        <v>460.99</v>
      </c>
      <c r="U13" s="55">
        <f>IFERROR(T13-X13,0)</f>
        <v>453.29079999999999</v>
      </c>
      <c r="V13" s="56">
        <f>IFERROR(U13/T13,0)</f>
        <v>0.98329855311395042</v>
      </c>
      <c r="W13" s="57" t="str">
        <f>IF($V13&lt;0,"Negative",IF($V13=0,"Same",IF($V13&gt;0.3,"30+%",IF($V13&gt;0.2,"20-30%",IF($V13&gt;0.1,"10-20%",IF($V13&lt;=0.1,"0-10%"))))))</f>
        <v>30+%</v>
      </c>
      <c r="X13" s="66">
        <f>IFERROR(Y13*S13,0)</f>
        <v>7.6992000000000003</v>
      </c>
      <c r="Y13" s="66">
        <f>IFERROR(Z13/AB13,0)</f>
        <v>7.6992000000000003</v>
      </c>
      <c r="Z13" s="69">
        <v>7.6992000000000003</v>
      </c>
      <c r="AA13" s="50" t="s">
        <v>96</v>
      </c>
      <c r="AB13" s="50">
        <v>1</v>
      </c>
      <c r="AC13" s="50" t="s">
        <v>53</v>
      </c>
      <c r="AD13" s="50" t="s">
        <v>97</v>
      </c>
      <c r="AE13" s="50" t="s">
        <v>98</v>
      </c>
      <c r="AF13" s="50" t="s">
        <v>99</v>
      </c>
      <c r="AG13" s="50" t="s">
        <v>100</v>
      </c>
      <c r="AH13" s="50" t="s">
        <v>101</v>
      </c>
      <c r="AI13" s="50" t="s">
        <v>58</v>
      </c>
      <c r="AJ13" s="50" t="s">
        <v>59</v>
      </c>
      <c r="AK13" s="50"/>
      <c r="AL13" s="44"/>
      <c r="AM13" s="45"/>
      <c r="AN13" s="50"/>
      <c r="AO13" s="69"/>
      <c r="AP13" s="69"/>
      <c r="AQ13" s="69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5">
        <f>T13-BF13</f>
        <v>453.29079999999999</v>
      </c>
      <c r="BD13" s="56">
        <f>BC13/T13</f>
        <v>0.98329855311395042</v>
      </c>
      <c r="BE13" s="61" t="str">
        <f>IF(BD13&lt;0,"Negative",IF(BD13=0,"Same",IF(BD13&gt;0.3,"30+%",IF(BD13&gt;0.2,"20-30%",IF(BD13&gt;0.1,"10-20%",IF(BD13&lt;=0.1,"0-10%"))))))</f>
        <v>30+%</v>
      </c>
      <c r="BF13" s="65">
        <f>BG13*S13</f>
        <v>7.6992000000000003</v>
      </c>
      <c r="BG13" s="66">
        <f>BH13/BJ13</f>
        <v>7.6992000000000003</v>
      </c>
      <c r="BH13" s="66">
        <f>IF(BS13="Original",Z13,AQ13)</f>
        <v>7.6992000000000003</v>
      </c>
      <c r="BI13" s="60" t="str">
        <f>IF(BS13="Original",AA13,AR13)</f>
        <v>Bag</v>
      </c>
      <c r="BJ13" s="60">
        <f>IF(BS13="Original",AB13,AS13)</f>
        <v>1</v>
      </c>
      <c r="BK13" s="60" t="str">
        <f>IF(BS13="Original",AC13,AT13)</f>
        <v>Possible UOM or LPP issue.</v>
      </c>
      <c r="BL13" s="60" t="str">
        <f>IF(BS13="Original",AD13,AU13)</f>
        <v>TILLSON BRANDS INC</v>
      </c>
      <c r="BM13" s="60" t="str">
        <f>IF(BS13="Original",AE13,AV13)</f>
        <v>TB-ECO-SALT227KG</v>
      </c>
      <c r="BN13" s="60" t="str">
        <f>IF(BS13="Original",AF13,AW13)</f>
        <v>0610682</v>
      </c>
      <c r="BO13" s="60" t="str">
        <f>IF(BS13="Original",AG13,AX13)</f>
        <v>Outdoor Products and Equipment</v>
      </c>
      <c r="BP13" s="60" t="str">
        <f>IF(BS13="Original",AH13,AY13)</f>
        <v>50lb Bag Eco Salt Ice Melter</v>
      </c>
      <c r="BQ13" s="60" t="str">
        <f>IF(BS13="Original",AI13,AZ13)</f>
        <v>Similar Match</v>
      </c>
      <c r="BR13" s="60" t="str">
        <f>IF(BS13="Original",AJ13,BA13)</f>
        <v>No</v>
      </c>
      <c r="BS13" s="60" t="str">
        <f>IF(AQ13="","Original",IF(AP13&lt;Y13,"Alternate","Original"))</f>
        <v>Original</v>
      </c>
    </row>
    <row r="14" spans="1:71" s="31" customFormat="1" x14ac:dyDescent="0.35">
      <c r="A14" s="53" t="s">
        <v>39</v>
      </c>
      <c r="B14" s="49">
        <v>12</v>
      </c>
      <c r="C14" s="50"/>
      <c r="D14" s="50"/>
      <c r="E14" s="51"/>
      <c r="F14" s="50" t="s">
        <v>40</v>
      </c>
      <c r="G14" s="50" t="s">
        <v>102</v>
      </c>
      <c r="H14" s="50" t="s">
        <v>103</v>
      </c>
      <c r="I14" s="50"/>
      <c r="J14" s="50"/>
      <c r="K14" s="50"/>
      <c r="L14" s="50"/>
      <c r="M14" s="50"/>
      <c r="N14" s="54" t="s">
        <v>43</v>
      </c>
      <c r="O14" s="49">
        <v>1</v>
      </c>
      <c r="P14" s="43">
        <v>226.89</v>
      </c>
      <c r="Q14" s="49">
        <v>2</v>
      </c>
      <c r="R14" s="44">
        <f>P14/O14</f>
        <v>226.89</v>
      </c>
      <c r="S14" s="49">
        <f>Q14*O14</f>
        <v>2</v>
      </c>
      <c r="T14" s="52">
        <f>S14*R14</f>
        <v>453.78</v>
      </c>
      <c r="U14" s="55">
        <f>IFERROR(T14-X14,0)</f>
        <v>378.75119999999998</v>
      </c>
      <c r="V14" s="56">
        <f>IFERROR(U14/T14,0)</f>
        <v>0.83465820441623695</v>
      </c>
      <c r="W14" s="57" t="str">
        <f>IF($V14&lt;0,"Negative",IF($V14=0,"Same",IF($V14&gt;0.3,"30+%",IF($V14&gt;0.2,"20-30%",IF($V14&gt;0.1,"10-20%",IF($V14&lt;=0.1,"0-10%"))))))</f>
        <v>30+%</v>
      </c>
      <c r="X14" s="66">
        <f>IFERROR(Y14*S14,0)</f>
        <v>75.028800000000004</v>
      </c>
      <c r="Y14" s="66">
        <f>IFERROR(Z14/AB14,0)</f>
        <v>37.514400000000002</v>
      </c>
      <c r="Z14" s="69">
        <v>37.514400000000002</v>
      </c>
      <c r="AA14" s="50" t="s">
        <v>63</v>
      </c>
      <c r="AB14" s="50">
        <v>1</v>
      </c>
      <c r="AC14" s="50" t="s">
        <v>53</v>
      </c>
      <c r="AD14" s="50" t="s">
        <v>104</v>
      </c>
      <c r="AE14" s="50" t="s">
        <v>105</v>
      </c>
      <c r="AF14" s="50" t="s">
        <v>106</v>
      </c>
      <c r="AG14" s="50" t="s">
        <v>107</v>
      </c>
      <c r="AH14" s="50" t="s">
        <v>108</v>
      </c>
      <c r="AI14" s="50" t="s">
        <v>58</v>
      </c>
      <c r="AJ14" s="50" t="s">
        <v>59</v>
      </c>
      <c r="AK14" s="50"/>
      <c r="AL14" s="44"/>
      <c r="AM14" s="45"/>
      <c r="AN14" s="50"/>
      <c r="AO14" s="69"/>
      <c r="AP14" s="69"/>
      <c r="AQ14" s="69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5">
        <f>T14-BF14</f>
        <v>378.75119999999998</v>
      </c>
      <c r="BD14" s="56">
        <f>BC14/T14</f>
        <v>0.83465820441623695</v>
      </c>
      <c r="BE14" s="61" t="str">
        <f>IF(BD14&lt;0,"Negative",IF(BD14=0,"Same",IF(BD14&gt;0.3,"30+%",IF(BD14&gt;0.2,"20-30%",IF(BD14&gt;0.1,"10-20%",IF(BD14&lt;=0.1,"0-10%"))))))</f>
        <v>30+%</v>
      </c>
      <c r="BF14" s="65">
        <f>BG14*S14</f>
        <v>75.028800000000004</v>
      </c>
      <c r="BG14" s="66">
        <f>BH14/BJ14</f>
        <v>37.514400000000002</v>
      </c>
      <c r="BH14" s="66">
        <f>IF(BS14="Original",Z14,AQ14)</f>
        <v>37.514400000000002</v>
      </c>
      <c r="BI14" s="60" t="str">
        <f>IF(BS14="Original",AA14,AR14)</f>
        <v>Piece</v>
      </c>
      <c r="BJ14" s="60">
        <f>IF(BS14="Original",AB14,AS14)</f>
        <v>1</v>
      </c>
      <c r="BK14" s="60" t="str">
        <f>IF(BS14="Original",AC14,AT14)</f>
        <v>Possible UOM or LPP issue.</v>
      </c>
      <c r="BL14" s="60" t="str">
        <f>IF(BS14="Original",AD14,AU14)</f>
        <v>Fastenal Approved Vendor</v>
      </c>
      <c r="BM14" s="60" t="str">
        <f>IF(BS14="Original",AE14,AV14)</f>
        <v>1161_36_0</v>
      </c>
      <c r="BN14" s="60" t="str">
        <f>IF(BS14="Original",AF14,AW14)</f>
        <v>0963984</v>
      </c>
      <c r="BO14" s="60" t="str">
        <f>IF(BS14="Original",AG14,AX14)</f>
        <v>Raw Materials</v>
      </c>
      <c r="BP14" s="60" t="str">
        <f>IF(BS14="Original",AH14,AY14)</f>
        <v>3/8" Thick x 4" Width x 3' Long ASTM B221 6061 Aluminum Flat Bar</v>
      </c>
      <c r="BQ14" s="60" t="str">
        <f>IF(BS14="Original",AI14,AZ14)</f>
        <v>Similar Match</v>
      </c>
      <c r="BR14" s="60" t="str">
        <f>IF(BS14="Original",AJ14,BA14)</f>
        <v>No</v>
      </c>
      <c r="BS14" s="60" t="str">
        <f>IF(AQ14="","Original",IF(AP14&lt;Y14,"Alternate","Original"))</f>
        <v>Original</v>
      </c>
    </row>
    <row r="15" spans="1:71" s="31" customFormat="1" x14ac:dyDescent="0.35">
      <c r="A15" s="53" t="s">
        <v>39</v>
      </c>
      <c r="B15" s="49">
        <v>13</v>
      </c>
      <c r="C15" s="50"/>
      <c r="D15" s="50"/>
      <c r="E15" s="51"/>
      <c r="F15" s="50" t="s">
        <v>60</v>
      </c>
      <c r="G15" s="50" t="s">
        <v>109</v>
      </c>
      <c r="H15" s="50" t="s">
        <v>110</v>
      </c>
      <c r="I15" s="50"/>
      <c r="J15" s="50"/>
      <c r="K15" s="50"/>
      <c r="L15" s="50"/>
      <c r="M15" s="50"/>
      <c r="N15" s="54" t="s">
        <v>43</v>
      </c>
      <c r="O15" s="49">
        <v>1</v>
      </c>
      <c r="P15" s="43">
        <v>150.66999999999999</v>
      </c>
      <c r="Q15" s="49">
        <v>3</v>
      </c>
      <c r="R15" s="44">
        <f>P15/O15</f>
        <v>150.66999999999999</v>
      </c>
      <c r="S15" s="49">
        <f>Q15*O15</f>
        <v>3</v>
      </c>
      <c r="T15" s="52">
        <f>S15*R15</f>
        <v>452.01</v>
      </c>
      <c r="U15" s="55">
        <f>IFERROR(T15-X15,0)</f>
        <v>415.58519999999999</v>
      </c>
      <c r="V15" s="56">
        <f>IFERROR(U15/T15,0)</f>
        <v>0.91941594212517419</v>
      </c>
      <c r="W15" s="57" t="str">
        <f>IF($V15&lt;0,"Negative",IF($V15=0,"Same",IF($V15&gt;0.3,"30+%",IF($V15&gt;0.2,"20-30%",IF($V15&gt;0.1,"10-20%",IF($V15&lt;=0.1,"0-10%"))))))</f>
        <v>30+%</v>
      </c>
      <c r="X15" s="66">
        <f>IFERROR(Y15*S15,0)</f>
        <v>36.424800000000005</v>
      </c>
      <c r="Y15" s="66">
        <f>IFERROR(Z15/AB15,0)</f>
        <v>12.1416</v>
      </c>
      <c r="Z15" s="69">
        <v>12.1416</v>
      </c>
      <c r="AA15" s="50" t="s">
        <v>63</v>
      </c>
      <c r="AB15" s="50">
        <v>1</v>
      </c>
      <c r="AC15" s="50" t="s">
        <v>53</v>
      </c>
      <c r="AD15" s="50" t="s">
        <v>111</v>
      </c>
      <c r="AE15" s="50" t="s">
        <v>112</v>
      </c>
      <c r="AF15" s="50" t="s">
        <v>113</v>
      </c>
      <c r="AG15" s="50" t="s">
        <v>114</v>
      </c>
      <c r="AH15" s="50" t="s">
        <v>115</v>
      </c>
      <c r="AI15" s="50" t="s">
        <v>58</v>
      </c>
      <c r="AJ15" s="50" t="s">
        <v>59</v>
      </c>
      <c r="AK15" s="50"/>
      <c r="AL15" s="44"/>
      <c r="AM15" s="45"/>
      <c r="AN15" s="50"/>
      <c r="AO15" s="69"/>
      <c r="AP15" s="69"/>
      <c r="AQ15" s="69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5">
        <f>T15-BF15</f>
        <v>415.58519999999999</v>
      </c>
      <c r="BD15" s="56">
        <f>BC15/T15</f>
        <v>0.91941594212517419</v>
      </c>
      <c r="BE15" s="61" t="str">
        <f>IF(BD15&lt;0,"Negative",IF(BD15=0,"Same",IF(BD15&gt;0.3,"30+%",IF(BD15&gt;0.2,"20-30%",IF(BD15&gt;0.1,"10-20%",IF(BD15&lt;=0.1,"0-10%"))))))</f>
        <v>30+%</v>
      </c>
      <c r="BF15" s="65">
        <f>BG15*S15</f>
        <v>36.424800000000005</v>
      </c>
      <c r="BG15" s="66">
        <f>BH15/BJ15</f>
        <v>12.1416</v>
      </c>
      <c r="BH15" s="66">
        <f>IF(BS15="Original",Z15,AQ15)</f>
        <v>12.1416</v>
      </c>
      <c r="BI15" s="60" t="str">
        <f>IF(BS15="Original",AA15,AR15)</f>
        <v>Piece</v>
      </c>
      <c r="BJ15" s="60">
        <f>IF(BS15="Original",AB15,AS15)</f>
        <v>1</v>
      </c>
      <c r="BK15" s="60" t="str">
        <f>IF(BS15="Original",AC15,AT15)</f>
        <v>Possible UOM or LPP issue.</v>
      </c>
      <c r="BL15" s="60" t="str">
        <f>IF(BS15="Original",AD15,AU15)</f>
        <v>Eaton/Hansen</v>
      </c>
      <c r="BM15" s="60" t="str">
        <f>IF(BS15="Original",AE15,AV15)</f>
        <v>2H16</v>
      </c>
      <c r="BN15" s="60" t="str">
        <f>IF(BS15="Original",AF15,AW15)</f>
        <v>0482607</v>
      </c>
      <c r="BO15" s="60" t="str">
        <f>IF(BS15="Original",AG15,AX15)</f>
        <v>Hydraulics</v>
      </c>
      <c r="BP15" s="60" t="str">
        <f>IF(BS15="Original",AH15,AY15)</f>
        <v>1/4" Plug x 1/4" Female NPT Steel Double Shut-Off Hydraulic Coupler</v>
      </c>
      <c r="BQ15" s="60" t="str">
        <f>IF(BS15="Original",AI15,AZ15)</f>
        <v>Similar Match</v>
      </c>
      <c r="BR15" s="60" t="str">
        <f>IF(BS15="Original",AJ15,BA15)</f>
        <v>No</v>
      </c>
      <c r="BS15" s="60" t="str">
        <f>IF(AQ15="","Original",IF(AP15&lt;Y15,"Alternate","Original"))</f>
        <v>Original</v>
      </c>
    </row>
    <row r="16" spans="1:71" s="31" customFormat="1" x14ac:dyDescent="0.35">
      <c r="A16" s="53" t="s">
        <v>39</v>
      </c>
      <c r="B16" s="49">
        <v>14</v>
      </c>
      <c r="C16" s="50"/>
      <c r="D16" s="50"/>
      <c r="E16" s="51"/>
      <c r="F16" s="50" t="s">
        <v>60</v>
      </c>
      <c r="G16" s="50" t="s">
        <v>116</v>
      </c>
      <c r="H16" s="50" t="s">
        <v>117</v>
      </c>
      <c r="I16" s="50"/>
      <c r="J16" s="50"/>
      <c r="K16" s="50"/>
      <c r="L16" s="50"/>
      <c r="M16" s="50"/>
      <c r="N16" s="54" t="s">
        <v>43</v>
      </c>
      <c r="O16" s="49">
        <v>1</v>
      </c>
      <c r="P16" s="43">
        <v>146.26</v>
      </c>
      <c r="Q16" s="49">
        <v>3</v>
      </c>
      <c r="R16" s="44">
        <f>P16/O16</f>
        <v>146.26</v>
      </c>
      <c r="S16" s="49">
        <f>Q16*O16</f>
        <v>3</v>
      </c>
      <c r="T16" s="52">
        <f>S16*R16</f>
        <v>438.78</v>
      </c>
      <c r="U16" s="55">
        <f>IFERROR(T16-X16,0)</f>
        <v>257.90999999999997</v>
      </c>
      <c r="V16" s="56">
        <f>IFERROR(U16/T16,0)</f>
        <v>0.587788869137153</v>
      </c>
      <c r="W16" s="57" t="str">
        <f>IF($V16&lt;0,"Negative",IF($V16=0,"Same",IF($V16&gt;0.3,"30+%",IF($V16&gt;0.2,"20-30%",IF($V16&gt;0.1,"10-20%",IF($V16&lt;=0.1,"0-10%"))))))</f>
        <v>30+%</v>
      </c>
      <c r="X16" s="66">
        <f>IFERROR(Y16*S16,0)</f>
        <v>180.87</v>
      </c>
      <c r="Y16" s="66">
        <f>IFERROR(Z16/AB16,0)</f>
        <v>60.29</v>
      </c>
      <c r="Z16" s="69">
        <v>60.29</v>
      </c>
      <c r="AA16" s="50" t="s">
        <v>118</v>
      </c>
      <c r="AB16" s="50">
        <v>1</v>
      </c>
      <c r="AC16" s="50"/>
      <c r="AD16" s="50" t="s">
        <v>119</v>
      </c>
      <c r="AE16" s="50" t="s">
        <v>120</v>
      </c>
      <c r="AF16" s="50" t="s">
        <v>121</v>
      </c>
      <c r="AG16" s="50" t="s">
        <v>67</v>
      </c>
      <c r="AH16" s="50" t="s">
        <v>122</v>
      </c>
      <c r="AI16" s="50" t="s">
        <v>69</v>
      </c>
      <c r="AJ16" s="50" t="s">
        <v>59</v>
      </c>
      <c r="AK16" s="50"/>
      <c r="AL16" s="58">
        <f>IF(AQ16="","",T16-AO16)</f>
        <v>414.30869999999999</v>
      </c>
      <c r="AM16" s="59">
        <f>IFERROR(AL16/T16,"")</f>
        <v>0.94422877068234656</v>
      </c>
      <c r="AN16" s="60" t="str">
        <f>IF(AM16="","",IF(AM16&lt;0,"Negative",IF(AM16=0,"Same",IF(AM16&gt;0.3,"30+%",IF(AM16&gt;0.2,"20-30%",IF(AM16&gt;0.1,"10-20%",IF(AM16&lt;=0.1,"0-10%")))))))</f>
        <v>30+%</v>
      </c>
      <c r="AO16" s="66">
        <f>IFERROR(AP16*S16,"")</f>
        <v>24.471299999999999</v>
      </c>
      <c r="AP16" s="66">
        <f>IFERROR(AQ16/AS16,"")</f>
        <v>8.1570999999999998</v>
      </c>
      <c r="AQ16" s="69">
        <v>8.1570999999999998</v>
      </c>
      <c r="AR16" s="50" t="s">
        <v>118</v>
      </c>
      <c r="AS16" s="50">
        <v>1</v>
      </c>
      <c r="AT16" s="50" t="s">
        <v>53</v>
      </c>
      <c r="AU16" s="50" t="s">
        <v>70</v>
      </c>
      <c r="AV16" s="50" t="s">
        <v>123</v>
      </c>
      <c r="AW16" s="50" t="s">
        <v>123</v>
      </c>
      <c r="AX16" s="50" t="s">
        <v>67</v>
      </c>
      <c r="AY16" s="50" t="s">
        <v>124</v>
      </c>
      <c r="AZ16" s="50" t="s">
        <v>58</v>
      </c>
      <c r="BA16" s="50" t="s">
        <v>59</v>
      </c>
      <c r="BB16" s="50"/>
      <c r="BC16" s="55">
        <f>T16-BF16</f>
        <v>414.30869999999999</v>
      </c>
      <c r="BD16" s="56">
        <f>BC16/T16</f>
        <v>0.94422877068234656</v>
      </c>
      <c r="BE16" s="61" t="str">
        <f>IF(BD16&lt;0,"Negative",IF(BD16=0,"Same",IF(BD16&gt;0.3,"30+%",IF(BD16&gt;0.2,"20-30%",IF(BD16&gt;0.1,"10-20%",IF(BD16&lt;=0.1,"0-10%"))))))</f>
        <v>30+%</v>
      </c>
      <c r="BF16" s="65">
        <f>BG16*S16</f>
        <v>24.471299999999999</v>
      </c>
      <c r="BG16" s="66">
        <f>BH16/BJ16</f>
        <v>8.1570999999999998</v>
      </c>
      <c r="BH16" s="66">
        <f>IF(BS16="Original",Z16,AQ16)</f>
        <v>8.1570999999999998</v>
      </c>
      <c r="BI16" s="60" t="str">
        <f>IF(BS16="Original",AA16,AR16)</f>
        <v>Roll</v>
      </c>
      <c r="BJ16" s="60">
        <f>IF(BS16="Original",AB16,AS16)</f>
        <v>1</v>
      </c>
      <c r="BK16" s="60" t="str">
        <f>IF(BS16="Original",AC16,AT16)</f>
        <v>Possible UOM or LPP issue.</v>
      </c>
      <c r="BL16" s="60" t="str">
        <f>IF(BS16="Original",AD16,AU16)</f>
        <v>Agent[REG]</v>
      </c>
      <c r="BM16" s="60" t="str">
        <f>IF(BS16="Original",AE16,AV16)</f>
        <v>1054438</v>
      </c>
      <c r="BN16" s="60" t="str">
        <f>IF(BS16="Original",AF16,AW16)</f>
        <v>1054438</v>
      </c>
      <c r="BO16" s="60" t="str">
        <f>IF(BS16="Original",AG16,AX16)</f>
        <v>Safety</v>
      </c>
      <c r="BP16" s="60" t="str">
        <f>IF(BS16="Original",AH16,AY16)</f>
        <v>36 yd (108') L X 3" W 6 mil  Yellow General Purpose Aisle Marking Tape Blank</v>
      </c>
      <c r="BQ16" s="60" t="str">
        <f>IF(BS16="Original",AI16,AZ16)</f>
        <v>Similar Match</v>
      </c>
      <c r="BR16" s="60" t="str">
        <f>IF(BS16="Original",AJ16,BA16)</f>
        <v>No</v>
      </c>
      <c r="BS16" s="60" t="str">
        <f>IF(AQ16="","Original",IF(AP16&lt;Y16,"Alternate","Original"))</f>
        <v>Alternate</v>
      </c>
    </row>
    <row r="17" spans="1:71" s="31" customFormat="1" x14ac:dyDescent="0.35">
      <c r="A17" s="53" t="s">
        <v>39</v>
      </c>
      <c r="B17" s="49">
        <v>15</v>
      </c>
      <c r="C17" s="50"/>
      <c r="D17" s="50"/>
      <c r="E17" s="51"/>
      <c r="F17" s="50" t="s">
        <v>40</v>
      </c>
      <c r="G17" s="50" t="s">
        <v>125</v>
      </c>
      <c r="H17" s="50" t="s">
        <v>126</v>
      </c>
      <c r="I17" s="50"/>
      <c r="J17" s="50"/>
      <c r="K17" s="50"/>
      <c r="L17" s="50"/>
      <c r="M17" s="50"/>
      <c r="N17" s="54" t="s">
        <v>43</v>
      </c>
      <c r="O17" s="49">
        <v>1</v>
      </c>
      <c r="P17" s="43">
        <v>71.14</v>
      </c>
      <c r="Q17" s="49">
        <v>6</v>
      </c>
      <c r="R17" s="44">
        <f>P17/O17</f>
        <v>71.14</v>
      </c>
      <c r="S17" s="49">
        <f>Q17*O17</f>
        <v>6</v>
      </c>
      <c r="T17" s="52">
        <f>S17*R17</f>
        <v>426.84000000000003</v>
      </c>
      <c r="U17" s="50"/>
      <c r="V17" s="50"/>
      <c r="W17" s="50"/>
      <c r="X17" s="69"/>
      <c r="Y17" s="69"/>
      <c r="Z17" s="69"/>
      <c r="AA17" s="50"/>
      <c r="AB17" s="50"/>
      <c r="AC17" s="50"/>
      <c r="AD17" s="50"/>
      <c r="AE17" s="50"/>
      <c r="AF17" s="50"/>
      <c r="AG17" s="50"/>
      <c r="AH17" s="50"/>
      <c r="AI17" s="50" t="s">
        <v>44</v>
      </c>
      <c r="AJ17" s="50"/>
      <c r="AK17" s="50"/>
      <c r="AL17" s="44"/>
      <c r="AM17" s="45"/>
      <c r="AN17" s="50"/>
      <c r="AO17" s="69"/>
      <c r="AP17" s="69"/>
      <c r="AQ17" s="69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5"/>
      <c r="BD17" s="56"/>
      <c r="BE17" s="61"/>
      <c r="BF17" s="65"/>
      <c r="BG17" s="66"/>
      <c r="BH17" s="66"/>
      <c r="BI17" s="60"/>
      <c r="BJ17" s="60"/>
      <c r="BK17" s="60"/>
      <c r="BL17" s="60"/>
      <c r="BM17" s="60"/>
      <c r="BN17" s="60"/>
      <c r="BO17" s="60"/>
      <c r="BP17" s="60"/>
      <c r="BQ17" s="60" t="str">
        <f>IF(BS17="Original",AI17,AZ17)</f>
        <v>Not Enough Product Data</v>
      </c>
      <c r="BR17" s="60"/>
      <c r="BS17" s="60" t="str">
        <f>IF(AQ17="","Original",IF(AP17&lt;Y17,"Alternate","Original"))</f>
        <v>Original</v>
      </c>
    </row>
    <row r="18" spans="1:71" s="31" customFormat="1" x14ac:dyDescent="0.35">
      <c r="A18" s="53" t="s">
        <v>39</v>
      </c>
      <c r="B18" s="49">
        <v>16</v>
      </c>
      <c r="C18" s="50"/>
      <c r="D18" s="50"/>
      <c r="E18" s="51"/>
      <c r="F18" s="50" t="s">
        <v>49</v>
      </c>
      <c r="G18" s="50" t="s">
        <v>127</v>
      </c>
      <c r="H18" s="50" t="s">
        <v>128</v>
      </c>
      <c r="I18" s="50"/>
      <c r="J18" s="50"/>
      <c r="K18" s="50"/>
      <c r="L18" s="50"/>
      <c r="M18" s="50"/>
      <c r="N18" s="54" t="s">
        <v>43</v>
      </c>
      <c r="O18" s="49">
        <v>1</v>
      </c>
      <c r="P18" s="43">
        <v>407.74</v>
      </c>
      <c r="Q18" s="49">
        <v>1</v>
      </c>
      <c r="R18" s="44">
        <f>P18/O18</f>
        <v>407.74</v>
      </c>
      <c r="S18" s="49">
        <f>Q18*O18</f>
        <v>1</v>
      </c>
      <c r="T18" s="52">
        <f>S18*R18</f>
        <v>407.74</v>
      </c>
      <c r="U18" s="50"/>
      <c r="V18" s="50"/>
      <c r="W18" s="50"/>
      <c r="X18" s="69"/>
      <c r="Y18" s="69"/>
      <c r="Z18" s="69"/>
      <c r="AA18" s="50"/>
      <c r="AB18" s="50"/>
      <c r="AC18" s="50"/>
      <c r="AD18" s="50"/>
      <c r="AE18" s="50"/>
      <c r="AF18" s="50"/>
      <c r="AG18" s="50"/>
      <c r="AH18" s="50"/>
      <c r="AI18" s="50" t="s">
        <v>129</v>
      </c>
      <c r="AJ18" s="50"/>
      <c r="AK18" s="50"/>
      <c r="AL18" s="44"/>
      <c r="AM18" s="45"/>
      <c r="AN18" s="50"/>
      <c r="AO18" s="69"/>
      <c r="AP18" s="69"/>
      <c r="AQ18" s="69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5"/>
      <c r="BD18" s="56"/>
      <c r="BE18" s="61"/>
      <c r="BF18" s="65"/>
      <c r="BG18" s="66"/>
      <c r="BH18" s="66"/>
      <c r="BI18" s="60"/>
      <c r="BJ18" s="60"/>
      <c r="BK18" s="60"/>
      <c r="BL18" s="60"/>
      <c r="BM18" s="60"/>
      <c r="BN18" s="60"/>
      <c r="BO18" s="60"/>
      <c r="BP18" s="60"/>
      <c r="BQ18" s="60" t="str">
        <f>IF(BS18="Original",AI18,AZ18)</f>
        <v xml:space="preserve">Non-Supported Product </v>
      </c>
      <c r="BR18" s="60"/>
      <c r="BS18" s="60" t="str">
        <f>IF(AQ18="","Original",IF(AP18&lt;Y18,"Alternate","Original"))</f>
        <v>Original</v>
      </c>
    </row>
    <row r="19" spans="1:71" s="31" customFormat="1" x14ac:dyDescent="0.35">
      <c r="A19" s="53" t="s">
        <v>39</v>
      </c>
      <c r="B19" s="49">
        <v>17</v>
      </c>
      <c r="C19" s="50"/>
      <c r="D19" s="50"/>
      <c r="E19" s="51"/>
      <c r="F19" s="50" t="s">
        <v>40</v>
      </c>
      <c r="G19" s="50" t="s">
        <v>130</v>
      </c>
      <c r="H19" s="50" t="s">
        <v>131</v>
      </c>
      <c r="I19" s="50"/>
      <c r="J19" s="50"/>
      <c r="K19" s="50"/>
      <c r="L19" s="50"/>
      <c r="M19" s="50"/>
      <c r="N19" s="54" t="s">
        <v>43</v>
      </c>
      <c r="O19" s="49">
        <v>1</v>
      </c>
      <c r="P19" s="43">
        <v>400.51</v>
      </c>
      <c r="Q19" s="49">
        <v>1</v>
      </c>
      <c r="R19" s="44">
        <f>P19/O19</f>
        <v>400.51</v>
      </c>
      <c r="S19" s="49">
        <f>Q19*O19</f>
        <v>1</v>
      </c>
      <c r="T19" s="52">
        <f>S19*R19</f>
        <v>400.51</v>
      </c>
      <c r="U19" s="55">
        <f>IFERROR(T19-X19,0)</f>
        <v>270.6943</v>
      </c>
      <c r="V19" s="56">
        <f>IFERROR(U19/T19,0)</f>
        <v>0.67587401063643859</v>
      </c>
      <c r="W19" s="57" t="str">
        <f>IF($V19&lt;0,"Negative",IF($V19=0,"Same",IF($V19&gt;0.3,"30+%",IF($V19&gt;0.2,"20-30%",IF($V19&gt;0.1,"10-20%",IF($V19&lt;=0.1,"0-10%"))))))</f>
        <v>30+%</v>
      </c>
      <c r="X19" s="66">
        <f>IFERROR(Y19*S19,0)</f>
        <v>129.81569999999999</v>
      </c>
      <c r="Y19" s="66">
        <f>IFERROR(Z19/AB19,0)</f>
        <v>129.81569999999999</v>
      </c>
      <c r="Z19" s="69">
        <v>129.81569999999999</v>
      </c>
      <c r="AA19" s="50" t="s">
        <v>63</v>
      </c>
      <c r="AB19" s="50">
        <v>1</v>
      </c>
      <c r="AC19" s="50" t="s">
        <v>53</v>
      </c>
      <c r="AD19" s="50" t="s">
        <v>132</v>
      </c>
      <c r="AE19" s="50" t="s">
        <v>133</v>
      </c>
      <c r="AF19" s="50" t="s">
        <v>134</v>
      </c>
      <c r="AG19" s="50" t="s">
        <v>135</v>
      </c>
      <c r="AH19" s="50" t="s">
        <v>136</v>
      </c>
      <c r="AI19" s="50" t="s">
        <v>58</v>
      </c>
      <c r="AJ19" s="50" t="s">
        <v>59</v>
      </c>
      <c r="AK19" s="50"/>
      <c r="AL19" s="44"/>
      <c r="AM19" s="45"/>
      <c r="AN19" s="50"/>
      <c r="AO19" s="69"/>
      <c r="AP19" s="69"/>
      <c r="AQ19" s="69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5">
        <f>T19-BF19</f>
        <v>270.6943</v>
      </c>
      <c r="BD19" s="56">
        <f>BC19/T19</f>
        <v>0.67587401063643859</v>
      </c>
      <c r="BE19" s="61" t="str">
        <f>IF(BD19&lt;0,"Negative",IF(BD19=0,"Same",IF(BD19&gt;0.3,"30+%",IF(BD19&gt;0.2,"20-30%",IF(BD19&gt;0.1,"10-20%",IF(BD19&lt;=0.1,"0-10%"))))))</f>
        <v>30+%</v>
      </c>
      <c r="BF19" s="65">
        <f>BG19*S19</f>
        <v>129.81569999999999</v>
      </c>
      <c r="BG19" s="66">
        <f>BH19/BJ19</f>
        <v>129.81569999999999</v>
      </c>
      <c r="BH19" s="66">
        <f>IF(BS19="Original",Z19,AQ19)</f>
        <v>129.81569999999999</v>
      </c>
      <c r="BI19" s="60" t="str">
        <f>IF(BS19="Original",AA19,AR19)</f>
        <v>Piece</v>
      </c>
      <c r="BJ19" s="60">
        <f>IF(BS19="Original",AB19,AS19)</f>
        <v>1</v>
      </c>
      <c r="BK19" s="60" t="str">
        <f>IF(BS19="Original",AC19,AT19)</f>
        <v>Possible UOM or LPP issue.</v>
      </c>
      <c r="BL19" s="60" t="str">
        <f>IF(BS19="Original",AD19,AU19)</f>
        <v>DESTACO</v>
      </c>
      <c r="BM19" s="60" t="str">
        <f>IF(BS19="Original",AE19,AV19)</f>
        <v>7-101</v>
      </c>
      <c r="BN19" s="60" t="str">
        <f>IF(BS19="Original",AF19,AW19)</f>
        <v>03054785</v>
      </c>
      <c r="BO19" s="60" t="str">
        <f>IF(BS19="Original",AG19,AX19)</f>
        <v>Cutting Tools and Metalworking</v>
      </c>
      <c r="BP19" s="60" t="str">
        <f>IF(BS19="Original",AH19,AY19)</f>
        <v>7-101 Cam-Action Clamp</v>
      </c>
      <c r="BQ19" s="60" t="str">
        <f>IF(BS19="Original",AI19,AZ19)</f>
        <v>Similar Match</v>
      </c>
      <c r="BR19" s="60" t="str">
        <f>IF(BS19="Original",AJ19,BA19)</f>
        <v>No</v>
      </c>
      <c r="BS19" s="60" t="str">
        <f>IF(AQ19="","Original",IF(AP19&lt;Y19,"Alternate","Original"))</f>
        <v>Original</v>
      </c>
    </row>
    <row r="20" spans="1:71" s="31" customFormat="1" x14ac:dyDescent="0.35">
      <c r="A20" s="53" t="s">
        <v>39</v>
      </c>
      <c r="B20" s="49">
        <v>18</v>
      </c>
      <c r="C20" s="50"/>
      <c r="D20" s="50"/>
      <c r="E20" s="51"/>
      <c r="F20" s="50" t="s">
        <v>40</v>
      </c>
      <c r="G20" s="50" t="s">
        <v>137</v>
      </c>
      <c r="H20" s="50" t="s">
        <v>138</v>
      </c>
      <c r="I20" s="50"/>
      <c r="J20" s="50"/>
      <c r="K20" s="50"/>
      <c r="L20" s="50"/>
      <c r="M20" s="50"/>
      <c r="N20" s="54" t="s">
        <v>43</v>
      </c>
      <c r="O20" s="49">
        <v>1</v>
      </c>
      <c r="P20" s="43">
        <v>395.74</v>
      </c>
      <c r="Q20" s="49">
        <v>1</v>
      </c>
      <c r="R20" s="44">
        <f>P20/O20</f>
        <v>395.74</v>
      </c>
      <c r="S20" s="49">
        <f>Q20*O20</f>
        <v>1</v>
      </c>
      <c r="T20" s="52">
        <f>S20*R20</f>
        <v>395.74</v>
      </c>
      <c r="U20" s="50"/>
      <c r="V20" s="50"/>
      <c r="W20" s="50"/>
      <c r="X20" s="69"/>
      <c r="Y20" s="69"/>
      <c r="Z20" s="69"/>
      <c r="AA20" s="50"/>
      <c r="AB20" s="50"/>
      <c r="AC20" s="50"/>
      <c r="AD20" s="50"/>
      <c r="AE20" s="50"/>
      <c r="AF20" s="50"/>
      <c r="AG20" s="50"/>
      <c r="AH20" s="50"/>
      <c r="AI20" s="50" t="s">
        <v>129</v>
      </c>
      <c r="AJ20" s="50"/>
      <c r="AK20" s="50"/>
      <c r="AL20" s="44"/>
      <c r="AM20" s="45"/>
      <c r="AN20" s="50"/>
      <c r="AO20" s="69"/>
      <c r="AP20" s="69"/>
      <c r="AQ20" s="69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5"/>
      <c r="BD20" s="56"/>
      <c r="BE20" s="61"/>
      <c r="BF20" s="65"/>
      <c r="BG20" s="66"/>
      <c r="BH20" s="66"/>
      <c r="BI20" s="60"/>
      <c r="BJ20" s="60"/>
      <c r="BK20" s="60"/>
      <c r="BL20" s="60"/>
      <c r="BM20" s="60"/>
      <c r="BN20" s="60"/>
      <c r="BO20" s="60"/>
      <c r="BP20" s="60"/>
      <c r="BQ20" s="60" t="str">
        <f>IF(BS20="Original",AI20,AZ20)</f>
        <v xml:space="preserve">Non-Supported Product </v>
      </c>
      <c r="BR20" s="60"/>
      <c r="BS20" s="60" t="str">
        <f>IF(AQ20="","Original",IF(AP20&lt;Y20,"Alternate","Original"))</f>
        <v>Original</v>
      </c>
    </row>
    <row r="21" spans="1:71" s="31" customFormat="1" x14ac:dyDescent="0.35">
      <c r="A21" s="53" t="s">
        <v>39</v>
      </c>
      <c r="B21" s="49">
        <v>19</v>
      </c>
      <c r="C21" s="50"/>
      <c r="D21" s="50"/>
      <c r="E21" s="51"/>
      <c r="F21" s="50" t="s">
        <v>49</v>
      </c>
      <c r="G21" s="50" t="s">
        <v>139</v>
      </c>
      <c r="H21" s="50" t="s">
        <v>140</v>
      </c>
      <c r="I21" s="50"/>
      <c r="J21" s="50"/>
      <c r="K21" s="50"/>
      <c r="L21" s="50"/>
      <c r="M21" s="50"/>
      <c r="N21" s="54" t="s">
        <v>43</v>
      </c>
      <c r="O21" s="49">
        <v>1</v>
      </c>
      <c r="P21" s="43">
        <v>391.73</v>
      </c>
      <c r="Q21" s="49">
        <v>1</v>
      </c>
      <c r="R21" s="44">
        <f>P21/O21</f>
        <v>391.73</v>
      </c>
      <c r="S21" s="49">
        <f>Q21*O21</f>
        <v>1</v>
      </c>
      <c r="T21" s="52">
        <f>S21*R21</f>
        <v>391.73</v>
      </c>
      <c r="U21" s="55">
        <f>IFERROR(T21-X21,0)</f>
        <v>279.51120000000003</v>
      </c>
      <c r="V21" s="56">
        <f>IFERROR(U21/T21,0)</f>
        <v>0.71353023766369694</v>
      </c>
      <c r="W21" s="57" t="str">
        <f>IF($V21&lt;0,"Negative",IF($V21=0,"Same",IF($V21&gt;0.3,"30+%",IF($V21&gt;0.2,"20-30%",IF($V21&gt;0.1,"10-20%",IF($V21&lt;=0.1,"0-10%"))))))</f>
        <v>30+%</v>
      </c>
      <c r="X21" s="66">
        <f>IFERROR(Y21*S21,0)</f>
        <v>112.2188</v>
      </c>
      <c r="Y21" s="66">
        <f>IFERROR(Z21/AB21,0)</f>
        <v>112.2188</v>
      </c>
      <c r="Z21" s="69">
        <v>112.2188</v>
      </c>
      <c r="AA21" s="50" t="s">
        <v>63</v>
      </c>
      <c r="AB21" s="50">
        <v>1</v>
      </c>
      <c r="AC21" s="50" t="s">
        <v>53</v>
      </c>
      <c r="AD21" s="50" t="s">
        <v>141</v>
      </c>
      <c r="AE21" s="50" t="s">
        <v>142</v>
      </c>
      <c r="AF21" s="50" t="s">
        <v>143</v>
      </c>
      <c r="AG21" s="50" t="s">
        <v>90</v>
      </c>
      <c r="AH21" s="50" t="s">
        <v>144</v>
      </c>
      <c r="AI21" s="50" t="s">
        <v>69</v>
      </c>
      <c r="AJ21" s="50" t="s">
        <v>59</v>
      </c>
      <c r="AK21" s="50"/>
      <c r="AL21" s="44"/>
      <c r="AM21" s="45"/>
      <c r="AN21" s="50"/>
      <c r="AO21" s="69"/>
      <c r="AP21" s="69"/>
      <c r="AQ21" s="69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5">
        <f>T21-BF21</f>
        <v>279.51120000000003</v>
      </c>
      <c r="BD21" s="56">
        <f>BC21/T21</f>
        <v>0.71353023766369694</v>
      </c>
      <c r="BE21" s="61" t="str">
        <f>IF(BD21&lt;0,"Negative",IF(BD21=0,"Same",IF(BD21&gt;0.3,"30+%",IF(BD21&gt;0.2,"20-30%",IF(BD21&gt;0.1,"10-20%",IF(BD21&lt;=0.1,"0-10%"))))))</f>
        <v>30+%</v>
      </c>
      <c r="BF21" s="65">
        <f>BG21*S21</f>
        <v>112.2188</v>
      </c>
      <c r="BG21" s="66">
        <f>BH21/BJ21</f>
        <v>112.2188</v>
      </c>
      <c r="BH21" s="66">
        <f>IF(BS21="Original",Z21,AQ21)</f>
        <v>112.2188</v>
      </c>
      <c r="BI21" s="60" t="str">
        <f>IF(BS21="Original",AA21,AR21)</f>
        <v>Piece</v>
      </c>
      <c r="BJ21" s="60">
        <f>IF(BS21="Original",AB21,AS21)</f>
        <v>1</v>
      </c>
      <c r="BK21" s="60" t="str">
        <f>IF(BS21="Original",AC21,AT21)</f>
        <v>Possible UOM or LPP issue.</v>
      </c>
      <c r="BL21" s="60" t="str">
        <f>IF(BS21="Original",AD21,AU21)</f>
        <v>MITUTOYO AMERICA CORPORATION</v>
      </c>
      <c r="BM21" s="60" t="str">
        <f>IF(BS21="Original",AE21,AV21)</f>
        <v>1411S</v>
      </c>
      <c r="BN21" s="60" t="str">
        <f>IF(BS21="Original",AF21,AW21)</f>
        <v>99029064</v>
      </c>
      <c r="BO21" s="60" t="str">
        <f>IF(BS21="Original",AG21,AX21)</f>
        <v>Test and Measurement</v>
      </c>
      <c r="BP21" s="60" t="str">
        <f>IF(BS21="Original",AH21,AY21)</f>
        <v>1411S DIAL INDICATOR, .001-.25"</v>
      </c>
      <c r="BQ21" s="60" t="str">
        <f>IF(BS21="Original",AI21,AZ21)</f>
        <v>Exact Match</v>
      </c>
      <c r="BR21" s="60" t="str">
        <f>IF(BS21="Original",AJ21,BA21)</f>
        <v>No</v>
      </c>
      <c r="BS21" s="60" t="str">
        <f>IF(AQ21="","Original",IF(AP21&lt;Y21,"Alternate","Original"))</f>
        <v>Original</v>
      </c>
    </row>
    <row r="22" spans="1:71" s="31" customFormat="1" x14ac:dyDescent="0.35">
      <c r="A22" s="53" t="s">
        <v>39</v>
      </c>
      <c r="B22" s="49">
        <v>20</v>
      </c>
      <c r="C22" s="50"/>
      <c r="D22" s="50"/>
      <c r="E22" s="51"/>
      <c r="F22" s="50" t="s">
        <v>40</v>
      </c>
      <c r="G22" s="50" t="s">
        <v>145</v>
      </c>
      <c r="H22" s="50" t="s">
        <v>146</v>
      </c>
      <c r="I22" s="50"/>
      <c r="J22" s="50"/>
      <c r="K22" s="50"/>
      <c r="L22" s="50"/>
      <c r="M22" s="50"/>
      <c r="N22" s="54" t="s">
        <v>43</v>
      </c>
      <c r="O22" s="49">
        <v>1</v>
      </c>
      <c r="P22" s="43">
        <v>382.16</v>
      </c>
      <c r="Q22" s="49">
        <v>1</v>
      </c>
      <c r="R22" s="44">
        <f>P22/O22</f>
        <v>382.16</v>
      </c>
      <c r="S22" s="49">
        <f>Q22*O22</f>
        <v>1</v>
      </c>
      <c r="T22" s="52">
        <f>S22*R22</f>
        <v>382.16</v>
      </c>
      <c r="U22" s="50"/>
      <c r="V22" s="50"/>
      <c r="W22" s="50"/>
      <c r="X22" s="69"/>
      <c r="Y22" s="69"/>
      <c r="Z22" s="69"/>
      <c r="AA22" s="50"/>
      <c r="AB22" s="50"/>
      <c r="AC22" s="50"/>
      <c r="AD22" s="50"/>
      <c r="AE22" s="50"/>
      <c r="AF22" s="50"/>
      <c r="AG22" s="50"/>
      <c r="AH22" s="50"/>
      <c r="AI22" s="50" t="s">
        <v>129</v>
      </c>
      <c r="AJ22" s="50"/>
      <c r="AK22" s="50"/>
      <c r="AL22" s="44"/>
      <c r="AM22" s="45"/>
      <c r="AN22" s="50"/>
      <c r="AO22" s="69"/>
      <c r="AP22" s="69"/>
      <c r="AQ22" s="69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5"/>
      <c r="BD22" s="56"/>
      <c r="BE22" s="61"/>
      <c r="BF22" s="65"/>
      <c r="BG22" s="66"/>
      <c r="BH22" s="66"/>
      <c r="BI22" s="60"/>
      <c r="BJ22" s="60"/>
      <c r="BK22" s="60"/>
      <c r="BL22" s="60"/>
      <c r="BM22" s="60"/>
      <c r="BN22" s="60"/>
      <c r="BO22" s="60"/>
      <c r="BP22" s="60"/>
      <c r="BQ22" s="60" t="str">
        <f>IF(BS22="Original",AI22,AZ22)</f>
        <v xml:space="preserve">Non-Supported Product </v>
      </c>
      <c r="BR22" s="60"/>
      <c r="BS22" s="60" t="str">
        <f>IF(AQ22="","Original",IF(AP22&lt;Y22,"Alternate","Original"))</f>
        <v>Original</v>
      </c>
    </row>
    <row r="23" spans="1:71" s="31" customFormat="1" x14ac:dyDescent="0.35">
      <c r="A23" s="53" t="s">
        <v>39</v>
      </c>
      <c r="B23" s="49">
        <v>21</v>
      </c>
      <c r="C23" s="50"/>
      <c r="D23" s="50"/>
      <c r="E23" s="51"/>
      <c r="F23" s="50" t="s">
        <v>49</v>
      </c>
      <c r="G23" s="50" t="s">
        <v>147</v>
      </c>
      <c r="H23" s="50" t="s">
        <v>148</v>
      </c>
      <c r="I23" s="50"/>
      <c r="J23" s="50"/>
      <c r="K23" s="50"/>
      <c r="L23" s="50"/>
      <c r="M23" s="50"/>
      <c r="N23" s="54" t="s">
        <v>43</v>
      </c>
      <c r="O23" s="49">
        <v>1</v>
      </c>
      <c r="P23" s="43">
        <v>374.42</v>
      </c>
      <c r="Q23" s="49">
        <v>1</v>
      </c>
      <c r="R23" s="44">
        <f>P23/O23</f>
        <v>374.42</v>
      </c>
      <c r="S23" s="49">
        <f>Q23*O23</f>
        <v>1</v>
      </c>
      <c r="T23" s="52">
        <f>S23*R23</f>
        <v>374.42</v>
      </c>
      <c r="U23" s="55">
        <f>IFERROR(T23-X23,0)</f>
        <v>225.26150000000001</v>
      </c>
      <c r="V23" s="56">
        <f>IFERROR(U23/T23,0)</f>
        <v>0.60162785107633143</v>
      </c>
      <c r="W23" s="57" t="str">
        <f>IF($V23&lt;0,"Negative",IF($V23=0,"Same",IF($V23&gt;0.3,"30+%",IF($V23&gt;0.2,"20-30%",IF($V23&gt;0.1,"10-20%",IF($V23&lt;=0.1,"0-10%"))))))</f>
        <v>30+%</v>
      </c>
      <c r="X23" s="66">
        <f>IFERROR(Y23*S23,0)</f>
        <v>149.1585</v>
      </c>
      <c r="Y23" s="66">
        <f>IFERROR(Z23/AB23,0)</f>
        <v>149.1585</v>
      </c>
      <c r="Z23" s="69">
        <v>149.1585</v>
      </c>
      <c r="AA23" s="50" t="s">
        <v>63</v>
      </c>
      <c r="AB23" s="50">
        <v>1</v>
      </c>
      <c r="AC23" s="50" t="s">
        <v>53</v>
      </c>
      <c r="AD23" s="50" t="s">
        <v>149</v>
      </c>
      <c r="AE23" s="50" t="s">
        <v>150</v>
      </c>
      <c r="AF23" s="50" t="s">
        <v>151</v>
      </c>
      <c r="AG23" s="50" t="s">
        <v>107</v>
      </c>
      <c r="AH23" s="50" t="s">
        <v>152</v>
      </c>
      <c r="AI23" s="50" t="s">
        <v>69</v>
      </c>
      <c r="AJ23" s="50" t="s">
        <v>59</v>
      </c>
      <c r="AK23" s="50"/>
      <c r="AL23" s="58">
        <f>IF(AQ23="","",T23-AO23)</f>
        <v>261.96500000000003</v>
      </c>
      <c r="AM23" s="59">
        <f>IFERROR(AL23/T23,"")</f>
        <v>0.69965546712248283</v>
      </c>
      <c r="AN23" s="60" t="str">
        <f>IF(AM23="","",IF(AM23&lt;0,"Negative",IF(AM23=0,"Same",IF(AM23&gt;0.3,"30+%",IF(AM23&gt;0.2,"20-30%",IF(AM23&gt;0.1,"10-20%",IF(AM23&lt;=0.1,"0-10%")))))))</f>
        <v>30+%</v>
      </c>
      <c r="AO23" s="66">
        <f>IFERROR(AP23*S23,"")</f>
        <v>112.455</v>
      </c>
      <c r="AP23" s="66">
        <f>IFERROR(AQ23/AS23,"")</f>
        <v>112.455</v>
      </c>
      <c r="AQ23" s="69">
        <v>449.82</v>
      </c>
      <c r="AR23" s="50" t="s">
        <v>52</v>
      </c>
      <c r="AS23" s="50">
        <v>4</v>
      </c>
      <c r="AT23" s="50" t="s">
        <v>53</v>
      </c>
      <c r="AU23" s="50" t="s">
        <v>104</v>
      </c>
      <c r="AV23" s="50" t="s">
        <v>153</v>
      </c>
      <c r="AW23" s="50" t="s">
        <v>153</v>
      </c>
      <c r="AX23" s="50" t="s">
        <v>107</v>
      </c>
      <c r="AY23" s="50" t="s">
        <v>154</v>
      </c>
      <c r="AZ23" s="50" t="s">
        <v>58</v>
      </c>
      <c r="BA23" s="50" t="s">
        <v>59</v>
      </c>
      <c r="BB23" s="50"/>
      <c r="BC23" s="55">
        <f>T23-BF23</f>
        <v>261.96500000000003</v>
      </c>
      <c r="BD23" s="56">
        <f>BC23/T23</f>
        <v>0.69965546712248283</v>
      </c>
      <c r="BE23" s="61" t="str">
        <f>IF(BD23&lt;0,"Negative",IF(BD23=0,"Same",IF(BD23&gt;0.3,"30+%",IF(BD23&gt;0.2,"20-30%",IF(BD23&gt;0.1,"10-20%",IF(BD23&lt;=0.1,"0-10%"))))))</f>
        <v>30+%</v>
      </c>
      <c r="BF23" s="65">
        <f>BG23*S23</f>
        <v>112.455</v>
      </c>
      <c r="BG23" s="66">
        <f>BH23/BJ23</f>
        <v>112.455</v>
      </c>
      <c r="BH23" s="66">
        <f>IF(BS23="Original",Z23,AQ23)</f>
        <v>449.82</v>
      </c>
      <c r="BI23" s="60" t="str">
        <f>IF(BS23="Original",AA23,AR23)</f>
        <v>Pack</v>
      </c>
      <c r="BJ23" s="60">
        <f>IF(BS23="Original",AB23,AS23)</f>
        <v>4</v>
      </c>
      <c r="BK23" s="60" t="str">
        <f>IF(BS23="Original",AC23,AT23)</f>
        <v>Possible UOM or LPP issue.</v>
      </c>
      <c r="BL23" s="60" t="str">
        <f>IF(BS23="Original",AD23,AU23)</f>
        <v>Fastenal Approved Vendor</v>
      </c>
      <c r="BM23" s="60" t="str">
        <f>IF(BS23="Original",AE23,AV23)</f>
        <v>0993323</v>
      </c>
      <c r="BN23" s="60" t="str">
        <f>IF(BS23="Original",AF23,AW23)</f>
        <v>0993323</v>
      </c>
      <c r="BO23" s="60" t="str">
        <f>IF(BS23="Original",AG23,AX23)</f>
        <v>Raw Materials</v>
      </c>
      <c r="BP23" s="60" t="str">
        <f>IF(BS23="Original",AH23,AY23)</f>
        <v>12" x .002" x 50' 321 Stainless Steel Foil</v>
      </c>
      <c r="BQ23" s="60" t="str">
        <f>IF(BS23="Original",AI23,AZ23)</f>
        <v>Similar Match</v>
      </c>
      <c r="BR23" s="60" t="str">
        <f>IF(BS23="Original",AJ23,BA23)</f>
        <v>No</v>
      </c>
      <c r="BS23" s="60" t="str">
        <f>IF(AQ23="","Original",IF(AP23&lt;Y23,"Alternate","Original"))</f>
        <v>Alternate</v>
      </c>
    </row>
    <row r="24" spans="1:71" s="31" customFormat="1" x14ac:dyDescent="0.35">
      <c r="A24" s="53" t="s">
        <v>39</v>
      </c>
      <c r="B24" s="49">
        <v>22</v>
      </c>
      <c r="C24" s="50"/>
      <c r="D24" s="50"/>
      <c r="E24" s="51"/>
      <c r="F24" s="50" t="s">
        <v>60</v>
      </c>
      <c r="G24" s="50" t="s">
        <v>155</v>
      </c>
      <c r="H24" s="50" t="s">
        <v>156</v>
      </c>
      <c r="I24" s="50"/>
      <c r="J24" s="50"/>
      <c r="K24" s="50"/>
      <c r="L24" s="50"/>
      <c r="M24" s="50"/>
      <c r="N24" s="54" t="s">
        <v>43</v>
      </c>
      <c r="O24" s="49">
        <v>1</v>
      </c>
      <c r="P24" s="43">
        <v>365.59</v>
      </c>
      <c r="Q24" s="49">
        <v>1</v>
      </c>
      <c r="R24" s="44">
        <f>P24/O24</f>
        <v>365.59</v>
      </c>
      <c r="S24" s="49">
        <f>Q24*O24</f>
        <v>1</v>
      </c>
      <c r="T24" s="52">
        <f>S24*R24</f>
        <v>365.59</v>
      </c>
      <c r="U24" s="55">
        <f>IFERROR(T24-X24,0)</f>
        <v>-20.486199999999997</v>
      </c>
      <c r="V24" s="56">
        <f>IFERROR(U24/T24,0)</f>
        <v>-5.6035996608222317E-2</v>
      </c>
      <c r="W24" s="57" t="str">
        <f>IF($V24&lt;0,"Negative",IF($V24=0,"Same",IF($V24&gt;0.3,"30+%",IF($V24&gt;0.2,"20-30%",IF($V24&gt;0.1,"10-20%",IF($V24&lt;=0.1,"0-10%"))))))</f>
        <v>Negative</v>
      </c>
      <c r="X24" s="66">
        <f>IFERROR(Y24*S24,0)</f>
        <v>386.07619999999997</v>
      </c>
      <c r="Y24" s="66">
        <f>IFERROR(Z24/AB24,0)</f>
        <v>386.07619999999997</v>
      </c>
      <c r="Z24" s="69">
        <v>386.07619999999997</v>
      </c>
      <c r="AA24" s="50" t="s">
        <v>63</v>
      </c>
      <c r="AB24" s="50">
        <v>1</v>
      </c>
      <c r="AC24" s="50"/>
      <c r="AD24" s="50" t="s">
        <v>157</v>
      </c>
      <c r="AE24" s="50" t="s">
        <v>158</v>
      </c>
      <c r="AF24" s="50" t="s">
        <v>159</v>
      </c>
      <c r="AG24" s="50" t="s">
        <v>160</v>
      </c>
      <c r="AH24" s="50" t="s">
        <v>161</v>
      </c>
      <c r="AI24" s="50" t="s">
        <v>69</v>
      </c>
      <c r="AJ24" s="50" t="s">
        <v>59</v>
      </c>
      <c r="AK24" s="50"/>
      <c r="AL24" s="44"/>
      <c r="AM24" s="45"/>
      <c r="AN24" s="50"/>
      <c r="AO24" s="69"/>
      <c r="AP24" s="69"/>
      <c r="AQ24" s="69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5">
        <f>T24-BF24</f>
        <v>-20.486199999999997</v>
      </c>
      <c r="BD24" s="56">
        <f>BC24/T24</f>
        <v>-5.6035996608222317E-2</v>
      </c>
      <c r="BE24" s="61" t="str">
        <f>IF(BD24&lt;0,"Negative",IF(BD24=0,"Same",IF(BD24&gt;0.3,"30+%",IF(BD24&gt;0.2,"20-30%",IF(BD24&gt;0.1,"10-20%",IF(BD24&lt;=0.1,"0-10%"))))))</f>
        <v>Negative</v>
      </c>
      <c r="BF24" s="65">
        <f>BG24*S24</f>
        <v>386.07619999999997</v>
      </c>
      <c r="BG24" s="66">
        <f>BH24/BJ24</f>
        <v>386.07619999999997</v>
      </c>
      <c r="BH24" s="66">
        <f>IF(BS24="Original",Z24,AQ24)</f>
        <v>386.07619999999997</v>
      </c>
      <c r="BI24" s="60" t="str">
        <f>IF(BS24="Original",AA24,AR24)</f>
        <v>Piece</v>
      </c>
      <c r="BJ24" s="60">
        <f>IF(BS24="Original",AB24,AS24)</f>
        <v>1</v>
      </c>
      <c r="BK24" s="60"/>
      <c r="BL24" s="60" t="str">
        <f>IF(BS24="Original",AD24,AU24)</f>
        <v>CHICAGO PNEUMATIC TOOL COMPANY</v>
      </c>
      <c r="BM24" s="60" t="str">
        <f>IF(BS24="Original",AE24,AV24)</f>
        <v>T025214</v>
      </c>
      <c r="BN24" s="60" t="str">
        <f>IF(BS24="Original",AF24,AW24)</f>
        <v>2183431</v>
      </c>
      <c r="BO24" s="60" t="str">
        <f>IF(BS24="Original",AG24,AX24)</f>
        <v>Tools and Equipment</v>
      </c>
      <c r="BP24" s="60" t="str">
        <f>IF(BS24="Original",AH24,AY24)</f>
        <v>1/2" 6400rpm Square Heavy Duty Air Impact Wrench 96 dBA Pistol Grip</v>
      </c>
      <c r="BQ24" s="60" t="str">
        <f>IF(BS24="Original",AI24,AZ24)</f>
        <v>Exact Match</v>
      </c>
      <c r="BR24" s="60" t="str">
        <f>IF(BS24="Original",AJ24,BA24)</f>
        <v>No</v>
      </c>
      <c r="BS24" s="60" t="str">
        <f>IF(AQ24="","Original",IF(AP24&lt;Y24,"Alternate","Original"))</f>
        <v>Original</v>
      </c>
    </row>
    <row r="25" spans="1:71" s="31" customFormat="1" x14ac:dyDescent="0.35">
      <c r="A25" s="53" t="s">
        <v>39</v>
      </c>
      <c r="B25" s="49">
        <v>23</v>
      </c>
      <c r="C25" s="50"/>
      <c r="D25" s="50"/>
      <c r="E25" s="51"/>
      <c r="F25" s="50" t="s">
        <v>60</v>
      </c>
      <c r="G25" s="50" t="s">
        <v>162</v>
      </c>
      <c r="H25" s="50" t="s">
        <v>163</v>
      </c>
      <c r="I25" s="50"/>
      <c r="J25" s="50"/>
      <c r="K25" s="50"/>
      <c r="L25" s="50"/>
      <c r="M25" s="50"/>
      <c r="N25" s="54" t="s">
        <v>43</v>
      </c>
      <c r="O25" s="49">
        <v>1</v>
      </c>
      <c r="P25" s="43">
        <v>354.47</v>
      </c>
      <c r="Q25" s="49">
        <v>1</v>
      </c>
      <c r="R25" s="44">
        <f>P25/O25</f>
        <v>354.47</v>
      </c>
      <c r="S25" s="49">
        <f>Q25*O25</f>
        <v>1</v>
      </c>
      <c r="T25" s="52">
        <f>S25*R25</f>
        <v>354.47</v>
      </c>
      <c r="U25" s="55">
        <f>IFERROR(T25-X25,0)</f>
        <v>143.03990000000002</v>
      </c>
      <c r="V25" s="56">
        <f>IFERROR(U25/T25,0)</f>
        <v>0.40353175162919291</v>
      </c>
      <c r="W25" s="57" t="str">
        <f>IF($V25&lt;0,"Negative",IF($V25=0,"Same",IF($V25&gt;0.3,"30+%",IF($V25&gt;0.2,"20-30%",IF($V25&gt;0.1,"10-20%",IF($V25&lt;=0.1,"0-10%"))))))</f>
        <v>30+%</v>
      </c>
      <c r="X25" s="66">
        <f>IFERROR(Y25*S25,0)</f>
        <v>211.43010000000001</v>
      </c>
      <c r="Y25" s="66">
        <f>IFERROR(Z25/AB25,0)</f>
        <v>211.43010000000001</v>
      </c>
      <c r="Z25" s="69">
        <v>211.43010000000001</v>
      </c>
      <c r="AA25" s="50" t="s">
        <v>63</v>
      </c>
      <c r="AB25" s="50">
        <v>1</v>
      </c>
      <c r="AC25" s="50"/>
      <c r="AD25" s="50" t="s">
        <v>164</v>
      </c>
      <c r="AE25" s="50" t="s">
        <v>165</v>
      </c>
      <c r="AF25" s="50" t="s">
        <v>166</v>
      </c>
      <c r="AG25" s="50" t="s">
        <v>167</v>
      </c>
      <c r="AH25" s="50" t="s">
        <v>168</v>
      </c>
      <c r="AI25" s="50" t="s">
        <v>69</v>
      </c>
      <c r="AJ25" s="50" t="s">
        <v>59</v>
      </c>
      <c r="AK25" s="50"/>
      <c r="AL25" s="44"/>
      <c r="AM25" s="45"/>
      <c r="AN25" s="50"/>
      <c r="AO25" s="69"/>
      <c r="AP25" s="69"/>
      <c r="AQ25" s="69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5">
        <f>T25-BF25</f>
        <v>143.03990000000002</v>
      </c>
      <c r="BD25" s="56">
        <f>BC25/T25</f>
        <v>0.40353175162919291</v>
      </c>
      <c r="BE25" s="61" t="str">
        <f>IF(BD25&lt;0,"Negative",IF(BD25=0,"Same",IF(BD25&gt;0.3,"30+%",IF(BD25&gt;0.2,"20-30%",IF(BD25&gt;0.1,"10-20%",IF(BD25&lt;=0.1,"0-10%"))))))</f>
        <v>30+%</v>
      </c>
      <c r="BF25" s="65">
        <f>BG25*S25</f>
        <v>211.43010000000001</v>
      </c>
      <c r="BG25" s="66">
        <f>BH25/BJ25</f>
        <v>211.43010000000001</v>
      </c>
      <c r="BH25" s="66">
        <f>IF(BS25="Original",Z25,AQ25)</f>
        <v>211.43010000000001</v>
      </c>
      <c r="BI25" s="60" t="str">
        <f>IF(BS25="Original",AA25,AR25)</f>
        <v>Piece</v>
      </c>
      <c r="BJ25" s="60">
        <f>IF(BS25="Original",AB25,AS25)</f>
        <v>1</v>
      </c>
      <c r="BK25" s="60"/>
      <c r="BL25" s="60" t="str">
        <f>IF(BS25="Original",AD25,AU25)</f>
        <v>Dynaquip</v>
      </c>
      <c r="BM25" s="60" t="str">
        <f>IF(BS25="Original",AE25,AV25)</f>
        <v>145855.03</v>
      </c>
      <c r="BN25" s="60" t="str">
        <f>IF(BS25="Original",AF25,AW25)</f>
        <v>BSS</v>
      </c>
      <c r="BO25" s="60" t="str">
        <f>IF(BS25="Original",AG25,AX25)</f>
        <v>Pneumatics</v>
      </c>
      <c r="BP25" s="60" t="str">
        <f>IF(BS25="Original",AH25,AY25)</f>
        <v>Air Vaulve</v>
      </c>
      <c r="BQ25" s="60" t="str">
        <f>IF(BS25="Original",AI25,AZ25)</f>
        <v>Exact Match</v>
      </c>
      <c r="BR25" s="60" t="str">
        <f>IF(BS25="Original",AJ25,BA25)</f>
        <v>No</v>
      </c>
      <c r="BS25" s="60" t="str">
        <f>IF(AQ25="","Original",IF(AP25&lt;Y25,"Alternate","Original"))</f>
        <v>Original</v>
      </c>
    </row>
    <row r="26" spans="1:71" s="31" customFormat="1" x14ac:dyDescent="0.35">
      <c r="A26" s="53" t="s">
        <v>39</v>
      </c>
      <c r="B26" s="49">
        <v>24</v>
      </c>
      <c r="C26" s="50"/>
      <c r="D26" s="50"/>
      <c r="E26" s="51"/>
      <c r="F26" s="50" t="s">
        <v>49</v>
      </c>
      <c r="G26" s="50" t="s">
        <v>169</v>
      </c>
      <c r="H26" s="50" t="s">
        <v>170</v>
      </c>
      <c r="I26" s="50"/>
      <c r="J26" s="50"/>
      <c r="K26" s="50"/>
      <c r="L26" s="50"/>
      <c r="M26" s="50"/>
      <c r="N26" s="54" t="s">
        <v>43</v>
      </c>
      <c r="O26" s="49">
        <v>1</v>
      </c>
      <c r="P26" s="43">
        <v>160.63</v>
      </c>
      <c r="Q26" s="49">
        <v>2</v>
      </c>
      <c r="R26" s="44">
        <f>P26/O26</f>
        <v>160.63</v>
      </c>
      <c r="S26" s="49">
        <f>Q26*O26</f>
        <v>2</v>
      </c>
      <c r="T26" s="52">
        <f>S26*R26</f>
        <v>321.26</v>
      </c>
      <c r="U26" s="55">
        <f>IFERROR(T26-X26,0)</f>
        <v>93.703999999999979</v>
      </c>
      <c r="V26" s="56">
        <f>IFERROR(U26/T26,0)</f>
        <v>0.29167652368797853</v>
      </c>
      <c r="W26" s="57" t="str">
        <f>IF($V26&lt;0,"Negative",IF($V26=0,"Same",IF($V26&gt;0.3,"30+%",IF($V26&gt;0.2,"20-30%",IF($V26&gt;0.1,"10-20%",IF($V26&lt;=0.1,"0-10%"))))))</f>
        <v>20-30%</v>
      </c>
      <c r="X26" s="66">
        <f>IFERROR(Y26*S26,0)</f>
        <v>227.55600000000001</v>
      </c>
      <c r="Y26" s="66">
        <f>IFERROR(Z26/AB26,0)</f>
        <v>113.77800000000001</v>
      </c>
      <c r="Z26" s="69">
        <v>113.77800000000001</v>
      </c>
      <c r="AA26" s="50" t="s">
        <v>63</v>
      </c>
      <c r="AB26" s="50">
        <v>1</v>
      </c>
      <c r="AC26" s="50"/>
      <c r="AD26" s="50" t="s">
        <v>171</v>
      </c>
      <c r="AE26" s="50" t="s">
        <v>172</v>
      </c>
      <c r="AF26" s="50" t="s">
        <v>173</v>
      </c>
      <c r="AG26" s="50" t="s">
        <v>67</v>
      </c>
      <c r="AH26" s="50" t="s">
        <v>174</v>
      </c>
      <c r="AI26" s="50" t="s">
        <v>69</v>
      </c>
      <c r="AJ26" s="50" t="s">
        <v>59</v>
      </c>
      <c r="AK26" s="50"/>
      <c r="AL26" s="44"/>
      <c r="AM26" s="45"/>
      <c r="AN26" s="50"/>
      <c r="AO26" s="69"/>
      <c r="AP26" s="69"/>
      <c r="AQ26" s="69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5">
        <f>T26-BF26</f>
        <v>93.703999999999979</v>
      </c>
      <c r="BD26" s="56">
        <f>BC26/T26</f>
        <v>0.29167652368797853</v>
      </c>
      <c r="BE26" s="61" t="str">
        <f>IF(BD26&lt;0,"Negative",IF(BD26=0,"Same",IF(BD26&gt;0.3,"30+%",IF(BD26&gt;0.2,"20-30%",IF(BD26&gt;0.1,"10-20%",IF(BD26&lt;=0.1,"0-10%"))))))</f>
        <v>20-30%</v>
      </c>
      <c r="BF26" s="65">
        <f>BG26*S26</f>
        <v>227.55600000000001</v>
      </c>
      <c r="BG26" s="66">
        <f>BH26/BJ26</f>
        <v>113.77800000000001</v>
      </c>
      <c r="BH26" s="66">
        <f>IF(BS26="Original",Z26,AQ26)</f>
        <v>113.77800000000001</v>
      </c>
      <c r="BI26" s="60" t="str">
        <f>IF(BS26="Original",AA26,AR26)</f>
        <v>Piece</v>
      </c>
      <c r="BJ26" s="60">
        <f>IF(BS26="Original",AB26,AS26)</f>
        <v>1</v>
      </c>
      <c r="BK26" s="60"/>
      <c r="BL26" s="60" t="str">
        <f>IF(BS26="Original",AD26,AU26)</f>
        <v>Lennox</v>
      </c>
      <c r="BM26" s="60" t="str">
        <f>IF(BS26="Original",AE26,AV26)</f>
        <v>60M12</v>
      </c>
      <c r="BN26" s="60" t="str">
        <f>IF(BS26="Original",AF26,AW26)</f>
        <v>922890735</v>
      </c>
      <c r="BO26" s="60" t="str">
        <f>IF(BS26="Original",AG26,AX26)</f>
        <v>Safety</v>
      </c>
      <c r="BP26" s="60" t="str">
        <f>IF(BS26="Original",AH26,AY26)</f>
        <v>60M12 24v Coil 3P 25AMP W/AUX CONT</v>
      </c>
      <c r="BQ26" s="60" t="str">
        <f>IF(BS26="Original",AI26,AZ26)</f>
        <v>Exact Match</v>
      </c>
      <c r="BR26" s="60" t="str">
        <f>IF(BS26="Original",AJ26,BA26)</f>
        <v>No</v>
      </c>
      <c r="BS26" s="60" t="str">
        <f>IF(AQ26="","Original",IF(AP26&lt;Y26,"Alternate","Original"))</f>
        <v>Original</v>
      </c>
    </row>
    <row r="27" spans="1:71" s="31" customFormat="1" x14ac:dyDescent="0.35">
      <c r="A27" s="53" t="s">
        <v>39</v>
      </c>
      <c r="B27" s="49">
        <v>25</v>
      </c>
      <c r="C27" s="50"/>
      <c r="D27" s="50"/>
      <c r="E27" s="51"/>
      <c r="F27" s="50" t="s">
        <v>60</v>
      </c>
      <c r="G27" s="50" t="s">
        <v>175</v>
      </c>
      <c r="H27" s="50" t="s">
        <v>176</v>
      </c>
      <c r="I27" s="50"/>
      <c r="J27" s="50"/>
      <c r="K27" s="50"/>
      <c r="L27" s="50"/>
      <c r="M27" s="50"/>
      <c r="N27" s="54" t="s">
        <v>43</v>
      </c>
      <c r="O27" s="49">
        <v>1</v>
      </c>
      <c r="P27" s="43">
        <v>318.64999999999998</v>
      </c>
      <c r="Q27" s="49">
        <v>1</v>
      </c>
      <c r="R27" s="44">
        <f>P27/O27</f>
        <v>318.64999999999998</v>
      </c>
      <c r="S27" s="49">
        <f>Q27*O27</f>
        <v>1</v>
      </c>
      <c r="T27" s="52">
        <f>S27*R27</f>
        <v>318.64999999999998</v>
      </c>
      <c r="U27" s="55">
        <f>IFERROR(T27-X27,0)</f>
        <v>221.85789999999997</v>
      </c>
      <c r="V27" s="56">
        <f>IFERROR(U27/T27,0)</f>
        <v>0.69624321355719443</v>
      </c>
      <c r="W27" s="57" t="str">
        <f>IF($V27&lt;0,"Negative",IF($V27=0,"Same",IF($V27&gt;0.3,"30+%",IF($V27&gt;0.2,"20-30%",IF($V27&gt;0.1,"10-20%",IF($V27&lt;=0.1,"0-10%"))))))</f>
        <v>30+%</v>
      </c>
      <c r="X27" s="66">
        <f>IFERROR(Y27*S27,0)</f>
        <v>96.792100000000005</v>
      </c>
      <c r="Y27" s="66">
        <f>IFERROR(Z27/AB27,0)</f>
        <v>96.792100000000005</v>
      </c>
      <c r="Z27" s="69">
        <v>96.792100000000005</v>
      </c>
      <c r="AA27" s="50" t="s">
        <v>63</v>
      </c>
      <c r="AB27" s="50">
        <v>1</v>
      </c>
      <c r="AC27" s="50" t="s">
        <v>53</v>
      </c>
      <c r="AD27" s="50" t="s">
        <v>177</v>
      </c>
      <c r="AE27" s="50" t="s">
        <v>178</v>
      </c>
      <c r="AF27" s="50" t="s">
        <v>179</v>
      </c>
      <c r="AG27" s="50" t="s">
        <v>167</v>
      </c>
      <c r="AH27" s="50" t="s">
        <v>180</v>
      </c>
      <c r="AI27" s="50" t="s">
        <v>69</v>
      </c>
      <c r="AJ27" s="50" t="s">
        <v>59</v>
      </c>
      <c r="AK27" s="50"/>
      <c r="AL27" s="44"/>
      <c r="AM27" s="45"/>
      <c r="AN27" s="50"/>
      <c r="AO27" s="69"/>
      <c r="AP27" s="69"/>
      <c r="AQ27" s="69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5">
        <f>T27-BF27</f>
        <v>221.85789999999997</v>
      </c>
      <c r="BD27" s="56">
        <f>BC27/T27</f>
        <v>0.69624321355719443</v>
      </c>
      <c r="BE27" s="61" t="str">
        <f>IF(BD27&lt;0,"Negative",IF(BD27=0,"Same",IF(BD27&gt;0.3,"30+%",IF(BD27&gt;0.2,"20-30%",IF(BD27&gt;0.1,"10-20%",IF(BD27&lt;=0.1,"0-10%"))))))</f>
        <v>30+%</v>
      </c>
      <c r="BF27" s="65">
        <f>BG27*S27</f>
        <v>96.792100000000005</v>
      </c>
      <c r="BG27" s="66">
        <f>BH27/BJ27</f>
        <v>96.792100000000005</v>
      </c>
      <c r="BH27" s="66">
        <f>IF(BS27="Original",Z27,AQ27)</f>
        <v>96.792100000000005</v>
      </c>
      <c r="BI27" s="60" t="str">
        <f>IF(BS27="Original",AA27,AR27)</f>
        <v>Piece</v>
      </c>
      <c r="BJ27" s="60">
        <f>IF(BS27="Original",AB27,AS27)</f>
        <v>1</v>
      </c>
      <c r="BK27" s="60" t="str">
        <f>IF(BS27="Original",AC27,AT27)</f>
        <v>Possible UOM or LPP issue.</v>
      </c>
      <c r="BL27" s="60" t="str">
        <f>IF(BS27="Original",AD27,AU27)</f>
        <v>Ingersoll Rand[REG]</v>
      </c>
      <c r="BM27" s="60" t="str">
        <f>IF(BS27="Original",AE27,AV27)</f>
        <v>M253SS-024-D</v>
      </c>
      <c r="BN27" s="60" t="str">
        <f>IF(BS27="Original",AF27,AW27)</f>
        <v>921107524</v>
      </c>
      <c r="BO27" s="60" t="str">
        <f>IF(BS27="Original",AG27,AX27)</f>
        <v>Pneumatics</v>
      </c>
      <c r="BP27" s="60" t="str">
        <f>IF(BS27="Original",AH27,AY27)</f>
        <v>ARO Solenoid Air Control Valve 3-Way/2-Position Voltage 24Vdc Valve Actuator/Return Solenoid/Spring Pipe Size 3/8" Max. Cfm Valves 61.00 Pressure Range 45 To 115 Psi Temp Range 15 - 122 Degrees</v>
      </c>
      <c r="BQ27" s="60" t="str">
        <f>IF(BS27="Original",AI27,AZ27)</f>
        <v>Exact Match</v>
      </c>
      <c r="BR27" s="60" t="str">
        <f>IF(BS27="Original",AJ27,BA27)</f>
        <v>No</v>
      </c>
      <c r="BS27" s="60" t="str">
        <f>IF(AQ27="","Original",IF(AP27&lt;Y27,"Alternate","Original"))</f>
        <v>Original</v>
      </c>
    </row>
    <row r="28" spans="1:71" s="31" customFormat="1" x14ac:dyDescent="0.35">
      <c r="A28" s="53" t="s">
        <v>39</v>
      </c>
      <c r="B28" s="49">
        <v>26</v>
      </c>
      <c r="C28" s="50"/>
      <c r="D28" s="50"/>
      <c r="E28" s="51"/>
      <c r="F28" s="50" t="s">
        <v>40</v>
      </c>
      <c r="G28" s="50" t="s">
        <v>181</v>
      </c>
      <c r="H28" s="50" t="s">
        <v>182</v>
      </c>
      <c r="I28" s="50"/>
      <c r="J28" s="50"/>
      <c r="K28" s="50"/>
      <c r="L28" s="50"/>
      <c r="M28" s="50"/>
      <c r="N28" s="54" t="s">
        <v>43</v>
      </c>
      <c r="O28" s="49">
        <v>1</v>
      </c>
      <c r="P28" s="43">
        <v>157.13</v>
      </c>
      <c r="Q28" s="49">
        <v>2</v>
      </c>
      <c r="R28" s="44">
        <f>P28/O28</f>
        <v>157.13</v>
      </c>
      <c r="S28" s="49">
        <f>Q28*O28</f>
        <v>2</v>
      </c>
      <c r="T28" s="52">
        <f>S28*R28</f>
        <v>314.26</v>
      </c>
      <c r="U28" s="55">
        <f>IFERROR(T28-X28,0)</f>
        <v>-121.2296</v>
      </c>
      <c r="V28" s="56">
        <f>IFERROR(U28/T28,0)</f>
        <v>-0.38576210780882075</v>
      </c>
      <c r="W28" s="57" t="str">
        <f>IF($V28&lt;0,"Negative",IF($V28=0,"Same",IF($V28&gt;0.3,"30+%",IF($V28&gt;0.2,"20-30%",IF($V28&gt;0.1,"10-20%",IF($V28&lt;=0.1,"0-10%"))))))</f>
        <v>Negative</v>
      </c>
      <c r="X28" s="66">
        <f>IFERROR(Y28*S28,0)</f>
        <v>435.4896</v>
      </c>
      <c r="Y28" s="66">
        <f>IFERROR(Z28/AB28,0)</f>
        <v>217.7448</v>
      </c>
      <c r="Z28" s="69">
        <v>217.7448</v>
      </c>
      <c r="AA28" s="50" t="s">
        <v>63</v>
      </c>
      <c r="AB28" s="50">
        <v>1</v>
      </c>
      <c r="AC28" s="50"/>
      <c r="AD28" s="50" t="s">
        <v>104</v>
      </c>
      <c r="AE28" s="50" t="s">
        <v>183</v>
      </c>
      <c r="AF28" s="50" t="s">
        <v>184</v>
      </c>
      <c r="AG28" s="50" t="s">
        <v>107</v>
      </c>
      <c r="AH28" s="50" t="s">
        <v>185</v>
      </c>
      <c r="AI28" s="50" t="s">
        <v>69</v>
      </c>
      <c r="AJ28" s="50" t="s">
        <v>59</v>
      </c>
      <c r="AK28" s="50"/>
      <c r="AL28" s="44"/>
      <c r="AM28" s="45"/>
      <c r="AN28" s="50"/>
      <c r="AO28" s="69"/>
      <c r="AP28" s="69"/>
      <c r="AQ28" s="69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5">
        <f>T28-BF28</f>
        <v>-121.2296</v>
      </c>
      <c r="BD28" s="56">
        <f>BC28/T28</f>
        <v>-0.38576210780882075</v>
      </c>
      <c r="BE28" s="61" t="str">
        <f>IF(BD28&lt;0,"Negative",IF(BD28=0,"Same",IF(BD28&gt;0.3,"30+%",IF(BD28&gt;0.2,"20-30%",IF(BD28&gt;0.1,"10-20%",IF(BD28&lt;=0.1,"0-10%"))))))</f>
        <v>Negative</v>
      </c>
      <c r="BF28" s="65">
        <f>BG28*S28</f>
        <v>435.4896</v>
      </c>
      <c r="BG28" s="66">
        <f>BH28/BJ28</f>
        <v>217.7448</v>
      </c>
      <c r="BH28" s="66">
        <f>IF(BS28="Original",Z28,AQ28)</f>
        <v>217.7448</v>
      </c>
      <c r="BI28" s="60" t="str">
        <f>IF(BS28="Original",AA28,AR28)</f>
        <v>Piece</v>
      </c>
      <c r="BJ28" s="60">
        <f>IF(BS28="Original",AB28,AS28)</f>
        <v>1</v>
      </c>
      <c r="BK28" s="60"/>
      <c r="BL28" s="60" t="str">
        <f>IF(BS28="Original",AD28,AU28)</f>
        <v>Fastenal Approved Vendor</v>
      </c>
      <c r="BM28" s="60" t="str">
        <f>IF(BS28="Original",AE28,AV28)</f>
        <v>1184_144_0</v>
      </c>
      <c r="BN28" s="60" t="str">
        <f>IF(BS28="Original",AF28,AW28)</f>
        <v>0964089</v>
      </c>
      <c r="BO28" s="60" t="str">
        <f>IF(BS28="Original",AG28,AX28)</f>
        <v>Raw Materials</v>
      </c>
      <c r="BP28" s="60" t="str">
        <f>IF(BS28="Original",AH28,AY28)</f>
        <v>3/4" Thick x 6" Width x 12' Long ASTM B221 6061 Aluminum Flat Bar</v>
      </c>
      <c r="BQ28" s="60" t="str">
        <f>IF(BS28="Original",AI28,AZ28)</f>
        <v>Exact Match</v>
      </c>
      <c r="BR28" s="60" t="str">
        <f>IF(BS28="Original",AJ28,BA28)</f>
        <v>No</v>
      </c>
      <c r="BS28" s="60" t="str">
        <f>IF(AQ28="","Original",IF(AP28&lt;Y28,"Alternate","Original"))</f>
        <v>Original</v>
      </c>
    </row>
    <row r="29" spans="1:71" s="31" customFormat="1" x14ac:dyDescent="0.35">
      <c r="A29" s="53" t="s">
        <v>39</v>
      </c>
      <c r="B29" s="49">
        <v>27</v>
      </c>
      <c r="C29" s="50"/>
      <c r="D29" s="50"/>
      <c r="E29" s="51"/>
      <c r="F29" s="50" t="s">
        <v>60</v>
      </c>
      <c r="G29" s="50" t="s">
        <v>186</v>
      </c>
      <c r="H29" s="50" t="s">
        <v>187</v>
      </c>
      <c r="I29" s="50"/>
      <c r="J29" s="50"/>
      <c r="K29" s="50"/>
      <c r="L29" s="50"/>
      <c r="M29" s="50"/>
      <c r="N29" s="54" t="s">
        <v>43</v>
      </c>
      <c r="O29" s="49">
        <v>1</v>
      </c>
      <c r="P29" s="43">
        <v>308.27999999999997</v>
      </c>
      <c r="Q29" s="49">
        <v>1</v>
      </c>
      <c r="R29" s="44">
        <f>P29/O29</f>
        <v>308.27999999999997</v>
      </c>
      <c r="S29" s="49">
        <f>Q29*O29</f>
        <v>1</v>
      </c>
      <c r="T29" s="52">
        <f>S29*R29</f>
        <v>308.27999999999997</v>
      </c>
      <c r="U29" s="50"/>
      <c r="V29" s="50"/>
      <c r="W29" s="50"/>
      <c r="X29" s="69"/>
      <c r="Y29" s="69"/>
      <c r="Z29" s="69"/>
      <c r="AA29" s="50"/>
      <c r="AB29" s="50"/>
      <c r="AC29" s="50"/>
      <c r="AD29" s="50"/>
      <c r="AE29" s="50"/>
      <c r="AF29" s="50"/>
      <c r="AG29" s="50"/>
      <c r="AH29" s="50"/>
      <c r="AI29" s="50" t="s">
        <v>129</v>
      </c>
      <c r="AJ29" s="50"/>
      <c r="AK29" s="50"/>
      <c r="AL29" s="44"/>
      <c r="AM29" s="45"/>
      <c r="AN29" s="50"/>
      <c r="AO29" s="69"/>
      <c r="AP29" s="69"/>
      <c r="AQ29" s="69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5"/>
      <c r="BD29" s="56"/>
      <c r="BE29" s="61"/>
      <c r="BF29" s="65"/>
      <c r="BG29" s="66"/>
      <c r="BH29" s="66"/>
      <c r="BI29" s="60"/>
      <c r="BJ29" s="60"/>
      <c r="BK29" s="60"/>
      <c r="BL29" s="60"/>
      <c r="BM29" s="60"/>
      <c r="BN29" s="60"/>
      <c r="BO29" s="60"/>
      <c r="BP29" s="60"/>
      <c r="BQ29" s="60" t="str">
        <f>IF(BS29="Original",AI29,AZ29)</f>
        <v xml:space="preserve">Non-Supported Product </v>
      </c>
      <c r="BR29" s="60"/>
      <c r="BS29" s="60" t="str">
        <f>IF(AQ29="","Original",IF(AP29&lt;Y29,"Alternate","Original"))</f>
        <v>Original</v>
      </c>
    </row>
    <row r="30" spans="1:71" s="31" customFormat="1" x14ac:dyDescent="0.35">
      <c r="A30" s="53" t="s">
        <v>39</v>
      </c>
      <c r="B30" s="49">
        <v>28</v>
      </c>
      <c r="C30" s="50"/>
      <c r="D30" s="50"/>
      <c r="E30" s="51"/>
      <c r="F30" s="50" t="s">
        <v>60</v>
      </c>
      <c r="G30" s="50" t="s">
        <v>188</v>
      </c>
      <c r="H30" s="50" t="s">
        <v>189</v>
      </c>
      <c r="I30" s="50"/>
      <c r="J30" s="50"/>
      <c r="K30" s="50"/>
      <c r="L30" s="50"/>
      <c r="M30" s="50"/>
      <c r="N30" s="54" t="s">
        <v>43</v>
      </c>
      <c r="O30" s="49">
        <v>1</v>
      </c>
      <c r="P30" s="43">
        <v>153.15</v>
      </c>
      <c r="Q30" s="49">
        <v>2</v>
      </c>
      <c r="R30" s="44">
        <f>P30/O30</f>
        <v>153.15</v>
      </c>
      <c r="S30" s="49">
        <f>Q30*O30</f>
        <v>2</v>
      </c>
      <c r="T30" s="52">
        <f>S30*R30</f>
        <v>306.3</v>
      </c>
      <c r="U30" s="50"/>
      <c r="V30" s="50"/>
      <c r="W30" s="50"/>
      <c r="X30" s="69"/>
      <c r="Y30" s="69"/>
      <c r="Z30" s="69"/>
      <c r="AA30" s="50"/>
      <c r="AB30" s="50"/>
      <c r="AC30" s="50"/>
      <c r="AD30" s="50"/>
      <c r="AE30" s="50"/>
      <c r="AF30" s="50"/>
      <c r="AG30" s="50"/>
      <c r="AH30" s="50"/>
      <c r="AI30" s="50" t="s">
        <v>44</v>
      </c>
      <c r="AJ30" s="50"/>
      <c r="AK30" s="50"/>
      <c r="AL30" s="44"/>
      <c r="AM30" s="45"/>
      <c r="AN30" s="50"/>
      <c r="AO30" s="69"/>
      <c r="AP30" s="69"/>
      <c r="AQ30" s="69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5"/>
      <c r="BD30" s="56"/>
      <c r="BE30" s="61"/>
      <c r="BF30" s="65"/>
      <c r="BG30" s="66"/>
      <c r="BH30" s="66"/>
      <c r="BI30" s="60"/>
      <c r="BJ30" s="60"/>
      <c r="BK30" s="60"/>
      <c r="BL30" s="60"/>
      <c r="BM30" s="60"/>
      <c r="BN30" s="60"/>
      <c r="BO30" s="60"/>
      <c r="BP30" s="60"/>
      <c r="BQ30" s="60" t="str">
        <f>IF(BS30="Original",AI30,AZ30)</f>
        <v>Not Enough Product Data</v>
      </c>
      <c r="BR30" s="60"/>
      <c r="BS30" s="60" t="str">
        <f>IF(AQ30="","Original",IF(AP30&lt;Y30,"Alternate","Original"))</f>
        <v>Original</v>
      </c>
    </row>
    <row r="31" spans="1:71" s="31" customFormat="1" x14ac:dyDescent="0.35">
      <c r="A31" s="53" t="s">
        <v>39</v>
      </c>
      <c r="B31" s="49">
        <v>29</v>
      </c>
      <c r="C31" s="50"/>
      <c r="D31" s="50"/>
      <c r="E31" s="51"/>
      <c r="F31" s="50" t="s">
        <v>40</v>
      </c>
      <c r="G31" s="50" t="s">
        <v>190</v>
      </c>
      <c r="H31" s="50" t="s">
        <v>191</v>
      </c>
      <c r="I31" s="50"/>
      <c r="J31" s="50"/>
      <c r="K31" s="50"/>
      <c r="L31" s="50"/>
      <c r="M31" s="50"/>
      <c r="N31" s="54" t="s">
        <v>43</v>
      </c>
      <c r="O31" s="49">
        <v>1</v>
      </c>
      <c r="P31" s="43">
        <v>279.88</v>
      </c>
      <c r="Q31" s="49">
        <v>1</v>
      </c>
      <c r="R31" s="44">
        <f>P31/O31</f>
        <v>279.88</v>
      </c>
      <c r="S31" s="49">
        <f>Q31*O31</f>
        <v>1</v>
      </c>
      <c r="T31" s="52">
        <f>S31*R31</f>
        <v>279.88</v>
      </c>
      <c r="U31" s="55">
        <f>IFERROR(T31-X31,0)</f>
        <v>263.93049999999999</v>
      </c>
      <c r="V31" s="56">
        <f>IFERROR(U31/T31,0)</f>
        <v>0.94301307703301418</v>
      </c>
      <c r="W31" s="57" t="str">
        <f>IF($V31&lt;0,"Negative",IF($V31=0,"Same",IF($V31&gt;0.3,"30+%",IF($V31&gt;0.2,"20-30%",IF($V31&gt;0.1,"10-20%",IF($V31&lt;=0.1,"0-10%"))))))</f>
        <v>30+%</v>
      </c>
      <c r="X31" s="66">
        <f>IFERROR(Y31*S31,0)</f>
        <v>15.9495</v>
      </c>
      <c r="Y31" s="66">
        <f>IFERROR(Z31/AB31,0)</f>
        <v>15.9495</v>
      </c>
      <c r="Z31" s="69">
        <v>15.9495</v>
      </c>
      <c r="AA31" s="50" t="s">
        <v>63</v>
      </c>
      <c r="AB31" s="50">
        <v>1</v>
      </c>
      <c r="AC31" s="50" t="s">
        <v>53</v>
      </c>
      <c r="AD31" s="50" t="s">
        <v>104</v>
      </c>
      <c r="AE31" s="50" t="s">
        <v>192</v>
      </c>
      <c r="AF31" s="50" t="s">
        <v>193</v>
      </c>
      <c r="AG31" s="50" t="s">
        <v>107</v>
      </c>
      <c r="AH31" s="50" t="s">
        <v>194</v>
      </c>
      <c r="AI31" s="50" t="s">
        <v>58</v>
      </c>
      <c r="AJ31" s="50" t="s">
        <v>59</v>
      </c>
      <c r="AK31" s="50"/>
      <c r="AL31" s="44"/>
      <c r="AM31" s="45"/>
      <c r="AN31" s="50"/>
      <c r="AO31" s="69"/>
      <c r="AP31" s="69"/>
      <c r="AQ31" s="69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5">
        <f>T31-BF31</f>
        <v>263.93049999999999</v>
      </c>
      <c r="BD31" s="56">
        <f>BC31/T31</f>
        <v>0.94301307703301418</v>
      </c>
      <c r="BE31" s="61" t="str">
        <f>IF(BD31&lt;0,"Negative",IF(BD31=0,"Same",IF(BD31&gt;0.3,"30+%",IF(BD31&gt;0.2,"20-30%",IF(BD31&gt;0.1,"10-20%",IF(BD31&lt;=0.1,"0-10%"))))))</f>
        <v>30+%</v>
      </c>
      <c r="BF31" s="65">
        <f>BG31*S31</f>
        <v>15.9495</v>
      </c>
      <c r="BG31" s="66">
        <f>BH31/BJ31</f>
        <v>15.9495</v>
      </c>
      <c r="BH31" s="66">
        <f>IF(BS31="Original",Z31,AQ31)</f>
        <v>15.9495</v>
      </c>
      <c r="BI31" s="60" t="str">
        <f>IF(BS31="Original",AA31,AR31)</f>
        <v>Piece</v>
      </c>
      <c r="BJ31" s="60">
        <f>IF(BS31="Original",AB31,AS31)</f>
        <v>1</v>
      </c>
      <c r="BK31" s="60" t="str">
        <f>IF(BS31="Original",AC31,AT31)</f>
        <v>Possible UOM or LPP issue.</v>
      </c>
      <c r="BL31" s="60" t="str">
        <f>IF(BS31="Original",AD31,AU31)</f>
        <v>Fastenal Approved Vendor</v>
      </c>
      <c r="BM31" s="60" t="str">
        <f>IF(BS31="Original",AE31,AV31)</f>
        <v>2014_72_0</v>
      </c>
      <c r="BN31" s="60" t="str">
        <f>IF(BS31="Original",AF31,AW31)</f>
        <v>0964653</v>
      </c>
      <c r="BO31" s="60" t="str">
        <f>IF(BS31="Original",AG31,AX31)</f>
        <v>Raw Materials</v>
      </c>
      <c r="BP31" s="60" t="str">
        <f>IF(BS31="Original",AH31,AY31)</f>
        <v>3/8" Dia x 6' Long ASTM A582 303 Stainless Steel Round Stock</v>
      </c>
      <c r="BQ31" s="60" t="str">
        <f>IF(BS31="Original",AI31,AZ31)</f>
        <v>Similar Match</v>
      </c>
      <c r="BR31" s="60" t="str">
        <f>IF(BS31="Original",AJ31,BA31)</f>
        <v>No</v>
      </c>
      <c r="BS31" s="60" t="str">
        <f>IF(AQ31="","Original",IF(AP31&lt;Y31,"Alternate","Original"))</f>
        <v>Original</v>
      </c>
    </row>
    <row r="32" spans="1:71" s="31" customFormat="1" x14ac:dyDescent="0.35">
      <c r="A32" s="53" t="s">
        <v>39</v>
      </c>
      <c r="B32" s="49">
        <v>30</v>
      </c>
      <c r="C32" s="50"/>
      <c r="D32" s="50"/>
      <c r="E32" s="51"/>
      <c r="F32" s="50" t="s">
        <v>40</v>
      </c>
      <c r="G32" s="50" t="s">
        <v>195</v>
      </c>
      <c r="H32" s="50" t="s">
        <v>196</v>
      </c>
      <c r="I32" s="50"/>
      <c r="J32" s="50"/>
      <c r="K32" s="50"/>
      <c r="L32" s="50"/>
      <c r="M32" s="50"/>
      <c r="N32" s="54" t="s">
        <v>43</v>
      </c>
      <c r="O32" s="49">
        <v>1</v>
      </c>
      <c r="P32" s="43">
        <v>277.87</v>
      </c>
      <c r="Q32" s="49">
        <v>1</v>
      </c>
      <c r="R32" s="44">
        <f>P32/O32</f>
        <v>277.87</v>
      </c>
      <c r="S32" s="49">
        <f>Q32*O32</f>
        <v>1</v>
      </c>
      <c r="T32" s="52">
        <f>S32*R32</f>
        <v>277.87</v>
      </c>
      <c r="U32" s="50"/>
      <c r="V32" s="50"/>
      <c r="W32" s="50"/>
      <c r="X32" s="69"/>
      <c r="Y32" s="69"/>
      <c r="Z32" s="69"/>
      <c r="AA32" s="50"/>
      <c r="AB32" s="50"/>
      <c r="AC32" s="50"/>
      <c r="AD32" s="50"/>
      <c r="AE32" s="50"/>
      <c r="AF32" s="50"/>
      <c r="AG32" s="50"/>
      <c r="AH32" s="50"/>
      <c r="AI32" s="50" t="s">
        <v>129</v>
      </c>
      <c r="AJ32" s="50"/>
      <c r="AK32" s="50"/>
      <c r="AL32" s="44"/>
      <c r="AM32" s="45"/>
      <c r="AN32" s="50"/>
      <c r="AO32" s="69"/>
      <c r="AP32" s="69"/>
      <c r="AQ32" s="69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5"/>
      <c r="BD32" s="56"/>
      <c r="BE32" s="61"/>
      <c r="BF32" s="65"/>
      <c r="BG32" s="66"/>
      <c r="BH32" s="66"/>
      <c r="BI32" s="60"/>
      <c r="BJ32" s="60"/>
      <c r="BK32" s="60"/>
      <c r="BL32" s="60"/>
      <c r="BM32" s="60"/>
      <c r="BN32" s="60"/>
      <c r="BO32" s="60"/>
      <c r="BP32" s="60"/>
      <c r="BQ32" s="60" t="str">
        <f>IF(BS32="Original",AI32,AZ32)</f>
        <v xml:space="preserve">Non-Supported Product </v>
      </c>
      <c r="BR32" s="60"/>
      <c r="BS32" s="60" t="str">
        <f>IF(AQ32="","Original",IF(AP32&lt;Y32,"Alternate","Original"))</f>
        <v>Original</v>
      </c>
    </row>
    <row r="33" spans="1:71" s="31" customFormat="1" x14ac:dyDescent="0.35">
      <c r="A33" s="53" t="s">
        <v>39</v>
      </c>
      <c r="B33" s="49">
        <v>31</v>
      </c>
      <c r="C33" s="50"/>
      <c r="D33" s="50"/>
      <c r="E33" s="51"/>
      <c r="F33" s="50" t="s">
        <v>40</v>
      </c>
      <c r="G33" s="50" t="s">
        <v>197</v>
      </c>
      <c r="H33" s="50" t="s">
        <v>198</v>
      </c>
      <c r="I33" s="50"/>
      <c r="J33" s="50"/>
      <c r="K33" s="50"/>
      <c r="L33" s="50"/>
      <c r="M33" s="50"/>
      <c r="N33" s="54" t="s">
        <v>43</v>
      </c>
      <c r="O33" s="49">
        <v>1</v>
      </c>
      <c r="P33" s="43">
        <v>138.72</v>
      </c>
      <c r="Q33" s="49">
        <v>2</v>
      </c>
      <c r="R33" s="44">
        <f>P33/O33</f>
        <v>138.72</v>
      </c>
      <c r="S33" s="49">
        <f>Q33*O33</f>
        <v>2</v>
      </c>
      <c r="T33" s="52">
        <f>S33*R33</f>
        <v>277.44</v>
      </c>
      <c r="U33" s="50"/>
      <c r="V33" s="50"/>
      <c r="W33" s="50"/>
      <c r="X33" s="69"/>
      <c r="Y33" s="69"/>
      <c r="Z33" s="69"/>
      <c r="AA33" s="50"/>
      <c r="AB33" s="50"/>
      <c r="AC33" s="50"/>
      <c r="AD33" s="50"/>
      <c r="AE33" s="50"/>
      <c r="AF33" s="50"/>
      <c r="AG33" s="50"/>
      <c r="AH33" s="50"/>
      <c r="AI33" s="50" t="s">
        <v>129</v>
      </c>
      <c r="AJ33" s="50"/>
      <c r="AK33" s="50"/>
      <c r="AL33" s="44"/>
      <c r="AM33" s="45"/>
      <c r="AN33" s="50"/>
      <c r="AO33" s="69"/>
      <c r="AP33" s="69"/>
      <c r="AQ33" s="69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5"/>
      <c r="BD33" s="56"/>
      <c r="BE33" s="61"/>
      <c r="BF33" s="65"/>
      <c r="BG33" s="66"/>
      <c r="BH33" s="66"/>
      <c r="BI33" s="60"/>
      <c r="BJ33" s="60"/>
      <c r="BK33" s="60"/>
      <c r="BL33" s="60"/>
      <c r="BM33" s="60"/>
      <c r="BN33" s="60"/>
      <c r="BO33" s="60"/>
      <c r="BP33" s="60"/>
      <c r="BQ33" s="60" t="str">
        <f>IF(BS33="Original",AI33,AZ33)</f>
        <v xml:space="preserve">Non-Supported Product </v>
      </c>
      <c r="BR33" s="60"/>
      <c r="BS33" s="60" t="str">
        <f>IF(AQ33="","Original",IF(AP33&lt;Y33,"Alternate","Original"))</f>
        <v>Original</v>
      </c>
    </row>
    <row r="34" spans="1:71" s="31" customFormat="1" x14ac:dyDescent="0.35">
      <c r="A34" s="53" t="s">
        <v>39</v>
      </c>
      <c r="B34" s="49">
        <v>32</v>
      </c>
      <c r="C34" s="50"/>
      <c r="D34" s="50"/>
      <c r="E34" s="51"/>
      <c r="F34" s="50" t="s">
        <v>60</v>
      </c>
      <c r="G34" s="50" t="s">
        <v>199</v>
      </c>
      <c r="H34" s="50" t="s">
        <v>200</v>
      </c>
      <c r="I34" s="50"/>
      <c r="J34" s="50"/>
      <c r="K34" s="50"/>
      <c r="L34" s="50"/>
      <c r="M34" s="50"/>
      <c r="N34" s="54" t="s">
        <v>43</v>
      </c>
      <c r="O34" s="49">
        <v>1</v>
      </c>
      <c r="P34" s="43">
        <v>276.22000000000003</v>
      </c>
      <c r="Q34" s="49">
        <v>1</v>
      </c>
      <c r="R34" s="44">
        <f>P34/O34</f>
        <v>276.22000000000003</v>
      </c>
      <c r="S34" s="49">
        <f>Q34*O34</f>
        <v>1</v>
      </c>
      <c r="T34" s="52">
        <f>S34*R34</f>
        <v>276.22000000000003</v>
      </c>
      <c r="U34" s="55">
        <f>IFERROR(T34-X34,0)</f>
        <v>42.162800000000033</v>
      </c>
      <c r="V34" s="56">
        <f>IFERROR(U34/T34,0)</f>
        <v>0.15264209687929922</v>
      </c>
      <c r="W34" s="57" t="str">
        <f>IF($V34&lt;0,"Negative",IF($V34=0,"Same",IF($V34&gt;0.3,"30+%",IF($V34&gt;0.2,"20-30%",IF($V34&gt;0.1,"10-20%",IF($V34&lt;=0.1,"0-10%"))))))</f>
        <v>10-20%</v>
      </c>
      <c r="X34" s="66">
        <f>IFERROR(Y34*S34,0)</f>
        <v>234.05719999999999</v>
      </c>
      <c r="Y34" s="66">
        <f>IFERROR(Z34/AB34,0)</f>
        <v>234.05719999999999</v>
      </c>
      <c r="Z34" s="69">
        <v>234.05719999999999</v>
      </c>
      <c r="AA34" s="50" t="s">
        <v>63</v>
      </c>
      <c r="AB34" s="50">
        <v>1</v>
      </c>
      <c r="AC34" s="50"/>
      <c r="AD34" s="50" t="s">
        <v>104</v>
      </c>
      <c r="AE34" s="50" t="s">
        <v>201</v>
      </c>
      <c r="AF34" s="50" t="s">
        <v>202</v>
      </c>
      <c r="AG34" s="50" t="s">
        <v>107</v>
      </c>
      <c r="AH34" s="50" t="s">
        <v>203</v>
      </c>
      <c r="AI34" s="50" t="s">
        <v>69</v>
      </c>
      <c r="AJ34" s="50" t="s">
        <v>73</v>
      </c>
      <c r="AK34" s="50"/>
      <c r="AL34" s="44"/>
      <c r="AM34" s="45"/>
      <c r="AN34" s="50"/>
      <c r="AO34" s="69"/>
      <c r="AP34" s="69"/>
      <c r="AQ34" s="69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5">
        <f>T34-BF34</f>
        <v>42.162800000000033</v>
      </c>
      <c r="BD34" s="56">
        <f>BC34/T34</f>
        <v>0.15264209687929922</v>
      </c>
      <c r="BE34" s="61" t="str">
        <f>IF(BD34&lt;0,"Negative",IF(BD34=0,"Same",IF(BD34&gt;0.3,"30+%",IF(BD34&gt;0.2,"20-30%",IF(BD34&gt;0.1,"10-20%",IF(BD34&lt;=0.1,"0-10%"))))))</f>
        <v>10-20%</v>
      </c>
      <c r="BF34" s="65">
        <f>BG34*S34</f>
        <v>234.05719999999999</v>
      </c>
      <c r="BG34" s="66">
        <f>BH34/BJ34</f>
        <v>234.05719999999999</v>
      </c>
      <c r="BH34" s="66">
        <f>IF(BS34="Original",Z34,AQ34)</f>
        <v>234.05719999999999</v>
      </c>
      <c r="BI34" s="60" t="str">
        <f>IF(BS34="Original",AA34,AR34)</f>
        <v>Piece</v>
      </c>
      <c r="BJ34" s="60">
        <f>IF(BS34="Original",AB34,AS34)</f>
        <v>1</v>
      </c>
      <c r="BK34" s="60"/>
      <c r="BL34" s="60" t="str">
        <f>IF(BS34="Original",AD34,AU34)</f>
        <v>Fastenal Approved Vendor</v>
      </c>
      <c r="BM34" s="60" t="str">
        <f>IF(BS34="Original",AE34,AV34)</f>
        <v>11328101</v>
      </c>
      <c r="BN34" s="60" t="str">
        <f>IF(BS34="Original",AF34,AW34)</f>
        <v>0954800</v>
      </c>
      <c r="BO34" s="60" t="str">
        <f>IF(BS34="Original",AG34,AX34)</f>
        <v>Raw Materials</v>
      </c>
      <c r="BP34" s="60" t="str">
        <f>IF(BS34="Original",AH34,AY34)</f>
        <v>0.236" x 48" x 96" Clear Polycarbonate Sheet</v>
      </c>
      <c r="BQ34" s="60" t="str">
        <f>IF(BS34="Original",AI34,AZ34)</f>
        <v>Exact Match</v>
      </c>
      <c r="BR34" s="60" t="str">
        <f>IF(BS34="Original",AJ34,BA34)</f>
        <v>Yes</v>
      </c>
      <c r="BS34" s="60" t="str">
        <f>IF(AQ34="","Original",IF(AP34&lt;Y34,"Alternate","Original"))</f>
        <v>Original</v>
      </c>
    </row>
    <row r="35" spans="1:71" s="31" customFormat="1" x14ac:dyDescent="0.35">
      <c r="A35" s="53" t="s">
        <v>39</v>
      </c>
      <c r="B35" s="49">
        <v>33</v>
      </c>
      <c r="C35" s="50"/>
      <c r="D35" s="50"/>
      <c r="E35" s="51"/>
      <c r="F35" s="50" t="s">
        <v>40</v>
      </c>
      <c r="G35" s="50" t="s">
        <v>204</v>
      </c>
      <c r="H35" s="50" t="s">
        <v>205</v>
      </c>
      <c r="I35" s="50"/>
      <c r="J35" s="50"/>
      <c r="K35" s="50"/>
      <c r="L35" s="50"/>
      <c r="M35" s="50"/>
      <c r="N35" s="54" t="s">
        <v>43</v>
      </c>
      <c r="O35" s="49">
        <v>1</v>
      </c>
      <c r="P35" s="43">
        <v>133.44999999999999</v>
      </c>
      <c r="Q35" s="49">
        <v>2</v>
      </c>
      <c r="R35" s="44">
        <f>P35/O35</f>
        <v>133.44999999999999</v>
      </c>
      <c r="S35" s="49">
        <f>Q35*O35</f>
        <v>2</v>
      </c>
      <c r="T35" s="52">
        <f>S35*R35</f>
        <v>266.89999999999998</v>
      </c>
      <c r="U35" s="50"/>
      <c r="V35" s="50"/>
      <c r="W35" s="50"/>
      <c r="X35" s="69"/>
      <c r="Y35" s="69"/>
      <c r="Z35" s="69"/>
      <c r="AA35" s="50"/>
      <c r="AB35" s="50"/>
      <c r="AC35" s="50"/>
      <c r="AD35" s="50"/>
      <c r="AE35" s="50"/>
      <c r="AF35" s="50"/>
      <c r="AG35" s="50"/>
      <c r="AH35" s="50"/>
      <c r="AI35" s="50" t="s">
        <v>206</v>
      </c>
      <c r="AJ35" s="50"/>
      <c r="AK35" s="50"/>
      <c r="AL35" s="44"/>
      <c r="AM35" s="45"/>
      <c r="AN35" s="50"/>
      <c r="AO35" s="69"/>
      <c r="AP35" s="69"/>
      <c r="AQ35" s="69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5"/>
      <c r="BD35" s="56"/>
      <c r="BE35" s="61"/>
      <c r="BF35" s="65"/>
      <c r="BG35" s="66"/>
      <c r="BH35" s="66"/>
      <c r="BI35" s="60"/>
      <c r="BJ35" s="60"/>
      <c r="BK35" s="60"/>
      <c r="BL35" s="60"/>
      <c r="BM35" s="60"/>
      <c r="BN35" s="60"/>
      <c r="BO35" s="60"/>
      <c r="BP35" s="60"/>
      <c r="BQ35" s="60" t="str">
        <f>IF(BS35="Original",AI35,AZ35)</f>
        <v>Potential Sourcing</v>
      </c>
      <c r="BR35" s="60"/>
      <c r="BS35" s="60" t="str">
        <f>IF(AQ35="","Original",IF(AP35&lt;Y35,"Alternate","Original"))</f>
        <v>Original</v>
      </c>
    </row>
    <row r="36" spans="1:71" s="31" customFormat="1" x14ac:dyDescent="0.35">
      <c r="A36" s="53" t="s">
        <v>39</v>
      </c>
      <c r="B36" s="49">
        <v>34</v>
      </c>
      <c r="C36" s="50"/>
      <c r="D36" s="50"/>
      <c r="E36" s="51"/>
      <c r="F36" s="50" t="s">
        <v>60</v>
      </c>
      <c r="G36" s="50" t="s">
        <v>207</v>
      </c>
      <c r="H36" s="50" t="s">
        <v>208</v>
      </c>
      <c r="I36" s="50"/>
      <c r="J36" s="50"/>
      <c r="K36" s="50"/>
      <c r="L36" s="50"/>
      <c r="M36" s="50"/>
      <c r="N36" s="54" t="s">
        <v>43</v>
      </c>
      <c r="O36" s="49">
        <v>1</v>
      </c>
      <c r="P36" s="43">
        <v>131.69</v>
      </c>
      <c r="Q36" s="49">
        <v>2</v>
      </c>
      <c r="R36" s="44">
        <f>P36/O36</f>
        <v>131.69</v>
      </c>
      <c r="S36" s="49">
        <f>Q36*O36</f>
        <v>2</v>
      </c>
      <c r="T36" s="52">
        <f>S36*R36</f>
        <v>263.38</v>
      </c>
      <c r="U36" s="55">
        <f>IFERROR(T36-X36,0)</f>
        <v>256.3682</v>
      </c>
      <c r="V36" s="56">
        <f>IFERROR(U36/T36,0)</f>
        <v>0.973377629280887</v>
      </c>
      <c r="W36" s="57" t="str">
        <f>IF($V36&lt;0,"Negative",IF($V36=0,"Same",IF($V36&gt;0.3,"30+%",IF($V36&gt;0.2,"20-30%",IF($V36&gt;0.1,"10-20%",IF($V36&lt;=0.1,"0-10%"))))))</f>
        <v>30+%</v>
      </c>
      <c r="X36" s="66">
        <f>IFERROR(Y36*S36,0)</f>
        <v>7.0118</v>
      </c>
      <c r="Y36" s="66">
        <f>IFERROR(Z36/AB36,0)</f>
        <v>3.5059</v>
      </c>
      <c r="Z36" s="69">
        <v>3.5059</v>
      </c>
      <c r="AA36" s="50" t="s">
        <v>63</v>
      </c>
      <c r="AB36" s="50">
        <v>1</v>
      </c>
      <c r="AC36" s="50" t="s">
        <v>53</v>
      </c>
      <c r="AD36" s="50" t="s">
        <v>209</v>
      </c>
      <c r="AE36" s="50" t="s">
        <v>210</v>
      </c>
      <c r="AF36" s="50" t="s">
        <v>211</v>
      </c>
      <c r="AG36" s="50" t="s">
        <v>212</v>
      </c>
      <c r="AH36" s="50" t="s">
        <v>213</v>
      </c>
      <c r="AI36" s="50" t="s">
        <v>58</v>
      </c>
      <c r="AJ36" s="50" t="s">
        <v>73</v>
      </c>
      <c r="AK36" s="50"/>
      <c r="AL36" s="44"/>
      <c r="AM36" s="45"/>
      <c r="AN36" s="50"/>
      <c r="AO36" s="69"/>
      <c r="AP36" s="69"/>
      <c r="AQ36" s="69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5">
        <f>T36-BF36</f>
        <v>256.3682</v>
      </c>
      <c r="BD36" s="56">
        <f>BC36/T36</f>
        <v>0.973377629280887</v>
      </c>
      <c r="BE36" s="61" t="str">
        <f>IF(BD36&lt;0,"Negative",IF(BD36=0,"Same",IF(BD36&gt;0.3,"30+%",IF(BD36&gt;0.2,"20-30%",IF(BD36&gt;0.1,"10-20%",IF(BD36&lt;=0.1,"0-10%"))))))</f>
        <v>30+%</v>
      </c>
      <c r="BF36" s="65">
        <f>BG36*S36</f>
        <v>7.0118</v>
      </c>
      <c r="BG36" s="66">
        <f>BH36/BJ36</f>
        <v>3.5059</v>
      </c>
      <c r="BH36" s="66">
        <f>IF(BS36="Original",Z36,AQ36)</f>
        <v>3.5059</v>
      </c>
      <c r="BI36" s="60" t="str">
        <f>IF(BS36="Original",AA36,AR36)</f>
        <v>Piece</v>
      </c>
      <c r="BJ36" s="60">
        <f>IF(BS36="Original",AB36,AS36)</f>
        <v>1</v>
      </c>
      <c r="BK36" s="60" t="str">
        <f>IF(BS36="Original",AC36,AT36)</f>
        <v>Possible UOM or LPP issue.</v>
      </c>
      <c r="BL36" s="60" t="str">
        <f>IF(BS36="Original",AD36,AU36)</f>
        <v>3M PRODUCTS</v>
      </c>
      <c r="BM36" s="60" t="str">
        <f>IF(BS36="Original",AE36,AV36)</f>
        <v>00076308864347</v>
      </c>
      <c r="BN36" s="60" t="str">
        <f>IF(BS36="Original",AF36,AW36)</f>
        <v>0626172</v>
      </c>
      <c r="BO36" s="60" t="str">
        <f>IF(BS36="Original",AG36,AX36)</f>
        <v>Adhesives, Sealants, and Tape</v>
      </c>
      <c r="BP36" s="60" t="str">
        <f>IF(BS36="Original",AH36,AY36)</f>
        <v>48.5mL &amp; 50mL EPX Mixing Nozzle</v>
      </c>
      <c r="BQ36" s="60" t="str">
        <f>IF(BS36="Original",AI36,AZ36)</f>
        <v>Similar Match</v>
      </c>
      <c r="BR36" s="60" t="str">
        <f>IF(BS36="Original",AJ36,BA36)</f>
        <v>Yes</v>
      </c>
      <c r="BS36" s="60" t="str">
        <f>IF(AQ36="","Original",IF(AP36&lt;Y36,"Alternate","Original"))</f>
        <v>Original</v>
      </c>
    </row>
    <row r="37" spans="1:71" s="31" customFormat="1" x14ac:dyDescent="0.35">
      <c r="A37" s="53" t="s">
        <v>39</v>
      </c>
      <c r="B37" s="49">
        <v>35</v>
      </c>
      <c r="C37" s="50"/>
      <c r="D37" s="50"/>
      <c r="E37" s="51"/>
      <c r="F37" s="50" t="s">
        <v>60</v>
      </c>
      <c r="G37" s="50" t="s">
        <v>214</v>
      </c>
      <c r="H37" s="50" t="s">
        <v>215</v>
      </c>
      <c r="I37" s="50"/>
      <c r="J37" s="50"/>
      <c r="K37" s="50"/>
      <c r="L37" s="50"/>
      <c r="M37" s="50"/>
      <c r="N37" s="54" t="s">
        <v>43</v>
      </c>
      <c r="O37" s="49">
        <v>1</v>
      </c>
      <c r="P37" s="43">
        <v>64.38</v>
      </c>
      <c r="Q37" s="49">
        <v>4</v>
      </c>
      <c r="R37" s="44">
        <f>P37/O37</f>
        <v>64.38</v>
      </c>
      <c r="S37" s="49">
        <f>Q37*O37</f>
        <v>4</v>
      </c>
      <c r="T37" s="52">
        <f>S37*R37</f>
        <v>257.52</v>
      </c>
      <c r="U37" s="55">
        <f>IFERROR(T37-X37,0)</f>
        <v>92.843599999999981</v>
      </c>
      <c r="V37" s="56">
        <f>IFERROR(U37/T37,0)</f>
        <v>0.36052966759863309</v>
      </c>
      <c r="W37" s="57" t="str">
        <f>IF($V37&lt;0,"Negative",IF($V37=0,"Same",IF($V37&gt;0.3,"30+%",IF($V37&gt;0.2,"20-30%",IF($V37&gt;0.1,"10-20%",IF($V37&lt;=0.1,"0-10%"))))))</f>
        <v>30+%</v>
      </c>
      <c r="X37" s="66">
        <f>IFERROR(Y37*S37,0)</f>
        <v>164.6764</v>
      </c>
      <c r="Y37" s="66">
        <f>IFERROR(Z37/AB37,0)</f>
        <v>41.1691</v>
      </c>
      <c r="Z37" s="69">
        <v>41.1691</v>
      </c>
      <c r="AA37" s="50" t="s">
        <v>118</v>
      </c>
      <c r="AB37" s="50">
        <v>1</v>
      </c>
      <c r="AC37" s="50"/>
      <c r="AD37" s="50" t="s">
        <v>119</v>
      </c>
      <c r="AE37" s="50" t="s">
        <v>216</v>
      </c>
      <c r="AF37" s="50" t="s">
        <v>217</v>
      </c>
      <c r="AG37" s="50" t="s">
        <v>67</v>
      </c>
      <c r="AH37" s="50" t="s">
        <v>218</v>
      </c>
      <c r="AI37" s="50" t="s">
        <v>69</v>
      </c>
      <c r="AJ37" s="50" t="s">
        <v>59</v>
      </c>
      <c r="AK37" s="50"/>
      <c r="AL37" s="58">
        <f>IF(AQ37="","",T37-AO37)</f>
        <v>228.73799999999997</v>
      </c>
      <c r="AM37" s="59">
        <f>IFERROR(AL37/T37,"")</f>
        <v>0.88823392357875108</v>
      </c>
      <c r="AN37" s="60" t="str">
        <f>IF(AM37="","",IF(AM37&lt;0,"Negative",IF(AM37=0,"Same",IF(AM37&gt;0.3,"30+%",IF(AM37&gt;0.2,"20-30%",IF(AM37&gt;0.1,"10-20%",IF(AM37&lt;=0.1,"0-10%")))))))</f>
        <v>30+%</v>
      </c>
      <c r="AO37" s="66">
        <f>IFERROR(AP37*S37,"")</f>
        <v>28.782</v>
      </c>
      <c r="AP37" s="66">
        <f>IFERROR(AQ37/AS37,"")</f>
        <v>7.1955</v>
      </c>
      <c r="AQ37" s="69">
        <v>7.1955</v>
      </c>
      <c r="AR37" s="50" t="s">
        <v>118</v>
      </c>
      <c r="AS37" s="50">
        <v>1</v>
      </c>
      <c r="AT37" s="50" t="s">
        <v>53</v>
      </c>
      <c r="AU37" s="50" t="s">
        <v>70</v>
      </c>
      <c r="AV37" s="50" t="s">
        <v>219</v>
      </c>
      <c r="AW37" s="50" t="s">
        <v>219</v>
      </c>
      <c r="AX37" s="50" t="s">
        <v>67</v>
      </c>
      <c r="AY37" s="50" t="s">
        <v>220</v>
      </c>
      <c r="AZ37" s="50" t="s">
        <v>58</v>
      </c>
      <c r="BA37" s="50" t="s">
        <v>73</v>
      </c>
      <c r="BB37" s="50"/>
      <c r="BC37" s="55">
        <f>T37-BF37</f>
        <v>228.73799999999997</v>
      </c>
      <c r="BD37" s="56">
        <f>BC37/T37</f>
        <v>0.88823392357875108</v>
      </c>
      <c r="BE37" s="61" t="str">
        <f>IF(BD37&lt;0,"Negative",IF(BD37=0,"Same",IF(BD37&gt;0.3,"30+%",IF(BD37&gt;0.2,"20-30%",IF(BD37&gt;0.1,"10-20%",IF(BD37&lt;=0.1,"0-10%"))))))</f>
        <v>30+%</v>
      </c>
      <c r="BF37" s="65">
        <f>BG37*S37</f>
        <v>28.782</v>
      </c>
      <c r="BG37" s="66">
        <f>BH37/BJ37</f>
        <v>7.1955</v>
      </c>
      <c r="BH37" s="66">
        <f>IF(BS37="Original",Z37,AQ37)</f>
        <v>7.1955</v>
      </c>
      <c r="BI37" s="60" t="str">
        <f>IF(BS37="Original",AA37,AR37)</f>
        <v>Roll</v>
      </c>
      <c r="BJ37" s="60">
        <f>IF(BS37="Original",AB37,AS37)</f>
        <v>1</v>
      </c>
      <c r="BK37" s="60" t="str">
        <f>IF(BS37="Original",AC37,AT37)</f>
        <v>Possible UOM or LPP issue.</v>
      </c>
      <c r="BL37" s="60" t="str">
        <f>IF(BS37="Original",AD37,AU37)</f>
        <v>Agent[REG]</v>
      </c>
      <c r="BM37" s="60" t="str">
        <f>IF(BS37="Original",AE37,AV37)</f>
        <v>1014655</v>
      </c>
      <c r="BN37" s="60" t="str">
        <f>IF(BS37="Original",AF37,AW37)</f>
        <v>1014655</v>
      </c>
      <c r="BO37" s="60" t="str">
        <f>IF(BS37="Original",AG37,AX37)</f>
        <v>Safety</v>
      </c>
      <c r="BP37" s="60" t="str">
        <f>IF(BS37="Original",AH37,AY37)</f>
        <v>36 yd (108') L X 2" W 6 mil  White General Purpose Aisle Marking Tape Blank</v>
      </c>
      <c r="BQ37" s="60" t="str">
        <f>IF(BS37="Original",AI37,AZ37)</f>
        <v>Similar Match</v>
      </c>
      <c r="BR37" s="60" t="str">
        <f>IF(BS37="Original",AJ37,BA37)</f>
        <v>Yes</v>
      </c>
      <c r="BS37" s="60" t="str">
        <f>IF(AQ37="","Original",IF(AP37&lt;Y37,"Alternate","Original"))</f>
        <v>Alternate</v>
      </c>
    </row>
    <row r="38" spans="1:71" s="31" customFormat="1" x14ac:dyDescent="0.35">
      <c r="A38" s="53" t="s">
        <v>39</v>
      </c>
      <c r="B38" s="49">
        <v>36</v>
      </c>
      <c r="C38" s="50"/>
      <c r="D38" s="50"/>
      <c r="E38" s="51"/>
      <c r="F38" s="50" t="s">
        <v>49</v>
      </c>
      <c r="G38" s="50" t="s">
        <v>221</v>
      </c>
      <c r="H38" s="50" t="s">
        <v>222</v>
      </c>
      <c r="I38" s="50"/>
      <c r="J38" s="50"/>
      <c r="K38" s="50"/>
      <c r="L38" s="50"/>
      <c r="M38" s="50"/>
      <c r="N38" s="54" t="s">
        <v>43</v>
      </c>
      <c r="O38" s="49">
        <v>1</v>
      </c>
      <c r="P38" s="43">
        <v>83.36</v>
      </c>
      <c r="Q38" s="49">
        <v>3</v>
      </c>
      <c r="R38" s="44">
        <f>P38/O38</f>
        <v>83.36</v>
      </c>
      <c r="S38" s="49">
        <f>Q38*O38</f>
        <v>3</v>
      </c>
      <c r="T38" s="52">
        <f>S38*R38</f>
        <v>250.07999999999998</v>
      </c>
      <c r="U38" s="55">
        <f>IFERROR(T38-X38,0)</f>
        <v>249.69947999999999</v>
      </c>
      <c r="V38" s="56">
        <f>IFERROR(U38/T38,0)</f>
        <v>0.99847840690978895</v>
      </c>
      <c r="W38" s="57" t="str">
        <f>IF($V38&lt;0,"Negative",IF($V38=0,"Same",IF($V38&gt;0.3,"30+%",IF($V38&gt;0.2,"20-30%",IF($V38&gt;0.1,"10-20%",IF($V38&lt;=0.1,"0-10%"))))))</f>
        <v>30+%</v>
      </c>
      <c r="X38" s="66">
        <f>IFERROR(Y38*S38,0)</f>
        <v>0.38051999999999997</v>
      </c>
      <c r="Y38" s="66">
        <f>IFERROR(Z38/AB38,0)</f>
        <v>0.12683999999999998</v>
      </c>
      <c r="Z38" s="69">
        <v>12.683999999999999</v>
      </c>
      <c r="AA38" s="50" t="s">
        <v>52</v>
      </c>
      <c r="AB38" s="50">
        <v>100</v>
      </c>
      <c r="AC38" s="50" t="s">
        <v>53</v>
      </c>
      <c r="AD38" s="50" t="s">
        <v>223</v>
      </c>
      <c r="AE38" s="50" t="s">
        <v>224</v>
      </c>
      <c r="AF38" s="50" t="s">
        <v>224</v>
      </c>
      <c r="AG38" s="50" t="s">
        <v>67</v>
      </c>
      <c r="AH38" s="50" t="s">
        <v>225</v>
      </c>
      <c r="AI38" s="50" t="s">
        <v>58</v>
      </c>
      <c r="AJ38" s="50" t="s">
        <v>59</v>
      </c>
      <c r="AK38" s="50"/>
      <c r="AL38" s="44"/>
      <c r="AM38" s="45"/>
      <c r="AN38" s="50"/>
      <c r="AO38" s="69"/>
      <c r="AP38" s="69"/>
      <c r="AQ38" s="69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5">
        <f>T38-BF38</f>
        <v>249.69947999999999</v>
      </c>
      <c r="BD38" s="56">
        <f>BC38/T38</f>
        <v>0.99847840690978895</v>
      </c>
      <c r="BE38" s="61" t="str">
        <f>IF(BD38&lt;0,"Negative",IF(BD38=0,"Same",IF(BD38&gt;0.3,"30+%",IF(BD38&gt;0.2,"20-30%",IF(BD38&gt;0.1,"10-20%",IF(BD38&lt;=0.1,"0-10%"))))))</f>
        <v>30+%</v>
      </c>
      <c r="BF38" s="65">
        <f>BG38*S38</f>
        <v>0.38051999999999997</v>
      </c>
      <c r="BG38" s="66">
        <f>BH38/BJ38</f>
        <v>0.12683999999999998</v>
      </c>
      <c r="BH38" s="66">
        <f>IF(BS38="Original",Z38,AQ38)</f>
        <v>12.683999999999999</v>
      </c>
      <c r="BI38" s="60" t="str">
        <f>IF(BS38="Original",AA38,AR38)</f>
        <v>Pack</v>
      </c>
      <c r="BJ38" s="60">
        <f>IF(BS38="Original",AB38,AS38)</f>
        <v>100</v>
      </c>
      <c r="BK38" s="60" t="str">
        <f>IF(BS38="Original",AC38,AT38)</f>
        <v>Possible UOM or LPP issue.</v>
      </c>
      <c r="BL38" s="60" t="str">
        <f>IF(BS38="Original",AD38,AU38)</f>
        <v>Body Guard[REG]</v>
      </c>
      <c r="BM38" s="60" t="str">
        <f>IF(BS38="Original",AE38,AV38)</f>
        <v>1334819</v>
      </c>
      <c r="BN38" s="60" t="str">
        <f>IF(BS38="Original",AF38,AW38)</f>
        <v>1334819</v>
      </c>
      <c r="BO38" s="60" t="str">
        <f>IF(BS38="Original",AG38,AX38)</f>
        <v>Safety</v>
      </c>
      <c r="BP38" s="60" t="str">
        <f>IF(BS38="Original",AH38,AY38)</f>
        <v>L Series 816BK 6 mil Black Nitrile Industrial Powder Free  Body Guard[REG] Disposable Glove</v>
      </c>
      <c r="BQ38" s="60" t="str">
        <f>IF(BS38="Original",AI38,AZ38)</f>
        <v>Similar Match</v>
      </c>
      <c r="BR38" s="60" t="str">
        <f>IF(BS38="Original",AJ38,BA38)</f>
        <v>No</v>
      </c>
      <c r="BS38" s="60" t="str">
        <f>IF(AQ38="","Original",IF(AP38&lt;Y38,"Alternate","Original"))</f>
        <v>Original</v>
      </c>
    </row>
    <row r="39" spans="1:71" s="31" customFormat="1" x14ac:dyDescent="0.35">
      <c r="A39" s="53" t="s">
        <v>39</v>
      </c>
      <c r="B39" s="49">
        <v>37</v>
      </c>
      <c r="C39" s="50"/>
      <c r="D39" s="50"/>
      <c r="E39" s="51"/>
      <c r="F39" s="50" t="s">
        <v>49</v>
      </c>
      <c r="G39" s="50" t="s">
        <v>226</v>
      </c>
      <c r="H39" s="50" t="s">
        <v>148</v>
      </c>
      <c r="I39" s="50"/>
      <c r="J39" s="50"/>
      <c r="K39" s="50"/>
      <c r="L39" s="50"/>
      <c r="M39" s="50"/>
      <c r="N39" s="54" t="s">
        <v>43</v>
      </c>
      <c r="O39" s="49">
        <v>1</v>
      </c>
      <c r="P39" s="43">
        <v>249.76</v>
      </c>
      <c r="Q39" s="49">
        <v>1</v>
      </c>
      <c r="R39" s="44">
        <f>P39/O39</f>
        <v>249.76</v>
      </c>
      <c r="S39" s="49">
        <f>Q39*O39</f>
        <v>1</v>
      </c>
      <c r="T39" s="52">
        <f>S39*R39</f>
        <v>249.76</v>
      </c>
      <c r="U39" s="55">
        <f>IFERROR(T39-X39,0)</f>
        <v>154.26139999999998</v>
      </c>
      <c r="V39" s="56">
        <f>IFERROR(U39/T39,0)</f>
        <v>0.61763853299167193</v>
      </c>
      <c r="W39" s="57" t="str">
        <f>IF($V39&lt;0,"Negative",IF($V39=0,"Same",IF($V39&gt;0.3,"30+%",IF($V39&gt;0.2,"20-30%",IF($V39&gt;0.1,"10-20%",IF($V39&lt;=0.1,"0-10%"))))))</f>
        <v>30+%</v>
      </c>
      <c r="X39" s="66">
        <f>IFERROR(Y39*S39,0)</f>
        <v>95.498599999999996</v>
      </c>
      <c r="Y39" s="66">
        <f>IFERROR(Z39/AB39,0)</f>
        <v>95.498599999999996</v>
      </c>
      <c r="Z39" s="69">
        <v>95.498599999999996</v>
      </c>
      <c r="AA39" s="50" t="s">
        <v>118</v>
      </c>
      <c r="AB39" s="50">
        <v>1</v>
      </c>
      <c r="AC39" s="50" t="s">
        <v>53</v>
      </c>
      <c r="AD39" s="50" t="s">
        <v>227</v>
      </c>
      <c r="AE39" s="50" t="s">
        <v>228</v>
      </c>
      <c r="AF39" s="50" t="s">
        <v>229</v>
      </c>
      <c r="AG39" s="50" t="s">
        <v>107</v>
      </c>
      <c r="AH39" s="50" t="s">
        <v>230</v>
      </c>
      <c r="AI39" s="50" t="s">
        <v>69</v>
      </c>
      <c r="AJ39" s="50" t="s">
        <v>59</v>
      </c>
      <c r="AK39" s="50"/>
      <c r="AL39" s="44"/>
      <c r="AM39" s="45"/>
      <c r="AN39" s="50"/>
      <c r="AO39" s="69"/>
      <c r="AP39" s="69"/>
      <c r="AQ39" s="69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5">
        <f>T39-BF39</f>
        <v>154.26139999999998</v>
      </c>
      <c r="BD39" s="56">
        <f>BC39/T39</f>
        <v>0.61763853299167193</v>
      </c>
      <c r="BE39" s="61" t="str">
        <f>IF(BD39&lt;0,"Negative",IF(BD39=0,"Same",IF(BD39&gt;0.3,"30+%",IF(BD39&gt;0.2,"20-30%",IF(BD39&gt;0.1,"10-20%",IF(BD39&lt;=0.1,"0-10%"))))))</f>
        <v>30+%</v>
      </c>
      <c r="BF39" s="65">
        <f>BG39*S39</f>
        <v>95.498599999999996</v>
      </c>
      <c r="BG39" s="66">
        <f>BH39/BJ39</f>
        <v>95.498599999999996</v>
      </c>
      <c r="BH39" s="66">
        <f>IF(BS39="Original",Z39,AQ39)</f>
        <v>95.498599999999996</v>
      </c>
      <c r="BI39" s="60" t="str">
        <f>IF(BS39="Original",AA39,AR39)</f>
        <v>Roll</v>
      </c>
      <c r="BJ39" s="60">
        <f>IF(BS39="Original",AB39,AS39)</f>
        <v>1</v>
      </c>
      <c r="BK39" s="60" t="str">
        <f>IF(BS39="Original",AC39,AT39)</f>
        <v>Possible UOM or LPP issue.</v>
      </c>
      <c r="BL39" s="60" t="str">
        <f>IF(BS39="Original",AD39,AU39)</f>
        <v>MAUDLIN &amp; SON MFG. CO., INC.</v>
      </c>
      <c r="BM39" s="60" t="str">
        <f>IF(BS39="Original",AE39,AV39)</f>
        <v>SSFW309-20-25</v>
      </c>
      <c r="BN39" s="60" t="str">
        <f>IF(BS39="Original",AF39,AW39)</f>
        <v>4135004</v>
      </c>
      <c r="BO39" s="60" t="str">
        <f>IF(BS39="Original",AG39,AX39)</f>
        <v>Raw Materials</v>
      </c>
      <c r="BP39" s="60" t="str">
        <f>IF(BS39="Original",AH39,AY39)</f>
        <v>0.002" x 20" x 25' 309 Stainless Steel Tool Wrap</v>
      </c>
      <c r="BQ39" s="60" t="str">
        <f>IF(BS39="Original",AI39,AZ39)</f>
        <v>Exact Match</v>
      </c>
      <c r="BR39" s="60" t="str">
        <f>IF(BS39="Original",AJ39,BA39)</f>
        <v>No</v>
      </c>
      <c r="BS39" s="60" t="str">
        <f>IF(AQ39="","Original",IF(AP39&lt;Y39,"Alternate","Original"))</f>
        <v>Original</v>
      </c>
    </row>
    <row r="40" spans="1:71" s="31" customFormat="1" x14ac:dyDescent="0.35">
      <c r="A40" s="53" t="s">
        <v>39</v>
      </c>
      <c r="B40" s="49">
        <v>38</v>
      </c>
      <c r="C40" s="50"/>
      <c r="D40" s="50"/>
      <c r="E40" s="51"/>
      <c r="F40" s="50" t="s">
        <v>49</v>
      </c>
      <c r="G40" s="50" t="s">
        <v>231</v>
      </c>
      <c r="H40" s="50" t="s">
        <v>232</v>
      </c>
      <c r="I40" s="50"/>
      <c r="J40" s="50"/>
      <c r="K40" s="50"/>
      <c r="L40" s="50"/>
      <c r="M40" s="50"/>
      <c r="N40" s="54" t="s">
        <v>43</v>
      </c>
      <c r="O40" s="49">
        <v>1</v>
      </c>
      <c r="P40" s="43">
        <v>82.57</v>
      </c>
      <c r="Q40" s="49">
        <v>3</v>
      </c>
      <c r="R40" s="44">
        <f>P40/O40</f>
        <v>82.57</v>
      </c>
      <c r="S40" s="49">
        <f>Q40*O40</f>
        <v>3</v>
      </c>
      <c r="T40" s="52">
        <f>S40*R40</f>
        <v>247.70999999999998</v>
      </c>
      <c r="U40" s="55">
        <f>IFERROR(T40-X40,0)</f>
        <v>247.33409999999998</v>
      </c>
      <c r="V40" s="56">
        <f>IFERROR(U40/T40,0)</f>
        <v>0.99848249969722658</v>
      </c>
      <c r="W40" s="57" t="str">
        <f>IF($V40&lt;0,"Negative",IF($V40=0,"Same",IF($V40&gt;0.3,"30+%",IF($V40&gt;0.2,"20-30%",IF($V40&gt;0.1,"10-20%",IF($V40&lt;=0.1,"0-10%"))))))</f>
        <v>30+%</v>
      </c>
      <c r="X40" s="66">
        <f>IFERROR(Y40*S40,0)</f>
        <v>0.37590000000000001</v>
      </c>
      <c r="Y40" s="66">
        <f>IFERROR(Z40/AB40,0)</f>
        <v>0.12529999999999999</v>
      </c>
      <c r="Z40" s="69">
        <v>12.53</v>
      </c>
      <c r="AA40" s="50" t="s">
        <v>52</v>
      </c>
      <c r="AB40" s="50">
        <v>100</v>
      </c>
      <c r="AC40" s="50" t="s">
        <v>53</v>
      </c>
      <c r="AD40" s="50" t="s">
        <v>223</v>
      </c>
      <c r="AE40" s="50" t="s">
        <v>233</v>
      </c>
      <c r="AF40" s="50" t="s">
        <v>233</v>
      </c>
      <c r="AG40" s="50" t="s">
        <v>67</v>
      </c>
      <c r="AH40" s="50" t="s">
        <v>234</v>
      </c>
      <c r="AI40" s="50" t="s">
        <v>58</v>
      </c>
      <c r="AJ40" s="50" t="s">
        <v>59</v>
      </c>
      <c r="AK40" s="50"/>
      <c r="AL40" s="44"/>
      <c r="AM40" s="45"/>
      <c r="AN40" s="50"/>
      <c r="AO40" s="69"/>
      <c r="AP40" s="69"/>
      <c r="AQ40" s="69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5">
        <f>T40-BF40</f>
        <v>247.33409999999998</v>
      </c>
      <c r="BD40" s="56">
        <f>BC40/T40</f>
        <v>0.99848249969722658</v>
      </c>
      <c r="BE40" s="61" t="str">
        <f>IF(BD40&lt;0,"Negative",IF(BD40=0,"Same",IF(BD40&gt;0.3,"30+%",IF(BD40&gt;0.2,"20-30%",IF(BD40&gt;0.1,"10-20%",IF(BD40&lt;=0.1,"0-10%"))))))</f>
        <v>30+%</v>
      </c>
      <c r="BF40" s="65">
        <f>BG40*S40</f>
        <v>0.37590000000000001</v>
      </c>
      <c r="BG40" s="66">
        <f>BH40/BJ40</f>
        <v>0.12529999999999999</v>
      </c>
      <c r="BH40" s="66">
        <f>IF(BS40="Original",Z40,AQ40)</f>
        <v>12.53</v>
      </c>
      <c r="BI40" s="60" t="str">
        <f>IF(BS40="Original",AA40,AR40)</f>
        <v>Pack</v>
      </c>
      <c r="BJ40" s="60">
        <f>IF(BS40="Original",AB40,AS40)</f>
        <v>100</v>
      </c>
      <c r="BK40" s="60" t="str">
        <f>IF(BS40="Original",AC40,AT40)</f>
        <v>Possible UOM or LPP issue.</v>
      </c>
      <c r="BL40" s="60" t="str">
        <f>IF(BS40="Original",AD40,AU40)</f>
        <v>Body Guard[REG]</v>
      </c>
      <c r="BM40" s="60" t="str">
        <f>IF(BS40="Original",AE40,AV40)</f>
        <v>1334818</v>
      </c>
      <c r="BN40" s="60" t="str">
        <f>IF(BS40="Original",AF40,AW40)</f>
        <v>1334818</v>
      </c>
      <c r="BO40" s="60" t="str">
        <f>IF(BS40="Original",AG40,AX40)</f>
        <v>Safety</v>
      </c>
      <c r="BP40" s="60" t="str">
        <f>IF(BS40="Original",AH40,AY40)</f>
        <v>M Series 816BK 6 mil Black Nitrile Industrial Powder Free  Body Guard[REG]Disposable Glove</v>
      </c>
      <c r="BQ40" s="60" t="str">
        <f>IF(BS40="Original",AI40,AZ40)</f>
        <v>Similar Match</v>
      </c>
      <c r="BR40" s="60" t="str">
        <f>IF(BS40="Original",AJ40,BA40)</f>
        <v>No</v>
      </c>
      <c r="BS40" s="60" t="str">
        <f>IF(AQ40="","Original",IF(AP40&lt;Y40,"Alternate","Original"))</f>
        <v>Original</v>
      </c>
    </row>
    <row r="41" spans="1:71" s="31" customFormat="1" x14ac:dyDescent="0.35">
      <c r="A41" s="53" t="s">
        <v>39</v>
      </c>
      <c r="B41" s="49">
        <v>39</v>
      </c>
      <c r="C41" s="50"/>
      <c r="D41" s="50"/>
      <c r="E41" s="51"/>
      <c r="F41" s="50" t="s">
        <v>49</v>
      </c>
      <c r="G41" s="50" t="s">
        <v>235</v>
      </c>
      <c r="H41" s="50" t="s">
        <v>236</v>
      </c>
      <c r="I41" s="50"/>
      <c r="J41" s="50"/>
      <c r="K41" s="50"/>
      <c r="L41" s="50"/>
      <c r="M41" s="50"/>
      <c r="N41" s="54" t="s">
        <v>43</v>
      </c>
      <c r="O41" s="49">
        <v>1</v>
      </c>
      <c r="P41" s="43">
        <v>247.03</v>
      </c>
      <c r="Q41" s="49">
        <v>1</v>
      </c>
      <c r="R41" s="44">
        <f>P41/O41</f>
        <v>247.03</v>
      </c>
      <c r="S41" s="49">
        <f>Q41*O41</f>
        <v>1</v>
      </c>
      <c r="T41" s="52">
        <f>S41*R41</f>
        <v>247.03</v>
      </c>
      <c r="U41" s="55">
        <f>IFERROR(T41-X41,0)</f>
        <v>24.829000000000008</v>
      </c>
      <c r="V41" s="56">
        <f>IFERROR(U41/T41,0)</f>
        <v>0.1005100595069425</v>
      </c>
      <c r="W41" s="57" t="str">
        <f>IF($V41&lt;0,"Negative",IF($V41=0,"Same",IF($V41&gt;0.3,"30+%",IF($V41&gt;0.2,"20-30%",IF($V41&gt;0.1,"10-20%",IF($V41&lt;=0.1,"0-10%"))))))</f>
        <v>10-20%</v>
      </c>
      <c r="X41" s="66">
        <f>IFERROR(Y41*S41,0)</f>
        <v>222.20099999999999</v>
      </c>
      <c r="Y41" s="66">
        <f>IFERROR(Z41/AB41,0)</f>
        <v>222.20099999999999</v>
      </c>
      <c r="Z41" s="69">
        <v>222.20099999999999</v>
      </c>
      <c r="AA41" s="50" t="s">
        <v>63</v>
      </c>
      <c r="AB41" s="50">
        <v>1</v>
      </c>
      <c r="AC41" s="50"/>
      <c r="AD41" s="50" t="s">
        <v>237</v>
      </c>
      <c r="AE41" s="50" t="s">
        <v>238</v>
      </c>
      <c r="AF41" s="50" t="s">
        <v>239</v>
      </c>
      <c r="AG41" s="50" t="s">
        <v>90</v>
      </c>
      <c r="AH41" s="50" t="s">
        <v>240</v>
      </c>
      <c r="AI41" s="50" t="s">
        <v>58</v>
      </c>
      <c r="AJ41" s="50" t="s">
        <v>59</v>
      </c>
      <c r="AK41" s="50"/>
      <c r="AL41" s="44"/>
      <c r="AM41" s="45"/>
      <c r="AN41" s="50"/>
      <c r="AO41" s="69"/>
      <c r="AP41" s="69"/>
      <c r="AQ41" s="69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5">
        <f>T41-BF41</f>
        <v>24.829000000000008</v>
      </c>
      <c r="BD41" s="56">
        <f>BC41/T41</f>
        <v>0.1005100595069425</v>
      </c>
      <c r="BE41" s="61" t="str">
        <f>IF(BD41&lt;0,"Negative",IF(BD41=0,"Same",IF(BD41&gt;0.3,"30+%",IF(BD41&gt;0.2,"20-30%",IF(BD41&gt;0.1,"10-20%",IF(BD41&lt;=0.1,"0-10%"))))))</f>
        <v>10-20%</v>
      </c>
      <c r="BF41" s="65">
        <f>BG41*S41</f>
        <v>222.20099999999999</v>
      </c>
      <c r="BG41" s="66">
        <f>BH41/BJ41</f>
        <v>222.20099999999999</v>
      </c>
      <c r="BH41" s="66">
        <f>IF(BS41="Original",Z41,AQ41)</f>
        <v>222.20099999999999</v>
      </c>
      <c r="BI41" s="60" t="str">
        <f>IF(BS41="Original",AA41,AR41)</f>
        <v>Piece</v>
      </c>
      <c r="BJ41" s="60">
        <f>IF(BS41="Original",AB41,AS41)</f>
        <v>1</v>
      </c>
      <c r="BK41" s="60"/>
      <c r="BL41" s="60" t="str">
        <f>IF(BS41="Original",AD41,AU41)</f>
        <v>L.S. STARRETT COMPANY</v>
      </c>
      <c r="BM41" s="60" t="str">
        <f>IF(BS41="Original",AE41,AV41)</f>
        <v>25-631J</v>
      </c>
      <c r="BN41" s="60" t="str">
        <f>IF(BS41="Original",AF41,AW41)</f>
        <v>0325063</v>
      </c>
      <c r="BO41" s="60" t="str">
        <f>IF(BS41="Original",AG41,AX41)</f>
        <v>Test and Measurement</v>
      </c>
      <c r="BP41" s="60" t="str">
        <f>IF(BS41="Original",AH41,AY41)</f>
        <v>0" - 1.000" Range x 2.250" Dial x 0.0005" Grad AGD Group 2 Dial Indicator</v>
      </c>
      <c r="BQ41" s="60" t="str">
        <f>IF(BS41="Original",AI41,AZ41)</f>
        <v>Similar Match</v>
      </c>
      <c r="BR41" s="60" t="str">
        <f>IF(BS41="Original",AJ41,BA41)</f>
        <v>No</v>
      </c>
      <c r="BS41" s="60" t="str">
        <f>IF(AQ41="","Original",IF(AP41&lt;Y41,"Alternate","Original"))</f>
        <v>Original</v>
      </c>
    </row>
    <row r="42" spans="1:71" s="31" customFormat="1" x14ac:dyDescent="0.35">
      <c r="A42" s="53" t="s">
        <v>39</v>
      </c>
      <c r="B42" s="49">
        <v>40</v>
      </c>
      <c r="C42" s="50"/>
      <c r="D42" s="50"/>
      <c r="E42" s="51"/>
      <c r="F42" s="50" t="s">
        <v>40</v>
      </c>
      <c r="G42" s="50" t="s">
        <v>241</v>
      </c>
      <c r="H42" s="50" t="s">
        <v>242</v>
      </c>
      <c r="I42" s="50"/>
      <c r="J42" s="50"/>
      <c r="K42" s="50"/>
      <c r="L42" s="50"/>
      <c r="M42" s="50"/>
      <c r="N42" s="54" t="s">
        <v>43</v>
      </c>
      <c r="O42" s="49">
        <v>1</v>
      </c>
      <c r="P42" s="43">
        <v>119.76</v>
      </c>
      <c r="Q42" s="49">
        <v>2</v>
      </c>
      <c r="R42" s="44">
        <f>P42/O42</f>
        <v>119.76</v>
      </c>
      <c r="S42" s="49">
        <f>Q42*O42</f>
        <v>2</v>
      </c>
      <c r="T42" s="52">
        <f>S42*R42</f>
        <v>239.52</v>
      </c>
      <c r="U42" s="55">
        <f>IFERROR(T42-X42,0)</f>
        <v>163.78560000000002</v>
      </c>
      <c r="V42" s="56">
        <f>IFERROR(U42/T42,0)</f>
        <v>0.68380761523046096</v>
      </c>
      <c r="W42" s="57" t="str">
        <f>IF($V42&lt;0,"Negative",IF($V42=0,"Same",IF($V42&gt;0.3,"30+%",IF($V42&gt;0.2,"20-30%",IF($V42&gt;0.1,"10-20%",IF($V42&lt;=0.1,"0-10%"))))))</f>
        <v>30+%</v>
      </c>
      <c r="X42" s="66">
        <f>IFERROR(Y42*S42,0)</f>
        <v>75.734399999999994</v>
      </c>
      <c r="Y42" s="66">
        <f>IFERROR(Z42/AB42,0)</f>
        <v>37.867199999999997</v>
      </c>
      <c r="Z42" s="69">
        <v>37.867199999999997</v>
      </c>
      <c r="AA42" s="50" t="s">
        <v>63</v>
      </c>
      <c r="AB42" s="50">
        <v>1</v>
      </c>
      <c r="AC42" s="50" t="s">
        <v>53</v>
      </c>
      <c r="AD42" s="50" t="s">
        <v>243</v>
      </c>
      <c r="AE42" s="50" t="s">
        <v>244</v>
      </c>
      <c r="AF42" s="50" t="s">
        <v>245</v>
      </c>
      <c r="AG42" s="50" t="s">
        <v>135</v>
      </c>
      <c r="AH42" s="50" t="s">
        <v>246</v>
      </c>
      <c r="AI42" s="50" t="s">
        <v>58</v>
      </c>
      <c r="AJ42" s="50" t="s">
        <v>59</v>
      </c>
      <c r="AK42" s="50"/>
      <c r="AL42" s="44"/>
      <c r="AM42" s="45"/>
      <c r="AN42" s="50"/>
      <c r="AO42" s="69"/>
      <c r="AP42" s="69"/>
      <c r="AQ42" s="69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5">
        <f>T42-BF42</f>
        <v>163.78560000000002</v>
      </c>
      <c r="BD42" s="56">
        <f>BC42/T42</f>
        <v>0.68380761523046096</v>
      </c>
      <c r="BE42" s="61" t="str">
        <f>IF(BD42&lt;0,"Negative",IF(BD42=0,"Same",IF(BD42&gt;0.3,"30+%",IF(BD42&gt;0.2,"20-30%",IF(BD42&gt;0.1,"10-20%",IF(BD42&lt;=0.1,"0-10%"))))))</f>
        <v>30+%</v>
      </c>
      <c r="BF42" s="65">
        <f>BG42*S42</f>
        <v>75.734399999999994</v>
      </c>
      <c r="BG42" s="66">
        <f>BH42/BJ42</f>
        <v>37.867199999999997</v>
      </c>
      <c r="BH42" s="66">
        <f>IF(BS42="Original",Z42,AQ42)</f>
        <v>37.867199999999997</v>
      </c>
      <c r="BI42" s="60" t="str">
        <f>IF(BS42="Original",AA42,AR42)</f>
        <v>Piece</v>
      </c>
      <c r="BJ42" s="60">
        <f>IF(BS42="Original",AB42,AS42)</f>
        <v>1</v>
      </c>
      <c r="BK42" s="60" t="str">
        <f>IF(BS42="Original",AC42,AT42)</f>
        <v>Possible UOM or LPP issue.</v>
      </c>
      <c r="BL42" s="60" t="str">
        <f>IF(BS42="Original",AD42,AU42)</f>
        <v>WIDIA - GTD</v>
      </c>
      <c r="BM42" s="60" t="str">
        <f>IF(BS42="Original",AE42,AV42)</f>
        <v>5390249</v>
      </c>
      <c r="BN42" s="60" t="str">
        <f>IF(BS42="Original",AF42,AW42)</f>
        <v>3389638</v>
      </c>
      <c r="BO42" s="60" t="str">
        <f>IF(BS42="Original",AG42,AX42)</f>
        <v>Cutting Tools and Metalworking</v>
      </c>
      <c r="BP42" s="60" t="str">
        <f>IF(BS42="Original",AH42,AY42)</f>
        <v>1/2 - 13 NC/UNC Oxide HSS-E 3 Flute H5 Bottoming Widia[TM] VariTap[TM]</v>
      </c>
      <c r="BQ42" s="60" t="str">
        <f>IF(BS42="Original",AI42,AZ42)</f>
        <v>Similar Match</v>
      </c>
      <c r="BR42" s="60" t="str">
        <f>IF(BS42="Original",AJ42,BA42)</f>
        <v>No</v>
      </c>
      <c r="BS42" s="60" t="str">
        <f>IF(AQ42="","Original",IF(AP42&lt;Y42,"Alternate","Original"))</f>
        <v>Original</v>
      </c>
    </row>
    <row r="43" spans="1:71" s="31" customFormat="1" x14ac:dyDescent="0.35">
      <c r="A43" s="53" t="s">
        <v>39</v>
      </c>
      <c r="B43" s="49">
        <v>41</v>
      </c>
      <c r="C43" s="50"/>
      <c r="D43" s="50"/>
      <c r="E43" s="51"/>
      <c r="F43" s="50" t="s">
        <v>60</v>
      </c>
      <c r="G43" s="50" t="s">
        <v>247</v>
      </c>
      <c r="H43" s="50" t="s">
        <v>248</v>
      </c>
      <c r="I43" s="50"/>
      <c r="J43" s="50"/>
      <c r="K43" s="50"/>
      <c r="L43" s="50"/>
      <c r="M43" s="50"/>
      <c r="N43" s="54" t="s">
        <v>43</v>
      </c>
      <c r="O43" s="49">
        <v>1</v>
      </c>
      <c r="P43" s="43">
        <v>219</v>
      </c>
      <c r="Q43" s="49">
        <v>1</v>
      </c>
      <c r="R43" s="44">
        <f>P43/O43</f>
        <v>219</v>
      </c>
      <c r="S43" s="49">
        <f>Q43*O43</f>
        <v>1</v>
      </c>
      <c r="T43" s="52">
        <f>S43*R43</f>
        <v>219</v>
      </c>
      <c r="U43" s="55">
        <f>IFERROR(T43-X43,0)</f>
        <v>198.22890000000001</v>
      </c>
      <c r="V43" s="56">
        <f>IFERROR(U43/T43,0)</f>
        <v>0.90515479452054803</v>
      </c>
      <c r="W43" s="57" t="str">
        <f>IF($V43&lt;0,"Negative",IF($V43=0,"Same",IF($V43&gt;0.3,"30+%",IF($V43&gt;0.2,"20-30%",IF($V43&gt;0.1,"10-20%",IF($V43&lt;=0.1,"0-10%"))))))</f>
        <v>30+%</v>
      </c>
      <c r="X43" s="66">
        <f>IFERROR(Y43*S43,0)</f>
        <v>20.771100000000001</v>
      </c>
      <c r="Y43" s="66">
        <f>IFERROR(Z43/AB43,0)</f>
        <v>20.771100000000001</v>
      </c>
      <c r="Z43" s="69">
        <v>20.771100000000001</v>
      </c>
      <c r="AA43" s="50" t="s">
        <v>63</v>
      </c>
      <c r="AB43" s="50">
        <v>1</v>
      </c>
      <c r="AC43" s="50" t="s">
        <v>53</v>
      </c>
      <c r="AD43" s="50" t="s">
        <v>249</v>
      </c>
      <c r="AE43" s="50" t="s">
        <v>250</v>
      </c>
      <c r="AF43" s="50" t="s">
        <v>166</v>
      </c>
      <c r="AG43" s="50" t="s">
        <v>251</v>
      </c>
      <c r="AH43" s="50" t="s">
        <v>252</v>
      </c>
      <c r="AI43" s="50" t="s">
        <v>69</v>
      </c>
      <c r="AJ43" s="50" t="s">
        <v>59</v>
      </c>
      <c r="AK43" s="50"/>
      <c r="AL43" s="44"/>
      <c r="AM43" s="45"/>
      <c r="AN43" s="50"/>
      <c r="AO43" s="69"/>
      <c r="AP43" s="69"/>
      <c r="AQ43" s="69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5">
        <f>T43-BF43</f>
        <v>198.22890000000001</v>
      </c>
      <c r="BD43" s="56">
        <f>BC43/T43</f>
        <v>0.90515479452054803</v>
      </c>
      <c r="BE43" s="61" t="str">
        <f>IF(BD43&lt;0,"Negative",IF(BD43=0,"Same",IF(BD43&gt;0.3,"30+%",IF(BD43&gt;0.2,"20-30%",IF(BD43&gt;0.1,"10-20%",IF(BD43&lt;=0.1,"0-10%"))))))</f>
        <v>30+%</v>
      </c>
      <c r="BF43" s="65">
        <f>BG43*S43</f>
        <v>20.771100000000001</v>
      </c>
      <c r="BG43" s="66">
        <f>BH43/BJ43</f>
        <v>20.771100000000001</v>
      </c>
      <c r="BH43" s="66">
        <f>IF(BS43="Original",Z43,AQ43)</f>
        <v>20.771100000000001</v>
      </c>
      <c r="BI43" s="60" t="str">
        <f>IF(BS43="Original",AA43,AR43)</f>
        <v>Piece</v>
      </c>
      <c r="BJ43" s="60">
        <f>IF(BS43="Original",AB43,AS43)</f>
        <v>1</v>
      </c>
      <c r="BK43" s="60" t="str">
        <f>IF(BS43="Original",AC43,AT43)</f>
        <v>Possible UOM or LPP issue.</v>
      </c>
      <c r="BL43" s="60" t="str">
        <f>IF(BS43="Original",AD43,AU43)</f>
        <v>Colson Group USA Inc.</v>
      </c>
      <c r="BM43" s="60" t="str">
        <f>IF(BS43="Original",AE43,AV43)</f>
        <v>DCIB06041S002</v>
      </c>
      <c r="BN43" s="60" t="str">
        <f>IF(BS43="Original",AF43,AW43)</f>
        <v>BSS</v>
      </c>
      <c r="BO43" s="60" t="str">
        <f>IF(BS43="Original",AG43,AX43)</f>
        <v>Hardware</v>
      </c>
      <c r="BP43" s="60" t="str">
        <f>IF(BS43="Original",AH43,AY43)</f>
        <v>STANDARD PLATE CASTER, SWIVEL, POLYOLEFIN, 400 LB, 6 IN WHEEL DIA.</v>
      </c>
      <c r="BQ43" s="60" t="str">
        <f>IF(BS43="Original",AI43,AZ43)</f>
        <v>Exact Match</v>
      </c>
      <c r="BR43" s="60" t="str">
        <f>IF(BS43="Original",AJ43,BA43)</f>
        <v>No</v>
      </c>
      <c r="BS43" s="60" t="str">
        <f>IF(AQ43="","Original",IF(AP43&lt;Y43,"Alternate","Original"))</f>
        <v>Original</v>
      </c>
    </row>
    <row r="44" spans="1:71" s="31" customFormat="1" x14ac:dyDescent="0.35">
      <c r="A44" s="53" t="s">
        <v>39</v>
      </c>
      <c r="B44" s="49">
        <v>42</v>
      </c>
      <c r="C44" s="50"/>
      <c r="D44" s="50"/>
      <c r="E44" s="51"/>
      <c r="F44" s="50" t="s">
        <v>49</v>
      </c>
      <c r="G44" s="50" t="s">
        <v>253</v>
      </c>
      <c r="H44" s="50" t="s">
        <v>254</v>
      </c>
      <c r="I44" s="50"/>
      <c r="J44" s="50"/>
      <c r="K44" s="50"/>
      <c r="L44" s="50"/>
      <c r="M44" s="50"/>
      <c r="N44" s="54" t="s">
        <v>43</v>
      </c>
      <c r="O44" s="49">
        <v>1</v>
      </c>
      <c r="P44" s="43">
        <v>213.9</v>
      </c>
      <c r="Q44" s="49">
        <v>1</v>
      </c>
      <c r="R44" s="44">
        <f>P44/O44</f>
        <v>213.9</v>
      </c>
      <c r="S44" s="49">
        <f>Q44*O44</f>
        <v>1</v>
      </c>
      <c r="T44" s="52">
        <f>S44*R44</f>
        <v>213.9</v>
      </c>
      <c r="U44" s="55">
        <f>IFERROR(T44-X44,0)</f>
        <v>189.50530000000001</v>
      </c>
      <c r="V44" s="56">
        <f>IFERROR(U44/T44,0)</f>
        <v>0.8859527816736793</v>
      </c>
      <c r="W44" s="57" t="str">
        <f>IF($V44&lt;0,"Negative",IF($V44=0,"Same",IF($V44&gt;0.3,"30+%",IF($V44&gt;0.2,"20-30%",IF($V44&gt;0.1,"10-20%",IF($V44&lt;=0.1,"0-10%"))))))</f>
        <v>30+%</v>
      </c>
      <c r="X44" s="66">
        <f>IFERROR(Y44*S44,0)</f>
        <v>24.3947</v>
      </c>
      <c r="Y44" s="66">
        <f>IFERROR(Z44/AB44,0)</f>
        <v>24.3947</v>
      </c>
      <c r="Z44" s="69">
        <v>24.3947</v>
      </c>
      <c r="AA44" s="50" t="s">
        <v>63</v>
      </c>
      <c r="AB44" s="50">
        <v>1</v>
      </c>
      <c r="AC44" s="50" t="s">
        <v>53</v>
      </c>
      <c r="AD44" s="50" t="s">
        <v>255</v>
      </c>
      <c r="AE44" s="50" t="s">
        <v>256</v>
      </c>
      <c r="AF44" s="50" t="s">
        <v>257</v>
      </c>
      <c r="AG44" s="50" t="s">
        <v>135</v>
      </c>
      <c r="AH44" s="50" t="s">
        <v>258</v>
      </c>
      <c r="AI44" s="50" t="s">
        <v>69</v>
      </c>
      <c r="AJ44" s="50" t="s">
        <v>59</v>
      </c>
      <c r="AK44" s="50"/>
      <c r="AL44" s="44"/>
      <c r="AM44" s="45"/>
      <c r="AN44" s="50"/>
      <c r="AO44" s="69"/>
      <c r="AP44" s="69"/>
      <c r="AQ44" s="69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5">
        <f>T44-BF44</f>
        <v>189.50530000000001</v>
      </c>
      <c r="BD44" s="56">
        <f>BC44/T44</f>
        <v>0.8859527816736793</v>
      </c>
      <c r="BE44" s="61" t="str">
        <f>IF(BD44&lt;0,"Negative",IF(BD44=0,"Same",IF(BD44&gt;0.3,"30+%",IF(BD44&gt;0.2,"20-30%",IF(BD44&gt;0.1,"10-20%",IF(BD44&lt;=0.1,"0-10%"))))))</f>
        <v>30+%</v>
      </c>
      <c r="BF44" s="65">
        <f>BG44*S44</f>
        <v>24.3947</v>
      </c>
      <c r="BG44" s="66">
        <f>BH44/BJ44</f>
        <v>24.3947</v>
      </c>
      <c r="BH44" s="66">
        <f>IF(BS44="Original",Z44,AQ44)</f>
        <v>24.3947</v>
      </c>
      <c r="BI44" s="60" t="str">
        <f>IF(BS44="Original",AA44,AR44)</f>
        <v>Piece</v>
      </c>
      <c r="BJ44" s="60">
        <f>IF(BS44="Original",AB44,AS44)</f>
        <v>1</v>
      </c>
      <c r="BK44" s="60" t="str">
        <f>IF(BS44="Original",AC44,AT44)</f>
        <v>Possible UOM or LPP issue.</v>
      </c>
      <c r="BL44" s="60" t="str">
        <f>IF(BS44="Original",AD44,AU44)</f>
        <v>OSG USA, INC</v>
      </c>
      <c r="BM44" s="60" t="str">
        <f>IF(BS44="Original",AE44,AV44)</f>
        <v>1732605</v>
      </c>
      <c r="BN44" s="60" t="str">
        <f>IF(BS44="Original",AF44,AW44)</f>
        <v>3235527</v>
      </c>
      <c r="BO44" s="60" t="str">
        <f>IF(BS44="Original",AG44,AX44)</f>
        <v>Cutting Tools and Metalworking</v>
      </c>
      <c r="BP44" s="60" t="str">
        <f>IF(BS44="Original",AH44,AY44)</f>
        <v>1/4-20 x 2-1/2"OAL TiN Finish VC-10 Spiral Flute H3 EXOTAP VA-3[REG] UNC Semi Bottoming Tap</v>
      </c>
      <c r="BQ44" s="60" t="str">
        <f>IF(BS44="Original",AI44,AZ44)</f>
        <v>Exact Match</v>
      </c>
      <c r="BR44" s="60" t="str">
        <f>IF(BS44="Original",AJ44,BA44)</f>
        <v>No</v>
      </c>
      <c r="BS44" s="60" t="str">
        <f>IF(AQ44="","Original",IF(AP44&lt;Y44,"Alternate","Original"))</f>
        <v>Original</v>
      </c>
    </row>
    <row r="45" spans="1:71" s="31" customFormat="1" x14ac:dyDescent="0.35">
      <c r="A45" s="53" t="s">
        <v>39</v>
      </c>
      <c r="B45" s="49">
        <v>43</v>
      </c>
      <c r="C45" s="50"/>
      <c r="D45" s="50"/>
      <c r="E45" s="51"/>
      <c r="F45" s="50" t="s">
        <v>40</v>
      </c>
      <c r="G45" s="50" t="s">
        <v>259</v>
      </c>
      <c r="H45" s="50" t="s">
        <v>260</v>
      </c>
      <c r="I45" s="50"/>
      <c r="J45" s="50"/>
      <c r="K45" s="50"/>
      <c r="L45" s="50"/>
      <c r="M45" s="50"/>
      <c r="N45" s="54" t="s">
        <v>43</v>
      </c>
      <c r="O45" s="49">
        <v>1</v>
      </c>
      <c r="P45" s="43">
        <v>213.17</v>
      </c>
      <c r="Q45" s="49">
        <v>1</v>
      </c>
      <c r="R45" s="44">
        <f>P45/O45</f>
        <v>213.17</v>
      </c>
      <c r="S45" s="49">
        <f>Q45*O45</f>
        <v>1</v>
      </c>
      <c r="T45" s="52">
        <f>S45*R45</f>
        <v>213.17</v>
      </c>
      <c r="U45" s="55">
        <f>IFERROR(T45-X45,0)</f>
        <v>207.78979999999999</v>
      </c>
      <c r="V45" s="56">
        <f>IFERROR(U45/T45,0)</f>
        <v>0.97476098888211282</v>
      </c>
      <c r="W45" s="57" t="str">
        <f>IF($V45&lt;0,"Negative",IF($V45=0,"Same",IF($V45&gt;0.3,"30+%",IF($V45&gt;0.2,"20-30%",IF($V45&gt;0.1,"10-20%",IF($V45&lt;=0.1,"0-10%"))))))</f>
        <v>30+%</v>
      </c>
      <c r="X45" s="66">
        <f>IFERROR(Y45*S45,0)</f>
        <v>5.3801999999999994</v>
      </c>
      <c r="Y45" s="66">
        <f>IFERROR(Z45/AB45,0)</f>
        <v>5.3801999999999994</v>
      </c>
      <c r="Z45" s="69">
        <v>64.562399999999997</v>
      </c>
      <c r="AA45" s="50" t="s">
        <v>261</v>
      </c>
      <c r="AB45" s="50">
        <v>12</v>
      </c>
      <c r="AC45" s="50" t="s">
        <v>53</v>
      </c>
      <c r="AD45" s="50" t="s">
        <v>104</v>
      </c>
      <c r="AE45" s="50" t="s">
        <v>262</v>
      </c>
      <c r="AF45" s="50" t="s">
        <v>263</v>
      </c>
      <c r="AG45" s="50" t="s">
        <v>107</v>
      </c>
      <c r="AH45" s="50" t="s">
        <v>264</v>
      </c>
      <c r="AI45" s="50" t="s">
        <v>69</v>
      </c>
      <c r="AJ45" s="50" t="s">
        <v>59</v>
      </c>
      <c r="AK45" s="50"/>
      <c r="AL45" s="44"/>
      <c r="AM45" s="45"/>
      <c r="AN45" s="50"/>
      <c r="AO45" s="69"/>
      <c r="AP45" s="69"/>
      <c r="AQ45" s="69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5">
        <f>T45-BF45</f>
        <v>207.78979999999999</v>
      </c>
      <c r="BD45" s="56">
        <f>BC45/T45</f>
        <v>0.97476098888211282</v>
      </c>
      <c r="BE45" s="61" t="str">
        <f>IF(BD45&lt;0,"Negative",IF(BD45=0,"Same",IF(BD45&gt;0.3,"30+%",IF(BD45&gt;0.2,"20-30%",IF(BD45&gt;0.1,"10-20%",IF(BD45&lt;=0.1,"0-10%"))))))</f>
        <v>30+%</v>
      </c>
      <c r="BF45" s="65">
        <f>BG45*S45</f>
        <v>5.3801999999999994</v>
      </c>
      <c r="BG45" s="66">
        <f>BH45/BJ45</f>
        <v>5.3801999999999994</v>
      </c>
      <c r="BH45" s="66">
        <f>IF(BS45="Original",Z45,AQ45)</f>
        <v>64.562399999999997</v>
      </c>
      <c r="BI45" s="60" t="str">
        <f>IF(BS45="Original",AA45,AR45)</f>
        <v>Foot</v>
      </c>
      <c r="BJ45" s="60">
        <f>IF(BS45="Original",AB45,AS45)</f>
        <v>12</v>
      </c>
      <c r="BK45" s="60" t="str">
        <f>IF(BS45="Original",AC45,AT45)</f>
        <v>Possible UOM or LPP issue.</v>
      </c>
      <c r="BL45" s="60" t="str">
        <f>IF(BS45="Original",AD45,AU45)</f>
        <v>Fastenal Approved Vendor</v>
      </c>
      <c r="BM45" s="60" t="str">
        <f>IF(BS45="Original",AE45,AV45)</f>
        <v>19775_144_0</v>
      </c>
      <c r="BN45" s="60" t="str">
        <f>IF(BS45="Original",AF45,AW45)</f>
        <v>0967403</v>
      </c>
      <c r="BO45" s="60" t="str">
        <f>IF(BS45="Original",AG45,AX45)</f>
        <v>Raw Materials</v>
      </c>
      <c r="BP45" s="60" t="str">
        <f>IF(BS45="Original",AH45,AY45)</f>
        <v>7/8" x 12' 12L14 Steel Hexagonal Bar</v>
      </c>
      <c r="BQ45" s="60" t="str">
        <f>IF(BS45="Original",AI45,AZ45)</f>
        <v>Exact Match</v>
      </c>
      <c r="BR45" s="60" t="str">
        <f>IF(BS45="Original",AJ45,BA45)</f>
        <v>No</v>
      </c>
      <c r="BS45" s="60" t="str">
        <f>IF(AQ45="","Original",IF(AP45&lt;Y45,"Alternate","Original"))</f>
        <v>Original</v>
      </c>
    </row>
    <row r="46" spans="1:71" s="31" customFormat="1" x14ac:dyDescent="0.35">
      <c r="A46" s="53" t="s">
        <v>39</v>
      </c>
      <c r="B46" s="49">
        <v>44</v>
      </c>
      <c r="C46" s="50"/>
      <c r="D46" s="50"/>
      <c r="E46" s="51"/>
      <c r="F46" s="50" t="s">
        <v>60</v>
      </c>
      <c r="G46" s="50" t="s">
        <v>265</v>
      </c>
      <c r="H46" s="50" t="s">
        <v>266</v>
      </c>
      <c r="I46" s="50"/>
      <c r="J46" s="50"/>
      <c r="K46" s="50"/>
      <c r="L46" s="50"/>
      <c r="M46" s="50"/>
      <c r="N46" s="54" t="s">
        <v>43</v>
      </c>
      <c r="O46" s="49">
        <v>1</v>
      </c>
      <c r="P46" s="43">
        <v>53.27</v>
      </c>
      <c r="Q46" s="49">
        <v>4</v>
      </c>
      <c r="R46" s="44">
        <f>P46/O46</f>
        <v>53.27</v>
      </c>
      <c r="S46" s="49">
        <f>Q46*O46</f>
        <v>4</v>
      </c>
      <c r="T46" s="52">
        <f>S46*R46</f>
        <v>213.08</v>
      </c>
      <c r="U46" s="55">
        <f>IFERROR(T46-X46,0)</f>
        <v>207.87256000000002</v>
      </c>
      <c r="V46" s="56">
        <f>IFERROR(U46/T46,0)</f>
        <v>0.97556110381077532</v>
      </c>
      <c r="W46" s="57" t="str">
        <f>IF($V46&lt;0,"Negative",IF($V46=0,"Same",IF($V46&gt;0.3,"30+%",IF($V46&gt;0.2,"20-30%",IF($V46&gt;0.1,"10-20%",IF($V46&lt;=0.1,"0-10%"))))))</f>
        <v>30+%</v>
      </c>
      <c r="X46" s="66">
        <f>IFERROR(Y46*S46,0)</f>
        <v>5.2074400000000001</v>
      </c>
      <c r="Y46" s="66">
        <f>IFERROR(Z46/AB46,0)</f>
        <v>1.30186</v>
      </c>
      <c r="Z46" s="69">
        <v>65.093000000000004</v>
      </c>
      <c r="AA46" s="50" t="s">
        <v>267</v>
      </c>
      <c r="AB46" s="50">
        <v>50</v>
      </c>
      <c r="AC46" s="50" t="s">
        <v>53</v>
      </c>
      <c r="AD46" s="50" t="s">
        <v>268</v>
      </c>
      <c r="AE46" s="50" t="s">
        <v>269</v>
      </c>
      <c r="AF46" s="50" t="s">
        <v>270</v>
      </c>
      <c r="AG46" s="50" t="s">
        <v>56</v>
      </c>
      <c r="AH46" s="50" t="s">
        <v>271</v>
      </c>
      <c r="AI46" s="50" t="s">
        <v>69</v>
      </c>
      <c r="AJ46" s="50" t="s">
        <v>59</v>
      </c>
      <c r="AK46" s="50"/>
      <c r="AL46" s="44"/>
      <c r="AM46" s="45"/>
      <c r="AN46" s="50"/>
      <c r="AO46" s="69"/>
      <c r="AP46" s="69"/>
      <c r="AQ46" s="69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5">
        <f>T46-BF46</f>
        <v>207.87256000000002</v>
      </c>
      <c r="BD46" s="56">
        <f>BC46/T46</f>
        <v>0.97556110381077532</v>
      </c>
      <c r="BE46" s="61" t="str">
        <f>IF(BD46&lt;0,"Negative",IF(BD46=0,"Same",IF(BD46&gt;0.3,"30+%",IF(BD46&gt;0.2,"20-30%",IF(BD46&gt;0.1,"10-20%",IF(BD46&lt;=0.1,"0-10%"))))))</f>
        <v>30+%</v>
      </c>
      <c r="BF46" s="65">
        <f>BG46*S46</f>
        <v>5.2074400000000001</v>
      </c>
      <c r="BG46" s="66">
        <f>BH46/BJ46</f>
        <v>1.30186</v>
      </c>
      <c r="BH46" s="66">
        <f>IF(BS46="Original",Z46,AQ46)</f>
        <v>65.093000000000004</v>
      </c>
      <c r="BI46" s="60" t="str">
        <f>IF(BS46="Original",AA46,AR46)</f>
        <v>Case</v>
      </c>
      <c r="BJ46" s="60">
        <f>IF(BS46="Original",AB46,AS46)</f>
        <v>50</v>
      </c>
      <c r="BK46" s="60" t="str">
        <f>IF(BS46="Original",AC46,AT46)</f>
        <v>Possible UOM or LPP issue.</v>
      </c>
      <c r="BL46" s="60" t="str">
        <f>IF(BS46="Original",AD46,AU46)</f>
        <v>COOPER BUSSMANN</v>
      </c>
      <c r="BM46" s="60" t="str">
        <f>IF(BS46="Original",AE46,AV46)</f>
        <v>ABC-15-R</v>
      </c>
      <c r="BN46" s="60" t="str">
        <f>IF(BS46="Original",AF46,AW46)</f>
        <v>07009111</v>
      </c>
      <c r="BO46" s="60" t="str">
        <f>IF(BS46="Original",AG46,AX46)</f>
        <v>Electrical</v>
      </c>
      <c r="BP46" s="60" t="str">
        <f>IF(BS46="Original",AH46,AY46)</f>
        <v>15A 250V Gray Fast-Acting ABC Ceramic Body Fuse-RoHS</v>
      </c>
      <c r="BQ46" s="60" t="str">
        <f>IF(BS46="Original",AI46,AZ46)</f>
        <v>Exact Match</v>
      </c>
      <c r="BR46" s="60" t="str">
        <f>IF(BS46="Original",AJ46,BA46)</f>
        <v>No</v>
      </c>
      <c r="BS46" s="60" t="str">
        <f>IF(AQ46="","Original",IF(AP46&lt;Y46,"Alternate","Original"))</f>
        <v>Original</v>
      </c>
    </row>
    <row r="47" spans="1:71" s="31" customFormat="1" x14ac:dyDescent="0.35">
      <c r="A47" s="53" t="s">
        <v>39</v>
      </c>
      <c r="B47" s="49">
        <v>45</v>
      </c>
      <c r="C47" s="50"/>
      <c r="D47" s="50"/>
      <c r="E47" s="51"/>
      <c r="F47" s="50" t="s">
        <v>60</v>
      </c>
      <c r="G47" s="50" t="s">
        <v>272</v>
      </c>
      <c r="H47" s="50" t="s">
        <v>273</v>
      </c>
      <c r="I47" s="50"/>
      <c r="J47" s="50"/>
      <c r="K47" s="50"/>
      <c r="L47" s="50"/>
      <c r="M47" s="50"/>
      <c r="N47" s="54" t="s">
        <v>43</v>
      </c>
      <c r="O47" s="49">
        <v>1</v>
      </c>
      <c r="P47" s="43">
        <v>52.79</v>
      </c>
      <c r="Q47" s="49">
        <v>4</v>
      </c>
      <c r="R47" s="44">
        <f>P47/O47</f>
        <v>52.79</v>
      </c>
      <c r="S47" s="49">
        <f>Q47*O47</f>
        <v>4</v>
      </c>
      <c r="T47" s="52">
        <f>S47*R47</f>
        <v>211.16</v>
      </c>
      <c r="U47" s="55">
        <f>IFERROR(T47-X47,0)</f>
        <v>74.633600000000001</v>
      </c>
      <c r="V47" s="56">
        <f>IFERROR(U47/T47,0)</f>
        <v>0.35344572835764348</v>
      </c>
      <c r="W47" s="57" t="str">
        <f>IF($V47&lt;0,"Negative",IF($V47=0,"Same",IF($V47&gt;0.3,"30+%",IF($V47&gt;0.2,"20-30%",IF($V47&gt;0.1,"10-20%",IF($V47&lt;=0.1,"0-10%"))))))</f>
        <v>30+%</v>
      </c>
      <c r="X47" s="66">
        <f>IFERROR(Y47*S47,0)</f>
        <v>136.5264</v>
      </c>
      <c r="Y47" s="66">
        <f>IFERROR(Z47/AB47,0)</f>
        <v>34.131599999999999</v>
      </c>
      <c r="Z47" s="69">
        <v>34.131599999999999</v>
      </c>
      <c r="AA47" s="50" t="s">
        <v>118</v>
      </c>
      <c r="AB47" s="50">
        <v>1</v>
      </c>
      <c r="AC47" s="50"/>
      <c r="AD47" s="50" t="s">
        <v>119</v>
      </c>
      <c r="AE47" s="50" t="s">
        <v>274</v>
      </c>
      <c r="AF47" s="50" t="s">
        <v>275</v>
      </c>
      <c r="AG47" s="50" t="s">
        <v>67</v>
      </c>
      <c r="AH47" s="50" t="s">
        <v>276</v>
      </c>
      <c r="AI47" s="50" t="s">
        <v>69</v>
      </c>
      <c r="AJ47" s="50" t="s">
        <v>73</v>
      </c>
      <c r="AK47" s="50"/>
      <c r="AL47" s="58">
        <f>IF(AQ47="","",T47-AO47)</f>
        <v>191.98567777777777</v>
      </c>
      <c r="AM47" s="59">
        <f>IFERROR(AL47/T47,"")</f>
        <v>0.90919529161667823</v>
      </c>
      <c r="AN47" s="60" t="str">
        <f>IF(AM47="","",IF(AM47&lt;0,"Negative",IF(AM47=0,"Same",IF(AM47&gt;0.3,"30+%",IF(AM47&gt;0.2,"20-30%",IF(AM47&gt;0.1,"10-20%",IF(AM47&lt;=0.1,"0-10%")))))))</f>
        <v>30+%</v>
      </c>
      <c r="AO47" s="66">
        <f>IFERROR(AP47*S47,"")</f>
        <v>19.174322222222223</v>
      </c>
      <c r="AP47" s="66">
        <f>IFERROR(AQ47/AS47,"")</f>
        <v>4.7935805555555557</v>
      </c>
      <c r="AQ47" s="69">
        <v>172.56890000000001</v>
      </c>
      <c r="AR47" s="50" t="s">
        <v>267</v>
      </c>
      <c r="AS47" s="50">
        <v>36</v>
      </c>
      <c r="AT47" s="50" t="s">
        <v>53</v>
      </c>
      <c r="AU47" s="50" t="s">
        <v>70</v>
      </c>
      <c r="AV47" s="50" t="s">
        <v>277</v>
      </c>
      <c r="AW47" s="50" t="s">
        <v>277</v>
      </c>
      <c r="AX47" s="50" t="s">
        <v>67</v>
      </c>
      <c r="AY47" s="50" t="s">
        <v>278</v>
      </c>
      <c r="AZ47" s="50" t="s">
        <v>58</v>
      </c>
      <c r="BA47" s="50" t="s">
        <v>59</v>
      </c>
      <c r="BB47" s="50"/>
      <c r="BC47" s="55">
        <f>T47-BF47</f>
        <v>191.98567777777777</v>
      </c>
      <c r="BD47" s="56">
        <f>BC47/T47</f>
        <v>0.90919529161667823</v>
      </c>
      <c r="BE47" s="61" t="str">
        <f>IF(BD47&lt;0,"Negative",IF(BD47=0,"Same",IF(BD47&gt;0.3,"30+%",IF(BD47&gt;0.2,"20-30%",IF(BD47&gt;0.1,"10-20%",IF(BD47&lt;=0.1,"0-10%"))))))</f>
        <v>30+%</v>
      </c>
      <c r="BF47" s="65">
        <f>BG47*S47</f>
        <v>19.174322222222223</v>
      </c>
      <c r="BG47" s="66">
        <f>BH47/BJ47</f>
        <v>4.7935805555555557</v>
      </c>
      <c r="BH47" s="66">
        <f>IF(BS47="Original",Z47,AQ47)</f>
        <v>172.56890000000001</v>
      </c>
      <c r="BI47" s="60" t="str">
        <f>IF(BS47="Original",AA47,AR47)</f>
        <v>Case</v>
      </c>
      <c r="BJ47" s="60">
        <f>IF(BS47="Original",AB47,AS47)</f>
        <v>36</v>
      </c>
      <c r="BK47" s="60" t="str">
        <f>IF(BS47="Original",AC47,AT47)</f>
        <v>Possible UOM or LPP issue.</v>
      </c>
      <c r="BL47" s="60" t="str">
        <f>IF(BS47="Original",AD47,AU47)</f>
        <v>Agent[REG]</v>
      </c>
      <c r="BM47" s="60" t="str">
        <f>IF(BS47="Original",AE47,AV47)</f>
        <v>1364278</v>
      </c>
      <c r="BN47" s="60" t="str">
        <f>IF(BS47="Original",AF47,AW47)</f>
        <v>1364278</v>
      </c>
      <c r="BO47" s="60" t="str">
        <f>IF(BS47="Original",AG47,AX47)</f>
        <v>Safety</v>
      </c>
      <c r="BP47" s="60" t="str">
        <f>IF(BS47="Original",AH47,AY47)</f>
        <v>108' L X 2" W 6 mil Agent[REG] Blue General Purpose Aisle Marking Tape</v>
      </c>
      <c r="BQ47" s="60" t="str">
        <f>IF(BS47="Original",AI47,AZ47)</f>
        <v>Similar Match</v>
      </c>
      <c r="BR47" s="60" t="str">
        <f>IF(BS47="Original",AJ47,BA47)</f>
        <v>No</v>
      </c>
      <c r="BS47" s="60" t="str">
        <f>IF(AQ47="","Original",IF(AP47&lt;Y47,"Alternate","Original"))</f>
        <v>Alternate</v>
      </c>
    </row>
    <row r="48" spans="1:71" s="31" customFormat="1" x14ac:dyDescent="0.35">
      <c r="A48" s="53" t="s">
        <v>39</v>
      </c>
      <c r="B48" s="49">
        <v>46</v>
      </c>
      <c r="C48" s="50"/>
      <c r="D48" s="50"/>
      <c r="E48" s="51"/>
      <c r="F48" s="50" t="s">
        <v>40</v>
      </c>
      <c r="G48" s="50" t="s">
        <v>279</v>
      </c>
      <c r="H48" s="50" t="s">
        <v>280</v>
      </c>
      <c r="I48" s="50"/>
      <c r="J48" s="50"/>
      <c r="K48" s="50"/>
      <c r="L48" s="50"/>
      <c r="M48" s="50"/>
      <c r="N48" s="54" t="s">
        <v>43</v>
      </c>
      <c r="O48" s="49">
        <v>1</v>
      </c>
      <c r="P48" s="43">
        <v>102.23</v>
      </c>
      <c r="Q48" s="49">
        <v>2</v>
      </c>
      <c r="R48" s="44">
        <f>P48/O48</f>
        <v>102.23</v>
      </c>
      <c r="S48" s="49">
        <f>Q48*O48</f>
        <v>2</v>
      </c>
      <c r="T48" s="52">
        <f>S48*R48</f>
        <v>204.46</v>
      </c>
      <c r="U48" s="55">
        <f>IFERROR(T48-X48,0)</f>
        <v>194.58160000000001</v>
      </c>
      <c r="V48" s="56">
        <f>IFERROR(U48/T48,0)</f>
        <v>0.95168541524014483</v>
      </c>
      <c r="W48" s="57" t="str">
        <f>IF($V48&lt;0,"Negative",IF($V48=0,"Same",IF($V48&gt;0.3,"30+%",IF($V48&gt;0.2,"20-30%",IF($V48&gt;0.1,"10-20%",IF($V48&lt;=0.1,"0-10%"))))))</f>
        <v>30+%</v>
      </c>
      <c r="X48" s="66">
        <f>IFERROR(Y48*S48,0)</f>
        <v>9.878400000000001</v>
      </c>
      <c r="Y48" s="66">
        <f>IFERROR(Z48/AB48,0)</f>
        <v>4.9392000000000005</v>
      </c>
      <c r="Z48" s="69">
        <v>59.270400000000002</v>
      </c>
      <c r="AA48" s="50" t="s">
        <v>267</v>
      </c>
      <c r="AB48" s="50">
        <v>12</v>
      </c>
      <c r="AC48" s="50" t="s">
        <v>53</v>
      </c>
      <c r="AD48" s="50" t="s">
        <v>281</v>
      </c>
      <c r="AE48" s="50" t="s">
        <v>282</v>
      </c>
      <c r="AF48" s="50" t="s">
        <v>283</v>
      </c>
      <c r="AG48" s="50" t="s">
        <v>160</v>
      </c>
      <c r="AH48" s="50" t="s">
        <v>284</v>
      </c>
      <c r="AI48" s="50" t="s">
        <v>58</v>
      </c>
      <c r="AJ48" s="50" t="s">
        <v>59</v>
      </c>
      <c r="AK48" s="50"/>
      <c r="AL48" s="44"/>
      <c r="AM48" s="45"/>
      <c r="AN48" s="50"/>
      <c r="AO48" s="69"/>
      <c r="AP48" s="69"/>
      <c r="AQ48" s="69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5">
        <f>T48-BF48</f>
        <v>194.58160000000001</v>
      </c>
      <c r="BD48" s="56">
        <f>BC48/T48</f>
        <v>0.95168541524014483</v>
      </c>
      <c r="BE48" s="61" t="str">
        <f>IF(BD48&lt;0,"Negative",IF(BD48=0,"Same",IF(BD48&gt;0.3,"30+%",IF(BD48&gt;0.2,"20-30%",IF(BD48&gt;0.1,"10-20%",IF(BD48&lt;=0.1,"0-10%"))))))</f>
        <v>30+%</v>
      </c>
      <c r="BF48" s="65">
        <f>BG48*S48</f>
        <v>9.878400000000001</v>
      </c>
      <c r="BG48" s="66">
        <f>BH48/BJ48</f>
        <v>4.9392000000000005</v>
      </c>
      <c r="BH48" s="66">
        <f>IF(BS48="Original",Z48,AQ48)</f>
        <v>59.270400000000002</v>
      </c>
      <c r="BI48" s="60" t="str">
        <f>IF(BS48="Original",AA48,AR48)</f>
        <v>Case</v>
      </c>
      <c r="BJ48" s="60">
        <f>IF(BS48="Original",AB48,AS48)</f>
        <v>12</v>
      </c>
      <c r="BK48" s="60" t="str">
        <f>IF(BS48="Original",AC48,AT48)</f>
        <v>Possible UOM or LPP issue.</v>
      </c>
      <c r="BL48" s="60" t="str">
        <f>IF(BS48="Original",AD48,AU48)</f>
        <v>X-ACTO</v>
      </c>
      <c r="BM48" s="60" t="str">
        <f>IF(BS48="Original",AE48,AV48)</f>
        <v>X3627</v>
      </c>
      <c r="BN48" s="60" t="str">
        <f>IF(BS48="Original",AF48,AW48)</f>
        <v>0530665</v>
      </c>
      <c r="BO48" s="60" t="str">
        <f>IF(BS48="Original",AG48,AX48)</f>
        <v>Tools and Equipment</v>
      </c>
      <c r="BP48" s="60" t="str">
        <f>IF(BS48="Original",AH48,AY48)</f>
        <v>X3627 X-Acto[REG] 9" Black Gripster Fine Point Knife w/ Safety Cap</v>
      </c>
      <c r="BQ48" s="60" t="str">
        <f>IF(BS48="Original",AI48,AZ48)</f>
        <v>Similar Match</v>
      </c>
      <c r="BR48" s="60" t="str">
        <f>IF(BS48="Original",AJ48,BA48)</f>
        <v>No</v>
      </c>
      <c r="BS48" s="60" t="str">
        <f>IF(AQ48="","Original",IF(AP48&lt;Y48,"Alternate","Original"))</f>
        <v>Original</v>
      </c>
    </row>
    <row r="49" spans="1:71" s="31" customFormat="1" x14ac:dyDescent="0.35">
      <c r="A49" s="53" t="s">
        <v>39</v>
      </c>
      <c r="B49" s="49">
        <v>47</v>
      </c>
      <c r="C49" s="50"/>
      <c r="D49" s="50"/>
      <c r="E49" s="51"/>
      <c r="F49" s="50" t="s">
        <v>49</v>
      </c>
      <c r="G49" s="50" t="s">
        <v>285</v>
      </c>
      <c r="H49" s="50" t="s">
        <v>286</v>
      </c>
      <c r="I49" s="50"/>
      <c r="J49" s="50"/>
      <c r="K49" s="50"/>
      <c r="L49" s="50"/>
      <c r="M49" s="50"/>
      <c r="N49" s="54" t="s">
        <v>43</v>
      </c>
      <c r="O49" s="49">
        <v>1</v>
      </c>
      <c r="P49" s="43">
        <v>203.53</v>
      </c>
      <c r="Q49" s="49">
        <v>1</v>
      </c>
      <c r="R49" s="44">
        <f>P49/O49</f>
        <v>203.53</v>
      </c>
      <c r="S49" s="49">
        <f>Q49*O49</f>
        <v>1</v>
      </c>
      <c r="T49" s="52">
        <f>S49*R49</f>
        <v>203.53</v>
      </c>
      <c r="U49" s="55">
        <f>IFERROR(T49-X49,0)</f>
        <v>152.83709999999999</v>
      </c>
      <c r="V49" s="56">
        <f>IFERROR(U49/T49,0)</f>
        <v>0.75093155800127742</v>
      </c>
      <c r="W49" s="57" t="str">
        <f>IF($V49&lt;0,"Negative",IF($V49=0,"Same",IF($V49&gt;0.3,"30+%",IF($V49&gt;0.2,"20-30%",IF($V49&gt;0.1,"10-20%",IF($V49&lt;=0.1,"0-10%"))))))</f>
        <v>30+%</v>
      </c>
      <c r="X49" s="66">
        <f>IFERROR(Y49*S49,0)</f>
        <v>50.692900000000002</v>
      </c>
      <c r="Y49" s="66">
        <f>IFERROR(Z49/AB49,0)</f>
        <v>50.692900000000002</v>
      </c>
      <c r="Z49" s="69">
        <v>50.692900000000002</v>
      </c>
      <c r="AA49" s="50" t="s">
        <v>63</v>
      </c>
      <c r="AB49" s="50">
        <v>1</v>
      </c>
      <c r="AC49" s="50" t="s">
        <v>53</v>
      </c>
      <c r="AD49" s="50" t="s">
        <v>287</v>
      </c>
      <c r="AE49" s="50" t="s">
        <v>288</v>
      </c>
      <c r="AF49" s="50" t="s">
        <v>289</v>
      </c>
      <c r="AG49" s="50" t="s">
        <v>135</v>
      </c>
      <c r="AH49" s="50" t="s">
        <v>290</v>
      </c>
      <c r="AI49" s="50" t="s">
        <v>69</v>
      </c>
      <c r="AJ49" s="50" t="s">
        <v>59</v>
      </c>
      <c r="AK49" s="50"/>
      <c r="AL49" s="44"/>
      <c r="AM49" s="45"/>
      <c r="AN49" s="50"/>
      <c r="AO49" s="69"/>
      <c r="AP49" s="69"/>
      <c r="AQ49" s="69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5">
        <f>T49-BF49</f>
        <v>152.83709999999999</v>
      </c>
      <c r="BD49" s="56">
        <f>BC49/T49</f>
        <v>0.75093155800127742</v>
      </c>
      <c r="BE49" s="61" t="str">
        <f>IF(BD49&lt;0,"Negative",IF(BD49=0,"Same",IF(BD49&gt;0.3,"30+%",IF(BD49&gt;0.2,"20-30%",IF(BD49&gt;0.1,"10-20%",IF(BD49&lt;=0.1,"0-10%"))))))</f>
        <v>30+%</v>
      </c>
      <c r="BF49" s="65">
        <f>BG49*S49</f>
        <v>50.692900000000002</v>
      </c>
      <c r="BG49" s="66">
        <f>BH49/BJ49</f>
        <v>50.692900000000002</v>
      </c>
      <c r="BH49" s="66">
        <f>IF(BS49="Original",Z49,AQ49)</f>
        <v>50.692900000000002</v>
      </c>
      <c r="BI49" s="60" t="str">
        <f>IF(BS49="Original",AA49,AR49)</f>
        <v>Piece</v>
      </c>
      <c r="BJ49" s="60">
        <f>IF(BS49="Original",AB49,AS49)</f>
        <v>1</v>
      </c>
      <c r="BK49" s="60" t="str">
        <f>IF(BS49="Original",AC49,AT49)</f>
        <v>Possible UOM or LPP issue.</v>
      </c>
      <c r="BL49" s="60" t="str">
        <f>IF(BS49="Original",AD49,AU49)</f>
        <v>LMT ONSRUD LP</v>
      </c>
      <c r="BM49" s="60" t="str">
        <f>IF(BS49="Original",AE49,AV49)</f>
        <v>62-783</v>
      </c>
      <c r="BN49" s="60" t="str">
        <f>IF(BS49="Original",AF49,AW49)</f>
        <v>920055871</v>
      </c>
      <c r="BO49" s="60" t="str">
        <f>IF(BS49="Original",AG49,AX49)</f>
        <v>Cutting Tools and Metalworking</v>
      </c>
      <c r="BP49" s="60" t="str">
        <f>IF(BS49="Original",AH49,AY49)</f>
        <v>3/8 x 1 1/8 SC SINGLE EDGE DOWNCUT ""O''' SP</v>
      </c>
      <c r="BQ49" s="60" t="str">
        <f>IF(BS49="Original",AI49,AZ49)</f>
        <v>Exact Match</v>
      </c>
      <c r="BR49" s="60" t="str">
        <f>IF(BS49="Original",AJ49,BA49)</f>
        <v>No</v>
      </c>
      <c r="BS49" s="60" t="str">
        <f>IF(AQ49="","Original",IF(AP49&lt;Y49,"Alternate","Original"))</f>
        <v>Original</v>
      </c>
    </row>
    <row r="50" spans="1:71" s="31" customFormat="1" x14ac:dyDescent="0.35">
      <c r="A50" s="53" t="s">
        <v>39</v>
      </c>
      <c r="B50" s="49">
        <v>48</v>
      </c>
      <c r="C50" s="50"/>
      <c r="D50" s="50"/>
      <c r="E50" s="51"/>
      <c r="F50" s="50" t="s">
        <v>60</v>
      </c>
      <c r="G50" s="50" t="s">
        <v>291</v>
      </c>
      <c r="H50" s="50" t="s">
        <v>292</v>
      </c>
      <c r="I50" s="50"/>
      <c r="J50" s="50"/>
      <c r="K50" s="50"/>
      <c r="L50" s="50"/>
      <c r="M50" s="50"/>
      <c r="N50" s="54" t="s">
        <v>43</v>
      </c>
      <c r="O50" s="49">
        <v>1</v>
      </c>
      <c r="P50" s="43">
        <v>66.55</v>
      </c>
      <c r="Q50" s="49">
        <v>3</v>
      </c>
      <c r="R50" s="44">
        <f>P50/O50</f>
        <v>66.55</v>
      </c>
      <c r="S50" s="49">
        <f>Q50*O50</f>
        <v>3</v>
      </c>
      <c r="T50" s="52">
        <f>S50*R50</f>
        <v>199.64999999999998</v>
      </c>
      <c r="U50" s="55">
        <f>IFERROR(T50-X50,0)</f>
        <v>199.15409999999997</v>
      </c>
      <c r="V50" s="56">
        <f>IFERROR(U50/T50,0)</f>
        <v>0.99751615326821941</v>
      </c>
      <c r="W50" s="57" t="str">
        <f>IF($V50&lt;0,"Negative",IF($V50=0,"Same",IF($V50&gt;0.3,"30+%",IF($V50&gt;0.2,"20-30%",IF($V50&gt;0.1,"10-20%",IF($V50&lt;=0.1,"0-10%"))))))</f>
        <v>30+%</v>
      </c>
      <c r="X50" s="66">
        <f>IFERROR(Y50*S50,0)</f>
        <v>0.49590000000000001</v>
      </c>
      <c r="Y50" s="66">
        <f>IFERROR(Z50/AB50,0)</f>
        <v>0.1653</v>
      </c>
      <c r="Z50" s="69">
        <v>33.06</v>
      </c>
      <c r="AA50" s="50" t="s">
        <v>52</v>
      </c>
      <c r="AB50" s="50">
        <v>200</v>
      </c>
      <c r="AC50" s="50" t="s">
        <v>53</v>
      </c>
      <c r="AD50" s="50" t="s">
        <v>209</v>
      </c>
      <c r="AE50" s="50" t="s">
        <v>293</v>
      </c>
      <c r="AF50" s="50" t="s">
        <v>294</v>
      </c>
      <c r="AG50" s="50" t="s">
        <v>67</v>
      </c>
      <c r="AH50" s="50" t="s">
        <v>295</v>
      </c>
      <c r="AI50" s="50" t="s">
        <v>69</v>
      </c>
      <c r="AJ50" s="50" t="s">
        <v>73</v>
      </c>
      <c r="AK50" s="50"/>
      <c r="AL50" s="58">
        <f>IF(AQ50="","",T50-AO50)</f>
        <v>199.35029999999998</v>
      </c>
      <c r="AM50" s="59">
        <f>IFERROR(AL50/T50,"")</f>
        <v>0.99849887302779861</v>
      </c>
      <c r="AN50" s="60" t="str">
        <f>IF(AM50="","",IF(AM50&lt;0,"Negative",IF(AM50=0,"Same",IF(AM50&gt;0.3,"30+%",IF(AM50&gt;0.2,"20-30%",IF(AM50&gt;0.1,"10-20%",IF(AM50&lt;=0.1,"0-10%")))))))</f>
        <v>30+%</v>
      </c>
      <c r="AO50" s="66">
        <f>IFERROR(AP50*S50,"")</f>
        <v>0.29970000000000002</v>
      </c>
      <c r="AP50" s="66">
        <f>IFERROR(AQ50/AS50,"")</f>
        <v>9.9900000000000003E-2</v>
      </c>
      <c r="AQ50" s="69">
        <v>19.98</v>
      </c>
      <c r="AR50" s="50" t="s">
        <v>52</v>
      </c>
      <c r="AS50" s="50">
        <v>200</v>
      </c>
      <c r="AT50" s="50" t="s">
        <v>53</v>
      </c>
      <c r="AU50" s="50" t="s">
        <v>223</v>
      </c>
      <c r="AV50" s="50" t="s">
        <v>296</v>
      </c>
      <c r="AW50" s="50" t="s">
        <v>296</v>
      </c>
      <c r="AX50" s="50" t="s">
        <v>67</v>
      </c>
      <c r="AY50" s="50" t="s">
        <v>297</v>
      </c>
      <c r="AZ50" s="50" t="s">
        <v>58</v>
      </c>
      <c r="BA50" s="50" t="s">
        <v>73</v>
      </c>
      <c r="BB50" s="50"/>
      <c r="BC50" s="55">
        <f>T50-BF50</f>
        <v>199.35029999999998</v>
      </c>
      <c r="BD50" s="56">
        <f>BC50/T50</f>
        <v>0.99849887302779861</v>
      </c>
      <c r="BE50" s="61" t="str">
        <f>IF(BD50&lt;0,"Negative",IF(BD50=0,"Same",IF(BD50&gt;0.3,"30+%",IF(BD50&gt;0.2,"20-30%",IF(BD50&gt;0.1,"10-20%",IF(BD50&lt;=0.1,"0-10%"))))))</f>
        <v>30+%</v>
      </c>
      <c r="BF50" s="65">
        <f>BG50*S50</f>
        <v>0.29970000000000002</v>
      </c>
      <c r="BG50" s="66">
        <f>BH50/BJ50</f>
        <v>9.9900000000000003E-2</v>
      </c>
      <c r="BH50" s="66">
        <f>IF(BS50="Original",Z50,AQ50)</f>
        <v>19.98</v>
      </c>
      <c r="BI50" s="60" t="str">
        <f>IF(BS50="Original",AA50,AR50)</f>
        <v>Pack</v>
      </c>
      <c r="BJ50" s="60">
        <f>IF(BS50="Original",AB50,AS50)</f>
        <v>200</v>
      </c>
      <c r="BK50" s="60" t="str">
        <f>IF(BS50="Original",AC50,AT50)</f>
        <v>Possible UOM or LPP issue.</v>
      </c>
      <c r="BL50" s="60" t="str">
        <f>IF(BS50="Original",AD50,AU50)</f>
        <v>Body Guard[REG]</v>
      </c>
      <c r="BM50" s="60" t="str">
        <f>IF(BS50="Original",AE50,AV50)</f>
        <v>1017247</v>
      </c>
      <c r="BN50" s="60" t="str">
        <f>IF(BS50="Original",AF50,AW50)</f>
        <v>1017247</v>
      </c>
      <c r="BO50" s="60" t="str">
        <f>IF(BS50="Original",AG50,AX50)</f>
        <v>Safety</v>
      </c>
      <c r="BP50" s="60" t="str">
        <f>IF(BS50="Original",AH50,AY50)</f>
        <v>Orange NRR 32 Body Guard[REG] PU Bullet Uncorded Disposable Earplug Pair</v>
      </c>
      <c r="BQ50" s="60" t="str">
        <f>IF(BS50="Original",AI50,AZ50)</f>
        <v>Similar Match</v>
      </c>
      <c r="BR50" s="60" t="str">
        <f>IF(BS50="Original",AJ50,BA50)</f>
        <v>Yes</v>
      </c>
      <c r="BS50" s="60" t="str">
        <f>IF(AQ50="","Original",IF(AP50&lt;Y50,"Alternate","Original"))</f>
        <v>Alternate</v>
      </c>
    </row>
    <row r="51" spans="1:71" s="31" customFormat="1" x14ac:dyDescent="0.35">
      <c r="A51" s="53" t="s">
        <v>39</v>
      </c>
      <c r="B51" s="49">
        <v>49</v>
      </c>
      <c r="C51" s="50"/>
      <c r="D51" s="50"/>
      <c r="E51" s="51"/>
      <c r="F51" s="50" t="s">
        <v>49</v>
      </c>
      <c r="G51" s="50" t="s">
        <v>298</v>
      </c>
      <c r="H51" s="50" t="s">
        <v>299</v>
      </c>
      <c r="I51" s="50"/>
      <c r="J51" s="50"/>
      <c r="K51" s="50"/>
      <c r="L51" s="50"/>
      <c r="M51" s="50"/>
      <c r="N51" s="54" t="s">
        <v>43</v>
      </c>
      <c r="O51" s="49">
        <v>1</v>
      </c>
      <c r="P51" s="43">
        <v>188.63</v>
      </c>
      <c r="Q51" s="49">
        <v>1</v>
      </c>
      <c r="R51" s="44">
        <f>P51/O51</f>
        <v>188.63</v>
      </c>
      <c r="S51" s="49">
        <f>Q51*O51</f>
        <v>1</v>
      </c>
      <c r="T51" s="52">
        <f>S51*R51</f>
        <v>188.63</v>
      </c>
      <c r="U51" s="55">
        <f>IFERROR(T51-X51,0)</f>
        <v>3.4099999999999966</v>
      </c>
      <c r="V51" s="56">
        <f>IFERROR(U51/T51,0)</f>
        <v>1.807771828447223E-2</v>
      </c>
      <c r="W51" s="57" t="str">
        <f>IF($V51&lt;0,"Negative",IF($V51=0,"Same",IF($V51&gt;0.3,"30+%",IF($V51&gt;0.2,"20-30%",IF($V51&gt;0.1,"10-20%",IF($V51&lt;=0.1,"0-10%"))))))</f>
        <v>0-10%</v>
      </c>
      <c r="X51" s="66">
        <f>IFERROR(Y51*S51,0)</f>
        <v>185.22</v>
      </c>
      <c r="Y51" s="66">
        <f>IFERROR(Z51/AB51,0)</f>
        <v>185.22</v>
      </c>
      <c r="Z51" s="69">
        <v>185.22</v>
      </c>
      <c r="AA51" s="50" t="s">
        <v>300</v>
      </c>
      <c r="AB51" s="50">
        <v>1</v>
      </c>
      <c r="AC51" s="50"/>
      <c r="AD51" s="50" t="s">
        <v>104</v>
      </c>
      <c r="AE51" s="50" t="s">
        <v>301</v>
      </c>
      <c r="AF51" s="50" t="s">
        <v>301</v>
      </c>
      <c r="AG51" s="50" t="s">
        <v>160</v>
      </c>
      <c r="AH51" s="50" t="s">
        <v>302</v>
      </c>
      <c r="AI51" s="50" t="s">
        <v>69</v>
      </c>
      <c r="AJ51" s="50" t="s">
        <v>59</v>
      </c>
      <c r="AK51" s="50"/>
      <c r="AL51" s="44"/>
      <c r="AM51" s="45"/>
      <c r="AN51" s="50"/>
      <c r="AO51" s="69"/>
      <c r="AP51" s="69"/>
      <c r="AQ51" s="69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5">
        <f>T51-BF51</f>
        <v>3.4099999999999966</v>
      </c>
      <c r="BD51" s="56">
        <f>BC51/T51</f>
        <v>1.807771828447223E-2</v>
      </c>
      <c r="BE51" s="61" t="str">
        <f>IF(BD51&lt;0,"Negative",IF(BD51=0,"Same",IF(BD51&gt;0.3,"30+%",IF(BD51&gt;0.2,"20-30%",IF(BD51&gt;0.1,"10-20%",IF(BD51&lt;=0.1,"0-10%"))))))</f>
        <v>0-10%</v>
      </c>
      <c r="BF51" s="65">
        <f>BG51*S51</f>
        <v>185.22</v>
      </c>
      <c r="BG51" s="66">
        <f>BH51/BJ51</f>
        <v>185.22</v>
      </c>
      <c r="BH51" s="66">
        <f>IF(BS51="Original",Z51,AQ51)</f>
        <v>185.22</v>
      </c>
      <c r="BI51" s="60" t="str">
        <f>IF(BS51="Original",AA51,AR51)</f>
        <v>Set</v>
      </c>
      <c r="BJ51" s="60">
        <f>IF(BS51="Original",AB51,AS51)</f>
        <v>1</v>
      </c>
      <c r="BK51" s="60"/>
      <c r="BL51" s="60" t="str">
        <f>IF(BS51="Original",AD51,AU51)</f>
        <v>Fastenal Approved Vendor</v>
      </c>
      <c r="BM51" s="60" t="str">
        <f>IF(BS51="Original",AE51,AV51)</f>
        <v>8050314</v>
      </c>
      <c r="BN51" s="60" t="str">
        <f>IF(BS51="Original",AF51,AW51)</f>
        <v>8050314</v>
      </c>
      <c r="BO51" s="60" t="str">
        <f>IF(BS51="Original",AG51,AX51)</f>
        <v>Tools and Equipment</v>
      </c>
      <c r="BP51" s="60" t="str">
        <f>IF(BS51="Original",AH51,AY51)</f>
        <v>REPR VERMONT 101100400 PIN SET ZZ .0610-.2500"</v>
      </c>
      <c r="BQ51" s="60" t="str">
        <f>IF(BS51="Original",AI51,AZ51)</f>
        <v>Exact Match</v>
      </c>
      <c r="BR51" s="60" t="str">
        <f>IF(BS51="Original",AJ51,BA51)</f>
        <v>No</v>
      </c>
      <c r="BS51" s="60" t="str">
        <f>IF(AQ51="","Original",IF(AP51&lt;Y51,"Alternate","Original"))</f>
        <v>Original</v>
      </c>
    </row>
    <row r="52" spans="1:71" s="31" customFormat="1" x14ac:dyDescent="0.35">
      <c r="A52" s="53" t="s">
        <v>39</v>
      </c>
      <c r="B52" s="49">
        <v>50</v>
      </c>
      <c r="C52" s="50"/>
      <c r="D52" s="50"/>
      <c r="E52" s="51"/>
      <c r="F52" s="50" t="s">
        <v>60</v>
      </c>
      <c r="G52" s="50" t="s">
        <v>303</v>
      </c>
      <c r="H52" s="50" t="s">
        <v>304</v>
      </c>
      <c r="I52" s="50"/>
      <c r="J52" s="50"/>
      <c r="K52" s="50"/>
      <c r="L52" s="50"/>
      <c r="M52" s="50"/>
      <c r="N52" s="54" t="s">
        <v>43</v>
      </c>
      <c r="O52" s="49">
        <v>1</v>
      </c>
      <c r="P52" s="43">
        <v>186.06</v>
      </c>
      <c r="Q52" s="49">
        <v>1</v>
      </c>
      <c r="R52" s="44">
        <f>P52/O52</f>
        <v>186.06</v>
      </c>
      <c r="S52" s="49">
        <f>Q52*O52</f>
        <v>1</v>
      </c>
      <c r="T52" s="52">
        <f>S52*R52</f>
        <v>186.06</v>
      </c>
      <c r="U52" s="55">
        <f>IFERROR(T52-X52,0)</f>
        <v>70.674500000000009</v>
      </c>
      <c r="V52" s="56">
        <f>IFERROR(U52/T52,0)</f>
        <v>0.37984789852735679</v>
      </c>
      <c r="W52" s="57" t="str">
        <f>IF($V52&lt;0,"Negative",IF($V52=0,"Same",IF($V52&gt;0.3,"30+%",IF($V52&gt;0.2,"20-30%",IF($V52&gt;0.1,"10-20%",IF($V52&lt;=0.1,"0-10%"))))))</f>
        <v>30+%</v>
      </c>
      <c r="X52" s="66">
        <f>IFERROR(Y52*S52,0)</f>
        <v>115.38549999999999</v>
      </c>
      <c r="Y52" s="66">
        <f>IFERROR(Z52/AB52,0)</f>
        <v>115.38549999999999</v>
      </c>
      <c r="Z52" s="69">
        <v>115.38549999999999</v>
      </c>
      <c r="AA52" s="50" t="s">
        <v>63</v>
      </c>
      <c r="AB52" s="50">
        <v>1</v>
      </c>
      <c r="AC52" s="50"/>
      <c r="AD52" s="50" t="s">
        <v>305</v>
      </c>
      <c r="AE52" s="50" t="s">
        <v>306</v>
      </c>
      <c r="AF52" s="50" t="s">
        <v>307</v>
      </c>
      <c r="AG52" s="50" t="s">
        <v>212</v>
      </c>
      <c r="AH52" s="50" t="s">
        <v>308</v>
      </c>
      <c r="AI52" s="50" t="s">
        <v>69</v>
      </c>
      <c r="AJ52" s="50" t="s">
        <v>73</v>
      </c>
      <c r="AK52" s="50"/>
      <c r="AL52" s="44"/>
      <c r="AM52" s="45"/>
      <c r="AN52" s="50"/>
      <c r="AO52" s="69"/>
      <c r="AP52" s="69"/>
      <c r="AQ52" s="69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5">
        <f>T52-BF52</f>
        <v>70.674500000000009</v>
      </c>
      <c r="BD52" s="56">
        <f>BC52/T52</f>
        <v>0.37984789852735679</v>
      </c>
      <c r="BE52" s="61" t="str">
        <f>IF(BD52&lt;0,"Negative",IF(BD52=0,"Same",IF(BD52&gt;0.3,"30+%",IF(BD52&gt;0.2,"20-30%",IF(BD52&gt;0.1,"10-20%",IF(BD52&lt;=0.1,"0-10%"))))))</f>
        <v>30+%</v>
      </c>
      <c r="BF52" s="65">
        <f>BG52*S52</f>
        <v>115.38549999999999</v>
      </c>
      <c r="BG52" s="66">
        <f>BH52/BJ52</f>
        <v>115.38549999999999</v>
      </c>
      <c r="BH52" s="66">
        <f>IF(BS52="Original",Z52,AQ52)</f>
        <v>115.38549999999999</v>
      </c>
      <c r="BI52" s="60" t="str">
        <f>IF(BS52="Original",AA52,AR52)</f>
        <v>Piece</v>
      </c>
      <c r="BJ52" s="60">
        <f>IF(BS52="Original",AB52,AS52)</f>
        <v>1</v>
      </c>
      <c r="BK52" s="60"/>
      <c r="BL52" s="60" t="str">
        <f>IF(BS52="Original",AD52,AU52)</f>
        <v>RUSTOLEUM CORPORATION</v>
      </c>
      <c r="BM52" s="60" t="str">
        <f>IF(BS52="Original",AE52,AV52)</f>
        <v>5494323</v>
      </c>
      <c r="BN52" s="60" t="str">
        <f>IF(BS52="Original",AF52,AW52)</f>
        <v>0140241</v>
      </c>
      <c r="BO52" s="60" t="str">
        <f>IF(BS52="Original",AG52,AX52)</f>
        <v>Adhesives, Sealants, and Tape</v>
      </c>
      <c r="BP52" s="60" t="str">
        <f>IF(BS52="Original",AH52,AY52)</f>
        <v>3.5gal Pail Gray Epoxy Concrete / Grout Repair</v>
      </c>
      <c r="BQ52" s="60" t="str">
        <f>IF(BS52="Original",AI52,AZ52)</f>
        <v>Exact Match</v>
      </c>
      <c r="BR52" s="60" t="str">
        <f>IF(BS52="Original",AJ52,BA52)</f>
        <v>Yes</v>
      </c>
      <c r="BS52" s="60" t="str">
        <f>IF(AQ52="","Original",IF(AP52&lt;Y52,"Alternate","Original"))</f>
        <v>Original</v>
      </c>
    </row>
    <row r="53" spans="1:71" s="31" customFormat="1" x14ac:dyDescent="0.35">
      <c r="A53" s="53" t="s">
        <v>39</v>
      </c>
      <c r="B53" s="49">
        <v>51</v>
      </c>
      <c r="C53" s="50"/>
      <c r="D53" s="50"/>
      <c r="E53" s="51"/>
      <c r="F53" s="50" t="s">
        <v>40</v>
      </c>
      <c r="G53" s="50" t="s">
        <v>309</v>
      </c>
      <c r="H53" s="50" t="s">
        <v>310</v>
      </c>
      <c r="I53" s="50"/>
      <c r="J53" s="50"/>
      <c r="K53" s="50"/>
      <c r="L53" s="50"/>
      <c r="M53" s="50"/>
      <c r="N53" s="54" t="s">
        <v>43</v>
      </c>
      <c r="O53" s="49">
        <v>1</v>
      </c>
      <c r="P53" s="43">
        <v>183.38</v>
      </c>
      <c r="Q53" s="49">
        <v>1</v>
      </c>
      <c r="R53" s="44">
        <f>P53/O53</f>
        <v>183.38</v>
      </c>
      <c r="S53" s="49">
        <f>Q53*O53</f>
        <v>1</v>
      </c>
      <c r="T53" s="52">
        <f>S53*R53</f>
        <v>183.38</v>
      </c>
      <c r="U53" s="50"/>
      <c r="V53" s="50"/>
      <c r="W53" s="50"/>
      <c r="X53" s="69"/>
      <c r="Y53" s="69"/>
      <c r="Z53" s="69"/>
      <c r="AA53" s="50"/>
      <c r="AB53" s="50"/>
      <c r="AC53" s="50"/>
      <c r="AD53" s="50"/>
      <c r="AE53" s="50"/>
      <c r="AF53" s="50"/>
      <c r="AG53" s="50"/>
      <c r="AH53" s="50"/>
      <c r="AI53" s="50" t="s">
        <v>129</v>
      </c>
      <c r="AJ53" s="50"/>
      <c r="AK53" s="50"/>
      <c r="AL53" s="44"/>
      <c r="AM53" s="45"/>
      <c r="AN53" s="50"/>
      <c r="AO53" s="69"/>
      <c r="AP53" s="69"/>
      <c r="AQ53" s="69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5"/>
      <c r="BD53" s="56"/>
      <c r="BE53" s="61"/>
      <c r="BF53" s="65"/>
      <c r="BG53" s="66"/>
      <c r="BH53" s="66"/>
      <c r="BI53" s="60"/>
      <c r="BJ53" s="60"/>
      <c r="BK53" s="60"/>
      <c r="BL53" s="60"/>
      <c r="BM53" s="60"/>
      <c r="BN53" s="60"/>
      <c r="BO53" s="60"/>
      <c r="BP53" s="60"/>
      <c r="BQ53" s="60" t="str">
        <f>IF(BS53="Original",AI53,AZ53)</f>
        <v xml:space="preserve">Non-Supported Product </v>
      </c>
      <c r="BR53" s="60"/>
      <c r="BS53" s="60" t="str">
        <f>IF(AQ53="","Original",IF(AP53&lt;Y53,"Alternate","Original"))</f>
        <v>Original</v>
      </c>
    </row>
    <row r="54" spans="1:71" s="31" customFormat="1" x14ac:dyDescent="0.35">
      <c r="A54" s="53" t="s">
        <v>39</v>
      </c>
      <c r="B54" s="49">
        <v>52</v>
      </c>
      <c r="C54" s="50"/>
      <c r="D54" s="50"/>
      <c r="E54" s="51"/>
      <c r="F54" s="50" t="s">
        <v>40</v>
      </c>
      <c r="G54" s="50" t="s">
        <v>311</v>
      </c>
      <c r="H54" s="50" t="s">
        <v>312</v>
      </c>
      <c r="I54" s="50"/>
      <c r="J54" s="50"/>
      <c r="K54" s="50"/>
      <c r="L54" s="50"/>
      <c r="M54" s="50"/>
      <c r="N54" s="54" t="s">
        <v>43</v>
      </c>
      <c r="O54" s="49">
        <v>1</v>
      </c>
      <c r="P54" s="43">
        <v>91.2</v>
      </c>
      <c r="Q54" s="49">
        <v>2</v>
      </c>
      <c r="R54" s="44">
        <f>P54/O54</f>
        <v>91.2</v>
      </c>
      <c r="S54" s="49">
        <f>Q54*O54</f>
        <v>2</v>
      </c>
      <c r="T54" s="52">
        <f>S54*R54</f>
        <v>182.4</v>
      </c>
      <c r="U54" s="50"/>
      <c r="V54" s="50"/>
      <c r="W54" s="50"/>
      <c r="X54" s="69"/>
      <c r="Y54" s="69"/>
      <c r="Z54" s="69"/>
      <c r="AA54" s="50"/>
      <c r="AB54" s="50"/>
      <c r="AC54" s="50"/>
      <c r="AD54" s="50"/>
      <c r="AE54" s="50"/>
      <c r="AF54" s="50"/>
      <c r="AG54" s="50"/>
      <c r="AH54" s="50"/>
      <c r="AI54" s="50" t="s">
        <v>129</v>
      </c>
      <c r="AJ54" s="50"/>
      <c r="AK54" s="50"/>
      <c r="AL54" s="44"/>
      <c r="AM54" s="45"/>
      <c r="AN54" s="50"/>
      <c r="AO54" s="69"/>
      <c r="AP54" s="69"/>
      <c r="AQ54" s="69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5"/>
      <c r="BD54" s="56"/>
      <c r="BE54" s="61"/>
      <c r="BF54" s="65"/>
      <c r="BG54" s="66"/>
      <c r="BH54" s="66"/>
      <c r="BI54" s="60"/>
      <c r="BJ54" s="60"/>
      <c r="BK54" s="60"/>
      <c r="BL54" s="60"/>
      <c r="BM54" s="60"/>
      <c r="BN54" s="60"/>
      <c r="BO54" s="60"/>
      <c r="BP54" s="60"/>
      <c r="BQ54" s="60" t="str">
        <f>IF(BS54="Original",AI54,AZ54)</f>
        <v xml:space="preserve">Non-Supported Product </v>
      </c>
      <c r="BR54" s="60"/>
      <c r="BS54" s="60" t="str">
        <f>IF(AQ54="","Original",IF(AP54&lt;Y54,"Alternate","Original"))</f>
        <v>Original</v>
      </c>
    </row>
    <row r="55" spans="1:71" s="31" customFormat="1" x14ac:dyDescent="0.35">
      <c r="A55" s="53" t="s">
        <v>39</v>
      </c>
      <c r="B55" s="49">
        <v>53</v>
      </c>
      <c r="C55" s="50"/>
      <c r="D55" s="50"/>
      <c r="E55" s="51"/>
      <c r="F55" s="50" t="s">
        <v>49</v>
      </c>
      <c r="G55" s="50" t="s">
        <v>313</v>
      </c>
      <c r="H55" s="50" t="s">
        <v>314</v>
      </c>
      <c r="I55" s="50"/>
      <c r="J55" s="50"/>
      <c r="K55" s="50"/>
      <c r="L55" s="50"/>
      <c r="M55" s="50"/>
      <c r="N55" s="54" t="s">
        <v>43</v>
      </c>
      <c r="O55" s="49">
        <v>1</v>
      </c>
      <c r="P55" s="43">
        <v>180.36</v>
      </c>
      <c r="Q55" s="49">
        <v>1</v>
      </c>
      <c r="R55" s="44">
        <f>P55/O55</f>
        <v>180.36</v>
      </c>
      <c r="S55" s="49">
        <f>Q55*O55</f>
        <v>1</v>
      </c>
      <c r="T55" s="52">
        <f>S55*R55</f>
        <v>180.36</v>
      </c>
      <c r="U55" s="50"/>
      <c r="V55" s="50"/>
      <c r="W55" s="50"/>
      <c r="X55" s="69"/>
      <c r="Y55" s="69"/>
      <c r="Z55" s="69"/>
      <c r="AA55" s="50"/>
      <c r="AB55" s="50"/>
      <c r="AC55" s="50"/>
      <c r="AD55" s="50"/>
      <c r="AE55" s="50"/>
      <c r="AF55" s="50"/>
      <c r="AG55" s="50"/>
      <c r="AH55" s="50"/>
      <c r="AI55" s="50" t="s">
        <v>129</v>
      </c>
      <c r="AJ55" s="50"/>
      <c r="AK55" s="50"/>
      <c r="AL55" s="44"/>
      <c r="AM55" s="45"/>
      <c r="AN55" s="50"/>
      <c r="AO55" s="69"/>
      <c r="AP55" s="69"/>
      <c r="AQ55" s="69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5"/>
      <c r="BD55" s="56"/>
      <c r="BE55" s="61"/>
      <c r="BF55" s="65"/>
      <c r="BG55" s="66"/>
      <c r="BH55" s="66"/>
      <c r="BI55" s="60"/>
      <c r="BJ55" s="60"/>
      <c r="BK55" s="60"/>
      <c r="BL55" s="60"/>
      <c r="BM55" s="60"/>
      <c r="BN55" s="60"/>
      <c r="BO55" s="60"/>
      <c r="BP55" s="60"/>
      <c r="BQ55" s="60" t="str">
        <f>IF(BS55="Original",AI55,AZ55)</f>
        <v xml:space="preserve">Non-Supported Product </v>
      </c>
      <c r="BR55" s="60"/>
      <c r="BS55" s="60" t="str">
        <f>IF(AQ55="","Original",IF(AP55&lt;Y55,"Alternate","Original"))</f>
        <v>Original</v>
      </c>
    </row>
    <row r="56" spans="1:71" s="31" customFormat="1" x14ac:dyDescent="0.35">
      <c r="A56" s="53" t="s">
        <v>39</v>
      </c>
      <c r="B56" s="49">
        <v>54</v>
      </c>
      <c r="C56" s="50"/>
      <c r="D56" s="50"/>
      <c r="E56" s="51"/>
      <c r="F56" s="50" t="s">
        <v>60</v>
      </c>
      <c r="G56" s="50" t="s">
        <v>315</v>
      </c>
      <c r="H56" s="50" t="s">
        <v>316</v>
      </c>
      <c r="I56" s="50"/>
      <c r="J56" s="50"/>
      <c r="K56" s="50"/>
      <c r="L56" s="50"/>
      <c r="M56" s="50"/>
      <c r="N56" s="54" t="s">
        <v>43</v>
      </c>
      <c r="O56" s="49">
        <v>1</v>
      </c>
      <c r="P56" s="43">
        <v>180.1</v>
      </c>
      <c r="Q56" s="49">
        <v>1</v>
      </c>
      <c r="R56" s="44">
        <f>P56/O56</f>
        <v>180.1</v>
      </c>
      <c r="S56" s="49">
        <f>Q56*O56</f>
        <v>1</v>
      </c>
      <c r="T56" s="52">
        <f>S56*R56</f>
        <v>180.1</v>
      </c>
      <c r="U56" s="55">
        <f>IFERROR(T56-X56,0)</f>
        <v>174.976</v>
      </c>
      <c r="V56" s="56">
        <f>IFERROR(U56/T56,0)</f>
        <v>0.97154913936701837</v>
      </c>
      <c r="W56" s="57" t="str">
        <f>IF($V56&lt;0,"Negative",IF($V56=0,"Same",IF($V56&gt;0.3,"30+%",IF($V56&gt;0.2,"20-30%",IF($V56&gt;0.1,"10-20%",IF($V56&lt;=0.1,"0-10%"))))))</f>
        <v>30+%</v>
      </c>
      <c r="X56" s="66">
        <f>IFERROR(Y56*S56,0)</f>
        <v>5.1239999999999997</v>
      </c>
      <c r="Y56" s="66">
        <f>IFERROR(Z56/AB56,0)</f>
        <v>5.1239999999999997</v>
      </c>
      <c r="Z56" s="69">
        <v>5.1239999999999997</v>
      </c>
      <c r="AA56" s="50" t="s">
        <v>63</v>
      </c>
      <c r="AB56" s="50">
        <v>1</v>
      </c>
      <c r="AC56" s="50" t="s">
        <v>53</v>
      </c>
      <c r="AD56" s="50" t="s">
        <v>317</v>
      </c>
      <c r="AE56" s="50" t="s">
        <v>318</v>
      </c>
      <c r="AF56" s="50" t="s">
        <v>319</v>
      </c>
      <c r="AG56" s="50" t="s">
        <v>320</v>
      </c>
      <c r="AH56" s="50" t="s">
        <v>321</v>
      </c>
      <c r="AI56" s="50" t="s">
        <v>58</v>
      </c>
      <c r="AJ56" s="50" t="s">
        <v>59</v>
      </c>
      <c r="AK56" s="50"/>
      <c r="AL56" s="44"/>
      <c r="AM56" s="45"/>
      <c r="AN56" s="50"/>
      <c r="AO56" s="69"/>
      <c r="AP56" s="69"/>
      <c r="AQ56" s="69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5">
        <f>T56-BF56</f>
        <v>174.976</v>
      </c>
      <c r="BD56" s="56">
        <f>BC56/T56</f>
        <v>0.97154913936701837</v>
      </c>
      <c r="BE56" s="61" t="str">
        <f>IF(BD56&lt;0,"Negative",IF(BD56=0,"Same",IF(BD56&gt;0.3,"30+%",IF(BD56&gt;0.2,"20-30%",IF(BD56&gt;0.1,"10-20%",IF(BD56&lt;=0.1,"0-10%"))))))</f>
        <v>30+%</v>
      </c>
      <c r="BF56" s="65">
        <f>BG56*S56</f>
        <v>5.1239999999999997</v>
      </c>
      <c r="BG56" s="66">
        <f>BH56/BJ56</f>
        <v>5.1239999999999997</v>
      </c>
      <c r="BH56" s="66">
        <f>IF(BS56="Original",Z56,AQ56)</f>
        <v>5.1239999999999997</v>
      </c>
      <c r="BI56" s="60" t="str">
        <f>IF(BS56="Original",AA56,AR56)</f>
        <v>Piece</v>
      </c>
      <c r="BJ56" s="60">
        <f>IF(BS56="Original",AB56,AS56)</f>
        <v>1</v>
      </c>
      <c r="BK56" s="60" t="str">
        <f>IF(BS56="Original",AC56,AT56)</f>
        <v>Possible UOM or LPP issue.</v>
      </c>
      <c r="BL56" s="60" t="str">
        <f>IF(BS56="Original",AD56,AU56)</f>
        <v>RUB INC.</v>
      </c>
      <c r="BM56" s="60" t="str">
        <f>IF(BS56="Original",AE56,AV56)</f>
        <v>S35BZ0</v>
      </c>
      <c r="BN56" s="60" t="str">
        <f>IF(BS56="Original",AF56,AW56)</f>
        <v>0427029</v>
      </c>
      <c r="BO56" s="60" t="str">
        <f>IF(BS56="Original",AG56,AX56)</f>
        <v>Plumbing</v>
      </c>
      <c r="BP56" s="60" t="str">
        <f>IF(BS56="Original",AH56,AY56)</f>
        <v>1/4 M-NPT x F-NPT Chrome Plated RuB s35 Mini Ball Valve</v>
      </c>
      <c r="BQ56" s="60" t="str">
        <f>IF(BS56="Original",AI56,AZ56)</f>
        <v>Similar Match</v>
      </c>
      <c r="BR56" s="60" t="str">
        <f>IF(BS56="Original",AJ56,BA56)</f>
        <v>No</v>
      </c>
      <c r="BS56" s="60" t="str">
        <f>IF(AQ56="","Original",IF(AP56&lt;Y56,"Alternate","Original"))</f>
        <v>Original</v>
      </c>
    </row>
    <row r="57" spans="1:71" s="31" customFormat="1" x14ac:dyDescent="0.35">
      <c r="A57" s="53" t="s">
        <v>39</v>
      </c>
      <c r="B57" s="49">
        <v>55</v>
      </c>
      <c r="C57" s="50"/>
      <c r="D57" s="50"/>
      <c r="E57" s="51"/>
      <c r="F57" s="50" t="s">
        <v>49</v>
      </c>
      <c r="G57" s="50" t="s">
        <v>322</v>
      </c>
      <c r="H57" s="50" t="s">
        <v>148</v>
      </c>
      <c r="I57" s="50"/>
      <c r="J57" s="50"/>
      <c r="K57" s="50"/>
      <c r="L57" s="50"/>
      <c r="M57" s="50"/>
      <c r="N57" s="54" t="s">
        <v>43</v>
      </c>
      <c r="O57" s="49">
        <v>1</v>
      </c>
      <c r="P57" s="43">
        <v>175.25</v>
      </c>
      <c r="Q57" s="49">
        <v>1</v>
      </c>
      <c r="R57" s="44">
        <f>P57/O57</f>
        <v>175.25</v>
      </c>
      <c r="S57" s="49">
        <f>Q57*O57</f>
        <v>1</v>
      </c>
      <c r="T57" s="52">
        <f>S57*R57</f>
        <v>175.25</v>
      </c>
      <c r="U57" s="55">
        <f>IFERROR(T57-X57,0)</f>
        <v>-251.75920000000002</v>
      </c>
      <c r="V57" s="56">
        <f>IFERROR(U57/T57,0)</f>
        <v>-1.436571754636234</v>
      </c>
      <c r="W57" s="57" t="str">
        <f>IF($V57&lt;0,"Negative",IF($V57=0,"Same",IF($V57&gt;0.3,"30+%",IF($V57&gt;0.2,"20-30%",IF($V57&gt;0.1,"10-20%",IF($V57&lt;=0.1,"0-10%"))))))</f>
        <v>Negative</v>
      </c>
      <c r="X57" s="66">
        <f>IFERROR(Y57*S57,0)</f>
        <v>427.00920000000002</v>
      </c>
      <c r="Y57" s="66">
        <f>IFERROR(Z57/AB57,0)</f>
        <v>427.00920000000002</v>
      </c>
      <c r="Z57" s="69">
        <v>427.00920000000002</v>
      </c>
      <c r="AA57" s="50" t="s">
        <v>63</v>
      </c>
      <c r="AB57" s="50">
        <v>1</v>
      </c>
      <c r="AC57" s="50" t="s">
        <v>53</v>
      </c>
      <c r="AD57" s="50" t="s">
        <v>149</v>
      </c>
      <c r="AE57" s="50" t="s">
        <v>323</v>
      </c>
      <c r="AF57" s="50" t="s">
        <v>324</v>
      </c>
      <c r="AG57" s="50" t="s">
        <v>107</v>
      </c>
      <c r="AH57" s="50" t="s">
        <v>325</v>
      </c>
      <c r="AI57" s="50" t="s">
        <v>58</v>
      </c>
      <c r="AJ57" s="50" t="s">
        <v>59</v>
      </c>
      <c r="AK57" s="50"/>
      <c r="AL57" s="44"/>
      <c r="AM57" s="45"/>
      <c r="AN57" s="50"/>
      <c r="AO57" s="69"/>
      <c r="AP57" s="69"/>
      <c r="AQ57" s="69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5">
        <f>T57-BF57</f>
        <v>-251.75920000000002</v>
      </c>
      <c r="BD57" s="56">
        <f>BC57/T57</f>
        <v>-1.436571754636234</v>
      </c>
      <c r="BE57" s="61" t="str">
        <f>IF(BD57&lt;0,"Negative",IF(BD57=0,"Same",IF(BD57&gt;0.3,"30+%",IF(BD57&gt;0.2,"20-30%",IF(BD57&gt;0.1,"10-20%",IF(BD57&lt;=0.1,"0-10%"))))))</f>
        <v>Negative</v>
      </c>
      <c r="BF57" s="65">
        <f>BG57*S57</f>
        <v>427.00920000000002</v>
      </c>
      <c r="BG57" s="66">
        <f>BH57/BJ57</f>
        <v>427.00920000000002</v>
      </c>
      <c r="BH57" s="66">
        <f>IF(BS57="Original",Z57,AQ57)</f>
        <v>427.00920000000002</v>
      </c>
      <c r="BI57" s="60" t="str">
        <f>IF(BS57="Original",AA57,AR57)</f>
        <v>Piece</v>
      </c>
      <c r="BJ57" s="60">
        <f>IF(BS57="Original",AB57,AS57)</f>
        <v>1</v>
      </c>
      <c r="BK57" s="60" t="str">
        <f>IF(BS57="Original",AC57,AT57)</f>
        <v>Possible UOM or LPP issue.</v>
      </c>
      <c r="BL57" s="60" t="str">
        <f>IF(BS57="Original",AD57,AU57)</f>
        <v>PRECISION BRAND PRODUCTS, INC.</v>
      </c>
      <c r="BM57" s="60" t="str">
        <f>IF(BS57="Original",AE57,AV57)</f>
        <v>20610</v>
      </c>
      <c r="BN57" s="60" t="str">
        <f>IF(BS57="Original",AF57,AW57)</f>
        <v>0993327</v>
      </c>
      <c r="BO57" s="60" t="str">
        <f>IF(BS57="Original",AG57,AX57)</f>
        <v>Raw Materials</v>
      </c>
      <c r="BP57" s="60" t="str">
        <f>IF(BS57="Original",AH57,AY57)</f>
        <v>24" x 50' x .002" Type 309 Stainless Steel Tool Wrap/Foil</v>
      </c>
      <c r="BQ57" s="60" t="str">
        <f>IF(BS57="Original",AI57,AZ57)</f>
        <v>Similar Match</v>
      </c>
      <c r="BR57" s="60" t="str">
        <f>IF(BS57="Original",AJ57,BA57)</f>
        <v>No</v>
      </c>
      <c r="BS57" s="60" t="str">
        <f>IF(AQ57="","Original",IF(AP57&lt;Y57,"Alternate","Original"))</f>
        <v>Original</v>
      </c>
    </row>
    <row r="58" spans="1:71" s="31" customFormat="1" x14ac:dyDescent="0.35">
      <c r="A58" s="53" t="s">
        <v>39</v>
      </c>
      <c r="B58" s="49">
        <v>56</v>
      </c>
      <c r="C58" s="50"/>
      <c r="D58" s="50"/>
      <c r="E58" s="51"/>
      <c r="F58" s="50" t="s">
        <v>60</v>
      </c>
      <c r="G58" s="50" t="s">
        <v>326</v>
      </c>
      <c r="H58" s="50" t="s">
        <v>327</v>
      </c>
      <c r="I58" s="50"/>
      <c r="J58" s="50"/>
      <c r="K58" s="50"/>
      <c r="L58" s="50"/>
      <c r="M58" s="50"/>
      <c r="N58" s="54" t="s">
        <v>43</v>
      </c>
      <c r="O58" s="49">
        <v>1</v>
      </c>
      <c r="P58" s="43">
        <v>174.97</v>
      </c>
      <c r="Q58" s="49">
        <v>1</v>
      </c>
      <c r="R58" s="44">
        <f>P58/O58</f>
        <v>174.97</v>
      </c>
      <c r="S58" s="49">
        <f>Q58*O58</f>
        <v>1</v>
      </c>
      <c r="T58" s="52">
        <f>S58*R58</f>
        <v>174.97</v>
      </c>
      <c r="U58" s="55">
        <f>IFERROR(T58-X58,0)</f>
        <v>54.812200000000004</v>
      </c>
      <c r="V58" s="56">
        <f>IFERROR(U58/T58,0)</f>
        <v>0.31326627421843745</v>
      </c>
      <c r="W58" s="57" t="str">
        <f>IF($V58&lt;0,"Negative",IF($V58=0,"Same",IF($V58&gt;0.3,"30+%",IF($V58&gt;0.2,"20-30%",IF($V58&gt;0.1,"10-20%",IF($V58&lt;=0.1,"0-10%"))))))</f>
        <v>30+%</v>
      </c>
      <c r="X58" s="66">
        <f>IFERROR(Y58*S58,0)</f>
        <v>120.15779999999999</v>
      </c>
      <c r="Y58" s="66">
        <f>IFERROR(Z58/AB58,0)</f>
        <v>120.15779999999999</v>
      </c>
      <c r="Z58" s="69">
        <v>120.15779999999999</v>
      </c>
      <c r="AA58" s="50" t="s">
        <v>63</v>
      </c>
      <c r="AB58" s="50">
        <v>1</v>
      </c>
      <c r="AC58" s="50"/>
      <c r="AD58" s="50" t="s">
        <v>328</v>
      </c>
      <c r="AE58" s="50" t="s">
        <v>329</v>
      </c>
      <c r="AF58" s="50" t="s">
        <v>330</v>
      </c>
      <c r="AG58" s="50" t="s">
        <v>67</v>
      </c>
      <c r="AH58" s="50" t="s">
        <v>331</v>
      </c>
      <c r="AI58" s="50" t="s">
        <v>69</v>
      </c>
      <c r="AJ58" s="50" t="s">
        <v>59</v>
      </c>
      <c r="AK58" s="50"/>
      <c r="AL58" s="44"/>
      <c r="AM58" s="45"/>
      <c r="AN58" s="50"/>
      <c r="AO58" s="69"/>
      <c r="AP58" s="69"/>
      <c r="AQ58" s="69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5">
        <f>T58-BF58</f>
        <v>54.812200000000004</v>
      </c>
      <c r="BD58" s="56">
        <f>BC58/T58</f>
        <v>0.31326627421843745</v>
      </c>
      <c r="BE58" s="61" t="str">
        <f>IF(BD58&lt;0,"Negative",IF(BD58=0,"Same",IF(BD58&gt;0.3,"30+%",IF(BD58&gt;0.2,"20-30%",IF(BD58&gt;0.1,"10-20%",IF(BD58&lt;=0.1,"0-10%"))))))</f>
        <v>30+%</v>
      </c>
      <c r="BF58" s="65">
        <f>BG58*S58</f>
        <v>120.15779999999999</v>
      </c>
      <c r="BG58" s="66">
        <f>BH58/BJ58</f>
        <v>120.15779999999999</v>
      </c>
      <c r="BH58" s="66">
        <f>IF(BS58="Original",Z58,AQ58)</f>
        <v>120.15779999999999</v>
      </c>
      <c r="BI58" s="60" t="str">
        <f>IF(BS58="Original",AA58,AR58)</f>
        <v>Piece</v>
      </c>
      <c r="BJ58" s="60">
        <f>IF(BS58="Original",AB58,AS58)</f>
        <v>1</v>
      </c>
      <c r="BK58" s="60"/>
      <c r="BL58" s="60" t="str">
        <f>IF(BS58="Original",AD58,AU58)</f>
        <v>VESTIL MFG. CO.</v>
      </c>
      <c r="BM58" s="60" t="str">
        <f>IF(BS58="Original",AE58,AV58)</f>
        <v>TPA-10</v>
      </c>
      <c r="BN58" s="60" t="str">
        <f>IF(BS58="Original",AF58,AW58)</f>
        <v>7019036</v>
      </c>
      <c r="BO58" s="60" t="str">
        <f>IF(BS58="Original",AG58,AX58)</f>
        <v>Safety</v>
      </c>
      <c r="BP58" s="60" t="str">
        <f>IF(BS58="Original",AH58,AY58)</f>
        <v>Economy Floor Tape Applicator</v>
      </c>
      <c r="BQ58" s="60" t="str">
        <f>IF(BS58="Original",AI58,AZ58)</f>
        <v>Exact Match</v>
      </c>
      <c r="BR58" s="60" t="str">
        <f>IF(BS58="Original",AJ58,BA58)</f>
        <v>No</v>
      </c>
      <c r="BS58" s="60" t="str">
        <f>IF(AQ58="","Original",IF(AP58&lt;Y58,"Alternate","Original"))</f>
        <v>Original</v>
      </c>
    </row>
    <row r="59" spans="1:71" s="31" customFormat="1" x14ac:dyDescent="0.35">
      <c r="A59" s="53" t="s">
        <v>39</v>
      </c>
      <c r="B59" s="49">
        <v>57</v>
      </c>
      <c r="C59" s="50"/>
      <c r="D59" s="50"/>
      <c r="E59" s="51"/>
      <c r="F59" s="50" t="s">
        <v>60</v>
      </c>
      <c r="G59" s="50" t="s">
        <v>332</v>
      </c>
      <c r="H59" s="50" t="s">
        <v>333</v>
      </c>
      <c r="I59" s="50"/>
      <c r="J59" s="50"/>
      <c r="K59" s="50"/>
      <c r="L59" s="50"/>
      <c r="M59" s="50"/>
      <c r="N59" s="54" t="s">
        <v>43</v>
      </c>
      <c r="O59" s="49">
        <v>1</v>
      </c>
      <c r="P59" s="43">
        <v>172.9</v>
      </c>
      <c r="Q59" s="49">
        <v>1</v>
      </c>
      <c r="R59" s="44">
        <f>P59/O59</f>
        <v>172.9</v>
      </c>
      <c r="S59" s="49">
        <f>Q59*O59</f>
        <v>1</v>
      </c>
      <c r="T59" s="52">
        <f>S59*R59</f>
        <v>172.9</v>
      </c>
      <c r="U59" s="55">
        <f>IFERROR(T59-X59,0)</f>
        <v>143.56970000000001</v>
      </c>
      <c r="V59" s="56">
        <f>IFERROR(U59/T59,0)</f>
        <v>0.83036263736263738</v>
      </c>
      <c r="W59" s="57" t="str">
        <f>IF($V59&lt;0,"Negative",IF($V59=0,"Same",IF($V59&gt;0.3,"30+%",IF($V59&gt;0.2,"20-30%",IF($V59&gt;0.1,"10-20%",IF($V59&lt;=0.1,"0-10%"))))))</f>
        <v>30+%</v>
      </c>
      <c r="X59" s="66">
        <f>IFERROR(Y59*S59,0)</f>
        <v>29.330300000000001</v>
      </c>
      <c r="Y59" s="66">
        <f>IFERROR(Z59/AB59,0)</f>
        <v>29.330300000000001</v>
      </c>
      <c r="Z59" s="69">
        <v>29.330300000000001</v>
      </c>
      <c r="AA59" s="50" t="s">
        <v>63</v>
      </c>
      <c r="AB59" s="50">
        <v>1</v>
      </c>
      <c r="AC59" s="50" t="s">
        <v>53</v>
      </c>
      <c r="AD59" s="50" t="s">
        <v>334</v>
      </c>
      <c r="AE59" s="50" t="s">
        <v>335</v>
      </c>
      <c r="AF59" s="50" t="s">
        <v>336</v>
      </c>
      <c r="AG59" s="50" t="s">
        <v>160</v>
      </c>
      <c r="AH59" s="50" t="s">
        <v>337</v>
      </c>
      <c r="AI59" s="50" t="s">
        <v>69</v>
      </c>
      <c r="AJ59" s="50" t="s">
        <v>59</v>
      </c>
      <c r="AK59" s="50"/>
      <c r="AL59" s="44"/>
      <c r="AM59" s="45"/>
      <c r="AN59" s="50"/>
      <c r="AO59" s="69"/>
      <c r="AP59" s="69"/>
      <c r="AQ59" s="69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5">
        <f>T59-BF59</f>
        <v>143.56970000000001</v>
      </c>
      <c r="BD59" s="56">
        <f>BC59/T59</f>
        <v>0.83036263736263738</v>
      </c>
      <c r="BE59" s="61" t="str">
        <f>IF(BD59&lt;0,"Negative",IF(BD59=0,"Same",IF(BD59&gt;0.3,"30+%",IF(BD59&gt;0.2,"20-30%",IF(BD59&gt;0.1,"10-20%",IF(BD59&lt;=0.1,"0-10%"))))))</f>
        <v>30+%</v>
      </c>
      <c r="BF59" s="65">
        <f>BG59*S59</f>
        <v>29.330300000000001</v>
      </c>
      <c r="BG59" s="66">
        <f>BH59/BJ59</f>
        <v>29.330300000000001</v>
      </c>
      <c r="BH59" s="66">
        <f>IF(BS59="Original",Z59,AQ59)</f>
        <v>29.330300000000001</v>
      </c>
      <c r="BI59" s="60" t="str">
        <f>IF(BS59="Original",AA59,AR59)</f>
        <v>Piece</v>
      </c>
      <c r="BJ59" s="60">
        <f>IF(BS59="Original",AB59,AS59)</f>
        <v>1</v>
      </c>
      <c r="BK59" s="60" t="str">
        <f>IF(BS59="Original",AC59,AT59)</f>
        <v>Possible UOM or LPP issue.</v>
      </c>
      <c r="BL59" s="60" t="str">
        <f>IF(BS59="Original",AD59,AU59)</f>
        <v>WERA TOOLS NA INC.</v>
      </c>
      <c r="BM59" s="60" t="str">
        <f>IF(BS59="Original",AE59,AV59)</f>
        <v>05073230001</v>
      </c>
      <c r="BN59" s="60" t="str">
        <f>IF(BS59="Original",AF59,AW59)</f>
        <v>0251078</v>
      </c>
      <c r="BO59" s="60" t="str">
        <f>IF(BS59="Original",AG59,AX59)</f>
        <v>Tools and Equipment</v>
      </c>
      <c r="BP59" s="60" t="str">
        <f>IF(BS59="Original",AH59,AY59)</f>
        <v>1/4" Mini Ratchet 1/2" x 3.25" OAL holds insert or power bits</v>
      </c>
      <c r="BQ59" s="60" t="str">
        <f>IF(BS59="Original",AI59,AZ59)</f>
        <v>Exact Match</v>
      </c>
      <c r="BR59" s="60" t="str">
        <f>IF(BS59="Original",AJ59,BA59)</f>
        <v>No</v>
      </c>
      <c r="BS59" s="60" t="str">
        <f>IF(AQ59="","Original",IF(AP59&lt;Y59,"Alternate","Original"))</f>
        <v>Original</v>
      </c>
    </row>
    <row r="60" spans="1:71" s="31" customFormat="1" x14ac:dyDescent="0.35">
      <c r="A60" s="53" t="s">
        <v>39</v>
      </c>
      <c r="B60" s="49">
        <v>58</v>
      </c>
      <c r="C60" s="50"/>
      <c r="D60" s="50"/>
      <c r="E60" s="51"/>
      <c r="F60" s="50" t="s">
        <v>40</v>
      </c>
      <c r="G60" s="50" t="s">
        <v>338</v>
      </c>
      <c r="H60" s="50" t="s">
        <v>339</v>
      </c>
      <c r="I60" s="50"/>
      <c r="J60" s="50"/>
      <c r="K60" s="50"/>
      <c r="L60" s="50"/>
      <c r="M60" s="50"/>
      <c r="N60" s="54" t="s">
        <v>43</v>
      </c>
      <c r="O60" s="49">
        <v>1</v>
      </c>
      <c r="P60" s="43">
        <v>168.97</v>
      </c>
      <c r="Q60" s="49">
        <v>1</v>
      </c>
      <c r="R60" s="44">
        <f>P60/O60</f>
        <v>168.97</v>
      </c>
      <c r="S60" s="49">
        <f>Q60*O60</f>
        <v>1</v>
      </c>
      <c r="T60" s="52">
        <f>S60*R60</f>
        <v>168.97</v>
      </c>
      <c r="U60" s="50"/>
      <c r="V60" s="50"/>
      <c r="W60" s="50"/>
      <c r="X60" s="69"/>
      <c r="Y60" s="69"/>
      <c r="Z60" s="69"/>
      <c r="AA60" s="50"/>
      <c r="AB60" s="50"/>
      <c r="AC60" s="50" t="s">
        <v>340</v>
      </c>
      <c r="AD60" s="50"/>
      <c r="AE60" s="50"/>
      <c r="AF60" s="50"/>
      <c r="AG60" s="50"/>
      <c r="AH60" s="50"/>
      <c r="AI60" s="50" t="s">
        <v>44</v>
      </c>
      <c r="AJ60" s="50"/>
      <c r="AK60" s="50"/>
      <c r="AL60" s="44"/>
      <c r="AM60" s="45"/>
      <c r="AN60" s="50"/>
      <c r="AO60" s="69"/>
      <c r="AP60" s="69"/>
      <c r="AQ60" s="69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5"/>
      <c r="BD60" s="56"/>
      <c r="BE60" s="61"/>
      <c r="BF60" s="65"/>
      <c r="BG60" s="66"/>
      <c r="BH60" s="66"/>
      <c r="BI60" s="60"/>
      <c r="BJ60" s="60"/>
      <c r="BK60" s="60" t="str">
        <f>IF(BS60="Original",AC60,AT60)</f>
        <v>Need length.</v>
      </c>
      <c r="BL60" s="60"/>
      <c r="BM60" s="60"/>
      <c r="BN60" s="60"/>
      <c r="BO60" s="60"/>
      <c r="BP60" s="60"/>
      <c r="BQ60" s="60" t="str">
        <f>IF(BS60="Original",AI60,AZ60)</f>
        <v>Not Enough Product Data</v>
      </c>
      <c r="BR60" s="60"/>
      <c r="BS60" s="60" t="str">
        <f>IF(AQ60="","Original",IF(AP60&lt;Y60,"Alternate","Original"))</f>
        <v>Original</v>
      </c>
    </row>
    <row r="61" spans="1:71" s="31" customFormat="1" x14ac:dyDescent="0.35">
      <c r="A61" s="53" t="s">
        <v>39</v>
      </c>
      <c r="B61" s="49">
        <v>59</v>
      </c>
      <c r="C61" s="50"/>
      <c r="D61" s="50"/>
      <c r="E61" s="51"/>
      <c r="F61" s="50" t="s">
        <v>60</v>
      </c>
      <c r="G61" s="50" t="s">
        <v>341</v>
      </c>
      <c r="H61" s="50" t="s">
        <v>342</v>
      </c>
      <c r="I61" s="50"/>
      <c r="J61" s="50"/>
      <c r="K61" s="50"/>
      <c r="L61" s="50"/>
      <c r="M61" s="50"/>
      <c r="N61" s="54" t="s">
        <v>43</v>
      </c>
      <c r="O61" s="49">
        <v>1</v>
      </c>
      <c r="P61" s="43">
        <v>56</v>
      </c>
      <c r="Q61" s="49">
        <v>3</v>
      </c>
      <c r="R61" s="44">
        <f>P61/O61</f>
        <v>56</v>
      </c>
      <c r="S61" s="49">
        <f>Q61*O61</f>
        <v>3</v>
      </c>
      <c r="T61" s="52">
        <f>S61*R61</f>
        <v>168</v>
      </c>
      <c r="U61" s="55">
        <f>IFERROR(T61-X61,0)</f>
        <v>50.296199999999999</v>
      </c>
      <c r="V61" s="56">
        <f>IFERROR(U61/T61,0)</f>
        <v>0.29938214285714287</v>
      </c>
      <c r="W61" s="57" t="str">
        <f>IF($V61&lt;0,"Negative",IF($V61=0,"Same",IF($V61&gt;0.3,"30+%",IF($V61&gt;0.2,"20-30%",IF($V61&gt;0.1,"10-20%",IF($V61&lt;=0.1,"0-10%"))))))</f>
        <v>20-30%</v>
      </c>
      <c r="X61" s="66">
        <f>IFERROR(Y61*S61,0)</f>
        <v>117.7038</v>
      </c>
      <c r="Y61" s="66">
        <f>IFERROR(Z61/AB61,0)</f>
        <v>39.2346</v>
      </c>
      <c r="Z61" s="69">
        <v>39.2346</v>
      </c>
      <c r="AA61" s="50" t="s">
        <v>118</v>
      </c>
      <c r="AB61" s="50">
        <v>1</v>
      </c>
      <c r="AC61" s="50"/>
      <c r="AD61" s="50" t="s">
        <v>119</v>
      </c>
      <c r="AE61" s="50" t="s">
        <v>343</v>
      </c>
      <c r="AF61" s="50" t="s">
        <v>344</v>
      </c>
      <c r="AG61" s="50" t="s">
        <v>67</v>
      </c>
      <c r="AH61" s="50" t="s">
        <v>345</v>
      </c>
      <c r="AI61" s="50" t="s">
        <v>69</v>
      </c>
      <c r="AJ61" s="50" t="s">
        <v>73</v>
      </c>
      <c r="AK61" s="50"/>
      <c r="AL61" s="44"/>
      <c r="AM61" s="45"/>
      <c r="AN61" s="50"/>
      <c r="AO61" s="69"/>
      <c r="AP61" s="69"/>
      <c r="AQ61" s="69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5">
        <f>T61-BF61</f>
        <v>50.296199999999999</v>
      </c>
      <c r="BD61" s="56">
        <f>BC61/T61</f>
        <v>0.29938214285714287</v>
      </c>
      <c r="BE61" s="61" t="str">
        <f>IF(BD61&lt;0,"Negative",IF(BD61=0,"Same",IF(BD61&gt;0.3,"30+%",IF(BD61&gt;0.2,"20-30%",IF(BD61&gt;0.1,"10-20%",IF(BD61&lt;=0.1,"0-10%"))))))</f>
        <v>20-30%</v>
      </c>
      <c r="BF61" s="65">
        <f>BG61*S61</f>
        <v>117.7038</v>
      </c>
      <c r="BG61" s="66">
        <f>BH61/BJ61</f>
        <v>39.2346</v>
      </c>
      <c r="BH61" s="66">
        <f>IF(BS61="Original",Z61,AQ61)</f>
        <v>39.2346</v>
      </c>
      <c r="BI61" s="60" t="str">
        <f>IF(BS61="Original",AA61,AR61)</f>
        <v>Roll</v>
      </c>
      <c r="BJ61" s="60">
        <f>IF(BS61="Original",AB61,AS61)</f>
        <v>1</v>
      </c>
      <c r="BK61" s="60"/>
      <c r="BL61" s="60" t="str">
        <f>IF(BS61="Original",AD61,AU61)</f>
        <v>Toughstripe[TM]</v>
      </c>
      <c r="BM61" s="60" t="str">
        <f>IF(BS61="Original",AE61,AV61)</f>
        <v>104315</v>
      </c>
      <c r="BN61" s="60" t="str">
        <f>IF(BS61="Original",AF61,AW61)</f>
        <v>1031843</v>
      </c>
      <c r="BO61" s="60" t="str">
        <f>IF(BS61="Original",AG61,AX61)</f>
        <v>Safety</v>
      </c>
      <c r="BP61" s="60" t="str">
        <f>IF(BS61="Original",AH61,AY61)</f>
        <v>33 yd (100') L X 2" W 8 mil Toughstripe[TM] Green General Purpose Floor Marking Tape Blank</v>
      </c>
      <c r="BQ61" s="60" t="str">
        <f>IF(BS61="Original",AI61,AZ61)</f>
        <v>Exact Match</v>
      </c>
      <c r="BR61" s="60" t="str">
        <f>IF(BS61="Original",AJ61,BA61)</f>
        <v>Yes</v>
      </c>
      <c r="BS61" s="60" t="str">
        <f>IF(AQ61="","Original",IF(AP61&lt;Y61,"Alternate","Original"))</f>
        <v>Original</v>
      </c>
    </row>
    <row r="62" spans="1:71" s="31" customFormat="1" x14ac:dyDescent="0.35">
      <c r="A62" s="53" t="s">
        <v>39</v>
      </c>
      <c r="B62" s="49">
        <v>60</v>
      </c>
      <c r="C62" s="50"/>
      <c r="D62" s="50"/>
      <c r="E62" s="51"/>
      <c r="F62" s="50" t="s">
        <v>60</v>
      </c>
      <c r="G62" s="50" t="s">
        <v>346</v>
      </c>
      <c r="H62" s="50" t="s">
        <v>347</v>
      </c>
      <c r="I62" s="50"/>
      <c r="J62" s="50"/>
      <c r="K62" s="50"/>
      <c r="L62" s="50"/>
      <c r="M62" s="50"/>
      <c r="N62" s="54" t="s">
        <v>43</v>
      </c>
      <c r="O62" s="49">
        <v>1</v>
      </c>
      <c r="P62" s="43">
        <v>42</v>
      </c>
      <c r="Q62" s="49">
        <v>4</v>
      </c>
      <c r="R62" s="44">
        <f>P62/O62</f>
        <v>42</v>
      </c>
      <c r="S62" s="49">
        <f>Q62*O62</f>
        <v>4</v>
      </c>
      <c r="T62" s="52">
        <f>S62*R62</f>
        <v>168</v>
      </c>
      <c r="U62" s="55">
        <f>IFERROR(T62-X62,0)</f>
        <v>13.066000000000003</v>
      </c>
      <c r="V62" s="56">
        <f>IFERROR(U62/T62,0)</f>
        <v>7.7773809523809537E-2</v>
      </c>
      <c r="W62" s="57" t="str">
        <f>IF($V62&lt;0,"Negative",IF($V62=0,"Same",IF($V62&gt;0.3,"30+%",IF($V62&gt;0.2,"20-30%",IF($V62&gt;0.1,"10-20%",IF($V62&lt;=0.1,"0-10%"))))))</f>
        <v>0-10%</v>
      </c>
      <c r="X62" s="66">
        <f>IFERROR(Y62*S62,0)</f>
        <v>154.934</v>
      </c>
      <c r="Y62" s="66">
        <f>IFERROR(Z62/AB62,0)</f>
        <v>38.733499999999999</v>
      </c>
      <c r="Z62" s="69">
        <v>38.733499999999999</v>
      </c>
      <c r="AA62" s="50" t="s">
        <v>118</v>
      </c>
      <c r="AB62" s="50">
        <v>1</v>
      </c>
      <c r="AC62" s="50"/>
      <c r="AD62" s="50" t="s">
        <v>119</v>
      </c>
      <c r="AE62" s="50" t="s">
        <v>348</v>
      </c>
      <c r="AF62" s="50" t="s">
        <v>349</v>
      </c>
      <c r="AG62" s="50" t="s">
        <v>67</v>
      </c>
      <c r="AH62" s="50" t="s">
        <v>350</v>
      </c>
      <c r="AI62" s="50" t="s">
        <v>69</v>
      </c>
      <c r="AJ62" s="50" t="s">
        <v>73</v>
      </c>
      <c r="AK62" s="50"/>
      <c r="AL62" s="58">
        <f>IF(AQ62="","",T62-AO62)</f>
        <v>147.12559999999999</v>
      </c>
      <c r="AM62" s="59">
        <f>IFERROR(AL62/T62,"")</f>
        <v>0.875747619047619</v>
      </c>
      <c r="AN62" s="60" t="str">
        <f>IF(AM62="","",IF(AM62&lt;0,"Negative",IF(AM62=0,"Same",IF(AM62&gt;0.3,"30+%",IF(AM62&gt;0.2,"20-30%",IF(AM62&gt;0.1,"10-20%",IF(AM62&lt;=0.1,"0-10%")))))))</f>
        <v>30+%</v>
      </c>
      <c r="AO62" s="66">
        <f>IFERROR(AP62*S62,"")</f>
        <v>20.874400000000001</v>
      </c>
      <c r="AP62" s="66">
        <f>IFERROR(AQ62/AS62,"")</f>
        <v>5.2186000000000003</v>
      </c>
      <c r="AQ62" s="69">
        <v>5.2186000000000003</v>
      </c>
      <c r="AR62" s="50" t="s">
        <v>118</v>
      </c>
      <c r="AS62" s="50">
        <v>1</v>
      </c>
      <c r="AT62" s="50" t="s">
        <v>53</v>
      </c>
      <c r="AU62" s="50" t="s">
        <v>70</v>
      </c>
      <c r="AV62" s="50" t="s">
        <v>351</v>
      </c>
      <c r="AW62" s="50" t="s">
        <v>351</v>
      </c>
      <c r="AX62" s="50" t="s">
        <v>67</v>
      </c>
      <c r="AY62" s="50" t="s">
        <v>352</v>
      </c>
      <c r="AZ62" s="50" t="s">
        <v>58</v>
      </c>
      <c r="BA62" s="50" t="s">
        <v>73</v>
      </c>
      <c r="BB62" s="50"/>
      <c r="BC62" s="55">
        <f>T62-BF62</f>
        <v>147.12559999999999</v>
      </c>
      <c r="BD62" s="56">
        <f>BC62/T62</f>
        <v>0.875747619047619</v>
      </c>
      <c r="BE62" s="61" t="str">
        <f>IF(BD62&lt;0,"Negative",IF(BD62=0,"Same",IF(BD62&gt;0.3,"30+%",IF(BD62&gt;0.2,"20-30%",IF(BD62&gt;0.1,"10-20%",IF(BD62&lt;=0.1,"0-10%"))))))</f>
        <v>30+%</v>
      </c>
      <c r="BF62" s="65">
        <f>BG62*S62</f>
        <v>20.874400000000001</v>
      </c>
      <c r="BG62" s="66">
        <f>BH62/BJ62</f>
        <v>5.2186000000000003</v>
      </c>
      <c r="BH62" s="66">
        <f>IF(BS62="Original",Z62,AQ62)</f>
        <v>5.2186000000000003</v>
      </c>
      <c r="BI62" s="60" t="str">
        <f>IF(BS62="Original",AA62,AR62)</f>
        <v>Roll</v>
      </c>
      <c r="BJ62" s="60">
        <f>IF(BS62="Original",AB62,AS62)</f>
        <v>1</v>
      </c>
      <c r="BK62" s="60" t="str">
        <f>IF(BS62="Original",AC62,AT62)</f>
        <v>Possible UOM or LPP issue.</v>
      </c>
      <c r="BL62" s="60" t="str">
        <f>IF(BS62="Original",AD62,AU62)</f>
        <v>Agent[REG]</v>
      </c>
      <c r="BM62" s="60" t="str">
        <f>IF(BS62="Original",AE62,AV62)</f>
        <v>1054432</v>
      </c>
      <c r="BN62" s="60" t="str">
        <f>IF(BS62="Original",AF62,AW62)</f>
        <v>1054432</v>
      </c>
      <c r="BO62" s="60" t="str">
        <f>IF(BS62="Original",AG62,AX62)</f>
        <v>Safety</v>
      </c>
      <c r="BP62" s="60" t="str">
        <f>IF(BS62="Original",AH62,AY62)</f>
        <v>36 yd (108') L X 2" W 6 mil  Orange General Purpose Aisle Marking Tape Blank</v>
      </c>
      <c r="BQ62" s="60" t="str">
        <f>IF(BS62="Original",AI62,AZ62)</f>
        <v>Similar Match</v>
      </c>
      <c r="BR62" s="60" t="str">
        <f>IF(BS62="Original",AJ62,BA62)</f>
        <v>Yes</v>
      </c>
      <c r="BS62" s="60" t="str">
        <f>IF(AQ62="","Original",IF(AP62&lt;Y62,"Alternate","Original"))</f>
        <v>Alternate</v>
      </c>
    </row>
    <row r="63" spans="1:71" s="31" customFormat="1" x14ac:dyDescent="0.35">
      <c r="A63" s="53" t="s">
        <v>39</v>
      </c>
      <c r="B63" s="49">
        <v>61</v>
      </c>
      <c r="C63" s="50"/>
      <c r="D63" s="50"/>
      <c r="E63" s="51"/>
      <c r="F63" s="50" t="s">
        <v>60</v>
      </c>
      <c r="G63" s="50" t="s">
        <v>353</v>
      </c>
      <c r="H63" s="50" t="s">
        <v>354</v>
      </c>
      <c r="I63" s="50"/>
      <c r="J63" s="50"/>
      <c r="K63" s="50"/>
      <c r="L63" s="50"/>
      <c r="M63" s="50"/>
      <c r="N63" s="54" t="s">
        <v>43</v>
      </c>
      <c r="O63" s="49">
        <v>1</v>
      </c>
      <c r="P63" s="43">
        <v>165.35</v>
      </c>
      <c r="Q63" s="49">
        <v>1</v>
      </c>
      <c r="R63" s="44">
        <f>P63/O63</f>
        <v>165.35</v>
      </c>
      <c r="S63" s="49">
        <f>Q63*O63</f>
        <v>1</v>
      </c>
      <c r="T63" s="52">
        <f>S63*R63</f>
        <v>165.35</v>
      </c>
      <c r="U63" s="55">
        <f>IFERROR(T63-X63,0)</f>
        <v>71.563999999999993</v>
      </c>
      <c r="V63" s="56">
        <f>IFERROR(U63/T63,0)</f>
        <v>0.43280314484426968</v>
      </c>
      <c r="W63" s="57" t="str">
        <f>IF($V63&lt;0,"Negative",IF($V63=0,"Same",IF($V63&gt;0.3,"30+%",IF($V63&gt;0.2,"20-30%",IF($V63&gt;0.1,"10-20%",IF($V63&lt;=0.1,"0-10%"))))))</f>
        <v>30+%</v>
      </c>
      <c r="X63" s="66">
        <f>IFERROR(Y63*S63,0)</f>
        <v>93.786000000000001</v>
      </c>
      <c r="Y63" s="66">
        <f>IFERROR(Z63/AB63,0)</f>
        <v>93.786000000000001</v>
      </c>
      <c r="Z63" s="69">
        <v>93.786000000000001</v>
      </c>
      <c r="AA63" s="50" t="s">
        <v>63</v>
      </c>
      <c r="AB63" s="50">
        <v>1</v>
      </c>
      <c r="AC63" s="50" t="s">
        <v>355</v>
      </c>
      <c r="AD63" s="50" t="s">
        <v>104</v>
      </c>
      <c r="AE63" s="50" t="s">
        <v>356</v>
      </c>
      <c r="AF63" s="50" t="s">
        <v>356</v>
      </c>
      <c r="AG63" s="50" t="s">
        <v>160</v>
      </c>
      <c r="AH63" s="50" t="s">
        <v>357</v>
      </c>
      <c r="AI63" s="50" t="s">
        <v>69</v>
      </c>
      <c r="AJ63" s="50" t="s">
        <v>59</v>
      </c>
      <c r="AK63" s="50"/>
      <c r="AL63" s="44"/>
      <c r="AM63" s="45"/>
      <c r="AN63" s="50"/>
      <c r="AO63" s="69"/>
      <c r="AP63" s="69"/>
      <c r="AQ63" s="69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5">
        <f>T63-BF63</f>
        <v>71.563999999999993</v>
      </c>
      <c r="BD63" s="56">
        <f>BC63/T63</f>
        <v>0.43280314484426968</v>
      </c>
      <c r="BE63" s="61" t="str">
        <f>IF(BD63&lt;0,"Negative",IF(BD63=0,"Same",IF(BD63&gt;0.3,"30+%",IF(BD63&gt;0.2,"20-30%",IF(BD63&gt;0.1,"10-20%",IF(BD63&lt;=0.1,"0-10%"))))))</f>
        <v>30+%</v>
      </c>
      <c r="BF63" s="65">
        <f>BG63*S63</f>
        <v>93.786000000000001</v>
      </c>
      <c r="BG63" s="66">
        <f>BH63/BJ63</f>
        <v>93.786000000000001</v>
      </c>
      <c r="BH63" s="66">
        <f>IF(BS63="Original",Z63,AQ63)</f>
        <v>93.786000000000001</v>
      </c>
      <c r="BI63" s="60" t="str">
        <f>IF(BS63="Original",AA63,AR63)</f>
        <v>Piece</v>
      </c>
      <c r="BJ63" s="60">
        <f>IF(BS63="Original",AB63,AS63)</f>
        <v>1</v>
      </c>
      <c r="BK63" s="60" t="str">
        <f>IF(BS63="Original",AC63,AT63)</f>
        <v>$200 order minimum.</v>
      </c>
      <c r="BL63" s="60" t="str">
        <f>IF(BS63="Original",AD63,AU63)</f>
        <v>Fastenal Approved Vendor</v>
      </c>
      <c r="BM63" s="60" t="str">
        <f>IF(BS63="Original",AE63,AV63)</f>
        <v>2225165</v>
      </c>
      <c r="BN63" s="60" t="str">
        <f>IF(BS63="Original",AF63,AW63)</f>
        <v>2225165</v>
      </c>
      <c r="BO63" s="60" t="str">
        <f>IF(BS63="Original",AG63,AX63)</f>
        <v>Tools and Equipment</v>
      </c>
      <c r="BP63" s="60" t="str">
        <f>IF(BS63="Original",AH63,AY63)</f>
        <v>REPR Columbus McKinnon 35612 Lower Hook</v>
      </c>
      <c r="BQ63" s="60" t="str">
        <f>IF(BS63="Original",AI63,AZ63)</f>
        <v>Exact Match</v>
      </c>
      <c r="BR63" s="60" t="str">
        <f>IF(BS63="Original",AJ63,BA63)</f>
        <v>No</v>
      </c>
      <c r="BS63" s="60" t="str">
        <f>IF(AQ63="","Original",IF(AP63&lt;Y63,"Alternate","Original"))</f>
        <v>Original</v>
      </c>
    </row>
    <row r="64" spans="1:71" s="31" customFormat="1" x14ac:dyDescent="0.35">
      <c r="A64" s="53" t="s">
        <v>39</v>
      </c>
      <c r="B64" s="49">
        <v>62</v>
      </c>
      <c r="C64" s="50"/>
      <c r="D64" s="50"/>
      <c r="E64" s="51"/>
      <c r="F64" s="50" t="s">
        <v>49</v>
      </c>
      <c r="G64" s="50" t="s">
        <v>358</v>
      </c>
      <c r="H64" s="50" t="s">
        <v>359</v>
      </c>
      <c r="I64" s="50"/>
      <c r="J64" s="50"/>
      <c r="K64" s="50"/>
      <c r="L64" s="50"/>
      <c r="M64" s="50"/>
      <c r="N64" s="54" t="s">
        <v>43</v>
      </c>
      <c r="O64" s="49">
        <v>1</v>
      </c>
      <c r="P64" s="43">
        <v>163.16999999999999</v>
      </c>
      <c r="Q64" s="49">
        <v>1</v>
      </c>
      <c r="R64" s="44">
        <f>P64/O64</f>
        <v>163.16999999999999</v>
      </c>
      <c r="S64" s="49">
        <f>Q64*O64</f>
        <v>1</v>
      </c>
      <c r="T64" s="52">
        <f>S64*R64</f>
        <v>163.16999999999999</v>
      </c>
      <c r="U64" s="55">
        <f>IFERROR(T64-X64,0)</f>
        <v>141.32719999999998</v>
      </c>
      <c r="V64" s="56">
        <f>IFERROR(U64/T64,0)</f>
        <v>0.86613470613470611</v>
      </c>
      <c r="W64" s="57" t="str">
        <f>IF($V64&lt;0,"Negative",IF($V64=0,"Same",IF($V64&gt;0.3,"30+%",IF($V64&gt;0.2,"20-30%",IF($V64&gt;0.1,"10-20%",IF($V64&lt;=0.1,"0-10%"))))))</f>
        <v>30+%</v>
      </c>
      <c r="X64" s="66">
        <f>IFERROR(Y64*S64,0)</f>
        <v>21.8428</v>
      </c>
      <c r="Y64" s="66">
        <f>IFERROR(Z64/AB64,0)</f>
        <v>21.8428</v>
      </c>
      <c r="Z64" s="69">
        <v>21.8428</v>
      </c>
      <c r="AA64" s="50" t="s">
        <v>63</v>
      </c>
      <c r="AB64" s="50">
        <v>1</v>
      </c>
      <c r="AC64" s="50" t="s">
        <v>53</v>
      </c>
      <c r="AD64" s="50" t="s">
        <v>360</v>
      </c>
      <c r="AE64" s="50" t="s">
        <v>361</v>
      </c>
      <c r="AF64" s="50" t="s">
        <v>361</v>
      </c>
      <c r="AG64" s="50" t="s">
        <v>90</v>
      </c>
      <c r="AH64" s="50" t="s">
        <v>362</v>
      </c>
      <c r="AI64" s="50" t="s">
        <v>58</v>
      </c>
      <c r="AJ64" s="50" t="s">
        <v>59</v>
      </c>
      <c r="AK64" s="50"/>
      <c r="AL64" s="44"/>
      <c r="AM64" s="45"/>
      <c r="AN64" s="50"/>
      <c r="AO64" s="69"/>
      <c r="AP64" s="69"/>
      <c r="AQ64" s="69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5">
        <f>T64-BF64</f>
        <v>141.32719999999998</v>
      </c>
      <c r="BD64" s="56">
        <f>BC64/T64</f>
        <v>0.86613470613470611</v>
      </c>
      <c r="BE64" s="61" t="str">
        <f>IF(BD64&lt;0,"Negative",IF(BD64=0,"Same",IF(BD64&gt;0.3,"30+%",IF(BD64&gt;0.2,"20-30%",IF(BD64&gt;0.1,"10-20%",IF(BD64&lt;=0.1,"0-10%"))))))</f>
        <v>30+%</v>
      </c>
      <c r="BF64" s="65">
        <f>BG64*S64</f>
        <v>21.8428</v>
      </c>
      <c r="BG64" s="66">
        <f>BH64/BJ64</f>
        <v>21.8428</v>
      </c>
      <c r="BH64" s="66">
        <f>IF(BS64="Original",Z64,AQ64)</f>
        <v>21.8428</v>
      </c>
      <c r="BI64" s="60" t="str">
        <f>IF(BS64="Original",AA64,AR64)</f>
        <v>Piece</v>
      </c>
      <c r="BJ64" s="60">
        <f>IF(BS64="Original",AB64,AS64)</f>
        <v>1</v>
      </c>
      <c r="BK64" s="60" t="str">
        <f>IF(BS64="Original",AC64,AT64)</f>
        <v>Possible UOM or LPP issue.</v>
      </c>
      <c r="BL64" s="60" t="str">
        <f>IF(BS64="Original",AD64,AU64)</f>
        <v>Tritan[REG]</v>
      </c>
      <c r="BM64" s="60" t="str">
        <f>IF(BS64="Original",AE64,AV64)</f>
        <v>3299166</v>
      </c>
      <c r="BN64" s="60" t="str">
        <f>IF(BS64="Original",AF64,AW64)</f>
        <v>3299166</v>
      </c>
      <c r="BO64" s="60" t="str">
        <f>IF(BS64="Original",AG64,AX64)</f>
        <v>Test and Measurement</v>
      </c>
      <c r="BP64" s="60" t="str">
        <f>IF(BS64="Original",AH64,AY64)</f>
        <v>0" - 1.000" Range x 2.375" Dial x 0.001" Grad AGD Group 2 Dial Indicator</v>
      </c>
      <c r="BQ64" s="60" t="str">
        <f>IF(BS64="Original",AI64,AZ64)</f>
        <v>Similar Match</v>
      </c>
      <c r="BR64" s="60" t="str">
        <f>IF(BS64="Original",AJ64,BA64)</f>
        <v>No</v>
      </c>
      <c r="BS64" s="60" t="str">
        <f>IF(AQ64="","Original",IF(AP64&lt;Y64,"Alternate","Original"))</f>
        <v>Original</v>
      </c>
    </row>
    <row r="65" spans="1:71" s="31" customFormat="1" x14ac:dyDescent="0.35">
      <c r="A65" s="53" t="s">
        <v>39</v>
      </c>
      <c r="B65" s="49">
        <v>63</v>
      </c>
      <c r="C65" s="50"/>
      <c r="D65" s="50"/>
      <c r="E65" s="51"/>
      <c r="F65" s="50" t="s">
        <v>40</v>
      </c>
      <c r="G65" s="50" t="s">
        <v>363</v>
      </c>
      <c r="H65" s="50" t="s">
        <v>364</v>
      </c>
      <c r="I65" s="50"/>
      <c r="J65" s="50"/>
      <c r="K65" s="50"/>
      <c r="L65" s="50"/>
      <c r="M65" s="50"/>
      <c r="N65" s="54" t="s">
        <v>43</v>
      </c>
      <c r="O65" s="49">
        <v>1</v>
      </c>
      <c r="P65" s="43">
        <v>162.29</v>
      </c>
      <c r="Q65" s="49">
        <v>1</v>
      </c>
      <c r="R65" s="44">
        <f>P65/O65</f>
        <v>162.29</v>
      </c>
      <c r="S65" s="49">
        <f>Q65*O65</f>
        <v>1</v>
      </c>
      <c r="T65" s="52">
        <f>S65*R65</f>
        <v>162.29</v>
      </c>
      <c r="U65" s="55">
        <f>IFERROR(T65-X65,0)</f>
        <v>150.25919999999999</v>
      </c>
      <c r="V65" s="56">
        <f>IFERROR(U65/T65,0)</f>
        <v>0.92586850699365331</v>
      </c>
      <c r="W65" s="57" t="str">
        <f>IF($V65&lt;0,"Negative",IF($V65=0,"Same",IF($V65&gt;0.3,"30+%",IF($V65&gt;0.2,"20-30%",IF($V65&gt;0.1,"10-20%",IF($V65&lt;=0.1,"0-10%"))))))</f>
        <v>30+%</v>
      </c>
      <c r="X65" s="66">
        <f>IFERROR(Y65*S65,0)</f>
        <v>12.030799999999999</v>
      </c>
      <c r="Y65" s="66">
        <f>IFERROR(Z65/AB65,0)</f>
        <v>12.030799999999999</v>
      </c>
      <c r="Z65" s="69">
        <v>12.030799999999999</v>
      </c>
      <c r="AA65" s="50" t="s">
        <v>63</v>
      </c>
      <c r="AB65" s="50">
        <v>1</v>
      </c>
      <c r="AC65" s="50" t="s">
        <v>53</v>
      </c>
      <c r="AD65" s="50" t="s">
        <v>104</v>
      </c>
      <c r="AE65" s="50" t="s">
        <v>365</v>
      </c>
      <c r="AF65" s="50" t="s">
        <v>365</v>
      </c>
      <c r="AG65" s="50" t="s">
        <v>366</v>
      </c>
      <c r="AH65" s="50" t="s">
        <v>367</v>
      </c>
      <c r="AI65" s="50" t="s">
        <v>69</v>
      </c>
      <c r="AJ65" s="50" t="s">
        <v>59</v>
      </c>
      <c r="AK65" s="50"/>
      <c r="AL65" s="44"/>
      <c r="AM65" s="45"/>
      <c r="AN65" s="50"/>
      <c r="AO65" s="69"/>
      <c r="AP65" s="69"/>
      <c r="AQ65" s="69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5">
        <f>T65-BF65</f>
        <v>150.25919999999999</v>
      </c>
      <c r="BD65" s="56">
        <f>BC65/T65</f>
        <v>0.92586850699365331</v>
      </c>
      <c r="BE65" s="61" t="str">
        <f>IF(BD65&lt;0,"Negative",IF(BD65=0,"Same",IF(BD65&gt;0.3,"30+%",IF(BD65&gt;0.2,"20-30%",IF(BD65&gt;0.1,"10-20%",IF(BD65&lt;=0.1,"0-10%"))))))</f>
        <v>30+%</v>
      </c>
      <c r="BF65" s="65">
        <f>BG65*S65</f>
        <v>12.030799999999999</v>
      </c>
      <c r="BG65" s="66">
        <f>BH65/BJ65</f>
        <v>12.030799999999999</v>
      </c>
      <c r="BH65" s="66">
        <f>IF(BS65="Original",Z65,AQ65)</f>
        <v>12.030799999999999</v>
      </c>
      <c r="BI65" s="60" t="str">
        <f>IF(BS65="Original",AA65,AR65)</f>
        <v>Piece</v>
      </c>
      <c r="BJ65" s="60">
        <f>IF(BS65="Original",AB65,AS65)</f>
        <v>1</v>
      </c>
      <c r="BK65" s="60" t="str">
        <f>IF(BS65="Original",AC65,AT65)</f>
        <v>Possible UOM or LPP issue.</v>
      </c>
      <c r="BL65" s="60" t="str">
        <f>IF(BS65="Original",AD65,AU65)</f>
        <v>Fastenal Approved Vendor</v>
      </c>
      <c r="BM65" s="60" t="str">
        <f>IF(BS65="Original",AE65,AV65)</f>
        <v>0154606</v>
      </c>
      <c r="BN65" s="60" t="str">
        <f>IF(BS65="Original",AF65,AW65)</f>
        <v>0154606</v>
      </c>
      <c r="BO65" s="60" t="str">
        <f>IF(BS65="Original",AG65,AX65)</f>
        <v>Fasteners</v>
      </c>
      <c r="BP65" s="60" t="str">
        <f>IF(BS65="Original",AH65,AY65)</f>
        <v>5/8" Shoulder x 7" Shoulder Length x 1/2"-13 Black Oxide/Plain Finish Alloy Steel Socket Shoulder Bolt</v>
      </c>
      <c r="BQ65" s="60" t="str">
        <f>IF(BS65="Original",AI65,AZ65)</f>
        <v>Exact Match</v>
      </c>
      <c r="BR65" s="60" t="str">
        <f>IF(BS65="Original",AJ65,BA65)</f>
        <v>No</v>
      </c>
      <c r="BS65" s="60" t="str">
        <f>IF(AQ65="","Original",IF(AP65&lt;Y65,"Alternate","Original"))</f>
        <v>Original</v>
      </c>
    </row>
    <row r="66" spans="1:71" s="31" customFormat="1" x14ac:dyDescent="0.35">
      <c r="A66" s="53" t="s">
        <v>39</v>
      </c>
      <c r="B66" s="49">
        <v>64</v>
      </c>
      <c r="C66" s="50"/>
      <c r="D66" s="50"/>
      <c r="E66" s="51"/>
      <c r="F66" s="50" t="s">
        <v>60</v>
      </c>
      <c r="G66" s="50" t="s">
        <v>368</v>
      </c>
      <c r="H66" s="50" t="s">
        <v>369</v>
      </c>
      <c r="I66" s="50"/>
      <c r="J66" s="50"/>
      <c r="K66" s="50"/>
      <c r="L66" s="50"/>
      <c r="M66" s="50"/>
      <c r="N66" s="54" t="s">
        <v>43</v>
      </c>
      <c r="O66" s="49">
        <v>1</v>
      </c>
      <c r="P66" s="43">
        <v>161.77000000000001</v>
      </c>
      <c r="Q66" s="49">
        <v>1</v>
      </c>
      <c r="R66" s="44">
        <f>P66/O66</f>
        <v>161.77000000000001</v>
      </c>
      <c r="S66" s="49">
        <f>Q66*O66</f>
        <v>1</v>
      </c>
      <c r="T66" s="52">
        <f>S66*R66</f>
        <v>161.77000000000001</v>
      </c>
      <c r="U66" s="55">
        <f>IFERROR(T66-X66,0)</f>
        <v>22.120000000000005</v>
      </c>
      <c r="V66" s="56">
        <f>IFERROR(U66/T66,0)</f>
        <v>0.13673734314149721</v>
      </c>
      <c r="W66" s="57" t="str">
        <f>IF($V66&lt;0,"Negative",IF($V66=0,"Same",IF($V66&gt;0.3,"30+%",IF($V66&gt;0.2,"20-30%",IF($V66&gt;0.1,"10-20%",IF($V66&lt;=0.1,"0-10%"))))))</f>
        <v>10-20%</v>
      </c>
      <c r="X66" s="66">
        <f>IFERROR(Y66*S66,0)</f>
        <v>139.65</v>
      </c>
      <c r="Y66" s="66">
        <f>IFERROR(Z66/AB66,0)</f>
        <v>139.65</v>
      </c>
      <c r="Z66" s="69">
        <v>139.65</v>
      </c>
      <c r="AA66" s="50" t="s">
        <v>63</v>
      </c>
      <c r="AB66" s="50">
        <v>1</v>
      </c>
      <c r="AC66" s="50"/>
      <c r="AD66" s="50" t="s">
        <v>370</v>
      </c>
      <c r="AE66" s="50" t="s">
        <v>371</v>
      </c>
      <c r="AF66" s="50" t="s">
        <v>372</v>
      </c>
      <c r="AG66" s="50" t="s">
        <v>373</v>
      </c>
      <c r="AH66" s="50" t="s">
        <v>374</v>
      </c>
      <c r="AI66" s="50" t="s">
        <v>69</v>
      </c>
      <c r="AJ66" s="50" t="s">
        <v>59</v>
      </c>
      <c r="AK66" s="50"/>
      <c r="AL66" s="44"/>
      <c r="AM66" s="45"/>
      <c r="AN66" s="50"/>
      <c r="AO66" s="69"/>
      <c r="AP66" s="69"/>
      <c r="AQ66" s="69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5">
        <f>T66-BF66</f>
        <v>22.120000000000005</v>
      </c>
      <c r="BD66" s="56">
        <f>BC66/T66</f>
        <v>0.13673734314149721</v>
      </c>
      <c r="BE66" s="61" t="str">
        <f>IF(BD66&lt;0,"Negative",IF(BD66=0,"Same",IF(BD66&gt;0.3,"30+%",IF(BD66&gt;0.2,"20-30%",IF(BD66&gt;0.1,"10-20%",IF(BD66&lt;=0.1,"0-10%"))))))</f>
        <v>10-20%</v>
      </c>
      <c r="BF66" s="65">
        <f>BG66*S66</f>
        <v>139.65</v>
      </c>
      <c r="BG66" s="66">
        <f>BH66/BJ66</f>
        <v>139.65</v>
      </c>
      <c r="BH66" s="66">
        <f>IF(BS66="Original",Z66,AQ66)</f>
        <v>139.65</v>
      </c>
      <c r="BI66" s="60" t="str">
        <f>IF(BS66="Original",AA66,AR66)</f>
        <v>Piece</v>
      </c>
      <c r="BJ66" s="60">
        <f>IF(BS66="Original",AB66,AS66)</f>
        <v>1</v>
      </c>
      <c r="BK66" s="60"/>
      <c r="BL66" s="60" t="str">
        <f>IF(BS66="Original",AD66,AU66)</f>
        <v>SIGNODE ACME</v>
      </c>
      <c r="BM66" s="60" t="str">
        <f>IF(BS66="Original",AE66,AV66)</f>
        <v>MIP-1200</v>
      </c>
      <c r="BN66" s="60" t="str">
        <f>IF(BS66="Original",AF66,AW66)</f>
        <v>1605691</v>
      </c>
      <c r="BO66" s="60" t="str">
        <f>IF(BS66="Original",AG66,AX66)</f>
        <v>Packaging and Shipping Products</v>
      </c>
      <c r="BP66" s="60" t="str">
        <f>IF(BS66="Original",AH66,AY66)</f>
        <v>3/8" to 3/4" Compact Feedwheel Steel Strapping Tensioner</v>
      </c>
      <c r="BQ66" s="60" t="str">
        <f>IF(BS66="Original",AI66,AZ66)</f>
        <v>Exact Match</v>
      </c>
      <c r="BR66" s="60" t="str">
        <f>IF(BS66="Original",AJ66,BA66)</f>
        <v>No</v>
      </c>
      <c r="BS66" s="60" t="str">
        <f>IF(AQ66="","Original",IF(AP66&lt;Y66,"Alternate","Original"))</f>
        <v>Original</v>
      </c>
    </row>
    <row r="67" spans="1:71" s="31" customFormat="1" x14ac:dyDescent="0.35">
      <c r="A67" s="53" t="s">
        <v>39</v>
      </c>
      <c r="B67" s="49">
        <v>65</v>
      </c>
      <c r="C67" s="50"/>
      <c r="D67" s="50"/>
      <c r="E67" s="51"/>
      <c r="F67" s="50" t="s">
        <v>60</v>
      </c>
      <c r="G67" s="50" t="s">
        <v>375</v>
      </c>
      <c r="H67" s="50" t="s">
        <v>376</v>
      </c>
      <c r="I67" s="50"/>
      <c r="J67" s="50"/>
      <c r="K67" s="50"/>
      <c r="L67" s="50"/>
      <c r="M67" s="50"/>
      <c r="N67" s="54" t="s">
        <v>43</v>
      </c>
      <c r="O67" s="49">
        <v>1</v>
      </c>
      <c r="P67" s="43">
        <v>78.69</v>
      </c>
      <c r="Q67" s="49">
        <v>2</v>
      </c>
      <c r="R67" s="44">
        <f>P67/O67</f>
        <v>78.69</v>
      </c>
      <c r="S67" s="49">
        <f>Q67*O67</f>
        <v>2</v>
      </c>
      <c r="T67" s="52">
        <f>S67*R67</f>
        <v>157.38</v>
      </c>
      <c r="U67" s="55">
        <f>IFERROR(T67-X67,0)</f>
        <v>141.2688</v>
      </c>
      <c r="V67" s="56">
        <f>IFERROR(U67/T67,0)</f>
        <v>0.89762866946244757</v>
      </c>
      <c r="W67" s="57" t="str">
        <f>IF($V67&lt;0,"Negative",IF($V67=0,"Same",IF($V67&gt;0.3,"30+%",IF($V67&gt;0.2,"20-30%",IF($V67&gt;0.1,"10-20%",IF($V67&lt;=0.1,"0-10%"))))))</f>
        <v>30+%</v>
      </c>
      <c r="X67" s="66">
        <f>IFERROR(Y67*S67,0)</f>
        <v>16.1112</v>
      </c>
      <c r="Y67" s="66">
        <f>IFERROR(Z67/AB67,0)</f>
        <v>8.0556000000000001</v>
      </c>
      <c r="Z67" s="69">
        <v>8.0556000000000001</v>
      </c>
      <c r="AA67" s="50" t="s">
        <v>63</v>
      </c>
      <c r="AB67" s="50">
        <v>1</v>
      </c>
      <c r="AC67" s="50" t="s">
        <v>53</v>
      </c>
      <c r="AD67" s="50" t="s">
        <v>377</v>
      </c>
      <c r="AE67" s="50" t="s">
        <v>378</v>
      </c>
      <c r="AF67" s="50" t="s">
        <v>166</v>
      </c>
      <c r="AG67" s="50" t="s">
        <v>251</v>
      </c>
      <c r="AH67" s="50" t="s">
        <v>379</v>
      </c>
      <c r="AI67" s="50" t="s">
        <v>69</v>
      </c>
      <c r="AJ67" s="50" t="s">
        <v>59</v>
      </c>
      <c r="AK67" s="50"/>
      <c r="AL67" s="44"/>
      <c r="AM67" s="45"/>
      <c r="AN67" s="50"/>
      <c r="AO67" s="69"/>
      <c r="AP67" s="69"/>
      <c r="AQ67" s="69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5">
        <f>T67-BF67</f>
        <v>141.2688</v>
      </c>
      <c r="BD67" s="56">
        <f>BC67/T67</f>
        <v>0.89762866946244757</v>
      </c>
      <c r="BE67" s="61" t="str">
        <f>IF(BD67&lt;0,"Negative",IF(BD67=0,"Same",IF(BD67&gt;0.3,"30+%",IF(BD67&gt;0.2,"20-30%",IF(BD67&gt;0.1,"10-20%",IF(BD67&lt;=0.1,"0-10%"))))))</f>
        <v>30+%</v>
      </c>
      <c r="BF67" s="65">
        <f>BG67*S67</f>
        <v>16.1112</v>
      </c>
      <c r="BG67" s="66">
        <f>BH67/BJ67</f>
        <v>8.0556000000000001</v>
      </c>
      <c r="BH67" s="66">
        <f>IF(BS67="Original",Z67,AQ67)</f>
        <v>8.0556000000000001</v>
      </c>
      <c r="BI67" s="60" t="str">
        <f>IF(BS67="Original",AA67,AR67)</f>
        <v>Piece</v>
      </c>
      <c r="BJ67" s="60">
        <f>IF(BS67="Original",AB67,AS67)</f>
        <v>1</v>
      </c>
      <c r="BK67" s="60" t="str">
        <f>IF(BS67="Original",AC67,AT67)</f>
        <v>Possible UOM or LPP issue.</v>
      </c>
      <c r="BL67" s="60" t="str">
        <f>IF(BS67="Original",AD67,AU67)</f>
        <v>Colson Group USA Inc.Shepherd Caster</v>
      </c>
      <c r="BM67" s="60" t="str">
        <f>IF(BS67="Original",AE67,AV67)</f>
        <v>C0020748ZN-POL01(KK)B</v>
      </c>
      <c r="BN67" s="60" t="str">
        <f>IF(BS67="Original",AF67,AW67)</f>
        <v>BSS</v>
      </c>
      <c r="BO67" s="60" t="str">
        <f>IF(BS67="Original",AG67,AX67)</f>
        <v>Hardware</v>
      </c>
      <c r="BP67" s="60" t="str">
        <f>IF(BS67="Original",AH67,AY67)</f>
        <v>STEM CASTER, 2 IN WHEEL DIA., 300 LB LOAD RATING</v>
      </c>
      <c r="BQ67" s="60" t="str">
        <f>IF(BS67="Original",AI67,AZ67)</f>
        <v>Exact Match</v>
      </c>
      <c r="BR67" s="60" t="str">
        <f>IF(BS67="Original",AJ67,BA67)</f>
        <v>No</v>
      </c>
      <c r="BS67" s="60" t="str">
        <f>IF(AQ67="","Original",IF(AP67&lt;Y67,"Alternate","Original"))</f>
        <v>Original</v>
      </c>
    </row>
    <row r="68" spans="1:71" s="31" customFormat="1" x14ac:dyDescent="0.35">
      <c r="A68" s="53" t="s">
        <v>39</v>
      </c>
      <c r="B68" s="49">
        <v>66</v>
      </c>
      <c r="C68" s="50"/>
      <c r="D68" s="50"/>
      <c r="E68" s="51"/>
      <c r="F68" s="50" t="s">
        <v>60</v>
      </c>
      <c r="G68" s="50" t="s">
        <v>380</v>
      </c>
      <c r="H68" s="50" t="s">
        <v>381</v>
      </c>
      <c r="I68" s="50"/>
      <c r="J68" s="50"/>
      <c r="K68" s="50"/>
      <c r="L68" s="50"/>
      <c r="M68" s="50"/>
      <c r="N68" s="54" t="s">
        <v>43</v>
      </c>
      <c r="O68" s="49">
        <v>1</v>
      </c>
      <c r="P68" s="43">
        <v>157.19</v>
      </c>
      <c r="Q68" s="49">
        <v>1</v>
      </c>
      <c r="R68" s="44">
        <f>P68/O68</f>
        <v>157.19</v>
      </c>
      <c r="S68" s="49">
        <f>Q68*O68</f>
        <v>1</v>
      </c>
      <c r="T68" s="52">
        <f>S68*R68</f>
        <v>157.19</v>
      </c>
      <c r="U68" s="55">
        <f>IFERROR(T68-X68,0)</f>
        <v>53.114000000000004</v>
      </c>
      <c r="V68" s="56">
        <f>IFERROR(U68/T68,0)</f>
        <v>0.33789681277434952</v>
      </c>
      <c r="W68" s="57" t="str">
        <f>IF($V68&lt;0,"Negative",IF($V68=0,"Same",IF($V68&gt;0.3,"30+%",IF($V68&gt;0.2,"20-30%",IF($V68&gt;0.1,"10-20%",IF($V68&lt;=0.1,"0-10%"))))))</f>
        <v>30+%</v>
      </c>
      <c r="X68" s="66">
        <f>IFERROR(Y68*S68,0)</f>
        <v>104.07599999999999</v>
      </c>
      <c r="Y68" s="66">
        <f>IFERROR(Z68/AB68,0)</f>
        <v>104.07599999999999</v>
      </c>
      <c r="Z68" s="69">
        <v>104.07599999999999</v>
      </c>
      <c r="AA68" s="50" t="s">
        <v>63</v>
      </c>
      <c r="AB68" s="50">
        <v>1</v>
      </c>
      <c r="AC68" s="50"/>
      <c r="AD68" s="50" t="s">
        <v>382</v>
      </c>
      <c r="AE68" s="50" t="s">
        <v>383</v>
      </c>
      <c r="AF68" s="50" t="s">
        <v>384</v>
      </c>
      <c r="AG68" s="50" t="s">
        <v>320</v>
      </c>
      <c r="AH68" s="50" t="s">
        <v>385</v>
      </c>
      <c r="AI68" s="50" t="s">
        <v>69</v>
      </c>
      <c r="AJ68" s="50" t="s">
        <v>59</v>
      </c>
      <c r="AK68" s="50"/>
      <c r="AL68" s="44"/>
      <c r="AM68" s="45"/>
      <c r="AN68" s="50"/>
      <c r="AO68" s="69"/>
      <c r="AP68" s="69"/>
      <c r="AQ68" s="69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5">
        <f>T68-BF68</f>
        <v>53.114000000000004</v>
      </c>
      <c r="BD68" s="56">
        <f>BC68/T68</f>
        <v>0.33789681277434952</v>
      </c>
      <c r="BE68" s="61" t="str">
        <f>IF(BD68&lt;0,"Negative",IF(BD68=0,"Same",IF(BD68&gt;0.3,"30+%",IF(BD68&gt;0.2,"20-30%",IF(BD68&gt;0.1,"10-20%",IF(BD68&lt;=0.1,"0-10%"))))))</f>
        <v>30+%</v>
      </c>
      <c r="BF68" s="65">
        <f>BG68*S68</f>
        <v>104.07599999999999</v>
      </c>
      <c r="BG68" s="66">
        <f>BH68/BJ68</f>
        <v>104.07599999999999</v>
      </c>
      <c r="BH68" s="66">
        <f>IF(BS68="Original",Z68,AQ68)</f>
        <v>104.07599999999999</v>
      </c>
      <c r="BI68" s="60" t="str">
        <f>IF(BS68="Original",AA68,AR68)</f>
        <v>Piece</v>
      </c>
      <c r="BJ68" s="60">
        <f>IF(BS68="Original",AB68,AS68)</f>
        <v>1</v>
      </c>
      <c r="BK68" s="60"/>
      <c r="BL68" s="60" t="str">
        <f>IF(BS68="Original",AD68,AU68)</f>
        <v>GEORG FISCHER HARVEL</v>
      </c>
      <c r="BM68" s="60" t="str">
        <f>IF(BS68="Original",AE68,AV68)</f>
        <v>0800600-PG-1000</v>
      </c>
      <c r="BN68" s="60" t="str">
        <f>IF(BS68="Original",AF68,AW68)</f>
        <v>0472046</v>
      </c>
      <c r="BO68" s="60" t="str">
        <f>IF(BS68="Original",AG68,AX68)</f>
        <v>Plumbing</v>
      </c>
      <c r="BP68" s="60" t="str">
        <f>IF(BS68="Original",AH68,AY68)</f>
        <v>6" x 10 ft Gray Schedule 80 PVC Plain End Pipe</v>
      </c>
      <c r="BQ68" s="60" t="str">
        <f>IF(BS68="Original",AI68,AZ68)</f>
        <v>Exact Match</v>
      </c>
      <c r="BR68" s="60" t="str">
        <f>IF(BS68="Original",AJ68,BA68)</f>
        <v>No</v>
      </c>
      <c r="BS68" s="60" t="str">
        <f>IF(AQ68="","Original",IF(AP68&lt;Y68,"Alternate","Original"))</f>
        <v>Original</v>
      </c>
    </row>
    <row r="69" spans="1:71" s="31" customFormat="1" x14ac:dyDescent="0.35">
      <c r="A69" s="53" t="s">
        <v>39</v>
      </c>
      <c r="B69" s="49">
        <v>67</v>
      </c>
      <c r="C69" s="50"/>
      <c r="D69" s="50"/>
      <c r="E69" s="51"/>
      <c r="F69" s="50" t="s">
        <v>49</v>
      </c>
      <c r="G69" s="50" t="s">
        <v>386</v>
      </c>
      <c r="H69" s="50" t="s">
        <v>387</v>
      </c>
      <c r="I69" s="50"/>
      <c r="J69" s="50"/>
      <c r="K69" s="50"/>
      <c r="L69" s="50"/>
      <c r="M69" s="50"/>
      <c r="N69" s="54" t="s">
        <v>43</v>
      </c>
      <c r="O69" s="49">
        <v>1</v>
      </c>
      <c r="P69" s="43">
        <v>153.11000000000001</v>
      </c>
      <c r="Q69" s="49">
        <v>1</v>
      </c>
      <c r="R69" s="44">
        <f>P69/O69</f>
        <v>153.11000000000001</v>
      </c>
      <c r="S69" s="49">
        <f>Q69*O69</f>
        <v>1</v>
      </c>
      <c r="T69" s="52">
        <f>S69*R69</f>
        <v>153.11000000000001</v>
      </c>
      <c r="U69" s="55">
        <f>IFERROR(T69-X69,0)</f>
        <v>112.01887500000001</v>
      </c>
      <c r="V69" s="56">
        <f>IFERROR(U69/T69,0)</f>
        <v>0.7316235059760956</v>
      </c>
      <c r="W69" s="57" t="str">
        <f>IF($V69&lt;0,"Negative",IF($V69=0,"Same",IF($V69&gt;0.3,"30+%",IF($V69&gt;0.2,"20-30%",IF($V69&gt;0.1,"10-20%",IF($V69&lt;=0.1,"0-10%"))))))</f>
        <v>30+%</v>
      </c>
      <c r="X69" s="66">
        <f>IFERROR(Y69*S69,0)</f>
        <v>41.091124999999998</v>
      </c>
      <c r="Y69" s="66">
        <f>IFERROR(Z69/AB69,0)</f>
        <v>41.091124999999998</v>
      </c>
      <c r="Z69" s="69">
        <v>164.36449999999999</v>
      </c>
      <c r="AA69" s="50" t="s">
        <v>267</v>
      </c>
      <c r="AB69" s="50">
        <v>4</v>
      </c>
      <c r="AC69" s="50" t="s">
        <v>53</v>
      </c>
      <c r="AD69" s="50" t="s">
        <v>209</v>
      </c>
      <c r="AE69" s="50" t="s">
        <v>388</v>
      </c>
      <c r="AF69" s="50" t="s">
        <v>389</v>
      </c>
      <c r="AG69" s="50" t="s">
        <v>390</v>
      </c>
      <c r="AH69" s="50" t="s">
        <v>391</v>
      </c>
      <c r="AI69" s="50" t="s">
        <v>69</v>
      </c>
      <c r="AJ69" s="50" t="s">
        <v>59</v>
      </c>
      <c r="AK69" s="50"/>
      <c r="AL69" s="44"/>
      <c r="AM69" s="45"/>
      <c r="AN69" s="50"/>
      <c r="AO69" s="69"/>
      <c r="AP69" s="69"/>
      <c r="AQ69" s="69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5">
        <f>T69-BF69</f>
        <v>112.01887500000001</v>
      </c>
      <c r="BD69" s="56">
        <f>BC69/T69</f>
        <v>0.7316235059760956</v>
      </c>
      <c r="BE69" s="61" t="str">
        <f>IF(BD69&lt;0,"Negative",IF(BD69=0,"Same",IF(BD69&gt;0.3,"30+%",IF(BD69&gt;0.2,"20-30%",IF(BD69&gt;0.1,"10-20%",IF(BD69&lt;=0.1,"0-10%"))))))</f>
        <v>30+%</v>
      </c>
      <c r="BF69" s="65">
        <f>BG69*S69</f>
        <v>41.091124999999998</v>
      </c>
      <c r="BG69" s="66">
        <f>BH69/BJ69</f>
        <v>41.091124999999998</v>
      </c>
      <c r="BH69" s="66">
        <f>IF(BS69="Original",Z69,AQ69)</f>
        <v>164.36449999999999</v>
      </c>
      <c r="BI69" s="60" t="str">
        <f>IF(BS69="Original",AA69,AR69)</f>
        <v>Case</v>
      </c>
      <c r="BJ69" s="60">
        <f>IF(BS69="Original",AB69,AS69)</f>
        <v>4</v>
      </c>
      <c r="BK69" s="60" t="str">
        <f>IF(BS69="Original",AC69,AT69)</f>
        <v>Possible UOM or LPP issue.</v>
      </c>
      <c r="BL69" s="60" t="str">
        <f>IF(BS69="Original",AD69,AU69)</f>
        <v>3M PRODUCTS</v>
      </c>
      <c r="BM69" s="60" t="str">
        <f>IF(BS69="Original",AE69,AV69)</f>
        <v>00048011280233</v>
      </c>
      <c r="BN69" s="60" t="str">
        <f>IF(BS69="Original",AF69,AW69)</f>
        <v>99352586</v>
      </c>
      <c r="BO69" s="60" t="str">
        <f>IF(BS69="Original",AG69,AX69)</f>
        <v>Abrasives</v>
      </c>
      <c r="BP69" s="60" t="str">
        <f>IF(BS69="Original",AH69,AY69)</f>
        <v>Scotch-Brite[TM] EXL Unitized Wheel 6" x 1/2" x 5/8"2A MED</v>
      </c>
      <c r="BQ69" s="60" t="str">
        <f>IF(BS69="Original",AI69,AZ69)</f>
        <v>Exact Match</v>
      </c>
      <c r="BR69" s="60" t="str">
        <f>IF(BS69="Original",AJ69,BA69)</f>
        <v>No</v>
      </c>
      <c r="BS69" s="60" t="str">
        <f>IF(AQ69="","Original",IF(AP69&lt;Y69,"Alternate","Original"))</f>
        <v>Original</v>
      </c>
    </row>
    <row r="70" spans="1:71" s="31" customFormat="1" x14ac:dyDescent="0.35">
      <c r="A70" s="53" t="s">
        <v>39</v>
      </c>
      <c r="B70" s="49">
        <v>68</v>
      </c>
      <c r="C70" s="50"/>
      <c r="D70" s="50"/>
      <c r="E70" s="51"/>
      <c r="F70" s="50" t="s">
        <v>40</v>
      </c>
      <c r="G70" s="50" t="s">
        <v>392</v>
      </c>
      <c r="H70" s="50" t="s">
        <v>393</v>
      </c>
      <c r="I70" s="50"/>
      <c r="J70" s="50"/>
      <c r="K70" s="50"/>
      <c r="L70" s="50"/>
      <c r="M70" s="50"/>
      <c r="N70" s="54" t="s">
        <v>43</v>
      </c>
      <c r="O70" s="49">
        <v>1</v>
      </c>
      <c r="P70" s="43">
        <v>152.72</v>
      </c>
      <c r="Q70" s="49">
        <v>1</v>
      </c>
      <c r="R70" s="44">
        <f>P70/O70</f>
        <v>152.72</v>
      </c>
      <c r="S70" s="49">
        <f>Q70*O70</f>
        <v>1</v>
      </c>
      <c r="T70" s="52">
        <f>S70*R70</f>
        <v>152.72</v>
      </c>
      <c r="U70" s="50"/>
      <c r="V70" s="50"/>
      <c r="W70" s="50"/>
      <c r="X70" s="69"/>
      <c r="Y70" s="69"/>
      <c r="Z70" s="69"/>
      <c r="AA70" s="50"/>
      <c r="AB70" s="50"/>
      <c r="AC70" s="50"/>
      <c r="AD70" s="50"/>
      <c r="AE70" s="50"/>
      <c r="AF70" s="50"/>
      <c r="AG70" s="50"/>
      <c r="AH70" s="50"/>
      <c r="AI70" s="50" t="s">
        <v>394</v>
      </c>
      <c r="AJ70" s="50"/>
      <c r="AK70" s="50"/>
      <c r="AL70" s="44"/>
      <c r="AM70" s="45"/>
      <c r="AN70" s="50"/>
      <c r="AO70" s="69"/>
      <c r="AP70" s="69"/>
      <c r="AQ70" s="69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5"/>
      <c r="BD70" s="56"/>
      <c r="BE70" s="61"/>
      <c r="BF70" s="65"/>
      <c r="BG70" s="66"/>
      <c r="BH70" s="66"/>
      <c r="BI70" s="60"/>
      <c r="BJ70" s="60"/>
      <c r="BK70" s="60"/>
      <c r="BL70" s="60"/>
      <c r="BM70" s="60"/>
      <c r="BN70" s="60"/>
      <c r="BO70" s="60"/>
      <c r="BP70" s="60"/>
      <c r="BQ70" s="60" t="str">
        <f>IF(BS70="Original",AI70,AZ70)</f>
        <v>Metalworking Program</v>
      </c>
      <c r="BR70" s="60"/>
      <c r="BS70" s="60" t="str">
        <f>IF(AQ70="","Original",IF(AP70&lt;Y70,"Alternate","Original"))</f>
        <v>Original</v>
      </c>
    </row>
    <row r="71" spans="1:71" s="31" customFormat="1" x14ac:dyDescent="0.35">
      <c r="A71" s="53" t="s">
        <v>39</v>
      </c>
      <c r="B71" s="49">
        <v>69</v>
      </c>
      <c r="C71" s="50"/>
      <c r="D71" s="50"/>
      <c r="E71" s="51"/>
      <c r="F71" s="50" t="s">
        <v>49</v>
      </c>
      <c r="G71" s="50" t="s">
        <v>395</v>
      </c>
      <c r="H71" s="50" t="s">
        <v>396</v>
      </c>
      <c r="I71" s="50"/>
      <c r="J71" s="50"/>
      <c r="K71" s="50"/>
      <c r="L71" s="50"/>
      <c r="M71" s="50"/>
      <c r="N71" s="54" t="s">
        <v>43</v>
      </c>
      <c r="O71" s="49">
        <v>1</v>
      </c>
      <c r="P71" s="43">
        <v>152.63999999999999</v>
      </c>
      <c r="Q71" s="49">
        <v>1</v>
      </c>
      <c r="R71" s="44">
        <f>P71/O71</f>
        <v>152.63999999999999</v>
      </c>
      <c r="S71" s="49">
        <f>Q71*O71</f>
        <v>1</v>
      </c>
      <c r="T71" s="52">
        <f>S71*R71</f>
        <v>152.63999999999999</v>
      </c>
      <c r="U71" s="55">
        <f>IFERROR(T71-X71,0)</f>
        <v>118.49789999999999</v>
      </c>
      <c r="V71" s="56">
        <f>IFERROR(U71/T71,0)</f>
        <v>0.77632272012578618</v>
      </c>
      <c r="W71" s="57" t="str">
        <f>IF($V71&lt;0,"Negative",IF($V71=0,"Same",IF($V71&gt;0.3,"30+%",IF($V71&gt;0.2,"20-30%",IF($V71&gt;0.1,"10-20%",IF($V71&lt;=0.1,"0-10%"))))))</f>
        <v>30+%</v>
      </c>
      <c r="X71" s="66">
        <f>IFERROR(Y71*S71,0)</f>
        <v>34.142099999999999</v>
      </c>
      <c r="Y71" s="66">
        <f>IFERROR(Z71/AB71,0)</f>
        <v>34.142099999999999</v>
      </c>
      <c r="Z71" s="69">
        <v>34.142099999999999</v>
      </c>
      <c r="AA71" s="50" t="s">
        <v>63</v>
      </c>
      <c r="AB71" s="50">
        <v>1</v>
      </c>
      <c r="AC71" s="50" t="s">
        <v>53</v>
      </c>
      <c r="AD71" s="50" t="s">
        <v>397</v>
      </c>
      <c r="AE71" s="50" t="s">
        <v>398</v>
      </c>
      <c r="AF71" s="50" t="s">
        <v>398</v>
      </c>
      <c r="AG71" s="50" t="s">
        <v>135</v>
      </c>
      <c r="AH71" s="50" t="s">
        <v>399</v>
      </c>
      <c r="AI71" s="50" t="s">
        <v>58</v>
      </c>
      <c r="AJ71" s="50" t="s">
        <v>73</v>
      </c>
      <c r="AK71" s="50"/>
      <c r="AL71" s="44"/>
      <c r="AM71" s="45"/>
      <c r="AN71" s="50"/>
      <c r="AO71" s="69"/>
      <c r="AP71" s="69"/>
      <c r="AQ71" s="69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5">
        <f>T71-BF71</f>
        <v>118.49789999999999</v>
      </c>
      <c r="BD71" s="56">
        <f>BC71/T71</f>
        <v>0.77632272012578618</v>
      </c>
      <c r="BE71" s="61" t="str">
        <f>IF(BD71&lt;0,"Negative",IF(BD71=0,"Same",IF(BD71&gt;0.3,"30+%",IF(BD71&gt;0.2,"20-30%",IF(BD71&gt;0.1,"10-20%",IF(BD71&lt;=0.1,"0-10%"))))))</f>
        <v>30+%</v>
      </c>
      <c r="BF71" s="65">
        <f>BG71*S71</f>
        <v>34.142099999999999</v>
      </c>
      <c r="BG71" s="66">
        <f>BH71/BJ71</f>
        <v>34.142099999999999</v>
      </c>
      <c r="BH71" s="66">
        <f>IF(BS71="Original",Z71,AQ71)</f>
        <v>34.142099999999999</v>
      </c>
      <c r="BI71" s="60" t="str">
        <f>IF(BS71="Original",AA71,AR71)</f>
        <v>Piece</v>
      </c>
      <c r="BJ71" s="60">
        <f>IF(BS71="Original",AB71,AS71)</f>
        <v>1</v>
      </c>
      <c r="BK71" s="60" t="str">
        <f>IF(BS71="Original",AC71,AT71)</f>
        <v>Possible UOM or LPP issue.</v>
      </c>
      <c r="BL71" s="60" t="str">
        <f>IF(BS71="Original",AD71,AU71)</f>
        <v>FMT ELEMENT[REG]</v>
      </c>
      <c r="BM71" s="60" t="str">
        <f>IF(BS71="Original",AE71,AV71)</f>
        <v>0322704</v>
      </c>
      <c r="BN71" s="60" t="str">
        <f>IF(BS71="Original",AF71,AW71)</f>
        <v>0322704</v>
      </c>
      <c r="BO71" s="60" t="str">
        <f>IF(BS71="Original",AG71,AX71)</f>
        <v>Cutting Tools and Metalworking</v>
      </c>
      <c r="BP71" s="60" t="str">
        <f>IF(BS71="Original",AH71,AY71)</f>
        <v>1/2" Dia x 1" LOC x 3" OAL Carbide 4 Fl AlTiN Finish Single End 30[DEG] Hlx Finishing SQ EM</v>
      </c>
      <c r="BQ71" s="60" t="str">
        <f>IF(BS71="Original",AI71,AZ71)</f>
        <v>Similar Match</v>
      </c>
      <c r="BR71" s="60" t="str">
        <f>IF(BS71="Original",AJ71,BA71)</f>
        <v>Yes</v>
      </c>
      <c r="BS71" s="60" t="str">
        <f>IF(AQ71="","Original",IF(AP71&lt;Y71,"Alternate","Original"))</f>
        <v>Original</v>
      </c>
    </row>
    <row r="72" spans="1:71" s="31" customFormat="1" x14ac:dyDescent="0.35">
      <c r="A72" s="53" t="s">
        <v>39</v>
      </c>
      <c r="B72" s="49">
        <v>70</v>
      </c>
      <c r="C72" s="50"/>
      <c r="D72" s="50"/>
      <c r="E72" s="51"/>
      <c r="F72" s="50" t="s">
        <v>60</v>
      </c>
      <c r="G72" s="50" t="s">
        <v>400</v>
      </c>
      <c r="H72" s="50" t="s">
        <v>401</v>
      </c>
      <c r="I72" s="50"/>
      <c r="J72" s="50"/>
      <c r="K72" s="50"/>
      <c r="L72" s="50"/>
      <c r="M72" s="50"/>
      <c r="N72" s="54" t="s">
        <v>43</v>
      </c>
      <c r="O72" s="49">
        <v>1</v>
      </c>
      <c r="P72" s="43">
        <v>149.96</v>
      </c>
      <c r="Q72" s="49">
        <v>1</v>
      </c>
      <c r="R72" s="44">
        <f>P72/O72</f>
        <v>149.96</v>
      </c>
      <c r="S72" s="49">
        <f>Q72*O72</f>
        <v>1</v>
      </c>
      <c r="T72" s="52">
        <f>S72*R72</f>
        <v>149.96</v>
      </c>
      <c r="U72" s="50"/>
      <c r="V72" s="50"/>
      <c r="W72" s="50"/>
      <c r="X72" s="69"/>
      <c r="Y72" s="69"/>
      <c r="Z72" s="69"/>
      <c r="AA72" s="50"/>
      <c r="AB72" s="50"/>
      <c r="AC72" s="50"/>
      <c r="AD72" s="50"/>
      <c r="AE72" s="50"/>
      <c r="AF72" s="50"/>
      <c r="AG72" s="50"/>
      <c r="AH72" s="50"/>
      <c r="AI72" s="50" t="s">
        <v>129</v>
      </c>
      <c r="AJ72" s="50"/>
      <c r="AK72" s="50"/>
      <c r="AL72" s="44"/>
      <c r="AM72" s="45"/>
      <c r="AN72" s="50"/>
      <c r="AO72" s="69"/>
      <c r="AP72" s="69"/>
      <c r="AQ72" s="69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5"/>
      <c r="BD72" s="56"/>
      <c r="BE72" s="61"/>
      <c r="BF72" s="65"/>
      <c r="BG72" s="66"/>
      <c r="BH72" s="66"/>
      <c r="BI72" s="60"/>
      <c r="BJ72" s="60"/>
      <c r="BK72" s="60"/>
      <c r="BL72" s="60"/>
      <c r="BM72" s="60"/>
      <c r="BN72" s="60"/>
      <c r="BO72" s="60"/>
      <c r="BP72" s="60"/>
      <c r="BQ72" s="60" t="str">
        <f>IF(BS72="Original",AI72,AZ72)</f>
        <v xml:space="preserve">Non-Supported Product </v>
      </c>
      <c r="BR72" s="60"/>
      <c r="BS72" s="60" t="str">
        <f>IF(AQ72="","Original",IF(AP72&lt;Y72,"Alternate","Original"))</f>
        <v>Original</v>
      </c>
    </row>
    <row r="73" spans="1:71" s="31" customFormat="1" x14ac:dyDescent="0.35">
      <c r="A73" s="53" t="s">
        <v>39</v>
      </c>
      <c r="B73" s="49">
        <v>71</v>
      </c>
      <c r="C73" s="50"/>
      <c r="D73" s="50"/>
      <c r="E73" s="51"/>
      <c r="F73" s="50" t="s">
        <v>60</v>
      </c>
      <c r="G73" s="50" t="s">
        <v>402</v>
      </c>
      <c r="H73" s="50" t="s">
        <v>403</v>
      </c>
      <c r="I73" s="50"/>
      <c r="J73" s="50"/>
      <c r="K73" s="50"/>
      <c r="L73" s="50"/>
      <c r="M73" s="50"/>
      <c r="N73" s="54" t="s">
        <v>43</v>
      </c>
      <c r="O73" s="49">
        <v>1</v>
      </c>
      <c r="P73" s="43">
        <v>74.89</v>
      </c>
      <c r="Q73" s="49">
        <v>2</v>
      </c>
      <c r="R73" s="44">
        <f>P73/O73</f>
        <v>74.89</v>
      </c>
      <c r="S73" s="49">
        <f>Q73*O73</f>
        <v>2</v>
      </c>
      <c r="T73" s="52">
        <f>S73*R73</f>
        <v>149.78</v>
      </c>
      <c r="U73" s="55">
        <f>IFERROR(T73-X73,0)</f>
        <v>39.765466666666654</v>
      </c>
      <c r="V73" s="56">
        <f>IFERROR(U73/T73,0)</f>
        <v>0.26549250011127423</v>
      </c>
      <c r="W73" s="57" t="str">
        <f>IF($V73&lt;0,"Negative",IF($V73=0,"Same",IF($V73&gt;0.3,"30+%",IF($V73&gt;0.2,"20-30%",IF($V73&gt;0.1,"10-20%",IF($V73&lt;=0.1,"0-10%"))))))</f>
        <v>20-30%</v>
      </c>
      <c r="X73" s="66">
        <f>IFERROR(Y73*S73,0)</f>
        <v>110.01453333333335</v>
      </c>
      <c r="Y73" s="66">
        <f>IFERROR(Z73/AB73,0)</f>
        <v>55.007266666666673</v>
      </c>
      <c r="Z73" s="69">
        <v>330.04360000000003</v>
      </c>
      <c r="AA73" s="50" t="s">
        <v>267</v>
      </c>
      <c r="AB73" s="50">
        <v>6</v>
      </c>
      <c r="AC73" s="50"/>
      <c r="AD73" s="50" t="s">
        <v>404</v>
      </c>
      <c r="AE73" s="50" t="s">
        <v>405</v>
      </c>
      <c r="AF73" s="50" t="s">
        <v>406</v>
      </c>
      <c r="AG73" s="50" t="s">
        <v>407</v>
      </c>
      <c r="AH73" s="50" t="s">
        <v>408</v>
      </c>
      <c r="AI73" s="50" t="s">
        <v>58</v>
      </c>
      <c r="AJ73" s="50" t="s">
        <v>59</v>
      </c>
      <c r="AK73" s="50"/>
      <c r="AL73" s="44"/>
      <c r="AM73" s="45"/>
      <c r="AN73" s="50"/>
      <c r="AO73" s="69"/>
      <c r="AP73" s="69"/>
      <c r="AQ73" s="69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5">
        <f>T73-BF73</f>
        <v>39.765466666666654</v>
      </c>
      <c r="BD73" s="56">
        <f>BC73/T73</f>
        <v>0.26549250011127423</v>
      </c>
      <c r="BE73" s="61" t="str">
        <f>IF(BD73&lt;0,"Negative",IF(BD73=0,"Same",IF(BD73&gt;0.3,"30+%",IF(BD73&gt;0.2,"20-30%",IF(BD73&gt;0.1,"10-20%",IF(BD73&lt;=0.1,"0-10%"))))))</f>
        <v>20-30%</v>
      </c>
      <c r="BF73" s="65">
        <f>BG73*S73</f>
        <v>110.01453333333335</v>
      </c>
      <c r="BG73" s="66">
        <f>BH73/BJ73</f>
        <v>55.007266666666673</v>
      </c>
      <c r="BH73" s="66">
        <f>IF(BS73="Original",Z73,AQ73)</f>
        <v>330.04360000000003</v>
      </c>
      <c r="BI73" s="60" t="str">
        <f>IF(BS73="Original",AA73,AR73)</f>
        <v>Case</v>
      </c>
      <c r="BJ73" s="60">
        <f>IF(BS73="Original",AB73,AS73)</f>
        <v>6</v>
      </c>
      <c r="BK73" s="60"/>
      <c r="BL73" s="60" t="str">
        <f>IF(BS73="Original",AD73,AU73)</f>
        <v>DIVERSITECH</v>
      </c>
      <c r="BM73" s="60" t="str">
        <f>IF(BS73="Original",AE73,AV73)</f>
        <v>CP-22</v>
      </c>
      <c r="BN73" s="60" t="str">
        <f>IF(BS73="Original",AF73,AW73)</f>
        <v>0493172</v>
      </c>
      <c r="BO73" s="60" t="str">
        <f>IF(BS73="Original",AG73,AX73)</f>
        <v>HVAC and Refrigeration</v>
      </c>
      <c r="BP73" s="60" t="str">
        <f>IF(BS73="Original",AH73,AY73)</f>
        <v>120V 22' Lift Condensate Pump</v>
      </c>
      <c r="BQ73" s="60" t="str">
        <f>IF(BS73="Original",AI73,AZ73)</f>
        <v>Similar Match</v>
      </c>
      <c r="BR73" s="60" t="str">
        <f>IF(BS73="Original",AJ73,BA73)</f>
        <v>No</v>
      </c>
      <c r="BS73" s="60" t="str">
        <f>IF(AQ73="","Original",IF(AP73&lt;Y73,"Alternate","Original"))</f>
        <v>Original</v>
      </c>
    </row>
    <row r="74" spans="1:71" s="31" customFormat="1" x14ac:dyDescent="0.35">
      <c r="A74" s="53" t="s">
        <v>39</v>
      </c>
      <c r="B74" s="49">
        <v>72</v>
      </c>
      <c r="C74" s="50"/>
      <c r="D74" s="50"/>
      <c r="E74" s="51"/>
      <c r="F74" s="50" t="s">
        <v>60</v>
      </c>
      <c r="G74" s="50" t="s">
        <v>409</v>
      </c>
      <c r="H74" s="50" t="s">
        <v>410</v>
      </c>
      <c r="I74" s="50"/>
      <c r="J74" s="50"/>
      <c r="K74" s="50"/>
      <c r="L74" s="50"/>
      <c r="M74" s="50"/>
      <c r="N74" s="54" t="s">
        <v>43</v>
      </c>
      <c r="O74" s="49">
        <v>1</v>
      </c>
      <c r="P74" s="43">
        <v>73.709999999999994</v>
      </c>
      <c r="Q74" s="49">
        <v>2</v>
      </c>
      <c r="R74" s="44">
        <f>P74/O74</f>
        <v>73.709999999999994</v>
      </c>
      <c r="S74" s="49">
        <f>Q74*O74</f>
        <v>2</v>
      </c>
      <c r="T74" s="52">
        <f>S74*R74</f>
        <v>147.41999999999999</v>
      </c>
      <c r="U74" s="55">
        <f>IFERROR(T74-X74,0)</f>
        <v>132.3672</v>
      </c>
      <c r="V74" s="56">
        <f>IFERROR(U74/T74,0)</f>
        <v>0.89789173789173793</v>
      </c>
      <c r="W74" s="57" t="str">
        <f>IF($V74&lt;0,"Negative",IF($V74=0,"Same",IF($V74&gt;0.3,"30+%",IF($V74&gt;0.2,"20-30%",IF($V74&gt;0.1,"10-20%",IF($V74&lt;=0.1,"0-10%"))))))</f>
        <v>30+%</v>
      </c>
      <c r="X74" s="66">
        <f>IFERROR(Y74*S74,0)</f>
        <v>15.0528</v>
      </c>
      <c r="Y74" s="66">
        <f>IFERROR(Z74/AB74,0)</f>
        <v>7.5263999999999998</v>
      </c>
      <c r="Z74" s="69">
        <v>7.5263999999999998</v>
      </c>
      <c r="AA74" s="50" t="s">
        <v>63</v>
      </c>
      <c r="AB74" s="50">
        <v>1</v>
      </c>
      <c r="AC74" s="50" t="s">
        <v>53</v>
      </c>
      <c r="AD74" s="50" t="s">
        <v>249</v>
      </c>
      <c r="AE74" s="50" t="s">
        <v>411</v>
      </c>
      <c r="AF74" s="50" t="s">
        <v>166</v>
      </c>
      <c r="AG74" s="50" t="s">
        <v>251</v>
      </c>
      <c r="AH74" s="50" t="s">
        <v>412</v>
      </c>
      <c r="AI74" s="50" t="s">
        <v>69</v>
      </c>
      <c r="AJ74" s="50" t="s">
        <v>59</v>
      </c>
      <c r="AK74" s="50"/>
      <c r="AL74" s="44"/>
      <c r="AM74" s="45"/>
      <c r="AN74" s="50"/>
      <c r="AO74" s="69"/>
      <c r="AP74" s="69"/>
      <c r="AQ74" s="69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5">
        <f>T74-BF74</f>
        <v>132.3672</v>
      </c>
      <c r="BD74" s="56">
        <f>BC74/T74</f>
        <v>0.89789173789173793</v>
      </c>
      <c r="BE74" s="61" t="str">
        <f>IF(BD74&lt;0,"Negative",IF(BD74=0,"Same",IF(BD74&gt;0.3,"30+%",IF(BD74&gt;0.2,"20-30%",IF(BD74&gt;0.1,"10-20%",IF(BD74&lt;=0.1,"0-10%"))))))</f>
        <v>30+%</v>
      </c>
      <c r="BF74" s="65">
        <f>BG74*S74</f>
        <v>15.0528</v>
      </c>
      <c r="BG74" s="66">
        <f>BH74/BJ74</f>
        <v>7.5263999999999998</v>
      </c>
      <c r="BH74" s="66">
        <f>IF(BS74="Original",Z74,AQ74)</f>
        <v>7.5263999999999998</v>
      </c>
      <c r="BI74" s="60" t="str">
        <f>IF(BS74="Original",AA74,AR74)</f>
        <v>Piece</v>
      </c>
      <c r="BJ74" s="60">
        <f>IF(BS74="Original",AB74,AS74)</f>
        <v>1</v>
      </c>
      <c r="BK74" s="60" t="str">
        <f>IF(BS74="Original",AC74,AT74)</f>
        <v>Possible UOM or LPP issue.</v>
      </c>
      <c r="BL74" s="60" t="str">
        <f>IF(BS74="Original",AD74,AU74)</f>
        <v>Colson Group USA Inc.</v>
      </c>
      <c r="BM74" s="60" t="str">
        <f>IF(BS74="Original",AE74,AV74)</f>
        <v>C0020748ZN-POL01(KK)</v>
      </c>
      <c r="BN74" s="60" t="str">
        <f>IF(BS74="Original",AF74,AW74)</f>
        <v>BSS</v>
      </c>
      <c r="BO74" s="60" t="str">
        <f>IF(BS74="Original",AG74,AX74)</f>
        <v>Hardware</v>
      </c>
      <c r="BP74" s="60" t="str">
        <f>IF(BS74="Original",AH74,AY74)</f>
        <v>STEM CASTER, 2 IN WHEEL DIA., 300 LB RATING</v>
      </c>
      <c r="BQ74" s="60" t="str">
        <f>IF(BS74="Original",AI74,AZ74)</f>
        <v>Exact Match</v>
      </c>
      <c r="BR74" s="60" t="str">
        <f>IF(BS74="Original",AJ74,BA74)</f>
        <v>No</v>
      </c>
      <c r="BS74" s="60" t="str">
        <f>IF(AQ74="","Original",IF(AP74&lt;Y74,"Alternate","Original"))</f>
        <v>Original</v>
      </c>
    </row>
    <row r="75" spans="1:71" s="31" customFormat="1" x14ac:dyDescent="0.35">
      <c r="A75" s="53" t="s">
        <v>39</v>
      </c>
      <c r="B75" s="49">
        <v>73</v>
      </c>
      <c r="C75" s="50"/>
      <c r="D75" s="50"/>
      <c r="E75" s="51"/>
      <c r="F75" s="50" t="s">
        <v>40</v>
      </c>
      <c r="G75" s="50" t="s">
        <v>413</v>
      </c>
      <c r="H75" s="50" t="s">
        <v>414</v>
      </c>
      <c r="I75" s="50"/>
      <c r="J75" s="50"/>
      <c r="K75" s="50"/>
      <c r="L75" s="50"/>
      <c r="M75" s="50"/>
      <c r="N75" s="54" t="s">
        <v>43</v>
      </c>
      <c r="O75" s="49">
        <v>1</v>
      </c>
      <c r="P75" s="43">
        <v>146.94</v>
      </c>
      <c r="Q75" s="49">
        <v>1</v>
      </c>
      <c r="R75" s="44">
        <f>P75/O75</f>
        <v>146.94</v>
      </c>
      <c r="S75" s="49">
        <f>Q75*O75</f>
        <v>1</v>
      </c>
      <c r="T75" s="52">
        <f>S75*R75</f>
        <v>146.94</v>
      </c>
      <c r="U75" s="50"/>
      <c r="V75" s="50"/>
      <c r="W75" s="50"/>
      <c r="X75" s="69"/>
      <c r="Y75" s="69"/>
      <c r="Z75" s="69"/>
      <c r="AA75" s="50"/>
      <c r="AB75" s="50"/>
      <c r="AC75" s="50"/>
      <c r="AD75" s="50"/>
      <c r="AE75" s="50"/>
      <c r="AF75" s="50"/>
      <c r="AG75" s="50"/>
      <c r="AH75" s="50"/>
      <c r="AI75" s="50" t="s">
        <v>394</v>
      </c>
      <c r="AJ75" s="50"/>
      <c r="AK75" s="50"/>
      <c r="AL75" s="44"/>
      <c r="AM75" s="45"/>
      <c r="AN75" s="50"/>
      <c r="AO75" s="69"/>
      <c r="AP75" s="69"/>
      <c r="AQ75" s="69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5"/>
      <c r="BD75" s="56"/>
      <c r="BE75" s="61"/>
      <c r="BF75" s="65"/>
      <c r="BG75" s="66"/>
      <c r="BH75" s="66"/>
      <c r="BI75" s="60"/>
      <c r="BJ75" s="60"/>
      <c r="BK75" s="60"/>
      <c r="BL75" s="60"/>
      <c r="BM75" s="60"/>
      <c r="BN75" s="60"/>
      <c r="BO75" s="60"/>
      <c r="BP75" s="60"/>
      <c r="BQ75" s="60" t="str">
        <f>IF(BS75="Original",AI75,AZ75)</f>
        <v>Metalworking Program</v>
      </c>
      <c r="BR75" s="60"/>
      <c r="BS75" s="60" t="str">
        <f>IF(AQ75="","Original",IF(AP75&lt;Y75,"Alternate","Original"))</f>
        <v>Original</v>
      </c>
    </row>
    <row r="76" spans="1:71" s="31" customFormat="1" x14ac:dyDescent="0.35">
      <c r="A76" s="53" t="s">
        <v>39</v>
      </c>
      <c r="B76" s="49">
        <v>74</v>
      </c>
      <c r="C76" s="50"/>
      <c r="D76" s="50"/>
      <c r="E76" s="51"/>
      <c r="F76" s="50" t="s">
        <v>49</v>
      </c>
      <c r="G76" s="50" t="s">
        <v>415</v>
      </c>
      <c r="H76" s="50" t="s">
        <v>416</v>
      </c>
      <c r="I76" s="50"/>
      <c r="J76" s="50"/>
      <c r="K76" s="50"/>
      <c r="L76" s="50"/>
      <c r="M76" s="50"/>
      <c r="N76" s="54" t="s">
        <v>43</v>
      </c>
      <c r="O76" s="49">
        <v>1</v>
      </c>
      <c r="P76" s="43">
        <v>73.44</v>
      </c>
      <c r="Q76" s="49">
        <v>2</v>
      </c>
      <c r="R76" s="44">
        <f>P76/O76</f>
        <v>73.44</v>
      </c>
      <c r="S76" s="49">
        <f>Q76*O76</f>
        <v>2</v>
      </c>
      <c r="T76" s="52">
        <f>S76*R76</f>
        <v>146.88</v>
      </c>
      <c r="U76" s="55">
        <f>IFERROR(T76-X76,0)</f>
        <v>146.68791999999999</v>
      </c>
      <c r="V76" s="56">
        <f>IFERROR(U76/T76,0)</f>
        <v>0.99869226579520698</v>
      </c>
      <c r="W76" s="57" t="str">
        <f>IF($V76&lt;0,"Negative",IF($V76=0,"Same",IF($V76&gt;0.3,"30+%",IF($V76&gt;0.2,"20-30%",IF($V76&gt;0.1,"10-20%",IF($V76&lt;=0.1,"0-10%"))))))</f>
        <v>30+%</v>
      </c>
      <c r="X76" s="66">
        <f>IFERROR(Y76*S76,0)</f>
        <v>0.19207999999999997</v>
      </c>
      <c r="Y76" s="66">
        <f>IFERROR(Z76/AB76,0)</f>
        <v>9.6039999999999986E-2</v>
      </c>
      <c r="Z76" s="69">
        <v>9.6039999999999992</v>
      </c>
      <c r="AA76" s="50" t="s">
        <v>52</v>
      </c>
      <c r="AB76" s="50">
        <v>100</v>
      </c>
      <c r="AC76" s="50" t="s">
        <v>53</v>
      </c>
      <c r="AD76" s="50" t="s">
        <v>223</v>
      </c>
      <c r="AE76" s="50" t="s">
        <v>417</v>
      </c>
      <c r="AF76" s="50" t="s">
        <v>417</v>
      </c>
      <c r="AG76" s="50" t="s">
        <v>67</v>
      </c>
      <c r="AH76" s="50" t="s">
        <v>418</v>
      </c>
      <c r="AI76" s="50" t="s">
        <v>58</v>
      </c>
      <c r="AJ76" s="50" t="s">
        <v>59</v>
      </c>
      <c r="AK76" s="50"/>
      <c r="AL76" s="44"/>
      <c r="AM76" s="45"/>
      <c r="AN76" s="50"/>
      <c r="AO76" s="69"/>
      <c r="AP76" s="69"/>
      <c r="AQ76" s="69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5">
        <f>T76-BF76</f>
        <v>146.68791999999999</v>
      </c>
      <c r="BD76" s="56">
        <f>BC76/T76</f>
        <v>0.99869226579520698</v>
      </c>
      <c r="BE76" s="61" t="str">
        <f>IF(BD76&lt;0,"Negative",IF(BD76=0,"Same",IF(BD76&gt;0.3,"30+%",IF(BD76&gt;0.2,"20-30%",IF(BD76&gt;0.1,"10-20%",IF(BD76&lt;=0.1,"0-10%"))))))</f>
        <v>30+%</v>
      </c>
      <c r="BF76" s="65">
        <f>BG76*S76</f>
        <v>0.19207999999999997</v>
      </c>
      <c r="BG76" s="66">
        <f>BH76/BJ76</f>
        <v>9.6039999999999986E-2</v>
      </c>
      <c r="BH76" s="66">
        <f>IF(BS76="Original",Z76,AQ76)</f>
        <v>9.6039999999999992</v>
      </c>
      <c r="BI76" s="60" t="str">
        <f>IF(BS76="Original",AA76,AR76)</f>
        <v>Pack</v>
      </c>
      <c r="BJ76" s="60">
        <f>IF(BS76="Original",AB76,AS76)</f>
        <v>100</v>
      </c>
      <c r="BK76" s="60" t="str">
        <f>IF(BS76="Original",AC76,AT76)</f>
        <v>Possible UOM or LPP issue.</v>
      </c>
      <c r="BL76" s="60" t="str">
        <f>IF(BS76="Original",AD76,AU76)</f>
        <v>Body Guard[REG]</v>
      </c>
      <c r="BM76" s="60" t="str">
        <f>IF(BS76="Original",AE76,AV76)</f>
        <v>1334834</v>
      </c>
      <c r="BN76" s="60" t="str">
        <f>IF(BS76="Original",AF76,AW76)</f>
        <v>1334834</v>
      </c>
      <c r="BO76" s="60" t="str">
        <f>IF(BS76="Original",AG76,AX76)</f>
        <v>Safety</v>
      </c>
      <c r="BP76" s="60" t="str">
        <f>IF(BS76="Original",AH76,AY76)</f>
        <v>S Series 815G 9" 5 mil Green Nitrile Industrial Powder Free  Body Guard[REG] Disposable Glove</v>
      </c>
      <c r="BQ76" s="60" t="str">
        <f>IF(BS76="Original",AI76,AZ76)</f>
        <v>Similar Match</v>
      </c>
      <c r="BR76" s="60" t="str">
        <f>IF(BS76="Original",AJ76,BA76)</f>
        <v>No</v>
      </c>
      <c r="BS76" s="60" t="str">
        <f>IF(AQ76="","Original",IF(AP76&lt;Y76,"Alternate","Original"))</f>
        <v>Original</v>
      </c>
    </row>
    <row r="77" spans="1:71" s="31" customFormat="1" x14ac:dyDescent="0.35">
      <c r="A77" s="53" t="s">
        <v>39</v>
      </c>
      <c r="B77" s="49">
        <v>75</v>
      </c>
      <c r="C77" s="50"/>
      <c r="D77" s="50"/>
      <c r="E77" s="51"/>
      <c r="F77" s="50" t="s">
        <v>49</v>
      </c>
      <c r="G77" s="50" t="s">
        <v>419</v>
      </c>
      <c r="H77" s="50" t="s">
        <v>420</v>
      </c>
      <c r="I77" s="50"/>
      <c r="J77" s="50"/>
      <c r="K77" s="50"/>
      <c r="L77" s="50"/>
      <c r="M77" s="50"/>
      <c r="N77" s="54" t="s">
        <v>43</v>
      </c>
      <c r="O77" s="49">
        <v>1</v>
      </c>
      <c r="P77" s="43">
        <v>143.52000000000001</v>
      </c>
      <c r="Q77" s="49">
        <v>1</v>
      </c>
      <c r="R77" s="44">
        <f>P77/O77</f>
        <v>143.52000000000001</v>
      </c>
      <c r="S77" s="49">
        <f>Q77*O77</f>
        <v>1</v>
      </c>
      <c r="T77" s="52">
        <f>S77*R77</f>
        <v>143.52000000000001</v>
      </c>
      <c r="U77" s="50"/>
      <c r="V77" s="50"/>
      <c r="W77" s="50"/>
      <c r="X77" s="69"/>
      <c r="Y77" s="69"/>
      <c r="Z77" s="69"/>
      <c r="AA77" s="50"/>
      <c r="AB77" s="50"/>
      <c r="AC77" s="50"/>
      <c r="AD77" s="50"/>
      <c r="AE77" s="50"/>
      <c r="AF77" s="50"/>
      <c r="AG77" s="50"/>
      <c r="AH77" s="50"/>
      <c r="AI77" s="50" t="s">
        <v>394</v>
      </c>
      <c r="AJ77" s="50"/>
      <c r="AK77" s="50"/>
      <c r="AL77" s="44"/>
      <c r="AM77" s="45"/>
      <c r="AN77" s="50"/>
      <c r="AO77" s="69"/>
      <c r="AP77" s="69"/>
      <c r="AQ77" s="69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5"/>
      <c r="BD77" s="56"/>
      <c r="BE77" s="61"/>
      <c r="BF77" s="65"/>
      <c r="BG77" s="66"/>
      <c r="BH77" s="66"/>
      <c r="BI77" s="60"/>
      <c r="BJ77" s="60"/>
      <c r="BK77" s="60"/>
      <c r="BL77" s="60"/>
      <c r="BM77" s="60"/>
      <c r="BN77" s="60"/>
      <c r="BO77" s="60"/>
      <c r="BP77" s="60"/>
      <c r="BQ77" s="60" t="str">
        <f>IF(BS77="Original",AI77,AZ77)</f>
        <v>Metalworking Program</v>
      </c>
      <c r="BR77" s="60"/>
      <c r="BS77" s="60" t="str">
        <f>IF(AQ77="","Original",IF(AP77&lt;Y77,"Alternate","Original"))</f>
        <v>Original</v>
      </c>
    </row>
    <row r="78" spans="1:71" s="31" customFormat="1" x14ac:dyDescent="0.35">
      <c r="A78" s="53" t="s">
        <v>39</v>
      </c>
      <c r="B78" s="49">
        <v>76</v>
      </c>
      <c r="C78" s="50"/>
      <c r="D78" s="50"/>
      <c r="E78" s="51"/>
      <c r="F78" s="50" t="s">
        <v>40</v>
      </c>
      <c r="G78" s="50" t="s">
        <v>421</v>
      </c>
      <c r="H78" s="50" t="s">
        <v>422</v>
      </c>
      <c r="I78" s="50"/>
      <c r="J78" s="50"/>
      <c r="K78" s="50"/>
      <c r="L78" s="50"/>
      <c r="M78" s="50"/>
      <c r="N78" s="54" t="s">
        <v>43</v>
      </c>
      <c r="O78" s="49">
        <v>1</v>
      </c>
      <c r="P78" s="43">
        <v>142.66</v>
      </c>
      <c r="Q78" s="49">
        <v>1</v>
      </c>
      <c r="R78" s="44">
        <f>P78/O78</f>
        <v>142.66</v>
      </c>
      <c r="S78" s="49">
        <f>Q78*O78</f>
        <v>1</v>
      </c>
      <c r="T78" s="52">
        <f>S78*R78</f>
        <v>142.66</v>
      </c>
      <c r="U78" s="55">
        <f>IFERROR(T78-X78,0)</f>
        <v>132.57579999999999</v>
      </c>
      <c r="V78" s="56">
        <f>IFERROR(U78/T78,0)</f>
        <v>0.92931305201177616</v>
      </c>
      <c r="W78" s="57" t="str">
        <f>IF($V78&lt;0,"Negative",IF($V78=0,"Same",IF($V78&gt;0.3,"30+%",IF($V78&gt;0.2,"20-30%",IF($V78&gt;0.1,"10-20%",IF($V78&lt;=0.1,"0-10%"))))))</f>
        <v>30+%</v>
      </c>
      <c r="X78" s="66">
        <f>IFERROR(Y78*S78,0)</f>
        <v>10.084199999999999</v>
      </c>
      <c r="Y78" s="66">
        <f>IFERROR(Z78/AB78,0)</f>
        <v>10.084199999999999</v>
      </c>
      <c r="Z78" s="69">
        <v>10.084199999999999</v>
      </c>
      <c r="AA78" s="50" t="s">
        <v>63</v>
      </c>
      <c r="AB78" s="50">
        <v>1</v>
      </c>
      <c r="AC78" s="50" t="s">
        <v>53</v>
      </c>
      <c r="AD78" s="50" t="s">
        <v>243</v>
      </c>
      <c r="AE78" s="50" t="s">
        <v>423</v>
      </c>
      <c r="AF78" s="50" t="s">
        <v>424</v>
      </c>
      <c r="AG78" s="50" t="s">
        <v>135</v>
      </c>
      <c r="AH78" s="50" t="s">
        <v>425</v>
      </c>
      <c r="AI78" s="50" t="s">
        <v>58</v>
      </c>
      <c r="AJ78" s="50" t="s">
        <v>59</v>
      </c>
      <c r="AK78" s="50"/>
      <c r="AL78" s="44"/>
      <c r="AM78" s="45"/>
      <c r="AN78" s="50"/>
      <c r="AO78" s="69"/>
      <c r="AP78" s="69"/>
      <c r="AQ78" s="69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5">
        <f>T78-BF78</f>
        <v>132.57579999999999</v>
      </c>
      <c r="BD78" s="56">
        <f>BC78/T78</f>
        <v>0.92931305201177616</v>
      </c>
      <c r="BE78" s="61" t="str">
        <f>IF(BD78&lt;0,"Negative",IF(BD78=0,"Same",IF(BD78&gt;0.3,"30+%",IF(BD78&gt;0.2,"20-30%",IF(BD78&gt;0.1,"10-20%",IF(BD78&lt;=0.1,"0-10%"))))))</f>
        <v>30+%</v>
      </c>
      <c r="BF78" s="65">
        <f>BG78*S78</f>
        <v>10.084199999999999</v>
      </c>
      <c r="BG78" s="66">
        <f>BH78/BJ78</f>
        <v>10.084199999999999</v>
      </c>
      <c r="BH78" s="66">
        <f>IF(BS78="Original",Z78,AQ78)</f>
        <v>10.084199999999999</v>
      </c>
      <c r="BI78" s="60" t="str">
        <f>IF(BS78="Original",AA78,AR78)</f>
        <v>Piece</v>
      </c>
      <c r="BJ78" s="60">
        <f>IF(BS78="Original",AB78,AS78)</f>
        <v>1</v>
      </c>
      <c r="BK78" s="60" t="str">
        <f>IF(BS78="Original",AC78,AT78)</f>
        <v>Possible UOM or LPP issue.</v>
      </c>
      <c r="BL78" s="60" t="str">
        <f>IF(BS78="Original",AD78,AU78)</f>
        <v>WIDIA - GTD</v>
      </c>
      <c r="BM78" s="60" t="str">
        <f>IF(BS78="Original",AE78,AV78)</f>
        <v>2748369</v>
      </c>
      <c r="BN78" s="60" t="str">
        <f>IF(BS78="Original",AF78,AW78)</f>
        <v>7003745</v>
      </c>
      <c r="BO78" s="60" t="str">
        <f>IF(BS78="Original",AG78,AX78)</f>
        <v>Cutting Tools and Metalworking</v>
      </c>
      <c r="BP78" s="60" t="str">
        <f>IF(BS78="Original",AH78,AY78)</f>
        <v>6-32 NC HSS 2 Flute Bright Finish H3, Spiral Flute Tap</v>
      </c>
      <c r="BQ78" s="60" t="str">
        <f>IF(BS78="Original",AI78,AZ78)</f>
        <v>Similar Match</v>
      </c>
      <c r="BR78" s="60" t="str">
        <f>IF(BS78="Original",AJ78,BA78)</f>
        <v>No</v>
      </c>
      <c r="BS78" s="60" t="str">
        <f>IF(AQ78="","Original",IF(AP78&lt;Y78,"Alternate","Original"))</f>
        <v>Original</v>
      </c>
    </row>
    <row r="79" spans="1:71" s="31" customFormat="1" x14ac:dyDescent="0.35">
      <c r="A79" s="53" t="s">
        <v>39</v>
      </c>
      <c r="B79" s="49">
        <v>77</v>
      </c>
      <c r="C79" s="50"/>
      <c r="D79" s="50"/>
      <c r="E79" s="51"/>
      <c r="F79" s="50" t="s">
        <v>60</v>
      </c>
      <c r="G79" s="50" t="s">
        <v>426</v>
      </c>
      <c r="H79" s="50" t="s">
        <v>427</v>
      </c>
      <c r="I79" s="50"/>
      <c r="J79" s="50"/>
      <c r="K79" s="50"/>
      <c r="L79" s="50"/>
      <c r="M79" s="50"/>
      <c r="N79" s="54" t="s">
        <v>43</v>
      </c>
      <c r="O79" s="49">
        <v>1</v>
      </c>
      <c r="P79" s="43">
        <v>70.98</v>
      </c>
      <c r="Q79" s="49">
        <v>2</v>
      </c>
      <c r="R79" s="44">
        <f>P79/O79</f>
        <v>70.98</v>
      </c>
      <c r="S79" s="49">
        <f>Q79*O79</f>
        <v>2</v>
      </c>
      <c r="T79" s="52">
        <f>S79*R79</f>
        <v>141.96</v>
      </c>
      <c r="U79" s="55">
        <f>IFERROR(T79-X79,0)</f>
        <v>90.186599999999999</v>
      </c>
      <c r="V79" s="56">
        <f>IFERROR(U79/T79,0)</f>
        <v>0.63529585798816568</v>
      </c>
      <c r="W79" s="57" t="str">
        <f>IF($V79&lt;0,"Negative",IF($V79=0,"Same",IF($V79&gt;0.3,"30+%",IF($V79&gt;0.2,"20-30%",IF($V79&gt;0.1,"10-20%",IF($V79&lt;=0.1,"0-10%"))))))</f>
        <v>30+%</v>
      </c>
      <c r="X79" s="66">
        <f>IFERROR(Y79*S79,0)</f>
        <v>51.773400000000002</v>
      </c>
      <c r="Y79" s="66">
        <f>IFERROR(Z79/AB79,0)</f>
        <v>25.886700000000001</v>
      </c>
      <c r="Z79" s="69">
        <v>155.3202</v>
      </c>
      <c r="AA79" s="50" t="s">
        <v>267</v>
      </c>
      <c r="AB79" s="50">
        <v>6</v>
      </c>
      <c r="AC79" s="50" t="s">
        <v>53</v>
      </c>
      <c r="AD79" s="50" t="s">
        <v>428</v>
      </c>
      <c r="AE79" s="50" t="s">
        <v>429</v>
      </c>
      <c r="AF79" s="50" t="s">
        <v>430</v>
      </c>
      <c r="AG79" s="50" t="s">
        <v>67</v>
      </c>
      <c r="AH79" s="50" t="s">
        <v>431</v>
      </c>
      <c r="AI79" s="50" t="s">
        <v>69</v>
      </c>
      <c r="AJ79" s="50" t="s">
        <v>59</v>
      </c>
      <c r="AK79" s="50"/>
      <c r="AL79" s="44"/>
      <c r="AM79" s="45"/>
      <c r="AN79" s="50"/>
      <c r="AO79" s="69"/>
      <c r="AP79" s="69"/>
      <c r="AQ79" s="69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5">
        <f>T79-BF79</f>
        <v>90.186599999999999</v>
      </c>
      <c r="BD79" s="56">
        <f>BC79/T79</f>
        <v>0.63529585798816568</v>
      </c>
      <c r="BE79" s="61" t="str">
        <f>IF(BD79&lt;0,"Negative",IF(BD79=0,"Same",IF(BD79&gt;0.3,"30+%",IF(BD79&gt;0.2,"20-30%",IF(BD79&gt;0.1,"10-20%",IF(BD79&lt;=0.1,"0-10%"))))))</f>
        <v>30+%</v>
      </c>
      <c r="BF79" s="65">
        <f>BG79*S79</f>
        <v>51.773400000000002</v>
      </c>
      <c r="BG79" s="66">
        <f>BH79/BJ79</f>
        <v>25.886700000000001</v>
      </c>
      <c r="BH79" s="66">
        <f>IF(BS79="Original",Z79,AQ79)</f>
        <v>155.3202</v>
      </c>
      <c r="BI79" s="60" t="str">
        <f>IF(BS79="Original",AA79,AR79)</f>
        <v>Case</v>
      </c>
      <c r="BJ79" s="60">
        <f>IF(BS79="Original",AB79,AS79)</f>
        <v>6</v>
      </c>
      <c r="BK79" s="60" t="str">
        <f>IF(BS79="Original",AC79,AT79)</f>
        <v>Possible UOM or LPP issue.</v>
      </c>
      <c r="BL79" s="60" t="str">
        <f>IF(BS79="Original",AD79,AU79)</f>
        <v>BROTHER MOBILE SOLUTIONS INC</v>
      </c>
      <c r="BM79" s="60" t="str">
        <f>IF(BS79="Original",AE79,AV79)</f>
        <v>HSE221</v>
      </c>
      <c r="BN79" s="60" t="str">
        <f>IF(BS79="Original",AF79,AW79)</f>
        <v>1621131</v>
      </c>
      <c r="BO79" s="60" t="str">
        <f>IF(BS79="Original",AG79,AX79)</f>
        <v>Safety</v>
      </c>
      <c r="BP79" s="60" t="str">
        <f>IF(BS79="Original",AH79,AY79)</f>
        <v>0.34" x 4.9" Black on White Polyolefin Heat Shrink Tube Tape Cartridge</v>
      </c>
      <c r="BQ79" s="60" t="str">
        <f>IF(BS79="Original",AI79,AZ79)</f>
        <v>Exact Match</v>
      </c>
      <c r="BR79" s="60" t="str">
        <f>IF(BS79="Original",AJ79,BA79)</f>
        <v>No</v>
      </c>
      <c r="BS79" s="60" t="str">
        <f>IF(AQ79="","Original",IF(AP79&lt;Y79,"Alternate","Original"))</f>
        <v>Original</v>
      </c>
    </row>
    <row r="80" spans="1:71" s="31" customFormat="1" x14ac:dyDescent="0.35">
      <c r="A80" s="53" t="s">
        <v>39</v>
      </c>
      <c r="B80" s="49">
        <v>78</v>
      </c>
      <c r="C80" s="50"/>
      <c r="D80" s="50"/>
      <c r="E80" s="51"/>
      <c r="F80" s="50" t="s">
        <v>60</v>
      </c>
      <c r="G80" s="50" t="s">
        <v>432</v>
      </c>
      <c r="H80" s="50" t="s">
        <v>433</v>
      </c>
      <c r="I80" s="50"/>
      <c r="J80" s="50"/>
      <c r="K80" s="50"/>
      <c r="L80" s="50"/>
      <c r="M80" s="50"/>
      <c r="N80" s="54" t="s">
        <v>43</v>
      </c>
      <c r="O80" s="49">
        <v>1</v>
      </c>
      <c r="P80" s="43">
        <v>140.31</v>
      </c>
      <c r="Q80" s="49">
        <v>1</v>
      </c>
      <c r="R80" s="44">
        <f>P80/O80</f>
        <v>140.31</v>
      </c>
      <c r="S80" s="49">
        <f>Q80*O80</f>
        <v>1</v>
      </c>
      <c r="T80" s="52">
        <f>S80*R80</f>
        <v>140.31</v>
      </c>
      <c r="U80" s="55">
        <f>IFERROR(T80-X80,0)</f>
        <v>33.955500000000015</v>
      </c>
      <c r="V80" s="56">
        <f>IFERROR(U80/T80,0)</f>
        <v>0.24200342099636529</v>
      </c>
      <c r="W80" s="57" t="str">
        <f>IF($V80&lt;0,"Negative",IF($V80=0,"Same",IF($V80&gt;0.3,"30+%",IF($V80&gt;0.2,"20-30%",IF($V80&gt;0.1,"10-20%",IF($V80&lt;=0.1,"0-10%"))))))</f>
        <v>20-30%</v>
      </c>
      <c r="X80" s="66">
        <f>IFERROR(Y80*S80,0)</f>
        <v>106.35449999999999</v>
      </c>
      <c r="Y80" s="66">
        <f>IFERROR(Z80/AB80,0)</f>
        <v>106.35449999999999</v>
      </c>
      <c r="Z80" s="69">
        <v>638.12699999999995</v>
      </c>
      <c r="AA80" s="50" t="s">
        <v>267</v>
      </c>
      <c r="AB80" s="50">
        <v>6</v>
      </c>
      <c r="AC80" s="50"/>
      <c r="AD80" s="50" t="s">
        <v>434</v>
      </c>
      <c r="AE80" s="50" t="s">
        <v>435</v>
      </c>
      <c r="AF80" s="50" t="s">
        <v>436</v>
      </c>
      <c r="AG80" s="50" t="s">
        <v>320</v>
      </c>
      <c r="AH80" s="50" t="s">
        <v>437</v>
      </c>
      <c r="AI80" s="50" t="s">
        <v>69</v>
      </c>
      <c r="AJ80" s="50" t="s">
        <v>59</v>
      </c>
      <c r="AK80" s="50"/>
      <c r="AL80" s="44"/>
      <c r="AM80" s="45"/>
      <c r="AN80" s="50"/>
      <c r="AO80" s="69"/>
      <c r="AP80" s="69"/>
      <c r="AQ80" s="69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5">
        <f>T80-BF80</f>
        <v>33.955500000000015</v>
      </c>
      <c r="BD80" s="56">
        <f>BC80/T80</f>
        <v>0.24200342099636529</v>
      </c>
      <c r="BE80" s="61" t="str">
        <f>IF(BD80&lt;0,"Negative",IF(BD80=0,"Same",IF(BD80&gt;0.3,"30+%",IF(BD80&gt;0.2,"20-30%",IF(BD80&gt;0.1,"10-20%",IF(BD80&lt;=0.1,"0-10%"))))))</f>
        <v>20-30%</v>
      </c>
      <c r="BF80" s="65">
        <f>BG80*S80</f>
        <v>106.35449999999999</v>
      </c>
      <c r="BG80" s="66">
        <f>BH80/BJ80</f>
        <v>106.35449999999999</v>
      </c>
      <c r="BH80" s="66">
        <f>IF(BS80="Original",Z80,AQ80)</f>
        <v>638.12699999999995</v>
      </c>
      <c r="BI80" s="60" t="str">
        <f>IF(BS80="Original",AA80,AR80)</f>
        <v>Case</v>
      </c>
      <c r="BJ80" s="60">
        <f>IF(BS80="Original",AB80,AS80)</f>
        <v>6</v>
      </c>
      <c r="BK80" s="60"/>
      <c r="BL80" s="60" t="str">
        <f>IF(BS80="Original",AD80,AU80)</f>
        <v>RIDGID[REG]</v>
      </c>
      <c r="BM80" s="60" t="str">
        <f>IF(BS80="Original",AE80,AV80)</f>
        <v>31280</v>
      </c>
      <c r="BN80" s="60" t="str">
        <f>IF(BS80="Original",AF80,AW80)</f>
        <v>5228-31280</v>
      </c>
      <c r="BO80" s="60" t="str">
        <f>IF(BS80="Original",AG80,AX80)</f>
        <v>Plumbing</v>
      </c>
      <c r="BP80" s="60" t="str">
        <f>IF(BS80="Original",AH80,AY80)</f>
        <v>20" OAL 2" Capacity Hex Pipe Wrench</v>
      </c>
      <c r="BQ80" s="60" t="str">
        <f>IF(BS80="Original",AI80,AZ80)</f>
        <v>Exact Match</v>
      </c>
      <c r="BR80" s="60" t="str">
        <f>IF(BS80="Original",AJ80,BA80)</f>
        <v>No</v>
      </c>
      <c r="BS80" s="60" t="str">
        <f>IF(AQ80="","Original",IF(AP80&lt;Y80,"Alternate","Original"))</f>
        <v>Original</v>
      </c>
    </row>
    <row r="81" spans="1:71" s="31" customFormat="1" x14ac:dyDescent="0.35">
      <c r="A81" s="53" t="s">
        <v>39</v>
      </c>
      <c r="B81" s="49">
        <v>79</v>
      </c>
      <c r="C81" s="50"/>
      <c r="D81" s="50"/>
      <c r="E81" s="51"/>
      <c r="F81" s="50" t="s">
        <v>60</v>
      </c>
      <c r="G81" s="50" t="s">
        <v>438</v>
      </c>
      <c r="H81" s="50" t="s">
        <v>439</v>
      </c>
      <c r="I81" s="50"/>
      <c r="J81" s="50"/>
      <c r="K81" s="50"/>
      <c r="L81" s="50"/>
      <c r="M81" s="50"/>
      <c r="N81" s="54" t="s">
        <v>43</v>
      </c>
      <c r="O81" s="49">
        <v>1</v>
      </c>
      <c r="P81" s="43">
        <v>139.53</v>
      </c>
      <c r="Q81" s="49">
        <v>1</v>
      </c>
      <c r="R81" s="44">
        <f>P81/O81</f>
        <v>139.53</v>
      </c>
      <c r="S81" s="49">
        <f>Q81*O81</f>
        <v>1</v>
      </c>
      <c r="T81" s="52">
        <f>S81*R81</f>
        <v>139.53</v>
      </c>
      <c r="U81" s="50"/>
      <c r="V81" s="50"/>
      <c r="W81" s="50"/>
      <c r="X81" s="69"/>
      <c r="Y81" s="69"/>
      <c r="Z81" s="69"/>
      <c r="AA81" s="50"/>
      <c r="AB81" s="50"/>
      <c r="AC81" s="50"/>
      <c r="AD81" s="50"/>
      <c r="AE81" s="50"/>
      <c r="AF81" s="50"/>
      <c r="AG81" s="50"/>
      <c r="AH81" s="50"/>
      <c r="AI81" s="50" t="s">
        <v>129</v>
      </c>
      <c r="AJ81" s="50"/>
      <c r="AK81" s="50"/>
      <c r="AL81" s="44"/>
      <c r="AM81" s="45"/>
      <c r="AN81" s="50"/>
      <c r="AO81" s="69"/>
      <c r="AP81" s="69"/>
      <c r="AQ81" s="69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5"/>
      <c r="BD81" s="56"/>
      <c r="BE81" s="61"/>
      <c r="BF81" s="65"/>
      <c r="BG81" s="66"/>
      <c r="BH81" s="66"/>
      <c r="BI81" s="60"/>
      <c r="BJ81" s="60"/>
      <c r="BK81" s="60"/>
      <c r="BL81" s="60"/>
      <c r="BM81" s="60"/>
      <c r="BN81" s="60"/>
      <c r="BO81" s="60"/>
      <c r="BP81" s="60"/>
      <c r="BQ81" s="60" t="str">
        <f>IF(BS81="Original",AI81,AZ81)</f>
        <v xml:space="preserve">Non-Supported Product </v>
      </c>
      <c r="BR81" s="60"/>
      <c r="BS81" s="60" t="str">
        <f>IF(AQ81="","Original",IF(AP81&lt;Y81,"Alternate","Original"))</f>
        <v>Original</v>
      </c>
    </row>
    <row r="82" spans="1:71" s="31" customFormat="1" x14ac:dyDescent="0.35">
      <c r="A82" s="53" t="s">
        <v>39</v>
      </c>
      <c r="B82" s="49">
        <v>80</v>
      </c>
      <c r="C82" s="50"/>
      <c r="D82" s="50"/>
      <c r="E82" s="51"/>
      <c r="F82" s="50" t="s">
        <v>40</v>
      </c>
      <c r="G82" s="50" t="s">
        <v>440</v>
      </c>
      <c r="H82" s="50" t="s">
        <v>441</v>
      </c>
      <c r="I82" s="50"/>
      <c r="J82" s="50"/>
      <c r="K82" s="50"/>
      <c r="L82" s="50"/>
      <c r="M82" s="50"/>
      <c r="N82" s="54" t="s">
        <v>43</v>
      </c>
      <c r="O82" s="49">
        <v>1</v>
      </c>
      <c r="P82" s="43">
        <v>134.4</v>
      </c>
      <c r="Q82" s="49">
        <v>1</v>
      </c>
      <c r="R82" s="44">
        <f>P82/O82</f>
        <v>134.4</v>
      </c>
      <c r="S82" s="49">
        <f>Q82*O82</f>
        <v>1</v>
      </c>
      <c r="T82" s="52">
        <f>S82*R82</f>
        <v>134.4</v>
      </c>
      <c r="U82" s="55">
        <f>IFERROR(T82-X82,0)</f>
        <v>121.1803</v>
      </c>
      <c r="V82" s="56">
        <f>IFERROR(U82/T82,0)</f>
        <v>0.90163913690476194</v>
      </c>
      <c r="W82" s="57" t="str">
        <f>IF($V82&lt;0,"Negative",IF($V82=0,"Same",IF($V82&gt;0.3,"30+%",IF($V82&gt;0.2,"20-30%",IF($V82&gt;0.1,"10-20%",IF($V82&lt;=0.1,"0-10%"))))))</f>
        <v>30+%</v>
      </c>
      <c r="X82" s="66">
        <f>IFERROR(Y82*S82,0)</f>
        <v>13.2197</v>
      </c>
      <c r="Y82" s="66">
        <f>IFERROR(Z82/AB82,0)</f>
        <v>13.2197</v>
      </c>
      <c r="Z82" s="69">
        <v>13.2197</v>
      </c>
      <c r="AA82" s="50" t="s">
        <v>63</v>
      </c>
      <c r="AB82" s="50">
        <v>1</v>
      </c>
      <c r="AC82" s="50" t="s">
        <v>53</v>
      </c>
      <c r="AD82" s="50" t="s">
        <v>243</v>
      </c>
      <c r="AE82" s="50" t="s">
        <v>442</v>
      </c>
      <c r="AF82" s="50" t="s">
        <v>443</v>
      </c>
      <c r="AG82" s="50" t="s">
        <v>135</v>
      </c>
      <c r="AH82" s="50" t="s">
        <v>444</v>
      </c>
      <c r="AI82" s="50" t="s">
        <v>58</v>
      </c>
      <c r="AJ82" s="50" t="s">
        <v>73</v>
      </c>
      <c r="AK82" s="50"/>
      <c r="AL82" s="44"/>
      <c r="AM82" s="45"/>
      <c r="AN82" s="50"/>
      <c r="AO82" s="69"/>
      <c r="AP82" s="69"/>
      <c r="AQ82" s="69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5">
        <f>T82-BF82</f>
        <v>121.1803</v>
      </c>
      <c r="BD82" s="56">
        <f>BC82/T82</f>
        <v>0.90163913690476194</v>
      </c>
      <c r="BE82" s="61" t="str">
        <f>IF(BD82&lt;0,"Negative",IF(BD82=0,"Same",IF(BD82&gt;0.3,"30+%",IF(BD82&gt;0.2,"20-30%",IF(BD82&gt;0.1,"10-20%",IF(BD82&lt;=0.1,"0-10%"))))))</f>
        <v>30+%</v>
      </c>
      <c r="BF82" s="65">
        <f>BG82*S82</f>
        <v>13.2197</v>
      </c>
      <c r="BG82" s="66">
        <f>BH82/BJ82</f>
        <v>13.2197</v>
      </c>
      <c r="BH82" s="66">
        <f>IF(BS82="Original",Z82,AQ82)</f>
        <v>13.2197</v>
      </c>
      <c r="BI82" s="60" t="str">
        <f>IF(BS82="Original",AA82,AR82)</f>
        <v>Piece</v>
      </c>
      <c r="BJ82" s="60">
        <f>IF(BS82="Original",AB82,AS82)</f>
        <v>1</v>
      </c>
      <c r="BK82" s="60" t="str">
        <f>IF(BS82="Original",AC82,AT82)</f>
        <v>Possible UOM or LPP issue.</v>
      </c>
      <c r="BL82" s="60" t="str">
        <f>IF(BS82="Original",AD82,AU82)</f>
        <v>WIDIA - GTD</v>
      </c>
      <c r="BM82" s="60" t="str">
        <f>IF(BS82="Original",AE82,AV82)</f>
        <v>2746466</v>
      </c>
      <c r="BN82" s="60" t="str">
        <f>IF(BS82="Original",AF82,AW82)</f>
        <v>7003476</v>
      </c>
      <c r="BO82" s="60" t="str">
        <f>IF(BS82="Original",AG82,AX82)</f>
        <v>Cutting Tools and Metalworking</v>
      </c>
      <c r="BP82" s="60" t="str">
        <f>IF(BS82="Original",AH82,AY82)</f>
        <v>10-32 HSS 3 Flute TiN Finish H3 NF, Fast Spiral Bottoming Tap</v>
      </c>
      <c r="BQ82" s="60" t="str">
        <f>IF(BS82="Original",AI82,AZ82)</f>
        <v>Similar Match</v>
      </c>
      <c r="BR82" s="60" t="str">
        <f>IF(BS82="Original",AJ82,BA82)</f>
        <v>Yes</v>
      </c>
      <c r="BS82" s="60" t="str">
        <f>IF(AQ82="","Original",IF(AP82&lt;Y82,"Alternate","Original"))</f>
        <v>Original</v>
      </c>
    </row>
    <row r="83" spans="1:71" s="31" customFormat="1" x14ac:dyDescent="0.35">
      <c r="A83" s="53" t="s">
        <v>39</v>
      </c>
      <c r="B83" s="49">
        <v>81</v>
      </c>
      <c r="C83" s="50"/>
      <c r="D83" s="50"/>
      <c r="E83" s="51"/>
      <c r="F83" s="50" t="s">
        <v>49</v>
      </c>
      <c r="G83" s="50" t="s">
        <v>445</v>
      </c>
      <c r="H83" s="50" t="s">
        <v>446</v>
      </c>
      <c r="I83" s="50"/>
      <c r="J83" s="50"/>
      <c r="K83" s="50"/>
      <c r="L83" s="50"/>
      <c r="M83" s="50"/>
      <c r="N83" s="54" t="s">
        <v>43</v>
      </c>
      <c r="O83" s="49">
        <v>1</v>
      </c>
      <c r="P83" s="43">
        <v>133.87</v>
      </c>
      <c r="Q83" s="49">
        <v>1</v>
      </c>
      <c r="R83" s="44">
        <f>P83/O83</f>
        <v>133.87</v>
      </c>
      <c r="S83" s="49">
        <f>Q83*O83</f>
        <v>1</v>
      </c>
      <c r="T83" s="52">
        <f>S83*R83</f>
        <v>133.87</v>
      </c>
      <c r="U83" s="55">
        <f>IFERROR(T83-X83,0)</f>
        <v>93.048100000000005</v>
      </c>
      <c r="V83" s="56">
        <f>IFERROR(U83/T83,0)</f>
        <v>0.69506312093822364</v>
      </c>
      <c r="W83" s="57" t="str">
        <f>IF($V83&lt;0,"Negative",IF($V83=0,"Same",IF($V83&gt;0.3,"30+%",IF($V83&gt;0.2,"20-30%",IF($V83&gt;0.1,"10-20%",IF($V83&lt;=0.1,"0-10%"))))))</f>
        <v>30+%</v>
      </c>
      <c r="X83" s="66">
        <f>IFERROR(Y83*S83,0)</f>
        <v>40.821899999999999</v>
      </c>
      <c r="Y83" s="66">
        <f>IFERROR(Z83/AB83,0)</f>
        <v>40.821899999999999</v>
      </c>
      <c r="Z83" s="69">
        <v>40.821899999999999</v>
      </c>
      <c r="AA83" s="50" t="s">
        <v>63</v>
      </c>
      <c r="AB83" s="50">
        <v>1</v>
      </c>
      <c r="AC83" s="50" t="s">
        <v>53</v>
      </c>
      <c r="AD83" s="50" t="s">
        <v>447</v>
      </c>
      <c r="AE83" s="50" t="s">
        <v>448</v>
      </c>
      <c r="AF83" s="50" t="s">
        <v>449</v>
      </c>
      <c r="AG83" s="50" t="s">
        <v>135</v>
      </c>
      <c r="AH83" s="50" t="s">
        <v>450</v>
      </c>
      <c r="AI83" s="50" t="s">
        <v>58</v>
      </c>
      <c r="AJ83" s="50" t="s">
        <v>59</v>
      </c>
      <c r="AK83" s="50"/>
      <c r="AL83" s="44"/>
      <c r="AM83" s="45"/>
      <c r="AN83" s="50"/>
      <c r="AO83" s="69"/>
      <c r="AP83" s="69"/>
      <c r="AQ83" s="69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5">
        <f>T83-BF83</f>
        <v>93.048100000000005</v>
      </c>
      <c r="BD83" s="56">
        <f>BC83/T83</f>
        <v>0.69506312093822364</v>
      </c>
      <c r="BE83" s="61" t="str">
        <f>IF(BD83&lt;0,"Negative",IF(BD83=0,"Same",IF(BD83&gt;0.3,"30+%",IF(BD83&gt;0.2,"20-30%",IF(BD83&gt;0.1,"10-20%",IF(BD83&lt;=0.1,"0-10%"))))))</f>
        <v>30+%</v>
      </c>
      <c r="BF83" s="65">
        <f>BG83*S83</f>
        <v>40.821899999999999</v>
      </c>
      <c r="BG83" s="66">
        <f>BH83/BJ83</f>
        <v>40.821899999999999</v>
      </c>
      <c r="BH83" s="66">
        <f>IF(BS83="Original",Z83,AQ83)</f>
        <v>40.821899999999999</v>
      </c>
      <c r="BI83" s="60" t="str">
        <f>IF(BS83="Original",AA83,AR83)</f>
        <v>Piece</v>
      </c>
      <c r="BJ83" s="60">
        <f>IF(BS83="Original",AB83,AS83)</f>
        <v>1</v>
      </c>
      <c r="BK83" s="60" t="str">
        <f>IF(BS83="Original",AC83,AT83)</f>
        <v>Possible UOM or LPP issue.</v>
      </c>
      <c r="BL83" s="60" t="str">
        <f>IF(BS83="Original",AD83,AU83)</f>
        <v>REGAL CUTTING TOOLS</v>
      </c>
      <c r="BM83" s="60" t="str">
        <f>IF(BS83="Original",AE83,AV83)</f>
        <v>015913AS</v>
      </c>
      <c r="BN83" s="60" t="str">
        <f>IF(BS83="Original",AF83,AW83)</f>
        <v>3714577</v>
      </c>
      <c r="BO83" s="60" t="str">
        <f>IF(BS83="Original",AG83,AX83)</f>
        <v>Cutting Tools and Metalworking</v>
      </c>
      <c r="BP83" s="60" t="str">
        <f>IF(BS83="Original",AH83,AY83)</f>
        <v>1/4-18 4 Flute Plug Taper Pipe Extension Tap - 4"</v>
      </c>
      <c r="BQ83" s="60" t="str">
        <f>IF(BS83="Original",AI83,AZ83)</f>
        <v>Similar Match</v>
      </c>
      <c r="BR83" s="60" t="str">
        <f>IF(BS83="Original",AJ83,BA83)</f>
        <v>No</v>
      </c>
      <c r="BS83" s="60" t="str">
        <f>IF(AQ83="","Original",IF(AP83&lt;Y83,"Alternate","Original"))</f>
        <v>Original</v>
      </c>
    </row>
    <row r="84" spans="1:71" s="31" customFormat="1" x14ac:dyDescent="0.35">
      <c r="A84" s="53" t="s">
        <v>39</v>
      </c>
      <c r="B84" s="49">
        <v>82</v>
      </c>
      <c r="C84" s="50"/>
      <c r="D84" s="50"/>
      <c r="E84" s="51"/>
      <c r="F84" s="50" t="s">
        <v>49</v>
      </c>
      <c r="G84" s="50" t="s">
        <v>451</v>
      </c>
      <c r="H84" s="50" t="s">
        <v>452</v>
      </c>
      <c r="I84" s="50"/>
      <c r="J84" s="50"/>
      <c r="K84" s="50"/>
      <c r="L84" s="50"/>
      <c r="M84" s="50"/>
      <c r="N84" s="54" t="s">
        <v>43</v>
      </c>
      <c r="O84" s="49">
        <v>1</v>
      </c>
      <c r="P84" s="43">
        <v>133.06</v>
      </c>
      <c r="Q84" s="49">
        <v>1</v>
      </c>
      <c r="R84" s="44">
        <f>P84/O84</f>
        <v>133.06</v>
      </c>
      <c r="S84" s="49">
        <f>Q84*O84</f>
        <v>1</v>
      </c>
      <c r="T84" s="52">
        <f>S84*R84</f>
        <v>133.06</v>
      </c>
      <c r="U84" s="55">
        <f>IFERROR(T84-X84,0)</f>
        <v>91.576599999999999</v>
      </c>
      <c r="V84" s="56">
        <f>IFERROR(U84/T84,0)</f>
        <v>0.68823538253419503</v>
      </c>
      <c r="W84" s="57" t="str">
        <f>IF($V84&lt;0,"Negative",IF($V84=0,"Same",IF($V84&gt;0.3,"30+%",IF($V84&gt;0.2,"20-30%",IF($V84&gt;0.1,"10-20%",IF($V84&lt;=0.1,"0-10%"))))))</f>
        <v>30+%</v>
      </c>
      <c r="X84" s="66">
        <f>IFERROR(Y84*S84,0)</f>
        <v>41.483400000000003</v>
      </c>
      <c r="Y84" s="66">
        <f>IFERROR(Z84/AB84,0)</f>
        <v>41.483400000000003</v>
      </c>
      <c r="Z84" s="69">
        <v>414.834</v>
      </c>
      <c r="AA84" s="50" t="s">
        <v>267</v>
      </c>
      <c r="AB84" s="50">
        <v>10</v>
      </c>
      <c r="AC84" s="50" t="s">
        <v>53</v>
      </c>
      <c r="AD84" s="50" t="s">
        <v>453</v>
      </c>
      <c r="AE84" s="50" t="s">
        <v>454</v>
      </c>
      <c r="AF84" s="50" t="s">
        <v>455</v>
      </c>
      <c r="AG84" s="50" t="s">
        <v>390</v>
      </c>
      <c r="AH84" s="50" t="s">
        <v>456</v>
      </c>
      <c r="AI84" s="50" t="s">
        <v>69</v>
      </c>
      <c r="AJ84" s="50" t="s">
        <v>59</v>
      </c>
      <c r="AK84" s="50"/>
      <c r="AL84" s="44"/>
      <c r="AM84" s="45"/>
      <c r="AN84" s="50"/>
      <c r="AO84" s="69"/>
      <c r="AP84" s="69"/>
      <c r="AQ84" s="69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5">
        <f>T84-BF84</f>
        <v>91.576599999999999</v>
      </c>
      <c r="BD84" s="56">
        <f>BC84/T84</f>
        <v>0.68823538253419503</v>
      </c>
      <c r="BE84" s="61" t="str">
        <f>IF(BD84&lt;0,"Negative",IF(BD84=0,"Same",IF(BD84&gt;0.3,"30+%",IF(BD84&gt;0.2,"20-30%",IF(BD84&gt;0.1,"10-20%",IF(BD84&lt;=0.1,"0-10%"))))))</f>
        <v>30+%</v>
      </c>
      <c r="BF84" s="65">
        <f>BG84*S84</f>
        <v>41.483400000000003</v>
      </c>
      <c r="BG84" s="66">
        <f>BH84/BJ84</f>
        <v>41.483400000000003</v>
      </c>
      <c r="BH84" s="66">
        <f>IF(BS84="Original",Z84,AQ84)</f>
        <v>414.834</v>
      </c>
      <c r="BI84" s="60" t="str">
        <f>IF(BS84="Original",AA84,AR84)</f>
        <v>Case</v>
      </c>
      <c r="BJ84" s="60">
        <f>IF(BS84="Original",AB84,AS84)</f>
        <v>10</v>
      </c>
      <c r="BK84" s="60" t="str">
        <f>IF(BS84="Original",AC84,AT84)</f>
        <v>Possible UOM or LPP issue.</v>
      </c>
      <c r="BL84" s="60" t="str">
        <f>IF(BS84="Original",AD84,AU84)</f>
        <v>Norton Abrasives</v>
      </c>
      <c r="BM84" s="60" t="str">
        <f>IF(BS84="Original",AE84,AV84)</f>
        <v>66253043727</v>
      </c>
      <c r="BN84" s="60" t="str">
        <f>IF(BS84="Original",AF84,AW84)</f>
        <v>0851155</v>
      </c>
      <c r="BO84" s="60" t="str">
        <f>IF(BS84="Original",AG84,AX84)</f>
        <v>Abrasives</v>
      </c>
      <c r="BP84" s="60" t="str">
        <f>IF(BS84="Original",AH84,AY84)</f>
        <v>8" x 1/2" x 1-1/4" Type 01 32A60-JVBE Grinding Wheel</v>
      </c>
      <c r="BQ84" s="60" t="str">
        <f>IF(BS84="Original",AI84,AZ84)</f>
        <v>Exact Match</v>
      </c>
      <c r="BR84" s="60" t="str">
        <f>IF(BS84="Original",AJ84,BA84)</f>
        <v>No</v>
      </c>
      <c r="BS84" s="60" t="str">
        <f>IF(AQ84="","Original",IF(AP84&lt;Y84,"Alternate","Original"))</f>
        <v>Original</v>
      </c>
    </row>
    <row r="85" spans="1:71" s="31" customFormat="1" x14ac:dyDescent="0.35">
      <c r="A85" s="53" t="s">
        <v>39</v>
      </c>
      <c r="B85" s="49">
        <v>83</v>
      </c>
      <c r="C85" s="50"/>
      <c r="D85" s="50"/>
      <c r="E85" s="51"/>
      <c r="F85" s="50" t="s">
        <v>60</v>
      </c>
      <c r="G85" s="50" t="s">
        <v>457</v>
      </c>
      <c r="H85" s="50" t="s">
        <v>458</v>
      </c>
      <c r="I85" s="50"/>
      <c r="J85" s="50"/>
      <c r="K85" s="50"/>
      <c r="L85" s="50"/>
      <c r="M85" s="50"/>
      <c r="N85" s="54" t="s">
        <v>43</v>
      </c>
      <c r="O85" s="49">
        <v>1</v>
      </c>
      <c r="P85" s="43">
        <v>66.430000000000007</v>
      </c>
      <c r="Q85" s="49">
        <v>2</v>
      </c>
      <c r="R85" s="44">
        <f>P85/O85</f>
        <v>66.430000000000007</v>
      </c>
      <c r="S85" s="49">
        <f>Q85*O85</f>
        <v>2</v>
      </c>
      <c r="T85" s="52">
        <f>S85*R85</f>
        <v>132.86000000000001</v>
      </c>
      <c r="U85" s="50"/>
      <c r="V85" s="50"/>
      <c r="W85" s="50"/>
      <c r="X85" s="69"/>
      <c r="Y85" s="69"/>
      <c r="Z85" s="69"/>
      <c r="AA85" s="50"/>
      <c r="AB85" s="50"/>
      <c r="AC85" s="50"/>
      <c r="AD85" s="50"/>
      <c r="AE85" s="50"/>
      <c r="AF85" s="50"/>
      <c r="AG85" s="50"/>
      <c r="AH85" s="50"/>
      <c r="AI85" s="50" t="s">
        <v>129</v>
      </c>
      <c r="AJ85" s="50"/>
      <c r="AK85" s="50"/>
      <c r="AL85" s="44"/>
      <c r="AM85" s="45"/>
      <c r="AN85" s="50"/>
      <c r="AO85" s="69"/>
      <c r="AP85" s="69"/>
      <c r="AQ85" s="69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5"/>
      <c r="BD85" s="56"/>
      <c r="BE85" s="61"/>
      <c r="BF85" s="65"/>
      <c r="BG85" s="66"/>
      <c r="BH85" s="66"/>
      <c r="BI85" s="60"/>
      <c r="BJ85" s="60"/>
      <c r="BK85" s="60"/>
      <c r="BL85" s="60"/>
      <c r="BM85" s="60"/>
      <c r="BN85" s="60"/>
      <c r="BO85" s="60"/>
      <c r="BP85" s="60"/>
      <c r="BQ85" s="60" t="str">
        <f>IF(BS85="Original",AI85,AZ85)</f>
        <v xml:space="preserve">Non-Supported Product </v>
      </c>
      <c r="BR85" s="60"/>
      <c r="BS85" s="60" t="str">
        <f>IF(AQ85="","Original",IF(AP85&lt;Y85,"Alternate","Original"))</f>
        <v>Original</v>
      </c>
    </row>
    <row r="86" spans="1:71" s="31" customFormat="1" x14ac:dyDescent="0.35">
      <c r="A86" s="53" t="s">
        <v>39</v>
      </c>
      <c r="B86" s="49">
        <v>84</v>
      </c>
      <c r="C86" s="50"/>
      <c r="D86" s="50"/>
      <c r="E86" s="51"/>
      <c r="F86" s="50" t="s">
        <v>40</v>
      </c>
      <c r="G86" s="50" t="s">
        <v>459</v>
      </c>
      <c r="H86" s="50" t="s">
        <v>460</v>
      </c>
      <c r="I86" s="50"/>
      <c r="J86" s="50"/>
      <c r="K86" s="50"/>
      <c r="L86" s="50"/>
      <c r="M86" s="50"/>
      <c r="N86" s="54" t="s">
        <v>43</v>
      </c>
      <c r="O86" s="49">
        <v>1</v>
      </c>
      <c r="P86" s="43">
        <v>130.80000000000001</v>
      </c>
      <c r="Q86" s="49">
        <v>1</v>
      </c>
      <c r="R86" s="44">
        <f>P86/O86</f>
        <v>130.80000000000001</v>
      </c>
      <c r="S86" s="49">
        <f>Q86*O86</f>
        <v>1</v>
      </c>
      <c r="T86" s="52">
        <f>S86*R86</f>
        <v>130.80000000000001</v>
      </c>
      <c r="U86" s="55">
        <f>IFERROR(T86-X86,0)</f>
        <v>84.904500000000013</v>
      </c>
      <c r="V86" s="56">
        <f>IFERROR(U86/T86,0)</f>
        <v>0.64911697247706424</v>
      </c>
      <c r="W86" s="57" t="str">
        <f>IF($V86&lt;0,"Negative",IF($V86=0,"Same",IF($V86&gt;0.3,"30+%",IF($V86&gt;0.2,"20-30%",IF($V86&gt;0.1,"10-20%",IF($V86&lt;=0.1,"0-10%"))))))</f>
        <v>30+%</v>
      </c>
      <c r="X86" s="66">
        <f>IFERROR(Y86*S86,0)</f>
        <v>45.895499999999998</v>
      </c>
      <c r="Y86" s="66">
        <f>IFERROR(Z86/AB86,0)</f>
        <v>45.895499999999998</v>
      </c>
      <c r="Z86" s="69">
        <v>45.895499999999998</v>
      </c>
      <c r="AA86" s="50" t="s">
        <v>63</v>
      </c>
      <c r="AB86" s="50">
        <v>1</v>
      </c>
      <c r="AC86" s="50" t="s">
        <v>53</v>
      </c>
      <c r="AD86" s="50" t="s">
        <v>104</v>
      </c>
      <c r="AE86" s="50" t="s">
        <v>461</v>
      </c>
      <c r="AF86" s="50" t="s">
        <v>461</v>
      </c>
      <c r="AG86" s="50" t="s">
        <v>107</v>
      </c>
      <c r="AH86" s="50" t="s">
        <v>462</v>
      </c>
      <c r="AI86" s="50" t="s">
        <v>58</v>
      </c>
      <c r="AJ86" s="50" t="s">
        <v>59</v>
      </c>
      <c r="AK86" s="50"/>
      <c r="AL86" s="44"/>
      <c r="AM86" s="45"/>
      <c r="AN86" s="50"/>
      <c r="AO86" s="69"/>
      <c r="AP86" s="69"/>
      <c r="AQ86" s="69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5">
        <f>T86-BF86</f>
        <v>84.904500000000013</v>
      </c>
      <c r="BD86" s="56">
        <f>BC86/T86</f>
        <v>0.64911697247706424</v>
      </c>
      <c r="BE86" s="61" t="str">
        <f>IF(BD86&lt;0,"Negative",IF(BD86=0,"Same",IF(BD86&gt;0.3,"30+%",IF(BD86&gt;0.2,"20-30%",IF(BD86&gt;0.1,"10-20%",IF(BD86&lt;=0.1,"0-10%"))))))</f>
        <v>30+%</v>
      </c>
      <c r="BF86" s="65">
        <f>BG86*S86</f>
        <v>45.895499999999998</v>
      </c>
      <c r="BG86" s="66">
        <f>BH86/BJ86</f>
        <v>45.895499999999998</v>
      </c>
      <c r="BH86" s="66">
        <f>IF(BS86="Original",Z86,AQ86)</f>
        <v>45.895499999999998</v>
      </c>
      <c r="BI86" s="60" t="str">
        <f>IF(BS86="Original",AA86,AR86)</f>
        <v>Piece</v>
      </c>
      <c r="BJ86" s="60">
        <f>IF(BS86="Original",AB86,AS86)</f>
        <v>1</v>
      </c>
      <c r="BK86" s="60" t="str">
        <f>IF(BS86="Original",AC86,AT86)</f>
        <v>Possible UOM or LPP issue.</v>
      </c>
      <c r="BL86" s="60" t="str">
        <f>IF(BS86="Original",AD86,AU86)</f>
        <v>Fastenal Approved Vendor</v>
      </c>
      <c r="BM86" s="60" t="str">
        <f>IF(BS86="Original",AE86,AV86)</f>
        <v>0964966</v>
      </c>
      <c r="BN86" s="60" t="str">
        <f>IF(BS86="Original",AF86,AW86)</f>
        <v>0964966</v>
      </c>
      <c r="BO86" s="60" t="str">
        <f>IF(BS86="Original",AG86,AX86)</f>
        <v>Raw Materials</v>
      </c>
      <c r="BP86" s="60" t="str">
        <f>IF(BS86="Original",AH86,AY86)</f>
        <v>1-1/2" OD x 0.083" Wall x 6' L ASTM A513 ERW Welded Mechanical Steel Square Tube</v>
      </c>
      <c r="BQ86" s="60" t="str">
        <f>IF(BS86="Original",AI86,AZ86)</f>
        <v>Similar Match</v>
      </c>
      <c r="BR86" s="60" t="str">
        <f>IF(BS86="Original",AJ86,BA86)</f>
        <v>No</v>
      </c>
      <c r="BS86" s="60" t="str">
        <f>IF(AQ86="","Original",IF(AP86&lt;Y86,"Alternate","Original"))</f>
        <v>Original</v>
      </c>
    </row>
    <row r="87" spans="1:71" s="31" customFormat="1" x14ac:dyDescent="0.35">
      <c r="A87" s="53" t="s">
        <v>39</v>
      </c>
      <c r="B87" s="49">
        <v>85</v>
      </c>
      <c r="C87" s="50"/>
      <c r="D87" s="50"/>
      <c r="E87" s="51"/>
      <c r="F87" s="50" t="s">
        <v>49</v>
      </c>
      <c r="G87" s="50" t="s">
        <v>463</v>
      </c>
      <c r="H87" s="50" t="s">
        <v>464</v>
      </c>
      <c r="I87" s="50"/>
      <c r="J87" s="50"/>
      <c r="K87" s="50"/>
      <c r="L87" s="50"/>
      <c r="M87" s="50"/>
      <c r="N87" s="54" t="s">
        <v>43</v>
      </c>
      <c r="O87" s="49">
        <v>1</v>
      </c>
      <c r="P87" s="43">
        <v>130.09</v>
      </c>
      <c r="Q87" s="49">
        <v>1</v>
      </c>
      <c r="R87" s="44">
        <f>P87/O87</f>
        <v>130.09</v>
      </c>
      <c r="S87" s="49">
        <f>Q87*O87</f>
        <v>1</v>
      </c>
      <c r="T87" s="52">
        <f>S87*R87</f>
        <v>130.09</v>
      </c>
      <c r="U87" s="55">
        <f>IFERROR(T87-X87,0)</f>
        <v>-29.507900000000006</v>
      </c>
      <c r="V87" s="56">
        <f>IFERROR(U87/T87,0)</f>
        <v>-0.22682681220693371</v>
      </c>
      <c r="W87" s="57" t="str">
        <f>IF($V87&lt;0,"Negative",IF($V87=0,"Same",IF($V87&gt;0.3,"30+%",IF($V87&gt;0.2,"20-30%",IF($V87&gt;0.1,"10-20%",IF($V87&lt;=0.1,"0-10%"))))))</f>
        <v>Negative</v>
      </c>
      <c r="X87" s="66">
        <f>IFERROR(Y87*S87,0)</f>
        <v>159.59790000000001</v>
      </c>
      <c r="Y87" s="66">
        <f>IFERROR(Z87/AB87,0)</f>
        <v>159.59790000000001</v>
      </c>
      <c r="Z87" s="69">
        <v>797.98950000000002</v>
      </c>
      <c r="AA87" s="50" t="s">
        <v>52</v>
      </c>
      <c r="AB87" s="50">
        <v>5</v>
      </c>
      <c r="AC87" s="50"/>
      <c r="AD87" s="50" t="s">
        <v>453</v>
      </c>
      <c r="AE87" s="50" t="s">
        <v>465</v>
      </c>
      <c r="AF87" s="50" t="s">
        <v>466</v>
      </c>
      <c r="AG87" s="50" t="s">
        <v>390</v>
      </c>
      <c r="AH87" s="50" t="s">
        <v>467</v>
      </c>
      <c r="AI87" s="50" t="s">
        <v>69</v>
      </c>
      <c r="AJ87" s="50" t="s">
        <v>59</v>
      </c>
      <c r="AK87" s="50"/>
      <c r="AL87" s="44"/>
      <c r="AM87" s="45"/>
      <c r="AN87" s="50"/>
      <c r="AO87" s="69"/>
      <c r="AP87" s="69"/>
      <c r="AQ87" s="69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5">
        <f>T87-BF87</f>
        <v>-29.507900000000006</v>
      </c>
      <c r="BD87" s="56">
        <f>BC87/T87</f>
        <v>-0.22682681220693371</v>
      </c>
      <c r="BE87" s="61" t="str">
        <f>IF(BD87&lt;0,"Negative",IF(BD87=0,"Same",IF(BD87&gt;0.3,"30+%",IF(BD87&gt;0.2,"20-30%",IF(BD87&gt;0.1,"10-20%",IF(BD87&lt;=0.1,"0-10%"))))))</f>
        <v>Negative</v>
      </c>
      <c r="BF87" s="65">
        <f>BG87*S87</f>
        <v>159.59790000000001</v>
      </c>
      <c r="BG87" s="66">
        <f>BH87/BJ87</f>
        <v>159.59790000000001</v>
      </c>
      <c r="BH87" s="66">
        <f>IF(BS87="Original",Z87,AQ87)</f>
        <v>797.98950000000002</v>
      </c>
      <c r="BI87" s="60" t="str">
        <f>IF(BS87="Original",AA87,AR87)</f>
        <v>Pack</v>
      </c>
      <c r="BJ87" s="60">
        <f>IF(BS87="Original",AB87,AS87)</f>
        <v>5</v>
      </c>
      <c r="BK87" s="60"/>
      <c r="BL87" s="60" t="str">
        <f>IF(BS87="Original",AD87,AU87)</f>
        <v>Norton Abrasives</v>
      </c>
      <c r="BM87" s="60" t="str">
        <f>IF(BS87="Original",AE87,AV87)</f>
        <v>66253214987</v>
      </c>
      <c r="BN87" s="60" t="str">
        <f>IF(BS87="Original",AF87,AW87)</f>
        <v>0890467</v>
      </c>
      <c r="BO87" s="60" t="str">
        <f>IF(BS87="Original",AG87,AX87)</f>
        <v>Abrasives</v>
      </c>
      <c r="BP87" s="60" t="str">
        <f>IF(BS87="Original",AH87,AY87)</f>
        <v>12" X 1-1/2" X 5" White Aluminum Oxide Grade I Type 01 Toolroom Wheels</v>
      </c>
      <c r="BQ87" s="60" t="str">
        <f>IF(BS87="Original",AI87,AZ87)</f>
        <v>Exact Match</v>
      </c>
      <c r="BR87" s="60" t="str">
        <f>IF(BS87="Original",AJ87,BA87)</f>
        <v>No</v>
      </c>
      <c r="BS87" s="60" t="str">
        <f>IF(AQ87="","Original",IF(AP87&lt;Y87,"Alternate","Original"))</f>
        <v>Original</v>
      </c>
    </row>
    <row r="88" spans="1:71" s="31" customFormat="1" x14ac:dyDescent="0.35">
      <c r="A88" s="53" t="s">
        <v>39</v>
      </c>
      <c r="B88" s="49">
        <v>86</v>
      </c>
      <c r="C88" s="50"/>
      <c r="D88" s="50"/>
      <c r="E88" s="51"/>
      <c r="F88" s="50" t="s">
        <v>49</v>
      </c>
      <c r="G88" s="50" t="s">
        <v>468</v>
      </c>
      <c r="H88" s="50" t="s">
        <v>469</v>
      </c>
      <c r="I88" s="50"/>
      <c r="J88" s="50"/>
      <c r="K88" s="50"/>
      <c r="L88" s="50"/>
      <c r="M88" s="50"/>
      <c r="N88" s="54" t="s">
        <v>43</v>
      </c>
      <c r="O88" s="49">
        <v>1</v>
      </c>
      <c r="P88" s="43">
        <v>62.82</v>
      </c>
      <c r="Q88" s="49">
        <v>2</v>
      </c>
      <c r="R88" s="44">
        <f>P88/O88</f>
        <v>62.82</v>
      </c>
      <c r="S88" s="49">
        <f>Q88*O88</f>
        <v>2</v>
      </c>
      <c r="T88" s="52">
        <f>S88*R88</f>
        <v>125.64</v>
      </c>
      <c r="U88" s="55">
        <f>IFERROR(T88-X88,0)</f>
        <v>125.50168000000001</v>
      </c>
      <c r="V88" s="56">
        <f>IFERROR(U88/T88,0)</f>
        <v>0.99889907672715705</v>
      </c>
      <c r="W88" s="57" t="str">
        <f>IF($V88&lt;0,"Negative",IF($V88=0,"Same",IF($V88&gt;0.3,"30+%",IF($V88&gt;0.2,"20-30%",IF($V88&gt;0.1,"10-20%",IF($V88&lt;=0.1,"0-10%"))))))</f>
        <v>30+%</v>
      </c>
      <c r="X88" s="66">
        <f>IFERROR(Y88*S88,0)</f>
        <v>0.13832</v>
      </c>
      <c r="Y88" s="66">
        <f>IFERROR(Z88/AB88,0)</f>
        <v>6.9159999999999999E-2</v>
      </c>
      <c r="Z88" s="69">
        <v>6.9160000000000004</v>
      </c>
      <c r="AA88" s="50" t="s">
        <v>267</v>
      </c>
      <c r="AB88" s="50">
        <v>100</v>
      </c>
      <c r="AC88" s="50" t="s">
        <v>53</v>
      </c>
      <c r="AD88" s="50" t="s">
        <v>104</v>
      </c>
      <c r="AE88" s="50" t="s">
        <v>470</v>
      </c>
      <c r="AF88" s="50" t="s">
        <v>471</v>
      </c>
      <c r="AG88" s="50" t="s">
        <v>366</v>
      </c>
      <c r="AH88" s="50" t="s">
        <v>472</v>
      </c>
      <c r="AI88" s="50" t="s">
        <v>69</v>
      </c>
      <c r="AJ88" s="50" t="s">
        <v>59</v>
      </c>
      <c r="AK88" s="50"/>
      <c r="AL88" s="44"/>
      <c r="AM88" s="45"/>
      <c r="AN88" s="50"/>
      <c r="AO88" s="69"/>
      <c r="AP88" s="69"/>
      <c r="AQ88" s="69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5">
        <f>T88-BF88</f>
        <v>125.50168000000001</v>
      </c>
      <c r="BD88" s="56">
        <f>BC88/T88</f>
        <v>0.99889907672715705</v>
      </c>
      <c r="BE88" s="61" t="str">
        <f>IF(BD88&lt;0,"Negative",IF(BD88=0,"Same",IF(BD88&gt;0.3,"30+%",IF(BD88&gt;0.2,"20-30%",IF(BD88&gt;0.1,"10-20%",IF(BD88&lt;=0.1,"0-10%"))))))</f>
        <v>30+%</v>
      </c>
      <c r="BF88" s="65">
        <f>BG88*S88</f>
        <v>0.13832</v>
      </c>
      <c r="BG88" s="66">
        <f>BH88/BJ88</f>
        <v>6.9159999999999999E-2</v>
      </c>
      <c r="BH88" s="66">
        <f>IF(BS88="Original",Z88,AQ88)</f>
        <v>6.9160000000000004</v>
      </c>
      <c r="BI88" s="60" t="str">
        <f>IF(BS88="Original",AA88,AR88)</f>
        <v>Case</v>
      </c>
      <c r="BJ88" s="60">
        <f>IF(BS88="Original",AB88,AS88)</f>
        <v>100</v>
      </c>
      <c r="BK88" s="60" t="str">
        <f>IF(BS88="Original",AC88,AT88)</f>
        <v>Possible UOM or LPP issue.</v>
      </c>
      <c r="BL88" s="60" t="str">
        <f>IF(BS88="Original",AD88,AU88)</f>
        <v>Fastenal Approved Vendor</v>
      </c>
      <c r="BM88" s="60" t="str">
        <f>IF(BS88="Original",AE88,AV88)</f>
        <v>HI-008-WH</v>
      </c>
      <c r="BN88" s="60" t="str">
        <f>IF(BS88="Original",AF88,AW88)</f>
        <v>11126017</v>
      </c>
      <c r="BO88" s="60" t="str">
        <f>IF(BS88="Original",AG88,AX88)</f>
        <v>Fasteners</v>
      </c>
      <c r="BP88" s="60" t="str">
        <f>IF(BS88="Original",AH88,AY88)</f>
        <v>#8-32 IntThrd Brass Straight Flush Insert For Thermoplastic</v>
      </c>
      <c r="BQ88" s="60" t="str">
        <f>IF(BS88="Original",AI88,AZ88)</f>
        <v>Exact Match</v>
      </c>
      <c r="BR88" s="60" t="str">
        <f>IF(BS88="Original",AJ88,BA88)</f>
        <v>No</v>
      </c>
      <c r="BS88" s="60" t="str">
        <f>IF(AQ88="","Original",IF(AP88&lt;Y88,"Alternate","Original"))</f>
        <v>Original</v>
      </c>
    </row>
    <row r="89" spans="1:71" s="31" customFormat="1" x14ac:dyDescent="0.35">
      <c r="A89" s="53" t="s">
        <v>39</v>
      </c>
      <c r="B89" s="49">
        <v>87</v>
      </c>
      <c r="C89" s="50"/>
      <c r="D89" s="50"/>
      <c r="E89" s="51"/>
      <c r="F89" s="50" t="s">
        <v>60</v>
      </c>
      <c r="G89" s="50" t="s">
        <v>473</v>
      </c>
      <c r="H89" s="50" t="s">
        <v>474</v>
      </c>
      <c r="I89" s="50"/>
      <c r="J89" s="50"/>
      <c r="K89" s="50"/>
      <c r="L89" s="50"/>
      <c r="M89" s="50"/>
      <c r="N89" s="54" t="s">
        <v>43</v>
      </c>
      <c r="O89" s="49">
        <v>1</v>
      </c>
      <c r="P89" s="43">
        <v>125.57</v>
      </c>
      <c r="Q89" s="49">
        <v>1</v>
      </c>
      <c r="R89" s="44">
        <f>P89/O89</f>
        <v>125.57</v>
      </c>
      <c r="S89" s="49">
        <f>Q89*O89</f>
        <v>1</v>
      </c>
      <c r="T89" s="52">
        <f>S89*R89</f>
        <v>125.57</v>
      </c>
      <c r="U89" s="55">
        <f>IFERROR(T89-X89,0)</f>
        <v>123.2195</v>
      </c>
      <c r="V89" s="56">
        <f>IFERROR(U89/T89,0)</f>
        <v>0.98128135701202523</v>
      </c>
      <c r="W89" s="57" t="str">
        <f>IF($V89&lt;0,"Negative",IF($V89=0,"Same",IF($V89&gt;0.3,"30+%",IF($V89&gt;0.2,"20-30%",IF($V89&gt;0.1,"10-20%",IF($V89&lt;=0.1,"0-10%"))))))</f>
        <v>30+%</v>
      </c>
      <c r="X89" s="66">
        <f>IFERROR(Y89*S89,0)</f>
        <v>2.3504999999999998</v>
      </c>
      <c r="Y89" s="66">
        <f>IFERROR(Z89/AB89,0)</f>
        <v>2.3504999999999998</v>
      </c>
      <c r="Z89" s="69">
        <v>2.3504999999999998</v>
      </c>
      <c r="AA89" s="50" t="s">
        <v>63</v>
      </c>
      <c r="AB89" s="50">
        <v>1</v>
      </c>
      <c r="AC89" s="50" t="s">
        <v>53</v>
      </c>
      <c r="AD89" s="50" t="s">
        <v>475</v>
      </c>
      <c r="AE89" s="50" t="s">
        <v>476</v>
      </c>
      <c r="AF89" s="50" t="s">
        <v>477</v>
      </c>
      <c r="AG89" s="50" t="s">
        <v>478</v>
      </c>
      <c r="AH89" s="50" t="s">
        <v>479</v>
      </c>
      <c r="AI89" s="50" t="s">
        <v>69</v>
      </c>
      <c r="AJ89" s="50" t="s">
        <v>59</v>
      </c>
      <c r="AK89" s="50"/>
      <c r="AL89" s="44"/>
      <c r="AM89" s="45"/>
      <c r="AN89" s="50"/>
      <c r="AO89" s="69"/>
      <c r="AP89" s="69"/>
      <c r="AQ89" s="69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5">
        <f>T89-BF89</f>
        <v>123.2195</v>
      </c>
      <c r="BD89" s="56">
        <f>BC89/T89</f>
        <v>0.98128135701202523</v>
      </c>
      <c r="BE89" s="61" t="str">
        <f>IF(BD89&lt;0,"Negative",IF(BD89=0,"Same",IF(BD89&gt;0.3,"30+%",IF(BD89&gt;0.2,"20-30%",IF(BD89&gt;0.1,"10-20%",IF(BD89&lt;=0.1,"0-10%"))))))</f>
        <v>30+%</v>
      </c>
      <c r="BF89" s="65">
        <f>BG89*S89</f>
        <v>2.3504999999999998</v>
      </c>
      <c r="BG89" s="66">
        <f>BH89/BJ89</f>
        <v>2.3504999999999998</v>
      </c>
      <c r="BH89" s="66">
        <f>IF(BS89="Original",Z89,AQ89)</f>
        <v>2.3504999999999998</v>
      </c>
      <c r="BI89" s="60" t="str">
        <f>IF(BS89="Original",AA89,AR89)</f>
        <v>Piece</v>
      </c>
      <c r="BJ89" s="60">
        <f>IF(BS89="Original",AB89,AS89)</f>
        <v>1</v>
      </c>
      <c r="BK89" s="60" t="str">
        <f>IF(BS89="Original",AC89,AT89)</f>
        <v>Possible UOM or LPP issue.</v>
      </c>
      <c r="BL89" s="60" t="str">
        <f>IF(BS89="Original",AD89,AU89)</f>
        <v>ATR LIGHTING</v>
      </c>
      <c r="BM89" s="60" t="str">
        <f>IF(BS89="Original",AE89,AV89)</f>
        <v>52715</v>
      </c>
      <c r="BN89" s="60" t="str">
        <f>IF(BS89="Original",AF89,AW89)</f>
        <v>07002157</v>
      </c>
      <c r="BO89" s="60" t="str">
        <f>IF(BS89="Original",AG89,AX89)</f>
        <v>Lighting</v>
      </c>
      <c r="BP89" s="60" t="str">
        <f>IF(BS89="Original",AH89,AY89)</f>
        <v>34W 48" T12 Bi-Pin Base F34/CX41/WM/ECO 4100K 20000hr GE Linear Fluorescent Lamp</v>
      </c>
      <c r="BQ89" s="60" t="str">
        <f>IF(BS89="Original",AI89,AZ89)</f>
        <v>Exact Match</v>
      </c>
      <c r="BR89" s="60" t="str">
        <f>IF(BS89="Original",AJ89,BA89)</f>
        <v>No</v>
      </c>
      <c r="BS89" s="60" t="str">
        <f>IF(AQ89="","Original",IF(AP89&lt;Y89,"Alternate","Original"))</f>
        <v>Original</v>
      </c>
    </row>
    <row r="90" spans="1:71" s="31" customFormat="1" x14ac:dyDescent="0.35">
      <c r="A90" s="53" t="s">
        <v>39</v>
      </c>
      <c r="B90" s="49">
        <v>88</v>
      </c>
      <c r="C90" s="50"/>
      <c r="D90" s="50"/>
      <c r="E90" s="51"/>
      <c r="F90" s="50" t="s">
        <v>40</v>
      </c>
      <c r="G90" s="50" t="s">
        <v>480</v>
      </c>
      <c r="H90" s="50" t="s">
        <v>481</v>
      </c>
      <c r="I90" s="50"/>
      <c r="J90" s="50"/>
      <c r="K90" s="50"/>
      <c r="L90" s="50"/>
      <c r="M90" s="50"/>
      <c r="N90" s="54" t="s">
        <v>43</v>
      </c>
      <c r="O90" s="49">
        <v>1</v>
      </c>
      <c r="P90" s="43">
        <v>41.84</v>
      </c>
      <c r="Q90" s="49">
        <v>3</v>
      </c>
      <c r="R90" s="44">
        <f>P90/O90</f>
        <v>41.84</v>
      </c>
      <c r="S90" s="49">
        <f>Q90*O90</f>
        <v>3</v>
      </c>
      <c r="T90" s="52">
        <f>S90*R90</f>
        <v>125.52000000000001</v>
      </c>
      <c r="U90" s="50"/>
      <c r="V90" s="50"/>
      <c r="W90" s="50"/>
      <c r="X90" s="69"/>
      <c r="Y90" s="69"/>
      <c r="Z90" s="69"/>
      <c r="AA90" s="50"/>
      <c r="AB90" s="50"/>
      <c r="AC90" s="50"/>
      <c r="AD90" s="50"/>
      <c r="AE90" s="50"/>
      <c r="AF90" s="50"/>
      <c r="AG90" s="50"/>
      <c r="AH90" s="50"/>
      <c r="AI90" s="50" t="s">
        <v>129</v>
      </c>
      <c r="AJ90" s="50"/>
      <c r="AK90" s="50"/>
      <c r="AL90" s="44"/>
      <c r="AM90" s="45"/>
      <c r="AN90" s="50"/>
      <c r="AO90" s="69"/>
      <c r="AP90" s="69"/>
      <c r="AQ90" s="69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5"/>
      <c r="BD90" s="56"/>
      <c r="BE90" s="61"/>
      <c r="BF90" s="65"/>
      <c r="BG90" s="66"/>
      <c r="BH90" s="66"/>
      <c r="BI90" s="60"/>
      <c r="BJ90" s="60"/>
      <c r="BK90" s="60"/>
      <c r="BL90" s="60"/>
      <c r="BM90" s="60"/>
      <c r="BN90" s="60"/>
      <c r="BO90" s="60"/>
      <c r="BP90" s="60"/>
      <c r="BQ90" s="60" t="str">
        <f>IF(BS90="Original",AI90,AZ90)</f>
        <v xml:space="preserve">Non-Supported Product </v>
      </c>
      <c r="BR90" s="60"/>
      <c r="BS90" s="60" t="str">
        <f>IF(AQ90="","Original",IF(AP90&lt;Y90,"Alternate","Original"))</f>
        <v>Original</v>
      </c>
    </row>
    <row r="91" spans="1:71" s="31" customFormat="1" x14ac:dyDescent="0.35">
      <c r="A91" s="53" t="s">
        <v>39</v>
      </c>
      <c r="B91" s="49">
        <v>89</v>
      </c>
      <c r="C91" s="50"/>
      <c r="D91" s="50"/>
      <c r="E91" s="51"/>
      <c r="F91" s="50" t="s">
        <v>40</v>
      </c>
      <c r="G91" s="50" t="s">
        <v>482</v>
      </c>
      <c r="H91" s="50" t="s">
        <v>483</v>
      </c>
      <c r="I91" s="50"/>
      <c r="J91" s="50"/>
      <c r="K91" s="50"/>
      <c r="L91" s="50"/>
      <c r="M91" s="50"/>
      <c r="N91" s="54" t="s">
        <v>43</v>
      </c>
      <c r="O91" s="49">
        <v>1</v>
      </c>
      <c r="P91" s="43">
        <v>124.9</v>
      </c>
      <c r="Q91" s="49">
        <v>1</v>
      </c>
      <c r="R91" s="44">
        <f>P91/O91</f>
        <v>124.9</v>
      </c>
      <c r="S91" s="49">
        <f>Q91*O91</f>
        <v>1</v>
      </c>
      <c r="T91" s="52">
        <f>S91*R91</f>
        <v>124.9</v>
      </c>
      <c r="U91" s="55">
        <f>IFERROR(T91-X91,0)</f>
        <v>80.705500000000001</v>
      </c>
      <c r="V91" s="56">
        <f>IFERROR(U91/T91,0)</f>
        <v>0.64616092874299436</v>
      </c>
      <c r="W91" s="57" t="str">
        <f>IF($V91&lt;0,"Negative",IF($V91=0,"Same",IF($V91&gt;0.3,"30+%",IF($V91&gt;0.2,"20-30%",IF($V91&gt;0.1,"10-20%",IF($V91&lt;=0.1,"0-10%"))))))</f>
        <v>30+%</v>
      </c>
      <c r="X91" s="66">
        <f>IFERROR(Y91*S91,0)</f>
        <v>44.194499999999998</v>
      </c>
      <c r="Y91" s="66">
        <f>IFERROR(Z91/AB91,0)</f>
        <v>44.194499999999998</v>
      </c>
      <c r="Z91" s="69">
        <v>44.194499999999998</v>
      </c>
      <c r="AA91" s="50" t="s">
        <v>63</v>
      </c>
      <c r="AB91" s="50">
        <v>1</v>
      </c>
      <c r="AC91" s="50" t="s">
        <v>53</v>
      </c>
      <c r="AD91" s="50" t="s">
        <v>484</v>
      </c>
      <c r="AE91" s="50" t="s">
        <v>485</v>
      </c>
      <c r="AF91" s="50" t="s">
        <v>486</v>
      </c>
      <c r="AG91" s="50" t="s">
        <v>90</v>
      </c>
      <c r="AH91" s="50" t="s">
        <v>487</v>
      </c>
      <c r="AI91" s="50" t="s">
        <v>69</v>
      </c>
      <c r="AJ91" s="50" t="s">
        <v>59</v>
      </c>
      <c r="AK91" s="50"/>
      <c r="AL91" s="44"/>
      <c r="AM91" s="45"/>
      <c r="AN91" s="50"/>
      <c r="AO91" s="69"/>
      <c r="AP91" s="69"/>
      <c r="AQ91" s="69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5">
        <f>T91-BF91</f>
        <v>80.705500000000001</v>
      </c>
      <c r="BD91" s="56">
        <f>BC91/T91</f>
        <v>0.64616092874299436</v>
      </c>
      <c r="BE91" s="61" t="str">
        <f>IF(BD91&lt;0,"Negative",IF(BD91=0,"Same",IF(BD91&gt;0.3,"30+%",IF(BD91&gt;0.2,"20-30%",IF(BD91&gt;0.1,"10-20%",IF(BD91&lt;=0.1,"0-10%"))))))</f>
        <v>30+%</v>
      </c>
      <c r="BF91" s="65">
        <f>BG91*S91</f>
        <v>44.194499999999998</v>
      </c>
      <c r="BG91" s="66">
        <f>BH91/BJ91</f>
        <v>44.194499999999998</v>
      </c>
      <c r="BH91" s="66">
        <f>IF(BS91="Original",Z91,AQ91)</f>
        <v>44.194499999999998</v>
      </c>
      <c r="BI91" s="60" t="str">
        <f>IF(BS91="Original",AA91,AR91)</f>
        <v>Piece</v>
      </c>
      <c r="BJ91" s="60">
        <f>IF(BS91="Original",AB91,AS91)</f>
        <v>1</v>
      </c>
      <c r="BK91" s="60" t="str">
        <f>IF(BS91="Original",AC91,AT91)</f>
        <v>Possible UOM or LPP issue.</v>
      </c>
      <c r="BL91" s="60" t="str">
        <f>IF(BS91="Original",AD91,AU91)</f>
        <v>ACCURATE MANUFACTURED PRODUCTS</v>
      </c>
      <c r="BM91" s="60" t="str">
        <f>IF(BS91="Original",AE91,AV91)</f>
        <v>Z2800-PURPLE</v>
      </c>
      <c r="BN91" s="60" t="str">
        <f>IF(BS91="Original",AF91,AW91)</f>
        <v>920147528</v>
      </c>
      <c r="BO91" s="60" t="str">
        <f>IF(BS91="Original",AG91,AX91)</f>
        <v>Test and Measurement</v>
      </c>
      <c r="BP91" s="60" t="str">
        <f>IF(BS91="Original",AH91,AY91)</f>
        <v>PIN GAGE HANDLE PURPLE SOLID ALUMINUM 1/32-1/2GO/NO GO</v>
      </c>
      <c r="BQ91" s="60" t="str">
        <f>IF(BS91="Original",AI91,AZ91)</f>
        <v>Exact Match</v>
      </c>
      <c r="BR91" s="60" t="str">
        <f>IF(BS91="Original",AJ91,BA91)</f>
        <v>No</v>
      </c>
      <c r="BS91" s="60" t="str">
        <f>IF(AQ91="","Original",IF(AP91&lt;Y91,"Alternate","Original"))</f>
        <v>Original</v>
      </c>
    </row>
    <row r="92" spans="1:71" s="31" customFormat="1" x14ac:dyDescent="0.35">
      <c r="A92" s="53" t="s">
        <v>39</v>
      </c>
      <c r="B92" s="49">
        <v>90</v>
      </c>
      <c r="C92" s="50"/>
      <c r="D92" s="50"/>
      <c r="E92" s="51"/>
      <c r="F92" s="50" t="s">
        <v>40</v>
      </c>
      <c r="G92" s="50" t="s">
        <v>488</v>
      </c>
      <c r="H92" s="50" t="s">
        <v>489</v>
      </c>
      <c r="I92" s="50"/>
      <c r="J92" s="50"/>
      <c r="K92" s="50"/>
      <c r="L92" s="50"/>
      <c r="M92" s="50"/>
      <c r="N92" s="54" t="s">
        <v>43</v>
      </c>
      <c r="O92" s="49">
        <v>1</v>
      </c>
      <c r="P92" s="43">
        <v>124.85</v>
      </c>
      <c r="Q92" s="49">
        <v>1</v>
      </c>
      <c r="R92" s="44">
        <f>P92/O92</f>
        <v>124.85</v>
      </c>
      <c r="S92" s="49">
        <f>Q92*O92</f>
        <v>1</v>
      </c>
      <c r="T92" s="52">
        <f>S92*R92</f>
        <v>124.85</v>
      </c>
      <c r="U92" s="50"/>
      <c r="V92" s="50"/>
      <c r="W92" s="50"/>
      <c r="X92" s="69"/>
      <c r="Y92" s="69"/>
      <c r="Z92" s="69"/>
      <c r="AA92" s="50"/>
      <c r="AB92" s="50"/>
      <c r="AC92" s="50"/>
      <c r="AD92" s="50"/>
      <c r="AE92" s="50"/>
      <c r="AF92" s="50"/>
      <c r="AG92" s="50"/>
      <c r="AH92" s="50"/>
      <c r="AI92" s="50" t="s">
        <v>129</v>
      </c>
      <c r="AJ92" s="50"/>
      <c r="AK92" s="50"/>
      <c r="AL92" s="44"/>
      <c r="AM92" s="45"/>
      <c r="AN92" s="50"/>
      <c r="AO92" s="69"/>
      <c r="AP92" s="69"/>
      <c r="AQ92" s="69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5"/>
      <c r="BD92" s="56"/>
      <c r="BE92" s="61"/>
      <c r="BF92" s="65"/>
      <c r="BG92" s="66"/>
      <c r="BH92" s="66"/>
      <c r="BI92" s="60"/>
      <c r="BJ92" s="60"/>
      <c r="BK92" s="60"/>
      <c r="BL92" s="60"/>
      <c r="BM92" s="60"/>
      <c r="BN92" s="60"/>
      <c r="BO92" s="60"/>
      <c r="BP92" s="60"/>
      <c r="BQ92" s="60" t="str">
        <f>IF(BS92="Original",AI92,AZ92)</f>
        <v xml:space="preserve">Non-Supported Product </v>
      </c>
      <c r="BR92" s="60"/>
      <c r="BS92" s="60" t="str">
        <f>IF(AQ92="","Original",IF(AP92&lt;Y92,"Alternate","Original"))</f>
        <v>Original</v>
      </c>
    </row>
    <row r="93" spans="1:71" s="31" customFormat="1" x14ac:dyDescent="0.35">
      <c r="A93" s="53" t="s">
        <v>39</v>
      </c>
      <c r="B93" s="49">
        <v>91</v>
      </c>
      <c r="C93" s="50"/>
      <c r="D93" s="50"/>
      <c r="E93" s="51"/>
      <c r="F93" s="50" t="s">
        <v>60</v>
      </c>
      <c r="G93" s="50" t="s">
        <v>490</v>
      </c>
      <c r="H93" s="50" t="s">
        <v>491</v>
      </c>
      <c r="I93" s="50"/>
      <c r="J93" s="50"/>
      <c r="K93" s="50"/>
      <c r="L93" s="50"/>
      <c r="M93" s="50"/>
      <c r="N93" s="54" t="s">
        <v>43</v>
      </c>
      <c r="O93" s="49">
        <v>1</v>
      </c>
      <c r="P93" s="43">
        <v>62.4</v>
      </c>
      <c r="Q93" s="49">
        <v>2</v>
      </c>
      <c r="R93" s="44">
        <f>P93/O93</f>
        <v>62.4</v>
      </c>
      <c r="S93" s="49">
        <f>Q93*O93</f>
        <v>2</v>
      </c>
      <c r="T93" s="52">
        <f>S93*R93</f>
        <v>124.8</v>
      </c>
      <c r="U93" s="55">
        <f>IFERROR(T93-X93,0)</f>
        <v>48.345199999999991</v>
      </c>
      <c r="V93" s="56">
        <f>IFERROR(U93/T93,0)</f>
        <v>0.38738141025641021</v>
      </c>
      <c r="W93" s="57" t="str">
        <f>IF($V93&lt;0,"Negative",IF($V93=0,"Same",IF($V93&gt;0.3,"30+%",IF($V93&gt;0.2,"20-30%",IF($V93&gt;0.1,"10-20%",IF($V93&lt;=0.1,"0-10%"))))))</f>
        <v>30+%</v>
      </c>
      <c r="X93" s="66">
        <f>IFERROR(Y93*S93,0)</f>
        <v>76.454800000000006</v>
      </c>
      <c r="Y93" s="66">
        <f>IFERROR(Z93/AB93,0)</f>
        <v>38.227400000000003</v>
      </c>
      <c r="Z93" s="69">
        <v>38.227400000000003</v>
      </c>
      <c r="AA93" s="50" t="s">
        <v>118</v>
      </c>
      <c r="AB93" s="50">
        <v>1</v>
      </c>
      <c r="AC93" s="50"/>
      <c r="AD93" s="50" t="s">
        <v>492</v>
      </c>
      <c r="AE93" s="50" t="s">
        <v>493</v>
      </c>
      <c r="AF93" s="50" t="s">
        <v>494</v>
      </c>
      <c r="AG93" s="50" t="s">
        <v>67</v>
      </c>
      <c r="AH93" s="50" t="s">
        <v>495</v>
      </c>
      <c r="AI93" s="50" t="s">
        <v>69</v>
      </c>
      <c r="AJ93" s="50" t="s">
        <v>59</v>
      </c>
      <c r="AK93" s="50"/>
      <c r="AL93" s="58">
        <f>IF(AQ93="","",T93-AO93)</f>
        <v>113.78399999999999</v>
      </c>
      <c r="AM93" s="59">
        <f>IFERROR(AL93/T93,"")</f>
        <v>0.91173076923076923</v>
      </c>
      <c r="AN93" s="60" t="str">
        <f>IF(AM93="","",IF(AM93&lt;0,"Negative",IF(AM93=0,"Same",IF(AM93&gt;0.3,"30+%",IF(AM93&gt;0.2,"20-30%",IF(AM93&gt;0.1,"10-20%",IF(AM93&lt;=0.1,"0-10%")))))))</f>
        <v>30+%</v>
      </c>
      <c r="AO93" s="66">
        <f>IFERROR(AP93*S93,"")</f>
        <v>11.016</v>
      </c>
      <c r="AP93" s="66">
        <f>IFERROR(AQ93/AS93,"")</f>
        <v>5.508</v>
      </c>
      <c r="AQ93" s="69">
        <v>5.508</v>
      </c>
      <c r="AR93" s="50" t="s">
        <v>118</v>
      </c>
      <c r="AS93" s="50">
        <v>1</v>
      </c>
      <c r="AT93" s="50" t="s">
        <v>496</v>
      </c>
      <c r="AU93" s="50" t="s">
        <v>70</v>
      </c>
      <c r="AV93" s="50" t="s">
        <v>497</v>
      </c>
      <c r="AW93" s="50" t="s">
        <v>497</v>
      </c>
      <c r="AX93" s="50" t="s">
        <v>67</v>
      </c>
      <c r="AY93" s="50" t="s">
        <v>498</v>
      </c>
      <c r="AZ93" s="50" t="s">
        <v>58</v>
      </c>
      <c r="BA93" s="50" t="s">
        <v>59</v>
      </c>
      <c r="BB93" s="50"/>
      <c r="BC93" s="55">
        <f>T93-BF93</f>
        <v>113.78399999999999</v>
      </c>
      <c r="BD93" s="56">
        <f>BC93/T93</f>
        <v>0.91173076923076923</v>
      </c>
      <c r="BE93" s="61" t="str">
        <f>IF(BD93&lt;0,"Negative",IF(BD93=0,"Same",IF(BD93&gt;0.3,"30+%",IF(BD93&gt;0.2,"20-30%",IF(BD93&gt;0.1,"10-20%",IF(BD93&lt;=0.1,"0-10%"))))))</f>
        <v>30+%</v>
      </c>
      <c r="BF93" s="65">
        <f>BG93*S93</f>
        <v>11.016</v>
      </c>
      <c r="BG93" s="66">
        <f>BH93/BJ93</f>
        <v>5.508</v>
      </c>
      <c r="BH93" s="66">
        <f>IF(BS93="Original",Z93,AQ93)</f>
        <v>5.508</v>
      </c>
      <c r="BI93" s="60" t="str">
        <f>IF(BS93="Original",AA93,AR93)</f>
        <v>Roll</v>
      </c>
      <c r="BJ93" s="60">
        <f>IF(BS93="Original",AB93,AS93)</f>
        <v>1</v>
      </c>
      <c r="BK93" s="60" t="str">
        <f>IF(BS93="Original",AC93,AT93)</f>
        <v>Possible UOM or LPP issue. Offering 36 yards vs 33 yards of Exact Match and 6 mil rather than 8 mil.</v>
      </c>
      <c r="BL93" s="60" t="str">
        <f>IF(BS93="Original",AD93,AU93)</f>
        <v>Agent[REG]</v>
      </c>
      <c r="BM93" s="60" t="str">
        <f>IF(BS93="Original",AE93,AV93)</f>
        <v>1054431</v>
      </c>
      <c r="BN93" s="60" t="str">
        <f>IF(BS93="Original",AF93,AW93)</f>
        <v>1054431</v>
      </c>
      <c r="BO93" s="60" t="str">
        <f>IF(BS93="Original",AG93,AX93)</f>
        <v>Safety</v>
      </c>
      <c r="BP93" s="60" t="str">
        <f>IF(BS93="Original",AH93,AY93)</f>
        <v>36 yd (108') L X 2" W 6 mil Agent[REG] Red / White Stripe Hazard Warning Tape Blank</v>
      </c>
      <c r="BQ93" s="60" t="str">
        <f>IF(BS93="Original",AI93,AZ93)</f>
        <v>Similar Match</v>
      </c>
      <c r="BR93" s="60" t="str">
        <f>IF(BS93="Original",AJ93,BA93)</f>
        <v>No</v>
      </c>
      <c r="BS93" s="60" t="str">
        <f>IF(AQ93="","Original",IF(AP93&lt;Y93,"Alternate","Original"))</f>
        <v>Alternate</v>
      </c>
    </row>
    <row r="94" spans="1:71" s="31" customFormat="1" x14ac:dyDescent="0.35">
      <c r="A94" s="53" t="s">
        <v>39</v>
      </c>
      <c r="B94" s="49">
        <v>92</v>
      </c>
      <c r="C94" s="50"/>
      <c r="D94" s="50"/>
      <c r="E94" s="51"/>
      <c r="F94" s="50" t="s">
        <v>60</v>
      </c>
      <c r="G94" s="50" t="s">
        <v>499</v>
      </c>
      <c r="H94" s="50" t="s">
        <v>500</v>
      </c>
      <c r="I94" s="50"/>
      <c r="J94" s="50"/>
      <c r="K94" s="50"/>
      <c r="L94" s="50"/>
      <c r="M94" s="50"/>
      <c r="N94" s="54" t="s">
        <v>43</v>
      </c>
      <c r="O94" s="49">
        <v>1</v>
      </c>
      <c r="P94" s="43">
        <v>124.79</v>
      </c>
      <c r="Q94" s="49">
        <v>1</v>
      </c>
      <c r="R94" s="44">
        <f>P94/O94</f>
        <v>124.79</v>
      </c>
      <c r="S94" s="49">
        <f>Q94*O94</f>
        <v>1</v>
      </c>
      <c r="T94" s="52">
        <f>S94*R94</f>
        <v>124.79</v>
      </c>
      <c r="U94" s="55">
        <f>IFERROR(T94-X94,0)</f>
        <v>90.289299999999997</v>
      </c>
      <c r="V94" s="56">
        <f>IFERROR(U94/T94,0)</f>
        <v>0.72352993028287516</v>
      </c>
      <c r="W94" s="57" t="str">
        <f>IF($V94&lt;0,"Negative",IF($V94=0,"Same",IF($V94&gt;0.3,"30+%",IF($V94&gt;0.2,"20-30%",IF($V94&gt;0.1,"10-20%",IF($V94&lt;=0.1,"0-10%"))))))</f>
        <v>30+%</v>
      </c>
      <c r="X94" s="66">
        <f>IFERROR(Y94*S94,0)</f>
        <v>34.500700000000002</v>
      </c>
      <c r="Y94" s="66">
        <f>IFERROR(Z94/AB94,0)</f>
        <v>34.500700000000002</v>
      </c>
      <c r="Z94" s="69">
        <v>34.500700000000002</v>
      </c>
      <c r="AA94" s="50" t="s">
        <v>118</v>
      </c>
      <c r="AB94" s="50">
        <v>1</v>
      </c>
      <c r="AC94" s="50" t="s">
        <v>53</v>
      </c>
      <c r="AD94" s="50" t="s">
        <v>119</v>
      </c>
      <c r="AE94" s="50" t="s">
        <v>501</v>
      </c>
      <c r="AF94" s="50" t="s">
        <v>502</v>
      </c>
      <c r="AG94" s="50" t="s">
        <v>67</v>
      </c>
      <c r="AH94" s="50" t="s">
        <v>503</v>
      </c>
      <c r="AI94" s="50" t="s">
        <v>69</v>
      </c>
      <c r="AJ94" s="50" t="s">
        <v>73</v>
      </c>
      <c r="AK94" s="50"/>
      <c r="AL94" s="58">
        <f>IF(AQ94="","",T94-AO94)</f>
        <v>121.01150000000001</v>
      </c>
      <c r="AM94" s="59">
        <f>IFERROR(AL94/T94,"")</f>
        <v>0.96972113150092165</v>
      </c>
      <c r="AN94" s="60" t="str">
        <f>IF(AM94="","",IF(AM94&lt;0,"Negative",IF(AM94=0,"Same",IF(AM94&gt;0.3,"30+%",IF(AM94&gt;0.2,"20-30%",IF(AM94&gt;0.1,"10-20%",IF(AM94&lt;=0.1,"0-10%")))))))</f>
        <v>30+%</v>
      </c>
      <c r="AO94" s="66">
        <f>IFERROR(AP94*S94,"")</f>
        <v>3.7785000000000002</v>
      </c>
      <c r="AP94" s="66">
        <f>IFERROR(AQ94/AS94,"")</f>
        <v>3.7785000000000002</v>
      </c>
      <c r="AQ94" s="69">
        <v>3.7785000000000002</v>
      </c>
      <c r="AR94" s="50" t="s">
        <v>118</v>
      </c>
      <c r="AS94" s="50">
        <v>1</v>
      </c>
      <c r="AT94" s="50" t="s">
        <v>53</v>
      </c>
      <c r="AU94" s="50" t="s">
        <v>504</v>
      </c>
      <c r="AV94" s="50" t="s">
        <v>505</v>
      </c>
      <c r="AW94" s="50" t="s">
        <v>505</v>
      </c>
      <c r="AX94" s="50" t="s">
        <v>67</v>
      </c>
      <c r="AY94" s="50" t="s">
        <v>506</v>
      </c>
      <c r="AZ94" s="50" t="s">
        <v>58</v>
      </c>
      <c r="BA94" s="50" t="s">
        <v>73</v>
      </c>
      <c r="BB94" s="50"/>
      <c r="BC94" s="55">
        <f>T94-BF94</f>
        <v>121.01150000000001</v>
      </c>
      <c r="BD94" s="56">
        <f>BC94/T94</f>
        <v>0.96972113150092165</v>
      </c>
      <c r="BE94" s="61" t="str">
        <f>IF(BD94&lt;0,"Negative",IF(BD94=0,"Same",IF(BD94&gt;0.3,"30+%",IF(BD94&gt;0.2,"20-30%",IF(BD94&gt;0.1,"10-20%",IF(BD94&lt;=0.1,"0-10%"))))))</f>
        <v>30+%</v>
      </c>
      <c r="BF94" s="65">
        <f>BG94*S94</f>
        <v>3.7785000000000002</v>
      </c>
      <c r="BG94" s="66">
        <f>BH94/BJ94</f>
        <v>3.7785000000000002</v>
      </c>
      <c r="BH94" s="66">
        <f>IF(BS94="Original",Z94,AQ94)</f>
        <v>3.7785000000000002</v>
      </c>
      <c r="BI94" s="60" t="str">
        <f>IF(BS94="Original",AA94,AR94)</f>
        <v>Roll</v>
      </c>
      <c r="BJ94" s="60">
        <f>IF(BS94="Original",AB94,AS94)</f>
        <v>1</v>
      </c>
      <c r="BK94" s="60" t="str">
        <f>IF(BS94="Original",AC94,AT94)</f>
        <v>Possible UOM or LPP issue.</v>
      </c>
      <c r="BL94" s="60" t="str">
        <f>IF(BS94="Original",AD94,AU94)</f>
        <v>Talon[REG]</v>
      </c>
      <c r="BM94" s="60" t="str">
        <f>IF(BS94="Original",AE94,AV94)</f>
        <v>1014652</v>
      </c>
      <c r="BN94" s="60" t="str">
        <f>IF(BS94="Original",AF94,AW94)</f>
        <v>1014652</v>
      </c>
      <c r="BO94" s="60" t="str">
        <f>IF(BS94="Original",AG94,AX94)</f>
        <v>Safety</v>
      </c>
      <c r="BP94" s="60" t="str">
        <f>IF(BS94="Original",AH94,AY94)</f>
        <v>36 yd (108') L X 2" W 6 mil  Yellow General Purpose Aisle Marking Tape Blank</v>
      </c>
      <c r="BQ94" s="60" t="str">
        <f>IF(BS94="Original",AI94,AZ94)</f>
        <v>Similar Match</v>
      </c>
      <c r="BR94" s="60" t="str">
        <f>IF(BS94="Original",AJ94,BA94)</f>
        <v>Yes</v>
      </c>
      <c r="BS94" s="60" t="str">
        <f>IF(AQ94="","Original",IF(AP94&lt;Y94,"Alternate","Original"))</f>
        <v>Alternate</v>
      </c>
    </row>
    <row r="95" spans="1:71" s="31" customFormat="1" x14ac:dyDescent="0.35">
      <c r="A95" s="53" t="s">
        <v>39</v>
      </c>
      <c r="B95" s="49">
        <v>93</v>
      </c>
      <c r="C95" s="50"/>
      <c r="D95" s="50"/>
      <c r="E95" s="51"/>
      <c r="F95" s="50" t="s">
        <v>49</v>
      </c>
      <c r="G95" s="50" t="s">
        <v>507</v>
      </c>
      <c r="H95" s="50" t="s">
        <v>508</v>
      </c>
      <c r="I95" s="50"/>
      <c r="J95" s="50"/>
      <c r="K95" s="50"/>
      <c r="L95" s="50"/>
      <c r="M95" s="50"/>
      <c r="N95" s="54" t="s">
        <v>43</v>
      </c>
      <c r="O95" s="49">
        <v>1</v>
      </c>
      <c r="P95" s="43">
        <v>122.61</v>
      </c>
      <c r="Q95" s="49">
        <v>1</v>
      </c>
      <c r="R95" s="44">
        <f>P95/O95</f>
        <v>122.61</v>
      </c>
      <c r="S95" s="49">
        <f>Q95*O95</f>
        <v>1</v>
      </c>
      <c r="T95" s="52">
        <f>S95*R95</f>
        <v>122.61</v>
      </c>
      <c r="U95" s="55">
        <f>IFERROR(T95-X95,0)</f>
        <v>69.162399999999991</v>
      </c>
      <c r="V95" s="56">
        <f>IFERROR(U95/T95,0)</f>
        <v>0.56408449555501172</v>
      </c>
      <c r="W95" s="57" t="str">
        <f>IF($V95&lt;0,"Negative",IF($V95=0,"Same",IF($V95&gt;0.3,"30+%",IF($V95&gt;0.2,"20-30%",IF($V95&gt;0.1,"10-20%",IF($V95&lt;=0.1,"0-10%"))))))</f>
        <v>30+%</v>
      </c>
      <c r="X95" s="66">
        <f>IFERROR(Y95*S95,0)</f>
        <v>53.447600000000001</v>
      </c>
      <c r="Y95" s="66">
        <f>IFERROR(Z95/AB95,0)</f>
        <v>53.447600000000001</v>
      </c>
      <c r="Z95" s="69">
        <v>53.447600000000001</v>
      </c>
      <c r="AA95" s="50" t="s">
        <v>63</v>
      </c>
      <c r="AB95" s="50">
        <v>1</v>
      </c>
      <c r="AC95" s="50"/>
      <c r="AD95" s="50" t="s">
        <v>509</v>
      </c>
      <c r="AE95" s="50" t="s">
        <v>510</v>
      </c>
      <c r="AF95" s="50" t="s">
        <v>511</v>
      </c>
      <c r="AG95" s="50" t="s">
        <v>90</v>
      </c>
      <c r="AH95" s="50" t="s">
        <v>512</v>
      </c>
      <c r="AI95" s="50" t="s">
        <v>69</v>
      </c>
      <c r="AJ95" s="50" t="s">
        <v>59</v>
      </c>
      <c r="AK95" s="50"/>
      <c r="AL95" s="44"/>
      <c r="AM95" s="45"/>
      <c r="AN95" s="50"/>
      <c r="AO95" s="69"/>
      <c r="AP95" s="69"/>
      <c r="AQ95" s="69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5">
        <f>T95-BF95</f>
        <v>69.162399999999991</v>
      </c>
      <c r="BD95" s="56">
        <f>BC95/T95</f>
        <v>0.56408449555501172</v>
      </c>
      <c r="BE95" s="61" t="str">
        <f>IF(BD95&lt;0,"Negative",IF(BD95=0,"Same",IF(BD95&gt;0.3,"30+%",IF(BD95&gt;0.2,"20-30%",IF(BD95&gt;0.1,"10-20%",IF(BD95&lt;=0.1,"0-10%"))))))</f>
        <v>30+%</v>
      </c>
      <c r="BF95" s="65">
        <f>BG95*S95</f>
        <v>53.447600000000001</v>
      </c>
      <c r="BG95" s="66">
        <f>BH95/BJ95</f>
        <v>53.447600000000001</v>
      </c>
      <c r="BH95" s="66">
        <f>IF(BS95="Original",Z95,AQ95)</f>
        <v>53.447600000000001</v>
      </c>
      <c r="BI95" s="60" t="str">
        <f>IF(BS95="Original",AA95,AR95)</f>
        <v>Piece</v>
      </c>
      <c r="BJ95" s="60">
        <f>IF(BS95="Original",AB95,AS95)</f>
        <v>1</v>
      </c>
      <c r="BK95" s="60"/>
      <c r="BL95" s="60" t="str">
        <f>IF(BS95="Original",AD95,AU95)</f>
        <v>GF Gage</v>
      </c>
      <c r="BM95" s="60" t="str">
        <f>IF(BS95="Original",AE95,AV95)</f>
        <v>W008656GK</v>
      </c>
      <c r="BN95" s="60" t="str">
        <f>IF(BS95="Original",AF95,AW95)</f>
        <v>0357716</v>
      </c>
      <c r="BO95" s="60" t="str">
        <f>IF(BS95="Original",AG95,AX95)</f>
        <v>Test and Measurement</v>
      </c>
      <c r="BP95" s="60" t="str">
        <f>IF(BS95="Original",AH95,AY95)</f>
        <v>#2-56 2B, 3B Taperlock GO Plug Gage</v>
      </c>
      <c r="BQ95" s="60" t="str">
        <f>IF(BS95="Original",AI95,AZ95)</f>
        <v>Exact Match</v>
      </c>
      <c r="BR95" s="60" t="str">
        <f>IF(BS95="Original",AJ95,BA95)</f>
        <v>No</v>
      </c>
      <c r="BS95" s="60" t="str">
        <f>IF(AQ95="","Original",IF(AP95&lt;Y95,"Alternate","Original"))</f>
        <v>Original</v>
      </c>
    </row>
    <row r="96" spans="1:71" s="31" customFormat="1" x14ac:dyDescent="0.35">
      <c r="A96" s="53" t="s">
        <v>39</v>
      </c>
      <c r="B96" s="49">
        <v>94</v>
      </c>
      <c r="C96" s="50"/>
      <c r="D96" s="50"/>
      <c r="E96" s="51"/>
      <c r="F96" s="50" t="s">
        <v>49</v>
      </c>
      <c r="G96" s="50" t="s">
        <v>513</v>
      </c>
      <c r="H96" s="50" t="s">
        <v>514</v>
      </c>
      <c r="I96" s="50"/>
      <c r="J96" s="50"/>
      <c r="K96" s="50"/>
      <c r="L96" s="50"/>
      <c r="M96" s="50"/>
      <c r="N96" s="54" t="s">
        <v>43</v>
      </c>
      <c r="O96" s="49">
        <v>1</v>
      </c>
      <c r="P96" s="43">
        <v>122.41</v>
      </c>
      <c r="Q96" s="49">
        <v>1</v>
      </c>
      <c r="R96" s="44">
        <f>P96/O96</f>
        <v>122.41</v>
      </c>
      <c r="S96" s="49">
        <f>Q96*O96</f>
        <v>1</v>
      </c>
      <c r="T96" s="52">
        <f>S96*R96</f>
        <v>122.41</v>
      </c>
      <c r="U96" s="55">
        <f>IFERROR(T96-X96,0)</f>
        <v>67.469499999999996</v>
      </c>
      <c r="V96" s="56">
        <f>IFERROR(U96/T96,0)</f>
        <v>0.5511763744792092</v>
      </c>
      <c r="W96" s="57" t="str">
        <f>IF($V96&lt;0,"Negative",IF($V96=0,"Same",IF($V96&gt;0.3,"30+%",IF($V96&gt;0.2,"20-30%",IF($V96&gt;0.1,"10-20%",IF($V96&lt;=0.1,"0-10%"))))))</f>
        <v>30+%</v>
      </c>
      <c r="X96" s="66">
        <f>IFERROR(Y96*S96,0)</f>
        <v>54.9405</v>
      </c>
      <c r="Y96" s="66">
        <f>IFERROR(Z96/AB96,0)</f>
        <v>54.9405</v>
      </c>
      <c r="Z96" s="69">
        <v>54.9405</v>
      </c>
      <c r="AA96" s="50" t="s">
        <v>63</v>
      </c>
      <c r="AB96" s="50">
        <v>1</v>
      </c>
      <c r="AC96" s="50"/>
      <c r="AD96" s="50" t="s">
        <v>515</v>
      </c>
      <c r="AE96" s="50" t="s">
        <v>516</v>
      </c>
      <c r="AF96" s="50" t="s">
        <v>517</v>
      </c>
      <c r="AG96" s="50" t="s">
        <v>135</v>
      </c>
      <c r="AH96" s="50" t="s">
        <v>518</v>
      </c>
      <c r="AI96" s="50" t="s">
        <v>69</v>
      </c>
      <c r="AJ96" s="50" t="s">
        <v>59</v>
      </c>
      <c r="AK96" s="50"/>
      <c r="AL96" s="44"/>
      <c r="AM96" s="45"/>
      <c r="AN96" s="50"/>
      <c r="AO96" s="69"/>
      <c r="AP96" s="69"/>
      <c r="AQ96" s="69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5">
        <f>T96-BF96</f>
        <v>67.469499999999996</v>
      </c>
      <c r="BD96" s="56">
        <f>BC96/T96</f>
        <v>0.5511763744792092</v>
      </c>
      <c r="BE96" s="61" t="str">
        <f>IF(BD96&lt;0,"Negative",IF(BD96=0,"Same",IF(BD96&gt;0.3,"30+%",IF(BD96&gt;0.2,"20-30%",IF(BD96&gt;0.1,"10-20%",IF(BD96&lt;=0.1,"0-10%"))))))</f>
        <v>30+%</v>
      </c>
      <c r="BF96" s="65">
        <f>BG96*S96</f>
        <v>54.9405</v>
      </c>
      <c r="BG96" s="66">
        <f>BH96/BJ96</f>
        <v>54.9405</v>
      </c>
      <c r="BH96" s="66">
        <f>IF(BS96="Original",Z96,AQ96)</f>
        <v>54.9405</v>
      </c>
      <c r="BI96" s="60" t="str">
        <f>IF(BS96="Original",AA96,AR96)</f>
        <v>Piece</v>
      </c>
      <c r="BJ96" s="60">
        <f>IF(BS96="Original",AB96,AS96)</f>
        <v>1</v>
      </c>
      <c r="BK96" s="60"/>
      <c r="BL96" s="60" t="str">
        <f>IF(BS96="Original",AD96,AU96)</f>
        <v>Lenox[REG]</v>
      </c>
      <c r="BM96" s="60" t="str">
        <f>IF(BS96="Original",AE96,AV96)</f>
        <v>80455CLB113530</v>
      </c>
      <c r="BN96" s="60" t="str">
        <f>IF(BS96="Original",AF96,AW96)</f>
        <v>3246808</v>
      </c>
      <c r="BO96" s="60" t="str">
        <f>IF(BS96="Original",AG96,AX96)</f>
        <v>Cutting Tools and Metalworking</v>
      </c>
      <c r="BP96" s="60" t="str">
        <f>IF(BS96="Original",AH96,AY96)</f>
        <v>11' 7" x 3/4" 6-10 TPI 0.035" Classic[REG] Band Saw Blade</v>
      </c>
      <c r="BQ96" s="60" t="str">
        <f>IF(BS96="Original",AI96,AZ96)</f>
        <v>Exact Match</v>
      </c>
      <c r="BR96" s="60" t="str">
        <f>IF(BS96="Original",AJ96,BA96)</f>
        <v>No</v>
      </c>
      <c r="BS96" s="60" t="str">
        <f>IF(AQ96="","Original",IF(AP96&lt;Y96,"Alternate","Original"))</f>
        <v>Original</v>
      </c>
    </row>
    <row r="97" spans="1:71" s="31" customFormat="1" x14ac:dyDescent="0.35">
      <c r="A97" s="53" t="s">
        <v>39</v>
      </c>
      <c r="B97" s="49">
        <v>95</v>
      </c>
      <c r="C97" s="50"/>
      <c r="D97" s="50"/>
      <c r="E97" s="51"/>
      <c r="F97" s="50" t="s">
        <v>49</v>
      </c>
      <c r="G97" s="50" t="s">
        <v>519</v>
      </c>
      <c r="H97" s="50" t="s">
        <v>520</v>
      </c>
      <c r="I97" s="50"/>
      <c r="J97" s="50"/>
      <c r="K97" s="50"/>
      <c r="L97" s="50"/>
      <c r="M97" s="50"/>
      <c r="N97" s="54" t="s">
        <v>43</v>
      </c>
      <c r="O97" s="49">
        <v>1</v>
      </c>
      <c r="P97" s="43">
        <v>60.58</v>
      </c>
      <c r="Q97" s="49">
        <v>2</v>
      </c>
      <c r="R97" s="44">
        <f>P97/O97</f>
        <v>60.58</v>
      </c>
      <c r="S97" s="49">
        <f>Q97*O97</f>
        <v>2</v>
      </c>
      <c r="T97" s="52">
        <f>S97*R97</f>
        <v>121.16</v>
      </c>
      <c r="U97" s="55">
        <f>IFERROR(T97-X97,0)</f>
        <v>104.717</v>
      </c>
      <c r="V97" s="56">
        <f>IFERROR(U97/T97,0)</f>
        <v>0.86428689336414655</v>
      </c>
      <c r="W97" s="57" t="str">
        <f>IF($V97&lt;0,"Negative",IF($V97=0,"Same",IF($V97&gt;0.3,"30+%",IF($V97&gt;0.2,"20-30%",IF($V97&gt;0.1,"10-20%",IF($V97&lt;=0.1,"0-10%"))))))</f>
        <v>30+%</v>
      </c>
      <c r="X97" s="66">
        <f>IFERROR(Y97*S97,0)</f>
        <v>16.443000000000001</v>
      </c>
      <c r="Y97" s="66">
        <f>IFERROR(Z97/AB97,0)</f>
        <v>8.2215000000000007</v>
      </c>
      <c r="Z97" s="69">
        <v>98.658000000000001</v>
      </c>
      <c r="AA97" s="50" t="s">
        <v>267</v>
      </c>
      <c r="AB97" s="50">
        <v>12</v>
      </c>
      <c r="AC97" s="50" t="s">
        <v>53</v>
      </c>
      <c r="AD97" s="50" t="s">
        <v>521</v>
      </c>
      <c r="AE97" s="50" t="s">
        <v>522</v>
      </c>
      <c r="AF97" s="50" t="s">
        <v>523</v>
      </c>
      <c r="AG97" s="50" t="s">
        <v>135</v>
      </c>
      <c r="AH97" s="50" t="s">
        <v>524</v>
      </c>
      <c r="AI97" s="50" t="s">
        <v>58</v>
      </c>
      <c r="AJ97" s="50" t="s">
        <v>59</v>
      </c>
      <c r="AK97" s="50"/>
      <c r="AL97" s="44"/>
      <c r="AM97" s="45"/>
      <c r="AN97" s="50"/>
      <c r="AO97" s="69"/>
      <c r="AP97" s="69"/>
      <c r="AQ97" s="69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5">
        <f>T97-BF97</f>
        <v>104.717</v>
      </c>
      <c r="BD97" s="56">
        <f>BC97/T97</f>
        <v>0.86428689336414655</v>
      </c>
      <c r="BE97" s="61" t="str">
        <f>IF(BD97&lt;0,"Negative",IF(BD97=0,"Same",IF(BD97&gt;0.3,"30+%",IF(BD97&gt;0.2,"20-30%",IF(BD97&gt;0.1,"10-20%",IF(BD97&lt;=0.1,"0-10%"))))))</f>
        <v>30+%</v>
      </c>
      <c r="BF97" s="65">
        <f>BG97*S97</f>
        <v>16.443000000000001</v>
      </c>
      <c r="BG97" s="66">
        <f>BH97/BJ97</f>
        <v>8.2215000000000007</v>
      </c>
      <c r="BH97" s="66">
        <f>IF(BS97="Original",Z97,AQ97)</f>
        <v>98.658000000000001</v>
      </c>
      <c r="BI97" s="60" t="str">
        <f>IF(BS97="Original",AA97,AR97)</f>
        <v>Case</v>
      </c>
      <c r="BJ97" s="60">
        <f>IF(BS97="Original",AB97,AS97)</f>
        <v>12</v>
      </c>
      <c r="BK97" s="60" t="str">
        <f>IF(BS97="Original",AC97,AT97)</f>
        <v>Possible UOM or LPP issue.</v>
      </c>
      <c r="BL97" s="60" t="str">
        <f>IF(BS97="Original",AD97,AU97)</f>
        <v>Chicago-Latrobe</v>
      </c>
      <c r="BM97" s="60" t="str">
        <f>IF(BS97="Original",AE97,AV97)</f>
        <v>50320</v>
      </c>
      <c r="BN97" s="60" t="str">
        <f>IF(BS97="Original",AF97,AW97)</f>
        <v>0356498</v>
      </c>
      <c r="BO97" s="60" t="str">
        <f>IF(BS97="Original",AG97,AX97)</f>
        <v>Cutting Tools and Metalworking</v>
      </c>
      <c r="BP97" s="60" t="str">
        <f>IF(BS97="Original",AH97,AY97)</f>
        <v>#30 HSS 118[DEG] Black Oxide Finish, Taper Length Drill</v>
      </c>
      <c r="BQ97" s="60" t="str">
        <f>IF(BS97="Original",AI97,AZ97)</f>
        <v>Similar Match</v>
      </c>
      <c r="BR97" s="60" t="str">
        <f>IF(BS97="Original",AJ97,BA97)</f>
        <v>No</v>
      </c>
      <c r="BS97" s="60" t="str">
        <f>IF(AQ97="","Original",IF(AP97&lt;Y97,"Alternate","Original"))</f>
        <v>Original</v>
      </c>
    </row>
    <row r="98" spans="1:71" s="31" customFormat="1" x14ac:dyDescent="0.35">
      <c r="A98" s="53" t="s">
        <v>39</v>
      </c>
      <c r="B98" s="49">
        <v>96</v>
      </c>
      <c r="C98" s="50"/>
      <c r="D98" s="50"/>
      <c r="E98" s="51"/>
      <c r="F98" s="50" t="s">
        <v>60</v>
      </c>
      <c r="G98" s="50" t="s">
        <v>525</v>
      </c>
      <c r="H98" s="50" t="s">
        <v>526</v>
      </c>
      <c r="I98" s="50"/>
      <c r="J98" s="50"/>
      <c r="K98" s="50"/>
      <c r="L98" s="50"/>
      <c r="M98" s="50"/>
      <c r="N98" s="54" t="s">
        <v>43</v>
      </c>
      <c r="O98" s="49">
        <v>1</v>
      </c>
      <c r="P98" s="43">
        <v>120.53</v>
      </c>
      <c r="Q98" s="49">
        <v>1</v>
      </c>
      <c r="R98" s="44">
        <f>P98/O98</f>
        <v>120.53</v>
      </c>
      <c r="S98" s="49">
        <f>Q98*O98</f>
        <v>1</v>
      </c>
      <c r="T98" s="52">
        <f>S98*R98</f>
        <v>120.53</v>
      </c>
      <c r="U98" s="55">
        <f>IFERROR(T98-X98,0)</f>
        <v>116.10380000000001</v>
      </c>
      <c r="V98" s="56">
        <f>IFERROR(U98/T98,0)</f>
        <v>0.96327719240023235</v>
      </c>
      <c r="W98" s="57" t="str">
        <f>IF($V98&lt;0,"Negative",IF($V98=0,"Same",IF($V98&gt;0.3,"30+%",IF($V98&gt;0.2,"20-30%",IF($V98&gt;0.1,"10-20%",IF($V98&lt;=0.1,"0-10%"))))))</f>
        <v>30+%</v>
      </c>
      <c r="X98" s="66">
        <f>IFERROR(Y98*S98,0)</f>
        <v>4.4261999999999997</v>
      </c>
      <c r="Y98" s="66">
        <f>IFERROR(Z98/AB98,0)</f>
        <v>4.4261999999999997</v>
      </c>
      <c r="Z98" s="69">
        <v>4.4261999999999997</v>
      </c>
      <c r="AA98" s="50" t="s">
        <v>63</v>
      </c>
      <c r="AB98" s="50">
        <v>1</v>
      </c>
      <c r="AC98" s="50" t="s">
        <v>53</v>
      </c>
      <c r="AD98" s="50" t="s">
        <v>527</v>
      </c>
      <c r="AE98" s="50" t="s">
        <v>528</v>
      </c>
      <c r="AF98" s="50" t="s">
        <v>529</v>
      </c>
      <c r="AG98" s="50" t="s">
        <v>67</v>
      </c>
      <c r="AH98" s="50" t="s">
        <v>530</v>
      </c>
      <c r="AI98" s="50" t="s">
        <v>69</v>
      </c>
      <c r="AJ98" s="50" t="s">
        <v>59</v>
      </c>
      <c r="AK98" s="50"/>
      <c r="AL98" s="44"/>
      <c r="AM98" s="45"/>
      <c r="AN98" s="50"/>
      <c r="AO98" s="69"/>
      <c r="AP98" s="69"/>
      <c r="AQ98" s="69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5">
        <f>T98-BF98</f>
        <v>116.10380000000001</v>
      </c>
      <c r="BD98" s="56">
        <f>BC98/T98</f>
        <v>0.96327719240023235</v>
      </c>
      <c r="BE98" s="61" t="str">
        <f>IF(BD98&lt;0,"Negative",IF(BD98=0,"Same",IF(BD98&gt;0.3,"30+%",IF(BD98&gt;0.2,"20-30%",IF(BD98&gt;0.1,"10-20%",IF(BD98&lt;=0.1,"0-10%"))))))</f>
        <v>30+%</v>
      </c>
      <c r="BF98" s="65">
        <f>BG98*S98</f>
        <v>4.4261999999999997</v>
      </c>
      <c r="BG98" s="66">
        <f>BH98/BJ98</f>
        <v>4.4261999999999997</v>
      </c>
      <c r="BH98" s="66">
        <f>IF(BS98="Original",Z98,AQ98)</f>
        <v>4.4261999999999997</v>
      </c>
      <c r="BI98" s="60" t="str">
        <f>IF(BS98="Original",AA98,AR98)</f>
        <v>Piece</v>
      </c>
      <c r="BJ98" s="60">
        <f>IF(BS98="Original",AB98,AS98)</f>
        <v>1</v>
      </c>
      <c r="BK98" s="60" t="str">
        <f>IF(BS98="Original",AC98,AT98)</f>
        <v>Possible UOM or LPP issue.</v>
      </c>
      <c r="BL98" s="60" t="str">
        <f>IF(BS98="Original",AD98,AU98)</f>
        <v>Glacier Freeze[TM]</v>
      </c>
      <c r="BM98" s="60" t="str">
        <f>IF(BS98="Original",AE98,AV98)</f>
        <v>33677</v>
      </c>
      <c r="BN98" s="60" t="str">
        <f>IF(BS98="Original",AF98,AW98)</f>
        <v>1002864</v>
      </c>
      <c r="BO98" s="60" t="str">
        <f>IF(BS98="Original",AG98,AX98)</f>
        <v>Safety</v>
      </c>
      <c r="BP98" s="60" t="str">
        <f>IF(BS98="Original",AH98,AY98)</f>
        <v>21oz Packet (2.5gal Yield) Glacier Freeze[TM] Gatorade[TM] Powder Concentrate Sports Drink</v>
      </c>
      <c r="BQ98" s="60" t="str">
        <f>IF(BS98="Original",AI98,AZ98)</f>
        <v>Exact Match</v>
      </c>
      <c r="BR98" s="60" t="str">
        <f>IF(BS98="Original",AJ98,BA98)</f>
        <v>No</v>
      </c>
      <c r="BS98" s="60" t="str">
        <f>IF(AQ98="","Original",IF(AP98&lt;Y98,"Alternate","Original"))</f>
        <v>Original</v>
      </c>
    </row>
    <row r="99" spans="1:71" s="31" customFormat="1" x14ac:dyDescent="0.35">
      <c r="A99" s="53" t="s">
        <v>39</v>
      </c>
      <c r="B99" s="49">
        <v>97</v>
      </c>
      <c r="C99" s="50"/>
      <c r="D99" s="50"/>
      <c r="E99" s="51"/>
      <c r="F99" s="50" t="s">
        <v>60</v>
      </c>
      <c r="G99" s="50" t="s">
        <v>531</v>
      </c>
      <c r="H99" s="50" t="s">
        <v>532</v>
      </c>
      <c r="I99" s="50"/>
      <c r="J99" s="50"/>
      <c r="K99" s="50"/>
      <c r="L99" s="50"/>
      <c r="M99" s="50"/>
      <c r="N99" s="54" t="s">
        <v>43</v>
      </c>
      <c r="O99" s="49">
        <v>1</v>
      </c>
      <c r="P99" s="43">
        <v>120.53</v>
      </c>
      <c r="Q99" s="49">
        <v>1</v>
      </c>
      <c r="R99" s="44">
        <f>P99/O99</f>
        <v>120.53</v>
      </c>
      <c r="S99" s="49">
        <f>Q99*O99</f>
        <v>1</v>
      </c>
      <c r="T99" s="52">
        <f>S99*R99</f>
        <v>120.53</v>
      </c>
      <c r="U99" s="55">
        <f>IFERROR(T99-X99,0)</f>
        <v>116.10380000000001</v>
      </c>
      <c r="V99" s="56">
        <f>IFERROR(U99/T99,0)</f>
        <v>0.96327719240023235</v>
      </c>
      <c r="W99" s="57" t="str">
        <f>IF($V99&lt;0,"Negative",IF($V99=0,"Same",IF($V99&gt;0.3,"30+%",IF($V99&gt;0.2,"20-30%",IF($V99&gt;0.1,"10-20%",IF($V99&lt;=0.1,"0-10%"))))))</f>
        <v>30+%</v>
      </c>
      <c r="X99" s="66">
        <f>IFERROR(Y99*S99,0)</f>
        <v>4.4261999999999997</v>
      </c>
      <c r="Y99" s="66">
        <f>IFERROR(Z99/AB99,0)</f>
        <v>4.4261999999999997</v>
      </c>
      <c r="Z99" s="69">
        <v>4.4261999999999997</v>
      </c>
      <c r="AA99" s="50" t="s">
        <v>63</v>
      </c>
      <c r="AB99" s="50">
        <v>1</v>
      </c>
      <c r="AC99" s="50" t="s">
        <v>53</v>
      </c>
      <c r="AD99" s="50" t="s">
        <v>533</v>
      </c>
      <c r="AE99" s="50" t="s">
        <v>534</v>
      </c>
      <c r="AF99" s="50" t="s">
        <v>535</v>
      </c>
      <c r="AG99" s="50" t="s">
        <v>67</v>
      </c>
      <c r="AH99" s="50" t="s">
        <v>536</v>
      </c>
      <c r="AI99" s="50" t="s">
        <v>69</v>
      </c>
      <c r="AJ99" s="50" t="s">
        <v>59</v>
      </c>
      <c r="AK99" s="50"/>
      <c r="AL99" s="58">
        <f>IF(AQ99="","",T99-AO99)</f>
        <v>116.68340000000001</v>
      </c>
      <c r="AM99" s="59">
        <f>IFERROR(AL99/T99,"")</f>
        <v>0.96808595370447192</v>
      </c>
      <c r="AN99" s="60" t="str">
        <f>IF(AM99="","",IF(AM99&lt;0,"Negative",IF(AM99=0,"Same",IF(AM99&gt;0.3,"30+%",IF(AM99&gt;0.2,"20-30%",IF(AM99&gt;0.1,"10-20%",IF(AM99&lt;=0.1,"0-10%")))))))</f>
        <v>30+%</v>
      </c>
      <c r="AO99" s="66">
        <f>IFERROR(AP99*S99,"")</f>
        <v>3.8466</v>
      </c>
      <c r="AP99" s="66">
        <f>IFERROR(AQ99/AS99,"")</f>
        <v>3.8466</v>
      </c>
      <c r="AQ99" s="69">
        <v>3.8466</v>
      </c>
      <c r="AR99" s="50" t="s">
        <v>63</v>
      </c>
      <c r="AS99" s="50">
        <v>1</v>
      </c>
      <c r="AT99" s="50" t="s">
        <v>53</v>
      </c>
      <c r="AU99" s="50" t="s">
        <v>537</v>
      </c>
      <c r="AV99" s="50" t="s">
        <v>538</v>
      </c>
      <c r="AW99" s="50" t="s">
        <v>539</v>
      </c>
      <c r="AX99" s="50" t="s">
        <v>67</v>
      </c>
      <c r="AY99" s="50" t="s">
        <v>540</v>
      </c>
      <c r="AZ99" s="50" t="s">
        <v>58</v>
      </c>
      <c r="BA99" s="50" t="s">
        <v>73</v>
      </c>
      <c r="BB99" s="50"/>
      <c r="BC99" s="55">
        <f>T99-BF99</f>
        <v>116.68340000000001</v>
      </c>
      <c r="BD99" s="56">
        <f>BC99/T99</f>
        <v>0.96808595370447192</v>
      </c>
      <c r="BE99" s="61" t="str">
        <f>IF(BD99&lt;0,"Negative",IF(BD99=0,"Same",IF(BD99&gt;0.3,"30+%",IF(BD99&gt;0.2,"20-30%",IF(BD99&gt;0.1,"10-20%",IF(BD99&lt;=0.1,"0-10%"))))))</f>
        <v>30+%</v>
      </c>
      <c r="BF99" s="65">
        <f>BG99*S99</f>
        <v>3.8466</v>
      </c>
      <c r="BG99" s="66">
        <f>BH99/BJ99</f>
        <v>3.8466</v>
      </c>
      <c r="BH99" s="66">
        <f>IF(BS99="Original",Z99,AQ99)</f>
        <v>3.8466</v>
      </c>
      <c r="BI99" s="60" t="str">
        <f>IF(BS99="Original",AA99,AR99)</f>
        <v>Piece</v>
      </c>
      <c r="BJ99" s="60">
        <f>IF(BS99="Original",AB99,AS99)</f>
        <v>1</v>
      </c>
      <c r="BK99" s="60" t="str">
        <f>IF(BS99="Original",AC99,AT99)</f>
        <v>Possible UOM or LPP issue.</v>
      </c>
      <c r="BL99" s="60" t="str">
        <f>IF(BS99="Original",AD99,AU99)</f>
        <v>Sqwincher[REG]</v>
      </c>
      <c r="BM99" s="60" t="str">
        <f>IF(BS99="Original",AE99,AV99)</f>
        <v>159016042</v>
      </c>
      <c r="BN99" s="60" t="str">
        <f>IF(BS99="Original",AF99,AW99)</f>
        <v>1003020</v>
      </c>
      <c r="BO99" s="60" t="str">
        <f>IF(BS99="Original",AG99,AX99)</f>
        <v>Safety</v>
      </c>
      <c r="BP99" s="60" t="str">
        <f>IF(BS99="Original",AH99,AY99)</f>
        <v>23.83oz Packet (2.5gal Yield) Fruit Punch Sqwincher[REG] Powder Concentrate Electrolyte Replacement Sports Drink</v>
      </c>
      <c r="BQ99" s="60" t="str">
        <f>IF(BS99="Original",AI99,AZ99)</f>
        <v>Similar Match</v>
      </c>
      <c r="BR99" s="60" t="str">
        <f>IF(BS99="Original",AJ99,BA99)</f>
        <v>Yes</v>
      </c>
      <c r="BS99" s="60" t="str">
        <f>IF(AQ99="","Original",IF(AP99&lt;Y99,"Alternate","Original"))</f>
        <v>Alternate</v>
      </c>
    </row>
    <row r="100" spans="1:71" s="31" customFormat="1" x14ac:dyDescent="0.35">
      <c r="A100" s="53" t="s">
        <v>39</v>
      </c>
      <c r="B100" s="49">
        <v>98</v>
      </c>
      <c r="C100" s="50"/>
      <c r="D100" s="50"/>
      <c r="E100" s="51"/>
      <c r="F100" s="50" t="s">
        <v>60</v>
      </c>
      <c r="G100" s="50" t="s">
        <v>541</v>
      </c>
      <c r="H100" s="50" t="s">
        <v>542</v>
      </c>
      <c r="I100" s="50"/>
      <c r="J100" s="50"/>
      <c r="K100" s="50"/>
      <c r="L100" s="50"/>
      <c r="M100" s="50"/>
      <c r="N100" s="54" t="s">
        <v>43</v>
      </c>
      <c r="O100" s="49">
        <v>1</v>
      </c>
      <c r="P100" s="43">
        <v>120.53</v>
      </c>
      <c r="Q100" s="49">
        <v>1</v>
      </c>
      <c r="R100" s="44">
        <f>P100/O100</f>
        <v>120.53</v>
      </c>
      <c r="S100" s="49">
        <f>Q100*O100</f>
        <v>1</v>
      </c>
      <c r="T100" s="52">
        <f>S100*R100</f>
        <v>120.53</v>
      </c>
      <c r="U100" s="55">
        <f>IFERROR(T100-X100,0)</f>
        <v>116.10380000000001</v>
      </c>
      <c r="V100" s="56">
        <f>IFERROR(U100/T100,0)</f>
        <v>0.96327719240023235</v>
      </c>
      <c r="W100" s="57" t="str">
        <f>IF($V100&lt;0,"Negative",IF($V100=0,"Same",IF($V100&gt;0.3,"30+%",IF($V100&gt;0.2,"20-30%",IF($V100&gt;0.1,"10-20%",IF($V100&lt;=0.1,"0-10%"))))))</f>
        <v>30+%</v>
      </c>
      <c r="X100" s="66">
        <f>IFERROR(Y100*S100,0)</f>
        <v>4.4261999999999997</v>
      </c>
      <c r="Y100" s="66">
        <f>IFERROR(Z100/AB100,0)</f>
        <v>4.4261999999999997</v>
      </c>
      <c r="Z100" s="69">
        <v>4.4261999999999997</v>
      </c>
      <c r="AA100" s="50" t="s">
        <v>63</v>
      </c>
      <c r="AB100" s="50">
        <v>1</v>
      </c>
      <c r="AC100" s="50" t="s">
        <v>53</v>
      </c>
      <c r="AD100" s="50" t="s">
        <v>533</v>
      </c>
      <c r="AE100" s="50" t="s">
        <v>543</v>
      </c>
      <c r="AF100" s="50" t="s">
        <v>544</v>
      </c>
      <c r="AG100" s="50" t="s">
        <v>67</v>
      </c>
      <c r="AH100" s="50" t="s">
        <v>545</v>
      </c>
      <c r="AI100" s="50" t="s">
        <v>69</v>
      </c>
      <c r="AJ100" s="50" t="s">
        <v>59</v>
      </c>
      <c r="AK100" s="50"/>
      <c r="AL100" s="58">
        <f>IF(AQ100="","",T100-AO100)</f>
        <v>116.4589</v>
      </c>
      <c r="AM100" s="59">
        <f>IFERROR(AL100/T100,"")</f>
        <v>0.96622334688459299</v>
      </c>
      <c r="AN100" s="60" t="str">
        <f>IF(AM100="","",IF(AM100&lt;0,"Negative",IF(AM100=0,"Same",IF(AM100&gt;0.3,"30+%",IF(AM100&gt;0.2,"20-30%",IF(AM100&gt;0.1,"10-20%",IF(AM100&lt;=0.1,"0-10%")))))))</f>
        <v>30+%</v>
      </c>
      <c r="AO100" s="66">
        <f>IFERROR(AP100*S100,"")</f>
        <v>4.0711000000000004</v>
      </c>
      <c r="AP100" s="66">
        <f>IFERROR(AQ100/AS100,"")</f>
        <v>4.0711000000000004</v>
      </c>
      <c r="AQ100" s="69">
        <v>4.0711000000000004</v>
      </c>
      <c r="AR100" s="50" t="s">
        <v>63</v>
      </c>
      <c r="AS100" s="50">
        <v>1</v>
      </c>
      <c r="AT100" s="50" t="s">
        <v>53</v>
      </c>
      <c r="AU100" s="50" t="s">
        <v>537</v>
      </c>
      <c r="AV100" s="50" t="s">
        <v>546</v>
      </c>
      <c r="AW100" s="50" t="s">
        <v>547</v>
      </c>
      <c r="AX100" s="50" t="s">
        <v>67</v>
      </c>
      <c r="AY100" s="50" t="s">
        <v>548</v>
      </c>
      <c r="AZ100" s="50" t="s">
        <v>58</v>
      </c>
      <c r="BA100" s="50" t="s">
        <v>59</v>
      </c>
      <c r="BB100" s="50"/>
      <c r="BC100" s="55">
        <f>T100-BF100</f>
        <v>116.4589</v>
      </c>
      <c r="BD100" s="56">
        <f>BC100/T100</f>
        <v>0.96622334688459299</v>
      </c>
      <c r="BE100" s="61" t="str">
        <f>IF(BD100&lt;0,"Negative",IF(BD100=0,"Same",IF(BD100&gt;0.3,"30+%",IF(BD100&gt;0.2,"20-30%",IF(BD100&gt;0.1,"10-20%",IF(BD100&lt;=0.1,"0-10%"))))))</f>
        <v>30+%</v>
      </c>
      <c r="BF100" s="65">
        <f>BG100*S100</f>
        <v>4.0711000000000004</v>
      </c>
      <c r="BG100" s="66">
        <f>BH100/BJ100</f>
        <v>4.0711000000000004</v>
      </c>
      <c r="BH100" s="66">
        <f>IF(BS100="Original",Z100,AQ100)</f>
        <v>4.0711000000000004</v>
      </c>
      <c r="BI100" s="60" t="str">
        <f>IF(BS100="Original",AA100,AR100)</f>
        <v>Piece</v>
      </c>
      <c r="BJ100" s="60">
        <f>IF(BS100="Original",AB100,AS100)</f>
        <v>1</v>
      </c>
      <c r="BK100" s="60" t="str">
        <f>IF(BS100="Original",AC100,AT100)</f>
        <v>Possible UOM or LPP issue.</v>
      </c>
      <c r="BL100" s="60" t="str">
        <f>IF(BS100="Original",AD100,AU100)</f>
        <v>Sqwincher[REG]</v>
      </c>
      <c r="BM100" s="60" t="str">
        <f>IF(BS100="Original",AE100,AV100)</f>
        <v>159016043</v>
      </c>
      <c r="BN100" s="60" t="str">
        <f>IF(BS100="Original",AF100,AW100)</f>
        <v>1003021</v>
      </c>
      <c r="BO100" s="60" t="str">
        <f>IF(BS100="Original",AG100,AX100)</f>
        <v>Safety</v>
      </c>
      <c r="BP100" s="60" t="str">
        <f>IF(BS100="Original",AH100,AY100)</f>
        <v>23.83oz Packet (2.5gal Yield) Lemon-Lime Sqwincher[REG] Powder Concentrate Electrolyte Replacement Sports Drink</v>
      </c>
      <c r="BQ100" s="60" t="str">
        <f>IF(BS100="Original",AI100,AZ100)</f>
        <v>Similar Match</v>
      </c>
      <c r="BR100" s="60" t="str">
        <f>IF(BS100="Original",AJ100,BA100)</f>
        <v>No</v>
      </c>
      <c r="BS100" s="60" t="str">
        <f>IF(AQ100="","Original",IF(AP100&lt;Y100,"Alternate","Original"))</f>
        <v>Alternate</v>
      </c>
    </row>
    <row r="101" spans="1:71" s="31" customFormat="1" x14ac:dyDescent="0.35">
      <c r="A101" s="53" t="s">
        <v>39</v>
      </c>
      <c r="B101" s="49">
        <v>99</v>
      </c>
      <c r="C101" s="50"/>
      <c r="D101" s="50"/>
      <c r="E101" s="51"/>
      <c r="F101" s="50" t="s">
        <v>60</v>
      </c>
      <c r="G101" s="50" t="s">
        <v>549</v>
      </c>
      <c r="H101" s="50" t="s">
        <v>550</v>
      </c>
      <c r="I101" s="50"/>
      <c r="J101" s="50"/>
      <c r="K101" s="50"/>
      <c r="L101" s="50"/>
      <c r="M101" s="50"/>
      <c r="N101" s="54" t="s">
        <v>43</v>
      </c>
      <c r="O101" s="49">
        <v>1</v>
      </c>
      <c r="P101" s="43">
        <v>120.53</v>
      </c>
      <c r="Q101" s="49">
        <v>1</v>
      </c>
      <c r="R101" s="44">
        <f>P101/O101</f>
        <v>120.53</v>
      </c>
      <c r="S101" s="49">
        <f>Q101*O101</f>
        <v>1</v>
      </c>
      <c r="T101" s="52">
        <f>S101*R101</f>
        <v>120.53</v>
      </c>
      <c r="U101" s="55">
        <f>IFERROR(T101-X101,0)</f>
        <v>116.10380000000001</v>
      </c>
      <c r="V101" s="56">
        <f>IFERROR(U101/T101,0)</f>
        <v>0.96327719240023235</v>
      </c>
      <c r="W101" s="57" t="str">
        <f>IF($V101&lt;0,"Negative",IF($V101=0,"Same",IF($V101&gt;0.3,"30+%",IF($V101&gt;0.2,"20-30%",IF($V101&gt;0.1,"10-20%",IF($V101&lt;=0.1,"0-10%"))))))</f>
        <v>30+%</v>
      </c>
      <c r="X101" s="66">
        <f>IFERROR(Y101*S101,0)</f>
        <v>4.4261999999999997</v>
      </c>
      <c r="Y101" s="66">
        <f>IFERROR(Z101/AB101,0)</f>
        <v>4.4261999999999997</v>
      </c>
      <c r="Z101" s="69">
        <v>4.4261999999999997</v>
      </c>
      <c r="AA101" s="50" t="s">
        <v>63</v>
      </c>
      <c r="AB101" s="50">
        <v>1</v>
      </c>
      <c r="AC101" s="50" t="s">
        <v>53</v>
      </c>
      <c r="AD101" s="50" t="s">
        <v>533</v>
      </c>
      <c r="AE101" s="50" t="s">
        <v>551</v>
      </c>
      <c r="AF101" s="50" t="s">
        <v>552</v>
      </c>
      <c r="AG101" s="50" t="s">
        <v>67</v>
      </c>
      <c r="AH101" s="50" t="s">
        <v>553</v>
      </c>
      <c r="AI101" s="50" t="s">
        <v>69</v>
      </c>
      <c r="AJ101" s="50" t="s">
        <v>59</v>
      </c>
      <c r="AK101" s="50"/>
      <c r="AL101" s="58">
        <f>IF(AQ101="","",T101-AO101)</f>
        <v>116.4589</v>
      </c>
      <c r="AM101" s="59">
        <f>IFERROR(AL101/T101,"")</f>
        <v>0.96622334688459299</v>
      </c>
      <c r="AN101" s="60" t="str">
        <f>IF(AM101="","",IF(AM101&lt;0,"Negative",IF(AM101=0,"Same",IF(AM101&gt;0.3,"30+%",IF(AM101&gt;0.2,"20-30%",IF(AM101&gt;0.1,"10-20%",IF(AM101&lt;=0.1,"0-10%")))))))</f>
        <v>30+%</v>
      </c>
      <c r="AO101" s="66">
        <f>IFERROR(AP101*S101,"")</f>
        <v>4.0711000000000004</v>
      </c>
      <c r="AP101" s="66">
        <f>IFERROR(AQ101/AS101,"")</f>
        <v>4.0711000000000004</v>
      </c>
      <c r="AQ101" s="69">
        <v>4.0711000000000004</v>
      </c>
      <c r="AR101" s="50" t="s">
        <v>63</v>
      </c>
      <c r="AS101" s="50">
        <v>1</v>
      </c>
      <c r="AT101" s="50" t="s">
        <v>53</v>
      </c>
      <c r="AU101" s="50" t="s">
        <v>537</v>
      </c>
      <c r="AV101" s="50" t="s">
        <v>554</v>
      </c>
      <c r="AW101" s="50" t="s">
        <v>555</v>
      </c>
      <c r="AX101" s="50" t="s">
        <v>67</v>
      </c>
      <c r="AY101" s="50" t="s">
        <v>556</v>
      </c>
      <c r="AZ101" s="50" t="s">
        <v>58</v>
      </c>
      <c r="BA101" s="50" t="s">
        <v>59</v>
      </c>
      <c r="BB101" s="50"/>
      <c r="BC101" s="55">
        <f>T101-BF101</f>
        <v>116.4589</v>
      </c>
      <c r="BD101" s="56">
        <f>BC101/T101</f>
        <v>0.96622334688459299</v>
      </c>
      <c r="BE101" s="61" t="str">
        <f>IF(BD101&lt;0,"Negative",IF(BD101=0,"Same",IF(BD101&gt;0.3,"30+%",IF(BD101&gt;0.2,"20-30%",IF(BD101&gt;0.1,"10-20%",IF(BD101&lt;=0.1,"0-10%"))))))</f>
        <v>30+%</v>
      </c>
      <c r="BF101" s="65">
        <f>BG101*S101</f>
        <v>4.0711000000000004</v>
      </c>
      <c r="BG101" s="66">
        <f>BH101/BJ101</f>
        <v>4.0711000000000004</v>
      </c>
      <c r="BH101" s="66">
        <f>IF(BS101="Original",Z101,AQ101)</f>
        <v>4.0711000000000004</v>
      </c>
      <c r="BI101" s="60" t="str">
        <f>IF(BS101="Original",AA101,AR101)</f>
        <v>Piece</v>
      </c>
      <c r="BJ101" s="60">
        <f>IF(BS101="Original",AB101,AS101)</f>
        <v>1</v>
      </c>
      <c r="BK101" s="60" t="str">
        <f>IF(BS101="Original",AC101,AT101)</f>
        <v>Possible UOM or LPP issue.</v>
      </c>
      <c r="BL101" s="60" t="str">
        <f>IF(BS101="Original",AD101,AU101)</f>
        <v>Sqwincher[REG]</v>
      </c>
      <c r="BM101" s="60" t="str">
        <f>IF(BS101="Original",AE101,AV101)</f>
        <v>159016041</v>
      </c>
      <c r="BN101" s="60" t="str">
        <f>IF(BS101="Original",AF101,AW101)</f>
        <v>1003019</v>
      </c>
      <c r="BO101" s="60" t="str">
        <f>IF(BS101="Original",AG101,AX101)</f>
        <v>Safety</v>
      </c>
      <c r="BP101" s="60" t="str">
        <f>IF(BS101="Original",AH101,AY101)</f>
        <v>23.83oz Packet (2.5gal Yield) Orange Sqwincher[REG] Powder Concentrate Electrolyte Replacement Sports Drink</v>
      </c>
      <c r="BQ101" s="60" t="str">
        <f>IF(BS101="Original",AI101,AZ101)</f>
        <v>Similar Match</v>
      </c>
      <c r="BR101" s="60" t="str">
        <f>IF(BS101="Original",AJ101,BA101)</f>
        <v>No</v>
      </c>
      <c r="BS101" s="60" t="str">
        <f>IF(AQ101="","Original",IF(AP101&lt;Y101,"Alternate","Original"))</f>
        <v>Alternate</v>
      </c>
    </row>
    <row r="102" spans="1:71" s="31" customFormat="1" x14ac:dyDescent="0.35">
      <c r="A102" s="53" t="s">
        <v>39</v>
      </c>
      <c r="B102" s="49">
        <v>100</v>
      </c>
      <c r="C102" s="50"/>
      <c r="D102" s="50"/>
      <c r="E102" s="51"/>
      <c r="F102" s="50" t="s">
        <v>60</v>
      </c>
      <c r="G102" s="50" t="s">
        <v>557</v>
      </c>
      <c r="H102" s="50" t="s">
        <v>558</v>
      </c>
      <c r="I102" s="50"/>
      <c r="J102" s="50"/>
      <c r="K102" s="50"/>
      <c r="L102" s="50"/>
      <c r="M102" s="50"/>
      <c r="N102" s="54" t="s">
        <v>43</v>
      </c>
      <c r="O102" s="49">
        <v>1</v>
      </c>
      <c r="P102" s="43">
        <v>119</v>
      </c>
      <c r="Q102" s="49">
        <v>1</v>
      </c>
      <c r="R102" s="44">
        <f>P102/O102</f>
        <v>119</v>
      </c>
      <c r="S102" s="49">
        <f>Q102*O102</f>
        <v>1</v>
      </c>
      <c r="T102" s="52">
        <f>S102*R102</f>
        <v>119</v>
      </c>
      <c r="U102" s="55">
        <f>IFERROR(T102-X102,0)</f>
        <v>101.977</v>
      </c>
      <c r="V102" s="56">
        <f>IFERROR(U102/T102,0)</f>
        <v>0.85694957983193276</v>
      </c>
      <c r="W102" s="57" t="str">
        <f>IF($V102&lt;0,"Negative",IF($V102=0,"Same",IF($V102&gt;0.3,"30+%",IF($V102&gt;0.2,"20-30%",IF($V102&gt;0.1,"10-20%",IF($V102&lt;=0.1,"0-10%"))))))</f>
        <v>30+%</v>
      </c>
      <c r="X102" s="66">
        <f>IFERROR(Y102*S102,0)</f>
        <v>17.023</v>
      </c>
      <c r="Y102" s="66">
        <f>IFERROR(Z102/AB102,0)</f>
        <v>17.023</v>
      </c>
      <c r="Z102" s="69">
        <v>17.023</v>
      </c>
      <c r="AA102" s="50" t="s">
        <v>63</v>
      </c>
      <c r="AB102" s="50">
        <v>1</v>
      </c>
      <c r="AC102" s="50" t="s">
        <v>53</v>
      </c>
      <c r="AD102" s="50" t="s">
        <v>559</v>
      </c>
      <c r="AE102" s="50" t="s">
        <v>560</v>
      </c>
      <c r="AF102" s="50" t="s">
        <v>561</v>
      </c>
      <c r="AG102" s="50" t="s">
        <v>562</v>
      </c>
      <c r="AH102" s="50" t="s">
        <v>563</v>
      </c>
      <c r="AI102" s="50" t="s">
        <v>69</v>
      </c>
      <c r="AJ102" s="50" t="s">
        <v>59</v>
      </c>
      <c r="AK102" s="50"/>
      <c r="AL102" s="44"/>
      <c r="AM102" s="45"/>
      <c r="AN102" s="50"/>
      <c r="AO102" s="69"/>
      <c r="AP102" s="69"/>
      <c r="AQ102" s="69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5">
        <f>T102-BF102</f>
        <v>101.977</v>
      </c>
      <c r="BD102" s="56">
        <f>BC102/T102</f>
        <v>0.85694957983193276</v>
      </c>
      <c r="BE102" s="61" t="str">
        <f>IF(BD102&lt;0,"Negative",IF(BD102=0,"Same",IF(BD102&gt;0.3,"30+%",IF(BD102&gt;0.2,"20-30%",IF(BD102&gt;0.1,"10-20%",IF(BD102&lt;=0.1,"0-10%"))))))</f>
        <v>30+%</v>
      </c>
      <c r="BF102" s="65">
        <f>BG102*S102</f>
        <v>17.023</v>
      </c>
      <c r="BG102" s="66">
        <f>BH102/BJ102</f>
        <v>17.023</v>
      </c>
      <c r="BH102" s="66">
        <f>IF(BS102="Original",Z102,AQ102)</f>
        <v>17.023</v>
      </c>
      <c r="BI102" s="60" t="str">
        <f>IF(BS102="Original",AA102,AR102)</f>
        <v>Piece</v>
      </c>
      <c r="BJ102" s="60">
        <f>IF(BS102="Original",AB102,AS102)</f>
        <v>1</v>
      </c>
      <c r="BK102" s="60" t="str">
        <f>IF(BS102="Original",AC102,AT102)</f>
        <v>Possible UOM or LPP issue.</v>
      </c>
      <c r="BL102" s="60" t="str">
        <f>IF(BS102="Original",AD102,AU102)</f>
        <v>BALDWIN FILTERS</v>
      </c>
      <c r="BM102" s="60" t="str">
        <f>IF(BS102="Original",AE102,AV102)</f>
        <v>PA1719</v>
      </c>
      <c r="BN102" s="60" t="str">
        <f>IF(BS102="Original",AF102,AW102)</f>
        <v>921250843</v>
      </c>
      <c r="BO102" s="60" t="str">
        <f>IF(BS102="Original",AG102,AX102)</f>
        <v>Fleet and Automotive</v>
      </c>
      <c r="BP102" s="60" t="str">
        <f>IF(BS102="Original",AH102,AY102)</f>
        <v>PA1719 Air Element 8-1/4 OD Air Filter</v>
      </c>
      <c r="BQ102" s="60" t="str">
        <f>IF(BS102="Original",AI102,AZ102)</f>
        <v>Exact Match</v>
      </c>
      <c r="BR102" s="60" t="str">
        <f>IF(BS102="Original",AJ102,BA102)</f>
        <v>No</v>
      </c>
      <c r="BS102" s="60" t="str">
        <f>IF(AQ102="","Original",IF(AP102&lt;Y102,"Alternate","Original"))</f>
        <v>Original</v>
      </c>
    </row>
    <row r="103" spans="1:71" s="31" customFormat="1" x14ac:dyDescent="0.35">
      <c r="A103" s="53" t="s">
        <v>39</v>
      </c>
      <c r="B103" s="49">
        <v>101</v>
      </c>
      <c r="C103" s="50"/>
      <c r="D103" s="50"/>
      <c r="E103" s="51"/>
      <c r="F103" s="50" t="s">
        <v>49</v>
      </c>
      <c r="G103" s="50" t="s">
        <v>564</v>
      </c>
      <c r="H103" s="50" t="s">
        <v>565</v>
      </c>
      <c r="I103" s="50"/>
      <c r="J103" s="50"/>
      <c r="K103" s="50"/>
      <c r="L103" s="50"/>
      <c r="M103" s="50"/>
      <c r="N103" s="54" t="s">
        <v>43</v>
      </c>
      <c r="O103" s="49">
        <v>1</v>
      </c>
      <c r="P103" s="43">
        <v>118.26</v>
      </c>
      <c r="Q103" s="49">
        <v>1</v>
      </c>
      <c r="R103" s="44">
        <f>P103/O103</f>
        <v>118.26</v>
      </c>
      <c r="S103" s="49">
        <f>Q103*O103</f>
        <v>1</v>
      </c>
      <c r="T103" s="52">
        <f>S103*R103</f>
        <v>118.26</v>
      </c>
      <c r="U103" s="55">
        <f>IFERROR(T103-X103,0)</f>
        <v>-44.894300000000001</v>
      </c>
      <c r="V103" s="56">
        <f>IFERROR(U103/T103,0)</f>
        <v>-0.37962371046845933</v>
      </c>
      <c r="W103" s="57" t="str">
        <f>IF($V103&lt;0,"Negative",IF($V103=0,"Same",IF($V103&gt;0.3,"30+%",IF($V103&gt;0.2,"20-30%",IF($V103&gt;0.1,"10-20%",IF($V103&lt;=0.1,"0-10%"))))))</f>
        <v>Negative</v>
      </c>
      <c r="X103" s="66">
        <f>IFERROR(Y103*S103,0)</f>
        <v>163.15430000000001</v>
      </c>
      <c r="Y103" s="66">
        <f>IFERROR(Z103/AB103,0)</f>
        <v>163.15430000000001</v>
      </c>
      <c r="Z103" s="69">
        <v>163.15430000000001</v>
      </c>
      <c r="AA103" s="50" t="s">
        <v>63</v>
      </c>
      <c r="AB103" s="50">
        <v>1</v>
      </c>
      <c r="AC103" s="50"/>
      <c r="AD103" s="50" t="s">
        <v>566</v>
      </c>
      <c r="AE103" s="50" t="s">
        <v>567</v>
      </c>
      <c r="AF103" s="50" t="s">
        <v>166</v>
      </c>
      <c r="AG103" s="50" t="s">
        <v>135</v>
      </c>
      <c r="AH103" s="50" t="s">
        <v>568</v>
      </c>
      <c r="AI103" s="50" t="s">
        <v>69</v>
      </c>
      <c r="AJ103" s="50" t="s">
        <v>59</v>
      </c>
      <c r="AK103" s="50"/>
      <c r="AL103" s="44"/>
      <c r="AM103" s="45"/>
      <c r="AN103" s="50"/>
      <c r="AO103" s="69"/>
      <c r="AP103" s="69"/>
      <c r="AQ103" s="69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5">
        <f>T103-BF103</f>
        <v>-44.894300000000001</v>
      </c>
      <c r="BD103" s="56">
        <f>BC103/T103</f>
        <v>-0.37962371046845933</v>
      </c>
      <c r="BE103" s="61" t="str">
        <f>IF(BD103&lt;0,"Negative",IF(BD103=0,"Same",IF(BD103&gt;0.3,"30+%",IF(BD103&gt;0.2,"20-30%",IF(BD103&gt;0.1,"10-20%",IF(BD103&lt;=0.1,"0-10%"))))))</f>
        <v>Negative</v>
      </c>
      <c r="BF103" s="65">
        <f>BG103*S103</f>
        <v>163.15430000000001</v>
      </c>
      <c r="BG103" s="66">
        <f>BH103/BJ103</f>
        <v>163.15430000000001</v>
      </c>
      <c r="BH103" s="66">
        <f>IF(BS103="Original",Z103,AQ103)</f>
        <v>163.15430000000001</v>
      </c>
      <c r="BI103" s="60" t="str">
        <f>IF(BS103="Original",AA103,AR103)</f>
        <v>Piece</v>
      </c>
      <c r="BJ103" s="60">
        <f>IF(BS103="Original",AB103,AS103)</f>
        <v>1</v>
      </c>
      <c r="BK103" s="60"/>
      <c r="BL103" s="60" t="str">
        <f>IF(BS103="Original",AD103,AU103)</f>
        <v>FOWLER, FRED V. CO.</v>
      </c>
      <c r="BM103" s="60" t="str">
        <f>IF(BS103="Original",AE103,AV103)</f>
        <v>54-520-250</v>
      </c>
      <c r="BN103" s="60" t="str">
        <f>IF(BS103="Original",AF103,AW103)</f>
        <v>BSS</v>
      </c>
      <c r="BO103" s="60" t="str">
        <f>IF(BS103="Original",AG103,AX103)</f>
        <v>Cutting Tools and Metalworking</v>
      </c>
      <c r="BP103" s="60" t="str">
        <f>IF(BS103="Original",AH103,AY103)</f>
        <v>Electronic Drop IndicatorInch &amp; Metric System Digital Display</v>
      </c>
      <c r="BQ103" s="60" t="str">
        <f>IF(BS103="Original",AI103,AZ103)</f>
        <v>Exact Match</v>
      </c>
      <c r="BR103" s="60" t="str">
        <f>IF(BS103="Original",AJ103,BA103)</f>
        <v>No</v>
      </c>
      <c r="BS103" s="60" t="str">
        <f>IF(AQ103="","Original",IF(AP103&lt;Y103,"Alternate","Original"))</f>
        <v>Original</v>
      </c>
    </row>
    <row r="104" spans="1:71" s="31" customFormat="1" x14ac:dyDescent="0.35">
      <c r="A104" s="53" t="s">
        <v>39</v>
      </c>
      <c r="B104" s="49">
        <v>102</v>
      </c>
      <c r="C104" s="50"/>
      <c r="D104" s="50"/>
      <c r="E104" s="51"/>
      <c r="F104" s="50" t="s">
        <v>40</v>
      </c>
      <c r="G104" s="50" t="s">
        <v>569</v>
      </c>
      <c r="H104" s="50" t="s">
        <v>570</v>
      </c>
      <c r="I104" s="50"/>
      <c r="J104" s="50"/>
      <c r="K104" s="50"/>
      <c r="L104" s="50"/>
      <c r="M104" s="50"/>
      <c r="N104" s="54" t="s">
        <v>43</v>
      </c>
      <c r="O104" s="49">
        <v>1</v>
      </c>
      <c r="P104" s="43">
        <v>117.24</v>
      </c>
      <c r="Q104" s="49">
        <v>1</v>
      </c>
      <c r="R104" s="44">
        <f>P104/O104</f>
        <v>117.24</v>
      </c>
      <c r="S104" s="49">
        <f>Q104*O104</f>
        <v>1</v>
      </c>
      <c r="T104" s="52">
        <f>S104*R104</f>
        <v>117.24</v>
      </c>
      <c r="U104" s="55">
        <f>IFERROR(T104-X104,0)</f>
        <v>62.299499999999995</v>
      </c>
      <c r="V104" s="56">
        <f>IFERROR(U104/T104,0)</f>
        <v>0.5313843398157625</v>
      </c>
      <c r="W104" s="57" t="str">
        <f>IF($V104&lt;0,"Negative",IF($V104=0,"Same",IF($V104&gt;0.3,"30+%",IF($V104&gt;0.2,"20-30%",IF($V104&gt;0.1,"10-20%",IF($V104&lt;=0.1,"0-10%"))))))</f>
        <v>30+%</v>
      </c>
      <c r="X104" s="66">
        <f>IFERROR(Y104*S104,0)</f>
        <v>54.9405</v>
      </c>
      <c r="Y104" s="66">
        <f>IFERROR(Z104/AB104,0)</f>
        <v>54.9405</v>
      </c>
      <c r="Z104" s="69">
        <v>54.9405</v>
      </c>
      <c r="AA104" s="50" t="s">
        <v>63</v>
      </c>
      <c r="AB104" s="50">
        <v>1</v>
      </c>
      <c r="AC104" s="50"/>
      <c r="AD104" s="50" t="s">
        <v>515</v>
      </c>
      <c r="AE104" s="50" t="s">
        <v>571</v>
      </c>
      <c r="AF104" s="50" t="s">
        <v>572</v>
      </c>
      <c r="AG104" s="50" t="s">
        <v>135</v>
      </c>
      <c r="AH104" s="50" t="s">
        <v>573</v>
      </c>
      <c r="AI104" s="50" t="s">
        <v>58</v>
      </c>
      <c r="AJ104" s="50" t="s">
        <v>59</v>
      </c>
      <c r="AK104" s="50"/>
      <c r="AL104" s="44"/>
      <c r="AM104" s="45"/>
      <c r="AN104" s="50"/>
      <c r="AO104" s="69"/>
      <c r="AP104" s="69"/>
      <c r="AQ104" s="69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5">
        <f>T104-BF104</f>
        <v>62.299499999999995</v>
      </c>
      <c r="BD104" s="56">
        <f>BC104/T104</f>
        <v>0.5313843398157625</v>
      </c>
      <c r="BE104" s="61" t="str">
        <f>IF(BD104&lt;0,"Negative",IF(BD104=0,"Same",IF(BD104&gt;0.3,"30+%",IF(BD104&gt;0.2,"20-30%",IF(BD104&gt;0.1,"10-20%",IF(BD104&lt;=0.1,"0-10%"))))))</f>
        <v>30+%</v>
      </c>
      <c r="BF104" s="65">
        <f>BG104*S104</f>
        <v>54.9405</v>
      </c>
      <c r="BG104" s="66">
        <f>BH104/BJ104</f>
        <v>54.9405</v>
      </c>
      <c r="BH104" s="66">
        <f>IF(BS104="Original",Z104,AQ104)</f>
        <v>54.9405</v>
      </c>
      <c r="BI104" s="60" t="str">
        <f>IF(BS104="Original",AA104,AR104)</f>
        <v>Piece</v>
      </c>
      <c r="BJ104" s="60">
        <f>IF(BS104="Original",AB104,AS104)</f>
        <v>1</v>
      </c>
      <c r="BK104" s="60"/>
      <c r="BL104" s="60" t="str">
        <f>IF(BS104="Original",AD104,AU104)</f>
        <v>Lenox[REG]</v>
      </c>
      <c r="BM104" s="60" t="str">
        <f>IF(BS104="Original",AE104,AV104)</f>
        <v>47299CLB113530</v>
      </c>
      <c r="BN104" s="60" t="str">
        <f>IF(BS104="Original",AF104,AW104)</f>
        <v>3246803</v>
      </c>
      <c r="BO104" s="60" t="str">
        <f>IF(BS104="Original",AG104,AX104)</f>
        <v>Cutting Tools and Metalworking</v>
      </c>
      <c r="BP104" s="60" t="str">
        <f>IF(BS104="Original",AH104,AY104)</f>
        <v>11' 7" x 3/4" 10-14 TPI 0.035" Classic[REG] Band Saw Blade</v>
      </c>
      <c r="BQ104" s="60" t="str">
        <f>IF(BS104="Original",AI104,AZ104)</f>
        <v>Similar Match</v>
      </c>
      <c r="BR104" s="60" t="str">
        <f>IF(BS104="Original",AJ104,BA104)</f>
        <v>No</v>
      </c>
      <c r="BS104" s="60" t="str">
        <f>IF(AQ104="","Original",IF(AP104&lt;Y104,"Alternate","Original"))</f>
        <v>Original</v>
      </c>
    </row>
    <row r="105" spans="1:71" s="31" customFormat="1" x14ac:dyDescent="0.35">
      <c r="A105" s="53" t="s">
        <v>39</v>
      </c>
      <c r="B105" s="49">
        <v>103</v>
      </c>
      <c r="C105" s="50"/>
      <c r="D105" s="50"/>
      <c r="E105" s="51"/>
      <c r="F105" s="50" t="s">
        <v>40</v>
      </c>
      <c r="G105" s="50" t="s">
        <v>574</v>
      </c>
      <c r="H105" s="50" t="s">
        <v>575</v>
      </c>
      <c r="I105" s="50"/>
      <c r="J105" s="50"/>
      <c r="K105" s="50"/>
      <c r="L105" s="50"/>
      <c r="M105" s="50"/>
      <c r="N105" s="54" t="s">
        <v>43</v>
      </c>
      <c r="O105" s="49">
        <v>1</v>
      </c>
      <c r="P105" s="43">
        <v>116.17</v>
      </c>
      <c r="Q105" s="49">
        <v>1</v>
      </c>
      <c r="R105" s="44">
        <f>P105/O105</f>
        <v>116.17</v>
      </c>
      <c r="S105" s="49">
        <f>Q105*O105</f>
        <v>1</v>
      </c>
      <c r="T105" s="52">
        <f>S105*R105</f>
        <v>116.17</v>
      </c>
      <c r="U105" s="55">
        <f>IFERROR(T105-X105,0)</f>
        <v>24.059799999999996</v>
      </c>
      <c r="V105" s="56">
        <f>IFERROR(U105/T105,0)</f>
        <v>0.20710854781785309</v>
      </c>
      <c r="W105" s="57" t="str">
        <f>IF($V105&lt;0,"Negative",IF($V105=0,"Same",IF($V105&gt;0.3,"30+%",IF($V105&gt;0.2,"20-30%",IF($V105&gt;0.1,"10-20%",IF($V105&lt;=0.1,"0-10%"))))))</f>
        <v>20-30%</v>
      </c>
      <c r="X105" s="66">
        <f>IFERROR(Y105*S105,0)</f>
        <v>92.110200000000006</v>
      </c>
      <c r="Y105" s="66">
        <f>IFERROR(Z105/AB105,0)</f>
        <v>92.110200000000006</v>
      </c>
      <c r="Z105" s="69">
        <v>92.110200000000006</v>
      </c>
      <c r="AA105" s="50" t="s">
        <v>63</v>
      </c>
      <c r="AB105" s="50">
        <v>1</v>
      </c>
      <c r="AC105" s="50"/>
      <c r="AD105" s="50" t="s">
        <v>576</v>
      </c>
      <c r="AE105" s="50" t="s">
        <v>577</v>
      </c>
      <c r="AF105" s="50" t="s">
        <v>578</v>
      </c>
      <c r="AG105" s="50" t="s">
        <v>107</v>
      </c>
      <c r="AH105" s="50" t="s">
        <v>579</v>
      </c>
      <c r="AI105" s="50" t="s">
        <v>58</v>
      </c>
      <c r="AJ105" s="50" t="s">
        <v>59</v>
      </c>
      <c r="AK105" s="50"/>
      <c r="AL105" s="44"/>
      <c r="AM105" s="45"/>
      <c r="AN105" s="50"/>
      <c r="AO105" s="69"/>
      <c r="AP105" s="69"/>
      <c r="AQ105" s="69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5">
        <f>T105-BF105</f>
        <v>24.059799999999996</v>
      </c>
      <c r="BD105" s="56">
        <f>BC105/T105</f>
        <v>0.20710854781785309</v>
      </c>
      <c r="BE105" s="61" t="str">
        <f>IF(BD105&lt;0,"Negative",IF(BD105=0,"Same",IF(BD105&gt;0.3,"30+%",IF(BD105&gt;0.2,"20-30%",IF(BD105&gt;0.1,"10-20%",IF(BD105&lt;=0.1,"0-10%"))))))</f>
        <v>20-30%</v>
      </c>
      <c r="BF105" s="65">
        <f>BG105*S105</f>
        <v>92.110200000000006</v>
      </c>
      <c r="BG105" s="66">
        <f>BH105/BJ105</f>
        <v>92.110200000000006</v>
      </c>
      <c r="BH105" s="66">
        <f>IF(BS105="Original",Z105,AQ105)</f>
        <v>92.110200000000006</v>
      </c>
      <c r="BI105" s="60" t="str">
        <f>IF(BS105="Original",AA105,AR105)</f>
        <v>Piece</v>
      </c>
      <c r="BJ105" s="60">
        <f>IF(BS105="Original",AB105,AS105)</f>
        <v>1</v>
      </c>
      <c r="BK105" s="60"/>
      <c r="BL105" s="60" t="str">
        <f>IF(BS105="Original",AD105,AU105)</f>
        <v>USA Sealing</v>
      </c>
      <c r="BM105" s="60" t="str">
        <f>IF(BS105="Original",AE105,AV105)</f>
        <v>BULK-CS-GXX-22</v>
      </c>
      <c r="BN105" s="60" t="str">
        <f>IF(BS105="Original",AF105,AW105)</f>
        <v>922198011</v>
      </c>
      <c r="BO105" s="60" t="str">
        <f>IF(BS105="Original",AG105,AX105)</f>
        <v>Raw Materials</v>
      </c>
      <c r="BP105" s="60" t="str">
        <f>IF(BS105="Original",AH105,AY105)</f>
        <v>XX Garolite Sheet - 3/4" Thick x 24" Wide x 24" Long</v>
      </c>
      <c r="BQ105" s="60" t="str">
        <f>IF(BS105="Original",AI105,AZ105)</f>
        <v>Similar Match</v>
      </c>
      <c r="BR105" s="60" t="str">
        <f>IF(BS105="Original",AJ105,BA105)</f>
        <v>No</v>
      </c>
      <c r="BS105" s="60" t="str">
        <f>IF(AQ105="","Original",IF(AP105&lt;Y105,"Alternate","Original"))</f>
        <v>Original</v>
      </c>
    </row>
    <row r="106" spans="1:71" s="31" customFormat="1" x14ac:dyDescent="0.35">
      <c r="A106" s="53" t="s">
        <v>39</v>
      </c>
      <c r="B106" s="49">
        <v>104</v>
      </c>
      <c r="C106" s="50"/>
      <c r="D106" s="50"/>
      <c r="E106" s="51"/>
      <c r="F106" s="50" t="s">
        <v>60</v>
      </c>
      <c r="G106" s="50" t="s">
        <v>580</v>
      </c>
      <c r="H106" s="50" t="s">
        <v>581</v>
      </c>
      <c r="I106" s="50"/>
      <c r="J106" s="50"/>
      <c r="K106" s="50"/>
      <c r="L106" s="50"/>
      <c r="M106" s="50"/>
      <c r="N106" s="54" t="s">
        <v>43</v>
      </c>
      <c r="O106" s="49">
        <v>1</v>
      </c>
      <c r="P106" s="43">
        <v>115.97</v>
      </c>
      <c r="Q106" s="49">
        <v>1</v>
      </c>
      <c r="R106" s="44">
        <f>P106/O106</f>
        <v>115.97</v>
      </c>
      <c r="S106" s="49">
        <f>Q106*O106</f>
        <v>1</v>
      </c>
      <c r="T106" s="52">
        <f>S106*R106</f>
        <v>115.97</v>
      </c>
      <c r="U106" s="55">
        <f>IFERROR(T106-X106,0)</f>
        <v>79.22</v>
      </c>
      <c r="V106" s="56">
        <f>IFERROR(U106/T106,0)</f>
        <v>0.68310770026731049</v>
      </c>
      <c r="W106" s="57" t="str">
        <f>IF($V106&lt;0,"Negative",IF($V106=0,"Same",IF($V106&gt;0.3,"30+%",IF($V106&gt;0.2,"20-30%",IF($V106&gt;0.1,"10-20%",IF($V106&lt;=0.1,"0-10%"))))))</f>
        <v>30+%</v>
      </c>
      <c r="X106" s="66">
        <f>IFERROR(Y106*S106,0)</f>
        <v>36.75</v>
      </c>
      <c r="Y106" s="66">
        <f>IFERROR(Z106/AB106,0)</f>
        <v>36.75</v>
      </c>
      <c r="Z106" s="69">
        <v>36.75</v>
      </c>
      <c r="AA106" s="50" t="s">
        <v>63</v>
      </c>
      <c r="AB106" s="50">
        <v>1</v>
      </c>
      <c r="AC106" s="50" t="s">
        <v>53</v>
      </c>
      <c r="AD106" s="50" t="s">
        <v>582</v>
      </c>
      <c r="AE106" s="50" t="s">
        <v>583</v>
      </c>
      <c r="AF106" s="50" t="s">
        <v>166</v>
      </c>
      <c r="AG106" s="50" t="s">
        <v>366</v>
      </c>
      <c r="AH106" s="50" t="s">
        <v>584</v>
      </c>
      <c r="AI106" s="50" t="s">
        <v>69</v>
      </c>
      <c r="AJ106" s="50" t="s">
        <v>59</v>
      </c>
      <c r="AK106" s="50"/>
      <c r="AL106" s="44"/>
      <c r="AM106" s="45"/>
      <c r="AN106" s="50"/>
      <c r="AO106" s="69"/>
      <c r="AP106" s="69"/>
      <c r="AQ106" s="69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5">
        <f>T106-BF106</f>
        <v>79.22</v>
      </c>
      <c r="BD106" s="56">
        <f>BC106/T106</f>
        <v>0.68310770026731049</v>
      </c>
      <c r="BE106" s="61" t="str">
        <f>IF(BD106&lt;0,"Negative",IF(BD106=0,"Same",IF(BD106&gt;0.3,"30+%",IF(BD106&gt;0.2,"20-30%",IF(BD106&gt;0.1,"10-20%",IF(BD106&lt;=0.1,"0-10%"))))))</f>
        <v>30+%</v>
      </c>
      <c r="BF106" s="65">
        <f>BG106*S106</f>
        <v>36.75</v>
      </c>
      <c r="BG106" s="66">
        <f>BH106/BJ106</f>
        <v>36.75</v>
      </c>
      <c r="BH106" s="66">
        <f>IF(BS106="Original",Z106,AQ106)</f>
        <v>36.75</v>
      </c>
      <c r="BI106" s="60" t="str">
        <f>IF(BS106="Original",AA106,AR106)</f>
        <v>Piece</v>
      </c>
      <c r="BJ106" s="60">
        <f>IF(BS106="Original",AB106,AS106)</f>
        <v>1</v>
      </c>
      <c r="BK106" s="60" t="str">
        <f>IF(BS106="Original",AC106,AT106)</f>
        <v>Possible UOM or LPP issue.</v>
      </c>
      <c r="BL106" s="60" t="str">
        <f>IF(BS106="Original",AD106,AU106)</f>
        <v>S&amp;W MANUFACTURING CO.</v>
      </c>
      <c r="BM106" s="60" t="str">
        <f>IF(BS106="Original",AE106,AV106)</f>
        <v>BNYLC58</v>
      </c>
      <c r="BN106" s="60" t="str">
        <f>IF(BS106="Original",AF106,AW106)</f>
        <v>BSS</v>
      </c>
      <c r="BO106" s="60" t="str">
        <f>IF(BS106="Original",AG106,AX106)</f>
        <v>Fasteners</v>
      </c>
      <c r="BP106" s="60" t="str">
        <f>IF(BS106="Original",AH106,AY106)</f>
        <v>Leveling Mount: Swiveling Stud, 5 in Base Dia., 10.25 in Ht, 10,000 lb, 5/8-11 Thread Size</v>
      </c>
      <c r="BQ106" s="60" t="str">
        <f>IF(BS106="Original",AI106,AZ106)</f>
        <v>Exact Match</v>
      </c>
      <c r="BR106" s="60" t="str">
        <f>IF(BS106="Original",AJ106,BA106)</f>
        <v>No</v>
      </c>
      <c r="BS106" s="60" t="str">
        <f>IF(AQ106="","Original",IF(AP106&lt;Y106,"Alternate","Original"))</f>
        <v>Original</v>
      </c>
    </row>
    <row r="107" spans="1:71" s="31" customFormat="1" x14ac:dyDescent="0.35">
      <c r="A107" s="53" t="s">
        <v>39</v>
      </c>
      <c r="B107" s="49">
        <v>105</v>
      </c>
      <c r="C107" s="50"/>
      <c r="D107" s="50"/>
      <c r="E107" s="51"/>
      <c r="F107" s="50" t="s">
        <v>60</v>
      </c>
      <c r="G107" s="50" t="s">
        <v>585</v>
      </c>
      <c r="H107" s="50" t="s">
        <v>586</v>
      </c>
      <c r="I107" s="50"/>
      <c r="J107" s="50"/>
      <c r="K107" s="50"/>
      <c r="L107" s="50"/>
      <c r="M107" s="50"/>
      <c r="N107" s="54" t="s">
        <v>43</v>
      </c>
      <c r="O107" s="49">
        <v>1</v>
      </c>
      <c r="P107" s="43">
        <v>115.79</v>
      </c>
      <c r="Q107" s="49">
        <v>1</v>
      </c>
      <c r="R107" s="44">
        <f>P107/O107</f>
        <v>115.79</v>
      </c>
      <c r="S107" s="49">
        <f>Q107*O107</f>
        <v>1</v>
      </c>
      <c r="T107" s="52">
        <f>S107*R107</f>
        <v>115.79</v>
      </c>
      <c r="U107" s="55">
        <f>IFERROR(T107-X107,0)</f>
        <v>-21.051699999999997</v>
      </c>
      <c r="V107" s="56">
        <f>IFERROR(U107/T107,0)</f>
        <v>-0.18180930995768196</v>
      </c>
      <c r="W107" s="57" t="str">
        <f>IF($V107&lt;0,"Negative",IF($V107=0,"Same",IF($V107&gt;0.3,"30+%",IF($V107&gt;0.2,"20-30%",IF($V107&gt;0.1,"10-20%",IF($V107&lt;=0.1,"0-10%"))))))</f>
        <v>Negative</v>
      </c>
      <c r="X107" s="66">
        <f>IFERROR(Y107*S107,0)</f>
        <v>136.8417</v>
      </c>
      <c r="Y107" s="66">
        <f>IFERROR(Z107/AB107,0)</f>
        <v>136.8417</v>
      </c>
      <c r="Z107" s="69">
        <v>136.8417</v>
      </c>
      <c r="AA107" s="50" t="s">
        <v>63</v>
      </c>
      <c r="AB107" s="50">
        <v>1</v>
      </c>
      <c r="AC107" s="50"/>
      <c r="AD107" s="50" t="s">
        <v>587</v>
      </c>
      <c r="AE107" s="50" t="s">
        <v>588</v>
      </c>
      <c r="AF107" s="50" t="s">
        <v>589</v>
      </c>
      <c r="AG107" s="50" t="s">
        <v>590</v>
      </c>
      <c r="AH107" s="50" t="s">
        <v>591</v>
      </c>
      <c r="AI107" s="50" t="s">
        <v>58</v>
      </c>
      <c r="AJ107" s="50" t="s">
        <v>59</v>
      </c>
      <c r="AK107" s="50"/>
      <c r="AL107" s="44"/>
      <c r="AM107" s="45"/>
      <c r="AN107" s="50"/>
      <c r="AO107" s="69"/>
      <c r="AP107" s="69"/>
      <c r="AQ107" s="69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5">
        <f>T107-BF107</f>
        <v>-21.051699999999997</v>
      </c>
      <c r="BD107" s="56">
        <f>BC107/T107</f>
        <v>-0.18180930995768196</v>
      </c>
      <c r="BE107" s="61" t="str">
        <f>IF(BD107&lt;0,"Negative",IF(BD107=0,"Same",IF(BD107&gt;0.3,"30+%",IF(BD107&gt;0.2,"20-30%",IF(BD107&gt;0.1,"10-20%",IF(BD107&lt;=0.1,"0-10%"))))))</f>
        <v>Negative</v>
      </c>
      <c r="BF107" s="65">
        <f>BG107*S107</f>
        <v>136.8417</v>
      </c>
      <c r="BG107" s="66">
        <f>BH107/BJ107</f>
        <v>136.8417</v>
      </c>
      <c r="BH107" s="66">
        <f>IF(BS107="Original",Z107,AQ107)</f>
        <v>136.8417</v>
      </c>
      <c r="BI107" s="60" t="str">
        <f>IF(BS107="Original",AA107,AR107)</f>
        <v>Piece</v>
      </c>
      <c r="BJ107" s="60">
        <f>IF(BS107="Original",AB107,AS107)</f>
        <v>1</v>
      </c>
      <c r="BK107" s="60"/>
      <c r="BL107" s="60" t="str">
        <f>IF(BS107="Original",AD107,AU107)</f>
        <v>WorkSmart[TM]</v>
      </c>
      <c r="BM107" s="60" t="str">
        <f>IF(BS107="Original",AE107,AV107)</f>
        <v>ST235V-3</v>
      </c>
      <c r="BN107" s="60" t="str">
        <f>IF(BS107="Original",AF107,AW107)</f>
        <v>1602232</v>
      </c>
      <c r="BO107" s="60" t="str">
        <f>IF(BS107="Original",AG107,AX107)</f>
        <v>Office and Breakroom Supplies</v>
      </c>
      <c r="BP107" s="60" t="str">
        <f>IF(BS107="Original",AH107,AY107)</f>
        <v>Office Star WorkSmart[TM] Black Vinyl Stool w/ Backrest</v>
      </c>
      <c r="BQ107" s="60" t="str">
        <f>IF(BS107="Original",AI107,AZ107)</f>
        <v>Similar Match</v>
      </c>
      <c r="BR107" s="60" t="str">
        <f>IF(BS107="Original",AJ107,BA107)</f>
        <v>No</v>
      </c>
      <c r="BS107" s="60" t="str">
        <f>IF(AQ107="","Original",IF(AP107&lt;Y107,"Alternate","Original"))</f>
        <v>Original</v>
      </c>
    </row>
    <row r="108" spans="1:71" s="31" customFormat="1" x14ac:dyDescent="0.35">
      <c r="A108" s="53" t="s">
        <v>39</v>
      </c>
      <c r="B108" s="49">
        <v>106</v>
      </c>
      <c r="C108" s="50"/>
      <c r="D108" s="50"/>
      <c r="E108" s="51"/>
      <c r="F108" s="50" t="s">
        <v>49</v>
      </c>
      <c r="G108" s="50" t="s">
        <v>592</v>
      </c>
      <c r="H108" s="50" t="s">
        <v>593</v>
      </c>
      <c r="I108" s="50"/>
      <c r="J108" s="50"/>
      <c r="K108" s="50"/>
      <c r="L108" s="50"/>
      <c r="M108" s="50"/>
      <c r="N108" s="54" t="s">
        <v>43</v>
      </c>
      <c r="O108" s="49">
        <v>1</v>
      </c>
      <c r="P108" s="43">
        <v>56.97</v>
      </c>
      <c r="Q108" s="49">
        <v>2</v>
      </c>
      <c r="R108" s="44">
        <f>P108/O108</f>
        <v>56.97</v>
      </c>
      <c r="S108" s="49">
        <f>Q108*O108</f>
        <v>2</v>
      </c>
      <c r="T108" s="52">
        <f>S108*R108</f>
        <v>113.94</v>
      </c>
      <c r="U108" s="55">
        <f>IFERROR(T108-X108,0)</f>
        <v>113.181186</v>
      </c>
      <c r="V108" s="56">
        <f>IFERROR(U108/T108,0)</f>
        <v>0.99334023170089525</v>
      </c>
      <c r="W108" s="57" t="str">
        <f>IF($V108&lt;0,"Negative",IF($V108=0,"Same",IF($V108&gt;0.3,"30+%",IF($V108&gt;0.2,"20-30%",IF($V108&gt;0.1,"10-20%",IF($V108&lt;=0.1,"0-10%"))))))</f>
        <v>30+%</v>
      </c>
      <c r="X108" s="66">
        <f>IFERROR(Y108*S108,0)</f>
        <v>0.75881399999999999</v>
      </c>
      <c r="Y108" s="66">
        <f>IFERROR(Z108/AB108,0)</f>
        <v>0.37940699999999999</v>
      </c>
      <c r="Z108" s="69">
        <v>37.9407</v>
      </c>
      <c r="AA108" s="50" t="s">
        <v>63</v>
      </c>
      <c r="AB108" s="50">
        <v>100</v>
      </c>
      <c r="AC108" s="50" t="s">
        <v>53</v>
      </c>
      <c r="AD108" s="50" t="s">
        <v>594</v>
      </c>
      <c r="AE108" s="50" t="s">
        <v>595</v>
      </c>
      <c r="AF108" s="50" t="s">
        <v>596</v>
      </c>
      <c r="AG108" s="50" t="s">
        <v>160</v>
      </c>
      <c r="AH108" s="50" t="s">
        <v>597</v>
      </c>
      <c r="AI108" s="50" t="s">
        <v>58</v>
      </c>
      <c r="AJ108" s="50" t="s">
        <v>59</v>
      </c>
      <c r="AK108" s="50"/>
      <c r="AL108" s="44"/>
      <c r="AM108" s="45"/>
      <c r="AN108" s="50"/>
      <c r="AO108" s="69"/>
      <c r="AP108" s="69"/>
      <c r="AQ108" s="69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5">
        <f>T108-BF108</f>
        <v>113.181186</v>
      </c>
      <c r="BD108" s="56">
        <f>BC108/T108</f>
        <v>0.99334023170089525</v>
      </c>
      <c r="BE108" s="61" t="str">
        <f>IF(BD108&lt;0,"Negative",IF(BD108=0,"Same",IF(BD108&gt;0.3,"30+%",IF(BD108&gt;0.2,"20-30%",IF(BD108&gt;0.1,"10-20%",IF(BD108&lt;=0.1,"0-10%"))))))</f>
        <v>30+%</v>
      </c>
      <c r="BF108" s="65">
        <f>BG108*S108</f>
        <v>0.75881399999999999</v>
      </c>
      <c r="BG108" s="66">
        <f>BH108/BJ108</f>
        <v>0.37940699999999999</v>
      </c>
      <c r="BH108" s="66">
        <f>IF(BS108="Original",Z108,AQ108)</f>
        <v>37.9407</v>
      </c>
      <c r="BI108" s="60" t="str">
        <f>IF(BS108="Original",AA108,AR108)</f>
        <v>Piece</v>
      </c>
      <c r="BJ108" s="60">
        <f>IF(BS108="Original",AB108,AS108)</f>
        <v>100</v>
      </c>
      <c r="BK108" s="60" t="str">
        <f>IF(BS108="Original",AC108,AT108)</f>
        <v>Possible UOM or LPP issue.</v>
      </c>
      <c r="BL108" s="60" t="str">
        <f>IF(BS108="Original",AD108,AU108)</f>
        <v>EXCEL HOBBY BLADES CORP.</v>
      </c>
      <c r="BM108" s="60" t="str">
        <f>IF(BS108="Original",AE108,AV108)</f>
        <v>22618</v>
      </c>
      <c r="BN108" s="60" t="str">
        <f>IF(BS108="Original",AF108,AW108)</f>
        <v>920313193</v>
      </c>
      <c r="BO108" s="60" t="str">
        <f>IF(BS108="Original",AG108,AX108)</f>
        <v>Tools and Equipment</v>
      </c>
      <c r="BP108" s="60" t="str">
        <f>IF(BS108="Original",AH108,AY108)</f>
        <v>No. 18 Chisel Chiseling Blade 100Ct</v>
      </c>
      <c r="BQ108" s="60" t="str">
        <f>IF(BS108="Original",AI108,AZ108)</f>
        <v>Similar Match</v>
      </c>
      <c r="BR108" s="60" t="str">
        <f>IF(BS108="Original",AJ108,BA108)</f>
        <v>No</v>
      </c>
      <c r="BS108" s="60" t="str">
        <f>IF(AQ108="","Original",IF(AP108&lt;Y108,"Alternate","Original"))</f>
        <v>Original</v>
      </c>
    </row>
    <row r="109" spans="1:71" s="31" customFormat="1" x14ac:dyDescent="0.35">
      <c r="A109" s="53" t="s">
        <v>39</v>
      </c>
      <c r="B109" s="49">
        <v>107</v>
      </c>
      <c r="C109" s="50"/>
      <c r="D109" s="50"/>
      <c r="E109" s="51"/>
      <c r="F109" s="50" t="s">
        <v>40</v>
      </c>
      <c r="G109" s="50" t="s">
        <v>598</v>
      </c>
      <c r="H109" s="50" t="s">
        <v>599</v>
      </c>
      <c r="I109" s="50"/>
      <c r="J109" s="50"/>
      <c r="K109" s="50"/>
      <c r="L109" s="50"/>
      <c r="M109" s="50"/>
      <c r="N109" s="54" t="s">
        <v>43</v>
      </c>
      <c r="O109" s="49">
        <v>1</v>
      </c>
      <c r="P109" s="43">
        <v>113.76</v>
      </c>
      <c r="Q109" s="49">
        <v>1</v>
      </c>
      <c r="R109" s="44">
        <f>P109/O109</f>
        <v>113.76</v>
      </c>
      <c r="S109" s="49">
        <f>Q109*O109</f>
        <v>1</v>
      </c>
      <c r="T109" s="52">
        <f>S109*R109</f>
        <v>113.76</v>
      </c>
      <c r="U109" s="55">
        <f>IFERROR(T109-X109,0)</f>
        <v>80.244</v>
      </c>
      <c r="V109" s="56">
        <f>IFERROR(U109/T109,0)</f>
        <v>0.70537974683544302</v>
      </c>
      <c r="W109" s="57" t="str">
        <f>IF($V109&lt;0,"Negative",IF($V109=0,"Same",IF($V109&gt;0.3,"30+%",IF($V109&gt;0.2,"20-30%",IF($V109&gt;0.1,"10-20%",IF($V109&lt;=0.1,"0-10%"))))))</f>
        <v>30+%</v>
      </c>
      <c r="X109" s="66">
        <f>IFERROR(Y109*S109,0)</f>
        <v>33.516000000000005</v>
      </c>
      <c r="Y109" s="66">
        <f>IFERROR(Z109/AB109,0)</f>
        <v>33.516000000000005</v>
      </c>
      <c r="Z109" s="69">
        <v>335.16</v>
      </c>
      <c r="AA109" s="50" t="s">
        <v>267</v>
      </c>
      <c r="AB109" s="50">
        <v>10</v>
      </c>
      <c r="AC109" s="50" t="s">
        <v>53</v>
      </c>
      <c r="AD109" s="50" t="s">
        <v>453</v>
      </c>
      <c r="AE109" s="50" t="s">
        <v>600</v>
      </c>
      <c r="AF109" s="50" t="s">
        <v>601</v>
      </c>
      <c r="AG109" s="50" t="s">
        <v>390</v>
      </c>
      <c r="AH109" s="50" t="s">
        <v>602</v>
      </c>
      <c r="AI109" s="50" t="s">
        <v>58</v>
      </c>
      <c r="AJ109" s="50" t="s">
        <v>59</v>
      </c>
      <c r="AK109" s="50"/>
      <c r="AL109" s="44"/>
      <c r="AM109" s="45"/>
      <c r="AN109" s="50"/>
      <c r="AO109" s="69"/>
      <c r="AP109" s="69"/>
      <c r="AQ109" s="69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5">
        <f>T109-BF109</f>
        <v>80.244</v>
      </c>
      <c r="BD109" s="56">
        <f>BC109/T109</f>
        <v>0.70537974683544302</v>
      </c>
      <c r="BE109" s="61" t="str">
        <f>IF(BD109&lt;0,"Negative",IF(BD109=0,"Same",IF(BD109&gt;0.3,"30+%",IF(BD109&gt;0.2,"20-30%",IF(BD109&gt;0.1,"10-20%",IF(BD109&lt;=0.1,"0-10%"))))))</f>
        <v>30+%</v>
      </c>
      <c r="BF109" s="65">
        <f>BG109*S109</f>
        <v>33.516000000000005</v>
      </c>
      <c r="BG109" s="66">
        <f>BH109/BJ109</f>
        <v>33.516000000000005</v>
      </c>
      <c r="BH109" s="66">
        <f>IF(BS109="Original",Z109,AQ109)</f>
        <v>335.16</v>
      </c>
      <c r="BI109" s="60" t="str">
        <f>IF(BS109="Original",AA109,AR109)</f>
        <v>Case</v>
      </c>
      <c r="BJ109" s="60">
        <f>IF(BS109="Original",AB109,AS109)</f>
        <v>10</v>
      </c>
      <c r="BK109" s="60" t="str">
        <f>IF(BS109="Original",AC109,AT109)</f>
        <v>Possible UOM or LPP issue.</v>
      </c>
      <c r="BL109" s="60" t="str">
        <f>IF(BS109="Original",AD109,AU109)</f>
        <v>Norton Abrasives</v>
      </c>
      <c r="BM109" s="60" t="str">
        <f>IF(BS109="Original",AE109,AV109)</f>
        <v>66253043757</v>
      </c>
      <c r="BN109" s="60" t="str">
        <f>IF(BS109="Original",AF109,AW109)</f>
        <v>0851120</v>
      </c>
      <c r="BO109" s="60" t="str">
        <f>IF(BS109="Original",AG109,AX109)</f>
        <v>Abrasives</v>
      </c>
      <c r="BP109" s="60" t="str">
        <f>IF(BS109="Original",AH109,AY109)</f>
        <v>8" x 1/2" x 1-1/4" Type 01 38A60-IVBE Grinding Wheel</v>
      </c>
      <c r="BQ109" s="60" t="str">
        <f>IF(BS109="Original",AI109,AZ109)</f>
        <v>Similar Match</v>
      </c>
      <c r="BR109" s="60" t="str">
        <f>IF(BS109="Original",AJ109,BA109)</f>
        <v>No</v>
      </c>
      <c r="BS109" s="60" t="str">
        <f>IF(AQ109="","Original",IF(AP109&lt;Y109,"Alternate","Original"))</f>
        <v>Original</v>
      </c>
    </row>
    <row r="110" spans="1:71" s="31" customFormat="1" x14ac:dyDescent="0.35">
      <c r="A110" s="53" t="s">
        <v>39</v>
      </c>
      <c r="B110" s="49">
        <v>108</v>
      </c>
      <c r="C110" s="50"/>
      <c r="D110" s="50"/>
      <c r="E110" s="51"/>
      <c r="F110" s="50" t="s">
        <v>40</v>
      </c>
      <c r="G110" s="50" t="s">
        <v>603</v>
      </c>
      <c r="H110" s="50" t="s">
        <v>604</v>
      </c>
      <c r="I110" s="50"/>
      <c r="J110" s="50"/>
      <c r="K110" s="50"/>
      <c r="L110" s="50"/>
      <c r="M110" s="50"/>
      <c r="N110" s="54" t="s">
        <v>43</v>
      </c>
      <c r="O110" s="49">
        <v>1</v>
      </c>
      <c r="P110" s="43">
        <v>113.65</v>
      </c>
      <c r="Q110" s="49">
        <v>1</v>
      </c>
      <c r="R110" s="44">
        <f>P110/O110</f>
        <v>113.65</v>
      </c>
      <c r="S110" s="49">
        <f>Q110*O110</f>
        <v>1</v>
      </c>
      <c r="T110" s="52">
        <f>S110*R110</f>
        <v>113.65</v>
      </c>
      <c r="U110" s="55">
        <f>IFERROR(T110-X110,0)</f>
        <v>113.01010000000001</v>
      </c>
      <c r="V110" s="56">
        <f>IFERROR(U110/T110,0)</f>
        <v>0.99436955565332164</v>
      </c>
      <c r="W110" s="57" t="str">
        <f>IF($V110&lt;0,"Negative",IF($V110=0,"Same",IF($V110&gt;0.3,"30+%",IF($V110&gt;0.2,"20-30%",IF($V110&gt;0.1,"10-20%",IF($V110&lt;=0.1,"0-10%"))))))</f>
        <v>30+%</v>
      </c>
      <c r="X110" s="66">
        <f>IFERROR(Y110*S110,0)</f>
        <v>0.63990000000000002</v>
      </c>
      <c r="Y110" s="66">
        <f>IFERROR(Z110/AB110,0)</f>
        <v>0.63990000000000002</v>
      </c>
      <c r="Z110" s="69">
        <v>0.63990000000000002</v>
      </c>
      <c r="AA110" s="50" t="s">
        <v>63</v>
      </c>
      <c r="AB110" s="50">
        <v>1</v>
      </c>
      <c r="AC110" s="50" t="s">
        <v>53</v>
      </c>
      <c r="AD110" s="50" t="s">
        <v>104</v>
      </c>
      <c r="AE110" s="50" t="s">
        <v>605</v>
      </c>
      <c r="AF110" s="50" t="s">
        <v>605</v>
      </c>
      <c r="AG110" s="50" t="s">
        <v>606</v>
      </c>
      <c r="AH110" s="50" t="s">
        <v>607</v>
      </c>
      <c r="AI110" s="50" t="s">
        <v>58</v>
      </c>
      <c r="AJ110" s="50" t="s">
        <v>59</v>
      </c>
      <c r="AK110" s="50"/>
      <c r="AL110" s="44"/>
      <c r="AM110" s="45"/>
      <c r="AN110" s="50"/>
      <c r="AO110" s="69"/>
      <c r="AP110" s="69"/>
      <c r="AQ110" s="69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5">
        <f>T110-BF110</f>
        <v>113.01010000000001</v>
      </c>
      <c r="BD110" s="56">
        <f>BC110/T110</f>
        <v>0.99436955565332164</v>
      </c>
      <c r="BE110" s="61" t="str">
        <f>IF(BD110&lt;0,"Negative",IF(BD110=0,"Same",IF(BD110&gt;0.3,"30+%",IF(BD110&gt;0.2,"20-30%",IF(BD110&gt;0.1,"10-20%",IF(BD110&lt;=0.1,"0-10%"))))))</f>
        <v>30+%</v>
      </c>
      <c r="BF110" s="65">
        <f>BG110*S110</f>
        <v>0.63990000000000002</v>
      </c>
      <c r="BG110" s="66">
        <f>BH110/BJ110</f>
        <v>0.63990000000000002</v>
      </c>
      <c r="BH110" s="66">
        <f>IF(BS110="Original",Z110,AQ110)</f>
        <v>0.63990000000000002</v>
      </c>
      <c r="BI110" s="60" t="str">
        <f>IF(BS110="Original",AA110,AR110)</f>
        <v>Piece</v>
      </c>
      <c r="BJ110" s="60">
        <f>IF(BS110="Original",AB110,AS110)</f>
        <v>1</v>
      </c>
      <c r="BK110" s="60" t="str">
        <f>IF(BS110="Original",AC110,AT110)</f>
        <v>Possible UOM or LPP issue.</v>
      </c>
      <c r="BL110" s="60" t="str">
        <f>IF(BS110="Original",AD110,AU110)</f>
        <v>Fastenal Approved Vendor</v>
      </c>
      <c r="BM110" s="60" t="str">
        <f>IF(BS110="Original",AE110,AV110)</f>
        <v>0950853</v>
      </c>
      <c r="BN110" s="60" t="str">
        <f>IF(BS110="Original",AF110,AW110)</f>
        <v>0950853</v>
      </c>
      <c r="BO110" s="60" t="str">
        <f>IF(BS110="Original",AG110,AX110)</f>
        <v>Work Order Parts</v>
      </c>
      <c r="BP110" s="60" t="str">
        <f>IF(BS110="Original",AH110,AY110)</f>
        <v>6061 DR SMLS TUBE 1-1/4 X .049</v>
      </c>
      <c r="BQ110" s="60" t="str">
        <f>IF(BS110="Original",AI110,AZ110)</f>
        <v>Similar Match</v>
      </c>
      <c r="BR110" s="60" t="str">
        <f>IF(BS110="Original",AJ110,BA110)</f>
        <v>No</v>
      </c>
      <c r="BS110" s="60" t="str">
        <f>IF(AQ110="","Original",IF(AP110&lt;Y110,"Alternate","Original"))</f>
        <v>Original</v>
      </c>
    </row>
    <row r="111" spans="1:71" s="31" customFormat="1" x14ac:dyDescent="0.35">
      <c r="A111" s="53" t="s">
        <v>39</v>
      </c>
      <c r="B111" s="49">
        <v>109</v>
      </c>
      <c r="C111" s="50"/>
      <c r="D111" s="50"/>
      <c r="E111" s="51"/>
      <c r="F111" s="50" t="s">
        <v>49</v>
      </c>
      <c r="G111" s="50" t="s">
        <v>608</v>
      </c>
      <c r="H111" s="50" t="s">
        <v>609</v>
      </c>
      <c r="I111" s="50"/>
      <c r="J111" s="50"/>
      <c r="K111" s="50"/>
      <c r="L111" s="50"/>
      <c r="M111" s="50"/>
      <c r="N111" s="54" t="s">
        <v>43</v>
      </c>
      <c r="O111" s="49">
        <v>1</v>
      </c>
      <c r="P111" s="43">
        <v>111.06</v>
      </c>
      <c r="Q111" s="49">
        <v>1</v>
      </c>
      <c r="R111" s="44">
        <f>P111/O111</f>
        <v>111.06</v>
      </c>
      <c r="S111" s="49">
        <f>Q111*O111</f>
        <v>1</v>
      </c>
      <c r="T111" s="52">
        <f>S111*R111</f>
        <v>111.06</v>
      </c>
      <c r="U111" s="55">
        <f>IFERROR(T111-X111,0)</f>
        <v>96.242400000000004</v>
      </c>
      <c r="V111" s="56">
        <f>IFERROR(U111/T111,0)</f>
        <v>0.86658022690437597</v>
      </c>
      <c r="W111" s="57" t="str">
        <f>IF($V111&lt;0,"Negative",IF($V111=0,"Same",IF($V111&gt;0.3,"30+%",IF($V111&gt;0.2,"20-30%",IF($V111&gt;0.1,"10-20%",IF($V111&lt;=0.1,"0-10%"))))))</f>
        <v>30+%</v>
      </c>
      <c r="X111" s="66">
        <f>IFERROR(Y111*S111,0)</f>
        <v>14.817600000000001</v>
      </c>
      <c r="Y111" s="66">
        <f>IFERROR(Z111/AB111,0)</f>
        <v>14.817600000000001</v>
      </c>
      <c r="Z111" s="69">
        <v>370.44</v>
      </c>
      <c r="AA111" s="50" t="s">
        <v>267</v>
      </c>
      <c r="AB111" s="50">
        <v>25</v>
      </c>
      <c r="AC111" s="50" t="s">
        <v>53</v>
      </c>
      <c r="AD111" s="50" t="s">
        <v>132</v>
      </c>
      <c r="AE111" s="50" t="s">
        <v>610</v>
      </c>
      <c r="AF111" s="50" t="s">
        <v>611</v>
      </c>
      <c r="AG111" s="50" t="s">
        <v>135</v>
      </c>
      <c r="AH111" s="50" t="s">
        <v>612</v>
      </c>
      <c r="AI111" s="50" t="s">
        <v>69</v>
      </c>
      <c r="AJ111" s="50" t="s">
        <v>59</v>
      </c>
      <c r="AK111" s="50"/>
      <c r="AL111" s="44"/>
      <c r="AM111" s="45"/>
      <c r="AN111" s="50"/>
      <c r="AO111" s="69"/>
      <c r="AP111" s="69"/>
      <c r="AQ111" s="69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5">
        <f>T111-BF111</f>
        <v>96.242400000000004</v>
      </c>
      <c r="BD111" s="56">
        <f>BC111/T111</f>
        <v>0.86658022690437597</v>
      </c>
      <c r="BE111" s="61" t="str">
        <f>IF(BD111&lt;0,"Negative",IF(BD111=0,"Same",IF(BD111&gt;0.3,"30+%",IF(BD111&gt;0.2,"20-30%",IF(BD111&gt;0.1,"10-20%",IF(BD111&lt;=0.1,"0-10%"))))))</f>
        <v>30+%</v>
      </c>
      <c r="BF111" s="65">
        <f>BG111*S111</f>
        <v>14.817600000000001</v>
      </c>
      <c r="BG111" s="66">
        <f>BH111/BJ111</f>
        <v>14.817600000000001</v>
      </c>
      <c r="BH111" s="66">
        <f>IF(BS111="Original",Z111,AQ111)</f>
        <v>370.44</v>
      </c>
      <c r="BI111" s="60" t="str">
        <f>IF(BS111="Original",AA111,AR111)</f>
        <v>Case</v>
      </c>
      <c r="BJ111" s="60">
        <f>IF(BS111="Original",AB111,AS111)</f>
        <v>25</v>
      </c>
      <c r="BK111" s="60" t="str">
        <f>IF(BS111="Original",AC111,AT111)</f>
        <v>Possible UOM or LPP issue.</v>
      </c>
      <c r="BL111" s="60" t="str">
        <f>IF(BS111="Original",AD111,AU111)</f>
        <v>DESTACO</v>
      </c>
      <c r="BM111" s="60" t="str">
        <f>IF(BS111="Original",AE111,AV111)</f>
        <v>202-UL</v>
      </c>
      <c r="BN111" s="60" t="str">
        <f>IF(BS111="Original",AF111,AW111)</f>
        <v>0316966</v>
      </c>
      <c r="BO111" s="60" t="str">
        <f>IF(BS111="Original",AG111,AX111)</f>
        <v>Cutting Tools and Metalworking</v>
      </c>
      <c r="BP111" s="60" t="str">
        <f>IF(BS111="Original",AH111,AY111)</f>
        <v>202-UL 200lb Capacity Vertical Hold-Down Clamp</v>
      </c>
      <c r="BQ111" s="60" t="str">
        <f>IF(BS111="Original",AI111,AZ111)</f>
        <v>Exact Match</v>
      </c>
      <c r="BR111" s="60" t="str">
        <f>IF(BS111="Original",AJ111,BA111)</f>
        <v>No</v>
      </c>
      <c r="BS111" s="60" t="str">
        <f>IF(AQ111="","Original",IF(AP111&lt;Y111,"Alternate","Original"))</f>
        <v>Original</v>
      </c>
    </row>
    <row r="112" spans="1:71" s="31" customFormat="1" x14ac:dyDescent="0.35">
      <c r="A112" s="53" t="s">
        <v>39</v>
      </c>
      <c r="B112" s="49">
        <v>110</v>
      </c>
      <c r="C112" s="50"/>
      <c r="D112" s="50"/>
      <c r="E112" s="51"/>
      <c r="F112" s="50" t="s">
        <v>49</v>
      </c>
      <c r="G112" s="50" t="s">
        <v>613</v>
      </c>
      <c r="H112" s="50" t="s">
        <v>614</v>
      </c>
      <c r="I112" s="50"/>
      <c r="J112" s="50"/>
      <c r="K112" s="50"/>
      <c r="L112" s="50"/>
      <c r="M112" s="50"/>
      <c r="N112" s="54" t="s">
        <v>43</v>
      </c>
      <c r="O112" s="49">
        <v>1</v>
      </c>
      <c r="P112" s="43">
        <v>55.21</v>
      </c>
      <c r="Q112" s="49">
        <v>2</v>
      </c>
      <c r="R112" s="44">
        <f>P112/O112</f>
        <v>55.21</v>
      </c>
      <c r="S112" s="49">
        <f>Q112*O112</f>
        <v>2</v>
      </c>
      <c r="T112" s="52">
        <f>S112*R112</f>
        <v>110.42</v>
      </c>
      <c r="U112" s="55">
        <f>IFERROR(T112-X112,0)</f>
        <v>110.417464</v>
      </c>
      <c r="V112" s="56">
        <f>IFERROR(U112/T112,0)</f>
        <v>0.99997703314616915</v>
      </c>
      <c r="W112" s="57" t="str">
        <f>IF($V112&lt;0,"Negative",IF($V112=0,"Same",IF($V112&gt;0.3,"30+%",IF($V112&gt;0.2,"20-30%",IF($V112&gt;0.1,"10-20%",IF($V112&lt;=0.1,"0-10%"))))))</f>
        <v>30+%</v>
      </c>
      <c r="X112" s="66">
        <f>IFERROR(Y112*S112,0)</f>
        <v>2.5360000000000001E-3</v>
      </c>
      <c r="Y112" s="66">
        <f>IFERROR(Z112/AB112,0)</f>
        <v>1.268E-3</v>
      </c>
      <c r="Z112" s="69">
        <v>0.1268</v>
      </c>
      <c r="AA112" s="50" t="s">
        <v>52</v>
      </c>
      <c r="AB112" s="50">
        <v>100</v>
      </c>
      <c r="AC112" s="50" t="s">
        <v>53</v>
      </c>
      <c r="AD112" s="50" t="s">
        <v>223</v>
      </c>
      <c r="AE112" s="50" t="s">
        <v>615</v>
      </c>
      <c r="AF112" s="50" t="s">
        <v>615</v>
      </c>
      <c r="AG112" s="50" t="s">
        <v>67</v>
      </c>
      <c r="AH112" s="50" t="s">
        <v>616</v>
      </c>
      <c r="AI112" s="50" t="s">
        <v>58</v>
      </c>
      <c r="AJ112" s="50" t="s">
        <v>59</v>
      </c>
      <c r="AK112" s="50"/>
      <c r="AL112" s="44"/>
      <c r="AM112" s="45"/>
      <c r="AN112" s="50"/>
      <c r="AO112" s="69"/>
      <c r="AP112" s="69"/>
      <c r="AQ112" s="69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5">
        <f>T112-BF112</f>
        <v>110.417464</v>
      </c>
      <c r="BD112" s="56">
        <f>BC112/T112</f>
        <v>0.99997703314616915</v>
      </c>
      <c r="BE112" s="61" t="str">
        <f>IF(BD112&lt;0,"Negative",IF(BD112=0,"Same",IF(BD112&gt;0.3,"30+%",IF(BD112&gt;0.2,"20-30%",IF(BD112&gt;0.1,"10-20%",IF(BD112&lt;=0.1,"0-10%"))))))</f>
        <v>30+%</v>
      </c>
      <c r="BF112" s="65">
        <f>BG112*S112</f>
        <v>2.5360000000000001E-3</v>
      </c>
      <c r="BG112" s="66">
        <f>BH112/BJ112</f>
        <v>1.268E-3</v>
      </c>
      <c r="BH112" s="66">
        <f>IF(BS112="Original",Z112,AQ112)</f>
        <v>0.1268</v>
      </c>
      <c r="BI112" s="60" t="str">
        <f>IF(BS112="Original",AA112,AR112)</f>
        <v>Pack</v>
      </c>
      <c r="BJ112" s="60">
        <f>IF(BS112="Original",AB112,AS112)</f>
        <v>100</v>
      </c>
      <c r="BK112" s="60" t="str">
        <f>IF(BS112="Original",AC112,AT112)</f>
        <v>Possible UOM or LPP issue.</v>
      </c>
      <c r="BL112" s="60" t="str">
        <f>IF(BS112="Original",AD112,AU112)</f>
        <v>Body Guard[REG]</v>
      </c>
      <c r="BM112" s="60" t="str">
        <f>IF(BS112="Original",AE112,AV112)</f>
        <v>1334820</v>
      </c>
      <c r="BN112" s="60" t="str">
        <f>IF(BS112="Original",AF112,AW112)</f>
        <v>1334820</v>
      </c>
      <c r="BO112" s="60" t="str">
        <f>IF(BS112="Original",AG112,AX112)</f>
        <v>Safety</v>
      </c>
      <c r="BP112" s="60" t="str">
        <f>IF(BS112="Original",AH112,AY112)</f>
        <v>XL Series 816BK 6 mil Black Nitrile Industrial Powder Free  Body Guard[REG] Disposable Glove</v>
      </c>
      <c r="BQ112" s="60" t="str">
        <f>IF(BS112="Original",AI112,AZ112)</f>
        <v>Similar Match</v>
      </c>
      <c r="BR112" s="60" t="str">
        <f>IF(BS112="Original",AJ112,BA112)</f>
        <v>No</v>
      </c>
      <c r="BS112" s="60" t="str">
        <f>IF(AQ112="","Original",IF(AP112&lt;Y112,"Alternate","Original"))</f>
        <v>Original</v>
      </c>
    </row>
    <row r="113" spans="1:71" s="31" customFormat="1" x14ac:dyDescent="0.35">
      <c r="A113" s="53" t="s">
        <v>39</v>
      </c>
      <c r="B113" s="49">
        <v>111</v>
      </c>
      <c r="C113" s="50"/>
      <c r="D113" s="50"/>
      <c r="E113" s="51"/>
      <c r="F113" s="50" t="s">
        <v>49</v>
      </c>
      <c r="G113" s="50" t="s">
        <v>617</v>
      </c>
      <c r="H113" s="50" t="s">
        <v>618</v>
      </c>
      <c r="I113" s="50"/>
      <c r="J113" s="50"/>
      <c r="K113" s="50"/>
      <c r="L113" s="50"/>
      <c r="M113" s="50"/>
      <c r="N113" s="54" t="s">
        <v>43</v>
      </c>
      <c r="O113" s="49">
        <v>1</v>
      </c>
      <c r="P113" s="43">
        <v>110.4</v>
      </c>
      <c r="Q113" s="49">
        <v>1</v>
      </c>
      <c r="R113" s="44">
        <f>P113/O113</f>
        <v>110.4</v>
      </c>
      <c r="S113" s="49">
        <f>Q113*O113</f>
        <v>1</v>
      </c>
      <c r="T113" s="52">
        <f>S113*R113</f>
        <v>110.4</v>
      </c>
      <c r="U113" s="55">
        <f>IFERROR(T113-X113,0)</f>
        <v>110.30396</v>
      </c>
      <c r="V113" s="56">
        <f>IFERROR(U113/T113,0)</f>
        <v>0.99913007246376806</v>
      </c>
      <c r="W113" s="57" t="str">
        <f>IF($V113&lt;0,"Negative",IF($V113=0,"Same",IF($V113&gt;0.3,"30+%",IF($V113&gt;0.2,"20-30%",IF($V113&gt;0.1,"10-20%",IF($V113&lt;=0.1,"0-10%"))))))</f>
        <v>30+%</v>
      </c>
      <c r="X113" s="66">
        <f>IFERROR(Y113*S113,0)</f>
        <v>9.6039999999999986E-2</v>
      </c>
      <c r="Y113" s="66">
        <f>IFERROR(Z113/AB113,0)</f>
        <v>9.6039999999999986E-2</v>
      </c>
      <c r="Z113" s="69">
        <v>9.6039999999999992</v>
      </c>
      <c r="AA113" s="50" t="s">
        <v>52</v>
      </c>
      <c r="AB113" s="50">
        <v>100</v>
      </c>
      <c r="AC113" s="50" t="s">
        <v>53</v>
      </c>
      <c r="AD113" s="50" t="s">
        <v>223</v>
      </c>
      <c r="AE113" s="50" t="s">
        <v>619</v>
      </c>
      <c r="AF113" s="50" t="s">
        <v>619</v>
      </c>
      <c r="AG113" s="50" t="s">
        <v>67</v>
      </c>
      <c r="AH113" s="50" t="s">
        <v>620</v>
      </c>
      <c r="AI113" s="50" t="s">
        <v>58</v>
      </c>
      <c r="AJ113" s="50" t="s">
        <v>59</v>
      </c>
      <c r="AK113" s="50"/>
      <c r="AL113" s="44"/>
      <c r="AM113" s="45"/>
      <c r="AN113" s="50"/>
      <c r="AO113" s="69"/>
      <c r="AP113" s="69"/>
      <c r="AQ113" s="69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5">
        <f>T113-BF113</f>
        <v>110.30396</v>
      </c>
      <c r="BD113" s="56">
        <f>BC113/T113</f>
        <v>0.99913007246376806</v>
      </c>
      <c r="BE113" s="61" t="str">
        <f>IF(BD113&lt;0,"Negative",IF(BD113=0,"Same",IF(BD113&gt;0.3,"30+%",IF(BD113&gt;0.2,"20-30%",IF(BD113&gt;0.1,"10-20%",IF(BD113&lt;=0.1,"0-10%"))))))</f>
        <v>30+%</v>
      </c>
      <c r="BF113" s="65">
        <f>BG113*S113</f>
        <v>9.6039999999999986E-2</v>
      </c>
      <c r="BG113" s="66">
        <f>BH113/BJ113</f>
        <v>9.6039999999999986E-2</v>
      </c>
      <c r="BH113" s="66">
        <f>IF(BS113="Original",Z113,AQ113)</f>
        <v>9.6039999999999992</v>
      </c>
      <c r="BI113" s="60" t="str">
        <f>IF(BS113="Original",AA113,AR113)</f>
        <v>Pack</v>
      </c>
      <c r="BJ113" s="60">
        <f>IF(BS113="Original",AB113,AS113)</f>
        <v>100</v>
      </c>
      <c r="BK113" s="60" t="str">
        <f>IF(BS113="Original",AC113,AT113)</f>
        <v>Possible UOM or LPP issue.</v>
      </c>
      <c r="BL113" s="60" t="str">
        <f>IF(BS113="Original",AD113,AU113)</f>
        <v>Body Guard[REG]</v>
      </c>
      <c r="BM113" s="60" t="str">
        <f>IF(BS113="Original",AE113,AV113)</f>
        <v>1334835</v>
      </c>
      <c r="BN113" s="60" t="str">
        <f>IF(BS113="Original",AF113,AW113)</f>
        <v>1334835</v>
      </c>
      <c r="BO113" s="60" t="str">
        <f>IF(BS113="Original",AG113,AX113)</f>
        <v>Safety</v>
      </c>
      <c r="BP113" s="60" t="str">
        <f>IF(BS113="Original",AH113,AY113)</f>
        <v>M Series 815G 9" 5 mil Green Nitrile Industrial Powder Free  Body Guard[REG] Disposable Glove</v>
      </c>
      <c r="BQ113" s="60" t="str">
        <f>IF(BS113="Original",AI113,AZ113)</f>
        <v>Similar Match</v>
      </c>
      <c r="BR113" s="60" t="str">
        <f>IF(BS113="Original",AJ113,BA113)</f>
        <v>No</v>
      </c>
      <c r="BS113" s="60" t="str">
        <f>IF(AQ113="","Original",IF(AP113&lt;Y113,"Alternate","Original"))</f>
        <v>Original</v>
      </c>
    </row>
    <row r="114" spans="1:71" s="31" customFormat="1" x14ac:dyDescent="0.35">
      <c r="A114" s="53" t="s">
        <v>39</v>
      </c>
      <c r="B114" s="49">
        <v>112</v>
      </c>
      <c r="C114" s="50"/>
      <c r="D114" s="50"/>
      <c r="E114" s="51"/>
      <c r="F114" s="50" t="s">
        <v>49</v>
      </c>
      <c r="G114" s="50" t="s">
        <v>621</v>
      </c>
      <c r="H114" s="50" t="s">
        <v>622</v>
      </c>
      <c r="I114" s="50"/>
      <c r="J114" s="50"/>
      <c r="K114" s="50"/>
      <c r="L114" s="50"/>
      <c r="M114" s="50"/>
      <c r="N114" s="54" t="s">
        <v>43</v>
      </c>
      <c r="O114" s="49">
        <v>1</v>
      </c>
      <c r="P114" s="43">
        <v>110.4</v>
      </c>
      <c r="Q114" s="49">
        <v>1</v>
      </c>
      <c r="R114" s="44">
        <f>P114/O114</f>
        <v>110.4</v>
      </c>
      <c r="S114" s="49">
        <f>Q114*O114</f>
        <v>1</v>
      </c>
      <c r="T114" s="52">
        <f>S114*R114</f>
        <v>110.4</v>
      </c>
      <c r="U114" s="55">
        <f>IFERROR(T114-X114,0)</f>
        <v>110.30396</v>
      </c>
      <c r="V114" s="56">
        <f>IFERROR(U114/T114,0)</f>
        <v>0.99913007246376806</v>
      </c>
      <c r="W114" s="57" t="str">
        <f>IF($V114&lt;0,"Negative",IF($V114=0,"Same",IF($V114&gt;0.3,"30+%",IF($V114&gt;0.2,"20-30%",IF($V114&gt;0.1,"10-20%",IF($V114&lt;=0.1,"0-10%"))))))</f>
        <v>30+%</v>
      </c>
      <c r="X114" s="66">
        <f>IFERROR(Y114*S114,0)</f>
        <v>9.6039999999999986E-2</v>
      </c>
      <c r="Y114" s="66">
        <f>IFERROR(Z114/AB114,0)</f>
        <v>9.6039999999999986E-2</v>
      </c>
      <c r="Z114" s="69">
        <v>9.6039999999999992</v>
      </c>
      <c r="AA114" s="50" t="s">
        <v>52</v>
      </c>
      <c r="AB114" s="50">
        <v>100</v>
      </c>
      <c r="AC114" s="50" t="s">
        <v>53</v>
      </c>
      <c r="AD114" s="50" t="s">
        <v>223</v>
      </c>
      <c r="AE114" s="50" t="s">
        <v>417</v>
      </c>
      <c r="AF114" s="50" t="s">
        <v>417</v>
      </c>
      <c r="AG114" s="50" t="s">
        <v>67</v>
      </c>
      <c r="AH114" s="50" t="s">
        <v>418</v>
      </c>
      <c r="AI114" s="50" t="s">
        <v>58</v>
      </c>
      <c r="AJ114" s="50" t="s">
        <v>59</v>
      </c>
      <c r="AK114" s="50"/>
      <c r="AL114" s="44"/>
      <c r="AM114" s="45"/>
      <c r="AN114" s="50"/>
      <c r="AO114" s="69"/>
      <c r="AP114" s="69"/>
      <c r="AQ114" s="69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5">
        <f>T114-BF114</f>
        <v>110.30396</v>
      </c>
      <c r="BD114" s="56">
        <f>BC114/T114</f>
        <v>0.99913007246376806</v>
      </c>
      <c r="BE114" s="61" t="str">
        <f>IF(BD114&lt;0,"Negative",IF(BD114=0,"Same",IF(BD114&gt;0.3,"30+%",IF(BD114&gt;0.2,"20-30%",IF(BD114&gt;0.1,"10-20%",IF(BD114&lt;=0.1,"0-10%"))))))</f>
        <v>30+%</v>
      </c>
      <c r="BF114" s="65">
        <f>BG114*S114</f>
        <v>9.6039999999999986E-2</v>
      </c>
      <c r="BG114" s="66">
        <f>BH114/BJ114</f>
        <v>9.6039999999999986E-2</v>
      </c>
      <c r="BH114" s="66">
        <f>IF(BS114="Original",Z114,AQ114)</f>
        <v>9.6039999999999992</v>
      </c>
      <c r="BI114" s="60" t="str">
        <f>IF(BS114="Original",AA114,AR114)</f>
        <v>Pack</v>
      </c>
      <c r="BJ114" s="60">
        <f>IF(BS114="Original",AB114,AS114)</f>
        <v>100</v>
      </c>
      <c r="BK114" s="60" t="str">
        <f>IF(BS114="Original",AC114,AT114)</f>
        <v>Possible UOM or LPP issue.</v>
      </c>
      <c r="BL114" s="60" t="str">
        <f>IF(BS114="Original",AD114,AU114)</f>
        <v>Body Guard[REG]</v>
      </c>
      <c r="BM114" s="60" t="str">
        <f>IF(BS114="Original",AE114,AV114)</f>
        <v>1334834</v>
      </c>
      <c r="BN114" s="60" t="str">
        <f>IF(BS114="Original",AF114,AW114)</f>
        <v>1334834</v>
      </c>
      <c r="BO114" s="60" t="str">
        <f>IF(BS114="Original",AG114,AX114)</f>
        <v>Safety</v>
      </c>
      <c r="BP114" s="60" t="str">
        <f>IF(BS114="Original",AH114,AY114)</f>
        <v>S Series 815G 9" 5 mil Green Nitrile Industrial Powder Free  Body Guard[REG] Disposable Glove</v>
      </c>
      <c r="BQ114" s="60" t="str">
        <f>IF(BS114="Original",AI114,AZ114)</f>
        <v>Similar Match</v>
      </c>
      <c r="BR114" s="60" t="str">
        <f>IF(BS114="Original",AJ114,BA114)</f>
        <v>No</v>
      </c>
      <c r="BS114" s="60" t="str">
        <f>IF(AQ114="","Original",IF(AP114&lt;Y114,"Alternate","Original"))</f>
        <v>Original</v>
      </c>
    </row>
    <row r="115" spans="1:71" s="31" customFormat="1" x14ac:dyDescent="0.35">
      <c r="A115" s="53" t="s">
        <v>39</v>
      </c>
      <c r="B115" s="49">
        <v>113</v>
      </c>
      <c r="C115" s="50"/>
      <c r="D115" s="50"/>
      <c r="E115" s="51"/>
      <c r="F115" s="50" t="s">
        <v>40</v>
      </c>
      <c r="G115" s="50" t="s">
        <v>623</v>
      </c>
      <c r="H115" s="50" t="s">
        <v>624</v>
      </c>
      <c r="I115" s="50"/>
      <c r="J115" s="50"/>
      <c r="K115" s="50"/>
      <c r="L115" s="50"/>
      <c r="M115" s="50"/>
      <c r="N115" s="54" t="s">
        <v>43</v>
      </c>
      <c r="O115" s="49">
        <v>1</v>
      </c>
      <c r="P115" s="43">
        <v>109.29</v>
      </c>
      <c r="Q115" s="49">
        <v>1</v>
      </c>
      <c r="R115" s="44">
        <f>P115/O115</f>
        <v>109.29</v>
      </c>
      <c r="S115" s="49">
        <f>Q115*O115</f>
        <v>1</v>
      </c>
      <c r="T115" s="52">
        <f>S115*R115</f>
        <v>109.29</v>
      </c>
      <c r="U115" s="50"/>
      <c r="V115" s="50"/>
      <c r="W115" s="50"/>
      <c r="X115" s="69"/>
      <c r="Y115" s="69"/>
      <c r="Z115" s="69"/>
      <c r="AA115" s="50"/>
      <c r="AB115" s="50"/>
      <c r="AC115" s="50"/>
      <c r="AD115" s="50"/>
      <c r="AE115" s="50"/>
      <c r="AF115" s="50"/>
      <c r="AG115" s="50"/>
      <c r="AH115" s="50"/>
      <c r="AI115" s="50" t="s">
        <v>129</v>
      </c>
      <c r="AJ115" s="50"/>
      <c r="AK115" s="50"/>
      <c r="AL115" s="44"/>
      <c r="AM115" s="45"/>
      <c r="AN115" s="50"/>
      <c r="AO115" s="69"/>
      <c r="AP115" s="69"/>
      <c r="AQ115" s="69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5"/>
      <c r="BD115" s="56"/>
      <c r="BE115" s="61"/>
      <c r="BF115" s="65"/>
      <c r="BG115" s="66"/>
      <c r="BH115" s="66"/>
      <c r="BI115" s="60"/>
      <c r="BJ115" s="60"/>
      <c r="BK115" s="60"/>
      <c r="BL115" s="60"/>
      <c r="BM115" s="60"/>
      <c r="BN115" s="60"/>
      <c r="BO115" s="60"/>
      <c r="BP115" s="60"/>
      <c r="BQ115" s="60" t="str">
        <f>IF(BS115="Original",AI115,AZ115)</f>
        <v xml:space="preserve">Non-Supported Product </v>
      </c>
      <c r="BR115" s="60"/>
      <c r="BS115" s="60" t="str">
        <f>IF(AQ115="","Original",IF(AP115&lt;Y115,"Alternate","Original"))</f>
        <v>Original</v>
      </c>
    </row>
    <row r="116" spans="1:71" s="31" customFormat="1" x14ac:dyDescent="0.35">
      <c r="A116" s="53" t="s">
        <v>39</v>
      </c>
      <c r="B116" s="49">
        <v>114</v>
      </c>
      <c r="C116" s="50"/>
      <c r="D116" s="50"/>
      <c r="E116" s="51"/>
      <c r="F116" s="50" t="s">
        <v>40</v>
      </c>
      <c r="G116" s="50" t="s">
        <v>625</v>
      </c>
      <c r="H116" s="50" t="s">
        <v>626</v>
      </c>
      <c r="I116" s="50"/>
      <c r="J116" s="50"/>
      <c r="K116" s="50"/>
      <c r="L116" s="50"/>
      <c r="M116" s="50"/>
      <c r="N116" s="54" t="s">
        <v>43</v>
      </c>
      <c r="O116" s="49">
        <v>1</v>
      </c>
      <c r="P116" s="43">
        <v>109.23</v>
      </c>
      <c r="Q116" s="49">
        <v>1</v>
      </c>
      <c r="R116" s="44">
        <f>P116/O116</f>
        <v>109.23</v>
      </c>
      <c r="S116" s="49">
        <f>Q116*O116</f>
        <v>1</v>
      </c>
      <c r="T116" s="52">
        <f>S116*R116</f>
        <v>109.23</v>
      </c>
      <c r="U116" s="55">
        <f>IFERROR(T116-X116,0)</f>
        <v>57.693900000000006</v>
      </c>
      <c r="V116" s="56">
        <f>IFERROR(U116/T116,0)</f>
        <v>0.5281873111782478</v>
      </c>
      <c r="W116" s="57" t="str">
        <f>IF($V116&lt;0,"Negative",IF($V116=0,"Same",IF($V116&gt;0.3,"30+%",IF($V116&gt;0.2,"20-30%",IF($V116&gt;0.1,"10-20%",IF($V116&lt;=0.1,"0-10%"))))))</f>
        <v>30+%</v>
      </c>
      <c r="X116" s="66">
        <f>IFERROR(Y116*S116,0)</f>
        <v>51.536099999999998</v>
      </c>
      <c r="Y116" s="66">
        <f>IFERROR(Z116/AB116,0)</f>
        <v>51.536099999999998</v>
      </c>
      <c r="Z116" s="69">
        <v>51.536099999999998</v>
      </c>
      <c r="AA116" s="50" t="s">
        <v>63</v>
      </c>
      <c r="AB116" s="50">
        <v>1</v>
      </c>
      <c r="AC116" s="50"/>
      <c r="AD116" s="50" t="s">
        <v>515</v>
      </c>
      <c r="AE116" s="50" t="s">
        <v>627</v>
      </c>
      <c r="AF116" s="50" t="s">
        <v>628</v>
      </c>
      <c r="AG116" s="50" t="s">
        <v>135</v>
      </c>
      <c r="AH116" s="50" t="s">
        <v>629</v>
      </c>
      <c r="AI116" s="50" t="s">
        <v>58</v>
      </c>
      <c r="AJ116" s="50" t="s">
        <v>59</v>
      </c>
      <c r="AK116" s="50"/>
      <c r="AL116" s="44"/>
      <c r="AM116" s="45"/>
      <c r="AN116" s="50"/>
      <c r="AO116" s="69"/>
      <c r="AP116" s="69"/>
      <c r="AQ116" s="69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5">
        <f>T116-BF116</f>
        <v>57.693900000000006</v>
      </c>
      <c r="BD116" s="56">
        <f>BC116/T116</f>
        <v>0.5281873111782478</v>
      </c>
      <c r="BE116" s="61" t="str">
        <f>IF(BD116&lt;0,"Negative",IF(BD116=0,"Same",IF(BD116&gt;0.3,"30+%",IF(BD116&gt;0.2,"20-30%",IF(BD116&gt;0.1,"10-20%",IF(BD116&lt;=0.1,"0-10%"))))))</f>
        <v>30+%</v>
      </c>
      <c r="BF116" s="65">
        <f>BG116*S116</f>
        <v>51.536099999999998</v>
      </c>
      <c r="BG116" s="66">
        <f>BH116/BJ116</f>
        <v>51.536099999999998</v>
      </c>
      <c r="BH116" s="66">
        <f>IF(BS116="Original",Z116,AQ116)</f>
        <v>51.536099999999998</v>
      </c>
      <c r="BI116" s="60" t="str">
        <f>IF(BS116="Original",AA116,AR116)</f>
        <v>Piece</v>
      </c>
      <c r="BJ116" s="60">
        <f>IF(BS116="Original",AB116,AS116)</f>
        <v>1</v>
      </c>
      <c r="BK116" s="60"/>
      <c r="BL116" s="60" t="str">
        <f>IF(BS116="Original",AD116,AU116)</f>
        <v>Lenox[REG]</v>
      </c>
      <c r="BM116" s="60" t="str">
        <f>IF(BS116="Original",AE116,AV116)</f>
        <v>80260D2B113555</v>
      </c>
      <c r="BN116" s="60" t="str">
        <f>IF(BS116="Original",AF116,AW116)</f>
        <v>3254611</v>
      </c>
      <c r="BO116" s="60" t="str">
        <f>IF(BS116="Original",AG116,AX116)</f>
        <v>Cutting Tools and Metalworking</v>
      </c>
      <c r="BP116" s="60" t="str">
        <f>IF(BS116="Original",AH116,AY116)</f>
        <v>11' 8" x 1/2" 10-14 TPI 0.025" Diemaster 2[REG] Band Saw Blade</v>
      </c>
      <c r="BQ116" s="60" t="str">
        <f>IF(BS116="Original",AI116,AZ116)</f>
        <v>Similar Match</v>
      </c>
      <c r="BR116" s="60" t="str">
        <f>IF(BS116="Original",AJ116,BA116)</f>
        <v>No</v>
      </c>
      <c r="BS116" s="60" t="str">
        <f>IF(AQ116="","Original",IF(AP116&lt;Y116,"Alternate","Original"))</f>
        <v>Original</v>
      </c>
    </row>
    <row r="117" spans="1:71" s="31" customFormat="1" x14ac:dyDescent="0.35">
      <c r="A117" s="53" t="s">
        <v>39</v>
      </c>
      <c r="B117" s="49">
        <v>115</v>
      </c>
      <c r="C117" s="50"/>
      <c r="D117" s="50"/>
      <c r="E117" s="51"/>
      <c r="F117" s="50" t="s">
        <v>40</v>
      </c>
      <c r="G117" s="50" t="s">
        <v>630</v>
      </c>
      <c r="H117" s="50" t="s">
        <v>626</v>
      </c>
      <c r="I117" s="50"/>
      <c r="J117" s="50"/>
      <c r="K117" s="50"/>
      <c r="L117" s="50"/>
      <c r="M117" s="50"/>
      <c r="N117" s="54" t="s">
        <v>43</v>
      </c>
      <c r="O117" s="49">
        <v>1</v>
      </c>
      <c r="P117" s="43">
        <v>105.18</v>
      </c>
      <c r="Q117" s="49">
        <v>1</v>
      </c>
      <c r="R117" s="44">
        <f>P117/O117</f>
        <v>105.18</v>
      </c>
      <c r="S117" s="49">
        <f>Q117*O117</f>
        <v>1</v>
      </c>
      <c r="T117" s="52">
        <f>S117*R117</f>
        <v>105.18</v>
      </c>
      <c r="U117" s="55">
        <f>IFERROR(T117-X117,0)</f>
        <v>53.028400000000005</v>
      </c>
      <c r="V117" s="56">
        <f>IFERROR(U117/T117,0)</f>
        <v>0.50416809279330677</v>
      </c>
      <c r="W117" s="57" t="str">
        <f>IF($V117&lt;0,"Negative",IF($V117=0,"Same",IF($V117&gt;0.3,"30+%",IF($V117&gt;0.2,"20-30%",IF($V117&gt;0.1,"10-20%",IF($V117&lt;=0.1,"0-10%"))))))</f>
        <v>30+%</v>
      </c>
      <c r="X117" s="66">
        <f>IFERROR(Y117*S117,0)</f>
        <v>52.151600000000002</v>
      </c>
      <c r="Y117" s="66">
        <f>IFERROR(Z117/AB117,0)</f>
        <v>52.151600000000002</v>
      </c>
      <c r="Z117" s="69">
        <v>52.151600000000002</v>
      </c>
      <c r="AA117" s="50" t="s">
        <v>63</v>
      </c>
      <c r="AB117" s="50">
        <v>1</v>
      </c>
      <c r="AC117" s="50"/>
      <c r="AD117" s="50" t="s">
        <v>515</v>
      </c>
      <c r="AE117" s="50" t="s">
        <v>631</v>
      </c>
      <c r="AF117" s="50" t="s">
        <v>632</v>
      </c>
      <c r="AG117" s="50" t="s">
        <v>135</v>
      </c>
      <c r="AH117" s="50" t="s">
        <v>633</v>
      </c>
      <c r="AI117" s="50" t="s">
        <v>58</v>
      </c>
      <c r="AJ117" s="50" t="s">
        <v>59</v>
      </c>
      <c r="AK117" s="50"/>
      <c r="AL117" s="44"/>
      <c r="AM117" s="45"/>
      <c r="AN117" s="50"/>
      <c r="AO117" s="69"/>
      <c r="AP117" s="69"/>
      <c r="AQ117" s="69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5">
        <f>T117-BF117</f>
        <v>53.028400000000005</v>
      </c>
      <c r="BD117" s="56">
        <f>BC117/T117</f>
        <v>0.50416809279330677</v>
      </c>
      <c r="BE117" s="61" t="str">
        <f>IF(BD117&lt;0,"Negative",IF(BD117=0,"Same",IF(BD117&gt;0.3,"30+%",IF(BD117&gt;0.2,"20-30%",IF(BD117&gt;0.1,"10-20%",IF(BD117&lt;=0.1,"0-10%"))))))</f>
        <v>30+%</v>
      </c>
      <c r="BF117" s="65">
        <f>BG117*S117</f>
        <v>52.151600000000002</v>
      </c>
      <c r="BG117" s="66">
        <f>BH117/BJ117</f>
        <v>52.151600000000002</v>
      </c>
      <c r="BH117" s="66">
        <f>IF(BS117="Original",Z117,AQ117)</f>
        <v>52.151600000000002</v>
      </c>
      <c r="BI117" s="60" t="str">
        <f>IF(BS117="Original",AA117,AR117)</f>
        <v>Piece</v>
      </c>
      <c r="BJ117" s="60">
        <f>IF(BS117="Original",AB117,AS117)</f>
        <v>1</v>
      </c>
      <c r="BK117" s="60"/>
      <c r="BL117" s="60" t="str">
        <f>IF(BS117="Original",AD117,AU117)</f>
        <v>Lenox[REG]</v>
      </c>
      <c r="BM117" s="60" t="str">
        <f>IF(BS117="Original",AE117,AV117)</f>
        <v>73304D2B113480</v>
      </c>
      <c r="BN117" s="60" t="str">
        <f>IF(BS117="Original",AF117,AW117)</f>
        <v>3254547</v>
      </c>
      <c r="BO117" s="60" t="str">
        <f>IF(BS117="Original",AG117,AX117)</f>
        <v>Cutting Tools and Metalworking</v>
      </c>
      <c r="BP117" s="60" t="str">
        <f>IF(BS117="Original",AH117,AY117)</f>
        <v>11' 5" x 1/2" 6-10 TPI 0.025" Diemaster 2[REG] Band Saw Blade</v>
      </c>
      <c r="BQ117" s="60" t="str">
        <f>IF(BS117="Original",AI117,AZ117)</f>
        <v>Similar Match</v>
      </c>
      <c r="BR117" s="60" t="str">
        <f>IF(BS117="Original",AJ117,BA117)</f>
        <v>No</v>
      </c>
      <c r="BS117" s="60" t="str">
        <f>IF(AQ117="","Original",IF(AP117&lt;Y117,"Alternate","Original"))</f>
        <v>Original</v>
      </c>
    </row>
    <row r="118" spans="1:71" s="31" customFormat="1" x14ac:dyDescent="0.35">
      <c r="A118" s="53" t="s">
        <v>39</v>
      </c>
      <c r="B118" s="49">
        <v>116</v>
      </c>
      <c r="C118" s="50"/>
      <c r="D118" s="50"/>
      <c r="E118" s="51"/>
      <c r="F118" s="50" t="s">
        <v>60</v>
      </c>
      <c r="G118" s="50" t="s">
        <v>634</v>
      </c>
      <c r="H118" s="50" t="s">
        <v>635</v>
      </c>
      <c r="I118" s="50"/>
      <c r="J118" s="50"/>
      <c r="K118" s="50"/>
      <c r="L118" s="50"/>
      <c r="M118" s="50"/>
      <c r="N118" s="54" t="s">
        <v>43</v>
      </c>
      <c r="O118" s="49">
        <v>1</v>
      </c>
      <c r="P118" s="43">
        <v>104.17</v>
      </c>
      <c r="Q118" s="49">
        <v>1</v>
      </c>
      <c r="R118" s="44">
        <f>P118/O118</f>
        <v>104.17</v>
      </c>
      <c r="S118" s="49">
        <f>Q118*O118</f>
        <v>1</v>
      </c>
      <c r="T118" s="52">
        <f>S118*R118</f>
        <v>104.17</v>
      </c>
      <c r="U118" s="50"/>
      <c r="V118" s="50"/>
      <c r="W118" s="50"/>
      <c r="X118" s="69"/>
      <c r="Y118" s="69"/>
      <c r="Z118" s="69"/>
      <c r="AA118" s="50"/>
      <c r="AB118" s="50"/>
      <c r="AC118" s="50" t="s">
        <v>636</v>
      </c>
      <c r="AD118" s="50"/>
      <c r="AE118" s="50"/>
      <c r="AF118" s="50"/>
      <c r="AG118" s="50"/>
      <c r="AH118" s="50"/>
      <c r="AI118" s="50" t="s">
        <v>44</v>
      </c>
      <c r="AJ118" s="50"/>
      <c r="AK118" s="50"/>
      <c r="AL118" s="44"/>
      <c r="AM118" s="45"/>
      <c r="AN118" s="50"/>
      <c r="AO118" s="69"/>
      <c r="AP118" s="69"/>
      <c r="AQ118" s="69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5"/>
      <c r="BD118" s="56"/>
      <c r="BE118" s="61"/>
      <c r="BF118" s="65"/>
      <c r="BG118" s="66"/>
      <c r="BH118" s="66"/>
      <c r="BI118" s="60"/>
      <c r="BJ118" s="60"/>
      <c r="BK118" s="60" t="str">
        <f>IF(BS118="Original",AC118,AT118)</f>
        <v>Part Number and description do line up.</v>
      </c>
      <c r="BL118" s="60"/>
      <c r="BM118" s="60"/>
      <c r="BN118" s="60"/>
      <c r="BO118" s="60"/>
      <c r="BP118" s="60"/>
      <c r="BQ118" s="60" t="str">
        <f>IF(BS118="Original",AI118,AZ118)</f>
        <v>Not Enough Product Data</v>
      </c>
      <c r="BR118" s="60"/>
      <c r="BS118" s="60" t="str">
        <f>IF(AQ118="","Original",IF(AP118&lt;Y118,"Alternate","Original"))</f>
        <v>Original</v>
      </c>
    </row>
    <row r="119" spans="1:71" s="31" customFormat="1" x14ac:dyDescent="0.35">
      <c r="A119" s="53" t="s">
        <v>39</v>
      </c>
      <c r="B119" s="49">
        <v>117</v>
      </c>
      <c r="C119" s="50"/>
      <c r="D119" s="50"/>
      <c r="E119" s="51"/>
      <c r="F119" s="50" t="s">
        <v>49</v>
      </c>
      <c r="G119" s="50" t="s">
        <v>637</v>
      </c>
      <c r="H119" s="50" t="s">
        <v>638</v>
      </c>
      <c r="I119" s="50"/>
      <c r="J119" s="50"/>
      <c r="K119" s="50"/>
      <c r="L119" s="50"/>
      <c r="M119" s="50"/>
      <c r="N119" s="54" t="s">
        <v>43</v>
      </c>
      <c r="O119" s="49">
        <v>1</v>
      </c>
      <c r="P119" s="43">
        <v>51.92</v>
      </c>
      <c r="Q119" s="49">
        <v>2</v>
      </c>
      <c r="R119" s="44">
        <f>P119/O119</f>
        <v>51.92</v>
      </c>
      <c r="S119" s="49">
        <f>Q119*O119</f>
        <v>2</v>
      </c>
      <c r="T119" s="52">
        <f>S119*R119</f>
        <v>103.84</v>
      </c>
      <c r="U119" s="55">
        <f>IFERROR(T119-X119,0)</f>
        <v>103.305594</v>
      </c>
      <c r="V119" s="56">
        <f>IFERROR(U119/T119,0)</f>
        <v>0.994853563174114</v>
      </c>
      <c r="W119" s="57" t="str">
        <f>IF($V119&lt;0,"Negative",IF($V119=0,"Same",IF($V119&gt;0.3,"30+%",IF($V119&gt;0.2,"20-30%",IF($V119&gt;0.1,"10-20%",IF($V119&lt;=0.1,"0-10%"))))))</f>
        <v>30+%</v>
      </c>
      <c r="X119" s="66">
        <f>IFERROR(Y119*S119,0)</f>
        <v>0.53440600000000005</v>
      </c>
      <c r="Y119" s="66">
        <f>IFERROR(Z119/AB119,0)</f>
        <v>0.26720300000000002</v>
      </c>
      <c r="Z119" s="69">
        <v>26.720300000000002</v>
      </c>
      <c r="AA119" s="50" t="s">
        <v>52</v>
      </c>
      <c r="AB119" s="50">
        <v>100</v>
      </c>
      <c r="AC119" s="50" t="s">
        <v>53</v>
      </c>
      <c r="AD119" s="50" t="s">
        <v>281</v>
      </c>
      <c r="AE119" s="50" t="s">
        <v>639</v>
      </c>
      <c r="AF119" s="50" t="s">
        <v>640</v>
      </c>
      <c r="AG119" s="50" t="s">
        <v>160</v>
      </c>
      <c r="AH119" s="50" t="s">
        <v>641</v>
      </c>
      <c r="AI119" s="50" t="s">
        <v>58</v>
      </c>
      <c r="AJ119" s="50" t="s">
        <v>59</v>
      </c>
      <c r="AK119" s="50"/>
      <c r="AL119" s="44"/>
      <c r="AM119" s="45"/>
      <c r="AN119" s="50"/>
      <c r="AO119" s="69"/>
      <c r="AP119" s="69"/>
      <c r="AQ119" s="69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5">
        <f>T119-BF119</f>
        <v>103.305594</v>
      </c>
      <c r="BD119" s="56">
        <f>BC119/T119</f>
        <v>0.994853563174114</v>
      </c>
      <c r="BE119" s="61" t="str">
        <f>IF(BD119&lt;0,"Negative",IF(BD119=0,"Same",IF(BD119&gt;0.3,"30+%",IF(BD119&gt;0.2,"20-30%",IF(BD119&gt;0.1,"10-20%",IF(BD119&lt;=0.1,"0-10%"))))))</f>
        <v>30+%</v>
      </c>
      <c r="BF119" s="65">
        <f>BG119*S119</f>
        <v>0.53440600000000005</v>
      </c>
      <c r="BG119" s="66">
        <f>BH119/BJ119</f>
        <v>0.26720300000000002</v>
      </c>
      <c r="BH119" s="66">
        <f>IF(BS119="Original",Z119,AQ119)</f>
        <v>26.720300000000002</v>
      </c>
      <c r="BI119" s="60" t="str">
        <f>IF(BS119="Original",AA119,AR119)</f>
        <v>Pack</v>
      </c>
      <c r="BJ119" s="60">
        <f>IF(BS119="Original",AB119,AS119)</f>
        <v>100</v>
      </c>
      <c r="BK119" s="60" t="str">
        <f>IF(BS119="Original",AC119,AT119)</f>
        <v>Possible UOM or LPP issue.</v>
      </c>
      <c r="BL119" s="60" t="str">
        <f>IF(BS119="Original",AD119,AU119)</f>
        <v>X-ACTO</v>
      </c>
      <c r="BM119" s="60" t="str">
        <f>IF(BS119="Original",AE119,AV119)</f>
        <v>X611</v>
      </c>
      <c r="BN119" s="60" t="str">
        <f>IF(BS119="Original",AF119,AW119)</f>
        <v>0530675</v>
      </c>
      <c r="BO119" s="60" t="str">
        <f>IF(BS119="Original",AG119,AX119)</f>
        <v>Tools and Equipment</v>
      </c>
      <c r="BP119" s="60" t="str">
        <f>IF(BS119="Original",AH119,AY119)</f>
        <v>Carbon Steel X-Acto[REG] No. 11 Precision Blade 100Ct</v>
      </c>
      <c r="BQ119" s="60" t="str">
        <f>IF(BS119="Original",AI119,AZ119)</f>
        <v>Similar Match</v>
      </c>
      <c r="BR119" s="60" t="str">
        <f>IF(BS119="Original",AJ119,BA119)</f>
        <v>No</v>
      </c>
      <c r="BS119" s="60" t="str">
        <f>IF(AQ119="","Original",IF(AP119&lt;Y119,"Alternate","Original"))</f>
        <v>Original</v>
      </c>
    </row>
    <row r="120" spans="1:71" s="31" customFormat="1" x14ac:dyDescent="0.35">
      <c r="A120" s="53" t="s">
        <v>39</v>
      </c>
      <c r="B120" s="49">
        <v>118</v>
      </c>
      <c r="C120" s="50"/>
      <c r="D120" s="50"/>
      <c r="E120" s="51"/>
      <c r="F120" s="50" t="s">
        <v>40</v>
      </c>
      <c r="G120" s="50" t="s">
        <v>642</v>
      </c>
      <c r="H120" s="50" t="s">
        <v>643</v>
      </c>
      <c r="I120" s="50"/>
      <c r="J120" s="50"/>
      <c r="K120" s="50"/>
      <c r="L120" s="50"/>
      <c r="M120" s="50"/>
      <c r="N120" s="54" t="s">
        <v>43</v>
      </c>
      <c r="O120" s="49">
        <v>1</v>
      </c>
      <c r="P120" s="43">
        <v>103.08</v>
      </c>
      <c r="Q120" s="49">
        <v>1</v>
      </c>
      <c r="R120" s="44">
        <f>P120/O120</f>
        <v>103.08</v>
      </c>
      <c r="S120" s="49">
        <f>Q120*O120</f>
        <v>1</v>
      </c>
      <c r="T120" s="52">
        <f>S120*R120</f>
        <v>103.08</v>
      </c>
      <c r="U120" s="50"/>
      <c r="V120" s="50"/>
      <c r="W120" s="50"/>
      <c r="X120" s="69"/>
      <c r="Y120" s="69"/>
      <c r="Z120" s="69"/>
      <c r="AA120" s="50"/>
      <c r="AB120" s="50"/>
      <c r="AC120" s="50"/>
      <c r="AD120" s="50"/>
      <c r="AE120" s="50"/>
      <c r="AF120" s="50"/>
      <c r="AG120" s="50"/>
      <c r="AH120" s="50"/>
      <c r="AI120" s="50" t="s">
        <v>129</v>
      </c>
      <c r="AJ120" s="50"/>
      <c r="AK120" s="50"/>
      <c r="AL120" s="44"/>
      <c r="AM120" s="45"/>
      <c r="AN120" s="50"/>
      <c r="AO120" s="69"/>
      <c r="AP120" s="69"/>
      <c r="AQ120" s="69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5"/>
      <c r="BD120" s="56"/>
      <c r="BE120" s="61"/>
      <c r="BF120" s="65"/>
      <c r="BG120" s="66"/>
      <c r="BH120" s="66"/>
      <c r="BI120" s="60"/>
      <c r="BJ120" s="60"/>
      <c r="BK120" s="60"/>
      <c r="BL120" s="60"/>
      <c r="BM120" s="60"/>
      <c r="BN120" s="60"/>
      <c r="BO120" s="60"/>
      <c r="BP120" s="60"/>
      <c r="BQ120" s="60" t="str">
        <f>IF(BS120="Original",AI120,AZ120)</f>
        <v xml:space="preserve">Non-Supported Product </v>
      </c>
      <c r="BR120" s="60"/>
      <c r="BS120" s="60" t="str">
        <f>IF(AQ120="","Original",IF(AP120&lt;Y120,"Alternate","Original"))</f>
        <v>Original</v>
      </c>
    </row>
    <row r="121" spans="1:71" s="31" customFormat="1" x14ac:dyDescent="0.35">
      <c r="A121" s="53" t="s">
        <v>39</v>
      </c>
      <c r="B121" s="49">
        <v>119</v>
      </c>
      <c r="C121" s="50"/>
      <c r="D121" s="50"/>
      <c r="E121" s="51"/>
      <c r="F121" s="50" t="s">
        <v>60</v>
      </c>
      <c r="G121" s="50" t="s">
        <v>644</v>
      </c>
      <c r="H121" s="50" t="s">
        <v>645</v>
      </c>
      <c r="I121" s="50"/>
      <c r="J121" s="50"/>
      <c r="K121" s="50"/>
      <c r="L121" s="50"/>
      <c r="M121" s="50"/>
      <c r="N121" s="54" t="s">
        <v>43</v>
      </c>
      <c r="O121" s="49">
        <v>1</v>
      </c>
      <c r="P121" s="43">
        <v>102.69</v>
      </c>
      <c r="Q121" s="49">
        <v>1</v>
      </c>
      <c r="R121" s="44">
        <f>P121/O121</f>
        <v>102.69</v>
      </c>
      <c r="S121" s="49">
        <f>Q121*O121</f>
        <v>1</v>
      </c>
      <c r="T121" s="52">
        <f>S121*R121</f>
        <v>102.69</v>
      </c>
      <c r="U121" s="55">
        <f>IFERROR(T121-X121,0)</f>
        <v>57.884399999999999</v>
      </c>
      <c r="V121" s="56">
        <f>IFERROR(U121/T121,0)</f>
        <v>0.56368098159509206</v>
      </c>
      <c r="W121" s="57" t="str">
        <f>IF($V121&lt;0,"Negative",IF($V121=0,"Same",IF($V121&gt;0.3,"30+%",IF($V121&gt;0.2,"20-30%",IF($V121&gt;0.1,"10-20%",IF($V121&lt;=0.1,"0-10%"))))))</f>
        <v>30+%</v>
      </c>
      <c r="X121" s="66">
        <f>IFERROR(Y121*S121,0)</f>
        <v>44.805599999999998</v>
      </c>
      <c r="Y121" s="66">
        <f>IFERROR(Z121/AB121,0)</f>
        <v>44.805599999999998</v>
      </c>
      <c r="Z121" s="69">
        <v>44.805599999999998</v>
      </c>
      <c r="AA121" s="50" t="s">
        <v>63</v>
      </c>
      <c r="AB121" s="50">
        <v>1</v>
      </c>
      <c r="AC121" s="50"/>
      <c r="AD121" s="50" t="s">
        <v>249</v>
      </c>
      <c r="AE121" s="50" t="s">
        <v>646</v>
      </c>
      <c r="AF121" s="50" t="s">
        <v>166</v>
      </c>
      <c r="AG121" s="50" t="s">
        <v>160</v>
      </c>
      <c r="AH121" s="50" t="s">
        <v>647</v>
      </c>
      <c r="AI121" s="50" t="s">
        <v>69</v>
      </c>
      <c r="AJ121" s="50" t="s">
        <v>59</v>
      </c>
      <c r="AK121" s="50"/>
      <c r="AL121" s="44"/>
      <c r="AM121" s="45"/>
      <c r="AN121" s="50"/>
      <c r="AO121" s="69"/>
      <c r="AP121" s="69"/>
      <c r="AQ121" s="69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5">
        <f>T121-BF121</f>
        <v>57.884399999999999</v>
      </c>
      <c r="BD121" s="56">
        <f>BC121/T121</f>
        <v>0.56368098159509206</v>
      </c>
      <c r="BE121" s="61" t="str">
        <f>IF(BD121&lt;0,"Negative",IF(BD121=0,"Same",IF(BD121&gt;0.3,"30+%",IF(BD121&gt;0.2,"20-30%",IF(BD121&gt;0.1,"10-20%",IF(BD121&lt;=0.1,"0-10%"))))))</f>
        <v>30+%</v>
      </c>
      <c r="BF121" s="65">
        <f>BG121*S121</f>
        <v>44.805599999999998</v>
      </c>
      <c r="BG121" s="66">
        <f>BH121/BJ121</f>
        <v>44.805599999999998</v>
      </c>
      <c r="BH121" s="66">
        <f>IF(BS121="Original",Z121,AQ121)</f>
        <v>44.805599999999998</v>
      </c>
      <c r="BI121" s="60" t="str">
        <f>IF(BS121="Original",AA121,AR121)</f>
        <v>Piece</v>
      </c>
      <c r="BJ121" s="60">
        <f>IF(BS121="Original",AB121,AS121)</f>
        <v>1</v>
      </c>
      <c r="BK121" s="60"/>
      <c r="BL121" s="60" t="str">
        <f>IF(BS121="Original",AD121,AU121)</f>
        <v>Colson Group USA Inc.</v>
      </c>
      <c r="BM121" s="60" t="str">
        <f>IF(BS121="Original",AE121,AV121)</f>
        <v>P2XA04031SF</v>
      </c>
      <c r="BN121" s="60" t="str">
        <f>IF(BS121="Original",AF121,AW121)</f>
        <v>BSS</v>
      </c>
      <c r="BO121" s="60" t="str">
        <f>IF(BS121="Original",AG121,AX121)</f>
        <v>Tools and Equipment</v>
      </c>
      <c r="BP121" s="60" t="str">
        <f>IF(BS121="Original",AH121,AY121)</f>
        <v>PLATE CASTER, SWIVEL, POLYURETHANE, 250 LB, 4 IN WHEEL DIA.</v>
      </c>
      <c r="BQ121" s="60" t="str">
        <f>IF(BS121="Original",AI121,AZ121)</f>
        <v>Exact Match</v>
      </c>
      <c r="BR121" s="60" t="str">
        <f>IF(BS121="Original",AJ121,BA121)</f>
        <v>No</v>
      </c>
      <c r="BS121" s="60" t="str">
        <f>IF(AQ121="","Original",IF(AP121&lt;Y121,"Alternate","Original"))</f>
        <v>Original</v>
      </c>
    </row>
    <row r="122" spans="1:71" s="31" customFormat="1" x14ac:dyDescent="0.35">
      <c r="A122" s="53" t="s">
        <v>39</v>
      </c>
      <c r="B122" s="49">
        <v>120</v>
      </c>
      <c r="C122" s="50"/>
      <c r="D122" s="50"/>
      <c r="E122" s="51"/>
      <c r="F122" s="50" t="s">
        <v>40</v>
      </c>
      <c r="G122" s="50" t="s">
        <v>648</v>
      </c>
      <c r="H122" s="50" t="s">
        <v>649</v>
      </c>
      <c r="I122" s="50"/>
      <c r="J122" s="50"/>
      <c r="K122" s="50"/>
      <c r="L122" s="50"/>
      <c r="M122" s="50"/>
      <c r="N122" s="54" t="s">
        <v>43</v>
      </c>
      <c r="O122" s="49">
        <v>1</v>
      </c>
      <c r="P122" s="43">
        <v>102.08</v>
      </c>
      <c r="Q122" s="49">
        <v>1</v>
      </c>
      <c r="R122" s="44">
        <f>P122/O122</f>
        <v>102.08</v>
      </c>
      <c r="S122" s="49">
        <f>Q122*O122</f>
        <v>1</v>
      </c>
      <c r="T122" s="52">
        <f>S122*R122</f>
        <v>102.08</v>
      </c>
      <c r="U122" s="50"/>
      <c r="V122" s="50"/>
      <c r="W122" s="50"/>
      <c r="X122" s="69"/>
      <c r="Y122" s="69"/>
      <c r="Z122" s="69"/>
      <c r="AA122" s="50"/>
      <c r="AB122" s="50"/>
      <c r="AC122" s="50"/>
      <c r="AD122" s="50"/>
      <c r="AE122" s="50"/>
      <c r="AF122" s="50"/>
      <c r="AG122" s="50"/>
      <c r="AH122" s="50"/>
      <c r="AI122" s="50" t="s">
        <v>129</v>
      </c>
      <c r="AJ122" s="50"/>
      <c r="AK122" s="50"/>
      <c r="AL122" s="44"/>
      <c r="AM122" s="45"/>
      <c r="AN122" s="50"/>
      <c r="AO122" s="69"/>
      <c r="AP122" s="69"/>
      <c r="AQ122" s="69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5"/>
      <c r="BD122" s="56"/>
      <c r="BE122" s="61"/>
      <c r="BF122" s="65"/>
      <c r="BG122" s="66"/>
      <c r="BH122" s="66"/>
      <c r="BI122" s="60"/>
      <c r="BJ122" s="60"/>
      <c r="BK122" s="60"/>
      <c r="BL122" s="60"/>
      <c r="BM122" s="60"/>
      <c r="BN122" s="60"/>
      <c r="BO122" s="60"/>
      <c r="BP122" s="60"/>
      <c r="BQ122" s="60" t="str">
        <f>IF(BS122="Original",AI122,AZ122)</f>
        <v xml:space="preserve">Non-Supported Product </v>
      </c>
      <c r="BR122" s="60"/>
      <c r="BS122" s="60" t="str">
        <f>IF(AQ122="","Original",IF(AP122&lt;Y122,"Alternate","Original"))</f>
        <v>Original</v>
      </c>
    </row>
    <row r="123" spans="1:71" s="31" customFormat="1" x14ac:dyDescent="0.35">
      <c r="A123" s="53" t="s">
        <v>39</v>
      </c>
      <c r="B123" s="49">
        <v>121</v>
      </c>
      <c r="C123" s="50"/>
      <c r="D123" s="50"/>
      <c r="E123" s="51"/>
      <c r="F123" s="50" t="s">
        <v>40</v>
      </c>
      <c r="G123" s="50" t="s">
        <v>650</v>
      </c>
      <c r="H123" s="50" t="s">
        <v>651</v>
      </c>
      <c r="I123" s="50"/>
      <c r="J123" s="50"/>
      <c r="K123" s="50"/>
      <c r="L123" s="50"/>
      <c r="M123" s="50"/>
      <c r="N123" s="54" t="s">
        <v>43</v>
      </c>
      <c r="O123" s="49">
        <v>1</v>
      </c>
      <c r="P123" s="43">
        <v>99.54</v>
      </c>
      <c r="Q123" s="49">
        <v>1</v>
      </c>
      <c r="R123" s="44">
        <f>P123/O123</f>
        <v>99.54</v>
      </c>
      <c r="S123" s="49">
        <f>Q123*O123</f>
        <v>1</v>
      </c>
      <c r="T123" s="52">
        <f>S123*R123</f>
        <v>99.54</v>
      </c>
      <c r="U123" s="50"/>
      <c r="V123" s="50"/>
      <c r="W123" s="50"/>
      <c r="X123" s="69"/>
      <c r="Y123" s="69"/>
      <c r="Z123" s="69"/>
      <c r="AA123" s="50"/>
      <c r="AB123" s="50"/>
      <c r="AC123" s="50"/>
      <c r="AD123" s="50"/>
      <c r="AE123" s="50"/>
      <c r="AF123" s="50"/>
      <c r="AG123" s="50"/>
      <c r="AH123" s="50"/>
      <c r="AI123" s="50" t="s">
        <v>652</v>
      </c>
      <c r="AJ123" s="50"/>
      <c r="AK123" s="50"/>
      <c r="AL123" s="44"/>
      <c r="AM123" s="45"/>
      <c r="AN123" s="50"/>
      <c r="AO123" s="69"/>
      <c r="AP123" s="69"/>
      <c r="AQ123" s="69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5"/>
      <c r="BD123" s="56"/>
      <c r="BE123" s="61"/>
      <c r="BF123" s="65"/>
      <c r="BG123" s="66"/>
      <c r="BH123" s="66"/>
      <c r="BI123" s="60"/>
      <c r="BJ123" s="60"/>
      <c r="BK123" s="60"/>
      <c r="BL123" s="60"/>
      <c r="BM123" s="60"/>
      <c r="BN123" s="60"/>
      <c r="BO123" s="60"/>
      <c r="BP123" s="60"/>
      <c r="BQ123" s="60" t="str">
        <f>IF(BS123="Original",AI123,AZ123)</f>
        <v>Low Threshold Spend</v>
      </c>
      <c r="BR123" s="60"/>
      <c r="BS123" s="60" t="str">
        <f>IF(AQ123="","Original",IF(AP123&lt;Y123,"Alternate","Original"))</f>
        <v>Original</v>
      </c>
    </row>
    <row r="124" spans="1:71" s="31" customFormat="1" x14ac:dyDescent="0.35">
      <c r="A124" s="53" t="s">
        <v>39</v>
      </c>
      <c r="B124" s="49">
        <v>122</v>
      </c>
      <c r="C124" s="50"/>
      <c r="D124" s="50"/>
      <c r="E124" s="51"/>
      <c r="F124" s="50" t="s">
        <v>49</v>
      </c>
      <c r="G124" s="50" t="s">
        <v>653</v>
      </c>
      <c r="H124" s="50" t="s">
        <v>654</v>
      </c>
      <c r="I124" s="50"/>
      <c r="J124" s="50"/>
      <c r="K124" s="50"/>
      <c r="L124" s="50"/>
      <c r="M124" s="50"/>
      <c r="N124" s="54" t="s">
        <v>43</v>
      </c>
      <c r="O124" s="49">
        <v>1</v>
      </c>
      <c r="P124" s="43">
        <v>49.55</v>
      </c>
      <c r="Q124" s="49">
        <v>2</v>
      </c>
      <c r="R124" s="44">
        <f>P124/O124</f>
        <v>49.55</v>
      </c>
      <c r="S124" s="49">
        <f>Q124*O124</f>
        <v>2</v>
      </c>
      <c r="T124" s="52">
        <f>S124*R124</f>
        <v>99.1</v>
      </c>
      <c r="U124" s="50"/>
      <c r="V124" s="50"/>
      <c r="W124" s="50"/>
      <c r="X124" s="69"/>
      <c r="Y124" s="69"/>
      <c r="Z124" s="69"/>
      <c r="AA124" s="50"/>
      <c r="AB124" s="50"/>
      <c r="AC124" s="50"/>
      <c r="AD124" s="50"/>
      <c r="AE124" s="50"/>
      <c r="AF124" s="50"/>
      <c r="AG124" s="50"/>
      <c r="AH124" s="50"/>
      <c r="AI124" s="50" t="s">
        <v>652</v>
      </c>
      <c r="AJ124" s="50"/>
      <c r="AK124" s="50"/>
      <c r="AL124" s="44"/>
      <c r="AM124" s="45"/>
      <c r="AN124" s="50"/>
      <c r="AO124" s="69"/>
      <c r="AP124" s="69"/>
      <c r="AQ124" s="69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5"/>
      <c r="BD124" s="56"/>
      <c r="BE124" s="61"/>
      <c r="BF124" s="65"/>
      <c r="BG124" s="66"/>
      <c r="BH124" s="66"/>
      <c r="BI124" s="60"/>
      <c r="BJ124" s="60"/>
      <c r="BK124" s="60"/>
      <c r="BL124" s="60"/>
      <c r="BM124" s="60"/>
      <c r="BN124" s="60"/>
      <c r="BO124" s="60"/>
      <c r="BP124" s="60"/>
      <c r="BQ124" s="60" t="str">
        <f>IF(BS124="Original",AI124,AZ124)</f>
        <v>Low Threshold Spend</v>
      </c>
      <c r="BR124" s="60"/>
      <c r="BS124" s="60" t="str">
        <f>IF(AQ124="","Original",IF(AP124&lt;Y124,"Alternate","Original"))</f>
        <v>Original</v>
      </c>
    </row>
    <row r="125" spans="1:71" s="31" customFormat="1" x14ac:dyDescent="0.35">
      <c r="A125" s="53" t="s">
        <v>39</v>
      </c>
      <c r="B125" s="49">
        <v>123</v>
      </c>
      <c r="C125" s="50"/>
      <c r="D125" s="50"/>
      <c r="E125" s="51"/>
      <c r="F125" s="50" t="s">
        <v>60</v>
      </c>
      <c r="G125" s="50" t="s">
        <v>655</v>
      </c>
      <c r="H125" s="50" t="s">
        <v>656</v>
      </c>
      <c r="I125" s="50"/>
      <c r="J125" s="50"/>
      <c r="K125" s="50"/>
      <c r="L125" s="50"/>
      <c r="M125" s="50"/>
      <c r="N125" s="54" t="s">
        <v>43</v>
      </c>
      <c r="O125" s="49">
        <v>1</v>
      </c>
      <c r="P125" s="43">
        <v>49.54</v>
      </c>
      <c r="Q125" s="49">
        <v>2</v>
      </c>
      <c r="R125" s="44">
        <f>P125/O125</f>
        <v>49.54</v>
      </c>
      <c r="S125" s="49">
        <f>Q125*O125</f>
        <v>2</v>
      </c>
      <c r="T125" s="52">
        <f>S125*R125</f>
        <v>99.08</v>
      </c>
      <c r="U125" s="50"/>
      <c r="V125" s="50"/>
      <c r="W125" s="50"/>
      <c r="X125" s="69"/>
      <c r="Y125" s="69"/>
      <c r="Z125" s="69"/>
      <c r="AA125" s="50"/>
      <c r="AB125" s="50"/>
      <c r="AC125" s="50"/>
      <c r="AD125" s="50"/>
      <c r="AE125" s="50"/>
      <c r="AF125" s="50"/>
      <c r="AG125" s="50"/>
      <c r="AH125" s="50"/>
      <c r="AI125" s="50" t="s">
        <v>652</v>
      </c>
      <c r="AJ125" s="50"/>
      <c r="AK125" s="50"/>
      <c r="AL125" s="44"/>
      <c r="AM125" s="45"/>
      <c r="AN125" s="50"/>
      <c r="AO125" s="69"/>
      <c r="AP125" s="69"/>
      <c r="AQ125" s="69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5"/>
      <c r="BD125" s="56"/>
      <c r="BE125" s="61"/>
      <c r="BF125" s="65"/>
      <c r="BG125" s="66"/>
      <c r="BH125" s="66"/>
      <c r="BI125" s="60"/>
      <c r="BJ125" s="60"/>
      <c r="BK125" s="60"/>
      <c r="BL125" s="60"/>
      <c r="BM125" s="60"/>
      <c r="BN125" s="60"/>
      <c r="BO125" s="60"/>
      <c r="BP125" s="60"/>
      <c r="BQ125" s="60" t="str">
        <f>IF(BS125="Original",AI125,AZ125)</f>
        <v>Low Threshold Spend</v>
      </c>
      <c r="BR125" s="60"/>
      <c r="BS125" s="60" t="str">
        <f>IF(AQ125="","Original",IF(AP125&lt;Y125,"Alternate","Original"))</f>
        <v>Original</v>
      </c>
    </row>
    <row r="126" spans="1:71" s="31" customFormat="1" x14ac:dyDescent="0.35">
      <c r="A126" s="53" t="s">
        <v>39</v>
      </c>
      <c r="B126" s="49">
        <v>124</v>
      </c>
      <c r="C126" s="50"/>
      <c r="D126" s="50"/>
      <c r="E126" s="51"/>
      <c r="F126" s="50" t="s">
        <v>49</v>
      </c>
      <c r="G126" s="50" t="s">
        <v>657</v>
      </c>
      <c r="H126" s="50" t="s">
        <v>658</v>
      </c>
      <c r="I126" s="50"/>
      <c r="J126" s="50"/>
      <c r="K126" s="50"/>
      <c r="L126" s="50"/>
      <c r="M126" s="50"/>
      <c r="N126" s="54" t="s">
        <v>43</v>
      </c>
      <c r="O126" s="49">
        <v>1</v>
      </c>
      <c r="P126" s="43">
        <v>97.62</v>
      </c>
      <c r="Q126" s="49">
        <v>1</v>
      </c>
      <c r="R126" s="44">
        <f>P126/O126</f>
        <v>97.62</v>
      </c>
      <c r="S126" s="49">
        <f>Q126*O126</f>
        <v>1</v>
      </c>
      <c r="T126" s="52">
        <f>S126*R126</f>
        <v>97.62</v>
      </c>
      <c r="U126" s="50"/>
      <c r="V126" s="50"/>
      <c r="W126" s="50"/>
      <c r="X126" s="69"/>
      <c r="Y126" s="69"/>
      <c r="Z126" s="69"/>
      <c r="AA126" s="50"/>
      <c r="AB126" s="50"/>
      <c r="AC126" s="50"/>
      <c r="AD126" s="50"/>
      <c r="AE126" s="50"/>
      <c r="AF126" s="50"/>
      <c r="AG126" s="50"/>
      <c r="AH126" s="50"/>
      <c r="AI126" s="50" t="s">
        <v>652</v>
      </c>
      <c r="AJ126" s="50"/>
      <c r="AK126" s="50"/>
      <c r="AL126" s="44"/>
      <c r="AM126" s="45"/>
      <c r="AN126" s="50"/>
      <c r="AO126" s="69"/>
      <c r="AP126" s="69"/>
      <c r="AQ126" s="69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5"/>
      <c r="BD126" s="56"/>
      <c r="BE126" s="61"/>
      <c r="BF126" s="65"/>
      <c r="BG126" s="66"/>
      <c r="BH126" s="66"/>
      <c r="BI126" s="60"/>
      <c r="BJ126" s="60"/>
      <c r="BK126" s="60"/>
      <c r="BL126" s="60"/>
      <c r="BM126" s="60"/>
      <c r="BN126" s="60"/>
      <c r="BO126" s="60"/>
      <c r="BP126" s="60"/>
      <c r="BQ126" s="60" t="str">
        <f>IF(BS126="Original",AI126,AZ126)</f>
        <v>Low Threshold Spend</v>
      </c>
      <c r="BR126" s="60"/>
      <c r="BS126" s="60" t="str">
        <f>IF(AQ126="","Original",IF(AP126&lt;Y126,"Alternate","Original"))</f>
        <v>Original</v>
      </c>
    </row>
    <row r="127" spans="1:71" s="31" customFormat="1" x14ac:dyDescent="0.35">
      <c r="A127" s="53" t="s">
        <v>39</v>
      </c>
      <c r="B127" s="49">
        <v>125</v>
      </c>
      <c r="C127" s="50"/>
      <c r="D127" s="50"/>
      <c r="E127" s="51"/>
      <c r="F127" s="50" t="s">
        <v>40</v>
      </c>
      <c r="G127" s="50" t="s">
        <v>659</v>
      </c>
      <c r="H127" s="50" t="s">
        <v>660</v>
      </c>
      <c r="I127" s="50"/>
      <c r="J127" s="50"/>
      <c r="K127" s="50"/>
      <c r="L127" s="50"/>
      <c r="M127" s="50"/>
      <c r="N127" s="54" t="s">
        <v>43</v>
      </c>
      <c r="O127" s="49">
        <v>1</v>
      </c>
      <c r="P127" s="43">
        <v>96.33</v>
      </c>
      <c r="Q127" s="49">
        <v>1</v>
      </c>
      <c r="R127" s="44">
        <f>P127/O127</f>
        <v>96.33</v>
      </c>
      <c r="S127" s="49">
        <f>Q127*O127</f>
        <v>1</v>
      </c>
      <c r="T127" s="52">
        <f>S127*R127</f>
        <v>96.33</v>
      </c>
      <c r="U127" s="50"/>
      <c r="V127" s="50"/>
      <c r="W127" s="50"/>
      <c r="X127" s="69"/>
      <c r="Y127" s="69"/>
      <c r="Z127" s="69"/>
      <c r="AA127" s="50"/>
      <c r="AB127" s="50"/>
      <c r="AC127" s="50"/>
      <c r="AD127" s="50"/>
      <c r="AE127" s="50"/>
      <c r="AF127" s="50"/>
      <c r="AG127" s="50"/>
      <c r="AH127" s="50"/>
      <c r="AI127" s="50" t="s">
        <v>652</v>
      </c>
      <c r="AJ127" s="50"/>
      <c r="AK127" s="50"/>
      <c r="AL127" s="44"/>
      <c r="AM127" s="45"/>
      <c r="AN127" s="50"/>
      <c r="AO127" s="69"/>
      <c r="AP127" s="69"/>
      <c r="AQ127" s="69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5"/>
      <c r="BD127" s="56"/>
      <c r="BE127" s="61"/>
      <c r="BF127" s="65"/>
      <c r="BG127" s="66"/>
      <c r="BH127" s="66"/>
      <c r="BI127" s="60"/>
      <c r="BJ127" s="60"/>
      <c r="BK127" s="60"/>
      <c r="BL127" s="60"/>
      <c r="BM127" s="60"/>
      <c r="BN127" s="60"/>
      <c r="BO127" s="60"/>
      <c r="BP127" s="60"/>
      <c r="BQ127" s="60" t="str">
        <f>IF(BS127="Original",AI127,AZ127)</f>
        <v>Low Threshold Spend</v>
      </c>
      <c r="BR127" s="60"/>
      <c r="BS127" s="60" t="str">
        <f>IF(AQ127="","Original",IF(AP127&lt;Y127,"Alternate","Original"))</f>
        <v>Original</v>
      </c>
    </row>
    <row r="128" spans="1:71" s="31" customFormat="1" x14ac:dyDescent="0.35">
      <c r="A128" s="53" t="s">
        <v>39</v>
      </c>
      <c r="B128" s="49">
        <v>126</v>
      </c>
      <c r="C128" s="50"/>
      <c r="D128" s="50"/>
      <c r="E128" s="51"/>
      <c r="F128" s="50" t="s">
        <v>60</v>
      </c>
      <c r="G128" s="50" t="s">
        <v>661</v>
      </c>
      <c r="H128" s="50" t="s">
        <v>662</v>
      </c>
      <c r="I128" s="50"/>
      <c r="J128" s="50"/>
      <c r="K128" s="50"/>
      <c r="L128" s="50"/>
      <c r="M128" s="50"/>
      <c r="N128" s="54" t="s">
        <v>43</v>
      </c>
      <c r="O128" s="49">
        <v>1</v>
      </c>
      <c r="P128" s="43">
        <v>95.94</v>
      </c>
      <c r="Q128" s="49">
        <v>1</v>
      </c>
      <c r="R128" s="44">
        <f>P128/O128</f>
        <v>95.94</v>
      </c>
      <c r="S128" s="49">
        <f>Q128*O128</f>
        <v>1</v>
      </c>
      <c r="T128" s="52">
        <f>S128*R128</f>
        <v>95.94</v>
      </c>
      <c r="U128" s="50"/>
      <c r="V128" s="50"/>
      <c r="W128" s="50"/>
      <c r="X128" s="69"/>
      <c r="Y128" s="69"/>
      <c r="Z128" s="69"/>
      <c r="AA128" s="50"/>
      <c r="AB128" s="50"/>
      <c r="AC128" s="50"/>
      <c r="AD128" s="50"/>
      <c r="AE128" s="50"/>
      <c r="AF128" s="50"/>
      <c r="AG128" s="50"/>
      <c r="AH128" s="50"/>
      <c r="AI128" s="50" t="s">
        <v>652</v>
      </c>
      <c r="AJ128" s="50"/>
      <c r="AK128" s="50"/>
      <c r="AL128" s="44"/>
      <c r="AM128" s="45"/>
      <c r="AN128" s="50"/>
      <c r="AO128" s="69"/>
      <c r="AP128" s="69"/>
      <c r="AQ128" s="69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5"/>
      <c r="BD128" s="56"/>
      <c r="BE128" s="61"/>
      <c r="BF128" s="65"/>
      <c r="BG128" s="66"/>
      <c r="BH128" s="66"/>
      <c r="BI128" s="60"/>
      <c r="BJ128" s="60"/>
      <c r="BK128" s="60"/>
      <c r="BL128" s="60"/>
      <c r="BM128" s="60"/>
      <c r="BN128" s="60"/>
      <c r="BO128" s="60"/>
      <c r="BP128" s="60"/>
      <c r="BQ128" s="60" t="str">
        <f>IF(BS128="Original",AI128,AZ128)</f>
        <v>Low Threshold Spend</v>
      </c>
      <c r="BR128" s="60"/>
      <c r="BS128" s="60" t="str">
        <f>IF(AQ128="","Original",IF(AP128&lt;Y128,"Alternate","Original"))</f>
        <v>Original</v>
      </c>
    </row>
    <row r="129" spans="1:71" s="31" customFormat="1" x14ac:dyDescent="0.35">
      <c r="A129" s="53" t="s">
        <v>39</v>
      </c>
      <c r="B129" s="49">
        <v>127</v>
      </c>
      <c r="C129" s="50"/>
      <c r="D129" s="50"/>
      <c r="E129" s="51"/>
      <c r="F129" s="50" t="s">
        <v>60</v>
      </c>
      <c r="G129" s="50" t="s">
        <v>663</v>
      </c>
      <c r="H129" s="50" t="s">
        <v>664</v>
      </c>
      <c r="I129" s="50"/>
      <c r="J129" s="50"/>
      <c r="K129" s="50"/>
      <c r="L129" s="50"/>
      <c r="M129" s="50"/>
      <c r="N129" s="54" t="s">
        <v>43</v>
      </c>
      <c r="O129" s="49">
        <v>1</v>
      </c>
      <c r="P129" s="43">
        <v>95.69</v>
      </c>
      <c r="Q129" s="49">
        <v>1</v>
      </c>
      <c r="R129" s="44">
        <f>P129/O129</f>
        <v>95.69</v>
      </c>
      <c r="S129" s="49">
        <f>Q129*O129</f>
        <v>1</v>
      </c>
      <c r="T129" s="52">
        <f>S129*R129</f>
        <v>95.69</v>
      </c>
      <c r="U129" s="50"/>
      <c r="V129" s="50"/>
      <c r="W129" s="50"/>
      <c r="X129" s="69"/>
      <c r="Y129" s="69"/>
      <c r="Z129" s="69"/>
      <c r="AA129" s="50"/>
      <c r="AB129" s="50"/>
      <c r="AC129" s="50"/>
      <c r="AD129" s="50"/>
      <c r="AE129" s="50"/>
      <c r="AF129" s="50"/>
      <c r="AG129" s="50"/>
      <c r="AH129" s="50"/>
      <c r="AI129" s="50" t="s">
        <v>652</v>
      </c>
      <c r="AJ129" s="50"/>
      <c r="AK129" s="50"/>
      <c r="AL129" s="44"/>
      <c r="AM129" s="45"/>
      <c r="AN129" s="50"/>
      <c r="AO129" s="69"/>
      <c r="AP129" s="69"/>
      <c r="AQ129" s="69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5"/>
      <c r="BD129" s="56"/>
      <c r="BE129" s="61"/>
      <c r="BF129" s="65"/>
      <c r="BG129" s="66"/>
      <c r="BH129" s="66"/>
      <c r="BI129" s="60"/>
      <c r="BJ129" s="60"/>
      <c r="BK129" s="60"/>
      <c r="BL129" s="60"/>
      <c r="BM129" s="60"/>
      <c r="BN129" s="60"/>
      <c r="BO129" s="60"/>
      <c r="BP129" s="60"/>
      <c r="BQ129" s="60" t="str">
        <f>IF(BS129="Original",AI129,AZ129)</f>
        <v>Low Threshold Spend</v>
      </c>
      <c r="BR129" s="60"/>
      <c r="BS129" s="60" t="str">
        <f>IF(AQ129="","Original",IF(AP129&lt;Y129,"Alternate","Original"))</f>
        <v>Original</v>
      </c>
    </row>
    <row r="130" spans="1:71" s="31" customFormat="1" x14ac:dyDescent="0.35">
      <c r="A130" s="53" t="s">
        <v>39</v>
      </c>
      <c r="B130" s="49">
        <v>128</v>
      </c>
      <c r="C130" s="50"/>
      <c r="D130" s="50"/>
      <c r="E130" s="51"/>
      <c r="F130" s="50" t="s">
        <v>40</v>
      </c>
      <c r="G130" s="50" t="s">
        <v>665</v>
      </c>
      <c r="H130" s="50" t="s">
        <v>666</v>
      </c>
      <c r="I130" s="50"/>
      <c r="J130" s="50"/>
      <c r="K130" s="50"/>
      <c r="L130" s="50"/>
      <c r="M130" s="50"/>
      <c r="N130" s="54" t="s">
        <v>43</v>
      </c>
      <c r="O130" s="49">
        <v>1</v>
      </c>
      <c r="P130" s="43">
        <v>95.28</v>
      </c>
      <c r="Q130" s="49">
        <v>1</v>
      </c>
      <c r="R130" s="44">
        <f>P130/O130</f>
        <v>95.28</v>
      </c>
      <c r="S130" s="49">
        <f>Q130*O130</f>
        <v>1</v>
      </c>
      <c r="T130" s="52">
        <f>S130*R130</f>
        <v>95.28</v>
      </c>
      <c r="U130" s="50"/>
      <c r="V130" s="50"/>
      <c r="W130" s="50"/>
      <c r="X130" s="69"/>
      <c r="Y130" s="69"/>
      <c r="Z130" s="69"/>
      <c r="AA130" s="50"/>
      <c r="AB130" s="50"/>
      <c r="AC130" s="50"/>
      <c r="AD130" s="50"/>
      <c r="AE130" s="50"/>
      <c r="AF130" s="50"/>
      <c r="AG130" s="50"/>
      <c r="AH130" s="50"/>
      <c r="AI130" s="50" t="s">
        <v>652</v>
      </c>
      <c r="AJ130" s="50"/>
      <c r="AK130" s="50"/>
      <c r="AL130" s="44"/>
      <c r="AM130" s="45"/>
      <c r="AN130" s="50"/>
      <c r="AO130" s="69"/>
      <c r="AP130" s="69"/>
      <c r="AQ130" s="69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5"/>
      <c r="BD130" s="56"/>
      <c r="BE130" s="61"/>
      <c r="BF130" s="65"/>
      <c r="BG130" s="66"/>
      <c r="BH130" s="66"/>
      <c r="BI130" s="60"/>
      <c r="BJ130" s="60"/>
      <c r="BK130" s="60"/>
      <c r="BL130" s="60"/>
      <c r="BM130" s="60"/>
      <c r="BN130" s="60"/>
      <c r="BO130" s="60"/>
      <c r="BP130" s="60"/>
      <c r="BQ130" s="60" t="str">
        <f>IF(BS130="Original",AI130,AZ130)</f>
        <v>Low Threshold Spend</v>
      </c>
      <c r="BR130" s="60"/>
      <c r="BS130" s="60" t="str">
        <f>IF(AQ130="","Original",IF(AP130&lt;Y130,"Alternate","Original"))</f>
        <v>Original</v>
      </c>
    </row>
    <row r="131" spans="1:71" s="31" customFormat="1" x14ac:dyDescent="0.35">
      <c r="A131" s="53" t="s">
        <v>39</v>
      </c>
      <c r="B131" s="49">
        <v>129</v>
      </c>
      <c r="C131" s="50"/>
      <c r="D131" s="50"/>
      <c r="E131" s="51"/>
      <c r="F131" s="50" t="s">
        <v>49</v>
      </c>
      <c r="G131" s="50" t="s">
        <v>667</v>
      </c>
      <c r="H131" s="50" t="s">
        <v>668</v>
      </c>
      <c r="I131" s="50"/>
      <c r="J131" s="50"/>
      <c r="K131" s="50"/>
      <c r="L131" s="50"/>
      <c r="M131" s="50"/>
      <c r="N131" s="54" t="s">
        <v>43</v>
      </c>
      <c r="O131" s="49">
        <v>1</v>
      </c>
      <c r="P131" s="43">
        <v>93.89</v>
      </c>
      <c r="Q131" s="49">
        <v>1</v>
      </c>
      <c r="R131" s="44">
        <f>P131/O131</f>
        <v>93.89</v>
      </c>
      <c r="S131" s="49">
        <f>Q131*O131</f>
        <v>1</v>
      </c>
      <c r="T131" s="52">
        <f>S131*R131</f>
        <v>93.89</v>
      </c>
      <c r="U131" s="50"/>
      <c r="V131" s="50"/>
      <c r="W131" s="50"/>
      <c r="X131" s="69"/>
      <c r="Y131" s="69"/>
      <c r="Z131" s="69"/>
      <c r="AA131" s="50"/>
      <c r="AB131" s="50"/>
      <c r="AC131" s="50"/>
      <c r="AD131" s="50"/>
      <c r="AE131" s="50"/>
      <c r="AF131" s="50"/>
      <c r="AG131" s="50"/>
      <c r="AH131" s="50"/>
      <c r="AI131" s="50" t="s">
        <v>652</v>
      </c>
      <c r="AJ131" s="50"/>
      <c r="AK131" s="50"/>
      <c r="AL131" s="44"/>
      <c r="AM131" s="45"/>
      <c r="AN131" s="50"/>
      <c r="AO131" s="69"/>
      <c r="AP131" s="69"/>
      <c r="AQ131" s="69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5"/>
      <c r="BD131" s="56"/>
      <c r="BE131" s="61"/>
      <c r="BF131" s="65"/>
      <c r="BG131" s="66"/>
      <c r="BH131" s="66"/>
      <c r="BI131" s="60"/>
      <c r="BJ131" s="60"/>
      <c r="BK131" s="60"/>
      <c r="BL131" s="60"/>
      <c r="BM131" s="60"/>
      <c r="BN131" s="60"/>
      <c r="BO131" s="60"/>
      <c r="BP131" s="60"/>
      <c r="BQ131" s="60" t="str">
        <f>IF(BS131="Original",AI131,AZ131)</f>
        <v>Low Threshold Spend</v>
      </c>
      <c r="BR131" s="60"/>
      <c r="BS131" s="60" t="str">
        <f>IF(AQ131="","Original",IF(AP131&lt;Y131,"Alternate","Original"))</f>
        <v>Original</v>
      </c>
    </row>
    <row r="132" spans="1:71" s="31" customFormat="1" x14ac:dyDescent="0.35">
      <c r="A132" s="53" t="s">
        <v>39</v>
      </c>
      <c r="B132" s="49">
        <v>130</v>
      </c>
      <c r="C132" s="50"/>
      <c r="D132" s="50"/>
      <c r="E132" s="51"/>
      <c r="F132" s="50" t="s">
        <v>60</v>
      </c>
      <c r="G132" s="50" t="s">
        <v>669</v>
      </c>
      <c r="H132" s="50" t="s">
        <v>670</v>
      </c>
      <c r="I132" s="50"/>
      <c r="J132" s="50"/>
      <c r="K132" s="50"/>
      <c r="L132" s="50"/>
      <c r="M132" s="50"/>
      <c r="N132" s="54" t="s">
        <v>43</v>
      </c>
      <c r="O132" s="49">
        <v>1</v>
      </c>
      <c r="P132" s="43">
        <v>92.72</v>
      </c>
      <c r="Q132" s="49">
        <v>1</v>
      </c>
      <c r="R132" s="44">
        <f>P132/O132</f>
        <v>92.72</v>
      </c>
      <c r="S132" s="49">
        <f>Q132*O132</f>
        <v>1</v>
      </c>
      <c r="T132" s="52">
        <f>S132*R132</f>
        <v>92.72</v>
      </c>
      <c r="U132" s="50"/>
      <c r="V132" s="50"/>
      <c r="W132" s="50"/>
      <c r="X132" s="69"/>
      <c r="Y132" s="69"/>
      <c r="Z132" s="69"/>
      <c r="AA132" s="50"/>
      <c r="AB132" s="50"/>
      <c r="AC132" s="50"/>
      <c r="AD132" s="50"/>
      <c r="AE132" s="50"/>
      <c r="AF132" s="50"/>
      <c r="AG132" s="50"/>
      <c r="AH132" s="50"/>
      <c r="AI132" s="50" t="s">
        <v>652</v>
      </c>
      <c r="AJ132" s="50"/>
      <c r="AK132" s="50"/>
      <c r="AL132" s="44"/>
      <c r="AM132" s="45"/>
      <c r="AN132" s="50"/>
      <c r="AO132" s="69"/>
      <c r="AP132" s="69"/>
      <c r="AQ132" s="69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5"/>
      <c r="BD132" s="56"/>
      <c r="BE132" s="61"/>
      <c r="BF132" s="65"/>
      <c r="BG132" s="66"/>
      <c r="BH132" s="66"/>
      <c r="BI132" s="60"/>
      <c r="BJ132" s="60"/>
      <c r="BK132" s="60"/>
      <c r="BL132" s="60"/>
      <c r="BM132" s="60"/>
      <c r="BN132" s="60"/>
      <c r="BO132" s="60"/>
      <c r="BP132" s="60"/>
      <c r="BQ132" s="60" t="str">
        <f>IF(BS132="Original",AI132,AZ132)</f>
        <v>Low Threshold Spend</v>
      </c>
      <c r="BR132" s="60"/>
      <c r="BS132" s="60" t="str">
        <f>IF(AQ132="","Original",IF(AP132&lt;Y132,"Alternate","Original"))</f>
        <v>Original</v>
      </c>
    </row>
    <row r="133" spans="1:71" s="31" customFormat="1" x14ac:dyDescent="0.35">
      <c r="A133" s="53" t="s">
        <v>39</v>
      </c>
      <c r="B133" s="49">
        <v>131</v>
      </c>
      <c r="C133" s="50"/>
      <c r="D133" s="50"/>
      <c r="E133" s="51"/>
      <c r="F133" s="50" t="s">
        <v>49</v>
      </c>
      <c r="G133" s="50" t="s">
        <v>671</v>
      </c>
      <c r="H133" s="50" t="s">
        <v>672</v>
      </c>
      <c r="I133" s="50"/>
      <c r="J133" s="50"/>
      <c r="K133" s="50"/>
      <c r="L133" s="50"/>
      <c r="M133" s="50"/>
      <c r="N133" s="54" t="s">
        <v>43</v>
      </c>
      <c r="O133" s="49">
        <v>1</v>
      </c>
      <c r="P133" s="43">
        <v>92.61</v>
      </c>
      <c r="Q133" s="49">
        <v>1</v>
      </c>
      <c r="R133" s="44">
        <f>P133/O133</f>
        <v>92.61</v>
      </c>
      <c r="S133" s="49">
        <f>Q133*O133</f>
        <v>1</v>
      </c>
      <c r="T133" s="52">
        <f>S133*R133</f>
        <v>92.61</v>
      </c>
      <c r="U133" s="50"/>
      <c r="V133" s="50"/>
      <c r="W133" s="50"/>
      <c r="X133" s="69"/>
      <c r="Y133" s="69"/>
      <c r="Z133" s="69"/>
      <c r="AA133" s="50"/>
      <c r="AB133" s="50"/>
      <c r="AC133" s="50"/>
      <c r="AD133" s="50"/>
      <c r="AE133" s="50"/>
      <c r="AF133" s="50"/>
      <c r="AG133" s="50"/>
      <c r="AH133" s="50"/>
      <c r="AI133" s="50" t="s">
        <v>652</v>
      </c>
      <c r="AJ133" s="50"/>
      <c r="AK133" s="50"/>
      <c r="AL133" s="44"/>
      <c r="AM133" s="45"/>
      <c r="AN133" s="50"/>
      <c r="AO133" s="69"/>
      <c r="AP133" s="69"/>
      <c r="AQ133" s="69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5"/>
      <c r="BD133" s="56"/>
      <c r="BE133" s="61"/>
      <c r="BF133" s="65"/>
      <c r="BG133" s="66"/>
      <c r="BH133" s="66"/>
      <c r="BI133" s="60"/>
      <c r="BJ133" s="60"/>
      <c r="BK133" s="60"/>
      <c r="BL133" s="60"/>
      <c r="BM133" s="60"/>
      <c r="BN133" s="60"/>
      <c r="BO133" s="60"/>
      <c r="BP133" s="60"/>
      <c r="BQ133" s="60" t="str">
        <f>IF(BS133="Original",AI133,AZ133)</f>
        <v>Low Threshold Spend</v>
      </c>
      <c r="BR133" s="60"/>
      <c r="BS133" s="60" t="str">
        <f>IF(AQ133="","Original",IF(AP133&lt;Y133,"Alternate","Original"))</f>
        <v>Original</v>
      </c>
    </row>
    <row r="134" spans="1:71" s="31" customFormat="1" x14ac:dyDescent="0.35">
      <c r="A134" s="53" t="s">
        <v>39</v>
      </c>
      <c r="B134" s="49">
        <v>132</v>
      </c>
      <c r="C134" s="50"/>
      <c r="D134" s="50"/>
      <c r="E134" s="51"/>
      <c r="F134" s="50" t="s">
        <v>40</v>
      </c>
      <c r="G134" s="50" t="s">
        <v>673</v>
      </c>
      <c r="H134" s="50" t="s">
        <v>674</v>
      </c>
      <c r="I134" s="50"/>
      <c r="J134" s="50"/>
      <c r="K134" s="50"/>
      <c r="L134" s="50"/>
      <c r="M134" s="50"/>
      <c r="N134" s="54" t="s">
        <v>43</v>
      </c>
      <c r="O134" s="49">
        <v>1</v>
      </c>
      <c r="P134" s="43">
        <v>92.17</v>
      </c>
      <c r="Q134" s="49">
        <v>1</v>
      </c>
      <c r="R134" s="44">
        <f>P134/O134</f>
        <v>92.17</v>
      </c>
      <c r="S134" s="49">
        <f>Q134*O134</f>
        <v>1</v>
      </c>
      <c r="T134" s="52">
        <f>S134*R134</f>
        <v>92.17</v>
      </c>
      <c r="U134" s="50"/>
      <c r="V134" s="50"/>
      <c r="W134" s="50"/>
      <c r="X134" s="69"/>
      <c r="Y134" s="69"/>
      <c r="Z134" s="69"/>
      <c r="AA134" s="50"/>
      <c r="AB134" s="50"/>
      <c r="AC134" s="50"/>
      <c r="AD134" s="50"/>
      <c r="AE134" s="50"/>
      <c r="AF134" s="50"/>
      <c r="AG134" s="50"/>
      <c r="AH134" s="50"/>
      <c r="AI134" s="50" t="s">
        <v>652</v>
      </c>
      <c r="AJ134" s="50"/>
      <c r="AK134" s="50"/>
      <c r="AL134" s="44"/>
      <c r="AM134" s="45"/>
      <c r="AN134" s="50"/>
      <c r="AO134" s="69"/>
      <c r="AP134" s="69"/>
      <c r="AQ134" s="69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5"/>
      <c r="BD134" s="56"/>
      <c r="BE134" s="61"/>
      <c r="BF134" s="65"/>
      <c r="BG134" s="66"/>
      <c r="BH134" s="66"/>
      <c r="BI134" s="60"/>
      <c r="BJ134" s="60"/>
      <c r="BK134" s="60"/>
      <c r="BL134" s="60"/>
      <c r="BM134" s="60"/>
      <c r="BN134" s="60"/>
      <c r="BO134" s="60"/>
      <c r="BP134" s="60"/>
      <c r="BQ134" s="60" t="str">
        <f>IF(BS134="Original",AI134,AZ134)</f>
        <v>Low Threshold Spend</v>
      </c>
      <c r="BR134" s="60"/>
      <c r="BS134" s="60" t="str">
        <f>IF(AQ134="","Original",IF(AP134&lt;Y134,"Alternate","Original"))</f>
        <v>Original</v>
      </c>
    </row>
    <row r="135" spans="1:71" s="31" customFormat="1" x14ac:dyDescent="0.35">
      <c r="A135" s="53" t="s">
        <v>39</v>
      </c>
      <c r="B135" s="49">
        <v>133</v>
      </c>
      <c r="C135" s="50"/>
      <c r="D135" s="50"/>
      <c r="E135" s="51"/>
      <c r="F135" s="50" t="s">
        <v>40</v>
      </c>
      <c r="G135" s="50" t="s">
        <v>675</v>
      </c>
      <c r="H135" s="50" t="s">
        <v>676</v>
      </c>
      <c r="I135" s="50"/>
      <c r="J135" s="50"/>
      <c r="K135" s="50"/>
      <c r="L135" s="50"/>
      <c r="M135" s="50"/>
      <c r="N135" s="54" t="s">
        <v>43</v>
      </c>
      <c r="O135" s="49">
        <v>1</v>
      </c>
      <c r="P135" s="43">
        <v>90.55</v>
      </c>
      <c r="Q135" s="49">
        <v>1</v>
      </c>
      <c r="R135" s="44">
        <f>P135/O135</f>
        <v>90.55</v>
      </c>
      <c r="S135" s="49">
        <f>Q135*O135</f>
        <v>1</v>
      </c>
      <c r="T135" s="52">
        <f>S135*R135</f>
        <v>90.55</v>
      </c>
      <c r="U135" s="50"/>
      <c r="V135" s="50"/>
      <c r="W135" s="50"/>
      <c r="X135" s="69"/>
      <c r="Y135" s="69"/>
      <c r="Z135" s="69"/>
      <c r="AA135" s="50"/>
      <c r="AB135" s="50"/>
      <c r="AC135" s="50"/>
      <c r="AD135" s="50"/>
      <c r="AE135" s="50"/>
      <c r="AF135" s="50"/>
      <c r="AG135" s="50"/>
      <c r="AH135" s="50"/>
      <c r="AI135" s="50" t="s">
        <v>652</v>
      </c>
      <c r="AJ135" s="50"/>
      <c r="AK135" s="50"/>
      <c r="AL135" s="44"/>
      <c r="AM135" s="45"/>
      <c r="AN135" s="50"/>
      <c r="AO135" s="69"/>
      <c r="AP135" s="69"/>
      <c r="AQ135" s="69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5"/>
      <c r="BD135" s="56"/>
      <c r="BE135" s="61"/>
      <c r="BF135" s="65"/>
      <c r="BG135" s="66"/>
      <c r="BH135" s="66"/>
      <c r="BI135" s="60"/>
      <c r="BJ135" s="60"/>
      <c r="BK135" s="60"/>
      <c r="BL135" s="60"/>
      <c r="BM135" s="60"/>
      <c r="BN135" s="60"/>
      <c r="BO135" s="60"/>
      <c r="BP135" s="60"/>
      <c r="BQ135" s="60" t="str">
        <f>IF(BS135="Original",AI135,AZ135)</f>
        <v>Low Threshold Spend</v>
      </c>
      <c r="BR135" s="60"/>
      <c r="BS135" s="60" t="str">
        <f>IF(AQ135="","Original",IF(AP135&lt;Y135,"Alternate","Original"))</f>
        <v>Original</v>
      </c>
    </row>
    <row r="136" spans="1:71" s="31" customFormat="1" x14ac:dyDescent="0.35">
      <c r="A136" s="53" t="s">
        <v>39</v>
      </c>
      <c r="B136" s="49">
        <v>134</v>
      </c>
      <c r="C136" s="50"/>
      <c r="D136" s="50"/>
      <c r="E136" s="51"/>
      <c r="F136" s="50" t="s">
        <v>60</v>
      </c>
      <c r="G136" s="50" t="s">
        <v>677</v>
      </c>
      <c r="H136" s="50" t="s">
        <v>678</v>
      </c>
      <c r="I136" s="50"/>
      <c r="J136" s="50"/>
      <c r="K136" s="50"/>
      <c r="L136" s="50"/>
      <c r="M136" s="50"/>
      <c r="N136" s="54" t="s">
        <v>43</v>
      </c>
      <c r="O136" s="49">
        <v>1</v>
      </c>
      <c r="P136" s="43">
        <v>90.51</v>
      </c>
      <c r="Q136" s="49">
        <v>1</v>
      </c>
      <c r="R136" s="44">
        <f>P136/O136</f>
        <v>90.51</v>
      </c>
      <c r="S136" s="49">
        <f>Q136*O136</f>
        <v>1</v>
      </c>
      <c r="T136" s="52">
        <f>S136*R136</f>
        <v>90.51</v>
      </c>
      <c r="U136" s="50"/>
      <c r="V136" s="50"/>
      <c r="W136" s="50"/>
      <c r="X136" s="69"/>
      <c r="Y136" s="69"/>
      <c r="Z136" s="69"/>
      <c r="AA136" s="50"/>
      <c r="AB136" s="50"/>
      <c r="AC136" s="50"/>
      <c r="AD136" s="50"/>
      <c r="AE136" s="50"/>
      <c r="AF136" s="50"/>
      <c r="AG136" s="50"/>
      <c r="AH136" s="50"/>
      <c r="AI136" s="50" t="s">
        <v>652</v>
      </c>
      <c r="AJ136" s="50"/>
      <c r="AK136" s="50"/>
      <c r="AL136" s="44"/>
      <c r="AM136" s="45"/>
      <c r="AN136" s="50"/>
      <c r="AO136" s="69"/>
      <c r="AP136" s="69"/>
      <c r="AQ136" s="69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5"/>
      <c r="BD136" s="56"/>
      <c r="BE136" s="61"/>
      <c r="BF136" s="65"/>
      <c r="BG136" s="66"/>
      <c r="BH136" s="66"/>
      <c r="BI136" s="60"/>
      <c r="BJ136" s="60"/>
      <c r="BK136" s="60"/>
      <c r="BL136" s="60"/>
      <c r="BM136" s="60"/>
      <c r="BN136" s="60"/>
      <c r="BO136" s="60"/>
      <c r="BP136" s="60"/>
      <c r="BQ136" s="60" t="str">
        <f>IF(BS136="Original",AI136,AZ136)</f>
        <v>Low Threshold Spend</v>
      </c>
      <c r="BR136" s="60"/>
      <c r="BS136" s="60" t="str">
        <f>IF(AQ136="","Original",IF(AP136&lt;Y136,"Alternate","Original"))</f>
        <v>Original</v>
      </c>
    </row>
    <row r="137" spans="1:71" s="31" customFormat="1" x14ac:dyDescent="0.35">
      <c r="A137" s="53" t="s">
        <v>39</v>
      </c>
      <c r="B137" s="49">
        <v>135</v>
      </c>
      <c r="C137" s="50"/>
      <c r="D137" s="50"/>
      <c r="E137" s="51"/>
      <c r="F137" s="50" t="s">
        <v>40</v>
      </c>
      <c r="G137" s="50" t="s">
        <v>679</v>
      </c>
      <c r="H137" s="50" t="s">
        <v>680</v>
      </c>
      <c r="I137" s="50"/>
      <c r="J137" s="50"/>
      <c r="K137" s="50"/>
      <c r="L137" s="50"/>
      <c r="M137" s="50"/>
      <c r="N137" s="54" t="s">
        <v>43</v>
      </c>
      <c r="O137" s="49">
        <v>1</v>
      </c>
      <c r="P137" s="43">
        <v>89.97</v>
      </c>
      <c r="Q137" s="49">
        <v>1</v>
      </c>
      <c r="R137" s="44">
        <f>P137/O137</f>
        <v>89.97</v>
      </c>
      <c r="S137" s="49">
        <f>Q137*O137</f>
        <v>1</v>
      </c>
      <c r="T137" s="52">
        <f>S137*R137</f>
        <v>89.97</v>
      </c>
      <c r="U137" s="50"/>
      <c r="V137" s="50"/>
      <c r="W137" s="50"/>
      <c r="X137" s="69"/>
      <c r="Y137" s="69"/>
      <c r="Z137" s="69"/>
      <c r="AA137" s="50"/>
      <c r="AB137" s="50"/>
      <c r="AC137" s="50"/>
      <c r="AD137" s="50"/>
      <c r="AE137" s="50"/>
      <c r="AF137" s="50"/>
      <c r="AG137" s="50"/>
      <c r="AH137" s="50"/>
      <c r="AI137" s="50" t="s">
        <v>652</v>
      </c>
      <c r="AJ137" s="50"/>
      <c r="AK137" s="50"/>
      <c r="AL137" s="44"/>
      <c r="AM137" s="45"/>
      <c r="AN137" s="50"/>
      <c r="AO137" s="69"/>
      <c r="AP137" s="69"/>
      <c r="AQ137" s="69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5"/>
      <c r="BD137" s="56"/>
      <c r="BE137" s="61"/>
      <c r="BF137" s="65"/>
      <c r="BG137" s="66"/>
      <c r="BH137" s="66"/>
      <c r="BI137" s="60"/>
      <c r="BJ137" s="60"/>
      <c r="BK137" s="60"/>
      <c r="BL137" s="60"/>
      <c r="BM137" s="60"/>
      <c r="BN137" s="60"/>
      <c r="BO137" s="60"/>
      <c r="BP137" s="60"/>
      <c r="BQ137" s="60" t="str">
        <f>IF(BS137="Original",AI137,AZ137)</f>
        <v>Low Threshold Spend</v>
      </c>
      <c r="BR137" s="60"/>
      <c r="BS137" s="60" t="str">
        <f>IF(AQ137="","Original",IF(AP137&lt;Y137,"Alternate","Original"))</f>
        <v>Original</v>
      </c>
    </row>
    <row r="138" spans="1:71" s="31" customFormat="1" x14ac:dyDescent="0.35">
      <c r="A138" s="53" t="s">
        <v>39</v>
      </c>
      <c r="B138" s="49">
        <v>136</v>
      </c>
      <c r="C138" s="50"/>
      <c r="D138" s="50"/>
      <c r="E138" s="51"/>
      <c r="F138" s="50" t="s">
        <v>60</v>
      </c>
      <c r="G138" s="50" t="s">
        <v>681</v>
      </c>
      <c r="H138" s="50" t="s">
        <v>682</v>
      </c>
      <c r="I138" s="50"/>
      <c r="J138" s="50"/>
      <c r="K138" s="50"/>
      <c r="L138" s="50"/>
      <c r="M138" s="50"/>
      <c r="N138" s="54" t="s">
        <v>43</v>
      </c>
      <c r="O138" s="49">
        <v>1</v>
      </c>
      <c r="P138" s="43">
        <v>89.71</v>
      </c>
      <c r="Q138" s="49">
        <v>1</v>
      </c>
      <c r="R138" s="44">
        <f>P138/O138</f>
        <v>89.71</v>
      </c>
      <c r="S138" s="49">
        <f>Q138*O138</f>
        <v>1</v>
      </c>
      <c r="T138" s="52">
        <f>S138*R138</f>
        <v>89.71</v>
      </c>
      <c r="U138" s="50"/>
      <c r="V138" s="50"/>
      <c r="W138" s="50"/>
      <c r="X138" s="69"/>
      <c r="Y138" s="69"/>
      <c r="Z138" s="69"/>
      <c r="AA138" s="50"/>
      <c r="AB138" s="50"/>
      <c r="AC138" s="50"/>
      <c r="AD138" s="50"/>
      <c r="AE138" s="50"/>
      <c r="AF138" s="50"/>
      <c r="AG138" s="50"/>
      <c r="AH138" s="50"/>
      <c r="AI138" s="50" t="s">
        <v>652</v>
      </c>
      <c r="AJ138" s="50"/>
      <c r="AK138" s="50"/>
      <c r="AL138" s="44"/>
      <c r="AM138" s="45"/>
      <c r="AN138" s="50"/>
      <c r="AO138" s="69"/>
      <c r="AP138" s="69"/>
      <c r="AQ138" s="69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5"/>
      <c r="BD138" s="56"/>
      <c r="BE138" s="61"/>
      <c r="BF138" s="65"/>
      <c r="BG138" s="66"/>
      <c r="BH138" s="66"/>
      <c r="BI138" s="60"/>
      <c r="BJ138" s="60"/>
      <c r="BK138" s="60"/>
      <c r="BL138" s="60"/>
      <c r="BM138" s="60"/>
      <c r="BN138" s="60"/>
      <c r="BO138" s="60"/>
      <c r="BP138" s="60"/>
      <c r="BQ138" s="60" t="str">
        <f>IF(BS138="Original",AI138,AZ138)</f>
        <v>Low Threshold Spend</v>
      </c>
      <c r="BR138" s="60"/>
      <c r="BS138" s="60" t="str">
        <f>IF(AQ138="","Original",IF(AP138&lt;Y138,"Alternate","Original"))</f>
        <v>Original</v>
      </c>
    </row>
    <row r="139" spans="1:71" s="31" customFormat="1" x14ac:dyDescent="0.35">
      <c r="A139" s="53" t="s">
        <v>39</v>
      </c>
      <c r="B139" s="49">
        <v>137</v>
      </c>
      <c r="C139" s="50"/>
      <c r="D139" s="50"/>
      <c r="E139" s="51"/>
      <c r="F139" s="50" t="s">
        <v>49</v>
      </c>
      <c r="G139" s="50" t="s">
        <v>683</v>
      </c>
      <c r="H139" s="50" t="s">
        <v>684</v>
      </c>
      <c r="I139" s="50"/>
      <c r="J139" s="50"/>
      <c r="K139" s="50"/>
      <c r="L139" s="50"/>
      <c r="M139" s="50"/>
      <c r="N139" s="54" t="s">
        <v>43</v>
      </c>
      <c r="O139" s="49">
        <v>1</v>
      </c>
      <c r="P139" s="43">
        <v>88.47</v>
      </c>
      <c r="Q139" s="49">
        <v>1</v>
      </c>
      <c r="R139" s="44">
        <f>P139/O139</f>
        <v>88.47</v>
      </c>
      <c r="S139" s="49">
        <f>Q139*O139</f>
        <v>1</v>
      </c>
      <c r="T139" s="52">
        <f>S139*R139</f>
        <v>88.47</v>
      </c>
      <c r="U139" s="50"/>
      <c r="V139" s="50"/>
      <c r="W139" s="50"/>
      <c r="X139" s="69"/>
      <c r="Y139" s="69"/>
      <c r="Z139" s="69"/>
      <c r="AA139" s="50"/>
      <c r="AB139" s="50"/>
      <c r="AC139" s="50"/>
      <c r="AD139" s="50"/>
      <c r="AE139" s="50"/>
      <c r="AF139" s="50"/>
      <c r="AG139" s="50"/>
      <c r="AH139" s="50"/>
      <c r="AI139" s="50" t="s">
        <v>652</v>
      </c>
      <c r="AJ139" s="50"/>
      <c r="AK139" s="50"/>
      <c r="AL139" s="44"/>
      <c r="AM139" s="45"/>
      <c r="AN139" s="50"/>
      <c r="AO139" s="69"/>
      <c r="AP139" s="69"/>
      <c r="AQ139" s="69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5"/>
      <c r="BD139" s="56"/>
      <c r="BE139" s="61"/>
      <c r="BF139" s="65"/>
      <c r="BG139" s="66"/>
      <c r="BH139" s="66"/>
      <c r="BI139" s="60"/>
      <c r="BJ139" s="60"/>
      <c r="BK139" s="60"/>
      <c r="BL139" s="60"/>
      <c r="BM139" s="60"/>
      <c r="BN139" s="60"/>
      <c r="BO139" s="60"/>
      <c r="BP139" s="60"/>
      <c r="BQ139" s="60" t="str">
        <f>IF(BS139="Original",AI139,AZ139)</f>
        <v>Low Threshold Spend</v>
      </c>
      <c r="BR139" s="60"/>
      <c r="BS139" s="60" t="str">
        <f>IF(AQ139="","Original",IF(AP139&lt;Y139,"Alternate","Original"))</f>
        <v>Original</v>
      </c>
    </row>
    <row r="140" spans="1:71" s="31" customFormat="1" x14ac:dyDescent="0.35">
      <c r="A140" s="53" t="s">
        <v>39</v>
      </c>
      <c r="B140" s="49">
        <v>138</v>
      </c>
      <c r="C140" s="50"/>
      <c r="D140" s="50"/>
      <c r="E140" s="51"/>
      <c r="F140" s="50" t="s">
        <v>49</v>
      </c>
      <c r="G140" s="50" t="s">
        <v>685</v>
      </c>
      <c r="H140" s="50" t="s">
        <v>686</v>
      </c>
      <c r="I140" s="50"/>
      <c r="J140" s="50"/>
      <c r="K140" s="50"/>
      <c r="L140" s="50"/>
      <c r="M140" s="50"/>
      <c r="N140" s="54" t="s">
        <v>43</v>
      </c>
      <c r="O140" s="49">
        <v>1</v>
      </c>
      <c r="P140" s="43">
        <v>88.33</v>
      </c>
      <c r="Q140" s="49">
        <v>1</v>
      </c>
      <c r="R140" s="44">
        <f>P140/O140</f>
        <v>88.33</v>
      </c>
      <c r="S140" s="49">
        <f>Q140*O140</f>
        <v>1</v>
      </c>
      <c r="T140" s="52">
        <f>S140*R140</f>
        <v>88.33</v>
      </c>
      <c r="U140" s="50"/>
      <c r="V140" s="50"/>
      <c r="W140" s="50"/>
      <c r="X140" s="69"/>
      <c r="Y140" s="69"/>
      <c r="Z140" s="69"/>
      <c r="AA140" s="50"/>
      <c r="AB140" s="50"/>
      <c r="AC140" s="50"/>
      <c r="AD140" s="50"/>
      <c r="AE140" s="50"/>
      <c r="AF140" s="50"/>
      <c r="AG140" s="50"/>
      <c r="AH140" s="50"/>
      <c r="AI140" s="50" t="s">
        <v>652</v>
      </c>
      <c r="AJ140" s="50"/>
      <c r="AK140" s="50"/>
      <c r="AL140" s="44"/>
      <c r="AM140" s="45"/>
      <c r="AN140" s="50"/>
      <c r="AO140" s="69"/>
      <c r="AP140" s="69"/>
      <c r="AQ140" s="69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5"/>
      <c r="BD140" s="56"/>
      <c r="BE140" s="61"/>
      <c r="BF140" s="65"/>
      <c r="BG140" s="66"/>
      <c r="BH140" s="66"/>
      <c r="BI140" s="60"/>
      <c r="BJ140" s="60"/>
      <c r="BK140" s="60"/>
      <c r="BL140" s="60"/>
      <c r="BM140" s="60"/>
      <c r="BN140" s="60"/>
      <c r="BO140" s="60"/>
      <c r="BP140" s="60"/>
      <c r="BQ140" s="60" t="str">
        <f>IF(BS140="Original",AI140,AZ140)</f>
        <v>Low Threshold Spend</v>
      </c>
      <c r="BR140" s="60"/>
      <c r="BS140" s="60" t="str">
        <f>IF(AQ140="","Original",IF(AP140&lt;Y140,"Alternate","Original"))</f>
        <v>Original</v>
      </c>
    </row>
    <row r="141" spans="1:71" s="31" customFormat="1" x14ac:dyDescent="0.35">
      <c r="A141" s="53" t="s">
        <v>39</v>
      </c>
      <c r="B141" s="49">
        <v>139</v>
      </c>
      <c r="C141" s="50"/>
      <c r="D141" s="50"/>
      <c r="E141" s="51"/>
      <c r="F141" s="50" t="s">
        <v>40</v>
      </c>
      <c r="G141" s="50" t="s">
        <v>687</v>
      </c>
      <c r="H141" s="50" t="s">
        <v>688</v>
      </c>
      <c r="I141" s="50"/>
      <c r="J141" s="50"/>
      <c r="K141" s="50"/>
      <c r="L141" s="50"/>
      <c r="M141" s="50"/>
      <c r="N141" s="54" t="s">
        <v>43</v>
      </c>
      <c r="O141" s="49">
        <v>1</v>
      </c>
      <c r="P141" s="43">
        <v>88.02</v>
      </c>
      <c r="Q141" s="49">
        <v>1</v>
      </c>
      <c r="R141" s="44">
        <f>P141/O141</f>
        <v>88.02</v>
      </c>
      <c r="S141" s="49">
        <f>Q141*O141</f>
        <v>1</v>
      </c>
      <c r="T141" s="52">
        <f>S141*R141</f>
        <v>88.02</v>
      </c>
      <c r="U141" s="50"/>
      <c r="V141" s="50"/>
      <c r="W141" s="50"/>
      <c r="X141" s="69"/>
      <c r="Y141" s="69"/>
      <c r="Z141" s="69"/>
      <c r="AA141" s="50"/>
      <c r="AB141" s="50"/>
      <c r="AC141" s="50"/>
      <c r="AD141" s="50"/>
      <c r="AE141" s="50"/>
      <c r="AF141" s="50"/>
      <c r="AG141" s="50"/>
      <c r="AH141" s="50"/>
      <c r="AI141" s="50" t="s">
        <v>652</v>
      </c>
      <c r="AJ141" s="50"/>
      <c r="AK141" s="50"/>
      <c r="AL141" s="44"/>
      <c r="AM141" s="45"/>
      <c r="AN141" s="50"/>
      <c r="AO141" s="69"/>
      <c r="AP141" s="69"/>
      <c r="AQ141" s="69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5"/>
      <c r="BD141" s="56"/>
      <c r="BE141" s="61"/>
      <c r="BF141" s="65"/>
      <c r="BG141" s="66"/>
      <c r="BH141" s="66"/>
      <c r="BI141" s="60"/>
      <c r="BJ141" s="60"/>
      <c r="BK141" s="60"/>
      <c r="BL141" s="60"/>
      <c r="BM141" s="60"/>
      <c r="BN141" s="60"/>
      <c r="BO141" s="60"/>
      <c r="BP141" s="60"/>
      <c r="BQ141" s="60" t="str">
        <f>IF(BS141="Original",AI141,AZ141)</f>
        <v>Low Threshold Spend</v>
      </c>
      <c r="BR141" s="60"/>
      <c r="BS141" s="60" t="str">
        <f>IF(AQ141="","Original",IF(AP141&lt;Y141,"Alternate","Original"))</f>
        <v>Original</v>
      </c>
    </row>
    <row r="142" spans="1:71" s="31" customFormat="1" x14ac:dyDescent="0.35">
      <c r="A142" s="53" t="s">
        <v>39</v>
      </c>
      <c r="B142" s="49">
        <v>140</v>
      </c>
      <c r="C142" s="50"/>
      <c r="D142" s="50"/>
      <c r="E142" s="51"/>
      <c r="F142" s="50" t="s">
        <v>49</v>
      </c>
      <c r="G142" s="50" t="s">
        <v>689</v>
      </c>
      <c r="H142" s="50" t="s">
        <v>690</v>
      </c>
      <c r="I142" s="50"/>
      <c r="J142" s="50"/>
      <c r="K142" s="50"/>
      <c r="L142" s="50"/>
      <c r="M142" s="50"/>
      <c r="N142" s="54" t="s">
        <v>43</v>
      </c>
      <c r="O142" s="49">
        <v>1</v>
      </c>
      <c r="P142" s="43">
        <v>87.71</v>
      </c>
      <c r="Q142" s="49">
        <v>1</v>
      </c>
      <c r="R142" s="44">
        <f>P142/O142</f>
        <v>87.71</v>
      </c>
      <c r="S142" s="49">
        <f>Q142*O142</f>
        <v>1</v>
      </c>
      <c r="T142" s="52">
        <f>S142*R142</f>
        <v>87.71</v>
      </c>
      <c r="U142" s="50"/>
      <c r="V142" s="50"/>
      <c r="W142" s="50"/>
      <c r="X142" s="69"/>
      <c r="Y142" s="69"/>
      <c r="Z142" s="69"/>
      <c r="AA142" s="50"/>
      <c r="AB142" s="50"/>
      <c r="AC142" s="50"/>
      <c r="AD142" s="50"/>
      <c r="AE142" s="50"/>
      <c r="AF142" s="50"/>
      <c r="AG142" s="50"/>
      <c r="AH142" s="50"/>
      <c r="AI142" s="50" t="s">
        <v>652</v>
      </c>
      <c r="AJ142" s="50"/>
      <c r="AK142" s="50"/>
      <c r="AL142" s="44"/>
      <c r="AM142" s="45"/>
      <c r="AN142" s="50"/>
      <c r="AO142" s="69"/>
      <c r="AP142" s="69"/>
      <c r="AQ142" s="69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5"/>
      <c r="BD142" s="56"/>
      <c r="BE142" s="61"/>
      <c r="BF142" s="65"/>
      <c r="BG142" s="66"/>
      <c r="BH142" s="66"/>
      <c r="BI142" s="60"/>
      <c r="BJ142" s="60"/>
      <c r="BK142" s="60"/>
      <c r="BL142" s="60"/>
      <c r="BM142" s="60"/>
      <c r="BN142" s="60"/>
      <c r="BO142" s="60"/>
      <c r="BP142" s="60"/>
      <c r="BQ142" s="60" t="str">
        <f>IF(BS142="Original",AI142,AZ142)</f>
        <v>Low Threshold Spend</v>
      </c>
      <c r="BR142" s="60"/>
      <c r="BS142" s="60" t="str">
        <f>IF(AQ142="","Original",IF(AP142&lt;Y142,"Alternate","Original"))</f>
        <v>Original</v>
      </c>
    </row>
    <row r="143" spans="1:71" s="31" customFormat="1" x14ac:dyDescent="0.35">
      <c r="A143" s="53" t="s">
        <v>39</v>
      </c>
      <c r="B143" s="49">
        <v>141</v>
      </c>
      <c r="C143" s="50"/>
      <c r="D143" s="50"/>
      <c r="E143" s="51"/>
      <c r="F143" s="50" t="s">
        <v>49</v>
      </c>
      <c r="G143" s="50" t="s">
        <v>691</v>
      </c>
      <c r="H143" s="50" t="s">
        <v>692</v>
      </c>
      <c r="I143" s="50"/>
      <c r="J143" s="50"/>
      <c r="K143" s="50"/>
      <c r="L143" s="50"/>
      <c r="M143" s="50"/>
      <c r="N143" s="54" t="s">
        <v>43</v>
      </c>
      <c r="O143" s="49">
        <v>1</v>
      </c>
      <c r="P143" s="43">
        <v>87.12</v>
      </c>
      <c r="Q143" s="49">
        <v>1</v>
      </c>
      <c r="R143" s="44">
        <f>P143/O143</f>
        <v>87.12</v>
      </c>
      <c r="S143" s="49">
        <f>Q143*O143</f>
        <v>1</v>
      </c>
      <c r="T143" s="52">
        <f>S143*R143</f>
        <v>87.12</v>
      </c>
      <c r="U143" s="50"/>
      <c r="V143" s="50"/>
      <c r="W143" s="50"/>
      <c r="X143" s="69"/>
      <c r="Y143" s="69"/>
      <c r="Z143" s="69"/>
      <c r="AA143" s="50"/>
      <c r="AB143" s="50"/>
      <c r="AC143" s="50"/>
      <c r="AD143" s="50"/>
      <c r="AE143" s="50"/>
      <c r="AF143" s="50"/>
      <c r="AG143" s="50"/>
      <c r="AH143" s="50"/>
      <c r="AI143" s="50" t="s">
        <v>652</v>
      </c>
      <c r="AJ143" s="50"/>
      <c r="AK143" s="50"/>
      <c r="AL143" s="44"/>
      <c r="AM143" s="45"/>
      <c r="AN143" s="50"/>
      <c r="AO143" s="69"/>
      <c r="AP143" s="69"/>
      <c r="AQ143" s="69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5"/>
      <c r="BD143" s="56"/>
      <c r="BE143" s="61"/>
      <c r="BF143" s="65"/>
      <c r="BG143" s="66"/>
      <c r="BH143" s="66"/>
      <c r="BI143" s="60"/>
      <c r="BJ143" s="60"/>
      <c r="BK143" s="60"/>
      <c r="BL143" s="60"/>
      <c r="BM143" s="60"/>
      <c r="BN143" s="60"/>
      <c r="BO143" s="60"/>
      <c r="BP143" s="60"/>
      <c r="BQ143" s="60" t="str">
        <f>IF(BS143="Original",AI143,AZ143)</f>
        <v>Low Threshold Spend</v>
      </c>
      <c r="BR143" s="60"/>
      <c r="BS143" s="60" t="str">
        <f>IF(AQ143="","Original",IF(AP143&lt;Y143,"Alternate","Original"))</f>
        <v>Original</v>
      </c>
    </row>
    <row r="144" spans="1:71" s="31" customFormat="1" x14ac:dyDescent="0.35">
      <c r="A144" s="53" t="s">
        <v>39</v>
      </c>
      <c r="B144" s="49">
        <v>142</v>
      </c>
      <c r="C144" s="50"/>
      <c r="D144" s="50"/>
      <c r="E144" s="51"/>
      <c r="F144" s="50" t="s">
        <v>60</v>
      </c>
      <c r="G144" s="50" t="s">
        <v>693</v>
      </c>
      <c r="H144" s="50" t="s">
        <v>694</v>
      </c>
      <c r="I144" s="50"/>
      <c r="J144" s="50"/>
      <c r="K144" s="50"/>
      <c r="L144" s="50"/>
      <c r="M144" s="50"/>
      <c r="N144" s="54" t="s">
        <v>43</v>
      </c>
      <c r="O144" s="49">
        <v>1</v>
      </c>
      <c r="P144" s="43">
        <v>86.26</v>
      </c>
      <c r="Q144" s="49">
        <v>1</v>
      </c>
      <c r="R144" s="44">
        <f>P144/O144</f>
        <v>86.26</v>
      </c>
      <c r="S144" s="49">
        <f>Q144*O144</f>
        <v>1</v>
      </c>
      <c r="T144" s="52">
        <f>S144*R144</f>
        <v>86.26</v>
      </c>
      <c r="U144" s="50"/>
      <c r="V144" s="50"/>
      <c r="W144" s="50"/>
      <c r="X144" s="69"/>
      <c r="Y144" s="69"/>
      <c r="Z144" s="69"/>
      <c r="AA144" s="50"/>
      <c r="AB144" s="50"/>
      <c r="AC144" s="50"/>
      <c r="AD144" s="50"/>
      <c r="AE144" s="50"/>
      <c r="AF144" s="50"/>
      <c r="AG144" s="50"/>
      <c r="AH144" s="50"/>
      <c r="AI144" s="50" t="s">
        <v>652</v>
      </c>
      <c r="AJ144" s="50"/>
      <c r="AK144" s="50"/>
      <c r="AL144" s="44"/>
      <c r="AM144" s="45"/>
      <c r="AN144" s="50"/>
      <c r="AO144" s="69"/>
      <c r="AP144" s="69"/>
      <c r="AQ144" s="69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5"/>
      <c r="BD144" s="56"/>
      <c r="BE144" s="61"/>
      <c r="BF144" s="65"/>
      <c r="BG144" s="66"/>
      <c r="BH144" s="66"/>
      <c r="BI144" s="60"/>
      <c r="BJ144" s="60"/>
      <c r="BK144" s="60"/>
      <c r="BL144" s="60"/>
      <c r="BM144" s="60"/>
      <c r="BN144" s="60"/>
      <c r="BO144" s="60"/>
      <c r="BP144" s="60"/>
      <c r="BQ144" s="60" t="str">
        <f>IF(BS144="Original",AI144,AZ144)</f>
        <v>Low Threshold Spend</v>
      </c>
      <c r="BR144" s="60"/>
      <c r="BS144" s="60" t="str">
        <f>IF(AQ144="","Original",IF(AP144&lt;Y144,"Alternate","Original"))</f>
        <v>Original</v>
      </c>
    </row>
    <row r="145" spans="1:71" s="31" customFormat="1" x14ac:dyDescent="0.35">
      <c r="A145" s="53" t="s">
        <v>39</v>
      </c>
      <c r="B145" s="49">
        <v>143</v>
      </c>
      <c r="C145" s="50"/>
      <c r="D145" s="50"/>
      <c r="E145" s="51"/>
      <c r="F145" s="50" t="s">
        <v>40</v>
      </c>
      <c r="G145" s="50" t="s">
        <v>695</v>
      </c>
      <c r="H145" s="50" t="s">
        <v>696</v>
      </c>
      <c r="I145" s="50"/>
      <c r="J145" s="50"/>
      <c r="K145" s="50"/>
      <c r="L145" s="50"/>
      <c r="M145" s="50"/>
      <c r="N145" s="54" t="s">
        <v>43</v>
      </c>
      <c r="O145" s="49">
        <v>1</v>
      </c>
      <c r="P145" s="43">
        <v>86.12</v>
      </c>
      <c r="Q145" s="49">
        <v>1</v>
      </c>
      <c r="R145" s="44">
        <f>P145/O145</f>
        <v>86.12</v>
      </c>
      <c r="S145" s="49">
        <f>Q145*O145</f>
        <v>1</v>
      </c>
      <c r="T145" s="52">
        <f>S145*R145</f>
        <v>86.12</v>
      </c>
      <c r="U145" s="50"/>
      <c r="V145" s="50"/>
      <c r="W145" s="50"/>
      <c r="X145" s="69"/>
      <c r="Y145" s="69"/>
      <c r="Z145" s="69"/>
      <c r="AA145" s="50"/>
      <c r="AB145" s="50"/>
      <c r="AC145" s="50"/>
      <c r="AD145" s="50"/>
      <c r="AE145" s="50"/>
      <c r="AF145" s="50"/>
      <c r="AG145" s="50"/>
      <c r="AH145" s="50"/>
      <c r="AI145" s="50" t="s">
        <v>652</v>
      </c>
      <c r="AJ145" s="50"/>
      <c r="AK145" s="50"/>
      <c r="AL145" s="44"/>
      <c r="AM145" s="45"/>
      <c r="AN145" s="50"/>
      <c r="AO145" s="69"/>
      <c r="AP145" s="69"/>
      <c r="AQ145" s="69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5"/>
      <c r="BD145" s="56"/>
      <c r="BE145" s="61"/>
      <c r="BF145" s="65"/>
      <c r="BG145" s="66"/>
      <c r="BH145" s="66"/>
      <c r="BI145" s="60"/>
      <c r="BJ145" s="60"/>
      <c r="BK145" s="60"/>
      <c r="BL145" s="60"/>
      <c r="BM145" s="60"/>
      <c r="BN145" s="60"/>
      <c r="BO145" s="60"/>
      <c r="BP145" s="60"/>
      <c r="BQ145" s="60" t="str">
        <f>IF(BS145="Original",AI145,AZ145)</f>
        <v>Low Threshold Spend</v>
      </c>
      <c r="BR145" s="60"/>
      <c r="BS145" s="60" t="str">
        <f>IF(AQ145="","Original",IF(AP145&lt;Y145,"Alternate","Original"))</f>
        <v>Original</v>
      </c>
    </row>
    <row r="146" spans="1:71" s="31" customFormat="1" x14ac:dyDescent="0.35">
      <c r="A146" s="53" t="s">
        <v>39</v>
      </c>
      <c r="B146" s="49">
        <v>144</v>
      </c>
      <c r="C146" s="50"/>
      <c r="D146" s="50"/>
      <c r="E146" s="51"/>
      <c r="F146" s="50" t="s">
        <v>60</v>
      </c>
      <c r="G146" s="50" t="s">
        <v>697</v>
      </c>
      <c r="H146" s="50" t="s">
        <v>698</v>
      </c>
      <c r="I146" s="50"/>
      <c r="J146" s="50"/>
      <c r="K146" s="50"/>
      <c r="L146" s="50"/>
      <c r="M146" s="50"/>
      <c r="N146" s="54" t="s">
        <v>43</v>
      </c>
      <c r="O146" s="49">
        <v>1</v>
      </c>
      <c r="P146" s="43">
        <v>85.37</v>
      </c>
      <c r="Q146" s="49">
        <v>1</v>
      </c>
      <c r="R146" s="44">
        <f>P146/O146</f>
        <v>85.37</v>
      </c>
      <c r="S146" s="49">
        <f>Q146*O146</f>
        <v>1</v>
      </c>
      <c r="T146" s="52">
        <f>S146*R146</f>
        <v>85.37</v>
      </c>
      <c r="U146" s="50"/>
      <c r="V146" s="50"/>
      <c r="W146" s="50"/>
      <c r="X146" s="69"/>
      <c r="Y146" s="69"/>
      <c r="Z146" s="69"/>
      <c r="AA146" s="50"/>
      <c r="AB146" s="50"/>
      <c r="AC146" s="50"/>
      <c r="AD146" s="50"/>
      <c r="AE146" s="50"/>
      <c r="AF146" s="50"/>
      <c r="AG146" s="50"/>
      <c r="AH146" s="50"/>
      <c r="AI146" s="50" t="s">
        <v>652</v>
      </c>
      <c r="AJ146" s="50"/>
      <c r="AK146" s="50"/>
      <c r="AL146" s="44"/>
      <c r="AM146" s="45"/>
      <c r="AN146" s="50"/>
      <c r="AO146" s="69"/>
      <c r="AP146" s="69"/>
      <c r="AQ146" s="69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5"/>
      <c r="BD146" s="56"/>
      <c r="BE146" s="61"/>
      <c r="BF146" s="65"/>
      <c r="BG146" s="66"/>
      <c r="BH146" s="66"/>
      <c r="BI146" s="60"/>
      <c r="BJ146" s="60"/>
      <c r="BK146" s="60"/>
      <c r="BL146" s="60"/>
      <c r="BM146" s="60"/>
      <c r="BN146" s="60"/>
      <c r="BO146" s="60"/>
      <c r="BP146" s="60"/>
      <c r="BQ146" s="60" t="str">
        <f>IF(BS146="Original",AI146,AZ146)</f>
        <v>Low Threshold Spend</v>
      </c>
      <c r="BR146" s="60"/>
      <c r="BS146" s="60" t="str">
        <f>IF(AQ146="","Original",IF(AP146&lt;Y146,"Alternate","Original"))</f>
        <v>Original</v>
      </c>
    </row>
    <row r="147" spans="1:71" s="31" customFormat="1" x14ac:dyDescent="0.35">
      <c r="A147" s="53" t="s">
        <v>39</v>
      </c>
      <c r="B147" s="49">
        <v>145</v>
      </c>
      <c r="C147" s="50"/>
      <c r="D147" s="50"/>
      <c r="E147" s="51"/>
      <c r="F147" s="50" t="s">
        <v>40</v>
      </c>
      <c r="G147" s="50" t="s">
        <v>699</v>
      </c>
      <c r="H147" s="50" t="s">
        <v>700</v>
      </c>
      <c r="I147" s="50"/>
      <c r="J147" s="50"/>
      <c r="K147" s="50"/>
      <c r="L147" s="50"/>
      <c r="M147" s="50"/>
      <c r="N147" s="54" t="s">
        <v>43</v>
      </c>
      <c r="O147" s="49">
        <v>1</v>
      </c>
      <c r="P147" s="43">
        <v>84.88</v>
      </c>
      <c r="Q147" s="49">
        <v>1</v>
      </c>
      <c r="R147" s="44">
        <f>P147/O147</f>
        <v>84.88</v>
      </c>
      <c r="S147" s="49">
        <f>Q147*O147</f>
        <v>1</v>
      </c>
      <c r="T147" s="52">
        <f>S147*R147</f>
        <v>84.88</v>
      </c>
      <c r="U147" s="50"/>
      <c r="V147" s="50"/>
      <c r="W147" s="50"/>
      <c r="X147" s="69"/>
      <c r="Y147" s="69"/>
      <c r="Z147" s="69"/>
      <c r="AA147" s="50"/>
      <c r="AB147" s="50"/>
      <c r="AC147" s="50"/>
      <c r="AD147" s="50"/>
      <c r="AE147" s="50"/>
      <c r="AF147" s="50"/>
      <c r="AG147" s="50"/>
      <c r="AH147" s="50"/>
      <c r="AI147" s="50" t="s">
        <v>652</v>
      </c>
      <c r="AJ147" s="50"/>
      <c r="AK147" s="50"/>
      <c r="AL147" s="44"/>
      <c r="AM147" s="45"/>
      <c r="AN147" s="50"/>
      <c r="AO147" s="69"/>
      <c r="AP147" s="69"/>
      <c r="AQ147" s="69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5"/>
      <c r="BD147" s="56"/>
      <c r="BE147" s="61"/>
      <c r="BF147" s="65"/>
      <c r="BG147" s="66"/>
      <c r="BH147" s="66"/>
      <c r="BI147" s="60"/>
      <c r="BJ147" s="60"/>
      <c r="BK147" s="60"/>
      <c r="BL147" s="60"/>
      <c r="BM147" s="60"/>
      <c r="BN147" s="60"/>
      <c r="BO147" s="60"/>
      <c r="BP147" s="60"/>
      <c r="BQ147" s="60" t="str">
        <f>IF(BS147="Original",AI147,AZ147)</f>
        <v>Low Threshold Spend</v>
      </c>
      <c r="BR147" s="60"/>
      <c r="BS147" s="60" t="str">
        <f>IF(AQ147="","Original",IF(AP147&lt;Y147,"Alternate","Original"))</f>
        <v>Original</v>
      </c>
    </row>
    <row r="148" spans="1:71" s="31" customFormat="1" x14ac:dyDescent="0.35">
      <c r="A148" s="53" t="s">
        <v>39</v>
      </c>
      <c r="B148" s="49">
        <v>146</v>
      </c>
      <c r="C148" s="50"/>
      <c r="D148" s="50"/>
      <c r="E148" s="51"/>
      <c r="F148" s="50" t="s">
        <v>49</v>
      </c>
      <c r="G148" s="50" t="s">
        <v>701</v>
      </c>
      <c r="H148" s="50" t="s">
        <v>414</v>
      </c>
      <c r="I148" s="50"/>
      <c r="J148" s="50"/>
      <c r="K148" s="50"/>
      <c r="L148" s="50"/>
      <c r="M148" s="50"/>
      <c r="N148" s="54" t="s">
        <v>43</v>
      </c>
      <c r="O148" s="49">
        <v>1</v>
      </c>
      <c r="P148" s="43">
        <v>83.35</v>
      </c>
      <c r="Q148" s="49">
        <v>1</v>
      </c>
      <c r="R148" s="44">
        <f>P148/O148</f>
        <v>83.35</v>
      </c>
      <c r="S148" s="49">
        <f>Q148*O148</f>
        <v>1</v>
      </c>
      <c r="T148" s="52">
        <f>S148*R148</f>
        <v>83.35</v>
      </c>
      <c r="U148" s="50"/>
      <c r="V148" s="50"/>
      <c r="W148" s="50"/>
      <c r="X148" s="69"/>
      <c r="Y148" s="69"/>
      <c r="Z148" s="69"/>
      <c r="AA148" s="50"/>
      <c r="AB148" s="50"/>
      <c r="AC148" s="50"/>
      <c r="AD148" s="50"/>
      <c r="AE148" s="50"/>
      <c r="AF148" s="50"/>
      <c r="AG148" s="50"/>
      <c r="AH148" s="50"/>
      <c r="AI148" s="50" t="s">
        <v>652</v>
      </c>
      <c r="AJ148" s="50"/>
      <c r="AK148" s="50"/>
      <c r="AL148" s="44"/>
      <c r="AM148" s="45"/>
      <c r="AN148" s="50"/>
      <c r="AO148" s="69"/>
      <c r="AP148" s="69"/>
      <c r="AQ148" s="69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5"/>
      <c r="BD148" s="56"/>
      <c r="BE148" s="61"/>
      <c r="BF148" s="65"/>
      <c r="BG148" s="66"/>
      <c r="BH148" s="66"/>
      <c r="BI148" s="60"/>
      <c r="BJ148" s="60"/>
      <c r="BK148" s="60"/>
      <c r="BL148" s="60"/>
      <c r="BM148" s="60"/>
      <c r="BN148" s="60"/>
      <c r="BO148" s="60"/>
      <c r="BP148" s="60"/>
      <c r="BQ148" s="60" t="str">
        <f>IF(BS148="Original",AI148,AZ148)</f>
        <v>Low Threshold Spend</v>
      </c>
      <c r="BR148" s="60"/>
      <c r="BS148" s="60" t="str">
        <f>IF(AQ148="","Original",IF(AP148&lt;Y148,"Alternate","Original"))</f>
        <v>Original</v>
      </c>
    </row>
    <row r="149" spans="1:71" s="31" customFormat="1" x14ac:dyDescent="0.35">
      <c r="A149" s="53" t="s">
        <v>39</v>
      </c>
      <c r="B149" s="49">
        <v>147</v>
      </c>
      <c r="C149" s="50"/>
      <c r="D149" s="50"/>
      <c r="E149" s="51"/>
      <c r="F149" s="50" t="s">
        <v>40</v>
      </c>
      <c r="G149" s="50" t="s">
        <v>702</v>
      </c>
      <c r="H149" s="50" t="s">
        <v>703</v>
      </c>
      <c r="I149" s="50"/>
      <c r="J149" s="50"/>
      <c r="K149" s="50"/>
      <c r="L149" s="50"/>
      <c r="M149" s="50"/>
      <c r="N149" s="54" t="s">
        <v>43</v>
      </c>
      <c r="O149" s="49">
        <v>1</v>
      </c>
      <c r="P149" s="43">
        <v>82.36</v>
      </c>
      <c r="Q149" s="49">
        <v>1</v>
      </c>
      <c r="R149" s="44">
        <f>P149/O149</f>
        <v>82.36</v>
      </c>
      <c r="S149" s="49">
        <f>Q149*O149</f>
        <v>1</v>
      </c>
      <c r="T149" s="52">
        <f>S149*R149</f>
        <v>82.36</v>
      </c>
      <c r="U149" s="50"/>
      <c r="V149" s="50"/>
      <c r="W149" s="50"/>
      <c r="X149" s="69"/>
      <c r="Y149" s="69"/>
      <c r="Z149" s="69"/>
      <c r="AA149" s="50"/>
      <c r="AB149" s="50"/>
      <c r="AC149" s="50"/>
      <c r="AD149" s="50"/>
      <c r="AE149" s="50"/>
      <c r="AF149" s="50"/>
      <c r="AG149" s="50"/>
      <c r="AH149" s="50"/>
      <c r="AI149" s="50" t="s">
        <v>652</v>
      </c>
      <c r="AJ149" s="50"/>
      <c r="AK149" s="50"/>
      <c r="AL149" s="44"/>
      <c r="AM149" s="45"/>
      <c r="AN149" s="50"/>
      <c r="AO149" s="69"/>
      <c r="AP149" s="69"/>
      <c r="AQ149" s="69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5"/>
      <c r="BD149" s="56"/>
      <c r="BE149" s="61"/>
      <c r="BF149" s="65"/>
      <c r="BG149" s="66"/>
      <c r="BH149" s="66"/>
      <c r="BI149" s="60"/>
      <c r="BJ149" s="60"/>
      <c r="BK149" s="60"/>
      <c r="BL149" s="60"/>
      <c r="BM149" s="60"/>
      <c r="BN149" s="60"/>
      <c r="BO149" s="60"/>
      <c r="BP149" s="60"/>
      <c r="BQ149" s="60" t="str">
        <f>IF(BS149="Original",AI149,AZ149)</f>
        <v>Low Threshold Spend</v>
      </c>
      <c r="BR149" s="60"/>
      <c r="BS149" s="60" t="str">
        <f>IF(AQ149="","Original",IF(AP149&lt;Y149,"Alternate","Original"))</f>
        <v>Original</v>
      </c>
    </row>
    <row r="150" spans="1:71" s="31" customFormat="1" x14ac:dyDescent="0.35">
      <c r="A150" s="53" t="s">
        <v>39</v>
      </c>
      <c r="B150" s="49">
        <v>148</v>
      </c>
      <c r="C150" s="50"/>
      <c r="D150" s="50"/>
      <c r="E150" s="51"/>
      <c r="F150" s="50" t="s">
        <v>60</v>
      </c>
      <c r="G150" s="50" t="s">
        <v>704</v>
      </c>
      <c r="H150" s="50" t="s">
        <v>705</v>
      </c>
      <c r="I150" s="50"/>
      <c r="J150" s="50"/>
      <c r="K150" s="50"/>
      <c r="L150" s="50"/>
      <c r="M150" s="50"/>
      <c r="N150" s="54" t="s">
        <v>43</v>
      </c>
      <c r="O150" s="49">
        <v>1</v>
      </c>
      <c r="P150" s="43">
        <v>81.34</v>
      </c>
      <c r="Q150" s="49">
        <v>1</v>
      </c>
      <c r="R150" s="44">
        <f>P150/O150</f>
        <v>81.34</v>
      </c>
      <c r="S150" s="49">
        <f>Q150*O150</f>
        <v>1</v>
      </c>
      <c r="T150" s="52">
        <f>S150*R150</f>
        <v>81.34</v>
      </c>
      <c r="U150" s="50"/>
      <c r="V150" s="50"/>
      <c r="W150" s="50"/>
      <c r="X150" s="69"/>
      <c r="Y150" s="69"/>
      <c r="Z150" s="69"/>
      <c r="AA150" s="50"/>
      <c r="AB150" s="50"/>
      <c r="AC150" s="50"/>
      <c r="AD150" s="50"/>
      <c r="AE150" s="50"/>
      <c r="AF150" s="50"/>
      <c r="AG150" s="50"/>
      <c r="AH150" s="50"/>
      <c r="AI150" s="50" t="s">
        <v>652</v>
      </c>
      <c r="AJ150" s="50"/>
      <c r="AK150" s="50"/>
      <c r="AL150" s="44"/>
      <c r="AM150" s="45"/>
      <c r="AN150" s="50"/>
      <c r="AO150" s="69"/>
      <c r="AP150" s="69"/>
      <c r="AQ150" s="69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5"/>
      <c r="BD150" s="56"/>
      <c r="BE150" s="61"/>
      <c r="BF150" s="65"/>
      <c r="BG150" s="66"/>
      <c r="BH150" s="66"/>
      <c r="BI150" s="60"/>
      <c r="BJ150" s="60"/>
      <c r="BK150" s="60"/>
      <c r="BL150" s="60"/>
      <c r="BM150" s="60"/>
      <c r="BN150" s="60"/>
      <c r="BO150" s="60"/>
      <c r="BP150" s="60"/>
      <c r="BQ150" s="60" t="str">
        <f>IF(BS150="Original",AI150,AZ150)</f>
        <v>Low Threshold Spend</v>
      </c>
      <c r="BR150" s="60"/>
      <c r="BS150" s="60" t="str">
        <f>IF(AQ150="","Original",IF(AP150&lt;Y150,"Alternate","Original"))</f>
        <v>Original</v>
      </c>
    </row>
    <row r="151" spans="1:71" s="31" customFormat="1" x14ac:dyDescent="0.35">
      <c r="A151" s="53" t="s">
        <v>39</v>
      </c>
      <c r="B151" s="49">
        <v>149</v>
      </c>
      <c r="C151" s="50"/>
      <c r="D151" s="50"/>
      <c r="E151" s="51"/>
      <c r="F151" s="50" t="s">
        <v>40</v>
      </c>
      <c r="G151" s="50" t="s">
        <v>706</v>
      </c>
      <c r="H151" s="50" t="s">
        <v>707</v>
      </c>
      <c r="I151" s="50"/>
      <c r="J151" s="50"/>
      <c r="K151" s="50"/>
      <c r="L151" s="50"/>
      <c r="M151" s="50"/>
      <c r="N151" s="54" t="s">
        <v>43</v>
      </c>
      <c r="O151" s="49">
        <v>1</v>
      </c>
      <c r="P151" s="43">
        <v>80.569999999999993</v>
      </c>
      <c r="Q151" s="49">
        <v>1</v>
      </c>
      <c r="R151" s="44">
        <f>P151/O151</f>
        <v>80.569999999999993</v>
      </c>
      <c r="S151" s="49">
        <f>Q151*O151</f>
        <v>1</v>
      </c>
      <c r="T151" s="52">
        <f>S151*R151</f>
        <v>80.569999999999993</v>
      </c>
      <c r="U151" s="50"/>
      <c r="V151" s="50"/>
      <c r="W151" s="50"/>
      <c r="X151" s="69"/>
      <c r="Y151" s="69"/>
      <c r="Z151" s="69"/>
      <c r="AA151" s="50"/>
      <c r="AB151" s="50"/>
      <c r="AC151" s="50"/>
      <c r="AD151" s="50"/>
      <c r="AE151" s="50"/>
      <c r="AF151" s="50"/>
      <c r="AG151" s="50"/>
      <c r="AH151" s="50"/>
      <c r="AI151" s="50" t="s">
        <v>652</v>
      </c>
      <c r="AJ151" s="50"/>
      <c r="AK151" s="50"/>
      <c r="AL151" s="44"/>
      <c r="AM151" s="45"/>
      <c r="AN151" s="50"/>
      <c r="AO151" s="69"/>
      <c r="AP151" s="69"/>
      <c r="AQ151" s="69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5"/>
      <c r="BD151" s="56"/>
      <c r="BE151" s="61"/>
      <c r="BF151" s="65"/>
      <c r="BG151" s="66"/>
      <c r="BH151" s="66"/>
      <c r="BI151" s="60"/>
      <c r="BJ151" s="60"/>
      <c r="BK151" s="60"/>
      <c r="BL151" s="60"/>
      <c r="BM151" s="60"/>
      <c r="BN151" s="60"/>
      <c r="BO151" s="60"/>
      <c r="BP151" s="60"/>
      <c r="BQ151" s="60" t="str">
        <f>IF(BS151="Original",AI151,AZ151)</f>
        <v>Low Threshold Spend</v>
      </c>
      <c r="BR151" s="60"/>
      <c r="BS151" s="60" t="str">
        <f>IF(AQ151="","Original",IF(AP151&lt;Y151,"Alternate","Original"))</f>
        <v>Original</v>
      </c>
    </row>
    <row r="152" spans="1:71" s="31" customFormat="1" x14ac:dyDescent="0.35">
      <c r="A152" s="53" t="s">
        <v>39</v>
      </c>
      <c r="B152" s="49">
        <v>150</v>
      </c>
      <c r="C152" s="50"/>
      <c r="D152" s="50"/>
      <c r="E152" s="51"/>
      <c r="F152" s="50" t="s">
        <v>49</v>
      </c>
      <c r="G152" s="50" t="s">
        <v>708</v>
      </c>
      <c r="H152" s="50" t="s">
        <v>709</v>
      </c>
      <c r="I152" s="50"/>
      <c r="J152" s="50"/>
      <c r="K152" s="50"/>
      <c r="L152" s="50"/>
      <c r="M152" s="50"/>
      <c r="N152" s="54" t="s">
        <v>43</v>
      </c>
      <c r="O152" s="49">
        <v>1</v>
      </c>
      <c r="P152" s="43">
        <v>80.510000000000005</v>
      </c>
      <c r="Q152" s="49">
        <v>1</v>
      </c>
      <c r="R152" s="44">
        <f>P152/O152</f>
        <v>80.510000000000005</v>
      </c>
      <c r="S152" s="49">
        <f>Q152*O152</f>
        <v>1</v>
      </c>
      <c r="T152" s="52">
        <f>S152*R152</f>
        <v>80.510000000000005</v>
      </c>
      <c r="U152" s="50"/>
      <c r="V152" s="50"/>
      <c r="W152" s="50"/>
      <c r="X152" s="69"/>
      <c r="Y152" s="69"/>
      <c r="Z152" s="69"/>
      <c r="AA152" s="50"/>
      <c r="AB152" s="50"/>
      <c r="AC152" s="50"/>
      <c r="AD152" s="50"/>
      <c r="AE152" s="50"/>
      <c r="AF152" s="50"/>
      <c r="AG152" s="50"/>
      <c r="AH152" s="50"/>
      <c r="AI152" s="50" t="s">
        <v>652</v>
      </c>
      <c r="AJ152" s="50"/>
      <c r="AK152" s="50"/>
      <c r="AL152" s="44"/>
      <c r="AM152" s="45"/>
      <c r="AN152" s="50"/>
      <c r="AO152" s="69"/>
      <c r="AP152" s="69"/>
      <c r="AQ152" s="69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5"/>
      <c r="BD152" s="56"/>
      <c r="BE152" s="61"/>
      <c r="BF152" s="65"/>
      <c r="BG152" s="66"/>
      <c r="BH152" s="66"/>
      <c r="BI152" s="60"/>
      <c r="BJ152" s="60"/>
      <c r="BK152" s="60"/>
      <c r="BL152" s="60"/>
      <c r="BM152" s="60"/>
      <c r="BN152" s="60"/>
      <c r="BO152" s="60"/>
      <c r="BP152" s="60"/>
      <c r="BQ152" s="60" t="str">
        <f>IF(BS152="Original",AI152,AZ152)</f>
        <v>Low Threshold Spend</v>
      </c>
      <c r="BR152" s="60"/>
      <c r="BS152" s="60" t="str">
        <f>IF(AQ152="","Original",IF(AP152&lt;Y152,"Alternate","Original"))</f>
        <v>Original</v>
      </c>
    </row>
    <row r="153" spans="1:71" s="31" customFormat="1" x14ac:dyDescent="0.35">
      <c r="A153" s="53" t="s">
        <v>39</v>
      </c>
      <c r="B153" s="49">
        <v>151</v>
      </c>
      <c r="C153" s="50"/>
      <c r="D153" s="50"/>
      <c r="E153" s="51"/>
      <c r="F153" s="50" t="s">
        <v>49</v>
      </c>
      <c r="G153" s="50" t="s">
        <v>710</v>
      </c>
      <c r="H153" s="50" t="s">
        <v>711</v>
      </c>
      <c r="I153" s="50"/>
      <c r="J153" s="50"/>
      <c r="K153" s="50"/>
      <c r="L153" s="50"/>
      <c r="M153" s="50"/>
      <c r="N153" s="54" t="s">
        <v>43</v>
      </c>
      <c r="O153" s="49">
        <v>1</v>
      </c>
      <c r="P153" s="43">
        <v>77.88</v>
      </c>
      <c r="Q153" s="49">
        <v>1</v>
      </c>
      <c r="R153" s="44">
        <f>P153/O153</f>
        <v>77.88</v>
      </c>
      <c r="S153" s="49">
        <f>Q153*O153</f>
        <v>1</v>
      </c>
      <c r="T153" s="52">
        <f>S153*R153</f>
        <v>77.88</v>
      </c>
      <c r="U153" s="50"/>
      <c r="V153" s="50"/>
      <c r="W153" s="50"/>
      <c r="X153" s="69"/>
      <c r="Y153" s="69"/>
      <c r="Z153" s="69"/>
      <c r="AA153" s="50"/>
      <c r="AB153" s="50"/>
      <c r="AC153" s="50"/>
      <c r="AD153" s="50"/>
      <c r="AE153" s="50"/>
      <c r="AF153" s="50"/>
      <c r="AG153" s="50"/>
      <c r="AH153" s="50"/>
      <c r="AI153" s="50" t="s">
        <v>652</v>
      </c>
      <c r="AJ153" s="50"/>
      <c r="AK153" s="50"/>
      <c r="AL153" s="44"/>
      <c r="AM153" s="45"/>
      <c r="AN153" s="50"/>
      <c r="AO153" s="69"/>
      <c r="AP153" s="69"/>
      <c r="AQ153" s="69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5"/>
      <c r="BD153" s="56"/>
      <c r="BE153" s="61"/>
      <c r="BF153" s="65"/>
      <c r="BG153" s="66"/>
      <c r="BH153" s="66"/>
      <c r="BI153" s="60"/>
      <c r="BJ153" s="60"/>
      <c r="BK153" s="60"/>
      <c r="BL153" s="60"/>
      <c r="BM153" s="60"/>
      <c r="BN153" s="60"/>
      <c r="BO153" s="60"/>
      <c r="BP153" s="60"/>
      <c r="BQ153" s="60" t="str">
        <f>IF(BS153="Original",AI153,AZ153)</f>
        <v>Low Threshold Spend</v>
      </c>
      <c r="BR153" s="60"/>
      <c r="BS153" s="60" t="str">
        <f>IF(AQ153="","Original",IF(AP153&lt;Y153,"Alternate","Original"))</f>
        <v>Original</v>
      </c>
    </row>
    <row r="154" spans="1:71" s="31" customFormat="1" x14ac:dyDescent="0.35">
      <c r="A154" s="53" t="s">
        <v>39</v>
      </c>
      <c r="B154" s="49">
        <v>152</v>
      </c>
      <c r="C154" s="50"/>
      <c r="D154" s="50"/>
      <c r="E154" s="51"/>
      <c r="F154" s="50" t="s">
        <v>60</v>
      </c>
      <c r="G154" s="50" t="s">
        <v>712</v>
      </c>
      <c r="H154" s="50" t="s">
        <v>713</v>
      </c>
      <c r="I154" s="50"/>
      <c r="J154" s="50"/>
      <c r="K154" s="50"/>
      <c r="L154" s="50"/>
      <c r="M154" s="50"/>
      <c r="N154" s="54" t="s">
        <v>43</v>
      </c>
      <c r="O154" s="49">
        <v>1</v>
      </c>
      <c r="P154" s="43">
        <v>77.709999999999994</v>
      </c>
      <c r="Q154" s="49">
        <v>1</v>
      </c>
      <c r="R154" s="44">
        <f>P154/O154</f>
        <v>77.709999999999994</v>
      </c>
      <c r="S154" s="49">
        <f>Q154*O154</f>
        <v>1</v>
      </c>
      <c r="T154" s="52">
        <f>S154*R154</f>
        <v>77.709999999999994</v>
      </c>
      <c r="U154" s="50"/>
      <c r="V154" s="50"/>
      <c r="W154" s="50"/>
      <c r="X154" s="69"/>
      <c r="Y154" s="69"/>
      <c r="Z154" s="69"/>
      <c r="AA154" s="50"/>
      <c r="AB154" s="50"/>
      <c r="AC154" s="50"/>
      <c r="AD154" s="50"/>
      <c r="AE154" s="50"/>
      <c r="AF154" s="50"/>
      <c r="AG154" s="50"/>
      <c r="AH154" s="50"/>
      <c r="AI154" s="50" t="s">
        <v>652</v>
      </c>
      <c r="AJ154" s="50"/>
      <c r="AK154" s="50"/>
      <c r="AL154" s="44"/>
      <c r="AM154" s="45"/>
      <c r="AN154" s="50"/>
      <c r="AO154" s="69"/>
      <c r="AP154" s="69"/>
      <c r="AQ154" s="69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5"/>
      <c r="BD154" s="56"/>
      <c r="BE154" s="61"/>
      <c r="BF154" s="65"/>
      <c r="BG154" s="66"/>
      <c r="BH154" s="66"/>
      <c r="BI154" s="60"/>
      <c r="BJ154" s="60"/>
      <c r="BK154" s="60"/>
      <c r="BL154" s="60"/>
      <c r="BM154" s="60"/>
      <c r="BN154" s="60"/>
      <c r="BO154" s="60"/>
      <c r="BP154" s="60"/>
      <c r="BQ154" s="60" t="str">
        <f>IF(BS154="Original",AI154,AZ154)</f>
        <v>Low Threshold Spend</v>
      </c>
      <c r="BR154" s="60"/>
      <c r="BS154" s="60" t="str">
        <f>IF(AQ154="","Original",IF(AP154&lt;Y154,"Alternate","Original"))</f>
        <v>Original</v>
      </c>
    </row>
    <row r="155" spans="1:71" s="31" customFormat="1" x14ac:dyDescent="0.35">
      <c r="A155" s="53" t="s">
        <v>39</v>
      </c>
      <c r="B155" s="49">
        <v>153</v>
      </c>
      <c r="C155" s="50"/>
      <c r="D155" s="50"/>
      <c r="E155" s="51"/>
      <c r="F155" s="50" t="s">
        <v>40</v>
      </c>
      <c r="G155" s="50" t="s">
        <v>714</v>
      </c>
      <c r="H155" s="50" t="s">
        <v>715</v>
      </c>
      <c r="I155" s="50"/>
      <c r="J155" s="50"/>
      <c r="K155" s="50"/>
      <c r="L155" s="50"/>
      <c r="M155" s="50"/>
      <c r="N155" s="54" t="s">
        <v>43</v>
      </c>
      <c r="O155" s="49">
        <v>1</v>
      </c>
      <c r="P155" s="43">
        <v>77.459999999999994</v>
      </c>
      <c r="Q155" s="49">
        <v>1</v>
      </c>
      <c r="R155" s="44">
        <f>P155/O155</f>
        <v>77.459999999999994</v>
      </c>
      <c r="S155" s="49">
        <f>Q155*O155</f>
        <v>1</v>
      </c>
      <c r="T155" s="52">
        <f>S155*R155</f>
        <v>77.459999999999994</v>
      </c>
      <c r="U155" s="50"/>
      <c r="V155" s="50"/>
      <c r="W155" s="50"/>
      <c r="X155" s="69"/>
      <c r="Y155" s="69"/>
      <c r="Z155" s="69"/>
      <c r="AA155" s="50"/>
      <c r="AB155" s="50"/>
      <c r="AC155" s="50"/>
      <c r="AD155" s="50"/>
      <c r="AE155" s="50"/>
      <c r="AF155" s="50"/>
      <c r="AG155" s="50"/>
      <c r="AH155" s="50"/>
      <c r="AI155" s="50" t="s">
        <v>652</v>
      </c>
      <c r="AJ155" s="50"/>
      <c r="AK155" s="50"/>
      <c r="AL155" s="44"/>
      <c r="AM155" s="45"/>
      <c r="AN155" s="50"/>
      <c r="AO155" s="69"/>
      <c r="AP155" s="69"/>
      <c r="AQ155" s="69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5"/>
      <c r="BD155" s="56"/>
      <c r="BE155" s="61"/>
      <c r="BF155" s="65"/>
      <c r="BG155" s="66"/>
      <c r="BH155" s="66"/>
      <c r="BI155" s="60"/>
      <c r="BJ155" s="60"/>
      <c r="BK155" s="60"/>
      <c r="BL155" s="60"/>
      <c r="BM155" s="60"/>
      <c r="BN155" s="60"/>
      <c r="BO155" s="60"/>
      <c r="BP155" s="60"/>
      <c r="BQ155" s="60" t="str">
        <f>IF(BS155="Original",AI155,AZ155)</f>
        <v>Low Threshold Spend</v>
      </c>
      <c r="BR155" s="60"/>
      <c r="BS155" s="60" t="str">
        <f>IF(AQ155="","Original",IF(AP155&lt;Y155,"Alternate","Original"))</f>
        <v>Original</v>
      </c>
    </row>
    <row r="156" spans="1:71" s="31" customFormat="1" x14ac:dyDescent="0.35">
      <c r="A156" s="53" t="s">
        <v>39</v>
      </c>
      <c r="B156" s="49">
        <v>154</v>
      </c>
      <c r="C156" s="50"/>
      <c r="D156" s="50"/>
      <c r="E156" s="51"/>
      <c r="F156" s="50" t="s">
        <v>40</v>
      </c>
      <c r="G156" s="50" t="s">
        <v>716</v>
      </c>
      <c r="H156" s="50" t="s">
        <v>717</v>
      </c>
      <c r="I156" s="50"/>
      <c r="J156" s="50"/>
      <c r="K156" s="50"/>
      <c r="L156" s="50"/>
      <c r="M156" s="50"/>
      <c r="N156" s="54" t="s">
        <v>43</v>
      </c>
      <c r="O156" s="49">
        <v>1</v>
      </c>
      <c r="P156" s="43">
        <v>38.549999999999997</v>
      </c>
      <c r="Q156" s="49">
        <v>2</v>
      </c>
      <c r="R156" s="44">
        <f>P156/O156</f>
        <v>38.549999999999997</v>
      </c>
      <c r="S156" s="49">
        <f>Q156*O156</f>
        <v>2</v>
      </c>
      <c r="T156" s="52">
        <f>S156*R156</f>
        <v>77.099999999999994</v>
      </c>
      <c r="U156" s="50"/>
      <c r="V156" s="50"/>
      <c r="W156" s="50"/>
      <c r="X156" s="69"/>
      <c r="Y156" s="69"/>
      <c r="Z156" s="69"/>
      <c r="AA156" s="50"/>
      <c r="AB156" s="50"/>
      <c r="AC156" s="50"/>
      <c r="AD156" s="50"/>
      <c r="AE156" s="50"/>
      <c r="AF156" s="50"/>
      <c r="AG156" s="50"/>
      <c r="AH156" s="50"/>
      <c r="AI156" s="50" t="s">
        <v>652</v>
      </c>
      <c r="AJ156" s="50"/>
      <c r="AK156" s="50"/>
      <c r="AL156" s="44"/>
      <c r="AM156" s="45"/>
      <c r="AN156" s="50"/>
      <c r="AO156" s="69"/>
      <c r="AP156" s="69"/>
      <c r="AQ156" s="69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5"/>
      <c r="BD156" s="56"/>
      <c r="BE156" s="61"/>
      <c r="BF156" s="65"/>
      <c r="BG156" s="66"/>
      <c r="BH156" s="66"/>
      <c r="BI156" s="60"/>
      <c r="BJ156" s="60"/>
      <c r="BK156" s="60"/>
      <c r="BL156" s="60"/>
      <c r="BM156" s="60"/>
      <c r="BN156" s="60"/>
      <c r="BO156" s="60"/>
      <c r="BP156" s="60"/>
      <c r="BQ156" s="60" t="str">
        <f>IF(BS156="Original",AI156,AZ156)</f>
        <v>Low Threshold Spend</v>
      </c>
      <c r="BR156" s="60"/>
      <c r="BS156" s="60" t="str">
        <f>IF(AQ156="","Original",IF(AP156&lt;Y156,"Alternate","Original"))</f>
        <v>Original</v>
      </c>
    </row>
    <row r="157" spans="1:71" s="31" customFormat="1" x14ac:dyDescent="0.35">
      <c r="A157" s="53" t="s">
        <v>39</v>
      </c>
      <c r="B157" s="49">
        <v>155</v>
      </c>
      <c r="C157" s="50"/>
      <c r="D157" s="50"/>
      <c r="E157" s="51"/>
      <c r="F157" s="50" t="s">
        <v>60</v>
      </c>
      <c r="G157" s="50" t="s">
        <v>718</v>
      </c>
      <c r="H157" s="50" t="s">
        <v>719</v>
      </c>
      <c r="I157" s="50"/>
      <c r="J157" s="50"/>
      <c r="K157" s="50"/>
      <c r="L157" s="50"/>
      <c r="M157" s="50"/>
      <c r="N157" s="54" t="s">
        <v>43</v>
      </c>
      <c r="O157" s="49">
        <v>1</v>
      </c>
      <c r="P157" s="43">
        <v>77.040000000000006</v>
      </c>
      <c r="Q157" s="49">
        <v>1</v>
      </c>
      <c r="R157" s="44">
        <f>P157/O157</f>
        <v>77.040000000000006</v>
      </c>
      <c r="S157" s="49">
        <f>Q157*O157</f>
        <v>1</v>
      </c>
      <c r="T157" s="52">
        <f>S157*R157</f>
        <v>77.040000000000006</v>
      </c>
      <c r="U157" s="50"/>
      <c r="V157" s="50"/>
      <c r="W157" s="50"/>
      <c r="X157" s="69"/>
      <c r="Y157" s="69"/>
      <c r="Z157" s="69"/>
      <c r="AA157" s="50"/>
      <c r="AB157" s="50"/>
      <c r="AC157" s="50"/>
      <c r="AD157" s="50"/>
      <c r="AE157" s="50"/>
      <c r="AF157" s="50"/>
      <c r="AG157" s="50"/>
      <c r="AH157" s="50"/>
      <c r="AI157" s="50" t="s">
        <v>652</v>
      </c>
      <c r="AJ157" s="50"/>
      <c r="AK157" s="50"/>
      <c r="AL157" s="44"/>
      <c r="AM157" s="45"/>
      <c r="AN157" s="50"/>
      <c r="AO157" s="69"/>
      <c r="AP157" s="69"/>
      <c r="AQ157" s="69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5"/>
      <c r="BD157" s="56"/>
      <c r="BE157" s="61"/>
      <c r="BF157" s="65"/>
      <c r="BG157" s="66"/>
      <c r="BH157" s="66"/>
      <c r="BI157" s="60"/>
      <c r="BJ157" s="60"/>
      <c r="BK157" s="60"/>
      <c r="BL157" s="60"/>
      <c r="BM157" s="60"/>
      <c r="BN157" s="60"/>
      <c r="BO157" s="60"/>
      <c r="BP157" s="60"/>
      <c r="BQ157" s="60" t="str">
        <f>IF(BS157="Original",AI157,AZ157)</f>
        <v>Low Threshold Spend</v>
      </c>
      <c r="BR157" s="60"/>
      <c r="BS157" s="60" t="str">
        <f>IF(AQ157="","Original",IF(AP157&lt;Y157,"Alternate","Original"))</f>
        <v>Original</v>
      </c>
    </row>
    <row r="158" spans="1:71" s="31" customFormat="1" x14ac:dyDescent="0.35">
      <c r="A158" s="53" t="s">
        <v>39</v>
      </c>
      <c r="B158" s="49">
        <v>156</v>
      </c>
      <c r="C158" s="50"/>
      <c r="D158" s="50"/>
      <c r="E158" s="51"/>
      <c r="F158" s="50" t="s">
        <v>40</v>
      </c>
      <c r="G158" s="50" t="s">
        <v>720</v>
      </c>
      <c r="H158" s="50" t="s">
        <v>721</v>
      </c>
      <c r="I158" s="50"/>
      <c r="J158" s="50"/>
      <c r="K158" s="50"/>
      <c r="L158" s="50"/>
      <c r="M158" s="50"/>
      <c r="N158" s="54" t="s">
        <v>43</v>
      </c>
      <c r="O158" s="49">
        <v>1</v>
      </c>
      <c r="P158" s="43">
        <v>76.81</v>
      </c>
      <c r="Q158" s="49">
        <v>1</v>
      </c>
      <c r="R158" s="44">
        <f>P158/O158</f>
        <v>76.81</v>
      </c>
      <c r="S158" s="49">
        <f>Q158*O158</f>
        <v>1</v>
      </c>
      <c r="T158" s="52">
        <f>S158*R158</f>
        <v>76.81</v>
      </c>
      <c r="U158" s="50"/>
      <c r="V158" s="50"/>
      <c r="W158" s="50"/>
      <c r="X158" s="69"/>
      <c r="Y158" s="69"/>
      <c r="Z158" s="69"/>
      <c r="AA158" s="50"/>
      <c r="AB158" s="50"/>
      <c r="AC158" s="50"/>
      <c r="AD158" s="50"/>
      <c r="AE158" s="50"/>
      <c r="AF158" s="50"/>
      <c r="AG158" s="50"/>
      <c r="AH158" s="50"/>
      <c r="AI158" s="50" t="s">
        <v>652</v>
      </c>
      <c r="AJ158" s="50"/>
      <c r="AK158" s="50"/>
      <c r="AL158" s="44"/>
      <c r="AM158" s="45"/>
      <c r="AN158" s="50"/>
      <c r="AO158" s="69"/>
      <c r="AP158" s="69"/>
      <c r="AQ158" s="69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5"/>
      <c r="BD158" s="56"/>
      <c r="BE158" s="61"/>
      <c r="BF158" s="65"/>
      <c r="BG158" s="66"/>
      <c r="BH158" s="66"/>
      <c r="BI158" s="60"/>
      <c r="BJ158" s="60"/>
      <c r="BK158" s="60"/>
      <c r="BL158" s="60"/>
      <c r="BM158" s="60"/>
      <c r="BN158" s="60"/>
      <c r="BO158" s="60"/>
      <c r="BP158" s="60"/>
      <c r="BQ158" s="60" t="str">
        <f>IF(BS158="Original",AI158,AZ158)</f>
        <v>Low Threshold Spend</v>
      </c>
      <c r="BR158" s="60"/>
      <c r="BS158" s="60" t="str">
        <f>IF(AQ158="","Original",IF(AP158&lt;Y158,"Alternate","Original"))</f>
        <v>Original</v>
      </c>
    </row>
    <row r="159" spans="1:71" s="31" customFormat="1" x14ac:dyDescent="0.35">
      <c r="A159" s="53" t="s">
        <v>39</v>
      </c>
      <c r="B159" s="49">
        <v>157</v>
      </c>
      <c r="C159" s="50"/>
      <c r="D159" s="50"/>
      <c r="E159" s="51"/>
      <c r="F159" s="50" t="s">
        <v>40</v>
      </c>
      <c r="G159" s="50" t="s">
        <v>722</v>
      </c>
      <c r="H159" s="50" t="s">
        <v>723</v>
      </c>
      <c r="I159" s="50"/>
      <c r="J159" s="50"/>
      <c r="K159" s="50"/>
      <c r="L159" s="50"/>
      <c r="M159" s="50"/>
      <c r="N159" s="54" t="s">
        <v>43</v>
      </c>
      <c r="O159" s="49">
        <v>1</v>
      </c>
      <c r="P159" s="43">
        <v>76.709999999999994</v>
      </c>
      <c r="Q159" s="49">
        <v>1</v>
      </c>
      <c r="R159" s="44">
        <f>P159/O159</f>
        <v>76.709999999999994</v>
      </c>
      <c r="S159" s="49">
        <f>Q159*O159</f>
        <v>1</v>
      </c>
      <c r="T159" s="52">
        <f>S159*R159</f>
        <v>76.709999999999994</v>
      </c>
      <c r="U159" s="50"/>
      <c r="V159" s="50"/>
      <c r="W159" s="50"/>
      <c r="X159" s="69"/>
      <c r="Y159" s="69"/>
      <c r="Z159" s="69"/>
      <c r="AA159" s="50"/>
      <c r="AB159" s="50"/>
      <c r="AC159" s="50"/>
      <c r="AD159" s="50"/>
      <c r="AE159" s="50"/>
      <c r="AF159" s="50"/>
      <c r="AG159" s="50"/>
      <c r="AH159" s="50"/>
      <c r="AI159" s="50" t="s">
        <v>652</v>
      </c>
      <c r="AJ159" s="50"/>
      <c r="AK159" s="50"/>
      <c r="AL159" s="44"/>
      <c r="AM159" s="45"/>
      <c r="AN159" s="50"/>
      <c r="AO159" s="69"/>
      <c r="AP159" s="69"/>
      <c r="AQ159" s="69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5"/>
      <c r="BD159" s="56"/>
      <c r="BE159" s="61"/>
      <c r="BF159" s="65"/>
      <c r="BG159" s="66"/>
      <c r="BH159" s="66"/>
      <c r="BI159" s="60"/>
      <c r="BJ159" s="60"/>
      <c r="BK159" s="60"/>
      <c r="BL159" s="60"/>
      <c r="BM159" s="60"/>
      <c r="BN159" s="60"/>
      <c r="BO159" s="60"/>
      <c r="BP159" s="60"/>
      <c r="BQ159" s="60" t="str">
        <f>IF(BS159="Original",AI159,AZ159)</f>
        <v>Low Threshold Spend</v>
      </c>
      <c r="BR159" s="60"/>
      <c r="BS159" s="60" t="str">
        <f>IF(AQ159="","Original",IF(AP159&lt;Y159,"Alternate","Original"))</f>
        <v>Original</v>
      </c>
    </row>
    <row r="160" spans="1:71" s="31" customFormat="1" x14ac:dyDescent="0.35">
      <c r="A160" s="53" t="s">
        <v>39</v>
      </c>
      <c r="B160" s="49">
        <v>158</v>
      </c>
      <c r="C160" s="50"/>
      <c r="D160" s="50"/>
      <c r="E160" s="51"/>
      <c r="F160" s="50" t="s">
        <v>60</v>
      </c>
      <c r="G160" s="50" t="s">
        <v>724</v>
      </c>
      <c r="H160" s="50" t="s">
        <v>725</v>
      </c>
      <c r="I160" s="50"/>
      <c r="J160" s="50"/>
      <c r="K160" s="50"/>
      <c r="L160" s="50"/>
      <c r="M160" s="50"/>
      <c r="N160" s="54" t="s">
        <v>43</v>
      </c>
      <c r="O160" s="49">
        <v>1</v>
      </c>
      <c r="P160" s="43">
        <v>76.099999999999994</v>
      </c>
      <c r="Q160" s="49">
        <v>1</v>
      </c>
      <c r="R160" s="44">
        <f>P160/O160</f>
        <v>76.099999999999994</v>
      </c>
      <c r="S160" s="49">
        <f>Q160*O160</f>
        <v>1</v>
      </c>
      <c r="T160" s="52">
        <f>S160*R160</f>
        <v>76.099999999999994</v>
      </c>
      <c r="U160" s="50"/>
      <c r="V160" s="50"/>
      <c r="W160" s="50"/>
      <c r="X160" s="69"/>
      <c r="Y160" s="69"/>
      <c r="Z160" s="69"/>
      <c r="AA160" s="50"/>
      <c r="AB160" s="50"/>
      <c r="AC160" s="50"/>
      <c r="AD160" s="50"/>
      <c r="AE160" s="50"/>
      <c r="AF160" s="50"/>
      <c r="AG160" s="50"/>
      <c r="AH160" s="50"/>
      <c r="AI160" s="50" t="s">
        <v>652</v>
      </c>
      <c r="AJ160" s="50"/>
      <c r="AK160" s="50"/>
      <c r="AL160" s="44"/>
      <c r="AM160" s="45"/>
      <c r="AN160" s="50"/>
      <c r="AO160" s="69"/>
      <c r="AP160" s="69"/>
      <c r="AQ160" s="69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5"/>
      <c r="BD160" s="56"/>
      <c r="BE160" s="61"/>
      <c r="BF160" s="65"/>
      <c r="BG160" s="66"/>
      <c r="BH160" s="66"/>
      <c r="BI160" s="60"/>
      <c r="BJ160" s="60"/>
      <c r="BK160" s="60"/>
      <c r="BL160" s="60"/>
      <c r="BM160" s="60"/>
      <c r="BN160" s="60"/>
      <c r="BO160" s="60"/>
      <c r="BP160" s="60"/>
      <c r="BQ160" s="60" t="str">
        <f>IF(BS160="Original",AI160,AZ160)</f>
        <v>Low Threshold Spend</v>
      </c>
      <c r="BR160" s="60"/>
      <c r="BS160" s="60" t="str">
        <f>IF(AQ160="","Original",IF(AP160&lt;Y160,"Alternate","Original"))</f>
        <v>Original</v>
      </c>
    </row>
    <row r="161" spans="1:71" s="31" customFormat="1" x14ac:dyDescent="0.35">
      <c r="A161" s="53" t="s">
        <v>39</v>
      </c>
      <c r="B161" s="49">
        <v>159</v>
      </c>
      <c r="C161" s="50"/>
      <c r="D161" s="50"/>
      <c r="E161" s="51"/>
      <c r="F161" s="50" t="s">
        <v>49</v>
      </c>
      <c r="G161" s="50" t="s">
        <v>726</v>
      </c>
      <c r="H161" s="50" t="s">
        <v>727</v>
      </c>
      <c r="I161" s="50"/>
      <c r="J161" s="50"/>
      <c r="K161" s="50"/>
      <c r="L161" s="50"/>
      <c r="M161" s="50"/>
      <c r="N161" s="54" t="s">
        <v>43</v>
      </c>
      <c r="O161" s="49">
        <v>1</v>
      </c>
      <c r="P161" s="43">
        <v>75.8</v>
      </c>
      <c r="Q161" s="49">
        <v>1</v>
      </c>
      <c r="R161" s="44">
        <f>P161/O161</f>
        <v>75.8</v>
      </c>
      <c r="S161" s="49">
        <f>Q161*O161</f>
        <v>1</v>
      </c>
      <c r="T161" s="52">
        <f>S161*R161</f>
        <v>75.8</v>
      </c>
      <c r="U161" s="50"/>
      <c r="V161" s="50"/>
      <c r="W161" s="50"/>
      <c r="X161" s="69"/>
      <c r="Y161" s="69"/>
      <c r="Z161" s="69"/>
      <c r="AA161" s="50"/>
      <c r="AB161" s="50"/>
      <c r="AC161" s="50"/>
      <c r="AD161" s="50"/>
      <c r="AE161" s="50"/>
      <c r="AF161" s="50"/>
      <c r="AG161" s="50"/>
      <c r="AH161" s="50"/>
      <c r="AI161" s="50" t="s">
        <v>652</v>
      </c>
      <c r="AJ161" s="50"/>
      <c r="AK161" s="50"/>
      <c r="AL161" s="44"/>
      <c r="AM161" s="45"/>
      <c r="AN161" s="50"/>
      <c r="AO161" s="69"/>
      <c r="AP161" s="69"/>
      <c r="AQ161" s="69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5"/>
      <c r="BD161" s="56"/>
      <c r="BE161" s="61"/>
      <c r="BF161" s="65"/>
      <c r="BG161" s="66"/>
      <c r="BH161" s="66"/>
      <c r="BI161" s="60"/>
      <c r="BJ161" s="60"/>
      <c r="BK161" s="60"/>
      <c r="BL161" s="60"/>
      <c r="BM161" s="60"/>
      <c r="BN161" s="60"/>
      <c r="BO161" s="60"/>
      <c r="BP161" s="60"/>
      <c r="BQ161" s="60" t="str">
        <f>IF(BS161="Original",AI161,AZ161)</f>
        <v>Low Threshold Spend</v>
      </c>
      <c r="BR161" s="60"/>
      <c r="BS161" s="60" t="str">
        <f>IF(AQ161="","Original",IF(AP161&lt;Y161,"Alternate","Original"))</f>
        <v>Original</v>
      </c>
    </row>
    <row r="162" spans="1:71" s="31" customFormat="1" x14ac:dyDescent="0.35">
      <c r="A162" s="53" t="s">
        <v>39</v>
      </c>
      <c r="B162" s="49">
        <v>160</v>
      </c>
      <c r="C162" s="50"/>
      <c r="D162" s="50"/>
      <c r="E162" s="51"/>
      <c r="F162" s="50" t="s">
        <v>60</v>
      </c>
      <c r="G162" s="50" t="s">
        <v>728</v>
      </c>
      <c r="H162" s="50" t="s">
        <v>729</v>
      </c>
      <c r="I162" s="50"/>
      <c r="J162" s="50"/>
      <c r="K162" s="50"/>
      <c r="L162" s="50"/>
      <c r="M162" s="50"/>
      <c r="N162" s="54" t="s">
        <v>43</v>
      </c>
      <c r="O162" s="49">
        <v>1</v>
      </c>
      <c r="P162" s="43">
        <v>75.459999999999994</v>
      </c>
      <c r="Q162" s="49">
        <v>1</v>
      </c>
      <c r="R162" s="44">
        <f>P162/O162</f>
        <v>75.459999999999994</v>
      </c>
      <c r="S162" s="49">
        <f>Q162*O162</f>
        <v>1</v>
      </c>
      <c r="T162" s="52">
        <f>S162*R162</f>
        <v>75.459999999999994</v>
      </c>
      <c r="U162" s="50"/>
      <c r="V162" s="50"/>
      <c r="W162" s="50"/>
      <c r="X162" s="69"/>
      <c r="Y162" s="69"/>
      <c r="Z162" s="69"/>
      <c r="AA162" s="50"/>
      <c r="AB162" s="50"/>
      <c r="AC162" s="50"/>
      <c r="AD162" s="50"/>
      <c r="AE162" s="50"/>
      <c r="AF162" s="50"/>
      <c r="AG162" s="50"/>
      <c r="AH162" s="50"/>
      <c r="AI162" s="50" t="s">
        <v>652</v>
      </c>
      <c r="AJ162" s="50"/>
      <c r="AK162" s="50"/>
      <c r="AL162" s="44"/>
      <c r="AM162" s="45"/>
      <c r="AN162" s="50"/>
      <c r="AO162" s="69"/>
      <c r="AP162" s="69"/>
      <c r="AQ162" s="69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5"/>
      <c r="BD162" s="56"/>
      <c r="BE162" s="61"/>
      <c r="BF162" s="65"/>
      <c r="BG162" s="66"/>
      <c r="BH162" s="66"/>
      <c r="BI162" s="60"/>
      <c r="BJ162" s="60"/>
      <c r="BK162" s="60"/>
      <c r="BL162" s="60"/>
      <c r="BM162" s="60"/>
      <c r="BN162" s="60"/>
      <c r="BO162" s="60"/>
      <c r="BP162" s="60"/>
      <c r="BQ162" s="60" t="str">
        <f>IF(BS162="Original",AI162,AZ162)</f>
        <v>Low Threshold Spend</v>
      </c>
      <c r="BR162" s="60"/>
      <c r="BS162" s="60" t="str">
        <f>IF(AQ162="","Original",IF(AP162&lt;Y162,"Alternate","Original"))</f>
        <v>Original</v>
      </c>
    </row>
    <row r="163" spans="1:71" s="31" customFormat="1" x14ac:dyDescent="0.35">
      <c r="A163" s="53" t="s">
        <v>39</v>
      </c>
      <c r="B163" s="49">
        <v>161</v>
      </c>
      <c r="C163" s="50"/>
      <c r="D163" s="50"/>
      <c r="E163" s="51"/>
      <c r="F163" s="50" t="s">
        <v>60</v>
      </c>
      <c r="G163" s="50" t="s">
        <v>730</v>
      </c>
      <c r="H163" s="50" t="s">
        <v>731</v>
      </c>
      <c r="I163" s="50"/>
      <c r="J163" s="50"/>
      <c r="K163" s="50"/>
      <c r="L163" s="50"/>
      <c r="M163" s="50"/>
      <c r="N163" s="54" t="s">
        <v>43</v>
      </c>
      <c r="O163" s="49">
        <v>1</v>
      </c>
      <c r="P163" s="43">
        <v>75.37</v>
      </c>
      <c r="Q163" s="49">
        <v>1</v>
      </c>
      <c r="R163" s="44">
        <f>P163/O163</f>
        <v>75.37</v>
      </c>
      <c r="S163" s="49">
        <f>Q163*O163</f>
        <v>1</v>
      </c>
      <c r="T163" s="52">
        <f>S163*R163</f>
        <v>75.37</v>
      </c>
      <c r="U163" s="50"/>
      <c r="V163" s="50"/>
      <c r="W163" s="50"/>
      <c r="X163" s="69"/>
      <c r="Y163" s="69"/>
      <c r="Z163" s="69"/>
      <c r="AA163" s="50"/>
      <c r="AB163" s="50"/>
      <c r="AC163" s="50"/>
      <c r="AD163" s="50"/>
      <c r="AE163" s="50"/>
      <c r="AF163" s="50"/>
      <c r="AG163" s="50"/>
      <c r="AH163" s="50"/>
      <c r="AI163" s="50" t="s">
        <v>652</v>
      </c>
      <c r="AJ163" s="50"/>
      <c r="AK163" s="50"/>
      <c r="AL163" s="44"/>
      <c r="AM163" s="45"/>
      <c r="AN163" s="50"/>
      <c r="AO163" s="69"/>
      <c r="AP163" s="69"/>
      <c r="AQ163" s="69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5"/>
      <c r="BD163" s="56"/>
      <c r="BE163" s="61"/>
      <c r="BF163" s="65"/>
      <c r="BG163" s="66"/>
      <c r="BH163" s="66"/>
      <c r="BI163" s="60"/>
      <c r="BJ163" s="60"/>
      <c r="BK163" s="60"/>
      <c r="BL163" s="60"/>
      <c r="BM163" s="60"/>
      <c r="BN163" s="60"/>
      <c r="BO163" s="60"/>
      <c r="BP163" s="60"/>
      <c r="BQ163" s="60" t="str">
        <f>IF(BS163="Original",AI163,AZ163)</f>
        <v>Low Threshold Spend</v>
      </c>
      <c r="BR163" s="60"/>
      <c r="BS163" s="60" t="str">
        <f>IF(AQ163="","Original",IF(AP163&lt;Y163,"Alternate","Original"))</f>
        <v>Original</v>
      </c>
    </row>
    <row r="164" spans="1:71" s="31" customFormat="1" x14ac:dyDescent="0.35">
      <c r="A164" s="53" t="s">
        <v>39</v>
      </c>
      <c r="B164" s="49">
        <v>162</v>
      </c>
      <c r="C164" s="50"/>
      <c r="D164" s="50"/>
      <c r="E164" s="51"/>
      <c r="F164" s="50" t="s">
        <v>60</v>
      </c>
      <c r="G164" s="50" t="s">
        <v>732</v>
      </c>
      <c r="H164" s="50" t="s">
        <v>733</v>
      </c>
      <c r="I164" s="50"/>
      <c r="J164" s="50"/>
      <c r="K164" s="50"/>
      <c r="L164" s="50"/>
      <c r="M164" s="50"/>
      <c r="N164" s="54" t="s">
        <v>43</v>
      </c>
      <c r="O164" s="49">
        <v>1</v>
      </c>
      <c r="P164" s="43">
        <v>74.790000000000006</v>
      </c>
      <c r="Q164" s="49">
        <v>1</v>
      </c>
      <c r="R164" s="44">
        <f>P164/O164</f>
        <v>74.790000000000006</v>
      </c>
      <c r="S164" s="49">
        <f>Q164*O164</f>
        <v>1</v>
      </c>
      <c r="T164" s="52">
        <f>S164*R164</f>
        <v>74.790000000000006</v>
      </c>
      <c r="U164" s="50"/>
      <c r="V164" s="50"/>
      <c r="W164" s="50"/>
      <c r="X164" s="69"/>
      <c r="Y164" s="69"/>
      <c r="Z164" s="69"/>
      <c r="AA164" s="50"/>
      <c r="AB164" s="50"/>
      <c r="AC164" s="50"/>
      <c r="AD164" s="50"/>
      <c r="AE164" s="50"/>
      <c r="AF164" s="50"/>
      <c r="AG164" s="50"/>
      <c r="AH164" s="50"/>
      <c r="AI164" s="50" t="s">
        <v>652</v>
      </c>
      <c r="AJ164" s="50"/>
      <c r="AK164" s="50"/>
      <c r="AL164" s="44"/>
      <c r="AM164" s="45"/>
      <c r="AN164" s="50"/>
      <c r="AO164" s="69"/>
      <c r="AP164" s="69"/>
      <c r="AQ164" s="69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5"/>
      <c r="BD164" s="56"/>
      <c r="BE164" s="61"/>
      <c r="BF164" s="65"/>
      <c r="BG164" s="66"/>
      <c r="BH164" s="66"/>
      <c r="BI164" s="60"/>
      <c r="BJ164" s="60"/>
      <c r="BK164" s="60"/>
      <c r="BL164" s="60"/>
      <c r="BM164" s="60"/>
      <c r="BN164" s="60"/>
      <c r="BO164" s="60"/>
      <c r="BP164" s="60"/>
      <c r="BQ164" s="60" t="str">
        <f>IF(BS164="Original",AI164,AZ164)</f>
        <v>Low Threshold Spend</v>
      </c>
      <c r="BR164" s="60"/>
      <c r="BS164" s="60" t="str">
        <f>IF(AQ164="","Original",IF(AP164&lt;Y164,"Alternate","Original"))</f>
        <v>Original</v>
      </c>
    </row>
    <row r="165" spans="1:71" s="31" customFormat="1" x14ac:dyDescent="0.35">
      <c r="A165" s="53" t="s">
        <v>39</v>
      </c>
      <c r="B165" s="49">
        <v>163</v>
      </c>
      <c r="C165" s="50"/>
      <c r="D165" s="50"/>
      <c r="E165" s="51"/>
      <c r="F165" s="50" t="s">
        <v>40</v>
      </c>
      <c r="G165" s="50" t="s">
        <v>734</v>
      </c>
      <c r="H165" s="50" t="s">
        <v>735</v>
      </c>
      <c r="I165" s="50"/>
      <c r="J165" s="50"/>
      <c r="K165" s="50"/>
      <c r="L165" s="50"/>
      <c r="M165" s="50"/>
      <c r="N165" s="54" t="s">
        <v>43</v>
      </c>
      <c r="O165" s="49">
        <v>1</v>
      </c>
      <c r="P165" s="43">
        <v>73.900000000000006</v>
      </c>
      <c r="Q165" s="49">
        <v>1</v>
      </c>
      <c r="R165" s="44">
        <f>P165/O165</f>
        <v>73.900000000000006</v>
      </c>
      <c r="S165" s="49">
        <f>Q165*O165</f>
        <v>1</v>
      </c>
      <c r="T165" s="52">
        <f>S165*R165</f>
        <v>73.900000000000006</v>
      </c>
      <c r="U165" s="50"/>
      <c r="V165" s="50"/>
      <c r="W165" s="50"/>
      <c r="X165" s="69"/>
      <c r="Y165" s="69"/>
      <c r="Z165" s="69"/>
      <c r="AA165" s="50"/>
      <c r="AB165" s="50"/>
      <c r="AC165" s="50"/>
      <c r="AD165" s="50"/>
      <c r="AE165" s="50"/>
      <c r="AF165" s="50"/>
      <c r="AG165" s="50"/>
      <c r="AH165" s="50"/>
      <c r="AI165" s="50" t="s">
        <v>652</v>
      </c>
      <c r="AJ165" s="50"/>
      <c r="AK165" s="50"/>
      <c r="AL165" s="44"/>
      <c r="AM165" s="45"/>
      <c r="AN165" s="50"/>
      <c r="AO165" s="69"/>
      <c r="AP165" s="69"/>
      <c r="AQ165" s="69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5"/>
      <c r="BD165" s="56"/>
      <c r="BE165" s="61"/>
      <c r="BF165" s="65"/>
      <c r="BG165" s="66"/>
      <c r="BH165" s="66"/>
      <c r="BI165" s="60"/>
      <c r="BJ165" s="60"/>
      <c r="BK165" s="60"/>
      <c r="BL165" s="60"/>
      <c r="BM165" s="60"/>
      <c r="BN165" s="60"/>
      <c r="BO165" s="60"/>
      <c r="BP165" s="60"/>
      <c r="BQ165" s="60" t="str">
        <f>IF(BS165="Original",AI165,AZ165)</f>
        <v>Low Threshold Spend</v>
      </c>
      <c r="BR165" s="60"/>
      <c r="BS165" s="60" t="str">
        <f>IF(AQ165="","Original",IF(AP165&lt;Y165,"Alternate","Original"))</f>
        <v>Original</v>
      </c>
    </row>
    <row r="166" spans="1:71" s="31" customFormat="1" x14ac:dyDescent="0.35">
      <c r="A166" s="53" t="s">
        <v>39</v>
      </c>
      <c r="B166" s="49">
        <v>164</v>
      </c>
      <c r="C166" s="50"/>
      <c r="D166" s="50"/>
      <c r="E166" s="51"/>
      <c r="F166" s="50" t="s">
        <v>60</v>
      </c>
      <c r="G166" s="50" t="s">
        <v>736</v>
      </c>
      <c r="H166" s="50" t="s">
        <v>737</v>
      </c>
      <c r="I166" s="50"/>
      <c r="J166" s="50"/>
      <c r="K166" s="50"/>
      <c r="L166" s="50"/>
      <c r="M166" s="50"/>
      <c r="N166" s="54" t="s">
        <v>43</v>
      </c>
      <c r="O166" s="49">
        <v>1</v>
      </c>
      <c r="P166" s="43">
        <v>36.92</v>
      </c>
      <c r="Q166" s="49">
        <v>2</v>
      </c>
      <c r="R166" s="44">
        <f>P166/O166</f>
        <v>36.92</v>
      </c>
      <c r="S166" s="49">
        <f>Q166*O166</f>
        <v>2</v>
      </c>
      <c r="T166" s="52">
        <f>S166*R166</f>
        <v>73.84</v>
      </c>
      <c r="U166" s="50"/>
      <c r="V166" s="50"/>
      <c r="W166" s="50"/>
      <c r="X166" s="69"/>
      <c r="Y166" s="69"/>
      <c r="Z166" s="69"/>
      <c r="AA166" s="50"/>
      <c r="AB166" s="50"/>
      <c r="AC166" s="50"/>
      <c r="AD166" s="50"/>
      <c r="AE166" s="50"/>
      <c r="AF166" s="50"/>
      <c r="AG166" s="50"/>
      <c r="AH166" s="50"/>
      <c r="AI166" s="50" t="s">
        <v>652</v>
      </c>
      <c r="AJ166" s="50"/>
      <c r="AK166" s="50"/>
      <c r="AL166" s="44"/>
      <c r="AM166" s="45"/>
      <c r="AN166" s="50"/>
      <c r="AO166" s="69"/>
      <c r="AP166" s="69"/>
      <c r="AQ166" s="69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5"/>
      <c r="BD166" s="56"/>
      <c r="BE166" s="61"/>
      <c r="BF166" s="65"/>
      <c r="BG166" s="66"/>
      <c r="BH166" s="66"/>
      <c r="BI166" s="60"/>
      <c r="BJ166" s="60"/>
      <c r="BK166" s="60"/>
      <c r="BL166" s="60"/>
      <c r="BM166" s="60"/>
      <c r="BN166" s="60"/>
      <c r="BO166" s="60"/>
      <c r="BP166" s="60"/>
      <c r="BQ166" s="60" t="str">
        <f>IF(BS166="Original",AI166,AZ166)</f>
        <v>Low Threshold Spend</v>
      </c>
      <c r="BR166" s="60"/>
      <c r="BS166" s="60" t="str">
        <f>IF(AQ166="","Original",IF(AP166&lt;Y166,"Alternate","Original"))</f>
        <v>Original</v>
      </c>
    </row>
    <row r="167" spans="1:71" s="31" customFormat="1" x14ac:dyDescent="0.35">
      <c r="A167" s="53" t="s">
        <v>39</v>
      </c>
      <c r="B167" s="49">
        <v>165</v>
      </c>
      <c r="C167" s="50"/>
      <c r="D167" s="50"/>
      <c r="E167" s="51"/>
      <c r="F167" s="50" t="s">
        <v>60</v>
      </c>
      <c r="G167" s="50" t="s">
        <v>738</v>
      </c>
      <c r="H167" s="50" t="s">
        <v>739</v>
      </c>
      <c r="I167" s="50"/>
      <c r="J167" s="50"/>
      <c r="K167" s="50"/>
      <c r="L167" s="50"/>
      <c r="M167" s="50"/>
      <c r="N167" s="54" t="s">
        <v>43</v>
      </c>
      <c r="O167" s="49">
        <v>1</v>
      </c>
      <c r="P167" s="43">
        <v>72.010000000000005</v>
      </c>
      <c r="Q167" s="49">
        <v>1</v>
      </c>
      <c r="R167" s="44">
        <f>P167/O167</f>
        <v>72.010000000000005</v>
      </c>
      <c r="S167" s="49">
        <f>Q167*O167</f>
        <v>1</v>
      </c>
      <c r="T167" s="52">
        <f>S167*R167</f>
        <v>72.010000000000005</v>
      </c>
      <c r="U167" s="50"/>
      <c r="V167" s="50"/>
      <c r="W167" s="50"/>
      <c r="X167" s="69"/>
      <c r="Y167" s="69"/>
      <c r="Z167" s="69"/>
      <c r="AA167" s="50"/>
      <c r="AB167" s="50"/>
      <c r="AC167" s="50"/>
      <c r="AD167" s="50"/>
      <c r="AE167" s="50"/>
      <c r="AF167" s="50"/>
      <c r="AG167" s="50"/>
      <c r="AH167" s="50"/>
      <c r="AI167" s="50" t="s">
        <v>652</v>
      </c>
      <c r="AJ167" s="50"/>
      <c r="AK167" s="50"/>
      <c r="AL167" s="44"/>
      <c r="AM167" s="45"/>
      <c r="AN167" s="50"/>
      <c r="AO167" s="69"/>
      <c r="AP167" s="69"/>
      <c r="AQ167" s="69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5"/>
      <c r="BD167" s="56"/>
      <c r="BE167" s="61"/>
      <c r="BF167" s="65"/>
      <c r="BG167" s="66"/>
      <c r="BH167" s="66"/>
      <c r="BI167" s="60"/>
      <c r="BJ167" s="60"/>
      <c r="BK167" s="60"/>
      <c r="BL167" s="60"/>
      <c r="BM167" s="60"/>
      <c r="BN167" s="60"/>
      <c r="BO167" s="60"/>
      <c r="BP167" s="60"/>
      <c r="BQ167" s="60" t="str">
        <f>IF(BS167="Original",AI167,AZ167)</f>
        <v>Low Threshold Spend</v>
      </c>
      <c r="BR167" s="60"/>
      <c r="BS167" s="60" t="str">
        <f>IF(AQ167="","Original",IF(AP167&lt;Y167,"Alternate","Original"))</f>
        <v>Original</v>
      </c>
    </row>
    <row r="168" spans="1:71" s="31" customFormat="1" x14ac:dyDescent="0.35">
      <c r="A168" s="53" t="s">
        <v>39</v>
      </c>
      <c r="B168" s="49">
        <v>166</v>
      </c>
      <c r="C168" s="50"/>
      <c r="D168" s="50"/>
      <c r="E168" s="51"/>
      <c r="F168" s="50" t="s">
        <v>40</v>
      </c>
      <c r="G168" s="50" t="s">
        <v>740</v>
      </c>
      <c r="H168" s="50" t="s">
        <v>741</v>
      </c>
      <c r="I168" s="50"/>
      <c r="J168" s="50"/>
      <c r="K168" s="50"/>
      <c r="L168" s="50"/>
      <c r="M168" s="50"/>
      <c r="N168" s="54" t="s">
        <v>43</v>
      </c>
      <c r="O168" s="49">
        <v>1</v>
      </c>
      <c r="P168" s="43">
        <v>71.89</v>
      </c>
      <c r="Q168" s="49">
        <v>1</v>
      </c>
      <c r="R168" s="44">
        <f>P168/O168</f>
        <v>71.89</v>
      </c>
      <c r="S168" s="49">
        <f>Q168*O168</f>
        <v>1</v>
      </c>
      <c r="T168" s="52">
        <f>S168*R168</f>
        <v>71.89</v>
      </c>
      <c r="U168" s="50"/>
      <c r="V168" s="50"/>
      <c r="W168" s="50"/>
      <c r="X168" s="69"/>
      <c r="Y168" s="69"/>
      <c r="Z168" s="69"/>
      <c r="AA168" s="50"/>
      <c r="AB168" s="50"/>
      <c r="AC168" s="50"/>
      <c r="AD168" s="50"/>
      <c r="AE168" s="50"/>
      <c r="AF168" s="50"/>
      <c r="AG168" s="50"/>
      <c r="AH168" s="50"/>
      <c r="AI168" s="50" t="s">
        <v>652</v>
      </c>
      <c r="AJ168" s="50"/>
      <c r="AK168" s="50"/>
      <c r="AL168" s="44"/>
      <c r="AM168" s="45"/>
      <c r="AN168" s="50"/>
      <c r="AO168" s="69"/>
      <c r="AP168" s="69"/>
      <c r="AQ168" s="69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5"/>
      <c r="BD168" s="56"/>
      <c r="BE168" s="61"/>
      <c r="BF168" s="65"/>
      <c r="BG168" s="66"/>
      <c r="BH168" s="66"/>
      <c r="BI168" s="60"/>
      <c r="BJ168" s="60"/>
      <c r="BK168" s="60"/>
      <c r="BL168" s="60"/>
      <c r="BM168" s="60"/>
      <c r="BN168" s="60"/>
      <c r="BO168" s="60"/>
      <c r="BP168" s="60"/>
      <c r="BQ168" s="60" t="str">
        <f>IF(BS168="Original",AI168,AZ168)</f>
        <v>Low Threshold Spend</v>
      </c>
      <c r="BR168" s="60"/>
      <c r="BS168" s="60" t="str">
        <f>IF(AQ168="","Original",IF(AP168&lt;Y168,"Alternate","Original"))</f>
        <v>Original</v>
      </c>
    </row>
    <row r="169" spans="1:71" s="31" customFormat="1" x14ac:dyDescent="0.35">
      <c r="A169" s="53" t="s">
        <v>39</v>
      </c>
      <c r="B169" s="49">
        <v>167</v>
      </c>
      <c r="C169" s="50"/>
      <c r="D169" s="50"/>
      <c r="E169" s="51"/>
      <c r="F169" s="50" t="s">
        <v>60</v>
      </c>
      <c r="G169" s="50" t="s">
        <v>742</v>
      </c>
      <c r="H169" s="50" t="s">
        <v>743</v>
      </c>
      <c r="I169" s="50"/>
      <c r="J169" s="50"/>
      <c r="K169" s="50"/>
      <c r="L169" s="50"/>
      <c r="M169" s="50"/>
      <c r="N169" s="54" t="s">
        <v>43</v>
      </c>
      <c r="O169" s="49">
        <v>1</v>
      </c>
      <c r="P169" s="43">
        <v>71.83</v>
      </c>
      <c r="Q169" s="49">
        <v>1</v>
      </c>
      <c r="R169" s="44">
        <f>P169/O169</f>
        <v>71.83</v>
      </c>
      <c r="S169" s="49">
        <f>Q169*O169</f>
        <v>1</v>
      </c>
      <c r="T169" s="52">
        <f>S169*R169</f>
        <v>71.83</v>
      </c>
      <c r="U169" s="50"/>
      <c r="V169" s="50"/>
      <c r="W169" s="50"/>
      <c r="X169" s="69"/>
      <c r="Y169" s="69"/>
      <c r="Z169" s="69"/>
      <c r="AA169" s="50"/>
      <c r="AB169" s="50"/>
      <c r="AC169" s="50"/>
      <c r="AD169" s="50"/>
      <c r="AE169" s="50"/>
      <c r="AF169" s="50"/>
      <c r="AG169" s="50"/>
      <c r="AH169" s="50"/>
      <c r="AI169" s="50" t="s">
        <v>652</v>
      </c>
      <c r="AJ169" s="50"/>
      <c r="AK169" s="50"/>
      <c r="AL169" s="44"/>
      <c r="AM169" s="45"/>
      <c r="AN169" s="50"/>
      <c r="AO169" s="69"/>
      <c r="AP169" s="69"/>
      <c r="AQ169" s="69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5"/>
      <c r="BD169" s="56"/>
      <c r="BE169" s="61"/>
      <c r="BF169" s="65"/>
      <c r="BG169" s="66"/>
      <c r="BH169" s="66"/>
      <c r="BI169" s="60"/>
      <c r="BJ169" s="60"/>
      <c r="BK169" s="60"/>
      <c r="BL169" s="60"/>
      <c r="BM169" s="60"/>
      <c r="BN169" s="60"/>
      <c r="BO169" s="60"/>
      <c r="BP169" s="60"/>
      <c r="BQ169" s="60" t="str">
        <f>IF(BS169="Original",AI169,AZ169)</f>
        <v>Low Threshold Spend</v>
      </c>
      <c r="BR169" s="60"/>
      <c r="BS169" s="60" t="str">
        <f>IF(AQ169="","Original",IF(AP169&lt;Y169,"Alternate","Original"))</f>
        <v>Original</v>
      </c>
    </row>
    <row r="170" spans="1:71" s="31" customFormat="1" x14ac:dyDescent="0.35">
      <c r="A170" s="53" t="s">
        <v>39</v>
      </c>
      <c r="B170" s="49">
        <v>168</v>
      </c>
      <c r="C170" s="50"/>
      <c r="D170" s="50"/>
      <c r="E170" s="51"/>
      <c r="F170" s="50" t="s">
        <v>49</v>
      </c>
      <c r="G170" s="50" t="s">
        <v>744</v>
      </c>
      <c r="H170" s="50" t="s">
        <v>745</v>
      </c>
      <c r="I170" s="50"/>
      <c r="J170" s="50"/>
      <c r="K170" s="50"/>
      <c r="L170" s="50"/>
      <c r="M170" s="50"/>
      <c r="N170" s="54" t="s">
        <v>43</v>
      </c>
      <c r="O170" s="49">
        <v>1</v>
      </c>
      <c r="P170" s="43">
        <v>69.98</v>
      </c>
      <c r="Q170" s="49">
        <v>1</v>
      </c>
      <c r="R170" s="44">
        <f>P170/O170</f>
        <v>69.98</v>
      </c>
      <c r="S170" s="49">
        <f>Q170*O170</f>
        <v>1</v>
      </c>
      <c r="T170" s="52">
        <f>S170*R170</f>
        <v>69.98</v>
      </c>
      <c r="U170" s="50"/>
      <c r="V170" s="50"/>
      <c r="W170" s="50"/>
      <c r="X170" s="69"/>
      <c r="Y170" s="69"/>
      <c r="Z170" s="69"/>
      <c r="AA170" s="50"/>
      <c r="AB170" s="50"/>
      <c r="AC170" s="50"/>
      <c r="AD170" s="50"/>
      <c r="AE170" s="50"/>
      <c r="AF170" s="50"/>
      <c r="AG170" s="50"/>
      <c r="AH170" s="50"/>
      <c r="AI170" s="50" t="s">
        <v>652</v>
      </c>
      <c r="AJ170" s="50"/>
      <c r="AK170" s="50"/>
      <c r="AL170" s="44"/>
      <c r="AM170" s="45"/>
      <c r="AN170" s="50"/>
      <c r="AO170" s="69"/>
      <c r="AP170" s="69"/>
      <c r="AQ170" s="69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5"/>
      <c r="BD170" s="56"/>
      <c r="BE170" s="61"/>
      <c r="BF170" s="65"/>
      <c r="BG170" s="66"/>
      <c r="BH170" s="66"/>
      <c r="BI170" s="60"/>
      <c r="BJ170" s="60"/>
      <c r="BK170" s="60"/>
      <c r="BL170" s="60"/>
      <c r="BM170" s="60"/>
      <c r="BN170" s="60"/>
      <c r="BO170" s="60"/>
      <c r="BP170" s="60"/>
      <c r="BQ170" s="60" t="str">
        <f>IF(BS170="Original",AI170,AZ170)</f>
        <v>Low Threshold Spend</v>
      </c>
      <c r="BR170" s="60"/>
      <c r="BS170" s="60" t="str">
        <f>IF(AQ170="","Original",IF(AP170&lt;Y170,"Alternate","Original"))</f>
        <v>Original</v>
      </c>
    </row>
    <row r="171" spans="1:71" s="31" customFormat="1" x14ac:dyDescent="0.35">
      <c r="A171" s="53" t="s">
        <v>39</v>
      </c>
      <c r="B171" s="49">
        <v>169</v>
      </c>
      <c r="C171" s="50"/>
      <c r="D171" s="50"/>
      <c r="E171" s="51"/>
      <c r="F171" s="50" t="s">
        <v>49</v>
      </c>
      <c r="G171" s="50" t="s">
        <v>746</v>
      </c>
      <c r="H171" s="50" t="s">
        <v>747</v>
      </c>
      <c r="I171" s="50"/>
      <c r="J171" s="50"/>
      <c r="K171" s="50"/>
      <c r="L171" s="50"/>
      <c r="M171" s="50"/>
      <c r="N171" s="54" t="s">
        <v>43</v>
      </c>
      <c r="O171" s="49">
        <v>1</v>
      </c>
      <c r="P171" s="43">
        <v>69.97</v>
      </c>
      <c r="Q171" s="49">
        <v>1</v>
      </c>
      <c r="R171" s="44">
        <f>P171/O171</f>
        <v>69.97</v>
      </c>
      <c r="S171" s="49">
        <f>Q171*O171</f>
        <v>1</v>
      </c>
      <c r="T171" s="52">
        <f>S171*R171</f>
        <v>69.97</v>
      </c>
      <c r="U171" s="50"/>
      <c r="V171" s="50"/>
      <c r="W171" s="50"/>
      <c r="X171" s="69"/>
      <c r="Y171" s="69"/>
      <c r="Z171" s="69"/>
      <c r="AA171" s="50"/>
      <c r="AB171" s="50"/>
      <c r="AC171" s="50"/>
      <c r="AD171" s="50"/>
      <c r="AE171" s="50"/>
      <c r="AF171" s="50"/>
      <c r="AG171" s="50"/>
      <c r="AH171" s="50"/>
      <c r="AI171" s="50" t="s">
        <v>652</v>
      </c>
      <c r="AJ171" s="50"/>
      <c r="AK171" s="50"/>
      <c r="AL171" s="44"/>
      <c r="AM171" s="45"/>
      <c r="AN171" s="50"/>
      <c r="AO171" s="69"/>
      <c r="AP171" s="69"/>
      <c r="AQ171" s="69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5"/>
      <c r="BD171" s="56"/>
      <c r="BE171" s="61"/>
      <c r="BF171" s="65"/>
      <c r="BG171" s="66"/>
      <c r="BH171" s="66"/>
      <c r="BI171" s="60"/>
      <c r="BJ171" s="60"/>
      <c r="BK171" s="60"/>
      <c r="BL171" s="60"/>
      <c r="BM171" s="60"/>
      <c r="BN171" s="60"/>
      <c r="BO171" s="60"/>
      <c r="BP171" s="60"/>
      <c r="BQ171" s="60" t="str">
        <f>IF(BS171="Original",AI171,AZ171)</f>
        <v>Low Threshold Spend</v>
      </c>
      <c r="BR171" s="60"/>
      <c r="BS171" s="60" t="str">
        <f>IF(AQ171="","Original",IF(AP171&lt;Y171,"Alternate","Original"))</f>
        <v>Original</v>
      </c>
    </row>
    <row r="172" spans="1:71" s="31" customFormat="1" x14ac:dyDescent="0.35">
      <c r="A172" s="53" t="s">
        <v>39</v>
      </c>
      <c r="B172" s="49">
        <v>170</v>
      </c>
      <c r="C172" s="50"/>
      <c r="D172" s="50"/>
      <c r="E172" s="51"/>
      <c r="F172" s="50" t="s">
        <v>49</v>
      </c>
      <c r="G172" s="50" t="s">
        <v>748</v>
      </c>
      <c r="H172" s="50" t="s">
        <v>749</v>
      </c>
      <c r="I172" s="50"/>
      <c r="J172" s="50"/>
      <c r="K172" s="50"/>
      <c r="L172" s="50"/>
      <c r="M172" s="50"/>
      <c r="N172" s="54" t="s">
        <v>43</v>
      </c>
      <c r="O172" s="49">
        <v>1</v>
      </c>
      <c r="P172" s="43">
        <v>69.83</v>
      </c>
      <c r="Q172" s="49">
        <v>1</v>
      </c>
      <c r="R172" s="44">
        <f>P172/O172</f>
        <v>69.83</v>
      </c>
      <c r="S172" s="49">
        <f>Q172*O172</f>
        <v>1</v>
      </c>
      <c r="T172" s="52">
        <f>S172*R172</f>
        <v>69.83</v>
      </c>
      <c r="U172" s="50"/>
      <c r="V172" s="50"/>
      <c r="W172" s="50"/>
      <c r="X172" s="69"/>
      <c r="Y172" s="69"/>
      <c r="Z172" s="69"/>
      <c r="AA172" s="50"/>
      <c r="AB172" s="50"/>
      <c r="AC172" s="50"/>
      <c r="AD172" s="50"/>
      <c r="AE172" s="50"/>
      <c r="AF172" s="50"/>
      <c r="AG172" s="50"/>
      <c r="AH172" s="50"/>
      <c r="AI172" s="50" t="s">
        <v>652</v>
      </c>
      <c r="AJ172" s="50"/>
      <c r="AK172" s="50"/>
      <c r="AL172" s="44"/>
      <c r="AM172" s="45"/>
      <c r="AN172" s="50"/>
      <c r="AO172" s="69"/>
      <c r="AP172" s="69"/>
      <c r="AQ172" s="69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5"/>
      <c r="BD172" s="56"/>
      <c r="BE172" s="61"/>
      <c r="BF172" s="65"/>
      <c r="BG172" s="66"/>
      <c r="BH172" s="66"/>
      <c r="BI172" s="60"/>
      <c r="BJ172" s="60"/>
      <c r="BK172" s="60"/>
      <c r="BL172" s="60"/>
      <c r="BM172" s="60"/>
      <c r="BN172" s="60"/>
      <c r="BO172" s="60"/>
      <c r="BP172" s="60"/>
      <c r="BQ172" s="60" t="str">
        <f>IF(BS172="Original",AI172,AZ172)</f>
        <v>Low Threshold Spend</v>
      </c>
      <c r="BR172" s="60"/>
      <c r="BS172" s="60" t="str">
        <f>IF(AQ172="","Original",IF(AP172&lt;Y172,"Alternate","Original"))</f>
        <v>Original</v>
      </c>
    </row>
    <row r="173" spans="1:71" s="31" customFormat="1" x14ac:dyDescent="0.35">
      <c r="A173" s="53" t="s">
        <v>39</v>
      </c>
      <c r="B173" s="49">
        <v>171</v>
      </c>
      <c r="C173" s="50"/>
      <c r="D173" s="50"/>
      <c r="E173" s="51"/>
      <c r="F173" s="50" t="s">
        <v>60</v>
      </c>
      <c r="G173" s="50" t="s">
        <v>750</v>
      </c>
      <c r="H173" s="50" t="s">
        <v>751</v>
      </c>
      <c r="I173" s="50"/>
      <c r="J173" s="50"/>
      <c r="K173" s="50"/>
      <c r="L173" s="50"/>
      <c r="M173" s="50"/>
      <c r="N173" s="54" t="s">
        <v>43</v>
      </c>
      <c r="O173" s="49">
        <v>1</v>
      </c>
      <c r="P173" s="43">
        <v>69.31</v>
      </c>
      <c r="Q173" s="49">
        <v>1</v>
      </c>
      <c r="R173" s="44">
        <f>P173/O173</f>
        <v>69.31</v>
      </c>
      <c r="S173" s="49">
        <f>Q173*O173</f>
        <v>1</v>
      </c>
      <c r="T173" s="52">
        <f>S173*R173</f>
        <v>69.31</v>
      </c>
      <c r="U173" s="50"/>
      <c r="V173" s="50"/>
      <c r="W173" s="50"/>
      <c r="X173" s="69"/>
      <c r="Y173" s="69"/>
      <c r="Z173" s="69"/>
      <c r="AA173" s="50"/>
      <c r="AB173" s="50"/>
      <c r="AC173" s="50"/>
      <c r="AD173" s="50"/>
      <c r="AE173" s="50"/>
      <c r="AF173" s="50"/>
      <c r="AG173" s="50"/>
      <c r="AH173" s="50"/>
      <c r="AI173" s="50" t="s">
        <v>652</v>
      </c>
      <c r="AJ173" s="50"/>
      <c r="AK173" s="50"/>
      <c r="AL173" s="44"/>
      <c r="AM173" s="45"/>
      <c r="AN173" s="50"/>
      <c r="AO173" s="69"/>
      <c r="AP173" s="69"/>
      <c r="AQ173" s="69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5"/>
      <c r="BD173" s="56"/>
      <c r="BE173" s="61"/>
      <c r="BF173" s="65"/>
      <c r="BG173" s="66"/>
      <c r="BH173" s="66"/>
      <c r="BI173" s="60"/>
      <c r="BJ173" s="60"/>
      <c r="BK173" s="60"/>
      <c r="BL173" s="60"/>
      <c r="BM173" s="60"/>
      <c r="BN173" s="60"/>
      <c r="BO173" s="60"/>
      <c r="BP173" s="60"/>
      <c r="BQ173" s="60" t="str">
        <f>IF(BS173="Original",AI173,AZ173)</f>
        <v>Low Threshold Spend</v>
      </c>
      <c r="BR173" s="60"/>
      <c r="BS173" s="60" t="str">
        <f>IF(AQ173="","Original",IF(AP173&lt;Y173,"Alternate","Original"))</f>
        <v>Original</v>
      </c>
    </row>
    <row r="174" spans="1:71" s="31" customFormat="1" x14ac:dyDescent="0.35">
      <c r="A174" s="53" t="s">
        <v>39</v>
      </c>
      <c r="B174" s="49">
        <v>172</v>
      </c>
      <c r="C174" s="50"/>
      <c r="D174" s="50"/>
      <c r="E174" s="51"/>
      <c r="F174" s="50" t="s">
        <v>60</v>
      </c>
      <c r="G174" s="50" t="s">
        <v>752</v>
      </c>
      <c r="H174" s="50" t="s">
        <v>753</v>
      </c>
      <c r="I174" s="50"/>
      <c r="J174" s="50"/>
      <c r="K174" s="50"/>
      <c r="L174" s="50"/>
      <c r="M174" s="50"/>
      <c r="N174" s="54" t="s">
        <v>43</v>
      </c>
      <c r="O174" s="49">
        <v>1</v>
      </c>
      <c r="P174" s="43">
        <v>69.319999999999993</v>
      </c>
      <c r="Q174" s="49">
        <v>1</v>
      </c>
      <c r="R174" s="44">
        <f>P174/O174</f>
        <v>69.319999999999993</v>
      </c>
      <c r="S174" s="49">
        <f>Q174*O174</f>
        <v>1</v>
      </c>
      <c r="T174" s="52">
        <f>S174*R174</f>
        <v>69.319999999999993</v>
      </c>
      <c r="U174" s="50"/>
      <c r="V174" s="50"/>
      <c r="W174" s="50"/>
      <c r="X174" s="69"/>
      <c r="Y174" s="69"/>
      <c r="Z174" s="69"/>
      <c r="AA174" s="50"/>
      <c r="AB174" s="50"/>
      <c r="AC174" s="50"/>
      <c r="AD174" s="50"/>
      <c r="AE174" s="50"/>
      <c r="AF174" s="50"/>
      <c r="AG174" s="50"/>
      <c r="AH174" s="50"/>
      <c r="AI174" s="50" t="s">
        <v>652</v>
      </c>
      <c r="AJ174" s="50"/>
      <c r="AK174" s="50"/>
      <c r="AL174" s="44"/>
      <c r="AM174" s="45"/>
      <c r="AN174" s="50"/>
      <c r="AO174" s="69"/>
      <c r="AP174" s="69"/>
      <c r="AQ174" s="69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5"/>
      <c r="BD174" s="56"/>
      <c r="BE174" s="61"/>
      <c r="BF174" s="65"/>
      <c r="BG174" s="66"/>
      <c r="BH174" s="66"/>
      <c r="BI174" s="60"/>
      <c r="BJ174" s="60"/>
      <c r="BK174" s="60"/>
      <c r="BL174" s="60"/>
      <c r="BM174" s="60"/>
      <c r="BN174" s="60"/>
      <c r="BO174" s="60"/>
      <c r="BP174" s="60"/>
      <c r="BQ174" s="60" t="str">
        <f>IF(BS174="Original",AI174,AZ174)</f>
        <v>Low Threshold Spend</v>
      </c>
      <c r="BR174" s="60"/>
      <c r="BS174" s="60" t="str">
        <f>IF(AQ174="","Original",IF(AP174&lt;Y174,"Alternate","Original"))</f>
        <v>Original</v>
      </c>
    </row>
    <row r="175" spans="1:71" s="31" customFormat="1" x14ac:dyDescent="0.35">
      <c r="A175" s="53" t="s">
        <v>39</v>
      </c>
      <c r="B175" s="49">
        <v>173</v>
      </c>
      <c r="C175" s="50"/>
      <c r="D175" s="50"/>
      <c r="E175" s="51"/>
      <c r="F175" s="50" t="s">
        <v>40</v>
      </c>
      <c r="G175" s="50" t="s">
        <v>754</v>
      </c>
      <c r="H175" s="50" t="s">
        <v>755</v>
      </c>
      <c r="I175" s="50"/>
      <c r="J175" s="50"/>
      <c r="K175" s="50"/>
      <c r="L175" s="50"/>
      <c r="M175" s="50"/>
      <c r="N175" s="54" t="s">
        <v>43</v>
      </c>
      <c r="O175" s="49">
        <v>1</v>
      </c>
      <c r="P175" s="43">
        <v>69.12</v>
      </c>
      <c r="Q175" s="49">
        <v>1</v>
      </c>
      <c r="R175" s="44">
        <f>P175/O175</f>
        <v>69.12</v>
      </c>
      <c r="S175" s="49">
        <f>Q175*O175</f>
        <v>1</v>
      </c>
      <c r="T175" s="52">
        <f>S175*R175</f>
        <v>69.12</v>
      </c>
      <c r="U175" s="50"/>
      <c r="V175" s="50"/>
      <c r="W175" s="50"/>
      <c r="X175" s="69"/>
      <c r="Y175" s="69"/>
      <c r="Z175" s="69"/>
      <c r="AA175" s="50"/>
      <c r="AB175" s="50"/>
      <c r="AC175" s="50"/>
      <c r="AD175" s="50"/>
      <c r="AE175" s="50"/>
      <c r="AF175" s="50"/>
      <c r="AG175" s="50"/>
      <c r="AH175" s="50"/>
      <c r="AI175" s="50" t="s">
        <v>652</v>
      </c>
      <c r="AJ175" s="50"/>
      <c r="AK175" s="50"/>
      <c r="AL175" s="44"/>
      <c r="AM175" s="45"/>
      <c r="AN175" s="50"/>
      <c r="AO175" s="69"/>
      <c r="AP175" s="69"/>
      <c r="AQ175" s="69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5"/>
      <c r="BD175" s="56"/>
      <c r="BE175" s="61"/>
      <c r="BF175" s="65"/>
      <c r="BG175" s="66"/>
      <c r="BH175" s="66"/>
      <c r="BI175" s="60"/>
      <c r="BJ175" s="60"/>
      <c r="BK175" s="60"/>
      <c r="BL175" s="60"/>
      <c r="BM175" s="60"/>
      <c r="BN175" s="60"/>
      <c r="BO175" s="60"/>
      <c r="BP175" s="60"/>
      <c r="BQ175" s="60" t="str">
        <f>IF(BS175="Original",AI175,AZ175)</f>
        <v>Low Threshold Spend</v>
      </c>
      <c r="BR175" s="60"/>
      <c r="BS175" s="60" t="str">
        <f>IF(AQ175="","Original",IF(AP175&lt;Y175,"Alternate","Original"))</f>
        <v>Original</v>
      </c>
    </row>
    <row r="176" spans="1:71" s="31" customFormat="1" x14ac:dyDescent="0.35">
      <c r="A176" s="53" t="s">
        <v>39</v>
      </c>
      <c r="B176" s="49">
        <v>174</v>
      </c>
      <c r="C176" s="50"/>
      <c r="D176" s="50"/>
      <c r="E176" s="51"/>
      <c r="F176" s="50" t="s">
        <v>49</v>
      </c>
      <c r="G176" s="50" t="s">
        <v>756</v>
      </c>
      <c r="H176" s="50" t="s">
        <v>757</v>
      </c>
      <c r="I176" s="50"/>
      <c r="J176" s="50"/>
      <c r="K176" s="50"/>
      <c r="L176" s="50"/>
      <c r="M176" s="50"/>
      <c r="N176" s="54" t="s">
        <v>43</v>
      </c>
      <c r="O176" s="49">
        <v>1</v>
      </c>
      <c r="P176" s="43">
        <v>22.92</v>
      </c>
      <c r="Q176" s="49">
        <v>3</v>
      </c>
      <c r="R176" s="44">
        <f>P176/O176</f>
        <v>22.92</v>
      </c>
      <c r="S176" s="49">
        <f>Q176*O176</f>
        <v>3</v>
      </c>
      <c r="T176" s="52">
        <f>S176*R176</f>
        <v>68.760000000000005</v>
      </c>
      <c r="U176" s="50"/>
      <c r="V176" s="50"/>
      <c r="W176" s="50"/>
      <c r="X176" s="69"/>
      <c r="Y176" s="69"/>
      <c r="Z176" s="69"/>
      <c r="AA176" s="50"/>
      <c r="AB176" s="50"/>
      <c r="AC176" s="50"/>
      <c r="AD176" s="50"/>
      <c r="AE176" s="50"/>
      <c r="AF176" s="50"/>
      <c r="AG176" s="50"/>
      <c r="AH176" s="50"/>
      <c r="AI176" s="50" t="s">
        <v>652</v>
      </c>
      <c r="AJ176" s="50"/>
      <c r="AK176" s="50"/>
      <c r="AL176" s="44"/>
      <c r="AM176" s="45"/>
      <c r="AN176" s="50"/>
      <c r="AO176" s="69"/>
      <c r="AP176" s="69"/>
      <c r="AQ176" s="69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5"/>
      <c r="BD176" s="56"/>
      <c r="BE176" s="61"/>
      <c r="BF176" s="65"/>
      <c r="BG176" s="66"/>
      <c r="BH176" s="66"/>
      <c r="BI176" s="60"/>
      <c r="BJ176" s="60"/>
      <c r="BK176" s="60"/>
      <c r="BL176" s="60"/>
      <c r="BM176" s="60"/>
      <c r="BN176" s="60"/>
      <c r="BO176" s="60"/>
      <c r="BP176" s="60"/>
      <c r="BQ176" s="60" t="str">
        <f>IF(BS176="Original",AI176,AZ176)</f>
        <v>Low Threshold Spend</v>
      </c>
      <c r="BR176" s="60"/>
      <c r="BS176" s="60" t="str">
        <f>IF(AQ176="","Original",IF(AP176&lt;Y176,"Alternate","Original"))</f>
        <v>Original</v>
      </c>
    </row>
    <row r="177" spans="1:71" s="31" customFormat="1" x14ac:dyDescent="0.35">
      <c r="A177" s="53" t="s">
        <v>39</v>
      </c>
      <c r="B177" s="49">
        <v>175</v>
      </c>
      <c r="C177" s="50"/>
      <c r="D177" s="50"/>
      <c r="E177" s="51"/>
      <c r="F177" s="50" t="s">
        <v>40</v>
      </c>
      <c r="G177" s="50" t="s">
        <v>592</v>
      </c>
      <c r="H177" s="50" t="s">
        <v>593</v>
      </c>
      <c r="I177" s="50"/>
      <c r="J177" s="50"/>
      <c r="K177" s="50"/>
      <c r="L177" s="50"/>
      <c r="M177" s="50"/>
      <c r="N177" s="54" t="s">
        <v>43</v>
      </c>
      <c r="O177" s="49">
        <v>1</v>
      </c>
      <c r="P177" s="43">
        <v>68.2</v>
      </c>
      <c r="Q177" s="49">
        <v>1</v>
      </c>
      <c r="R177" s="44">
        <f>P177/O177</f>
        <v>68.2</v>
      </c>
      <c r="S177" s="49">
        <f>Q177*O177</f>
        <v>1</v>
      </c>
      <c r="T177" s="52">
        <f>S177*R177</f>
        <v>68.2</v>
      </c>
      <c r="U177" s="50"/>
      <c r="V177" s="50"/>
      <c r="W177" s="50"/>
      <c r="X177" s="69"/>
      <c r="Y177" s="69"/>
      <c r="Z177" s="69"/>
      <c r="AA177" s="50"/>
      <c r="AB177" s="50"/>
      <c r="AC177" s="50"/>
      <c r="AD177" s="50"/>
      <c r="AE177" s="50"/>
      <c r="AF177" s="50"/>
      <c r="AG177" s="50"/>
      <c r="AH177" s="50"/>
      <c r="AI177" s="50" t="s">
        <v>652</v>
      </c>
      <c r="AJ177" s="50"/>
      <c r="AK177" s="50"/>
      <c r="AL177" s="44"/>
      <c r="AM177" s="45"/>
      <c r="AN177" s="50"/>
      <c r="AO177" s="69"/>
      <c r="AP177" s="69"/>
      <c r="AQ177" s="69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5"/>
      <c r="BD177" s="56"/>
      <c r="BE177" s="61"/>
      <c r="BF177" s="65"/>
      <c r="BG177" s="66"/>
      <c r="BH177" s="66"/>
      <c r="BI177" s="60"/>
      <c r="BJ177" s="60"/>
      <c r="BK177" s="60"/>
      <c r="BL177" s="60"/>
      <c r="BM177" s="60"/>
      <c r="BN177" s="60"/>
      <c r="BO177" s="60"/>
      <c r="BP177" s="60"/>
      <c r="BQ177" s="60" t="str">
        <f>IF(BS177="Original",AI177,AZ177)</f>
        <v>Low Threshold Spend</v>
      </c>
      <c r="BR177" s="60"/>
      <c r="BS177" s="60" t="str">
        <f>IF(AQ177="","Original",IF(AP177&lt;Y177,"Alternate","Original"))</f>
        <v>Original</v>
      </c>
    </row>
    <row r="178" spans="1:71" s="31" customFormat="1" x14ac:dyDescent="0.35">
      <c r="A178" s="53" t="s">
        <v>39</v>
      </c>
      <c r="B178" s="49">
        <v>176</v>
      </c>
      <c r="C178" s="50"/>
      <c r="D178" s="50"/>
      <c r="E178" s="51"/>
      <c r="F178" s="50" t="s">
        <v>49</v>
      </c>
      <c r="G178" s="50" t="s">
        <v>758</v>
      </c>
      <c r="H178" s="50" t="s">
        <v>759</v>
      </c>
      <c r="I178" s="50"/>
      <c r="J178" s="50"/>
      <c r="K178" s="50"/>
      <c r="L178" s="50"/>
      <c r="M178" s="50"/>
      <c r="N178" s="54" t="s">
        <v>43</v>
      </c>
      <c r="O178" s="49">
        <v>1</v>
      </c>
      <c r="P178" s="43">
        <v>68.010000000000005</v>
      </c>
      <c r="Q178" s="49">
        <v>1</v>
      </c>
      <c r="R178" s="44">
        <f>P178/O178</f>
        <v>68.010000000000005</v>
      </c>
      <c r="S178" s="49">
        <f>Q178*O178</f>
        <v>1</v>
      </c>
      <c r="T178" s="52">
        <f>S178*R178</f>
        <v>68.010000000000005</v>
      </c>
      <c r="U178" s="50"/>
      <c r="V178" s="50"/>
      <c r="W178" s="50"/>
      <c r="X178" s="69"/>
      <c r="Y178" s="69"/>
      <c r="Z178" s="69"/>
      <c r="AA178" s="50"/>
      <c r="AB178" s="50"/>
      <c r="AC178" s="50"/>
      <c r="AD178" s="50"/>
      <c r="AE178" s="50"/>
      <c r="AF178" s="50"/>
      <c r="AG178" s="50"/>
      <c r="AH178" s="50"/>
      <c r="AI178" s="50" t="s">
        <v>652</v>
      </c>
      <c r="AJ178" s="50"/>
      <c r="AK178" s="50"/>
      <c r="AL178" s="44"/>
      <c r="AM178" s="45"/>
      <c r="AN178" s="50"/>
      <c r="AO178" s="69"/>
      <c r="AP178" s="69"/>
      <c r="AQ178" s="69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5"/>
      <c r="BD178" s="56"/>
      <c r="BE178" s="61"/>
      <c r="BF178" s="65"/>
      <c r="BG178" s="66"/>
      <c r="BH178" s="66"/>
      <c r="BI178" s="60"/>
      <c r="BJ178" s="60"/>
      <c r="BK178" s="60"/>
      <c r="BL178" s="60"/>
      <c r="BM178" s="60"/>
      <c r="BN178" s="60"/>
      <c r="BO178" s="60"/>
      <c r="BP178" s="60"/>
      <c r="BQ178" s="60" t="str">
        <f>IF(BS178="Original",AI178,AZ178)</f>
        <v>Low Threshold Spend</v>
      </c>
      <c r="BR178" s="60"/>
      <c r="BS178" s="60" t="str">
        <f>IF(AQ178="","Original",IF(AP178&lt;Y178,"Alternate","Original"))</f>
        <v>Original</v>
      </c>
    </row>
    <row r="179" spans="1:71" s="31" customFormat="1" x14ac:dyDescent="0.35">
      <c r="A179" s="53" t="s">
        <v>39</v>
      </c>
      <c r="B179" s="49">
        <v>177</v>
      </c>
      <c r="C179" s="50"/>
      <c r="D179" s="50"/>
      <c r="E179" s="51"/>
      <c r="F179" s="50" t="s">
        <v>40</v>
      </c>
      <c r="G179" s="50" t="s">
        <v>760</v>
      </c>
      <c r="H179" s="50" t="s">
        <v>761</v>
      </c>
      <c r="I179" s="50"/>
      <c r="J179" s="50"/>
      <c r="K179" s="50"/>
      <c r="L179" s="50"/>
      <c r="M179" s="50"/>
      <c r="N179" s="54" t="s">
        <v>43</v>
      </c>
      <c r="O179" s="49">
        <v>1</v>
      </c>
      <c r="P179" s="43">
        <v>67.739999999999995</v>
      </c>
      <c r="Q179" s="49">
        <v>1</v>
      </c>
      <c r="R179" s="44">
        <f>P179/O179</f>
        <v>67.739999999999995</v>
      </c>
      <c r="S179" s="49">
        <f>Q179*O179</f>
        <v>1</v>
      </c>
      <c r="T179" s="52">
        <f>S179*R179</f>
        <v>67.739999999999995</v>
      </c>
      <c r="U179" s="50"/>
      <c r="V179" s="50"/>
      <c r="W179" s="50"/>
      <c r="X179" s="69"/>
      <c r="Y179" s="69"/>
      <c r="Z179" s="69"/>
      <c r="AA179" s="50"/>
      <c r="AB179" s="50"/>
      <c r="AC179" s="50"/>
      <c r="AD179" s="50"/>
      <c r="AE179" s="50"/>
      <c r="AF179" s="50"/>
      <c r="AG179" s="50"/>
      <c r="AH179" s="50"/>
      <c r="AI179" s="50" t="s">
        <v>652</v>
      </c>
      <c r="AJ179" s="50"/>
      <c r="AK179" s="50"/>
      <c r="AL179" s="44"/>
      <c r="AM179" s="45"/>
      <c r="AN179" s="50"/>
      <c r="AO179" s="69"/>
      <c r="AP179" s="69"/>
      <c r="AQ179" s="69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5"/>
      <c r="BD179" s="56"/>
      <c r="BE179" s="61"/>
      <c r="BF179" s="65"/>
      <c r="BG179" s="66"/>
      <c r="BH179" s="66"/>
      <c r="BI179" s="60"/>
      <c r="BJ179" s="60"/>
      <c r="BK179" s="60"/>
      <c r="BL179" s="60"/>
      <c r="BM179" s="60"/>
      <c r="BN179" s="60"/>
      <c r="BO179" s="60"/>
      <c r="BP179" s="60"/>
      <c r="BQ179" s="60" t="str">
        <f>IF(BS179="Original",AI179,AZ179)</f>
        <v>Low Threshold Spend</v>
      </c>
      <c r="BR179" s="60"/>
      <c r="BS179" s="60" t="str">
        <f>IF(AQ179="","Original",IF(AP179&lt;Y179,"Alternate","Original"))</f>
        <v>Original</v>
      </c>
    </row>
    <row r="180" spans="1:71" s="31" customFormat="1" x14ac:dyDescent="0.35">
      <c r="A180" s="53" t="s">
        <v>39</v>
      </c>
      <c r="B180" s="49">
        <v>178</v>
      </c>
      <c r="C180" s="50"/>
      <c r="D180" s="50"/>
      <c r="E180" s="51"/>
      <c r="F180" s="50" t="s">
        <v>40</v>
      </c>
      <c r="G180" s="50" t="s">
        <v>762</v>
      </c>
      <c r="H180" s="50" t="s">
        <v>763</v>
      </c>
      <c r="I180" s="50"/>
      <c r="J180" s="50"/>
      <c r="K180" s="50"/>
      <c r="L180" s="50"/>
      <c r="M180" s="50"/>
      <c r="N180" s="54" t="s">
        <v>43</v>
      </c>
      <c r="O180" s="49">
        <v>1</v>
      </c>
      <c r="P180" s="43">
        <v>67.25</v>
      </c>
      <c r="Q180" s="49">
        <v>1</v>
      </c>
      <c r="R180" s="44">
        <f>P180/O180</f>
        <v>67.25</v>
      </c>
      <c r="S180" s="49">
        <f>Q180*O180</f>
        <v>1</v>
      </c>
      <c r="T180" s="52">
        <f>S180*R180</f>
        <v>67.25</v>
      </c>
      <c r="U180" s="50"/>
      <c r="V180" s="50"/>
      <c r="W180" s="50"/>
      <c r="X180" s="69"/>
      <c r="Y180" s="69"/>
      <c r="Z180" s="69"/>
      <c r="AA180" s="50"/>
      <c r="AB180" s="50"/>
      <c r="AC180" s="50"/>
      <c r="AD180" s="50"/>
      <c r="AE180" s="50"/>
      <c r="AF180" s="50"/>
      <c r="AG180" s="50"/>
      <c r="AH180" s="50"/>
      <c r="AI180" s="50" t="s">
        <v>652</v>
      </c>
      <c r="AJ180" s="50"/>
      <c r="AK180" s="50"/>
      <c r="AL180" s="44"/>
      <c r="AM180" s="45"/>
      <c r="AN180" s="50"/>
      <c r="AO180" s="69"/>
      <c r="AP180" s="69"/>
      <c r="AQ180" s="69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5"/>
      <c r="BD180" s="56"/>
      <c r="BE180" s="61"/>
      <c r="BF180" s="65"/>
      <c r="BG180" s="66"/>
      <c r="BH180" s="66"/>
      <c r="BI180" s="60"/>
      <c r="BJ180" s="60"/>
      <c r="BK180" s="60"/>
      <c r="BL180" s="60"/>
      <c r="BM180" s="60"/>
      <c r="BN180" s="60"/>
      <c r="BO180" s="60"/>
      <c r="BP180" s="60"/>
      <c r="BQ180" s="60" t="str">
        <f>IF(BS180="Original",AI180,AZ180)</f>
        <v>Low Threshold Spend</v>
      </c>
      <c r="BR180" s="60"/>
      <c r="BS180" s="60" t="str">
        <f>IF(AQ180="","Original",IF(AP180&lt;Y180,"Alternate","Original"))</f>
        <v>Original</v>
      </c>
    </row>
    <row r="181" spans="1:71" s="31" customFormat="1" x14ac:dyDescent="0.35">
      <c r="A181" s="53" t="s">
        <v>39</v>
      </c>
      <c r="B181" s="49">
        <v>179</v>
      </c>
      <c r="C181" s="50"/>
      <c r="D181" s="50"/>
      <c r="E181" s="51"/>
      <c r="F181" s="50" t="s">
        <v>60</v>
      </c>
      <c r="G181" s="50" t="s">
        <v>764</v>
      </c>
      <c r="H181" s="50" t="s">
        <v>765</v>
      </c>
      <c r="I181" s="50"/>
      <c r="J181" s="50"/>
      <c r="K181" s="50"/>
      <c r="L181" s="50"/>
      <c r="M181" s="50"/>
      <c r="N181" s="54" t="s">
        <v>43</v>
      </c>
      <c r="O181" s="49">
        <v>1</v>
      </c>
      <c r="P181" s="43">
        <v>66.489999999999995</v>
      </c>
      <c r="Q181" s="49">
        <v>1</v>
      </c>
      <c r="R181" s="44">
        <f>P181/O181</f>
        <v>66.489999999999995</v>
      </c>
      <c r="S181" s="49">
        <f>Q181*O181</f>
        <v>1</v>
      </c>
      <c r="T181" s="52">
        <f>S181*R181</f>
        <v>66.489999999999995</v>
      </c>
      <c r="U181" s="50"/>
      <c r="V181" s="50"/>
      <c r="W181" s="50"/>
      <c r="X181" s="69"/>
      <c r="Y181" s="69"/>
      <c r="Z181" s="69"/>
      <c r="AA181" s="50"/>
      <c r="AB181" s="50"/>
      <c r="AC181" s="50"/>
      <c r="AD181" s="50"/>
      <c r="AE181" s="50"/>
      <c r="AF181" s="50"/>
      <c r="AG181" s="50"/>
      <c r="AH181" s="50"/>
      <c r="AI181" s="50" t="s">
        <v>652</v>
      </c>
      <c r="AJ181" s="50"/>
      <c r="AK181" s="50"/>
      <c r="AL181" s="44"/>
      <c r="AM181" s="45"/>
      <c r="AN181" s="50"/>
      <c r="AO181" s="69"/>
      <c r="AP181" s="69"/>
      <c r="AQ181" s="69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5"/>
      <c r="BD181" s="56"/>
      <c r="BE181" s="61"/>
      <c r="BF181" s="65"/>
      <c r="BG181" s="66"/>
      <c r="BH181" s="66"/>
      <c r="BI181" s="60"/>
      <c r="BJ181" s="60"/>
      <c r="BK181" s="60"/>
      <c r="BL181" s="60"/>
      <c r="BM181" s="60"/>
      <c r="BN181" s="60"/>
      <c r="BO181" s="60"/>
      <c r="BP181" s="60"/>
      <c r="BQ181" s="60" t="str">
        <f>IF(BS181="Original",AI181,AZ181)</f>
        <v>Low Threshold Spend</v>
      </c>
      <c r="BR181" s="60"/>
      <c r="BS181" s="60" t="str">
        <f>IF(AQ181="","Original",IF(AP181&lt;Y181,"Alternate","Original"))</f>
        <v>Original</v>
      </c>
    </row>
    <row r="182" spans="1:71" s="31" customFormat="1" x14ac:dyDescent="0.35">
      <c r="A182" s="53" t="s">
        <v>39</v>
      </c>
      <c r="B182" s="49">
        <v>180</v>
      </c>
      <c r="C182" s="50"/>
      <c r="D182" s="50"/>
      <c r="E182" s="51"/>
      <c r="F182" s="50" t="s">
        <v>60</v>
      </c>
      <c r="G182" s="50" t="s">
        <v>766</v>
      </c>
      <c r="H182" s="50" t="s">
        <v>767</v>
      </c>
      <c r="I182" s="50"/>
      <c r="J182" s="50"/>
      <c r="K182" s="50"/>
      <c r="L182" s="50"/>
      <c r="M182" s="50"/>
      <c r="N182" s="54" t="s">
        <v>43</v>
      </c>
      <c r="O182" s="49">
        <v>1</v>
      </c>
      <c r="P182" s="43">
        <v>65.03</v>
      </c>
      <c r="Q182" s="49">
        <v>1</v>
      </c>
      <c r="R182" s="44">
        <f>P182/O182</f>
        <v>65.03</v>
      </c>
      <c r="S182" s="49">
        <f>Q182*O182</f>
        <v>1</v>
      </c>
      <c r="T182" s="52">
        <f>S182*R182</f>
        <v>65.03</v>
      </c>
      <c r="U182" s="50"/>
      <c r="V182" s="50"/>
      <c r="W182" s="50"/>
      <c r="X182" s="69"/>
      <c r="Y182" s="69"/>
      <c r="Z182" s="69"/>
      <c r="AA182" s="50"/>
      <c r="AB182" s="50"/>
      <c r="AC182" s="50"/>
      <c r="AD182" s="50"/>
      <c r="AE182" s="50"/>
      <c r="AF182" s="50"/>
      <c r="AG182" s="50"/>
      <c r="AH182" s="50"/>
      <c r="AI182" s="50" t="s">
        <v>652</v>
      </c>
      <c r="AJ182" s="50"/>
      <c r="AK182" s="50"/>
      <c r="AL182" s="44"/>
      <c r="AM182" s="45"/>
      <c r="AN182" s="50"/>
      <c r="AO182" s="69"/>
      <c r="AP182" s="69"/>
      <c r="AQ182" s="69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5"/>
      <c r="BD182" s="56"/>
      <c r="BE182" s="61"/>
      <c r="BF182" s="65"/>
      <c r="BG182" s="66"/>
      <c r="BH182" s="66"/>
      <c r="BI182" s="60"/>
      <c r="BJ182" s="60"/>
      <c r="BK182" s="60"/>
      <c r="BL182" s="60"/>
      <c r="BM182" s="60"/>
      <c r="BN182" s="60"/>
      <c r="BO182" s="60"/>
      <c r="BP182" s="60"/>
      <c r="BQ182" s="60" t="str">
        <f>IF(BS182="Original",AI182,AZ182)</f>
        <v>Low Threshold Spend</v>
      </c>
      <c r="BR182" s="60"/>
      <c r="BS182" s="60" t="str">
        <f>IF(AQ182="","Original",IF(AP182&lt;Y182,"Alternate","Original"))</f>
        <v>Original</v>
      </c>
    </row>
    <row r="183" spans="1:71" s="31" customFormat="1" x14ac:dyDescent="0.35">
      <c r="A183" s="53" t="s">
        <v>39</v>
      </c>
      <c r="B183" s="49">
        <v>181</v>
      </c>
      <c r="C183" s="50"/>
      <c r="D183" s="50"/>
      <c r="E183" s="51"/>
      <c r="F183" s="50" t="s">
        <v>40</v>
      </c>
      <c r="G183" s="50" t="s">
        <v>768</v>
      </c>
      <c r="H183" s="50" t="s">
        <v>769</v>
      </c>
      <c r="I183" s="50"/>
      <c r="J183" s="50"/>
      <c r="K183" s="50"/>
      <c r="L183" s="50"/>
      <c r="M183" s="50"/>
      <c r="N183" s="54" t="s">
        <v>43</v>
      </c>
      <c r="O183" s="49">
        <v>1</v>
      </c>
      <c r="P183" s="43">
        <v>63.9</v>
      </c>
      <c r="Q183" s="49">
        <v>1</v>
      </c>
      <c r="R183" s="44">
        <f>P183/O183</f>
        <v>63.9</v>
      </c>
      <c r="S183" s="49">
        <f>Q183*O183</f>
        <v>1</v>
      </c>
      <c r="T183" s="52">
        <f>S183*R183</f>
        <v>63.9</v>
      </c>
      <c r="U183" s="50"/>
      <c r="V183" s="50"/>
      <c r="W183" s="50"/>
      <c r="X183" s="69"/>
      <c r="Y183" s="69"/>
      <c r="Z183" s="69"/>
      <c r="AA183" s="50"/>
      <c r="AB183" s="50"/>
      <c r="AC183" s="50"/>
      <c r="AD183" s="50"/>
      <c r="AE183" s="50"/>
      <c r="AF183" s="50"/>
      <c r="AG183" s="50"/>
      <c r="AH183" s="50"/>
      <c r="AI183" s="50" t="s">
        <v>652</v>
      </c>
      <c r="AJ183" s="50"/>
      <c r="AK183" s="50"/>
      <c r="AL183" s="44"/>
      <c r="AM183" s="45"/>
      <c r="AN183" s="50"/>
      <c r="AO183" s="69"/>
      <c r="AP183" s="69"/>
      <c r="AQ183" s="69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5"/>
      <c r="BD183" s="56"/>
      <c r="BE183" s="61"/>
      <c r="BF183" s="65"/>
      <c r="BG183" s="66"/>
      <c r="BH183" s="66"/>
      <c r="BI183" s="60"/>
      <c r="BJ183" s="60"/>
      <c r="BK183" s="60"/>
      <c r="BL183" s="60"/>
      <c r="BM183" s="60"/>
      <c r="BN183" s="60"/>
      <c r="BO183" s="60"/>
      <c r="BP183" s="60"/>
      <c r="BQ183" s="60" t="str">
        <f>IF(BS183="Original",AI183,AZ183)</f>
        <v>Low Threshold Spend</v>
      </c>
      <c r="BR183" s="60"/>
      <c r="BS183" s="60" t="str">
        <f>IF(AQ183="","Original",IF(AP183&lt;Y183,"Alternate","Original"))</f>
        <v>Original</v>
      </c>
    </row>
    <row r="184" spans="1:71" s="31" customFormat="1" x14ac:dyDescent="0.35">
      <c r="A184" s="53" t="s">
        <v>39</v>
      </c>
      <c r="B184" s="49">
        <v>182</v>
      </c>
      <c r="C184" s="50"/>
      <c r="D184" s="50"/>
      <c r="E184" s="51"/>
      <c r="F184" s="50" t="s">
        <v>60</v>
      </c>
      <c r="G184" s="50" t="s">
        <v>770</v>
      </c>
      <c r="H184" s="50" t="s">
        <v>771</v>
      </c>
      <c r="I184" s="50"/>
      <c r="J184" s="50"/>
      <c r="K184" s="50"/>
      <c r="L184" s="50"/>
      <c r="M184" s="50"/>
      <c r="N184" s="54" t="s">
        <v>43</v>
      </c>
      <c r="O184" s="49">
        <v>1</v>
      </c>
      <c r="P184" s="43">
        <v>62.91</v>
      </c>
      <c r="Q184" s="49">
        <v>1</v>
      </c>
      <c r="R184" s="44">
        <f>P184/O184</f>
        <v>62.91</v>
      </c>
      <c r="S184" s="49">
        <f>Q184*O184</f>
        <v>1</v>
      </c>
      <c r="T184" s="52">
        <f>S184*R184</f>
        <v>62.91</v>
      </c>
      <c r="U184" s="50"/>
      <c r="V184" s="50"/>
      <c r="W184" s="50"/>
      <c r="X184" s="69"/>
      <c r="Y184" s="69"/>
      <c r="Z184" s="69"/>
      <c r="AA184" s="50"/>
      <c r="AB184" s="50"/>
      <c r="AC184" s="50"/>
      <c r="AD184" s="50"/>
      <c r="AE184" s="50"/>
      <c r="AF184" s="50"/>
      <c r="AG184" s="50"/>
      <c r="AH184" s="50"/>
      <c r="AI184" s="50" t="s">
        <v>652</v>
      </c>
      <c r="AJ184" s="50"/>
      <c r="AK184" s="50"/>
      <c r="AL184" s="44"/>
      <c r="AM184" s="45"/>
      <c r="AN184" s="50"/>
      <c r="AO184" s="69"/>
      <c r="AP184" s="69"/>
      <c r="AQ184" s="69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5"/>
      <c r="BD184" s="56"/>
      <c r="BE184" s="61"/>
      <c r="BF184" s="65"/>
      <c r="BG184" s="66"/>
      <c r="BH184" s="66"/>
      <c r="BI184" s="60"/>
      <c r="BJ184" s="60"/>
      <c r="BK184" s="60"/>
      <c r="BL184" s="60"/>
      <c r="BM184" s="60"/>
      <c r="BN184" s="60"/>
      <c r="BO184" s="60"/>
      <c r="BP184" s="60"/>
      <c r="BQ184" s="60" t="str">
        <f>IF(BS184="Original",AI184,AZ184)</f>
        <v>Low Threshold Spend</v>
      </c>
      <c r="BR184" s="60"/>
      <c r="BS184" s="60" t="str">
        <f>IF(AQ184="","Original",IF(AP184&lt;Y184,"Alternate","Original"))</f>
        <v>Original</v>
      </c>
    </row>
    <row r="185" spans="1:71" s="31" customFormat="1" x14ac:dyDescent="0.35">
      <c r="A185" s="53" t="s">
        <v>39</v>
      </c>
      <c r="B185" s="49">
        <v>183</v>
      </c>
      <c r="C185" s="50"/>
      <c r="D185" s="50"/>
      <c r="E185" s="51"/>
      <c r="F185" s="50" t="s">
        <v>49</v>
      </c>
      <c r="G185" s="50" t="s">
        <v>772</v>
      </c>
      <c r="H185" s="50" t="s">
        <v>773</v>
      </c>
      <c r="I185" s="50"/>
      <c r="J185" s="50"/>
      <c r="K185" s="50"/>
      <c r="L185" s="50"/>
      <c r="M185" s="50"/>
      <c r="N185" s="54" t="s">
        <v>43</v>
      </c>
      <c r="O185" s="49">
        <v>1</v>
      </c>
      <c r="P185" s="43">
        <v>62.87</v>
      </c>
      <c r="Q185" s="49">
        <v>1</v>
      </c>
      <c r="R185" s="44">
        <f>P185/O185</f>
        <v>62.87</v>
      </c>
      <c r="S185" s="49">
        <f>Q185*O185</f>
        <v>1</v>
      </c>
      <c r="T185" s="52">
        <f>S185*R185</f>
        <v>62.87</v>
      </c>
      <c r="U185" s="50"/>
      <c r="V185" s="50"/>
      <c r="W185" s="50"/>
      <c r="X185" s="69"/>
      <c r="Y185" s="69"/>
      <c r="Z185" s="69"/>
      <c r="AA185" s="50"/>
      <c r="AB185" s="50"/>
      <c r="AC185" s="50"/>
      <c r="AD185" s="50"/>
      <c r="AE185" s="50"/>
      <c r="AF185" s="50"/>
      <c r="AG185" s="50"/>
      <c r="AH185" s="50"/>
      <c r="AI185" s="50" t="s">
        <v>652</v>
      </c>
      <c r="AJ185" s="50"/>
      <c r="AK185" s="50"/>
      <c r="AL185" s="44"/>
      <c r="AM185" s="45"/>
      <c r="AN185" s="50"/>
      <c r="AO185" s="69"/>
      <c r="AP185" s="69"/>
      <c r="AQ185" s="69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5"/>
      <c r="BD185" s="56"/>
      <c r="BE185" s="61"/>
      <c r="BF185" s="65"/>
      <c r="BG185" s="66"/>
      <c r="BH185" s="66"/>
      <c r="BI185" s="60"/>
      <c r="BJ185" s="60"/>
      <c r="BK185" s="60"/>
      <c r="BL185" s="60"/>
      <c r="BM185" s="60"/>
      <c r="BN185" s="60"/>
      <c r="BO185" s="60"/>
      <c r="BP185" s="60"/>
      <c r="BQ185" s="60" t="str">
        <f>IF(BS185="Original",AI185,AZ185)</f>
        <v>Low Threshold Spend</v>
      </c>
      <c r="BR185" s="60"/>
      <c r="BS185" s="60" t="str">
        <f>IF(AQ185="","Original",IF(AP185&lt;Y185,"Alternate","Original"))</f>
        <v>Original</v>
      </c>
    </row>
    <row r="186" spans="1:71" s="31" customFormat="1" x14ac:dyDescent="0.35">
      <c r="A186" s="53" t="s">
        <v>39</v>
      </c>
      <c r="B186" s="49">
        <v>184</v>
      </c>
      <c r="C186" s="50"/>
      <c r="D186" s="50"/>
      <c r="E186" s="51"/>
      <c r="F186" s="50" t="s">
        <v>60</v>
      </c>
      <c r="G186" s="50" t="s">
        <v>774</v>
      </c>
      <c r="H186" s="50" t="s">
        <v>775</v>
      </c>
      <c r="I186" s="50"/>
      <c r="J186" s="50"/>
      <c r="K186" s="50"/>
      <c r="L186" s="50"/>
      <c r="M186" s="50"/>
      <c r="N186" s="54" t="s">
        <v>43</v>
      </c>
      <c r="O186" s="49">
        <v>1</v>
      </c>
      <c r="P186" s="43">
        <v>62.6</v>
      </c>
      <c r="Q186" s="49">
        <v>1</v>
      </c>
      <c r="R186" s="44">
        <f>P186/O186</f>
        <v>62.6</v>
      </c>
      <c r="S186" s="49">
        <f>Q186*O186</f>
        <v>1</v>
      </c>
      <c r="T186" s="52">
        <f>S186*R186</f>
        <v>62.6</v>
      </c>
      <c r="U186" s="50"/>
      <c r="V186" s="50"/>
      <c r="W186" s="50"/>
      <c r="X186" s="69"/>
      <c r="Y186" s="69"/>
      <c r="Z186" s="69"/>
      <c r="AA186" s="50"/>
      <c r="AB186" s="50"/>
      <c r="AC186" s="50"/>
      <c r="AD186" s="50"/>
      <c r="AE186" s="50"/>
      <c r="AF186" s="50"/>
      <c r="AG186" s="50"/>
      <c r="AH186" s="50"/>
      <c r="AI186" s="50" t="s">
        <v>652</v>
      </c>
      <c r="AJ186" s="50"/>
      <c r="AK186" s="50"/>
      <c r="AL186" s="44"/>
      <c r="AM186" s="45"/>
      <c r="AN186" s="50"/>
      <c r="AO186" s="69"/>
      <c r="AP186" s="69"/>
      <c r="AQ186" s="69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5"/>
      <c r="BD186" s="56"/>
      <c r="BE186" s="61"/>
      <c r="BF186" s="65"/>
      <c r="BG186" s="66"/>
      <c r="BH186" s="66"/>
      <c r="BI186" s="60"/>
      <c r="BJ186" s="60"/>
      <c r="BK186" s="60"/>
      <c r="BL186" s="60"/>
      <c r="BM186" s="60"/>
      <c r="BN186" s="60"/>
      <c r="BO186" s="60"/>
      <c r="BP186" s="60"/>
      <c r="BQ186" s="60" t="str">
        <f>IF(BS186="Original",AI186,AZ186)</f>
        <v>Low Threshold Spend</v>
      </c>
      <c r="BR186" s="60"/>
      <c r="BS186" s="60" t="str">
        <f>IF(AQ186="","Original",IF(AP186&lt;Y186,"Alternate","Original"))</f>
        <v>Original</v>
      </c>
    </row>
    <row r="187" spans="1:71" s="31" customFormat="1" x14ac:dyDescent="0.35">
      <c r="A187" s="53" t="s">
        <v>39</v>
      </c>
      <c r="B187" s="49">
        <v>185</v>
      </c>
      <c r="C187" s="50"/>
      <c r="D187" s="50"/>
      <c r="E187" s="51"/>
      <c r="F187" s="50" t="s">
        <v>60</v>
      </c>
      <c r="G187" s="50" t="s">
        <v>776</v>
      </c>
      <c r="H187" s="50" t="s">
        <v>777</v>
      </c>
      <c r="I187" s="50"/>
      <c r="J187" s="50"/>
      <c r="K187" s="50"/>
      <c r="L187" s="50"/>
      <c r="M187" s="50"/>
      <c r="N187" s="54" t="s">
        <v>43</v>
      </c>
      <c r="O187" s="49">
        <v>1</v>
      </c>
      <c r="P187" s="43">
        <v>62.59</v>
      </c>
      <c r="Q187" s="49">
        <v>1</v>
      </c>
      <c r="R187" s="44">
        <f>P187/O187</f>
        <v>62.59</v>
      </c>
      <c r="S187" s="49">
        <f>Q187*O187</f>
        <v>1</v>
      </c>
      <c r="T187" s="52">
        <f>S187*R187</f>
        <v>62.59</v>
      </c>
      <c r="U187" s="50"/>
      <c r="V187" s="50"/>
      <c r="W187" s="50"/>
      <c r="X187" s="69"/>
      <c r="Y187" s="69"/>
      <c r="Z187" s="69"/>
      <c r="AA187" s="50"/>
      <c r="AB187" s="50"/>
      <c r="AC187" s="50"/>
      <c r="AD187" s="50"/>
      <c r="AE187" s="50"/>
      <c r="AF187" s="50"/>
      <c r="AG187" s="50"/>
      <c r="AH187" s="50"/>
      <c r="AI187" s="50" t="s">
        <v>652</v>
      </c>
      <c r="AJ187" s="50"/>
      <c r="AK187" s="50"/>
      <c r="AL187" s="44"/>
      <c r="AM187" s="45"/>
      <c r="AN187" s="50"/>
      <c r="AO187" s="69"/>
      <c r="AP187" s="69"/>
      <c r="AQ187" s="69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5"/>
      <c r="BD187" s="56"/>
      <c r="BE187" s="61"/>
      <c r="BF187" s="65"/>
      <c r="BG187" s="66"/>
      <c r="BH187" s="66"/>
      <c r="BI187" s="60"/>
      <c r="BJ187" s="60"/>
      <c r="BK187" s="60"/>
      <c r="BL187" s="60"/>
      <c r="BM187" s="60"/>
      <c r="BN187" s="60"/>
      <c r="BO187" s="60"/>
      <c r="BP187" s="60"/>
      <c r="BQ187" s="60" t="str">
        <f>IF(BS187="Original",AI187,AZ187)</f>
        <v>Low Threshold Spend</v>
      </c>
      <c r="BR187" s="60"/>
      <c r="BS187" s="60" t="str">
        <f>IF(AQ187="","Original",IF(AP187&lt;Y187,"Alternate","Original"))</f>
        <v>Original</v>
      </c>
    </row>
    <row r="188" spans="1:71" s="31" customFormat="1" x14ac:dyDescent="0.35">
      <c r="A188" s="53" t="s">
        <v>39</v>
      </c>
      <c r="B188" s="49">
        <v>186</v>
      </c>
      <c r="C188" s="50"/>
      <c r="D188" s="50"/>
      <c r="E188" s="51"/>
      <c r="F188" s="50" t="s">
        <v>40</v>
      </c>
      <c r="G188" s="50" t="s">
        <v>778</v>
      </c>
      <c r="H188" s="50" t="s">
        <v>779</v>
      </c>
      <c r="I188" s="50"/>
      <c r="J188" s="50"/>
      <c r="K188" s="50"/>
      <c r="L188" s="50"/>
      <c r="M188" s="50"/>
      <c r="N188" s="54" t="s">
        <v>43</v>
      </c>
      <c r="O188" s="49">
        <v>1</v>
      </c>
      <c r="P188" s="43">
        <v>61.15</v>
      </c>
      <c r="Q188" s="49">
        <v>1</v>
      </c>
      <c r="R188" s="44">
        <f>P188/O188</f>
        <v>61.15</v>
      </c>
      <c r="S188" s="49">
        <f>Q188*O188</f>
        <v>1</v>
      </c>
      <c r="T188" s="52">
        <f>S188*R188</f>
        <v>61.15</v>
      </c>
      <c r="U188" s="50"/>
      <c r="V188" s="50"/>
      <c r="W188" s="50"/>
      <c r="X188" s="69"/>
      <c r="Y188" s="69"/>
      <c r="Z188" s="69"/>
      <c r="AA188" s="50"/>
      <c r="AB188" s="50"/>
      <c r="AC188" s="50"/>
      <c r="AD188" s="50"/>
      <c r="AE188" s="50"/>
      <c r="AF188" s="50"/>
      <c r="AG188" s="50"/>
      <c r="AH188" s="50"/>
      <c r="AI188" s="50" t="s">
        <v>652</v>
      </c>
      <c r="AJ188" s="50"/>
      <c r="AK188" s="50"/>
      <c r="AL188" s="44"/>
      <c r="AM188" s="45"/>
      <c r="AN188" s="50"/>
      <c r="AO188" s="69"/>
      <c r="AP188" s="69"/>
      <c r="AQ188" s="69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5"/>
      <c r="BD188" s="56"/>
      <c r="BE188" s="61"/>
      <c r="BF188" s="65"/>
      <c r="BG188" s="66"/>
      <c r="BH188" s="66"/>
      <c r="BI188" s="60"/>
      <c r="BJ188" s="60"/>
      <c r="BK188" s="60"/>
      <c r="BL188" s="60"/>
      <c r="BM188" s="60"/>
      <c r="BN188" s="60"/>
      <c r="BO188" s="60"/>
      <c r="BP188" s="60"/>
      <c r="BQ188" s="60" t="str">
        <f>IF(BS188="Original",AI188,AZ188)</f>
        <v>Low Threshold Spend</v>
      </c>
      <c r="BR188" s="60"/>
      <c r="BS188" s="60" t="str">
        <f>IF(AQ188="","Original",IF(AP188&lt;Y188,"Alternate","Original"))</f>
        <v>Original</v>
      </c>
    </row>
    <row r="189" spans="1:71" s="31" customFormat="1" x14ac:dyDescent="0.35">
      <c r="A189" s="53" t="s">
        <v>39</v>
      </c>
      <c r="B189" s="49">
        <v>187</v>
      </c>
      <c r="C189" s="50"/>
      <c r="D189" s="50"/>
      <c r="E189" s="51"/>
      <c r="F189" s="50" t="s">
        <v>40</v>
      </c>
      <c r="G189" s="50" t="s">
        <v>780</v>
      </c>
      <c r="H189" s="50" t="s">
        <v>781</v>
      </c>
      <c r="I189" s="50"/>
      <c r="J189" s="50"/>
      <c r="K189" s="50"/>
      <c r="L189" s="50"/>
      <c r="M189" s="50"/>
      <c r="N189" s="54" t="s">
        <v>43</v>
      </c>
      <c r="O189" s="49">
        <v>1</v>
      </c>
      <c r="P189" s="43">
        <v>61.15</v>
      </c>
      <c r="Q189" s="49">
        <v>1</v>
      </c>
      <c r="R189" s="44">
        <f>P189/O189</f>
        <v>61.15</v>
      </c>
      <c r="S189" s="49">
        <f>Q189*O189</f>
        <v>1</v>
      </c>
      <c r="T189" s="52">
        <f>S189*R189</f>
        <v>61.15</v>
      </c>
      <c r="U189" s="50"/>
      <c r="V189" s="50"/>
      <c r="W189" s="50"/>
      <c r="X189" s="69"/>
      <c r="Y189" s="69"/>
      <c r="Z189" s="69"/>
      <c r="AA189" s="50"/>
      <c r="AB189" s="50"/>
      <c r="AC189" s="50"/>
      <c r="AD189" s="50"/>
      <c r="AE189" s="50"/>
      <c r="AF189" s="50"/>
      <c r="AG189" s="50"/>
      <c r="AH189" s="50"/>
      <c r="AI189" s="50" t="s">
        <v>652</v>
      </c>
      <c r="AJ189" s="50"/>
      <c r="AK189" s="50"/>
      <c r="AL189" s="44"/>
      <c r="AM189" s="45"/>
      <c r="AN189" s="50"/>
      <c r="AO189" s="69"/>
      <c r="AP189" s="69"/>
      <c r="AQ189" s="69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5"/>
      <c r="BD189" s="56"/>
      <c r="BE189" s="61"/>
      <c r="BF189" s="65"/>
      <c r="BG189" s="66"/>
      <c r="BH189" s="66"/>
      <c r="BI189" s="60"/>
      <c r="BJ189" s="60"/>
      <c r="BK189" s="60"/>
      <c r="BL189" s="60"/>
      <c r="BM189" s="60"/>
      <c r="BN189" s="60"/>
      <c r="BO189" s="60"/>
      <c r="BP189" s="60"/>
      <c r="BQ189" s="60" t="str">
        <f>IF(BS189="Original",AI189,AZ189)</f>
        <v>Low Threshold Spend</v>
      </c>
      <c r="BR189" s="60"/>
      <c r="BS189" s="60" t="str">
        <f>IF(AQ189="","Original",IF(AP189&lt;Y189,"Alternate","Original"))</f>
        <v>Original</v>
      </c>
    </row>
    <row r="190" spans="1:71" s="31" customFormat="1" x14ac:dyDescent="0.35">
      <c r="A190" s="53" t="s">
        <v>39</v>
      </c>
      <c r="B190" s="49">
        <v>188</v>
      </c>
      <c r="C190" s="50"/>
      <c r="D190" s="50"/>
      <c r="E190" s="51"/>
      <c r="F190" s="50" t="s">
        <v>60</v>
      </c>
      <c r="G190" s="50" t="s">
        <v>782</v>
      </c>
      <c r="H190" s="50" t="s">
        <v>783</v>
      </c>
      <c r="I190" s="50"/>
      <c r="J190" s="50"/>
      <c r="K190" s="50"/>
      <c r="L190" s="50"/>
      <c r="M190" s="50"/>
      <c r="N190" s="54" t="s">
        <v>43</v>
      </c>
      <c r="O190" s="49">
        <v>1</v>
      </c>
      <c r="P190" s="43">
        <v>60.2</v>
      </c>
      <c r="Q190" s="49">
        <v>1</v>
      </c>
      <c r="R190" s="44">
        <f>P190/O190</f>
        <v>60.2</v>
      </c>
      <c r="S190" s="49">
        <f>Q190*O190</f>
        <v>1</v>
      </c>
      <c r="T190" s="52">
        <f>S190*R190</f>
        <v>60.2</v>
      </c>
      <c r="U190" s="50"/>
      <c r="V190" s="50"/>
      <c r="W190" s="50"/>
      <c r="X190" s="69"/>
      <c r="Y190" s="69"/>
      <c r="Z190" s="69"/>
      <c r="AA190" s="50"/>
      <c r="AB190" s="50"/>
      <c r="AC190" s="50"/>
      <c r="AD190" s="50"/>
      <c r="AE190" s="50"/>
      <c r="AF190" s="50"/>
      <c r="AG190" s="50"/>
      <c r="AH190" s="50"/>
      <c r="AI190" s="50" t="s">
        <v>652</v>
      </c>
      <c r="AJ190" s="50"/>
      <c r="AK190" s="50"/>
      <c r="AL190" s="44"/>
      <c r="AM190" s="45"/>
      <c r="AN190" s="50"/>
      <c r="AO190" s="69"/>
      <c r="AP190" s="69"/>
      <c r="AQ190" s="69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5"/>
      <c r="BD190" s="56"/>
      <c r="BE190" s="61"/>
      <c r="BF190" s="65"/>
      <c r="BG190" s="66"/>
      <c r="BH190" s="66"/>
      <c r="BI190" s="60"/>
      <c r="BJ190" s="60"/>
      <c r="BK190" s="60"/>
      <c r="BL190" s="60"/>
      <c r="BM190" s="60"/>
      <c r="BN190" s="60"/>
      <c r="BO190" s="60"/>
      <c r="BP190" s="60"/>
      <c r="BQ190" s="60" t="str">
        <f>IF(BS190="Original",AI190,AZ190)</f>
        <v>Low Threshold Spend</v>
      </c>
      <c r="BR190" s="60"/>
      <c r="BS190" s="60" t="str">
        <f>IF(AQ190="","Original",IF(AP190&lt;Y190,"Alternate","Original"))</f>
        <v>Original</v>
      </c>
    </row>
    <row r="191" spans="1:71" s="31" customFormat="1" x14ac:dyDescent="0.35">
      <c r="A191" s="53" t="s">
        <v>39</v>
      </c>
      <c r="B191" s="49">
        <v>189</v>
      </c>
      <c r="C191" s="50"/>
      <c r="D191" s="50"/>
      <c r="E191" s="51"/>
      <c r="F191" s="50" t="s">
        <v>40</v>
      </c>
      <c r="G191" s="50" t="s">
        <v>784</v>
      </c>
      <c r="H191" s="50" t="s">
        <v>785</v>
      </c>
      <c r="I191" s="50"/>
      <c r="J191" s="50"/>
      <c r="K191" s="50"/>
      <c r="L191" s="50"/>
      <c r="M191" s="50"/>
      <c r="N191" s="54" t="s">
        <v>43</v>
      </c>
      <c r="O191" s="49">
        <v>1</v>
      </c>
      <c r="P191" s="43">
        <v>60.1</v>
      </c>
      <c r="Q191" s="49">
        <v>1</v>
      </c>
      <c r="R191" s="44">
        <f>P191/O191</f>
        <v>60.1</v>
      </c>
      <c r="S191" s="49">
        <f>Q191*O191</f>
        <v>1</v>
      </c>
      <c r="T191" s="52">
        <f>S191*R191</f>
        <v>60.1</v>
      </c>
      <c r="U191" s="50"/>
      <c r="V191" s="50"/>
      <c r="W191" s="50"/>
      <c r="X191" s="69"/>
      <c r="Y191" s="69"/>
      <c r="Z191" s="69"/>
      <c r="AA191" s="50"/>
      <c r="AB191" s="50"/>
      <c r="AC191" s="50"/>
      <c r="AD191" s="50"/>
      <c r="AE191" s="50"/>
      <c r="AF191" s="50"/>
      <c r="AG191" s="50"/>
      <c r="AH191" s="50"/>
      <c r="AI191" s="50" t="s">
        <v>652</v>
      </c>
      <c r="AJ191" s="50"/>
      <c r="AK191" s="50"/>
      <c r="AL191" s="44"/>
      <c r="AM191" s="45"/>
      <c r="AN191" s="50"/>
      <c r="AO191" s="69"/>
      <c r="AP191" s="69"/>
      <c r="AQ191" s="69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5"/>
      <c r="BD191" s="56"/>
      <c r="BE191" s="61"/>
      <c r="BF191" s="65"/>
      <c r="BG191" s="66"/>
      <c r="BH191" s="66"/>
      <c r="BI191" s="60"/>
      <c r="BJ191" s="60"/>
      <c r="BK191" s="60"/>
      <c r="BL191" s="60"/>
      <c r="BM191" s="60"/>
      <c r="BN191" s="60"/>
      <c r="BO191" s="60"/>
      <c r="BP191" s="60"/>
      <c r="BQ191" s="60" t="str">
        <f>IF(BS191="Original",AI191,AZ191)</f>
        <v>Low Threshold Spend</v>
      </c>
      <c r="BR191" s="60"/>
      <c r="BS191" s="60" t="str">
        <f>IF(AQ191="","Original",IF(AP191&lt;Y191,"Alternate","Original"))</f>
        <v>Original</v>
      </c>
    </row>
    <row r="192" spans="1:71" s="31" customFormat="1" x14ac:dyDescent="0.35">
      <c r="A192" s="53" t="s">
        <v>39</v>
      </c>
      <c r="B192" s="49">
        <v>190</v>
      </c>
      <c r="C192" s="50"/>
      <c r="D192" s="50"/>
      <c r="E192" s="51"/>
      <c r="F192" s="50" t="s">
        <v>40</v>
      </c>
      <c r="G192" s="50" t="s">
        <v>786</v>
      </c>
      <c r="H192" s="50" t="s">
        <v>787</v>
      </c>
      <c r="I192" s="50"/>
      <c r="J192" s="50"/>
      <c r="K192" s="50"/>
      <c r="L192" s="50"/>
      <c r="M192" s="50"/>
      <c r="N192" s="54" t="s">
        <v>43</v>
      </c>
      <c r="O192" s="49">
        <v>1</v>
      </c>
      <c r="P192" s="43">
        <v>59.61</v>
      </c>
      <c r="Q192" s="49">
        <v>1</v>
      </c>
      <c r="R192" s="44">
        <f>P192/O192</f>
        <v>59.61</v>
      </c>
      <c r="S192" s="49">
        <f>Q192*O192</f>
        <v>1</v>
      </c>
      <c r="T192" s="52">
        <f>S192*R192</f>
        <v>59.61</v>
      </c>
      <c r="U192" s="50"/>
      <c r="V192" s="50"/>
      <c r="W192" s="50"/>
      <c r="X192" s="69"/>
      <c r="Y192" s="69"/>
      <c r="Z192" s="69"/>
      <c r="AA192" s="50"/>
      <c r="AB192" s="50"/>
      <c r="AC192" s="50"/>
      <c r="AD192" s="50"/>
      <c r="AE192" s="50"/>
      <c r="AF192" s="50"/>
      <c r="AG192" s="50"/>
      <c r="AH192" s="50"/>
      <c r="AI192" s="50" t="s">
        <v>652</v>
      </c>
      <c r="AJ192" s="50"/>
      <c r="AK192" s="50"/>
      <c r="AL192" s="44"/>
      <c r="AM192" s="45"/>
      <c r="AN192" s="50"/>
      <c r="AO192" s="69"/>
      <c r="AP192" s="69"/>
      <c r="AQ192" s="69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5"/>
      <c r="BD192" s="56"/>
      <c r="BE192" s="61"/>
      <c r="BF192" s="65"/>
      <c r="BG192" s="66"/>
      <c r="BH192" s="66"/>
      <c r="BI192" s="60"/>
      <c r="BJ192" s="60"/>
      <c r="BK192" s="60"/>
      <c r="BL192" s="60"/>
      <c r="BM192" s="60"/>
      <c r="BN192" s="60"/>
      <c r="BO192" s="60"/>
      <c r="BP192" s="60"/>
      <c r="BQ192" s="60" t="str">
        <f>IF(BS192="Original",AI192,AZ192)</f>
        <v>Low Threshold Spend</v>
      </c>
      <c r="BR192" s="60"/>
      <c r="BS192" s="60" t="str">
        <f>IF(AQ192="","Original",IF(AP192&lt;Y192,"Alternate","Original"))</f>
        <v>Original</v>
      </c>
    </row>
    <row r="193" spans="1:71" s="31" customFormat="1" x14ac:dyDescent="0.35">
      <c r="A193" s="53" t="s">
        <v>39</v>
      </c>
      <c r="B193" s="49">
        <v>191</v>
      </c>
      <c r="C193" s="50"/>
      <c r="D193" s="50"/>
      <c r="E193" s="51"/>
      <c r="F193" s="50" t="s">
        <v>40</v>
      </c>
      <c r="G193" s="50" t="s">
        <v>788</v>
      </c>
      <c r="H193" s="50" t="s">
        <v>789</v>
      </c>
      <c r="I193" s="50"/>
      <c r="J193" s="50"/>
      <c r="K193" s="50"/>
      <c r="L193" s="50"/>
      <c r="M193" s="50"/>
      <c r="N193" s="54" t="s">
        <v>43</v>
      </c>
      <c r="O193" s="49">
        <v>1</v>
      </c>
      <c r="P193" s="43">
        <v>59.36</v>
      </c>
      <c r="Q193" s="49">
        <v>1</v>
      </c>
      <c r="R193" s="44">
        <f>P193/O193</f>
        <v>59.36</v>
      </c>
      <c r="S193" s="49">
        <f>Q193*O193</f>
        <v>1</v>
      </c>
      <c r="T193" s="52">
        <f>S193*R193</f>
        <v>59.36</v>
      </c>
      <c r="U193" s="50"/>
      <c r="V193" s="50"/>
      <c r="W193" s="50"/>
      <c r="X193" s="69"/>
      <c r="Y193" s="69"/>
      <c r="Z193" s="69"/>
      <c r="AA193" s="50"/>
      <c r="AB193" s="50"/>
      <c r="AC193" s="50"/>
      <c r="AD193" s="50"/>
      <c r="AE193" s="50"/>
      <c r="AF193" s="50"/>
      <c r="AG193" s="50"/>
      <c r="AH193" s="50"/>
      <c r="AI193" s="50" t="s">
        <v>652</v>
      </c>
      <c r="AJ193" s="50"/>
      <c r="AK193" s="50"/>
      <c r="AL193" s="44"/>
      <c r="AM193" s="45"/>
      <c r="AN193" s="50"/>
      <c r="AO193" s="69"/>
      <c r="AP193" s="69"/>
      <c r="AQ193" s="69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5"/>
      <c r="BD193" s="56"/>
      <c r="BE193" s="61"/>
      <c r="BF193" s="65"/>
      <c r="BG193" s="66"/>
      <c r="BH193" s="66"/>
      <c r="BI193" s="60"/>
      <c r="BJ193" s="60"/>
      <c r="BK193" s="60"/>
      <c r="BL193" s="60"/>
      <c r="BM193" s="60"/>
      <c r="BN193" s="60"/>
      <c r="BO193" s="60"/>
      <c r="BP193" s="60"/>
      <c r="BQ193" s="60" t="str">
        <f>IF(BS193="Original",AI193,AZ193)</f>
        <v>Low Threshold Spend</v>
      </c>
      <c r="BR193" s="60"/>
      <c r="BS193" s="60" t="str">
        <f>IF(AQ193="","Original",IF(AP193&lt;Y193,"Alternate","Original"))</f>
        <v>Original</v>
      </c>
    </row>
    <row r="194" spans="1:71" s="31" customFormat="1" x14ac:dyDescent="0.35">
      <c r="A194" s="53" t="s">
        <v>39</v>
      </c>
      <c r="B194" s="49">
        <v>192</v>
      </c>
      <c r="C194" s="50"/>
      <c r="D194" s="50"/>
      <c r="E194" s="51"/>
      <c r="F194" s="50" t="s">
        <v>40</v>
      </c>
      <c r="G194" s="50" t="s">
        <v>790</v>
      </c>
      <c r="H194" s="50" t="s">
        <v>791</v>
      </c>
      <c r="I194" s="50"/>
      <c r="J194" s="50"/>
      <c r="K194" s="50"/>
      <c r="L194" s="50"/>
      <c r="M194" s="50"/>
      <c r="N194" s="54" t="s">
        <v>43</v>
      </c>
      <c r="O194" s="49">
        <v>1</v>
      </c>
      <c r="P194" s="43">
        <v>59.33</v>
      </c>
      <c r="Q194" s="49">
        <v>1</v>
      </c>
      <c r="R194" s="44">
        <f>P194/O194</f>
        <v>59.33</v>
      </c>
      <c r="S194" s="49">
        <f>Q194*O194</f>
        <v>1</v>
      </c>
      <c r="T194" s="52">
        <f>S194*R194</f>
        <v>59.33</v>
      </c>
      <c r="U194" s="50"/>
      <c r="V194" s="50"/>
      <c r="W194" s="50"/>
      <c r="X194" s="69"/>
      <c r="Y194" s="69"/>
      <c r="Z194" s="69"/>
      <c r="AA194" s="50"/>
      <c r="AB194" s="50"/>
      <c r="AC194" s="50"/>
      <c r="AD194" s="50"/>
      <c r="AE194" s="50"/>
      <c r="AF194" s="50"/>
      <c r="AG194" s="50"/>
      <c r="AH194" s="50"/>
      <c r="AI194" s="50" t="s">
        <v>652</v>
      </c>
      <c r="AJ194" s="50"/>
      <c r="AK194" s="50"/>
      <c r="AL194" s="44"/>
      <c r="AM194" s="45"/>
      <c r="AN194" s="50"/>
      <c r="AO194" s="69"/>
      <c r="AP194" s="69"/>
      <c r="AQ194" s="69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5"/>
      <c r="BD194" s="56"/>
      <c r="BE194" s="61"/>
      <c r="BF194" s="65"/>
      <c r="BG194" s="66"/>
      <c r="BH194" s="66"/>
      <c r="BI194" s="60"/>
      <c r="BJ194" s="60"/>
      <c r="BK194" s="60"/>
      <c r="BL194" s="60"/>
      <c r="BM194" s="60"/>
      <c r="BN194" s="60"/>
      <c r="BO194" s="60"/>
      <c r="BP194" s="60"/>
      <c r="BQ194" s="60" t="str">
        <f>IF(BS194="Original",AI194,AZ194)</f>
        <v>Low Threshold Spend</v>
      </c>
      <c r="BR194" s="60"/>
      <c r="BS194" s="60" t="str">
        <f>IF(AQ194="","Original",IF(AP194&lt;Y194,"Alternate","Original"))</f>
        <v>Original</v>
      </c>
    </row>
    <row r="195" spans="1:71" s="31" customFormat="1" x14ac:dyDescent="0.35">
      <c r="A195" s="53" t="s">
        <v>39</v>
      </c>
      <c r="B195" s="49">
        <v>193</v>
      </c>
      <c r="C195" s="50"/>
      <c r="D195" s="50"/>
      <c r="E195" s="51"/>
      <c r="F195" s="50" t="s">
        <v>60</v>
      </c>
      <c r="G195" s="50" t="s">
        <v>792</v>
      </c>
      <c r="H195" s="50" t="s">
        <v>793</v>
      </c>
      <c r="I195" s="50"/>
      <c r="J195" s="50"/>
      <c r="K195" s="50"/>
      <c r="L195" s="50"/>
      <c r="M195" s="50"/>
      <c r="N195" s="54" t="s">
        <v>43</v>
      </c>
      <c r="O195" s="49">
        <v>1</v>
      </c>
      <c r="P195" s="43">
        <v>59.1</v>
      </c>
      <c r="Q195" s="49">
        <v>1</v>
      </c>
      <c r="R195" s="44">
        <f>P195/O195</f>
        <v>59.1</v>
      </c>
      <c r="S195" s="49">
        <f>Q195*O195</f>
        <v>1</v>
      </c>
      <c r="T195" s="52">
        <f>S195*R195</f>
        <v>59.1</v>
      </c>
      <c r="U195" s="50"/>
      <c r="V195" s="50"/>
      <c r="W195" s="50"/>
      <c r="X195" s="69"/>
      <c r="Y195" s="69"/>
      <c r="Z195" s="69"/>
      <c r="AA195" s="50"/>
      <c r="AB195" s="50"/>
      <c r="AC195" s="50"/>
      <c r="AD195" s="50"/>
      <c r="AE195" s="50"/>
      <c r="AF195" s="50"/>
      <c r="AG195" s="50"/>
      <c r="AH195" s="50"/>
      <c r="AI195" s="50" t="s">
        <v>652</v>
      </c>
      <c r="AJ195" s="50"/>
      <c r="AK195" s="50"/>
      <c r="AL195" s="44"/>
      <c r="AM195" s="45"/>
      <c r="AN195" s="50"/>
      <c r="AO195" s="69"/>
      <c r="AP195" s="69"/>
      <c r="AQ195" s="69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5"/>
      <c r="BD195" s="56"/>
      <c r="BE195" s="61"/>
      <c r="BF195" s="65"/>
      <c r="BG195" s="66"/>
      <c r="BH195" s="66"/>
      <c r="BI195" s="60"/>
      <c r="BJ195" s="60"/>
      <c r="BK195" s="60"/>
      <c r="BL195" s="60"/>
      <c r="BM195" s="60"/>
      <c r="BN195" s="60"/>
      <c r="BO195" s="60"/>
      <c r="BP195" s="60"/>
      <c r="BQ195" s="60" t="str">
        <f>IF(BS195="Original",AI195,AZ195)</f>
        <v>Low Threshold Spend</v>
      </c>
      <c r="BR195" s="60"/>
      <c r="BS195" s="60" t="str">
        <f>IF(AQ195="","Original",IF(AP195&lt;Y195,"Alternate","Original"))</f>
        <v>Original</v>
      </c>
    </row>
    <row r="196" spans="1:71" s="31" customFormat="1" x14ac:dyDescent="0.35">
      <c r="A196" s="53" t="s">
        <v>39</v>
      </c>
      <c r="B196" s="49">
        <v>194</v>
      </c>
      <c r="C196" s="50"/>
      <c r="D196" s="50"/>
      <c r="E196" s="51"/>
      <c r="F196" s="50" t="s">
        <v>60</v>
      </c>
      <c r="G196" s="50" t="s">
        <v>794</v>
      </c>
      <c r="H196" s="50" t="s">
        <v>795</v>
      </c>
      <c r="I196" s="50"/>
      <c r="J196" s="50"/>
      <c r="K196" s="50"/>
      <c r="L196" s="50"/>
      <c r="M196" s="50"/>
      <c r="N196" s="54" t="s">
        <v>43</v>
      </c>
      <c r="O196" s="49">
        <v>1</v>
      </c>
      <c r="P196" s="43">
        <v>58.85</v>
      </c>
      <c r="Q196" s="49">
        <v>1</v>
      </c>
      <c r="R196" s="44">
        <f>P196/O196</f>
        <v>58.85</v>
      </c>
      <c r="S196" s="49">
        <f>Q196*O196</f>
        <v>1</v>
      </c>
      <c r="T196" s="52">
        <f>S196*R196</f>
        <v>58.85</v>
      </c>
      <c r="U196" s="50"/>
      <c r="V196" s="50"/>
      <c r="W196" s="50"/>
      <c r="X196" s="69"/>
      <c r="Y196" s="69"/>
      <c r="Z196" s="69"/>
      <c r="AA196" s="50"/>
      <c r="AB196" s="50"/>
      <c r="AC196" s="50"/>
      <c r="AD196" s="50"/>
      <c r="AE196" s="50"/>
      <c r="AF196" s="50"/>
      <c r="AG196" s="50"/>
      <c r="AH196" s="50"/>
      <c r="AI196" s="50" t="s">
        <v>652</v>
      </c>
      <c r="AJ196" s="50"/>
      <c r="AK196" s="50"/>
      <c r="AL196" s="44"/>
      <c r="AM196" s="45"/>
      <c r="AN196" s="50"/>
      <c r="AO196" s="69"/>
      <c r="AP196" s="69"/>
      <c r="AQ196" s="69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5"/>
      <c r="BD196" s="56"/>
      <c r="BE196" s="61"/>
      <c r="BF196" s="65"/>
      <c r="BG196" s="66"/>
      <c r="BH196" s="66"/>
      <c r="BI196" s="60"/>
      <c r="BJ196" s="60"/>
      <c r="BK196" s="60"/>
      <c r="BL196" s="60"/>
      <c r="BM196" s="60"/>
      <c r="BN196" s="60"/>
      <c r="BO196" s="60"/>
      <c r="BP196" s="60"/>
      <c r="BQ196" s="60" t="str">
        <f>IF(BS196="Original",AI196,AZ196)</f>
        <v>Low Threshold Spend</v>
      </c>
      <c r="BR196" s="60"/>
      <c r="BS196" s="60" t="str">
        <f>IF(AQ196="","Original",IF(AP196&lt;Y196,"Alternate","Original"))</f>
        <v>Original</v>
      </c>
    </row>
    <row r="197" spans="1:71" s="31" customFormat="1" x14ac:dyDescent="0.35">
      <c r="A197" s="53" t="s">
        <v>39</v>
      </c>
      <c r="B197" s="49">
        <v>195</v>
      </c>
      <c r="C197" s="50"/>
      <c r="D197" s="50"/>
      <c r="E197" s="51"/>
      <c r="F197" s="50" t="s">
        <v>40</v>
      </c>
      <c r="G197" s="50" t="s">
        <v>796</v>
      </c>
      <c r="H197" s="50" t="s">
        <v>797</v>
      </c>
      <c r="I197" s="50"/>
      <c r="J197" s="50"/>
      <c r="K197" s="50"/>
      <c r="L197" s="50"/>
      <c r="M197" s="50"/>
      <c r="N197" s="54" t="s">
        <v>43</v>
      </c>
      <c r="O197" s="49">
        <v>1</v>
      </c>
      <c r="P197" s="43">
        <v>58.63</v>
      </c>
      <c r="Q197" s="49">
        <v>1</v>
      </c>
      <c r="R197" s="44">
        <f>P197/O197</f>
        <v>58.63</v>
      </c>
      <c r="S197" s="49">
        <f>Q197*O197</f>
        <v>1</v>
      </c>
      <c r="T197" s="52">
        <f>S197*R197</f>
        <v>58.63</v>
      </c>
      <c r="U197" s="50"/>
      <c r="V197" s="50"/>
      <c r="W197" s="50"/>
      <c r="X197" s="69"/>
      <c r="Y197" s="69"/>
      <c r="Z197" s="69"/>
      <c r="AA197" s="50"/>
      <c r="AB197" s="50"/>
      <c r="AC197" s="50"/>
      <c r="AD197" s="50"/>
      <c r="AE197" s="50"/>
      <c r="AF197" s="50"/>
      <c r="AG197" s="50"/>
      <c r="AH197" s="50"/>
      <c r="AI197" s="50" t="s">
        <v>652</v>
      </c>
      <c r="AJ197" s="50"/>
      <c r="AK197" s="50"/>
      <c r="AL197" s="44"/>
      <c r="AM197" s="45"/>
      <c r="AN197" s="50"/>
      <c r="AO197" s="69"/>
      <c r="AP197" s="69"/>
      <c r="AQ197" s="69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5"/>
      <c r="BD197" s="56"/>
      <c r="BE197" s="61"/>
      <c r="BF197" s="65"/>
      <c r="BG197" s="66"/>
      <c r="BH197" s="66"/>
      <c r="BI197" s="60"/>
      <c r="BJ197" s="60"/>
      <c r="BK197" s="60"/>
      <c r="BL197" s="60"/>
      <c r="BM197" s="60"/>
      <c r="BN197" s="60"/>
      <c r="BO197" s="60"/>
      <c r="BP197" s="60"/>
      <c r="BQ197" s="60" t="str">
        <f>IF(BS197="Original",AI197,AZ197)</f>
        <v>Low Threshold Spend</v>
      </c>
      <c r="BR197" s="60"/>
      <c r="BS197" s="60" t="str">
        <f>IF(AQ197="","Original",IF(AP197&lt;Y197,"Alternate","Original"))</f>
        <v>Original</v>
      </c>
    </row>
    <row r="198" spans="1:71" s="31" customFormat="1" x14ac:dyDescent="0.35">
      <c r="A198" s="53" t="s">
        <v>39</v>
      </c>
      <c r="B198" s="49">
        <v>196</v>
      </c>
      <c r="C198" s="50"/>
      <c r="D198" s="50"/>
      <c r="E198" s="51"/>
      <c r="F198" s="50" t="s">
        <v>40</v>
      </c>
      <c r="G198" s="50" t="s">
        <v>798</v>
      </c>
      <c r="H198" s="50" t="s">
        <v>799</v>
      </c>
      <c r="I198" s="50"/>
      <c r="J198" s="50"/>
      <c r="K198" s="50"/>
      <c r="L198" s="50"/>
      <c r="M198" s="50"/>
      <c r="N198" s="54" t="s">
        <v>43</v>
      </c>
      <c r="O198" s="49">
        <v>1</v>
      </c>
      <c r="P198" s="43">
        <v>58.18</v>
      </c>
      <c r="Q198" s="49">
        <v>1</v>
      </c>
      <c r="R198" s="44">
        <f>P198/O198</f>
        <v>58.18</v>
      </c>
      <c r="S198" s="49">
        <f>Q198*O198</f>
        <v>1</v>
      </c>
      <c r="T198" s="52">
        <f>S198*R198</f>
        <v>58.18</v>
      </c>
      <c r="U198" s="50"/>
      <c r="V198" s="50"/>
      <c r="W198" s="50"/>
      <c r="X198" s="69"/>
      <c r="Y198" s="69"/>
      <c r="Z198" s="69"/>
      <c r="AA198" s="50"/>
      <c r="AB198" s="50"/>
      <c r="AC198" s="50"/>
      <c r="AD198" s="50"/>
      <c r="AE198" s="50"/>
      <c r="AF198" s="50"/>
      <c r="AG198" s="50"/>
      <c r="AH198" s="50"/>
      <c r="AI198" s="50" t="s">
        <v>652</v>
      </c>
      <c r="AJ198" s="50"/>
      <c r="AK198" s="50"/>
      <c r="AL198" s="44"/>
      <c r="AM198" s="45"/>
      <c r="AN198" s="50"/>
      <c r="AO198" s="69"/>
      <c r="AP198" s="69"/>
      <c r="AQ198" s="69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5"/>
      <c r="BD198" s="56"/>
      <c r="BE198" s="61"/>
      <c r="BF198" s="65"/>
      <c r="BG198" s="66"/>
      <c r="BH198" s="66"/>
      <c r="BI198" s="60"/>
      <c r="BJ198" s="60"/>
      <c r="BK198" s="60"/>
      <c r="BL198" s="60"/>
      <c r="BM198" s="60"/>
      <c r="BN198" s="60"/>
      <c r="BO198" s="60"/>
      <c r="BP198" s="60"/>
      <c r="BQ198" s="60" t="str">
        <f>IF(BS198="Original",AI198,AZ198)</f>
        <v>Low Threshold Spend</v>
      </c>
      <c r="BR198" s="60"/>
      <c r="BS198" s="60" t="str">
        <f>IF(AQ198="","Original",IF(AP198&lt;Y198,"Alternate","Original"))</f>
        <v>Original</v>
      </c>
    </row>
    <row r="199" spans="1:71" s="31" customFormat="1" x14ac:dyDescent="0.35">
      <c r="A199" s="53" t="s">
        <v>39</v>
      </c>
      <c r="B199" s="49">
        <v>197</v>
      </c>
      <c r="C199" s="50"/>
      <c r="D199" s="50"/>
      <c r="E199" s="51"/>
      <c r="F199" s="50" t="s">
        <v>40</v>
      </c>
      <c r="G199" s="50" t="s">
        <v>800</v>
      </c>
      <c r="H199" s="50" t="s">
        <v>801</v>
      </c>
      <c r="I199" s="50"/>
      <c r="J199" s="50"/>
      <c r="K199" s="50"/>
      <c r="L199" s="50"/>
      <c r="M199" s="50"/>
      <c r="N199" s="54" t="s">
        <v>43</v>
      </c>
      <c r="O199" s="49">
        <v>1</v>
      </c>
      <c r="P199" s="43">
        <v>58.18</v>
      </c>
      <c r="Q199" s="49">
        <v>1</v>
      </c>
      <c r="R199" s="44">
        <f>P199/O199</f>
        <v>58.18</v>
      </c>
      <c r="S199" s="49">
        <f>Q199*O199</f>
        <v>1</v>
      </c>
      <c r="T199" s="52">
        <f>S199*R199</f>
        <v>58.18</v>
      </c>
      <c r="U199" s="50"/>
      <c r="V199" s="50"/>
      <c r="W199" s="50"/>
      <c r="X199" s="69"/>
      <c r="Y199" s="69"/>
      <c r="Z199" s="69"/>
      <c r="AA199" s="50"/>
      <c r="AB199" s="50"/>
      <c r="AC199" s="50"/>
      <c r="AD199" s="50"/>
      <c r="AE199" s="50"/>
      <c r="AF199" s="50"/>
      <c r="AG199" s="50"/>
      <c r="AH199" s="50"/>
      <c r="AI199" s="50" t="s">
        <v>652</v>
      </c>
      <c r="AJ199" s="50"/>
      <c r="AK199" s="50"/>
      <c r="AL199" s="44"/>
      <c r="AM199" s="45"/>
      <c r="AN199" s="50"/>
      <c r="AO199" s="69"/>
      <c r="AP199" s="69"/>
      <c r="AQ199" s="69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5"/>
      <c r="BD199" s="56"/>
      <c r="BE199" s="61"/>
      <c r="BF199" s="65"/>
      <c r="BG199" s="66"/>
      <c r="BH199" s="66"/>
      <c r="BI199" s="60"/>
      <c r="BJ199" s="60"/>
      <c r="BK199" s="60"/>
      <c r="BL199" s="60"/>
      <c r="BM199" s="60"/>
      <c r="BN199" s="60"/>
      <c r="BO199" s="60"/>
      <c r="BP199" s="60"/>
      <c r="BQ199" s="60" t="str">
        <f>IF(BS199="Original",AI199,AZ199)</f>
        <v>Low Threshold Spend</v>
      </c>
      <c r="BR199" s="60"/>
      <c r="BS199" s="60" t="str">
        <f>IF(AQ199="","Original",IF(AP199&lt;Y199,"Alternate","Original"))</f>
        <v>Original</v>
      </c>
    </row>
    <row r="200" spans="1:71" s="31" customFormat="1" x14ac:dyDescent="0.35">
      <c r="A200" s="53" t="s">
        <v>39</v>
      </c>
      <c r="B200" s="49">
        <v>198</v>
      </c>
      <c r="C200" s="50"/>
      <c r="D200" s="50"/>
      <c r="E200" s="51"/>
      <c r="F200" s="50" t="s">
        <v>49</v>
      </c>
      <c r="G200" s="50" t="s">
        <v>802</v>
      </c>
      <c r="H200" s="50" t="s">
        <v>803</v>
      </c>
      <c r="I200" s="50"/>
      <c r="J200" s="50"/>
      <c r="K200" s="50"/>
      <c r="L200" s="50"/>
      <c r="M200" s="50"/>
      <c r="N200" s="54" t="s">
        <v>43</v>
      </c>
      <c r="O200" s="49">
        <v>1</v>
      </c>
      <c r="P200" s="43">
        <v>57.94</v>
      </c>
      <c r="Q200" s="49">
        <v>1</v>
      </c>
      <c r="R200" s="44">
        <f>P200/O200</f>
        <v>57.94</v>
      </c>
      <c r="S200" s="49">
        <f>Q200*O200</f>
        <v>1</v>
      </c>
      <c r="T200" s="52">
        <f>S200*R200</f>
        <v>57.94</v>
      </c>
      <c r="U200" s="50"/>
      <c r="V200" s="50"/>
      <c r="W200" s="50"/>
      <c r="X200" s="69"/>
      <c r="Y200" s="69"/>
      <c r="Z200" s="69"/>
      <c r="AA200" s="50"/>
      <c r="AB200" s="50"/>
      <c r="AC200" s="50"/>
      <c r="AD200" s="50"/>
      <c r="AE200" s="50"/>
      <c r="AF200" s="50"/>
      <c r="AG200" s="50"/>
      <c r="AH200" s="50"/>
      <c r="AI200" s="50" t="s">
        <v>652</v>
      </c>
      <c r="AJ200" s="50"/>
      <c r="AK200" s="50"/>
      <c r="AL200" s="44"/>
      <c r="AM200" s="45"/>
      <c r="AN200" s="50"/>
      <c r="AO200" s="69"/>
      <c r="AP200" s="69"/>
      <c r="AQ200" s="69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5"/>
      <c r="BD200" s="56"/>
      <c r="BE200" s="61"/>
      <c r="BF200" s="65"/>
      <c r="BG200" s="66"/>
      <c r="BH200" s="66"/>
      <c r="BI200" s="60"/>
      <c r="BJ200" s="60"/>
      <c r="BK200" s="60"/>
      <c r="BL200" s="60"/>
      <c r="BM200" s="60"/>
      <c r="BN200" s="60"/>
      <c r="BO200" s="60"/>
      <c r="BP200" s="60"/>
      <c r="BQ200" s="60" t="str">
        <f>IF(BS200="Original",AI200,AZ200)</f>
        <v>Low Threshold Spend</v>
      </c>
      <c r="BR200" s="60"/>
      <c r="BS200" s="60" t="str">
        <f>IF(AQ200="","Original",IF(AP200&lt;Y200,"Alternate","Original"))</f>
        <v>Original</v>
      </c>
    </row>
    <row r="201" spans="1:71" s="31" customFormat="1" x14ac:dyDescent="0.35">
      <c r="A201" s="53" t="s">
        <v>39</v>
      </c>
      <c r="B201" s="49">
        <v>199</v>
      </c>
      <c r="C201" s="50"/>
      <c r="D201" s="50"/>
      <c r="E201" s="51"/>
      <c r="F201" s="50" t="s">
        <v>40</v>
      </c>
      <c r="G201" s="50" t="s">
        <v>804</v>
      </c>
      <c r="H201" s="50" t="s">
        <v>805</v>
      </c>
      <c r="I201" s="50"/>
      <c r="J201" s="50"/>
      <c r="K201" s="50"/>
      <c r="L201" s="50"/>
      <c r="M201" s="50"/>
      <c r="N201" s="54" t="s">
        <v>43</v>
      </c>
      <c r="O201" s="49">
        <v>1</v>
      </c>
      <c r="P201" s="43">
        <v>57.76</v>
      </c>
      <c r="Q201" s="49">
        <v>1</v>
      </c>
      <c r="R201" s="44">
        <f>P201/O201</f>
        <v>57.76</v>
      </c>
      <c r="S201" s="49">
        <f>Q201*O201</f>
        <v>1</v>
      </c>
      <c r="T201" s="52">
        <f>S201*R201</f>
        <v>57.76</v>
      </c>
      <c r="U201" s="50"/>
      <c r="V201" s="50"/>
      <c r="W201" s="50"/>
      <c r="X201" s="69"/>
      <c r="Y201" s="69"/>
      <c r="Z201" s="69"/>
      <c r="AA201" s="50"/>
      <c r="AB201" s="50"/>
      <c r="AC201" s="50"/>
      <c r="AD201" s="50"/>
      <c r="AE201" s="50"/>
      <c r="AF201" s="50"/>
      <c r="AG201" s="50"/>
      <c r="AH201" s="50"/>
      <c r="AI201" s="50" t="s">
        <v>652</v>
      </c>
      <c r="AJ201" s="50"/>
      <c r="AK201" s="50"/>
      <c r="AL201" s="44"/>
      <c r="AM201" s="45"/>
      <c r="AN201" s="50"/>
      <c r="AO201" s="69"/>
      <c r="AP201" s="69"/>
      <c r="AQ201" s="69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5"/>
      <c r="BD201" s="56"/>
      <c r="BE201" s="61"/>
      <c r="BF201" s="65"/>
      <c r="BG201" s="66"/>
      <c r="BH201" s="66"/>
      <c r="BI201" s="60"/>
      <c r="BJ201" s="60"/>
      <c r="BK201" s="60"/>
      <c r="BL201" s="60"/>
      <c r="BM201" s="60"/>
      <c r="BN201" s="60"/>
      <c r="BO201" s="60"/>
      <c r="BP201" s="60"/>
      <c r="BQ201" s="60" t="str">
        <f>IF(BS201="Original",AI201,AZ201)</f>
        <v>Low Threshold Spend</v>
      </c>
      <c r="BR201" s="60"/>
      <c r="BS201" s="60" t="str">
        <f>IF(AQ201="","Original",IF(AP201&lt;Y201,"Alternate","Original"))</f>
        <v>Original</v>
      </c>
    </row>
    <row r="202" spans="1:71" s="31" customFormat="1" x14ac:dyDescent="0.35">
      <c r="A202" s="53" t="s">
        <v>39</v>
      </c>
      <c r="B202" s="49">
        <v>200</v>
      </c>
      <c r="C202" s="50"/>
      <c r="D202" s="50"/>
      <c r="E202" s="51"/>
      <c r="F202" s="50" t="s">
        <v>40</v>
      </c>
      <c r="G202" s="50" t="s">
        <v>806</v>
      </c>
      <c r="H202" s="50" t="s">
        <v>807</v>
      </c>
      <c r="I202" s="50"/>
      <c r="J202" s="50"/>
      <c r="K202" s="50"/>
      <c r="L202" s="50"/>
      <c r="M202" s="50"/>
      <c r="N202" s="54" t="s">
        <v>43</v>
      </c>
      <c r="O202" s="49">
        <v>1</v>
      </c>
      <c r="P202" s="43">
        <v>28.81</v>
      </c>
      <c r="Q202" s="49">
        <v>2</v>
      </c>
      <c r="R202" s="44">
        <f>P202/O202</f>
        <v>28.81</v>
      </c>
      <c r="S202" s="49">
        <f>Q202*O202</f>
        <v>2</v>
      </c>
      <c r="T202" s="52">
        <f>S202*R202</f>
        <v>57.62</v>
      </c>
      <c r="U202" s="50"/>
      <c r="V202" s="50"/>
      <c r="W202" s="50"/>
      <c r="X202" s="69"/>
      <c r="Y202" s="69"/>
      <c r="Z202" s="69"/>
      <c r="AA202" s="50"/>
      <c r="AB202" s="50"/>
      <c r="AC202" s="50"/>
      <c r="AD202" s="50"/>
      <c r="AE202" s="50"/>
      <c r="AF202" s="50"/>
      <c r="AG202" s="50"/>
      <c r="AH202" s="50"/>
      <c r="AI202" s="50" t="s">
        <v>652</v>
      </c>
      <c r="AJ202" s="50"/>
      <c r="AK202" s="50"/>
      <c r="AL202" s="44"/>
      <c r="AM202" s="45"/>
      <c r="AN202" s="50"/>
      <c r="AO202" s="69"/>
      <c r="AP202" s="69"/>
      <c r="AQ202" s="69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5"/>
      <c r="BD202" s="56"/>
      <c r="BE202" s="61"/>
      <c r="BF202" s="65"/>
      <c r="BG202" s="66"/>
      <c r="BH202" s="66"/>
      <c r="BI202" s="60"/>
      <c r="BJ202" s="60"/>
      <c r="BK202" s="60"/>
      <c r="BL202" s="60"/>
      <c r="BM202" s="60"/>
      <c r="BN202" s="60"/>
      <c r="BO202" s="60"/>
      <c r="BP202" s="60"/>
      <c r="BQ202" s="60" t="str">
        <f>IF(BS202="Original",AI202,AZ202)</f>
        <v>Low Threshold Spend</v>
      </c>
      <c r="BR202" s="60"/>
      <c r="BS202" s="60" t="str">
        <f>IF(AQ202="","Original",IF(AP202&lt;Y202,"Alternate","Original"))</f>
        <v>Original</v>
      </c>
    </row>
    <row r="203" spans="1:71" s="31" customFormat="1" x14ac:dyDescent="0.35">
      <c r="A203" s="53" t="s">
        <v>39</v>
      </c>
      <c r="B203" s="49">
        <v>201</v>
      </c>
      <c r="C203" s="50"/>
      <c r="D203" s="50"/>
      <c r="E203" s="51"/>
      <c r="F203" s="50" t="s">
        <v>60</v>
      </c>
      <c r="G203" s="50" t="s">
        <v>808</v>
      </c>
      <c r="H203" s="50" t="s">
        <v>809</v>
      </c>
      <c r="I203" s="50"/>
      <c r="J203" s="50"/>
      <c r="K203" s="50"/>
      <c r="L203" s="50"/>
      <c r="M203" s="50"/>
      <c r="N203" s="54" t="s">
        <v>43</v>
      </c>
      <c r="O203" s="49">
        <v>1</v>
      </c>
      <c r="P203" s="43">
        <v>56.95</v>
      </c>
      <c r="Q203" s="49">
        <v>1</v>
      </c>
      <c r="R203" s="44">
        <f>P203/O203</f>
        <v>56.95</v>
      </c>
      <c r="S203" s="49">
        <f>Q203*O203</f>
        <v>1</v>
      </c>
      <c r="T203" s="52">
        <f>S203*R203</f>
        <v>56.95</v>
      </c>
      <c r="U203" s="50"/>
      <c r="V203" s="50"/>
      <c r="W203" s="50"/>
      <c r="X203" s="69"/>
      <c r="Y203" s="69"/>
      <c r="Z203" s="69"/>
      <c r="AA203" s="50"/>
      <c r="AB203" s="50"/>
      <c r="AC203" s="50"/>
      <c r="AD203" s="50"/>
      <c r="AE203" s="50"/>
      <c r="AF203" s="50"/>
      <c r="AG203" s="50"/>
      <c r="AH203" s="50"/>
      <c r="AI203" s="50" t="s">
        <v>652</v>
      </c>
      <c r="AJ203" s="50"/>
      <c r="AK203" s="50"/>
      <c r="AL203" s="44"/>
      <c r="AM203" s="45"/>
      <c r="AN203" s="50"/>
      <c r="AO203" s="69"/>
      <c r="AP203" s="69"/>
      <c r="AQ203" s="69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5"/>
      <c r="BD203" s="56"/>
      <c r="BE203" s="61"/>
      <c r="BF203" s="65"/>
      <c r="BG203" s="66"/>
      <c r="BH203" s="66"/>
      <c r="BI203" s="60"/>
      <c r="BJ203" s="60"/>
      <c r="BK203" s="60"/>
      <c r="BL203" s="60"/>
      <c r="BM203" s="60"/>
      <c r="BN203" s="60"/>
      <c r="BO203" s="60"/>
      <c r="BP203" s="60"/>
      <c r="BQ203" s="60" t="str">
        <f>IF(BS203="Original",AI203,AZ203)</f>
        <v>Low Threshold Spend</v>
      </c>
      <c r="BR203" s="60"/>
      <c r="BS203" s="60" t="str">
        <f>IF(AQ203="","Original",IF(AP203&lt;Y203,"Alternate","Original"))</f>
        <v>Original</v>
      </c>
    </row>
    <row r="204" spans="1:71" s="31" customFormat="1" x14ac:dyDescent="0.35">
      <c r="A204" s="53" t="s">
        <v>39</v>
      </c>
      <c r="B204" s="49">
        <v>202</v>
      </c>
      <c r="C204" s="50"/>
      <c r="D204" s="50"/>
      <c r="E204" s="51"/>
      <c r="F204" s="50" t="s">
        <v>60</v>
      </c>
      <c r="G204" s="50" t="s">
        <v>810</v>
      </c>
      <c r="H204" s="50" t="s">
        <v>811</v>
      </c>
      <c r="I204" s="50"/>
      <c r="J204" s="50"/>
      <c r="K204" s="50"/>
      <c r="L204" s="50"/>
      <c r="M204" s="50"/>
      <c r="N204" s="54" t="s">
        <v>43</v>
      </c>
      <c r="O204" s="49">
        <v>1</v>
      </c>
      <c r="P204" s="43">
        <v>56.76</v>
      </c>
      <c r="Q204" s="49">
        <v>1</v>
      </c>
      <c r="R204" s="44">
        <f>P204/O204</f>
        <v>56.76</v>
      </c>
      <c r="S204" s="49">
        <f>Q204*O204</f>
        <v>1</v>
      </c>
      <c r="T204" s="52">
        <f>S204*R204</f>
        <v>56.76</v>
      </c>
      <c r="U204" s="50"/>
      <c r="V204" s="50"/>
      <c r="W204" s="50"/>
      <c r="X204" s="69"/>
      <c r="Y204" s="69"/>
      <c r="Z204" s="69"/>
      <c r="AA204" s="50"/>
      <c r="AB204" s="50"/>
      <c r="AC204" s="50"/>
      <c r="AD204" s="50"/>
      <c r="AE204" s="50"/>
      <c r="AF204" s="50"/>
      <c r="AG204" s="50"/>
      <c r="AH204" s="50"/>
      <c r="AI204" s="50" t="s">
        <v>652</v>
      </c>
      <c r="AJ204" s="50"/>
      <c r="AK204" s="50"/>
      <c r="AL204" s="44"/>
      <c r="AM204" s="45"/>
      <c r="AN204" s="50"/>
      <c r="AO204" s="69"/>
      <c r="AP204" s="69"/>
      <c r="AQ204" s="69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5"/>
      <c r="BD204" s="56"/>
      <c r="BE204" s="61"/>
      <c r="BF204" s="65"/>
      <c r="BG204" s="66"/>
      <c r="BH204" s="66"/>
      <c r="BI204" s="60"/>
      <c r="BJ204" s="60"/>
      <c r="BK204" s="60"/>
      <c r="BL204" s="60"/>
      <c r="BM204" s="60"/>
      <c r="BN204" s="60"/>
      <c r="BO204" s="60"/>
      <c r="BP204" s="60"/>
      <c r="BQ204" s="60" t="str">
        <f>IF(BS204="Original",AI204,AZ204)</f>
        <v>Low Threshold Spend</v>
      </c>
      <c r="BR204" s="60"/>
      <c r="BS204" s="60" t="str">
        <f>IF(AQ204="","Original",IF(AP204&lt;Y204,"Alternate","Original"))</f>
        <v>Original</v>
      </c>
    </row>
    <row r="205" spans="1:71" s="31" customFormat="1" x14ac:dyDescent="0.35">
      <c r="A205" s="53" t="s">
        <v>39</v>
      </c>
      <c r="B205" s="49">
        <v>203</v>
      </c>
      <c r="C205" s="50"/>
      <c r="D205" s="50"/>
      <c r="E205" s="51"/>
      <c r="F205" s="50" t="s">
        <v>40</v>
      </c>
      <c r="G205" s="50" t="s">
        <v>812</v>
      </c>
      <c r="H205" s="50" t="s">
        <v>813</v>
      </c>
      <c r="I205" s="50"/>
      <c r="J205" s="50"/>
      <c r="K205" s="50"/>
      <c r="L205" s="50"/>
      <c r="M205" s="50"/>
      <c r="N205" s="54" t="s">
        <v>43</v>
      </c>
      <c r="O205" s="49">
        <v>1</v>
      </c>
      <c r="P205" s="43">
        <v>56.72</v>
      </c>
      <c r="Q205" s="49">
        <v>1</v>
      </c>
      <c r="R205" s="44">
        <f>P205/O205</f>
        <v>56.72</v>
      </c>
      <c r="S205" s="49">
        <f>Q205*O205</f>
        <v>1</v>
      </c>
      <c r="T205" s="52">
        <f>S205*R205</f>
        <v>56.72</v>
      </c>
      <c r="U205" s="50"/>
      <c r="V205" s="50"/>
      <c r="W205" s="50"/>
      <c r="X205" s="69"/>
      <c r="Y205" s="69"/>
      <c r="Z205" s="69"/>
      <c r="AA205" s="50"/>
      <c r="AB205" s="50"/>
      <c r="AC205" s="50"/>
      <c r="AD205" s="50"/>
      <c r="AE205" s="50"/>
      <c r="AF205" s="50"/>
      <c r="AG205" s="50"/>
      <c r="AH205" s="50"/>
      <c r="AI205" s="50" t="s">
        <v>652</v>
      </c>
      <c r="AJ205" s="50"/>
      <c r="AK205" s="50"/>
      <c r="AL205" s="44"/>
      <c r="AM205" s="45"/>
      <c r="AN205" s="50"/>
      <c r="AO205" s="69"/>
      <c r="AP205" s="69"/>
      <c r="AQ205" s="69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5"/>
      <c r="BD205" s="56"/>
      <c r="BE205" s="61"/>
      <c r="BF205" s="65"/>
      <c r="BG205" s="66"/>
      <c r="BH205" s="66"/>
      <c r="BI205" s="60"/>
      <c r="BJ205" s="60"/>
      <c r="BK205" s="60"/>
      <c r="BL205" s="60"/>
      <c r="BM205" s="60"/>
      <c r="BN205" s="60"/>
      <c r="BO205" s="60"/>
      <c r="BP205" s="60"/>
      <c r="BQ205" s="60" t="str">
        <f>IF(BS205="Original",AI205,AZ205)</f>
        <v>Low Threshold Spend</v>
      </c>
      <c r="BR205" s="60"/>
      <c r="BS205" s="60" t="str">
        <f>IF(AQ205="","Original",IF(AP205&lt;Y205,"Alternate","Original"))</f>
        <v>Original</v>
      </c>
    </row>
    <row r="206" spans="1:71" s="31" customFormat="1" x14ac:dyDescent="0.35">
      <c r="A206" s="53" t="s">
        <v>39</v>
      </c>
      <c r="B206" s="49">
        <v>204</v>
      </c>
      <c r="C206" s="50"/>
      <c r="D206" s="50"/>
      <c r="E206" s="51"/>
      <c r="F206" s="50" t="s">
        <v>40</v>
      </c>
      <c r="G206" s="50" t="s">
        <v>814</v>
      </c>
      <c r="H206" s="50" t="s">
        <v>815</v>
      </c>
      <c r="I206" s="50"/>
      <c r="J206" s="50"/>
      <c r="K206" s="50"/>
      <c r="L206" s="50"/>
      <c r="M206" s="50"/>
      <c r="N206" s="54" t="s">
        <v>43</v>
      </c>
      <c r="O206" s="49">
        <v>1</v>
      </c>
      <c r="P206" s="43">
        <v>56.02</v>
      </c>
      <c r="Q206" s="49">
        <v>1</v>
      </c>
      <c r="R206" s="44">
        <f>P206/O206</f>
        <v>56.02</v>
      </c>
      <c r="S206" s="49">
        <f>Q206*O206</f>
        <v>1</v>
      </c>
      <c r="T206" s="52">
        <f>S206*R206</f>
        <v>56.02</v>
      </c>
      <c r="U206" s="50"/>
      <c r="V206" s="50"/>
      <c r="W206" s="50"/>
      <c r="X206" s="69"/>
      <c r="Y206" s="69"/>
      <c r="Z206" s="69"/>
      <c r="AA206" s="50"/>
      <c r="AB206" s="50"/>
      <c r="AC206" s="50"/>
      <c r="AD206" s="50"/>
      <c r="AE206" s="50"/>
      <c r="AF206" s="50"/>
      <c r="AG206" s="50"/>
      <c r="AH206" s="50"/>
      <c r="AI206" s="50" t="s">
        <v>652</v>
      </c>
      <c r="AJ206" s="50"/>
      <c r="AK206" s="50"/>
      <c r="AL206" s="44"/>
      <c r="AM206" s="45"/>
      <c r="AN206" s="50"/>
      <c r="AO206" s="69"/>
      <c r="AP206" s="69"/>
      <c r="AQ206" s="69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5"/>
      <c r="BD206" s="56"/>
      <c r="BE206" s="61"/>
      <c r="BF206" s="65"/>
      <c r="BG206" s="66"/>
      <c r="BH206" s="66"/>
      <c r="BI206" s="60"/>
      <c r="BJ206" s="60"/>
      <c r="BK206" s="60"/>
      <c r="BL206" s="60"/>
      <c r="BM206" s="60"/>
      <c r="BN206" s="60"/>
      <c r="BO206" s="60"/>
      <c r="BP206" s="60"/>
      <c r="BQ206" s="60" t="str">
        <f>IF(BS206="Original",AI206,AZ206)</f>
        <v>Low Threshold Spend</v>
      </c>
      <c r="BR206" s="60"/>
      <c r="BS206" s="60" t="str">
        <f>IF(AQ206="","Original",IF(AP206&lt;Y206,"Alternate","Original"))</f>
        <v>Original</v>
      </c>
    </row>
    <row r="207" spans="1:71" s="31" customFormat="1" x14ac:dyDescent="0.35">
      <c r="A207" s="53" t="s">
        <v>39</v>
      </c>
      <c r="B207" s="49">
        <v>205</v>
      </c>
      <c r="C207" s="50"/>
      <c r="D207" s="50"/>
      <c r="E207" s="51"/>
      <c r="F207" s="50" t="s">
        <v>60</v>
      </c>
      <c r="G207" s="50" t="s">
        <v>816</v>
      </c>
      <c r="H207" s="50" t="s">
        <v>817</v>
      </c>
      <c r="I207" s="50"/>
      <c r="J207" s="50"/>
      <c r="K207" s="50"/>
      <c r="L207" s="50"/>
      <c r="M207" s="50"/>
      <c r="N207" s="54" t="s">
        <v>43</v>
      </c>
      <c r="O207" s="49">
        <v>1</v>
      </c>
      <c r="P207" s="43">
        <v>55.59</v>
      </c>
      <c r="Q207" s="49">
        <v>1</v>
      </c>
      <c r="R207" s="44">
        <f>P207/O207</f>
        <v>55.59</v>
      </c>
      <c r="S207" s="49">
        <f>Q207*O207</f>
        <v>1</v>
      </c>
      <c r="T207" s="52">
        <f>S207*R207</f>
        <v>55.59</v>
      </c>
      <c r="U207" s="50"/>
      <c r="V207" s="50"/>
      <c r="W207" s="50"/>
      <c r="X207" s="69"/>
      <c r="Y207" s="69"/>
      <c r="Z207" s="69"/>
      <c r="AA207" s="50"/>
      <c r="AB207" s="50"/>
      <c r="AC207" s="50"/>
      <c r="AD207" s="50"/>
      <c r="AE207" s="50"/>
      <c r="AF207" s="50"/>
      <c r="AG207" s="50"/>
      <c r="AH207" s="50"/>
      <c r="AI207" s="50" t="s">
        <v>652</v>
      </c>
      <c r="AJ207" s="50"/>
      <c r="AK207" s="50"/>
      <c r="AL207" s="44"/>
      <c r="AM207" s="45"/>
      <c r="AN207" s="50"/>
      <c r="AO207" s="69"/>
      <c r="AP207" s="69"/>
      <c r="AQ207" s="69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5"/>
      <c r="BD207" s="56"/>
      <c r="BE207" s="61"/>
      <c r="BF207" s="65"/>
      <c r="BG207" s="66"/>
      <c r="BH207" s="66"/>
      <c r="BI207" s="60"/>
      <c r="BJ207" s="60"/>
      <c r="BK207" s="60"/>
      <c r="BL207" s="60"/>
      <c r="BM207" s="60"/>
      <c r="BN207" s="60"/>
      <c r="BO207" s="60"/>
      <c r="BP207" s="60"/>
      <c r="BQ207" s="60" t="str">
        <f>IF(BS207="Original",AI207,AZ207)</f>
        <v>Low Threshold Spend</v>
      </c>
      <c r="BR207" s="60"/>
      <c r="BS207" s="60" t="str">
        <f>IF(AQ207="","Original",IF(AP207&lt;Y207,"Alternate","Original"))</f>
        <v>Original</v>
      </c>
    </row>
    <row r="208" spans="1:71" s="31" customFormat="1" x14ac:dyDescent="0.35">
      <c r="A208" s="53" t="s">
        <v>39</v>
      </c>
      <c r="B208" s="49">
        <v>206</v>
      </c>
      <c r="C208" s="50"/>
      <c r="D208" s="50"/>
      <c r="E208" s="51"/>
      <c r="F208" s="50" t="s">
        <v>40</v>
      </c>
      <c r="G208" s="50" t="s">
        <v>818</v>
      </c>
      <c r="H208" s="50" t="s">
        <v>819</v>
      </c>
      <c r="I208" s="50"/>
      <c r="J208" s="50"/>
      <c r="K208" s="50"/>
      <c r="L208" s="50"/>
      <c r="M208" s="50"/>
      <c r="N208" s="54" t="s">
        <v>43</v>
      </c>
      <c r="O208" s="49">
        <v>1</v>
      </c>
      <c r="P208" s="43">
        <v>55.21</v>
      </c>
      <c r="Q208" s="49">
        <v>1</v>
      </c>
      <c r="R208" s="44">
        <f>P208/O208</f>
        <v>55.21</v>
      </c>
      <c r="S208" s="49">
        <f>Q208*O208</f>
        <v>1</v>
      </c>
      <c r="T208" s="52">
        <f>S208*R208</f>
        <v>55.21</v>
      </c>
      <c r="U208" s="50"/>
      <c r="V208" s="50"/>
      <c r="W208" s="50"/>
      <c r="X208" s="69"/>
      <c r="Y208" s="69"/>
      <c r="Z208" s="69"/>
      <c r="AA208" s="50"/>
      <c r="AB208" s="50"/>
      <c r="AC208" s="50"/>
      <c r="AD208" s="50"/>
      <c r="AE208" s="50"/>
      <c r="AF208" s="50"/>
      <c r="AG208" s="50"/>
      <c r="AH208" s="50"/>
      <c r="AI208" s="50" t="s">
        <v>652</v>
      </c>
      <c r="AJ208" s="50"/>
      <c r="AK208" s="50"/>
      <c r="AL208" s="44"/>
      <c r="AM208" s="45"/>
      <c r="AN208" s="50"/>
      <c r="AO208" s="69"/>
      <c r="AP208" s="69"/>
      <c r="AQ208" s="69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5"/>
      <c r="BD208" s="56"/>
      <c r="BE208" s="61"/>
      <c r="BF208" s="65"/>
      <c r="BG208" s="66"/>
      <c r="BH208" s="66"/>
      <c r="BI208" s="60"/>
      <c r="BJ208" s="60"/>
      <c r="BK208" s="60"/>
      <c r="BL208" s="60"/>
      <c r="BM208" s="60"/>
      <c r="BN208" s="60"/>
      <c r="BO208" s="60"/>
      <c r="BP208" s="60"/>
      <c r="BQ208" s="60" t="str">
        <f>IF(BS208="Original",AI208,AZ208)</f>
        <v>Low Threshold Spend</v>
      </c>
      <c r="BR208" s="60"/>
      <c r="BS208" s="60" t="str">
        <f>IF(AQ208="","Original",IF(AP208&lt;Y208,"Alternate","Original"))</f>
        <v>Original</v>
      </c>
    </row>
    <row r="209" spans="1:71" s="31" customFormat="1" x14ac:dyDescent="0.35">
      <c r="A209" s="53" t="s">
        <v>39</v>
      </c>
      <c r="B209" s="49">
        <v>207</v>
      </c>
      <c r="C209" s="50"/>
      <c r="D209" s="50"/>
      <c r="E209" s="51"/>
      <c r="F209" s="50" t="s">
        <v>49</v>
      </c>
      <c r="G209" s="50" t="s">
        <v>820</v>
      </c>
      <c r="H209" s="50" t="s">
        <v>821</v>
      </c>
      <c r="I209" s="50"/>
      <c r="J209" s="50"/>
      <c r="K209" s="50"/>
      <c r="L209" s="50"/>
      <c r="M209" s="50"/>
      <c r="N209" s="54" t="s">
        <v>43</v>
      </c>
      <c r="O209" s="49">
        <v>1</v>
      </c>
      <c r="P209" s="43">
        <v>55.17</v>
      </c>
      <c r="Q209" s="49">
        <v>1</v>
      </c>
      <c r="R209" s="44">
        <f>P209/O209</f>
        <v>55.17</v>
      </c>
      <c r="S209" s="49">
        <f>Q209*O209</f>
        <v>1</v>
      </c>
      <c r="T209" s="52">
        <f>S209*R209</f>
        <v>55.17</v>
      </c>
      <c r="U209" s="50"/>
      <c r="V209" s="50"/>
      <c r="W209" s="50"/>
      <c r="X209" s="69"/>
      <c r="Y209" s="69"/>
      <c r="Z209" s="69"/>
      <c r="AA209" s="50"/>
      <c r="AB209" s="50"/>
      <c r="AC209" s="50"/>
      <c r="AD209" s="50"/>
      <c r="AE209" s="50"/>
      <c r="AF209" s="50"/>
      <c r="AG209" s="50"/>
      <c r="AH209" s="50"/>
      <c r="AI209" s="50" t="s">
        <v>652</v>
      </c>
      <c r="AJ209" s="50"/>
      <c r="AK209" s="50"/>
      <c r="AL209" s="44"/>
      <c r="AM209" s="45"/>
      <c r="AN209" s="50"/>
      <c r="AO209" s="69"/>
      <c r="AP209" s="69"/>
      <c r="AQ209" s="69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5"/>
      <c r="BD209" s="56"/>
      <c r="BE209" s="61"/>
      <c r="BF209" s="65"/>
      <c r="BG209" s="66"/>
      <c r="BH209" s="66"/>
      <c r="BI209" s="60"/>
      <c r="BJ209" s="60"/>
      <c r="BK209" s="60"/>
      <c r="BL209" s="60"/>
      <c r="BM209" s="60"/>
      <c r="BN209" s="60"/>
      <c r="BO209" s="60"/>
      <c r="BP209" s="60"/>
      <c r="BQ209" s="60" t="str">
        <f>IF(BS209="Original",AI209,AZ209)</f>
        <v>Low Threshold Spend</v>
      </c>
      <c r="BR209" s="60"/>
      <c r="BS209" s="60" t="str">
        <f>IF(AQ209="","Original",IF(AP209&lt;Y209,"Alternate","Original"))</f>
        <v>Original</v>
      </c>
    </row>
    <row r="210" spans="1:71" s="31" customFormat="1" x14ac:dyDescent="0.35">
      <c r="A210" s="53" t="s">
        <v>39</v>
      </c>
      <c r="B210" s="49">
        <v>208</v>
      </c>
      <c r="C210" s="50"/>
      <c r="D210" s="50"/>
      <c r="E210" s="51"/>
      <c r="F210" s="50" t="s">
        <v>40</v>
      </c>
      <c r="G210" s="50" t="s">
        <v>822</v>
      </c>
      <c r="H210" s="50" t="s">
        <v>823</v>
      </c>
      <c r="I210" s="50"/>
      <c r="J210" s="50"/>
      <c r="K210" s="50"/>
      <c r="L210" s="50"/>
      <c r="M210" s="50"/>
      <c r="N210" s="54" t="s">
        <v>43</v>
      </c>
      <c r="O210" s="49">
        <v>1</v>
      </c>
      <c r="P210" s="43">
        <v>54.48</v>
      </c>
      <c r="Q210" s="49">
        <v>1</v>
      </c>
      <c r="R210" s="44">
        <f>P210/O210</f>
        <v>54.48</v>
      </c>
      <c r="S210" s="49">
        <f>Q210*O210</f>
        <v>1</v>
      </c>
      <c r="T210" s="52">
        <f>S210*R210</f>
        <v>54.48</v>
      </c>
      <c r="U210" s="50"/>
      <c r="V210" s="50"/>
      <c r="W210" s="50"/>
      <c r="X210" s="69"/>
      <c r="Y210" s="69"/>
      <c r="Z210" s="69"/>
      <c r="AA210" s="50"/>
      <c r="AB210" s="50"/>
      <c r="AC210" s="50"/>
      <c r="AD210" s="50"/>
      <c r="AE210" s="50"/>
      <c r="AF210" s="50"/>
      <c r="AG210" s="50"/>
      <c r="AH210" s="50"/>
      <c r="AI210" s="50" t="s">
        <v>652</v>
      </c>
      <c r="AJ210" s="50"/>
      <c r="AK210" s="50"/>
      <c r="AL210" s="44"/>
      <c r="AM210" s="45"/>
      <c r="AN210" s="50"/>
      <c r="AO210" s="69"/>
      <c r="AP210" s="69"/>
      <c r="AQ210" s="69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5"/>
      <c r="BD210" s="56"/>
      <c r="BE210" s="61"/>
      <c r="BF210" s="65"/>
      <c r="BG210" s="66"/>
      <c r="BH210" s="66"/>
      <c r="BI210" s="60"/>
      <c r="BJ210" s="60"/>
      <c r="BK210" s="60"/>
      <c r="BL210" s="60"/>
      <c r="BM210" s="60"/>
      <c r="BN210" s="60"/>
      <c r="BO210" s="60"/>
      <c r="BP210" s="60"/>
      <c r="BQ210" s="60" t="str">
        <f>IF(BS210="Original",AI210,AZ210)</f>
        <v>Low Threshold Spend</v>
      </c>
      <c r="BR210" s="60"/>
      <c r="BS210" s="60" t="str">
        <f>IF(AQ210="","Original",IF(AP210&lt;Y210,"Alternate","Original"))</f>
        <v>Original</v>
      </c>
    </row>
    <row r="211" spans="1:71" s="31" customFormat="1" x14ac:dyDescent="0.35">
      <c r="A211" s="53" t="s">
        <v>39</v>
      </c>
      <c r="B211" s="49">
        <v>209</v>
      </c>
      <c r="C211" s="50"/>
      <c r="D211" s="50"/>
      <c r="E211" s="51"/>
      <c r="F211" s="50" t="s">
        <v>60</v>
      </c>
      <c r="G211" s="50" t="s">
        <v>824</v>
      </c>
      <c r="H211" s="50" t="s">
        <v>825</v>
      </c>
      <c r="I211" s="50"/>
      <c r="J211" s="50"/>
      <c r="K211" s="50"/>
      <c r="L211" s="50"/>
      <c r="M211" s="50"/>
      <c r="N211" s="54" t="s">
        <v>43</v>
      </c>
      <c r="O211" s="49">
        <v>1</v>
      </c>
      <c r="P211" s="43">
        <v>53.83</v>
      </c>
      <c r="Q211" s="49">
        <v>1</v>
      </c>
      <c r="R211" s="44">
        <f>P211/O211</f>
        <v>53.83</v>
      </c>
      <c r="S211" s="49">
        <f>Q211*O211</f>
        <v>1</v>
      </c>
      <c r="T211" s="52">
        <f>S211*R211</f>
        <v>53.83</v>
      </c>
      <c r="U211" s="50"/>
      <c r="V211" s="50"/>
      <c r="W211" s="50"/>
      <c r="X211" s="69"/>
      <c r="Y211" s="69"/>
      <c r="Z211" s="69"/>
      <c r="AA211" s="50"/>
      <c r="AB211" s="50"/>
      <c r="AC211" s="50"/>
      <c r="AD211" s="50"/>
      <c r="AE211" s="50"/>
      <c r="AF211" s="50"/>
      <c r="AG211" s="50"/>
      <c r="AH211" s="50"/>
      <c r="AI211" s="50" t="s">
        <v>652</v>
      </c>
      <c r="AJ211" s="50"/>
      <c r="AK211" s="50"/>
      <c r="AL211" s="44"/>
      <c r="AM211" s="45"/>
      <c r="AN211" s="50"/>
      <c r="AO211" s="69"/>
      <c r="AP211" s="69"/>
      <c r="AQ211" s="69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5"/>
      <c r="BD211" s="56"/>
      <c r="BE211" s="61"/>
      <c r="BF211" s="65"/>
      <c r="BG211" s="66"/>
      <c r="BH211" s="66"/>
      <c r="BI211" s="60"/>
      <c r="BJ211" s="60"/>
      <c r="BK211" s="60"/>
      <c r="BL211" s="60"/>
      <c r="BM211" s="60"/>
      <c r="BN211" s="60"/>
      <c r="BO211" s="60"/>
      <c r="BP211" s="60"/>
      <c r="BQ211" s="60" t="str">
        <f>IF(BS211="Original",AI211,AZ211)</f>
        <v>Low Threshold Spend</v>
      </c>
      <c r="BR211" s="60"/>
      <c r="BS211" s="60" t="str">
        <f>IF(AQ211="","Original",IF(AP211&lt;Y211,"Alternate","Original"))</f>
        <v>Original</v>
      </c>
    </row>
    <row r="212" spans="1:71" s="31" customFormat="1" x14ac:dyDescent="0.35">
      <c r="A212" s="53" t="s">
        <v>39</v>
      </c>
      <c r="B212" s="49">
        <v>210</v>
      </c>
      <c r="C212" s="50"/>
      <c r="D212" s="50"/>
      <c r="E212" s="51"/>
      <c r="F212" s="50" t="s">
        <v>49</v>
      </c>
      <c r="G212" s="50" t="s">
        <v>826</v>
      </c>
      <c r="H212" s="50" t="s">
        <v>827</v>
      </c>
      <c r="I212" s="50"/>
      <c r="J212" s="50"/>
      <c r="K212" s="50"/>
      <c r="L212" s="50"/>
      <c r="M212" s="50"/>
      <c r="N212" s="54" t="s">
        <v>43</v>
      </c>
      <c r="O212" s="49">
        <v>1</v>
      </c>
      <c r="P212" s="43">
        <v>53.57</v>
      </c>
      <c r="Q212" s="49">
        <v>1</v>
      </c>
      <c r="R212" s="44">
        <f>P212/O212</f>
        <v>53.57</v>
      </c>
      <c r="S212" s="49">
        <f>Q212*O212</f>
        <v>1</v>
      </c>
      <c r="T212" s="52">
        <f>S212*R212</f>
        <v>53.57</v>
      </c>
      <c r="U212" s="50"/>
      <c r="V212" s="50"/>
      <c r="W212" s="50"/>
      <c r="X212" s="69"/>
      <c r="Y212" s="69"/>
      <c r="Z212" s="69"/>
      <c r="AA212" s="50"/>
      <c r="AB212" s="50"/>
      <c r="AC212" s="50"/>
      <c r="AD212" s="50"/>
      <c r="AE212" s="50"/>
      <c r="AF212" s="50"/>
      <c r="AG212" s="50"/>
      <c r="AH212" s="50"/>
      <c r="AI212" s="50" t="s">
        <v>652</v>
      </c>
      <c r="AJ212" s="50"/>
      <c r="AK212" s="50"/>
      <c r="AL212" s="44"/>
      <c r="AM212" s="45"/>
      <c r="AN212" s="50"/>
      <c r="AO212" s="69"/>
      <c r="AP212" s="69"/>
      <c r="AQ212" s="69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5"/>
      <c r="BD212" s="56"/>
      <c r="BE212" s="61"/>
      <c r="BF212" s="65"/>
      <c r="BG212" s="66"/>
      <c r="BH212" s="66"/>
      <c r="BI212" s="60"/>
      <c r="BJ212" s="60"/>
      <c r="BK212" s="60"/>
      <c r="BL212" s="60"/>
      <c r="BM212" s="60"/>
      <c r="BN212" s="60"/>
      <c r="BO212" s="60"/>
      <c r="BP212" s="60"/>
      <c r="BQ212" s="60" t="str">
        <f>IF(BS212="Original",AI212,AZ212)</f>
        <v>Low Threshold Spend</v>
      </c>
      <c r="BR212" s="60"/>
      <c r="BS212" s="60" t="str">
        <f>IF(AQ212="","Original",IF(AP212&lt;Y212,"Alternate","Original"))</f>
        <v>Original</v>
      </c>
    </row>
    <row r="213" spans="1:71" s="31" customFormat="1" x14ac:dyDescent="0.35">
      <c r="A213" s="53" t="s">
        <v>39</v>
      </c>
      <c r="B213" s="49">
        <v>211</v>
      </c>
      <c r="C213" s="50"/>
      <c r="D213" s="50"/>
      <c r="E213" s="51"/>
      <c r="F213" s="50" t="s">
        <v>40</v>
      </c>
      <c r="G213" s="50" t="s">
        <v>828</v>
      </c>
      <c r="H213" s="50" t="s">
        <v>829</v>
      </c>
      <c r="I213" s="50"/>
      <c r="J213" s="50"/>
      <c r="K213" s="50"/>
      <c r="L213" s="50"/>
      <c r="M213" s="50"/>
      <c r="N213" s="54" t="s">
        <v>43</v>
      </c>
      <c r="O213" s="49">
        <v>1</v>
      </c>
      <c r="P213" s="43">
        <v>53.28</v>
      </c>
      <c r="Q213" s="49">
        <v>1</v>
      </c>
      <c r="R213" s="44">
        <f>P213/O213</f>
        <v>53.28</v>
      </c>
      <c r="S213" s="49">
        <f>Q213*O213</f>
        <v>1</v>
      </c>
      <c r="T213" s="52">
        <f>S213*R213</f>
        <v>53.28</v>
      </c>
      <c r="U213" s="50"/>
      <c r="V213" s="50"/>
      <c r="W213" s="50"/>
      <c r="X213" s="69"/>
      <c r="Y213" s="69"/>
      <c r="Z213" s="69"/>
      <c r="AA213" s="50"/>
      <c r="AB213" s="50"/>
      <c r="AC213" s="50"/>
      <c r="AD213" s="50"/>
      <c r="AE213" s="50"/>
      <c r="AF213" s="50"/>
      <c r="AG213" s="50"/>
      <c r="AH213" s="50"/>
      <c r="AI213" s="50" t="s">
        <v>652</v>
      </c>
      <c r="AJ213" s="50"/>
      <c r="AK213" s="50"/>
      <c r="AL213" s="44"/>
      <c r="AM213" s="45"/>
      <c r="AN213" s="50"/>
      <c r="AO213" s="69"/>
      <c r="AP213" s="69"/>
      <c r="AQ213" s="69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5"/>
      <c r="BD213" s="56"/>
      <c r="BE213" s="61"/>
      <c r="BF213" s="65"/>
      <c r="BG213" s="66"/>
      <c r="BH213" s="66"/>
      <c r="BI213" s="60"/>
      <c r="BJ213" s="60"/>
      <c r="BK213" s="60"/>
      <c r="BL213" s="60"/>
      <c r="BM213" s="60"/>
      <c r="BN213" s="60"/>
      <c r="BO213" s="60"/>
      <c r="BP213" s="60"/>
      <c r="BQ213" s="60" t="str">
        <f>IF(BS213="Original",AI213,AZ213)</f>
        <v>Low Threshold Spend</v>
      </c>
      <c r="BR213" s="60"/>
      <c r="BS213" s="60" t="str">
        <f>IF(AQ213="","Original",IF(AP213&lt;Y213,"Alternate","Original"))</f>
        <v>Original</v>
      </c>
    </row>
    <row r="214" spans="1:71" s="31" customFormat="1" x14ac:dyDescent="0.35">
      <c r="A214" s="53" t="s">
        <v>39</v>
      </c>
      <c r="B214" s="49">
        <v>212</v>
      </c>
      <c r="C214" s="50"/>
      <c r="D214" s="50"/>
      <c r="E214" s="51"/>
      <c r="F214" s="50" t="s">
        <v>40</v>
      </c>
      <c r="G214" s="50" t="s">
        <v>830</v>
      </c>
      <c r="H214" s="50" t="s">
        <v>831</v>
      </c>
      <c r="I214" s="50"/>
      <c r="J214" s="50"/>
      <c r="K214" s="50"/>
      <c r="L214" s="50"/>
      <c r="M214" s="50"/>
      <c r="N214" s="54" t="s">
        <v>43</v>
      </c>
      <c r="O214" s="49">
        <v>1</v>
      </c>
      <c r="P214" s="43">
        <v>53.23</v>
      </c>
      <c r="Q214" s="49">
        <v>1</v>
      </c>
      <c r="R214" s="44">
        <f>P214/O214</f>
        <v>53.23</v>
      </c>
      <c r="S214" s="49">
        <f>Q214*O214</f>
        <v>1</v>
      </c>
      <c r="T214" s="52">
        <f>S214*R214</f>
        <v>53.23</v>
      </c>
      <c r="U214" s="50"/>
      <c r="V214" s="50"/>
      <c r="W214" s="50"/>
      <c r="X214" s="69"/>
      <c r="Y214" s="69"/>
      <c r="Z214" s="69"/>
      <c r="AA214" s="50"/>
      <c r="AB214" s="50"/>
      <c r="AC214" s="50"/>
      <c r="AD214" s="50"/>
      <c r="AE214" s="50"/>
      <c r="AF214" s="50"/>
      <c r="AG214" s="50"/>
      <c r="AH214" s="50"/>
      <c r="AI214" s="50" t="s">
        <v>652</v>
      </c>
      <c r="AJ214" s="50"/>
      <c r="AK214" s="50"/>
      <c r="AL214" s="44"/>
      <c r="AM214" s="45"/>
      <c r="AN214" s="50"/>
      <c r="AO214" s="69"/>
      <c r="AP214" s="69"/>
      <c r="AQ214" s="69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5"/>
      <c r="BD214" s="56"/>
      <c r="BE214" s="61"/>
      <c r="BF214" s="65"/>
      <c r="BG214" s="66"/>
      <c r="BH214" s="66"/>
      <c r="BI214" s="60"/>
      <c r="BJ214" s="60"/>
      <c r="BK214" s="60"/>
      <c r="BL214" s="60"/>
      <c r="BM214" s="60"/>
      <c r="BN214" s="60"/>
      <c r="BO214" s="60"/>
      <c r="BP214" s="60"/>
      <c r="BQ214" s="60" t="str">
        <f>IF(BS214="Original",AI214,AZ214)</f>
        <v>Low Threshold Spend</v>
      </c>
      <c r="BR214" s="60"/>
      <c r="BS214" s="60" t="str">
        <f>IF(AQ214="","Original",IF(AP214&lt;Y214,"Alternate","Original"))</f>
        <v>Original</v>
      </c>
    </row>
    <row r="215" spans="1:71" s="31" customFormat="1" x14ac:dyDescent="0.35">
      <c r="A215" s="53" t="s">
        <v>39</v>
      </c>
      <c r="B215" s="49">
        <v>213</v>
      </c>
      <c r="C215" s="50"/>
      <c r="D215" s="50"/>
      <c r="E215" s="51"/>
      <c r="F215" s="50" t="s">
        <v>60</v>
      </c>
      <c r="G215" s="50" t="s">
        <v>832</v>
      </c>
      <c r="H215" s="50" t="s">
        <v>833</v>
      </c>
      <c r="I215" s="50"/>
      <c r="J215" s="50"/>
      <c r="K215" s="50"/>
      <c r="L215" s="50"/>
      <c r="M215" s="50"/>
      <c r="N215" s="54" t="s">
        <v>43</v>
      </c>
      <c r="O215" s="49">
        <v>1</v>
      </c>
      <c r="P215" s="43">
        <v>53.17</v>
      </c>
      <c r="Q215" s="49">
        <v>1</v>
      </c>
      <c r="R215" s="44">
        <f>P215/O215</f>
        <v>53.17</v>
      </c>
      <c r="S215" s="49">
        <f>Q215*O215</f>
        <v>1</v>
      </c>
      <c r="T215" s="52">
        <f>S215*R215</f>
        <v>53.17</v>
      </c>
      <c r="U215" s="50"/>
      <c r="V215" s="50"/>
      <c r="W215" s="50"/>
      <c r="X215" s="69"/>
      <c r="Y215" s="69"/>
      <c r="Z215" s="69"/>
      <c r="AA215" s="50"/>
      <c r="AB215" s="50"/>
      <c r="AC215" s="50"/>
      <c r="AD215" s="50"/>
      <c r="AE215" s="50"/>
      <c r="AF215" s="50"/>
      <c r="AG215" s="50"/>
      <c r="AH215" s="50"/>
      <c r="AI215" s="50" t="s">
        <v>652</v>
      </c>
      <c r="AJ215" s="50"/>
      <c r="AK215" s="50"/>
      <c r="AL215" s="44"/>
      <c r="AM215" s="45"/>
      <c r="AN215" s="50"/>
      <c r="AO215" s="69"/>
      <c r="AP215" s="69"/>
      <c r="AQ215" s="69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5"/>
      <c r="BD215" s="56"/>
      <c r="BE215" s="61"/>
      <c r="BF215" s="65"/>
      <c r="BG215" s="66"/>
      <c r="BH215" s="66"/>
      <c r="BI215" s="60"/>
      <c r="BJ215" s="60"/>
      <c r="BK215" s="60"/>
      <c r="BL215" s="60"/>
      <c r="BM215" s="60"/>
      <c r="BN215" s="60"/>
      <c r="BO215" s="60"/>
      <c r="BP215" s="60"/>
      <c r="BQ215" s="60" t="str">
        <f>IF(BS215="Original",AI215,AZ215)</f>
        <v>Low Threshold Spend</v>
      </c>
      <c r="BR215" s="60"/>
      <c r="BS215" s="60" t="str">
        <f>IF(AQ215="","Original",IF(AP215&lt;Y215,"Alternate","Original"))</f>
        <v>Original</v>
      </c>
    </row>
    <row r="216" spans="1:71" s="31" customFormat="1" x14ac:dyDescent="0.35">
      <c r="A216" s="53" t="s">
        <v>39</v>
      </c>
      <c r="B216" s="49">
        <v>214</v>
      </c>
      <c r="C216" s="50"/>
      <c r="D216" s="50"/>
      <c r="E216" s="51"/>
      <c r="F216" s="50" t="s">
        <v>60</v>
      </c>
      <c r="G216" s="50" t="s">
        <v>834</v>
      </c>
      <c r="H216" s="50" t="s">
        <v>835</v>
      </c>
      <c r="I216" s="50"/>
      <c r="J216" s="50"/>
      <c r="K216" s="50"/>
      <c r="L216" s="50"/>
      <c r="M216" s="50"/>
      <c r="N216" s="54" t="s">
        <v>43</v>
      </c>
      <c r="O216" s="49">
        <v>1</v>
      </c>
      <c r="P216" s="43">
        <v>52.83</v>
      </c>
      <c r="Q216" s="49">
        <v>1</v>
      </c>
      <c r="R216" s="44">
        <f>P216/O216</f>
        <v>52.83</v>
      </c>
      <c r="S216" s="49">
        <f>Q216*O216</f>
        <v>1</v>
      </c>
      <c r="T216" s="52">
        <f>S216*R216</f>
        <v>52.83</v>
      </c>
      <c r="U216" s="50"/>
      <c r="V216" s="50"/>
      <c r="W216" s="50"/>
      <c r="X216" s="69"/>
      <c r="Y216" s="69"/>
      <c r="Z216" s="69"/>
      <c r="AA216" s="50"/>
      <c r="AB216" s="50"/>
      <c r="AC216" s="50"/>
      <c r="AD216" s="50"/>
      <c r="AE216" s="50"/>
      <c r="AF216" s="50"/>
      <c r="AG216" s="50"/>
      <c r="AH216" s="50"/>
      <c r="AI216" s="50" t="s">
        <v>652</v>
      </c>
      <c r="AJ216" s="50"/>
      <c r="AK216" s="50"/>
      <c r="AL216" s="44"/>
      <c r="AM216" s="45"/>
      <c r="AN216" s="50"/>
      <c r="AO216" s="69"/>
      <c r="AP216" s="69"/>
      <c r="AQ216" s="69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5"/>
      <c r="BD216" s="56"/>
      <c r="BE216" s="61"/>
      <c r="BF216" s="65"/>
      <c r="BG216" s="66"/>
      <c r="BH216" s="66"/>
      <c r="BI216" s="60"/>
      <c r="BJ216" s="60"/>
      <c r="BK216" s="60"/>
      <c r="BL216" s="60"/>
      <c r="BM216" s="60"/>
      <c r="BN216" s="60"/>
      <c r="BO216" s="60"/>
      <c r="BP216" s="60"/>
      <c r="BQ216" s="60" t="str">
        <f>IF(BS216="Original",AI216,AZ216)</f>
        <v>Low Threshold Spend</v>
      </c>
      <c r="BR216" s="60"/>
      <c r="BS216" s="60" t="str">
        <f>IF(AQ216="","Original",IF(AP216&lt;Y216,"Alternate","Original"))</f>
        <v>Original</v>
      </c>
    </row>
    <row r="217" spans="1:71" s="31" customFormat="1" x14ac:dyDescent="0.35">
      <c r="A217" s="53" t="s">
        <v>39</v>
      </c>
      <c r="B217" s="49">
        <v>215</v>
      </c>
      <c r="C217" s="50"/>
      <c r="D217" s="50"/>
      <c r="E217" s="51"/>
      <c r="F217" s="50" t="s">
        <v>60</v>
      </c>
      <c r="G217" s="50" t="s">
        <v>836</v>
      </c>
      <c r="H217" s="50" t="s">
        <v>837</v>
      </c>
      <c r="I217" s="50"/>
      <c r="J217" s="50"/>
      <c r="K217" s="50"/>
      <c r="L217" s="50"/>
      <c r="M217" s="50"/>
      <c r="N217" s="54" t="s">
        <v>43</v>
      </c>
      <c r="O217" s="49">
        <v>1</v>
      </c>
      <c r="P217" s="43">
        <v>52.72</v>
      </c>
      <c r="Q217" s="49">
        <v>1</v>
      </c>
      <c r="R217" s="44">
        <f>P217/O217</f>
        <v>52.72</v>
      </c>
      <c r="S217" s="49">
        <f>Q217*O217</f>
        <v>1</v>
      </c>
      <c r="T217" s="52">
        <f>S217*R217</f>
        <v>52.72</v>
      </c>
      <c r="U217" s="50"/>
      <c r="V217" s="50"/>
      <c r="W217" s="50"/>
      <c r="X217" s="69"/>
      <c r="Y217" s="69"/>
      <c r="Z217" s="69"/>
      <c r="AA217" s="50"/>
      <c r="AB217" s="50"/>
      <c r="AC217" s="50"/>
      <c r="AD217" s="50"/>
      <c r="AE217" s="50"/>
      <c r="AF217" s="50"/>
      <c r="AG217" s="50"/>
      <c r="AH217" s="50"/>
      <c r="AI217" s="50" t="s">
        <v>652</v>
      </c>
      <c r="AJ217" s="50"/>
      <c r="AK217" s="50"/>
      <c r="AL217" s="44"/>
      <c r="AM217" s="45"/>
      <c r="AN217" s="50"/>
      <c r="AO217" s="69"/>
      <c r="AP217" s="69"/>
      <c r="AQ217" s="69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5"/>
      <c r="BD217" s="56"/>
      <c r="BE217" s="61"/>
      <c r="BF217" s="65"/>
      <c r="BG217" s="66"/>
      <c r="BH217" s="66"/>
      <c r="BI217" s="60"/>
      <c r="BJ217" s="60"/>
      <c r="BK217" s="60"/>
      <c r="BL217" s="60"/>
      <c r="BM217" s="60"/>
      <c r="BN217" s="60"/>
      <c r="BO217" s="60"/>
      <c r="BP217" s="60"/>
      <c r="BQ217" s="60" t="str">
        <f>IF(BS217="Original",AI217,AZ217)</f>
        <v>Low Threshold Spend</v>
      </c>
      <c r="BR217" s="60"/>
      <c r="BS217" s="60" t="str">
        <f>IF(AQ217="","Original",IF(AP217&lt;Y217,"Alternate","Original"))</f>
        <v>Original</v>
      </c>
    </row>
    <row r="218" spans="1:71" s="31" customFormat="1" x14ac:dyDescent="0.35">
      <c r="A218" s="53" t="s">
        <v>39</v>
      </c>
      <c r="B218" s="49">
        <v>216</v>
      </c>
      <c r="C218" s="50"/>
      <c r="D218" s="50"/>
      <c r="E218" s="51"/>
      <c r="F218" s="50" t="s">
        <v>49</v>
      </c>
      <c r="G218" s="50" t="s">
        <v>838</v>
      </c>
      <c r="H218" s="50" t="s">
        <v>638</v>
      </c>
      <c r="I218" s="50"/>
      <c r="J218" s="50"/>
      <c r="K218" s="50"/>
      <c r="L218" s="50"/>
      <c r="M218" s="50"/>
      <c r="N218" s="54" t="s">
        <v>43</v>
      </c>
      <c r="O218" s="49">
        <v>1</v>
      </c>
      <c r="P218" s="43">
        <v>51.92</v>
      </c>
      <c r="Q218" s="49">
        <v>1</v>
      </c>
      <c r="R218" s="44">
        <f>P218/O218</f>
        <v>51.92</v>
      </c>
      <c r="S218" s="49">
        <f>Q218*O218</f>
        <v>1</v>
      </c>
      <c r="T218" s="52">
        <f>S218*R218</f>
        <v>51.92</v>
      </c>
      <c r="U218" s="55">
        <f>IFERROR(T218-X218,0)</f>
        <v>51.652797</v>
      </c>
      <c r="V218" s="56">
        <f>IFERROR(U218/T218,0)</f>
        <v>0.994853563174114</v>
      </c>
      <c r="W218" s="57" t="str">
        <f>IF($V218&lt;0,"Negative",IF($V218=0,"Same",IF($V218&gt;0.3,"30+%",IF($V218&gt;0.2,"20-30%",IF($V218&gt;0.1,"10-20%",IF($V218&lt;=0.1,"0-10%"))))))</f>
        <v>30+%</v>
      </c>
      <c r="X218" s="66">
        <f>IFERROR(Y218*S218,0)</f>
        <v>0.26720300000000002</v>
      </c>
      <c r="Y218" s="66">
        <f>IFERROR(Z218/AB218,0)</f>
        <v>0.26720300000000002</v>
      </c>
      <c r="Z218" s="69">
        <v>26.720300000000002</v>
      </c>
      <c r="AA218" s="50" t="s">
        <v>52</v>
      </c>
      <c r="AB218" s="50">
        <v>100</v>
      </c>
      <c r="AC218" s="50" t="s">
        <v>53</v>
      </c>
      <c r="AD218" s="50" t="s">
        <v>281</v>
      </c>
      <c r="AE218" s="50" t="s">
        <v>639</v>
      </c>
      <c r="AF218" s="50" t="s">
        <v>640</v>
      </c>
      <c r="AG218" s="50" t="s">
        <v>160</v>
      </c>
      <c r="AH218" s="50" t="s">
        <v>641</v>
      </c>
      <c r="AI218" s="50" t="s">
        <v>58</v>
      </c>
      <c r="AJ218" s="50" t="s">
        <v>59</v>
      </c>
      <c r="AK218" s="50"/>
      <c r="AL218" s="44"/>
      <c r="AM218" s="45"/>
      <c r="AN218" s="50"/>
      <c r="AO218" s="69"/>
      <c r="AP218" s="69"/>
      <c r="AQ218" s="69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5">
        <f>T218-BF218</f>
        <v>51.652797</v>
      </c>
      <c r="BD218" s="56">
        <f>BC218/T218</f>
        <v>0.994853563174114</v>
      </c>
      <c r="BE218" s="61" t="str">
        <f>IF(BD218&lt;0,"Negative",IF(BD218=0,"Same",IF(BD218&gt;0.3,"30+%",IF(BD218&gt;0.2,"20-30%",IF(BD218&gt;0.1,"10-20%",IF(BD218&lt;=0.1,"0-10%"))))))</f>
        <v>30+%</v>
      </c>
      <c r="BF218" s="65">
        <f>BG218*S218</f>
        <v>0.26720300000000002</v>
      </c>
      <c r="BG218" s="66">
        <f>BH218/BJ218</f>
        <v>0.26720300000000002</v>
      </c>
      <c r="BH218" s="66">
        <f>IF(BS218="Original",Z218,AQ218)</f>
        <v>26.720300000000002</v>
      </c>
      <c r="BI218" s="60" t="str">
        <f>IF(BS218="Original",AA218,AR218)</f>
        <v>Pack</v>
      </c>
      <c r="BJ218" s="60">
        <f>IF(BS218="Original",AB218,AS218)</f>
        <v>100</v>
      </c>
      <c r="BK218" s="60" t="str">
        <f>IF(BS218="Original",AC218,AT218)</f>
        <v>Possible UOM or LPP issue.</v>
      </c>
      <c r="BL218" s="60" t="str">
        <f>IF(BS218="Original",AD218,AU218)</f>
        <v>X-ACTO</v>
      </c>
      <c r="BM218" s="60" t="str">
        <f>IF(BS218="Original",AE218,AV218)</f>
        <v>X611</v>
      </c>
      <c r="BN218" s="60" t="str">
        <f>IF(BS218="Original",AF218,AW218)</f>
        <v>0530675</v>
      </c>
      <c r="BO218" s="60" t="str">
        <f>IF(BS218="Original",AG218,AX218)</f>
        <v>Tools and Equipment</v>
      </c>
      <c r="BP218" s="60" t="str">
        <f>IF(BS218="Original",AH218,AY218)</f>
        <v>Carbon Steel X-Acto[REG] No. 11 Precision Blade 100Ct</v>
      </c>
      <c r="BQ218" s="60" t="str">
        <f>IF(BS218="Original",AI218,AZ218)</f>
        <v>Similar Match</v>
      </c>
      <c r="BR218" s="60" t="str">
        <f>IF(BS218="Original",AJ218,BA218)</f>
        <v>No</v>
      </c>
      <c r="BS218" s="60" t="str">
        <f>IF(AQ218="","Original",IF(AP218&lt;Y218,"Alternate","Original"))</f>
        <v>Original</v>
      </c>
    </row>
    <row r="219" spans="1:71" s="31" customFormat="1" x14ac:dyDescent="0.35">
      <c r="A219" s="53" t="s">
        <v>39</v>
      </c>
      <c r="B219" s="49">
        <v>217</v>
      </c>
      <c r="C219" s="50"/>
      <c r="D219" s="50"/>
      <c r="E219" s="51"/>
      <c r="F219" s="50" t="s">
        <v>49</v>
      </c>
      <c r="G219" s="50" t="s">
        <v>839</v>
      </c>
      <c r="H219" s="50" t="s">
        <v>840</v>
      </c>
      <c r="I219" s="50"/>
      <c r="J219" s="50"/>
      <c r="K219" s="50"/>
      <c r="L219" s="50"/>
      <c r="M219" s="50"/>
      <c r="N219" s="54" t="s">
        <v>43</v>
      </c>
      <c r="O219" s="49">
        <v>1</v>
      </c>
      <c r="P219" s="43">
        <v>51.85</v>
      </c>
      <c r="Q219" s="49">
        <v>1</v>
      </c>
      <c r="R219" s="44">
        <f>P219/O219</f>
        <v>51.85</v>
      </c>
      <c r="S219" s="49">
        <f>Q219*O219</f>
        <v>1</v>
      </c>
      <c r="T219" s="52">
        <f>S219*R219</f>
        <v>51.85</v>
      </c>
      <c r="U219" s="50"/>
      <c r="V219" s="50"/>
      <c r="W219" s="50"/>
      <c r="X219" s="69"/>
      <c r="Y219" s="69"/>
      <c r="Z219" s="69"/>
      <c r="AA219" s="50"/>
      <c r="AB219" s="50"/>
      <c r="AC219" s="50"/>
      <c r="AD219" s="50"/>
      <c r="AE219" s="50"/>
      <c r="AF219" s="50"/>
      <c r="AG219" s="50"/>
      <c r="AH219" s="50"/>
      <c r="AI219" s="50" t="s">
        <v>652</v>
      </c>
      <c r="AJ219" s="50"/>
      <c r="AK219" s="50"/>
      <c r="AL219" s="44"/>
      <c r="AM219" s="45"/>
      <c r="AN219" s="50"/>
      <c r="AO219" s="69"/>
      <c r="AP219" s="69"/>
      <c r="AQ219" s="69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5"/>
      <c r="BD219" s="56"/>
      <c r="BE219" s="61"/>
      <c r="BF219" s="65"/>
      <c r="BG219" s="66"/>
      <c r="BH219" s="66"/>
      <c r="BI219" s="60"/>
      <c r="BJ219" s="60"/>
      <c r="BK219" s="60"/>
      <c r="BL219" s="60"/>
      <c r="BM219" s="60"/>
      <c r="BN219" s="60"/>
      <c r="BO219" s="60"/>
      <c r="BP219" s="60"/>
      <c r="BQ219" s="60" t="str">
        <f>IF(BS219="Original",AI219,AZ219)</f>
        <v>Low Threshold Spend</v>
      </c>
      <c r="BR219" s="60"/>
      <c r="BS219" s="60" t="str">
        <f>IF(AQ219="","Original",IF(AP219&lt;Y219,"Alternate","Original"))</f>
        <v>Original</v>
      </c>
    </row>
    <row r="220" spans="1:71" s="31" customFormat="1" x14ac:dyDescent="0.35">
      <c r="A220" s="53" t="s">
        <v>39</v>
      </c>
      <c r="B220" s="49">
        <v>218</v>
      </c>
      <c r="C220" s="50"/>
      <c r="D220" s="50"/>
      <c r="E220" s="51"/>
      <c r="F220" s="50" t="s">
        <v>60</v>
      </c>
      <c r="G220" s="50" t="s">
        <v>841</v>
      </c>
      <c r="H220" s="50" t="s">
        <v>842</v>
      </c>
      <c r="I220" s="50"/>
      <c r="J220" s="50"/>
      <c r="K220" s="50"/>
      <c r="L220" s="50"/>
      <c r="M220" s="50"/>
      <c r="N220" s="54" t="s">
        <v>43</v>
      </c>
      <c r="O220" s="49">
        <v>1</v>
      </c>
      <c r="P220" s="43">
        <v>51.77</v>
      </c>
      <c r="Q220" s="49">
        <v>1</v>
      </c>
      <c r="R220" s="44">
        <f>P220/O220</f>
        <v>51.77</v>
      </c>
      <c r="S220" s="49">
        <f>Q220*O220</f>
        <v>1</v>
      </c>
      <c r="T220" s="52">
        <f>S220*R220</f>
        <v>51.77</v>
      </c>
      <c r="U220" s="50"/>
      <c r="V220" s="50"/>
      <c r="W220" s="50"/>
      <c r="X220" s="69"/>
      <c r="Y220" s="69"/>
      <c r="Z220" s="69"/>
      <c r="AA220" s="50"/>
      <c r="AB220" s="50"/>
      <c r="AC220" s="50"/>
      <c r="AD220" s="50"/>
      <c r="AE220" s="50"/>
      <c r="AF220" s="50"/>
      <c r="AG220" s="50"/>
      <c r="AH220" s="50"/>
      <c r="AI220" s="50" t="s">
        <v>652</v>
      </c>
      <c r="AJ220" s="50"/>
      <c r="AK220" s="50"/>
      <c r="AL220" s="44"/>
      <c r="AM220" s="45"/>
      <c r="AN220" s="50"/>
      <c r="AO220" s="69"/>
      <c r="AP220" s="69"/>
      <c r="AQ220" s="69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5"/>
      <c r="BD220" s="56"/>
      <c r="BE220" s="61"/>
      <c r="BF220" s="65"/>
      <c r="BG220" s="66"/>
      <c r="BH220" s="66"/>
      <c r="BI220" s="60"/>
      <c r="BJ220" s="60"/>
      <c r="BK220" s="60"/>
      <c r="BL220" s="60"/>
      <c r="BM220" s="60"/>
      <c r="BN220" s="60"/>
      <c r="BO220" s="60"/>
      <c r="BP220" s="60"/>
      <c r="BQ220" s="60" t="str">
        <f>IF(BS220="Original",AI220,AZ220)</f>
        <v>Low Threshold Spend</v>
      </c>
      <c r="BR220" s="60"/>
      <c r="BS220" s="60" t="str">
        <f>IF(AQ220="","Original",IF(AP220&lt;Y220,"Alternate","Original"))</f>
        <v>Original</v>
      </c>
    </row>
    <row r="221" spans="1:71" s="31" customFormat="1" x14ac:dyDescent="0.35">
      <c r="A221" s="53" t="s">
        <v>39</v>
      </c>
      <c r="B221" s="49">
        <v>219</v>
      </c>
      <c r="C221" s="50"/>
      <c r="D221" s="50"/>
      <c r="E221" s="51"/>
      <c r="F221" s="50" t="s">
        <v>60</v>
      </c>
      <c r="G221" s="50" t="s">
        <v>843</v>
      </c>
      <c r="H221" s="50" t="s">
        <v>844</v>
      </c>
      <c r="I221" s="50"/>
      <c r="J221" s="50"/>
      <c r="K221" s="50"/>
      <c r="L221" s="50"/>
      <c r="M221" s="50"/>
      <c r="N221" s="54" t="s">
        <v>43</v>
      </c>
      <c r="O221" s="49">
        <v>1</v>
      </c>
      <c r="P221" s="43">
        <v>51.4</v>
      </c>
      <c r="Q221" s="49">
        <v>1</v>
      </c>
      <c r="R221" s="44">
        <f>P221/O221</f>
        <v>51.4</v>
      </c>
      <c r="S221" s="49">
        <f>Q221*O221</f>
        <v>1</v>
      </c>
      <c r="T221" s="52">
        <f>S221*R221</f>
        <v>51.4</v>
      </c>
      <c r="U221" s="50"/>
      <c r="V221" s="50"/>
      <c r="W221" s="50"/>
      <c r="X221" s="69"/>
      <c r="Y221" s="69"/>
      <c r="Z221" s="69"/>
      <c r="AA221" s="50"/>
      <c r="AB221" s="50"/>
      <c r="AC221" s="50"/>
      <c r="AD221" s="50"/>
      <c r="AE221" s="50"/>
      <c r="AF221" s="50"/>
      <c r="AG221" s="50"/>
      <c r="AH221" s="50"/>
      <c r="AI221" s="50" t="s">
        <v>652</v>
      </c>
      <c r="AJ221" s="50"/>
      <c r="AK221" s="50"/>
      <c r="AL221" s="44"/>
      <c r="AM221" s="45"/>
      <c r="AN221" s="50"/>
      <c r="AO221" s="69"/>
      <c r="AP221" s="69"/>
      <c r="AQ221" s="69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5"/>
      <c r="BD221" s="56"/>
      <c r="BE221" s="61"/>
      <c r="BF221" s="65"/>
      <c r="BG221" s="66"/>
      <c r="BH221" s="66"/>
      <c r="BI221" s="60"/>
      <c r="BJ221" s="60"/>
      <c r="BK221" s="60"/>
      <c r="BL221" s="60"/>
      <c r="BM221" s="60"/>
      <c r="BN221" s="60"/>
      <c r="BO221" s="60"/>
      <c r="BP221" s="60"/>
      <c r="BQ221" s="60" t="str">
        <f>IF(BS221="Original",AI221,AZ221)</f>
        <v>Low Threshold Spend</v>
      </c>
      <c r="BR221" s="60"/>
      <c r="BS221" s="60" t="str">
        <f>IF(AQ221="","Original",IF(AP221&lt;Y221,"Alternate","Original"))</f>
        <v>Original</v>
      </c>
    </row>
    <row r="222" spans="1:71" s="31" customFormat="1" x14ac:dyDescent="0.35">
      <c r="A222" s="53" t="s">
        <v>39</v>
      </c>
      <c r="B222" s="49">
        <v>220</v>
      </c>
      <c r="C222" s="50"/>
      <c r="D222" s="50"/>
      <c r="E222" s="51"/>
      <c r="F222" s="50" t="s">
        <v>49</v>
      </c>
      <c r="G222" s="50" t="s">
        <v>845</v>
      </c>
      <c r="H222" s="50" t="s">
        <v>846</v>
      </c>
      <c r="I222" s="50"/>
      <c r="J222" s="50"/>
      <c r="K222" s="50"/>
      <c r="L222" s="50"/>
      <c r="M222" s="50"/>
      <c r="N222" s="54" t="s">
        <v>43</v>
      </c>
      <c r="O222" s="49">
        <v>1</v>
      </c>
      <c r="P222" s="43">
        <v>50.89</v>
      </c>
      <c r="Q222" s="49">
        <v>1</v>
      </c>
      <c r="R222" s="44">
        <f>P222/O222</f>
        <v>50.89</v>
      </c>
      <c r="S222" s="49">
        <f>Q222*O222</f>
        <v>1</v>
      </c>
      <c r="T222" s="52">
        <f>S222*R222</f>
        <v>50.89</v>
      </c>
      <c r="U222" s="50"/>
      <c r="V222" s="50"/>
      <c r="W222" s="50"/>
      <c r="X222" s="69"/>
      <c r="Y222" s="69"/>
      <c r="Z222" s="69"/>
      <c r="AA222" s="50"/>
      <c r="AB222" s="50"/>
      <c r="AC222" s="50"/>
      <c r="AD222" s="50"/>
      <c r="AE222" s="50"/>
      <c r="AF222" s="50"/>
      <c r="AG222" s="50"/>
      <c r="AH222" s="50"/>
      <c r="AI222" s="50" t="s">
        <v>652</v>
      </c>
      <c r="AJ222" s="50"/>
      <c r="AK222" s="50"/>
      <c r="AL222" s="44"/>
      <c r="AM222" s="45"/>
      <c r="AN222" s="50"/>
      <c r="AO222" s="69"/>
      <c r="AP222" s="69"/>
      <c r="AQ222" s="69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5"/>
      <c r="BD222" s="56"/>
      <c r="BE222" s="61"/>
      <c r="BF222" s="65"/>
      <c r="BG222" s="66"/>
      <c r="BH222" s="66"/>
      <c r="BI222" s="60"/>
      <c r="BJ222" s="60"/>
      <c r="BK222" s="60"/>
      <c r="BL222" s="60"/>
      <c r="BM222" s="60"/>
      <c r="BN222" s="60"/>
      <c r="BO222" s="60"/>
      <c r="BP222" s="60"/>
      <c r="BQ222" s="60" t="str">
        <f>IF(BS222="Original",AI222,AZ222)</f>
        <v>Low Threshold Spend</v>
      </c>
      <c r="BR222" s="60"/>
      <c r="BS222" s="60" t="str">
        <f>IF(AQ222="","Original",IF(AP222&lt;Y222,"Alternate","Original"))</f>
        <v>Original</v>
      </c>
    </row>
    <row r="223" spans="1:71" s="31" customFormat="1" x14ac:dyDescent="0.35">
      <c r="A223" s="53" t="s">
        <v>39</v>
      </c>
      <c r="B223" s="49">
        <v>221</v>
      </c>
      <c r="C223" s="50"/>
      <c r="D223" s="50"/>
      <c r="E223" s="51"/>
      <c r="F223" s="50" t="s">
        <v>49</v>
      </c>
      <c r="G223" s="50" t="s">
        <v>847</v>
      </c>
      <c r="H223" s="50" t="s">
        <v>848</v>
      </c>
      <c r="I223" s="50"/>
      <c r="J223" s="50"/>
      <c r="K223" s="50"/>
      <c r="L223" s="50"/>
      <c r="M223" s="50"/>
      <c r="N223" s="54" t="s">
        <v>43</v>
      </c>
      <c r="O223" s="49">
        <v>1</v>
      </c>
      <c r="P223" s="43">
        <v>50.31</v>
      </c>
      <c r="Q223" s="49">
        <v>1</v>
      </c>
      <c r="R223" s="44">
        <f>P223/O223</f>
        <v>50.31</v>
      </c>
      <c r="S223" s="49">
        <f>Q223*O223</f>
        <v>1</v>
      </c>
      <c r="T223" s="52">
        <f>S223*R223</f>
        <v>50.31</v>
      </c>
      <c r="U223" s="50"/>
      <c r="V223" s="50"/>
      <c r="W223" s="50"/>
      <c r="X223" s="69"/>
      <c r="Y223" s="69"/>
      <c r="Z223" s="69"/>
      <c r="AA223" s="50"/>
      <c r="AB223" s="50"/>
      <c r="AC223" s="50"/>
      <c r="AD223" s="50"/>
      <c r="AE223" s="50"/>
      <c r="AF223" s="50"/>
      <c r="AG223" s="50"/>
      <c r="AH223" s="50"/>
      <c r="AI223" s="50" t="s">
        <v>652</v>
      </c>
      <c r="AJ223" s="50"/>
      <c r="AK223" s="50"/>
      <c r="AL223" s="44"/>
      <c r="AM223" s="45"/>
      <c r="AN223" s="50"/>
      <c r="AO223" s="69"/>
      <c r="AP223" s="69"/>
      <c r="AQ223" s="69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5"/>
      <c r="BD223" s="56"/>
      <c r="BE223" s="61"/>
      <c r="BF223" s="65"/>
      <c r="BG223" s="66"/>
      <c r="BH223" s="66"/>
      <c r="BI223" s="60"/>
      <c r="BJ223" s="60"/>
      <c r="BK223" s="60"/>
      <c r="BL223" s="60"/>
      <c r="BM223" s="60"/>
      <c r="BN223" s="60"/>
      <c r="BO223" s="60"/>
      <c r="BP223" s="60"/>
      <c r="BQ223" s="60" t="str">
        <f>IF(BS223="Original",AI223,AZ223)</f>
        <v>Low Threshold Spend</v>
      </c>
      <c r="BR223" s="60"/>
      <c r="BS223" s="60" t="str">
        <f>IF(AQ223="","Original",IF(AP223&lt;Y223,"Alternate","Original"))</f>
        <v>Original</v>
      </c>
    </row>
    <row r="224" spans="1:71" s="31" customFormat="1" x14ac:dyDescent="0.35">
      <c r="A224" s="53" t="s">
        <v>39</v>
      </c>
      <c r="B224" s="49">
        <v>222</v>
      </c>
      <c r="C224" s="50"/>
      <c r="D224" s="50"/>
      <c r="E224" s="51"/>
      <c r="F224" s="50" t="s">
        <v>40</v>
      </c>
      <c r="G224" s="50" t="s">
        <v>849</v>
      </c>
      <c r="H224" s="50" t="s">
        <v>850</v>
      </c>
      <c r="I224" s="50"/>
      <c r="J224" s="50"/>
      <c r="K224" s="50"/>
      <c r="L224" s="50"/>
      <c r="M224" s="50"/>
      <c r="N224" s="54" t="s">
        <v>43</v>
      </c>
      <c r="O224" s="49">
        <v>1</v>
      </c>
      <c r="P224" s="43">
        <v>49.92</v>
      </c>
      <c r="Q224" s="49">
        <v>1</v>
      </c>
      <c r="R224" s="44">
        <f>P224/O224</f>
        <v>49.92</v>
      </c>
      <c r="S224" s="49">
        <f>Q224*O224</f>
        <v>1</v>
      </c>
      <c r="T224" s="52">
        <f>S224*R224</f>
        <v>49.92</v>
      </c>
      <c r="U224" s="50"/>
      <c r="V224" s="50"/>
      <c r="W224" s="50"/>
      <c r="X224" s="69"/>
      <c r="Y224" s="69"/>
      <c r="Z224" s="69"/>
      <c r="AA224" s="50"/>
      <c r="AB224" s="50"/>
      <c r="AC224" s="50"/>
      <c r="AD224" s="50"/>
      <c r="AE224" s="50"/>
      <c r="AF224" s="50"/>
      <c r="AG224" s="50"/>
      <c r="AH224" s="50"/>
      <c r="AI224" s="50" t="s">
        <v>652</v>
      </c>
      <c r="AJ224" s="50"/>
      <c r="AK224" s="50"/>
      <c r="AL224" s="44"/>
      <c r="AM224" s="45"/>
      <c r="AN224" s="50"/>
      <c r="AO224" s="69"/>
      <c r="AP224" s="69"/>
      <c r="AQ224" s="69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5"/>
      <c r="BD224" s="56"/>
      <c r="BE224" s="61"/>
      <c r="BF224" s="65"/>
      <c r="BG224" s="66"/>
      <c r="BH224" s="66"/>
      <c r="BI224" s="60"/>
      <c r="BJ224" s="60"/>
      <c r="BK224" s="60"/>
      <c r="BL224" s="60"/>
      <c r="BM224" s="60"/>
      <c r="BN224" s="60"/>
      <c r="BO224" s="60"/>
      <c r="BP224" s="60"/>
      <c r="BQ224" s="60" t="str">
        <f>IF(BS224="Original",AI224,AZ224)</f>
        <v>Low Threshold Spend</v>
      </c>
      <c r="BR224" s="60"/>
      <c r="BS224" s="60" t="str">
        <f>IF(AQ224="","Original",IF(AP224&lt;Y224,"Alternate","Original"))</f>
        <v>Original</v>
      </c>
    </row>
    <row r="225" spans="1:71" s="31" customFormat="1" x14ac:dyDescent="0.35">
      <c r="A225" s="53" t="s">
        <v>39</v>
      </c>
      <c r="B225" s="49">
        <v>223</v>
      </c>
      <c r="C225" s="50"/>
      <c r="D225" s="50"/>
      <c r="E225" s="51"/>
      <c r="F225" s="50" t="s">
        <v>40</v>
      </c>
      <c r="G225" s="50" t="s">
        <v>851</v>
      </c>
      <c r="H225" s="50" t="s">
        <v>852</v>
      </c>
      <c r="I225" s="50"/>
      <c r="J225" s="50"/>
      <c r="K225" s="50"/>
      <c r="L225" s="50"/>
      <c r="M225" s="50"/>
      <c r="N225" s="54" t="s">
        <v>43</v>
      </c>
      <c r="O225" s="49">
        <v>1</v>
      </c>
      <c r="P225" s="43">
        <v>49.89</v>
      </c>
      <c r="Q225" s="49">
        <v>1</v>
      </c>
      <c r="R225" s="44">
        <f>P225/O225</f>
        <v>49.89</v>
      </c>
      <c r="S225" s="49">
        <f>Q225*O225</f>
        <v>1</v>
      </c>
      <c r="T225" s="52">
        <f>S225*R225</f>
        <v>49.89</v>
      </c>
      <c r="U225" s="50"/>
      <c r="V225" s="50"/>
      <c r="W225" s="50"/>
      <c r="X225" s="69"/>
      <c r="Y225" s="69"/>
      <c r="Z225" s="69"/>
      <c r="AA225" s="50"/>
      <c r="AB225" s="50"/>
      <c r="AC225" s="50"/>
      <c r="AD225" s="50"/>
      <c r="AE225" s="50"/>
      <c r="AF225" s="50"/>
      <c r="AG225" s="50"/>
      <c r="AH225" s="50"/>
      <c r="AI225" s="50" t="s">
        <v>652</v>
      </c>
      <c r="AJ225" s="50"/>
      <c r="AK225" s="50"/>
      <c r="AL225" s="44"/>
      <c r="AM225" s="45"/>
      <c r="AN225" s="50"/>
      <c r="AO225" s="69"/>
      <c r="AP225" s="69"/>
      <c r="AQ225" s="69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5"/>
      <c r="BD225" s="56"/>
      <c r="BE225" s="61"/>
      <c r="BF225" s="65"/>
      <c r="BG225" s="66"/>
      <c r="BH225" s="66"/>
      <c r="BI225" s="60"/>
      <c r="BJ225" s="60"/>
      <c r="BK225" s="60"/>
      <c r="BL225" s="60"/>
      <c r="BM225" s="60"/>
      <c r="BN225" s="60"/>
      <c r="BO225" s="60"/>
      <c r="BP225" s="60"/>
      <c r="BQ225" s="60" t="str">
        <f>IF(BS225="Original",AI225,AZ225)</f>
        <v>Low Threshold Spend</v>
      </c>
      <c r="BR225" s="60"/>
      <c r="BS225" s="60" t="str">
        <f>IF(AQ225="","Original",IF(AP225&lt;Y225,"Alternate","Original"))</f>
        <v>Original</v>
      </c>
    </row>
    <row r="226" spans="1:71" s="31" customFormat="1" x14ac:dyDescent="0.35">
      <c r="A226" s="53" t="s">
        <v>39</v>
      </c>
      <c r="B226" s="49">
        <v>224</v>
      </c>
      <c r="C226" s="50"/>
      <c r="D226" s="50"/>
      <c r="E226" s="51"/>
      <c r="F226" s="50" t="s">
        <v>60</v>
      </c>
      <c r="G226" s="50" t="s">
        <v>853</v>
      </c>
      <c r="H226" s="50" t="s">
        <v>854</v>
      </c>
      <c r="I226" s="50"/>
      <c r="J226" s="50"/>
      <c r="K226" s="50"/>
      <c r="L226" s="50"/>
      <c r="M226" s="50"/>
      <c r="N226" s="54" t="s">
        <v>43</v>
      </c>
      <c r="O226" s="49">
        <v>1</v>
      </c>
      <c r="P226" s="43">
        <v>49.16</v>
      </c>
      <c r="Q226" s="49">
        <v>1</v>
      </c>
      <c r="R226" s="44">
        <f>P226/O226</f>
        <v>49.16</v>
      </c>
      <c r="S226" s="49">
        <f>Q226*O226</f>
        <v>1</v>
      </c>
      <c r="T226" s="52">
        <f>S226*R226</f>
        <v>49.16</v>
      </c>
      <c r="U226" s="50"/>
      <c r="V226" s="50"/>
      <c r="W226" s="50"/>
      <c r="X226" s="69"/>
      <c r="Y226" s="69"/>
      <c r="Z226" s="69"/>
      <c r="AA226" s="50"/>
      <c r="AB226" s="50"/>
      <c r="AC226" s="50"/>
      <c r="AD226" s="50"/>
      <c r="AE226" s="50"/>
      <c r="AF226" s="50"/>
      <c r="AG226" s="50"/>
      <c r="AH226" s="50"/>
      <c r="AI226" s="50" t="s">
        <v>652</v>
      </c>
      <c r="AJ226" s="50"/>
      <c r="AK226" s="50"/>
      <c r="AL226" s="44"/>
      <c r="AM226" s="45"/>
      <c r="AN226" s="50"/>
      <c r="AO226" s="69"/>
      <c r="AP226" s="69"/>
      <c r="AQ226" s="69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5"/>
      <c r="BD226" s="56"/>
      <c r="BE226" s="61"/>
      <c r="BF226" s="65"/>
      <c r="BG226" s="66"/>
      <c r="BH226" s="66"/>
      <c r="BI226" s="60"/>
      <c r="BJ226" s="60"/>
      <c r="BK226" s="60"/>
      <c r="BL226" s="60"/>
      <c r="BM226" s="60"/>
      <c r="BN226" s="60"/>
      <c r="BO226" s="60"/>
      <c r="BP226" s="60"/>
      <c r="BQ226" s="60" t="str">
        <f>IF(BS226="Original",AI226,AZ226)</f>
        <v>Low Threshold Spend</v>
      </c>
      <c r="BR226" s="60"/>
      <c r="BS226" s="60" t="str">
        <f>IF(AQ226="","Original",IF(AP226&lt;Y226,"Alternate","Original"))</f>
        <v>Original</v>
      </c>
    </row>
    <row r="227" spans="1:71" s="31" customFormat="1" x14ac:dyDescent="0.35">
      <c r="A227" s="53" t="s">
        <v>39</v>
      </c>
      <c r="B227" s="49">
        <v>225</v>
      </c>
      <c r="C227" s="50"/>
      <c r="D227" s="50"/>
      <c r="E227" s="51"/>
      <c r="F227" s="50" t="s">
        <v>40</v>
      </c>
      <c r="G227" s="50" t="s">
        <v>855</v>
      </c>
      <c r="H227" s="50" t="s">
        <v>856</v>
      </c>
      <c r="I227" s="50"/>
      <c r="J227" s="50"/>
      <c r="K227" s="50"/>
      <c r="L227" s="50"/>
      <c r="M227" s="50"/>
      <c r="N227" s="54" t="s">
        <v>43</v>
      </c>
      <c r="O227" s="49">
        <v>1</v>
      </c>
      <c r="P227" s="43">
        <v>48.97</v>
      </c>
      <c r="Q227" s="49">
        <v>1</v>
      </c>
      <c r="R227" s="44">
        <f>P227/O227</f>
        <v>48.97</v>
      </c>
      <c r="S227" s="49">
        <f>Q227*O227</f>
        <v>1</v>
      </c>
      <c r="T227" s="52">
        <f>S227*R227</f>
        <v>48.97</v>
      </c>
      <c r="U227" s="50"/>
      <c r="V227" s="50"/>
      <c r="W227" s="50"/>
      <c r="X227" s="69"/>
      <c r="Y227" s="69"/>
      <c r="Z227" s="69"/>
      <c r="AA227" s="50"/>
      <c r="AB227" s="50"/>
      <c r="AC227" s="50"/>
      <c r="AD227" s="50"/>
      <c r="AE227" s="50"/>
      <c r="AF227" s="50"/>
      <c r="AG227" s="50"/>
      <c r="AH227" s="50"/>
      <c r="AI227" s="50" t="s">
        <v>652</v>
      </c>
      <c r="AJ227" s="50"/>
      <c r="AK227" s="50"/>
      <c r="AL227" s="44"/>
      <c r="AM227" s="45"/>
      <c r="AN227" s="50"/>
      <c r="AO227" s="69"/>
      <c r="AP227" s="69"/>
      <c r="AQ227" s="69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5"/>
      <c r="BD227" s="56"/>
      <c r="BE227" s="61"/>
      <c r="BF227" s="65"/>
      <c r="BG227" s="66"/>
      <c r="BH227" s="66"/>
      <c r="BI227" s="60"/>
      <c r="BJ227" s="60"/>
      <c r="BK227" s="60"/>
      <c r="BL227" s="60"/>
      <c r="BM227" s="60"/>
      <c r="BN227" s="60"/>
      <c r="BO227" s="60"/>
      <c r="BP227" s="60"/>
      <c r="BQ227" s="60" t="str">
        <f>IF(BS227="Original",AI227,AZ227)</f>
        <v>Low Threshold Spend</v>
      </c>
      <c r="BR227" s="60"/>
      <c r="BS227" s="60" t="str">
        <f>IF(AQ227="","Original",IF(AP227&lt;Y227,"Alternate","Original"))</f>
        <v>Original</v>
      </c>
    </row>
    <row r="228" spans="1:71" s="31" customFormat="1" x14ac:dyDescent="0.35">
      <c r="A228" s="53" t="s">
        <v>39</v>
      </c>
      <c r="B228" s="49">
        <v>226</v>
      </c>
      <c r="C228" s="50"/>
      <c r="D228" s="50"/>
      <c r="E228" s="51"/>
      <c r="F228" s="50" t="s">
        <v>40</v>
      </c>
      <c r="G228" s="50" t="s">
        <v>857</v>
      </c>
      <c r="H228" s="50" t="s">
        <v>858</v>
      </c>
      <c r="I228" s="50"/>
      <c r="J228" s="50"/>
      <c r="K228" s="50"/>
      <c r="L228" s="50"/>
      <c r="M228" s="50"/>
      <c r="N228" s="54" t="s">
        <v>43</v>
      </c>
      <c r="O228" s="49">
        <v>1</v>
      </c>
      <c r="P228" s="43">
        <v>48.96</v>
      </c>
      <c r="Q228" s="49">
        <v>1</v>
      </c>
      <c r="R228" s="44">
        <f>P228/O228</f>
        <v>48.96</v>
      </c>
      <c r="S228" s="49">
        <f>Q228*O228</f>
        <v>1</v>
      </c>
      <c r="T228" s="52">
        <f>S228*R228</f>
        <v>48.96</v>
      </c>
      <c r="U228" s="50"/>
      <c r="V228" s="50"/>
      <c r="W228" s="50"/>
      <c r="X228" s="69"/>
      <c r="Y228" s="69"/>
      <c r="Z228" s="69"/>
      <c r="AA228" s="50"/>
      <c r="AB228" s="50"/>
      <c r="AC228" s="50"/>
      <c r="AD228" s="50"/>
      <c r="AE228" s="50"/>
      <c r="AF228" s="50"/>
      <c r="AG228" s="50"/>
      <c r="AH228" s="50"/>
      <c r="AI228" s="50" t="s">
        <v>652</v>
      </c>
      <c r="AJ228" s="50"/>
      <c r="AK228" s="50"/>
      <c r="AL228" s="44"/>
      <c r="AM228" s="45"/>
      <c r="AN228" s="50"/>
      <c r="AO228" s="69"/>
      <c r="AP228" s="69"/>
      <c r="AQ228" s="69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5"/>
      <c r="BD228" s="56"/>
      <c r="BE228" s="61"/>
      <c r="BF228" s="65"/>
      <c r="BG228" s="66"/>
      <c r="BH228" s="66"/>
      <c r="BI228" s="60"/>
      <c r="BJ228" s="60"/>
      <c r="BK228" s="60"/>
      <c r="BL228" s="60"/>
      <c r="BM228" s="60"/>
      <c r="BN228" s="60"/>
      <c r="BO228" s="60"/>
      <c r="BP228" s="60"/>
      <c r="BQ228" s="60" t="str">
        <f>IF(BS228="Original",AI228,AZ228)</f>
        <v>Low Threshold Spend</v>
      </c>
      <c r="BR228" s="60"/>
      <c r="BS228" s="60" t="str">
        <f>IF(AQ228="","Original",IF(AP228&lt;Y228,"Alternate","Original"))</f>
        <v>Original</v>
      </c>
    </row>
    <row r="229" spans="1:71" s="31" customFormat="1" x14ac:dyDescent="0.35">
      <c r="A229" s="53" t="s">
        <v>39</v>
      </c>
      <c r="B229" s="49">
        <v>227</v>
      </c>
      <c r="C229" s="50"/>
      <c r="D229" s="50"/>
      <c r="E229" s="51"/>
      <c r="F229" s="50" t="s">
        <v>40</v>
      </c>
      <c r="G229" s="50" t="s">
        <v>859</v>
      </c>
      <c r="H229" s="50" t="s">
        <v>860</v>
      </c>
      <c r="I229" s="50"/>
      <c r="J229" s="50"/>
      <c r="K229" s="50"/>
      <c r="L229" s="50"/>
      <c r="M229" s="50"/>
      <c r="N229" s="54" t="s">
        <v>43</v>
      </c>
      <c r="O229" s="49">
        <v>1</v>
      </c>
      <c r="P229" s="43">
        <v>48.2</v>
      </c>
      <c r="Q229" s="49">
        <v>1</v>
      </c>
      <c r="R229" s="44">
        <f>P229/O229</f>
        <v>48.2</v>
      </c>
      <c r="S229" s="49">
        <f>Q229*O229</f>
        <v>1</v>
      </c>
      <c r="T229" s="52">
        <f>S229*R229</f>
        <v>48.2</v>
      </c>
      <c r="U229" s="50"/>
      <c r="V229" s="50"/>
      <c r="W229" s="50"/>
      <c r="X229" s="69"/>
      <c r="Y229" s="69"/>
      <c r="Z229" s="69"/>
      <c r="AA229" s="50"/>
      <c r="AB229" s="50"/>
      <c r="AC229" s="50"/>
      <c r="AD229" s="50"/>
      <c r="AE229" s="50"/>
      <c r="AF229" s="50"/>
      <c r="AG229" s="50"/>
      <c r="AH229" s="50"/>
      <c r="AI229" s="50" t="s">
        <v>652</v>
      </c>
      <c r="AJ229" s="50"/>
      <c r="AK229" s="50"/>
      <c r="AL229" s="44"/>
      <c r="AM229" s="45"/>
      <c r="AN229" s="50"/>
      <c r="AO229" s="69"/>
      <c r="AP229" s="69"/>
      <c r="AQ229" s="69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5"/>
      <c r="BD229" s="56"/>
      <c r="BE229" s="61"/>
      <c r="BF229" s="65"/>
      <c r="BG229" s="66"/>
      <c r="BH229" s="66"/>
      <c r="BI229" s="60"/>
      <c r="BJ229" s="60"/>
      <c r="BK229" s="60"/>
      <c r="BL229" s="60"/>
      <c r="BM229" s="60"/>
      <c r="BN229" s="60"/>
      <c r="BO229" s="60"/>
      <c r="BP229" s="60"/>
      <c r="BQ229" s="60" t="str">
        <f>IF(BS229="Original",AI229,AZ229)</f>
        <v>Low Threshold Spend</v>
      </c>
      <c r="BR229" s="60"/>
      <c r="BS229" s="60" t="str">
        <f>IF(AQ229="","Original",IF(AP229&lt;Y229,"Alternate","Original"))</f>
        <v>Original</v>
      </c>
    </row>
    <row r="230" spans="1:71" s="31" customFormat="1" x14ac:dyDescent="0.35">
      <c r="A230" s="53" t="s">
        <v>39</v>
      </c>
      <c r="B230" s="49">
        <v>228</v>
      </c>
      <c r="C230" s="50"/>
      <c r="D230" s="50"/>
      <c r="E230" s="51"/>
      <c r="F230" s="50" t="s">
        <v>60</v>
      </c>
      <c r="G230" s="50" t="s">
        <v>861</v>
      </c>
      <c r="H230" s="50" t="s">
        <v>862</v>
      </c>
      <c r="I230" s="50"/>
      <c r="J230" s="50"/>
      <c r="K230" s="50"/>
      <c r="L230" s="50"/>
      <c r="M230" s="50"/>
      <c r="N230" s="54" t="s">
        <v>43</v>
      </c>
      <c r="O230" s="49">
        <v>1</v>
      </c>
      <c r="P230" s="43">
        <v>47.43</v>
      </c>
      <c r="Q230" s="49">
        <v>1</v>
      </c>
      <c r="R230" s="44">
        <f>P230/O230</f>
        <v>47.43</v>
      </c>
      <c r="S230" s="49">
        <f>Q230*O230</f>
        <v>1</v>
      </c>
      <c r="T230" s="52">
        <f>S230*R230</f>
        <v>47.43</v>
      </c>
      <c r="U230" s="50"/>
      <c r="V230" s="50"/>
      <c r="W230" s="50"/>
      <c r="X230" s="69"/>
      <c r="Y230" s="69"/>
      <c r="Z230" s="69"/>
      <c r="AA230" s="50"/>
      <c r="AB230" s="50"/>
      <c r="AC230" s="50"/>
      <c r="AD230" s="50"/>
      <c r="AE230" s="50"/>
      <c r="AF230" s="50"/>
      <c r="AG230" s="50"/>
      <c r="AH230" s="50"/>
      <c r="AI230" s="50" t="s">
        <v>652</v>
      </c>
      <c r="AJ230" s="50"/>
      <c r="AK230" s="50"/>
      <c r="AL230" s="44"/>
      <c r="AM230" s="45"/>
      <c r="AN230" s="50"/>
      <c r="AO230" s="69"/>
      <c r="AP230" s="69"/>
      <c r="AQ230" s="69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5"/>
      <c r="BD230" s="56"/>
      <c r="BE230" s="61"/>
      <c r="BF230" s="65"/>
      <c r="BG230" s="66"/>
      <c r="BH230" s="66"/>
      <c r="BI230" s="60"/>
      <c r="BJ230" s="60"/>
      <c r="BK230" s="60"/>
      <c r="BL230" s="60"/>
      <c r="BM230" s="60"/>
      <c r="BN230" s="60"/>
      <c r="BO230" s="60"/>
      <c r="BP230" s="60"/>
      <c r="BQ230" s="60" t="str">
        <f>IF(BS230="Original",AI230,AZ230)</f>
        <v>Low Threshold Spend</v>
      </c>
      <c r="BR230" s="60"/>
      <c r="BS230" s="60" t="str">
        <f>IF(AQ230="","Original",IF(AP230&lt;Y230,"Alternate","Original"))</f>
        <v>Original</v>
      </c>
    </row>
    <row r="231" spans="1:71" s="31" customFormat="1" x14ac:dyDescent="0.35">
      <c r="A231" s="53" t="s">
        <v>39</v>
      </c>
      <c r="B231" s="49">
        <v>229</v>
      </c>
      <c r="C231" s="50"/>
      <c r="D231" s="50"/>
      <c r="E231" s="51"/>
      <c r="F231" s="50" t="s">
        <v>40</v>
      </c>
      <c r="G231" s="50" t="s">
        <v>863</v>
      </c>
      <c r="H231" s="50" t="s">
        <v>864</v>
      </c>
      <c r="I231" s="50"/>
      <c r="J231" s="50"/>
      <c r="K231" s="50"/>
      <c r="L231" s="50"/>
      <c r="M231" s="50"/>
      <c r="N231" s="54" t="s">
        <v>43</v>
      </c>
      <c r="O231" s="49">
        <v>1</v>
      </c>
      <c r="P231" s="43">
        <v>46.66</v>
      </c>
      <c r="Q231" s="49">
        <v>1</v>
      </c>
      <c r="R231" s="44">
        <f>P231/O231</f>
        <v>46.66</v>
      </c>
      <c r="S231" s="49">
        <f>Q231*O231</f>
        <v>1</v>
      </c>
      <c r="T231" s="52">
        <f>S231*R231</f>
        <v>46.66</v>
      </c>
      <c r="U231" s="50"/>
      <c r="V231" s="50"/>
      <c r="W231" s="50"/>
      <c r="X231" s="69"/>
      <c r="Y231" s="69"/>
      <c r="Z231" s="69"/>
      <c r="AA231" s="50"/>
      <c r="AB231" s="50"/>
      <c r="AC231" s="50"/>
      <c r="AD231" s="50"/>
      <c r="AE231" s="50"/>
      <c r="AF231" s="50"/>
      <c r="AG231" s="50"/>
      <c r="AH231" s="50"/>
      <c r="AI231" s="50" t="s">
        <v>652</v>
      </c>
      <c r="AJ231" s="50"/>
      <c r="AK231" s="50"/>
      <c r="AL231" s="44"/>
      <c r="AM231" s="45"/>
      <c r="AN231" s="50"/>
      <c r="AO231" s="69"/>
      <c r="AP231" s="69"/>
      <c r="AQ231" s="69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5"/>
      <c r="BD231" s="56"/>
      <c r="BE231" s="61"/>
      <c r="BF231" s="65"/>
      <c r="BG231" s="66"/>
      <c r="BH231" s="66"/>
      <c r="BI231" s="60"/>
      <c r="BJ231" s="60"/>
      <c r="BK231" s="60"/>
      <c r="BL231" s="60"/>
      <c r="BM231" s="60"/>
      <c r="BN231" s="60"/>
      <c r="BO231" s="60"/>
      <c r="BP231" s="60"/>
      <c r="BQ231" s="60" t="str">
        <f>IF(BS231="Original",AI231,AZ231)</f>
        <v>Low Threshold Spend</v>
      </c>
      <c r="BR231" s="60"/>
      <c r="BS231" s="60" t="str">
        <f>IF(AQ231="","Original",IF(AP231&lt;Y231,"Alternate","Original"))</f>
        <v>Original</v>
      </c>
    </row>
    <row r="232" spans="1:71" s="31" customFormat="1" x14ac:dyDescent="0.35">
      <c r="A232" s="53" t="s">
        <v>39</v>
      </c>
      <c r="B232" s="49">
        <v>230</v>
      </c>
      <c r="C232" s="50"/>
      <c r="D232" s="50"/>
      <c r="E232" s="51"/>
      <c r="F232" s="50" t="s">
        <v>40</v>
      </c>
      <c r="G232" s="50" t="s">
        <v>865</v>
      </c>
      <c r="H232" s="50" t="s">
        <v>866</v>
      </c>
      <c r="I232" s="50"/>
      <c r="J232" s="50"/>
      <c r="K232" s="50"/>
      <c r="L232" s="50"/>
      <c r="M232" s="50"/>
      <c r="N232" s="54" t="s">
        <v>43</v>
      </c>
      <c r="O232" s="49">
        <v>1</v>
      </c>
      <c r="P232" s="43">
        <v>46.66</v>
      </c>
      <c r="Q232" s="49">
        <v>1</v>
      </c>
      <c r="R232" s="44">
        <f>P232/O232</f>
        <v>46.66</v>
      </c>
      <c r="S232" s="49">
        <f>Q232*O232</f>
        <v>1</v>
      </c>
      <c r="T232" s="52">
        <f>S232*R232</f>
        <v>46.66</v>
      </c>
      <c r="U232" s="50"/>
      <c r="V232" s="50"/>
      <c r="W232" s="50"/>
      <c r="X232" s="69"/>
      <c r="Y232" s="69"/>
      <c r="Z232" s="69"/>
      <c r="AA232" s="50"/>
      <c r="AB232" s="50"/>
      <c r="AC232" s="50"/>
      <c r="AD232" s="50"/>
      <c r="AE232" s="50"/>
      <c r="AF232" s="50"/>
      <c r="AG232" s="50"/>
      <c r="AH232" s="50"/>
      <c r="AI232" s="50" t="s">
        <v>652</v>
      </c>
      <c r="AJ232" s="50"/>
      <c r="AK232" s="50"/>
      <c r="AL232" s="44"/>
      <c r="AM232" s="45"/>
      <c r="AN232" s="50"/>
      <c r="AO232" s="69"/>
      <c r="AP232" s="69"/>
      <c r="AQ232" s="69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5"/>
      <c r="BD232" s="56"/>
      <c r="BE232" s="61"/>
      <c r="BF232" s="65"/>
      <c r="BG232" s="66"/>
      <c r="BH232" s="66"/>
      <c r="BI232" s="60"/>
      <c r="BJ232" s="60"/>
      <c r="BK232" s="60"/>
      <c r="BL232" s="60"/>
      <c r="BM232" s="60"/>
      <c r="BN232" s="60"/>
      <c r="BO232" s="60"/>
      <c r="BP232" s="60"/>
      <c r="BQ232" s="60" t="str">
        <f>IF(BS232="Original",AI232,AZ232)</f>
        <v>Low Threshold Spend</v>
      </c>
      <c r="BR232" s="60"/>
      <c r="BS232" s="60" t="str">
        <f>IF(AQ232="","Original",IF(AP232&lt;Y232,"Alternate","Original"))</f>
        <v>Original</v>
      </c>
    </row>
    <row r="233" spans="1:71" s="31" customFormat="1" x14ac:dyDescent="0.35">
      <c r="A233" s="53" t="s">
        <v>39</v>
      </c>
      <c r="B233" s="49">
        <v>231</v>
      </c>
      <c r="C233" s="50"/>
      <c r="D233" s="50"/>
      <c r="E233" s="51"/>
      <c r="F233" s="50" t="s">
        <v>60</v>
      </c>
      <c r="G233" s="50" t="s">
        <v>867</v>
      </c>
      <c r="H233" s="50" t="s">
        <v>868</v>
      </c>
      <c r="I233" s="50"/>
      <c r="J233" s="50"/>
      <c r="K233" s="50"/>
      <c r="L233" s="50"/>
      <c r="M233" s="50"/>
      <c r="N233" s="54" t="s">
        <v>43</v>
      </c>
      <c r="O233" s="49">
        <v>1</v>
      </c>
      <c r="P233" s="43">
        <v>46.61</v>
      </c>
      <c r="Q233" s="49">
        <v>1</v>
      </c>
      <c r="R233" s="44">
        <f>P233/O233</f>
        <v>46.61</v>
      </c>
      <c r="S233" s="49">
        <f>Q233*O233</f>
        <v>1</v>
      </c>
      <c r="T233" s="52">
        <f>S233*R233</f>
        <v>46.61</v>
      </c>
      <c r="U233" s="50"/>
      <c r="V233" s="50"/>
      <c r="W233" s="50"/>
      <c r="X233" s="69"/>
      <c r="Y233" s="69"/>
      <c r="Z233" s="69"/>
      <c r="AA233" s="50"/>
      <c r="AB233" s="50"/>
      <c r="AC233" s="50"/>
      <c r="AD233" s="50"/>
      <c r="AE233" s="50"/>
      <c r="AF233" s="50"/>
      <c r="AG233" s="50"/>
      <c r="AH233" s="50"/>
      <c r="AI233" s="50" t="s">
        <v>652</v>
      </c>
      <c r="AJ233" s="50"/>
      <c r="AK233" s="50"/>
      <c r="AL233" s="44"/>
      <c r="AM233" s="45"/>
      <c r="AN233" s="50"/>
      <c r="AO233" s="69"/>
      <c r="AP233" s="69"/>
      <c r="AQ233" s="69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5"/>
      <c r="BD233" s="56"/>
      <c r="BE233" s="61"/>
      <c r="BF233" s="65"/>
      <c r="BG233" s="66"/>
      <c r="BH233" s="66"/>
      <c r="BI233" s="60"/>
      <c r="BJ233" s="60"/>
      <c r="BK233" s="60"/>
      <c r="BL233" s="60"/>
      <c r="BM233" s="60"/>
      <c r="BN233" s="60"/>
      <c r="BO233" s="60"/>
      <c r="BP233" s="60"/>
      <c r="BQ233" s="60" t="str">
        <f>IF(BS233="Original",AI233,AZ233)</f>
        <v>Low Threshold Spend</v>
      </c>
      <c r="BR233" s="60"/>
      <c r="BS233" s="60" t="str">
        <f>IF(AQ233="","Original",IF(AP233&lt;Y233,"Alternate","Original"))</f>
        <v>Original</v>
      </c>
    </row>
    <row r="234" spans="1:71" s="31" customFormat="1" x14ac:dyDescent="0.35">
      <c r="A234" s="53" t="s">
        <v>39</v>
      </c>
      <c r="B234" s="49">
        <v>232</v>
      </c>
      <c r="C234" s="50"/>
      <c r="D234" s="50"/>
      <c r="E234" s="51"/>
      <c r="F234" s="50" t="s">
        <v>60</v>
      </c>
      <c r="G234" s="50" t="s">
        <v>869</v>
      </c>
      <c r="H234" s="50" t="s">
        <v>870</v>
      </c>
      <c r="I234" s="50"/>
      <c r="J234" s="50"/>
      <c r="K234" s="50"/>
      <c r="L234" s="50"/>
      <c r="M234" s="50"/>
      <c r="N234" s="54" t="s">
        <v>43</v>
      </c>
      <c r="O234" s="49">
        <v>1</v>
      </c>
      <c r="P234" s="43">
        <v>46.49</v>
      </c>
      <c r="Q234" s="49">
        <v>1</v>
      </c>
      <c r="R234" s="44">
        <f>P234/O234</f>
        <v>46.49</v>
      </c>
      <c r="S234" s="49">
        <f>Q234*O234</f>
        <v>1</v>
      </c>
      <c r="T234" s="52">
        <f>S234*R234</f>
        <v>46.49</v>
      </c>
      <c r="U234" s="50"/>
      <c r="V234" s="50"/>
      <c r="W234" s="50"/>
      <c r="X234" s="69"/>
      <c r="Y234" s="69"/>
      <c r="Z234" s="69"/>
      <c r="AA234" s="50"/>
      <c r="AB234" s="50"/>
      <c r="AC234" s="50"/>
      <c r="AD234" s="50"/>
      <c r="AE234" s="50"/>
      <c r="AF234" s="50"/>
      <c r="AG234" s="50"/>
      <c r="AH234" s="50"/>
      <c r="AI234" s="50" t="s">
        <v>652</v>
      </c>
      <c r="AJ234" s="50"/>
      <c r="AK234" s="50"/>
      <c r="AL234" s="44"/>
      <c r="AM234" s="45"/>
      <c r="AN234" s="50"/>
      <c r="AO234" s="69"/>
      <c r="AP234" s="69"/>
      <c r="AQ234" s="69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5"/>
      <c r="BD234" s="56"/>
      <c r="BE234" s="61"/>
      <c r="BF234" s="65"/>
      <c r="BG234" s="66"/>
      <c r="BH234" s="66"/>
      <c r="BI234" s="60"/>
      <c r="BJ234" s="60"/>
      <c r="BK234" s="60"/>
      <c r="BL234" s="60"/>
      <c r="BM234" s="60"/>
      <c r="BN234" s="60"/>
      <c r="BO234" s="60"/>
      <c r="BP234" s="60"/>
      <c r="BQ234" s="60" t="str">
        <f>IF(BS234="Original",AI234,AZ234)</f>
        <v>Low Threshold Spend</v>
      </c>
      <c r="BR234" s="60"/>
      <c r="BS234" s="60" t="str">
        <f>IF(AQ234="","Original",IF(AP234&lt;Y234,"Alternate","Original"))</f>
        <v>Original</v>
      </c>
    </row>
    <row r="235" spans="1:71" s="31" customFormat="1" x14ac:dyDescent="0.35">
      <c r="A235" s="53" t="s">
        <v>39</v>
      </c>
      <c r="B235" s="49">
        <v>233</v>
      </c>
      <c r="C235" s="50"/>
      <c r="D235" s="50"/>
      <c r="E235" s="51"/>
      <c r="F235" s="50" t="s">
        <v>40</v>
      </c>
      <c r="G235" s="50" t="s">
        <v>871</v>
      </c>
      <c r="H235" s="50" t="s">
        <v>872</v>
      </c>
      <c r="I235" s="50"/>
      <c r="J235" s="50"/>
      <c r="K235" s="50"/>
      <c r="L235" s="50"/>
      <c r="M235" s="50"/>
      <c r="N235" s="54" t="s">
        <v>43</v>
      </c>
      <c r="O235" s="49">
        <v>1</v>
      </c>
      <c r="P235" s="43">
        <v>46.15</v>
      </c>
      <c r="Q235" s="49">
        <v>1</v>
      </c>
      <c r="R235" s="44">
        <f>P235/O235</f>
        <v>46.15</v>
      </c>
      <c r="S235" s="49">
        <f>Q235*O235</f>
        <v>1</v>
      </c>
      <c r="T235" s="52">
        <f>S235*R235</f>
        <v>46.15</v>
      </c>
      <c r="U235" s="50"/>
      <c r="V235" s="50"/>
      <c r="W235" s="50"/>
      <c r="X235" s="69"/>
      <c r="Y235" s="69"/>
      <c r="Z235" s="69"/>
      <c r="AA235" s="50"/>
      <c r="AB235" s="50"/>
      <c r="AC235" s="50"/>
      <c r="AD235" s="50"/>
      <c r="AE235" s="50"/>
      <c r="AF235" s="50"/>
      <c r="AG235" s="50"/>
      <c r="AH235" s="50"/>
      <c r="AI235" s="50" t="s">
        <v>652</v>
      </c>
      <c r="AJ235" s="50"/>
      <c r="AK235" s="50"/>
      <c r="AL235" s="44"/>
      <c r="AM235" s="45"/>
      <c r="AN235" s="50"/>
      <c r="AO235" s="69"/>
      <c r="AP235" s="69"/>
      <c r="AQ235" s="69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5"/>
      <c r="BD235" s="56"/>
      <c r="BE235" s="61"/>
      <c r="BF235" s="65"/>
      <c r="BG235" s="66"/>
      <c r="BH235" s="66"/>
      <c r="BI235" s="60"/>
      <c r="BJ235" s="60"/>
      <c r="BK235" s="60"/>
      <c r="BL235" s="60"/>
      <c r="BM235" s="60"/>
      <c r="BN235" s="60"/>
      <c r="BO235" s="60"/>
      <c r="BP235" s="60"/>
      <c r="BQ235" s="60" t="str">
        <f>IF(BS235="Original",AI235,AZ235)</f>
        <v>Low Threshold Spend</v>
      </c>
      <c r="BR235" s="60"/>
      <c r="BS235" s="60" t="str">
        <f>IF(AQ235="","Original",IF(AP235&lt;Y235,"Alternate","Original"))</f>
        <v>Original</v>
      </c>
    </row>
    <row r="236" spans="1:71" s="31" customFormat="1" x14ac:dyDescent="0.35">
      <c r="A236" s="53" t="s">
        <v>39</v>
      </c>
      <c r="B236" s="49">
        <v>234</v>
      </c>
      <c r="C236" s="50"/>
      <c r="D236" s="50"/>
      <c r="E236" s="51"/>
      <c r="F236" s="50" t="s">
        <v>40</v>
      </c>
      <c r="G236" s="50" t="s">
        <v>873</v>
      </c>
      <c r="H236" s="50" t="s">
        <v>874</v>
      </c>
      <c r="I236" s="50"/>
      <c r="J236" s="50"/>
      <c r="K236" s="50"/>
      <c r="L236" s="50"/>
      <c r="M236" s="50"/>
      <c r="N236" s="54" t="s">
        <v>43</v>
      </c>
      <c r="O236" s="49">
        <v>1</v>
      </c>
      <c r="P236" s="43">
        <v>46.09</v>
      </c>
      <c r="Q236" s="49">
        <v>1</v>
      </c>
      <c r="R236" s="44">
        <f>P236/O236</f>
        <v>46.09</v>
      </c>
      <c r="S236" s="49">
        <f>Q236*O236</f>
        <v>1</v>
      </c>
      <c r="T236" s="52">
        <f>S236*R236</f>
        <v>46.09</v>
      </c>
      <c r="U236" s="50"/>
      <c r="V236" s="50"/>
      <c r="W236" s="50"/>
      <c r="X236" s="69"/>
      <c r="Y236" s="69"/>
      <c r="Z236" s="69"/>
      <c r="AA236" s="50"/>
      <c r="AB236" s="50"/>
      <c r="AC236" s="50"/>
      <c r="AD236" s="50"/>
      <c r="AE236" s="50"/>
      <c r="AF236" s="50"/>
      <c r="AG236" s="50"/>
      <c r="AH236" s="50"/>
      <c r="AI236" s="50" t="s">
        <v>652</v>
      </c>
      <c r="AJ236" s="50"/>
      <c r="AK236" s="50"/>
      <c r="AL236" s="44"/>
      <c r="AM236" s="45"/>
      <c r="AN236" s="50"/>
      <c r="AO236" s="69"/>
      <c r="AP236" s="69"/>
      <c r="AQ236" s="69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5"/>
      <c r="BD236" s="56"/>
      <c r="BE236" s="61"/>
      <c r="BF236" s="65"/>
      <c r="BG236" s="66"/>
      <c r="BH236" s="66"/>
      <c r="BI236" s="60"/>
      <c r="BJ236" s="60"/>
      <c r="BK236" s="60"/>
      <c r="BL236" s="60"/>
      <c r="BM236" s="60"/>
      <c r="BN236" s="60"/>
      <c r="BO236" s="60"/>
      <c r="BP236" s="60"/>
      <c r="BQ236" s="60" t="str">
        <f>IF(BS236="Original",AI236,AZ236)</f>
        <v>Low Threshold Spend</v>
      </c>
      <c r="BR236" s="60"/>
      <c r="BS236" s="60" t="str">
        <f>IF(AQ236="","Original",IF(AP236&lt;Y236,"Alternate","Original"))</f>
        <v>Original</v>
      </c>
    </row>
    <row r="237" spans="1:71" s="31" customFormat="1" x14ac:dyDescent="0.35">
      <c r="A237" s="53" t="s">
        <v>39</v>
      </c>
      <c r="B237" s="49">
        <v>235</v>
      </c>
      <c r="C237" s="50"/>
      <c r="D237" s="50"/>
      <c r="E237" s="51"/>
      <c r="F237" s="50" t="s">
        <v>49</v>
      </c>
      <c r="G237" s="50" t="s">
        <v>875</v>
      </c>
      <c r="H237" s="50" t="s">
        <v>876</v>
      </c>
      <c r="I237" s="50"/>
      <c r="J237" s="50"/>
      <c r="K237" s="50"/>
      <c r="L237" s="50"/>
      <c r="M237" s="50"/>
      <c r="N237" s="54" t="s">
        <v>43</v>
      </c>
      <c r="O237" s="49">
        <v>1</v>
      </c>
      <c r="P237" s="43">
        <v>46.09</v>
      </c>
      <c r="Q237" s="49">
        <v>1</v>
      </c>
      <c r="R237" s="44">
        <f>P237/O237</f>
        <v>46.09</v>
      </c>
      <c r="S237" s="49">
        <f>Q237*O237</f>
        <v>1</v>
      </c>
      <c r="T237" s="52">
        <f>S237*R237</f>
        <v>46.09</v>
      </c>
      <c r="U237" s="50"/>
      <c r="V237" s="50"/>
      <c r="W237" s="50"/>
      <c r="X237" s="69"/>
      <c r="Y237" s="69"/>
      <c r="Z237" s="69"/>
      <c r="AA237" s="50"/>
      <c r="AB237" s="50"/>
      <c r="AC237" s="50"/>
      <c r="AD237" s="50"/>
      <c r="AE237" s="50"/>
      <c r="AF237" s="50"/>
      <c r="AG237" s="50"/>
      <c r="AH237" s="50"/>
      <c r="AI237" s="50" t="s">
        <v>652</v>
      </c>
      <c r="AJ237" s="50"/>
      <c r="AK237" s="50"/>
      <c r="AL237" s="44"/>
      <c r="AM237" s="45"/>
      <c r="AN237" s="50"/>
      <c r="AO237" s="69"/>
      <c r="AP237" s="69"/>
      <c r="AQ237" s="69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5"/>
      <c r="BD237" s="56"/>
      <c r="BE237" s="61"/>
      <c r="BF237" s="65"/>
      <c r="BG237" s="66"/>
      <c r="BH237" s="66"/>
      <c r="BI237" s="60"/>
      <c r="BJ237" s="60"/>
      <c r="BK237" s="60"/>
      <c r="BL237" s="60"/>
      <c r="BM237" s="60"/>
      <c r="BN237" s="60"/>
      <c r="BO237" s="60"/>
      <c r="BP237" s="60"/>
      <c r="BQ237" s="60" t="str">
        <f>IF(BS237="Original",AI237,AZ237)</f>
        <v>Low Threshold Spend</v>
      </c>
      <c r="BR237" s="60"/>
      <c r="BS237" s="60" t="str">
        <f>IF(AQ237="","Original",IF(AP237&lt;Y237,"Alternate","Original"))</f>
        <v>Original</v>
      </c>
    </row>
    <row r="238" spans="1:71" s="31" customFormat="1" x14ac:dyDescent="0.35">
      <c r="A238" s="53" t="s">
        <v>39</v>
      </c>
      <c r="B238" s="49">
        <v>236</v>
      </c>
      <c r="C238" s="50"/>
      <c r="D238" s="50"/>
      <c r="E238" s="51"/>
      <c r="F238" s="50" t="s">
        <v>60</v>
      </c>
      <c r="G238" s="50" t="s">
        <v>877</v>
      </c>
      <c r="H238" s="50" t="s">
        <v>878</v>
      </c>
      <c r="I238" s="50"/>
      <c r="J238" s="50"/>
      <c r="K238" s="50"/>
      <c r="L238" s="50"/>
      <c r="M238" s="50"/>
      <c r="N238" s="54" t="s">
        <v>43</v>
      </c>
      <c r="O238" s="49">
        <v>1</v>
      </c>
      <c r="P238" s="43">
        <v>45.57</v>
      </c>
      <c r="Q238" s="49">
        <v>1</v>
      </c>
      <c r="R238" s="44">
        <f>P238/O238</f>
        <v>45.57</v>
      </c>
      <c r="S238" s="49">
        <f>Q238*O238</f>
        <v>1</v>
      </c>
      <c r="T238" s="52">
        <f>S238*R238</f>
        <v>45.57</v>
      </c>
      <c r="U238" s="50"/>
      <c r="V238" s="50"/>
      <c r="W238" s="50"/>
      <c r="X238" s="69"/>
      <c r="Y238" s="69"/>
      <c r="Z238" s="69"/>
      <c r="AA238" s="50"/>
      <c r="AB238" s="50"/>
      <c r="AC238" s="50"/>
      <c r="AD238" s="50"/>
      <c r="AE238" s="50"/>
      <c r="AF238" s="50"/>
      <c r="AG238" s="50"/>
      <c r="AH238" s="50"/>
      <c r="AI238" s="50" t="s">
        <v>652</v>
      </c>
      <c r="AJ238" s="50"/>
      <c r="AK238" s="50"/>
      <c r="AL238" s="44"/>
      <c r="AM238" s="45"/>
      <c r="AN238" s="50"/>
      <c r="AO238" s="69"/>
      <c r="AP238" s="69"/>
      <c r="AQ238" s="69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5"/>
      <c r="BD238" s="56"/>
      <c r="BE238" s="61"/>
      <c r="BF238" s="65"/>
      <c r="BG238" s="66"/>
      <c r="BH238" s="66"/>
      <c r="BI238" s="60"/>
      <c r="BJ238" s="60"/>
      <c r="BK238" s="60"/>
      <c r="BL238" s="60"/>
      <c r="BM238" s="60"/>
      <c r="BN238" s="60"/>
      <c r="BO238" s="60"/>
      <c r="BP238" s="60"/>
      <c r="BQ238" s="60" t="str">
        <f>IF(BS238="Original",AI238,AZ238)</f>
        <v>Low Threshold Spend</v>
      </c>
      <c r="BR238" s="60"/>
      <c r="BS238" s="60" t="str">
        <f>IF(AQ238="","Original",IF(AP238&lt;Y238,"Alternate","Original"))</f>
        <v>Original</v>
      </c>
    </row>
    <row r="239" spans="1:71" s="31" customFormat="1" x14ac:dyDescent="0.35">
      <c r="A239" s="53" t="s">
        <v>39</v>
      </c>
      <c r="B239" s="49">
        <v>237</v>
      </c>
      <c r="C239" s="50"/>
      <c r="D239" s="50"/>
      <c r="E239" s="51"/>
      <c r="F239" s="50" t="s">
        <v>40</v>
      </c>
      <c r="G239" s="50" t="s">
        <v>879</v>
      </c>
      <c r="H239" s="50" t="s">
        <v>880</v>
      </c>
      <c r="I239" s="50"/>
      <c r="J239" s="50"/>
      <c r="K239" s="50"/>
      <c r="L239" s="50"/>
      <c r="M239" s="50"/>
      <c r="N239" s="54" t="s">
        <v>43</v>
      </c>
      <c r="O239" s="49">
        <v>1</v>
      </c>
      <c r="P239" s="43">
        <v>45.43</v>
      </c>
      <c r="Q239" s="49">
        <v>1</v>
      </c>
      <c r="R239" s="44">
        <f>P239/O239</f>
        <v>45.43</v>
      </c>
      <c r="S239" s="49">
        <f>Q239*O239</f>
        <v>1</v>
      </c>
      <c r="T239" s="52">
        <f>S239*R239</f>
        <v>45.43</v>
      </c>
      <c r="U239" s="50"/>
      <c r="V239" s="50"/>
      <c r="W239" s="50"/>
      <c r="X239" s="69"/>
      <c r="Y239" s="69"/>
      <c r="Z239" s="69"/>
      <c r="AA239" s="50"/>
      <c r="AB239" s="50"/>
      <c r="AC239" s="50"/>
      <c r="AD239" s="50"/>
      <c r="AE239" s="50"/>
      <c r="AF239" s="50"/>
      <c r="AG239" s="50"/>
      <c r="AH239" s="50"/>
      <c r="AI239" s="50" t="s">
        <v>652</v>
      </c>
      <c r="AJ239" s="50"/>
      <c r="AK239" s="50"/>
      <c r="AL239" s="44"/>
      <c r="AM239" s="45"/>
      <c r="AN239" s="50"/>
      <c r="AO239" s="69"/>
      <c r="AP239" s="69"/>
      <c r="AQ239" s="69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5"/>
      <c r="BD239" s="56"/>
      <c r="BE239" s="61"/>
      <c r="BF239" s="65"/>
      <c r="BG239" s="66"/>
      <c r="BH239" s="66"/>
      <c r="BI239" s="60"/>
      <c r="BJ239" s="60"/>
      <c r="BK239" s="60"/>
      <c r="BL239" s="60"/>
      <c r="BM239" s="60"/>
      <c r="BN239" s="60"/>
      <c r="BO239" s="60"/>
      <c r="BP239" s="60"/>
      <c r="BQ239" s="60" t="str">
        <f>IF(BS239="Original",AI239,AZ239)</f>
        <v>Low Threshold Spend</v>
      </c>
      <c r="BR239" s="60"/>
      <c r="BS239" s="60" t="str">
        <f>IF(AQ239="","Original",IF(AP239&lt;Y239,"Alternate","Original"))</f>
        <v>Original</v>
      </c>
    </row>
    <row r="240" spans="1:71" s="31" customFormat="1" x14ac:dyDescent="0.35">
      <c r="A240" s="53" t="s">
        <v>39</v>
      </c>
      <c r="B240" s="49">
        <v>238</v>
      </c>
      <c r="C240" s="50"/>
      <c r="D240" s="50"/>
      <c r="E240" s="51"/>
      <c r="F240" s="50" t="s">
        <v>40</v>
      </c>
      <c r="G240" s="50" t="s">
        <v>881</v>
      </c>
      <c r="H240" s="50" t="s">
        <v>882</v>
      </c>
      <c r="I240" s="50"/>
      <c r="J240" s="50"/>
      <c r="K240" s="50"/>
      <c r="L240" s="50"/>
      <c r="M240" s="50"/>
      <c r="N240" s="54" t="s">
        <v>43</v>
      </c>
      <c r="O240" s="49">
        <v>1</v>
      </c>
      <c r="P240" s="43">
        <v>45.36</v>
      </c>
      <c r="Q240" s="49">
        <v>1</v>
      </c>
      <c r="R240" s="44">
        <f>P240/O240</f>
        <v>45.36</v>
      </c>
      <c r="S240" s="49">
        <f>Q240*O240</f>
        <v>1</v>
      </c>
      <c r="T240" s="52">
        <f>S240*R240</f>
        <v>45.36</v>
      </c>
      <c r="U240" s="50"/>
      <c r="V240" s="50"/>
      <c r="W240" s="50"/>
      <c r="X240" s="69"/>
      <c r="Y240" s="69"/>
      <c r="Z240" s="69"/>
      <c r="AA240" s="50"/>
      <c r="AB240" s="50"/>
      <c r="AC240" s="50"/>
      <c r="AD240" s="50"/>
      <c r="AE240" s="50"/>
      <c r="AF240" s="50"/>
      <c r="AG240" s="50"/>
      <c r="AH240" s="50"/>
      <c r="AI240" s="50" t="s">
        <v>652</v>
      </c>
      <c r="AJ240" s="50"/>
      <c r="AK240" s="50"/>
      <c r="AL240" s="44"/>
      <c r="AM240" s="45"/>
      <c r="AN240" s="50"/>
      <c r="AO240" s="69"/>
      <c r="AP240" s="69"/>
      <c r="AQ240" s="69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5"/>
      <c r="BD240" s="56"/>
      <c r="BE240" s="61"/>
      <c r="BF240" s="65"/>
      <c r="BG240" s="66"/>
      <c r="BH240" s="66"/>
      <c r="BI240" s="60"/>
      <c r="BJ240" s="60"/>
      <c r="BK240" s="60"/>
      <c r="BL240" s="60"/>
      <c r="BM240" s="60"/>
      <c r="BN240" s="60"/>
      <c r="BO240" s="60"/>
      <c r="BP240" s="60"/>
      <c r="BQ240" s="60" t="str">
        <f>IF(BS240="Original",AI240,AZ240)</f>
        <v>Low Threshold Spend</v>
      </c>
      <c r="BR240" s="60"/>
      <c r="BS240" s="60" t="str">
        <f>IF(AQ240="","Original",IF(AP240&lt;Y240,"Alternate","Original"))</f>
        <v>Original</v>
      </c>
    </row>
    <row r="241" spans="1:71" s="31" customFormat="1" x14ac:dyDescent="0.35">
      <c r="A241" s="53" t="s">
        <v>39</v>
      </c>
      <c r="B241" s="49">
        <v>239</v>
      </c>
      <c r="C241" s="50"/>
      <c r="D241" s="50"/>
      <c r="E241" s="51"/>
      <c r="F241" s="50" t="s">
        <v>40</v>
      </c>
      <c r="G241" s="50" t="s">
        <v>883</v>
      </c>
      <c r="H241" s="50" t="s">
        <v>884</v>
      </c>
      <c r="I241" s="50"/>
      <c r="J241" s="50"/>
      <c r="K241" s="50"/>
      <c r="L241" s="50"/>
      <c r="M241" s="50"/>
      <c r="N241" s="54" t="s">
        <v>43</v>
      </c>
      <c r="O241" s="49">
        <v>1</v>
      </c>
      <c r="P241" s="43">
        <v>44.74</v>
      </c>
      <c r="Q241" s="49">
        <v>1</v>
      </c>
      <c r="R241" s="44">
        <f>P241/O241</f>
        <v>44.74</v>
      </c>
      <c r="S241" s="49">
        <f>Q241*O241</f>
        <v>1</v>
      </c>
      <c r="T241" s="52">
        <f>S241*R241</f>
        <v>44.74</v>
      </c>
      <c r="U241" s="50"/>
      <c r="V241" s="50"/>
      <c r="W241" s="50"/>
      <c r="X241" s="69"/>
      <c r="Y241" s="69"/>
      <c r="Z241" s="69"/>
      <c r="AA241" s="50"/>
      <c r="AB241" s="50"/>
      <c r="AC241" s="50"/>
      <c r="AD241" s="50"/>
      <c r="AE241" s="50"/>
      <c r="AF241" s="50"/>
      <c r="AG241" s="50"/>
      <c r="AH241" s="50"/>
      <c r="AI241" s="50" t="s">
        <v>652</v>
      </c>
      <c r="AJ241" s="50"/>
      <c r="AK241" s="50"/>
      <c r="AL241" s="44"/>
      <c r="AM241" s="45"/>
      <c r="AN241" s="50"/>
      <c r="AO241" s="69"/>
      <c r="AP241" s="69"/>
      <c r="AQ241" s="69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5"/>
      <c r="BD241" s="56"/>
      <c r="BE241" s="61"/>
      <c r="BF241" s="65"/>
      <c r="BG241" s="66"/>
      <c r="BH241" s="66"/>
      <c r="BI241" s="60"/>
      <c r="BJ241" s="60"/>
      <c r="BK241" s="60"/>
      <c r="BL241" s="60"/>
      <c r="BM241" s="60"/>
      <c r="BN241" s="60"/>
      <c r="BO241" s="60"/>
      <c r="BP241" s="60"/>
      <c r="BQ241" s="60" t="str">
        <f>IF(BS241="Original",AI241,AZ241)</f>
        <v>Low Threshold Spend</v>
      </c>
      <c r="BR241" s="60"/>
      <c r="BS241" s="60" t="str">
        <f>IF(AQ241="","Original",IF(AP241&lt;Y241,"Alternate","Original"))</f>
        <v>Original</v>
      </c>
    </row>
    <row r="242" spans="1:71" s="31" customFormat="1" x14ac:dyDescent="0.35">
      <c r="A242" s="53" t="s">
        <v>39</v>
      </c>
      <c r="B242" s="49">
        <v>240</v>
      </c>
      <c r="C242" s="50"/>
      <c r="D242" s="50"/>
      <c r="E242" s="51"/>
      <c r="F242" s="50" t="s">
        <v>60</v>
      </c>
      <c r="G242" s="50" t="s">
        <v>885</v>
      </c>
      <c r="H242" s="50" t="s">
        <v>886</v>
      </c>
      <c r="I242" s="50"/>
      <c r="J242" s="50"/>
      <c r="K242" s="50"/>
      <c r="L242" s="50"/>
      <c r="M242" s="50"/>
      <c r="N242" s="54" t="s">
        <v>43</v>
      </c>
      <c r="O242" s="49">
        <v>1</v>
      </c>
      <c r="P242" s="43">
        <v>44.65</v>
      </c>
      <c r="Q242" s="49">
        <v>1</v>
      </c>
      <c r="R242" s="44">
        <f>P242/O242</f>
        <v>44.65</v>
      </c>
      <c r="S242" s="49">
        <f>Q242*O242</f>
        <v>1</v>
      </c>
      <c r="T242" s="52">
        <f>S242*R242</f>
        <v>44.65</v>
      </c>
      <c r="U242" s="50"/>
      <c r="V242" s="50"/>
      <c r="W242" s="50"/>
      <c r="X242" s="69"/>
      <c r="Y242" s="69"/>
      <c r="Z242" s="69"/>
      <c r="AA242" s="50"/>
      <c r="AB242" s="50"/>
      <c r="AC242" s="50"/>
      <c r="AD242" s="50"/>
      <c r="AE242" s="50"/>
      <c r="AF242" s="50"/>
      <c r="AG242" s="50"/>
      <c r="AH242" s="50"/>
      <c r="AI242" s="50" t="s">
        <v>652</v>
      </c>
      <c r="AJ242" s="50"/>
      <c r="AK242" s="50"/>
      <c r="AL242" s="44"/>
      <c r="AM242" s="45"/>
      <c r="AN242" s="50"/>
      <c r="AO242" s="69"/>
      <c r="AP242" s="69"/>
      <c r="AQ242" s="69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5"/>
      <c r="BD242" s="56"/>
      <c r="BE242" s="61"/>
      <c r="BF242" s="65"/>
      <c r="BG242" s="66"/>
      <c r="BH242" s="66"/>
      <c r="BI242" s="60"/>
      <c r="BJ242" s="60"/>
      <c r="BK242" s="60"/>
      <c r="BL242" s="60"/>
      <c r="BM242" s="60"/>
      <c r="BN242" s="60"/>
      <c r="BO242" s="60"/>
      <c r="BP242" s="60"/>
      <c r="BQ242" s="60" t="str">
        <f>IF(BS242="Original",AI242,AZ242)</f>
        <v>Low Threshold Spend</v>
      </c>
      <c r="BR242" s="60"/>
      <c r="BS242" s="60" t="str">
        <f>IF(AQ242="","Original",IF(AP242&lt;Y242,"Alternate","Original"))</f>
        <v>Original</v>
      </c>
    </row>
    <row r="243" spans="1:71" s="31" customFormat="1" x14ac:dyDescent="0.35">
      <c r="A243" s="53" t="s">
        <v>39</v>
      </c>
      <c r="B243" s="49">
        <v>241</v>
      </c>
      <c r="C243" s="50"/>
      <c r="D243" s="50"/>
      <c r="E243" s="51"/>
      <c r="F243" s="50" t="s">
        <v>49</v>
      </c>
      <c r="G243" s="50" t="s">
        <v>887</v>
      </c>
      <c r="H243" s="50" t="s">
        <v>888</v>
      </c>
      <c r="I243" s="50"/>
      <c r="J243" s="50"/>
      <c r="K243" s="50"/>
      <c r="L243" s="50"/>
      <c r="M243" s="50"/>
      <c r="N243" s="54" t="s">
        <v>43</v>
      </c>
      <c r="O243" s="49">
        <v>1</v>
      </c>
      <c r="P243" s="43">
        <v>44.47</v>
      </c>
      <c r="Q243" s="49">
        <v>1</v>
      </c>
      <c r="R243" s="44">
        <f>P243/O243</f>
        <v>44.47</v>
      </c>
      <c r="S243" s="49">
        <f>Q243*O243</f>
        <v>1</v>
      </c>
      <c r="T243" s="52">
        <f>S243*R243</f>
        <v>44.47</v>
      </c>
      <c r="U243" s="50"/>
      <c r="V243" s="50"/>
      <c r="W243" s="50"/>
      <c r="X243" s="69"/>
      <c r="Y243" s="69"/>
      <c r="Z243" s="69"/>
      <c r="AA243" s="50"/>
      <c r="AB243" s="50"/>
      <c r="AC243" s="50"/>
      <c r="AD243" s="50"/>
      <c r="AE243" s="50"/>
      <c r="AF243" s="50"/>
      <c r="AG243" s="50"/>
      <c r="AH243" s="50"/>
      <c r="AI243" s="50" t="s">
        <v>652</v>
      </c>
      <c r="AJ243" s="50"/>
      <c r="AK243" s="50"/>
      <c r="AL243" s="44"/>
      <c r="AM243" s="45"/>
      <c r="AN243" s="50"/>
      <c r="AO243" s="69"/>
      <c r="AP243" s="69"/>
      <c r="AQ243" s="69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5"/>
      <c r="BD243" s="56"/>
      <c r="BE243" s="61"/>
      <c r="BF243" s="65"/>
      <c r="BG243" s="66"/>
      <c r="BH243" s="66"/>
      <c r="BI243" s="60"/>
      <c r="BJ243" s="60"/>
      <c r="BK243" s="60"/>
      <c r="BL243" s="60"/>
      <c r="BM243" s="60"/>
      <c r="BN243" s="60"/>
      <c r="BO243" s="60"/>
      <c r="BP243" s="60"/>
      <c r="BQ243" s="60" t="str">
        <f>IF(BS243="Original",AI243,AZ243)</f>
        <v>Low Threshold Spend</v>
      </c>
      <c r="BR243" s="60"/>
      <c r="BS243" s="60" t="str">
        <f>IF(AQ243="","Original",IF(AP243&lt;Y243,"Alternate","Original"))</f>
        <v>Original</v>
      </c>
    </row>
    <row r="244" spans="1:71" s="31" customFormat="1" x14ac:dyDescent="0.35">
      <c r="A244" s="53" t="s">
        <v>39</v>
      </c>
      <c r="B244" s="49">
        <v>242</v>
      </c>
      <c r="C244" s="50"/>
      <c r="D244" s="50"/>
      <c r="E244" s="51"/>
      <c r="F244" s="50" t="s">
        <v>49</v>
      </c>
      <c r="G244" s="50" t="s">
        <v>889</v>
      </c>
      <c r="H244" s="50" t="s">
        <v>890</v>
      </c>
      <c r="I244" s="50"/>
      <c r="J244" s="50"/>
      <c r="K244" s="50"/>
      <c r="L244" s="50"/>
      <c r="M244" s="50"/>
      <c r="N244" s="54" t="s">
        <v>43</v>
      </c>
      <c r="O244" s="49">
        <v>1</v>
      </c>
      <c r="P244" s="43">
        <v>44.26</v>
      </c>
      <c r="Q244" s="49">
        <v>1</v>
      </c>
      <c r="R244" s="44">
        <f>P244/O244</f>
        <v>44.26</v>
      </c>
      <c r="S244" s="49">
        <f>Q244*O244</f>
        <v>1</v>
      </c>
      <c r="T244" s="52">
        <f>S244*R244</f>
        <v>44.26</v>
      </c>
      <c r="U244" s="50"/>
      <c r="V244" s="50"/>
      <c r="W244" s="50"/>
      <c r="X244" s="69"/>
      <c r="Y244" s="69"/>
      <c r="Z244" s="69"/>
      <c r="AA244" s="50"/>
      <c r="AB244" s="50"/>
      <c r="AC244" s="50"/>
      <c r="AD244" s="50"/>
      <c r="AE244" s="50"/>
      <c r="AF244" s="50"/>
      <c r="AG244" s="50"/>
      <c r="AH244" s="50"/>
      <c r="AI244" s="50" t="s">
        <v>652</v>
      </c>
      <c r="AJ244" s="50"/>
      <c r="AK244" s="50"/>
      <c r="AL244" s="44"/>
      <c r="AM244" s="45"/>
      <c r="AN244" s="50"/>
      <c r="AO244" s="69"/>
      <c r="AP244" s="69"/>
      <c r="AQ244" s="69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5"/>
      <c r="BD244" s="56"/>
      <c r="BE244" s="61"/>
      <c r="BF244" s="65"/>
      <c r="BG244" s="66"/>
      <c r="BH244" s="66"/>
      <c r="BI244" s="60"/>
      <c r="BJ244" s="60"/>
      <c r="BK244" s="60"/>
      <c r="BL244" s="60"/>
      <c r="BM244" s="60"/>
      <c r="BN244" s="60"/>
      <c r="BO244" s="60"/>
      <c r="BP244" s="60"/>
      <c r="BQ244" s="60" t="str">
        <f>IF(BS244="Original",AI244,AZ244)</f>
        <v>Low Threshold Spend</v>
      </c>
      <c r="BR244" s="60"/>
      <c r="BS244" s="60" t="str">
        <f>IF(AQ244="","Original",IF(AP244&lt;Y244,"Alternate","Original"))</f>
        <v>Original</v>
      </c>
    </row>
    <row r="245" spans="1:71" s="31" customFormat="1" x14ac:dyDescent="0.35">
      <c r="A245" s="53" t="s">
        <v>39</v>
      </c>
      <c r="B245" s="49">
        <v>243</v>
      </c>
      <c r="C245" s="50"/>
      <c r="D245" s="50"/>
      <c r="E245" s="51"/>
      <c r="F245" s="50" t="s">
        <v>40</v>
      </c>
      <c r="G245" s="50" t="s">
        <v>891</v>
      </c>
      <c r="H245" s="50" t="s">
        <v>892</v>
      </c>
      <c r="I245" s="50"/>
      <c r="J245" s="50"/>
      <c r="K245" s="50"/>
      <c r="L245" s="50"/>
      <c r="M245" s="50"/>
      <c r="N245" s="54" t="s">
        <v>43</v>
      </c>
      <c r="O245" s="49">
        <v>1</v>
      </c>
      <c r="P245" s="43">
        <v>44.23</v>
      </c>
      <c r="Q245" s="49">
        <v>1</v>
      </c>
      <c r="R245" s="44">
        <f>P245/O245</f>
        <v>44.23</v>
      </c>
      <c r="S245" s="49">
        <f>Q245*O245</f>
        <v>1</v>
      </c>
      <c r="T245" s="52">
        <f>S245*R245</f>
        <v>44.23</v>
      </c>
      <c r="U245" s="50"/>
      <c r="V245" s="50"/>
      <c r="W245" s="50"/>
      <c r="X245" s="69"/>
      <c r="Y245" s="69"/>
      <c r="Z245" s="69"/>
      <c r="AA245" s="50"/>
      <c r="AB245" s="50"/>
      <c r="AC245" s="50"/>
      <c r="AD245" s="50"/>
      <c r="AE245" s="50"/>
      <c r="AF245" s="50"/>
      <c r="AG245" s="50"/>
      <c r="AH245" s="50"/>
      <c r="AI245" s="50" t="s">
        <v>652</v>
      </c>
      <c r="AJ245" s="50"/>
      <c r="AK245" s="50"/>
      <c r="AL245" s="44"/>
      <c r="AM245" s="45"/>
      <c r="AN245" s="50"/>
      <c r="AO245" s="69"/>
      <c r="AP245" s="69"/>
      <c r="AQ245" s="69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5"/>
      <c r="BD245" s="56"/>
      <c r="BE245" s="61"/>
      <c r="BF245" s="65"/>
      <c r="BG245" s="66"/>
      <c r="BH245" s="66"/>
      <c r="BI245" s="60"/>
      <c r="BJ245" s="60"/>
      <c r="BK245" s="60"/>
      <c r="BL245" s="60"/>
      <c r="BM245" s="60"/>
      <c r="BN245" s="60"/>
      <c r="BO245" s="60"/>
      <c r="BP245" s="60"/>
      <c r="BQ245" s="60" t="str">
        <f>IF(BS245="Original",AI245,AZ245)</f>
        <v>Low Threshold Spend</v>
      </c>
      <c r="BR245" s="60"/>
      <c r="BS245" s="60" t="str">
        <f>IF(AQ245="","Original",IF(AP245&lt;Y245,"Alternate","Original"))</f>
        <v>Original</v>
      </c>
    </row>
    <row r="246" spans="1:71" s="31" customFormat="1" x14ac:dyDescent="0.35">
      <c r="A246" s="53" t="s">
        <v>39</v>
      </c>
      <c r="B246" s="49">
        <v>244</v>
      </c>
      <c r="C246" s="50"/>
      <c r="D246" s="50"/>
      <c r="E246" s="51"/>
      <c r="F246" s="50" t="s">
        <v>49</v>
      </c>
      <c r="G246" s="50" t="s">
        <v>893</v>
      </c>
      <c r="H246" s="50" t="s">
        <v>894</v>
      </c>
      <c r="I246" s="50"/>
      <c r="J246" s="50"/>
      <c r="K246" s="50"/>
      <c r="L246" s="50"/>
      <c r="M246" s="50"/>
      <c r="N246" s="54" t="s">
        <v>43</v>
      </c>
      <c r="O246" s="49">
        <v>1</v>
      </c>
      <c r="P246" s="43">
        <v>44.01</v>
      </c>
      <c r="Q246" s="49">
        <v>1</v>
      </c>
      <c r="R246" s="44">
        <f>P246/O246</f>
        <v>44.01</v>
      </c>
      <c r="S246" s="49">
        <f>Q246*O246</f>
        <v>1</v>
      </c>
      <c r="T246" s="52">
        <f>S246*R246</f>
        <v>44.01</v>
      </c>
      <c r="U246" s="50"/>
      <c r="V246" s="50"/>
      <c r="W246" s="50"/>
      <c r="X246" s="69"/>
      <c r="Y246" s="69"/>
      <c r="Z246" s="69"/>
      <c r="AA246" s="50"/>
      <c r="AB246" s="50"/>
      <c r="AC246" s="50"/>
      <c r="AD246" s="50"/>
      <c r="AE246" s="50"/>
      <c r="AF246" s="50"/>
      <c r="AG246" s="50"/>
      <c r="AH246" s="50"/>
      <c r="AI246" s="50" t="s">
        <v>652</v>
      </c>
      <c r="AJ246" s="50"/>
      <c r="AK246" s="50"/>
      <c r="AL246" s="44"/>
      <c r="AM246" s="45"/>
      <c r="AN246" s="50"/>
      <c r="AO246" s="69"/>
      <c r="AP246" s="69"/>
      <c r="AQ246" s="69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5"/>
      <c r="BD246" s="56"/>
      <c r="BE246" s="61"/>
      <c r="BF246" s="65"/>
      <c r="BG246" s="66"/>
      <c r="BH246" s="66"/>
      <c r="BI246" s="60"/>
      <c r="BJ246" s="60"/>
      <c r="BK246" s="60"/>
      <c r="BL246" s="60"/>
      <c r="BM246" s="60"/>
      <c r="BN246" s="60"/>
      <c r="BO246" s="60"/>
      <c r="BP246" s="60"/>
      <c r="BQ246" s="60" t="str">
        <f>IF(BS246="Original",AI246,AZ246)</f>
        <v>Low Threshold Spend</v>
      </c>
      <c r="BR246" s="60"/>
      <c r="BS246" s="60" t="str">
        <f>IF(AQ246="","Original",IF(AP246&lt;Y246,"Alternate","Original"))</f>
        <v>Original</v>
      </c>
    </row>
    <row r="247" spans="1:71" s="31" customFormat="1" x14ac:dyDescent="0.35">
      <c r="A247" s="53" t="s">
        <v>39</v>
      </c>
      <c r="B247" s="49">
        <v>245</v>
      </c>
      <c r="C247" s="50"/>
      <c r="D247" s="50"/>
      <c r="E247" s="51"/>
      <c r="F247" s="50" t="s">
        <v>49</v>
      </c>
      <c r="G247" s="50" t="s">
        <v>895</v>
      </c>
      <c r="H247" s="50" t="s">
        <v>896</v>
      </c>
      <c r="I247" s="50"/>
      <c r="J247" s="50"/>
      <c r="K247" s="50"/>
      <c r="L247" s="50"/>
      <c r="M247" s="50"/>
      <c r="N247" s="54" t="s">
        <v>43</v>
      </c>
      <c r="O247" s="49">
        <v>1</v>
      </c>
      <c r="P247" s="43">
        <v>43.88</v>
      </c>
      <c r="Q247" s="49">
        <v>1</v>
      </c>
      <c r="R247" s="44">
        <f>P247/O247</f>
        <v>43.88</v>
      </c>
      <c r="S247" s="49">
        <f>Q247*O247</f>
        <v>1</v>
      </c>
      <c r="T247" s="52">
        <f>S247*R247</f>
        <v>43.88</v>
      </c>
      <c r="U247" s="50"/>
      <c r="V247" s="50"/>
      <c r="W247" s="50"/>
      <c r="X247" s="69"/>
      <c r="Y247" s="69"/>
      <c r="Z247" s="69"/>
      <c r="AA247" s="50"/>
      <c r="AB247" s="50"/>
      <c r="AC247" s="50"/>
      <c r="AD247" s="50"/>
      <c r="AE247" s="50"/>
      <c r="AF247" s="50"/>
      <c r="AG247" s="50"/>
      <c r="AH247" s="50"/>
      <c r="AI247" s="50" t="s">
        <v>652</v>
      </c>
      <c r="AJ247" s="50"/>
      <c r="AK247" s="50"/>
      <c r="AL247" s="44"/>
      <c r="AM247" s="45"/>
      <c r="AN247" s="50"/>
      <c r="AO247" s="69"/>
      <c r="AP247" s="69"/>
      <c r="AQ247" s="69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5"/>
      <c r="BD247" s="56"/>
      <c r="BE247" s="61"/>
      <c r="BF247" s="65"/>
      <c r="BG247" s="66"/>
      <c r="BH247" s="66"/>
      <c r="BI247" s="60"/>
      <c r="BJ247" s="60"/>
      <c r="BK247" s="60"/>
      <c r="BL247" s="60"/>
      <c r="BM247" s="60"/>
      <c r="BN247" s="60"/>
      <c r="BO247" s="60"/>
      <c r="BP247" s="60"/>
      <c r="BQ247" s="60" t="str">
        <f>IF(BS247="Original",AI247,AZ247)</f>
        <v>Low Threshold Spend</v>
      </c>
      <c r="BR247" s="60"/>
      <c r="BS247" s="60" t="str">
        <f>IF(AQ247="","Original",IF(AP247&lt;Y247,"Alternate","Original"))</f>
        <v>Original</v>
      </c>
    </row>
    <row r="248" spans="1:71" s="31" customFormat="1" x14ac:dyDescent="0.35">
      <c r="A248" s="53" t="s">
        <v>39</v>
      </c>
      <c r="B248" s="49">
        <v>246</v>
      </c>
      <c r="C248" s="50"/>
      <c r="D248" s="50"/>
      <c r="E248" s="51"/>
      <c r="F248" s="50" t="s">
        <v>40</v>
      </c>
      <c r="G248" s="50" t="s">
        <v>897</v>
      </c>
      <c r="H248" s="50" t="s">
        <v>898</v>
      </c>
      <c r="I248" s="50"/>
      <c r="J248" s="50"/>
      <c r="K248" s="50"/>
      <c r="L248" s="50"/>
      <c r="M248" s="50"/>
      <c r="N248" s="54" t="s">
        <v>43</v>
      </c>
      <c r="O248" s="49">
        <v>1</v>
      </c>
      <c r="P248" s="43">
        <v>43.21</v>
      </c>
      <c r="Q248" s="49">
        <v>1</v>
      </c>
      <c r="R248" s="44">
        <f>P248/O248</f>
        <v>43.21</v>
      </c>
      <c r="S248" s="49">
        <f>Q248*O248</f>
        <v>1</v>
      </c>
      <c r="T248" s="52">
        <f>S248*R248</f>
        <v>43.21</v>
      </c>
      <c r="U248" s="50"/>
      <c r="V248" s="50"/>
      <c r="W248" s="50"/>
      <c r="X248" s="69"/>
      <c r="Y248" s="69"/>
      <c r="Z248" s="69"/>
      <c r="AA248" s="50"/>
      <c r="AB248" s="50"/>
      <c r="AC248" s="50"/>
      <c r="AD248" s="50"/>
      <c r="AE248" s="50"/>
      <c r="AF248" s="50"/>
      <c r="AG248" s="50"/>
      <c r="AH248" s="50"/>
      <c r="AI248" s="50" t="s">
        <v>652</v>
      </c>
      <c r="AJ248" s="50"/>
      <c r="AK248" s="50"/>
      <c r="AL248" s="44"/>
      <c r="AM248" s="45"/>
      <c r="AN248" s="50"/>
      <c r="AO248" s="69"/>
      <c r="AP248" s="69"/>
      <c r="AQ248" s="69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5"/>
      <c r="BD248" s="56"/>
      <c r="BE248" s="61"/>
      <c r="BF248" s="65"/>
      <c r="BG248" s="66"/>
      <c r="BH248" s="66"/>
      <c r="BI248" s="60"/>
      <c r="BJ248" s="60"/>
      <c r="BK248" s="60"/>
      <c r="BL248" s="60"/>
      <c r="BM248" s="60"/>
      <c r="BN248" s="60"/>
      <c r="BO248" s="60"/>
      <c r="BP248" s="60"/>
      <c r="BQ248" s="60" t="str">
        <f>IF(BS248="Original",AI248,AZ248)</f>
        <v>Low Threshold Spend</v>
      </c>
      <c r="BR248" s="60"/>
      <c r="BS248" s="60" t="str">
        <f>IF(AQ248="","Original",IF(AP248&lt;Y248,"Alternate","Original"))</f>
        <v>Original</v>
      </c>
    </row>
    <row r="249" spans="1:71" s="31" customFormat="1" x14ac:dyDescent="0.35">
      <c r="A249" s="53" t="s">
        <v>39</v>
      </c>
      <c r="B249" s="49">
        <v>247</v>
      </c>
      <c r="C249" s="50"/>
      <c r="D249" s="50"/>
      <c r="E249" s="51"/>
      <c r="F249" s="50" t="s">
        <v>40</v>
      </c>
      <c r="G249" s="50" t="s">
        <v>899</v>
      </c>
      <c r="H249" s="50" t="s">
        <v>900</v>
      </c>
      <c r="I249" s="50"/>
      <c r="J249" s="50"/>
      <c r="K249" s="50"/>
      <c r="L249" s="50"/>
      <c r="M249" s="50"/>
      <c r="N249" s="54" t="s">
        <v>43</v>
      </c>
      <c r="O249" s="49">
        <v>1</v>
      </c>
      <c r="P249" s="43">
        <v>43.2</v>
      </c>
      <c r="Q249" s="49">
        <v>1</v>
      </c>
      <c r="R249" s="44">
        <f>P249/O249</f>
        <v>43.2</v>
      </c>
      <c r="S249" s="49">
        <f>Q249*O249</f>
        <v>1</v>
      </c>
      <c r="T249" s="52">
        <f>S249*R249</f>
        <v>43.2</v>
      </c>
      <c r="U249" s="50"/>
      <c r="V249" s="50"/>
      <c r="W249" s="50"/>
      <c r="X249" s="69"/>
      <c r="Y249" s="69"/>
      <c r="Z249" s="69"/>
      <c r="AA249" s="50"/>
      <c r="AB249" s="50"/>
      <c r="AC249" s="50"/>
      <c r="AD249" s="50"/>
      <c r="AE249" s="50"/>
      <c r="AF249" s="50"/>
      <c r="AG249" s="50"/>
      <c r="AH249" s="50"/>
      <c r="AI249" s="50" t="s">
        <v>652</v>
      </c>
      <c r="AJ249" s="50"/>
      <c r="AK249" s="50"/>
      <c r="AL249" s="44"/>
      <c r="AM249" s="45"/>
      <c r="AN249" s="50"/>
      <c r="AO249" s="69"/>
      <c r="AP249" s="69"/>
      <c r="AQ249" s="69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5"/>
      <c r="BD249" s="56"/>
      <c r="BE249" s="61"/>
      <c r="BF249" s="65"/>
      <c r="BG249" s="66"/>
      <c r="BH249" s="66"/>
      <c r="BI249" s="60"/>
      <c r="BJ249" s="60"/>
      <c r="BK249" s="60"/>
      <c r="BL249" s="60"/>
      <c r="BM249" s="60"/>
      <c r="BN249" s="60"/>
      <c r="BO249" s="60"/>
      <c r="BP249" s="60"/>
      <c r="BQ249" s="60" t="str">
        <f>IF(BS249="Original",AI249,AZ249)</f>
        <v>Low Threshold Spend</v>
      </c>
      <c r="BR249" s="60"/>
      <c r="BS249" s="60" t="str">
        <f>IF(AQ249="","Original",IF(AP249&lt;Y249,"Alternate","Original"))</f>
        <v>Original</v>
      </c>
    </row>
    <row r="250" spans="1:71" s="31" customFormat="1" x14ac:dyDescent="0.35">
      <c r="A250" s="53" t="s">
        <v>39</v>
      </c>
      <c r="B250" s="49">
        <v>248</v>
      </c>
      <c r="C250" s="50"/>
      <c r="D250" s="50"/>
      <c r="E250" s="51"/>
      <c r="F250" s="50" t="s">
        <v>40</v>
      </c>
      <c r="G250" s="50" t="s">
        <v>901</v>
      </c>
      <c r="H250" s="50" t="s">
        <v>902</v>
      </c>
      <c r="I250" s="50"/>
      <c r="J250" s="50"/>
      <c r="K250" s="50"/>
      <c r="L250" s="50"/>
      <c r="M250" s="50"/>
      <c r="N250" s="54" t="s">
        <v>43</v>
      </c>
      <c r="O250" s="49">
        <v>1</v>
      </c>
      <c r="P250" s="43">
        <v>43.21</v>
      </c>
      <c r="Q250" s="49">
        <v>1</v>
      </c>
      <c r="R250" s="44">
        <f>P250/O250</f>
        <v>43.21</v>
      </c>
      <c r="S250" s="49">
        <f>Q250*O250</f>
        <v>1</v>
      </c>
      <c r="T250" s="52">
        <f>S250*R250</f>
        <v>43.21</v>
      </c>
      <c r="U250" s="50"/>
      <c r="V250" s="50"/>
      <c r="W250" s="50"/>
      <c r="X250" s="69"/>
      <c r="Y250" s="69"/>
      <c r="Z250" s="69"/>
      <c r="AA250" s="50"/>
      <c r="AB250" s="50"/>
      <c r="AC250" s="50"/>
      <c r="AD250" s="50"/>
      <c r="AE250" s="50"/>
      <c r="AF250" s="50"/>
      <c r="AG250" s="50"/>
      <c r="AH250" s="50"/>
      <c r="AI250" s="50" t="s">
        <v>652</v>
      </c>
      <c r="AJ250" s="50"/>
      <c r="AK250" s="50"/>
      <c r="AL250" s="44"/>
      <c r="AM250" s="45"/>
      <c r="AN250" s="50"/>
      <c r="AO250" s="69"/>
      <c r="AP250" s="69"/>
      <c r="AQ250" s="69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5"/>
      <c r="BD250" s="56"/>
      <c r="BE250" s="61"/>
      <c r="BF250" s="65"/>
      <c r="BG250" s="66"/>
      <c r="BH250" s="66"/>
      <c r="BI250" s="60"/>
      <c r="BJ250" s="60"/>
      <c r="BK250" s="60"/>
      <c r="BL250" s="60"/>
      <c r="BM250" s="60"/>
      <c r="BN250" s="60"/>
      <c r="BO250" s="60"/>
      <c r="BP250" s="60"/>
      <c r="BQ250" s="60" t="str">
        <f>IF(BS250="Original",AI250,AZ250)</f>
        <v>Low Threshold Spend</v>
      </c>
      <c r="BR250" s="60"/>
      <c r="BS250" s="60" t="str">
        <f>IF(AQ250="","Original",IF(AP250&lt;Y250,"Alternate","Original"))</f>
        <v>Original</v>
      </c>
    </row>
    <row r="251" spans="1:71" s="31" customFormat="1" x14ac:dyDescent="0.35">
      <c r="A251" s="53" t="s">
        <v>39</v>
      </c>
      <c r="B251" s="49">
        <v>249</v>
      </c>
      <c r="C251" s="50"/>
      <c r="D251" s="50"/>
      <c r="E251" s="51"/>
      <c r="F251" s="50" t="s">
        <v>40</v>
      </c>
      <c r="G251" s="50" t="s">
        <v>903</v>
      </c>
      <c r="H251" s="50" t="s">
        <v>904</v>
      </c>
      <c r="I251" s="50"/>
      <c r="J251" s="50"/>
      <c r="K251" s="50"/>
      <c r="L251" s="50"/>
      <c r="M251" s="50"/>
      <c r="N251" s="54" t="s">
        <v>43</v>
      </c>
      <c r="O251" s="49">
        <v>1</v>
      </c>
      <c r="P251" s="43">
        <v>42.63</v>
      </c>
      <c r="Q251" s="49">
        <v>1</v>
      </c>
      <c r="R251" s="44">
        <f>P251/O251</f>
        <v>42.63</v>
      </c>
      <c r="S251" s="49">
        <f>Q251*O251</f>
        <v>1</v>
      </c>
      <c r="T251" s="52">
        <f>S251*R251</f>
        <v>42.63</v>
      </c>
      <c r="U251" s="50"/>
      <c r="V251" s="50"/>
      <c r="W251" s="50"/>
      <c r="X251" s="69"/>
      <c r="Y251" s="69"/>
      <c r="Z251" s="69"/>
      <c r="AA251" s="50"/>
      <c r="AB251" s="50"/>
      <c r="AC251" s="50"/>
      <c r="AD251" s="50"/>
      <c r="AE251" s="50"/>
      <c r="AF251" s="50"/>
      <c r="AG251" s="50"/>
      <c r="AH251" s="50"/>
      <c r="AI251" s="50" t="s">
        <v>652</v>
      </c>
      <c r="AJ251" s="50"/>
      <c r="AK251" s="50"/>
      <c r="AL251" s="44"/>
      <c r="AM251" s="45"/>
      <c r="AN251" s="50"/>
      <c r="AO251" s="69"/>
      <c r="AP251" s="69"/>
      <c r="AQ251" s="69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5"/>
      <c r="BD251" s="56"/>
      <c r="BE251" s="61"/>
      <c r="BF251" s="65"/>
      <c r="BG251" s="66"/>
      <c r="BH251" s="66"/>
      <c r="BI251" s="60"/>
      <c r="BJ251" s="60"/>
      <c r="BK251" s="60"/>
      <c r="BL251" s="60"/>
      <c r="BM251" s="60"/>
      <c r="BN251" s="60"/>
      <c r="BO251" s="60"/>
      <c r="BP251" s="60"/>
      <c r="BQ251" s="60" t="str">
        <f>IF(BS251="Original",AI251,AZ251)</f>
        <v>Low Threshold Spend</v>
      </c>
      <c r="BR251" s="60"/>
      <c r="BS251" s="60" t="str">
        <f>IF(AQ251="","Original",IF(AP251&lt;Y251,"Alternate","Original"))</f>
        <v>Original</v>
      </c>
    </row>
    <row r="252" spans="1:71" s="31" customFormat="1" x14ac:dyDescent="0.35">
      <c r="A252" s="53" t="s">
        <v>39</v>
      </c>
      <c r="B252" s="49">
        <v>250</v>
      </c>
      <c r="C252" s="50"/>
      <c r="D252" s="50"/>
      <c r="E252" s="51"/>
      <c r="F252" s="50" t="s">
        <v>40</v>
      </c>
      <c r="G252" s="50" t="s">
        <v>905</v>
      </c>
      <c r="H252" s="50" t="s">
        <v>906</v>
      </c>
      <c r="I252" s="50"/>
      <c r="J252" s="50"/>
      <c r="K252" s="50"/>
      <c r="L252" s="50"/>
      <c r="M252" s="50"/>
      <c r="N252" s="54" t="s">
        <v>43</v>
      </c>
      <c r="O252" s="49">
        <v>1</v>
      </c>
      <c r="P252" s="43">
        <v>42.34</v>
      </c>
      <c r="Q252" s="49">
        <v>1</v>
      </c>
      <c r="R252" s="44">
        <f>P252/O252</f>
        <v>42.34</v>
      </c>
      <c r="S252" s="49">
        <f>Q252*O252</f>
        <v>1</v>
      </c>
      <c r="T252" s="52">
        <f>S252*R252</f>
        <v>42.34</v>
      </c>
      <c r="U252" s="50"/>
      <c r="V252" s="50"/>
      <c r="W252" s="50"/>
      <c r="X252" s="69"/>
      <c r="Y252" s="69"/>
      <c r="Z252" s="69"/>
      <c r="AA252" s="50"/>
      <c r="AB252" s="50"/>
      <c r="AC252" s="50"/>
      <c r="AD252" s="50"/>
      <c r="AE252" s="50"/>
      <c r="AF252" s="50"/>
      <c r="AG252" s="50"/>
      <c r="AH252" s="50"/>
      <c r="AI252" s="50" t="s">
        <v>652</v>
      </c>
      <c r="AJ252" s="50"/>
      <c r="AK252" s="50"/>
      <c r="AL252" s="44"/>
      <c r="AM252" s="45"/>
      <c r="AN252" s="50"/>
      <c r="AO252" s="69"/>
      <c r="AP252" s="69"/>
      <c r="AQ252" s="69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5"/>
      <c r="BD252" s="56"/>
      <c r="BE252" s="61"/>
      <c r="BF252" s="65"/>
      <c r="BG252" s="66"/>
      <c r="BH252" s="66"/>
      <c r="BI252" s="60"/>
      <c r="BJ252" s="60"/>
      <c r="BK252" s="60"/>
      <c r="BL252" s="60"/>
      <c r="BM252" s="60"/>
      <c r="BN252" s="60"/>
      <c r="BO252" s="60"/>
      <c r="BP252" s="60"/>
      <c r="BQ252" s="60" t="str">
        <f>IF(BS252="Original",AI252,AZ252)</f>
        <v>Low Threshold Spend</v>
      </c>
      <c r="BR252" s="60"/>
      <c r="BS252" s="60" t="str">
        <f>IF(AQ252="","Original",IF(AP252&lt;Y252,"Alternate","Original"))</f>
        <v>Original</v>
      </c>
    </row>
    <row r="253" spans="1:71" s="31" customFormat="1" x14ac:dyDescent="0.35">
      <c r="A253" s="53" t="s">
        <v>39</v>
      </c>
      <c r="B253" s="49">
        <v>251</v>
      </c>
      <c r="C253" s="50"/>
      <c r="D253" s="50"/>
      <c r="E253" s="51"/>
      <c r="F253" s="50" t="s">
        <v>40</v>
      </c>
      <c r="G253" s="50" t="s">
        <v>907</v>
      </c>
      <c r="H253" s="50" t="s">
        <v>908</v>
      </c>
      <c r="I253" s="50"/>
      <c r="J253" s="50"/>
      <c r="K253" s="50"/>
      <c r="L253" s="50"/>
      <c r="M253" s="50"/>
      <c r="N253" s="54" t="s">
        <v>43</v>
      </c>
      <c r="O253" s="49">
        <v>1</v>
      </c>
      <c r="P253" s="43">
        <v>42.34</v>
      </c>
      <c r="Q253" s="49">
        <v>1</v>
      </c>
      <c r="R253" s="44">
        <f>P253/O253</f>
        <v>42.34</v>
      </c>
      <c r="S253" s="49">
        <f>Q253*O253</f>
        <v>1</v>
      </c>
      <c r="T253" s="52">
        <f>S253*R253</f>
        <v>42.34</v>
      </c>
      <c r="U253" s="50"/>
      <c r="V253" s="50"/>
      <c r="W253" s="50"/>
      <c r="X253" s="69"/>
      <c r="Y253" s="69"/>
      <c r="Z253" s="69"/>
      <c r="AA253" s="50"/>
      <c r="AB253" s="50"/>
      <c r="AC253" s="50"/>
      <c r="AD253" s="50"/>
      <c r="AE253" s="50"/>
      <c r="AF253" s="50"/>
      <c r="AG253" s="50"/>
      <c r="AH253" s="50"/>
      <c r="AI253" s="50" t="s">
        <v>652</v>
      </c>
      <c r="AJ253" s="50"/>
      <c r="AK253" s="50"/>
      <c r="AL253" s="44"/>
      <c r="AM253" s="45"/>
      <c r="AN253" s="50"/>
      <c r="AO253" s="69"/>
      <c r="AP253" s="69"/>
      <c r="AQ253" s="69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5"/>
      <c r="BD253" s="56"/>
      <c r="BE253" s="61"/>
      <c r="BF253" s="65"/>
      <c r="BG253" s="66"/>
      <c r="BH253" s="66"/>
      <c r="BI253" s="60"/>
      <c r="BJ253" s="60"/>
      <c r="BK253" s="60"/>
      <c r="BL253" s="60"/>
      <c r="BM253" s="60"/>
      <c r="BN253" s="60"/>
      <c r="BO253" s="60"/>
      <c r="BP253" s="60"/>
      <c r="BQ253" s="60" t="str">
        <f>IF(BS253="Original",AI253,AZ253)</f>
        <v>Low Threshold Spend</v>
      </c>
      <c r="BR253" s="60"/>
      <c r="BS253" s="60" t="str">
        <f>IF(AQ253="","Original",IF(AP253&lt;Y253,"Alternate","Original"))</f>
        <v>Original</v>
      </c>
    </row>
    <row r="254" spans="1:71" s="31" customFormat="1" x14ac:dyDescent="0.35">
      <c r="A254" s="53" t="s">
        <v>39</v>
      </c>
      <c r="B254" s="49">
        <v>252</v>
      </c>
      <c r="C254" s="50"/>
      <c r="D254" s="50"/>
      <c r="E254" s="51"/>
      <c r="F254" s="50" t="s">
        <v>60</v>
      </c>
      <c r="G254" s="50" t="s">
        <v>909</v>
      </c>
      <c r="H254" s="50" t="s">
        <v>910</v>
      </c>
      <c r="I254" s="50"/>
      <c r="J254" s="50"/>
      <c r="K254" s="50"/>
      <c r="L254" s="50"/>
      <c r="M254" s="50"/>
      <c r="N254" s="54" t="s">
        <v>43</v>
      </c>
      <c r="O254" s="49">
        <v>1</v>
      </c>
      <c r="P254" s="43">
        <v>21</v>
      </c>
      <c r="Q254" s="49">
        <v>2</v>
      </c>
      <c r="R254" s="44">
        <f>P254/O254</f>
        <v>21</v>
      </c>
      <c r="S254" s="49">
        <f>Q254*O254</f>
        <v>2</v>
      </c>
      <c r="T254" s="52">
        <f>S254*R254</f>
        <v>42</v>
      </c>
      <c r="U254" s="50"/>
      <c r="V254" s="50"/>
      <c r="W254" s="50"/>
      <c r="X254" s="69"/>
      <c r="Y254" s="69"/>
      <c r="Z254" s="69"/>
      <c r="AA254" s="50"/>
      <c r="AB254" s="50"/>
      <c r="AC254" s="50"/>
      <c r="AD254" s="50"/>
      <c r="AE254" s="50"/>
      <c r="AF254" s="50"/>
      <c r="AG254" s="50"/>
      <c r="AH254" s="50"/>
      <c r="AI254" s="50" t="s">
        <v>652</v>
      </c>
      <c r="AJ254" s="50"/>
      <c r="AK254" s="50"/>
      <c r="AL254" s="44"/>
      <c r="AM254" s="45"/>
      <c r="AN254" s="50"/>
      <c r="AO254" s="69"/>
      <c r="AP254" s="69"/>
      <c r="AQ254" s="69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5"/>
      <c r="BD254" s="56"/>
      <c r="BE254" s="61"/>
      <c r="BF254" s="65"/>
      <c r="BG254" s="66"/>
      <c r="BH254" s="66"/>
      <c r="BI254" s="60"/>
      <c r="BJ254" s="60"/>
      <c r="BK254" s="60"/>
      <c r="BL254" s="60"/>
      <c r="BM254" s="60"/>
      <c r="BN254" s="60"/>
      <c r="BO254" s="60"/>
      <c r="BP254" s="60"/>
      <c r="BQ254" s="60" t="str">
        <f>IF(BS254="Original",AI254,AZ254)</f>
        <v>Low Threshold Spend</v>
      </c>
      <c r="BR254" s="60"/>
      <c r="BS254" s="60" t="str">
        <f>IF(AQ254="","Original",IF(AP254&lt;Y254,"Alternate","Original"))</f>
        <v>Original</v>
      </c>
    </row>
    <row r="255" spans="1:71" s="31" customFormat="1" x14ac:dyDescent="0.35">
      <c r="A255" s="53" t="s">
        <v>39</v>
      </c>
      <c r="B255" s="49">
        <v>253</v>
      </c>
      <c r="C255" s="50"/>
      <c r="D255" s="50"/>
      <c r="E255" s="51"/>
      <c r="F255" s="50" t="s">
        <v>60</v>
      </c>
      <c r="G255" s="50" t="s">
        <v>911</v>
      </c>
      <c r="H255" s="50" t="s">
        <v>912</v>
      </c>
      <c r="I255" s="50"/>
      <c r="J255" s="50"/>
      <c r="K255" s="50"/>
      <c r="L255" s="50"/>
      <c r="M255" s="50"/>
      <c r="N255" s="54" t="s">
        <v>43</v>
      </c>
      <c r="O255" s="49">
        <v>1</v>
      </c>
      <c r="P255" s="43">
        <v>41.6</v>
      </c>
      <c r="Q255" s="49">
        <v>1</v>
      </c>
      <c r="R255" s="44">
        <f>P255/O255</f>
        <v>41.6</v>
      </c>
      <c r="S255" s="49">
        <f>Q255*O255</f>
        <v>1</v>
      </c>
      <c r="T255" s="52">
        <f>S255*R255</f>
        <v>41.6</v>
      </c>
      <c r="U255" s="50"/>
      <c r="V255" s="50"/>
      <c r="W255" s="50"/>
      <c r="X255" s="69"/>
      <c r="Y255" s="69"/>
      <c r="Z255" s="69"/>
      <c r="AA255" s="50"/>
      <c r="AB255" s="50"/>
      <c r="AC255" s="50"/>
      <c r="AD255" s="50"/>
      <c r="AE255" s="50"/>
      <c r="AF255" s="50"/>
      <c r="AG255" s="50"/>
      <c r="AH255" s="50"/>
      <c r="AI255" s="50" t="s">
        <v>652</v>
      </c>
      <c r="AJ255" s="50"/>
      <c r="AK255" s="50"/>
      <c r="AL255" s="44"/>
      <c r="AM255" s="45"/>
      <c r="AN255" s="50"/>
      <c r="AO255" s="69"/>
      <c r="AP255" s="69"/>
      <c r="AQ255" s="69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5"/>
      <c r="BD255" s="56"/>
      <c r="BE255" s="61"/>
      <c r="BF255" s="65"/>
      <c r="BG255" s="66"/>
      <c r="BH255" s="66"/>
      <c r="BI255" s="60"/>
      <c r="BJ255" s="60"/>
      <c r="BK255" s="60"/>
      <c r="BL255" s="60"/>
      <c r="BM255" s="60"/>
      <c r="BN255" s="60"/>
      <c r="BO255" s="60"/>
      <c r="BP255" s="60"/>
      <c r="BQ255" s="60" t="str">
        <f>IF(BS255="Original",AI255,AZ255)</f>
        <v>Low Threshold Spend</v>
      </c>
      <c r="BR255" s="60"/>
      <c r="BS255" s="60" t="str">
        <f>IF(AQ255="","Original",IF(AP255&lt;Y255,"Alternate","Original"))</f>
        <v>Original</v>
      </c>
    </row>
    <row r="256" spans="1:71" s="31" customFormat="1" x14ac:dyDescent="0.35">
      <c r="A256" s="53" t="s">
        <v>39</v>
      </c>
      <c r="B256" s="49">
        <v>254</v>
      </c>
      <c r="C256" s="50"/>
      <c r="D256" s="50"/>
      <c r="E256" s="51"/>
      <c r="F256" s="50" t="s">
        <v>60</v>
      </c>
      <c r="G256" s="50" t="s">
        <v>913</v>
      </c>
      <c r="H256" s="50" t="s">
        <v>914</v>
      </c>
      <c r="I256" s="50"/>
      <c r="J256" s="50"/>
      <c r="K256" s="50"/>
      <c r="L256" s="50"/>
      <c r="M256" s="50"/>
      <c r="N256" s="54" t="s">
        <v>43</v>
      </c>
      <c r="O256" s="49">
        <v>1</v>
      </c>
      <c r="P256" s="43">
        <v>41.28</v>
      </c>
      <c r="Q256" s="49">
        <v>1</v>
      </c>
      <c r="R256" s="44">
        <f>P256/O256</f>
        <v>41.28</v>
      </c>
      <c r="S256" s="49">
        <f>Q256*O256</f>
        <v>1</v>
      </c>
      <c r="T256" s="52">
        <f>S256*R256</f>
        <v>41.28</v>
      </c>
      <c r="U256" s="50"/>
      <c r="V256" s="50"/>
      <c r="W256" s="50"/>
      <c r="X256" s="69"/>
      <c r="Y256" s="69"/>
      <c r="Z256" s="69"/>
      <c r="AA256" s="50"/>
      <c r="AB256" s="50"/>
      <c r="AC256" s="50"/>
      <c r="AD256" s="50"/>
      <c r="AE256" s="50"/>
      <c r="AF256" s="50"/>
      <c r="AG256" s="50"/>
      <c r="AH256" s="50"/>
      <c r="AI256" s="50" t="s">
        <v>652</v>
      </c>
      <c r="AJ256" s="50"/>
      <c r="AK256" s="50"/>
      <c r="AL256" s="44"/>
      <c r="AM256" s="45"/>
      <c r="AN256" s="50"/>
      <c r="AO256" s="69"/>
      <c r="AP256" s="69"/>
      <c r="AQ256" s="69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5"/>
      <c r="BD256" s="56"/>
      <c r="BE256" s="61"/>
      <c r="BF256" s="65"/>
      <c r="BG256" s="66"/>
      <c r="BH256" s="66"/>
      <c r="BI256" s="60"/>
      <c r="BJ256" s="60"/>
      <c r="BK256" s="60"/>
      <c r="BL256" s="60"/>
      <c r="BM256" s="60"/>
      <c r="BN256" s="60"/>
      <c r="BO256" s="60"/>
      <c r="BP256" s="60"/>
      <c r="BQ256" s="60" t="str">
        <f>IF(BS256="Original",AI256,AZ256)</f>
        <v>Low Threshold Spend</v>
      </c>
      <c r="BR256" s="60"/>
      <c r="BS256" s="60" t="str">
        <f>IF(AQ256="","Original",IF(AP256&lt;Y256,"Alternate","Original"))</f>
        <v>Original</v>
      </c>
    </row>
    <row r="257" spans="1:71" s="31" customFormat="1" x14ac:dyDescent="0.35">
      <c r="A257" s="53" t="s">
        <v>39</v>
      </c>
      <c r="B257" s="49">
        <v>255</v>
      </c>
      <c r="C257" s="50"/>
      <c r="D257" s="50"/>
      <c r="E257" s="51"/>
      <c r="F257" s="50" t="s">
        <v>60</v>
      </c>
      <c r="G257" s="50" t="s">
        <v>915</v>
      </c>
      <c r="H257" s="50" t="s">
        <v>916</v>
      </c>
      <c r="I257" s="50"/>
      <c r="J257" s="50"/>
      <c r="K257" s="50"/>
      <c r="L257" s="50"/>
      <c r="M257" s="50"/>
      <c r="N257" s="54" t="s">
        <v>43</v>
      </c>
      <c r="O257" s="49">
        <v>1</v>
      </c>
      <c r="P257" s="43">
        <v>40.54</v>
      </c>
      <c r="Q257" s="49">
        <v>1</v>
      </c>
      <c r="R257" s="44">
        <f>P257/O257</f>
        <v>40.54</v>
      </c>
      <c r="S257" s="49">
        <f>Q257*O257</f>
        <v>1</v>
      </c>
      <c r="T257" s="52">
        <f>S257*R257</f>
        <v>40.54</v>
      </c>
      <c r="U257" s="50"/>
      <c r="V257" s="50"/>
      <c r="W257" s="50"/>
      <c r="X257" s="69"/>
      <c r="Y257" s="69"/>
      <c r="Z257" s="69"/>
      <c r="AA257" s="50"/>
      <c r="AB257" s="50"/>
      <c r="AC257" s="50"/>
      <c r="AD257" s="50"/>
      <c r="AE257" s="50"/>
      <c r="AF257" s="50"/>
      <c r="AG257" s="50"/>
      <c r="AH257" s="50"/>
      <c r="AI257" s="50" t="s">
        <v>652</v>
      </c>
      <c r="AJ257" s="50"/>
      <c r="AK257" s="50"/>
      <c r="AL257" s="44"/>
      <c r="AM257" s="45"/>
      <c r="AN257" s="50"/>
      <c r="AO257" s="69"/>
      <c r="AP257" s="69"/>
      <c r="AQ257" s="69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5"/>
      <c r="BD257" s="56"/>
      <c r="BE257" s="61"/>
      <c r="BF257" s="65"/>
      <c r="BG257" s="66"/>
      <c r="BH257" s="66"/>
      <c r="BI257" s="60"/>
      <c r="BJ257" s="60"/>
      <c r="BK257" s="60"/>
      <c r="BL257" s="60"/>
      <c r="BM257" s="60"/>
      <c r="BN257" s="60"/>
      <c r="BO257" s="60"/>
      <c r="BP257" s="60"/>
      <c r="BQ257" s="60" t="str">
        <f>IF(BS257="Original",AI257,AZ257)</f>
        <v>Low Threshold Spend</v>
      </c>
      <c r="BR257" s="60"/>
      <c r="BS257" s="60" t="str">
        <f>IF(AQ257="","Original",IF(AP257&lt;Y257,"Alternate","Original"))</f>
        <v>Original</v>
      </c>
    </row>
    <row r="258" spans="1:71" s="31" customFormat="1" x14ac:dyDescent="0.35">
      <c r="A258" s="53" t="s">
        <v>39</v>
      </c>
      <c r="B258" s="49">
        <v>256</v>
      </c>
      <c r="C258" s="50"/>
      <c r="D258" s="50"/>
      <c r="E258" s="51"/>
      <c r="F258" s="50" t="s">
        <v>60</v>
      </c>
      <c r="G258" s="50" t="s">
        <v>917</v>
      </c>
      <c r="H258" s="50" t="s">
        <v>918</v>
      </c>
      <c r="I258" s="50"/>
      <c r="J258" s="50"/>
      <c r="K258" s="50"/>
      <c r="L258" s="50"/>
      <c r="M258" s="50"/>
      <c r="N258" s="54" t="s">
        <v>43</v>
      </c>
      <c r="O258" s="49">
        <v>1</v>
      </c>
      <c r="P258" s="43">
        <v>40.28</v>
      </c>
      <c r="Q258" s="49">
        <v>1</v>
      </c>
      <c r="R258" s="44">
        <f>P258/O258</f>
        <v>40.28</v>
      </c>
      <c r="S258" s="49">
        <f>Q258*O258</f>
        <v>1</v>
      </c>
      <c r="T258" s="52">
        <f>S258*R258</f>
        <v>40.28</v>
      </c>
      <c r="U258" s="50"/>
      <c r="V258" s="50"/>
      <c r="W258" s="50"/>
      <c r="X258" s="69"/>
      <c r="Y258" s="69"/>
      <c r="Z258" s="69"/>
      <c r="AA258" s="50"/>
      <c r="AB258" s="50"/>
      <c r="AC258" s="50"/>
      <c r="AD258" s="50"/>
      <c r="AE258" s="50"/>
      <c r="AF258" s="50"/>
      <c r="AG258" s="50"/>
      <c r="AH258" s="50"/>
      <c r="AI258" s="50" t="s">
        <v>652</v>
      </c>
      <c r="AJ258" s="50"/>
      <c r="AK258" s="50"/>
      <c r="AL258" s="44"/>
      <c r="AM258" s="45"/>
      <c r="AN258" s="50"/>
      <c r="AO258" s="69"/>
      <c r="AP258" s="69"/>
      <c r="AQ258" s="69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5"/>
      <c r="BD258" s="56"/>
      <c r="BE258" s="61"/>
      <c r="BF258" s="65"/>
      <c r="BG258" s="66"/>
      <c r="BH258" s="66"/>
      <c r="BI258" s="60"/>
      <c r="BJ258" s="60"/>
      <c r="BK258" s="60"/>
      <c r="BL258" s="60"/>
      <c r="BM258" s="60"/>
      <c r="BN258" s="60"/>
      <c r="BO258" s="60"/>
      <c r="BP258" s="60"/>
      <c r="BQ258" s="60" t="str">
        <f>IF(BS258="Original",AI258,AZ258)</f>
        <v>Low Threshold Spend</v>
      </c>
      <c r="BR258" s="60"/>
      <c r="BS258" s="60" t="str">
        <f>IF(AQ258="","Original",IF(AP258&lt;Y258,"Alternate","Original"))</f>
        <v>Original</v>
      </c>
    </row>
    <row r="259" spans="1:71" s="31" customFormat="1" x14ac:dyDescent="0.35">
      <c r="A259" s="53" t="s">
        <v>39</v>
      </c>
      <c r="B259" s="49">
        <v>257</v>
      </c>
      <c r="C259" s="50"/>
      <c r="D259" s="50"/>
      <c r="E259" s="51"/>
      <c r="F259" s="50" t="s">
        <v>60</v>
      </c>
      <c r="G259" s="50" t="s">
        <v>919</v>
      </c>
      <c r="H259" s="50" t="s">
        <v>920</v>
      </c>
      <c r="I259" s="50"/>
      <c r="J259" s="50"/>
      <c r="K259" s="50"/>
      <c r="L259" s="50"/>
      <c r="M259" s="50"/>
      <c r="N259" s="54" t="s">
        <v>43</v>
      </c>
      <c r="O259" s="49">
        <v>1</v>
      </c>
      <c r="P259" s="43">
        <v>40.21</v>
      </c>
      <c r="Q259" s="49">
        <v>1</v>
      </c>
      <c r="R259" s="44">
        <f>P259/O259</f>
        <v>40.21</v>
      </c>
      <c r="S259" s="49">
        <f>Q259*O259</f>
        <v>1</v>
      </c>
      <c r="T259" s="52">
        <f>S259*R259</f>
        <v>40.21</v>
      </c>
      <c r="U259" s="50"/>
      <c r="V259" s="50"/>
      <c r="W259" s="50"/>
      <c r="X259" s="69"/>
      <c r="Y259" s="69"/>
      <c r="Z259" s="69"/>
      <c r="AA259" s="50"/>
      <c r="AB259" s="50"/>
      <c r="AC259" s="50"/>
      <c r="AD259" s="50"/>
      <c r="AE259" s="50"/>
      <c r="AF259" s="50"/>
      <c r="AG259" s="50"/>
      <c r="AH259" s="50"/>
      <c r="AI259" s="50" t="s">
        <v>652</v>
      </c>
      <c r="AJ259" s="50"/>
      <c r="AK259" s="50"/>
      <c r="AL259" s="44"/>
      <c r="AM259" s="45"/>
      <c r="AN259" s="50"/>
      <c r="AO259" s="69"/>
      <c r="AP259" s="69"/>
      <c r="AQ259" s="69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5"/>
      <c r="BD259" s="56"/>
      <c r="BE259" s="61"/>
      <c r="BF259" s="65"/>
      <c r="BG259" s="66"/>
      <c r="BH259" s="66"/>
      <c r="BI259" s="60"/>
      <c r="BJ259" s="60"/>
      <c r="BK259" s="60"/>
      <c r="BL259" s="60"/>
      <c r="BM259" s="60"/>
      <c r="BN259" s="60"/>
      <c r="BO259" s="60"/>
      <c r="BP259" s="60"/>
      <c r="BQ259" s="60" t="str">
        <f>IF(BS259="Original",AI259,AZ259)</f>
        <v>Low Threshold Spend</v>
      </c>
      <c r="BR259" s="60"/>
      <c r="BS259" s="60" t="str">
        <f>IF(AQ259="","Original",IF(AP259&lt;Y259,"Alternate","Original"))</f>
        <v>Original</v>
      </c>
    </row>
    <row r="260" spans="1:71" s="31" customFormat="1" x14ac:dyDescent="0.35">
      <c r="A260" s="53" t="s">
        <v>39</v>
      </c>
      <c r="B260" s="49">
        <v>258</v>
      </c>
      <c r="C260" s="50"/>
      <c r="D260" s="50"/>
      <c r="E260" s="51"/>
      <c r="F260" s="50" t="s">
        <v>40</v>
      </c>
      <c r="G260" s="50" t="s">
        <v>921</v>
      </c>
      <c r="H260" s="50" t="s">
        <v>922</v>
      </c>
      <c r="I260" s="50"/>
      <c r="J260" s="50"/>
      <c r="K260" s="50"/>
      <c r="L260" s="50"/>
      <c r="M260" s="50"/>
      <c r="N260" s="54" t="s">
        <v>43</v>
      </c>
      <c r="O260" s="49">
        <v>1</v>
      </c>
      <c r="P260" s="43">
        <v>40.19</v>
      </c>
      <c r="Q260" s="49">
        <v>1</v>
      </c>
      <c r="R260" s="44">
        <f>P260/O260</f>
        <v>40.19</v>
      </c>
      <c r="S260" s="49">
        <f>Q260*O260</f>
        <v>1</v>
      </c>
      <c r="T260" s="52">
        <f>S260*R260</f>
        <v>40.19</v>
      </c>
      <c r="U260" s="50"/>
      <c r="V260" s="50"/>
      <c r="W260" s="50"/>
      <c r="X260" s="69"/>
      <c r="Y260" s="69"/>
      <c r="Z260" s="69"/>
      <c r="AA260" s="50"/>
      <c r="AB260" s="50"/>
      <c r="AC260" s="50"/>
      <c r="AD260" s="50"/>
      <c r="AE260" s="50"/>
      <c r="AF260" s="50"/>
      <c r="AG260" s="50"/>
      <c r="AH260" s="50"/>
      <c r="AI260" s="50" t="s">
        <v>652</v>
      </c>
      <c r="AJ260" s="50"/>
      <c r="AK260" s="50"/>
      <c r="AL260" s="44"/>
      <c r="AM260" s="45"/>
      <c r="AN260" s="50"/>
      <c r="AO260" s="69"/>
      <c r="AP260" s="69"/>
      <c r="AQ260" s="69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5"/>
      <c r="BD260" s="56"/>
      <c r="BE260" s="61"/>
      <c r="BF260" s="65"/>
      <c r="BG260" s="66"/>
      <c r="BH260" s="66"/>
      <c r="BI260" s="60"/>
      <c r="BJ260" s="60"/>
      <c r="BK260" s="60"/>
      <c r="BL260" s="60"/>
      <c r="BM260" s="60"/>
      <c r="BN260" s="60"/>
      <c r="BO260" s="60"/>
      <c r="BP260" s="60"/>
      <c r="BQ260" s="60" t="str">
        <f>IF(BS260="Original",AI260,AZ260)</f>
        <v>Low Threshold Spend</v>
      </c>
      <c r="BR260" s="60"/>
      <c r="BS260" s="60" t="str">
        <f>IF(AQ260="","Original",IF(AP260&lt;Y260,"Alternate","Original"))</f>
        <v>Original</v>
      </c>
    </row>
    <row r="261" spans="1:71" s="31" customFormat="1" x14ac:dyDescent="0.35">
      <c r="A261" s="53" t="s">
        <v>39</v>
      </c>
      <c r="B261" s="49">
        <v>259</v>
      </c>
      <c r="C261" s="50"/>
      <c r="D261" s="50"/>
      <c r="E261" s="51"/>
      <c r="F261" s="50" t="s">
        <v>60</v>
      </c>
      <c r="G261" s="50" t="s">
        <v>923</v>
      </c>
      <c r="H261" s="50" t="s">
        <v>924</v>
      </c>
      <c r="I261" s="50"/>
      <c r="J261" s="50"/>
      <c r="K261" s="50"/>
      <c r="L261" s="50"/>
      <c r="M261" s="50"/>
      <c r="N261" s="54" t="s">
        <v>43</v>
      </c>
      <c r="O261" s="49">
        <v>1</v>
      </c>
      <c r="P261" s="43">
        <v>39.770000000000003</v>
      </c>
      <c r="Q261" s="49">
        <v>1</v>
      </c>
      <c r="R261" s="44">
        <f>P261/O261</f>
        <v>39.770000000000003</v>
      </c>
      <c r="S261" s="49">
        <f>Q261*O261</f>
        <v>1</v>
      </c>
      <c r="T261" s="52">
        <f>S261*R261</f>
        <v>39.770000000000003</v>
      </c>
      <c r="U261" s="50"/>
      <c r="V261" s="50"/>
      <c r="W261" s="50"/>
      <c r="X261" s="69"/>
      <c r="Y261" s="69"/>
      <c r="Z261" s="69"/>
      <c r="AA261" s="50"/>
      <c r="AB261" s="50"/>
      <c r="AC261" s="50"/>
      <c r="AD261" s="50"/>
      <c r="AE261" s="50"/>
      <c r="AF261" s="50"/>
      <c r="AG261" s="50"/>
      <c r="AH261" s="50"/>
      <c r="AI261" s="50" t="s">
        <v>652</v>
      </c>
      <c r="AJ261" s="50"/>
      <c r="AK261" s="50"/>
      <c r="AL261" s="44"/>
      <c r="AM261" s="45"/>
      <c r="AN261" s="50"/>
      <c r="AO261" s="69"/>
      <c r="AP261" s="69"/>
      <c r="AQ261" s="69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5"/>
      <c r="BD261" s="56"/>
      <c r="BE261" s="61"/>
      <c r="BF261" s="65"/>
      <c r="BG261" s="66"/>
      <c r="BH261" s="66"/>
      <c r="BI261" s="60"/>
      <c r="BJ261" s="60"/>
      <c r="BK261" s="60"/>
      <c r="BL261" s="60"/>
      <c r="BM261" s="60"/>
      <c r="BN261" s="60"/>
      <c r="BO261" s="60"/>
      <c r="BP261" s="60"/>
      <c r="BQ261" s="60" t="str">
        <f>IF(BS261="Original",AI261,AZ261)</f>
        <v>Low Threshold Spend</v>
      </c>
      <c r="BR261" s="60"/>
      <c r="BS261" s="60" t="str">
        <f>IF(AQ261="","Original",IF(AP261&lt;Y261,"Alternate","Original"))</f>
        <v>Original</v>
      </c>
    </row>
    <row r="262" spans="1:71" s="31" customFormat="1" x14ac:dyDescent="0.35">
      <c r="A262" s="53" t="s">
        <v>39</v>
      </c>
      <c r="B262" s="49">
        <v>260</v>
      </c>
      <c r="C262" s="50"/>
      <c r="D262" s="50"/>
      <c r="E262" s="51"/>
      <c r="F262" s="50" t="s">
        <v>40</v>
      </c>
      <c r="G262" s="50" t="s">
        <v>925</v>
      </c>
      <c r="H262" s="50" t="s">
        <v>926</v>
      </c>
      <c r="I262" s="50"/>
      <c r="J262" s="50"/>
      <c r="K262" s="50"/>
      <c r="L262" s="50"/>
      <c r="M262" s="50"/>
      <c r="N262" s="54" t="s">
        <v>43</v>
      </c>
      <c r="O262" s="49">
        <v>1</v>
      </c>
      <c r="P262" s="43">
        <v>39.270000000000003</v>
      </c>
      <c r="Q262" s="49">
        <v>1</v>
      </c>
      <c r="R262" s="44">
        <f>P262/O262</f>
        <v>39.270000000000003</v>
      </c>
      <c r="S262" s="49">
        <f>Q262*O262</f>
        <v>1</v>
      </c>
      <c r="T262" s="52">
        <f>S262*R262</f>
        <v>39.270000000000003</v>
      </c>
      <c r="U262" s="50"/>
      <c r="V262" s="50"/>
      <c r="W262" s="50"/>
      <c r="X262" s="69"/>
      <c r="Y262" s="69"/>
      <c r="Z262" s="69"/>
      <c r="AA262" s="50"/>
      <c r="AB262" s="50"/>
      <c r="AC262" s="50"/>
      <c r="AD262" s="50"/>
      <c r="AE262" s="50"/>
      <c r="AF262" s="50"/>
      <c r="AG262" s="50"/>
      <c r="AH262" s="50"/>
      <c r="AI262" s="50" t="s">
        <v>652</v>
      </c>
      <c r="AJ262" s="50"/>
      <c r="AK262" s="50"/>
      <c r="AL262" s="44"/>
      <c r="AM262" s="45"/>
      <c r="AN262" s="50"/>
      <c r="AO262" s="69"/>
      <c r="AP262" s="69"/>
      <c r="AQ262" s="69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5"/>
      <c r="BD262" s="56"/>
      <c r="BE262" s="61"/>
      <c r="BF262" s="65"/>
      <c r="BG262" s="66"/>
      <c r="BH262" s="66"/>
      <c r="BI262" s="60"/>
      <c r="BJ262" s="60"/>
      <c r="BK262" s="60"/>
      <c r="BL262" s="60"/>
      <c r="BM262" s="60"/>
      <c r="BN262" s="60"/>
      <c r="BO262" s="60"/>
      <c r="BP262" s="60"/>
      <c r="BQ262" s="60" t="str">
        <f>IF(BS262="Original",AI262,AZ262)</f>
        <v>Low Threshold Spend</v>
      </c>
      <c r="BR262" s="60"/>
      <c r="BS262" s="60" t="str">
        <f>IF(AQ262="","Original",IF(AP262&lt;Y262,"Alternate","Original"))</f>
        <v>Original</v>
      </c>
    </row>
    <row r="263" spans="1:71" s="31" customFormat="1" x14ac:dyDescent="0.35">
      <c r="A263" s="53" t="s">
        <v>39</v>
      </c>
      <c r="B263" s="49">
        <v>261</v>
      </c>
      <c r="C263" s="50"/>
      <c r="D263" s="50"/>
      <c r="E263" s="51"/>
      <c r="F263" s="50" t="s">
        <v>60</v>
      </c>
      <c r="G263" s="50" t="s">
        <v>927</v>
      </c>
      <c r="H263" s="50" t="s">
        <v>928</v>
      </c>
      <c r="I263" s="50"/>
      <c r="J263" s="50"/>
      <c r="K263" s="50"/>
      <c r="L263" s="50"/>
      <c r="M263" s="50"/>
      <c r="N263" s="54" t="s">
        <v>43</v>
      </c>
      <c r="O263" s="49">
        <v>1</v>
      </c>
      <c r="P263" s="43">
        <v>39.090000000000003</v>
      </c>
      <c r="Q263" s="49">
        <v>1</v>
      </c>
      <c r="R263" s="44">
        <f>P263/O263</f>
        <v>39.090000000000003</v>
      </c>
      <c r="S263" s="49">
        <f>Q263*O263</f>
        <v>1</v>
      </c>
      <c r="T263" s="52">
        <f>S263*R263</f>
        <v>39.090000000000003</v>
      </c>
      <c r="U263" s="50"/>
      <c r="V263" s="50"/>
      <c r="W263" s="50"/>
      <c r="X263" s="69"/>
      <c r="Y263" s="69"/>
      <c r="Z263" s="69"/>
      <c r="AA263" s="50"/>
      <c r="AB263" s="50"/>
      <c r="AC263" s="50"/>
      <c r="AD263" s="50"/>
      <c r="AE263" s="50"/>
      <c r="AF263" s="50"/>
      <c r="AG263" s="50"/>
      <c r="AH263" s="50"/>
      <c r="AI263" s="50" t="s">
        <v>652</v>
      </c>
      <c r="AJ263" s="50"/>
      <c r="AK263" s="50"/>
      <c r="AL263" s="44"/>
      <c r="AM263" s="45"/>
      <c r="AN263" s="50"/>
      <c r="AO263" s="69"/>
      <c r="AP263" s="69"/>
      <c r="AQ263" s="69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5"/>
      <c r="BD263" s="56"/>
      <c r="BE263" s="61"/>
      <c r="BF263" s="65"/>
      <c r="BG263" s="66"/>
      <c r="BH263" s="66"/>
      <c r="BI263" s="60"/>
      <c r="BJ263" s="60"/>
      <c r="BK263" s="60"/>
      <c r="BL263" s="60"/>
      <c r="BM263" s="60"/>
      <c r="BN263" s="60"/>
      <c r="BO263" s="60"/>
      <c r="BP263" s="60"/>
      <c r="BQ263" s="60" t="str">
        <f>IF(BS263="Original",AI263,AZ263)</f>
        <v>Low Threshold Spend</v>
      </c>
      <c r="BR263" s="60"/>
      <c r="BS263" s="60" t="str">
        <f>IF(AQ263="","Original",IF(AP263&lt;Y263,"Alternate","Original"))</f>
        <v>Original</v>
      </c>
    </row>
    <row r="264" spans="1:71" s="31" customFormat="1" x14ac:dyDescent="0.35">
      <c r="A264" s="53" t="s">
        <v>39</v>
      </c>
      <c r="B264" s="49">
        <v>262</v>
      </c>
      <c r="C264" s="50"/>
      <c r="D264" s="50"/>
      <c r="E264" s="51"/>
      <c r="F264" s="50" t="s">
        <v>40</v>
      </c>
      <c r="G264" s="50" t="s">
        <v>929</v>
      </c>
      <c r="H264" s="50" t="s">
        <v>930</v>
      </c>
      <c r="I264" s="50"/>
      <c r="J264" s="50"/>
      <c r="K264" s="50"/>
      <c r="L264" s="50"/>
      <c r="M264" s="50"/>
      <c r="N264" s="54" t="s">
        <v>43</v>
      </c>
      <c r="O264" s="49">
        <v>1</v>
      </c>
      <c r="P264" s="43">
        <v>39.020000000000003</v>
      </c>
      <c r="Q264" s="49">
        <v>1</v>
      </c>
      <c r="R264" s="44">
        <f>P264/O264</f>
        <v>39.020000000000003</v>
      </c>
      <c r="S264" s="49">
        <f>Q264*O264</f>
        <v>1</v>
      </c>
      <c r="T264" s="52">
        <f>S264*R264</f>
        <v>39.020000000000003</v>
      </c>
      <c r="U264" s="50"/>
      <c r="V264" s="50"/>
      <c r="W264" s="50"/>
      <c r="X264" s="69"/>
      <c r="Y264" s="69"/>
      <c r="Z264" s="69"/>
      <c r="AA264" s="50"/>
      <c r="AB264" s="50"/>
      <c r="AC264" s="50"/>
      <c r="AD264" s="50"/>
      <c r="AE264" s="50"/>
      <c r="AF264" s="50"/>
      <c r="AG264" s="50"/>
      <c r="AH264" s="50"/>
      <c r="AI264" s="50" t="s">
        <v>652</v>
      </c>
      <c r="AJ264" s="50"/>
      <c r="AK264" s="50"/>
      <c r="AL264" s="44"/>
      <c r="AM264" s="45"/>
      <c r="AN264" s="50"/>
      <c r="AO264" s="69"/>
      <c r="AP264" s="69"/>
      <c r="AQ264" s="69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5"/>
      <c r="BD264" s="56"/>
      <c r="BE264" s="61"/>
      <c r="BF264" s="65"/>
      <c r="BG264" s="66"/>
      <c r="BH264" s="66"/>
      <c r="BI264" s="60"/>
      <c r="BJ264" s="60"/>
      <c r="BK264" s="60"/>
      <c r="BL264" s="60"/>
      <c r="BM264" s="60"/>
      <c r="BN264" s="60"/>
      <c r="BO264" s="60"/>
      <c r="BP264" s="60"/>
      <c r="BQ264" s="60" t="str">
        <f>IF(BS264="Original",AI264,AZ264)</f>
        <v>Low Threshold Spend</v>
      </c>
      <c r="BR264" s="60"/>
      <c r="BS264" s="60" t="str">
        <f>IF(AQ264="","Original",IF(AP264&lt;Y264,"Alternate","Original"))</f>
        <v>Original</v>
      </c>
    </row>
    <row r="265" spans="1:71" s="31" customFormat="1" x14ac:dyDescent="0.35">
      <c r="A265" s="53" t="s">
        <v>39</v>
      </c>
      <c r="B265" s="49">
        <v>263</v>
      </c>
      <c r="C265" s="50"/>
      <c r="D265" s="50"/>
      <c r="E265" s="51"/>
      <c r="F265" s="50" t="s">
        <v>60</v>
      </c>
      <c r="G265" s="50" t="s">
        <v>931</v>
      </c>
      <c r="H265" s="50" t="s">
        <v>932</v>
      </c>
      <c r="I265" s="50"/>
      <c r="J265" s="50"/>
      <c r="K265" s="50"/>
      <c r="L265" s="50"/>
      <c r="M265" s="50"/>
      <c r="N265" s="54" t="s">
        <v>43</v>
      </c>
      <c r="O265" s="49">
        <v>1</v>
      </c>
      <c r="P265" s="43">
        <v>38.86</v>
      </c>
      <c r="Q265" s="49">
        <v>1</v>
      </c>
      <c r="R265" s="44">
        <f>P265/O265</f>
        <v>38.86</v>
      </c>
      <c r="S265" s="49">
        <f>Q265*O265</f>
        <v>1</v>
      </c>
      <c r="T265" s="52">
        <f>S265*R265</f>
        <v>38.86</v>
      </c>
      <c r="U265" s="50"/>
      <c r="V265" s="50"/>
      <c r="W265" s="50"/>
      <c r="X265" s="69"/>
      <c r="Y265" s="69"/>
      <c r="Z265" s="69"/>
      <c r="AA265" s="50"/>
      <c r="AB265" s="50"/>
      <c r="AC265" s="50"/>
      <c r="AD265" s="50"/>
      <c r="AE265" s="50"/>
      <c r="AF265" s="50"/>
      <c r="AG265" s="50"/>
      <c r="AH265" s="50"/>
      <c r="AI265" s="50" t="s">
        <v>652</v>
      </c>
      <c r="AJ265" s="50"/>
      <c r="AK265" s="50"/>
      <c r="AL265" s="44"/>
      <c r="AM265" s="45"/>
      <c r="AN265" s="50"/>
      <c r="AO265" s="69"/>
      <c r="AP265" s="69"/>
      <c r="AQ265" s="69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5"/>
      <c r="BD265" s="56"/>
      <c r="BE265" s="61"/>
      <c r="BF265" s="65"/>
      <c r="BG265" s="66"/>
      <c r="BH265" s="66"/>
      <c r="BI265" s="60"/>
      <c r="BJ265" s="60"/>
      <c r="BK265" s="60"/>
      <c r="BL265" s="60"/>
      <c r="BM265" s="60"/>
      <c r="BN265" s="60"/>
      <c r="BO265" s="60"/>
      <c r="BP265" s="60"/>
      <c r="BQ265" s="60" t="str">
        <f>IF(BS265="Original",AI265,AZ265)</f>
        <v>Low Threshold Spend</v>
      </c>
      <c r="BR265" s="60"/>
      <c r="BS265" s="60" t="str">
        <f>IF(AQ265="","Original",IF(AP265&lt;Y265,"Alternate","Original"))</f>
        <v>Original</v>
      </c>
    </row>
    <row r="266" spans="1:71" s="31" customFormat="1" x14ac:dyDescent="0.35">
      <c r="A266" s="53" t="s">
        <v>39</v>
      </c>
      <c r="B266" s="49">
        <v>264</v>
      </c>
      <c r="C266" s="50"/>
      <c r="D266" s="50"/>
      <c r="E266" s="51"/>
      <c r="F266" s="50" t="s">
        <v>60</v>
      </c>
      <c r="G266" s="50" t="s">
        <v>933</v>
      </c>
      <c r="H266" s="50" t="s">
        <v>934</v>
      </c>
      <c r="I266" s="50"/>
      <c r="J266" s="50"/>
      <c r="K266" s="50"/>
      <c r="L266" s="50"/>
      <c r="M266" s="50"/>
      <c r="N266" s="54" t="s">
        <v>43</v>
      </c>
      <c r="O266" s="49">
        <v>1</v>
      </c>
      <c r="P266" s="43">
        <v>38.81</v>
      </c>
      <c r="Q266" s="49">
        <v>1</v>
      </c>
      <c r="R266" s="44">
        <f>P266/O266</f>
        <v>38.81</v>
      </c>
      <c r="S266" s="49">
        <f>Q266*O266</f>
        <v>1</v>
      </c>
      <c r="T266" s="52">
        <f>S266*R266</f>
        <v>38.81</v>
      </c>
      <c r="U266" s="50"/>
      <c r="V266" s="50"/>
      <c r="W266" s="50"/>
      <c r="X266" s="69"/>
      <c r="Y266" s="69"/>
      <c r="Z266" s="69"/>
      <c r="AA266" s="50"/>
      <c r="AB266" s="50"/>
      <c r="AC266" s="50"/>
      <c r="AD266" s="50"/>
      <c r="AE266" s="50"/>
      <c r="AF266" s="50"/>
      <c r="AG266" s="50"/>
      <c r="AH266" s="50"/>
      <c r="AI266" s="50" t="s">
        <v>652</v>
      </c>
      <c r="AJ266" s="50"/>
      <c r="AK266" s="50"/>
      <c r="AL266" s="44"/>
      <c r="AM266" s="45"/>
      <c r="AN266" s="50"/>
      <c r="AO266" s="69"/>
      <c r="AP266" s="69"/>
      <c r="AQ266" s="69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5"/>
      <c r="BD266" s="56"/>
      <c r="BE266" s="61"/>
      <c r="BF266" s="65"/>
      <c r="BG266" s="66"/>
      <c r="BH266" s="66"/>
      <c r="BI266" s="60"/>
      <c r="BJ266" s="60"/>
      <c r="BK266" s="60"/>
      <c r="BL266" s="60"/>
      <c r="BM266" s="60"/>
      <c r="BN266" s="60"/>
      <c r="BO266" s="60"/>
      <c r="BP266" s="60"/>
      <c r="BQ266" s="60" t="str">
        <f>IF(BS266="Original",AI266,AZ266)</f>
        <v>Low Threshold Spend</v>
      </c>
      <c r="BR266" s="60"/>
      <c r="BS266" s="60" t="str">
        <f>IF(AQ266="","Original",IF(AP266&lt;Y266,"Alternate","Original"))</f>
        <v>Original</v>
      </c>
    </row>
    <row r="267" spans="1:71" s="31" customFormat="1" x14ac:dyDescent="0.35">
      <c r="A267" s="53" t="s">
        <v>39</v>
      </c>
      <c r="B267" s="49">
        <v>265</v>
      </c>
      <c r="C267" s="50"/>
      <c r="D267" s="50"/>
      <c r="E267" s="51"/>
      <c r="F267" s="50" t="s">
        <v>40</v>
      </c>
      <c r="G267" s="50" t="s">
        <v>935</v>
      </c>
      <c r="H267" s="50" t="s">
        <v>936</v>
      </c>
      <c r="I267" s="50"/>
      <c r="J267" s="50"/>
      <c r="K267" s="50"/>
      <c r="L267" s="50"/>
      <c r="M267" s="50"/>
      <c r="N267" s="54" t="s">
        <v>43</v>
      </c>
      <c r="O267" s="49">
        <v>1</v>
      </c>
      <c r="P267" s="43">
        <v>38.69</v>
      </c>
      <c r="Q267" s="49">
        <v>1</v>
      </c>
      <c r="R267" s="44">
        <f>P267/O267</f>
        <v>38.69</v>
      </c>
      <c r="S267" s="49">
        <f>Q267*O267</f>
        <v>1</v>
      </c>
      <c r="T267" s="52">
        <f>S267*R267</f>
        <v>38.69</v>
      </c>
      <c r="U267" s="50"/>
      <c r="V267" s="50"/>
      <c r="W267" s="50"/>
      <c r="X267" s="69"/>
      <c r="Y267" s="69"/>
      <c r="Z267" s="69"/>
      <c r="AA267" s="50"/>
      <c r="AB267" s="50"/>
      <c r="AC267" s="50"/>
      <c r="AD267" s="50"/>
      <c r="AE267" s="50"/>
      <c r="AF267" s="50"/>
      <c r="AG267" s="50"/>
      <c r="AH267" s="50"/>
      <c r="AI267" s="50" t="s">
        <v>652</v>
      </c>
      <c r="AJ267" s="50"/>
      <c r="AK267" s="50"/>
      <c r="AL267" s="44"/>
      <c r="AM267" s="45"/>
      <c r="AN267" s="50"/>
      <c r="AO267" s="69"/>
      <c r="AP267" s="69"/>
      <c r="AQ267" s="69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5"/>
      <c r="BD267" s="56"/>
      <c r="BE267" s="61"/>
      <c r="BF267" s="65"/>
      <c r="BG267" s="66"/>
      <c r="BH267" s="66"/>
      <c r="BI267" s="60"/>
      <c r="BJ267" s="60"/>
      <c r="BK267" s="60"/>
      <c r="BL267" s="60"/>
      <c r="BM267" s="60"/>
      <c r="BN267" s="60"/>
      <c r="BO267" s="60"/>
      <c r="BP267" s="60"/>
      <c r="BQ267" s="60" t="str">
        <f>IF(BS267="Original",AI267,AZ267)</f>
        <v>Low Threshold Spend</v>
      </c>
      <c r="BR267" s="60"/>
      <c r="BS267" s="60" t="str">
        <f>IF(AQ267="","Original",IF(AP267&lt;Y267,"Alternate","Original"))</f>
        <v>Original</v>
      </c>
    </row>
    <row r="268" spans="1:71" s="31" customFormat="1" x14ac:dyDescent="0.35">
      <c r="A268" s="53" t="s">
        <v>39</v>
      </c>
      <c r="B268" s="49">
        <v>266</v>
      </c>
      <c r="C268" s="50"/>
      <c r="D268" s="50"/>
      <c r="E268" s="51"/>
      <c r="F268" s="50" t="s">
        <v>40</v>
      </c>
      <c r="G268" s="50" t="s">
        <v>937</v>
      </c>
      <c r="H268" s="50" t="s">
        <v>938</v>
      </c>
      <c r="I268" s="50"/>
      <c r="J268" s="50"/>
      <c r="K268" s="50"/>
      <c r="L268" s="50"/>
      <c r="M268" s="50"/>
      <c r="N268" s="54" t="s">
        <v>43</v>
      </c>
      <c r="O268" s="49">
        <v>1</v>
      </c>
      <c r="P268" s="43">
        <v>19.28</v>
      </c>
      <c r="Q268" s="49">
        <v>2</v>
      </c>
      <c r="R268" s="44">
        <f>P268/O268</f>
        <v>19.28</v>
      </c>
      <c r="S268" s="49">
        <f>Q268*O268</f>
        <v>2</v>
      </c>
      <c r="T268" s="52">
        <f>S268*R268</f>
        <v>38.56</v>
      </c>
      <c r="U268" s="50"/>
      <c r="V268" s="50"/>
      <c r="W268" s="50"/>
      <c r="X268" s="69"/>
      <c r="Y268" s="69"/>
      <c r="Z268" s="69"/>
      <c r="AA268" s="50"/>
      <c r="AB268" s="50"/>
      <c r="AC268" s="50"/>
      <c r="AD268" s="50"/>
      <c r="AE268" s="50"/>
      <c r="AF268" s="50"/>
      <c r="AG268" s="50"/>
      <c r="AH268" s="50"/>
      <c r="AI268" s="50" t="s">
        <v>652</v>
      </c>
      <c r="AJ268" s="50"/>
      <c r="AK268" s="50"/>
      <c r="AL268" s="44"/>
      <c r="AM268" s="45"/>
      <c r="AN268" s="50"/>
      <c r="AO268" s="69"/>
      <c r="AP268" s="69"/>
      <c r="AQ268" s="69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5"/>
      <c r="BD268" s="56"/>
      <c r="BE268" s="61"/>
      <c r="BF268" s="65"/>
      <c r="BG268" s="66"/>
      <c r="BH268" s="66"/>
      <c r="BI268" s="60"/>
      <c r="BJ268" s="60"/>
      <c r="BK268" s="60"/>
      <c r="BL268" s="60"/>
      <c r="BM268" s="60"/>
      <c r="BN268" s="60"/>
      <c r="BO268" s="60"/>
      <c r="BP268" s="60"/>
      <c r="BQ268" s="60" t="str">
        <f>IF(BS268="Original",AI268,AZ268)</f>
        <v>Low Threshold Spend</v>
      </c>
      <c r="BR268" s="60"/>
      <c r="BS268" s="60" t="str">
        <f>IF(AQ268="","Original",IF(AP268&lt;Y268,"Alternate","Original"))</f>
        <v>Original</v>
      </c>
    </row>
    <row r="269" spans="1:71" s="31" customFormat="1" x14ac:dyDescent="0.35">
      <c r="A269" s="53" t="s">
        <v>39</v>
      </c>
      <c r="B269" s="49">
        <v>267</v>
      </c>
      <c r="C269" s="50"/>
      <c r="D269" s="50"/>
      <c r="E269" s="51"/>
      <c r="F269" s="50" t="s">
        <v>40</v>
      </c>
      <c r="G269" s="50" t="s">
        <v>939</v>
      </c>
      <c r="H269" s="50" t="s">
        <v>940</v>
      </c>
      <c r="I269" s="50"/>
      <c r="J269" s="50"/>
      <c r="K269" s="50"/>
      <c r="L269" s="50"/>
      <c r="M269" s="50"/>
      <c r="N269" s="54" t="s">
        <v>43</v>
      </c>
      <c r="O269" s="49">
        <v>1</v>
      </c>
      <c r="P269" s="43">
        <v>38.56</v>
      </c>
      <c r="Q269" s="49">
        <v>1</v>
      </c>
      <c r="R269" s="44">
        <f>P269/O269</f>
        <v>38.56</v>
      </c>
      <c r="S269" s="49">
        <f>Q269*O269</f>
        <v>1</v>
      </c>
      <c r="T269" s="52">
        <f>S269*R269</f>
        <v>38.56</v>
      </c>
      <c r="U269" s="50"/>
      <c r="V269" s="50"/>
      <c r="W269" s="50"/>
      <c r="X269" s="69"/>
      <c r="Y269" s="69"/>
      <c r="Z269" s="69"/>
      <c r="AA269" s="50"/>
      <c r="AB269" s="50"/>
      <c r="AC269" s="50"/>
      <c r="AD269" s="50"/>
      <c r="AE269" s="50"/>
      <c r="AF269" s="50"/>
      <c r="AG269" s="50"/>
      <c r="AH269" s="50"/>
      <c r="AI269" s="50" t="s">
        <v>652</v>
      </c>
      <c r="AJ269" s="50"/>
      <c r="AK269" s="50"/>
      <c r="AL269" s="44"/>
      <c r="AM269" s="45"/>
      <c r="AN269" s="50"/>
      <c r="AO269" s="69"/>
      <c r="AP269" s="69"/>
      <c r="AQ269" s="69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5"/>
      <c r="BD269" s="56"/>
      <c r="BE269" s="61"/>
      <c r="BF269" s="65"/>
      <c r="BG269" s="66"/>
      <c r="BH269" s="66"/>
      <c r="BI269" s="60"/>
      <c r="BJ269" s="60"/>
      <c r="BK269" s="60"/>
      <c r="BL269" s="60"/>
      <c r="BM269" s="60"/>
      <c r="BN269" s="60"/>
      <c r="BO269" s="60"/>
      <c r="BP269" s="60"/>
      <c r="BQ269" s="60" t="str">
        <f>IF(BS269="Original",AI269,AZ269)</f>
        <v>Low Threshold Spend</v>
      </c>
      <c r="BR269" s="60"/>
      <c r="BS269" s="60" t="str">
        <f>IF(AQ269="","Original",IF(AP269&lt;Y269,"Alternate","Original"))</f>
        <v>Original</v>
      </c>
    </row>
    <row r="270" spans="1:71" s="31" customFormat="1" x14ac:dyDescent="0.35">
      <c r="A270" s="53" t="s">
        <v>39</v>
      </c>
      <c r="B270" s="49">
        <v>268</v>
      </c>
      <c r="C270" s="50"/>
      <c r="D270" s="50"/>
      <c r="E270" s="51"/>
      <c r="F270" s="50" t="s">
        <v>40</v>
      </c>
      <c r="G270" s="50" t="s">
        <v>941</v>
      </c>
      <c r="H270" s="50" t="s">
        <v>942</v>
      </c>
      <c r="I270" s="50"/>
      <c r="J270" s="50"/>
      <c r="K270" s="50"/>
      <c r="L270" s="50"/>
      <c r="M270" s="50"/>
      <c r="N270" s="54" t="s">
        <v>43</v>
      </c>
      <c r="O270" s="49">
        <v>1</v>
      </c>
      <c r="P270" s="43">
        <v>38.409999999999997</v>
      </c>
      <c r="Q270" s="49">
        <v>1</v>
      </c>
      <c r="R270" s="44">
        <f>P270/O270</f>
        <v>38.409999999999997</v>
      </c>
      <c r="S270" s="49">
        <f>Q270*O270</f>
        <v>1</v>
      </c>
      <c r="T270" s="52">
        <f>S270*R270</f>
        <v>38.409999999999997</v>
      </c>
      <c r="U270" s="50"/>
      <c r="V270" s="50"/>
      <c r="W270" s="50"/>
      <c r="X270" s="69"/>
      <c r="Y270" s="69"/>
      <c r="Z270" s="69"/>
      <c r="AA270" s="50"/>
      <c r="AB270" s="50"/>
      <c r="AC270" s="50"/>
      <c r="AD270" s="50"/>
      <c r="AE270" s="50"/>
      <c r="AF270" s="50"/>
      <c r="AG270" s="50"/>
      <c r="AH270" s="50"/>
      <c r="AI270" s="50" t="s">
        <v>652</v>
      </c>
      <c r="AJ270" s="50"/>
      <c r="AK270" s="50"/>
      <c r="AL270" s="44"/>
      <c r="AM270" s="45"/>
      <c r="AN270" s="50"/>
      <c r="AO270" s="69"/>
      <c r="AP270" s="69"/>
      <c r="AQ270" s="69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5"/>
      <c r="BD270" s="56"/>
      <c r="BE270" s="61"/>
      <c r="BF270" s="65"/>
      <c r="BG270" s="66"/>
      <c r="BH270" s="66"/>
      <c r="BI270" s="60"/>
      <c r="BJ270" s="60"/>
      <c r="BK270" s="60"/>
      <c r="BL270" s="60"/>
      <c r="BM270" s="60"/>
      <c r="BN270" s="60"/>
      <c r="BO270" s="60"/>
      <c r="BP270" s="60"/>
      <c r="BQ270" s="60" t="str">
        <f>IF(BS270="Original",AI270,AZ270)</f>
        <v>Low Threshold Spend</v>
      </c>
      <c r="BR270" s="60"/>
      <c r="BS270" s="60" t="str">
        <f>IF(AQ270="","Original",IF(AP270&lt;Y270,"Alternate","Original"))</f>
        <v>Original</v>
      </c>
    </row>
    <row r="271" spans="1:71" s="31" customFormat="1" x14ac:dyDescent="0.35">
      <c r="A271" s="53" t="s">
        <v>39</v>
      </c>
      <c r="B271" s="49">
        <v>269</v>
      </c>
      <c r="C271" s="50"/>
      <c r="D271" s="50"/>
      <c r="E271" s="51"/>
      <c r="F271" s="50" t="s">
        <v>40</v>
      </c>
      <c r="G271" s="50" t="s">
        <v>943</v>
      </c>
      <c r="H271" s="50" t="s">
        <v>944</v>
      </c>
      <c r="I271" s="50"/>
      <c r="J271" s="50"/>
      <c r="K271" s="50"/>
      <c r="L271" s="50"/>
      <c r="M271" s="50"/>
      <c r="N271" s="54" t="s">
        <v>43</v>
      </c>
      <c r="O271" s="49">
        <v>1</v>
      </c>
      <c r="P271" s="43">
        <v>38.4</v>
      </c>
      <c r="Q271" s="49">
        <v>1</v>
      </c>
      <c r="R271" s="44">
        <f>P271/O271</f>
        <v>38.4</v>
      </c>
      <c r="S271" s="49">
        <f>Q271*O271</f>
        <v>1</v>
      </c>
      <c r="T271" s="52">
        <f>S271*R271</f>
        <v>38.4</v>
      </c>
      <c r="U271" s="50"/>
      <c r="V271" s="50"/>
      <c r="W271" s="50"/>
      <c r="X271" s="69"/>
      <c r="Y271" s="69"/>
      <c r="Z271" s="69"/>
      <c r="AA271" s="50"/>
      <c r="AB271" s="50"/>
      <c r="AC271" s="50"/>
      <c r="AD271" s="50"/>
      <c r="AE271" s="50"/>
      <c r="AF271" s="50"/>
      <c r="AG271" s="50"/>
      <c r="AH271" s="50"/>
      <c r="AI271" s="50" t="s">
        <v>652</v>
      </c>
      <c r="AJ271" s="50"/>
      <c r="AK271" s="50"/>
      <c r="AL271" s="44"/>
      <c r="AM271" s="45"/>
      <c r="AN271" s="50"/>
      <c r="AO271" s="69"/>
      <c r="AP271" s="69"/>
      <c r="AQ271" s="69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5"/>
      <c r="BD271" s="56"/>
      <c r="BE271" s="61"/>
      <c r="BF271" s="65"/>
      <c r="BG271" s="66"/>
      <c r="BH271" s="66"/>
      <c r="BI271" s="60"/>
      <c r="BJ271" s="60"/>
      <c r="BK271" s="60"/>
      <c r="BL271" s="60"/>
      <c r="BM271" s="60"/>
      <c r="BN271" s="60"/>
      <c r="BO271" s="60"/>
      <c r="BP271" s="60"/>
      <c r="BQ271" s="60" t="str">
        <f>IF(BS271="Original",AI271,AZ271)</f>
        <v>Low Threshold Spend</v>
      </c>
      <c r="BR271" s="60"/>
      <c r="BS271" s="60" t="str">
        <f>IF(AQ271="","Original",IF(AP271&lt;Y271,"Alternate","Original"))</f>
        <v>Original</v>
      </c>
    </row>
    <row r="272" spans="1:71" s="31" customFormat="1" x14ac:dyDescent="0.35">
      <c r="A272" s="53" t="s">
        <v>39</v>
      </c>
      <c r="B272" s="49">
        <v>270</v>
      </c>
      <c r="C272" s="50"/>
      <c r="D272" s="50"/>
      <c r="E272" s="51"/>
      <c r="F272" s="50" t="s">
        <v>60</v>
      </c>
      <c r="G272" s="50" t="s">
        <v>945</v>
      </c>
      <c r="H272" s="50" t="s">
        <v>946</v>
      </c>
      <c r="I272" s="50"/>
      <c r="J272" s="50"/>
      <c r="K272" s="50"/>
      <c r="L272" s="50"/>
      <c r="M272" s="50"/>
      <c r="N272" s="54" t="s">
        <v>43</v>
      </c>
      <c r="O272" s="49">
        <v>1</v>
      </c>
      <c r="P272" s="43">
        <v>38.33</v>
      </c>
      <c r="Q272" s="49">
        <v>1</v>
      </c>
      <c r="R272" s="44">
        <f>P272/O272</f>
        <v>38.33</v>
      </c>
      <c r="S272" s="49">
        <f>Q272*O272</f>
        <v>1</v>
      </c>
      <c r="T272" s="52">
        <f>S272*R272</f>
        <v>38.33</v>
      </c>
      <c r="U272" s="50"/>
      <c r="V272" s="50"/>
      <c r="W272" s="50"/>
      <c r="X272" s="69"/>
      <c r="Y272" s="69"/>
      <c r="Z272" s="69"/>
      <c r="AA272" s="50"/>
      <c r="AB272" s="50"/>
      <c r="AC272" s="50"/>
      <c r="AD272" s="50"/>
      <c r="AE272" s="50"/>
      <c r="AF272" s="50"/>
      <c r="AG272" s="50"/>
      <c r="AH272" s="50"/>
      <c r="AI272" s="50" t="s">
        <v>652</v>
      </c>
      <c r="AJ272" s="50"/>
      <c r="AK272" s="50"/>
      <c r="AL272" s="44"/>
      <c r="AM272" s="45"/>
      <c r="AN272" s="50"/>
      <c r="AO272" s="69"/>
      <c r="AP272" s="69"/>
      <c r="AQ272" s="69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5"/>
      <c r="BD272" s="56"/>
      <c r="BE272" s="61"/>
      <c r="BF272" s="65"/>
      <c r="BG272" s="66"/>
      <c r="BH272" s="66"/>
      <c r="BI272" s="60"/>
      <c r="BJ272" s="60"/>
      <c r="BK272" s="60"/>
      <c r="BL272" s="60"/>
      <c r="BM272" s="60"/>
      <c r="BN272" s="60"/>
      <c r="BO272" s="60"/>
      <c r="BP272" s="60"/>
      <c r="BQ272" s="60" t="str">
        <f>IF(BS272="Original",AI272,AZ272)</f>
        <v>Low Threshold Spend</v>
      </c>
      <c r="BR272" s="60"/>
      <c r="BS272" s="60" t="str">
        <f>IF(AQ272="","Original",IF(AP272&lt;Y272,"Alternate","Original"))</f>
        <v>Original</v>
      </c>
    </row>
    <row r="273" spans="1:71" s="31" customFormat="1" x14ac:dyDescent="0.35">
      <c r="A273" s="53" t="s">
        <v>39</v>
      </c>
      <c r="B273" s="49">
        <v>271</v>
      </c>
      <c r="C273" s="50"/>
      <c r="D273" s="50"/>
      <c r="E273" s="51"/>
      <c r="F273" s="50" t="s">
        <v>60</v>
      </c>
      <c r="G273" s="50" t="s">
        <v>947</v>
      </c>
      <c r="H273" s="50" t="s">
        <v>948</v>
      </c>
      <c r="I273" s="50"/>
      <c r="J273" s="50"/>
      <c r="K273" s="50"/>
      <c r="L273" s="50"/>
      <c r="M273" s="50"/>
      <c r="N273" s="54" t="s">
        <v>43</v>
      </c>
      <c r="O273" s="49">
        <v>1</v>
      </c>
      <c r="P273" s="43">
        <v>38.21</v>
      </c>
      <c r="Q273" s="49">
        <v>1</v>
      </c>
      <c r="R273" s="44">
        <f>P273/O273</f>
        <v>38.21</v>
      </c>
      <c r="S273" s="49">
        <f>Q273*O273</f>
        <v>1</v>
      </c>
      <c r="T273" s="52">
        <f>S273*R273</f>
        <v>38.21</v>
      </c>
      <c r="U273" s="50"/>
      <c r="V273" s="50"/>
      <c r="W273" s="50"/>
      <c r="X273" s="69"/>
      <c r="Y273" s="69"/>
      <c r="Z273" s="69"/>
      <c r="AA273" s="50"/>
      <c r="AB273" s="50"/>
      <c r="AC273" s="50"/>
      <c r="AD273" s="50"/>
      <c r="AE273" s="50"/>
      <c r="AF273" s="50"/>
      <c r="AG273" s="50"/>
      <c r="AH273" s="50"/>
      <c r="AI273" s="50" t="s">
        <v>652</v>
      </c>
      <c r="AJ273" s="50"/>
      <c r="AK273" s="50"/>
      <c r="AL273" s="44"/>
      <c r="AM273" s="45"/>
      <c r="AN273" s="50"/>
      <c r="AO273" s="69"/>
      <c r="AP273" s="69"/>
      <c r="AQ273" s="69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5"/>
      <c r="BD273" s="56"/>
      <c r="BE273" s="61"/>
      <c r="BF273" s="65"/>
      <c r="BG273" s="66"/>
      <c r="BH273" s="66"/>
      <c r="BI273" s="60"/>
      <c r="BJ273" s="60"/>
      <c r="BK273" s="60"/>
      <c r="BL273" s="60"/>
      <c r="BM273" s="60"/>
      <c r="BN273" s="60"/>
      <c r="BO273" s="60"/>
      <c r="BP273" s="60"/>
      <c r="BQ273" s="60" t="str">
        <f>IF(BS273="Original",AI273,AZ273)</f>
        <v>Low Threshold Spend</v>
      </c>
      <c r="BR273" s="60"/>
      <c r="BS273" s="60" t="str">
        <f>IF(AQ273="","Original",IF(AP273&lt;Y273,"Alternate","Original"))</f>
        <v>Original</v>
      </c>
    </row>
    <row r="274" spans="1:71" s="31" customFormat="1" x14ac:dyDescent="0.35">
      <c r="A274" s="53" t="s">
        <v>39</v>
      </c>
      <c r="B274" s="49">
        <v>272</v>
      </c>
      <c r="C274" s="50"/>
      <c r="D274" s="50"/>
      <c r="E274" s="51"/>
      <c r="F274" s="50" t="s">
        <v>60</v>
      </c>
      <c r="G274" s="50" t="s">
        <v>949</v>
      </c>
      <c r="H274" s="50" t="s">
        <v>950</v>
      </c>
      <c r="I274" s="50"/>
      <c r="J274" s="50"/>
      <c r="K274" s="50"/>
      <c r="L274" s="50"/>
      <c r="M274" s="50"/>
      <c r="N274" s="54" t="s">
        <v>43</v>
      </c>
      <c r="O274" s="49">
        <v>1</v>
      </c>
      <c r="P274" s="43">
        <v>37.51</v>
      </c>
      <c r="Q274" s="49">
        <v>1</v>
      </c>
      <c r="R274" s="44">
        <f>P274/O274</f>
        <v>37.51</v>
      </c>
      <c r="S274" s="49">
        <f>Q274*O274</f>
        <v>1</v>
      </c>
      <c r="T274" s="52">
        <f>S274*R274</f>
        <v>37.51</v>
      </c>
      <c r="U274" s="50"/>
      <c r="V274" s="50"/>
      <c r="W274" s="50"/>
      <c r="X274" s="69"/>
      <c r="Y274" s="69"/>
      <c r="Z274" s="69"/>
      <c r="AA274" s="50"/>
      <c r="AB274" s="50"/>
      <c r="AC274" s="50"/>
      <c r="AD274" s="50"/>
      <c r="AE274" s="50"/>
      <c r="AF274" s="50"/>
      <c r="AG274" s="50"/>
      <c r="AH274" s="50"/>
      <c r="AI274" s="50" t="s">
        <v>652</v>
      </c>
      <c r="AJ274" s="50"/>
      <c r="AK274" s="50"/>
      <c r="AL274" s="44"/>
      <c r="AM274" s="45"/>
      <c r="AN274" s="50"/>
      <c r="AO274" s="69"/>
      <c r="AP274" s="69"/>
      <c r="AQ274" s="69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5"/>
      <c r="BD274" s="56"/>
      <c r="BE274" s="61"/>
      <c r="BF274" s="65"/>
      <c r="BG274" s="66"/>
      <c r="BH274" s="66"/>
      <c r="BI274" s="60"/>
      <c r="BJ274" s="60"/>
      <c r="BK274" s="60"/>
      <c r="BL274" s="60"/>
      <c r="BM274" s="60"/>
      <c r="BN274" s="60"/>
      <c r="BO274" s="60"/>
      <c r="BP274" s="60"/>
      <c r="BQ274" s="60" t="str">
        <f>IF(BS274="Original",AI274,AZ274)</f>
        <v>Low Threshold Spend</v>
      </c>
      <c r="BR274" s="60"/>
      <c r="BS274" s="60" t="str">
        <f>IF(AQ274="","Original",IF(AP274&lt;Y274,"Alternate","Original"))</f>
        <v>Original</v>
      </c>
    </row>
    <row r="275" spans="1:71" s="31" customFormat="1" x14ac:dyDescent="0.35">
      <c r="A275" s="53" t="s">
        <v>39</v>
      </c>
      <c r="B275" s="49">
        <v>273</v>
      </c>
      <c r="C275" s="50"/>
      <c r="D275" s="50"/>
      <c r="E275" s="51"/>
      <c r="F275" s="50" t="s">
        <v>60</v>
      </c>
      <c r="G275" s="50" t="s">
        <v>951</v>
      </c>
      <c r="H275" s="50" t="s">
        <v>952</v>
      </c>
      <c r="I275" s="50"/>
      <c r="J275" s="50"/>
      <c r="K275" s="50"/>
      <c r="L275" s="50"/>
      <c r="M275" s="50"/>
      <c r="N275" s="54" t="s">
        <v>43</v>
      </c>
      <c r="O275" s="49">
        <v>1</v>
      </c>
      <c r="P275" s="43">
        <v>37.450000000000003</v>
      </c>
      <c r="Q275" s="49">
        <v>1</v>
      </c>
      <c r="R275" s="44">
        <f>P275/O275</f>
        <v>37.450000000000003</v>
      </c>
      <c r="S275" s="49">
        <f>Q275*O275</f>
        <v>1</v>
      </c>
      <c r="T275" s="52">
        <f>S275*R275</f>
        <v>37.450000000000003</v>
      </c>
      <c r="U275" s="50"/>
      <c r="V275" s="50"/>
      <c r="W275" s="50"/>
      <c r="X275" s="69"/>
      <c r="Y275" s="69"/>
      <c r="Z275" s="69"/>
      <c r="AA275" s="50"/>
      <c r="AB275" s="50"/>
      <c r="AC275" s="50"/>
      <c r="AD275" s="50"/>
      <c r="AE275" s="50"/>
      <c r="AF275" s="50"/>
      <c r="AG275" s="50"/>
      <c r="AH275" s="50"/>
      <c r="AI275" s="50" t="s">
        <v>652</v>
      </c>
      <c r="AJ275" s="50"/>
      <c r="AK275" s="50"/>
      <c r="AL275" s="44"/>
      <c r="AM275" s="45"/>
      <c r="AN275" s="50"/>
      <c r="AO275" s="69"/>
      <c r="AP275" s="69"/>
      <c r="AQ275" s="69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5"/>
      <c r="BD275" s="56"/>
      <c r="BE275" s="61"/>
      <c r="BF275" s="65"/>
      <c r="BG275" s="66"/>
      <c r="BH275" s="66"/>
      <c r="BI275" s="60"/>
      <c r="BJ275" s="60"/>
      <c r="BK275" s="60"/>
      <c r="BL275" s="60"/>
      <c r="BM275" s="60"/>
      <c r="BN275" s="60"/>
      <c r="BO275" s="60"/>
      <c r="BP275" s="60"/>
      <c r="BQ275" s="60" t="str">
        <f>IF(BS275="Original",AI275,AZ275)</f>
        <v>Low Threshold Spend</v>
      </c>
      <c r="BR275" s="60"/>
      <c r="BS275" s="60" t="str">
        <f>IF(AQ275="","Original",IF(AP275&lt;Y275,"Alternate","Original"))</f>
        <v>Original</v>
      </c>
    </row>
    <row r="276" spans="1:71" s="31" customFormat="1" x14ac:dyDescent="0.35">
      <c r="A276" s="53" t="s">
        <v>39</v>
      </c>
      <c r="B276" s="49">
        <v>274</v>
      </c>
      <c r="C276" s="50"/>
      <c r="D276" s="50"/>
      <c r="E276" s="51"/>
      <c r="F276" s="50" t="s">
        <v>49</v>
      </c>
      <c r="G276" s="50" t="s">
        <v>953</v>
      </c>
      <c r="H276" s="50" t="s">
        <v>954</v>
      </c>
      <c r="I276" s="50"/>
      <c r="J276" s="50"/>
      <c r="K276" s="50"/>
      <c r="L276" s="50"/>
      <c r="M276" s="50"/>
      <c r="N276" s="54" t="s">
        <v>43</v>
      </c>
      <c r="O276" s="49">
        <v>1</v>
      </c>
      <c r="P276" s="43">
        <v>37.36</v>
      </c>
      <c r="Q276" s="49">
        <v>1</v>
      </c>
      <c r="R276" s="44">
        <f>P276/O276</f>
        <v>37.36</v>
      </c>
      <c r="S276" s="49">
        <f>Q276*O276</f>
        <v>1</v>
      </c>
      <c r="T276" s="52">
        <f>S276*R276</f>
        <v>37.36</v>
      </c>
      <c r="U276" s="50"/>
      <c r="V276" s="50"/>
      <c r="W276" s="50"/>
      <c r="X276" s="69"/>
      <c r="Y276" s="69"/>
      <c r="Z276" s="69"/>
      <c r="AA276" s="50"/>
      <c r="AB276" s="50"/>
      <c r="AC276" s="50"/>
      <c r="AD276" s="50"/>
      <c r="AE276" s="50"/>
      <c r="AF276" s="50"/>
      <c r="AG276" s="50"/>
      <c r="AH276" s="50"/>
      <c r="AI276" s="50" t="s">
        <v>652</v>
      </c>
      <c r="AJ276" s="50"/>
      <c r="AK276" s="50"/>
      <c r="AL276" s="44"/>
      <c r="AM276" s="45"/>
      <c r="AN276" s="50"/>
      <c r="AO276" s="69"/>
      <c r="AP276" s="69"/>
      <c r="AQ276" s="69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5"/>
      <c r="BD276" s="56"/>
      <c r="BE276" s="61"/>
      <c r="BF276" s="65"/>
      <c r="BG276" s="66"/>
      <c r="BH276" s="66"/>
      <c r="BI276" s="60"/>
      <c r="BJ276" s="60"/>
      <c r="BK276" s="60"/>
      <c r="BL276" s="60"/>
      <c r="BM276" s="60"/>
      <c r="BN276" s="60"/>
      <c r="BO276" s="60"/>
      <c r="BP276" s="60"/>
      <c r="BQ276" s="60" t="str">
        <f>IF(BS276="Original",AI276,AZ276)</f>
        <v>Low Threshold Spend</v>
      </c>
      <c r="BR276" s="60"/>
      <c r="BS276" s="60" t="str">
        <f>IF(AQ276="","Original",IF(AP276&lt;Y276,"Alternate","Original"))</f>
        <v>Original</v>
      </c>
    </row>
    <row r="277" spans="1:71" s="31" customFormat="1" x14ac:dyDescent="0.35">
      <c r="A277" s="53" t="s">
        <v>39</v>
      </c>
      <c r="B277" s="49">
        <v>275</v>
      </c>
      <c r="C277" s="50"/>
      <c r="D277" s="50"/>
      <c r="E277" s="51"/>
      <c r="F277" s="50" t="s">
        <v>60</v>
      </c>
      <c r="G277" s="50" t="s">
        <v>955</v>
      </c>
      <c r="H277" s="50" t="s">
        <v>956</v>
      </c>
      <c r="I277" s="50"/>
      <c r="J277" s="50"/>
      <c r="K277" s="50"/>
      <c r="L277" s="50"/>
      <c r="M277" s="50"/>
      <c r="N277" s="54" t="s">
        <v>43</v>
      </c>
      <c r="O277" s="49">
        <v>1</v>
      </c>
      <c r="P277" s="43">
        <v>37.29</v>
      </c>
      <c r="Q277" s="49">
        <v>1</v>
      </c>
      <c r="R277" s="44">
        <f>P277/O277</f>
        <v>37.29</v>
      </c>
      <c r="S277" s="49">
        <f>Q277*O277</f>
        <v>1</v>
      </c>
      <c r="T277" s="52">
        <f>S277*R277</f>
        <v>37.29</v>
      </c>
      <c r="U277" s="50"/>
      <c r="V277" s="50"/>
      <c r="W277" s="50"/>
      <c r="X277" s="69"/>
      <c r="Y277" s="69"/>
      <c r="Z277" s="69"/>
      <c r="AA277" s="50"/>
      <c r="AB277" s="50"/>
      <c r="AC277" s="50"/>
      <c r="AD277" s="50"/>
      <c r="AE277" s="50"/>
      <c r="AF277" s="50"/>
      <c r="AG277" s="50"/>
      <c r="AH277" s="50"/>
      <c r="AI277" s="50" t="s">
        <v>652</v>
      </c>
      <c r="AJ277" s="50"/>
      <c r="AK277" s="50"/>
      <c r="AL277" s="44"/>
      <c r="AM277" s="45"/>
      <c r="AN277" s="50"/>
      <c r="AO277" s="69"/>
      <c r="AP277" s="69"/>
      <c r="AQ277" s="69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5"/>
      <c r="BD277" s="56"/>
      <c r="BE277" s="61"/>
      <c r="BF277" s="65"/>
      <c r="BG277" s="66"/>
      <c r="BH277" s="66"/>
      <c r="BI277" s="60"/>
      <c r="BJ277" s="60"/>
      <c r="BK277" s="60"/>
      <c r="BL277" s="60"/>
      <c r="BM277" s="60"/>
      <c r="BN277" s="60"/>
      <c r="BO277" s="60"/>
      <c r="BP277" s="60"/>
      <c r="BQ277" s="60" t="str">
        <f>IF(BS277="Original",AI277,AZ277)</f>
        <v>Low Threshold Spend</v>
      </c>
      <c r="BR277" s="60"/>
      <c r="BS277" s="60" t="str">
        <f>IF(AQ277="","Original",IF(AP277&lt;Y277,"Alternate","Original"))</f>
        <v>Original</v>
      </c>
    </row>
    <row r="278" spans="1:71" s="31" customFormat="1" x14ac:dyDescent="0.35">
      <c r="A278" s="53" t="s">
        <v>39</v>
      </c>
      <c r="B278" s="49">
        <v>276</v>
      </c>
      <c r="C278" s="50"/>
      <c r="D278" s="50"/>
      <c r="E278" s="51"/>
      <c r="F278" s="50" t="s">
        <v>49</v>
      </c>
      <c r="G278" s="50" t="s">
        <v>957</v>
      </c>
      <c r="H278" s="50" t="s">
        <v>821</v>
      </c>
      <c r="I278" s="50"/>
      <c r="J278" s="50"/>
      <c r="K278" s="50"/>
      <c r="L278" s="50"/>
      <c r="M278" s="50"/>
      <c r="N278" s="54" t="s">
        <v>43</v>
      </c>
      <c r="O278" s="49">
        <v>1</v>
      </c>
      <c r="P278" s="43">
        <v>36.49</v>
      </c>
      <c r="Q278" s="49">
        <v>1</v>
      </c>
      <c r="R278" s="44">
        <f>P278/O278</f>
        <v>36.49</v>
      </c>
      <c r="S278" s="49">
        <f>Q278*O278</f>
        <v>1</v>
      </c>
      <c r="T278" s="52">
        <f>S278*R278</f>
        <v>36.49</v>
      </c>
      <c r="U278" s="50"/>
      <c r="V278" s="50"/>
      <c r="W278" s="50"/>
      <c r="X278" s="69"/>
      <c r="Y278" s="69"/>
      <c r="Z278" s="69"/>
      <c r="AA278" s="50"/>
      <c r="AB278" s="50"/>
      <c r="AC278" s="50"/>
      <c r="AD278" s="50"/>
      <c r="AE278" s="50"/>
      <c r="AF278" s="50"/>
      <c r="AG278" s="50"/>
      <c r="AH278" s="50"/>
      <c r="AI278" s="50" t="s">
        <v>652</v>
      </c>
      <c r="AJ278" s="50"/>
      <c r="AK278" s="50"/>
      <c r="AL278" s="44"/>
      <c r="AM278" s="45"/>
      <c r="AN278" s="50"/>
      <c r="AO278" s="69"/>
      <c r="AP278" s="69"/>
      <c r="AQ278" s="69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5"/>
      <c r="BD278" s="56"/>
      <c r="BE278" s="61"/>
      <c r="BF278" s="65"/>
      <c r="BG278" s="66"/>
      <c r="BH278" s="66"/>
      <c r="BI278" s="60"/>
      <c r="BJ278" s="60"/>
      <c r="BK278" s="60"/>
      <c r="BL278" s="60"/>
      <c r="BM278" s="60"/>
      <c r="BN278" s="60"/>
      <c r="BO278" s="60"/>
      <c r="BP278" s="60"/>
      <c r="BQ278" s="60" t="str">
        <f>IF(BS278="Original",AI278,AZ278)</f>
        <v>Low Threshold Spend</v>
      </c>
      <c r="BR278" s="60"/>
      <c r="BS278" s="60" t="str">
        <f>IF(AQ278="","Original",IF(AP278&lt;Y278,"Alternate","Original"))</f>
        <v>Original</v>
      </c>
    </row>
    <row r="279" spans="1:71" s="31" customFormat="1" x14ac:dyDescent="0.35">
      <c r="A279" s="53" t="s">
        <v>39</v>
      </c>
      <c r="B279" s="49">
        <v>277</v>
      </c>
      <c r="C279" s="50"/>
      <c r="D279" s="50"/>
      <c r="E279" s="51"/>
      <c r="F279" s="50" t="s">
        <v>60</v>
      </c>
      <c r="G279" s="50" t="s">
        <v>958</v>
      </c>
      <c r="H279" s="50" t="s">
        <v>959</v>
      </c>
      <c r="I279" s="50"/>
      <c r="J279" s="50"/>
      <c r="K279" s="50"/>
      <c r="L279" s="50"/>
      <c r="M279" s="50"/>
      <c r="N279" s="54" t="s">
        <v>43</v>
      </c>
      <c r="O279" s="49">
        <v>1</v>
      </c>
      <c r="P279" s="43">
        <v>35.72</v>
      </c>
      <c r="Q279" s="49">
        <v>1</v>
      </c>
      <c r="R279" s="44">
        <f>P279/O279</f>
        <v>35.72</v>
      </c>
      <c r="S279" s="49">
        <f>Q279*O279</f>
        <v>1</v>
      </c>
      <c r="T279" s="52">
        <f>S279*R279</f>
        <v>35.72</v>
      </c>
      <c r="U279" s="50"/>
      <c r="V279" s="50"/>
      <c r="W279" s="50"/>
      <c r="X279" s="69"/>
      <c r="Y279" s="69"/>
      <c r="Z279" s="69"/>
      <c r="AA279" s="50"/>
      <c r="AB279" s="50"/>
      <c r="AC279" s="50"/>
      <c r="AD279" s="50"/>
      <c r="AE279" s="50"/>
      <c r="AF279" s="50"/>
      <c r="AG279" s="50"/>
      <c r="AH279" s="50"/>
      <c r="AI279" s="50" t="s">
        <v>652</v>
      </c>
      <c r="AJ279" s="50"/>
      <c r="AK279" s="50"/>
      <c r="AL279" s="44"/>
      <c r="AM279" s="45"/>
      <c r="AN279" s="50"/>
      <c r="AO279" s="69"/>
      <c r="AP279" s="69"/>
      <c r="AQ279" s="69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5"/>
      <c r="BD279" s="56"/>
      <c r="BE279" s="61"/>
      <c r="BF279" s="65"/>
      <c r="BG279" s="66"/>
      <c r="BH279" s="66"/>
      <c r="BI279" s="60"/>
      <c r="BJ279" s="60"/>
      <c r="BK279" s="60"/>
      <c r="BL279" s="60"/>
      <c r="BM279" s="60"/>
      <c r="BN279" s="60"/>
      <c r="BO279" s="60"/>
      <c r="BP279" s="60"/>
      <c r="BQ279" s="60" t="str">
        <f>IF(BS279="Original",AI279,AZ279)</f>
        <v>Low Threshold Spend</v>
      </c>
      <c r="BR279" s="60"/>
      <c r="BS279" s="60" t="str">
        <f>IF(AQ279="","Original",IF(AP279&lt;Y279,"Alternate","Original"))</f>
        <v>Original</v>
      </c>
    </row>
    <row r="280" spans="1:71" s="31" customFormat="1" x14ac:dyDescent="0.35">
      <c r="A280" s="53" t="s">
        <v>39</v>
      </c>
      <c r="B280" s="49">
        <v>278</v>
      </c>
      <c r="C280" s="50"/>
      <c r="D280" s="50"/>
      <c r="E280" s="51"/>
      <c r="F280" s="50" t="s">
        <v>60</v>
      </c>
      <c r="G280" s="50" t="s">
        <v>960</v>
      </c>
      <c r="H280" s="50" t="s">
        <v>961</v>
      </c>
      <c r="I280" s="50"/>
      <c r="J280" s="50"/>
      <c r="K280" s="50"/>
      <c r="L280" s="50"/>
      <c r="M280" s="50"/>
      <c r="N280" s="54" t="s">
        <v>43</v>
      </c>
      <c r="O280" s="49">
        <v>1</v>
      </c>
      <c r="P280" s="43">
        <v>35.619999999999997</v>
      </c>
      <c r="Q280" s="49">
        <v>1</v>
      </c>
      <c r="R280" s="44">
        <f>P280/O280</f>
        <v>35.619999999999997</v>
      </c>
      <c r="S280" s="49">
        <f>Q280*O280</f>
        <v>1</v>
      </c>
      <c r="T280" s="52">
        <f>S280*R280</f>
        <v>35.619999999999997</v>
      </c>
      <c r="U280" s="50"/>
      <c r="V280" s="50"/>
      <c r="W280" s="50"/>
      <c r="X280" s="69"/>
      <c r="Y280" s="69"/>
      <c r="Z280" s="69"/>
      <c r="AA280" s="50"/>
      <c r="AB280" s="50"/>
      <c r="AC280" s="50"/>
      <c r="AD280" s="50"/>
      <c r="AE280" s="50"/>
      <c r="AF280" s="50"/>
      <c r="AG280" s="50"/>
      <c r="AH280" s="50"/>
      <c r="AI280" s="50" t="s">
        <v>652</v>
      </c>
      <c r="AJ280" s="50"/>
      <c r="AK280" s="50"/>
      <c r="AL280" s="44"/>
      <c r="AM280" s="45"/>
      <c r="AN280" s="50"/>
      <c r="AO280" s="69"/>
      <c r="AP280" s="69"/>
      <c r="AQ280" s="69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5"/>
      <c r="BD280" s="56"/>
      <c r="BE280" s="61"/>
      <c r="BF280" s="65"/>
      <c r="BG280" s="66"/>
      <c r="BH280" s="66"/>
      <c r="BI280" s="60"/>
      <c r="BJ280" s="60"/>
      <c r="BK280" s="60"/>
      <c r="BL280" s="60"/>
      <c r="BM280" s="60"/>
      <c r="BN280" s="60"/>
      <c r="BO280" s="60"/>
      <c r="BP280" s="60"/>
      <c r="BQ280" s="60" t="str">
        <f>IF(BS280="Original",AI280,AZ280)</f>
        <v>Low Threshold Spend</v>
      </c>
      <c r="BR280" s="60"/>
      <c r="BS280" s="60" t="str">
        <f>IF(AQ280="","Original",IF(AP280&lt;Y280,"Alternate","Original"))</f>
        <v>Original</v>
      </c>
    </row>
    <row r="281" spans="1:71" s="31" customFormat="1" x14ac:dyDescent="0.35">
      <c r="A281" s="53" t="s">
        <v>39</v>
      </c>
      <c r="B281" s="49">
        <v>279</v>
      </c>
      <c r="C281" s="50"/>
      <c r="D281" s="50"/>
      <c r="E281" s="51"/>
      <c r="F281" s="50" t="s">
        <v>60</v>
      </c>
      <c r="G281" s="50" t="s">
        <v>962</v>
      </c>
      <c r="H281" s="50" t="s">
        <v>963</v>
      </c>
      <c r="I281" s="50"/>
      <c r="J281" s="50"/>
      <c r="K281" s="50"/>
      <c r="L281" s="50"/>
      <c r="M281" s="50"/>
      <c r="N281" s="54" t="s">
        <v>43</v>
      </c>
      <c r="O281" s="49">
        <v>1</v>
      </c>
      <c r="P281" s="43">
        <v>35.44</v>
      </c>
      <c r="Q281" s="49">
        <v>1</v>
      </c>
      <c r="R281" s="44">
        <f>P281/O281</f>
        <v>35.44</v>
      </c>
      <c r="S281" s="49">
        <f>Q281*O281</f>
        <v>1</v>
      </c>
      <c r="T281" s="52">
        <f>S281*R281</f>
        <v>35.44</v>
      </c>
      <c r="U281" s="50"/>
      <c r="V281" s="50"/>
      <c r="W281" s="50"/>
      <c r="X281" s="69"/>
      <c r="Y281" s="69"/>
      <c r="Z281" s="69"/>
      <c r="AA281" s="50"/>
      <c r="AB281" s="50"/>
      <c r="AC281" s="50"/>
      <c r="AD281" s="50"/>
      <c r="AE281" s="50"/>
      <c r="AF281" s="50"/>
      <c r="AG281" s="50"/>
      <c r="AH281" s="50"/>
      <c r="AI281" s="50" t="s">
        <v>652</v>
      </c>
      <c r="AJ281" s="50"/>
      <c r="AK281" s="50"/>
      <c r="AL281" s="44"/>
      <c r="AM281" s="45"/>
      <c r="AN281" s="50"/>
      <c r="AO281" s="69"/>
      <c r="AP281" s="69"/>
      <c r="AQ281" s="69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5"/>
      <c r="BD281" s="56"/>
      <c r="BE281" s="61"/>
      <c r="BF281" s="65"/>
      <c r="BG281" s="66"/>
      <c r="BH281" s="66"/>
      <c r="BI281" s="60"/>
      <c r="BJ281" s="60"/>
      <c r="BK281" s="60"/>
      <c r="BL281" s="60"/>
      <c r="BM281" s="60"/>
      <c r="BN281" s="60"/>
      <c r="BO281" s="60"/>
      <c r="BP281" s="60"/>
      <c r="BQ281" s="60" t="str">
        <f>IF(BS281="Original",AI281,AZ281)</f>
        <v>Low Threshold Spend</v>
      </c>
      <c r="BR281" s="60"/>
      <c r="BS281" s="60" t="str">
        <f>IF(AQ281="","Original",IF(AP281&lt;Y281,"Alternate","Original"))</f>
        <v>Original</v>
      </c>
    </row>
    <row r="282" spans="1:71" s="31" customFormat="1" x14ac:dyDescent="0.35">
      <c r="A282" s="53" t="s">
        <v>39</v>
      </c>
      <c r="B282" s="49">
        <v>280</v>
      </c>
      <c r="C282" s="50"/>
      <c r="D282" s="50"/>
      <c r="E282" s="51"/>
      <c r="F282" s="50" t="s">
        <v>49</v>
      </c>
      <c r="G282" s="50" t="s">
        <v>964</v>
      </c>
      <c r="H282" s="50" t="s">
        <v>965</v>
      </c>
      <c r="I282" s="50"/>
      <c r="J282" s="50"/>
      <c r="K282" s="50"/>
      <c r="L282" s="50"/>
      <c r="M282" s="50"/>
      <c r="N282" s="54" t="s">
        <v>43</v>
      </c>
      <c r="O282" s="49">
        <v>1</v>
      </c>
      <c r="P282" s="43">
        <v>34.79</v>
      </c>
      <c r="Q282" s="49">
        <v>1</v>
      </c>
      <c r="R282" s="44">
        <f>P282/O282</f>
        <v>34.79</v>
      </c>
      <c r="S282" s="49">
        <f>Q282*O282</f>
        <v>1</v>
      </c>
      <c r="T282" s="52">
        <f>S282*R282</f>
        <v>34.79</v>
      </c>
      <c r="U282" s="50"/>
      <c r="V282" s="50"/>
      <c r="W282" s="50"/>
      <c r="X282" s="69"/>
      <c r="Y282" s="69"/>
      <c r="Z282" s="69"/>
      <c r="AA282" s="50"/>
      <c r="AB282" s="50"/>
      <c r="AC282" s="50"/>
      <c r="AD282" s="50"/>
      <c r="AE282" s="50"/>
      <c r="AF282" s="50"/>
      <c r="AG282" s="50"/>
      <c r="AH282" s="50"/>
      <c r="AI282" s="50" t="s">
        <v>652</v>
      </c>
      <c r="AJ282" s="50"/>
      <c r="AK282" s="50"/>
      <c r="AL282" s="44"/>
      <c r="AM282" s="45"/>
      <c r="AN282" s="50"/>
      <c r="AO282" s="69"/>
      <c r="AP282" s="69"/>
      <c r="AQ282" s="69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5"/>
      <c r="BD282" s="56"/>
      <c r="BE282" s="61"/>
      <c r="BF282" s="65"/>
      <c r="BG282" s="66"/>
      <c r="BH282" s="66"/>
      <c r="BI282" s="60"/>
      <c r="BJ282" s="60"/>
      <c r="BK282" s="60"/>
      <c r="BL282" s="60"/>
      <c r="BM282" s="60"/>
      <c r="BN282" s="60"/>
      <c r="BO282" s="60"/>
      <c r="BP282" s="60"/>
      <c r="BQ282" s="60" t="str">
        <f>IF(BS282="Original",AI282,AZ282)</f>
        <v>Low Threshold Spend</v>
      </c>
      <c r="BR282" s="60"/>
      <c r="BS282" s="60" t="str">
        <f>IF(AQ282="","Original",IF(AP282&lt;Y282,"Alternate","Original"))</f>
        <v>Original</v>
      </c>
    </row>
    <row r="283" spans="1:71" s="31" customFormat="1" x14ac:dyDescent="0.35">
      <c r="A283" s="53" t="s">
        <v>39</v>
      </c>
      <c r="B283" s="49">
        <v>281</v>
      </c>
      <c r="C283" s="50"/>
      <c r="D283" s="50"/>
      <c r="E283" s="51"/>
      <c r="F283" s="50" t="s">
        <v>60</v>
      </c>
      <c r="G283" s="50" t="s">
        <v>966</v>
      </c>
      <c r="H283" s="50" t="s">
        <v>967</v>
      </c>
      <c r="I283" s="50"/>
      <c r="J283" s="50"/>
      <c r="K283" s="50"/>
      <c r="L283" s="50"/>
      <c r="M283" s="50"/>
      <c r="N283" s="54" t="s">
        <v>43</v>
      </c>
      <c r="O283" s="49">
        <v>1</v>
      </c>
      <c r="P283" s="43">
        <v>34.54</v>
      </c>
      <c r="Q283" s="49">
        <v>1</v>
      </c>
      <c r="R283" s="44">
        <f>P283/O283</f>
        <v>34.54</v>
      </c>
      <c r="S283" s="49">
        <f>Q283*O283</f>
        <v>1</v>
      </c>
      <c r="T283" s="52">
        <f>S283*R283</f>
        <v>34.54</v>
      </c>
      <c r="U283" s="50"/>
      <c r="V283" s="50"/>
      <c r="W283" s="50"/>
      <c r="X283" s="69"/>
      <c r="Y283" s="69"/>
      <c r="Z283" s="69"/>
      <c r="AA283" s="50"/>
      <c r="AB283" s="50"/>
      <c r="AC283" s="50"/>
      <c r="AD283" s="50"/>
      <c r="AE283" s="50"/>
      <c r="AF283" s="50"/>
      <c r="AG283" s="50"/>
      <c r="AH283" s="50"/>
      <c r="AI283" s="50" t="s">
        <v>652</v>
      </c>
      <c r="AJ283" s="50"/>
      <c r="AK283" s="50"/>
      <c r="AL283" s="44"/>
      <c r="AM283" s="45"/>
      <c r="AN283" s="50"/>
      <c r="AO283" s="69"/>
      <c r="AP283" s="69"/>
      <c r="AQ283" s="69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5"/>
      <c r="BD283" s="56"/>
      <c r="BE283" s="61"/>
      <c r="BF283" s="65"/>
      <c r="BG283" s="66"/>
      <c r="BH283" s="66"/>
      <c r="BI283" s="60"/>
      <c r="BJ283" s="60"/>
      <c r="BK283" s="60"/>
      <c r="BL283" s="60"/>
      <c r="BM283" s="60"/>
      <c r="BN283" s="60"/>
      <c r="BO283" s="60"/>
      <c r="BP283" s="60"/>
      <c r="BQ283" s="60" t="str">
        <f>IF(BS283="Original",AI283,AZ283)</f>
        <v>Low Threshold Spend</v>
      </c>
      <c r="BR283" s="60"/>
      <c r="BS283" s="60" t="str">
        <f>IF(AQ283="","Original",IF(AP283&lt;Y283,"Alternate","Original"))</f>
        <v>Original</v>
      </c>
    </row>
    <row r="284" spans="1:71" s="31" customFormat="1" x14ac:dyDescent="0.35">
      <c r="A284" s="53" t="s">
        <v>39</v>
      </c>
      <c r="B284" s="49">
        <v>282</v>
      </c>
      <c r="C284" s="50"/>
      <c r="D284" s="50"/>
      <c r="E284" s="51"/>
      <c r="F284" s="50" t="s">
        <v>40</v>
      </c>
      <c r="G284" s="50" t="s">
        <v>968</v>
      </c>
      <c r="H284" s="50" t="s">
        <v>969</v>
      </c>
      <c r="I284" s="50"/>
      <c r="J284" s="50"/>
      <c r="K284" s="50"/>
      <c r="L284" s="50"/>
      <c r="M284" s="50"/>
      <c r="N284" s="54" t="s">
        <v>43</v>
      </c>
      <c r="O284" s="49">
        <v>1</v>
      </c>
      <c r="P284" s="43">
        <v>34.380000000000003</v>
      </c>
      <c r="Q284" s="49">
        <v>1</v>
      </c>
      <c r="R284" s="44">
        <f>P284/O284</f>
        <v>34.380000000000003</v>
      </c>
      <c r="S284" s="49">
        <f>Q284*O284</f>
        <v>1</v>
      </c>
      <c r="T284" s="52">
        <f>S284*R284</f>
        <v>34.380000000000003</v>
      </c>
      <c r="U284" s="50"/>
      <c r="V284" s="50"/>
      <c r="W284" s="50"/>
      <c r="X284" s="69"/>
      <c r="Y284" s="69"/>
      <c r="Z284" s="69"/>
      <c r="AA284" s="50"/>
      <c r="AB284" s="50"/>
      <c r="AC284" s="50"/>
      <c r="AD284" s="50"/>
      <c r="AE284" s="50"/>
      <c r="AF284" s="50"/>
      <c r="AG284" s="50"/>
      <c r="AH284" s="50"/>
      <c r="AI284" s="50" t="s">
        <v>652</v>
      </c>
      <c r="AJ284" s="50"/>
      <c r="AK284" s="50"/>
      <c r="AL284" s="44"/>
      <c r="AM284" s="45"/>
      <c r="AN284" s="50"/>
      <c r="AO284" s="69"/>
      <c r="AP284" s="69"/>
      <c r="AQ284" s="69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5"/>
      <c r="BD284" s="56"/>
      <c r="BE284" s="61"/>
      <c r="BF284" s="65"/>
      <c r="BG284" s="66"/>
      <c r="BH284" s="66"/>
      <c r="BI284" s="60"/>
      <c r="BJ284" s="60"/>
      <c r="BK284" s="60"/>
      <c r="BL284" s="60"/>
      <c r="BM284" s="60"/>
      <c r="BN284" s="60"/>
      <c r="BO284" s="60"/>
      <c r="BP284" s="60"/>
      <c r="BQ284" s="60" t="str">
        <f>IF(BS284="Original",AI284,AZ284)</f>
        <v>Low Threshold Spend</v>
      </c>
      <c r="BR284" s="60"/>
      <c r="BS284" s="60" t="str">
        <f>IF(AQ284="","Original",IF(AP284&lt;Y284,"Alternate","Original"))</f>
        <v>Original</v>
      </c>
    </row>
    <row r="285" spans="1:71" s="31" customFormat="1" x14ac:dyDescent="0.35">
      <c r="A285" s="53" t="s">
        <v>39</v>
      </c>
      <c r="B285" s="49">
        <v>283</v>
      </c>
      <c r="C285" s="50"/>
      <c r="D285" s="50"/>
      <c r="E285" s="51"/>
      <c r="F285" s="50" t="s">
        <v>49</v>
      </c>
      <c r="G285" s="50" t="s">
        <v>970</v>
      </c>
      <c r="H285" s="50" t="s">
        <v>971</v>
      </c>
      <c r="I285" s="50"/>
      <c r="J285" s="50"/>
      <c r="K285" s="50"/>
      <c r="L285" s="50"/>
      <c r="M285" s="50"/>
      <c r="N285" s="54" t="s">
        <v>43</v>
      </c>
      <c r="O285" s="49">
        <v>1</v>
      </c>
      <c r="P285" s="43">
        <v>34.32</v>
      </c>
      <c r="Q285" s="49">
        <v>1</v>
      </c>
      <c r="R285" s="44">
        <f>P285/O285</f>
        <v>34.32</v>
      </c>
      <c r="S285" s="49">
        <f>Q285*O285</f>
        <v>1</v>
      </c>
      <c r="T285" s="52">
        <f>S285*R285</f>
        <v>34.32</v>
      </c>
      <c r="U285" s="50"/>
      <c r="V285" s="50"/>
      <c r="W285" s="50"/>
      <c r="X285" s="69"/>
      <c r="Y285" s="69"/>
      <c r="Z285" s="69"/>
      <c r="AA285" s="50"/>
      <c r="AB285" s="50"/>
      <c r="AC285" s="50"/>
      <c r="AD285" s="50"/>
      <c r="AE285" s="50"/>
      <c r="AF285" s="50"/>
      <c r="AG285" s="50"/>
      <c r="AH285" s="50"/>
      <c r="AI285" s="50" t="s">
        <v>652</v>
      </c>
      <c r="AJ285" s="50"/>
      <c r="AK285" s="50"/>
      <c r="AL285" s="44"/>
      <c r="AM285" s="45"/>
      <c r="AN285" s="50"/>
      <c r="AO285" s="69"/>
      <c r="AP285" s="69"/>
      <c r="AQ285" s="69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5"/>
      <c r="BD285" s="56"/>
      <c r="BE285" s="61"/>
      <c r="BF285" s="65"/>
      <c r="BG285" s="66"/>
      <c r="BH285" s="66"/>
      <c r="BI285" s="60"/>
      <c r="BJ285" s="60"/>
      <c r="BK285" s="60"/>
      <c r="BL285" s="60"/>
      <c r="BM285" s="60"/>
      <c r="BN285" s="60"/>
      <c r="BO285" s="60"/>
      <c r="BP285" s="60"/>
      <c r="BQ285" s="60" t="str">
        <f>IF(BS285="Original",AI285,AZ285)</f>
        <v>Low Threshold Spend</v>
      </c>
      <c r="BR285" s="60"/>
      <c r="BS285" s="60" t="str">
        <f>IF(AQ285="","Original",IF(AP285&lt;Y285,"Alternate","Original"))</f>
        <v>Original</v>
      </c>
    </row>
    <row r="286" spans="1:71" s="31" customFormat="1" x14ac:dyDescent="0.35">
      <c r="A286" s="53" t="s">
        <v>39</v>
      </c>
      <c r="B286" s="49">
        <v>284</v>
      </c>
      <c r="C286" s="50"/>
      <c r="D286" s="50"/>
      <c r="E286" s="51"/>
      <c r="F286" s="50" t="s">
        <v>60</v>
      </c>
      <c r="G286" s="50" t="s">
        <v>972</v>
      </c>
      <c r="H286" s="50" t="s">
        <v>973</v>
      </c>
      <c r="I286" s="50"/>
      <c r="J286" s="50"/>
      <c r="K286" s="50"/>
      <c r="L286" s="50"/>
      <c r="M286" s="50"/>
      <c r="N286" s="54" t="s">
        <v>43</v>
      </c>
      <c r="O286" s="49">
        <v>1</v>
      </c>
      <c r="P286" s="43">
        <v>34.01</v>
      </c>
      <c r="Q286" s="49">
        <v>1</v>
      </c>
      <c r="R286" s="44">
        <f>P286/O286</f>
        <v>34.01</v>
      </c>
      <c r="S286" s="49">
        <f>Q286*O286</f>
        <v>1</v>
      </c>
      <c r="T286" s="52">
        <f>S286*R286</f>
        <v>34.01</v>
      </c>
      <c r="U286" s="50"/>
      <c r="V286" s="50"/>
      <c r="W286" s="50"/>
      <c r="X286" s="69"/>
      <c r="Y286" s="69"/>
      <c r="Z286" s="69"/>
      <c r="AA286" s="50"/>
      <c r="AB286" s="50"/>
      <c r="AC286" s="50"/>
      <c r="AD286" s="50"/>
      <c r="AE286" s="50"/>
      <c r="AF286" s="50"/>
      <c r="AG286" s="50"/>
      <c r="AH286" s="50"/>
      <c r="AI286" s="50" t="s">
        <v>652</v>
      </c>
      <c r="AJ286" s="50"/>
      <c r="AK286" s="50"/>
      <c r="AL286" s="44"/>
      <c r="AM286" s="45"/>
      <c r="AN286" s="50"/>
      <c r="AO286" s="69"/>
      <c r="AP286" s="69"/>
      <c r="AQ286" s="69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5"/>
      <c r="BD286" s="56"/>
      <c r="BE286" s="61"/>
      <c r="BF286" s="65"/>
      <c r="BG286" s="66"/>
      <c r="BH286" s="66"/>
      <c r="BI286" s="60"/>
      <c r="BJ286" s="60"/>
      <c r="BK286" s="60"/>
      <c r="BL286" s="60"/>
      <c r="BM286" s="60"/>
      <c r="BN286" s="60"/>
      <c r="BO286" s="60"/>
      <c r="BP286" s="60"/>
      <c r="BQ286" s="60" t="str">
        <f>IF(BS286="Original",AI286,AZ286)</f>
        <v>Low Threshold Spend</v>
      </c>
      <c r="BR286" s="60"/>
      <c r="BS286" s="60" t="str">
        <f>IF(AQ286="","Original",IF(AP286&lt;Y286,"Alternate","Original"))</f>
        <v>Original</v>
      </c>
    </row>
    <row r="287" spans="1:71" s="31" customFormat="1" x14ac:dyDescent="0.35">
      <c r="A287" s="53" t="s">
        <v>39</v>
      </c>
      <c r="B287" s="49">
        <v>285</v>
      </c>
      <c r="C287" s="50"/>
      <c r="D287" s="50"/>
      <c r="E287" s="51"/>
      <c r="F287" s="50" t="s">
        <v>60</v>
      </c>
      <c r="G287" s="50" t="s">
        <v>974</v>
      </c>
      <c r="H287" s="50" t="s">
        <v>975</v>
      </c>
      <c r="I287" s="50"/>
      <c r="J287" s="50"/>
      <c r="K287" s="50"/>
      <c r="L287" s="50"/>
      <c r="M287" s="50"/>
      <c r="N287" s="54" t="s">
        <v>43</v>
      </c>
      <c r="O287" s="49">
        <v>1</v>
      </c>
      <c r="P287" s="43">
        <v>33.9</v>
      </c>
      <c r="Q287" s="49">
        <v>1</v>
      </c>
      <c r="R287" s="44">
        <f>P287/O287</f>
        <v>33.9</v>
      </c>
      <c r="S287" s="49">
        <f>Q287*O287</f>
        <v>1</v>
      </c>
      <c r="T287" s="52">
        <f>S287*R287</f>
        <v>33.9</v>
      </c>
      <c r="U287" s="50"/>
      <c r="V287" s="50"/>
      <c r="W287" s="50"/>
      <c r="X287" s="69"/>
      <c r="Y287" s="69"/>
      <c r="Z287" s="69"/>
      <c r="AA287" s="50"/>
      <c r="AB287" s="50"/>
      <c r="AC287" s="50"/>
      <c r="AD287" s="50"/>
      <c r="AE287" s="50"/>
      <c r="AF287" s="50"/>
      <c r="AG287" s="50"/>
      <c r="AH287" s="50"/>
      <c r="AI287" s="50" t="s">
        <v>652</v>
      </c>
      <c r="AJ287" s="50"/>
      <c r="AK287" s="50"/>
      <c r="AL287" s="44"/>
      <c r="AM287" s="45"/>
      <c r="AN287" s="50"/>
      <c r="AO287" s="69"/>
      <c r="AP287" s="69"/>
      <c r="AQ287" s="69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5"/>
      <c r="BD287" s="56"/>
      <c r="BE287" s="61"/>
      <c r="BF287" s="65"/>
      <c r="BG287" s="66"/>
      <c r="BH287" s="66"/>
      <c r="BI287" s="60"/>
      <c r="BJ287" s="60"/>
      <c r="BK287" s="60"/>
      <c r="BL287" s="60"/>
      <c r="BM287" s="60"/>
      <c r="BN287" s="60"/>
      <c r="BO287" s="60"/>
      <c r="BP287" s="60"/>
      <c r="BQ287" s="60" t="str">
        <f>IF(BS287="Original",AI287,AZ287)</f>
        <v>Low Threshold Spend</v>
      </c>
      <c r="BR287" s="60"/>
      <c r="BS287" s="60" t="str">
        <f>IF(AQ287="","Original",IF(AP287&lt;Y287,"Alternate","Original"))</f>
        <v>Original</v>
      </c>
    </row>
    <row r="288" spans="1:71" s="31" customFormat="1" x14ac:dyDescent="0.35">
      <c r="A288" s="53" t="s">
        <v>39</v>
      </c>
      <c r="B288" s="49">
        <v>286</v>
      </c>
      <c r="C288" s="50"/>
      <c r="D288" s="50"/>
      <c r="E288" s="51"/>
      <c r="F288" s="50" t="s">
        <v>40</v>
      </c>
      <c r="G288" s="50" t="s">
        <v>976</v>
      </c>
      <c r="H288" s="50" t="s">
        <v>977</v>
      </c>
      <c r="I288" s="50"/>
      <c r="J288" s="50"/>
      <c r="K288" s="50"/>
      <c r="L288" s="50"/>
      <c r="M288" s="50"/>
      <c r="N288" s="54" t="s">
        <v>43</v>
      </c>
      <c r="O288" s="49">
        <v>1</v>
      </c>
      <c r="P288" s="43">
        <v>16.739999999999998</v>
      </c>
      <c r="Q288" s="49">
        <v>2</v>
      </c>
      <c r="R288" s="44">
        <f>P288/O288</f>
        <v>16.739999999999998</v>
      </c>
      <c r="S288" s="49">
        <f>Q288*O288</f>
        <v>2</v>
      </c>
      <c r="T288" s="52">
        <f>S288*R288</f>
        <v>33.479999999999997</v>
      </c>
      <c r="U288" s="50"/>
      <c r="V288" s="50"/>
      <c r="W288" s="50"/>
      <c r="X288" s="69"/>
      <c r="Y288" s="69"/>
      <c r="Z288" s="69"/>
      <c r="AA288" s="50"/>
      <c r="AB288" s="50"/>
      <c r="AC288" s="50"/>
      <c r="AD288" s="50"/>
      <c r="AE288" s="50"/>
      <c r="AF288" s="50"/>
      <c r="AG288" s="50"/>
      <c r="AH288" s="50"/>
      <c r="AI288" s="50" t="s">
        <v>652</v>
      </c>
      <c r="AJ288" s="50"/>
      <c r="AK288" s="50"/>
      <c r="AL288" s="44"/>
      <c r="AM288" s="45"/>
      <c r="AN288" s="50"/>
      <c r="AO288" s="69"/>
      <c r="AP288" s="69"/>
      <c r="AQ288" s="69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5"/>
      <c r="BD288" s="56"/>
      <c r="BE288" s="61"/>
      <c r="BF288" s="65"/>
      <c r="BG288" s="66"/>
      <c r="BH288" s="66"/>
      <c r="BI288" s="60"/>
      <c r="BJ288" s="60"/>
      <c r="BK288" s="60"/>
      <c r="BL288" s="60"/>
      <c r="BM288" s="60"/>
      <c r="BN288" s="60"/>
      <c r="BO288" s="60"/>
      <c r="BP288" s="60"/>
      <c r="BQ288" s="60" t="str">
        <f>IF(BS288="Original",AI288,AZ288)</f>
        <v>Low Threshold Spend</v>
      </c>
      <c r="BR288" s="60"/>
      <c r="BS288" s="60" t="str">
        <f>IF(AQ288="","Original",IF(AP288&lt;Y288,"Alternate","Original"))</f>
        <v>Original</v>
      </c>
    </row>
    <row r="289" spans="1:71" s="31" customFormat="1" x14ac:dyDescent="0.35">
      <c r="A289" s="53" t="s">
        <v>39</v>
      </c>
      <c r="B289" s="49">
        <v>287</v>
      </c>
      <c r="C289" s="50"/>
      <c r="D289" s="50"/>
      <c r="E289" s="51"/>
      <c r="F289" s="50" t="s">
        <v>60</v>
      </c>
      <c r="G289" s="50" t="s">
        <v>978</v>
      </c>
      <c r="H289" s="50" t="s">
        <v>979</v>
      </c>
      <c r="I289" s="50"/>
      <c r="J289" s="50"/>
      <c r="K289" s="50"/>
      <c r="L289" s="50"/>
      <c r="M289" s="50"/>
      <c r="N289" s="54" t="s">
        <v>43</v>
      </c>
      <c r="O289" s="49">
        <v>1</v>
      </c>
      <c r="P289" s="43">
        <v>33.22</v>
      </c>
      <c r="Q289" s="49">
        <v>1</v>
      </c>
      <c r="R289" s="44">
        <f>P289/O289</f>
        <v>33.22</v>
      </c>
      <c r="S289" s="49">
        <f>Q289*O289</f>
        <v>1</v>
      </c>
      <c r="T289" s="52">
        <f>S289*R289</f>
        <v>33.22</v>
      </c>
      <c r="U289" s="50"/>
      <c r="V289" s="50"/>
      <c r="W289" s="50"/>
      <c r="X289" s="69"/>
      <c r="Y289" s="69"/>
      <c r="Z289" s="69"/>
      <c r="AA289" s="50"/>
      <c r="AB289" s="50"/>
      <c r="AC289" s="50"/>
      <c r="AD289" s="50"/>
      <c r="AE289" s="50"/>
      <c r="AF289" s="50"/>
      <c r="AG289" s="50"/>
      <c r="AH289" s="50"/>
      <c r="AI289" s="50" t="s">
        <v>652</v>
      </c>
      <c r="AJ289" s="50"/>
      <c r="AK289" s="50"/>
      <c r="AL289" s="44"/>
      <c r="AM289" s="45"/>
      <c r="AN289" s="50"/>
      <c r="AO289" s="69"/>
      <c r="AP289" s="69"/>
      <c r="AQ289" s="69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5"/>
      <c r="BD289" s="56"/>
      <c r="BE289" s="61"/>
      <c r="BF289" s="65"/>
      <c r="BG289" s="66"/>
      <c r="BH289" s="66"/>
      <c r="BI289" s="60"/>
      <c r="BJ289" s="60"/>
      <c r="BK289" s="60"/>
      <c r="BL289" s="60"/>
      <c r="BM289" s="60"/>
      <c r="BN289" s="60"/>
      <c r="BO289" s="60"/>
      <c r="BP289" s="60"/>
      <c r="BQ289" s="60" t="str">
        <f>IF(BS289="Original",AI289,AZ289)</f>
        <v>Low Threshold Spend</v>
      </c>
      <c r="BR289" s="60"/>
      <c r="BS289" s="60" t="str">
        <f>IF(AQ289="","Original",IF(AP289&lt;Y289,"Alternate","Original"))</f>
        <v>Original</v>
      </c>
    </row>
    <row r="290" spans="1:71" s="31" customFormat="1" x14ac:dyDescent="0.35">
      <c r="A290" s="53" t="s">
        <v>39</v>
      </c>
      <c r="B290" s="49">
        <v>288</v>
      </c>
      <c r="C290" s="50"/>
      <c r="D290" s="50"/>
      <c r="E290" s="51"/>
      <c r="F290" s="50" t="s">
        <v>60</v>
      </c>
      <c r="G290" s="50" t="s">
        <v>980</v>
      </c>
      <c r="H290" s="50" t="s">
        <v>981</v>
      </c>
      <c r="I290" s="50"/>
      <c r="J290" s="50"/>
      <c r="K290" s="50"/>
      <c r="L290" s="50"/>
      <c r="M290" s="50"/>
      <c r="N290" s="54" t="s">
        <v>43</v>
      </c>
      <c r="O290" s="49">
        <v>1</v>
      </c>
      <c r="P290" s="43">
        <v>32.99</v>
      </c>
      <c r="Q290" s="49">
        <v>1</v>
      </c>
      <c r="R290" s="44">
        <f>P290/O290</f>
        <v>32.99</v>
      </c>
      <c r="S290" s="49">
        <f>Q290*O290</f>
        <v>1</v>
      </c>
      <c r="T290" s="52">
        <f>S290*R290</f>
        <v>32.99</v>
      </c>
      <c r="U290" s="50"/>
      <c r="V290" s="50"/>
      <c r="W290" s="50"/>
      <c r="X290" s="69"/>
      <c r="Y290" s="69"/>
      <c r="Z290" s="69"/>
      <c r="AA290" s="50"/>
      <c r="AB290" s="50"/>
      <c r="AC290" s="50"/>
      <c r="AD290" s="50"/>
      <c r="AE290" s="50"/>
      <c r="AF290" s="50"/>
      <c r="AG290" s="50"/>
      <c r="AH290" s="50"/>
      <c r="AI290" s="50" t="s">
        <v>652</v>
      </c>
      <c r="AJ290" s="50"/>
      <c r="AK290" s="50"/>
      <c r="AL290" s="44"/>
      <c r="AM290" s="45"/>
      <c r="AN290" s="50"/>
      <c r="AO290" s="69"/>
      <c r="AP290" s="69"/>
      <c r="AQ290" s="69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5"/>
      <c r="BD290" s="56"/>
      <c r="BE290" s="61"/>
      <c r="BF290" s="65"/>
      <c r="BG290" s="66"/>
      <c r="BH290" s="66"/>
      <c r="BI290" s="60"/>
      <c r="BJ290" s="60"/>
      <c r="BK290" s="60"/>
      <c r="BL290" s="60"/>
      <c r="BM290" s="60"/>
      <c r="BN290" s="60"/>
      <c r="BO290" s="60"/>
      <c r="BP290" s="60"/>
      <c r="BQ290" s="60" t="str">
        <f>IF(BS290="Original",AI290,AZ290)</f>
        <v>Low Threshold Spend</v>
      </c>
      <c r="BR290" s="60"/>
      <c r="BS290" s="60" t="str">
        <f>IF(AQ290="","Original",IF(AP290&lt;Y290,"Alternate","Original"))</f>
        <v>Original</v>
      </c>
    </row>
    <row r="291" spans="1:71" s="31" customFormat="1" x14ac:dyDescent="0.35">
      <c r="A291" s="53" t="s">
        <v>39</v>
      </c>
      <c r="B291" s="49">
        <v>289</v>
      </c>
      <c r="C291" s="50"/>
      <c r="D291" s="50"/>
      <c r="E291" s="51"/>
      <c r="F291" s="50" t="s">
        <v>60</v>
      </c>
      <c r="G291" s="50" t="s">
        <v>982</v>
      </c>
      <c r="H291" s="50" t="s">
        <v>983</v>
      </c>
      <c r="I291" s="50"/>
      <c r="J291" s="50"/>
      <c r="K291" s="50"/>
      <c r="L291" s="50"/>
      <c r="M291" s="50"/>
      <c r="N291" s="54" t="s">
        <v>43</v>
      </c>
      <c r="O291" s="49">
        <v>1</v>
      </c>
      <c r="P291" s="43">
        <v>32.43</v>
      </c>
      <c r="Q291" s="49">
        <v>1</v>
      </c>
      <c r="R291" s="44">
        <f>P291/O291</f>
        <v>32.43</v>
      </c>
      <c r="S291" s="49">
        <f>Q291*O291</f>
        <v>1</v>
      </c>
      <c r="T291" s="52">
        <f>S291*R291</f>
        <v>32.43</v>
      </c>
      <c r="U291" s="50"/>
      <c r="V291" s="50"/>
      <c r="W291" s="50"/>
      <c r="X291" s="69"/>
      <c r="Y291" s="69"/>
      <c r="Z291" s="69"/>
      <c r="AA291" s="50"/>
      <c r="AB291" s="50"/>
      <c r="AC291" s="50"/>
      <c r="AD291" s="50"/>
      <c r="AE291" s="50"/>
      <c r="AF291" s="50"/>
      <c r="AG291" s="50"/>
      <c r="AH291" s="50"/>
      <c r="AI291" s="50" t="s">
        <v>652</v>
      </c>
      <c r="AJ291" s="50"/>
      <c r="AK291" s="50"/>
      <c r="AL291" s="44"/>
      <c r="AM291" s="45"/>
      <c r="AN291" s="50"/>
      <c r="AO291" s="69"/>
      <c r="AP291" s="69"/>
      <c r="AQ291" s="69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5"/>
      <c r="BD291" s="56"/>
      <c r="BE291" s="61"/>
      <c r="BF291" s="65"/>
      <c r="BG291" s="66"/>
      <c r="BH291" s="66"/>
      <c r="BI291" s="60"/>
      <c r="BJ291" s="60"/>
      <c r="BK291" s="60"/>
      <c r="BL291" s="60"/>
      <c r="BM291" s="60"/>
      <c r="BN291" s="60"/>
      <c r="BO291" s="60"/>
      <c r="BP291" s="60"/>
      <c r="BQ291" s="60" t="str">
        <f>IF(BS291="Original",AI291,AZ291)</f>
        <v>Low Threshold Spend</v>
      </c>
      <c r="BR291" s="60"/>
      <c r="BS291" s="60" t="str">
        <f>IF(AQ291="","Original",IF(AP291&lt;Y291,"Alternate","Original"))</f>
        <v>Original</v>
      </c>
    </row>
    <row r="292" spans="1:71" s="31" customFormat="1" x14ac:dyDescent="0.35">
      <c r="A292" s="53" t="s">
        <v>39</v>
      </c>
      <c r="B292" s="49">
        <v>290</v>
      </c>
      <c r="C292" s="50"/>
      <c r="D292" s="50"/>
      <c r="E292" s="51"/>
      <c r="F292" s="50" t="s">
        <v>60</v>
      </c>
      <c r="G292" s="50" t="s">
        <v>984</v>
      </c>
      <c r="H292" s="50" t="s">
        <v>985</v>
      </c>
      <c r="I292" s="50"/>
      <c r="J292" s="50"/>
      <c r="K292" s="50"/>
      <c r="L292" s="50"/>
      <c r="M292" s="50"/>
      <c r="N292" s="54" t="s">
        <v>43</v>
      </c>
      <c r="O292" s="49">
        <v>1</v>
      </c>
      <c r="P292" s="43">
        <v>32.4</v>
      </c>
      <c r="Q292" s="49">
        <v>1</v>
      </c>
      <c r="R292" s="44">
        <f>P292/O292</f>
        <v>32.4</v>
      </c>
      <c r="S292" s="49">
        <f>Q292*O292</f>
        <v>1</v>
      </c>
      <c r="T292" s="52">
        <f>S292*R292</f>
        <v>32.4</v>
      </c>
      <c r="U292" s="50"/>
      <c r="V292" s="50"/>
      <c r="W292" s="50"/>
      <c r="X292" s="69"/>
      <c r="Y292" s="69"/>
      <c r="Z292" s="69"/>
      <c r="AA292" s="50"/>
      <c r="AB292" s="50"/>
      <c r="AC292" s="50"/>
      <c r="AD292" s="50"/>
      <c r="AE292" s="50"/>
      <c r="AF292" s="50"/>
      <c r="AG292" s="50"/>
      <c r="AH292" s="50"/>
      <c r="AI292" s="50" t="s">
        <v>652</v>
      </c>
      <c r="AJ292" s="50"/>
      <c r="AK292" s="50"/>
      <c r="AL292" s="44"/>
      <c r="AM292" s="45"/>
      <c r="AN292" s="50"/>
      <c r="AO292" s="69"/>
      <c r="AP292" s="69"/>
      <c r="AQ292" s="69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5"/>
      <c r="BD292" s="56"/>
      <c r="BE292" s="61"/>
      <c r="BF292" s="65"/>
      <c r="BG292" s="66"/>
      <c r="BH292" s="66"/>
      <c r="BI292" s="60"/>
      <c r="BJ292" s="60"/>
      <c r="BK292" s="60"/>
      <c r="BL292" s="60"/>
      <c r="BM292" s="60"/>
      <c r="BN292" s="60"/>
      <c r="BO292" s="60"/>
      <c r="BP292" s="60"/>
      <c r="BQ292" s="60" t="str">
        <f>IF(BS292="Original",AI292,AZ292)</f>
        <v>Low Threshold Spend</v>
      </c>
      <c r="BR292" s="60"/>
      <c r="BS292" s="60" t="str">
        <f>IF(AQ292="","Original",IF(AP292&lt;Y292,"Alternate","Original"))</f>
        <v>Original</v>
      </c>
    </row>
    <row r="293" spans="1:71" s="31" customFormat="1" x14ac:dyDescent="0.35">
      <c r="A293" s="53" t="s">
        <v>39</v>
      </c>
      <c r="B293" s="49">
        <v>291</v>
      </c>
      <c r="C293" s="50"/>
      <c r="D293" s="50"/>
      <c r="E293" s="51"/>
      <c r="F293" s="50" t="s">
        <v>49</v>
      </c>
      <c r="G293" s="50" t="s">
        <v>986</v>
      </c>
      <c r="H293" s="50" t="s">
        <v>987</v>
      </c>
      <c r="I293" s="50"/>
      <c r="J293" s="50"/>
      <c r="K293" s="50"/>
      <c r="L293" s="50"/>
      <c r="M293" s="50"/>
      <c r="N293" s="54" t="s">
        <v>43</v>
      </c>
      <c r="O293" s="49">
        <v>1</v>
      </c>
      <c r="P293" s="43">
        <v>32.270000000000003</v>
      </c>
      <c r="Q293" s="49">
        <v>1</v>
      </c>
      <c r="R293" s="44">
        <f>P293/O293</f>
        <v>32.270000000000003</v>
      </c>
      <c r="S293" s="49">
        <f>Q293*O293</f>
        <v>1</v>
      </c>
      <c r="T293" s="52">
        <f>S293*R293</f>
        <v>32.270000000000003</v>
      </c>
      <c r="U293" s="50"/>
      <c r="V293" s="50"/>
      <c r="W293" s="50"/>
      <c r="X293" s="69"/>
      <c r="Y293" s="69"/>
      <c r="Z293" s="69"/>
      <c r="AA293" s="50"/>
      <c r="AB293" s="50"/>
      <c r="AC293" s="50"/>
      <c r="AD293" s="50"/>
      <c r="AE293" s="50"/>
      <c r="AF293" s="50"/>
      <c r="AG293" s="50"/>
      <c r="AH293" s="50"/>
      <c r="AI293" s="50" t="s">
        <v>652</v>
      </c>
      <c r="AJ293" s="50"/>
      <c r="AK293" s="50"/>
      <c r="AL293" s="44"/>
      <c r="AM293" s="45"/>
      <c r="AN293" s="50"/>
      <c r="AO293" s="69"/>
      <c r="AP293" s="69"/>
      <c r="AQ293" s="69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5"/>
      <c r="BD293" s="56"/>
      <c r="BE293" s="61"/>
      <c r="BF293" s="65"/>
      <c r="BG293" s="66"/>
      <c r="BH293" s="66"/>
      <c r="BI293" s="60"/>
      <c r="BJ293" s="60"/>
      <c r="BK293" s="60"/>
      <c r="BL293" s="60"/>
      <c r="BM293" s="60"/>
      <c r="BN293" s="60"/>
      <c r="BO293" s="60"/>
      <c r="BP293" s="60"/>
      <c r="BQ293" s="60" t="str">
        <f>IF(BS293="Original",AI293,AZ293)</f>
        <v>Low Threshold Spend</v>
      </c>
      <c r="BR293" s="60"/>
      <c r="BS293" s="60" t="str">
        <f>IF(AQ293="","Original",IF(AP293&lt;Y293,"Alternate","Original"))</f>
        <v>Original</v>
      </c>
    </row>
    <row r="294" spans="1:71" s="31" customFormat="1" x14ac:dyDescent="0.35">
      <c r="A294" s="53" t="s">
        <v>39</v>
      </c>
      <c r="B294" s="49">
        <v>292</v>
      </c>
      <c r="C294" s="50"/>
      <c r="D294" s="50"/>
      <c r="E294" s="51"/>
      <c r="F294" s="50" t="s">
        <v>60</v>
      </c>
      <c r="G294" s="50" t="s">
        <v>988</v>
      </c>
      <c r="H294" s="50" t="s">
        <v>989</v>
      </c>
      <c r="I294" s="50"/>
      <c r="J294" s="50"/>
      <c r="K294" s="50"/>
      <c r="L294" s="50"/>
      <c r="M294" s="50"/>
      <c r="N294" s="54" t="s">
        <v>43</v>
      </c>
      <c r="O294" s="49">
        <v>1</v>
      </c>
      <c r="P294" s="43">
        <v>32.15</v>
      </c>
      <c r="Q294" s="49">
        <v>1</v>
      </c>
      <c r="R294" s="44">
        <f>P294/O294</f>
        <v>32.15</v>
      </c>
      <c r="S294" s="49">
        <f>Q294*O294</f>
        <v>1</v>
      </c>
      <c r="T294" s="52">
        <f>S294*R294</f>
        <v>32.15</v>
      </c>
      <c r="U294" s="50"/>
      <c r="V294" s="50"/>
      <c r="W294" s="50"/>
      <c r="X294" s="69"/>
      <c r="Y294" s="69"/>
      <c r="Z294" s="69"/>
      <c r="AA294" s="50"/>
      <c r="AB294" s="50"/>
      <c r="AC294" s="50"/>
      <c r="AD294" s="50"/>
      <c r="AE294" s="50"/>
      <c r="AF294" s="50"/>
      <c r="AG294" s="50"/>
      <c r="AH294" s="50"/>
      <c r="AI294" s="50" t="s">
        <v>652</v>
      </c>
      <c r="AJ294" s="50"/>
      <c r="AK294" s="50"/>
      <c r="AL294" s="44"/>
      <c r="AM294" s="45"/>
      <c r="AN294" s="50"/>
      <c r="AO294" s="69"/>
      <c r="AP294" s="69"/>
      <c r="AQ294" s="69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5"/>
      <c r="BD294" s="56"/>
      <c r="BE294" s="61"/>
      <c r="BF294" s="65"/>
      <c r="BG294" s="66"/>
      <c r="BH294" s="66"/>
      <c r="BI294" s="60"/>
      <c r="BJ294" s="60"/>
      <c r="BK294" s="60"/>
      <c r="BL294" s="60"/>
      <c r="BM294" s="60"/>
      <c r="BN294" s="60"/>
      <c r="BO294" s="60"/>
      <c r="BP294" s="60"/>
      <c r="BQ294" s="60" t="str">
        <f>IF(BS294="Original",AI294,AZ294)</f>
        <v>Low Threshold Spend</v>
      </c>
      <c r="BR294" s="60"/>
      <c r="BS294" s="60" t="str">
        <f>IF(AQ294="","Original",IF(AP294&lt;Y294,"Alternate","Original"))</f>
        <v>Original</v>
      </c>
    </row>
    <row r="295" spans="1:71" s="31" customFormat="1" x14ac:dyDescent="0.35">
      <c r="A295" s="53" t="s">
        <v>39</v>
      </c>
      <c r="B295" s="49">
        <v>293</v>
      </c>
      <c r="C295" s="50"/>
      <c r="D295" s="50"/>
      <c r="E295" s="51"/>
      <c r="F295" s="50" t="s">
        <v>49</v>
      </c>
      <c r="G295" s="50" t="s">
        <v>990</v>
      </c>
      <c r="H295" s="50" t="s">
        <v>991</v>
      </c>
      <c r="I295" s="50"/>
      <c r="J295" s="50"/>
      <c r="K295" s="50"/>
      <c r="L295" s="50"/>
      <c r="M295" s="50"/>
      <c r="N295" s="54" t="s">
        <v>43</v>
      </c>
      <c r="O295" s="49">
        <v>1</v>
      </c>
      <c r="P295" s="43">
        <v>32.08</v>
      </c>
      <c r="Q295" s="49">
        <v>1</v>
      </c>
      <c r="R295" s="44">
        <f>P295/O295</f>
        <v>32.08</v>
      </c>
      <c r="S295" s="49">
        <f>Q295*O295</f>
        <v>1</v>
      </c>
      <c r="T295" s="52">
        <f>S295*R295</f>
        <v>32.08</v>
      </c>
      <c r="U295" s="50"/>
      <c r="V295" s="50"/>
      <c r="W295" s="50"/>
      <c r="X295" s="69"/>
      <c r="Y295" s="69"/>
      <c r="Z295" s="69"/>
      <c r="AA295" s="50"/>
      <c r="AB295" s="50"/>
      <c r="AC295" s="50"/>
      <c r="AD295" s="50"/>
      <c r="AE295" s="50"/>
      <c r="AF295" s="50"/>
      <c r="AG295" s="50"/>
      <c r="AH295" s="50"/>
      <c r="AI295" s="50" t="s">
        <v>652</v>
      </c>
      <c r="AJ295" s="50"/>
      <c r="AK295" s="50"/>
      <c r="AL295" s="44"/>
      <c r="AM295" s="45"/>
      <c r="AN295" s="50"/>
      <c r="AO295" s="69"/>
      <c r="AP295" s="69"/>
      <c r="AQ295" s="69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5"/>
      <c r="BD295" s="56"/>
      <c r="BE295" s="61"/>
      <c r="BF295" s="65"/>
      <c r="BG295" s="66"/>
      <c r="BH295" s="66"/>
      <c r="BI295" s="60"/>
      <c r="BJ295" s="60"/>
      <c r="BK295" s="60"/>
      <c r="BL295" s="60"/>
      <c r="BM295" s="60"/>
      <c r="BN295" s="60"/>
      <c r="BO295" s="60"/>
      <c r="BP295" s="60"/>
      <c r="BQ295" s="60" t="str">
        <f>IF(BS295="Original",AI295,AZ295)</f>
        <v>Low Threshold Spend</v>
      </c>
      <c r="BR295" s="60"/>
      <c r="BS295" s="60" t="str">
        <f>IF(AQ295="","Original",IF(AP295&lt;Y295,"Alternate","Original"))</f>
        <v>Original</v>
      </c>
    </row>
    <row r="296" spans="1:71" s="31" customFormat="1" x14ac:dyDescent="0.35">
      <c r="A296" s="53" t="s">
        <v>39</v>
      </c>
      <c r="B296" s="49">
        <v>294</v>
      </c>
      <c r="C296" s="50"/>
      <c r="D296" s="50"/>
      <c r="E296" s="51"/>
      <c r="F296" s="50" t="s">
        <v>60</v>
      </c>
      <c r="G296" s="50" t="s">
        <v>992</v>
      </c>
      <c r="H296" s="50" t="s">
        <v>993</v>
      </c>
      <c r="I296" s="50"/>
      <c r="J296" s="50"/>
      <c r="K296" s="50"/>
      <c r="L296" s="50"/>
      <c r="M296" s="50"/>
      <c r="N296" s="54" t="s">
        <v>43</v>
      </c>
      <c r="O296" s="49">
        <v>1</v>
      </c>
      <c r="P296" s="43">
        <v>31.84</v>
      </c>
      <c r="Q296" s="49">
        <v>1</v>
      </c>
      <c r="R296" s="44">
        <f>P296/O296</f>
        <v>31.84</v>
      </c>
      <c r="S296" s="49">
        <f>Q296*O296</f>
        <v>1</v>
      </c>
      <c r="T296" s="52">
        <f>S296*R296</f>
        <v>31.84</v>
      </c>
      <c r="U296" s="50"/>
      <c r="V296" s="50"/>
      <c r="W296" s="50"/>
      <c r="X296" s="69"/>
      <c r="Y296" s="69"/>
      <c r="Z296" s="69"/>
      <c r="AA296" s="50"/>
      <c r="AB296" s="50"/>
      <c r="AC296" s="50"/>
      <c r="AD296" s="50"/>
      <c r="AE296" s="50"/>
      <c r="AF296" s="50"/>
      <c r="AG296" s="50"/>
      <c r="AH296" s="50"/>
      <c r="AI296" s="50" t="s">
        <v>652</v>
      </c>
      <c r="AJ296" s="50"/>
      <c r="AK296" s="50"/>
      <c r="AL296" s="44"/>
      <c r="AM296" s="45"/>
      <c r="AN296" s="50"/>
      <c r="AO296" s="69"/>
      <c r="AP296" s="69"/>
      <c r="AQ296" s="69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5"/>
      <c r="BD296" s="56"/>
      <c r="BE296" s="61"/>
      <c r="BF296" s="65"/>
      <c r="BG296" s="66"/>
      <c r="BH296" s="66"/>
      <c r="BI296" s="60"/>
      <c r="BJ296" s="60"/>
      <c r="BK296" s="60"/>
      <c r="BL296" s="60"/>
      <c r="BM296" s="60"/>
      <c r="BN296" s="60"/>
      <c r="BO296" s="60"/>
      <c r="BP296" s="60"/>
      <c r="BQ296" s="60" t="str">
        <f>IF(BS296="Original",AI296,AZ296)</f>
        <v>Low Threshold Spend</v>
      </c>
      <c r="BR296" s="60"/>
      <c r="BS296" s="60" t="str">
        <f>IF(AQ296="","Original",IF(AP296&lt;Y296,"Alternate","Original"))</f>
        <v>Original</v>
      </c>
    </row>
    <row r="297" spans="1:71" s="31" customFormat="1" x14ac:dyDescent="0.35">
      <c r="A297" s="53" t="s">
        <v>39</v>
      </c>
      <c r="B297" s="49">
        <v>295</v>
      </c>
      <c r="C297" s="50"/>
      <c r="D297" s="50"/>
      <c r="E297" s="51"/>
      <c r="F297" s="50" t="s">
        <v>40</v>
      </c>
      <c r="G297" s="50" t="s">
        <v>994</v>
      </c>
      <c r="H297" s="50" t="s">
        <v>995</v>
      </c>
      <c r="I297" s="50"/>
      <c r="J297" s="50"/>
      <c r="K297" s="50"/>
      <c r="L297" s="50"/>
      <c r="M297" s="50"/>
      <c r="N297" s="54" t="s">
        <v>43</v>
      </c>
      <c r="O297" s="49">
        <v>1</v>
      </c>
      <c r="P297" s="43">
        <v>31.72</v>
      </c>
      <c r="Q297" s="49">
        <v>1</v>
      </c>
      <c r="R297" s="44">
        <f>P297/O297</f>
        <v>31.72</v>
      </c>
      <c r="S297" s="49">
        <f>Q297*O297</f>
        <v>1</v>
      </c>
      <c r="T297" s="52">
        <f>S297*R297</f>
        <v>31.72</v>
      </c>
      <c r="U297" s="50"/>
      <c r="V297" s="50"/>
      <c r="W297" s="50"/>
      <c r="X297" s="69"/>
      <c r="Y297" s="69"/>
      <c r="Z297" s="69"/>
      <c r="AA297" s="50"/>
      <c r="AB297" s="50"/>
      <c r="AC297" s="50"/>
      <c r="AD297" s="50"/>
      <c r="AE297" s="50"/>
      <c r="AF297" s="50"/>
      <c r="AG297" s="50"/>
      <c r="AH297" s="50"/>
      <c r="AI297" s="50" t="s">
        <v>652</v>
      </c>
      <c r="AJ297" s="50"/>
      <c r="AK297" s="50"/>
      <c r="AL297" s="44"/>
      <c r="AM297" s="45"/>
      <c r="AN297" s="50"/>
      <c r="AO297" s="69"/>
      <c r="AP297" s="69"/>
      <c r="AQ297" s="69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5"/>
      <c r="BD297" s="56"/>
      <c r="BE297" s="61"/>
      <c r="BF297" s="65"/>
      <c r="BG297" s="66"/>
      <c r="BH297" s="66"/>
      <c r="BI297" s="60"/>
      <c r="BJ297" s="60"/>
      <c r="BK297" s="60"/>
      <c r="BL297" s="60"/>
      <c r="BM297" s="60"/>
      <c r="BN297" s="60"/>
      <c r="BO297" s="60"/>
      <c r="BP297" s="60"/>
      <c r="BQ297" s="60" t="str">
        <f>IF(BS297="Original",AI297,AZ297)</f>
        <v>Low Threshold Spend</v>
      </c>
      <c r="BR297" s="60"/>
      <c r="BS297" s="60" t="str">
        <f>IF(AQ297="","Original",IF(AP297&lt;Y297,"Alternate","Original"))</f>
        <v>Original</v>
      </c>
    </row>
    <row r="298" spans="1:71" s="31" customFormat="1" x14ac:dyDescent="0.35">
      <c r="A298" s="53" t="s">
        <v>39</v>
      </c>
      <c r="B298" s="49">
        <v>296</v>
      </c>
      <c r="C298" s="50"/>
      <c r="D298" s="50"/>
      <c r="E298" s="51"/>
      <c r="F298" s="50" t="s">
        <v>40</v>
      </c>
      <c r="G298" s="50" t="s">
        <v>996</v>
      </c>
      <c r="H298" s="50" t="s">
        <v>997</v>
      </c>
      <c r="I298" s="50"/>
      <c r="J298" s="50"/>
      <c r="K298" s="50"/>
      <c r="L298" s="50"/>
      <c r="M298" s="50"/>
      <c r="N298" s="54" t="s">
        <v>43</v>
      </c>
      <c r="O298" s="49">
        <v>1</v>
      </c>
      <c r="P298" s="43">
        <v>31.29</v>
      </c>
      <c r="Q298" s="49">
        <v>1</v>
      </c>
      <c r="R298" s="44">
        <f>P298/O298</f>
        <v>31.29</v>
      </c>
      <c r="S298" s="49">
        <f>Q298*O298</f>
        <v>1</v>
      </c>
      <c r="T298" s="52">
        <f>S298*R298</f>
        <v>31.29</v>
      </c>
      <c r="U298" s="50"/>
      <c r="V298" s="50"/>
      <c r="W298" s="50"/>
      <c r="X298" s="69"/>
      <c r="Y298" s="69"/>
      <c r="Z298" s="69"/>
      <c r="AA298" s="50"/>
      <c r="AB298" s="50"/>
      <c r="AC298" s="50"/>
      <c r="AD298" s="50"/>
      <c r="AE298" s="50"/>
      <c r="AF298" s="50"/>
      <c r="AG298" s="50"/>
      <c r="AH298" s="50"/>
      <c r="AI298" s="50" t="s">
        <v>652</v>
      </c>
      <c r="AJ298" s="50"/>
      <c r="AK298" s="50"/>
      <c r="AL298" s="44"/>
      <c r="AM298" s="45"/>
      <c r="AN298" s="50"/>
      <c r="AO298" s="69"/>
      <c r="AP298" s="69"/>
      <c r="AQ298" s="69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5"/>
      <c r="BD298" s="56"/>
      <c r="BE298" s="61"/>
      <c r="BF298" s="65"/>
      <c r="BG298" s="66"/>
      <c r="BH298" s="66"/>
      <c r="BI298" s="60"/>
      <c r="BJ298" s="60"/>
      <c r="BK298" s="60"/>
      <c r="BL298" s="60"/>
      <c r="BM298" s="60"/>
      <c r="BN298" s="60"/>
      <c r="BO298" s="60"/>
      <c r="BP298" s="60"/>
      <c r="BQ298" s="60" t="str">
        <f>IF(BS298="Original",AI298,AZ298)</f>
        <v>Low Threshold Spend</v>
      </c>
      <c r="BR298" s="60"/>
      <c r="BS298" s="60" t="str">
        <f>IF(AQ298="","Original",IF(AP298&lt;Y298,"Alternate","Original"))</f>
        <v>Original</v>
      </c>
    </row>
    <row r="299" spans="1:71" s="31" customFormat="1" x14ac:dyDescent="0.35">
      <c r="A299" s="53" t="s">
        <v>39</v>
      </c>
      <c r="B299" s="49">
        <v>297</v>
      </c>
      <c r="C299" s="50"/>
      <c r="D299" s="50"/>
      <c r="E299" s="51"/>
      <c r="F299" s="50" t="s">
        <v>60</v>
      </c>
      <c r="G299" s="50" t="s">
        <v>998</v>
      </c>
      <c r="H299" s="50" t="s">
        <v>999</v>
      </c>
      <c r="I299" s="50"/>
      <c r="J299" s="50"/>
      <c r="K299" s="50"/>
      <c r="L299" s="50"/>
      <c r="M299" s="50"/>
      <c r="N299" s="54" t="s">
        <v>43</v>
      </c>
      <c r="O299" s="49">
        <v>1</v>
      </c>
      <c r="P299" s="43">
        <v>31.28</v>
      </c>
      <c r="Q299" s="49">
        <v>1</v>
      </c>
      <c r="R299" s="44">
        <f>P299/O299</f>
        <v>31.28</v>
      </c>
      <c r="S299" s="49">
        <f>Q299*O299</f>
        <v>1</v>
      </c>
      <c r="T299" s="52">
        <f>S299*R299</f>
        <v>31.28</v>
      </c>
      <c r="U299" s="50"/>
      <c r="V299" s="50"/>
      <c r="W299" s="50"/>
      <c r="X299" s="69"/>
      <c r="Y299" s="69"/>
      <c r="Z299" s="69"/>
      <c r="AA299" s="50"/>
      <c r="AB299" s="50"/>
      <c r="AC299" s="50"/>
      <c r="AD299" s="50"/>
      <c r="AE299" s="50"/>
      <c r="AF299" s="50"/>
      <c r="AG299" s="50"/>
      <c r="AH299" s="50"/>
      <c r="AI299" s="50" t="s">
        <v>652</v>
      </c>
      <c r="AJ299" s="50"/>
      <c r="AK299" s="50"/>
      <c r="AL299" s="44"/>
      <c r="AM299" s="45"/>
      <c r="AN299" s="50"/>
      <c r="AO299" s="69"/>
      <c r="AP299" s="69"/>
      <c r="AQ299" s="69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5"/>
      <c r="BD299" s="56"/>
      <c r="BE299" s="61"/>
      <c r="BF299" s="65"/>
      <c r="BG299" s="66"/>
      <c r="BH299" s="66"/>
      <c r="BI299" s="60"/>
      <c r="BJ299" s="60"/>
      <c r="BK299" s="60"/>
      <c r="BL299" s="60"/>
      <c r="BM299" s="60"/>
      <c r="BN299" s="60"/>
      <c r="BO299" s="60"/>
      <c r="BP299" s="60"/>
      <c r="BQ299" s="60" t="str">
        <f>IF(BS299="Original",AI299,AZ299)</f>
        <v>Low Threshold Spend</v>
      </c>
      <c r="BR299" s="60"/>
      <c r="BS299" s="60" t="str">
        <f>IF(AQ299="","Original",IF(AP299&lt;Y299,"Alternate","Original"))</f>
        <v>Original</v>
      </c>
    </row>
    <row r="300" spans="1:71" s="31" customFormat="1" x14ac:dyDescent="0.35">
      <c r="A300" s="53" t="s">
        <v>39</v>
      </c>
      <c r="B300" s="49">
        <v>298</v>
      </c>
      <c r="C300" s="50"/>
      <c r="D300" s="50"/>
      <c r="E300" s="51"/>
      <c r="F300" s="50" t="s">
        <v>49</v>
      </c>
      <c r="G300" s="50" t="s">
        <v>1000</v>
      </c>
      <c r="H300" s="50" t="s">
        <v>1001</v>
      </c>
      <c r="I300" s="50"/>
      <c r="J300" s="50"/>
      <c r="K300" s="50"/>
      <c r="L300" s="50"/>
      <c r="M300" s="50"/>
      <c r="N300" s="54" t="s">
        <v>43</v>
      </c>
      <c r="O300" s="49">
        <v>1</v>
      </c>
      <c r="P300" s="43">
        <v>31.19</v>
      </c>
      <c r="Q300" s="49">
        <v>1</v>
      </c>
      <c r="R300" s="44">
        <f>P300/O300</f>
        <v>31.19</v>
      </c>
      <c r="S300" s="49">
        <f>Q300*O300</f>
        <v>1</v>
      </c>
      <c r="T300" s="52">
        <f>S300*R300</f>
        <v>31.19</v>
      </c>
      <c r="U300" s="50"/>
      <c r="V300" s="50"/>
      <c r="W300" s="50"/>
      <c r="X300" s="69"/>
      <c r="Y300" s="69"/>
      <c r="Z300" s="69"/>
      <c r="AA300" s="50"/>
      <c r="AB300" s="50"/>
      <c r="AC300" s="50"/>
      <c r="AD300" s="50"/>
      <c r="AE300" s="50"/>
      <c r="AF300" s="50"/>
      <c r="AG300" s="50"/>
      <c r="AH300" s="50"/>
      <c r="AI300" s="50" t="s">
        <v>652</v>
      </c>
      <c r="AJ300" s="50"/>
      <c r="AK300" s="50"/>
      <c r="AL300" s="44"/>
      <c r="AM300" s="45"/>
      <c r="AN300" s="50"/>
      <c r="AO300" s="69"/>
      <c r="AP300" s="69"/>
      <c r="AQ300" s="69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5"/>
      <c r="BD300" s="56"/>
      <c r="BE300" s="61"/>
      <c r="BF300" s="65"/>
      <c r="BG300" s="66"/>
      <c r="BH300" s="66"/>
      <c r="BI300" s="60"/>
      <c r="BJ300" s="60"/>
      <c r="BK300" s="60"/>
      <c r="BL300" s="60"/>
      <c r="BM300" s="60"/>
      <c r="BN300" s="60"/>
      <c r="BO300" s="60"/>
      <c r="BP300" s="60"/>
      <c r="BQ300" s="60" t="str">
        <f>IF(BS300="Original",AI300,AZ300)</f>
        <v>Low Threshold Spend</v>
      </c>
      <c r="BR300" s="60"/>
      <c r="BS300" s="60" t="str">
        <f>IF(AQ300="","Original",IF(AP300&lt;Y300,"Alternate","Original"))</f>
        <v>Original</v>
      </c>
    </row>
    <row r="301" spans="1:71" s="31" customFormat="1" x14ac:dyDescent="0.35">
      <c r="A301" s="53" t="s">
        <v>39</v>
      </c>
      <c r="B301" s="49">
        <v>299</v>
      </c>
      <c r="C301" s="50"/>
      <c r="D301" s="50"/>
      <c r="E301" s="51"/>
      <c r="F301" s="50" t="s">
        <v>40</v>
      </c>
      <c r="G301" s="50" t="s">
        <v>1002</v>
      </c>
      <c r="H301" s="50" t="s">
        <v>1003</v>
      </c>
      <c r="I301" s="50"/>
      <c r="J301" s="50"/>
      <c r="K301" s="50"/>
      <c r="L301" s="50"/>
      <c r="M301" s="50"/>
      <c r="N301" s="54" t="s">
        <v>43</v>
      </c>
      <c r="O301" s="49">
        <v>1</v>
      </c>
      <c r="P301" s="43">
        <v>30.95</v>
      </c>
      <c r="Q301" s="49">
        <v>1</v>
      </c>
      <c r="R301" s="44">
        <f>P301/O301</f>
        <v>30.95</v>
      </c>
      <c r="S301" s="49">
        <f>Q301*O301</f>
        <v>1</v>
      </c>
      <c r="T301" s="52">
        <f>S301*R301</f>
        <v>30.95</v>
      </c>
      <c r="U301" s="50"/>
      <c r="V301" s="50"/>
      <c r="W301" s="50"/>
      <c r="X301" s="69"/>
      <c r="Y301" s="69"/>
      <c r="Z301" s="69"/>
      <c r="AA301" s="50"/>
      <c r="AB301" s="50"/>
      <c r="AC301" s="50"/>
      <c r="AD301" s="50"/>
      <c r="AE301" s="50"/>
      <c r="AF301" s="50"/>
      <c r="AG301" s="50"/>
      <c r="AH301" s="50"/>
      <c r="AI301" s="50" t="s">
        <v>652</v>
      </c>
      <c r="AJ301" s="50"/>
      <c r="AK301" s="50"/>
      <c r="AL301" s="44"/>
      <c r="AM301" s="45"/>
      <c r="AN301" s="50"/>
      <c r="AO301" s="69"/>
      <c r="AP301" s="69"/>
      <c r="AQ301" s="69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5"/>
      <c r="BD301" s="56"/>
      <c r="BE301" s="61"/>
      <c r="BF301" s="65"/>
      <c r="BG301" s="66"/>
      <c r="BH301" s="66"/>
      <c r="BI301" s="60"/>
      <c r="BJ301" s="60"/>
      <c r="BK301" s="60"/>
      <c r="BL301" s="60"/>
      <c r="BM301" s="60"/>
      <c r="BN301" s="60"/>
      <c r="BO301" s="60"/>
      <c r="BP301" s="60"/>
      <c r="BQ301" s="60" t="str">
        <f>IF(BS301="Original",AI301,AZ301)</f>
        <v>Low Threshold Spend</v>
      </c>
      <c r="BR301" s="60"/>
      <c r="BS301" s="60" t="str">
        <f>IF(AQ301="","Original",IF(AP301&lt;Y301,"Alternate","Original"))</f>
        <v>Original</v>
      </c>
    </row>
    <row r="302" spans="1:71" s="31" customFormat="1" x14ac:dyDescent="0.35">
      <c r="A302" s="53" t="s">
        <v>39</v>
      </c>
      <c r="B302" s="49">
        <v>300</v>
      </c>
      <c r="C302" s="50"/>
      <c r="D302" s="50"/>
      <c r="E302" s="51"/>
      <c r="F302" s="50" t="s">
        <v>60</v>
      </c>
      <c r="G302" s="50" t="s">
        <v>1004</v>
      </c>
      <c r="H302" s="50" t="s">
        <v>1005</v>
      </c>
      <c r="I302" s="50"/>
      <c r="J302" s="50"/>
      <c r="K302" s="50"/>
      <c r="L302" s="50"/>
      <c r="M302" s="50"/>
      <c r="N302" s="54" t="s">
        <v>43</v>
      </c>
      <c r="O302" s="49">
        <v>1</v>
      </c>
      <c r="P302" s="43">
        <v>30.01</v>
      </c>
      <c r="Q302" s="49">
        <v>1</v>
      </c>
      <c r="R302" s="44">
        <f>P302/O302</f>
        <v>30.01</v>
      </c>
      <c r="S302" s="49">
        <f>Q302*O302</f>
        <v>1</v>
      </c>
      <c r="T302" s="52">
        <f>S302*R302</f>
        <v>30.01</v>
      </c>
      <c r="U302" s="50"/>
      <c r="V302" s="50"/>
      <c r="W302" s="50"/>
      <c r="X302" s="69"/>
      <c r="Y302" s="69"/>
      <c r="Z302" s="69"/>
      <c r="AA302" s="50"/>
      <c r="AB302" s="50"/>
      <c r="AC302" s="50"/>
      <c r="AD302" s="50"/>
      <c r="AE302" s="50"/>
      <c r="AF302" s="50"/>
      <c r="AG302" s="50"/>
      <c r="AH302" s="50"/>
      <c r="AI302" s="50" t="s">
        <v>652</v>
      </c>
      <c r="AJ302" s="50"/>
      <c r="AK302" s="50"/>
      <c r="AL302" s="44"/>
      <c r="AM302" s="45"/>
      <c r="AN302" s="50"/>
      <c r="AO302" s="69"/>
      <c r="AP302" s="69"/>
      <c r="AQ302" s="69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5"/>
      <c r="BD302" s="56"/>
      <c r="BE302" s="61"/>
      <c r="BF302" s="65"/>
      <c r="BG302" s="66"/>
      <c r="BH302" s="66"/>
      <c r="BI302" s="60"/>
      <c r="BJ302" s="60"/>
      <c r="BK302" s="60"/>
      <c r="BL302" s="60"/>
      <c r="BM302" s="60"/>
      <c r="BN302" s="60"/>
      <c r="BO302" s="60"/>
      <c r="BP302" s="60"/>
      <c r="BQ302" s="60" t="str">
        <f>IF(BS302="Original",AI302,AZ302)</f>
        <v>Low Threshold Spend</v>
      </c>
      <c r="BR302" s="60"/>
      <c r="BS302" s="60" t="str">
        <f>IF(AQ302="","Original",IF(AP302&lt;Y302,"Alternate","Original"))</f>
        <v>Original</v>
      </c>
    </row>
    <row r="303" spans="1:71" s="31" customFormat="1" x14ac:dyDescent="0.35">
      <c r="A303" s="53" t="s">
        <v>39</v>
      </c>
      <c r="B303" s="49">
        <v>301</v>
      </c>
      <c r="C303" s="50"/>
      <c r="D303" s="50"/>
      <c r="E303" s="51"/>
      <c r="F303" s="50" t="s">
        <v>40</v>
      </c>
      <c r="G303" s="50" t="s">
        <v>1006</v>
      </c>
      <c r="H303" s="50" t="s">
        <v>1007</v>
      </c>
      <c r="I303" s="50"/>
      <c r="J303" s="50"/>
      <c r="K303" s="50"/>
      <c r="L303" s="50"/>
      <c r="M303" s="50"/>
      <c r="N303" s="54" t="s">
        <v>43</v>
      </c>
      <c r="O303" s="49">
        <v>1</v>
      </c>
      <c r="P303" s="43">
        <v>28.81</v>
      </c>
      <c r="Q303" s="49">
        <v>1</v>
      </c>
      <c r="R303" s="44">
        <f>P303/O303</f>
        <v>28.81</v>
      </c>
      <c r="S303" s="49">
        <f>Q303*O303</f>
        <v>1</v>
      </c>
      <c r="T303" s="52">
        <f>S303*R303</f>
        <v>28.81</v>
      </c>
      <c r="U303" s="50"/>
      <c r="V303" s="50"/>
      <c r="W303" s="50"/>
      <c r="X303" s="69"/>
      <c r="Y303" s="69"/>
      <c r="Z303" s="69"/>
      <c r="AA303" s="50"/>
      <c r="AB303" s="50"/>
      <c r="AC303" s="50"/>
      <c r="AD303" s="50"/>
      <c r="AE303" s="50"/>
      <c r="AF303" s="50"/>
      <c r="AG303" s="50"/>
      <c r="AH303" s="50"/>
      <c r="AI303" s="50" t="s">
        <v>652</v>
      </c>
      <c r="AJ303" s="50"/>
      <c r="AK303" s="50"/>
      <c r="AL303" s="44"/>
      <c r="AM303" s="45"/>
      <c r="AN303" s="50"/>
      <c r="AO303" s="69"/>
      <c r="AP303" s="69"/>
      <c r="AQ303" s="69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5"/>
      <c r="BD303" s="56"/>
      <c r="BE303" s="61"/>
      <c r="BF303" s="65"/>
      <c r="BG303" s="66"/>
      <c r="BH303" s="66"/>
      <c r="BI303" s="60"/>
      <c r="BJ303" s="60"/>
      <c r="BK303" s="60"/>
      <c r="BL303" s="60"/>
      <c r="BM303" s="60"/>
      <c r="BN303" s="60"/>
      <c r="BO303" s="60"/>
      <c r="BP303" s="60"/>
      <c r="BQ303" s="60" t="str">
        <f>IF(BS303="Original",AI303,AZ303)</f>
        <v>Low Threshold Spend</v>
      </c>
      <c r="BR303" s="60"/>
      <c r="BS303" s="60" t="str">
        <f>IF(AQ303="","Original",IF(AP303&lt;Y303,"Alternate","Original"))</f>
        <v>Original</v>
      </c>
    </row>
    <row r="304" spans="1:71" s="31" customFormat="1" x14ac:dyDescent="0.35">
      <c r="A304" s="53" t="s">
        <v>39</v>
      </c>
      <c r="B304" s="49">
        <v>302</v>
      </c>
      <c r="C304" s="50"/>
      <c r="D304" s="50"/>
      <c r="E304" s="51"/>
      <c r="F304" s="50" t="s">
        <v>40</v>
      </c>
      <c r="G304" s="50" t="s">
        <v>1008</v>
      </c>
      <c r="H304" s="50" t="s">
        <v>1009</v>
      </c>
      <c r="I304" s="50"/>
      <c r="J304" s="50"/>
      <c r="K304" s="50"/>
      <c r="L304" s="50"/>
      <c r="M304" s="50"/>
      <c r="N304" s="54" t="s">
        <v>43</v>
      </c>
      <c r="O304" s="49">
        <v>1</v>
      </c>
      <c r="P304" s="43">
        <v>28.8</v>
      </c>
      <c r="Q304" s="49">
        <v>1</v>
      </c>
      <c r="R304" s="44">
        <f>P304/O304</f>
        <v>28.8</v>
      </c>
      <c r="S304" s="49">
        <f>Q304*O304</f>
        <v>1</v>
      </c>
      <c r="T304" s="52">
        <f>S304*R304</f>
        <v>28.8</v>
      </c>
      <c r="U304" s="50"/>
      <c r="V304" s="50"/>
      <c r="W304" s="50"/>
      <c r="X304" s="69"/>
      <c r="Y304" s="69"/>
      <c r="Z304" s="69"/>
      <c r="AA304" s="50"/>
      <c r="AB304" s="50"/>
      <c r="AC304" s="50"/>
      <c r="AD304" s="50"/>
      <c r="AE304" s="50"/>
      <c r="AF304" s="50"/>
      <c r="AG304" s="50"/>
      <c r="AH304" s="50"/>
      <c r="AI304" s="50" t="s">
        <v>652</v>
      </c>
      <c r="AJ304" s="50"/>
      <c r="AK304" s="50"/>
      <c r="AL304" s="44"/>
      <c r="AM304" s="45"/>
      <c r="AN304" s="50"/>
      <c r="AO304" s="69"/>
      <c r="AP304" s="69"/>
      <c r="AQ304" s="69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5"/>
      <c r="BD304" s="56"/>
      <c r="BE304" s="61"/>
      <c r="BF304" s="65"/>
      <c r="BG304" s="66"/>
      <c r="BH304" s="66"/>
      <c r="BI304" s="60"/>
      <c r="BJ304" s="60"/>
      <c r="BK304" s="60"/>
      <c r="BL304" s="60"/>
      <c r="BM304" s="60"/>
      <c r="BN304" s="60"/>
      <c r="BO304" s="60"/>
      <c r="BP304" s="60"/>
      <c r="BQ304" s="60" t="str">
        <f>IF(BS304="Original",AI304,AZ304)</f>
        <v>Low Threshold Spend</v>
      </c>
      <c r="BR304" s="60"/>
      <c r="BS304" s="60" t="str">
        <f>IF(AQ304="","Original",IF(AP304&lt;Y304,"Alternate","Original"))</f>
        <v>Original</v>
      </c>
    </row>
    <row r="305" spans="1:71" s="31" customFormat="1" x14ac:dyDescent="0.35">
      <c r="A305" s="53" t="s">
        <v>39</v>
      </c>
      <c r="B305" s="49">
        <v>303</v>
      </c>
      <c r="C305" s="50"/>
      <c r="D305" s="50"/>
      <c r="E305" s="51"/>
      <c r="F305" s="50" t="s">
        <v>49</v>
      </c>
      <c r="G305" s="50" t="s">
        <v>1010</v>
      </c>
      <c r="H305" s="50" t="s">
        <v>1011</v>
      </c>
      <c r="I305" s="50"/>
      <c r="J305" s="50"/>
      <c r="K305" s="50"/>
      <c r="L305" s="50"/>
      <c r="M305" s="50"/>
      <c r="N305" s="54" t="s">
        <v>43</v>
      </c>
      <c r="O305" s="49">
        <v>1</v>
      </c>
      <c r="P305" s="43">
        <v>28.61</v>
      </c>
      <c r="Q305" s="49">
        <v>1</v>
      </c>
      <c r="R305" s="44">
        <f>P305/O305</f>
        <v>28.61</v>
      </c>
      <c r="S305" s="49">
        <f>Q305*O305</f>
        <v>1</v>
      </c>
      <c r="T305" s="52">
        <f>S305*R305</f>
        <v>28.61</v>
      </c>
      <c r="U305" s="50"/>
      <c r="V305" s="50"/>
      <c r="W305" s="50"/>
      <c r="X305" s="69"/>
      <c r="Y305" s="69"/>
      <c r="Z305" s="69"/>
      <c r="AA305" s="50"/>
      <c r="AB305" s="50"/>
      <c r="AC305" s="50"/>
      <c r="AD305" s="50"/>
      <c r="AE305" s="50"/>
      <c r="AF305" s="50"/>
      <c r="AG305" s="50"/>
      <c r="AH305" s="50"/>
      <c r="AI305" s="50" t="s">
        <v>652</v>
      </c>
      <c r="AJ305" s="50"/>
      <c r="AK305" s="50"/>
      <c r="AL305" s="44"/>
      <c r="AM305" s="45"/>
      <c r="AN305" s="50"/>
      <c r="AO305" s="69"/>
      <c r="AP305" s="69"/>
      <c r="AQ305" s="69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5"/>
      <c r="BD305" s="56"/>
      <c r="BE305" s="61"/>
      <c r="BF305" s="65"/>
      <c r="BG305" s="66"/>
      <c r="BH305" s="66"/>
      <c r="BI305" s="60"/>
      <c r="BJ305" s="60"/>
      <c r="BK305" s="60"/>
      <c r="BL305" s="60"/>
      <c r="BM305" s="60"/>
      <c r="BN305" s="60"/>
      <c r="BO305" s="60"/>
      <c r="BP305" s="60"/>
      <c r="BQ305" s="60" t="str">
        <f>IF(BS305="Original",AI305,AZ305)</f>
        <v>Low Threshold Spend</v>
      </c>
      <c r="BR305" s="60"/>
      <c r="BS305" s="60" t="str">
        <f>IF(AQ305="","Original",IF(AP305&lt;Y305,"Alternate","Original"))</f>
        <v>Original</v>
      </c>
    </row>
    <row r="306" spans="1:71" s="31" customFormat="1" x14ac:dyDescent="0.35">
      <c r="A306" s="53" t="s">
        <v>39</v>
      </c>
      <c r="B306" s="49">
        <v>304</v>
      </c>
      <c r="C306" s="50"/>
      <c r="D306" s="50"/>
      <c r="E306" s="51"/>
      <c r="F306" s="50" t="s">
        <v>49</v>
      </c>
      <c r="G306" s="50" t="s">
        <v>1012</v>
      </c>
      <c r="H306" s="50" t="s">
        <v>1013</v>
      </c>
      <c r="I306" s="50"/>
      <c r="J306" s="50"/>
      <c r="K306" s="50"/>
      <c r="L306" s="50"/>
      <c r="M306" s="50"/>
      <c r="N306" s="54" t="s">
        <v>43</v>
      </c>
      <c r="O306" s="49">
        <v>1</v>
      </c>
      <c r="P306" s="43">
        <v>28.2</v>
      </c>
      <c r="Q306" s="49">
        <v>1</v>
      </c>
      <c r="R306" s="44">
        <f>P306/O306</f>
        <v>28.2</v>
      </c>
      <c r="S306" s="49">
        <f>Q306*O306</f>
        <v>1</v>
      </c>
      <c r="T306" s="52">
        <f>S306*R306</f>
        <v>28.2</v>
      </c>
      <c r="U306" s="50"/>
      <c r="V306" s="50"/>
      <c r="W306" s="50"/>
      <c r="X306" s="69"/>
      <c r="Y306" s="69"/>
      <c r="Z306" s="69"/>
      <c r="AA306" s="50"/>
      <c r="AB306" s="50"/>
      <c r="AC306" s="50"/>
      <c r="AD306" s="50"/>
      <c r="AE306" s="50"/>
      <c r="AF306" s="50"/>
      <c r="AG306" s="50"/>
      <c r="AH306" s="50"/>
      <c r="AI306" s="50" t="s">
        <v>652</v>
      </c>
      <c r="AJ306" s="50"/>
      <c r="AK306" s="50"/>
      <c r="AL306" s="44"/>
      <c r="AM306" s="45"/>
      <c r="AN306" s="50"/>
      <c r="AO306" s="69"/>
      <c r="AP306" s="69"/>
      <c r="AQ306" s="69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5"/>
      <c r="BD306" s="56"/>
      <c r="BE306" s="61"/>
      <c r="BF306" s="65"/>
      <c r="BG306" s="66"/>
      <c r="BH306" s="66"/>
      <c r="BI306" s="60"/>
      <c r="BJ306" s="60"/>
      <c r="BK306" s="60"/>
      <c r="BL306" s="60"/>
      <c r="BM306" s="60"/>
      <c r="BN306" s="60"/>
      <c r="BO306" s="60"/>
      <c r="BP306" s="60"/>
      <c r="BQ306" s="60" t="str">
        <f>IF(BS306="Original",AI306,AZ306)</f>
        <v>Low Threshold Spend</v>
      </c>
      <c r="BR306" s="60"/>
      <c r="BS306" s="60" t="str">
        <f>IF(AQ306="","Original",IF(AP306&lt;Y306,"Alternate","Original"))</f>
        <v>Original</v>
      </c>
    </row>
    <row r="307" spans="1:71" s="31" customFormat="1" x14ac:dyDescent="0.35">
      <c r="A307" s="53" t="s">
        <v>39</v>
      </c>
      <c r="B307" s="49">
        <v>305</v>
      </c>
      <c r="C307" s="50"/>
      <c r="D307" s="50"/>
      <c r="E307" s="51"/>
      <c r="F307" s="50" t="s">
        <v>60</v>
      </c>
      <c r="G307" s="50" t="s">
        <v>1014</v>
      </c>
      <c r="H307" s="50" t="s">
        <v>1015</v>
      </c>
      <c r="I307" s="50"/>
      <c r="J307" s="50"/>
      <c r="K307" s="50"/>
      <c r="L307" s="50"/>
      <c r="M307" s="50"/>
      <c r="N307" s="54" t="s">
        <v>43</v>
      </c>
      <c r="O307" s="49">
        <v>1</v>
      </c>
      <c r="P307" s="43">
        <v>27.94</v>
      </c>
      <c r="Q307" s="49">
        <v>1</v>
      </c>
      <c r="R307" s="44">
        <f>P307/O307</f>
        <v>27.94</v>
      </c>
      <c r="S307" s="49">
        <f>Q307*O307</f>
        <v>1</v>
      </c>
      <c r="T307" s="52">
        <f>S307*R307</f>
        <v>27.94</v>
      </c>
      <c r="U307" s="50"/>
      <c r="V307" s="50"/>
      <c r="W307" s="50"/>
      <c r="X307" s="69"/>
      <c r="Y307" s="69"/>
      <c r="Z307" s="69"/>
      <c r="AA307" s="50"/>
      <c r="AB307" s="50"/>
      <c r="AC307" s="50"/>
      <c r="AD307" s="50"/>
      <c r="AE307" s="50"/>
      <c r="AF307" s="50"/>
      <c r="AG307" s="50"/>
      <c r="AH307" s="50"/>
      <c r="AI307" s="50" t="s">
        <v>652</v>
      </c>
      <c r="AJ307" s="50"/>
      <c r="AK307" s="50"/>
      <c r="AL307" s="44"/>
      <c r="AM307" s="45"/>
      <c r="AN307" s="50"/>
      <c r="AO307" s="69"/>
      <c r="AP307" s="69"/>
      <c r="AQ307" s="69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5"/>
      <c r="BD307" s="56"/>
      <c r="BE307" s="61"/>
      <c r="BF307" s="65"/>
      <c r="BG307" s="66"/>
      <c r="BH307" s="66"/>
      <c r="BI307" s="60"/>
      <c r="BJ307" s="60"/>
      <c r="BK307" s="60"/>
      <c r="BL307" s="60"/>
      <c r="BM307" s="60"/>
      <c r="BN307" s="60"/>
      <c r="BO307" s="60"/>
      <c r="BP307" s="60"/>
      <c r="BQ307" s="60" t="str">
        <f>IF(BS307="Original",AI307,AZ307)</f>
        <v>Low Threshold Spend</v>
      </c>
      <c r="BR307" s="60"/>
      <c r="BS307" s="60" t="str">
        <f>IF(AQ307="","Original",IF(AP307&lt;Y307,"Alternate","Original"))</f>
        <v>Original</v>
      </c>
    </row>
    <row r="308" spans="1:71" s="31" customFormat="1" x14ac:dyDescent="0.35">
      <c r="A308" s="53" t="s">
        <v>39</v>
      </c>
      <c r="B308" s="49">
        <v>306</v>
      </c>
      <c r="C308" s="50"/>
      <c r="D308" s="50"/>
      <c r="E308" s="51"/>
      <c r="F308" s="50" t="s">
        <v>49</v>
      </c>
      <c r="G308" s="50" t="s">
        <v>1016</v>
      </c>
      <c r="H308" s="50" t="s">
        <v>1017</v>
      </c>
      <c r="I308" s="50"/>
      <c r="J308" s="50"/>
      <c r="K308" s="50"/>
      <c r="L308" s="50"/>
      <c r="M308" s="50"/>
      <c r="N308" s="54" t="s">
        <v>43</v>
      </c>
      <c r="O308" s="49">
        <v>1</v>
      </c>
      <c r="P308" s="43">
        <v>27.84</v>
      </c>
      <c r="Q308" s="49">
        <v>1</v>
      </c>
      <c r="R308" s="44">
        <f>P308/O308</f>
        <v>27.84</v>
      </c>
      <c r="S308" s="49">
        <f>Q308*O308</f>
        <v>1</v>
      </c>
      <c r="T308" s="52">
        <f>S308*R308</f>
        <v>27.84</v>
      </c>
      <c r="U308" s="50"/>
      <c r="V308" s="50"/>
      <c r="W308" s="50"/>
      <c r="X308" s="69"/>
      <c r="Y308" s="69"/>
      <c r="Z308" s="69"/>
      <c r="AA308" s="50"/>
      <c r="AB308" s="50"/>
      <c r="AC308" s="50"/>
      <c r="AD308" s="50"/>
      <c r="AE308" s="50"/>
      <c r="AF308" s="50"/>
      <c r="AG308" s="50"/>
      <c r="AH308" s="50"/>
      <c r="AI308" s="50" t="s">
        <v>652</v>
      </c>
      <c r="AJ308" s="50"/>
      <c r="AK308" s="50"/>
      <c r="AL308" s="44"/>
      <c r="AM308" s="45"/>
      <c r="AN308" s="50"/>
      <c r="AO308" s="69"/>
      <c r="AP308" s="69"/>
      <c r="AQ308" s="69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5"/>
      <c r="BD308" s="56"/>
      <c r="BE308" s="61"/>
      <c r="BF308" s="65"/>
      <c r="BG308" s="66"/>
      <c r="BH308" s="66"/>
      <c r="BI308" s="60"/>
      <c r="BJ308" s="60"/>
      <c r="BK308" s="60"/>
      <c r="BL308" s="60"/>
      <c r="BM308" s="60"/>
      <c r="BN308" s="60"/>
      <c r="BO308" s="60"/>
      <c r="BP308" s="60"/>
      <c r="BQ308" s="60" t="str">
        <f>IF(BS308="Original",AI308,AZ308)</f>
        <v>Low Threshold Spend</v>
      </c>
      <c r="BR308" s="60"/>
      <c r="BS308" s="60" t="str">
        <f>IF(AQ308="","Original",IF(AP308&lt;Y308,"Alternate","Original"))</f>
        <v>Original</v>
      </c>
    </row>
    <row r="309" spans="1:71" s="31" customFormat="1" x14ac:dyDescent="0.35">
      <c r="A309" s="53" t="s">
        <v>39</v>
      </c>
      <c r="B309" s="49">
        <v>307</v>
      </c>
      <c r="C309" s="50"/>
      <c r="D309" s="50"/>
      <c r="E309" s="51"/>
      <c r="F309" s="50" t="s">
        <v>40</v>
      </c>
      <c r="G309" s="50" t="s">
        <v>1018</v>
      </c>
      <c r="H309" s="50" t="s">
        <v>1019</v>
      </c>
      <c r="I309" s="50"/>
      <c r="J309" s="50"/>
      <c r="K309" s="50"/>
      <c r="L309" s="50"/>
      <c r="M309" s="50"/>
      <c r="N309" s="54" t="s">
        <v>43</v>
      </c>
      <c r="O309" s="49">
        <v>1</v>
      </c>
      <c r="P309" s="43">
        <v>27.29</v>
      </c>
      <c r="Q309" s="49">
        <v>1</v>
      </c>
      <c r="R309" s="44">
        <f>P309/O309</f>
        <v>27.29</v>
      </c>
      <c r="S309" s="49">
        <f>Q309*O309</f>
        <v>1</v>
      </c>
      <c r="T309" s="52">
        <f>S309*R309</f>
        <v>27.29</v>
      </c>
      <c r="U309" s="50"/>
      <c r="V309" s="50"/>
      <c r="W309" s="50"/>
      <c r="X309" s="69"/>
      <c r="Y309" s="69"/>
      <c r="Z309" s="69"/>
      <c r="AA309" s="50"/>
      <c r="AB309" s="50"/>
      <c r="AC309" s="50"/>
      <c r="AD309" s="50"/>
      <c r="AE309" s="50"/>
      <c r="AF309" s="50"/>
      <c r="AG309" s="50"/>
      <c r="AH309" s="50"/>
      <c r="AI309" s="50" t="s">
        <v>652</v>
      </c>
      <c r="AJ309" s="50"/>
      <c r="AK309" s="50"/>
      <c r="AL309" s="44"/>
      <c r="AM309" s="45"/>
      <c r="AN309" s="50"/>
      <c r="AO309" s="69"/>
      <c r="AP309" s="69"/>
      <c r="AQ309" s="69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5"/>
      <c r="BD309" s="56"/>
      <c r="BE309" s="61"/>
      <c r="BF309" s="65"/>
      <c r="BG309" s="66"/>
      <c r="BH309" s="66"/>
      <c r="BI309" s="60"/>
      <c r="BJ309" s="60"/>
      <c r="BK309" s="60"/>
      <c r="BL309" s="60"/>
      <c r="BM309" s="60"/>
      <c r="BN309" s="60"/>
      <c r="BO309" s="60"/>
      <c r="BP309" s="60"/>
      <c r="BQ309" s="60" t="str">
        <f>IF(BS309="Original",AI309,AZ309)</f>
        <v>Low Threshold Spend</v>
      </c>
      <c r="BR309" s="60"/>
      <c r="BS309" s="60" t="str">
        <f>IF(AQ309="","Original",IF(AP309&lt;Y309,"Alternate","Original"))</f>
        <v>Original</v>
      </c>
    </row>
    <row r="310" spans="1:71" s="31" customFormat="1" x14ac:dyDescent="0.35">
      <c r="A310" s="53" t="s">
        <v>39</v>
      </c>
      <c r="B310" s="49">
        <v>308</v>
      </c>
      <c r="C310" s="50"/>
      <c r="D310" s="50"/>
      <c r="E310" s="51"/>
      <c r="F310" s="50" t="s">
        <v>60</v>
      </c>
      <c r="G310" s="50" t="s">
        <v>1020</v>
      </c>
      <c r="H310" s="50" t="s">
        <v>1021</v>
      </c>
      <c r="I310" s="50"/>
      <c r="J310" s="50"/>
      <c r="K310" s="50"/>
      <c r="L310" s="50"/>
      <c r="M310" s="50"/>
      <c r="N310" s="54" t="s">
        <v>43</v>
      </c>
      <c r="O310" s="49">
        <v>1</v>
      </c>
      <c r="P310" s="43">
        <v>27.21</v>
      </c>
      <c r="Q310" s="49">
        <v>1</v>
      </c>
      <c r="R310" s="44">
        <f>P310/O310</f>
        <v>27.21</v>
      </c>
      <c r="S310" s="49">
        <f>Q310*O310</f>
        <v>1</v>
      </c>
      <c r="T310" s="52">
        <f>S310*R310</f>
        <v>27.21</v>
      </c>
      <c r="U310" s="50"/>
      <c r="V310" s="50"/>
      <c r="W310" s="50"/>
      <c r="X310" s="69"/>
      <c r="Y310" s="69"/>
      <c r="Z310" s="69"/>
      <c r="AA310" s="50"/>
      <c r="AB310" s="50"/>
      <c r="AC310" s="50"/>
      <c r="AD310" s="50"/>
      <c r="AE310" s="50"/>
      <c r="AF310" s="50"/>
      <c r="AG310" s="50"/>
      <c r="AH310" s="50"/>
      <c r="AI310" s="50" t="s">
        <v>652</v>
      </c>
      <c r="AJ310" s="50"/>
      <c r="AK310" s="50"/>
      <c r="AL310" s="44"/>
      <c r="AM310" s="45"/>
      <c r="AN310" s="50"/>
      <c r="AO310" s="69"/>
      <c r="AP310" s="69"/>
      <c r="AQ310" s="69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5"/>
      <c r="BD310" s="56"/>
      <c r="BE310" s="61"/>
      <c r="BF310" s="65"/>
      <c r="BG310" s="66"/>
      <c r="BH310" s="66"/>
      <c r="BI310" s="60"/>
      <c r="BJ310" s="60"/>
      <c r="BK310" s="60"/>
      <c r="BL310" s="60"/>
      <c r="BM310" s="60"/>
      <c r="BN310" s="60"/>
      <c r="BO310" s="60"/>
      <c r="BP310" s="60"/>
      <c r="BQ310" s="60" t="str">
        <f>IF(BS310="Original",AI310,AZ310)</f>
        <v>Low Threshold Spend</v>
      </c>
      <c r="BR310" s="60"/>
      <c r="BS310" s="60" t="str">
        <f>IF(AQ310="","Original",IF(AP310&lt;Y310,"Alternate","Original"))</f>
        <v>Original</v>
      </c>
    </row>
    <row r="311" spans="1:71" s="31" customFormat="1" x14ac:dyDescent="0.35">
      <c r="A311" s="53" t="s">
        <v>39</v>
      </c>
      <c r="B311" s="49">
        <v>309</v>
      </c>
      <c r="C311" s="50"/>
      <c r="D311" s="50"/>
      <c r="E311" s="51"/>
      <c r="F311" s="50" t="s">
        <v>49</v>
      </c>
      <c r="G311" s="50" t="s">
        <v>1022</v>
      </c>
      <c r="H311" s="50" t="s">
        <v>1023</v>
      </c>
      <c r="I311" s="50"/>
      <c r="J311" s="50"/>
      <c r="K311" s="50"/>
      <c r="L311" s="50"/>
      <c r="M311" s="50"/>
      <c r="N311" s="54" t="s">
        <v>43</v>
      </c>
      <c r="O311" s="49">
        <v>1</v>
      </c>
      <c r="P311" s="43">
        <v>26.94</v>
      </c>
      <c r="Q311" s="49">
        <v>1</v>
      </c>
      <c r="R311" s="44">
        <f>P311/O311</f>
        <v>26.94</v>
      </c>
      <c r="S311" s="49">
        <f>Q311*O311</f>
        <v>1</v>
      </c>
      <c r="T311" s="52">
        <f>S311*R311</f>
        <v>26.94</v>
      </c>
      <c r="U311" s="50"/>
      <c r="V311" s="50"/>
      <c r="W311" s="50"/>
      <c r="X311" s="69"/>
      <c r="Y311" s="69"/>
      <c r="Z311" s="69"/>
      <c r="AA311" s="50"/>
      <c r="AB311" s="50"/>
      <c r="AC311" s="50"/>
      <c r="AD311" s="50"/>
      <c r="AE311" s="50"/>
      <c r="AF311" s="50"/>
      <c r="AG311" s="50"/>
      <c r="AH311" s="50"/>
      <c r="AI311" s="50" t="s">
        <v>652</v>
      </c>
      <c r="AJ311" s="50"/>
      <c r="AK311" s="50"/>
      <c r="AL311" s="44"/>
      <c r="AM311" s="45"/>
      <c r="AN311" s="50"/>
      <c r="AO311" s="69"/>
      <c r="AP311" s="69"/>
      <c r="AQ311" s="69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5"/>
      <c r="BD311" s="56"/>
      <c r="BE311" s="61"/>
      <c r="BF311" s="65"/>
      <c r="BG311" s="66"/>
      <c r="BH311" s="66"/>
      <c r="BI311" s="60"/>
      <c r="BJ311" s="60"/>
      <c r="BK311" s="60"/>
      <c r="BL311" s="60"/>
      <c r="BM311" s="60"/>
      <c r="BN311" s="60"/>
      <c r="BO311" s="60"/>
      <c r="BP311" s="60"/>
      <c r="BQ311" s="60" t="str">
        <f>IF(BS311="Original",AI311,AZ311)</f>
        <v>Low Threshold Spend</v>
      </c>
      <c r="BR311" s="60"/>
      <c r="BS311" s="60" t="str">
        <f>IF(AQ311="","Original",IF(AP311&lt;Y311,"Alternate","Original"))</f>
        <v>Original</v>
      </c>
    </row>
    <row r="312" spans="1:71" s="31" customFormat="1" x14ac:dyDescent="0.35">
      <c r="A312" s="53" t="s">
        <v>39</v>
      </c>
      <c r="B312" s="49">
        <v>310</v>
      </c>
      <c r="C312" s="50"/>
      <c r="D312" s="50"/>
      <c r="E312" s="51"/>
      <c r="F312" s="50" t="s">
        <v>40</v>
      </c>
      <c r="G312" s="50" t="s">
        <v>1024</v>
      </c>
      <c r="H312" s="50" t="s">
        <v>1025</v>
      </c>
      <c r="I312" s="50"/>
      <c r="J312" s="50"/>
      <c r="K312" s="50"/>
      <c r="L312" s="50"/>
      <c r="M312" s="50"/>
      <c r="N312" s="54" t="s">
        <v>43</v>
      </c>
      <c r="O312" s="49">
        <v>1</v>
      </c>
      <c r="P312" s="43">
        <v>26.86</v>
      </c>
      <c r="Q312" s="49">
        <v>1</v>
      </c>
      <c r="R312" s="44">
        <f>P312/O312</f>
        <v>26.86</v>
      </c>
      <c r="S312" s="49">
        <f>Q312*O312</f>
        <v>1</v>
      </c>
      <c r="T312" s="52">
        <f>S312*R312</f>
        <v>26.86</v>
      </c>
      <c r="U312" s="50"/>
      <c r="V312" s="50"/>
      <c r="W312" s="50"/>
      <c r="X312" s="69"/>
      <c r="Y312" s="69"/>
      <c r="Z312" s="69"/>
      <c r="AA312" s="50"/>
      <c r="AB312" s="50"/>
      <c r="AC312" s="50"/>
      <c r="AD312" s="50"/>
      <c r="AE312" s="50"/>
      <c r="AF312" s="50"/>
      <c r="AG312" s="50"/>
      <c r="AH312" s="50"/>
      <c r="AI312" s="50" t="s">
        <v>652</v>
      </c>
      <c r="AJ312" s="50"/>
      <c r="AK312" s="50"/>
      <c r="AL312" s="44"/>
      <c r="AM312" s="45"/>
      <c r="AN312" s="50"/>
      <c r="AO312" s="69"/>
      <c r="AP312" s="69"/>
      <c r="AQ312" s="69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5"/>
      <c r="BD312" s="56"/>
      <c r="BE312" s="61"/>
      <c r="BF312" s="65"/>
      <c r="BG312" s="66"/>
      <c r="BH312" s="66"/>
      <c r="BI312" s="60"/>
      <c r="BJ312" s="60"/>
      <c r="BK312" s="60"/>
      <c r="BL312" s="60"/>
      <c r="BM312" s="60"/>
      <c r="BN312" s="60"/>
      <c r="BO312" s="60"/>
      <c r="BP312" s="60"/>
      <c r="BQ312" s="60" t="str">
        <f>IF(BS312="Original",AI312,AZ312)</f>
        <v>Low Threshold Spend</v>
      </c>
      <c r="BR312" s="60"/>
      <c r="BS312" s="60" t="str">
        <f>IF(AQ312="","Original",IF(AP312&lt;Y312,"Alternate","Original"))</f>
        <v>Original</v>
      </c>
    </row>
    <row r="313" spans="1:71" s="31" customFormat="1" x14ac:dyDescent="0.35">
      <c r="A313" s="53" t="s">
        <v>39</v>
      </c>
      <c r="B313" s="49">
        <v>311</v>
      </c>
      <c r="C313" s="50"/>
      <c r="D313" s="50"/>
      <c r="E313" s="51"/>
      <c r="F313" s="50" t="s">
        <v>60</v>
      </c>
      <c r="G313" s="50" t="s">
        <v>1026</v>
      </c>
      <c r="H313" s="50" t="s">
        <v>1027</v>
      </c>
      <c r="I313" s="50"/>
      <c r="J313" s="50"/>
      <c r="K313" s="50"/>
      <c r="L313" s="50"/>
      <c r="M313" s="50"/>
      <c r="N313" s="54" t="s">
        <v>43</v>
      </c>
      <c r="O313" s="49">
        <v>1</v>
      </c>
      <c r="P313" s="43">
        <v>26.04</v>
      </c>
      <c r="Q313" s="49">
        <v>1</v>
      </c>
      <c r="R313" s="44">
        <f>P313/O313</f>
        <v>26.04</v>
      </c>
      <c r="S313" s="49">
        <f>Q313*O313</f>
        <v>1</v>
      </c>
      <c r="T313" s="52">
        <f>S313*R313</f>
        <v>26.04</v>
      </c>
      <c r="U313" s="50"/>
      <c r="V313" s="50"/>
      <c r="W313" s="50"/>
      <c r="X313" s="69"/>
      <c r="Y313" s="69"/>
      <c r="Z313" s="69"/>
      <c r="AA313" s="50"/>
      <c r="AB313" s="50"/>
      <c r="AC313" s="50"/>
      <c r="AD313" s="50"/>
      <c r="AE313" s="50"/>
      <c r="AF313" s="50"/>
      <c r="AG313" s="50"/>
      <c r="AH313" s="50"/>
      <c r="AI313" s="50" t="s">
        <v>652</v>
      </c>
      <c r="AJ313" s="50"/>
      <c r="AK313" s="50"/>
      <c r="AL313" s="44"/>
      <c r="AM313" s="45"/>
      <c r="AN313" s="50"/>
      <c r="AO313" s="69"/>
      <c r="AP313" s="69"/>
      <c r="AQ313" s="69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5"/>
      <c r="BD313" s="56"/>
      <c r="BE313" s="61"/>
      <c r="BF313" s="65"/>
      <c r="BG313" s="66"/>
      <c r="BH313" s="66"/>
      <c r="BI313" s="60"/>
      <c r="BJ313" s="60"/>
      <c r="BK313" s="60"/>
      <c r="BL313" s="60"/>
      <c r="BM313" s="60"/>
      <c r="BN313" s="60"/>
      <c r="BO313" s="60"/>
      <c r="BP313" s="60"/>
      <c r="BQ313" s="60" t="str">
        <f>IF(BS313="Original",AI313,AZ313)</f>
        <v>Low Threshold Spend</v>
      </c>
      <c r="BR313" s="60"/>
      <c r="BS313" s="60" t="str">
        <f>IF(AQ313="","Original",IF(AP313&lt;Y313,"Alternate","Original"))</f>
        <v>Original</v>
      </c>
    </row>
    <row r="314" spans="1:71" s="31" customFormat="1" x14ac:dyDescent="0.35">
      <c r="A314" s="53" t="s">
        <v>39</v>
      </c>
      <c r="B314" s="49">
        <v>312</v>
      </c>
      <c r="C314" s="50"/>
      <c r="D314" s="50"/>
      <c r="E314" s="51"/>
      <c r="F314" s="50" t="s">
        <v>40</v>
      </c>
      <c r="G314" s="50" t="s">
        <v>1028</v>
      </c>
      <c r="H314" s="50" t="s">
        <v>1029</v>
      </c>
      <c r="I314" s="50"/>
      <c r="J314" s="50"/>
      <c r="K314" s="50"/>
      <c r="L314" s="50"/>
      <c r="M314" s="50"/>
      <c r="N314" s="54" t="s">
        <v>43</v>
      </c>
      <c r="O314" s="49">
        <v>1</v>
      </c>
      <c r="P314" s="43">
        <v>12.77</v>
      </c>
      <c r="Q314" s="49">
        <v>2</v>
      </c>
      <c r="R314" s="44">
        <f>P314/O314</f>
        <v>12.77</v>
      </c>
      <c r="S314" s="49">
        <f>Q314*O314</f>
        <v>2</v>
      </c>
      <c r="T314" s="52">
        <f>S314*R314</f>
        <v>25.54</v>
      </c>
      <c r="U314" s="50"/>
      <c r="V314" s="50"/>
      <c r="W314" s="50"/>
      <c r="X314" s="69"/>
      <c r="Y314" s="69"/>
      <c r="Z314" s="69"/>
      <c r="AA314" s="50"/>
      <c r="AB314" s="50"/>
      <c r="AC314" s="50"/>
      <c r="AD314" s="50"/>
      <c r="AE314" s="50"/>
      <c r="AF314" s="50"/>
      <c r="AG314" s="50"/>
      <c r="AH314" s="50"/>
      <c r="AI314" s="50" t="s">
        <v>652</v>
      </c>
      <c r="AJ314" s="50"/>
      <c r="AK314" s="50"/>
      <c r="AL314" s="44"/>
      <c r="AM314" s="45"/>
      <c r="AN314" s="50"/>
      <c r="AO314" s="69"/>
      <c r="AP314" s="69"/>
      <c r="AQ314" s="69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5"/>
      <c r="BD314" s="56"/>
      <c r="BE314" s="61"/>
      <c r="BF314" s="65"/>
      <c r="BG314" s="66"/>
      <c r="BH314" s="66"/>
      <c r="BI314" s="60"/>
      <c r="BJ314" s="60"/>
      <c r="BK314" s="60"/>
      <c r="BL314" s="60"/>
      <c r="BM314" s="60"/>
      <c r="BN314" s="60"/>
      <c r="BO314" s="60"/>
      <c r="BP314" s="60"/>
      <c r="BQ314" s="60" t="str">
        <f>IF(BS314="Original",AI314,AZ314)</f>
        <v>Low Threshold Spend</v>
      </c>
      <c r="BR314" s="60"/>
      <c r="BS314" s="60" t="str">
        <f>IF(AQ314="","Original",IF(AP314&lt;Y314,"Alternate","Original"))</f>
        <v>Original</v>
      </c>
    </row>
    <row r="315" spans="1:71" s="31" customFormat="1" x14ac:dyDescent="0.35">
      <c r="A315" s="53" t="s">
        <v>39</v>
      </c>
      <c r="B315" s="49">
        <v>313</v>
      </c>
      <c r="C315" s="50"/>
      <c r="D315" s="50"/>
      <c r="E315" s="51"/>
      <c r="F315" s="50" t="s">
        <v>49</v>
      </c>
      <c r="G315" s="50" t="s">
        <v>1030</v>
      </c>
      <c r="H315" s="50" t="s">
        <v>1031</v>
      </c>
      <c r="I315" s="50"/>
      <c r="J315" s="50"/>
      <c r="K315" s="50"/>
      <c r="L315" s="50"/>
      <c r="M315" s="50"/>
      <c r="N315" s="54" t="s">
        <v>43</v>
      </c>
      <c r="O315" s="49">
        <v>1</v>
      </c>
      <c r="P315" s="43">
        <v>25.33</v>
      </c>
      <c r="Q315" s="49">
        <v>1</v>
      </c>
      <c r="R315" s="44">
        <f>P315/O315</f>
        <v>25.33</v>
      </c>
      <c r="S315" s="49">
        <f>Q315*O315</f>
        <v>1</v>
      </c>
      <c r="T315" s="52">
        <f>S315*R315</f>
        <v>25.33</v>
      </c>
      <c r="U315" s="50"/>
      <c r="V315" s="50"/>
      <c r="W315" s="50"/>
      <c r="X315" s="69"/>
      <c r="Y315" s="69"/>
      <c r="Z315" s="69"/>
      <c r="AA315" s="50"/>
      <c r="AB315" s="50"/>
      <c r="AC315" s="50"/>
      <c r="AD315" s="50"/>
      <c r="AE315" s="50"/>
      <c r="AF315" s="50"/>
      <c r="AG315" s="50"/>
      <c r="AH315" s="50"/>
      <c r="AI315" s="50" t="s">
        <v>652</v>
      </c>
      <c r="AJ315" s="50"/>
      <c r="AK315" s="50"/>
      <c r="AL315" s="44"/>
      <c r="AM315" s="45"/>
      <c r="AN315" s="50"/>
      <c r="AO315" s="69"/>
      <c r="AP315" s="69"/>
      <c r="AQ315" s="69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5"/>
      <c r="BD315" s="56"/>
      <c r="BE315" s="61"/>
      <c r="BF315" s="65"/>
      <c r="BG315" s="66"/>
      <c r="BH315" s="66"/>
      <c r="BI315" s="60"/>
      <c r="BJ315" s="60"/>
      <c r="BK315" s="60"/>
      <c r="BL315" s="60"/>
      <c r="BM315" s="60"/>
      <c r="BN315" s="60"/>
      <c r="BO315" s="60"/>
      <c r="BP315" s="60"/>
      <c r="BQ315" s="60" t="str">
        <f>IF(BS315="Original",AI315,AZ315)</f>
        <v>Low Threshold Spend</v>
      </c>
      <c r="BR315" s="60"/>
      <c r="BS315" s="60" t="str">
        <f>IF(AQ315="","Original",IF(AP315&lt;Y315,"Alternate","Original"))</f>
        <v>Original</v>
      </c>
    </row>
    <row r="316" spans="1:71" s="31" customFormat="1" x14ac:dyDescent="0.35">
      <c r="A316" s="53" t="s">
        <v>39</v>
      </c>
      <c r="B316" s="49">
        <v>314</v>
      </c>
      <c r="C316" s="50"/>
      <c r="D316" s="50"/>
      <c r="E316" s="51"/>
      <c r="F316" s="50" t="s">
        <v>49</v>
      </c>
      <c r="G316" s="50" t="s">
        <v>1032</v>
      </c>
      <c r="H316" s="50" t="s">
        <v>1033</v>
      </c>
      <c r="I316" s="50"/>
      <c r="J316" s="50"/>
      <c r="K316" s="50"/>
      <c r="L316" s="50"/>
      <c r="M316" s="50"/>
      <c r="N316" s="54" t="s">
        <v>43</v>
      </c>
      <c r="O316" s="49">
        <v>1</v>
      </c>
      <c r="P316" s="43">
        <v>25.06</v>
      </c>
      <c r="Q316" s="49">
        <v>1</v>
      </c>
      <c r="R316" s="44">
        <f>P316/O316</f>
        <v>25.06</v>
      </c>
      <c r="S316" s="49">
        <f>Q316*O316</f>
        <v>1</v>
      </c>
      <c r="T316" s="52">
        <f>S316*R316</f>
        <v>25.06</v>
      </c>
      <c r="U316" s="50"/>
      <c r="V316" s="50"/>
      <c r="W316" s="50"/>
      <c r="X316" s="69"/>
      <c r="Y316" s="69"/>
      <c r="Z316" s="69"/>
      <c r="AA316" s="50"/>
      <c r="AB316" s="50"/>
      <c r="AC316" s="50"/>
      <c r="AD316" s="50"/>
      <c r="AE316" s="50"/>
      <c r="AF316" s="50"/>
      <c r="AG316" s="50"/>
      <c r="AH316" s="50"/>
      <c r="AI316" s="50" t="s">
        <v>652</v>
      </c>
      <c r="AJ316" s="50"/>
      <c r="AK316" s="50"/>
      <c r="AL316" s="44"/>
      <c r="AM316" s="45"/>
      <c r="AN316" s="50"/>
      <c r="AO316" s="69"/>
      <c r="AP316" s="69"/>
      <c r="AQ316" s="69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5"/>
      <c r="BD316" s="56"/>
      <c r="BE316" s="61"/>
      <c r="BF316" s="65"/>
      <c r="BG316" s="66"/>
      <c r="BH316" s="66"/>
      <c r="BI316" s="60"/>
      <c r="BJ316" s="60"/>
      <c r="BK316" s="60"/>
      <c r="BL316" s="60"/>
      <c r="BM316" s="60"/>
      <c r="BN316" s="60"/>
      <c r="BO316" s="60"/>
      <c r="BP316" s="60"/>
      <c r="BQ316" s="60" t="str">
        <f>IF(BS316="Original",AI316,AZ316)</f>
        <v>Low Threshold Spend</v>
      </c>
      <c r="BR316" s="60"/>
      <c r="BS316" s="60" t="str">
        <f>IF(AQ316="","Original",IF(AP316&lt;Y316,"Alternate","Original"))</f>
        <v>Original</v>
      </c>
    </row>
    <row r="317" spans="1:71" s="31" customFormat="1" x14ac:dyDescent="0.35">
      <c r="A317" s="53" t="s">
        <v>39</v>
      </c>
      <c r="B317" s="49">
        <v>315</v>
      </c>
      <c r="C317" s="50"/>
      <c r="D317" s="50"/>
      <c r="E317" s="51"/>
      <c r="F317" s="50" t="s">
        <v>40</v>
      </c>
      <c r="G317" s="50" t="s">
        <v>1034</v>
      </c>
      <c r="H317" s="50" t="s">
        <v>787</v>
      </c>
      <c r="I317" s="50"/>
      <c r="J317" s="50"/>
      <c r="K317" s="50"/>
      <c r="L317" s="50"/>
      <c r="M317" s="50"/>
      <c r="N317" s="54" t="s">
        <v>43</v>
      </c>
      <c r="O317" s="49">
        <v>1</v>
      </c>
      <c r="P317" s="43">
        <v>24.97</v>
      </c>
      <c r="Q317" s="49">
        <v>1</v>
      </c>
      <c r="R317" s="44">
        <f>P317/O317</f>
        <v>24.97</v>
      </c>
      <c r="S317" s="49">
        <f>Q317*O317</f>
        <v>1</v>
      </c>
      <c r="T317" s="52">
        <f>S317*R317</f>
        <v>24.97</v>
      </c>
      <c r="U317" s="50"/>
      <c r="V317" s="50"/>
      <c r="W317" s="50"/>
      <c r="X317" s="69"/>
      <c r="Y317" s="69"/>
      <c r="Z317" s="69"/>
      <c r="AA317" s="50"/>
      <c r="AB317" s="50"/>
      <c r="AC317" s="50"/>
      <c r="AD317" s="50"/>
      <c r="AE317" s="50"/>
      <c r="AF317" s="50"/>
      <c r="AG317" s="50"/>
      <c r="AH317" s="50"/>
      <c r="AI317" s="50" t="s">
        <v>652</v>
      </c>
      <c r="AJ317" s="50"/>
      <c r="AK317" s="50"/>
      <c r="AL317" s="44"/>
      <c r="AM317" s="45"/>
      <c r="AN317" s="50"/>
      <c r="AO317" s="69"/>
      <c r="AP317" s="69"/>
      <c r="AQ317" s="69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5"/>
      <c r="BD317" s="56"/>
      <c r="BE317" s="61"/>
      <c r="BF317" s="65"/>
      <c r="BG317" s="66"/>
      <c r="BH317" s="66"/>
      <c r="BI317" s="60"/>
      <c r="BJ317" s="60"/>
      <c r="BK317" s="60"/>
      <c r="BL317" s="60"/>
      <c r="BM317" s="60"/>
      <c r="BN317" s="60"/>
      <c r="BO317" s="60"/>
      <c r="BP317" s="60"/>
      <c r="BQ317" s="60" t="str">
        <f>IF(BS317="Original",AI317,AZ317)</f>
        <v>Low Threshold Spend</v>
      </c>
      <c r="BR317" s="60"/>
      <c r="BS317" s="60" t="str">
        <f>IF(AQ317="","Original",IF(AP317&lt;Y317,"Alternate","Original"))</f>
        <v>Original</v>
      </c>
    </row>
    <row r="318" spans="1:71" s="31" customFormat="1" x14ac:dyDescent="0.35">
      <c r="A318" s="53" t="s">
        <v>39</v>
      </c>
      <c r="B318" s="49">
        <v>316</v>
      </c>
      <c r="C318" s="50"/>
      <c r="D318" s="50"/>
      <c r="E318" s="51"/>
      <c r="F318" s="50" t="s">
        <v>60</v>
      </c>
      <c r="G318" s="50" t="s">
        <v>1035</v>
      </c>
      <c r="H318" s="50" t="s">
        <v>1036</v>
      </c>
      <c r="I318" s="50"/>
      <c r="J318" s="50"/>
      <c r="K318" s="50"/>
      <c r="L318" s="50"/>
      <c r="M318" s="50"/>
      <c r="N318" s="54" t="s">
        <v>43</v>
      </c>
      <c r="O318" s="49">
        <v>1</v>
      </c>
      <c r="P318" s="43">
        <v>12.16</v>
      </c>
      <c r="Q318" s="49">
        <v>2</v>
      </c>
      <c r="R318" s="44">
        <f>P318/O318</f>
        <v>12.16</v>
      </c>
      <c r="S318" s="49">
        <f>Q318*O318</f>
        <v>2</v>
      </c>
      <c r="T318" s="52">
        <f>S318*R318</f>
        <v>24.32</v>
      </c>
      <c r="U318" s="50"/>
      <c r="V318" s="50"/>
      <c r="W318" s="50"/>
      <c r="X318" s="69"/>
      <c r="Y318" s="69"/>
      <c r="Z318" s="69"/>
      <c r="AA318" s="50"/>
      <c r="AB318" s="50"/>
      <c r="AC318" s="50"/>
      <c r="AD318" s="50"/>
      <c r="AE318" s="50"/>
      <c r="AF318" s="50"/>
      <c r="AG318" s="50"/>
      <c r="AH318" s="50"/>
      <c r="AI318" s="50" t="s">
        <v>652</v>
      </c>
      <c r="AJ318" s="50"/>
      <c r="AK318" s="50"/>
      <c r="AL318" s="44"/>
      <c r="AM318" s="45"/>
      <c r="AN318" s="50"/>
      <c r="AO318" s="69"/>
      <c r="AP318" s="69"/>
      <c r="AQ318" s="69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5"/>
      <c r="BD318" s="56"/>
      <c r="BE318" s="61"/>
      <c r="BF318" s="65"/>
      <c r="BG318" s="66"/>
      <c r="BH318" s="66"/>
      <c r="BI318" s="60"/>
      <c r="BJ318" s="60"/>
      <c r="BK318" s="60"/>
      <c r="BL318" s="60"/>
      <c r="BM318" s="60"/>
      <c r="BN318" s="60"/>
      <c r="BO318" s="60"/>
      <c r="BP318" s="60"/>
      <c r="BQ318" s="60" t="str">
        <f>IF(BS318="Original",AI318,AZ318)</f>
        <v>Low Threshold Spend</v>
      </c>
      <c r="BR318" s="60"/>
      <c r="BS318" s="60" t="str">
        <f>IF(AQ318="","Original",IF(AP318&lt;Y318,"Alternate","Original"))</f>
        <v>Original</v>
      </c>
    </row>
    <row r="319" spans="1:71" s="31" customFormat="1" x14ac:dyDescent="0.35">
      <c r="A319" s="53" t="s">
        <v>39</v>
      </c>
      <c r="B319" s="49">
        <v>317</v>
      </c>
      <c r="C319" s="50"/>
      <c r="D319" s="50"/>
      <c r="E319" s="51"/>
      <c r="F319" s="50" t="s">
        <v>40</v>
      </c>
      <c r="G319" s="50" t="s">
        <v>1037</v>
      </c>
      <c r="H319" s="50" t="s">
        <v>1038</v>
      </c>
      <c r="I319" s="50"/>
      <c r="J319" s="50"/>
      <c r="K319" s="50"/>
      <c r="L319" s="50"/>
      <c r="M319" s="50"/>
      <c r="N319" s="54" t="s">
        <v>43</v>
      </c>
      <c r="O319" s="49">
        <v>1</v>
      </c>
      <c r="P319" s="43">
        <v>24.25</v>
      </c>
      <c r="Q319" s="49">
        <v>1</v>
      </c>
      <c r="R319" s="44">
        <f>P319/O319</f>
        <v>24.25</v>
      </c>
      <c r="S319" s="49">
        <f>Q319*O319</f>
        <v>1</v>
      </c>
      <c r="T319" s="52">
        <f>S319*R319</f>
        <v>24.25</v>
      </c>
      <c r="U319" s="50"/>
      <c r="V319" s="50"/>
      <c r="W319" s="50"/>
      <c r="X319" s="69"/>
      <c r="Y319" s="69"/>
      <c r="Z319" s="69"/>
      <c r="AA319" s="50"/>
      <c r="AB319" s="50"/>
      <c r="AC319" s="50"/>
      <c r="AD319" s="50"/>
      <c r="AE319" s="50"/>
      <c r="AF319" s="50"/>
      <c r="AG319" s="50"/>
      <c r="AH319" s="50"/>
      <c r="AI319" s="50" t="s">
        <v>652</v>
      </c>
      <c r="AJ319" s="50"/>
      <c r="AK319" s="50"/>
      <c r="AL319" s="44"/>
      <c r="AM319" s="45"/>
      <c r="AN319" s="50"/>
      <c r="AO319" s="69"/>
      <c r="AP319" s="69"/>
      <c r="AQ319" s="69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5"/>
      <c r="BD319" s="56"/>
      <c r="BE319" s="61"/>
      <c r="BF319" s="65"/>
      <c r="BG319" s="66"/>
      <c r="BH319" s="66"/>
      <c r="BI319" s="60"/>
      <c r="BJ319" s="60"/>
      <c r="BK319" s="60"/>
      <c r="BL319" s="60"/>
      <c r="BM319" s="60"/>
      <c r="BN319" s="60"/>
      <c r="BO319" s="60"/>
      <c r="BP319" s="60"/>
      <c r="BQ319" s="60" t="str">
        <f>IF(BS319="Original",AI319,AZ319)</f>
        <v>Low Threshold Spend</v>
      </c>
      <c r="BR319" s="60"/>
      <c r="BS319" s="60" t="str">
        <f>IF(AQ319="","Original",IF(AP319&lt;Y319,"Alternate","Original"))</f>
        <v>Original</v>
      </c>
    </row>
    <row r="320" spans="1:71" s="31" customFormat="1" x14ac:dyDescent="0.35">
      <c r="A320" s="53" t="s">
        <v>39</v>
      </c>
      <c r="B320" s="49">
        <v>318</v>
      </c>
      <c r="C320" s="50"/>
      <c r="D320" s="50"/>
      <c r="E320" s="51"/>
      <c r="F320" s="50" t="s">
        <v>60</v>
      </c>
      <c r="G320" s="50" t="s">
        <v>1039</v>
      </c>
      <c r="H320" s="50" t="s">
        <v>1040</v>
      </c>
      <c r="I320" s="50"/>
      <c r="J320" s="50"/>
      <c r="K320" s="50"/>
      <c r="L320" s="50"/>
      <c r="M320" s="50"/>
      <c r="N320" s="54" t="s">
        <v>43</v>
      </c>
      <c r="O320" s="49">
        <v>1</v>
      </c>
      <c r="P320" s="43">
        <v>24.1</v>
      </c>
      <c r="Q320" s="49">
        <v>1</v>
      </c>
      <c r="R320" s="44">
        <f>P320/O320</f>
        <v>24.1</v>
      </c>
      <c r="S320" s="49">
        <f>Q320*O320</f>
        <v>1</v>
      </c>
      <c r="T320" s="52">
        <f>S320*R320</f>
        <v>24.1</v>
      </c>
      <c r="U320" s="50"/>
      <c r="V320" s="50"/>
      <c r="W320" s="50"/>
      <c r="X320" s="69"/>
      <c r="Y320" s="69"/>
      <c r="Z320" s="69"/>
      <c r="AA320" s="50"/>
      <c r="AB320" s="50"/>
      <c r="AC320" s="50"/>
      <c r="AD320" s="50"/>
      <c r="AE320" s="50"/>
      <c r="AF320" s="50"/>
      <c r="AG320" s="50"/>
      <c r="AH320" s="50"/>
      <c r="AI320" s="50" t="s">
        <v>652</v>
      </c>
      <c r="AJ320" s="50"/>
      <c r="AK320" s="50"/>
      <c r="AL320" s="44"/>
      <c r="AM320" s="45"/>
      <c r="AN320" s="50"/>
      <c r="AO320" s="69"/>
      <c r="AP320" s="69"/>
      <c r="AQ320" s="69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5"/>
      <c r="BD320" s="56"/>
      <c r="BE320" s="61"/>
      <c r="BF320" s="65"/>
      <c r="BG320" s="66"/>
      <c r="BH320" s="66"/>
      <c r="BI320" s="60"/>
      <c r="BJ320" s="60"/>
      <c r="BK320" s="60"/>
      <c r="BL320" s="60"/>
      <c r="BM320" s="60"/>
      <c r="BN320" s="60"/>
      <c r="BO320" s="60"/>
      <c r="BP320" s="60"/>
      <c r="BQ320" s="60" t="str">
        <f>IF(BS320="Original",AI320,AZ320)</f>
        <v>Low Threshold Spend</v>
      </c>
      <c r="BR320" s="60"/>
      <c r="BS320" s="60" t="str">
        <f>IF(AQ320="","Original",IF(AP320&lt;Y320,"Alternate","Original"))</f>
        <v>Original</v>
      </c>
    </row>
    <row r="321" spans="1:71" s="31" customFormat="1" x14ac:dyDescent="0.35">
      <c r="A321" s="53" t="s">
        <v>39</v>
      </c>
      <c r="B321" s="49">
        <v>319</v>
      </c>
      <c r="C321" s="50"/>
      <c r="D321" s="50"/>
      <c r="E321" s="51"/>
      <c r="F321" s="50" t="s">
        <v>40</v>
      </c>
      <c r="G321" s="50" t="s">
        <v>1041</v>
      </c>
      <c r="H321" s="50" t="s">
        <v>1042</v>
      </c>
      <c r="I321" s="50"/>
      <c r="J321" s="50"/>
      <c r="K321" s="50"/>
      <c r="L321" s="50"/>
      <c r="M321" s="50"/>
      <c r="N321" s="54" t="s">
        <v>43</v>
      </c>
      <c r="O321" s="49">
        <v>1</v>
      </c>
      <c r="P321" s="43">
        <v>24.08</v>
      </c>
      <c r="Q321" s="49">
        <v>1</v>
      </c>
      <c r="R321" s="44">
        <f>P321/O321</f>
        <v>24.08</v>
      </c>
      <c r="S321" s="49">
        <f>Q321*O321</f>
        <v>1</v>
      </c>
      <c r="T321" s="52">
        <f>S321*R321</f>
        <v>24.08</v>
      </c>
      <c r="U321" s="50"/>
      <c r="V321" s="50"/>
      <c r="W321" s="50"/>
      <c r="X321" s="69"/>
      <c r="Y321" s="69"/>
      <c r="Z321" s="69"/>
      <c r="AA321" s="50"/>
      <c r="AB321" s="50"/>
      <c r="AC321" s="50"/>
      <c r="AD321" s="50"/>
      <c r="AE321" s="50"/>
      <c r="AF321" s="50"/>
      <c r="AG321" s="50"/>
      <c r="AH321" s="50"/>
      <c r="AI321" s="50" t="s">
        <v>652</v>
      </c>
      <c r="AJ321" s="50"/>
      <c r="AK321" s="50"/>
      <c r="AL321" s="44"/>
      <c r="AM321" s="45"/>
      <c r="AN321" s="50"/>
      <c r="AO321" s="69"/>
      <c r="AP321" s="69"/>
      <c r="AQ321" s="69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5"/>
      <c r="BD321" s="56"/>
      <c r="BE321" s="61"/>
      <c r="BF321" s="65"/>
      <c r="BG321" s="66"/>
      <c r="BH321" s="66"/>
      <c r="BI321" s="60"/>
      <c r="BJ321" s="60"/>
      <c r="BK321" s="60"/>
      <c r="BL321" s="60"/>
      <c r="BM321" s="60"/>
      <c r="BN321" s="60"/>
      <c r="BO321" s="60"/>
      <c r="BP321" s="60"/>
      <c r="BQ321" s="60" t="str">
        <f>IF(BS321="Original",AI321,AZ321)</f>
        <v>Low Threshold Spend</v>
      </c>
      <c r="BR321" s="60"/>
      <c r="BS321" s="60" t="str">
        <f>IF(AQ321="","Original",IF(AP321&lt;Y321,"Alternate","Original"))</f>
        <v>Original</v>
      </c>
    </row>
    <row r="322" spans="1:71" s="31" customFormat="1" x14ac:dyDescent="0.35">
      <c r="A322" s="53" t="s">
        <v>39</v>
      </c>
      <c r="B322" s="49">
        <v>320</v>
      </c>
      <c r="C322" s="50"/>
      <c r="D322" s="50"/>
      <c r="E322" s="51"/>
      <c r="F322" s="50" t="s">
        <v>60</v>
      </c>
      <c r="G322" s="50" t="s">
        <v>1043</v>
      </c>
      <c r="H322" s="50" t="s">
        <v>1044</v>
      </c>
      <c r="I322" s="50"/>
      <c r="J322" s="50"/>
      <c r="K322" s="50"/>
      <c r="L322" s="50"/>
      <c r="M322" s="50"/>
      <c r="N322" s="54" t="s">
        <v>43</v>
      </c>
      <c r="O322" s="49">
        <v>1</v>
      </c>
      <c r="P322" s="43">
        <v>24</v>
      </c>
      <c r="Q322" s="49">
        <v>1</v>
      </c>
      <c r="R322" s="44">
        <f>P322/O322</f>
        <v>24</v>
      </c>
      <c r="S322" s="49">
        <f>Q322*O322</f>
        <v>1</v>
      </c>
      <c r="T322" s="52">
        <f>S322*R322</f>
        <v>24</v>
      </c>
      <c r="U322" s="50"/>
      <c r="V322" s="50"/>
      <c r="W322" s="50"/>
      <c r="X322" s="69"/>
      <c r="Y322" s="69"/>
      <c r="Z322" s="69"/>
      <c r="AA322" s="50"/>
      <c r="AB322" s="50"/>
      <c r="AC322" s="50"/>
      <c r="AD322" s="50"/>
      <c r="AE322" s="50"/>
      <c r="AF322" s="50"/>
      <c r="AG322" s="50"/>
      <c r="AH322" s="50"/>
      <c r="AI322" s="50" t="s">
        <v>652</v>
      </c>
      <c r="AJ322" s="50"/>
      <c r="AK322" s="50"/>
      <c r="AL322" s="44"/>
      <c r="AM322" s="45"/>
      <c r="AN322" s="50"/>
      <c r="AO322" s="69"/>
      <c r="AP322" s="69"/>
      <c r="AQ322" s="69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5"/>
      <c r="BD322" s="56"/>
      <c r="BE322" s="61"/>
      <c r="BF322" s="65"/>
      <c r="BG322" s="66"/>
      <c r="BH322" s="66"/>
      <c r="BI322" s="60"/>
      <c r="BJ322" s="60"/>
      <c r="BK322" s="60"/>
      <c r="BL322" s="60"/>
      <c r="BM322" s="60"/>
      <c r="BN322" s="60"/>
      <c r="BO322" s="60"/>
      <c r="BP322" s="60"/>
      <c r="BQ322" s="60" t="str">
        <f>IF(BS322="Original",AI322,AZ322)</f>
        <v>Low Threshold Spend</v>
      </c>
      <c r="BR322" s="60"/>
      <c r="BS322" s="60" t="str">
        <f>IF(AQ322="","Original",IF(AP322&lt;Y322,"Alternate","Original"))</f>
        <v>Original</v>
      </c>
    </row>
    <row r="323" spans="1:71" s="31" customFormat="1" x14ac:dyDescent="0.35">
      <c r="A323" s="53" t="s">
        <v>39</v>
      </c>
      <c r="B323" s="49">
        <v>321</v>
      </c>
      <c r="C323" s="50"/>
      <c r="D323" s="50"/>
      <c r="E323" s="51"/>
      <c r="F323" s="50" t="s">
        <v>40</v>
      </c>
      <c r="G323" s="50" t="s">
        <v>1045</v>
      </c>
      <c r="H323" s="50" t="s">
        <v>1046</v>
      </c>
      <c r="I323" s="50"/>
      <c r="J323" s="50"/>
      <c r="K323" s="50"/>
      <c r="L323" s="50"/>
      <c r="M323" s="50"/>
      <c r="N323" s="54" t="s">
        <v>43</v>
      </c>
      <c r="O323" s="49">
        <v>1</v>
      </c>
      <c r="P323" s="43">
        <v>24</v>
      </c>
      <c r="Q323" s="49">
        <v>1</v>
      </c>
      <c r="R323" s="44">
        <f>P323/O323</f>
        <v>24</v>
      </c>
      <c r="S323" s="49">
        <f>Q323*O323</f>
        <v>1</v>
      </c>
      <c r="T323" s="52">
        <f>S323*R323</f>
        <v>24</v>
      </c>
      <c r="U323" s="50"/>
      <c r="V323" s="50"/>
      <c r="W323" s="50"/>
      <c r="X323" s="69"/>
      <c r="Y323" s="69"/>
      <c r="Z323" s="69"/>
      <c r="AA323" s="50"/>
      <c r="AB323" s="50"/>
      <c r="AC323" s="50"/>
      <c r="AD323" s="50"/>
      <c r="AE323" s="50"/>
      <c r="AF323" s="50"/>
      <c r="AG323" s="50"/>
      <c r="AH323" s="50"/>
      <c r="AI323" s="50" t="s">
        <v>652</v>
      </c>
      <c r="AJ323" s="50"/>
      <c r="AK323" s="50"/>
      <c r="AL323" s="44"/>
      <c r="AM323" s="45"/>
      <c r="AN323" s="50"/>
      <c r="AO323" s="69"/>
      <c r="AP323" s="69"/>
      <c r="AQ323" s="69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5"/>
      <c r="BD323" s="56"/>
      <c r="BE323" s="61"/>
      <c r="BF323" s="65"/>
      <c r="BG323" s="66"/>
      <c r="BH323" s="66"/>
      <c r="BI323" s="60"/>
      <c r="BJ323" s="60"/>
      <c r="BK323" s="60"/>
      <c r="BL323" s="60"/>
      <c r="BM323" s="60"/>
      <c r="BN323" s="60"/>
      <c r="BO323" s="60"/>
      <c r="BP323" s="60"/>
      <c r="BQ323" s="60" t="str">
        <f>IF(BS323="Original",AI323,AZ323)</f>
        <v>Low Threshold Spend</v>
      </c>
      <c r="BR323" s="60"/>
      <c r="BS323" s="60" t="str">
        <f>IF(AQ323="","Original",IF(AP323&lt;Y323,"Alternate","Original"))</f>
        <v>Original</v>
      </c>
    </row>
    <row r="324" spans="1:71" s="31" customFormat="1" x14ac:dyDescent="0.35">
      <c r="A324" s="53" t="s">
        <v>39</v>
      </c>
      <c r="B324" s="49">
        <v>322</v>
      </c>
      <c r="C324" s="50"/>
      <c r="D324" s="50"/>
      <c r="E324" s="51"/>
      <c r="F324" s="50" t="s">
        <v>40</v>
      </c>
      <c r="G324" s="50" t="s">
        <v>1047</v>
      </c>
      <c r="H324" s="50" t="s">
        <v>1048</v>
      </c>
      <c r="I324" s="50"/>
      <c r="J324" s="50"/>
      <c r="K324" s="50"/>
      <c r="L324" s="50"/>
      <c r="M324" s="50"/>
      <c r="N324" s="54" t="s">
        <v>43</v>
      </c>
      <c r="O324" s="49">
        <v>1</v>
      </c>
      <c r="P324" s="43">
        <v>23.89</v>
      </c>
      <c r="Q324" s="49">
        <v>1</v>
      </c>
      <c r="R324" s="44">
        <f>P324/O324</f>
        <v>23.89</v>
      </c>
      <c r="S324" s="49">
        <f>Q324*O324</f>
        <v>1</v>
      </c>
      <c r="T324" s="52">
        <f>S324*R324</f>
        <v>23.89</v>
      </c>
      <c r="U324" s="50"/>
      <c r="V324" s="50"/>
      <c r="W324" s="50"/>
      <c r="X324" s="69"/>
      <c r="Y324" s="69"/>
      <c r="Z324" s="69"/>
      <c r="AA324" s="50"/>
      <c r="AB324" s="50"/>
      <c r="AC324" s="50"/>
      <c r="AD324" s="50"/>
      <c r="AE324" s="50"/>
      <c r="AF324" s="50"/>
      <c r="AG324" s="50"/>
      <c r="AH324" s="50"/>
      <c r="AI324" s="50" t="s">
        <v>652</v>
      </c>
      <c r="AJ324" s="50"/>
      <c r="AK324" s="50"/>
      <c r="AL324" s="44"/>
      <c r="AM324" s="45"/>
      <c r="AN324" s="50"/>
      <c r="AO324" s="69"/>
      <c r="AP324" s="69"/>
      <c r="AQ324" s="69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5"/>
      <c r="BD324" s="56"/>
      <c r="BE324" s="61"/>
      <c r="BF324" s="65"/>
      <c r="BG324" s="66"/>
      <c r="BH324" s="66"/>
      <c r="BI324" s="60"/>
      <c r="BJ324" s="60"/>
      <c r="BK324" s="60"/>
      <c r="BL324" s="60"/>
      <c r="BM324" s="60"/>
      <c r="BN324" s="60"/>
      <c r="BO324" s="60"/>
      <c r="BP324" s="60"/>
      <c r="BQ324" s="60" t="str">
        <f>IF(BS324="Original",AI324,AZ324)</f>
        <v>Low Threshold Spend</v>
      </c>
      <c r="BR324" s="60"/>
      <c r="BS324" s="60" t="str">
        <f>IF(AQ324="","Original",IF(AP324&lt;Y324,"Alternate","Original"))</f>
        <v>Original</v>
      </c>
    </row>
    <row r="325" spans="1:71" s="31" customFormat="1" x14ac:dyDescent="0.35">
      <c r="A325" s="53" t="s">
        <v>39</v>
      </c>
      <c r="B325" s="49">
        <v>323</v>
      </c>
      <c r="C325" s="50"/>
      <c r="D325" s="50"/>
      <c r="E325" s="51"/>
      <c r="F325" s="50" t="s">
        <v>49</v>
      </c>
      <c r="G325" s="50" t="s">
        <v>1049</v>
      </c>
      <c r="H325" s="50" t="s">
        <v>1050</v>
      </c>
      <c r="I325" s="50"/>
      <c r="J325" s="50"/>
      <c r="K325" s="50"/>
      <c r="L325" s="50"/>
      <c r="M325" s="50"/>
      <c r="N325" s="54" t="s">
        <v>43</v>
      </c>
      <c r="O325" s="49">
        <v>1</v>
      </c>
      <c r="P325" s="43">
        <v>23.79</v>
      </c>
      <c r="Q325" s="49">
        <v>1</v>
      </c>
      <c r="R325" s="44">
        <f>P325/O325</f>
        <v>23.79</v>
      </c>
      <c r="S325" s="49">
        <f>Q325*O325</f>
        <v>1</v>
      </c>
      <c r="T325" s="52">
        <f>S325*R325</f>
        <v>23.79</v>
      </c>
      <c r="U325" s="50"/>
      <c r="V325" s="50"/>
      <c r="W325" s="50"/>
      <c r="X325" s="69"/>
      <c r="Y325" s="69"/>
      <c r="Z325" s="69"/>
      <c r="AA325" s="50"/>
      <c r="AB325" s="50"/>
      <c r="AC325" s="50"/>
      <c r="AD325" s="50"/>
      <c r="AE325" s="50"/>
      <c r="AF325" s="50"/>
      <c r="AG325" s="50"/>
      <c r="AH325" s="50"/>
      <c r="AI325" s="50" t="s">
        <v>652</v>
      </c>
      <c r="AJ325" s="50"/>
      <c r="AK325" s="50"/>
      <c r="AL325" s="44"/>
      <c r="AM325" s="45"/>
      <c r="AN325" s="50"/>
      <c r="AO325" s="69"/>
      <c r="AP325" s="69"/>
      <c r="AQ325" s="69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5"/>
      <c r="BD325" s="56"/>
      <c r="BE325" s="61"/>
      <c r="BF325" s="65"/>
      <c r="BG325" s="66"/>
      <c r="BH325" s="66"/>
      <c r="BI325" s="60"/>
      <c r="BJ325" s="60"/>
      <c r="BK325" s="60"/>
      <c r="BL325" s="60"/>
      <c r="BM325" s="60"/>
      <c r="BN325" s="60"/>
      <c r="BO325" s="60"/>
      <c r="BP325" s="60"/>
      <c r="BQ325" s="60" t="str">
        <f>IF(BS325="Original",AI325,AZ325)</f>
        <v>Low Threshold Spend</v>
      </c>
      <c r="BR325" s="60"/>
      <c r="BS325" s="60" t="str">
        <f>IF(AQ325="","Original",IF(AP325&lt;Y325,"Alternate","Original"))</f>
        <v>Original</v>
      </c>
    </row>
    <row r="326" spans="1:71" s="31" customFormat="1" x14ac:dyDescent="0.35">
      <c r="A326" s="53" t="s">
        <v>39</v>
      </c>
      <c r="B326" s="49">
        <v>324</v>
      </c>
      <c r="C326" s="50"/>
      <c r="D326" s="50"/>
      <c r="E326" s="51"/>
      <c r="F326" s="50" t="s">
        <v>60</v>
      </c>
      <c r="G326" s="50" t="s">
        <v>1051</v>
      </c>
      <c r="H326" s="50" t="s">
        <v>1052</v>
      </c>
      <c r="I326" s="50"/>
      <c r="J326" s="50"/>
      <c r="K326" s="50"/>
      <c r="L326" s="50"/>
      <c r="M326" s="50"/>
      <c r="N326" s="54" t="s">
        <v>43</v>
      </c>
      <c r="O326" s="49">
        <v>1</v>
      </c>
      <c r="P326" s="43">
        <v>23.57</v>
      </c>
      <c r="Q326" s="49">
        <v>1</v>
      </c>
      <c r="R326" s="44">
        <f>P326/O326</f>
        <v>23.57</v>
      </c>
      <c r="S326" s="49">
        <f>Q326*O326</f>
        <v>1</v>
      </c>
      <c r="T326" s="52">
        <f>S326*R326</f>
        <v>23.57</v>
      </c>
      <c r="U326" s="50"/>
      <c r="V326" s="50"/>
      <c r="W326" s="50"/>
      <c r="X326" s="69"/>
      <c r="Y326" s="69"/>
      <c r="Z326" s="69"/>
      <c r="AA326" s="50"/>
      <c r="AB326" s="50"/>
      <c r="AC326" s="50"/>
      <c r="AD326" s="50"/>
      <c r="AE326" s="50"/>
      <c r="AF326" s="50"/>
      <c r="AG326" s="50"/>
      <c r="AH326" s="50"/>
      <c r="AI326" s="50" t="s">
        <v>652</v>
      </c>
      <c r="AJ326" s="50"/>
      <c r="AK326" s="50"/>
      <c r="AL326" s="44"/>
      <c r="AM326" s="45"/>
      <c r="AN326" s="50"/>
      <c r="AO326" s="69"/>
      <c r="AP326" s="69"/>
      <c r="AQ326" s="69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5"/>
      <c r="BD326" s="56"/>
      <c r="BE326" s="61"/>
      <c r="BF326" s="65"/>
      <c r="BG326" s="66"/>
      <c r="BH326" s="66"/>
      <c r="BI326" s="60"/>
      <c r="BJ326" s="60"/>
      <c r="BK326" s="60"/>
      <c r="BL326" s="60"/>
      <c r="BM326" s="60"/>
      <c r="BN326" s="60"/>
      <c r="BO326" s="60"/>
      <c r="BP326" s="60"/>
      <c r="BQ326" s="60" t="str">
        <f>IF(BS326="Original",AI326,AZ326)</f>
        <v>Low Threshold Spend</v>
      </c>
      <c r="BR326" s="60"/>
      <c r="BS326" s="60" t="str">
        <f>IF(AQ326="","Original",IF(AP326&lt;Y326,"Alternate","Original"))</f>
        <v>Original</v>
      </c>
    </row>
    <row r="327" spans="1:71" s="31" customFormat="1" x14ac:dyDescent="0.35">
      <c r="A327" s="53" t="s">
        <v>39</v>
      </c>
      <c r="B327" s="49">
        <v>325</v>
      </c>
      <c r="C327" s="50"/>
      <c r="D327" s="50"/>
      <c r="E327" s="51"/>
      <c r="F327" s="50" t="s">
        <v>40</v>
      </c>
      <c r="G327" s="50" t="s">
        <v>1053</v>
      </c>
      <c r="H327" s="50" t="s">
        <v>1054</v>
      </c>
      <c r="I327" s="50"/>
      <c r="J327" s="50"/>
      <c r="K327" s="50"/>
      <c r="L327" s="50"/>
      <c r="M327" s="50"/>
      <c r="N327" s="54" t="s">
        <v>43</v>
      </c>
      <c r="O327" s="49">
        <v>1</v>
      </c>
      <c r="P327" s="43">
        <v>23.54</v>
      </c>
      <c r="Q327" s="49">
        <v>1</v>
      </c>
      <c r="R327" s="44">
        <f>P327/O327</f>
        <v>23.54</v>
      </c>
      <c r="S327" s="49">
        <f>Q327*O327</f>
        <v>1</v>
      </c>
      <c r="T327" s="52">
        <f>S327*R327</f>
        <v>23.54</v>
      </c>
      <c r="U327" s="50"/>
      <c r="V327" s="50"/>
      <c r="W327" s="50"/>
      <c r="X327" s="69"/>
      <c r="Y327" s="69"/>
      <c r="Z327" s="69"/>
      <c r="AA327" s="50"/>
      <c r="AB327" s="50"/>
      <c r="AC327" s="50"/>
      <c r="AD327" s="50"/>
      <c r="AE327" s="50"/>
      <c r="AF327" s="50"/>
      <c r="AG327" s="50"/>
      <c r="AH327" s="50"/>
      <c r="AI327" s="50" t="s">
        <v>652</v>
      </c>
      <c r="AJ327" s="50"/>
      <c r="AK327" s="50"/>
      <c r="AL327" s="44"/>
      <c r="AM327" s="45"/>
      <c r="AN327" s="50"/>
      <c r="AO327" s="69"/>
      <c r="AP327" s="69"/>
      <c r="AQ327" s="69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5"/>
      <c r="BD327" s="56"/>
      <c r="BE327" s="61"/>
      <c r="BF327" s="65"/>
      <c r="BG327" s="66"/>
      <c r="BH327" s="66"/>
      <c r="BI327" s="60"/>
      <c r="BJ327" s="60"/>
      <c r="BK327" s="60"/>
      <c r="BL327" s="60"/>
      <c r="BM327" s="60"/>
      <c r="BN327" s="60"/>
      <c r="BO327" s="60"/>
      <c r="BP327" s="60"/>
      <c r="BQ327" s="60" t="str">
        <f>IF(BS327="Original",AI327,AZ327)</f>
        <v>Low Threshold Spend</v>
      </c>
      <c r="BR327" s="60"/>
      <c r="BS327" s="60" t="str">
        <f>IF(AQ327="","Original",IF(AP327&lt;Y327,"Alternate","Original"))</f>
        <v>Original</v>
      </c>
    </row>
    <row r="328" spans="1:71" s="31" customFormat="1" x14ac:dyDescent="0.35">
      <c r="A328" s="53" t="s">
        <v>39</v>
      </c>
      <c r="B328" s="49">
        <v>326</v>
      </c>
      <c r="C328" s="50"/>
      <c r="D328" s="50"/>
      <c r="E328" s="51"/>
      <c r="F328" s="50" t="s">
        <v>49</v>
      </c>
      <c r="G328" s="50" t="s">
        <v>1055</v>
      </c>
      <c r="H328" s="50" t="s">
        <v>1056</v>
      </c>
      <c r="I328" s="50"/>
      <c r="J328" s="50"/>
      <c r="K328" s="50"/>
      <c r="L328" s="50"/>
      <c r="M328" s="50"/>
      <c r="N328" s="54" t="s">
        <v>43</v>
      </c>
      <c r="O328" s="49">
        <v>1</v>
      </c>
      <c r="P328" s="43">
        <v>23.55</v>
      </c>
      <c r="Q328" s="49">
        <v>1</v>
      </c>
      <c r="R328" s="44">
        <f>P328/O328</f>
        <v>23.55</v>
      </c>
      <c r="S328" s="49">
        <f>Q328*O328</f>
        <v>1</v>
      </c>
      <c r="T328" s="52">
        <f>S328*R328</f>
        <v>23.55</v>
      </c>
      <c r="U328" s="50"/>
      <c r="V328" s="50"/>
      <c r="W328" s="50"/>
      <c r="X328" s="69"/>
      <c r="Y328" s="69"/>
      <c r="Z328" s="69"/>
      <c r="AA328" s="50"/>
      <c r="AB328" s="50"/>
      <c r="AC328" s="50"/>
      <c r="AD328" s="50"/>
      <c r="AE328" s="50"/>
      <c r="AF328" s="50"/>
      <c r="AG328" s="50"/>
      <c r="AH328" s="50"/>
      <c r="AI328" s="50" t="s">
        <v>652</v>
      </c>
      <c r="AJ328" s="50"/>
      <c r="AK328" s="50"/>
      <c r="AL328" s="44"/>
      <c r="AM328" s="45"/>
      <c r="AN328" s="50"/>
      <c r="AO328" s="69"/>
      <c r="AP328" s="69"/>
      <c r="AQ328" s="69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5"/>
      <c r="BD328" s="56"/>
      <c r="BE328" s="61"/>
      <c r="BF328" s="65"/>
      <c r="BG328" s="66"/>
      <c r="BH328" s="66"/>
      <c r="BI328" s="60"/>
      <c r="BJ328" s="60"/>
      <c r="BK328" s="60"/>
      <c r="BL328" s="60"/>
      <c r="BM328" s="60"/>
      <c r="BN328" s="60"/>
      <c r="BO328" s="60"/>
      <c r="BP328" s="60"/>
      <c r="BQ328" s="60" t="str">
        <f>IF(BS328="Original",AI328,AZ328)</f>
        <v>Low Threshold Spend</v>
      </c>
      <c r="BR328" s="60"/>
      <c r="BS328" s="60" t="str">
        <f>IF(AQ328="","Original",IF(AP328&lt;Y328,"Alternate","Original"))</f>
        <v>Original</v>
      </c>
    </row>
    <row r="329" spans="1:71" s="31" customFormat="1" x14ac:dyDescent="0.35">
      <c r="A329" s="53" t="s">
        <v>39</v>
      </c>
      <c r="B329" s="49">
        <v>327</v>
      </c>
      <c r="C329" s="50"/>
      <c r="D329" s="50"/>
      <c r="E329" s="51"/>
      <c r="F329" s="50" t="s">
        <v>60</v>
      </c>
      <c r="G329" s="50" t="s">
        <v>1057</v>
      </c>
      <c r="H329" s="50" t="s">
        <v>1058</v>
      </c>
      <c r="I329" s="50"/>
      <c r="J329" s="50"/>
      <c r="K329" s="50"/>
      <c r="L329" s="50"/>
      <c r="M329" s="50"/>
      <c r="N329" s="54" t="s">
        <v>43</v>
      </c>
      <c r="O329" s="49">
        <v>1</v>
      </c>
      <c r="P329" s="43">
        <v>23.43</v>
      </c>
      <c r="Q329" s="49">
        <v>1</v>
      </c>
      <c r="R329" s="44">
        <f>P329/O329</f>
        <v>23.43</v>
      </c>
      <c r="S329" s="49">
        <f>Q329*O329</f>
        <v>1</v>
      </c>
      <c r="T329" s="52">
        <f>S329*R329</f>
        <v>23.43</v>
      </c>
      <c r="U329" s="50"/>
      <c r="V329" s="50"/>
      <c r="W329" s="50"/>
      <c r="X329" s="69"/>
      <c r="Y329" s="69"/>
      <c r="Z329" s="69"/>
      <c r="AA329" s="50"/>
      <c r="AB329" s="50"/>
      <c r="AC329" s="50"/>
      <c r="AD329" s="50"/>
      <c r="AE329" s="50"/>
      <c r="AF329" s="50"/>
      <c r="AG329" s="50"/>
      <c r="AH329" s="50"/>
      <c r="AI329" s="50" t="s">
        <v>652</v>
      </c>
      <c r="AJ329" s="50"/>
      <c r="AK329" s="50"/>
      <c r="AL329" s="44"/>
      <c r="AM329" s="45"/>
      <c r="AN329" s="50"/>
      <c r="AO329" s="69"/>
      <c r="AP329" s="69"/>
      <c r="AQ329" s="69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5"/>
      <c r="BD329" s="56"/>
      <c r="BE329" s="61"/>
      <c r="BF329" s="65"/>
      <c r="BG329" s="66"/>
      <c r="BH329" s="66"/>
      <c r="BI329" s="60"/>
      <c r="BJ329" s="60"/>
      <c r="BK329" s="60"/>
      <c r="BL329" s="60"/>
      <c r="BM329" s="60"/>
      <c r="BN329" s="60"/>
      <c r="BO329" s="60"/>
      <c r="BP329" s="60"/>
      <c r="BQ329" s="60" t="str">
        <f>IF(BS329="Original",AI329,AZ329)</f>
        <v>Low Threshold Spend</v>
      </c>
      <c r="BR329" s="60"/>
      <c r="BS329" s="60" t="str">
        <f>IF(AQ329="","Original",IF(AP329&lt;Y329,"Alternate","Original"))</f>
        <v>Original</v>
      </c>
    </row>
    <row r="330" spans="1:71" s="31" customFormat="1" x14ac:dyDescent="0.35">
      <c r="A330" s="53" t="s">
        <v>39</v>
      </c>
      <c r="B330" s="49">
        <v>328</v>
      </c>
      <c r="C330" s="50"/>
      <c r="D330" s="50"/>
      <c r="E330" s="51"/>
      <c r="F330" s="50" t="s">
        <v>49</v>
      </c>
      <c r="G330" s="50" t="s">
        <v>1059</v>
      </c>
      <c r="H330" s="50" t="s">
        <v>1060</v>
      </c>
      <c r="I330" s="50"/>
      <c r="J330" s="50"/>
      <c r="K330" s="50"/>
      <c r="L330" s="50"/>
      <c r="M330" s="50"/>
      <c r="N330" s="54" t="s">
        <v>43</v>
      </c>
      <c r="O330" s="49">
        <v>1</v>
      </c>
      <c r="P330" s="43">
        <v>23.43</v>
      </c>
      <c r="Q330" s="49">
        <v>1</v>
      </c>
      <c r="R330" s="44">
        <f>P330/O330</f>
        <v>23.43</v>
      </c>
      <c r="S330" s="49">
        <f>Q330*O330</f>
        <v>1</v>
      </c>
      <c r="T330" s="52">
        <f>S330*R330</f>
        <v>23.43</v>
      </c>
      <c r="U330" s="50"/>
      <c r="V330" s="50"/>
      <c r="W330" s="50"/>
      <c r="X330" s="69"/>
      <c r="Y330" s="69"/>
      <c r="Z330" s="69"/>
      <c r="AA330" s="50"/>
      <c r="AB330" s="50"/>
      <c r="AC330" s="50"/>
      <c r="AD330" s="50"/>
      <c r="AE330" s="50"/>
      <c r="AF330" s="50"/>
      <c r="AG330" s="50"/>
      <c r="AH330" s="50"/>
      <c r="AI330" s="50" t="s">
        <v>652</v>
      </c>
      <c r="AJ330" s="50"/>
      <c r="AK330" s="50"/>
      <c r="AL330" s="44"/>
      <c r="AM330" s="45"/>
      <c r="AN330" s="50"/>
      <c r="AO330" s="69"/>
      <c r="AP330" s="69"/>
      <c r="AQ330" s="69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5"/>
      <c r="BD330" s="56"/>
      <c r="BE330" s="61"/>
      <c r="BF330" s="65"/>
      <c r="BG330" s="66"/>
      <c r="BH330" s="66"/>
      <c r="BI330" s="60"/>
      <c r="BJ330" s="60"/>
      <c r="BK330" s="60"/>
      <c r="BL330" s="60"/>
      <c r="BM330" s="60"/>
      <c r="BN330" s="60"/>
      <c r="BO330" s="60"/>
      <c r="BP330" s="60"/>
      <c r="BQ330" s="60" t="str">
        <f>IF(BS330="Original",AI330,AZ330)</f>
        <v>Low Threshold Spend</v>
      </c>
      <c r="BR330" s="60"/>
      <c r="BS330" s="60" t="str">
        <f>IF(AQ330="","Original",IF(AP330&lt;Y330,"Alternate","Original"))</f>
        <v>Original</v>
      </c>
    </row>
    <row r="331" spans="1:71" s="31" customFormat="1" x14ac:dyDescent="0.35">
      <c r="A331" s="53" t="s">
        <v>39</v>
      </c>
      <c r="B331" s="49">
        <v>329</v>
      </c>
      <c r="C331" s="50"/>
      <c r="D331" s="50"/>
      <c r="E331" s="51"/>
      <c r="F331" s="50" t="s">
        <v>60</v>
      </c>
      <c r="G331" s="50" t="s">
        <v>1061</v>
      </c>
      <c r="H331" s="50" t="s">
        <v>1062</v>
      </c>
      <c r="I331" s="50"/>
      <c r="J331" s="50"/>
      <c r="K331" s="50"/>
      <c r="L331" s="50"/>
      <c r="M331" s="50"/>
      <c r="N331" s="54" t="s">
        <v>43</v>
      </c>
      <c r="O331" s="49">
        <v>1</v>
      </c>
      <c r="P331" s="43">
        <v>11.71</v>
      </c>
      <c r="Q331" s="49">
        <v>2</v>
      </c>
      <c r="R331" s="44">
        <f>P331/O331</f>
        <v>11.71</v>
      </c>
      <c r="S331" s="49">
        <f>Q331*O331</f>
        <v>2</v>
      </c>
      <c r="T331" s="52">
        <f>S331*R331</f>
        <v>23.42</v>
      </c>
      <c r="U331" s="50"/>
      <c r="V331" s="50"/>
      <c r="W331" s="50"/>
      <c r="X331" s="69"/>
      <c r="Y331" s="69"/>
      <c r="Z331" s="69"/>
      <c r="AA331" s="50"/>
      <c r="AB331" s="50"/>
      <c r="AC331" s="50"/>
      <c r="AD331" s="50"/>
      <c r="AE331" s="50"/>
      <c r="AF331" s="50"/>
      <c r="AG331" s="50"/>
      <c r="AH331" s="50"/>
      <c r="AI331" s="50" t="s">
        <v>652</v>
      </c>
      <c r="AJ331" s="50"/>
      <c r="AK331" s="50"/>
      <c r="AL331" s="44"/>
      <c r="AM331" s="45"/>
      <c r="AN331" s="50"/>
      <c r="AO331" s="69"/>
      <c r="AP331" s="69"/>
      <c r="AQ331" s="69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5"/>
      <c r="BD331" s="56"/>
      <c r="BE331" s="61"/>
      <c r="BF331" s="65"/>
      <c r="BG331" s="66"/>
      <c r="BH331" s="66"/>
      <c r="BI331" s="60"/>
      <c r="BJ331" s="60"/>
      <c r="BK331" s="60"/>
      <c r="BL331" s="60"/>
      <c r="BM331" s="60"/>
      <c r="BN331" s="60"/>
      <c r="BO331" s="60"/>
      <c r="BP331" s="60"/>
      <c r="BQ331" s="60" t="str">
        <f>IF(BS331="Original",AI331,AZ331)</f>
        <v>Low Threshold Spend</v>
      </c>
      <c r="BR331" s="60"/>
      <c r="BS331" s="60" t="str">
        <f>IF(AQ331="","Original",IF(AP331&lt;Y331,"Alternate","Original"))</f>
        <v>Original</v>
      </c>
    </row>
    <row r="332" spans="1:71" s="31" customFormat="1" x14ac:dyDescent="0.35">
      <c r="A332" s="53" t="s">
        <v>39</v>
      </c>
      <c r="B332" s="49">
        <v>330</v>
      </c>
      <c r="C332" s="50"/>
      <c r="D332" s="50"/>
      <c r="E332" s="51"/>
      <c r="F332" s="50" t="s">
        <v>60</v>
      </c>
      <c r="G332" s="50" t="s">
        <v>1063</v>
      </c>
      <c r="H332" s="50" t="s">
        <v>1064</v>
      </c>
      <c r="I332" s="50"/>
      <c r="J332" s="50"/>
      <c r="K332" s="50"/>
      <c r="L332" s="50"/>
      <c r="M332" s="50"/>
      <c r="N332" s="54" t="s">
        <v>43</v>
      </c>
      <c r="O332" s="49">
        <v>1</v>
      </c>
      <c r="P332" s="43">
        <v>23.29</v>
      </c>
      <c r="Q332" s="49">
        <v>1</v>
      </c>
      <c r="R332" s="44">
        <f>P332/O332</f>
        <v>23.29</v>
      </c>
      <c r="S332" s="49">
        <f>Q332*O332</f>
        <v>1</v>
      </c>
      <c r="T332" s="52">
        <f>S332*R332</f>
        <v>23.29</v>
      </c>
      <c r="U332" s="50"/>
      <c r="V332" s="50"/>
      <c r="W332" s="50"/>
      <c r="X332" s="69"/>
      <c r="Y332" s="69"/>
      <c r="Z332" s="69"/>
      <c r="AA332" s="50"/>
      <c r="AB332" s="50"/>
      <c r="AC332" s="50"/>
      <c r="AD332" s="50"/>
      <c r="AE332" s="50"/>
      <c r="AF332" s="50"/>
      <c r="AG332" s="50"/>
      <c r="AH332" s="50"/>
      <c r="AI332" s="50" t="s">
        <v>652</v>
      </c>
      <c r="AJ332" s="50"/>
      <c r="AK332" s="50"/>
      <c r="AL332" s="44"/>
      <c r="AM332" s="45"/>
      <c r="AN332" s="50"/>
      <c r="AO332" s="69"/>
      <c r="AP332" s="69"/>
      <c r="AQ332" s="69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5"/>
      <c r="BD332" s="56"/>
      <c r="BE332" s="61"/>
      <c r="BF332" s="65"/>
      <c r="BG332" s="66"/>
      <c r="BH332" s="66"/>
      <c r="BI332" s="60"/>
      <c r="BJ332" s="60"/>
      <c r="BK332" s="60"/>
      <c r="BL332" s="60"/>
      <c r="BM332" s="60"/>
      <c r="BN332" s="60"/>
      <c r="BO332" s="60"/>
      <c r="BP332" s="60"/>
      <c r="BQ332" s="60" t="str">
        <f>IF(BS332="Original",AI332,AZ332)</f>
        <v>Low Threshold Spend</v>
      </c>
      <c r="BR332" s="60"/>
      <c r="BS332" s="60" t="str">
        <f>IF(AQ332="","Original",IF(AP332&lt;Y332,"Alternate","Original"))</f>
        <v>Original</v>
      </c>
    </row>
    <row r="333" spans="1:71" s="31" customFormat="1" x14ac:dyDescent="0.35">
      <c r="A333" s="53" t="s">
        <v>39</v>
      </c>
      <c r="B333" s="49">
        <v>331</v>
      </c>
      <c r="C333" s="50"/>
      <c r="D333" s="50"/>
      <c r="E333" s="51"/>
      <c r="F333" s="50" t="s">
        <v>40</v>
      </c>
      <c r="G333" s="50" t="s">
        <v>1065</v>
      </c>
      <c r="H333" s="50" t="s">
        <v>1066</v>
      </c>
      <c r="I333" s="50"/>
      <c r="J333" s="50"/>
      <c r="K333" s="50"/>
      <c r="L333" s="50"/>
      <c r="M333" s="50"/>
      <c r="N333" s="54" t="s">
        <v>43</v>
      </c>
      <c r="O333" s="49">
        <v>1</v>
      </c>
      <c r="P333" s="43">
        <v>23.29</v>
      </c>
      <c r="Q333" s="49">
        <v>1</v>
      </c>
      <c r="R333" s="44">
        <f>P333/O333</f>
        <v>23.29</v>
      </c>
      <c r="S333" s="49">
        <f>Q333*O333</f>
        <v>1</v>
      </c>
      <c r="T333" s="52">
        <f>S333*R333</f>
        <v>23.29</v>
      </c>
      <c r="U333" s="50"/>
      <c r="V333" s="50"/>
      <c r="W333" s="50"/>
      <c r="X333" s="69"/>
      <c r="Y333" s="69"/>
      <c r="Z333" s="69"/>
      <c r="AA333" s="50"/>
      <c r="AB333" s="50"/>
      <c r="AC333" s="50"/>
      <c r="AD333" s="50"/>
      <c r="AE333" s="50"/>
      <c r="AF333" s="50"/>
      <c r="AG333" s="50"/>
      <c r="AH333" s="50"/>
      <c r="AI333" s="50" t="s">
        <v>652</v>
      </c>
      <c r="AJ333" s="50"/>
      <c r="AK333" s="50"/>
      <c r="AL333" s="44"/>
      <c r="AM333" s="45"/>
      <c r="AN333" s="50"/>
      <c r="AO333" s="69"/>
      <c r="AP333" s="69"/>
      <c r="AQ333" s="69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5"/>
      <c r="BD333" s="56"/>
      <c r="BE333" s="61"/>
      <c r="BF333" s="65"/>
      <c r="BG333" s="66"/>
      <c r="BH333" s="66"/>
      <c r="BI333" s="60"/>
      <c r="BJ333" s="60"/>
      <c r="BK333" s="60"/>
      <c r="BL333" s="60"/>
      <c r="BM333" s="60"/>
      <c r="BN333" s="60"/>
      <c r="BO333" s="60"/>
      <c r="BP333" s="60"/>
      <c r="BQ333" s="60" t="str">
        <f>IF(BS333="Original",AI333,AZ333)</f>
        <v>Low Threshold Spend</v>
      </c>
      <c r="BR333" s="60"/>
      <c r="BS333" s="60" t="str">
        <f>IF(AQ333="","Original",IF(AP333&lt;Y333,"Alternate","Original"))</f>
        <v>Original</v>
      </c>
    </row>
    <row r="334" spans="1:71" s="31" customFormat="1" x14ac:dyDescent="0.35">
      <c r="A334" s="53" t="s">
        <v>39</v>
      </c>
      <c r="B334" s="49">
        <v>332</v>
      </c>
      <c r="C334" s="50"/>
      <c r="D334" s="50"/>
      <c r="E334" s="51"/>
      <c r="F334" s="50" t="s">
        <v>60</v>
      </c>
      <c r="G334" s="50" t="s">
        <v>1067</v>
      </c>
      <c r="H334" s="50" t="s">
        <v>1068</v>
      </c>
      <c r="I334" s="50"/>
      <c r="J334" s="50"/>
      <c r="K334" s="50"/>
      <c r="L334" s="50"/>
      <c r="M334" s="50"/>
      <c r="N334" s="54" t="s">
        <v>43</v>
      </c>
      <c r="O334" s="49">
        <v>1</v>
      </c>
      <c r="P334" s="43">
        <v>23.23</v>
      </c>
      <c r="Q334" s="49">
        <v>1</v>
      </c>
      <c r="R334" s="44">
        <f>P334/O334</f>
        <v>23.23</v>
      </c>
      <c r="S334" s="49">
        <f>Q334*O334</f>
        <v>1</v>
      </c>
      <c r="T334" s="52">
        <f>S334*R334</f>
        <v>23.23</v>
      </c>
      <c r="U334" s="50"/>
      <c r="V334" s="50"/>
      <c r="W334" s="50"/>
      <c r="X334" s="69"/>
      <c r="Y334" s="69"/>
      <c r="Z334" s="69"/>
      <c r="AA334" s="50"/>
      <c r="AB334" s="50"/>
      <c r="AC334" s="50"/>
      <c r="AD334" s="50"/>
      <c r="AE334" s="50"/>
      <c r="AF334" s="50"/>
      <c r="AG334" s="50"/>
      <c r="AH334" s="50"/>
      <c r="AI334" s="50" t="s">
        <v>652</v>
      </c>
      <c r="AJ334" s="50"/>
      <c r="AK334" s="50"/>
      <c r="AL334" s="44"/>
      <c r="AM334" s="45"/>
      <c r="AN334" s="50"/>
      <c r="AO334" s="69"/>
      <c r="AP334" s="69"/>
      <c r="AQ334" s="69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5"/>
      <c r="BD334" s="56"/>
      <c r="BE334" s="61"/>
      <c r="BF334" s="65"/>
      <c r="BG334" s="66"/>
      <c r="BH334" s="66"/>
      <c r="BI334" s="60"/>
      <c r="BJ334" s="60"/>
      <c r="BK334" s="60"/>
      <c r="BL334" s="60"/>
      <c r="BM334" s="60"/>
      <c r="BN334" s="60"/>
      <c r="BO334" s="60"/>
      <c r="BP334" s="60"/>
      <c r="BQ334" s="60" t="str">
        <f>IF(BS334="Original",AI334,AZ334)</f>
        <v>Low Threshold Spend</v>
      </c>
      <c r="BR334" s="60"/>
      <c r="BS334" s="60" t="str">
        <f>IF(AQ334="","Original",IF(AP334&lt;Y334,"Alternate","Original"))</f>
        <v>Original</v>
      </c>
    </row>
    <row r="335" spans="1:71" s="31" customFormat="1" x14ac:dyDescent="0.35">
      <c r="A335" s="53" t="s">
        <v>39</v>
      </c>
      <c r="B335" s="49">
        <v>333</v>
      </c>
      <c r="C335" s="50"/>
      <c r="D335" s="50"/>
      <c r="E335" s="51"/>
      <c r="F335" s="50" t="s">
        <v>60</v>
      </c>
      <c r="G335" s="50" t="s">
        <v>1069</v>
      </c>
      <c r="H335" s="50" t="s">
        <v>1070</v>
      </c>
      <c r="I335" s="50"/>
      <c r="J335" s="50"/>
      <c r="K335" s="50"/>
      <c r="L335" s="50"/>
      <c r="M335" s="50"/>
      <c r="N335" s="54" t="s">
        <v>43</v>
      </c>
      <c r="O335" s="49">
        <v>1</v>
      </c>
      <c r="P335" s="43">
        <v>23.1</v>
      </c>
      <c r="Q335" s="49">
        <v>1</v>
      </c>
      <c r="R335" s="44">
        <f>P335/O335</f>
        <v>23.1</v>
      </c>
      <c r="S335" s="49">
        <f>Q335*O335</f>
        <v>1</v>
      </c>
      <c r="T335" s="52">
        <f>S335*R335</f>
        <v>23.1</v>
      </c>
      <c r="U335" s="50"/>
      <c r="V335" s="50"/>
      <c r="W335" s="50"/>
      <c r="X335" s="69"/>
      <c r="Y335" s="69"/>
      <c r="Z335" s="69"/>
      <c r="AA335" s="50"/>
      <c r="AB335" s="50"/>
      <c r="AC335" s="50"/>
      <c r="AD335" s="50"/>
      <c r="AE335" s="50"/>
      <c r="AF335" s="50"/>
      <c r="AG335" s="50"/>
      <c r="AH335" s="50"/>
      <c r="AI335" s="50" t="s">
        <v>652</v>
      </c>
      <c r="AJ335" s="50"/>
      <c r="AK335" s="50"/>
      <c r="AL335" s="44"/>
      <c r="AM335" s="45"/>
      <c r="AN335" s="50"/>
      <c r="AO335" s="69"/>
      <c r="AP335" s="69"/>
      <c r="AQ335" s="69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5"/>
      <c r="BD335" s="56"/>
      <c r="BE335" s="61"/>
      <c r="BF335" s="65"/>
      <c r="BG335" s="66"/>
      <c r="BH335" s="66"/>
      <c r="BI335" s="60"/>
      <c r="BJ335" s="60"/>
      <c r="BK335" s="60"/>
      <c r="BL335" s="60"/>
      <c r="BM335" s="60"/>
      <c r="BN335" s="60"/>
      <c r="BO335" s="60"/>
      <c r="BP335" s="60"/>
      <c r="BQ335" s="60" t="str">
        <f>IF(BS335="Original",AI335,AZ335)</f>
        <v>Low Threshold Spend</v>
      </c>
      <c r="BR335" s="60"/>
      <c r="BS335" s="60" t="str">
        <f>IF(AQ335="","Original",IF(AP335&lt;Y335,"Alternate","Original"))</f>
        <v>Original</v>
      </c>
    </row>
    <row r="336" spans="1:71" s="31" customFormat="1" x14ac:dyDescent="0.35">
      <c r="A336" s="53" t="s">
        <v>39</v>
      </c>
      <c r="B336" s="49">
        <v>334</v>
      </c>
      <c r="C336" s="50"/>
      <c r="D336" s="50"/>
      <c r="E336" s="51"/>
      <c r="F336" s="50" t="s">
        <v>60</v>
      </c>
      <c r="G336" s="50" t="s">
        <v>1071</v>
      </c>
      <c r="H336" s="50" t="s">
        <v>1072</v>
      </c>
      <c r="I336" s="50"/>
      <c r="J336" s="50"/>
      <c r="K336" s="50"/>
      <c r="L336" s="50"/>
      <c r="M336" s="50"/>
      <c r="N336" s="54" t="s">
        <v>43</v>
      </c>
      <c r="O336" s="49">
        <v>1</v>
      </c>
      <c r="P336" s="43">
        <v>22.78</v>
      </c>
      <c r="Q336" s="49">
        <v>1</v>
      </c>
      <c r="R336" s="44">
        <f>P336/O336</f>
        <v>22.78</v>
      </c>
      <c r="S336" s="49">
        <f>Q336*O336</f>
        <v>1</v>
      </c>
      <c r="T336" s="52">
        <f>S336*R336</f>
        <v>22.78</v>
      </c>
      <c r="U336" s="50"/>
      <c r="V336" s="50"/>
      <c r="W336" s="50"/>
      <c r="X336" s="69"/>
      <c r="Y336" s="69"/>
      <c r="Z336" s="69"/>
      <c r="AA336" s="50"/>
      <c r="AB336" s="50"/>
      <c r="AC336" s="50"/>
      <c r="AD336" s="50"/>
      <c r="AE336" s="50"/>
      <c r="AF336" s="50"/>
      <c r="AG336" s="50"/>
      <c r="AH336" s="50"/>
      <c r="AI336" s="50" t="s">
        <v>652</v>
      </c>
      <c r="AJ336" s="50"/>
      <c r="AK336" s="50"/>
      <c r="AL336" s="44"/>
      <c r="AM336" s="45"/>
      <c r="AN336" s="50"/>
      <c r="AO336" s="69"/>
      <c r="AP336" s="69"/>
      <c r="AQ336" s="69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5"/>
      <c r="BD336" s="56"/>
      <c r="BE336" s="61"/>
      <c r="BF336" s="65"/>
      <c r="BG336" s="66"/>
      <c r="BH336" s="66"/>
      <c r="BI336" s="60"/>
      <c r="BJ336" s="60"/>
      <c r="BK336" s="60"/>
      <c r="BL336" s="60"/>
      <c r="BM336" s="60"/>
      <c r="BN336" s="60"/>
      <c r="BO336" s="60"/>
      <c r="BP336" s="60"/>
      <c r="BQ336" s="60" t="str">
        <f>IF(BS336="Original",AI336,AZ336)</f>
        <v>Low Threshold Spend</v>
      </c>
      <c r="BR336" s="60"/>
      <c r="BS336" s="60" t="str">
        <f>IF(AQ336="","Original",IF(AP336&lt;Y336,"Alternate","Original"))</f>
        <v>Original</v>
      </c>
    </row>
    <row r="337" spans="1:71" s="31" customFormat="1" x14ac:dyDescent="0.35">
      <c r="A337" s="53" t="s">
        <v>39</v>
      </c>
      <c r="B337" s="49">
        <v>335</v>
      </c>
      <c r="C337" s="50"/>
      <c r="D337" s="50"/>
      <c r="E337" s="51"/>
      <c r="F337" s="50" t="s">
        <v>40</v>
      </c>
      <c r="G337" s="50" t="s">
        <v>1073</v>
      </c>
      <c r="H337" s="50" t="s">
        <v>1074</v>
      </c>
      <c r="I337" s="50"/>
      <c r="J337" s="50"/>
      <c r="K337" s="50"/>
      <c r="L337" s="50"/>
      <c r="M337" s="50"/>
      <c r="N337" s="54" t="s">
        <v>43</v>
      </c>
      <c r="O337" s="49">
        <v>1</v>
      </c>
      <c r="P337" s="43">
        <v>22.5</v>
      </c>
      <c r="Q337" s="49">
        <v>1</v>
      </c>
      <c r="R337" s="44">
        <f>P337/O337</f>
        <v>22.5</v>
      </c>
      <c r="S337" s="49">
        <f>Q337*O337</f>
        <v>1</v>
      </c>
      <c r="T337" s="52">
        <f>S337*R337</f>
        <v>22.5</v>
      </c>
      <c r="U337" s="50"/>
      <c r="V337" s="50"/>
      <c r="W337" s="50"/>
      <c r="X337" s="69"/>
      <c r="Y337" s="69"/>
      <c r="Z337" s="69"/>
      <c r="AA337" s="50"/>
      <c r="AB337" s="50"/>
      <c r="AC337" s="50"/>
      <c r="AD337" s="50"/>
      <c r="AE337" s="50"/>
      <c r="AF337" s="50"/>
      <c r="AG337" s="50"/>
      <c r="AH337" s="50"/>
      <c r="AI337" s="50" t="s">
        <v>652</v>
      </c>
      <c r="AJ337" s="50"/>
      <c r="AK337" s="50"/>
      <c r="AL337" s="44"/>
      <c r="AM337" s="45"/>
      <c r="AN337" s="50"/>
      <c r="AO337" s="69"/>
      <c r="AP337" s="69"/>
      <c r="AQ337" s="69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5"/>
      <c r="BD337" s="56"/>
      <c r="BE337" s="61"/>
      <c r="BF337" s="65"/>
      <c r="BG337" s="66"/>
      <c r="BH337" s="66"/>
      <c r="BI337" s="60"/>
      <c r="BJ337" s="60"/>
      <c r="BK337" s="60"/>
      <c r="BL337" s="60"/>
      <c r="BM337" s="60"/>
      <c r="BN337" s="60"/>
      <c r="BO337" s="60"/>
      <c r="BP337" s="60"/>
      <c r="BQ337" s="60" t="str">
        <f>IF(BS337="Original",AI337,AZ337)</f>
        <v>Low Threshold Spend</v>
      </c>
      <c r="BR337" s="60"/>
      <c r="BS337" s="60" t="str">
        <f>IF(AQ337="","Original",IF(AP337&lt;Y337,"Alternate","Original"))</f>
        <v>Original</v>
      </c>
    </row>
    <row r="338" spans="1:71" s="31" customFormat="1" x14ac:dyDescent="0.35">
      <c r="A338" s="53" t="s">
        <v>39</v>
      </c>
      <c r="B338" s="49">
        <v>336</v>
      </c>
      <c r="C338" s="50"/>
      <c r="D338" s="50"/>
      <c r="E338" s="51"/>
      <c r="F338" s="50" t="s">
        <v>60</v>
      </c>
      <c r="G338" s="50" t="s">
        <v>1075</v>
      </c>
      <c r="H338" s="50" t="s">
        <v>1076</v>
      </c>
      <c r="I338" s="50"/>
      <c r="J338" s="50"/>
      <c r="K338" s="50"/>
      <c r="L338" s="50"/>
      <c r="M338" s="50"/>
      <c r="N338" s="54" t="s">
        <v>43</v>
      </c>
      <c r="O338" s="49">
        <v>1</v>
      </c>
      <c r="P338" s="43">
        <v>22.16</v>
      </c>
      <c r="Q338" s="49">
        <v>1</v>
      </c>
      <c r="R338" s="44">
        <f>P338/O338</f>
        <v>22.16</v>
      </c>
      <c r="S338" s="49">
        <f>Q338*O338</f>
        <v>1</v>
      </c>
      <c r="T338" s="52">
        <f>S338*R338</f>
        <v>22.16</v>
      </c>
      <c r="U338" s="50"/>
      <c r="V338" s="50"/>
      <c r="W338" s="50"/>
      <c r="X338" s="69"/>
      <c r="Y338" s="69"/>
      <c r="Z338" s="69"/>
      <c r="AA338" s="50"/>
      <c r="AB338" s="50"/>
      <c r="AC338" s="50"/>
      <c r="AD338" s="50"/>
      <c r="AE338" s="50"/>
      <c r="AF338" s="50"/>
      <c r="AG338" s="50"/>
      <c r="AH338" s="50"/>
      <c r="AI338" s="50" t="s">
        <v>652</v>
      </c>
      <c r="AJ338" s="50"/>
      <c r="AK338" s="50"/>
      <c r="AL338" s="44"/>
      <c r="AM338" s="45"/>
      <c r="AN338" s="50"/>
      <c r="AO338" s="69"/>
      <c r="AP338" s="69"/>
      <c r="AQ338" s="69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5"/>
      <c r="BD338" s="56"/>
      <c r="BE338" s="61"/>
      <c r="BF338" s="65"/>
      <c r="BG338" s="66"/>
      <c r="BH338" s="66"/>
      <c r="BI338" s="60"/>
      <c r="BJ338" s="60"/>
      <c r="BK338" s="60"/>
      <c r="BL338" s="60"/>
      <c r="BM338" s="60"/>
      <c r="BN338" s="60"/>
      <c r="BO338" s="60"/>
      <c r="BP338" s="60"/>
      <c r="BQ338" s="60" t="str">
        <f>IF(BS338="Original",AI338,AZ338)</f>
        <v>Low Threshold Spend</v>
      </c>
      <c r="BR338" s="60"/>
      <c r="BS338" s="60" t="str">
        <f>IF(AQ338="","Original",IF(AP338&lt;Y338,"Alternate","Original"))</f>
        <v>Original</v>
      </c>
    </row>
    <row r="339" spans="1:71" s="31" customFormat="1" x14ac:dyDescent="0.35">
      <c r="A339" s="53" t="s">
        <v>39</v>
      </c>
      <c r="B339" s="49">
        <v>337</v>
      </c>
      <c r="C339" s="50"/>
      <c r="D339" s="50"/>
      <c r="E339" s="51"/>
      <c r="F339" s="50" t="s">
        <v>40</v>
      </c>
      <c r="G339" s="50" t="s">
        <v>1077</v>
      </c>
      <c r="H339" s="50" t="s">
        <v>1078</v>
      </c>
      <c r="I339" s="50"/>
      <c r="J339" s="50"/>
      <c r="K339" s="50"/>
      <c r="L339" s="50"/>
      <c r="M339" s="50"/>
      <c r="N339" s="54" t="s">
        <v>43</v>
      </c>
      <c r="O339" s="49">
        <v>1</v>
      </c>
      <c r="P339" s="43">
        <v>21.82</v>
      </c>
      <c r="Q339" s="49">
        <v>1</v>
      </c>
      <c r="R339" s="44">
        <f>P339/O339</f>
        <v>21.82</v>
      </c>
      <c r="S339" s="49">
        <f>Q339*O339</f>
        <v>1</v>
      </c>
      <c r="T339" s="52">
        <f>S339*R339</f>
        <v>21.82</v>
      </c>
      <c r="U339" s="50"/>
      <c r="V339" s="50"/>
      <c r="W339" s="50"/>
      <c r="X339" s="69"/>
      <c r="Y339" s="69"/>
      <c r="Z339" s="69"/>
      <c r="AA339" s="50"/>
      <c r="AB339" s="50"/>
      <c r="AC339" s="50"/>
      <c r="AD339" s="50"/>
      <c r="AE339" s="50"/>
      <c r="AF339" s="50"/>
      <c r="AG339" s="50"/>
      <c r="AH339" s="50"/>
      <c r="AI339" s="50" t="s">
        <v>652</v>
      </c>
      <c r="AJ339" s="50"/>
      <c r="AK339" s="50"/>
      <c r="AL339" s="44"/>
      <c r="AM339" s="45"/>
      <c r="AN339" s="50"/>
      <c r="AO339" s="69"/>
      <c r="AP339" s="69"/>
      <c r="AQ339" s="69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5"/>
      <c r="BD339" s="56"/>
      <c r="BE339" s="61"/>
      <c r="BF339" s="65"/>
      <c r="BG339" s="66"/>
      <c r="BH339" s="66"/>
      <c r="BI339" s="60"/>
      <c r="BJ339" s="60"/>
      <c r="BK339" s="60"/>
      <c r="BL339" s="60"/>
      <c r="BM339" s="60"/>
      <c r="BN339" s="60"/>
      <c r="BO339" s="60"/>
      <c r="BP339" s="60"/>
      <c r="BQ339" s="60" t="str">
        <f>IF(BS339="Original",AI339,AZ339)</f>
        <v>Low Threshold Spend</v>
      </c>
      <c r="BR339" s="60"/>
      <c r="BS339" s="60" t="str">
        <f>IF(AQ339="","Original",IF(AP339&lt;Y339,"Alternate","Original"))</f>
        <v>Original</v>
      </c>
    </row>
    <row r="340" spans="1:71" s="31" customFormat="1" x14ac:dyDescent="0.35">
      <c r="A340" s="53" t="s">
        <v>39</v>
      </c>
      <c r="B340" s="49">
        <v>338</v>
      </c>
      <c r="C340" s="50"/>
      <c r="D340" s="50"/>
      <c r="E340" s="51"/>
      <c r="F340" s="50" t="s">
        <v>49</v>
      </c>
      <c r="G340" s="50" t="s">
        <v>1079</v>
      </c>
      <c r="H340" s="50" t="s">
        <v>1080</v>
      </c>
      <c r="I340" s="50"/>
      <c r="J340" s="50"/>
      <c r="K340" s="50"/>
      <c r="L340" s="50"/>
      <c r="M340" s="50"/>
      <c r="N340" s="54" t="s">
        <v>43</v>
      </c>
      <c r="O340" s="49">
        <v>1</v>
      </c>
      <c r="P340" s="43">
        <v>21.51</v>
      </c>
      <c r="Q340" s="49">
        <v>1</v>
      </c>
      <c r="R340" s="44">
        <f>P340/O340</f>
        <v>21.51</v>
      </c>
      <c r="S340" s="49">
        <f>Q340*O340</f>
        <v>1</v>
      </c>
      <c r="T340" s="52">
        <f>S340*R340</f>
        <v>21.51</v>
      </c>
      <c r="U340" s="50"/>
      <c r="V340" s="50"/>
      <c r="W340" s="50"/>
      <c r="X340" s="69"/>
      <c r="Y340" s="69"/>
      <c r="Z340" s="69"/>
      <c r="AA340" s="50"/>
      <c r="AB340" s="50"/>
      <c r="AC340" s="50"/>
      <c r="AD340" s="50"/>
      <c r="AE340" s="50"/>
      <c r="AF340" s="50"/>
      <c r="AG340" s="50"/>
      <c r="AH340" s="50"/>
      <c r="AI340" s="50" t="s">
        <v>652</v>
      </c>
      <c r="AJ340" s="50"/>
      <c r="AK340" s="50"/>
      <c r="AL340" s="44"/>
      <c r="AM340" s="45"/>
      <c r="AN340" s="50"/>
      <c r="AO340" s="69"/>
      <c r="AP340" s="69"/>
      <c r="AQ340" s="69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5"/>
      <c r="BD340" s="56"/>
      <c r="BE340" s="61"/>
      <c r="BF340" s="65"/>
      <c r="BG340" s="66"/>
      <c r="BH340" s="66"/>
      <c r="BI340" s="60"/>
      <c r="BJ340" s="60"/>
      <c r="BK340" s="60"/>
      <c r="BL340" s="60"/>
      <c r="BM340" s="60"/>
      <c r="BN340" s="60"/>
      <c r="BO340" s="60"/>
      <c r="BP340" s="60"/>
      <c r="BQ340" s="60" t="str">
        <f>IF(BS340="Original",AI340,AZ340)</f>
        <v>Low Threshold Spend</v>
      </c>
      <c r="BR340" s="60"/>
      <c r="BS340" s="60" t="str">
        <f>IF(AQ340="","Original",IF(AP340&lt;Y340,"Alternate","Original"))</f>
        <v>Original</v>
      </c>
    </row>
    <row r="341" spans="1:71" s="31" customFormat="1" x14ac:dyDescent="0.35">
      <c r="A341" s="53" t="s">
        <v>39</v>
      </c>
      <c r="B341" s="49">
        <v>339</v>
      </c>
      <c r="C341" s="50"/>
      <c r="D341" s="50"/>
      <c r="E341" s="51"/>
      <c r="F341" s="50" t="s">
        <v>40</v>
      </c>
      <c r="G341" s="50" t="s">
        <v>1081</v>
      </c>
      <c r="H341" s="50" t="s">
        <v>1074</v>
      </c>
      <c r="I341" s="50"/>
      <c r="J341" s="50"/>
      <c r="K341" s="50"/>
      <c r="L341" s="50"/>
      <c r="M341" s="50"/>
      <c r="N341" s="54" t="s">
        <v>43</v>
      </c>
      <c r="O341" s="49">
        <v>1</v>
      </c>
      <c r="P341" s="43">
        <v>21.28</v>
      </c>
      <c r="Q341" s="49">
        <v>1</v>
      </c>
      <c r="R341" s="44">
        <f>P341/O341</f>
        <v>21.28</v>
      </c>
      <c r="S341" s="49">
        <f>Q341*O341</f>
        <v>1</v>
      </c>
      <c r="T341" s="52">
        <f>S341*R341</f>
        <v>21.28</v>
      </c>
      <c r="U341" s="50"/>
      <c r="V341" s="50"/>
      <c r="W341" s="50"/>
      <c r="X341" s="69"/>
      <c r="Y341" s="69"/>
      <c r="Z341" s="69"/>
      <c r="AA341" s="50"/>
      <c r="AB341" s="50"/>
      <c r="AC341" s="50"/>
      <c r="AD341" s="50"/>
      <c r="AE341" s="50"/>
      <c r="AF341" s="50"/>
      <c r="AG341" s="50"/>
      <c r="AH341" s="50"/>
      <c r="AI341" s="50" t="s">
        <v>652</v>
      </c>
      <c r="AJ341" s="50"/>
      <c r="AK341" s="50"/>
      <c r="AL341" s="44"/>
      <c r="AM341" s="45"/>
      <c r="AN341" s="50"/>
      <c r="AO341" s="69"/>
      <c r="AP341" s="69"/>
      <c r="AQ341" s="69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5"/>
      <c r="BD341" s="56"/>
      <c r="BE341" s="61"/>
      <c r="BF341" s="65"/>
      <c r="BG341" s="66"/>
      <c r="BH341" s="66"/>
      <c r="BI341" s="60"/>
      <c r="BJ341" s="60"/>
      <c r="BK341" s="60"/>
      <c r="BL341" s="60"/>
      <c r="BM341" s="60"/>
      <c r="BN341" s="60"/>
      <c r="BO341" s="60"/>
      <c r="BP341" s="60"/>
      <c r="BQ341" s="60" t="str">
        <f>IF(BS341="Original",AI341,AZ341)</f>
        <v>Low Threshold Spend</v>
      </c>
      <c r="BR341" s="60"/>
      <c r="BS341" s="60" t="str">
        <f>IF(AQ341="","Original",IF(AP341&lt;Y341,"Alternate","Original"))</f>
        <v>Original</v>
      </c>
    </row>
    <row r="342" spans="1:71" s="31" customFormat="1" x14ac:dyDescent="0.35">
      <c r="A342" s="53" t="s">
        <v>39</v>
      </c>
      <c r="B342" s="49">
        <v>340</v>
      </c>
      <c r="C342" s="50"/>
      <c r="D342" s="50"/>
      <c r="E342" s="51"/>
      <c r="F342" s="50" t="s">
        <v>40</v>
      </c>
      <c r="G342" s="50" t="s">
        <v>1082</v>
      </c>
      <c r="H342" s="50" t="s">
        <v>805</v>
      </c>
      <c r="I342" s="50"/>
      <c r="J342" s="50"/>
      <c r="K342" s="50"/>
      <c r="L342" s="50"/>
      <c r="M342" s="50"/>
      <c r="N342" s="54" t="s">
        <v>43</v>
      </c>
      <c r="O342" s="49">
        <v>1</v>
      </c>
      <c r="P342" s="43">
        <v>21.12</v>
      </c>
      <c r="Q342" s="49">
        <v>1</v>
      </c>
      <c r="R342" s="44">
        <f>P342/O342</f>
        <v>21.12</v>
      </c>
      <c r="S342" s="49">
        <f>Q342*O342</f>
        <v>1</v>
      </c>
      <c r="T342" s="52">
        <f>S342*R342</f>
        <v>21.12</v>
      </c>
      <c r="U342" s="50"/>
      <c r="V342" s="50"/>
      <c r="W342" s="50"/>
      <c r="X342" s="69"/>
      <c r="Y342" s="69"/>
      <c r="Z342" s="69"/>
      <c r="AA342" s="50"/>
      <c r="AB342" s="50"/>
      <c r="AC342" s="50"/>
      <c r="AD342" s="50"/>
      <c r="AE342" s="50"/>
      <c r="AF342" s="50"/>
      <c r="AG342" s="50"/>
      <c r="AH342" s="50"/>
      <c r="AI342" s="50" t="s">
        <v>652</v>
      </c>
      <c r="AJ342" s="50"/>
      <c r="AK342" s="50"/>
      <c r="AL342" s="44"/>
      <c r="AM342" s="45"/>
      <c r="AN342" s="50"/>
      <c r="AO342" s="69"/>
      <c r="AP342" s="69"/>
      <c r="AQ342" s="69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5"/>
      <c r="BD342" s="56"/>
      <c r="BE342" s="61"/>
      <c r="BF342" s="65"/>
      <c r="BG342" s="66"/>
      <c r="BH342" s="66"/>
      <c r="BI342" s="60"/>
      <c r="BJ342" s="60"/>
      <c r="BK342" s="60"/>
      <c r="BL342" s="60"/>
      <c r="BM342" s="60"/>
      <c r="BN342" s="60"/>
      <c r="BO342" s="60"/>
      <c r="BP342" s="60"/>
      <c r="BQ342" s="60" t="str">
        <f>IF(BS342="Original",AI342,AZ342)</f>
        <v>Low Threshold Spend</v>
      </c>
      <c r="BR342" s="60"/>
      <c r="BS342" s="60" t="str">
        <f>IF(AQ342="","Original",IF(AP342&lt;Y342,"Alternate","Original"))</f>
        <v>Original</v>
      </c>
    </row>
    <row r="343" spans="1:71" s="31" customFormat="1" x14ac:dyDescent="0.35">
      <c r="A343" s="53" t="s">
        <v>39</v>
      </c>
      <c r="B343" s="49">
        <v>341</v>
      </c>
      <c r="C343" s="50"/>
      <c r="D343" s="50"/>
      <c r="E343" s="51"/>
      <c r="F343" s="50" t="s">
        <v>49</v>
      </c>
      <c r="G343" s="50" t="s">
        <v>1083</v>
      </c>
      <c r="H343" s="50" t="s">
        <v>1084</v>
      </c>
      <c r="I343" s="50"/>
      <c r="J343" s="50"/>
      <c r="K343" s="50"/>
      <c r="L343" s="50"/>
      <c r="M343" s="50"/>
      <c r="N343" s="54" t="s">
        <v>43</v>
      </c>
      <c r="O343" s="49">
        <v>1</v>
      </c>
      <c r="P343" s="43">
        <v>20.99</v>
      </c>
      <c r="Q343" s="49">
        <v>1</v>
      </c>
      <c r="R343" s="44">
        <f>P343/O343</f>
        <v>20.99</v>
      </c>
      <c r="S343" s="49">
        <f>Q343*O343</f>
        <v>1</v>
      </c>
      <c r="T343" s="52">
        <f>S343*R343</f>
        <v>20.99</v>
      </c>
      <c r="U343" s="50"/>
      <c r="V343" s="50"/>
      <c r="W343" s="50"/>
      <c r="X343" s="69"/>
      <c r="Y343" s="69"/>
      <c r="Z343" s="69"/>
      <c r="AA343" s="50"/>
      <c r="AB343" s="50"/>
      <c r="AC343" s="50"/>
      <c r="AD343" s="50"/>
      <c r="AE343" s="50"/>
      <c r="AF343" s="50"/>
      <c r="AG343" s="50"/>
      <c r="AH343" s="50"/>
      <c r="AI343" s="50" t="s">
        <v>652</v>
      </c>
      <c r="AJ343" s="50"/>
      <c r="AK343" s="50"/>
      <c r="AL343" s="44"/>
      <c r="AM343" s="45"/>
      <c r="AN343" s="50"/>
      <c r="AO343" s="69"/>
      <c r="AP343" s="69"/>
      <c r="AQ343" s="69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5"/>
      <c r="BD343" s="56"/>
      <c r="BE343" s="61"/>
      <c r="BF343" s="65"/>
      <c r="BG343" s="66"/>
      <c r="BH343" s="66"/>
      <c r="BI343" s="60"/>
      <c r="BJ343" s="60"/>
      <c r="BK343" s="60"/>
      <c r="BL343" s="60"/>
      <c r="BM343" s="60"/>
      <c r="BN343" s="60"/>
      <c r="BO343" s="60"/>
      <c r="BP343" s="60"/>
      <c r="BQ343" s="60" t="str">
        <f>IF(BS343="Original",AI343,AZ343)</f>
        <v>Low Threshold Spend</v>
      </c>
      <c r="BR343" s="60"/>
      <c r="BS343" s="60" t="str">
        <f>IF(AQ343="","Original",IF(AP343&lt;Y343,"Alternate","Original"))</f>
        <v>Original</v>
      </c>
    </row>
    <row r="344" spans="1:71" s="31" customFormat="1" x14ac:dyDescent="0.35">
      <c r="A344" s="53" t="s">
        <v>39</v>
      </c>
      <c r="B344" s="49">
        <v>342</v>
      </c>
      <c r="C344" s="50"/>
      <c r="D344" s="50"/>
      <c r="E344" s="51"/>
      <c r="F344" s="50" t="s">
        <v>40</v>
      </c>
      <c r="G344" s="50" t="s">
        <v>1085</v>
      </c>
      <c r="H344" s="50" t="s">
        <v>1086</v>
      </c>
      <c r="I344" s="50"/>
      <c r="J344" s="50"/>
      <c r="K344" s="50"/>
      <c r="L344" s="50"/>
      <c r="M344" s="50"/>
      <c r="N344" s="54" t="s">
        <v>43</v>
      </c>
      <c r="O344" s="49">
        <v>1</v>
      </c>
      <c r="P344" s="43">
        <v>20.97</v>
      </c>
      <c r="Q344" s="49">
        <v>1</v>
      </c>
      <c r="R344" s="44">
        <f>P344/O344</f>
        <v>20.97</v>
      </c>
      <c r="S344" s="49">
        <f>Q344*O344</f>
        <v>1</v>
      </c>
      <c r="T344" s="52">
        <f>S344*R344</f>
        <v>20.97</v>
      </c>
      <c r="U344" s="50"/>
      <c r="V344" s="50"/>
      <c r="W344" s="50"/>
      <c r="X344" s="69"/>
      <c r="Y344" s="69"/>
      <c r="Z344" s="69"/>
      <c r="AA344" s="50"/>
      <c r="AB344" s="50"/>
      <c r="AC344" s="50"/>
      <c r="AD344" s="50"/>
      <c r="AE344" s="50"/>
      <c r="AF344" s="50"/>
      <c r="AG344" s="50"/>
      <c r="AH344" s="50"/>
      <c r="AI344" s="50" t="s">
        <v>652</v>
      </c>
      <c r="AJ344" s="50"/>
      <c r="AK344" s="50"/>
      <c r="AL344" s="44"/>
      <c r="AM344" s="45"/>
      <c r="AN344" s="50"/>
      <c r="AO344" s="69"/>
      <c r="AP344" s="69"/>
      <c r="AQ344" s="69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5"/>
      <c r="BD344" s="56"/>
      <c r="BE344" s="61"/>
      <c r="BF344" s="65"/>
      <c r="BG344" s="66"/>
      <c r="BH344" s="66"/>
      <c r="BI344" s="60"/>
      <c r="BJ344" s="60"/>
      <c r="BK344" s="60"/>
      <c r="BL344" s="60"/>
      <c r="BM344" s="60"/>
      <c r="BN344" s="60"/>
      <c r="BO344" s="60"/>
      <c r="BP344" s="60"/>
      <c r="BQ344" s="60" t="str">
        <f>IF(BS344="Original",AI344,AZ344)</f>
        <v>Low Threshold Spend</v>
      </c>
      <c r="BR344" s="60"/>
      <c r="BS344" s="60" t="str">
        <f>IF(AQ344="","Original",IF(AP344&lt;Y344,"Alternate","Original"))</f>
        <v>Original</v>
      </c>
    </row>
    <row r="345" spans="1:71" s="31" customFormat="1" x14ac:dyDescent="0.35">
      <c r="A345" s="53" t="s">
        <v>39</v>
      </c>
      <c r="B345" s="49">
        <v>343</v>
      </c>
      <c r="C345" s="50"/>
      <c r="D345" s="50"/>
      <c r="E345" s="51"/>
      <c r="F345" s="50" t="s">
        <v>60</v>
      </c>
      <c r="G345" s="50" t="s">
        <v>1087</v>
      </c>
      <c r="H345" s="50" t="s">
        <v>1088</v>
      </c>
      <c r="I345" s="50"/>
      <c r="J345" s="50"/>
      <c r="K345" s="50"/>
      <c r="L345" s="50"/>
      <c r="M345" s="50"/>
      <c r="N345" s="54" t="s">
        <v>43</v>
      </c>
      <c r="O345" s="49">
        <v>1</v>
      </c>
      <c r="P345" s="43">
        <v>20.65</v>
      </c>
      <c r="Q345" s="49">
        <v>1</v>
      </c>
      <c r="R345" s="44">
        <f>P345/O345</f>
        <v>20.65</v>
      </c>
      <c r="S345" s="49">
        <f>Q345*O345</f>
        <v>1</v>
      </c>
      <c r="T345" s="52">
        <f>S345*R345</f>
        <v>20.65</v>
      </c>
      <c r="U345" s="50"/>
      <c r="V345" s="50"/>
      <c r="W345" s="50"/>
      <c r="X345" s="69"/>
      <c r="Y345" s="69"/>
      <c r="Z345" s="69"/>
      <c r="AA345" s="50"/>
      <c r="AB345" s="50"/>
      <c r="AC345" s="50"/>
      <c r="AD345" s="50"/>
      <c r="AE345" s="50"/>
      <c r="AF345" s="50"/>
      <c r="AG345" s="50"/>
      <c r="AH345" s="50"/>
      <c r="AI345" s="50" t="s">
        <v>652</v>
      </c>
      <c r="AJ345" s="50"/>
      <c r="AK345" s="50"/>
      <c r="AL345" s="44"/>
      <c r="AM345" s="45"/>
      <c r="AN345" s="50"/>
      <c r="AO345" s="69"/>
      <c r="AP345" s="69"/>
      <c r="AQ345" s="69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5"/>
      <c r="BD345" s="56"/>
      <c r="BE345" s="61"/>
      <c r="BF345" s="65"/>
      <c r="BG345" s="66"/>
      <c r="BH345" s="66"/>
      <c r="BI345" s="60"/>
      <c r="BJ345" s="60"/>
      <c r="BK345" s="60"/>
      <c r="BL345" s="60"/>
      <c r="BM345" s="60"/>
      <c r="BN345" s="60"/>
      <c r="BO345" s="60"/>
      <c r="BP345" s="60"/>
      <c r="BQ345" s="60" t="str">
        <f>IF(BS345="Original",AI345,AZ345)</f>
        <v>Low Threshold Spend</v>
      </c>
      <c r="BR345" s="60"/>
      <c r="BS345" s="60" t="str">
        <f>IF(AQ345="","Original",IF(AP345&lt;Y345,"Alternate","Original"))</f>
        <v>Original</v>
      </c>
    </row>
    <row r="346" spans="1:71" s="31" customFormat="1" x14ac:dyDescent="0.35">
      <c r="A346" s="53" t="s">
        <v>39</v>
      </c>
      <c r="B346" s="49">
        <v>344</v>
      </c>
      <c r="C346" s="50"/>
      <c r="D346" s="50"/>
      <c r="E346" s="51"/>
      <c r="F346" s="50" t="s">
        <v>49</v>
      </c>
      <c r="G346" s="50" t="s">
        <v>1089</v>
      </c>
      <c r="H346" s="50" t="s">
        <v>1090</v>
      </c>
      <c r="I346" s="50"/>
      <c r="J346" s="50"/>
      <c r="K346" s="50"/>
      <c r="L346" s="50"/>
      <c r="M346" s="50"/>
      <c r="N346" s="54" t="s">
        <v>43</v>
      </c>
      <c r="O346" s="49">
        <v>1</v>
      </c>
      <c r="P346" s="43">
        <v>20.56</v>
      </c>
      <c r="Q346" s="49">
        <v>1</v>
      </c>
      <c r="R346" s="44">
        <f>P346/O346</f>
        <v>20.56</v>
      </c>
      <c r="S346" s="49">
        <f>Q346*O346</f>
        <v>1</v>
      </c>
      <c r="T346" s="52">
        <f>S346*R346</f>
        <v>20.56</v>
      </c>
      <c r="U346" s="50"/>
      <c r="V346" s="50"/>
      <c r="W346" s="50"/>
      <c r="X346" s="69"/>
      <c r="Y346" s="69"/>
      <c r="Z346" s="69"/>
      <c r="AA346" s="50"/>
      <c r="AB346" s="50"/>
      <c r="AC346" s="50"/>
      <c r="AD346" s="50"/>
      <c r="AE346" s="50"/>
      <c r="AF346" s="50"/>
      <c r="AG346" s="50"/>
      <c r="AH346" s="50"/>
      <c r="AI346" s="50" t="s">
        <v>652</v>
      </c>
      <c r="AJ346" s="50"/>
      <c r="AK346" s="50"/>
      <c r="AL346" s="44"/>
      <c r="AM346" s="45"/>
      <c r="AN346" s="50"/>
      <c r="AO346" s="69"/>
      <c r="AP346" s="69"/>
      <c r="AQ346" s="69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5"/>
      <c r="BD346" s="56"/>
      <c r="BE346" s="61"/>
      <c r="BF346" s="65"/>
      <c r="BG346" s="66"/>
      <c r="BH346" s="66"/>
      <c r="BI346" s="60"/>
      <c r="BJ346" s="60"/>
      <c r="BK346" s="60"/>
      <c r="BL346" s="60"/>
      <c r="BM346" s="60"/>
      <c r="BN346" s="60"/>
      <c r="BO346" s="60"/>
      <c r="BP346" s="60"/>
      <c r="BQ346" s="60" t="str">
        <f>IF(BS346="Original",AI346,AZ346)</f>
        <v>Low Threshold Spend</v>
      </c>
      <c r="BR346" s="60"/>
      <c r="BS346" s="60" t="str">
        <f>IF(AQ346="","Original",IF(AP346&lt;Y346,"Alternate","Original"))</f>
        <v>Original</v>
      </c>
    </row>
    <row r="347" spans="1:71" s="31" customFormat="1" x14ac:dyDescent="0.35">
      <c r="A347" s="53" t="s">
        <v>39</v>
      </c>
      <c r="B347" s="49">
        <v>345</v>
      </c>
      <c r="C347" s="50"/>
      <c r="D347" s="50"/>
      <c r="E347" s="51"/>
      <c r="F347" s="50" t="s">
        <v>60</v>
      </c>
      <c r="G347" s="50" t="s">
        <v>1091</v>
      </c>
      <c r="H347" s="50" t="s">
        <v>1092</v>
      </c>
      <c r="I347" s="50"/>
      <c r="J347" s="50"/>
      <c r="K347" s="50"/>
      <c r="L347" s="50"/>
      <c r="M347" s="50"/>
      <c r="N347" s="54" t="s">
        <v>43</v>
      </c>
      <c r="O347" s="49">
        <v>1</v>
      </c>
      <c r="P347" s="43">
        <v>20.55</v>
      </c>
      <c r="Q347" s="49">
        <v>1</v>
      </c>
      <c r="R347" s="44">
        <f>P347/O347</f>
        <v>20.55</v>
      </c>
      <c r="S347" s="49">
        <f>Q347*O347</f>
        <v>1</v>
      </c>
      <c r="T347" s="52">
        <f>S347*R347</f>
        <v>20.55</v>
      </c>
      <c r="U347" s="50"/>
      <c r="V347" s="50"/>
      <c r="W347" s="50"/>
      <c r="X347" s="69"/>
      <c r="Y347" s="69"/>
      <c r="Z347" s="69"/>
      <c r="AA347" s="50"/>
      <c r="AB347" s="50"/>
      <c r="AC347" s="50"/>
      <c r="AD347" s="50"/>
      <c r="AE347" s="50"/>
      <c r="AF347" s="50"/>
      <c r="AG347" s="50"/>
      <c r="AH347" s="50"/>
      <c r="AI347" s="50" t="s">
        <v>652</v>
      </c>
      <c r="AJ347" s="50"/>
      <c r="AK347" s="50"/>
      <c r="AL347" s="44"/>
      <c r="AM347" s="45"/>
      <c r="AN347" s="50"/>
      <c r="AO347" s="69"/>
      <c r="AP347" s="69"/>
      <c r="AQ347" s="69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5"/>
      <c r="BD347" s="56"/>
      <c r="BE347" s="61"/>
      <c r="BF347" s="65"/>
      <c r="BG347" s="66"/>
      <c r="BH347" s="66"/>
      <c r="BI347" s="60"/>
      <c r="BJ347" s="60"/>
      <c r="BK347" s="60"/>
      <c r="BL347" s="60"/>
      <c r="BM347" s="60"/>
      <c r="BN347" s="60"/>
      <c r="BO347" s="60"/>
      <c r="BP347" s="60"/>
      <c r="BQ347" s="60" t="str">
        <f>IF(BS347="Original",AI347,AZ347)</f>
        <v>Low Threshold Spend</v>
      </c>
      <c r="BR347" s="60"/>
      <c r="BS347" s="60" t="str">
        <f>IF(AQ347="","Original",IF(AP347&lt;Y347,"Alternate","Original"))</f>
        <v>Original</v>
      </c>
    </row>
    <row r="348" spans="1:71" s="31" customFormat="1" x14ac:dyDescent="0.35">
      <c r="A348" s="53" t="s">
        <v>39</v>
      </c>
      <c r="B348" s="49">
        <v>346</v>
      </c>
      <c r="C348" s="50"/>
      <c r="D348" s="50"/>
      <c r="E348" s="51"/>
      <c r="F348" s="50" t="s">
        <v>49</v>
      </c>
      <c r="G348" s="50" t="s">
        <v>1093</v>
      </c>
      <c r="H348" s="50" t="s">
        <v>1094</v>
      </c>
      <c r="I348" s="50"/>
      <c r="J348" s="50"/>
      <c r="K348" s="50"/>
      <c r="L348" s="50"/>
      <c r="M348" s="50"/>
      <c r="N348" s="54" t="s">
        <v>43</v>
      </c>
      <c r="O348" s="49">
        <v>1</v>
      </c>
      <c r="P348" s="43">
        <v>20.51</v>
      </c>
      <c r="Q348" s="49">
        <v>1</v>
      </c>
      <c r="R348" s="44">
        <f>P348/O348</f>
        <v>20.51</v>
      </c>
      <c r="S348" s="49">
        <f>Q348*O348</f>
        <v>1</v>
      </c>
      <c r="T348" s="52">
        <f>S348*R348</f>
        <v>20.51</v>
      </c>
      <c r="U348" s="50"/>
      <c r="V348" s="50"/>
      <c r="W348" s="50"/>
      <c r="X348" s="69"/>
      <c r="Y348" s="69"/>
      <c r="Z348" s="69"/>
      <c r="AA348" s="50"/>
      <c r="AB348" s="50"/>
      <c r="AC348" s="50"/>
      <c r="AD348" s="50"/>
      <c r="AE348" s="50"/>
      <c r="AF348" s="50"/>
      <c r="AG348" s="50"/>
      <c r="AH348" s="50"/>
      <c r="AI348" s="50" t="s">
        <v>652</v>
      </c>
      <c r="AJ348" s="50"/>
      <c r="AK348" s="50"/>
      <c r="AL348" s="44"/>
      <c r="AM348" s="45"/>
      <c r="AN348" s="50"/>
      <c r="AO348" s="69"/>
      <c r="AP348" s="69"/>
      <c r="AQ348" s="69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5"/>
      <c r="BD348" s="56"/>
      <c r="BE348" s="61"/>
      <c r="BF348" s="65"/>
      <c r="BG348" s="66"/>
      <c r="BH348" s="66"/>
      <c r="BI348" s="60"/>
      <c r="BJ348" s="60"/>
      <c r="BK348" s="60"/>
      <c r="BL348" s="60"/>
      <c r="BM348" s="60"/>
      <c r="BN348" s="60"/>
      <c r="BO348" s="60"/>
      <c r="BP348" s="60"/>
      <c r="BQ348" s="60" t="str">
        <f>IF(BS348="Original",AI348,AZ348)</f>
        <v>Low Threshold Spend</v>
      </c>
      <c r="BR348" s="60"/>
      <c r="BS348" s="60" t="str">
        <f>IF(AQ348="","Original",IF(AP348&lt;Y348,"Alternate","Original"))</f>
        <v>Original</v>
      </c>
    </row>
    <row r="349" spans="1:71" s="31" customFormat="1" x14ac:dyDescent="0.35">
      <c r="A349" s="53" t="s">
        <v>39</v>
      </c>
      <c r="B349" s="49">
        <v>347</v>
      </c>
      <c r="C349" s="50"/>
      <c r="D349" s="50"/>
      <c r="E349" s="51"/>
      <c r="F349" s="50" t="s">
        <v>60</v>
      </c>
      <c r="G349" s="50" t="s">
        <v>1095</v>
      </c>
      <c r="H349" s="50" t="s">
        <v>1096</v>
      </c>
      <c r="I349" s="50"/>
      <c r="J349" s="50"/>
      <c r="K349" s="50"/>
      <c r="L349" s="50"/>
      <c r="M349" s="50"/>
      <c r="N349" s="54" t="s">
        <v>43</v>
      </c>
      <c r="O349" s="49">
        <v>1</v>
      </c>
      <c r="P349" s="43">
        <v>20.32</v>
      </c>
      <c r="Q349" s="49">
        <v>1</v>
      </c>
      <c r="R349" s="44">
        <f>P349/O349</f>
        <v>20.32</v>
      </c>
      <c r="S349" s="49">
        <f>Q349*O349</f>
        <v>1</v>
      </c>
      <c r="T349" s="52">
        <f>S349*R349</f>
        <v>20.32</v>
      </c>
      <c r="U349" s="50"/>
      <c r="V349" s="50"/>
      <c r="W349" s="50"/>
      <c r="X349" s="69"/>
      <c r="Y349" s="69"/>
      <c r="Z349" s="69"/>
      <c r="AA349" s="50"/>
      <c r="AB349" s="50"/>
      <c r="AC349" s="50"/>
      <c r="AD349" s="50"/>
      <c r="AE349" s="50"/>
      <c r="AF349" s="50"/>
      <c r="AG349" s="50"/>
      <c r="AH349" s="50"/>
      <c r="AI349" s="50" t="s">
        <v>652</v>
      </c>
      <c r="AJ349" s="50"/>
      <c r="AK349" s="50"/>
      <c r="AL349" s="44"/>
      <c r="AM349" s="45"/>
      <c r="AN349" s="50"/>
      <c r="AO349" s="69"/>
      <c r="AP349" s="69"/>
      <c r="AQ349" s="69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5"/>
      <c r="BD349" s="56"/>
      <c r="BE349" s="61"/>
      <c r="BF349" s="65"/>
      <c r="BG349" s="66"/>
      <c r="BH349" s="66"/>
      <c r="BI349" s="60"/>
      <c r="BJ349" s="60"/>
      <c r="BK349" s="60"/>
      <c r="BL349" s="60"/>
      <c r="BM349" s="60"/>
      <c r="BN349" s="60"/>
      <c r="BO349" s="60"/>
      <c r="BP349" s="60"/>
      <c r="BQ349" s="60" t="str">
        <f>IF(BS349="Original",AI349,AZ349)</f>
        <v>Low Threshold Spend</v>
      </c>
      <c r="BR349" s="60"/>
      <c r="BS349" s="60" t="str">
        <f>IF(AQ349="","Original",IF(AP349&lt;Y349,"Alternate","Original"))</f>
        <v>Original</v>
      </c>
    </row>
    <row r="350" spans="1:71" s="31" customFormat="1" x14ac:dyDescent="0.35">
      <c r="A350" s="53" t="s">
        <v>39</v>
      </c>
      <c r="B350" s="49">
        <v>348</v>
      </c>
      <c r="C350" s="50"/>
      <c r="D350" s="50"/>
      <c r="E350" s="51"/>
      <c r="F350" s="50" t="s">
        <v>40</v>
      </c>
      <c r="G350" s="50" t="s">
        <v>1097</v>
      </c>
      <c r="H350" s="50" t="s">
        <v>1098</v>
      </c>
      <c r="I350" s="50"/>
      <c r="J350" s="50"/>
      <c r="K350" s="50"/>
      <c r="L350" s="50"/>
      <c r="M350" s="50"/>
      <c r="N350" s="54" t="s">
        <v>43</v>
      </c>
      <c r="O350" s="49">
        <v>1</v>
      </c>
      <c r="P350" s="43">
        <v>20.260000000000002</v>
      </c>
      <c r="Q350" s="49">
        <v>1</v>
      </c>
      <c r="R350" s="44">
        <f>P350/O350</f>
        <v>20.260000000000002</v>
      </c>
      <c r="S350" s="49">
        <f>Q350*O350</f>
        <v>1</v>
      </c>
      <c r="T350" s="52">
        <f>S350*R350</f>
        <v>20.260000000000002</v>
      </c>
      <c r="U350" s="50"/>
      <c r="V350" s="50"/>
      <c r="W350" s="50"/>
      <c r="X350" s="69"/>
      <c r="Y350" s="69"/>
      <c r="Z350" s="69"/>
      <c r="AA350" s="50"/>
      <c r="AB350" s="50"/>
      <c r="AC350" s="50"/>
      <c r="AD350" s="50"/>
      <c r="AE350" s="50"/>
      <c r="AF350" s="50"/>
      <c r="AG350" s="50"/>
      <c r="AH350" s="50"/>
      <c r="AI350" s="50" t="s">
        <v>652</v>
      </c>
      <c r="AJ350" s="50"/>
      <c r="AK350" s="50"/>
      <c r="AL350" s="44"/>
      <c r="AM350" s="45"/>
      <c r="AN350" s="50"/>
      <c r="AO350" s="69"/>
      <c r="AP350" s="69"/>
      <c r="AQ350" s="69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5"/>
      <c r="BD350" s="56"/>
      <c r="BE350" s="61"/>
      <c r="BF350" s="65"/>
      <c r="BG350" s="66"/>
      <c r="BH350" s="66"/>
      <c r="BI350" s="60"/>
      <c r="BJ350" s="60"/>
      <c r="BK350" s="60"/>
      <c r="BL350" s="60"/>
      <c r="BM350" s="60"/>
      <c r="BN350" s="60"/>
      <c r="BO350" s="60"/>
      <c r="BP350" s="60"/>
      <c r="BQ350" s="60" t="str">
        <f>IF(BS350="Original",AI350,AZ350)</f>
        <v>Low Threshold Spend</v>
      </c>
      <c r="BR350" s="60"/>
      <c r="BS350" s="60" t="str">
        <f>IF(AQ350="","Original",IF(AP350&lt;Y350,"Alternate","Original"))</f>
        <v>Original</v>
      </c>
    </row>
    <row r="351" spans="1:71" s="31" customFormat="1" x14ac:dyDescent="0.35">
      <c r="A351" s="53" t="s">
        <v>39</v>
      </c>
      <c r="B351" s="49">
        <v>349</v>
      </c>
      <c r="C351" s="50"/>
      <c r="D351" s="50"/>
      <c r="E351" s="51"/>
      <c r="F351" s="50" t="s">
        <v>49</v>
      </c>
      <c r="G351" s="50" t="s">
        <v>1099</v>
      </c>
      <c r="H351" s="50" t="s">
        <v>1100</v>
      </c>
      <c r="I351" s="50"/>
      <c r="J351" s="50"/>
      <c r="K351" s="50"/>
      <c r="L351" s="50"/>
      <c r="M351" s="50"/>
      <c r="N351" s="54" t="s">
        <v>43</v>
      </c>
      <c r="O351" s="49">
        <v>1</v>
      </c>
      <c r="P351" s="43">
        <v>20.260000000000002</v>
      </c>
      <c r="Q351" s="49">
        <v>1</v>
      </c>
      <c r="R351" s="44">
        <f>P351/O351</f>
        <v>20.260000000000002</v>
      </c>
      <c r="S351" s="49">
        <f>Q351*O351</f>
        <v>1</v>
      </c>
      <c r="T351" s="52">
        <f>S351*R351</f>
        <v>20.260000000000002</v>
      </c>
      <c r="U351" s="50"/>
      <c r="V351" s="50"/>
      <c r="W351" s="50"/>
      <c r="X351" s="69"/>
      <c r="Y351" s="69"/>
      <c r="Z351" s="69"/>
      <c r="AA351" s="50"/>
      <c r="AB351" s="50"/>
      <c r="AC351" s="50"/>
      <c r="AD351" s="50"/>
      <c r="AE351" s="50"/>
      <c r="AF351" s="50"/>
      <c r="AG351" s="50"/>
      <c r="AH351" s="50"/>
      <c r="AI351" s="50" t="s">
        <v>652</v>
      </c>
      <c r="AJ351" s="50"/>
      <c r="AK351" s="50"/>
      <c r="AL351" s="44"/>
      <c r="AM351" s="45"/>
      <c r="AN351" s="50"/>
      <c r="AO351" s="69"/>
      <c r="AP351" s="69"/>
      <c r="AQ351" s="69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5"/>
      <c r="BD351" s="56"/>
      <c r="BE351" s="61"/>
      <c r="BF351" s="65"/>
      <c r="BG351" s="66"/>
      <c r="BH351" s="66"/>
      <c r="BI351" s="60"/>
      <c r="BJ351" s="60"/>
      <c r="BK351" s="60"/>
      <c r="BL351" s="60"/>
      <c r="BM351" s="60"/>
      <c r="BN351" s="60"/>
      <c r="BO351" s="60"/>
      <c r="BP351" s="60"/>
      <c r="BQ351" s="60" t="str">
        <f>IF(BS351="Original",AI351,AZ351)</f>
        <v>Low Threshold Spend</v>
      </c>
      <c r="BR351" s="60"/>
      <c r="BS351" s="60" t="str">
        <f>IF(AQ351="","Original",IF(AP351&lt;Y351,"Alternate","Original"))</f>
        <v>Original</v>
      </c>
    </row>
    <row r="352" spans="1:71" s="31" customFormat="1" x14ac:dyDescent="0.35">
      <c r="A352" s="53" t="s">
        <v>39</v>
      </c>
      <c r="B352" s="49">
        <v>350</v>
      </c>
      <c r="C352" s="50"/>
      <c r="D352" s="50"/>
      <c r="E352" s="51"/>
      <c r="F352" s="50" t="s">
        <v>60</v>
      </c>
      <c r="G352" s="50" t="s">
        <v>1101</v>
      </c>
      <c r="H352" s="50" t="s">
        <v>1102</v>
      </c>
      <c r="I352" s="50"/>
      <c r="J352" s="50"/>
      <c r="K352" s="50"/>
      <c r="L352" s="50"/>
      <c r="M352" s="50"/>
      <c r="N352" s="54" t="s">
        <v>43</v>
      </c>
      <c r="O352" s="49">
        <v>1</v>
      </c>
      <c r="P352" s="43">
        <v>20.149999999999999</v>
      </c>
      <c r="Q352" s="49">
        <v>1</v>
      </c>
      <c r="R352" s="44">
        <f>P352/O352</f>
        <v>20.149999999999999</v>
      </c>
      <c r="S352" s="49">
        <f>Q352*O352</f>
        <v>1</v>
      </c>
      <c r="T352" s="52">
        <f>S352*R352</f>
        <v>20.149999999999999</v>
      </c>
      <c r="U352" s="50"/>
      <c r="V352" s="50"/>
      <c r="W352" s="50"/>
      <c r="X352" s="69"/>
      <c r="Y352" s="69"/>
      <c r="Z352" s="69"/>
      <c r="AA352" s="50"/>
      <c r="AB352" s="50"/>
      <c r="AC352" s="50"/>
      <c r="AD352" s="50"/>
      <c r="AE352" s="50"/>
      <c r="AF352" s="50"/>
      <c r="AG352" s="50"/>
      <c r="AH352" s="50"/>
      <c r="AI352" s="50" t="s">
        <v>652</v>
      </c>
      <c r="AJ352" s="50"/>
      <c r="AK352" s="50"/>
      <c r="AL352" s="44"/>
      <c r="AM352" s="45"/>
      <c r="AN352" s="50"/>
      <c r="AO352" s="69"/>
      <c r="AP352" s="69"/>
      <c r="AQ352" s="69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5"/>
      <c r="BD352" s="56"/>
      <c r="BE352" s="61"/>
      <c r="BF352" s="65"/>
      <c r="BG352" s="66"/>
      <c r="BH352" s="66"/>
      <c r="BI352" s="60"/>
      <c r="BJ352" s="60"/>
      <c r="BK352" s="60"/>
      <c r="BL352" s="60"/>
      <c r="BM352" s="60"/>
      <c r="BN352" s="60"/>
      <c r="BO352" s="60"/>
      <c r="BP352" s="60"/>
      <c r="BQ352" s="60" t="str">
        <f>IF(BS352="Original",AI352,AZ352)</f>
        <v>Low Threshold Spend</v>
      </c>
      <c r="BR352" s="60"/>
      <c r="BS352" s="60" t="str">
        <f>IF(AQ352="","Original",IF(AP352&lt;Y352,"Alternate","Original"))</f>
        <v>Original</v>
      </c>
    </row>
    <row r="353" spans="1:71" s="31" customFormat="1" x14ac:dyDescent="0.35">
      <c r="A353" s="53" t="s">
        <v>39</v>
      </c>
      <c r="B353" s="49">
        <v>351</v>
      </c>
      <c r="C353" s="50"/>
      <c r="D353" s="50"/>
      <c r="E353" s="51"/>
      <c r="F353" s="50" t="s">
        <v>60</v>
      </c>
      <c r="G353" s="50" t="s">
        <v>1103</v>
      </c>
      <c r="H353" s="50" t="s">
        <v>1104</v>
      </c>
      <c r="I353" s="50"/>
      <c r="J353" s="50"/>
      <c r="K353" s="50"/>
      <c r="L353" s="50"/>
      <c r="M353" s="50"/>
      <c r="N353" s="54" t="s">
        <v>43</v>
      </c>
      <c r="O353" s="49">
        <v>1</v>
      </c>
      <c r="P353" s="43">
        <v>20.13</v>
      </c>
      <c r="Q353" s="49">
        <v>1</v>
      </c>
      <c r="R353" s="44">
        <f>P353/O353</f>
        <v>20.13</v>
      </c>
      <c r="S353" s="49">
        <f>Q353*O353</f>
        <v>1</v>
      </c>
      <c r="T353" s="52">
        <f>S353*R353</f>
        <v>20.13</v>
      </c>
      <c r="U353" s="50"/>
      <c r="V353" s="50"/>
      <c r="W353" s="50"/>
      <c r="X353" s="69"/>
      <c r="Y353" s="69"/>
      <c r="Z353" s="69"/>
      <c r="AA353" s="50"/>
      <c r="AB353" s="50"/>
      <c r="AC353" s="50"/>
      <c r="AD353" s="50"/>
      <c r="AE353" s="50"/>
      <c r="AF353" s="50"/>
      <c r="AG353" s="50"/>
      <c r="AH353" s="50"/>
      <c r="AI353" s="50" t="s">
        <v>652</v>
      </c>
      <c r="AJ353" s="50"/>
      <c r="AK353" s="50"/>
      <c r="AL353" s="44"/>
      <c r="AM353" s="45"/>
      <c r="AN353" s="50"/>
      <c r="AO353" s="69"/>
      <c r="AP353" s="69"/>
      <c r="AQ353" s="69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5"/>
      <c r="BD353" s="56"/>
      <c r="BE353" s="61"/>
      <c r="BF353" s="65"/>
      <c r="BG353" s="66"/>
      <c r="BH353" s="66"/>
      <c r="BI353" s="60"/>
      <c r="BJ353" s="60"/>
      <c r="BK353" s="60"/>
      <c r="BL353" s="60"/>
      <c r="BM353" s="60"/>
      <c r="BN353" s="60"/>
      <c r="BO353" s="60"/>
      <c r="BP353" s="60"/>
      <c r="BQ353" s="60" t="str">
        <f>IF(BS353="Original",AI353,AZ353)</f>
        <v>Low Threshold Spend</v>
      </c>
      <c r="BR353" s="60"/>
      <c r="BS353" s="60" t="str">
        <f>IF(AQ353="","Original",IF(AP353&lt;Y353,"Alternate","Original"))</f>
        <v>Original</v>
      </c>
    </row>
    <row r="354" spans="1:71" s="31" customFormat="1" x14ac:dyDescent="0.35">
      <c r="A354" s="53" t="s">
        <v>39</v>
      </c>
      <c r="B354" s="49">
        <v>352</v>
      </c>
      <c r="C354" s="50"/>
      <c r="D354" s="50"/>
      <c r="E354" s="51"/>
      <c r="F354" s="50" t="s">
        <v>40</v>
      </c>
      <c r="G354" s="50" t="s">
        <v>1105</v>
      </c>
      <c r="H354" s="50" t="s">
        <v>1106</v>
      </c>
      <c r="I354" s="50"/>
      <c r="J354" s="50"/>
      <c r="K354" s="50"/>
      <c r="L354" s="50"/>
      <c r="M354" s="50"/>
      <c r="N354" s="54" t="s">
        <v>43</v>
      </c>
      <c r="O354" s="49">
        <v>1</v>
      </c>
      <c r="P354" s="43">
        <v>20.07</v>
      </c>
      <c r="Q354" s="49">
        <v>1</v>
      </c>
      <c r="R354" s="44">
        <f>P354/O354</f>
        <v>20.07</v>
      </c>
      <c r="S354" s="49">
        <f>Q354*O354</f>
        <v>1</v>
      </c>
      <c r="T354" s="52">
        <f>S354*R354</f>
        <v>20.07</v>
      </c>
      <c r="U354" s="50"/>
      <c r="V354" s="50"/>
      <c r="W354" s="50"/>
      <c r="X354" s="69"/>
      <c r="Y354" s="69"/>
      <c r="Z354" s="69"/>
      <c r="AA354" s="50"/>
      <c r="AB354" s="50"/>
      <c r="AC354" s="50"/>
      <c r="AD354" s="50"/>
      <c r="AE354" s="50"/>
      <c r="AF354" s="50"/>
      <c r="AG354" s="50"/>
      <c r="AH354" s="50"/>
      <c r="AI354" s="50" t="s">
        <v>652</v>
      </c>
      <c r="AJ354" s="50"/>
      <c r="AK354" s="50"/>
      <c r="AL354" s="44"/>
      <c r="AM354" s="45"/>
      <c r="AN354" s="50"/>
      <c r="AO354" s="69"/>
      <c r="AP354" s="69"/>
      <c r="AQ354" s="69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5"/>
      <c r="BD354" s="56"/>
      <c r="BE354" s="61"/>
      <c r="BF354" s="65"/>
      <c r="BG354" s="66"/>
      <c r="BH354" s="66"/>
      <c r="BI354" s="60"/>
      <c r="BJ354" s="60"/>
      <c r="BK354" s="60"/>
      <c r="BL354" s="60"/>
      <c r="BM354" s="60"/>
      <c r="BN354" s="60"/>
      <c r="BO354" s="60"/>
      <c r="BP354" s="60"/>
      <c r="BQ354" s="60" t="str">
        <f>IF(BS354="Original",AI354,AZ354)</f>
        <v>Low Threshold Spend</v>
      </c>
      <c r="BR354" s="60"/>
      <c r="BS354" s="60" t="str">
        <f>IF(AQ354="","Original",IF(AP354&lt;Y354,"Alternate","Original"))</f>
        <v>Original</v>
      </c>
    </row>
    <row r="355" spans="1:71" s="31" customFormat="1" x14ac:dyDescent="0.35">
      <c r="A355" s="53" t="s">
        <v>39</v>
      </c>
      <c r="B355" s="49">
        <v>353</v>
      </c>
      <c r="C355" s="50"/>
      <c r="D355" s="50"/>
      <c r="E355" s="51"/>
      <c r="F355" s="50" t="s">
        <v>49</v>
      </c>
      <c r="G355" s="50" t="s">
        <v>1107</v>
      </c>
      <c r="H355" s="50" t="s">
        <v>1108</v>
      </c>
      <c r="I355" s="50"/>
      <c r="J355" s="50"/>
      <c r="K355" s="50"/>
      <c r="L355" s="50"/>
      <c r="M355" s="50"/>
      <c r="N355" s="54" t="s">
        <v>43</v>
      </c>
      <c r="O355" s="49">
        <v>1</v>
      </c>
      <c r="P355" s="43">
        <v>20</v>
      </c>
      <c r="Q355" s="49">
        <v>1</v>
      </c>
      <c r="R355" s="44">
        <f>P355/O355</f>
        <v>20</v>
      </c>
      <c r="S355" s="49">
        <f>Q355*O355</f>
        <v>1</v>
      </c>
      <c r="T355" s="52">
        <f>S355*R355</f>
        <v>20</v>
      </c>
      <c r="U355" s="50"/>
      <c r="V355" s="50"/>
      <c r="W355" s="50"/>
      <c r="X355" s="69"/>
      <c r="Y355" s="69"/>
      <c r="Z355" s="69"/>
      <c r="AA355" s="50"/>
      <c r="AB355" s="50"/>
      <c r="AC355" s="50"/>
      <c r="AD355" s="50"/>
      <c r="AE355" s="50"/>
      <c r="AF355" s="50"/>
      <c r="AG355" s="50"/>
      <c r="AH355" s="50"/>
      <c r="AI355" s="50" t="s">
        <v>652</v>
      </c>
      <c r="AJ355" s="50"/>
      <c r="AK355" s="50"/>
      <c r="AL355" s="44"/>
      <c r="AM355" s="45"/>
      <c r="AN355" s="50"/>
      <c r="AO355" s="69"/>
      <c r="AP355" s="69"/>
      <c r="AQ355" s="69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5"/>
      <c r="BD355" s="56"/>
      <c r="BE355" s="61"/>
      <c r="BF355" s="65"/>
      <c r="BG355" s="66"/>
      <c r="BH355" s="66"/>
      <c r="BI355" s="60"/>
      <c r="BJ355" s="60"/>
      <c r="BK355" s="60"/>
      <c r="BL355" s="60"/>
      <c r="BM355" s="60"/>
      <c r="BN355" s="60"/>
      <c r="BO355" s="60"/>
      <c r="BP355" s="60"/>
      <c r="BQ355" s="60" t="str">
        <f>IF(BS355="Original",AI355,AZ355)</f>
        <v>Low Threshold Spend</v>
      </c>
      <c r="BR355" s="60"/>
      <c r="BS355" s="60" t="str">
        <f>IF(AQ355="","Original",IF(AP355&lt;Y355,"Alternate","Original"))</f>
        <v>Original</v>
      </c>
    </row>
    <row r="356" spans="1:71" s="31" customFormat="1" x14ac:dyDescent="0.35">
      <c r="A356" s="53" t="s">
        <v>39</v>
      </c>
      <c r="B356" s="49">
        <v>354</v>
      </c>
      <c r="C356" s="50"/>
      <c r="D356" s="50"/>
      <c r="E356" s="51"/>
      <c r="F356" s="50" t="s">
        <v>40</v>
      </c>
      <c r="G356" s="50" t="s">
        <v>1109</v>
      </c>
      <c r="H356" s="50" t="s">
        <v>1110</v>
      </c>
      <c r="I356" s="50"/>
      <c r="J356" s="50"/>
      <c r="K356" s="50"/>
      <c r="L356" s="50"/>
      <c r="M356" s="50"/>
      <c r="N356" s="54" t="s">
        <v>43</v>
      </c>
      <c r="O356" s="49">
        <v>1</v>
      </c>
      <c r="P356" s="43">
        <v>19.850000000000001</v>
      </c>
      <c r="Q356" s="49">
        <v>1</v>
      </c>
      <c r="R356" s="44">
        <f>P356/O356</f>
        <v>19.850000000000001</v>
      </c>
      <c r="S356" s="49">
        <f>Q356*O356</f>
        <v>1</v>
      </c>
      <c r="T356" s="52">
        <f>S356*R356</f>
        <v>19.850000000000001</v>
      </c>
      <c r="U356" s="50"/>
      <c r="V356" s="50"/>
      <c r="W356" s="50"/>
      <c r="X356" s="69"/>
      <c r="Y356" s="69"/>
      <c r="Z356" s="69"/>
      <c r="AA356" s="50"/>
      <c r="AB356" s="50"/>
      <c r="AC356" s="50"/>
      <c r="AD356" s="50"/>
      <c r="AE356" s="50"/>
      <c r="AF356" s="50"/>
      <c r="AG356" s="50"/>
      <c r="AH356" s="50"/>
      <c r="AI356" s="50" t="s">
        <v>652</v>
      </c>
      <c r="AJ356" s="50"/>
      <c r="AK356" s="50"/>
      <c r="AL356" s="44"/>
      <c r="AM356" s="45"/>
      <c r="AN356" s="50"/>
      <c r="AO356" s="69"/>
      <c r="AP356" s="69"/>
      <c r="AQ356" s="69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5"/>
      <c r="BD356" s="56"/>
      <c r="BE356" s="61"/>
      <c r="BF356" s="65"/>
      <c r="BG356" s="66"/>
      <c r="BH356" s="66"/>
      <c r="BI356" s="60"/>
      <c r="BJ356" s="60"/>
      <c r="BK356" s="60"/>
      <c r="BL356" s="60"/>
      <c r="BM356" s="60"/>
      <c r="BN356" s="60"/>
      <c r="BO356" s="60"/>
      <c r="BP356" s="60"/>
      <c r="BQ356" s="60" t="str">
        <f>IF(BS356="Original",AI356,AZ356)</f>
        <v>Low Threshold Spend</v>
      </c>
      <c r="BR356" s="60"/>
      <c r="BS356" s="60" t="str">
        <f>IF(AQ356="","Original",IF(AP356&lt;Y356,"Alternate","Original"))</f>
        <v>Original</v>
      </c>
    </row>
    <row r="357" spans="1:71" s="31" customFormat="1" x14ac:dyDescent="0.35">
      <c r="A357" s="53" t="s">
        <v>39</v>
      </c>
      <c r="B357" s="49">
        <v>355</v>
      </c>
      <c r="C357" s="50"/>
      <c r="D357" s="50"/>
      <c r="E357" s="51"/>
      <c r="F357" s="50" t="s">
        <v>49</v>
      </c>
      <c r="G357" s="50" t="s">
        <v>1111</v>
      </c>
      <c r="H357" s="50" t="s">
        <v>1112</v>
      </c>
      <c r="I357" s="50"/>
      <c r="J357" s="50"/>
      <c r="K357" s="50"/>
      <c r="L357" s="50"/>
      <c r="M357" s="50"/>
      <c r="N357" s="54" t="s">
        <v>43</v>
      </c>
      <c r="O357" s="49">
        <v>1</v>
      </c>
      <c r="P357" s="43">
        <v>19.850000000000001</v>
      </c>
      <c r="Q357" s="49">
        <v>1</v>
      </c>
      <c r="R357" s="44">
        <f>P357/O357</f>
        <v>19.850000000000001</v>
      </c>
      <c r="S357" s="49">
        <f>Q357*O357</f>
        <v>1</v>
      </c>
      <c r="T357" s="52">
        <f>S357*R357</f>
        <v>19.850000000000001</v>
      </c>
      <c r="U357" s="50"/>
      <c r="V357" s="50"/>
      <c r="W357" s="50"/>
      <c r="X357" s="69"/>
      <c r="Y357" s="69"/>
      <c r="Z357" s="69"/>
      <c r="AA357" s="50"/>
      <c r="AB357" s="50"/>
      <c r="AC357" s="50"/>
      <c r="AD357" s="50"/>
      <c r="AE357" s="50"/>
      <c r="AF357" s="50"/>
      <c r="AG357" s="50"/>
      <c r="AH357" s="50"/>
      <c r="AI357" s="50" t="s">
        <v>652</v>
      </c>
      <c r="AJ357" s="50"/>
      <c r="AK357" s="50"/>
      <c r="AL357" s="44"/>
      <c r="AM357" s="45"/>
      <c r="AN357" s="50"/>
      <c r="AO357" s="69"/>
      <c r="AP357" s="69"/>
      <c r="AQ357" s="69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5"/>
      <c r="BD357" s="56"/>
      <c r="BE357" s="61"/>
      <c r="BF357" s="65"/>
      <c r="BG357" s="66"/>
      <c r="BH357" s="66"/>
      <c r="BI357" s="60"/>
      <c r="BJ357" s="60"/>
      <c r="BK357" s="60"/>
      <c r="BL357" s="60"/>
      <c r="BM357" s="60"/>
      <c r="BN357" s="60"/>
      <c r="BO357" s="60"/>
      <c r="BP357" s="60"/>
      <c r="BQ357" s="60" t="str">
        <f>IF(BS357="Original",AI357,AZ357)</f>
        <v>Low Threshold Spend</v>
      </c>
      <c r="BR357" s="60"/>
      <c r="BS357" s="60" t="str">
        <f>IF(AQ357="","Original",IF(AP357&lt;Y357,"Alternate","Original"))</f>
        <v>Original</v>
      </c>
    </row>
    <row r="358" spans="1:71" s="31" customFormat="1" x14ac:dyDescent="0.35">
      <c r="A358" s="53" t="s">
        <v>39</v>
      </c>
      <c r="B358" s="49">
        <v>356</v>
      </c>
      <c r="C358" s="50"/>
      <c r="D358" s="50"/>
      <c r="E358" s="51"/>
      <c r="F358" s="50" t="s">
        <v>60</v>
      </c>
      <c r="G358" s="50" t="s">
        <v>1113</v>
      </c>
      <c r="H358" s="50" t="s">
        <v>1114</v>
      </c>
      <c r="I358" s="50"/>
      <c r="J358" s="50"/>
      <c r="K358" s="50"/>
      <c r="L358" s="50"/>
      <c r="M358" s="50"/>
      <c r="N358" s="54" t="s">
        <v>43</v>
      </c>
      <c r="O358" s="49">
        <v>1</v>
      </c>
      <c r="P358" s="43">
        <v>9.74</v>
      </c>
      <c r="Q358" s="49">
        <v>2</v>
      </c>
      <c r="R358" s="44">
        <f>P358/O358</f>
        <v>9.74</v>
      </c>
      <c r="S358" s="49">
        <f>Q358*O358</f>
        <v>2</v>
      </c>
      <c r="T358" s="52">
        <f>S358*R358</f>
        <v>19.48</v>
      </c>
      <c r="U358" s="50"/>
      <c r="V358" s="50"/>
      <c r="W358" s="50"/>
      <c r="X358" s="69"/>
      <c r="Y358" s="69"/>
      <c r="Z358" s="69"/>
      <c r="AA358" s="50"/>
      <c r="AB358" s="50"/>
      <c r="AC358" s="50"/>
      <c r="AD358" s="50"/>
      <c r="AE358" s="50"/>
      <c r="AF358" s="50"/>
      <c r="AG358" s="50"/>
      <c r="AH358" s="50"/>
      <c r="AI358" s="50" t="s">
        <v>652</v>
      </c>
      <c r="AJ358" s="50"/>
      <c r="AK358" s="50"/>
      <c r="AL358" s="44"/>
      <c r="AM358" s="45"/>
      <c r="AN358" s="50"/>
      <c r="AO358" s="69"/>
      <c r="AP358" s="69"/>
      <c r="AQ358" s="69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5"/>
      <c r="BD358" s="56"/>
      <c r="BE358" s="61"/>
      <c r="BF358" s="65"/>
      <c r="BG358" s="66"/>
      <c r="BH358" s="66"/>
      <c r="BI358" s="60"/>
      <c r="BJ358" s="60"/>
      <c r="BK358" s="60"/>
      <c r="BL358" s="60"/>
      <c r="BM358" s="60"/>
      <c r="BN358" s="60"/>
      <c r="BO358" s="60"/>
      <c r="BP358" s="60"/>
      <c r="BQ358" s="60" t="str">
        <f>IF(BS358="Original",AI358,AZ358)</f>
        <v>Low Threshold Spend</v>
      </c>
      <c r="BR358" s="60"/>
      <c r="BS358" s="60" t="str">
        <f>IF(AQ358="","Original",IF(AP358&lt;Y358,"Alternate","Original"))</f>
        <v>Original</v>
      </c>
    </row>
    <row r="359" spans="1:71" s="31" customFormat="1" x14ac:dyDescent="0.35">
      <c r="A359" s="53" t="s">
        <v>39</v>
      </c>
      <c r="B359" s="49">
        <v>357</v>
      </c>
      <c r="C359" s="50"/>
      <c r="D359" s="50"/>
      <c r="E359" s="51"/>
      <c r="F359" s="50" t="s">
        <v>40</v>
      </c>
      <c r="G359" s="50" t="s">
        <v>1115</v>
      </c>
      <c r="H359" s="50" t="s">
        <v>799</v>
      </c>
      <c r="I359" s="50"/>
      <c r="J359" s="50"/>
      <c r="K359" s="50"/>
      <c r="L359" s="50"/>
      <c r="M359" s="50"/>
      <c r="N359" s="54" t="s">
        <v>43</v>
      </c>
      <c r="O359" s="49">
        <v>1</v>
      </c>
      <c r="P359" s="43">
        <v>19.46</v>
      </c>
      <c r="Q359" s="49">
        <v>1</v>
      </c>
      <c r="R359" s="44">
        <f>P359/O359</f>
        <v>19.46</v>
      </c>
      <c r="S359" s="49">
        <f>Q359*O359</f>
        <v>1</v>
      </c>
      <c r="T359" s="52">
        <f>S359*R359</f>
        <v>19.46</v>
      </c>
      <c r="U359" s="50"/>
      <c r="V359" s="50"/>
      <c r="W359" s="50"/>
      <c r="X359" s="69"/>
      <c r="Y359" s="69"/>
      <c r="Z359" s="69"/>
      <c r="AA359" s="50"/>
      <c r="AB359" s="50"/>
      <c r="AC359" s="50"/>
      <c r="AD359" s="50"/>
      <c r="AE359" s="50"/>
      <c r="AF359" s="50"/>
      <c r="AG359" s="50"/>
      <c r="AH359" s="50"/>
      <c r="AI359" s="50" t="s">
        <v>652</v>
      </c>
      <c r="AJ359" s="50"/>
      <c r="AK359" s="50"/>
      <c r="AL359" s="44"/>
      <c r="AM359" s="45"/>
      <c r="AN359" s="50"/>
      <c r="AO359" s="69"/>
      <c r="AP359" s="69"/>
      <c r="AQ359" s="69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5"/>
      <c r="BD359" s="56"/>
      <c r="BE359" s="61"/>
      <c r="BF359" s="65"/>
      <c r="BG359" s="66"/>
      <c r="BH359" s="66"/>
      <c r="BI359" s="60"/>
      <c r="BJ359" s="60"/>
      <c r="BK359" s="60"/>
      <c r="BL359" s="60"/>
      <c r="BM359" s="60"/>
      <c r="BN359" s="60"/>
      <c r="BO359" s="60"/>
      <c r="BP359" s="60"/>
      <c r="BQ359" s="60" t="str">
        <f>IF(BS359="Original",AI359,AZ359)</f>
        <v>Low Threshold Spend</v>
      </c>
      <c r="BR359" s="60"/>
      <c r="BS359" s="60" t="str">
        <f>IF(AQ359="","Original",IF(AP359&lt;Y359,"Alternate","Original"))</f>
        <v>Original</v>
      </c>
    </row>
    <row r="360" spans="1:71" s="31" customFormat="1" x14ac:dyDescent="0.35">
      <c r="A360" s="53" t="s">
        <v>39</v>
      </c>
      <c r="B360" s="49">
        <v>358</v>
      </c>
      <c r="C360" s="50"/>
      <c r="D360" s="50"/>
      <c r="E360" s="51"/>
      <c r="F360" s="50" t="s">
        <v>60</v>
      </c>
      <c r="G360" s="50" t="s">
        <v>1116</v>
      </c>
      <c r="H360" s="50" t="s">
        <v>1117</v>
      </c>
      <c r="I360" s="50"/>
      <c r="J360" s="50"/>
      <c r="K360" s="50"/>
      <c r="L360" s="50"/>
      <c r="M360" s="50"/>
      <c r="N360" s="54" t="s">
        <v>43</v>
      </c>
      <c r="O360" s="49">
        <v>1</v>
      </c>
      <c r="P360" s="43">
        <v>19.420000000000002</v>
      </c>
      <c r="Q360" s="49">
        <v>1</v>
      </c>
      <c r="R360" s="44">
        <f>P360/O360</f>
        <v>19.420000000000002</v>
      </c>
      <c r="S360" s="49">
        <f>Q360*O360</f>
        <v>1</v>
      </c>
      <c r="T360" s="52">
        <f>S360*R360</f>
        <v>19.420000000000002</v>
      </c>
      <c r="U360" s="50"/>
      <c r="V360" s="50"/>
      <c r="W360" s="50"/>
      <c r="X360" s="69"/>
      <c r="Y360" s="69"/>
      <c r="Z360" s="69"/>
      <c r="AA360" s="50"/>
      <c r="AB360" s="50"/>
      <c r="AC360" s="50"/>
      <c r="AD360" s="50"/>
      <c r="AE360" s="50"/>
      <c r="AF360" s="50"/>
      <c r="AG360" s="50"/>
      <c r="AH360" s="50"/>
      <c r="AI360" s="50" t="s">
        <v>652</v>
      </c>
      <c r="AJ360" s="50"/>
      <c r="AK360" s="50"/>
      <c r="AL360" s="44"/>
      <c r="AM360" s="45"/>
      <c r="AN360" s="50"/>
      <c r="AO360" s="69"/>
      <c r="AP360" s="69"/>
      <c r="AQ360" s="69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5"/>
      <c r="BD360" s="56"/>
      <c r="BE360" s="61"/>
      <c r="BF360" s="65"/>
      <c r="BG360" s="66"/>
      <c r="BH360" s="66"/>
      <c r="BI360" s="60"/>
      <c r="BJ360" s="60"/>
      <c r="BK360" s="60"/>
      <c r="BL360" s="60"/>
      <c r="BM360" s="60"/>
      <c r="BN360" s="60"/>
      <c r="BO360" s="60"/>
      <c r="BP360" s="60"/>
      <c r="BQ360" s="60" t="str">
        <f>IF(BS360="Original",AI360,AZ360)</f>
        <v>Low Threshold Spend</v>
      </c>
      <c r="BR360" s="60"/>
      <c r="BS360" s="60" t="str">
        <f>IF(AQ360="","Original",IF(AP360&lt;Y360,"Alternate","Original"))</f>
        <v>Original</v>
      </c>
    </row>
    <row r="361" spans="1:71" s="31" customFormat="1" x14ac:dyDescent="0.35">
      <c r="A361" s="53" t="s">
        <v>39</v>
      </c>
      <c r="B361" s="49">
        <v>359</v>
      </c>
      <c r="C361" s="50"/>
      <c r="D361" s="50"/>
      <c r="E361" s="51"/>
      <c r="F361" s="50" t="s">
        <v>60</v>
      </c>
      <c r="G361" s="50" t="s">
        <v>1118</v>
      </c>
      <c r="H361" s="50" t="s">
        <v>1119</v>
      </c>
      <c r="I361" s="50"/>
      <c r="J361" s="50"/>
      <c r="K361" s="50"/>
      <c r="L361" s="50"/>
      <c r="M361" s="50"/>
      <c r="N361" s="54" t="s">
        <v>43</v>
      </c>
      <c r="O361" s="49">
        <v>1</v>
      </c>
      <c r="P361" s="43">
        <v>19.22</v>
      </c>
      <c r="Q361" s="49">
        <v>1</v>
      </c>
      <c r="R361" s="44">
        <f>P361/O361</f>
        <v>19.22</v>
      </c>
      <c r="S361" s="49">
        <f>Q361*O361</f>
        <v>1</v>
      </c>
      <c r="T361" s="52">
        <f>S361*R361</f>
        <v>19.22</v>
      </c>
      <c r="U361" s="50"/>
      <c r="V361" s="50"/>
      <c r="W361" s="50"/>
      <c r="X361" s="69"/>
      <c r="Y361" s="69"/>
      <c r="Z361" s="69"/>
      <c r="AA361" s="50"/>
      <c r="AB361" s="50"/>
      <c r="AC361" s="50"/>
      <c r="AD361" s="50"/>
      <c r="AE361" s="50"/>
      <c r="AF361" s="50"/>
      <c r="AG361" s="50"/>
      <c r="AH361" s="50"/>
      <c r="AI361" s="50" t="s">
        <v>652</v>
      </c>
      <c r="AJ361" s="50"/>
      <c r="AK361" s="50"/>
      <c r="AL361" s="44"/>
      <c r="AM361" s="45"/>
      <c r="AN361" s="50"/>
      <c r="AO361" s="69"/>
      <c r="AP361" s="69"/>
      <c r="AQ361" s="69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5"/>
      <c r="BD361" s="56"/>
      <c r="BE361" s="61"/>
      <c r="BF361" s="65"/>
      <c r="BG361" s="66"/>
      <c r="BH361" s="66"/>
      <c r="BI361" s="60"/>
      <c r="BJ361" s="60"/>
      <c r="BK361" s="60"/>
      <c r="BL361" s="60"/>
      <c r="BM361" s="60"/>
      <c r="BN361" s="60"/>
      <c r="BO361" s="60"/>
      <c r="BP361" s="60"/>
      <c r="BQ361" s="60" t="str">
        <f>IF(BS361="Original",AI361,AZ361)</f>
        <v>Low Threshold Spend</v>
      </c>
      <c r="BR361" s="60"/>
      <c r="BS361" s="60" t="str">
        <f>IF(AQ361="","Original",IF(AP361&lt;Y361,"Alternate","Original"))</f>
        <v>Original</v>
      </c>
    </row>
    <row r="362" spans="1:71" s="31" customFormat="1" x14ac:dyDescent="0.35">
      <c r="A362" s="53" t="s">
        <v>39</v>
      </c>
      <c r="B362" s="49">
        <v>360</v>
      </c>
      <c r="C362" s="50"/>
      <c r="D362" s="50"/>
      <c r="E362" s="51"/>
      <c r="F362" s="50" t="s">
        <v>40</v>
      </c>
      <c r="G362" s="50" t="s">
        <v>1120</v>
      </c>
      <c r="H362" s="50" t="s">
        <v>1121</v>
      </c>
      <c r="I362" s="50"/>
      <c r="J362" s="50"/>
      <c r="K362" s="50"/>
      <c r="L362" s="50"/>
      <c r="M362" s="50"/>
      <c r="N362" s="54" t="s">
        <v>43</v>
      </c>
      <c r="O362" s="49">
        <v>1</v>
      </c>
      <c r="P362" s="43">
        <v>19.09</v>
      </c>
      <c r="Q362" s="49">
        <v>1</v>
      </c>
      <c r="R362" s="44">
        <f>P362/O362</f>
        <v>19.09</v>
      </c>
      <c r="S362" s="49">
        <f>Q362*O362</f>
        <v>1</v>
      </c>
      <c r="T362" s="52">
        <f>S362*R362</f>
        <v>19.09</v>
      </c>
      <c r="U362" s="50"/>
      <c r="V362" s="50"/>
      <c r="W362" s="50"/>
      <c r="X362" s="69"/>
      <c r="Y362" s="69"/>
      <c r="Z362" s="69"/>
      <c r="AA362" s="50"/>
      <c r="AB362" s="50"/>
      <c r="AC362" s="50"/>
      <c r="AD362" s="50"/>
      <c r="AE362" s="50"/>
      <c r="AF362" s="50"/>
      <c r="AG362" s="50"/>
      <c r="AH362" s="50"/>
      <c r="AI362" s="50" t="s">
        <v>652</v>
      </c>
      <c r="AJ362" s="50"/>
      <c r="AK362" s="50"/>
      <c r="AL362" s="44"/>
      <c r="AM362" s="45"/>
      <c r="AN362" s="50"/>
      <c r="AO362" s="69"/>
      <c r="AP362" s="69"/>
      <c r="AQ362" s="69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5"/>
      <c r="BD362" s="56"/>
      <c r="BE362" s="61"/>
      <c r="BF362" s="65"/>
      <c r="BG362" s="66"/>
      <c r="BH362" s="66"/>
      <c r="BI362" s="60"/>
      <c r="BJ362" s="60"/>
      <c r="BK362" s="60"/>
      <c r="BL362" s="60"/>
      <c r="BM362" s="60"/>
      <c r="BN362" s="60"/>
      <c r="BO362" s="60"/>
      <c r="BP362" s="60"/>
      <c r="BQ362" s="60" t="str">
        <f>IF(BS362="Original",AI362,AZ362)</f>
        <v>Low Threshold Spend</v>
      </c>
      <c r="BR362" s="60"/>
      <c r="BS362" s="60" t="str">
        <f>IF(AQ362="","Original",IF(AP362&lt;Y362,"Alternate","Original"))</f>
        <v>Original</v>
      </c>
    </row>
    <row r="363" spans="1:71" s="31" customFormat="1" x14ac:dyDescent="0.35">
      <c r="A363" s="53" t="s">
        <v>39</v>
      </c>
      <c r="B363" s="49">
        <v>361</v>
      </c>
      <c r="C363" s="50"/>
      <c r="D363" s="50"/>
      <c r="E363" s="51"/>
      <c r="F363" s="50" t="s">
        <v>40</v>
      </c>
      <c r="G363" s="50" t="s">
        <v>1122</v>
      </c>
      <c r="H363" s="50" t="s">
        <v>1123</v>
      </c>
      <c r="I363" s="50"/>
      <c r="J363" s="50"/>
      <c r="K363" s="50"/>
      <c r="L363" s="50"/>
      <c r="M363" s="50"/>
      <c r="N363" s="54" t="s">
        <v>43</v>
      </c>
      <c r="O363" s="49">
        <v>1</v>
      </c>
      <c r="P363" s="43">
        <v>18.920000000000002</v>
      </c>
      <c r="Q363" s="49">
        <v>1</v>
      </c>
      <c r="R363" s="44">
        <f>P363/O363</f>
        <v>18.920000000000002</v>
      </c>
      <c r="S363" s="49">
        <f>Q363*O363</f>
        <v>1</v>
      </c>
      <c r="T363" s="52">
        <f>S363*R363</f>
        <v>18.920000000000002</v>
      </c>
      <c r="U363" s="50"/>
      <c r="V363" s="50"/>
      <c r="W363" s="50"/>
      <c r="X363" s="69"/>
      <c r="Y363" s="69"/>
      <c r="Z363" s="69"/>
      <c r="AA363" s="50"/>
      <c r="AB363" s="50"/>
      <c r="AC363" s="50"/>
      <c r="AD363" s="50"/>
      <c r="AE363" s="50"/>
      <c r="AF363" s="50"/>
      <c r="AG363" s="50"/>
      <c r="AH363" s="50"/>
      <c r="AI363" s="50" t="s">
        <v>652</v>
      </c>
      <c r="AJ363" s="50"/>
      <c r="AK363" s="50"/>
      <c r="AL363" s="44"/>
      <c r="AM363" s="45"/>
      <c r="AN363" s="50"/>
      <c r="AO363" s="69"/>
      <c r="AP363" s="69"/>
      <c r="AQ363" s="69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5"/>
      <c r="BD363" s="56"/>
      <c r="BE363" s="61"/>
      <c r="BF363" s="65"/>
      <c r="BG363" s="66"/>
      <c r="BH363" s="66"/>
      <c r="BI363" s="60"/>
      <c r="BJ363" s="60"/>
      <c r="BK363" s="60"/>
      <c r="BL363" s="60"/>
      <c r="BM363" s="60"/>
      <c r="BN363" s="60"/>
      <c r="BO363" s="60"/>
      <c r="BP363" s="60"/>
      <c r="BQ363" s="60" t="str">
        <f>IF(BS363="Original",AI363,AZ363)</f>
        <v>Low Threshold Spend</v>
      </c>
      <c r="BR363" s="60"/>
      <c r="BS363" s="60" t="str">
        <f>IF(AQ363="","Original",IF(AP363&lt;Y363,"Alternate","Original"))</f>
        <v>Original</v>
      </c>
    </row>
    <row r="364" spans="1:71" s="31" customFormat="1" x14ac:dyDescent="0.35">
      <c r="A364" s="53" t="s">
        <v>39</v>
      </c>
      <c r="B364" s="49">
        <v>362</v>
      </c>
      <c r="C364" s="50"/>
      <c r="D364" s="50"/>
      <c r="E364" s="51"/>
      <c r="F364" s="50" t="s">
        <v>49</v>
      </c>
      <c r="G364" s="50" t="s">
        <v>1124</v>
      </c>
      <c r="H364" s="50" t="s">
        <v>1125</v>
      </c>
      <c r="I364" s="50"/>
      <c r="J364" s="50"/>
      <c r="K364" s="50"/>
      <c r="L364" s="50"/>
      <c r="M364" s="50"/>
      <c r="N364" s="54" t="s">
        <v>43</v>
      </c>
      <c r="O364" s="49">
        <v>1</v>
      </c>
      <c r="P364" s="43">
        <v>18.88</v>
      </c>
      <c r="Q364" s="49">
        <v>1</v>
      </c>
      <c r="R364" s="44">
        <f>P364/O364</f>
        <v>18.88</v>
      </c>
      <c r="S364" s="49">
        <f>Q364*O364</f>
        <v>1</v>
      </c>
      <c r="T364" s="52">
        <f>S364*R364</f>
        <v>18.88</v>
      </c>
      <c r="U364" s="50"/>
      <c r="V364" s="50"/>
      <c r="W364" s="50"/>
      <c r="X364" s="69"/>
      <c r="Y364" s="69"/>
      <c r="Z364" s="69"/>
      <c r="AA364" s="50"/>
      <c r="AB364" s="50"/>
      <c r="AC364" s="50"/>
      <c r="AD364" s="50"/>
      <c r="AE364" s="50"/>
      <c r="AF364" s="50"/>
      <c r="AG364" s="50"/>
      <c r="AH364" s="50"/>
      <c r="AI364" s="50" t="s">
        <v>652</v>
      </c>
      <c r="AJ364" s="50"/>
      <c r="AK364" s="50"/>
      <c r="AL364" s="44"/>
      <c r="AM364" s="45"/>
      <c r="AN364" s="50"/>
      <c r="AO364" s="69"/>
      <c r="AP364" s="69"/>
      <c r="AQ364" s="69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5"/>
      <c r="BD364" s="56"/>
      <c r="BE364" s="61"/>
      <c r="BF364" s="65"/>
      <c r="BG364" s="66"/>
      <c r="BH364" s="66"/>
      <c r="BI364" s="60"/>
      <c r="BJ364" s="60"/>
      <c r="BK364" s="60"/>
      <c r="BL364" s="60"/>
      <c r="BM364" s="60"/>
      <c r="BN364" s="60"/>
      <c r="BO364" s="60"/>
      <c r="BP364" s="60"/>
      <c r="BQ364" s="60" t="str">
        <f>IF(BS364="Original",AI364,AZ364)</f>
        <v>Low Threshold Spend</v>
      </c>
      <c r="BR364" s="60"/>
      <c r="BS364" s="60" t="str">
        <f>IF(AQ364="","Original",IF(AP364&lt;Y364,"Alternate","Original"))</f>
        <v>Original</v>
      </c>
    </row>
    <row r="365" spans="1:71" s="31" customFormat="1" x14ac:dyDescent="0.35">
      <c r="A365" s="53" t="s">
        <v>39</v>
      </c>
      <c r="B365" s="49">
        <v>363</v>
      </c>
      <c r="C365" s="50"/>
      <c r="D365" s="50"/>
      <c r="E365" s="51"/>
      <c r="F365" s="50" t="s">
        <v>60</v>
      </c>
      <c r="G365" s="50" t="s">
        <v>1126</v>
      </c>
      <c r="H365" s="50" t="s">
        <v>1127</v>
      </c>
      <c r="I365" s="50"/>
      <c r="J365" s="50"/>
      <c r="K365" s="50"/>
      <c r="L365" s="50"/>
      <c r="M365" s="50"/>
      <c r="N365" s="54" t="s">
        <v>43</v>
      </c>
      <c r="O365" s="49">
        <v>1</v>
      </c>
      <c r="P365" s="43">
        <v>18.63</v>
      </c>
      <c r="Q365" s="49">
        <v>1</v>
      </c>
      <c r="R365" s="44">
        <f>P365/O365</f>
        <v>18.63</v>
      </c>
      <c r="S365" s="49">
        <f>Q365*O365</f>
        <v>1</v>
      </c>
      <c r="T365" s="52">
        <f>S365*R365</f>
        <v>18.63</v>
      </c>
      <c r="U365" s="50"/>
      <c r="V365" s="50"/>
      <c r="W365" s="50"/>
      <c r="X365" s="69"/>
      <c r="Y365" s="69"/>
      <c r="Z365" s="69"/>
      <c r="AA365" s="50"/>
      <c r="AB365" s="50"/>
      <c r="AC365" s="50"/>
      <c r="AD365" s="50"/>
      <c r="AE365" s="50"/>
      <c r="AF365" s="50"/>
      <c r="AG365" s="50"/>
      <c r="AH365" s="50"/>
      <c r="AI365" s="50" t="s">
        <v>652</v>
      </c>
      <c r="AJ365" s="50"/>
      <c r="AK365" s="50"/>
      <c r="AL365" s="44"/>
      <c r="AM365" s="45"/>
      <c r="AN365" s="50"/>
      <c r="AO365" s="69"/>
      <c r="AP365" s="69"/>
      <c r="AQ365" s="69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5"/>
      <c r="BD365" s="56"/>
      <c r="BE365" s="61"/>
      <c r="BF365" s="65"/>
      <c r="BG365" s="66"/>
      <c r="BH365" s="66"/>
      <c r="BI365" s="60"/>
      <c r="BJ365" s="60"/>
      <c r="BK365" s="60"/>
      <c r="BL365" s="60"/>
      <c r="BM365" s="60"/>
      <c r="BN365" s="60"/>
      <c r="BO365" s="60"/>
      <c r="BP365" s="60"/>
      <c r="BQ365" s="60" t="str">
        <f>IF(BS365="Original",AI365,AZ365)</f>
        <v>Low Threshold Spend</v>
      </c>
      <c r="BR365" s="60"/>
      <c r="BS365" s="60" t="str">
        <f>IF(AQ365="","Original",IF(AP365&lt;Y365,"Alternate","Original"))</f>
        <v>Original</v>
      </c>
    </row>
    <row r="366" spans="1:71" s="31" customFormat="1" x14ac:dyDescent="0.35">
      <c r="A366" s="53" t="s">
        <v>39</v>
      </c>
      <c r="B366" s="49">
        <v>364</v>
      </c>
      <c r="C366" s="50"/>
      <c r="D366" s="50"/>
      <c r="E366" s="51"/>
      <c r="F366" s="50" t="s">
        <v>40</v>
      </c>
      <c r="G366" s="50" t="s">
        <v>1128</v>
      </c>
      <c r="H366" s="50" t="s">
        <v>1129</v>
      </c>
      <c r="I366" s="50"/>
      <c r="J366" s="50"/>
      <c r="K366" s="50"/>
      <c r="L366" s="50"/>
      <c r="M366" s="50"/>
      <c r="N366" s="54" t="s">
        <v>43</v>
      </c>
      <c r="O366" s="49">
        <v>1</v>
      </c>
      <c r="P366" s="43">
        <v>18.48</v>
      </c>
      <c r="Q366" s="49">
        <v>1</v>
      </c>
      <c r="R366" s="44">
        <f>P366/O366</f>
        <v>18.48</v>
      </c>
      <c r="S366" s="49">
        <f>Q366*O366</f>
        <v>1</v>
      </c>
      <c r="T366" s="52">
        <f>S366*R366</f>
        <v>18.48</v>
      </c>
      <c r="U366" s="50"/>
      <c r="V366" s="50"/>
      <c r="W366" s="50"/>
      <c r="X366" s="69"/>
      <c r="Y366" s="69"/>
      <c r="Z366" s="69"/>
      <c r="AA366" s="50"/>
      <c r="AB366" s="50"/>
      <c r="AC366" s="50"/>
      <c r="AD366" s="50"/>
      <c r="AE366" s="50"/>
      <c r="AF366" s="50"/>
      <c r="AG366" s="50"/>
      <c r="AH366" s="50"/>
      <c r="AI366" s="50" t="s">
        <v>652</v>
      </c>
      <c r="AJ366" s="50"/>
      <c r="AK366" s="50"/>
      <c r="AL366" s="44"/>
      <c r="AM366" s="45"/>
      <c r="AN366" s="50"/>
      <c r="AO366" s="69"/>
      <c r="AP366" s="69"/>
      <c r="AQ366" s="69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5"/>
      <c r="BD366" s="56"/>
      <c r="BE366" s="61"/>
      <c r="BF366" s="65"/>
      <c r="BG366" s="66"/>
      <c r="BH366" s="66"/>
      <c r="BI366" s="60"/>
      <c r="BJ366" s="60"/>
      <c r="BK366" s="60"/>
      <c r="BL366" s="60"/>
      <c r="BM366" s="60"/>
      <c r="BN366" s="60"/>
      <c r="BO366" s="60"/>
      <c r="BP366" s="60"/>
      <c r="BQ366" s="60" t="str">
        <f>IF(BS366="Original",AI366,AZ366)</f>
        <v>Low Threshold Spend</v>
      </c>
      <c r="BR366" s="60"/>
      <c r="BS366" s="60" t="str">
        <f>IF(AQ366="","Original",IF(AP366&lt;Y366,"Alternate","Original"))</f>
        <v>Original</v>
      </c>
    </row>
    <row r="367" spans="1:71" s="31" customFormat="1" x14ac:dyDescent="0.35">
      <c r="A367" s="53" t="s">
        <v>39</v>
      </c>
      <c r="B367" s="49">
        <v>365</v>
      </c>
      <c r="C367" s="50"/>
      <c r="D367" s="50"/>
      <c r="E367" s="51"/>
      <c r="F367" s="50" t="s">
        <v>49</v>
      </c>
      <c r="G367" s="50" t="s">
        <v>1130</v>
      </c>
      <c r="H367" s="50" t="s">
        <v>1131</v>
      </c>
      <c r="I367" s="50"/>
      <c r="J367" s="50"/>
      <c r="K367" s="50"/>
      <c r="L367" s="50"/>
      <c r="M367" s="50"/>
      <c r="N367" s="54" t="s">
        <v>43</v>
      </c>
      <c r="O367" s="49">
        <v>1</v>
      </c>
      <c r="P367" s="43">
        <v>18.39</v>
      </c>
      <c r="Q367" s="49">
        <v>1</v>
      </c>
      <c r="R367" s="44">
        <f>P367/O367</f>
        <v>18.39</v>
      </c>
      <c r="S367" s="49">
        <f>Q367*O367</f>
        <v>1</v>
      </c>
      <c r="T367" s="52">
        <f>S367*R367</f>
        <v>18.39</v>
      </c>
      <c r="U367" s="50"/>
      <c r="V367" s="50"/>
      <c r="W367" s="50"/>
      <c r="X367" s="69"/>
      <c r="Y367" s="69"/>
      <c r="Z367" s="69"/>
      <c r="AA367" s="50"/>
      <c r="AB367" s="50"/>
      <c r="AC367" s="50"/>
      <c r="AD367" s="50"/>
      <c r="AE367" s="50"/>
      <c r="AF367" s="50"/>
      <c r="AG367" s="50"/>
      <c r="AH367" s="50"/>
      <c r="AI367" s="50" t="s">
        <v>652</v>
      </c>
      <c r="AJ367" s="50"/>
      <c r="AK367" s="50"/>
      <c r="AL367" s="44"/>
      <c r="AM367" s="45"/>
      <c r="AN367" s="50"/>
      <c r="AO367" s="69"/>
      <c r="AP367" s="69"/>
      <c r="AQ367" s="69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5"/>
      <c r="BD367" s="56"/>
      <c r="BE367" s="61"/>
      <c r="BF367" s="65"/>
      <c r="BG367" s="66"/>
      <c r="BH367" s="66"/>
      <c r="BI367" s="60"/>
      <c r="BJ367" s="60"/>
      <c r="BK367" s="60"/>
      <c r="BL367" s="60"/>
      <c r="BM367" s="60"/>
      <c r="BN367" s="60"/>
      <c r="BO367" s="60"/>
      <c r="BP367" s="60"/>
      <c r="BQ367" s="60" t="str">
        <f>IF(BS367="Original",AI367,AZ367)</f>
        <v>Low Threshold Spend</v>
      </c>
      <c r="BR367" s="60"/>
      <c r="BS367" s="60" t="str">
        <f>IF(AQ367="","Original",IF(AP367&lt;Y367,"Alternate","Original"))</f>
        <v>Original</v>
      </c>
    </row>
    <row r="368" spans="1:71" s="31" customFormat="1" x14ac:dyDescent="0.35">
      <c r="A368" s="53" t="s">
        <v>39</v>
      </c>
      <c r="B368" s="49">
        <v>366</v>
      </c>
      <c r="C368" s="50"/>
      <c r="D368" s="50"/>
      <c r="E368" s="51"/>
      <c r="F368" s="50" t="s">
        <v>60</v>
      </c>
      <c r="G368" s="50" t="s">
        <v>1132</v>
      </c>
      <c r="H368" s="50" t="s">
        <v>1133</v>
      </c>
      <c r="I368" s="50"/>
      <c r="J368" s="50"/>
      <c r="K368" s="50"/>
      <c r="L368" s="50"/>
      <c r="M368" s="50"/>
      <c r="N368" s="54" t="s">
        <v>43</v>
      </c>
      <c r="O368" s="49">
        <v>1</v>
      </c>
      <c r="P368" s="43">
        <v>18.13</v>
      </c>
      <c r="Q368" s="49">
        <v>1</v>
      </c>
      <c r="R368" s="44">
        <f>P368/O368</f>
        <v>18.13</v>
      </c>
      <c r="S368" s="49">
        <f>Q368*O368</f>
        <v>1</v>
      </c>
      <c r="T368" s="52">
        <f>S368*R368</f>
        <v>18.13</v>
      </c>
      <c r="U368" s="50"/>
      <c r="V368" s="50"/>
      <c r="W368" s="50"/>
      <c r="X368" s="69"/>
      <c r="Y368" s="69"/>
      <c r="Z368" s="69"/>
      <c r="AA368" s="50"/>
      <c r="AB368" s="50"/>
      <c r="AC368" s="50"/>
      <c r="AD368" s="50"/>
      <c r="AE368" s="50"/>
      <c r="AF368" s="50"/>
      <c r="AG368" s="50"/>
      <c r="AH368" s="50"/>
      <c r="AI368" s="50" t="s">
        <v>652</v>
      </c>
      <c r="AJ368" s="50"/>
      <c r="AK368" s="50"/>
      <c r="AL368" s="44"/>
      <c r="AM368" s="45"/>
      <c r="AN368" s="50"/>
      <c r="AO368" s="69"/>
      <c r="AP368" s="69"/>
      <c r="AQ368" s="69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5"/>
      <c r="BD368" s="56"/>
      <c r="BE368" s="61"/>
      <c r="BF368" s="65"/>
      <c r="BG368" s="66"/>
      <c r="BH368" s="66"/>
      <c r="BI368" s="60"/>
      <c r="BJ368" s="60"/>
      <c r="BK368" s="60"/>
      <c r="BL368" s="60"/>
      <c r="BM368" s="60"/>
      <c r="BN368" s="60"/>
      <c r="BO368" s="60"/>
      <c r="BP368" s="60"/>
      <c r="BQ368" s="60" t="str">
        <f>IF(BS368="Original",AI368,AZ368)</f>
        <v>Low Threshold Spend</v>
      </c>
      <c r="BR368" s="60"/>
      <c r="BS368" s="60" t="str">
        <f>IF(AQ368="","Original",IF(AP368&lt;Y368,"Alternate","Original"))</f>
        <v>Original</v>
      </c>
    </row>
    <row r="369" spans="1:71" s="31" customFormat="1" x14ac:dyDescent="0.35">
      <c r="A369" s="53" t="s">
        <v>39</v>
      </c>
      <c r="B369" s="49">
        <v>367</v>
      </c>
      <c r="C369" s="50"/>
      <c r="D369" s="50"/>
      <c r="E369" s="51"/>
      <c r="F369" s="50" t="s">
        <v>40</v>
      </c>
      <c r="G369" s="50" t="s">
        <v>1134</v>
      </c>
      <c r="H369" s="50" t="s">
        <v>1135</v>
      </c>
      <c r="I369" s="50"/>
      <c r="J369" s="50"/>
      <c r="K369" s="50"/>
      <c r="L369" s="50"/>
      <c r="M369" s="50"/>
      <c r="N369" s="54" t="s">
        <v>43</v>
      </c>
      <c r="O369" s="49">
        <v>1</v>
      </c>
      <c r="P369" s="43">
        <v>18.05</v>
      </c>
      <c r="Q369" s="49">
        <v>1</v>
      </c>
      <c r="R369" s="44">
        <f>P369/O369</f>
        <v>18.05</v>
      </c>
      <c r="S369" s="49">
        <f>Q369*O369</f>
        <v>1</v>
      </c>
      <c r="T369" s="52">
        <f>S369*R369</f>
        <v>18.05</v>
      </c>
      <c r="U369" s="50"/>
      <c r="V369" s="50"/>
      <c r="W369" s="50"/>
      <c r="X369" s="69"/>
      <c r="Y369" s="69"/>
      <c r="Z369" s="69"/>
      <c r="AA369" s="50"/>
      <c r="AB369" s="50"/>
      <c r="AC369" s="50"/>
      <c r="AD369" s="50"/>
      <c r="AE369" s="50"/>
      <c r="AF369" s="50"/>
      <c r="AG369" s="50"/>
      <c r="AH369" s="50"/>
      <c r="AI369" s="50" t="s">
        <v>652</v>
      </c>
      <c r="AJ369" s="50"/>
      <c r="AK369" s="50"/>
      <c r="AL369" s="44"/>
      <c r="AM369" s="45"/>
      <c r="AN369" s="50"/>
      <c r="AO369" s="69"/>
      <c r="AP369" s="69"/>
      <c r="AQ369" s="69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5"/>
      <c r="BD369" s="56"/>
      <c r="BE369" s="61"/>
      <c r="BF369" s="65"/>
      <c r="BG369" s="66"/>
      <c r="BH369" s="66"/>
      <c r="BI369" s="60"/>
      <c r="BJ369" s="60"/>
      <c r="BK369" s="60"/>
      <c r="BL369" s="60"/>
      <c r="BM369" s="60"/>
      <c r="BN369" s="60"/>
      <c r="BO369" s="60"/>
      <c r="BP369" s="60"/>
      <c r="BQ369" s="60" t="str">
        <f>IF(BS369="Original",AI369,AZ369)</f>
        <v>Low Threshold Spend</v>
      </c>
      <c r="BR369" s="60"/>
      <c r="BS369" s="60" t="str">
        <f>IF(AQ369="","Original",IF(AP369&lt;Y369,"Alternate","Original"))</f>
        <v>Original</v>
      </c>
    </row>
    <row r="370" spans="1:71" s="31" customFormat="1" x14ac:dyDescent="0.35">
      <c r="A370" s="53" t="s">
        <v>39</v>
      </c>
      <c r="B370" s="49">
        <v>368</v>
      </c>
      <c r="C370" s="50"/>
      <c r="D370" s="50"/>
      <c r="E370" s="51"/>
      <c r="F370" s="50" t="s">
        <v>60</v>
      </c>
      <c r="G370" s="50" t="s">
        <v>1136</v>
      </c>
      <c r="H370" s="50" t="s">
        <v>1137</v>
      </c>
      <c r="I370" s="50"/>
      <c r="J370" s="50"/>
      <c r="K370" s="50"/>
      <c r="L370" s="50"/>
      <c r="M370" s="50"/>
      <c r="N370" s="54" t="s">
        <v>43</v>
      </c>
      <c r="O370" s="49">
        <v>1</v>
      </c>
      <c r="P370" s="43">
        <v>18.03</v>
      </c>
      <c r="Q370" s="49">
        <v>1</v>
      </c>
      <c r="R370" s="44">
        <f>P370/O370</f>
        <v>18.03</v>
      </c>
      <c r="S370" s="49">
        <f>Q370*O370</f>
        <v>1</v>
      </c>
      <c r="T370" s="52">
        <f>S370*R370</f>
        <v>18.03</v>
      </c>
      <c r="U370" s="50"/>
      <c r="V370" s="50"/>
      <c r="W370" s="50"/>
      <c r="X370" s="69"/>
      <c r="Y370" s="69"/>
      <c r="Z370" s="69"/>
      <c r="AA370" s="50"/>
      <c r="AB370" s="50"/>
      <c r="AC370" s="50"/>
      <c r="AD370" s="50"/>
      <c r="AE370" s="50"/>
      <c r="AF370" s="50"/>
      <c r="AG370" s="50"/>
      <c r="AH370" s="50"/>
      <c r="AI370" s="50" t="s">
        <v>652</v>
      </c>
      <c r="AJ370" s="50"/>
      <c r="AK370" s="50"/>
      <c r="AL370" s="44"/>
      <c r="AM370" s="45"/>
      <c r="AN370" s="50"/>
      <c r="AO370" s="69"/>
      <c r="AP370" s="69"/>
      <c r="AQ370" s="69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5"/>
      <c r="BD370" s="56"/>
      <c r="BE370" s="61"/>
      <c r="BF370" s="65"/>
      <c r="BG370" s="66"/>
      <c r="BH370" s="66"/>
      <c r="BI370" s="60"/>
      <c r="BJ370" s="60"/>
      <c r="BK370" s="60"/>
      <c r="BL370" s="60"/>
      <c r="BM370" s="60"/>
      <c r="BN370" s="60"/>
      <c r="BO370" s="60"/>
      <c r="BP370" s="60"/>
      <c r="BQ370" s="60" t="str">
        <f>IF(BS370="Original",AI370,AZ370)</f>
        <v>Low Threshold Spend</v>
      </c>
      <c r="BR370" s="60"/>
      <c r="BS370" s="60" t="str">
        <f>IF(AQ370="","Original",IF(AP370&lt;Y370,"Alternate","Original"))</f>
        <v>Original</v>
      </c>
    </row>
    <row r="371" spans="1:71" s="31" customFormat="1" x14ac:dyDescent="0.35">
      <c r="A371" s="53" t="s">
        <v>39</v>
      </c>
      <c r="B371" s="49">
        <v>369</v>
      </c>
      <c r="C371" s="50"/>
      <c r="D371" s="50"/>
      <c r="E371" s="51"/>
      <c r="F371" s="50" t="s">
        <v>60</v>
      </c>
      <c r="G371" s="50" t="s">
        <v>1138</v>
      </c>
      <c r="H371" s="50" t="s">
        <v>1139</v>
      </c>
      <c r="I371" s="50"/>
      <c r="J371" s="50"/>
      <c r="K371" s="50"/>
      <c r="L371" s="50"/>
      <c r="M371" s="50"/>
      <c r="N371" s="54" t="s">
        <v>43</v>
      </c>
      <c r="O371" s="49">
        <v>1</v>
      </c>
      <c r="P371" s="43">
        <v>18</v>
      </c>
      <c r="Q371" s="49">
        <v>1</v>
      </c>
      <c r="R371" s="44">
        <f>P371/O371</f>
        <v>18</v>
      </c>
      <c r="S371" s="49">
        <f>Q371*O371</f>
        <v>1</v>
      </c>
      <c r="T371" s="52">
        <f>S371*R371</f>
        <v>18</v>
      </c>
      <c r="U371" s="50"/>
      <c r="V371" s="50"/>
      <c r="W371" s="50"/>
      <c r="X371" s="69"/>
      <c r="Y371" s="69"/>
      <c r="Z371" s="69"/>
      <c r="AA371" s="50"/>
      <c r="AB371" s="50"/>
      <c r="AC371" s="50"/>
      <c r="AD371" s="50"/>
      <c r="AE371" s="50"/>
      <c r="AF371" s="50"/>
      <c r="AG371" s="50"/>
      <c r="AH371" s="50"/>
      <c r="AI371" s="50" t="s">
        <v>652</v>
      </c>
      <c r="AJ371" s="50"/>
      <c r="AK371" s="50"/>
      <c r="AL371" s="44"/>
      <c r="AM371" s="45"/>
      <c r="AN371" s="50"/>
      <c r="AO371" s="69"/>
      <c r="AP371" s="69"/>
      <c r="AQ371" s="69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5"/>
      <c r="BD371" s="56"/>
      <c r="BE371" s="61"/>
      <c r="BF371" s="65"/>
      <c r="BG371" s="66"/>
      <c r="BH371" s="66"/>
      <c r="BI371" s="60"/>
      <c r="BJ371" s="60"/>
      <c r="BK371" s="60"/>
      <c r="BL371" s="60"/>
      <c r="BM371" s="60"/>
      <c r="BN371" s="60"/>
      <c r="BO371" s="60"/>
      <c r="BP371" s="60"/>
      <c r="BQ371" s="60" t="str">
        <f>IF(BS371="Original",AI371,AZ371)</f>
        <v>Low Threshold Spend</v>
      </c>
      <c r="BR371" s="60"/>
      <c r="BS371" s="60" t="str">
        <f>IF(AQ371="","Original",IF(AP371&lt;Y371,"Alternate","Original"))</f>
        <v>Original</v>
      </c>
    </row>
    <row r="372" spans="1:71" s="31" customFormat="1" x14ac:dyDescent="0.35">
      <c r="A372" s="53" t="s">
        <v>39</v>
      </c>
      <c r="B372" s="49">
        <v>370</v>
      </c>
      <c r="C372" s="50"/>
      <c r="D372" s="50"/>
      <c r="E372" s="51"/>
      <c r="F372" s="50" t="s">
        <v>40</v>
      </c>
      <c r="G372" s="50" t="s">
        <v>1140</v>
      </c>
      <c r="H372" s="50" t="s">
        <v>1141</v>
      </c>
      <c r="I372" s="50"/>
      <c r="J372" s="50"/>
      <c r="K372" s="50"/>
      <c r="L372" s="50"/>
      <c r="M372" s="50"/>
      <c r="N372" s="54" t="s">
        <v>43</v>
      </c>
      <c r="O372" s="49">
        <v>1</v>
      </c>
      <c r="P372" s="43">
        <v>17.79</v>
      </c>
      <c r="Q372" s="49">
        <v>1</v>
      </c>
      <c r="R372" s="44">
        <f>P372/O372</f>
        <v>17.79</v>
      </c>
      <c r="S372" s="49">
        <f>Q372*O372</f>
        <v>1</v>
      </c>
      <c r="T372" s="52">
        <f>S372*R372</f>
        <v>17.79</v>
      </c>
      <c r="U372" s="50"/>
      <c r="V372" s="50"/>
      <c r="W372" s="50"/>
      <c r="X372" s="69"/>
      <c r="Y372" s="69"/>
      <c r="Z372" s="69"/>
      <c r="AA372" s="50"/>
      <c r="AB372" s="50"/>
      <c r="AC372" s="50"/>
      <c r="AD372" s="50"/>
      <c r="AE372" s="50"/>
      <c r="AF372" s="50"/>
      <c r="AG372" s="50"/>
      <c r="AH372" s="50"/>
      <c r="AI372" s="50" t="s">
        <v>652</v>
      </c>
      <c r="AJ372" s="50"/>
      <c r="AK372" s="50"/>
      <c r="AL372" s="44"/>
      <c r="AM372" s="45"/>
      <c r="AN372" s="50"/>
      <c r="AO372" s="69"/>
      <c r="AP372" s="69"/>
      <c r="AQ372" s="69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5"/>
      <c r="BD372" s="56"/>
      <c r="BE372" s="61"/>
      <c r="BF372" s="65"/>
      <c r="BG372" s="66"/>
      <c r="BH372" s="66"/>
      <c r="BI372" s="60"/>
      <c r="BJ372" s="60"/>
      <c r="BK372" s="60"/>
      <c r="BL372" s="60"/>
      <c r="BM372" s="60"/>
      <c r="BN372" s="60"/>
      <c r="BO372" s="60"/>
      <c r="BP372" s="60"/>
      <c r="BQ372" s="60" t="str">
        <f>IF(BS372="Original",AI372,AZ372)</f>
        <v>Low Threshold Spend</v>
      </c>
      <c r="BR372" s="60"/>
      <c r="BS372" s="60" t="str">
        <f>IF(AQ372="","Original",IF(AP372&lt;Y372,"Alternate","Original"))</f>
        <v>Original</v>
      </c>
    </row>
    <row r="373" spans="1:71" s="31" customFormat="1" x14ac:dyDescent="0.35">
      <c r="A373" s="53" t="s">
        <v>39</v>
      </c>
      <c r="B373" s="49">
        <v>371</v>
      </c>
      <c r="C373" s="50"/>
      <c r="D373" s="50"/>
      <c r="E373" s="51"/>
      <c r="F373" s="50" t="s">
        <v>40</v>
      </c>
      <c r="G373" s="50" t="s">
        <v>1142</v>
      </c>
      <c r="H373" s="50" t="s">
        <v>1143</v>
      </c>
      <c r="I373" s="50"/>
      <c r="J373" s="50"/>
      <c r="K373" s="50"/>
      <c r="L373" s="50"/>
      <c r="M373" s="50"/>
      <c r="N373" s="54" t="s">
        <v>43</v>
      </c>
      <c r="O373" s="49">
        <v>1</v>
      </c>
      <c r="P373" s="43">
        <v>17.68</v>
      </c>
      <c r="Q373" s="49">
        <v>1</v>
      </c>
      <c r="R373" s="44">
        <f>P373/O373</f>
        <v>17.68</v>
      </c>
      <c r="S373" s="49">
        <f>Q373*O373</f>
        <v>1</v>
      </c>
      <c r="T373" s="52">
        <f>S373*R373</f>
        <v>17.68</v>
      </c>
      <c r="U373" s="50"/>
      <c r="V373" s="50"/>
      <c r="W373" s="50"/>
      <c r="X373" s="69"/>
      <c r="Y373" s="69"/>
      <c r="Z373" s="69"/>
      <c r="AA373" s="50"/>
      <c r="AB373" s="50"/>
      <c r="AC373" s="50"/>
      <c r="AD373" s="50"/>
      <c r="AE373" s="50"/>
      <c r="AF373" s="50"/>
      <c r="AG373" s="50"/>
      <c r="AH373" s="50"/>
      <c r="AI373" s="50" t="s">
        <v>652</v>
      </c>
      <c r="AJ373" s="50"/>
      <c r="AK373" s="50"/>
      <c r="AL373" s="44"/>
      <c r="AM373" s="45"/>
      <c r="AN373" s="50"/>
      <c r="AO373" s="69"/>
      <c r="AP373" s="69"/>
      <c r="AQ373" s="69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5"/>
      <c r="BD373" s="56"/>
      <c r="BE373" s="61"/>
      <c r="BF373" s="65"/>
      <c r="BG373" s="66"/>
      <c r="BH373" s="66"/>
      <c r="BI373" s="60"/>
      <c r="BJ373" s="60"/>
      <c r="BK373" s="60"/>
      <c r="BL373" s="60"/>
      <c r="BM373" s="60"/>
      <c r="BN373" s="60"/>
      <c r="BO373" s="60"/>
      <c r="BP373" s="60"/>
      <c r="BQ373" s="60" t="str">
        <f>IF(BS373="Original",AI373,AZ373)</f>
        <v>Low Threshold Spend</v>
      </c>
      <c r="BR373" s="60"/>
      <c r="BS373" s="60" t="str">
        <f>IF(AQ373="","Original",IF(AP373&lt;Y373,"Alternate","Original"))</f>
        <v>Original</v>
      </c>
    </row>
    <row r="374" spans="1:71" s="31" customFormat="1" x14ac:dyDescent="0.35">
      <c r="A374" s="53" t="s">
        <v>39</v>
      </c>
      <c r="B374" s="49">
        <v>372</v>
      </c>
      <c r="C374" s="50"/>
      <c r="D374" s="50"/>
      <c r="E374" s="51"/>
      <c r="F374" s="50" t="s">
        <v>49</v>
      </c>
      <c r="G374" s="50" t="s">
        <v>1144</v>
      </c>
      <c r="H374" s="50" t="s">
        <v>1145</v>
      </c>
      <c r="I374" s="50"/>
      <c r="J374" s="50"/>
      <c r="K374" s="50"/>
      <c r="L374" s="50"/>
      <c r="M374" s="50"/>
      <c r="N374" s="54" t="s">
        <v>43</v>
      </c>
      <c r="O374" s="49">
        <v>1</v>
      </c>
      <c r="P374" s="43">
        <v>17.62</v>
      </c>
      <c r="Q374" s="49">
        <v>1</v>
      </c>
      <c r="R374" s="44">
        <f>P374/O374</f>
        <v>17.62</v>
      </c>
      <c r="S374" s="49">
        <f>Q374*O374</f>
        <v>1</v>
      </c>
      <c r="T374" s="52">
        <f>S374*R374</f>
        <v>17.62</v>
      </c>
      <c r="U374" s="50"/>
      <c r="V374" s="50"/>
      <c r="W374" s="50"/>
      <c r="X374" s="69"/>
      <c r="Y374" s="69"/>
      <c r="Z374" s="69"/>
      <c r="AA374" s="50"/>
      <c r="AB374" s="50"/>
      <c r="AC374" s="50"/>
      <c r="AD374" s="50"/>
      <c r="AE374" s="50"/>
      <c r="AF374" s="50"/>
      <c r="AG374" s="50"/>
      <c r="AH374" s="50"/>
      <c r="AI374" s="50" t="s">
        <v>652</v>
      </c>
      <c r="AJ374" s="50"/>
      <c r="AK374" s="50"/>
      <c r="AL374" s="44"/>
      <c r="AM374" s="45"/>
      <c r="AN374" s="50"/>
      <c r="AO374" s="69"/>
      <c r="AP374" s="69"/>
      <c r="AQ374" s="69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5"/>
      <c r="BD374" s="56"/>
      <c r="BE374" s="61"/>
      <c r="BF374" s="65"/>
      <c r="BG374" s="66"/>
      <c r="BH374" s="66"/>
      <c r="BI374" s="60"/>
      <c r="BJ374" s="60"/>
      <c r="BK374" s="60"/>
      <c r="BL374" s="60"/>
      <c r="BM374" s="60"/>
      <c r="BN374" s="60"/>
      <c r="BO374" s="60"/>
      <c r="BP374" s="60"/>
      <c r="BQ374" s="60" t="str">
        <f>IF(BS374="Original",AI374,AZ374)</f>
        <v>Low Threshold Spend</v>
      </c>
      <c r="BR374" s="60"/>
      <c r="BS374" s="60" t="str">
        <f>IF(AQ374="","Original",IF(AP374&lt;Y374,"Alternate","Original"))</f>
        <v>Original</v>
      </c>
    </row>
    <row r="375" spans="1:71" s="31" customFormat="1" x14ac:dyDescent="0.35">
      <c r="A375" s="53" t="s">
        <v>39</v>
      </c>
      <c r="B375" s="49">
        <v>373</v>
      </c>
      <c r="C375" s="50"/>
      <c r="D375" s="50"/>
      <c r="E375" s="51"/>
      <c r="F375" s="50" t="s">
        <v>49</v>
      </c>
      <c r="G375" s="50" t="s">
        <v>1146</v>
      </c>
      <c r="H375" s="50" t="s">
        <v>1147</v>
      </c>
      <c r="I375" s="50"/>
      <c r="J375" s="50"/>
      <c r="K375" s="50"/>
      <c r="L375" s="50"/>
      <c r="M375" s="50"/>
      <c r="N375" s="54" t="s">
        <v>43</v>
      </c>
      <c r="O375" s="49">
        <v>1</v>
      </c>
      <c r="P375" s="43">
        <v>17.46</v>
      </c>
      <c r="Q375" s="49">
        <v>1</v>
      </c>
      <c r="R375" s="44">
        <f>P375/O375</f>
        <v>17.46</v>
      </c>
      <c r="S375" s="49">
        <f>Q375*O375</f>
        <v>1</v>
      </c>
      <c r="T375" s="52">
        <f>S375*R375</f>
        <v>17.46</v>
      </c>
      <c r="U375" s="50"/>
      <c r="V375" s="50"/>
      <c r="W375" s="50"/>
      <c r="X375" s="69"/>
      <c r="Y375" s="69"/>
      <c r="Z375" s="69"/>
      <c r="AA375" s="50"/>
      <c r="AB375" s="50"/>
      <c r="AC375" s="50"/>
      <c r="AD375" s="50"/>
      <c r="AE375" s="50"/>
      <c r="AF375" s="50"/>
      <c r="AG375" s="50"/>
      <c r="AH375" s="50"/>
      <c r="AI375" s="50" t="s">
        <v>652</v>
      </c>
      <c r="AJ375" s="50"/>
      <c r="AK375" s="50"/>
      <c r="AL375" s="44"/>
      <c r="AM375" s="45"/>
      <c r="AN375" s="50"/>
      <c r="AO375" s="69"/>
      <c r="AP375" s="69"/>
      <c r="AQ375" s="69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5"/>
      <c r="BD375" s="56"/>
      <c r="BE375" s="61"/>
      <c r="BF375" s="65"/>
      <c r="BG375" s="66"/>
      <c r="BH375" s="66"/>
      <c r="BI375" s="60"/>
      <c r="BJ375" s="60"/>
      <c r="BK375" s="60"/>
      <c r="BL375" s="60"/>
      <c r="BM375" s="60"/>
      <c r="BN375" s="60"/>
      <c r="BO375" s="60"/>
      <c r="BP375" s="60"/>
      <c r="BQ375" s="60" t="str">
        <f>IF(BS375="Original",AI375,AZ375)</f>
        <v>Low Threshold Spend</v>
      </c>
      <c r="BR375" s="60"/>
      <c r="BS375" s="60" t="str">
        <f>IF(AQ375="","Original",IF(AP375&lt;Y375,"Alternate","Original"))</f>
        <v>Original</v>
      </c>
    </row>
    <row r="376" spans="1:71" s="31" customFormat="1" x14ac:dyDescent="0.35">
      <c r="A376" s="53" t="s">
        <v>39</v>
      </c>
      <c r="B376" s="49">
        <v>374</v>
      </c>
      <c r="C376" s="50"/>
      <c r="D376" s="50"/>
      <c r="E376" s="51"/>
      <c r="F376" s="50" t="s">
        <v>60</v>
      </c>
      <c r="G376" s="50" t="s">
        <v>1148</v>
      </c>
      <c r="H376" s="50" t="s">
        <v>1149</v>
      </c>
      <c r="I376" s="50"/>
      <c r="J376" s="50"/>
      <c r="K376" s="50"/>
      <c r="L376" s="50"/>
      <c r="M376" s="50"/>
      <c r="N376" s="54" t="s">
        <v>43</v>
      </c>
      <c r="O376" s="49">
        <v>1</v>
      </c>
      <c r="P376" s="43">
        <v>17.38</v>
      </c>
      <c r="Q376" s="49">
        <v>1</v>
      </c>
      <c r="R376" s="44">
        <f>P376/O376</f>
        <v>17.38</v>
      </c>
      <c r="S376" s="49">
        <f>Q376*O376</f>
        <v>1</v>
      </c>
      <c r="T376" s="52">
        <f>S376*R376</f>
        <v>17.38</v>
      </c>
      <c r="U376" s="50"/>
      <c r="V376" s="50"/>
      <c r="W376" s="50"/>
      <c r="X376" s="69"/>
      <c r="Y376" s="69"/>
      <c r="Z376" s="69"/>
      <c r="AA376" s="50"/>
      <c r="AB376" s="50"/>
      <c r="AC376" s="50"/>
      <c r="AD376" s="50"/>
      <c r="AE376" s="50"/>
      <c r="AF376" s="50"/>
      <c r="AG376" s="50"/>
      <c r="AH376" s="50"/>
      <c r="AI376" s="50" t="s">
        <v>652</v>
      </c>
      <c r="AJ376" s="50"/>
      <c r="AK376" s="50"/>
      <c r="AL376" s="44"/>
      <c r="AM376" s="45"/>
      <c r="AN376" s="50"/>
      <c r="AO376" s="69"/>
      <c r="AP376" s="69"/>
      <c r="AQ376" s="69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5"/>
      <c r="BD376" s="56"/>
      <c r="BE376" s="61"/>
      <c r="BF376" s="65"/>
      <c r="BG376" s="66"/>
      <c r="BH376" s="66"/>
      <c r="BI376" s="60"/>
      <c r="BJ376" s="60"/>
      <c r="BK376" s="60"/>
      <c r="BL376" s="60"/>
      <c r="BM376" s="60"/>
      <c r="BN376" s="60"/>
      <c r="BO376" s="60"/>
      <c r="BP376" s="60"/>
      <c r="BQ376" s="60" t="str">
        <f>IF(BS376="Original",AI376,AZ376)</f>
        <v>Low Threshold Spend</v>
      </c>
      <c r="BR376" s="60"/>
      <c r="BS376" s="60" t="str">
        <f>IF(AQ376="","Original",IF(AP376&lt;Y376,"Alternate","Original"))</f>
        <v>Original</v>
      </c>
    </row>
    <row r="377" spans="1:71" s="31" customFormat="1" x14ac:dyDescent="0.35">
      <c r="A377" s="53" t="s">
        <v>39</v>
      </c>
      <c r="B377" s="49">
        <v>375</v>
      </c>
      <c r="C377" s="50"/>
      <c r="D377" s="50"/>
      <c r="E377" s="51"/>
      <c r="F377" s="50" t="s">
        <v>49</v>
      </c>
      <c r="G377" s="50" t="s">
        <v>1150</v>
      </c>
      <c r="H377" s="50" t="s">
        <v>1151</v>
      </c>
      <c r="I377" s="50"/>
      <c r="J377" s="50"/>
      <c r="K377" s="50"/>
      <c r="L377" s="50"/>
      <c r="M377" s="50"/>
      <c r="N377" s="54" t="s">
        <v>43</v>
      </c>
      <c r="O377" s="49">
        <v>1</v>
      </c>
      <c r="P377" s="43">
        <v>17.37</v>
      </c>
      <c r="Q377" s="49">
        <v>1</v>
      </c>
      <c r="R377" s="44">
        <f>P377/O377</f>
        <v>17.37</v>
      </c>
      <c r="S377" s="49">
        <f>Q377*O377</f>
        <v>1</v>
      </c>
      <c r="T377" s="52">
        <f>S377*R377</f>
        <v>17.37</v>
      </c>
      <c r="U377" s="50"/>
      <c r="V377" s="50"/>
      <c r="W377" s="50"/>
      <c r="X377" s="69"/>
      <c r="Y377" s="69"/>
      <c r="Z377" s="69"/>
      <c r="AA377" s="50"/>
      <c r="AB377" s="50"/>
      <c r="AC377" s="50"/>
      <c r="AD377" s="50"/>
      <c r="AE377" s="50"/>
      <c r="AF377" s="50"/>
      <c r="AG377" s="50"/>
      <c r="AH377" s="50"/>
      <c r="AI377" s="50" t="s">
        <v>652</v>
      </c>
      <c r="AJ377" s="50"/>
      <c r="AK377" s="50"/>
      <c r="AL377" s="44"/>
      <c r="AM377" s="45"/>
      <c r="AN377" s="50"/>
      <c r="AO377" s="69"/>
      <c r="AP377" s="69"/>
      <c r="AQ377" s="69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5"/>
      <c r="BD377" s="56"/>
      <c r="BE377" s="61"/>
      <c r="BF377" s="65"/>
      <c r="BG377" s="66"/>
      <c r="BH377" s="66"/>
      <c r="BI377" s="60"/>
      <c r="BJ377" s="60"/>
      <c r="BK377" s="60"/>
      <c r="BL377" s="60"/>
      <c r="BM377" s="60"/>
      <c r="BN377" s="60"/>
      <c r="BO377" s="60"/>
      <c r="BP377" s="60"/>
      <c r="BQ377" s="60" t="str">
        <f>IF(BS377="Original",AI377,AZ377)</f>
        <v>Low Threshold Spend</v>
      </c>
      <c r="BR377" s="60"/>
      <c r="BS377" s="60" t="str">
        <f>IF(AQ377="","Original",IF(AP377&lt;Y377,"Alternate","Original"))</f>
        <v>Original</v>
      </c>
    </row>
    <row r="378" spans="1:71" s="31" customFormat="1" x14ac:dyDescent="0.35">
      <c r="A378" s="53" t="s">
        <v>39</v>
      </c>
      <c r="B378" s="49">
        <v>376</v>
      </c>
      <c r="C378" s="50"/>
      <c r="D378" s="50"/>
      <c r="E378" s="51"/>
      <c r="F378" s="50" t="s">
        <v>60</v>
      </c>
      <c r="G378" s="50" t="s">
        <v>1152</v>
      </c>
      <c r="H378" s="50" t="s">
        <v>1153</v>
      </c>
      <c r="I378" s="50"/>
      <c r="J378" s="50"/>
      <c r="K378" s="50"/>
      <c r="L378" s="50"/>
      <c r="M378" s="50"/>
      <c r="N378" s="54" t="s">
        <v>43</v>
      </c>
      <c r="O378" s="49">
        <v>1</v>
      </c>
      <c r="P378" s="43">
        <v>17.260000000000002</v>
      </c>
      <c r="Q378" s="49">
        <v>1</v>
      </c>
      <c r="R378" s="44">
        <f>P378/O378</f>
        <v>17.260000000000002</v>
      </c>
      <c r="S378" s="49">
        <f>Q378*O378</f>
        <v>1</v>
      </c>
      <c r="T378" s="52">
        <f>S378*R378</f>
        <v>17.260000000000002</v>
      </c>
      <c r="U378" s="50"/>
      <c r="V378" s="50"/>
      <c r="W378" s="50"/>
      <c r="X378" s="69"/>
      <c r="Y378" s="69"/>
      <c r="Z378" s="69"/>
      <c r="AA378" s="50"/>
      <c r="AB378" s="50"/>
      <c r="AC378" s="50"/>
      <c r="AD378" s="50"/>
      <c r="AE378" s="50"/>
      <c r="AF378" s="50"/>
      <c r="AG378" s="50"/>
      <c r="AH378" s="50"/>
      <c r="AI378" s="50" t="s">
        <v>652</v>
      </c>
      <c r="AJ378" s="50"/>
      <c r="AK378" s="50"/>
      <c r="AL378" s="44"/>
      <c r="AM378" s="45"/>
      <c r="AN378" s="50"/>
      <c r="AO378" s="69"/>
      <c r="AP378" s="69"/>
      <c r="AQ378" s="69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5"/>
      <c r="BD378" s="56"/>
      <c r="BE378" s="61"/>
      <c r="BF378" s="65"/>
      <c r="BG378" s="66"/>
      <c r="BH378" s="66"/>
      <c r="BI378" s="60"/>
      <c r="BJ378" s="60"/>
      <c r="BK378" s="60"/>
      <c r="BL378" s="60"/>
      <c r="BM378" s="60"/>
      <c r="BN378" s="60"/>
      <c r="BO378" s="60"/>
      <c r="BP378" s="60"/>
      <c r="BQ378" s="60" t="str">
        <f>IF(BS378="Original",AI378,AZ378)</f>
        <v>Low Threshold Spend</v>
      </c>
      <c r="BR378" s="60"/>
      <c r="BS378" s="60" t="str">
        <f>IF(AQ378="","Original",IF(AP378&lt;Y378,"Alternate","Original"))</f>
        <v>Original</v>
      </c>
    </row>
    <row r="379" spans="1:71" s="31" customFormat="1" x14ac:dyDescent="0.35">
      <c r="A379" s="53" t="s">
        <v>39</v>
      </c>
      <c r="B379" s="49">
        <v>377</v>
      </c>
      <c r="C379" s="50"/>
      <c r="D379" s="50"/>
      <c r="E379" s="51"/>
      <c r="F379" s="50" t="s">
        <v>49</v>
      </c>
      <c r="G379" s="50" t="s">
        <v>1154</v>
      </c>
      <c r="H379" s="50" t="s">
        <v>1155</v>
      </c>
      <c r="I379" s="50"/>
      <c r="J379" s="50"/>
      <c r="K379" s="50"/>
      <c r="L379" s="50"/>
      <c r="M379" s="50"/>
      <c r="N379" s="54" t="s">
        <v>43</v>
      </c>
      <c r="O379" s="49">
        <v>1</v>
      </c>
      <c r="P379" s="43">
        <v>17.09</v>
      </c>
      <c r="Q379" s="49">
        <v>1</v>
      </c>
      <c r="R379" s="44">
        <f>P379/O379</f>
        <v>17.09</v>
      </c>
      <c r="S379" s="49">
        <f>Q379*O379</f>
        <v>1</v>
      </c>
      <c r="T379" s="52">
        <f>S379*R379</f>
        <v>17.09</v>
      </c>
      <c r="U379" s="50"/>
      <c r="V379" s="50"/>
      <c r="W379" s="50"/>
      <c r="X379" s="69"/>
      <c r="Y379" s="69"/>
      <c r="Z379" s="69"/>
      <c r="AA379" s="50"/>
      <c r="AB379" s="50"/>
      <c r="AC379" s="50"/>
      <c r="AD379" s="50"/>
      <c r="AE379" s="50"/>
      <c r="AF379" s="50"/>
      <c r="AG379" s="50"/>
      <c r="AH379" s="50"/>
      <c r="AI379" s="50" t="s">
        <v>652</v>
      </c>
      <c r="AJ379" s="50"/>
      <c r="AK379" s="50"/>
      <c r="AL379" s="44"/>
      <c r="AM379" s="45"/>
      <c r="AN379" s="50"/>
      <c r="AO379" s="69"/>
      <c r="AP379" s="69"/>
      <c r="AQ379" s="69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5"/>
      <c r="BD379" s="56"/>
      <c r="BE379" s="61"/>
      <c r="BF379" s="65"/>
      <c r="BG379" s="66"/>
      <c r="BH379" s="66"/>
      <c r="BI379" s="60"/>
      <c r="BJ379" s="60"/>
      <c r="BK379" s="60"/>
      <c r="BL379" s="60"/>
      <c r="BM379" s="60"/>
      <c r="BN379" s="60"/>
      <c r="BO379" s="60"/>
      <c r="BP379" s="60"/>
      <c r="BQ379" s="60" t="str">
        <f>IF(BS379="Original",AI379,AZ379)</f>
        <v>Low Threshold Spend</v>
      </c>
      <c r="BR379" s="60"/>
      <c r="BS379" s="60" t="str">
        <f>IF(AQ379="","Original",IF(AP379&lt;Y379,"Alternate","Original"))</f>
        <v>Original</v>
      </c>
    </row>
    <row r="380" spans="1:71" s="31" customFormat="1" x14ac:dyDescent="0.35">
      <c r="A380" s="53" t="s">
        <v>39</v>
      </c>
      <c r="B380" s="49">
        <v>378</v>
      </c>
      <c r="C380" s="50"/>
      <c r="D380" s="50"/>
      <c r="E380" s="51"/>
      <c r="F380" s="50" t="s">
        <v>60</v>
      </c>
      <c r="G380" s="50" t="s">
        <v>1156</v>
      </c>
      <c r="H380" s="50" t="s">
        <v>1157</v>
      </c>
      <c r="I380" s="50"/>
      <c r="J380" s="50"/>
      <c r="K380" s="50"/>
      <c r="L380" s="50"/>
      <c r="M380" s="50"/>
      <c r="N380" s="54" t="s">
        <v>43</v>
      </c>
      <c r="O380" s="49">
        <v>1</v>
      </c>
      <c r="P380" s="43">
        <v>17.010000000000002</v>
      </c>
      <c r="Q380" s="49">
        <v>1</v>
      </c>
      <c r="R380" s="44">
        <f>P380/O380</f>
        <v>17.010000000000002</v>
      </c>
      <c r="S380" s="49">
        <f>Q380*O380</f>
        <v>1</v>
      </c>
      <c r="T380" s="52">
        <f>S380*R380</f>
        <v>17.010000000000002</v>
      </c>
      <c r="U380" s="50"/>
      <c r="V380" s="50"/>
      <c r="W380" s="50"/>
      <c r="X380" s="69"/>
      <c r="Y380" s="69"/>
      <c r="Z380" s="69"/>
      <c r="AA380" s="50"/>
      <c r="AB380" s="50"/>
      <c r="AC380" s="50"/>
      <c r="AD380" s="50"/>
      <c r="AE380" s="50"/>
      <c r="AF380" s="50"/>
      <c r="AG380" s="50"/>
      <c r="AH380" s="50"/>
      <c r="AI380" s="50" t="s">
        <v>652</v>
      </c>
      <c r="AJ380" s="50"/>
      <c r="AK380" s="50"/>
      <c r="AL380" s="44"/>
      <c r="AM380" s="45"/>
      <c r="AN380" s="50"/>
      <c r="AO380" s="69"/>
      <c r="AP380" s="69"/>
      <c r="AQ380" s="69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5"/>
      <c r="BD380" s="56"/>
      <c r="BE380" s="61"/>
      <c r="BF380" s="65"/>
      <c r="BG380" s="66"/>
      <c r="BH380" s="66"/>
      <c r="BI380" s="60"/>
      <c r="BJ380" s="60"/>
      <c r="BK380" s="60"/>
      <c r="BL380" s="60"/>
      <c r="BM380" s="60"/>
      <c r="BN380" s="60"/>
      <c r="BO380" s="60"/>
      <c r="BP380" s="60"/>
      <c r="BQ380" s="60" t="str">
        <f>IF(BS380="Original",AI380,AZ380)</f>
        <v>Low Threshold Spend</v>
      </c>
      <c r="BR380" s="60"/>
      <c r="BS380" s="60" t="str">
        <f>IF(AQ380="","Original",IF(AP380&lt;Y380,"Alternate","Original"))</f>
        <v>Original</v>
      </c>
    </row>
    <row r="381" spans="1:71" s="31" customFormat="1" x14ac:dyDescent="0.35">
      <c r="A381" s="53" t="s">
        <v>39</v>
      </c>
      <c r="B381" s="49">
        <v>379</v>
      </c>
      <c r="C381" s="50"/>
      <c r="D381" s="50"/>
      <c r="E381" s="51"/>
      <c r="F381" s="50" t="s">
        <v>60</v>
      </c>
      <c r="G381" s="50" t="s">
        <v>1158</v>
      </c>
      <c r="H381" s="50" t="s">
        <v>1159</v>
      </c>
      <c r="I381" s="50"/>
      <c r="J381" s="50"/>
      <c r="K381" s="50"/>
      <c r="L381" s="50"/>
      <c r="M381" s="50"/>
      <c r="N381" s="54" t="s">
        <v>43</v>
      </c>
      <c r="O381" s="49">
        <v>1</v>
      </c>
      <c r="P381" s="43">
        <v>16.87</v>
      </c>
      <c r="Q381" s="49">
        <v>1</v>
      </c>
      <c r="R381" s="44">
        <f>P381/O381</f>
        <v>16.87</v>
      </c>
      <c r="S381" s="49">
        <f>Q381*O381</f>
        <v>1</v>
      </c>
      <c r="T381" s="52">
        <f>S381*R381</f>
        <v>16.87</v>
      </c>
      <c r="U381" s="50"/>
      <c r="V381" s="50"/>
      <c r="W381" s="50"/>
      <c r="X381" s="69"/>
      <c r="Y381" s="69"/>
      <c r="Z381" s="69"/>
      <c r="AA381" s="50"/>
      <c r="AB381" s="50"/>
      <c r="AC381" s="50"/>
      <c r="AD381" s="50"/>
      <c r="AE381" s="50"/>
      <c r="AF381" s="50"/>
      <c r="AG381" s="50"/>
      <c r="AH381" s="50"/>
      <c r="AI381" s="50" t="s">
        <v>652</v>
      </c>
      <c r="AJ381" s="50"/>
      <c r="AK381" s="50"/>
      <c r="AL381" s="44"/>
      <c r="AM381" s="45"/>
      <c r="AN381" s="50"/>
      <c r="AO381" s="69"/>
      <c r="AP381" s="69"/>
      <c r="AQ381" s="69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5"/>
      <c r="BD381" s="56"/>
      <c r="BE381" s="61"/>
      <c r="BF381" s="65"/>
      <c r="BG381" s="66"/>
      <c r="BH381" s="66"/>
      <c r="BI381" s="60"/>
      <c r="BJ381" s="60"/>
      <c r="BK381" s="60"/>
      <c r="BL381" s="60"/>
      <c r="BM381" s="60"/>
      <c r="BN381" s="60"/>
      <c r="BO381" s="60"/>
      <c r="BP381" s="60"/>
      <c r="BQ381" s="60" t="str">
        <f>IF(BS381="Original",AI381,AZ381)</f>
        <v>Low Threshold Spend</v>
      </c>
      <c r="BR381" s="60"/>
      <c r="BS381" s="60" t="str">
        <f>IF(AQ381="","Original",IF(AP381&lt;Y381,"Alternate","Original"))</f>
        <v>Original</v>
      </c>
    </row>
    <row r="382" spans="1:71" s="31" customFormat="1" x14ac:dyDescent="0.35">
      <c r="A382" s="53" t="s">
        <v>39</v>
      </c>
      <c r="B382" s="49">
        <v>380</v>
      </c>
      <c r="C382" s="50"/>
      <c r="D382" s="50"/>
      <c r="E382" s="51"/>
      <c r="F382" s="50" t="s">
        <v>60</v>
      </c>
      <c r="G382" s="50" t="s">
        <v>1160</v>
      </c>
      <c r="H382" s="50" t="s">
        <v>1161</v>
      </c>
      <c r="I382" s="50"/>
      <c r="J382" s="50"/>
      <c r="K382" s="50"/>
      <c r="L382" s="50"/>
      <c r="M382" s="50"/>
      <c r="N382" s="54" t="s">
        <v>43</v>
      </c>
      <c r="O382" s="49">
        <v>1</v>
      </c>
      <c r="P382" s="43">
        <v>16.59</v>
      </c>
      <c r="Q382" s="49">
        <v>1</v>
      </c>
      <c r="R382" s="44">
        <f>P382/O382</f>
        <v>16.59</v>
      </c>
      <c r="S382" s="49">
        <f>Q382*O382</f>
        <v>1</v>
      </c>
      <c r="T382" s="52">
        <f>S382*R382</f>
        <v>16.59</v>
      </c>
      <c r="U382" s="50"/>
      <c r="V382" s="50"/>
      <c r="W382" s="50"/>
      <c r="X382" s="69"/>
      <c r="Y382" s="69"/>
      <c r="Z382" s="69"/>
      <c r="AA382" s="50"/>
      <c r="AB382" s="50"/>
      <c r="AC382" s="50"/>
      <c r="AD382" s="50"/>
      <c r="AE382" s="50"/>
      <c r="AF382" s="50"/>
      <c r="AG382" s="50"/>
      <c r="AH382" s="50"/>
      <c r="AI382" s="50" t="s">
        <v>652</v>
      </c>
      <c r="AJ382" s="50"/>
      <c r="AK382" s="50"/>
      <c r="AL382" s="44"/>
      <c r="AM382" s="45"/>
      <c r="AN382" s="50"/>
      <c r="AO382" s="69"/>
      <c r="AP382" s="69"/>
      <c r="AQ382" s="69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5"/>
      <c r="BD382" s="56"/>
      <c r="BE382" s="61"/>
      <c r="BF382" s="65"/>
      <c r="BG382" s="66"/>
      <c r="BH382" s="66"/>
      <c r="BI382" s="60"/>
      <c r="BJ382" s="60"/>
      <c r="BK382" s="60"/>
      <c r="BL382" s="60"/>
      <c r="BM382" s="60"/>
      <c r="BN382" s="60"/>
      <c r="BO382" s="60"/>
      <c r="BP382" s="60"/>
      <c r="BQ382" s="60" t="str">
        <f>IF(BS382="Original",AI382,AZ382)</f>
        <v>Low Threshold Spend</v>
      </c>
      <c r="BR382" s="60"/>
      <c r="BS382" s="60" t="str">
        <f>IF(AQ382="","Original",IF(AP382&lt;Y382,"Alternate","Original"))</f>
        <v>Original</v>
      </c>
    </row>
    <row r="383" spans="1:71" s="31" customFormat="1" x14ac:dyDescent="0.35">
      <c r="A383" s="53" t="s">
        <v>39</v>
      </c>
      <c r="B383" s="49">
        <v>381</v>
      </c>
      <c r="C383" s="50"/>
      <c r="D383" s="50"/>
      <c r="E383" s="51"/>
      <c r="F383" s="50" t="s">
        <v>40</v>
      </c>
      <c r="G383" s="50" t="s">
        <v>1162</v>
      </c>
      <c r="H383" s="50" t="s">
        <v>1163</v>
      </c>
      <c r="I383" s="50"/>
      <c r="J383" s="50"/>
      <c r="K383" s="50"/>
      <c r="L383" s="50"/>
      <c r="M383" s="50"/>
      <c r="N383" s="54" t="s">
        <v>43</v>
      </c>
      <c r="O383" s="49">
        <v>1</v>
      </c>
      <c r="P383" s="43">
        <v>16.5</v>
      </c>
      <c r="Q383" s="49">
        <v>1</v>
      </c>
      <c r="R383" s="44">
        <f>P383/O383</f>
        <v>16.5</v>
      </c>
      <c r="S383" s="49">
        <f>Q383*O383</f>
        <v>1</v>
      </c>
      <c r="T383" s="52">
        <f>S383*R383</f>
        <v>16.5</v>
      </c>
      <c r="U383" s="50"/>
      <c r="V383" s="50"/>
      <c r="W383" s="50"/>
      <c r="X383" s="69"/>
      <c r="Y383" s="69"/>
      <c r="Z383" s="69"/>
      <c r="AA383" s="50"/>
      <c r="AB383" s="50"/>
      <c r="AC383" s="50"/>
      <c r="AD383" s="50"/>
      <c r="AE383" s="50"/>
      <c r="AF383" s="50"/>
      <c r="AG383" s="50"/>
      <c r="AH383" s="50"/>
      <c r="AI383" s="50" t="s">
        <v>652</v>
      </c>
      <c r="AJ383" s="50"/>
      <c r="AK383" s="50"/>
      <c r="AL383" s="44"/>
      <c r="AM383" s="45"/>
      <c r="AN383" s="50"/>
      <c r="AO383" s="69"/>
      <c r="AP383" s="69"/>
      <c r="AQ383" s="69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5"/>
      <c r="BD383" s="56"/>
      <c r="BE383" s="61"/>
      <c r="BF383" s="65"/>
      <c r="BG383" s="66"/>
      <c r="BH383" s="66"/>
      <c r="BI383" s="60"/>
      <c r="BJ383" s="60"/>
      <c r="BK383" s="60"/>
      <c r="BL383" s="60"/>
      <c r="BM383" s="60"/>
      <c r="BN383" s="60"/>
      <c r="BO383" s="60"/>
      <c r="BP383" s="60"/>
      <c r="BQ383" s="60" t="str">
        <f>IF(BS383="Original",AI383,AZ383)</f>
        <v>Low Threshold Spend</v>
      </c>
      <c r="BR383" s="60"/>
      <c r="BS383" s="60" t="str">
        <f>IF(AQ383="","Original",IF(AP383&lt;Y383,"Alternate","Original"))</f>
        <v>Original</v>
      </c>
    </row>
    <row r="384" spans="1:71" s="31" customFormat="1" x14ac:dyDescent="0.35">
      <c r="A384" s="53" t="s">
        <v>39</v>
      </c>
      <c r="B384" s="49">
        <v>382</v>
      </c>
      <c r="C384" s="50"/>
      <c r="D384" s="50"/>
      <c r="E384" s="51"/>
      <c r="F384" s="50" t="s">
        <v>60</v>
      </c>
      <c r="G384" s="50" t="s">
        <v>1164</v>
      </c>
      <c r="H384" s="50" t="s">
        <v>1165</v>
      </c>
      <c r="I384" s="50"/>
      <c r="J384" s="50"/>
      <c r="K384" s="50"/>
      <c r="L384" s="50"/>
      <c r="M384" s="50"/>
      <c r="N384" s="54" t="s">
        <v>43</v>
      </c>
      <c r="O384" s="49">
        <v>1</v>
      </c>
      <c r="P384" s="43">
        <v>16.47</v>
      </c>
      <c r="Q384" s="49">
        <v>1</v>
      </c>
      <c r="R384" s="44">
        <f>P384/O384</f>
        <v>16.47</v>
      </c>
      <c r="S384" s="49">
        <f>Q384*O384</f>
        <v>1</v>
      </c>
      <c r="T384" s="52">
        <f>S384*R384</f>
        <v>16.47</v>
      </c>
      <c r="U384" s="50"/>
      <c r="V384" s="50"/>
      <c r="W384" s="50"/>
      <c r="X384" s="69"/>
      <c r="Y384" s="69"/>
      <c r="Z384" s="69"/>
      <c r="AA384" s="50"/>
      <c r="AB384" s="50"/>
      <c r="AC384" s="50"/>
      <c r="AD384" s="50"/>
      <c r="AE384" s="50"/>
      <c r="AF384" s="50"/>
      <c r="AG384" s="50"/>
      <c r="AH384" s="50"/>
      <c r="AI384" s="50" t="s">
        <v>652</v>
      </c>
      <c r="AJ384" s="50"/>
      <c r="AK384" s="50"/>
      <c r="AL384" s="44"/>
      <c r="AM384" s="45"/>
      <c r="AN384" s="50"/>
      <c r="AO384" s="69"/>
      <c r="AP384" s="69"/>
      <c r="AQ384" s="69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5"/>
      <c r="BD384" s="56"/>
      <c r="BE384" s="61"/>
      <c r="BF384" s="65"/>
      <c r="BG384" s="66"/>
      <c r="BH384" s="66"/>
      <c r="BI384" s="60"/>
      <c r="BJ384" s="60"/>
      <c r="BK384" s="60"/>
      <c r="BL384" s="60"/>
      <c r="BM384" s="60"/>
      <c r="BN384" s="60"/>
      <c r="BO384" s="60"/>
      <c r="BP384" s="60"/>
      <c r="BQ384" s="60" t="str">
        <f>IF(BS384="Original",AI384,AZ384)</f>
        <v>Low Threshold Spend</v>
      </c>
      <c r="BR384" s="60"/>
      <c r="BS384" s="60" t="str">
        <f>IF(AQ384="","Original",IF(AP384&lt;Y384,"Alternate","Original"))</f>
        <v>Original</v>
      </c>
    </row>
    <row r="385" spans="1:71" s="31" customFormat="1" x14ac:dyDescent="0.35">
      <c r="A385" s="53" t="s">
        <v>39</v>
      </c>
      <c r="B385" s="49">
        <v>383</v>
      </c>
      <c r="C385" s="50"/>
      <c r="D385" s="50"/>
      <c r="E385" s="51"/>
      <c r="F385" s="50" t="s">
        <v>60</v>
      </c>
      <c r="G385" s="50" t="s">
        <v>1166</v>
      </c>
      <c r="H385" s="50" t="s">
        <v>1167</v>
      </c>
      <c r="I385" s="50"/>
      <c r="J385" s="50"/>
      <c r="K385" s="50"/>
      <c r="L385" s="50"/>
      <c r="M385" s="50"/>
      <c r="N385" s="54" t="s">
        <v>43</v>
      </c>
      <c r="O385" s="49">
        <v>1</v>
      </c>
      <c r="P385" s="43">
        <v>16.38</v>
      </c>
      <c r="Q385" s="49">
        <v>1</v>
      </c>
      <c r="R385" s="44">
        <f>P385/O385</f>
        <v>16.38</v>
      </c>
      <c r="S385" s="49">
        <f>Q385*O385</f>
        <v>1</v>
      </c>
      <c r="T385" s="52">
        <f>S385*R385</f>
        <v>16.38</v>
      </c>
      <c r="U385" s="50"/>
      <c r="V385" s="50"/>
      <c r="W385" s="50"/>
      <c r="X385" s="69"/>
      <c r="Y385" s="69"/>
      <c r="Z385" s="69"/>
      <c r="AA385" s="50"/>
      <c r="AB385" s="50"/>
      <c r="AC385" s="50"/>
      <c r="AD385" s="50"/>
      <c r="AE385" s="50"/>
      <c r="AF385" s="50"/>
      <c r="AG385" s="50"/>
      <c r="AH385" s="50"/>
      <c r="AI385" s="50" t="s">
        <v>652</v>
      </c>
      <c r="AJ385" s="50"/>
      <c r="AK385" s="50"/>
      <c r="AL385" s="44"/>
      <c r="AM385" s="45"/>
      <c r="AN385" s="50"/>
      <c r="AO385" s="69"/>
      <c r="AP385" s="69"/>
      <c r="AQ385" s="69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5"/>
      <c r="BD385" s="56"/>
      <c r="BE385" s="61"/>
      <c r="BF385" s="65"/>
      <c r="BG385" s="66"/>
      <c r="BH385" s="66"/>
      <c r="BI385" s="60"/>
      <c r="BJ385" s="60"/>
      <c r="BK385" s="60"/>
      <c r="BL385" s="60"/>
      <c r="BM385" s="60"/>
      <c r="BN385" s="60"/>
      <c r="BO385" s="60"/>
      <c r="BP385" s="60"/>
      <c r="BQ385" s="60" t="str">
        <f>IF(BS385="Original",AI385,AZ385)</f>
        <v>Low Threshold Spend</v>
      </c>
      <c r="BR385" s="60"/>
      <c r="BS385" s="60" t="str">
        <f>IF(AQ385="","Original",IF(AP385&lt;Y385,"Alternate","Original"))</f>
        <v>Original</v>
      </c>
    </row>
    <row r="386" spans="1:71" s="31" customFormat="1" x14ac:dyDescent="0.35">
      <c r="A386" s="53" t="s">
        <v>39</v>
      </c>
      <c r="B386" s="49">
        <v>384</v>
      </c>
      <c r="C386" s="50"/>
      <c r="D386" s="50"/>
      <c r="E386" s="51"/>
      <c r="F386" s="50" t="s">
        <v>60</v>
      </c>
      <c r="G386" s="50" t="s">
        <v>1168</v>
      </c>
      <c r="H386" s="50" t="s">
        <v>1169</v>
      </c>
      <c r="I386" s="50"/>
      <c r="J386" s="50"/>
      <c r="K386" s="50"/>
      <c r="L386" s="50"/>
      <c r="M386" s="50"/>
      <c r="N386" s="54" t="s">
        <v>43</v>
      </c>
      <c r="O386" s="49">
        <v>1</v>
      </c>
      <c r="P386" s="43">
        <v>16.38</v>
      </c>
      <c r="Q386" s="49">
        <v>1</v>
      </c>
      <c r="R386" s="44">
        <f>P386/O386</f>
        <v>16.38</v>
      </c>
      <c r="S386" s="49">
        <f>Q386*O386</f>
        <v>1</v>
      </c>
      <c r="T386" s="52">
        <f>S386*R386</f>
        <v>16.38</v>
      </c>
      <c r="U386" s="50"/>
      <c r="V386" s="50"/>
      <c r="W386" s="50"/>
      <c r="X386" s="69"/>
      <c r="Y386" s="69"/>
      <c r="Z386" s="69"/>
      <c r="AA386" s="50"/>
      <c r="AB386" s="50"/>
      <c r="AC386" s="50"/>
      <c r="AD386" s="50"/>
      <c r="AE386" s="50"/>
      <c r="AF386" s="50"/>
      <c r="AG386" s="50"/>
      <c r="AH386" s="50"/>
      <c r="AI386" s="50" t="s">
        <v>652</v>
      </c>
      <c r="AJ386" s="50"/>
      <c r="AK386" s="50"/>
      <c r="AL386" s="44"/>
      <c r="AM386" s="45"/>
      <c r="AN386" s="50"/>
      <c r="AO386" s="69"/>
      <c r="AP386" s="69"/>
      <c r="AQ386" s="69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5"/>
      <c r="BD386" s="56"/>
      <c r="BE386" s="61"/>
      <c r="BF386" s="65"/>
      <c r="BG386" s="66"/>
      <c r="BH386" s="66"/>
      <c r="BI386" s="60"/>
      <c r="BJ386" s="60"/>
      <c r="BK386" s="60"/>
      <c r="BL386" s="60"/>
      <c r="BM386" s="60"/>
      <c r="BN386" s="60"/>
      <c r="BO386" s="60"/>
      <c r="BP386" s="60"/>
      <c r="BQ386" s="60" t="str">
        <f>IF(BS386="Original",AI386,AZ386)</f>
        <v>Low Threshold Spend</v>
      </c>
      <c r="BR386" s="60"/>
      <c r="BS386" s="60" t="str">
        <f>IF(AQ386="","Original",IF(AP386&lt;Y386,"Alternate","Original"))</f>
        <v>Original</v>
      </c>
    </row>
    <row r="387" spans="1:71" s="31" customFormat="1" x14ac:dyDescent="0.35">
      <c r="A387" s="53" t="s">
        <v>39</v>
      </c>
      <c r="B387" s="49">
        <v>385</v>
      </c>
      <c r="C387" s="50"/>
      <c r="D387" s="50"/>
      <c r="E387" s="51"/>
      <c r="F387" s="50" t="s">
        <v>60</v>
      </c>
      <c r="G387" s="50" t="s">
        <v>1170</v>
      </c>
      <c r="H387" s="50" t="s">
        <v>1171</v>
      </c>
      <c r="I387" s="50"/>
      <c r="J387" s="50"/>
      <c r="K387" s="50"/>
      <c r="L387" s="50"/>
      <c r="M387" s="50"/>
      <c r="N387" s="54" t="s">
        <v>43</v>
      </c>
      <c r="O387" s="49">
        <v>1</v>
      </c>
      <c r="P387" s="43">
        <v>16.39</v>
      </c>
      <c r="Q387" s="49">
        <v>1</v>
      </c>
      <c r="R387" s="44">
        <f>P387/O387</f>
        <v>16.39</v>
      </c>
      <c r="S387" s="49">
        <f>Q387*O387</f>
        <v>1</v>
      </c>
      <c r="T387" s="52">
        <f>S387*R387</f>
        <v>16.39</v>
      </c>
      <c r="U387" s="50"/>
      <c r="V387" s="50"/>
      <c r="W387" s="50"/>
      <c r="X387" s="69"/>
      <c r="Y387" s="69"/>
      <c r="Z387" s="69"/>
      <c r="AA387" s="50"/>
      <c r="AB387" s="50"/>
      <c r="AC387" s="50"/>
      <c r="AD387" s="50"/>
      <c r="AE387" s="50"/>
      <c r="AF387" s="50"/>
      <c r="AG387" s="50"/>
      <c r="AH387" s="50"/>
      <c r="AI387" s="50" t="s">
        <v>652</v>
      </c>
      <c r="AJ387" s="50"/>
      <c r="AK387" s="50"/>
      <c r="AL387" s="44"/>
      <c r="AM387" s="45"/>
      <c r="AN387" s="50"/>
      <c r="AO387" s="69"/>
      <c r="AP387" s="69"/>
      <c r="AQ387" s="69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5"/>
      <c r="BD387" s="56"/>
      <c r="BE387" s="61"/>
      <c r="BF387" s="65"/>
      <c r="BG387" s="66"/>
      <c r="BH387" s="66"/>
      <c r="BI387" s="60"/>
      <c r="BJ387" s="60"/>
      <c r="BK387" s="60"/>
      <c r="BL387" s="60"/>
      <c r="BM387" s="60"/>
      <c r="BN387" s="60"/>
      <c r="BO387" s="60"/>
      <c r="BP387" s="60"/>
      <c r="BQ387" s="60" t="str">
        <f>IF(BS387="Original",AI387,AZ387)</f>
        <v>Low Threshold Spend</v>
      </c>
      <c r="BR387" s="60"/>
      <c r="BS387" s="60" t="str">
        <f>IF(AQ387="","Original",IF(AP387&lt;Y387,"Alternate","Original"))</f>
        <v>Original</v>
      </c>
    </row>
    <row r="388" spans="1:71" s="31" customFormat="1" x14ac:dyDescent="0.35">
      <c r="A388" s="53" t="s">
        <v>39</v>
      </c>
      <c r="B388" s="49">
        <v>386</v>
      </c>
      <c r="C388" s="50"/>
      <c r="D388" s="50"/>
      <c r="E388" s="51"/>
      <c r="F388" s="50" t="s">
        <v>60</v>
      </c>
      <c r="G388" s="50" t="s">
        <v>1172</v>
      </c>
      <c r="H388" s="50" t="s">
        <v>1173</v>
      </c>
      <c r="I388" s="50"/>
      <c r="J388" s="50"/>
      <c r="K388" s="50"/>
      <c r="L388" s="50"/>
      <c r="M388" s="50"/>
      <c r="N388" s="54" t="s">
        <v>43</v>
      </c>
      <c r="O388" s="49">
        <v>1</v>
      </c>
      <c r="P388" s="43">
        <v>16.39</v>
      </c>
      <c r="Q388" s="49">
        <v>1</v>
      </c>
      <c r="R388" s="44">
        <f>P388/O388</f>
        <v>16.39</v>
      </c>
      <c r="S388" s="49">
        <f>Q388*O388</f>
        <v>1</v>
      </c>
      <c r="T388" s="52">
        <f>S388*R388</f>
        <v>16.39</v>
      </c>
      <c r="U388" s="50"/>
      <c r="V388" s="50"/>
      <c r="W388" s="50"/>
      <c r="X388" s="69"/>
      <c r="Y388" s="69"/>
      <c r="Z388" s="69"/>
      <c r="AA388" s="50"/>
      <c r="AB388" s="50"/>
      <c r="AC388" s="50"/>
      <c r="AD388" s="50"/>
      <c r="AE388" s="50"/>
      <c r="AF388" s="50"/>
      <c r="AG388" s="50"/>
      <c r="AH388" s="50"/>
      <c r="AI388" s="50" t="s">
        <v>652</v>
      </c>
      <c r="AJ388" s="50"/>
      <c r="AK388" s="50"/>
      <c r="AL388" s="44"/>
      <c r="AM388" s="45"/>
      <c r="AN388" s="50"/>
      <c r="AO388" s="69"/>
      <c r="AP388" s="69"/>
      <c r="AQ388" s="69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5"/>
      <c r="BD388" s="56"/>
      <c r="BE388" s="61"/>
      <c r="BF388" s="65"/>
      <c r="BG388" s="66"/>
      <c r="BH388" s="66"/>
      <c r="BI388" s="60"/>
      <c r="BJ388" s="60"/>
      <c r="BK388" s="60"/>
      <c r="BL388" s="60"/>
      <c r="BM388" s="60"/>
      <c r="BN388" s="60"/>
      <c r="BO388" s="60"/>
      <c r="BP388" s="60"/>
      <c r="BQ388" s="60" t="str">
        <f>IF(BS388="Original",AI388,AZ388)</f>
        <v>Low Threshold Spend</v>
      </c>
      <c r="BR388" s="60"/>
      <c r="BS388" s="60" t="str">
        <f>IF(AQ388="","Original",IF(AP388&lt;Y388,"Alternate","Original"))</f>
        <v>Original</v>
      </c>
    </row>
    <row r="389" spans="1:71" s="31" customFormat="1" x14ac:dyDescent="0.35">
      <c r="A389" s="53" t="s">
        <v>39</v>
      </c>
      <c r="B389" s="49">
        <v>387</v>
      </c>
      <c r="C389" s="50"/>
      <c r="D389" s="50"/>
      <c r="E389" s="51"/>
      <c r="F389" s="50" t="s">
        <v>60</v>
      </c>
      <c r="G389" s="50" t="s">
        <v>1174</v>
      </c>
      <c r="H389" s="50" t="s">
        <v>1175</v>
      </c>
      <c r="I389" s="50"/>
      <c r="J389" s="50"/>
      <c r="K389" s="50"/>
      <c r="L389" s="50"/>
      <c r="M389" s="50"/>
      <c r="N389" s="54" t="s">
        <v>43</v>
      </c>
      <c r="O389" s="49">
        <v>1</v>
      </c>
      <c r="P389" s="43">
        <v>16.38</v>
      </c>
      <c r="Q389" s="49">
        <v>1</v>
      </c>
      <c r="R389" s="44">
        <f>P389/O389</f>
        <v>16.38</v>
      </c>
      <c r="S389" s="49">
        <f>Q389*O389</f>
        <v>1</v>
      </c>
      <c r="T389" s="52">
        <f>S389*R389</f>
        <v>16.38</v>
      </c>
      <c r="U389" s="50"/>
      <c r="V389" s="50"/>
      <c r="W389" s="50"/>
      <c r="X389" s="69"/>
      <c r="Y389" s="69"/>
      <c r="Z389" s="69"/>
      <c r="AA389" s="50"/>
      <c r="AB389" s="50"/>
      <c r="AC389" s="50"/>
      <c r="AD389" s="50"/>
      <c r="AE389" s="50"/>
      <c r="AF389" s="50"/>
      <c r="AG389" s="50"/>
      <c r="AH389" s="50"/>
      <c r="AI389" s="50" t="s">
        <v>652</v>
      </c>
      <c r="AJ389" s="50"/>
      <c r="AK389" s="50"/>
      <c r="AL389" s="44"/>
      <c r="AM389" s="45"/>
      <c r="AN389" s="50"/>
      <c r="AO389" s="69"/>
      <c r="AP389" s="69"/>
      <c r="AQ389" s="69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5"/>
      <c r="BD389" s="56"/>
      <c r="BE389" s="61"/>
      <c r="BF389" s="65"/>
      <c r="BG389" s="66"/>
      <c r="BH389" s="66"/>
      <c r="BI389" s="60"/>
      <c r="BJ389" s="60"/>
      <c r="BK389" s="60"/>
      <c r="BL389" s="60"/>
      <c r="BM389" s="60"/>
      <c r="BN389" s="60"/>
      <c r="BO389" s="60"/>
      <c r="BP389" s="60"/>
      <c r="BQ389" s="60" t="str">
        <f>IF(BS389="Original",AI389,AZ389)</f>
        <v>Low Threshold Spend</v>
      </c>
      <c r="BR389" s="60"/>
      <c r="BS389" s="60" t="str">
        <f>IF(AQ389="","Original",IF(AP389&lt;Y389,"Alternate","Original"))</f>
        <v>Original</v>
      </c>
    </row>
    <row r="390" spans="1:71" s="31" customFormat="1" x14ac:dyDescent="0.35">
      <c r="A390" s="53" t="s">
        <v>39</v>
      </c>
      <c r="B390" s="49">
        <v>388</v>
      </c>
      <c r="C390" s="50"/>
      <c r="D390" s="50"/>
      <c r="E390" s="51"/>
      <c r="F390" s="50" t="s">
        <v>49</v>
      </c>
      <c r="G390" s="50" t="s">
        <v>1176</v>
      </c>
      <c r="H390" s="50" t="s">
        <v>1177</v>
      </c>
      <c r="I390" s="50"/>
      <c r="J390" s="50"/>
      <c r="K390" s="50"/>
      <c r="L390" s="50"/>
      <c r="M390" s="50"/>
      <c r="N390" s="54" t="s">
        <v>43</v>
      </c>
      <c r="O390" s="49">
        <v>1</v>
      </c>
      <c r="P390" s="43">
        <v>16.29</v>
      </c>
      <c r="Q390" s="49">
        <v>1</v>
      </c>
      <c r="R390" s="44">
        <f>P390/O390</f>
        <v>16.29</v>
      </c>
      <c r="S390" s="49">
        <f>Q390*O390</f>
        <v>1</v>
      </c>
      <c r="T390" s="52">
        <f>S390*R390</f>
        <v>16.29</v>
      </c>
      <c r="U390" s="50"/>
      <c r="V390" s="50"/>
      <c r="W390" s="50"/>
      <c r="X390" s="69"/>
      <c r="Y390" s="69"/>
      <c r="Z390" s="69"/>
      <c r="AA390" s="50"/>
      <c r="AB390" s="50"/>
      <c r="AC390" s="50"/>
      <c r="AD390" s="50"/>
      <c r="AE390" s="50"/>
      <c r="AF390" s="50"/>
      <c r="AG390" s="50"/>
      <c r="AH390" s="50"/>
      <c r="AI390" s="50" t="s">
        <v>652</v>
      </c>
      <c r="AJ390" s="50"/>
      <c r="AK390" s="50"/>
      <c r="AL390" s="44"/>
      <c r="AM390" s="45"/>
      <c r="AN390" s="50"/>
      <c r="AO390" s="69"/>
      <c r="AP390" s="69"/>
      <c r="AQ390" s="69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5"/>
      <c r="BD390" s="56"/>
      <c r="BE390" s="61"/>
      <c r="BF390" s="65"/>
      <c r="BG390" s="66"/>
      <c r="BH390" s="66"/>
      <c r="BI390" s="60"/>
      <c r="BJ390" s="60"/>
      <c r="BK390" s="60"/>
      <c r="BL390" s="60"/>
      <c r="BM390" s="60"/>
      <c r="BN390" s="60"/>
      <c r="BO390" s="60"/>
      <c r="BP390" s="60"/>
      <c r="BQ390" s="60" t="str">
        <f>IF(BS390="Original",AI390,AZ390)</f>
        <v>Low Threshold Spend</v>
      </c>
      <c r="BR390" s="60"/>
      <c r="BS390" s="60" t="str">
        <f>IF(AQ390="","Original",IF(AP390&lt;Y390,"Alternate","Original"))</f>
        <v>Original</v>
      </c>
    </row>
    <row r="391" spans="1:71" s="31" customFormat="1" x14ac:dyDescent="0.35">
      <c r="A391" s="53" t="s">
        <v>39</v>
      </c>
      <c r="B391" s="49">
        <v>389</v>
      </c>
      <c r="C391" s="50"/>
      <c r="D391" s="50"/>
      <c r="E391" s="51"/>
      <c r="F391" s="50" t="s">
        <v>49</v>
      </c>
      <c r="G391" s="50" t="s">
        <v>1178</v>
      </c>
      <c r="H391" s="50" t="s">
        <v>1179</v>
      </c>
      <c r="I391" s="50"/>
      <c r="J391" s="50"/>
      <c r="K391" s="50"/>
      <c r="L391" s="50"/>
      <c r="M391" s="50"/>
      <c r="N391" s="54" t="s">
        <v>43</v>
      </c>
      <c r="O391" s="49">
        <v>1</v>
      </c>
      <c r="P391" s="43">
        <v>16.260000000000002</v>
      </c>
      <c r="Q391" s="49">
        <v>1</v>
      </c>
      <c r="R391" s="44">
        <f>P391/O391</f>
        <v>16.260000000000002</v>
      </c>
      <c r="S391" s="49">
        <f>Q391*O391</f>
        <v>1</v>
      </c>
      <c r="T391" s="52">
        <f>S391*R391</f>
        <v>16.260000000000002</v>
      </c>
      <c r="U391" s="50"/>
      <c r="V391" s="50"/>
      <c r="W391" s="50"/>
      <c r="X391" s="69"/>
      <c r="Y391" s="69"/>
      <c r="Z391" s="69"/>
      <c r="AA391" s="50"/>
      <c r="AB391" s="50"/>
      <c r="AC391" s="50"/>
      <c r="AD391" s="50"/>
      <c r="AE391" s="50"/>
      <c r="AF391" s="50"/>
      <c r="AG391" s="50"/>
      <c r="AH391" s="50"/>
      <c r="AI391" s="50" t="s">
        <v>652</v>
      </c>
      <c r="AJ391" s="50"/>
      <c r="AK391" s="50"/>
      <c r="AL391" s="44"/>
      <c r="AM391" s="45"/>
      <c r="AN391" s="50"/>
      <c r="AO391" s="69"/>
      <c r="AP391" s="69"/>
      <c r="AQ391" s="69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5"/>
      <c r="BD391" s="56"/>
      <c r="BE391" s="61"/>
      <c r="BF391" s="65"/>
      <c r="BG391" s="66"/>
      <c r="BH391" s="66"/>
      <c r="BI391" s="60"/>
      <c r="BJ391" s="60"/>
      <c r="BK391" s="60"/>
      <c r="BL391" s="60"/>
      <c r="BM391" s="60"/>
      <c r="BN391" s="60"/>
      <c r="BO391" s="60"/>
      <c r="BP391" s="60"/>
      <c r="BQ391" s="60" t="str">
        <f>IF(BS391="Original",AI391,AZ391)</f>
        <v>Low Threshold Spend</v>
      </c>
      <c r="BR391" s="60"/>
      <c r="BS391" s="60" t="str">
        <f>IF(AQ391="","Original",IF(AP391&lt;Y391,"Alternate","Original"))</f>
        <v>Original</v>
      </c>
    </row>
    <row r="392" spans="1:71" s="31" customFormat="1" x14ac:dyDescent="0.35">
      <c r="A392" s="53" t="s">
        <v>39</v>
      </c>
      <c r="B392" s="49">
        <v>390</v>
      </c>
      <c r="C392" s="50"/>
      <c r="D392" s="50"/>
      <c r="E392" s="51"/>
      <c r="F392" s="50" t="s">
        <v>60</v>
      </c>
      <c r="G392" s="50" t="s">
        <v>1180</v>
      </c>
      <c r="H392" s="50" t="s">
        <v>1181</v>
      </c>
      <c r="I392" s="50"/>
      <c r="J392" s="50"/>
      <c r="K392" s="50"/>
      <c r="L392" s="50"/>
      <c r="M392" s="50"/>
      <c r="N392" s="54" t="s">
        <v>43</v>
      </c>
      <c r="O392" s="49">
        <v>1</v>
      </c>
      <c r="P392" s="43">
        <v>16.059999999999999</v>
      </c>
      <c r="Q392" s="49">
        <v>1</v>
      </c>
      <c r="R392" s="44">
        <f>P392/O392</f>
        <v>16.059999999999999</v>
      </c>
      <c r="S392" s="49">
        <f>Q392*O392</f>
        <v>1</v>
      </c>
      <c r="T392" s="52">
        <f>S392*R392</f>
        <v>16.059999999999999</v>
      </c>
      <c r="U392" s="50"/>
      <c r="V392" s="50"/>
      <c r="W392" s="50"/>
      <c r="X392" s="69"/>
      <c r="Y392" s="69"/>
      <c r="Z392" s="69"/>
      <c r="AA392" s="50"/>
      <c r="AB392" s="50"/>
      <c r="AC392" s="50"/>
      <c r="AD392" s="50"/>
      <c r="AE392" s="50"/>
      <c r="AF392" s="50"/>
      <c r="AG392" s="50"/>
      <c r="AH392" s="50"/>
      <c r="AI392" s="50" t="s">
        <v>652</v>
      </c>
      <c r="AJ392" s="50"/>
      <c r="AK392" s="50"/>
      <c r="AL392" s="44"/>
      <c r="AM392" s="45"/>
      <c r="AN392" s="50"/>
      <c r="AO392" s="69"/>
      <c r="AP392" s="69"/>
      <c r="AQ392" s="69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5"/>
      <c r="BD392" s="56"/>
      <c r="BE392" s="61"/>
      <c r="BF392" s="65"/>
      <c r="BG392" s="66"/>
      <c r="BH392" s="66"/>
      <c r="BI392" s="60"/>
      <c r="BJ392" s="60"/>
      <c r="BK392" s="60"/>
      <c r="BL392" s="60"/>
      <c r="BM392" s="60"/>
      <c r="BN392" s="60"/>
      <c r="BO392" s="60"/>
      <c r="BP392" s="60"/>
      <c r="BQ392" s="60" t="str">
        <f>IF(BS392="Original",AI392,AZ392)</f>
        <v>Low Threshold Spend</v>
      </c>
      <c r="BR392" s="60"/>
      <c r="BS392" s="60" t="str">
        <f>IF(AQ392="","Original",IF(AP392&lt;Y392,"Alternate","Original"))</f>
        <v>Original</v>
      </c>
    </row>
    <row r="393" spans="1:71" s="31" customFormat="1" x14ac:dyDescent="0.35">
      <c r="A393" s="53" t="s">
        <v>39</v>
      </c>
      <c r="B393" s="49">
        <v>391</v>
      </c>
      <c r="C393" s="50"/>
      <c r="D393" s="50"/>
      <c r="E393" s="51"/>
      <c r="F393" s="50" t="s">
        <v>60</v>
      </c>
      <c r="G393" s="50" t="s">
        <v>1182</v>
      </c>
      <c r="H393" s="50" t="s">
        <v>1183</v>
      </c>
      <c r="I393" s="50"/>
      <c r="J393" s="50"/>
      <c r="K393" s="50"/>
      <c r="L393" s="50"/>
      <c r="M393" s="50"/>
      <c r="N393" s="54" t="s">
        <v>43</v>
      </c>
      <c r="O393" s="49">
        <v>1</v>
      </c>
      <c r="P393" s="43">
        <v>15.89</v>
      </c>
      <c r="Q393" s="49">
        <v>1</v>
      </c>
      <c r="R393" s="44">
        <f>P393/O393</f>
        <v>15.89</v>
      </c>
      <c r="S393" s="49">
        <f>Q393*O393</f>
        <v>1</v>
      </c>
      <c r="T393" s="52">
        <f>S393*R393</f>
        <v>15.89</v>
      </c>
      <c r="U393" s="50"/>
      <c r="V393" s="50"/>
      <c r="W393" s="50"/>
      <c r="X393" s="69"/>
      <c r="Y393" s="69"/>
      <c r="Z393" s="69"/>
      <c r="AA393" s="50"/>
      <c r="AB393" s="50"/>
      <c r="AC393" s="50"/>
      <c r="AD393" s="50"/>
      <c r="AE393" s="50"/>
      <c r="AF393" s="50"/>
      <c r="AG393" s="50"/>
      <c r="AH393" s="50"/>
      <c r="AI393" s="50" t="s">
        <v>652</v>
      </c>
      <c r="AJ393" s="50"/>
      <c r="AK393" s="50"/>
      <c r="AL393" s="44"/>
      <c r="AM393" s="45"/>
      <c r="AN393" s="50"/>
      <c r="AO393" s="69"/>
      <c r="AP393" s="69"/>
      <c r="AQ393" s="69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5"/>
      <c r="BD393" s="56"/>
      <c r="BE393" s="61"/>
      <c r="BF393" s="65"/>
      <c r="BG393" s="66"/>
      <c r="BH393" s="66"/>
      <c r="BI393" s="60"/>
      <c r="BJ393" s="60"/>
      <c r="BK393" s="60"/>
      <c r="BL393" s="60"/>
      <c r="BM393" s="60"/>
      <c r="BN393" s="60"/>
      <c r="BO393" s="60"/>
      <c r="BP393" s="60"/>
      <c r="BQ393" s="60" t="str">
        <f>IF(BS393="Original",AI393,AZ393)</f>
        <v>Low Threshold Spend</v>
      </c>
      <c r="BR393" s="60"/>
      <c r="BS393" s="60" t="str">
        <f>IF(AQ393="","Original",IF(AP393&lt;Y393,"Alternate","Original"))</f>
        <v>Original</v>
      </c>
    </row>
    <row r="394" spans="1:71" s="31" customFormat="1" x14ac:dyDescent="0.35">
      <c r="A394" s="53" t="s">
        <v>39</v>
      </c>
      <c r="B394" s="49">
        <v>392</v>
      </c>
      <c r="C394" s="50"/>
      <c r="D394" s="50"/>
      <c r="E394" s="51"/>
      <c r="F394" s="50" t="s">
        <v>60</v>
      </c>
      <c r="G394" s="50" t="s">
        <v>1184</v>
      </c>
      <c r="H394" s="50" t="s">
        <v>1185</v>
      </c>
      <c r="I394" s="50"/>
      <c r="J394" s="50"/>
      <c r="K394" s="50"/>
      <c r="L394" s="50"/>
      <c r="M394" s="50"/>
      <c r="N394" s="54" t="s">
        <v>43</v>
      </c>
      <c r="O394" s="49">
        <v>1</v>
      </c>
      <c r="P394" s="43">
        <v>15.41</v>
      </c>
      <c r="Q394" s="49">
        <v>1</v>
      </c>
      <c r="R394" s="44">
        <f>P394/O394</f>
        <v>15.41</v>
      </c>
      <c r="S394" s="49">
        <f>Q394*O394</f>
        <v>1</v>
      </c>
      <c r="T394" s="52">
        <f>S394*R394</f>
        <v>15.41</v>
      </c>
      <c r="U394" s="50"/>
      <c r="V394" s="50"/>
      <c r="W394" s="50"/>
      <c r="X394" s="69"/>
      <c r="Y394" s="69"/>
      <c r="Z394" s="69"/>
      <c r="AA394" s="50"/>
      <c r="AB394" s="50"/>
      <c r="AC394" s="50"/>
      <c r="AD394" s="50"/>
      <c r="AE394" s="50"/>
      <c r="AF394" s="50"/>
      <c r="AG394" s="50"/>
      <c r="AH394" s="50"/>
      <c r="AI394" s="50" t="s">
        <v>652</v>
      </c>
      <c r="AJ394" s="50"/>
      <c r="AK394" s="50"/>
      <c r="AL394" s="44"/>
      <c r="AM394" s="45"/>
      <c r="AN394" s="50"/>
      <c r="AO394" s="69"/>
      <c r="AP394" s="69"/>
      <c r="AQ394" s="69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5"/>
      <c r="BD394" s="56"/>
      <c r="BE394" s="61"/>
      <c r="BF394" s="65"/>
      <c r="BG394" s="66"/>
      <c r="BH394" s="66"/>
      <c r="BI394" s="60"/>
      <c r="BJ394" s="60"/>
      <c r="BK394" s="60"/>
      <c r="BL394" s="60"/>
      <c r="BM394" s="60"/>
      <c r="BN394" s="60"/>
      <c r="BO394" s="60"/>
      <c r="BP394" s="60"/>
      <c r="BQ394" s="60" t="str">
        <f>IF(BS394="Original",AI394,AZ394)</f>
        <v>Low Threshold Spend</v>
      </c>
      <c r="BR394" s="60"/>
      <c r="BS394" s="60" t="str">
        <f>IF(AQ394="","Original",IF(AP394&lt;Y394,"Alternate","Original"))</f>
        <v>Original</v>
      </c>
    </row>
    <row r="395" spans="1:71" s="31" customFormat="1" x14ac:dyDescent="0.35">
      <c r="A395" s="53" t="s">
        <v>39</v>
      </c>
      <c r="B395" s="49">
        <v>393</v>
      </c>
      <c r="C395" s="50"/>
      <c r="D395" s="50"/>
      <c r="E395" s="51"/>
      <c r="F395" s="50" t="s">
        <v>40</v>
      </c>
      <c r="G395" s="50" t="s">
        <v>1186</v>
      </c>
      <c r="H395" s="50" t="s">
        <v>1187</v>
      </c>
      <c r="I395" s="50"/>
      <c r="J395" s="50"/>
      <c r="K395" s="50"/>
      <c r="L395" s="50"/>
      <c r="M395" s="50"/>
      <c r="N395" s="54" t="s">
        <v>43</v>
      </c>
      <c r="O395" s="49">
        <v>1</v>
      </c>
      <c r="P395" s="43">
        <v>7.69</v>
      </c>
      <c r="Q395" s="49">
        <v>2</v>
      </c>
      <c r="R395" s="44">
        <f>P395/O395</f>
        <v>7.69</v>
      </c>
      <c r="S395" s="49">
        <f>Q395*O395</f>
        <v>2</v>
      </c>
      <c r="T395" s="52">
        <f>S395*R395</f>
        <v>15.38</v>
      </c>
      <c r="U395" s="50"/>
      <c r="V395" s="50"/>
      <c r="W395" s="50"/>
      <c r="X395" s="69"/>
      <c r="Y395" s="69"/>
      <c r="Z395" s="69"/>
      <c r="AA395" s="50"/>
      <c r="AB395" s="50"/>
      <c r="AC395" s="50"/>
      <c r="AD395" s="50"/>
      <c r="AE395" s="50"/>
      <c r="AF395" s="50"/>
      <c r="AG395" s="50"/>
      <c r="AH395" s="50"/>
      <c r="AI395" s="50" t="s">
        <v>652</v>
      </c>
      <c r="AJ395" s="50"/>
      <c r="AK395" s="50"/>
      <c r="AL395" s="44"/>
      <c r="AM395" s="45"/>
      <c r="AN395" s="50"/>
      <c r="AO395" s="69"/>
      <c r="AP395" s="69"/>
      <c r="AQ395" s="69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5"/>
      <c r="BD395" s="56"/>
      <c r="BE395" s="61"/>
      <c r="BF395" s="65"/>
      <c r="BG395" s="66"/>
      <c r="BH395" s="66"/>
      <c r="BI395" s="60"/>
      <c r="BJ395" s="60"/>
      <c r="BK395" s="60"/>
      <c r="BL395" s="60"/>
      <c r="BM395" s="60"/>
      <c r="BN395" s="60"/>
      <c r="BO395" s="60"/>
      <c r="BP395" s="60"/>
      <c r="BQ395" s="60" t="str">
        <f>IF(BS395="Original",AI395,AZ395)</f>
        <v>Low Threshold Spend</v>
      </c>
      <c r="BR395" s="60"/>
      <c r="BS395" s="60" t="str">
        <f>IF(AQ395="","Original",IF(AP395&lt;Y395,"Alternate","Original"))</f>
        <v>Original</v>
      </c>
    </row>
    <row r="396" spans="1:71" s="31" customFormat="1" x14ac:dyDescent="0.35">
      <c r="A396" s="53" t="s">
        <v>39</v>
      </c>
      <c r="B396" s="49">
        <v>394</v>
      </c>
      <c r="C396" s="50"/>
      <c r="D396" s="50"/>
      <c r="E396" s="51"/>
      <c r="F396" s="50" t="s">
        <v>40</v>
      </c>
      <c r="G396" s="50" t="s">
        <v>1188</v>
      </c>
      <c r="H396" s="50" t="s">
        <v>1189</v>
      </c>
      <c r="I396" s="50"/>
      <c r="J396" s="50"/>
      <c r="K396" s="50"/>
      <c r="L396" s="50"/>
      <c r="M396" s="50"/>
      <c r="N396" s="54" t="s">
        <v>43</v>
      </c>
      <c r="O396" s="49">
        <v>1</v>
      </c>
      <c r="P396" s="43">
        <v>15.37</v>
      </c>
      <c r="Q396" s="49">
        <v>1</v>
      </c>
      <c r="R396" s="44">
        <f>P396/O396</f>
        <v>15.37</v>
      </c>
      <c r="S396" s="49">
        <f>Q396*O396</f>
        <v>1</v>
      </c>
      <c r="T396" s="52">
        <f>S396*R396</f>
        <v>15.37</v>
      </c>
      <c r="U396" s="50"/>
      <c r="V396" s="50"/>
      <c r="W396" s="50"/>
      <c r="X396" s="69"/>
      <c r="Y396" s="69"/>
      <c r="Z396" s="69"/>
      <c r="AA396" s="50"/>
      <c r="AB396" s="50"/>
      <c r="AC396" s="50"/>
      <c r="AD396" s="50"/>
      <c r="AE396" s="50"/>
      <c r="AF396" s="50"/>
      <c r="AG396" s="50"/>
      <c r="AH396" s="50"/>
      <c r="AI396" s="50" t="s">
        <v>652</v>
      </c>
      <c r="AJ396" s="50"/>
      <c r="AK396" s="50"/>
      <c r="AL396" s="44"/>
      <c r="AM396" s="45"/>
      <c r="AN396" s="50"/>
      <c r="AO396" s="69"/>
      <c r="AP396" s="69"/>
      <c r="AQ396" s="69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5"/>
      <c r="BD396" s="56"/>
      <c r="BE396" s="61"/>
      <c r="BF396" s="65"/>
      <c r="BG396" s="66"/>
      <c r="BH396" s="66"/>
      <c r="BI396" s="60"/>
      <c r="BJ396" s="60"/>
      <c r="BK396" s="60"/>
      <c r="BL396" s="60"/>
      <c r="BM396" s="60"/>
      <c r="BN396" s="60"/>
      <c r="BO396" s="60"/>
      <c r="BP396" s="60"/>
      <c r="BQ396" s="60" t="str">
        <f>IF(BS396="Original",AI396,AZ396)</f>
        <v>Low Threshold Spend</v>
      </c>
      <c r="BR396" s="60"/>
      <c r="BS396" s="60" t="str">
        <f>IF(AQ396="","Original",IF(AP396&lt;Y396,"Alternate","Original"))</f>
        <v>Original</v>
      </c>
    </row>
    <row r="397" spans="1:71" s="31" customFormat="1" x14ac:dyDescent="0.35">
      <c r="A397" s="53" t="s">
        <v>39</v>
      </c>
      <c r="B397" s="49">
        <v>395</v>
      </c>
      <c r="C397" s="50"/>
      <c r="D397" s="50"/>
      <c r="E397" s="51"/>
      <c r="F397" s="50" t="s">
        <v>49</v>
      </c>
      <c r="G397" s="50" t="s">
        <v>1190</v>
      </c>
      <c r="H397" s="50" t="s">
        <v>1191</v>
      </c>
      <c r="I397" s="50"/>
      <c r="J397" s="50"/>
      <c r="K397" s="50"/>
      <c r="L397" s="50"/>
      <c r="M397" s="50"/>
      <c r="N397" s="54" t="s">
        <v>43</v>
      </c>
      <c r="O397" s="49">
        <v>1</v>
      </c>
      <c r="P397" s="43">
        <v>15.15</v>
      </c>
      <c r="Q397" s="49">
        <v>1</v>
      </c>
      <c r="R397" s="44">
        <f>P397/O397</f>
        <v>15.15</v>
      </c>
      <c r="S397" s="49">
        <f>Q397*O397</f>
        <v>1</v>
      </c>
      <c r="T397" s="52">
        <f>S397*R397</f>
        <v>15.15</v>
      </c>
      <c r="U397" s="50"/>
      <c r="V397" s="50"/>
      <c r="W397" s="50"/>
      <c r="X397" s="69"/>
      <c r="Y397" s="69"/>
      <c r="Z397" s="69"/>
      <c r="AA397" s="50"/>
      <c r="AB397" s="50"/>
      <c r="AC397" s="50"/>
      <c r="AD397" s="50"/>
      <c r="AE397" s="50"/>
      <c r="AF397" s="50"/>
      <c r="AG397" s="50"/>
      <c r="AH397" s="50"/>
      <c r="AI397" s="50" t="s">
        <v>652</v>
      </c>
      <c r="AJ397" s="50"/>
      <c r="AK397" s="50"/>
      <c r="AL397" s="44"/>
      <c r="AM397" s="45"/>
      <c r="AN397" s="50"/>
      <c r="AO397" s="69"/>
      <c r="AP397" s="69"/>
      <c r="AQ397" s="69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5"/>
      <c r="BD397" s="56"/>
      <c r="BE397" s="61"/>
      <c r="BF397" s="65"/>
      <c r="BG397" s="66"/>
      <c r="BH397" s="66"/>
      <c r="BI397" s="60"/>
      <c r="BJ397" s="60"/>
      <c r="BK397" s="60"/>
      <c r="BL397" s="60"/>
      <c r="BM397" s="60"/>
      <c r="BN397" s="60"/>
      <c r="BO397" s="60"/>
      <c r="BP397" s="60"/>
      <c r="BQ397" s="60" t="str">
        <f>IF(BS397="Original",AI397,AZ397)</f>
        <v>Low Threshold Spend</v>
      </c>
      <c r="BR397" s="60"/>
      <c r="BS397" s="60" t="str">
        <f>IF(AQ397="","Original",IF(AP397&lt;Y397,"Alternate","Original"))</f>
        <v>Original</v>
      </c>
    </row>
    <row r="398" spans="1:71" s="31" customFormat="1" x14ac:dyDescent="0.35">
      <c r="A398" s="53" t="s">
        <v>39</v>
      </c>
      <c r="B398" s="49">
        <v>396</v>
      </c>
      <c r="C398" s="50"/>
      <c r="D398" s="50"/>
      <c r="E398" s="51"/>
      <c r="F398" s="50" t="s">
        <v>60</v>
      </c>
      <c r="G398" s="50" t="s">
        <v>1192</v>
      </c>
      <c r="H398" s="50" t="s">
        <v>1193</v>
      </c>
      <c r="I398" s="50"/>
      <c r="J398" s="50"/>
      <c r="K398" s="50"/>
      <c r="L398" s="50"/>
      <c r="M398" s="50"/>
      <c r="N398" s="54" t="s">
        <v>43</v>
      </c>
      <c r="O398" s="49">
        <v>1</v>
      </c>
      <c r="P398" s="43">
        <v>15.13</v>
      </c>
      <c r="Q398" s="49">
        <v>1</v>
      </c>
      <c r="R398" s="44">
        <f>P398/O398</f>
        <v>15.13</v>
      </c>
      <c r="S398" s="49">
        <f>Q398*O398</f>
        <v>1</v>
      </c>
      <c r="T398" s="52">
        <f>S398*R398</f>
        <v>15.13</v>
      </c>
      <c r="U398" s="50"/>
      <c r="V398" s="50"/>
      <c r="W398" s="50"/>
      <c r="X398" s="69"/>
      <c r="Y398" s="69"/>
      <c r="Z398" s="69"/>
      <c r="AA398" s="50"/>
      <c r="AB398" s="50"/>
      <c r="AC398" s="50"/>
      <c r="AD398" s="50"/>
      <c r="AE398" s="50"/>
      <c r="AF398" s="50"/>
      <c r="AG398" s="50"/>
      <c r="AH398" s="50"/>
      <c r="AI398" s="50" t="s">
        <v>652</v>
      </c>
      <c r="AJ398" s="50"/>
      <c r="AK398" s="50"/>
      <c r="AL398" s="44"/>
      <c r="AM398" s="45"/>
      <c r="AN398" s="50"/>
      <c r="AO398" s="69"/>
      <c r="AP398" s="69"/>
      <c r="AQ398" s="69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5"/>
      <c r="BD398" s="56"/>
      <c r="BE398" s="61"/>
      <c r="BF398" s="65"/>
      <c r="BG398" s="66"/>
      <c r="BH398" s="66"/>
      <c r="BI398" s="60"/>
      <c r="BJ398" s="60"/>
      <c r="BK398" s="60"/>
      <c r="BL398" s="60"/>
      <c r="BM398" s="60"/>
      <c r="BN398" s="60"/>
      <c r="BO398" s="60"/>
      <c r="BP398" s="60"/>
      <c r="BQ398" s="60" t="str">
        <f>IF(BS398="Original",AI398,AZ398)</f>
        <v>Low Threshold Spend</v>
      </c>
      <c r="BR398" s="60"/>
      <c r="BS398" s="60" t="str">
        <f>IF(AQ398="","Original",IF(AP398&lt;Y398,"Alternate","Original"))</f>
        <v>Original</v>
      </c>
    </row>
    <row r="399" spans="1:71" s="31" customFormat="1" x14ac:dyDescent="0.35">
      <c r="A399" s="53" t="s">
        <v>39</v>
      </c>
      <c r="B399" s="49">
        <v>397</v>
      </c>
      <c r="C399" s="50"/>
      <c r="D399" s="50"/>
      <c r="E399" s="51"/>
      <c r="F399" s="50" t="s">
        <v>60</v>
      </c>
      <c r="G399" s="50" t="s">
        <v>1194</v>
      </c>
      <c r="H399" s="50" t="s">
        <v>1195</v>
      </c>
      <c r="I399" s="50"/>
      <c r="J399" s="50"/>
      <c r="K399" s="50"/>
      <c r="L399" s="50"/>
      <c r="M399" s="50"/>
      <c r="N399" s="54" t="s">
        <v>43</v>
      </c>
      <c r="O399" s="49">
        <v>1</v>
      </c>
      <c r="P399" s="43">
        <v>15.04</v>
      </c>
      <c r="Q399" s="49">
        <v>1</v>
      </c>
      <c r="R399" s="44">
        <f>P399/O399</f>
        <v>15.04</v>
      </c>
      <c r="S399" s="49">
        <f>Q399*O399</f>
        <v>1</v>
      </c>
      <c r="T399" s="52">
        <f>S399*R399</f>
        <v>15.04</v>
      </c>
      <c r="U399" s="50"/>
      <c r="V399" s="50"/>
      <c r="W399" s="50"/>
      <c r="X399" s="69"/>
      <c r="Y399" s="69"/>
      <c r="Z399" s="69"/>
      <c r="AA399" s="50"/>
      <c r="AB399" s="50"/>
      <c r="AC399" s="50"/>
      <c r="AD399" s="50"/>
      <c r="AE399" s="50"/>
      <c r="AF399" s="50"/>
      <c r="AG399" s="50"/>
      <c r="AH399" s="50"/>
      <c r="AI399" s="50" t="s">
        <v>652</v>
      </c>
      <c r="AJ399" s="50"/>
      <c r="AK399" s="50"/>
      <c r="AL399" s="44"/>
      <c r="AM399" s="45"/>
      <c r="AN399" s="50"/>
      <c r="AO399" s="69"/>
      <c r="AP399" s="69"/>
      <c r="AQ399" s="69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5"/>
      <c r="BD399" s="56"/>
      <c r="BE399" s="61"/>
      <c r="BF399" s="65"/>
      <c r="BG399" s="66"/>
      <c r="BH399" s="66"/>
      <c r="BI399" s="60"/>
      <c r="BJ399" s="60"/>
      <c r="BK399" s="60"/>
      <c r="BL399" s="60"/>
      <c r="BM399" s="60"/>
      <c r="BN399" s="60"/>
      <c r="BO399" s="60"/>
      <c r="BP399" s="60"/>
      <c r="BQ399" s="60" t="str">
        <f>IF(BS399="Original",AI399,AZ399)</f>
        <v>Low Threshold Spend</v>
      </c>
      <c r="BR399" s="60"/>
      <c r="BS399" s="60" t="str">
        <f>IF(AQ399="","Original",IF(AP399&lt;Y399,"Alternate","Original"))</f>
        <v>Original</v>
      </c>
    </row>
    <row r="400" spans="1:71" s="31" customFormat="1" x14ac:dyDescent="0.35">
      <c r="A400" s="53" t="s">
        <v>39</v>
      </c>
      <c r="B400" s="49">
        <v>398</v>
      </c>
      <c r="C400" s="50"/>
      <c r="D400" s="50"/>
      <c r="E400" s="51"/>
      <c r="F400" s="50" t="s">
        <v>60</v>
      </c>
      <c r="G400" s="50" t="s">
        <v>1196</v>
      </c>
      <c r="H400" s="50" t="s">
        <v>1197</v>
      </c>
      <c r="I400" s="50"/>
      <c r="J400" s="50"/>
      <c r="K400" s="50"/>
      <c r="L400" s="50"/>
      <c r="M400" s="50"/>
      <c r="N400" s="54" t="s">
        <v>43</v>
      </c>
      <c r="O400" s="49">
        <v>1</v>
      </c>
      <c r="P400" s="43">
        <v>14.96</v>
      </c>
      <c r="Q400" s="49">
        <v>1</v>
      </c>
      <c r="R400" s="44">
        <f>P400/O400</f>
        <v>14.96</v>
      </c>
      <c r="S400" s="49">
        <f>Q400*O400</f>
        <v>1</v>
      </c>
      <c r="T400" s="52">
        <f>S400*R400</f>
        <v>14.96</v>
      </c>
      <c r="U400" s="50"/>
      <c r="V400" s="50"/>
      <c r="W400" s="50"/>
      <c r="X400" s="69"/>
      <c r="Y400" s="69"/>
      <c r="Z400" s="69"/>
      <c r="AA400" s="50"/>
      <c r="AB400" s="50"/>
      <c r="AC400" s="50"/>
      <c r="AD400" s="50"/>
      <c r="AE400" s="50"/>
      <c r="AF400" s="50"/>
      <c r="AG400" s="50"/>
      <c r="AH400" s="50"/>
      <c r="AI400" s="50" t="s">
        <v>652</v>
      </c>
      <c r="AJ400" s="50"/>
      <c r="AK400" s="50"/>
      <c r="AL400" s="44"/>
      <c r="AM400" s="45"/>
      <c r="AN400" s="50"/>
      <c r="AO400" s="69"/>
      <c r="AP400" s="69"/>
      <c r="AQ400" s="69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5"/>
      <c r="BD400" s="56"/>
      <c r="BE400" s="61"/>
      <c r="BF400" s="65"/>
      <c r="BG400" s="66"/>
      <c r="BH400" s="66"/>
      <c r="BI400" s="60"/>
      <c r="BJ400" s="60"/>
      <c r="BK400" s="60"/>
      <c r="BL400" s="60"/>
      <c r="BM400" s="60"/>
      <c r="BN400" s="60"/>
      <c r="BO400" s="60"/>
      <c r="BP400" s="60"/>
      <c r="BQ400" s="60" t="str">
        <f>IF(BS400="Original",AI400,AZ400)</f>
        <v>Low Threshold Spend</v>
      </c>
      <c r="BR400" s="60"/>
      <c r="BS400" s="60" t="str">
        <f>IF(AQ400="","Original",IF(AP400&lt;Y400,"Alternate","Original"))</f>
        <v>Original</v>
      </c>
    </row>
    <row r="401" spans="1:71" s="31" customFormat="1" x14ac:dyDescent="0.35">
      <c r="A401" s="53" t="s">
        <v>39</v>
      </c>
      <c r="B401" s="49">
        <v>399</v>
      </c>
      <c r="C401" s="50"/>
      <c r="D401" s="50"/>
      <c r="E401" s="51"/>
      <c r="F401" s="50" t="s">
        <v>49</v>
      </c>
      <c r="G401" s="50" t="s">
        <v>1198</v>
      </c>
      <c r="H401" s="50" t="s">
        <v>1199</v>
      </c>
      <c r="I401" s="50"/>
      <c r="J401" s="50"/>
      <c r="K401" s="50"/>
      <c r="L401" s="50"/>
      <c r="M401" s="50"/>
      <c r="N401" s="54" t="s">
        <v>43</v>
      </c>
      <c r="O401" s="49">
        <v>1</v>
      </c>
      <c r="P401" s="43">
        <v>14.73</v>
      </c>
      <c r="Q401" s="49">
        <v>1</v>
      </c>
      <c r="R401" s="44">
        <f>P401/O401</f>
        <v>14.73</v>
      </c>
      <c r="S401" s="49">
        <f>Q401*O401</f>
        <v>1</v>
      </c>
      <c r="T401" s="52">
        <f>S401*R401</f>
        <v>14.73</v>
      </c>
      <c r="U401" s="50"/>
      <c r="V401" s="50"/>
      <c r="W401" s="50"/>
      <c r="X401" s="69"/>
      <c r="Y401" s="69"/>
      <c r="Z401" s="69"/>
      <c r="AA401" s="50"/>
      <c r="AB401" s="50"/>
      <c r="AC401" s="50"/>
      <c r="AD401" s="50"/>
      <c r="AE401" s="50"/>
      <c r="AF401" s="50"/>
      <c r="AG401" s="50"/>
      <c r="AH401" s="50"/>
      <c r="AI401" s="50" t="s">
        <v>652</v>
      </c>
      <c r="AJ401" s="50"/>
      <c r="AK401" s="50"/>
      <c r="AL401" s="44"/>
      <c r="AM401" s="45"/>
      <c r="AN401" s="50"/>
      <c r="AO401" s="69"/>
      <c r="AP401" s="69"/>
      <c r="AQ401" s="69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5"/>
      <c r="BD401" s="56"/>
      <c r="BE401" s="61"/>
      <c r="BF401" s="65"/>
      <c r="BG401" s="66"/>
      <c r="BH401" s="66"/>
      <c r="BI401" s="60"/>
      <c r="BJ401" s="60"/>
      <c r="BK401" s="60"/>
      <c r="BL401" s="60"/>
      <c r="BM401" s="60"/>
      <c r="BN401" s="60"/>
      <c r="BO401" s="60"/>
      <c r="BP401" s="60"/>
      <c r="BQ401" s="60" t="str">
        <f>IF(BS401="Original",AI401,AZ401)</f>
        <v>Low Threshold Spend</v>
      </c>
      <c r="BR401" s="60"/>
      <c r="BS401" s="60" t="str">
        <f>IF(AQ401="","Original",IF(AP401&lt;Y401,"Alternate","Original"))</f>
        <v>Original</v>
      </c>
    </row>
    <row r="402" spans="1:71" s="31" customFormat="1" x14ac:dyDescent="0.35">
      <c r="A402" s="53" t="s">
        <v>39</v>
      </c>
      <c r="B402" s="49">
        <v>400</v>
      </c>
      <c r="C402" s="50"/>
      <c r="D402" s="50"/>
      <c r="E402" s="51"/>
      <c r="F402" s="50" t="s">
        <v>49</v>
      </c>
      <c r="G402" s="50" t="s">
        <v>1200</v>
      </c>
      <c r="H402" s="50" t="s">
        <v>1199</v>
      </c>
      <c r="I402" s="50"/>
      <c r="J402" s="50"/>
      <c r="K402" s="50"/>
      <c r="L402" s="50"/>
      <c r="M402" s="50"/>
      <c r="N402" s="54" t="s">
        <v>43</v>
      </c>
      <c r="O402" s="49">
        <v>1</v>
      </c>
      <c r="P402" s="43">
        <v>14.73</v>
      </c>
      <c r="Q402" s="49">
        <v>1</v>
      </c>
      <c r="R402" s="44">
        <f>P402/O402</f>
        <v>14.73</v>
      </c>
      <c r="S402" s="49">
        <f>Q402*O402</f>
        <v>1</v>
      </c>
      <c r="T402" s="52">
        <f>S402*R402</f>
        <v>14.73</v>
      </c>
      <c r="U402" s="50"/>
      <c r="V402" s="50"/>
      <c r="W402" s="50"/>
      <c r="X402" s="69"/>
      <c r="Y402" s="69"/>
      <c r="Z402" s="69"/>
      <c r="AA402" s="50"/>
      <c r="AB402" s="50"/>
      <c r="AC402" s="50"/>
      <c r="AD402" s="50"/>
      <c r="AE402" s="50"/>
      <c r="AF402" s="50"/>
      <c r="AG402" s="50"/>
      <c r="AH402" s="50"/>
      <c r="AI402" s="50" t="s">
        <v>652</v>
      </c>
      <c r="AJ402" s="50"/>
      <c r="AK402" s="50"/>
      <c r="AL402" s="44"/>
      <c r="AM402" s="45"/>
      <c r="AN402" s="50"/>
      <c r="AO402" s="69"/>
      <c r="AP402" s="69"/>
      <c r="AQ402" s="69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5"/>
      <c r="BD402" s="56"/>
      <c r="BE402" s="61"/>
      <c r="BF402" s="65"/>
      <c r="BG402" s="66"/>
      <c r="BH402" s="66"/>
      <c r="BI402" s="60"/>
      <c r="BJ402" s="60"/>
      <c r="BK402" s="60"/>
      <c r="BL402" s="60"/>
      <c r="BM402" s="60"/>
      <c r="BN402" s="60"/>
      <c r="BO402" s="60"/>
      <c r="BP402" s="60"/>
      <c r="BQ402" s="60" t="str">
        <f>IF(BS402="Original",AI402,AZ402)</f>
        <v>Low Threshold Spend</v>
      </c>
      <c r="BR402" s="60"/>
      <c r="BS402" s="60" t="str">
        <f>IF(AQ402="","Original",IF(AP402&lt;Y402,"Alternate","Original"))</f>
        <v>Original</v>
      </c>
    </row>
    <row r="403" spans="1:71" s="31" customFormat="1" x14ac:dyDescent="0.35">
      <c r="A403" s="53" t="s">
        <v>39</v>
      </c>
      <c r="B403" s="49">
        <v>401</v>
      </c>
      <c r="C403" s="50"/>
      <c r="D403" s="50"/>
      <c r="E403" s="51"/>
      <c r="F403" s="50" t="s">
        <v>60</v>
      </c>
      <c r="G403" s="50" t="s">
        <v>1201</v>
      </c>
      <c r="H403" s="50" t="s">
        <v>1202</v>
      </c>
      <c r="I403" s="50"/>
      <c r="J403" s="50"/>
      <c r="K403" s="50"/>
      <c r="L403" s="50"/>
      <c r="M403" s="50"/>
      <c r="N403" s="54" t="s">
        <v>43</v>
      </c>
      <c r="O403" s="49">
        <v>1</v>
      </c>
      <c r="P403" s="43">
        <v>14.56</v>
      </c>
      <c r="Q403" s="49">
        <v>1</v>
      </c>
      <c r="R403" s="44">
        <f>P403/O403</f>
        <v>14.56</v>
      </c>
      <c r="S403" s="49">
        <f>Q403*O403</f>
        <v>1</v>
      </c>
      <c r="T403" s="52">
        <f>S403*R403</f>
        <v>14.56</v>
      </c>
      <c r="U403" s="50"/>
      <c r="V403" s="50"/>
      <c r="W403" s="50"/>
      <c r="X403" s="69"/>
      <c r="Y403" s="69"/>
      <c r="Z403" s="69"/>
      <c r="AA403" s="50"/>
      <c r="AB403" s="50"/>
      <c r="AC403" s="50"/>
      <c r="AD403" s="50"/>
      <c r="AE403" s="50"/>
      <c r="AF403" s="50"/>
      <c r="AG403" s="50"/>
      <c r="AH403" s="50"/>
      <c r="AI403" s="50" t="s">
        <v>652</v>
      </c>
      <c r="AJ403" s="50"/>
      <c r="AK403" s="50"/>
      <c r="AL403" s="44"/>
      <c r="AM403" s="45"/>
      <c r="AN403" s="50"/>
      <c r="AO403" s="69"/>
      <c r="AP403" s="69"/>
      <c r="AQ403" s="69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5"/>
      <c r="BD403" s="56"/>
      <c r="BE403" s="61"/>
      <c r="BF403" s="65"/>
      <c r="BG403" s="66"/>
      <c r="BH403" s="66"/>
      <c r="BI403" s="60"/>
      <c r="BJ403" s="60"/>
      <c r="BK403" s="60"/>
      <c r="BL403" s="60"/>
      <c r="BM403" s="60"/>
      <c r="BN403" s="60"/>
      <c r="BO403" s="60"/>
      <c r="BP403" s="60"/>
      <c r="BQ403" s="60" t="str">
        <f>IF(BS403="Original",AI403,AZ403)</f>
        <v>Low Threshold Spend</v>
      </c>
      <c r="BR403" s="60"/>
      <c r="BS403" s="60" t="str">
        <f>IF(AQ403="","Original",IF(AP403&lt;Y403,"Alternate","Original"))</f>
        <v>Original</v>
      </c>
    </row>
    <row r="404" spans="1:71" s="31" customFormat="1" x14ac:dyDescent="0.35">
      <c r="A404" s="53" t="s">
        <v>39</v>
      </c>
      <c r="B404" s="49">
        <v>402</v>
      </c>
      <c r="C404" s="50"/>
      <c r="D404" s="50"/>
      <c r="E404" s="51"/>
      <c r="F404" s="50" t="s">
        <v>60</v>
      </c>
      <c r="G404" s="50" t="s">
        <v>1203</v>
      </c>
      <c r="H404" s="50" t="s">
        <v>1204</v>
      </c>
      <c r="I404" s="50"/>
      <c r="J404" s="50"/>
      <c r="K404" s="50"/>
      <c r="L404" s="50"/>
      <c r="M404" s="50"/>
      <c r="N404" s="54" t="s">
        <v>43</v>
      </c>
      <c r="O404" s="49">
        <v>1</v>
      </c>
      <c r="P404" s="43">
        <v>14.5</v>
      </c>
      <c r="Q404" s="49">
        <v>1</v>
      </c>
      <c r="R404" s="44">
        <f>P404/O404</f>
        <v>14.5</v>
      </c>
      <c r="S404" s="49">
        <f>Q404*O404</f>
        <v>1</v>
      </c>
      <c r="T404" s="52">
        <f>S404*R404</f>
        <v>14.5</v>
      </c>
      <c r="U404" s="50"/>
      <c r="V404" s="50"/>
      <c r="W404" s="50"/>
      <c r="X404" s="69"/>
      <c r="Y404" s="69"/>
      <c r="Z404" s="69"/>
      <c r="AA404" s="50"/>
      <c r="AB404" s="50"/>
      <c r="AC404" s="50"/>
      <c r="AD404" s="50"/>
      <c r="AE404" s="50"/>
      <c r="AF404" s="50"/>
      <c r="AG404" s="50"/>
      <c r="AH404" s="50"/>
      <c r="AI404" s="50" t="s">
        <v>652</v>
      </c>
      <c r="AJ404" s="50"/>
      <c r="AK404" s="50"/>
      <c r="AL404" s="44"/>
      <c r="AM404" s="45"/>
      <c r="AN404" s="50"/>
      <c r="AO404" s="69"/>
      <c r="AP404" s="69"/>
      <c r="AQ404" s="69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5"/>
      <c r="BD404" s="56"/>
      <c r="BE404" s="61"/>
      <c r="BF404" s="65"/>
      <c r="BG404" s="66"/>
      <c r="BH404" s="66"/>
      <c r="BI404" s="60"/>
      <c r="BJ404" s="60"/>
      <c r="BK404" s="60"/>
      <c r="BL404" s="60"/>
      <c r="BM404" s="60"/>
      <c r="BN404" s="60"/>
      <c r="BO404" s="60"/>
      <c r="BP404" s="60"/>
      <c r="BQ404" s="60" t="str">
        <f>IF(BS404="Original",AI404,AZ404)</f>
        <v>Low Threshold Spend</v>
      </c>
      <c r="BR404" s="60"/>
      <c r="BS404" s="60" t="str">
        <f>IF(AQ404="","Original",IF(AP404&lt;Y404,"Alternate","Original"))</f>
        <v>Original</v>
      </c>
    </row>
    <row r="405" spans="1:71" s="31" customFormat="1" x14ac:dyDescent="0.35">
      <c r="A405" s="53" t="s">
        <v>39</v>
      </c>
      <c r="B405" s="49">
        <v>403</v>
      </c>
      <c r="C405" s="50"/>
      <c r="D405" s="50"/>
      <c r="E405" s="51"/>
      <c r="F405" s="50" t="s">
        <v>60</v>
      </c>
      <c r="G405" s="50" t="s">
        <v>1205</v>
      </c>
      <c r="H405" s="50" t="s">
        <v>1206</v>
      </c>
      <c r="I405" s="50"/>
      <c r="J405" s="50"/>
      <c r="K405" s="50"/>
      <c r="L405" s="50"/>
      <c r="M405" s="50"/>
      <c r="N405" s="54" t="s">
        <v>43</v>
      </c>
      <c r="O405" s="49">
        <v>1</v>
      </c>
      <c r="P405" s="43">
        <v>14.48</v>
      </c>
      <c r="Q405" s="49">
        <v>1</v>
      </c>
      <c r="R405" s="44">
        <f>P405/O405</f>
        <v>14.48</v>
      </c>
      <c r="S405" s="49">
        <f>Q405*O405</f>
        <v>1</v>
      </c>
      <c r="T405" s="52">
        <f>S405*R405</f>
        <v>14.48</v>
      </c>
      <c r="U405" s="50"/>
      <c r="V405" s="50"/>
      <c r="W405" s="50"/>
      <c r="X405" s="69"/>
      <c r="Y405" s="69"/>
      <c r="Z405" s="69"/>
      <c r="AA405" s="50"/>
      <c r="AB405" s="50"/>
      <c r="AC405" s="50"/>
      <c r="AD405" s="50"/>
      <c r="AE405" s="50"/>
      <c r="AF405" s="50"/>
      <c r="AG405" s="50"/>
      <c r="AH405" s="50"/>
      <c r="AI405" s="50" t="s">
        <v>652</v>
      </c>
      <c r="AJ405" s="50"/>
      <c r="AK405" s="50"/>
      <c r="AL405" s="44"/>
      <c r="AM405" s="45"/>
      <c r="AN405" s="50"/>
      <c r="AO405" s="69"/>
      <c r="AP405" s="69"/>
      <c r="AQ405" s="69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5"/>
      <c r="BD405" s="56"/>
      <c r="BE405" s="61"/>
      <c r="BF405" s="65"/>
      <c r="BG405" s="66"/>
      <c r="BH405" s="66"/>
      <c r="BI405" s="60"/>
      <c r="BJ405" s="60"/>
      <c r="BK405" s="60"/>
      <c r="BL405" s="60"/>
      <c r="BM405" s="60"/>
      <c r="BN405" s="60"/>
      <c r="BO405" s="60"/>
      <c r="BP405" s="60"/>
      <c r="BQ405" s="60" t="str">
        <f>IF(BS405="Original",AI405,AZ405)</f>
        <v>Low Threshold Spend</v>
      </c>
      <c r="BR405" s="60"/>
      <c r="BS405" s="60" t="str">
        <f>IF(AQ405="","Original",IF(AP405&lt;Y405,"Alternate","Original"))</f>
        <v>Original</v>
      </c>
    </row>
    <row r="406" spans="1:71" s="31" customFormat="1" x14ac:dyDescent="0.35">
      <c r="A406" s="53" t="s">
        <v>39</v>
      </c>
      <c r="B406" s="49">
        <v>404</v>
      </c>
      <c r="C406" s="50"/>
      <c r="D406" s="50"/>
      <c r="E406" s="51"/>
      <c r="F406" s="50" t="s">
        <v>60</v>
      </c>
      <c r="G406" s="50" t="s">
        <v>1207</v>
      </c>
      <c r="H406" s="50" t="s">
        <v>1208</v>
      </c>
      <c r="I406" s="50"/>
      <c r="J406" s="50"/>
      <c r="K406" s="50"/>
      <c r="L406" s="50"/>
      <c r="M406" s="50"/>
      <c r="N406" s="54" t="s">
        <v>43</v>
      </c>
      <c r="O406" s="49">
        <v>1</v>
      </c>
      <c r="P406" s="43">
        <v>14.43</v>
      </c>
      <c r="Q406" s="49">
        <v>1</v>
      </c>
      <c r="R406" s="44">
        <f>P406/O406</f>
        <v>14.43</v>
      </c>
      <c r="S406" s="49">
        <f>Q406*O406</f>
        <v>1</v>
      </c>
      <c r="T406" s="52">
        <f>S406*R406</f>
        <v>14.43</v>
      </c>
      <c r="U406" s="50"/>
      <c r="V406" s="50"/>
      <c r="W406" s="50"/>
      <c r="X406" s="69"/>
      <c r="Y406" s="69"/>
      <c r="Z406" s="69"/>
      <c r="AA406" s="50"/>
      <c r="AB406" s="50"/>
      <c r="AC406" s="50"/>
      <c r="AD406" s="50"/>
      <c r="AE406" s="50"/>
      <c r="AF406" s="50"/>
      <c r="AG406" s="50"/>
      <c r="AH406" s="50"/>
      <c r="AI406" s="50" t="s">
        <v>652</v>
      </c>
      <c r="AJ406" s="50"/>
      <c r="AK406" s="50"/>
      <c r="AL406" s="44"/>
      <c r="AM406" s="45"/>
      <c r="AN406" s="50"/>
      <c r="AO406" s="69"/>
      <c r="AP406" s="69"/>
      <c r="AQ406" s="69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5"/>
      <c r="BD406" s="56"/>
      <c r="BE406" s="61"/>
      <c r="BF406" s="65"/>
      <c r="BG406" s="66"/>
      <c r="BH406" s="66"/>
      <c r="BI406" s="60"/>
      <c r="BJ406" s="60"/>
      <c r="BK406" s="60"/>
      <c r="BL406" s="60"/>
      <c r="BM406" s="60"/>
      <c r="BN406" s="60"/>
      <c r="BO406" s="60"/>
      <c r="BP406" s="60"/>
      <c r="BQ406" s="60" t="str">
        <f>IF(BS406="Original",AI406,AZ406)</f>
        <v>Low Threshold Spend</v>
      </c>
      <c r="BR406" s="60"/>
      <c r="BS406" s="60" t="str">
        <f>IF(AQ406="","Original",IF(AP406&lt;Y406,"Alternate","Original"))</f>
        <v>Original</v>
      </c>
    </row>
    <row r="407" spans="1:71" s="31" customFormat="1" x14ac:dyDescent="0.35">
      <c r="A407" s="53" t="s">
        <v>39</v>
      </c>
      <c r="B407" s="49">
        <v>405</v>
      </c>
      <c r="C407" s="50"/>
      <c r="D407" s="50"/>
      <c r="E407" s="51"/>
      <c r="F407" s="50" t="s">
        <v>60</v>
      </c>
      <c r="G407" s="50" t="s">
        <v>1209</v>
      </c>
      <c r="H407" s="50" t="s">
        <v>1210</v>
      </c>
      <c r="I407" s="50"/>
      <c r="J407" s="50"/>
      <c r="K407" s="50"/>
      <c r="L407" s="50"/>
      <c r="M407" s="50"/>
      <c r="N407" s="54" t="s">
        <v>43</v>
      </c>
      <c r="O407" s="49">
        <v>1</v>
      </c>
      <c r="P407" s="43">
        <v>14.19</v>
      </c>
      <c r="Q407" s="49">
        <v>1</v>
      </c>
      <c r="R407" s="44">
        <f>P407/O407</f>
        <v>14.19</v>
      </c>
      <c r="S407" s="49">
        <f>Q407*O407</f>
        <v>1</v>
      </c>
      <c r="T407" s="52">
        <f>S407*R407</f>
        <v>14.19</v>
      </c>
      <c r="U407" s="50"/>
      <c r="V407" s="50"/>
      <c r="W407" s="50"/>
      <c r="X407" s="69"/>
      <c r="Y407" s="69"/>
      <c r="Z407" s="69"/>
      <c r="AA407" s="50"/>
      <c r="AB407" s="50"/>
      <c r="AC407" s="50"/>
      <c r="AD407" s="50"/>
      <c r="AE407" s="50"/>
      <c r="AF407" s="50"/>
      <c r="AG407" s="50"/>
      <c r="AH407" s="50"/>
      <c r="AI407" s="50" t="s">
        <v>652</v>
      </c>
      <c r="AJ407" s="50"/>
      <c r="AK407" s="50"/>
      <c r="AL407" s="44"/>
      <c r="AM407" s="45"/>
      <c r="AN407" s="50"/>
      <c r="AO407" s="69"/>
      <c r="AP407" s="69"/>
      <c r="AQ407" s="69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5"/>
      <c r="BD407" s="56"/>
      <c r="BE407" s="61"/>
      <c r="BF407" s="65"/>
      <c r="BG407" s="66"/>
      <c r="BH407" s="66"/>
      <c r="BI407" s="60"/>
      <c r="BJ407" s="60"/>
      <c r="BK407" s="60"/>
      <c r="BL407" s="60"/>
      <c r="BM407" s="60"/>
      <c r="BN407" s="60"/>
      <c r="BO407" s="60"/>
      <c r="BP407" s="60"/>
      <c r="BQ407" s="60" t="str">
        <f>IF(BS407="Original",AI407,AZ407)</f>
        <v>Low Threshold Spend</v>
      </c>
      <c r="BR407" s="60"/>
      <c r="BS407" s="60" t="str">
        <f>IF(AQ407="","Original",IF(AP407&lt;Y407,"Alternate","Original"))</f>
        <v>Original</v>
      </c>
    </row>
    <row r="408" spans="1:71" s="31" customFormat="1" x14ac:dyDescent="0.35">
      <c r="A408" s="53" t="s">
        <v>39</v>
      </c>
      <c r="B408" s="49">
        <v>406</v>
      </c>
      <c r="C408" s="50"/>
      <c r="D408" s="50"/>
      <c r="E408" s="51"/>
      <c r="F408" s="50" t="s">
        <v>60</v>
      </c>
      <c r="G408" s="50" t="s">
        <v>1211</v>
      </c>
      <c r="H408" s="50" t="s">
        <v>1212</v>
      </c>
      <c r="I408" s="50"/>
      <c r="J408" s="50"/>
      <c r="K408" s="50"/>
      <c r="L408" s="50"/>
      <c r="M408" s="50"/>
      <c r="N408" s="54" t="s">
        <v>43</v>
      </c>
      <c r="O408" s="49">
        <v>1</v>
      </c>
      <c r="P408" s="43">
        <v>13.74</v>
      </c>
      <c r="Q408" s="49">
        <v>1</v>
      </c>
      <c r="R408" s="44">
        <f>P408/O408</f>
        <v>13.74</v>
      </c>
      <c r="S408" s="49">
        <f>Q408*O408</f>
        <v>1</v>
      </c>
      <c r="T408" s="52">
        <f>S408*R408</f>
        <v>13.74</v>
      </c>
      <c r="U408" s="50"/>
      <c r="V408" s="50"/>
      <c r="W408" s="50"/>
      <c r="X408" s="69"/>
      <c r="Y408" s="69"/>
      <c r="Z408" s="69"/>
      <c r="AA408" s="50"/>
      <c r="AB408" s="50"/>
      <c r="AC408" s="50"/>
      <c r="AD408" s="50"/>
      <c r="AE408" s="50"/>
      <c r="AF408" s="50"/>
      <c r="AG408" s="50"/>
      <c r="AH408" s="50"/>
      <c r="AI408" s="50" t="s">
        <v>652</v>
      </c>
      <c r="AJ408" s="50"/>
      <c r="AK408" s="50"/>
      <c r="AL408" s="44"/>
      <c r="AM408" s="45"/>
      <c r="AN408" s="50"/>
      <c r="AO408" s="69"/>
      <c r="AP408" s="69"/>
      <c r="AQ408" s="69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5"/>
      <c r="BD408" s="56"/>
      <c r="BE408" s="61"/>
      <c r="BF408" s="65"/>
      <c r="BG408" s="66"/>
      <c r="BH408" s="66"/>
      <c r="BI408" s="60"/>
      <c r="BJ408" s="60"/>
      <c r="BK408" s="60"/>
      <c r="BL408" s="60"/>
      <c r="BM408" s="60"/>
      <c r="BN408" s="60"/>
      <c r="BO408" s="60"/>
      <c r="BP408" s="60"/>
      <c r="BQ408" s="60" t="str">
        <f>IF(BS408="Original",AI408,AZ408)</f>
        <v>Low Threshold Spend</v>
      </c>
      <c r="BR408" s="60"/>
      <c r="BS408" s="60" t="str">
        <f>IF(AQ408="","Original",IF(AP408&lt;Y408,"Alternate","Original"))</f>
        <v>Original</v>
      </c>
    </row>
    <row r="409" spans="1:71" s="31" customFormat="1" x14ac:dyDescent="0.35">
      <c r="A409" s="53" t="s">
        <v>39</v>
      </c>
      <c r="B409" s="49">
        <v>407</v>
      </c>
      <c r="C409" s="50"/>
      <c r="D409" s="50"/>
      <c r="E409" s="51"/>
      <c r="F409" s="50" t="s">
        <v>60</v>
      </c>
      <c r="G409" s="50" t="s">
        <v>1213</v>
      </c>
      <c r="H409" s="50" t="s">
        <v>1214</v>
      </c>
      <c r="I409" s="50"/>
      <c r="J409" s="50"/>
      <c r="K409" s="50"/>
      <c r="L409" s="50"/>
      <c r="M409" s="50"/>
      <c r="N409" s="54" t="s">
        <v>43</v>
      </c>
      <c r="O409" s="49">
        <v>1</v>
      </c>
      <c r="P409" s="43">
        <v>13.65</v>
      </c>
      <c r="Q409" s="49">
        <v>1</v>
      </c>
      <c r="R409" s="44">
        <f>P409/O409</f>
        <v>13.65</v>
      </c>
      <c r="S409" s="49">
        <f>Q409*O409</f>
        <v>1</v>
      </c>
      <c r="T409" s="52">
        <f>S409*R409</f>
        <v>13.65</v>
      </c>
      <c r="U409" s="50"/>
      <c r="V409" s="50"/>
      <c r="W409" s="50"/>
      <c r="X409" s="69"/>
      <c r="Y409" s="69"/>
      <c r="Z409" s="69"/>
      <c r="AA409" s="50"/>
      <c r="AB409" s="50"/>
      <c r="AC409" s="50"/>
      <c r="AD409" s="50"/>
      <c r="AE409" s="50"/>
      <c r="AF409" s="50"/>
      <c r="AG409" s="50"/>
      <c r="AH409" s="50"/>
      <c r="AI409" s="50" t="s">
        <v>652</v>
      </c>
      <c r="AJ409" s="50"/>
      <c r="AK409" s="50"/>
      <c r="AL409" s="44"/>
      <c r="AM409" s="45"/>
      <c r="AN409" s="50"/>
      <c r="AO409" s="69"/>
      <c r="AP409" s="69"/>
      <c r="AQ409" s="69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5"/>
      <c r="BD409" s="56"/>
      <c r="BE409" s="61"/>
      <c r="BF409" s="65"/>
      <c r="BG409" s="66"/>
      <c r="BH409" s="66"/>
      <c r="BI409" s="60"/>
      <c r="BJ409" s="60"/>
      <c r="BK409" s="60"/>
      <c r="BL409" s="60"/>
      <c r="BM409" s="60"/>
      <c r="BN409" s="60"/>
      <c r="BO409" s="60"/>
      <c r="BP409" s="60"/>
      <c r="BQ409" s="60" t="str">
        <f>IF(BS409="Original",AI409,AZ409)</f>
        <v>Low Threshold Spend</v>
      </c>
      <c r="BR409" s="60"/>
      <c r="BS409" s="60" t="str">
        <f>IF(AQ409="","Original",IF(AP409&lt;Y409,"Alternate","Original"))</f>
        <v>Original</v>
      </c>
    </row>
    <row r="410" spans="1:71" s="31" customFormat="1" x14ac:dyDescent="0.35">
      <c r="A410" s="53" t="s">
        <v>39</v>
      </c>
      <c r="B410" s="49">
        <v>408</v>
      </c>
      <c r="C410" s="50"/>
      <c r="D410" s="50"/>
      <c r="E410" s="51"/>
      <c r="F410" s="50" t="s">
        <v>60</v>
      </c>
      <c r="G410" s="50" t="s">
        <v>1215</v>
      </c>
      <c r="H410" s="50" t="s">
        <v>1216</v>
      </c>
      <c r="I410" s="50"/>
      <c r="J410" s="50"/>
      <c r="K410" s="50"/>
      <c r="L410" s="50"/>
      <c r="M410" s="50"/>
      <c r="N410" s="54" t="s">
        <v>43</v>
      </c>
      <c r="O410" s="49">
        <v>1</v>
      </c>
      <c r="P410" s="43">
        <v>13.53</v>
      </c>
      <c r="Q410" s="49">
        <v>1</v>
      </c>
      <c r="R410" s="44">
        <f>P410/O410</f>
        <v>13.53</v>
      </c>
      <c r="S410" s="49">
        <f>Q410*O410</f>
        <v>1</v>
      </c>
      <c r="T410" s="52">
        <f>S410*R410</f>
        <v>13.53</v>
      </c>
      <c r="U410" s="50"/>
      <c r="V410" s="50"/>
      <c r="W410" s="50"/>
      <c r="X410" s="69"/>
      <c r="Y410" s="69"/>
      <c r="Z410" s="69"/>
      <c r="AA410" s="50"/>
      <c r="AB410" s="50"/>
      <c r="AC410" s="50"/>
      <c r="AD410" s="50"/>
      <c r="AE410" s="50"/>
      <c r="AF410" s="50"/>
      <c r="AG410" s="50"/>
      <c r="AH410" s="50"/>
      <c r="AI410" s="50" t="s">
        <v>652</v>
      </c>
      <c r="AJ410" s="50"/>
      <c r="AK410" s="50"/>
      <c r="AL410" s="44"/>
      <c r="AM410" s="45"/>
      <c r="AN410" s="50"/>
      <c r="AO410" s="69"/>
      <c r="AP410" s="69"/>
      <c r="AQ410" s="69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5"/>
      <c r="BD410" s="56"/>
      <c r="BE410" s="61"/>
      <c r="BF410" s="65"/>
      <c r="BG410" s="66"/>
      <c r="BH410" s="66"/>
      <c r="BI410" s="60"/>
      <c r="BJ410" s="60"/>
      <c r="BK410" s="60"/>
      <c r="BL410" s="60"/>
      <c r="BM410" s="60"/>
      <c r="BN410" s="60"/>
      <c r="BO410" s="60"/>
      <c r="BP410" s="60"/>
      <c r="BQ410" s="60" t="str">
        <f>IF(BS410="Original",AI410,AZ410)</f>
        <v>Low Threshold Spend</v>
      </c>
      <c r="BR410" s="60"/>
      <c r="BS410" s="60" t="str">
        <f>IF(AQ410="","Original",IF(AP410&lt;Y410,"Alternate","Original"))</f>
        <v>Original</v>
      </c>
    </row>
    <row r="411" spans="1:71" s="31" customFormat="1" x14ac:dyDescent="0.35">
      <c r="A411" s="53" t="s">
        <v>39</v>
      </c>
      <c r="B411" s="49">
        <v>409</v>
      </c>
      <c r="C411" s="50"/>
      <c r="D411" s="50"/>
      <c r="E411" s="51"/>
      <c r="F411" s="50" t="s">
        <v>49</v>
      </c>
      <c r="G411" s="50" t="s">
        <v>1217</v>
      </c>
      <c r="H411" s="50" t="s">
        <v>1218</v>
      </c>
      <c r="I411" s="50"/>
      <c r="J411" s="50"/>
      <c r="K411" s="50"/>
      <c r="L411" s="50"/>
      <c r="M411" s="50"/>
      <c r="N411" s="54" t="s">
        <v>43</v>
      </c>
      <c r="O411" s="49">
        <v>1</v>
      </c>
      <c r="P411" s="43">
        <v>13.46</v>
      </c>
      <c r="Q411" s="49">
        <v>1</v>
      </c>
      <c r="R411" s="44">
        <f>P411/O411</f>
        <v>13.46</v>
      </c>
      <c r="S411" s="49">
        <f>Q411*O411</f>
        <v>1</v>
      </c>
      <c r="T411" s="52">
        <f>S411*R411</f>
        <v>13.46</v>
      </c>
      <c r="U411" s="50"/>
      <c r="V411" s="50"/>
      <c r="W411" s="50"/>
      <c r="X411" s="69"/>
      <c r="Y411" s="69"/>
      <c r="Z411" s="69"/>
      <c r="AA411" s="50"/>
      <c r="AB411" s="50"/>
      <c r="AC411" s="50"/>
      <c r="AD411" s="50"/>
      <c r="AE411" s="50"/>
      <c r="AF411" s="50"/>
      <c r="AG411" s="50"/>
      <c r="AH411" s="50"/>
      <c r="AI411" s="50" t="s">
        <v>652</v>
      </c>
      <c r="AJ411" s="50"/>
      <c r="AK411" s="50"/>
      <c r="AL411" s="44"/>
      <c r="AM411" s="45"/>
      <c r="AN411" s="50"/>
      <c r="AO411" s="69"/>
      <c r="AP411" s="69"/>
      <c r="AQ411" s="69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5"/>
      <c r="BD411" s="56"/>
      <c r="BE411" s="61"/>
      <c r="BF411" s="65"/>
      <c r="BG411" s="66"/>
      <c r="BH411" s="66"/>
      <c r="BI411" s="60"/>
      <c r="BJ411" s="60"/>
      <c r="BK411" s="60"/>
      <c r="BL411" s="60"/>
      <c r="BM411" s="60"/>
      <c r="BN411" s="60"/>
      <c r="BO411" s="60"/>
      <c r="BP411" s="60"/>
      <c r="BQ411" s="60" t="str">
        <f>IF(BS411="Original",AI411,AZ411)</f>
        <v>Low Threshold Spend</v>
      </c>
      <c r="BR411" s="60"/>
      <c r="BS411" s="60" t="str">
        <f>IF(AQ411="","Original",IF(AP411&lt;Y411,"Alternate","Original"))</f>
        <v>Original</v>
      </c>
    </row>
    <row r="412" spans="1:71" s="31" customFormat="1" x14ac:dyDescent="0.35">
      <c r="A412" s="53" t="s">
        <v>39</v>
      </c>
      <c r="B412" s="49">
        <v>410</v>
      </c>
      <c r="C412" s="50"/>
      <c r="D412" s="50"/>
      <c r="E412" s="51"/>
      <c r="F412" s="50" t="s">
        <v>40</v>
      </c>
      <c r="G412" s="50" t="s">
        <v>1219</v>
      </c>
      <c r="H412" s="50" t="s">
        <v>1220</v>
      </c>
      <c r="I412" s="50"/>
      <c r="J412" s="50"/>
      <c r="K412" s="50"/>
      <c r="L412" s="50"/>
      <c r="M412" s="50"/>
      <c r="N412" s="54" t="s">
        <v>43</v>
      </c>
      <c r="O412" s="49">
        <v>1</v>
      </c>
      <c r="P412" s="43">
        <v>13.44</v>
      </c>
      <c r="Q412" s="49">
        <v>1</v>
      </c>
      <c r="R412" s="44">
        <f>P412/O412</f>
        <v>13.44</v>
      </c>
      <c r="S412" s="49">
        <f>Q412*O412</f>
        <v>1</v>
      </c>
      <c r="T412" s="52">
        <f>S412*R412</f>
        <v>13.44</v>
      </c>
      <c r="U412" s="50"/>
      <c r="V412" s="50"/>
      <c r="W412" s="50"/>
      <c r="X412" s="69"/>
      <c r="Y412" s="69"/>
      <c r="Z412" s="69"/>
      <c r="AA412" s="50"/>
      <c r="AB412" s="50"/>
      <c r="AC412" s="50"/>
      <c r="AD412" s="50"/>
      <c r="AE412" s="50"/>
      <c r="AF412" s="50"/>
      <c r="AG412" s="50"/>
      <c r="AH412" s="50"/>
      <c r="AI412" s="50" t="s">
        <v>652</v>
      </c>
      <c r="AJ412" s="50"/>
      <c r="AK412" s="50"/>
      <c r="AL412" s="44"/>
      <c r="AM412" s="45"/>
      <c r="AN412" s="50"/>
      <c r="AO412" s="69"/>
      <c r="AP412" s="69"/>
      <c r="AQ412" s="69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5"/>
      <c r="BD412" s="56"/>
      <c r="BE412" s="61"/>
      <c r="BF412" s="65"/>
      <c r="BG412" s="66"/>
      <c r="BH412" s="66"/>
      <c r="BI412" s="60"/>
      <c r="BJ412" s="60"/>
      <c r="BK412" s="60"/>
      <c r="BL412" s="60"/>
      <c r="BM412" s="60"/>
      <c r="BN412" s="60"/>
      <c r="BO412" s="60"/>
      <c r="BP412" s="60"/>
      <c r="BQ412" s="60" t="str">
        <f>IF(BS412="Original",AI412,AZ412)</f>
        <v>Low Threshold Spend</v>
      </c>
      <c r="BR412" s="60"/>
      <c r="BS412" s="60" t="str">
        <f>IF(AQ412="","Original",IF(AP412&lt;Y412,"Alternate","Original"))</f>
        <v>Original</v>
      </c>
    </row>
    <row r="413" spans="1:71" s="31" customFormat="1" x14ac:dyDescent="0.35">
      <c r="A413" s="53" t="s">
        <v>39</v>
      </c>
      <c r="B413" s="49">
        <v>411</v>
      </c>
      <c r="C413" s="50"/>
      <c r="D413" s="50"/>
      <c r="E413" s="51"/>
      <c r="F413" s="50" t="s">
        <v>40</v>
      </c>
      <c r="G413" s="50" t="s">
        <v>1221</v>
      </c>
      <c r="H413" s="50" t="s">
        <v>1222</v>
      </c>
      <c r="I413" s="50"/>
      <c r="J413" s="50"/>
      <c r="K413" s="50"/>
      <c r="L413" s="50"/>
      <c r="M413" s="50"/>
      <c r="N413" s="54" t="s">
        <v>43</v>
      </c>
      <c r="O413" s="49">
        <v>1</v>
      </c>
      <c r="P413" s="43">
        <v>13.44</v>
      </c>
      <c r="Q413" s="49">
        <v>1</v>
      </c>
      <c r="R413" s="44">
        <f>P413/O413</f>
        <v>13.44</v>
      </c>
      <c r="S413" s="49">
        <f>Q413*O413</f>
        <v>1</v>
      </c>
      <c r="T413" s="52">
        <f>S413*R413</f>
        <v>13.44</v>
      </c>
      <c r="U413" s="50"/>
      <c r="V413" s="50"/>
      <c r="W413" s="50"/>
      <c r="X413" s="69"/>
      <c r="Y413" s="69"/>
      <c r="Z413" s="69"/>
      <c r="AA413" s="50"/>
      <c r="AB413" s="50"/>
      <c r="AC413" s="50"/>
      <c r="AD413" s="50"/>
      <c r="AE413" s="50"/>
      <c r="AF413" s="50"/>
      <c r="AG413" s="50"/>
      <c r="AH413" s="50"/>
      <c r="AI413" s="50" t="s">
        <v>652</v>
      </c>
      <c r="AJ413" s="50"/>
      <c r="AK413" s="50"/>
      <c r="AL413" s="44"/>
      <c r="AM413" s="45"/>
      <c r="AN413" s="50"/>
      <c r="AO413" s="69"/>
      <c r="AP413" s="69"/>
      <c r="AQ413" s="69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5"/>
      <c r="BD413" s="56"/>
      <c r="BE413" s="61"/>
      <c r="BF413" s="65"/>
      <c r="BG413" s="66"/>
      <c r="BH413" s="66"/>
      <c r="BI413" s="60"/>
      <c r="BJ413" s="60"/>
      <c r="BK413" s="60"/>
      <c r="BL413" s="60"/>
      <c r="BM413" s="60"/>
      <c r="BN413" s="60"/>
      <c r="BO413" s="60"/>
      <c r="BP413" s="60"/>
      <c r="BQ413" s="60" t="str">
        <f>IF(BS413="Original",AI413,AZ413)</f>
        <v>Low Threshold Spend</v>
      </c>
      <c r="BR413" s="60"/>
      <c r="BS413" s="60" t="str">
        <f>IF(AQ413="","Original",IF(AP413&lt;Y413,"Alternate","Original"))</f>
        <v>Original</v>
      </c>
    </row>
    <row r="414" spans="1:71" s="31" customFormat="1" x14ac:dyDescent="0.35">
      <c r="A414" s="53" t="s">
        <v>39</v>
      </c>
      <c r="B414" s="49">
        <v>412</v>
      </c>
      <c r="C414" s="50"/>
      <c r="D414" s="50"/>
      <c r="E414" s="51"/>
      <c r="F414" s="50" t="s">
        <v>40</v>
      </c>
      <c r="G414" s="50" t="s">
        <v>1223</v>
      </c>
      <c r="H414" s="50" t="s">
        <v>1224</v>
      </c>
      <c r="I414" s="50"/>
      <c r="J414" s="50"/>
      <c r="K414" s="50"/>
      <c r="L414" s="50"/>
      <c r="M414" s="50"/>
      <c r="N414" s="54" t="s">
        <v>43</v>
      </c>
      <c r="O414" s="49">
        <v>1</v>
      </c>
      <c r="P414" s="43">
        <v>13.35</v>
      </c>
      <c r="Q414" s="49">
        <v>1</v>
      </c>
      <c r="R414" s="44">
        <f>P414/O414</f>
        <v>13.35</v>
      </c>
      <c r="S414" s="49">
        <f>Q414*O414</f>
        <v>1</v>
      </c>
      <c r="T414" s="52">
        <f>S414*R414</f>
        <v>13.35</v>
      </c>
      <c r="U414" s="50"/>
      <c r="V414" s="50"/>
      <c r="W414" s="50"/>
      <c r="X414" s="69"/>
      <c r="Y414" s="69"/>
      <c r="Z414" s="69"/>
      <c r="AA414" s="50"/>
      <c r="AB414" s="50"/>
      <c r="AC414" s="50"/>
      <c r="AD414" s="50"/>
      <c r="AE414" s="50"/>
      <c r="AF414" s="50"/>
      <c r="AG414" s="50"/>
      <c r="AH414" s="50"/>
      <c r="AI414" s="50" t="s">
        <v>652</v>
      </c>
      <c r="AJ414" s="50"/>
      <c r="AK414" s="50"/>
      <c r="AL414" s="44"/>
      <c r="AM414" s="45"/>
      <c r="AN414" s="50"/>
      <c r="AO414" s="69"/>
      <c r="AP414" s="69"/>
      <c r="AQ414" s="69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5"/>
      <c r="BD414" s="56"/>
      <c r="BE414" s="61"/>
      <c r="BF414" s="65"/>
      <c r="BG414" s="66"/>
      <c r="BH414" s="66"/>
      <c r="BI414" s="60"/>
      <c r="BJ414" s="60"/>
      <c r="BK414" s="60"/>
      <c r="BL414" s="60"/>
      <c r="BM414" s="60"/>
      <c r="BN414" s="60"/>
      <c r="BO414" s="60"/>
      <c r="BP414" s="60"/>
      <c r="BQ414" s="60" t="str">
        <f>IF(BS414="Original",AI414,AZ414)</f>
        <v>Low Threshold Spend</v>
      </c>
      <c r="BR414" s="60"/>
      <c r="BS414" s="60" t="str">
        <f>IF(AQ414="","Original",IF(AP414&lt;Y414,"Alternate","Original"))</f>
        <v>Original</v>
      </c>
    </row>
    <row r="415" spans="1:71" s="31" customFormat="1" x14ac:dyDescent="0.35">
      <c r="A415" s="53" t="s">
        <v>39</v>
      </c>
      <c r="B415" s="49">
        <v>413</v>
      </c>
      <c r="C415" s="50"/>
      <c r="D415" s="50"/>
      <c r="E415" s="51"/>
      <c r="F415" s="50" t="s">
        <v>60</v>
      </c>
      <c r="G415" s="50" t="s">
        <v>1225</v>
      </c>
      <c r="H415" s="50" t="s">
        <v>1226</v>
      </c>
      <c r="I415" s="50"/>
      <c r="J415" s="50"/>
      <c r="K415" s="50"/>
      <c r="L415" s="50"/>
      <c r="M415" s="50"/>
      <c r="N415" s="54" t="s">
        <v>43</v>
      </c>
      <c r="O415" s="49">
        <v>1</v>
      </c>
      <c r="P415" s="43">
        <v>13.25</v>
      </c>
      <c r="Q415" s="49">
        <v>1</v>
      </c>
      <c r="R415" s="44">
        <f>P415/O415</f>
        <v>13.25</v>
      </c>
      <c r="S415" s="49">
        <f>Q415*O415</f>
        <v>1</v>
      </c>
      <c r="T415" s="52">
        <f>S415*R415</f>
        <v>13.25</v>
      </c>
      <c r="U415" s="50"/>
      <c r="V415" s="50"/>
      <c r="W415" s="50"/>
      <c r="X415" s="69"/>
      <c r="Y415" s="69"/>
      <c r="Z415" s="69"/>
      <c r="AA415" s="50"/>
      <c r="AB415" s="50"/>
      <c r="AC415" s="50"/>
      <c r="AD415" s="50"/>
      <c r="AE415" s="50"/>
      <c r="AF415" s="50"/>
      <c r="AG415" s="50"/>
      <c r="AH415" s="50"/>
      <c r="AI415" s="50" t="s">
        <v>652</v>
      </c>
      <c r="AJ415" s="50"/>
      <c r="AK415" s="50"/>
      <c r="AL415" s="44"/>
      <c r="AM415" s="45"/>
      <c r="AN415" s="50"/>
      <c r="AO415" s="69"/>
      <c r="AP415" s="69"/>
      <c r="AQ415" s="69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5"/>
      <c r="BD415" s="56"/>
      <c r="BE415" s="61"/>
      <c r="BF415" s="65"/>
      <c r="BG415" s="66"/>
      <c r="BH415" s="66"/>
      <c r="BI415" s="60"/>
      <c r="BJ415" s="60"/>
      <c r="BK415" s="60"/>
      <c r="BL415" s="60"/>
      <c r="BM415" s="60"/>
      <c r="BN415" s="60"/>
      <c r="BO415" s="60"/>
      <c r="BP415" s="60"/>
      <c r="BQ415" s="60" t="str">
        <f>IF(BS415="Original",AI415,AZ415)</f>
        <v>Low Threshold Spend</v>
      </c>
      <c r="BR415" s="60"/>
      <c r="BS415" s="60" t="str">
        <f>IF(AQ415="","Original",IF(AP415&lt;Y415,"Alternate","Original"))</f>
        <v>Original</v>
      </c>
    </row>
    <row r="416" spans="1:71" s="31" customFormat="1" x14ac:dyDescent="0.35">
      <c r="A416" s="53" t="s">
        <v>39</v>
      </c>
      <c r="B416" s="49">
        <v>414</v>
      </c>
      <c r="C416" s="50"/>
      <c r="D416" s="50"/>
      <c r="E416" s="51"/>
      <c r="F416" s="50" t="s">
        <v>40</v>
      </c>
      <c r="G416" s="50" t="s">
        <v>1227</v>
      </c>
      <c r="H416" s="50" t="s">
        <v>1228</v>
      </c>
      <c r="I416" s="50"/>
      <c r="J416" s="50"/>
      <c r="K416" s="50"/>
      <c r="L416" s="50"/>
      <c r="M416" s="50"/>
      <c r="N416" s="54" t="s">
        <v>43</v>
      </c>
      <c r="O416" s="49">
        <v>1</v>
      </c>
      <c r="P416" s="43">
        <v>13.04</v>
      </c>
      <c r="Q416" s="49">
        <v>1</v>
      </c>
      <c r="R416" s="44">
        <f>P416/O416</f>
        <v>13.04</v>
      </c>
      <c r="S416" s="49">
        <f>Q416*O416</f>
        <v>1</v>
      </c>
      <c r="T416" s="52">
        <f>S416*R416</f>
        <v>13.04</v>
      </c>
      <c r="U416" s="50"/>
      <c r="V416" s="50"/>
      <c r="W416" s="50"/>
      <c r="X416" s="69"/>
      <c r="Y416" s="69"/>
      <c r="Z416" s="69"/>
      <c r="AA416" s="50"/>
      <c r="AB416" s="50"/>
      <c r="AC416" s="50"/>
      <c r="AD416" s="50"/>
      <c r="AE416" s="50"/>
      <c r="AF416" s="50"/>
      <c r="AG416" s="50"/>
      <c r="AH416" s="50"/>
      <c r="AI416" s="50" t="s">
        <v>652</v>
      </c>
      <c r="AJ416" s="50"/>
      <c r="AK416" s="50"/>
      <c r="AL416" s="44"/>
      <c r="AM416" s="45"/>
      <c r="AN416" s="50"/>
      <c r="AO416" s="69"/>
      <c r="AP416" s="69"/>
      <c r="AQ416" s="69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5"/>
      <c r="BD416" s="56"/>
      <c r="BE416" s="61"/>
      <c r="BF416" s="65"/>
      <c r="BG416" s="66"/>
      <c r="BH416" s="66"/>
      <c r="BI416" s="60"/>
      <c r="BJ416" s="60"/>
      <c r="BK416" s="60"/>
      <c r="BL416" s="60"/>
      <c r="BM416" s="60"/>
      <c r="BN416" s="60"/>
      <c r="BO416" s="60"/>
      <c r="BP416" s="60"/>
      <c r="BQ416" s="60" t="str">
        <f>IF(BS416="Original",AI416,AZ416)</f>
        <v>Low Threshold Spend</v>
      </c>
      <c r="BR416" s="60"/>
      <c r="BS416" s="60" t="str">
        <f>IF(AQ416="","Original",IF(AP416&lt;Y416,"Alternate","Original"))</f>
        <v>Original</v>
      </c>
    </row>
    <row r="417" spans="1:71" s="31" customFormat="1" x14ac:dyDescent="0.35">
      <c r="A417" s="53" t="s">
        <v>39</v>
      </c>
      <c r="B417" s="49">
        <v>415</v>
      </c>
      <c r="C417" s="50"/>
      <c r="D417" s="50"/>
      <c r="E417" s="51"/>
      <c r="F417" s="50" t="s">
        <v>40</v>
      </c>
      <c r="G417" s="50" t="s">
        <v>1229</v>
      </c>
      <c r="H417" s="50" t="s">
        <v>1230</v>
      </c>
      <c r="I417" s="50"/>
      <c r="J417" s="50"/>
      <c r="K417" s="50"/>
      <c r="L417" s="50"/>
      <c r="M417" s="50"/>
      <c r="N417" s="54" t="s">
        <v>43</v>
      </c>
      <c r="O417" s="49">
        <v>1</v>
      </c>
      <c r="P417" s="43">
        <v>12.91</v>
      </c>
      <c r="Q417" s="49">
        <v>1</v>
      </c>
      <c r="R417" s="44">
        <f>P417/O417</f>
        <v>12.91</v>
      </c>
      <c r="S417" s="49">
        <f>Q417*O417</f>
        <v>1</v>
      </c>
      <c r="T417" s="52">
        <f>S417*R417</f>
        <v>12.91</v>
      </c>
      <c r="U417" s="50"/>
      <c r="V417" s="50"/>
      <c r="W417" s="50"/>
      <c r="X417" s="69"/>
      <c r="Y417" s="69"/>
      <c r="Z417" s="69"/>
      <c r="AA417" s="50"/>
      <c r="AB417" s="50"/>
      <c r="AC417" s="50"/>
      <c r="AD417" s="50"/>
      <c r="AE417" s="50"/>
      <c r="AF417" s="50"/>
      <c r="AG417" s="50"/>
      <c r="AH417" s="50"/>
      <c r="AI417" s="50" t="s">
        <v>652</v>
      </c>
      <c r="AJ417" s="50"/>
      <c r="AK417" s="50"/>
      <c r="AL417" s="44"/>
      <c r="AM417" s="45"/>
      <c r="AN417" s="50"/>
      <c r="AO417" s="69"/>
      <c r="AP417" s="69"/>
      <c r="AQ417" s="69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5"/>
      <c r="BD417" s="56"/>
      <c r="BE417" s="61"/>
      <c r="BF417" s="65"/>
      <c r="BG417" s="66"/>
      <c r="BH417" s="66"/>
      <c r="BI417" s="60"/>
      <c r="BJ417" s="60"/>
      <c r="BK417" s="60"/>
      <c r="BL417" s="60"/>
      <c r="BM417" s="60"/>
      <c r="BN417" s="60"/>
      <c r="BO417" s="60"/>
      <c r="BP417" s="60"/>
      <c r="BQ417" s="60" t="str">
        <f>IF(BS417="Original",AI417,AZ417)</f>
        <v>Low Threshold Spend</v>
      </c>
      <c r="BR417" s="60"/>
      <c r="BS417" s="60" t="str">
        <f>IF(AQ417="","Original",IF(AP417&lt;Y417,"Alternate","Original"))</f>
        <v>Original</v>
      </c>
    </row>
    <row r="418" spans="1:71" s="31" customFormat="1" x14ac:dyDescent="0.35">
      <c r="A418" s="53" t="s">
        <v>39</v>
      </c>
      <c r="B418" s="49">
        <v>416</v>
      </c>
      <c r="C418" s="50"/>
      <c r="D418" s="50"/>
      <c r="E418" s="51"/>
      <c r="F418" s="50" t="s">
        <v>60</v>
      </c>
      <c r="G418" s="50" t="s">
        <v>1231</v>
      </c>
      <c r="H418" s="50" t="s">
        <v>1232</v>
      </c>
      <c r="I418" s="50"/>
      <c r="J418" s="50"/>
      <c r="K418" s="50"/>
      <c r="L418" s="50"/>
      <c r="M418" s="50"/>
      <c r="N418" s="54" t="s">
        <v>43</v>
      </c>
      <c r="O418" s="49">
        <v>1</v>
      </c>
      <c r="P418" s="43">
        <v>12.83</v>
      </c>
      <c r="Q418" s="49">
        <v>1</v>
      </c>
      <c r="R418" s="44">
        <f>P418/O418</f>
        <v>12.83</v>
      </c>
      <c r="S418" s="49">
        <f>Q418*O418</f>
        <v>1</v>
      </c>
      <c r="T418" s="52">
        <f>S418*R418</f>
        <v>12.83</v>
      </c>
      <c r="U418" s="50"/>
      <c r="V418" s="50"/>
      <c r="W418" s="50"/>
      <c r="X418" s="69"/>
      <c r="Y418" s="69"/>
      <c r="Z418" s="69"/>
      <c r="AA418" s="50"/>
      <c r="AB418" s="50"/>
      <c r="AC418" s="50"/>
      <c r="AD418" s="50"/>
      <c r="AE418" s="50"/>
      <c r="AF418" s="50"/>
      <c r="AG418" s="50"/>
      <c r="AH418" s="50"/>
      <c r="AI418" s="50" t="s">
        <v>652</v>
      </c>
      <c r="AJ418" s="50"/>
      <c r="AK418" s="50"/>
      <c r="AL418" s="44"/>
      <c r="AM418" s="45"/>
      <c r="AN418" s="50"/>
      <c r="AO418" s="69"/>
      <c r="AP418" s="69"/>
      <c r="AQ418" s="69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5"/>
      <c r="BD418" s="56"/>
      <c r="BE418" s="61"/>
      <c r="BF418" s="65"/>
      <c r="BG418" s="66"/>
      <c r="BH418" s="66"/>
      <c r="BI418" s="60"/>
      <c r="BJ418" s="60"/>
      <c r="BK418" s="60"/>
      <c r="BL418" s="60"/>
      <c r="BM418" s="60"/>
      <c r="BN418" s="60"/>
      <c r="BO418" s="60"/>
      <c r="BP418" s="60"/>
      <c r="BQ418" s="60" t="str">
        <f>IF(BS418="Original",AI418,AZ418)</f>
        <v>Low Threshold Spend</v>
      </c>
      <c r="BR418" s="60"/>
      <c r="BS418" s="60" t="str">
        <f>IF(AQ418="","Original",IF(AP418&lt;Y418,"Alternate","Original"))</f>
        <v>Original</v>
      </c>
    </row>
    <row r="419" spans="1:71" s="31" customFormat="1" x14ac:dyDescent="0.35">
      <c r="A419" s="53" t="s">
        <v>39</v>
      </c>
      <c r="B419" s="49">
        <v>417</v>
      </c>
      <c r="C419" s="50"/>
      <c r="D419" s="50"/>
      <c r="E419" s="51"/>
      <c r="F419" s="50" t="s">
        <v>40</v>
      </c>
      <c r="G419" s="50" t="s">
        <v>1233</v>
      </c>
      <c r="H419" s="50" t="s">
        <v>1234</v>
      </c>
      <c r="I419" s="50"/>
      <c r="J419" s="50"/>
      <c r="K419" s="50"/>
      <c r="L419" s="50"/>
      <c r="M419" s="50"/>
      <c r="N419" s="54" t="s">
        <v>43</v>
      </c>
      <c r="O419" s="49">
        <v>1</v>
      </c>
      <c r="P419" s="43">
        <v>12.81</v>
      </c>
      <c r="Q419" s="49">
        <v>1</v>
      </c>
      <c r="R419" s="44">
        <f>P419/O419</f>
        <v>12.81</v>
      </c>
      <c r="S419" s="49">
        <f>Q419*O419</f>
        <v>1</v>
      </c>
      <c r="T419" s="52">
        <f>S419*R419</f>
        <v>12.81</v>
      </c>
      <c r="U419" s="50"/>
      <c r="V419" s="50"/>
      <c r="W419" s="50"/>
      <c r="X419" s="69"/>
      <c r="Y419" s="69"/>
      <c r="Z419" s="69"/>
      <c r="AA419" s="50"/>
      <c r="AB419" s="50"/>
      <c r="AC419" s="50"/>
      <c r="AD419" s="50"/>
      <c r="AE419" s="50"/>
      <c r="AF419" s="50"/>
      <c r="AG419" s="50"/>
      <c r="AH419" s="50"/>
      <c r="AI419" s="50" t="s">
        <v>652</v>
      </c>
      <c r="AJ419" s="50"/>
      <c r="AK419" s="50"/>
      <c r="AL419" s="44"/>
      <c r="AM419" s="45"/>
      <c r="AN419" s="50"/>
      <c r="AO419" s="69"/>
      <c r="AP419" s="69"/>
      <c r="AQ419" s="69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5"/>
      <c r="BD419" s="56"/>
      <c r="BE419" s="61"/>
      <c r="BF419" s="65"/>
      <c r="BG419" s="66"/>
      <c r="BH419" s="66"/>
      <c r="BI419" s="60"/>
      <c r="BJ419" s="60"/>
      <c r="BK419" s="60"/>
      <c r="BL419" s="60"/>
      <c r="BM419" s="60"/>
      <c r="BN419" s="60"/>
      <c r="BO419" s="60"/>
      <c r="BP419" s="60"/>
      <c r="BQ419" s="60" t="str">
        <f>IF(BS419="Original",AI419,AZ419)</f>
        <v>Low Threshold Spend</v>
      </c>
      <c r="BR419" s="60"/>
      <c r="BS419" s="60" t="str">
        <f>IF(AQ419="","Original",IF(AP419&lt;Y419,"Alternate","Original"))</f>
        <v>Original</v>
      </c>
    </row>
    <row r="420" spans="1:71" s="31" customFormat="1" x14ac:dyDescent="0.35">
      <c r="A420" s="53" t="s">
        <v>39</v>
      </c>
      <c r="B420" s="49">
        <v>418</v>
      </c>
      <c r="C420" s="50"/>
      <c r="D420" s="50"/>
      <c r="E420" s="51"/>
      <c r="F420" s="50" t="s">
        <v>40</v>
      </c>
      <c r="G420" s="50" t="s">
        <v>1235</v>
      </c>
      <c r="H420" s="50" t="s">
        <v>1236</v>
      </c>
      <c r="I420" s="50"/>
      <c r="J420" s="50"/>
      <c r="K420" s="50"/>
      <c r="L420" s="50"/>
      <c r="M420" s="50"/>
      <c r="N420" s="54" t="s">
        <v>43</v>
      </c>
      <c r="O420" s="49">
        <v>1</v>
      </c>
      <c r="P420" s="43">
        <v>12.81</v>
      </c>
      <c r="Q420" s="49">
        <v>1</v>
      </c>
      <c r="R420" s="44">
        <f>P420/O420</f>
        <v>12.81</v>
      </c>
      <c r="S420" s="49">
        <f>Q420*O420</f>
        <v>1</v>
      </c>
      <c r="T420" s="52">
        <f>S420*R420</f>
        <v>12.81</v>
      </c>
      <c r="U420" s="50"/>
      <c r="V420" s="50"/>
      <c r="W420" s="50"/>
      <c r="X420" s="69"/>
      <c r="Y420" s="69"/>
      <c r="Z420" s="69"/>
      <c r="AA420" s="50"/>
      <c r="AB420" s="50"/>
      <c r="AC420" s="50"/>
      <c r="AD420" s="50"/>
      <c r="AE420" s="50"/>
      <c r="AF420" s="50"/>
      <c r="AG420" s="50"/>
      <c r="AH420" s="50"/>
      <c r="AI420" s="50" t="s">
        <v>652</v>
      </c>
      <c r="AJ420" s="50"/>
      <c r="AK420" s="50"/>
      <c r="AL420" s="44"/>
      <c r="AM420" s="45"/>
      <c r="AN420" s="50"/>
      <c r="AO420" s="69"/>
      <c r="AP420" s="69"/>
      <c r="AQ420" s="69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5"/>
      <c r="BD420" s="56"/>
      <c r="BE420" s="61"/>
      <c r="BF420" s="65"/>
      <c r="BG420" s="66"/>
      <c r="BH420" s="66"/>
      <c r="BI420" s="60"/>
      <c r="BJ420" s="60"/>
      <c r="BK420" s="60"/>
      <c r="BL420" s="60"/>
      <c r="BM420" s="60"/>
      <c r="BN420" s="60"/>
      <c r="BO420" s="60"/>
      <c r="BP420" s="60"/>
      <c r="BQ420" s="60" t="str">
        <f>IF(BS420="Original",AI420,AZ420)</f>
        <v>Low Threshold Spend</v>
      </c>
      <c r="BR420" s="60"/>
      <c r="BS420" s="60" t="str">
        <f>IF(AQ420="","Original",IF(AP420&lt;Y420,"Alternate","Original"))</f>
        <v>Original</v>
      </c>
    </row>
    <row r="421" spans="1:71" s="31" customFormat="1" x14ac:dyDescent="0.35">
      <c r="A421" s="53" t="s">
        <v>39</v>
      </c>
      <c r="B421" s="49">
        <v>419</v>
      </c>
      <c r="C421" s="50"/>
      <c r="D421" s="50"/>
      <c r="E421" s="51"/>
      <c r="F421" s="50" t="s">
        <v>60</v>
      </c>
      <c r="G421" s="50" t="s">
        <v>1237</v>
      </c>
      <c r="H421" s="50" t="s">
        <v>1238</v>
      </c>
      <c r="I421" s="50"/>
      <c r="J421" s="50"/>
      <c r="K421" s="50"/>
      <c r="L421" s="50"/>
      <c r="M421" s="50"/>
      <c r="N421" s="54" t="s">
        <v>43</v>
      </c>
      <c r="O421" s="49">
        <v>1</v>
      </c>
      <c r="P421" s="43">
        <v>12.79</v>
      </c>
      <c r="Q421" s="49">
        <v>1</v>
      </c>
      <c r="R421" s="44">
        <f>P421/O421</f>
        <v>12.79</v>
      </c>
      <c r="S421" s="49">
        <f>Q421*O421</f>
        <v>1</v>
      </c>
      <c r="T421" s="52">
        <f>S421*R421</f>
        <v>12.79</v>
      </c>
      <c r="U421" s="50"/>
      <c r="V421" s="50"/>
      <c r="W421" s="50"/>
      <c r="X421" s="69"/>
      <c r="Y421" s="69"/>
      <c r="Z421" s="69"/>
      <c r="AA421" s="50"/>
      <c r="AB421" s="50"/>
      <c r="AC421" s="50"/>
      <c r="AD421" s="50"/>
      <c r="AE421" s="50"/>
      <c r="AF421" s="50"/>
      <c r="AG421" s="50"/>
      <c r="AH421" s="50"/>
      <c r="AI421" s="50" t="s">
        <v>652</v>
      </c>
      <c r="AJ421" s="50"/>
      <c r="AK421" s="50"/>
      <c r="AL421" s="44"/>
      <c r="AM421" s="45"/>
      <c r="AN421" s="50"/>
      <c r="AO421" s="69"/>
      <c r="AP421" s="69"/>
      <c r="AQ421" s="69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5"/>
      <c r="BD421" s="56"/>
      <c r="BE421" s="61"/>
      <c r="BF421" s="65"/>
      <c r="BG421" s="66"/>
      <c r="BH421" s="66"/>
      <c r="BI421" s="60"/>
      <c r="BJ421" s="60"/>
      <c r="BK421" s="60"/>
      <c r="BL421" s="60"/>
      <c r="BM421" s="60"/>
      <c r="BN421" s="60"/>
      <c r="BO421" s="60"/>
      <c r="BP421" s="60"/>
      <c r="BQ421" s="60" t="str">
        <f>IF(BS421="Original",AI421,AZ421)</f>
        <v>Low Threshold Spend</v>
      </c>
      <c r="BR421" s="60"/>
      <c r="BS421" s="60" t="str">
        <f>IF(AQ421="","Original",IF(AP421&lt;Y421,"Alternate","Original"))</f>
        <v>Original</v>
      </c>
    </row>
    <row r="422" spans="1:71" s="31" customFormat="1" x14ac:dyDescent="0.35">
      <c r="A422" s="53" t="s">
        <v>39</v>
      </c>
      <c r="B422" s="49">
        <v>420</v>
      </c>
      <c r="C422" s="50"/>
      <c r="D422" s="50"/>
      <c r="E422" s="51"/>
      <c r="F422" s="50" t="s">
        <v>60</v>
      </c>
      <c r="G422" s="50" t="s">
        <v>1239</v>
      </c>
      <c r="H422" s="50" t="s">
        <v>1240</v>
      </c>
      <c r="I422" s="50"/>
      <c r="J422" s="50"/>
      <c r="K422" s="50"/>
      <c r="L422" s="50"/>
      <c r="M422" s="50"/>
      <c r="N422" s="54" t="s">
        <v>43</v>
      </c>
      <c r="O422" s="49">
        <v>1</v>
      </c>
      <c r="P422" s="43">
        <v>12.69</v>
      </c>
      <c r="Q422" s="49">
        <v>1</v>
      </c>
      <c r="R422" s="44">
        <f>P422/O422</f>
        <v>12.69</v>
      </c>
      <c r="S422" s="49">
        <f>Q422*O422</f>
        <v>1</v>
      </c>
      <c r="T422" s="52">
        <f>S422*R422</f>
        <v>12.69</v>
      </c>
      <c r="U422" s="50"/>
      <c r="V422" s="50"/>
      <c r="W422" s="50"/>
      <c r="X422" s="69"/>
      <c r="Y422" s="69"/>
      <c r="Z422" s="69"/>
      <c r="AA422" s="50"/>
      <c r="AB422" s="50"/>
      <c r="AC422" s="50"/>
      <c r="AD422" s="50"/>
      <c r="AE422" s="50"/>
      <c r="AF422" s="50"/>
      <c r="AG422" s="50"/>
      <c r="AH422" s="50"/>
      <c r="AI422" s="50" t="s">
        <v>652</v>
      </c>
      <c r="AJ422" s="50"/>
      <c r="AK422" s="50"/>
      <c r="AL422" s="44"/>
      <c r="AM422" s="45"/>
      <c r="AN422" s="50"/>
      <c r="AO422" s="69"/>
      <c r="AP422" s="69"/>
      <c r="AQ422" s="69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5"/>
      <c r="BD422" s="56"/>
      <c r="BE422" s="61"/>
      <c r="BF422" s="65"/>
      <c r="BG422" s="66"/>
      <c r="BH422" s="66"/>
      <c r="BI422" s="60"/>
      <c r="BJ422" s="60"/>
      <c r="BK422" s="60"/>
      <c r="BL422" s="60"/>
      <c r="BM422" s="60"/>
      <c r="BN422" s="60"/>
      <c r="BO422" s="60"/>
      <c r="BP422" s="60"/>
      <c r="BQ422" s="60" t="str">
        <f>IF(BS422="Original",AI422,AZ422)</f>
        <v>Low Threshold Spend</v>
      </c>
      <c r="BR422" s="60"/>
      <c r="BS422" s="60" t="str">
        <f>IF(AQ422="","Original",IF(AP422&lt;Y422,"Alternate","Original"))</f>
        <v>Original</v>
      </c>
    </row>
    <row r="423" spans="1:71" s="31" customFormat="1" x14ac:dyDescent="0.35">
      <c r="A423" s="53" t="s">
        <v>39</v>
      </c>
      <c r="B423" s="49">
        <v>421</v>
      </c>
      <c r="C423" s="50"/>
      <c r="D423" s="50"/>
      <c r="E423" s="51"/>
      <c r="F423" s="50" t="s">
        <v>40</v>
      </c>
      <c r="G423" s="50" t="s">
        <v>1241</v>
      </c>
      <c r="H423" s="50" t="s">
        <v>1242</v>
      </c>
      <c r="I423" s="50"/>
      <c r="J423" s="50"/>
      <c r="K423" s="50"/>
      <c r="L423" s="50"/>
      <c r="M423" s="50"/>
      <c r="N423" s="54" t="s">
        <v>43</v>
      </c>
      <c r="O423" s="49">
        <v>1</v>
      </c>
      <c r="P423" s="43">
        <v>12.62</v>
      </c>
      <c r="Q423" s="49">
        <v>1</v>
      </c>
      <c r="R423" s="44">
        <f>P423/O423</f>
        <v>12.62</v>
      </c>
      <c r="S423" s="49">
        <f>Q423*O423</f>
        <v>1</v>
      </c>
      <c r="T423" s="52">
        <f>S423*R423</f>
        <v>12.62</v>
      </c>
      <c r="U423" s="50"/>
      <c r="V423" s="50"/>
      <c r="W423" s="50"/>
      <c r="X423" s="69"/>
      <c r="Y423" s="69"/>
      <c r="Z423" s="69"/>
      <c r="AA423" s="50"/>
      <c r="AB423" s="50"/>
      <c r="AC423" s="50"/>
      <c r="AD423" s="50"/>
      <c r="AE423" s="50"/>
      <c r="AF423" s="50"/>
      <c r="AG423" s="50"/>
      <c r="AH423" s="50"/>
      <c r="AI423" s="50" t="s">
        <v>652</v>
      </c>
      <c r="AJ423" s="50"/>
      <c r="AK423" s="50"/>
      <c r="AL423" s="44"/>
      <c r="AM423" s="45"/>
      <c r="AN423" s="50"/>
      <c r="AO423" s="69"/>
      <c r="AP423" s="69"/>
      <c r="AQ423" s="69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5"/>
      <c r="BD423" s="56"/>
      <c r="BE423" s="61"/>
      <c r="BF423" s="65"/>
      <c r="BG423" s="66"/>
      <c r="BH423" s="66"/>
      <c r="BI423" s="60"/>
      <c r="BJ423" s="60"/>
      <c r="BK423" s="60"/>
      <c r="BL423" s="60"/>
      <c r="BM423" s="60"/>
      <c r="BN423" s="60"/>
      <c r="BO423" s="60"/>
      <c r="BP423" s="60"/>
      <c r="BQ423" s="60" t="str">
        <f>IF(BS423="Original",AI423,AZ423)</f>
        <v>Low Threshold Spend</v>
      </c>
      <c r="BR423" s="60"/>
      <c r="BS423" s="60" t="str">
        <f>IF(AQ423="","Original",IF(AP423&lt;Y423,"Alternate","Original"))</f>
        <v>Original</v>
      </c>
    </row>
    <row r="424" spans="1:71" s="31" customFormat="1" x14ac:dyDescent="0.35">
      <c r="A424" s="53" t="s">
        <v>39</v>
      </c>
      <c r="B424" s="49">
        <v>422</v>
      </c>
      <c r="C424" s="50"/>
      <c r="D424" s="50"/>
      <c r="E424" s="51"/>
      <c r="F424" s="50" t="s">
        <v>40</v>
      </c>
      <c r="G424" s="50" t="s">
        <v>1243</v>
      </c>
      <c r="H424" s="50" t="s">
        <v>1244</v>
      </c>
      <c r="I424" s="50"/>
      <c r="J424" s="50"/>
      <c r="K424" s="50"/>
      <c r="L424" s="50"/>
      <c r="M424" s="50"/>
      <c r="N424" s="54" t="s">
        <v>43</v>
      </c>
      <c r="O424" s="49">
        <v>1</v>
      </c>
      <c r="P424" s="43">
        <v>12.52</v>
      </c>
      <c r="Q424" s="49">
        <v>1</v>
      </c>
      <c r="R424" s="44">
        <f>P424/O424</f>
        <v>12.52</v>
      </c>
      <c r="S424" s="49">
        <f>Q424*O424</f>
        <v>1</v>
      </c>
      <c r="T424" s="52">
        <f>S424*R424</f>
        <v>12.52</v>
      </c>
      <c r="U424" s="50"/>
      <c r="V424" s="50"/>
      <c r="W424" s="50"/>
      <c r="X424" s="69"/>
      <c r="Y424" s="69"/>
      <c r="Z424" s="69"/>
      <c r="AA424" s="50"/>
      <c r="AB424" s="50"/>
      <c r="AC424" s="50"/>
      <c r="AD424" s="50"/>
      <c r="AE424" s="50"/>
      <c r="AF424" s="50"/>
      <c r="AG424" s="50"/>
      <c r="AH424" s="50"/>
      <c r="AI424" s="50" t="s">
        <v>652</v>
      </c>
      <c r="AJ424" s="50"/>
      <c r="AK424" s="50"/>
      <c r="AL424" s="44"/>
      <c r="AM424" s="45"/>
      <c r="AN424" s="50"/>
      <c r="AO424" s="69"/>
      <c r="AP424" s="69"/>
      <c r="AQ424" s="69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5"/>
      <c r="BD424" s="56"/>
      <c r="BE424" s="61"/>
      <c r="BF424" s="65"/>
      <c r="BG424" s="66"/>
      <c r="BH424" s="66"/>
      <c r="BI424" s="60"/>
      <c r="BJ424" s="60"/>
      <c r="BK424" s="60"/>
      <c r="BL424" s="60"/>
      <c r="BM424" s="60"/>
      <c r="BN424" s="60"/>
      <c r="BO424" s="60"/>
      <c r="BP424" s="60"/>
      <c r="BQ424" s="60" t="str">
        <f>IF(BS424="Original",AI424,AZ424)</f>
        <v>Low Threshold Spend</v>
      </c>
      <c r="BR424" s="60"/>
      <c r="BS424" s="60" t="str">
        <f>IF(AQ424="","Original",IF(AP424&lt;Y424,"Alternate","Original"))</f>
        <v>Original</v>
      </c>
    </row>
    <row r="425" spans="1:71" s="31" customFormat="1" x14ac:dyDescent="0.35">
      <c r="A425" s="53" t="s">
        <v>39</v>
      </c>
      <c r="B425" s="49">
        <v>423</v>
      </c>
      <c r="C425" s="50"/>
      <c r="D425" s="50"/>
      <c r="E425" s="51"/>
      <c r="F425" s="50" t="s">
        <v>60</v>
      </c>
      <c r="G425" s="50" t="s">
        <v>1245</v>
      </c>
      <c r="H425" s="50" t="s">
        <v>1246</v>
      </c>
      <c r="I425" s="50"/>
      <c r="J425" s="50"/>
      <c r="K425" s="50"/>
      <c r="L425" s="50"/>
      <c r="M425" s="50"/>
      <c r="N425" s="54" t="s">
        <v>43</v>
      </c>
      <c r="O425" s="49">
        <v>1</v>
      </c>
      <c r="P425" s="43">
        <v>12.44</v>
      </c>
      <c r="Q425" s="49">
        <v>1</v>
      </c>
      <c r="R425" s="44">
        <f>P425/O425</f>
        <v>12.44</v>
      </c>
      <c r="S425" s="49">
        <f>Q425*O425</f>
        <v>1</v>
      </c>
      <c r="T425" s="52">
        <f>S425*R425</f>
        <v>12.44</v>
      </c>
      <c r="U425" s="50"/>
      <c r="V425" s="50"/>
      <c r="W425" s="50"/>
      <c r="X425" s="69"/>
      <c r="Y425" s="69"/>
      <c r="Z425" s="69"/>
      <c r="AA425" s="50"/>
      <c r="AB425" s="50"/>
      <c r="AC425" s="50"/>
      <c r="AD425" s="50"/>
      <c r="AE425" s="50"/>
      <c r="AF425" s="50"/>
      <c r="AG425" s="50"/>
      <c r="AH425" s="50"/>
      <c r="AI425" s="50" t="s">
        <v>652</v>
      </c>
      <c r="AJ425" s="50"/>
      <c r="AK425" s="50"/>
      <c r="AL425" s="44"/>
      <c r="AM425" s="45"/>
      <c r="AN425" s="50"/>
      <c r="AO425" s="69"/>
      <c r="AP425" s="69"/>
      <c r="AQ425" s="69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5"/>
      <c r="BD425" s="56"/>
      <c r="BE425" s="61"/>
      <c r="BF425" s="65"/>
      <c r="BG425" s="66"/>
      <c r="BH425" s="66"/>
      <c r="BI425" s="60"/>
      <c r="BJ425" s="60"/>
      <c r="BK425" s="60"/>
      <c r="BL425" s="60"/>
      <c r="BM425" s="60"/>
      <c r="BN425" s="60"/>
      <c r="BO425" s="60"/>
      <c r="BP425" s="60"/>
      <c r="BQ425" s="60" t="str">
        <f>IF(BS425="Original",AI425,AZ425)</f>
        <v>Low Threshold Spend</v>
      </c>
      <c r="BR425" s="60"/>
      <c r="BS425" s="60" t="str">
        <f>IF(AQ425="","Original",IF(AP425&lt;Y425,"Alternate","Original"))</f>
        <v>Original</v>
      </c>
    </row>
    <row r="426" spans="1:71" s="31" customFormat="1" x14ac:dyDescent="0.35">
      <c r="A426" s="53" t="s">
        <v>39</v>
      </c>
      <c r="B426" s="49">
        <v>424</v>
      </c>
      <c r="C426" s="50"/>
      <c r="D426" s="50"/>
      <c r="E426" s="51"/>
      <c r="F426" s="50" t="s">
        <v>60</v>
      </c>
      <c r="G426" s="50" t="s">
        <v>1247</v>
      </c>
      <c r="H426" s="50" t="s">
        <v>1248</v>
      </c>
      <c r="I426" s="50"/>
      <c r="J426" s="50"/>
      <c r="K426" s="50"/>
      <c r="L426" s="50"/>
      <c r="M426" s="50"/>
      <c r="N426" s="54" t="s">
        <v>43</v>
      </c>
      <c r="O426" s="49">
        <v>1</v>
      </c>
      <c r="P426" s="43">
        <v>12.43</v>
      </c>
      <c r="Q426" s="49">
        <v>1</v>
      </c>
      <c r="R426" s="44">
        <f>P426/O426</f>
        <v>12.43</v>
      </c>
      <c r="S426" s="49">
        <f>Q426*O426</f>
        <v>1</v>
      </c>
      <c r="T426" s="52">
        <f>S426*R426</f>
        <v>12.43</v>
      </c>
      <c r="U426" s="50"/>
      <c r="V426" s="50"/>
      <c r="W426" s="50"/>
      <c r="X426" s="69"/>
      <c r="Y426" s="69"/>
      <c r="Z426" s="69"/>
      <c r="AA426" s="50"/>
      <c r="AB426" s="50"/>
      <c r="AC426" s="50"/>
      <c r="AD426" s="50"/>
      <c r="AE426" s="50"/>
      <c r="AF426" s="50"/>
      <c r="AG426" s="50"/>
      <c r="AH426" s="50"/>
      <c r="AI426" s="50" t="s">
        <v>652</v>
      </c>
      <c r="AJ426" s="50"/>
      <c r="AK426" s="50"/>
      <c r="AL426" s="44"/>
      <c r="AM426" s="45"/>
      <c r="AN426" s="50"/>
      <c r="AO426" s="69"/>
      <c r="AP426" s="69"/>
      <c r="AQ426" s="69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5"/>
      <c r="BD426" s="56"/>
      <c r="BE426" s="61"/>
      <c r="BF426" s="65"/>
      <c r="BG426" s="66"/>
      <c r="BH426" s="66"/>
      <c r="BI426" s="60"/>
      <c r="BJ426" s="60"/>
      <c r="BK426" s="60"/>
      <c r="BL426" s="60"/>
      <c r="BM426" s="60"/>
      <c r="BN426" s="60"/>
      <c r="BO426" s="60"/>
      <c r="BP426" s="60"/>
      <c r="BQ426" s="60" t="str">
        <f>IF(BS426="Original",AI426,AZ426)</f>
        <v>Low Threshold Spend</v>
      </c>
      <c r="BR426" s="60"/>
      <c r="BS426" s="60" t="str">
        <f>IF(AQ426="","Original",IF(AP426&lt;Y426,"Alternate","Original"))</f>
        <v>Original</v>
      </c>
    </row>
    <row r="427" spans="1:71" s="31" customFormat="1" x14ac:dyDescent="0.35">
      <c r="A427" s="53" t="s">
        <v>39</v>
      </c>
      <c r="B427" s="49">
        <v>425</v>
      </c>
      <c r="C427" s="50"/>
      <c r="D427" s="50"/>
      <c r="E427" s="51"/>
      <c r="F427" s="50" t="s">
        <v>60</v>
      </c>
      <c r="G427" s="50" t="s">
        <v>1249</v>
      </c>
      <c r="H427" s="50" t="s">
        <v>1250</v>
      </c>
      <c r="I427" s="50"/>
      <c r="J427" s="50"/>
      <c r="K427" s="50"/>
      <c r="L427" s="50"/>
      <c r="M427" s="50"/>
      <c r="N427" s="54" t="s">
        <v>43</v>
      </c>
      <c r="O427" s="49">
        <v>1</v>
      </c>
      <c r="P427" s="43">
        <v>12.37</v>
      </c>
      <c r="Q427" s="49">
        <v>1</v>
      </c>
      <c r="R427" s="44">
        <f>P427/O427</f>
        <v>12.37</v>
      </c>
      <c r="S427" s="49">
        <f>Q427*O427</f>
        <v>1</v>
      </c>
      <c r="T427" s="52">
        <f>S427*R427</f>
        <v>12.37</v>
      </c>
      <c r="U427" s="50"/>
      <c r="V427" s="50"/>
      <c r="W427" s="50"/>
      <c r="X427" s="69"/>
      <c r="Y427" s="69"/>
      <c r="Z427" s="69"/>
      <c r="AA427" s="50"/>
      <c r="AB427" s="50"/>
      <c r="AC427" s="50"/>
      <c r="AD427" s="50"/>
      <c r="AE427" s="50"/>
      <c r="AF427" s="50"/>
      <c r="AG427" s="50"/>
      <c r="AH427" s="50"/>
      <c r="AI427" s="50" t="s">
        <v>652</v>
      </c>
      <c r="AJ427" s="50"/>
      <c r="AK427" s="50"/>
      <c r="AL427" s="44"/>
      <c r="AM427" s="45"/>
      <c r="AN427" s="50"/>
      <c r="AO427" s="69"/>
      <c r="AP427" s="69"/>
      <c r="AQ427" s="69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5"/>
      <c r="BD427" s="56"/>
      <c r="BE427" s="61"/>
      <c r="BF427" s="65"/>
      <c r="BG427" s="66"/>
      <c r="BH427" s="66"/>
      <c r="BI427" s="60"/>
      <c r="BJ427" s="60"/>
      <c r="BK427" s="60"/>
      <c r="BL427" s="60"/>
      <c r="BM427" s="60"/>
      <c r="BN427" s="60"/>
      <c r="BO427" s="60"/>
      <c r="BP427" s="60"/>
      <c r="BQ427" s="60" t="str">
        <f>IF(BS427="Original",AI427,AZ427)</f>
        <v>Low Threshold Spend</v>
      </c>
      <c r="BR427" s="60"/>
      <c r="BS427" s="60" t="str">
        <f>IF(AQ427="","Original",IF(AP427&lt;Y427,"Alternate","Original"))</f>
        <v>Original</v>
      </c>
    </row>
    <row r="428" spans="1:71" s="31" customFormat="1" x14ac:dyDescent="0.35">
      <c r="A428" s="53" t="s">
        <v>39</v>
      </c>
      <c r="B428" s="49">
        <v>426</v>
      </c>
      <c r="C428" s="50"/>
      <c r="D428" s="50"/>
      <c r="E428" s="51"/>
      <c r="F428" s="50" t="s">
        <v>49</v>
      </c>
      <c r="G428" s="50" t="s">
        <v>1251</v>
      </c>
      <c r="H428" s="50" t="s">
        <v>1252</v>
      </c>
      <c r="I428" s="50"/>
      <c r="J428" s="50"/>
      <c r="K428" s="50"/>
      <c r="L428" s="50"/>
      <c r="M428" s="50"/>
      <c r="N428" s="54" t="s">
        <v>43</v>
      </c>
      <c r="O428" s="49">
        <v>1</v>
      </c>
      <c r="P428" s="43">
        <v>12.33</v>
      </c>
      <c r="Q428" s="49">
        <v>1</v>
      </c>
      <c r="R428" s="44">
        <f>P428/O428</f>
        <v>12.33</v>
      </c>
      <c r="S428" s="49">
        <f>Q428*O428</f>
        <v>1</v>
      </c>
      <c r="T428" s="52">
        <f>S428*R428</f>
        <v>12.33</v>
      </c>
      <c r="U428" s="50"/>
      <c r="V428" s="50"/>
      <c r="W428" s="50"/>
      <c r="X428" s="69"/>
      <c r="Y428" s="69"/>
      <c r="Z428" s="69"/>
      <c r="AA428" s="50"/>
      <c r="AB428" s="50"/>
      <c r="AC428" s="50"/>
      <c r="AD428" s="50"/>
      <c r="AE428" s="50"/>
      <c r="AF428" s="50"/>
      <c r="AG428" s="50"/>
      <c r="AH428" s="50"/>
      <c r="AI428" s="50" t="s">
        <v>652</v>
      </c>
      <c r="AJ428" s="50"/>
      <c r="AK428" s="50"/>
      <c r="AL428" s="44"/>
      <c r="AM428" s="45"/>
      <c r="AN428" s="50"/>
      <c r="AO428" s="69"/>
      <c r="AP428" s="69"/>
      <c r="AQ428" s="69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5"/>
      <c r="BD428" s="56"/>
      <c r="BE428" s="61"/>
      <c r="BF428" s="65"/>
      <c r="BG428" s="66"/>
      <c r="BH428" s="66"/>
      <c r="BI428" s="60"/>
      <c r="BJ428" s="60"/>
      <c r="BK428" s="60"/>
      <c r="BL428" s="60"/>
      <c r="BM428" s="60"/>
      <c r="BN428" s="60"/>
      <c r="BO428" s="60"/>
      <c r="BP428" s="60"/>
      <c r="BQ428" s="60" t="str">
        <f>IF(BS428="Original",AI428,AZ428)</f>
        <v>Low Threshold Spend</v>
      </c>
      <c r="BR428" s="60"/>
      <c r="BS428" s="60" t="str">
        <f>IF(AQ428="","Original",IF(AP428&lt;Y428,"Alternate","Original"))</f>
        <v>Original</v>
      </c>
    </row>
    <row r="429" spans="1:71" s="31" customFormat="1" x14ac:dyDescent="0.35">
      <c r="A429" s="53" t="s">
        <v>39</v>
      </c>
      <c r="B429" s="49">
        <v>427</v>
      </c>
      <c r="C429" s="50"/>
      <c r="D429" s="50"/>
      <c r="E429" s="51"/>
      <c r="F429" s="50" t="s">
        <v>49</v>
      </c>
      <c r="G429" s="50" t="s">
        <v>1253</v>
      </c>
      <c r="H429" s="50" t="s">
        <v>1254</v>
      </c>
      <c r="I429" s="50"/>
      <c r="J429" s="50"/>
      <c r="K429" s="50"/>
      <c r="L429" s="50"/>
      <c r="M429" s="50"/>
      <c r="N429" s="54" t="s">
        <v>43</v>
      </c>
      <c r="O429" s="49">
        <v>1</v>
      </c>
      <c r="P429" s="43">
        <v>12.14</v>
      </c>
      <c r="Q429" s="49">
        <v>1</v>
      </c>
      <c r="R429" s="44">
        <f>P429/O429</f>
        <v>12.14</v>
      </c>
      <c r="S429" s="49">
        <f>Q429*O429</f>
        <v>1</v>
      </c>
      <c r="T429" s="52">
        <f>S429*R429</f>
        <v>12.14</v>
      </c>
      <c r="U429" s="50"/>
      <c r="V429" s="50"/>
      <c r="W429" s="50"/>
      <c r="X429" s="69"/>
      <c r="Y429" s="69"/>
      <c r="Z429" s="69"/>
      <c r="AA429" s="50"/>
      <c r="AB429" s="50"/>
      <c r="AC429" s="50"/>
      <c r="AD429" s="50"/>
      <c r="AE429" s="50"/>
      <c r="AF429" s="50"/>
      <c r="AG429" s="50"/>
      <c r="AH429" s="50"/>
      <c r="AI429" s="50" t="s">
        <v>652</v>
      </c>
      <c r="AJ429" s="50"/>
      <c r="AK429" s="50"/>
      <c r="AL429" s="44"/>
      <c r="AM429" s="45"/>
      <c r="AN429" s="50"/>
      <c r="AO429" s="69"/>
      <c r="AP429" s="69"/>
      <c r="AQ429" s="69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5"/>
      <c r="BD429" s="56"/>
      <c r="BE429" s="61"/>
      <c r="BF429" s="65"/>
      <c r="BG429" s="66"/>
      <c r="BH429" s="66"/>
      <c r="BI429" s="60"/>
      <c r="BJ429" s="60"/>
      <c r="BK429" s="60"/>
      <c r="BL429" s="60"/>
      <c r="BM429" s="60"/>
      <c r="BN429" s="60"/>
      <c r="BO429" s="60"/>
      <c r="BP429" s="60"/>
      <c r="BQ429" s="60" t="str">
        <f>IF(BS429="Original",AI429,AZ429)</f>
        <v>Low Threshold Spend</v>
      </c>
      <c r="BR429" s="60"/>
      <c r="BS429" s="60" t="str">
        <f>IF(AQ429="","Original",IF(AP429&lt;Y429,"Alternate","Original"))</f>
        <v>Original</v>
      </c>
    </row>
    <row r="430" spans="1:71" s="31" customFormat="1" x14ac:dyDescent="0.35">
      <c r="A430" s="53" t="s">
        <v>39</v>
      </c>
      <c r="B430" s="49">
        <v>428</v>
      </c>
      <c r="C430" s="50"/>
      <c r="D430" s="50"/>
      <c r="E430" s="51"/>
      <c r="F430" s="50" t="s">
        <v>60</v>
      </c>
      <c r="G430" s="50" t="s">
        <v>1255</v>
      </c>
      <c r="H430" s="50" t="s">
        <v>1256</v>
      </c>
      <c r="I430" s="50"/>
      <c r="J430" s="50"/>
      <c r="K430" s="50"/>
      <c r="L430" s="50"/>
      <c r="M430" s="50"/>
      <c r="N430" s="54" t="s">
        <v>43</v>
      </c>
      <c r="O430" s="49">
        <v>1</v>
      </c>
      <c r="P430" s="43">
        <v>12</v>
      </c>
      <c r="Q430" s="49">
        <v>1</v>
      </c>
      <c r="R430" s="44">
        <f>P430/O430</f>
        <v>12</v>
      </c>
      <c r="S430" s="49">
        <f>Q430*O430</f>
        <v>1</v>
      </c>
      <c r="T430" s="52">
        <f>S430*R430</f>
        <v>12</v>
      </c>
      <c r="U430" s="50"/>
      <c r="V430" s="50"/>
      <c r="W430" s="50"/>
      <c r="X430" s="69"/>
      <c r="Y430" s="69"/>
      <c r="Z430" s="69"/>
      <c r="AA430" s="50"/>
      <c r="AB430" s="50"/>
      <c r="AC430" s="50"/>
      <c r="AD430" s="50"/>
      <c r="AE430" s="50"/>
      <c r="AF430" s="50"/>
      <c r="AG430" s="50"/>
      <c r="AH430" s="50"/>
      <c r="AI430" s="50" t="s">
        <v>652</v>
      </c>
      <c r="AJ430" s="50"/>
      <c r="AK430" s="50"/>
      <c r="AL430" s="44"/>
      <c r="AM430" s="45"/>
      <c r="AN430" s="50"/>
      <c r="AO430" s="69"/>
      <c r="AP430" s="69"/>
      <c r="AQ430" s="69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5"/>
      <c r="BD430" s="56"/>
      <c r="BE430" s="61"/>
      <c r="BF430" s="65"/>
      <c r="BG430" s="66"/>
      <c r="BH430" s="66"/>
      <c r="BI430" s="60"/>
      <c r="BJ430" s="60"/>
      <c r="BK430" s="60"/>
      <c r="BL430" s="60"/>
      <c r="BM430" s="60"/>
      <c r="BN430" s="60"/>
      <c r="BO430" s="60"/>
      <c r="BP430" s="60"/>
      <c r="BQ430" s="60" t="str">
        <f>IF(BS430="Original",AI430,AZ430)</f>
        <v>Low Threshold Spend</v>
      </c>
      <c r="BR430" s="60"/>
      <c r="BS430" s="60" t="str">
        <f>IF(AQ430="","Original",IF(AP430&lt;Y430,"Alternate","Original"))</f>
        <v>Original</v>
      </c>
    </row>
    <row r="431" spans="1:71" s="31" customFormat="1" x14ac:dyDescent="0.35">
      <c r="A431" s="53" t="s">
        <v>39</v>
      </c>
      <c r="B431" s="49">
        <v>429</v>
      </c>
      <c r="C431" s="50"/>
      <c r="D431" s="50"/>
      <c r="E431" s="51"/>
      <c r="F431" s="50" t="s">
        <v>60</v>
      </c>
      <c r="G431" s="50" t="s">
        <v>1257</v>
      </c>
      <c r="H431" s="50" t="s">
        <v>1258</v>
      </c>
      <c r="I431" s="50"/>
      <c r="J431" s="50"/>
      <c r="K431" s="50"/>
      <c r="L431" s="50"/>
      <c r="M431" s="50"/>
      <c r="N431" s="54" t="s">
        <v>43</v>
      </c>
      <c r="O431" s="49">
        <v>1</v>
      </c>
      <c r="P431" s="43">
        <v>11.82</v>
      </c>
      <c r="Q431" s="49">
        <v>1</v>
      </c>
      <c r="R431" s="44">
        <f>P431/O431</f>
        <v>11.82</v>
      </c>
      <c r="S431" s="49">
        <f>Q431*O431</f>
        <v>1</v>
      </c>
      <c r="T431" s="52">
        <f>S431*R431</f>
        <v>11.82</v>
      </c>
      <c r="U431" s="50"/>
      <c r="V431" s="50"/>
      <c r="W431" s="50"/>
      <c r="X431" s="69"/>
      <c r="Y431" s="69"/>
      <c r="Z431" s="69"/>
      <c r="AA431" s="50"/>
      <c r="AB431" s="50"/>
      <c r="AC431" s="50"/>
      <c r="AD431" s="50"/>
      <c r="AE431" s="50"/>
      <c r="AF431" s="50"/>
      <c r="AG431" s="50"/>
      <c r="AH431" s="50"/>
      <c r="AI431" s="50" t="s">
        <v>652</v>
      </c>
      <c r="AJ431" s="50"/>
      <c r="AK431" s="50"/>
      <c r="AL431" s="44"/>
      <c r="AM431" s="45"/>
      <c r="AN431" s="50"/>
      <c r="AO431" s="69"/>
      <c r="AP431" s="69"/>
      <c r="AQ431" s="69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5"/>
      <c r="BD431" s="56"/>
      <c r="BE431" s="61"/>
      <c r="BF431" s="65"/>
      <c r="BG431" s="66"/>
      <c r="BH431" s="66"/>
      <c r="BI431" s="60"/>
      <c r="BJ431" s="60"/>
      <c r="BK431" s="60"/>
      <c r="BL431" s="60"/>
      <c r="BM431" s="60"/>
      <c r="BN431" s="60"/>
      <c r="BO431" s="60"/>
      <c r="BP431" s="60"/>
      <c r="BQ431" s="60" t="str">
        <f>IF(BS431="Original",AI431,AZ431)</f>
        <v>Low Threshold Spend</v>
      </c>
      <c r="BR431" s="60"/>
      <c r="BS431" s="60" t="str">
        <f>IF(AQ431="","Original",IF(AP431&lt;Y431,"Alternate","Original"))</f>
        <v>Original</v>
      </c>
    </row>
    <row r="432" spans="1:71" s="31" customFormat="1" x14ac:dyDescent="0.35">
      <c r="A432" s="53" t="s">
        <v>39</v>
      </c>
      <c r="B432" s="49">
        <v>430</v>
      </c>
      <c r="C432" s="50"/>
      <c r="D432" s="50"/>
      <c r="E432" s="51"/>
      <c r="F432" s="50" t="s">
        <v>40</v>
      </c>
      <c r="G432" s="50" t="s">
        <v>1259</v>
      </c>
      <c r="H432" s="50" t="s">
        <v>1260</v>
      </c>
      <c r="I432" s="50"/>
      <c r="J432" s="50"/>
      <c r="K432" s="50"/>
      <c r="L432" s="50"/>
      <c r="M432" s="50"/>
      <c r="N432" s="54" t="s">
        <v>43</v>
      </c>
      <c r="O432" s="49">
        <v>1</v>
      </c>
      <c r="P432" s="43">
        <v>11.57</v>
      </c>
      <c r="Q432" s="49">
        <v>1</v>
      </c>
      <c r="R432" s="44">
        <f>P432/O432</f>
        <v>11.57</v>
      </c>
      <c r="S432" s="49">
        <f>Q432*O432</f>
        <v>1</v>
      </c>
      <c r="T432" s="52">
        <f>S432*R432</f>
        <v>11.57</v>
      </c>
      <c r="U432" s="50"/>
      <c r="V432" s="50"/>
      <c r="W432" s="50"/>
      <c r="X432" s="69"/>
      <c r="Y432" s="69"/>
      <c r="Z432" s="69"/>
      <c r="AA432" s="50"/>
      <c r="AB432" s="50"/>
      <c r="AC432" s="50"/>
      <c r="AD432" s="50"/>
      <c r="AE432" s="50"/>
      <c r="AF432" s="50"/>
      <c r="AG432" s="50"/>
      <c r="AH432" s="50"/>
      <c r="AI432" s="50" t="s">
        <v>652</v>
      </c>
      <c r="AJ432" s="50"/>
      <c r="AK432" s="50"/>
      <c r="AL432" s="44"/>
      <c r="AM432" s="45"/>
      <c r="AN432" s="50"/>
      <c r="AO432" s="69"/>
      <c r="AP432" s="69"/>
      <c r="AQ432" s="69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5"/>
      <c r="BD432" s="56"/>
      <c r="BE432" s="61"/>
      <c r="BF432" s="65"/>
      <c r="BG432" s="66"/>
      <c r="BH432" s="66"/>
      <c r="BI432" s="60"/>
      <c r="BJ432" s="60"/>
      <c r="BK432" s="60"/>
      <c r="BL432" s="60"/>
      <c r="BM432" s="60"/>
      <c r="BN432" s="60"/>
      <c r="BO432" s="60"/>
      <c r="BP432" s="60"/>
      <c r="BQ432" s="60" t="str">
        <f>IF(BS432="Original",AI432,AZ432)</f>
        <v>Low Threshold Spend</v>
      </c>
      <c r="BR432" s="60"/>
      <c r="BS432" s="60" t="str">
        <f>IF(AQ432="","Original",IF(AP432&lt;Y432,"Alternate","Original"))</f>
        <v>Original</v>
      </c>
    </row>
    <row r="433" spans="1:71" s="31" customFormat="1" x14ac:dyDescent="0.35">
      <c r="A433" s="53" t="s">
        <v>39</v>
      </c>
      <c r="B433" s="49">
        <v>431</v>
      </c>
      <c r="C433" s="50"/>
      <c r="D433" s="50"/>
      <c r="E433" s="51"/>
      <c r="F433" s="50" t="s">
        <v>60</v>
      </c>
      <c r="G433" s="50" t="s">
        <v>1261</v>
      </c>
      <c r="H433" s="50" t="s">
        <v>1262</v>
      </c>
      <c r="I433" s="50"/>
      <c r="J433" s="50"/>
      <c r="K433" s="50"/>
      <c r="L433" s="50"/>
      <c r="M433" s="50"/>
      <c r="N433" s="54" t="s">
        <v>43</v>
      </c>
      <c r="O433" s="49">
        <v>1</v>
      </c>
      <c r="P433" s="43">
        <v>11.53</v>
      </c>
      <c r="Q433" s="49">
        <v>1</v>
      </c>
      <c r="R433" s="44">
        <f>P433/O433</f>
        <v>11.53</v>
      </c>
      <c r="S433" s="49">
        <f>Q433*O433</f>
        <v>1</v>
      </c>
      <c r="T433" s="52">
        <f>S433*R433</f>
        <v>11.53</v>
      </c>
      <c r="U433" s="50"/>
      <c r="V433" s="50"/>
      <c r="W433" s="50"/>
      <c r="X433" s="69"/>
      <c r="Y433" s="69"/>
      <c r="Z433" s="69"/>
      <c r="AA433" s="50"/>
      <c r="AB433" s="50"/>
      <c r="AC433" s="50"/>
      <c r="AD433" s="50"/>
      <c r="AE433" s="50"/>
      <c r="AF433" s="50"/>
      <c r="AG433" s="50"/>
      <c r="AH433" s="50"/>
      <c r="AI433" s="50" t="s">
        <v>652</v>
      </c>
      <c r="AJ433" s="50"/>
      <c r="AK433" s="50"/>
      <c r="AL433" s="44"/>
      <c r="AM433" s="45"/>
      <c r="AN433" s="50"/>
      <c r="AO433" s="69"/>
      <c r="AP433" s="69"/>
      <c r="AQ433" s="69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5"/>
      <c r="BD433" s="56"/>
      <c r="BE433" s="61"/>
      <c r="BF433" s="65"/>
      <c r="BG433" s="66"/>
      <c r="BH433" s="66"/>
      <c r="BI433" s="60"/>
      <c r="BJ433" s="60"/>
      <c r="BK433" s="60"/>
      <c r="BL433" s="60"/>
      <c r="BM433" s="60"/>
      <c r="BN433" s="60"/>
      <c r="BO433" s="60"/>
      <c r="BP433" s="60"/>
      <c r="BQ433" s="60" t="str">
        <f>IF(BS433="Original",AI433,AZ433)</f>
        <v>Low Threshold Spend</v>
      </c>
      <c r="BR433" s="60"/>
      <c r="BS433" s="60" t="str">
        <f>IF(AQ433="","Original",IF(AP433&lt;Y433,"Alternate","Original"))</f>
        <v>Original</v>
      </c>
    </row>
    <row r="434" spans="1:71" s="31" customFormat="1" x14ac:dyDescent="0.35">
      <c r="A434" s="53" t="s">
        <v>39</v>
      </c>
      <c r="B434" s="49">
        <v>432</v>
      </c>
      <c r="C434" s="50"/>
      <c r="D434" s="50"/>
      <c r="E434" s="51"/>
      <c r="F434" s="50" t="s">
        <v>40</v>
      </c>
      <c r="G434" s="50" t="s">
        <v>1263</v>
      </c>
      <c r="H434" s="50" t="s">
        <v>1264</v>
      </c>
      <c r="I434" s="50"/>
      <c r="J434" s="50"/>
      <c r="K434" s="50"/>
      <c r="L434" s="50"/>
      <c r="M434" s="50"/>
      <c r="N434" s="54" t="s">
        <v>43</v>
      </c>
      <c r="O434" s="49">
        <v>1</v>
      </c>
      <c r="P434" s="43">
        <v>11.52</v>
      </c>
      <c r="Q434" s="49">
        <v>1</v>
      </c>
      <c r="R434" s="44">
        <f>P434/O434</f>
        <v>11.52</v>
      </c>
      <c r="S434" s="49">
        <f>Q434*O434</f>
        <v>1</v>
      </c>
      <c r="T434" s="52">
        <f>S434*R434</f>
        <v>11.52</v>
      </c>
      <c r="U434" s="50"/>
      <c r="V434" s="50"/>
      <c r="W434" s="50"/>
      <c r="X434" s="69"/>
      <c r="Y434" s="69"/>
      <c r="Z434" s="69"/>
      <c r="AA434" s="50"/>
      <c r="AB434" s="50"/>
      <c r="AC434" s="50"/>
      <c r="AD434" s="50"/>
      <c r="AE434" s="50"/>
      <c r="AF434" s="50"/>
      <c r="AG434" s="50"/>
      <c r="AH434" s="50"/>
      <c r="AI434" s="50" t="s">
        <v>652</v>
      </c>
      <c r="AJ434" s="50"/>
      <c r="AK434" s="50"/>
      <c r="AL434" s="44"/>
      <c r="AM434" s="45"/>
      <c r="AN434" s="50"/>
      <c r="AO434" s="69"/>
      <c r="AP434" s="69"/>
      <c r="AQ434" s="69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5"/>
      <c r="BD434" s="56"/>
      <c r="BE434" s="61"/>
      <c r="BF434" s="65"/>
      <c r="BG434" s="66"/>
      <c r="BH434" s="66"/>
      <c r="BI434" s="60"/>
      <c r="BJ434" s="60"/>
      <c r="BK434" s="60"/>
      <c r="BL434" s="60"/>
      <c r="BM434" s="60"/>
      <c r="BN434" s="60"/>
      <c r="BO434" s="60"/>
      <c r="BP434" s="60"/>
      <c r="BQ434" s="60" t="str">
        <f>IF(BS434="Original",AI434,AZ434)</f>
        <v>Low Threshold Spend</v>
      </c>
      <c r="BR434" s="60"/>
      <c r="BS434" s="60" t="str">
        <f>IF(AQ434="","Original",IF(AP434&lt;Y434,"Alternate","Original"))</f>
        <v>Original</v>
      </c>
    </row>
    <row r="435" spans="1:71" s="31" customFormat="1" x14ac:dyDescent="0.35">
      <c r="A435" s="53" t="s">
        <v>39</v>
      </c>
      <c r="B435" s="49">
        <v>433</v>
      </c>
      <c r="C435" s="50"/>
      <c r="D435" s="50"/>
      <c r="E435" s="51"/>
      <c r="F435" s="50" t="s">
        <v>40</v>
      </c>
      <c r="G435" s="50" t="s">
        <v>1265</v>
      </c>
      <c r="H435" s="50" t="s">
        <v>1266</v>
      </c>
      <c r="I435" s="50"/>
      <c r="J435" s="50"/>
      <c r="K435" s="50"/>
      <c r="L435" s="50"/>
      <c r="M435" s="50"/>
      <c r="N435" s="54" t="s">
        <v>43</v>
      </c>
      <c r="O435" s="49">
        <v>1</v>
      </c>
      <c r="P435" s="43">
        <v>11.52</v>
      </c>
      <c r="Q435" s="49">
        <v>1</v>
      </c>
      <c r="R435" s="44">
        <f>P435/O435</f>
        <v>11.52</v>
      </c>
      <c r="S435" s="49">
        <f>Q435*O435</f>
        <v>1</v>
      </c>
      <c r="T435" s="52">
        <f>S435*R435</f>
        <v>11.52</v>
      </c>
      <c r="U435" s="50"/>
      <c r="V435" s="50"/>
      <c r="W435" s="50"/>
      <c r="X435" s="69"/>
      <c r="Y435" s="69"/>
      <c r="Z435" s="69"/>
      <c r="AA435" s="50"/>
      <c r="AB435" s="50"/>
      <c r="AC435" s="50"/>
      <c r="AD435" s="50"/>
      <c r="AE435" s="50"/>
      <c r="AF435" s="50"/>
      <c r="AG435" s="50"/>
      <c r="AH435" s="50"/>
      <c r="AI435" s="50" t="s">
        <v>652</v>
      </c>
      <c r="AJ435" s="50"/>
      <c r="AK435" s="50"/>
      <c r="AL435" s="44"/>
      <c r="AM435" s="45"/>
      <c r="AN435" s="50"/>
      <c r="AO435" s="69"/>
      <c r="AP435" s="69"/>
      <c r="AQ435" s="69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5"/>
      <c r="BD435" s="56"/>
      <c r="BE435" s="61"/>
      <c r="BF435" s="65"/>
      <c r="BG435" s="66"/>
      <c r="BH435" s="66"/>
      <c r="BI435" s="60"/>
      <c r="BJ435" s="60"/>
      <c r="BK435" s="60"/>
      <c r="BL435" s="60"/>
      <c r="BM435" s="60"/>
      <c r="BN435" s="60"/>
      <c r="BO435" s="60"/>
      <c r="BP435" s="60"/>
      <c r="BQ435" s="60" t="str">
        <f>IF(BS435="Original",AI435,AZ435)</f>
        <v>Low Threshold Spend</v>
      </c>
      <c r="BR435" s="60"/>
      <c r="BS435" s="60" t="str">
        <f>IF(AQ435="","Original",IF(AP435&lt;Y435,"Alternate","Original"))</f>
        <v>Original</v>
      </c>
    </row>
    <row r="436" spans="1:71" s="31" customFormat="1" x14ac:dyDescent="0.35">
      <c r="A436" s="53" t="s">
        <v>39</v>
      </c>
      <c r="B436" s="49">
        <v>434</v>
      </c>
      <c r="C436" s="50"/>
      <c r="D436" s="50"/>
      <c r="E436" s="51"/>
      <c r="F436" s="50" t="s">
        <v>60</v>
      </c>
      <c r="G436" s="50" t="s">
        <v>1267</v>
      </c>
      <c r="H436" s="50" t="s">
        <v>1268</v>
      </c>
      <c r="I436" s="50"/>
      <c r="J436" s="50"/>
      <c r="K436" s="50"/>
      <c r="L436" s="50"/>
      <c r="M436" s="50"/>
      <c r="N436" s="54" t="s">
        <v>43</v>
      </c>
      <c r="O436" s="49">
        <v>1</v>
      </c>
      <c r="P436" s="43">
        <v>11.43</v>
      </c>
      <c r="Q436" s="49">
        <v>1</v>
      </c>
      <c r="R436" s="44">
        <f>P436/O436</f>
        <v>11.43</v>
      </c>
      <c r="S436" s="49">
        <f>Q436*O436</f>
        <v>1</v>
      </c>
      <c r="T436" s="52">
        <f>S436*R436</f>
        <v>11.43</v>
      </c>
      <c r="U436" s="50"/>
      <c r="V436" s="50"/>
      <c r="W436" s="50"/>
      <c r="X436" s="69"/>
      <c r="Y436" s="69"/>
      <c r="Z436" s="69"/>
      <c r="AA436" s="50"/>
      <c r="AB436" s="50"/>
      <c r="AC436" s="50"/>
      <c r="AD436" s="50"/>
      <c r="AE436" s="50"/>
      <c r="AF436" s="50"/>
      <c r="AG436" s="50"/>
      <c r="AH436" s="50"/>
      <c r="AI436" s="50" t="s">
        <v>652</v>
      </c>
      <c r="AJ436" s="50"/>
      <c r="AK436" s="50"/>
      <c r="AL436" s="44"/>
      <c r="AM436" s="45"/>
      <c r="AN436" s="50"/>
      <c r="AO436" s="69"/>
      <c r="AP436" s="69"/>
      <c r="AQ436" s="69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5"/>
      <c r="BD436" s="56"/>
      <c r="BE436" s="61"/>
      <c r="BF436" s="65"/>
      <c r="BG436" s="66"/>
      <c r="BH436" s="66"/>
      <c r="BI436" s="60"/>
      <c r="BJ436" s="60"/>
      <c r="BK436" s="60"/>
      <c r="BL436" s="60"/>
      <c r="BM436" s="60"/>
      <c r="BN436" s="60"/>
      <c r="BO436" s="60"/>
      <c r="BP436" s="60"/>
      <c r="BQ436" s="60" t="str">
        <f>IF(BS436="Original",AI436,AZ436)</f>
        <v>Low Threshold Spend</v>
      </c>
      <c r="BR436" s="60"/>
      <c r="BS436" s="60" t="str">
        <f>IF(AQ436="","Original",IF(AP436&lt;Y436,"Alternate","Original"))</f>
        <v>Original</v>
      </c>
    </row>
    <row r="437" spans="1:71" s="31" customFormat="1" x14ac:dyDescent="0.35">
      <c r="A437" s="53" t="s">
        <v>39</v>
      </c>
      <c r="B437" s="49">
        <v>435</v>
      </c>
      <c r="C437" s="50"/>
      <c r="D437" s="50"/>
      <c r="E437" s="51"/>
      <c r="F437" s="50" t="s">
        <v>40</v>
      </c>
      <c r="G437" s="50" t="s">
        <v>1269</v>
      </c>
      <c r="H437" s="50" t="s">
        <v>1270</v>
      </c>
      <c r="I437" s="50"/>
      <c r="J437" s="50"/>
      <c r="K437" s="50"/>
      <c r="L437" s="50"/>
      <c r="M437" s="50"/>
      <c r="N437" s="54" t="s">
        <v>43</v>
      </c>
      <c r="O437" s="49">
        <v>1</v>
      </c>
      <c r="P437" s="43">
        <v>5.72</v>
      </c>
      <c r="Q437" s="49">
        <v>2</v>
      </c>
      <c r="R437" s="44">
        <f>P437/O437</f>
        <v>5.72</v>
      </c>
      <c r="S437" s="49">
        <f>Q437*O437</f>
        <v>2</v>
      </c>
      <c r="T437" s="52">
        <f>S437*R437</f>
        <v>11.44</v>
      </c>
      <c r="U437" s="50"/>
      <c r="V437" s="50"/>
      <c r="W437" s="50"/>
      <c r="X437" s="69"/>
      <c r="Y437" s="69"/>
      <c r="Z437" s="69"/>
      <c r="AA437" s="50"/>
      <c r="AB437" s="50"/>
      <c r="AC437" s="50"/>
      <c r="AD437" s="50"/>
      <c r="AE437" s="50"/>
      <c r="AF437" s="50"/>
      <c r="AG437" s="50"/>
      <c r="AH437" s="50"/>
      <c r="AI437" s="50" t="s">
        <v>652</v>
      </c>
      <c r="AJ437" s="50"/>
      <c r="AK437" s="50"/>
      <c r="AL437" s="44"/>
      <c r="AM437" s="45"/>
      <c r="AN437" s="50"/>
      <c r="AO437" s="69"/>
      <c r="AP437" s="69"/>
      <c r="AQ437" s="69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5"/>
      <c r="BD437" s="56"/>
      <c r="BE437" s="61"/>
      <c r="BF437" s="65"/>
      <c r="BG437" s="66"/>
      <c r="BH437" s="66"/>
      <c r="BI437" s="60"/>
      <c r="BJ437" s="60"/>
      <c r="BK437" s="60"/>
      <c r="BL437" s="60"/>
      <c r="BM437" s="60"/>
      <c r="BN437" s="60"/>
      <c r="BO437" s="60"/>
      <c r="BP437" s="60"/>
      <c r="BQ437" s="60" t="str">
        <f>IF(BS437="Original",AI437,AZ437)</f>
        <v>Low Threshold Spend</v>
      </c>
      <c r="BR437" s="60"/>
      <c r="BS437" s="60" t="str">
        <f>IF(AQ437="","Original",IF(AP437&lt;Y437,"Alternate","Original"))</f>
        <v>Original</v>
      </c>
    </row>
    <row r="438" spans="1:71" s="31" customFormat="1" x14ac:dyDescent="0.35">
      <c r="A438" s="53" t="s">
        <v>39</v>
      </c>
      <c r="B438" s="49">
        <v>436</v>
      </c>
      <c r="C438" s="50"/>
      <c r="D438" s="50"/>
      <c r="E438" s="51"/>
      <c r="F438" s="50" t="s">
        <v>49</v>
      </c>
      <c r="G438" s="50" t="s">
        <v>1271</v>
      </c>
      <c r="H438" s="50" t="s">
        <v>1272</v>
      </c>
      <c r="I438" s="50"/>
      <c r="J438" s="50"/>
      <c r="K438" s="50"/>
      <c r="L438" s="50"/>
      <c r="M438" s="50"/>
      <c r="N438" s="54" t="s">
        <v>43</v>
      </c>
      <c r="O438" s="49">
        <v>1</v>
      </c>
      <c r="P438" s="43">
        <v>11.41</v>
      </c>
      <c r="Q438" s="49">
        <v>1</v>
      </c>
      <c r="R438" s="44">
        <f>P438/O438</f>
        <v>11.41</v>
      </c>
      <c r="S438" s="49">
        <f>Q438*O438</f>
        <v>1</v>
      </c>
      <c r="T438" s="52">
        <f>S438*R438</f>
        <v>11.41</v>
      </c>
      <c r="U438" s="50"/>
      <c r="V438" s="50"/>
      <c r="W438" s="50"/>
      <c r="X438" s="69"/>
      <c r="Y438" s="69"/>
      <c r="Z438" s="69"/>
      <c r="AA438" s="50"/>
      <c r="AB438" s="50"/>
      <c r="AC438" s="50"/>
      <c r="AD438" s="50"/>
      <c r="AE438" s="50"/>
      <c r="AF438" s="50"/>
      <c r="AG438" s="50"/>
      <c r="AH438" s="50"/>
      <c r="AI438" s="50" t="s">
        <v>652</v>
      </c>
      <c r="AJ438" s="50"/>
      <c r="AK438" s="50"/>
      <c r="AL438" s="44"/>
      <c r="AM438" s="45"/>
      <c r="AN438" s="50"/>
      <c r="AO438" s="69"/>
      <c r="AP438" s="69"/>
      <c r="AQ438" s="69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5"/>
      <c r="BD438" s="56"/>
      <c r="BE438" s="61"/>
      <c r="BF438" s="65"/>
      <c r="BG438" s="66"/>
      <c r="BH438" s="66"/>
      <c r="BI438" s="60"/>
      <c r="BJ438" s="60"/>
      <c r="BK438" s="60"/>
      <c r="BL438" s="60"/>
      <c r="BM438" s="60"/>
      <c r="BN438" s="60"/>
      <c r="BO438" s="60"/>
      <c r="BP438" s="60"/>
      <c r="BQ438" s="60" t="str">
        <f>IF(BS438="Original",AI438,AZ438)</f>
        <v>Low Threshold Spend</v>
      </c>
      <c r="BR438" s="60"/>
      <c r="BS438" s="60" t="str">
        <f>IF(AQ438="","Original",IF(AP438&lt;Y438,"Alternate","Original"))</f>
        <v>Original</v>
      </c>
    </row>
    <row r="439" spans="1:71" s="31" customFormat="1" x14ac:dyDescent="0.35">
      <c r="A439" s="53" t="s">
        <v>39</v>
      </c>
      <c r="B439" s="49">
        <v>437</v>
      </c>
      <c r="C439" s="50"/>
      <c r="D439" s="50"/>
      <c r="E439" s="51"/>
      <c r="F439" s="50" t="s">
        <v>60</v>
      </c>
      <c r="G439" s="50" t="s">
        <v>1273</v>
      </c>
      <c r="H439" s="50" t="s">
        <v>1274</v>
      </c>
      <c r="I439" s="50"/>
      <c r="J439" s="50"/>
      <c r="K439" s="50"/>
      <c r="L439" s="50"/>
      <c r="M439" s="50"/>
      <c r="N439" s="54" t="s">
        <v>43</v>
      </c>
      <c r="O439" s="49">
        <v>1</v>
      </c>
      <c r="P439" s="43">
        <v>11.4</v>
      </c>
      <c r="Q439" s="49">
        <v>1</v>
      </c>
      <c r="R439" s="44">
        <f>P439/O439</f>
        <v>11.4</v>
      </c>
      <c r="S439" s="49">
        <f>Q439*O439</f>
        <v>1</v>
      </c>
      <c r="T439" s="52">
        <f>S439*R439</f>
        <v>11.4</v>
      </c>
      <c r="U439" s="50"/>
      <c r="V439" s="50"/>
      <c r="W439" s="50"/>
      <c r="X439" s="69"/>
      <c r="Y439" s="69"/>
      <c r="Z439" s="69"/>
      <c r="AA439" s="50"/>
      <c r="AB439" s="50"/>
      <c r="AC439" s="50"/>
      <c r="AD439" s="50"/>
      <c r="AE439" s="50"/>
      <c r="AF439" s="50"/>
      <c r="AG439" s="50"/>
      <c r="AH439" s="50"/>
      <c r="AI439" s="50" t="s">
        <v>652</v>
      </c>
      <c r="AJ439" s="50"/>
      <c r="AK439" s="50"/>
      <c r="AL439" s="44"/>
      <c r="AM439" s="45"/>
      <c r="AN439" s="50"/>
      <c r="AO439" s="69"/>
      <c r="AP439" s="69"/>
      <c r="AQ439" s="69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5"/>
      <c r="BD439" s="56"/>
      <c r="BE439" s="61"/>
      <c r="BF439" s="65"/>
      <c r="BG439" s="66"/>
      <c r="BH439" s="66"/>
      <c r="BI439" s="60"/>
      <c r="BJ439" s="60"/>
      <c r="BK439" s="60"/>
      <c r="BL439" s="60"/>
      <c r="BM439" s="60"/>
      <c r="BN439" s="60"/>
      <c r="BO439" s="60"/>
      <c r="BP439" s="60"/>
      <c r="BQ439" s="60" t="str">
        <f>IF(BS439="Original",AI439,AZ439)</f>
        <v>Low Threshold Spend</v>
      </c>
      <c r="BR439" s="60"/>
      <c r="BS439" s="60" t="str">
        <f>IF(AQ439="","Original",IF(AP439&lt;Y439,"Alternate","Original"))</f>
        <v>Original</v>
      </c>
    </row>
    <row r="440" spans="1:71" s="31" customFormat="1" x14ac:dyDescent="0.35">
      <c r="A440" s="53" t="s">
        <v>39</v>
      </c>
      <c r="B440" s="49">
        <v>438</v>
      </c>
      <c r="C440" s="50"/>
      <c r="D440" s="50"/>
      <c r="E440" s="51"/>
      <c r="F440" s="50" t="s">
        <v>40</v>
      </c>
      <c r="G440" s="50" t="s">
        <v>1275</v>
      </c>
      <c r="H440" s="50" t="s">
        <v>1276</v>
      </c>
      <c r="I440" s="50"/>
      <c r="J440" s="50"/>
      <c r="K440" s="50"/>
      <c r="L440" s="50"/>
      <c r="M440" s="50"/>
      <c r="N440" s="54" t="s">
        <v>43</v>
      </c>
      <c r="O440" s="49">
        <v>1</v>
      </c>
      <c r="P440" s="43">
        <v>11.34</v>
      </c>
      <c r="Q440" s="49">
        <v>1</v>
      </c>
      <c r="R440" s="44">
        <f>P440/O440</f>
        <v>11.34</v>
      </c>
      <c r="S440" s="49">
        <f>Q440*O440</f>
        <v>1</v>
      </c>
      <c r="T440" s="52">
        <f>S440*R440</f>
        <v>11.34</v>
      </c>
      <c r="U440" s="50"/>
      <c r="V440" s="50"/>
      <c r="W440" s="50"/>
      <c r="X440" s="69"/>
      <c r="Y440" s="69"/>
      <c r="Z440" s="69"/>
      <c r="AA440" s="50"/>
      <c r="AB440" s="50"/>
      <c r="AC440" s="50"/>
      <c r="AD440" s="50"/>
      <c r="AE440" s="50"/>
      <c r="AF440" s="50"/>
      <c r="AG440" s="50"/>
      <c r="AH440" s="50"/>
      <c r="AI440" s="50" t="s">
        <v>652</v>
      </c>
      <c r="AJ440" s="50"/>
      <c r="AK440" s="50"/>
      <c r="AL440" s="44"/>
      <c r="AM440" s="45"/>
      <c r="AN440" s="50"/>
      <c r="AO440" s="69"/>
      <c r="AP440" s="69"/>
      <c r="AQ440" s="69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5"/>
      <c r="BD440" s="56"/>
      <c r="BE440" s="61"/>
      <c r="BF440" s="65"/>
      <c r="BG440" s="66"/>
      <c r="BH440" s="66"/>
      <c r="BI440" s="60"/>
      <c r="BJ440" s="60"/>
      <c r="BK440" s="60"/>
      <c r="BL440" s="60"/>
      <c r="BM440" s="60"/>
      <c r="BN440" s="60"/>
      <c r="BO440" s="60"/>
      <c r="BP440" s="60"/>
      <c r="BQ440" s="60" t="str">
        <f>IF(BS440="Original",AI440,AZ440)</f>
        <v>Low Threshold Spend</v>
      </c>
      <c r="BR440" s="60"/>
      <c r="BS440" s="60" t="str">
        <f>IF(AQ440="","Original",IF(AP440&lt;Y440,"Alternate","Original"))</f>
        <v>Original</v>
      </c>
    </row>
    <row r="441" spans="1:71" s="31" customFormat="1" x14ac:dyDescent="0.35">
      <c r="A441" s="53" t="s">
        <v>39</v>
      </c>
      <c r="B441" s="49">
        <v>439</v>
      </c>
      <c r="C441" s="50"/>
      <c r="D441" s="50"/>
      <c r="E441" s="51"/>
      <c r="F441" s="50" t="s">
        <v>40</v>
      </c>
      <c r="G441" s="50" t="s">
        <v>1277</v>
      </c>
      <c r="H441" s="50" t="s">
        <v>1278</v>
      </c>
      <c r="I441" s="50"/>
      <c r="J441" s="50"/>
      <c r="K441" s="50"/>
      <c r="L441" s="50"/>
      <c r="M441" s="50"/>
      <c r="N441" s="54" t="s">
        <v>43</v>
      </c>
      <c r="O441" s="49">
        <v>1</v>
      </c>
      <c r="P441" s="43">
        <v>11.27</v>
      </c>
      <c r="Q441" s="49">
        <v>1</v>
      </c>
      <c r="R441" s="44">
        <f>P441/O441</f>
        <v>11.27</v>
      </c>
      <c r="S441" s="49">
        <f>Q441*O441</f>
        <v>1</v>
      </c>
      <c r="T441" s="52">
        <f>S441*R441</f>
        <v>11.27</v>
      </c>
      <c r="U441" s="50"/>
      <c r="V441" s="50"/>
      <c r="W441" s="50"/>
      <c r="X441" s="69"/>
      <c r="Y441" s="69"/>
      <c r="Z441" s="69"/>
      <c r="AA441" s="50"/>
      <c r="AB441" s="50"/>
      <c r="AC441" s="50"/>
      <c r="AD441" s="50"/>
      <c r="AE441" s="50"/>
      <c r="AF441" s="50"/>
      <c r="AG441" s="50"/>
      <c r="AH441" s="50"/>
      <c r="AI441" s="50" t="s">
        <v>652</v>
      </c>
      <c r="AJ441" s="50"/>
      <c r="AK441" s="50"/>
      <c r="AL441" s="44"/>
      <c r="AM441" s="45"/>
      <c r="AN441" s="50"/>
      <c r="AO441" s="69"/>
      <c r="AP441" s="69"/>
      <c r="AQ441" s="69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5"/>
      <c r="BD441" s="56"/>
      <c r="BE441" s="61"/>
      <c r="BF441" s="65"/>
      <c r="BG441" s="66"/>
      <c r="BH441" s="66"/>
      <c r="BI441" s="60"/>
      <c r="BJ441" s="60"/>
      <c r="BK441" s="60"/>
      <c r="BL441" s="60"/>
      <c r="BM441" s="60"/>
      <c r="BN441" s="60"/>
      <c r="BO441" s="60"/>
      <c r="BP441" s="60"/>
      <c r="BQ441" s="60" t="str">
        <f>IF(BS441="Original",AI441,AZ441)</f>
        <v>Low Threshold Spend</v>
      </c>
      <c r="BR441" s="60"/>
      <c r="BS441" s="60" t="str">
        <f>IF(AQ441="","Original",IF(AP441&lt;Y441,"Alternate","Original"))</f>
        <v>Original</v>
      </c>
    </row>
    <row r="442" spans="1:71" s="31" customFormat="1" x14ac:dyDescent="0.35">
      <c r="A442" s="53" t="s">
        <v>39</v>
      </c>
      <c r="B442" s="49">
        <v>440</v>
      </c>
      <c r="C442" s="50"/>
      <c r="D442" s="50"/>
      <c r="E442" s="51"/>
      <c r="F442" s="50" t="s">
        <v>40</v>
      </c>
      <c r="G442" s="50" t="s">
        <v>1279</v>
      </c>
      <c r="H442" s="50" t="s">
        <v>1280</v>
      </c>
      <c r="I442" s="50"/>
      <c r="J442" s="50"/>
      <c r="K442" s="50"/>
      <c r="L442" s="50"/>
      <c r="M442" s="50"/>
      <c r="N442" s="54" t="s">
        <v>43</v>
      </c>
      <c r="O442" s="49">
        <v>1</v>
      </c>
      <c r="P442" s="43">
        <v>11.05</v>
      </c>
      <c r="Q442" s="49">
        <v>1</v>
      </c>
      <c r="R442" s="44">
        <f>P442/O442</f>
        <v>11.05</v>
      </c>
      <c r="S442" s="49">
        <f>Q442*O442</f>
        <v>1</v>
      </c>
      <c r="T442" s="52">
        <f>S442*R442</f>
        <v>11.05</v>
      </c>
      <c r="U442" s="50"/>
      <c r="V442" s="50"/>
      <c r="W442" s="50"/>
      <c r="X442" s="69"/>
      <c r="Y442" s="69"/>
      <c r="Z442" s="69"/>
      <c r="AA442" s="50"/>
      <c r="AB442" s="50"/>
      <c r="AC442" s="50"/>
      <c r="AD442" s="50"/>
      <c r="AE442" s="50"/>
      <c r="AF442" s="50"/>
      <c r="AG442" s="50"/>
      <c r="AH442" s="50"/>
      <c r="AI442" s="50" t="s">
        <v>652</v>
      </c>
      <c r="AJ442" s="50"/>
      <c r="AK442" s="50"/>
      <c r="AL442" s="44"/>
      <c r="AM442" s="45"/>
      <c r="AN442" s="50"/>
      <c r="AO442" s="69"/>
      <c r="AP442" s="69"/>
      <c r="AQ442" s="69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5"/>
      <c r="BD442" s="56"/>
      <c r="BE442" s="61"/>
      <c r="BF442" s="65"/>
      <c r="BG442" s="66"/>
      <c r="BH442" s="66"/>
      <c r="BI442" s="60"/>
      <c r="BJ442" s="60"/>
      <c r="BK442" s="60"/>
      <c r="BL442" s="60"/>
      <c r="BM442" s="60"/>
      <c r="BN442" s="60"/>
      <c r="BO442" s="60"/>
      <c r="BP442" s="60"/>
      <c r="BQ442" s="60" t="str">
        <f>IF(BS442="Original",AI442,AZ442)</f>
        <v>Low Threshold Spend</v>
      </c>
      <c r="BR442" s="60"/>
      <c r="BS442" s="60" t="str">
        <f>IF(AQ442="","Original",IF(AP442&lt;Y442,"Alternate","Original"))</f>
        <v>Original</v>
      </c>
    </row>
    <row r="443" spans="1:71" s="31" customFormat="1" x14ac:dyDescent="0.35">
      <c r="A443" s="53" t="s">
        <v>39</v>
      </c>
      <c r="B443" s="49">
        <v>441</v>
      </c>
      <c r="C443" s="50"/>
      <c r="D443" s="50"/>
      <c r="E443" s="51"/>
      <c r="F443" s="50" t="s">
        <v>60</v>
      </c>
      <c r="G443" s="50" t="s">
        <v>1281</v>
      </c>
      <c r="H443" s="50" t="s">
        <v>1282</v>
      </c>
      <c r="I443" s="50"/>
      <c r="J443" s="50"/>
      <c r="K443" s="50"/>
      <c r="L443" s="50"/>
      <c r="M443" s="50"/>
      <c r="N443" s="54" t="s">
        <v>43</v>
      </c>
      <c r="O443" s="49">
        <v>1</v>
      </c>
      <c r="P443" s="43">
        <v>10.77</v>
      </c>
      <c r="Q443" s="49">
        <v>1</v>
      </c>
      <c r="R443" s="44">
        <f>P443/O443</f>
        <v>10.77</v>
      </c>
      <c r="S443" s="49">
        <f>Q443*O443</f>
        <v>1</v>
      </c>
      <c r="T443" s="52">
        <f>S443*R443</f>
        <v>10.77</v>
      </c>
      <c r="U443" s="50"/>
      <c r="V443" s="50"/>
      <c r="W443" s="50"/>
      <c r="X443" s="69"/>
      <c r="Y443" s="69"/>
      <c r="Z443" s="69"/>
      <c r="AA443" s="50"/>
      <c r="AB443" s="50"/>
      <c r="AC443" s="50"/>
      <c r="AD443" s="50"/>
      <c r="AE443" s="50"/>
      <c r="AF443" s="50"/>
      <c r="AG443" s="50"/>
      <c r="AH443" s="50"/>
      <c r="AI443" s="50" t="s">
        <v>652</v>
      </c>
      <c r="AJ443" s="50"/>
      <c r="AK443" s="50"/>
      <c r="AL443" s="44"/>
      <c r="AM443" s="45"/>
      <c r="AN443" s="50"/>
      <c r="AO443" s="69"/>
      <c r="AP443" s="69"/>
      <c r="AQ443" s="69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5"/>
      <c r="BD443" s="56"/>
      <c r="BE443" s="61"/>
      <c r="BF443" s="65"/>
      <c r="BG443" s="66"/>
      <c r="BH443" s="66"/>
      <c r="BI443" s="60"/>
      <c r="BJ443" s="60"/>
      <c r="BK443" s="60"/>
      <c r="BL443" s="60"/>
      <c r="BM443" s="60"/>
      <c r="BN443" s="60"/>
      <c r="BO443" s="60"/>
      <c r="BP443" s="60"/>
      <c r="BQ443" s="60" t="str">
        <f>IF(BS443="Original",AI443,AZ443)</f>
        <v>Low Threshold Spend</v>
      </c>
      <c r="BR443" s="60"/>
      <c r="BS443" s="60" t="str">
        <f>IF(AQ443="","Original",IF(AP443&lt;Y443,"Alternate","Original"))</f>
        <v>Original</v>
      </c>
    </row>
    <row r="444" spans="1:71" s="31" customFormat="1" x14ac:dyDescent="0.35">
      <c r="A444" s="53" t="s">
        <v>39</v>
      </c>
      <c r="B444" s="49">
        <v>442</v>
      </c>
      <c r="C444" s="50"/>
      <c r="D444" s="50"/>
      <c r="E444" s="51"/>
      <c r="F444" s="50" t="s">
        <v>40</v>
      </c>
      <c r="G444" s="50" t="s">
        <v>1283</v>
      </c>
      <c r="H444" s="50" t="s">
        <v>1284</v>
      </c>
      <c r="I444" s="50"/>
      <c r="J444" s="50"/>
      <c r="K444" s="50"/>
      <c r="L444" s="50"/>
      <c r="M444" s="50"/>
      <c r="N444" s="54" t="s">
        <v>43</v>
      </c>
      <c r="O444" s="49">
        <v>1</v>
      </c>
      <c r="P444" s="43">
        <v>10.64</v>
      </c>
      <c r="Q444" s="49">
        <v>1</v>
      </c>
      <c r="R444" s="44">
        <f>P444/O444</f>
        <v>10.64</v>
      </c>
      <c r="S444" s="49">
        <f>Q444*O444</f>
        <v>1</v>
      </c>
      <c r="T444" s="52">
        <f>S444*R444</f>
        <v>10.64</v>
      </c>
      <c r="U444" s="50"/>
      <c r="V444" s="50"/>
      <c r="W444" s="50"/>
      <c r="X444" s="69"/>
      <c r="Y444" s="69"/>
      <c r="Z444" s="69"/>
      <c r="AA444" s="50"/>
      <c r="AB444" s="50"/>
      <c r="AC444" s="50"/>
      <c r="AD444" s="50"/>
      <c r="AE444" s="50"/>
      <c r="AF444" s="50"/>
      <c r="AG444" s="50"/>
      <c r="AH444" s="50"/>
      <c r="AI444" s="50" t="s">
        <v>652</v>
      </c>
      <c r="AJ444" s="50"/>
      <c r="AK444" s="50"/>
      <c r="AL444" s="44"/>
      <c r="AM444" s="45"/>
      <c r="AN444" s="50"/>
      <c r="AO444" s="69"/>
      <c r="AP444" s="69"/>
      <c r="AQ444" s="69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5"/>
      <c r="BD444" s="56"/>
      <c r="BE444" s="61"/>
      <c r="BF444" s="65"/>
      <c r="BG444" s="66"/>
      <c r="BH444" s="66"/>
      <c r="BI444" s="60"/>
      <c r="BJ444" s="60"/>
      <c r="BK444" s="60"/>
      <c r="BL444" s="60"/>
      <c r="BM444" s="60"/>
      <c r="BN444" s="60"/>
      <c r="BO444" s="60"/>
      <c r="BP444" s="60"/>
      <c r="BQ444" s="60" t="str">
        <f>IF(BS444="Original",AI444,AZ444)</f>
        <v>Low Threshold Spend</v>
      </c>
      <c r="BR444" s="60"/>
      <c r="BS444" s="60" t="str">
        <f>IF(AQ444="","Original",IF(AP444&lt;Y444,"Alternate","Original"))</f>
        <v>Original</v>
      </c>
    </row>
    <row r="445" spans="1:71" s="31" customFormat="1" x14ac:dyDescent="0.35">
      <c r="A445" s="53" t="s">
        <v>39</v>
      </c>
      <c r="B445" s="49">
        <v>443</v>
      </c>
      <c r="C445" s="50"/>
      <c r="D445" s="50"/>
      <c r="E445" s="51"/>
      <c r="F445" s="50" t="s">
        <v>49</v>
      </c>
      <c r="G445" s="50" t="s">
        <v>1285</v>
      </c>
      <c r="H445" s="50" t="s">
        <v>1286</v>
      </c>
      <c r="I445" s="50"/>
      <c r="J445" s="50"/>
      <c r="K445" s="50"/>
      <c r="L445" s="50"/>
      <c r="M445" s="50"/>
      <c r="N445" s="54" t="s">
        <v>43</v>
      </c>
      <c r="O445" s="49">
        <v>1</v>
      </c>
      <c r="P445" s="43">
        <v>10.39</v>
      </c>
      <c r="Q445" s="49">
        <v>1</v>
      </c>
      <c r="R445" s="44">
        <f>P445/O445</f>
        <v>10.39</v>
      </c>
      <c r="S445" s="49">
        <f>Q445*O445</f>
        <v>1</v>
      </c>
      <c r="T445" s="52">
        <f>S445*R445</f>
        <v>10.39</v>
      </c>
      <c r="U445" s="50"/>
      <c r="V445" s="50"/>
      <c r="W445" s="50"/>
      <c r="X445" s="69"/>
      <c r="Y445" s="69"/>
      <c r="Z445" s="69"/>
      <c r="AA445" s="50"/>
      <c r="AB445" s="50"/>
      <c r="AC445" s="50"/>
      <c r="AD445" s="50"/>
      <c r="AE445" s="50"/>
      <c r="AF445" s="50"/>
      <c r="AG445" s="50"/>
      <c r="AH445" s="50"/>
      <c r="AI445" s="50" t="s">
        <v>652</v>
      </c>
      <c r="AJ445" s="50"/>
      <c r="AK445" s="50"/>
      <c r="AL445" s="44"/>
      <c r="AM445" s="45"/>
      <c r="AN445" s="50"/>
      <c r="AO445" s="69"/>
      <c r="AP445" s="69"/>
      <c r="AQ445" s="69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5"/>
      <c r="BD445" s="56"/>
      <c r="BE445" s="61"/>
      <c r="BF445" s="65"/>
      <c r="BG445" s="66"/>
      <c r="BH445" s="66"/>
      <c r="BI445" s="60"/>
      <c r="BJ445" s="60"/>
      <c r="BK445" s="60"/>
      <c r="BL445" s="60"/>
      <c r="BM445" s="60"/>
      <c r="BN445" s="60"/>
      <c r="BO445" s="60"/>
      <c r="BP445" s="60"/>
      <c r="BQ445" s="60" t="str">
        <f>IF(BS445="Original",AI445,AZ445)</f>
        <v>Low Threshold Spend</v>
      </c>
      <c r="BR445" s="60"/>
      <c r="BS445" s="60" t="str">
        <f>IF(AQ445="","Original",IF(AP445&lt;Y445,"Alternate","Original"))</f>
        <v>Original</v>
      </c>
    </row>
    <row r="446" spans="1:71" s="31" customFormat="1" x14ac:dyDescent="0.35">
      <c r="A446" s="53" t="s">
        <v>39</v>
      </c>
      <c r="B446" s="49">
        <v>444</v>
      </c>
      <c r="C446" s="50"/>
      <c r="D446" s="50"/>
      <c r="E446" s="51"/>
      <c r="F446" s="50" t="s">
        <v>40</v>
      </c>
      <c r="G446" s="50" t="s">
        <v>1287</v>
      </c>
      <c r="H446" s="50" t="s">
        <v>1288</v>
      </c>
      <c r="I446" s="50"/>
      <c r="J446" s="50"/>
      <c r="K446" s="50"/>
      <c r="L446" s="50"/>
      <c r="M446" s="50"/>
      <c r="N446" s="54" t="s">
        <v>43</v>
      </c>
      <c r="O446" s="49">
        <v>1</v>
      </c>
      <c r="P446" s="43">
        <v>10.27</v>
      </c>
      <c r="Q446" s="49">
        <v>1</v>
      </c>
      <c r="R446" s="44">
        <f>P446/O446</f>
        <v>10.27</v>
      </c>
      <c r="S446" s="49">
        <f>Q446*O446</f>
        <v>1</v>
      </c>
      <c r="T446" s="52">
        <f>S446*R446</f>
        <v>10.27</v>
      </c>
      <c r="U446" s="50"/>
      <c r="V446" s="50"/>
      <c r="W446" s="50"/>
      <c r="X446" s="69"/>
      <c r="Y446" s="69"/>
      <c r="Z446" s="69"/>
      <c r="AA446" s="50"/>
      <c r="AB446" s="50"/>
      <c r="AC446" s="50"/>
      <c r="AD446" s="50"/>
      <c r="AE446" s="50"/>
      <c r="AF446" s="50"/>
      <c r="AG446" s="50"/>
      <c r="AH446" s="50"/>
      <c r="AI446" s="50" t="s">
        <v>652</v>
      </c>
      <c r="AJ446" s="50"/>
      <c r="AK446" s="50"/>
      <c r="AL446" s="44"/>
      <c r="AM446" s="45"/>
      <c r="AN446" s="50"/>
      <c r="AO446" s="69"/>
      <c r="AP446" s="69"/>
      <c r="AQ446" s="69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5"/>
      <c r="BD446" s="56"/>
      <c r="BE446" s="61"/>
      <c r="BF446" s="65"/>
      <c r="BG446" s="66"/>
      <c r="BH446" s="66"/>
      <c r="BI446" s="60"/>
      <c r="BJ446" s="60"/>
      <c r="BK446" s="60"/>
      <c r="BL446" s="60"/>
      <c r="BM446" s="60"/>
      <c r="BN446" s="60"/>
      <c r="BO446" s="60"/>
      <c r="BP446" s="60"/>
      <c r="BQ446" s="60" t="str">
        <f>IF(BS446="Original",AI446,AZ446)</f>
        <v>Low Threshold Spend</v>
      </c>
      <c r="BR446" s="60"/>
      <c r="BS446" s="60" t="str">
        <f>IF(AQ446="","Original",IF(AP446&lt;Y446,"Alternate","Original"))</f>
        <v>Original</v>
      </c>
    </row>
    <row r="447" spans="1:71" s="31" customFormat="1" x14ac:dyDescent="0.35">
      <c r="A447" s="53" t="s">
        <v>39</v>
      </c>
      <c r="B447" s="49">
        <v>445</v>
      </c>
      <c r="C447" s="50"/>
      <c r="D447" s="50"/>
      <c r="E447" s="51"/>
      <c r="F447" s="50" t="s">
        <v>60</v>
      </c>
      <c r="G447" s="50" t="s">
        <v>1289</v>
      </c>
      <c r="H447" s="50" t="s">
        <v>1290</v>
      </c>
      <c r="I447" s="50"/>
      <c r="J447" s="50"/>
      <c r="K447" s="50"/>
      <c r="L447" s="50"/>
      <c r="M447" s="50"/>
      <c r="N447" s="54" t="s">
        <v>43</v>
      </c>
      <c r="O447" s="49">
        <v>1</v>
      </c>
      <c r="P447" s="43">
        <v>10.029999999999999</v>
      </c>
      <c r="Q447" s="49">
        <v>1</v>
      </c>
      <c r="R447" s="44">
        <f>P447/O447</f>
        <v>10.029999999999999</v>
      </c>
      <c r="S447" s="49">
        <f>Q447*O447</f>
        <v>1</v>
      </c>
      <c r="T447" s="52">
        <f>S447*R447</f>
        <v>10.029999999999999</v>
      </c>
      <c r="U447" s="50"/>
      <c r="V447" s="50"/>
      <c r="W447" s="50"/>
      <c r="X447" s="69"/>
      <c r="Y447" s="69"/>
      <c r="Z447" s="69"/>
      <c r="AA447" s="50"/>
      <c r="AB447" s="50"/>
      <c r="AC447" s="50"/>
      <c r="AD447" s="50"/>
      <c r="AE447" s="50"/>
      <c r="AF447" s="50"/>
      <c r="AG447" s="50"/>
      <c r="AH447" s="50"/>
      <c r="AI447" s="50" t="s">
        <v>652</v>
      </c>
      <c r="AJ447" s="50"/>
      <c r="AK447" s="50"/>
      <c r="AL447" s="44"/>
      <c r="AM447" s="45"/>
      <c r="AN447" s="50"/>
      <c r="AO447" s="69"/>
      <c r="AP447" s="69"/>
      <c r="AQ447" s="69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5"/>
      <c r="BD447" s="56"/>
      <c r="BE447" s="61"/>
      <c r="BF447" s="65"/>
      <c r="BG447" s="66"/>
      <c r="BH447" s="66"/>
      <c r="BI447" s="60"/>
      <c r="BJ447" s="60"/>
      <c r="BK447" s="60"/>
      <c r="BL447" s="60"/>
      <c r="BM447" s="60"/>
      <c r="BN447" s="60"/>
      <c r="BO447" s="60"/>
      <c r="BP447" s="60"/>
      <c r="BQ447" s="60" t="str">
        <f>IF(BS447="Original",AI447,AZ447)</f>
        <v>Low Threshold Spend</v>
      </c>
      <c r="BR447" s="60"/>
      <c r="BS447" s="60" t="str">
        <f>IF(AQ447="","Original",IF(AP447&lt;Y447,"Alternate","Original"))</f>
        <v>Original</v>
      </c>
    </row>
    <row r="448" spans="1:71" s="31" customFormat="1" x14ac:dyDescent="0.35">
      <c r="A448" s="53" t="s">
        <v>39</v>
      </c>
      <c r="B448" s="49">
        <v>446</v>
      </c>
      <c r="C448" s="50"/>
      <c r="D448" s="50"/>
      <c r="E448" s="51"/>
      <c r="F448" s="50" t="s">
        <v>60</v>
      </c>
      <c r="G448" s="50" t="s">
        <v>1291</v>
      </c>
      <c r="H448" s="50" t="s">
        <v>1292</v>
      </c>
      <c r="I448" s="50"/>
      <c r="J448" s="50"/>
      <c r="K448" s="50"/>
      <c r="L448" s="50"/>
      <c r="M448" s="50"/>
      <c r="N448" s="54" t="s">
        <v>43</v>
      </c>
      <c r="O448" s="49">
        <v>1</v>
      </c>
      <c r="P448" s="43">
        <v>10.029999999999999</v>
      </c>
      <c r="Q448" s="49">
        <v>1</v>
      </c>
      <c r="R448" s="44">
        <f>P448/O448</f>
        <v>10.029999999999999</v>
      </c>
      <c r="S448" s="49">
        <f>Q448*O448</f>
        <v>1</v>
      </c>
      <c r="T448" s="52">
        <f>S448*R448</f>
        <v>10.029999999999999</v>
      </c>
      <c r="U448" s="50"/>
      <c r="V448" s="50"/>
      <c r="W448" s="50"/>
      <c r="X448" s="69"/>
      <c r="Y448" s="69"/>
      <c r="Z448" s="69"/>
      <c r="AA448" s="50"/>
      <c r="AB448" s="50"/>
      <c r="AC448" s="50"/>
      <c r="AD448" s="50"/>
      <c r="AE448" s="50"/>
      <c r="AF448" s="50"/>
      <c r="AG448" s="50"/>
      <c r="AH448" s="50"/>
      <c r="AI448" s="50" t="s">
        <v>652</v>
      </c>
      <c r="AJ448" s="50"/>
      <c r="AK448" s="50"/>
      <c r="AL448" s="44"/>
      <c r="AM448" s="45"/>
      <c r="AN448" s="50"/>
      <c r="AO448" s="69"/>
      <c r="AP448" s="69"/>
      <c r="AQ448" s="69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5"/>
      <c r="BD448" s="56"/>
      <c r="BE448" s="61"/>
      <c r="BF448" s="65"/>
      <c r="BG448" s="66"/>
      <c r="BH448" s="66"/>
      <c r="BI448" s="60"/>
      <c r="BJ448" s="60"/>
      <c r="BK448" s="60"/>
      <c r="BL448" s="60"/>
      <c r="BM448" s="60"/>
      <c r="BN448" s="60"/>
      <c r="BO448" s="60"/>
      <c r="BP448" s="60"/>
      <c r="BQ448" s="60" t="str">
        <f>IF(BS448="Original",AI448,AZ448)</f>
        <v>Low Threshold Spend</v>
      </c>
      <c r="BR448" s="60"/>
      <c r="BS448" s="60" t="str">
        <f>IF(AQ448="","Original",IF(AP448&lt;Y448,"Alternate","Original"))</f>
        <v>Original</v>
      </c>
    </row>
    <row r="449" spans="1:71" s="31" customFormat="1" x14ac:dyDescent="0.35">
      <c r="A449" s="53" t="s">
        <v>39</v>
      </c>
      <c r="B449" s="49">
        <v>447</v>
      </c>
      <c r="C449" s="50"/>
      <c r="D449" s="50"/>
      <c r="E449" s="51"/>
      <c r="F449" s="50" t="s">
        <v>40</v>
      </c>
      <c r="G449" s="50" t="s">
        <v>1293</v>
      </c>
      <c r="H449" s="50" t="s">
        <v>1294</v>
      </c>
      <c r="I449" s="50"/>
      <c r="J449" s="50"/>
      <c r="K449" s="50"/>
      <c r="L449" s="50"/>
      <c r="M449" s="50"/>
      <c r="N449" s="54" t="s">
        <v>43</v>
      </c>
      <c r="O449" s="49">
        <v>1</v>
      </c>
      <c r="P449" s="43">
        <v>9.69</v>
      </c>
      <c r="Q449" s="49">
        <v>1</v>
      </c>
      <c r="R449" s="44">
        <f>P449/O449</f>
        <v>9.69</v>
      </c>
      <c r="S449" s="49">
        <f>Q449*O449</f>
        <v>1</v>
      </c>
      <c r="T449" s="52">
        <f>S449*R449</f>
        <v>9.69</v>
      </c>
      <c r="U449" s="50"/>
      <c r="V449" s="50"/>
      <c r="W449" s="50"/>
      <c r="X449" s="69"/>
      <c r="Y449" s="69"/>
      <c r="Z449" s="69"/>
      <c r="AA449" s="50"/>
      <c r="AB449" s="50"/>
      <c r="AC449" s="50"/>
      <c r="AD449" s="50"/>
      <c r="AE449" s="50"/>
      <c r="AF449" s="50"/>
      <c r="AG449" s="50"/>
      <c r="AH449" s="50"/>
      <c r="AI449" s="50" t="s">
        <v>652</v>
      </c>
      <c r="AJ449" s="50"/>
      <c r="AK449" s="50"/>
      <c r="AL449" s="44"/>
      <c r="AM449" s="45"/>
      <c r="AN449" s="50"/>
      <c r="AO449" s="69"/>
      <c r="AP449" s="69"/>
      <c r="AQ449" s="69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5"/>
      <c r="BD449" s="56"/>
      <c r="BE449" s="61"/>
      <c r="BF449" s="65"/>
      <c r="BG449" s="66"/>
      <c r="BH449" s="66"/>
      <c r="BI449" s="60"/>
      <c r="BJ449" s="60"/>
      <c r="BK449" s="60"/>
      <c r="BL449" s="60"/>
      <c r="BM449" s="60"/>
      <c r="BN449" s="60"/>
      <c r="BO449" s="60"/>
      <c r="BP449" s="60"/>
      <c r="BQ449" s="60" t="str">
        <f>IF(BS449="Original",AI449,AZ449)</f>
        <v>Low Threshold Spend</v>
      </c>
      <c r="BR449" s="60"/>
      <c r="BS449" s="60" t="str">
        <f>IF(AQ449="","Original",IF(AP449&lt;Y449,"Alternate","Original"))</f>
        <v>Original</v>
      </c>
    </row>
    <row r="450" spans="1:71" s="31" customFormat="1" x14ac:dyDescent="0.35">
      <c r="A450" s="53" t="s">
        <v>39</v>
      </c>
      <c r="B450" s="49">
        <v>448</v>
      </c>
      <c r="C450" s="50"/>
      <c r="D450" s="50"/>
      <c r="E450" s="51"/>
      <c r="F450" s="50" t="s">
        <v>40</v>
      </c>
      <c r="G450" s="50" t="s">
        <v>1295</v>
      </c>
      <c r="H450" s="50" t="s">
        <v>1296</v>
      </c>
      <c r="I450" s="50"/>
      <c r="J450" s="50"/>
      <c r="K450" s="50"/>
      <c r="L450" s="50"/>
      <c r="M450" s="50"/>
      <c r="N450" s="54" t="s">
        <v>43</v>
      </c>
      <c r="O450" s="49">
        <v>1</v>
      </c>
      <c r="P450" s="43">
        <v>9.61</v>
      </c>
      <c r="Q450" s="49">
        <v>1</v>
      </c>
      <c r="R450" s="44">
        <f>P450/O450</f>
        <v>9.61</v>
      </c>
      <c r="S450" s="49">
        <f>Q450*O450</f>
        <v>1</v>
      </c>
      <c r="T450" s="52">
        <f>S450*R450</f>
        <v>9.61</v>
      </c>
      <c r="U450" s="50"/>
      <c r="V450" s="50"/>
      <c r="W450" s="50"/>
      <c r="X450" s="69"/>
      <c r="Y450" s="69"/>
      <c r="Z450" s="69"/>
      <c r="AA450" s="50"/>
      <c r="AB450" s="50"/>
      <c r="AC450" s="50"/>
      <c r="AD450" s="50"/>
      <c r="AE450" s="50"/>
      <c r="AF450" s="50"/>
      <c r="AG450" s="50"/>
      <c r="AH450" s="50"/>
      <c r="AI450" s="50" t="s">
        <v>652</v>
      </c>
      <c r="AJ450" s="50"/>
      <c r="AK450" s="50"/>
      <c r="AL450" s="44"/>
      <c r="AM450" s="45"/>
      <c r="AN450" s="50"/>
      <c r="AO450" s="69"/>
      <c r="AP450" s="69"/>
      <c r="AQ450" s="69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5"/>
      <c r="BD450" s="56"/>
      <c r="BE450" s="61"/>
      <c r="BF450" s="65"/>
      <c r="BG450" s="66"/>
      <c r="BH450" s="66"/>
      <c r="BI450" s="60"/>
      <c r="BJ450" s="60"/>
      <c r="BK450" s="60"/>
      <c r="BL450" s="60"/>
      <c r="BM450" s="60"/>
      <c r="BN450" s="60"/>
      <c r="BO450" s="60"/>
      <c r="BP450" s="60"/>
      <c r="BQ450" s="60" t="str">
        <f>IF(BS450="Original",AI450,AZ450)</f>
        <v>Low Threshold Spend</v>
      </c>
      <c r="BR450" s="60"/>
      <c r="BS450" s="60" t="str">
        <f>IF(AQ450="","Original",IF(AP450&lt;Y450,"Alternate","Original"))</f>
        <v>Original</v>
      </c>
    </row>
    <row r="451" spans="1:71" s="31" customFormat="1" x14ac:dyDescent="0.35">
      <c r="A451" s="53" t="s">
        <v>39</v>
      </c>
      <c r="B451" s="49">
        <v>449</v>
      </c>
      <c r="C451" s="50"/>
      <c r="D451" s="50"/>
      <c r="E451" s="51"/>
      <c r="F451" s="50" t="s">
        <v>40</v>
      </c>
      <c r="G451" s="50" t="s">
        <v>1297</v>
      </c>
      <c r="H451" s="50" t="s">
        <v>1298</v>
      </c>
      <c r="I451" s="50"/>
      <c r="J451" s="50"/>
      <c r="K451" s="50"/>
      <c r="L451" s="50"/>
      <c r="M451" s="50"/>
      <c r="N451" s="54" t="s">
        <v>43</v>
      </c>
      <c r="O451" s="49">
        <v>1</v>
      </c>
      <c r="P451" s="43">
        <v>9.61</v>
      </c>
      <c r="Q451" s="49">
        <v>1</v>
      </c>
      <c r="R451" s="44">
        <f>P451/O451</f>
        <v>9.61</v>
      </c>
      <c r="S451" s="49">
        <f>Q451*O451</f>
        <v>1</v>
      </c>
      <c r="T451" s="52">
        <f>S451*R451</f>
        <v>9.61</v>
      </c>
      <c r="U451" s="50"/>
      <c r="V451" s="50"/>
      <c r="W451" s="50"/>
      <c r="X451" s="69"/>
      <c r="Y451" s="69"/>
      <c r="Z451" s="69"/>
      <c r="AA451" s="50"/>
      <c r="AB451" s="50"/>
      <c r="AC451" s="50"/>
      <c r="AD451" s="50"/>
      <c r="AE451" s="50"/>
      <c r="AF451" s="50"/>
      <c r="AG451" s="50"/>
      <c r="AH451" s="50"/>
      <c r="AI451" s="50" t="s">
        <v>652</v>
      </c>
      <c r="AJ451" s="50"/>
      <c r="AK451" s="50"/>
      <c r="AL451" s="44"/>
      <c r="AM451" s="45"/>
      <c r="AN451" s="50"/>
      <c r="AO451" s="69"/>
      <c r="AP451" s="69"/>
      <c r="AQ451" s="69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5"/>
      <c r="BD451" s="56"/>
      <c r="BE451" s="61"/>
      <c r="BF451" s="65"/>
      <c r="BG451" s="66"/>
      <c r="BH451" s="66"/>
      <c r="BI451" s="60"/>
      <c r="BJ451" s="60"/>
      <c r="BK451" s="60"/>
      <c r="BL451" s="60"/>
      <c r="BM451" s="60"/>
      <c r="BN451" s="60"/>
      <c r="BO451" s="60"/>
      <c r="BP451" s="60"/>
      <c r="BQ451" s="60" t="str">
        <f>IF(BS451="Original",AI451,AZ451)</f>
        <v>Low Threshold Spend</v>
      </c>
      <c r="BR451" s="60"/>
      <c r="BS451" s="60" t="str">
        <f>IF(AQ451="","Original",IF(AP451&lt;Y451,"Alternate","Original"))</f>
        <v>Original</v>
      </c>
    </row>
    <row r="452" spans="1:71" s="31" customFormat="1" x14ac:dyDescent="0.35">
      <c r="A452" s="53" t="s">
        <v>39</v>
      </c>
      <c r="B452" s="49">
        <v>450</v>
      </c>
      <c r="C452" s="50"/>
      <c r="D452" s="50"/>
      <c r="E452" s="51"/>
      <c r="F452" s="50" t="s">
        <v>49</v>
      </c>
      <c r="G452" s="50" t="s">
        <v>1299</v>
      </c>
      <c r="H452" s="50" t="s">
        <v>1300</v>
      </c>
      <c r="I452" s="50"/>
      <c r="J452" s="50"/>
      <c r="K452" s="50"/>
      <c r="L452" s="50"/>
      <c r="M452" s="50"/>
      <c r="N452" s="54" t="s">
        <v>43</v>
      </c>
      <c r="O452" s="49">
        <v>1</v>
      </c>
      <c r="P452" s="43">
        <v>9.5399999999999991</v>
      </c>
      <c r="Q452" s="49">
        <v>1</v>
      </c>
      <c r="R452" s="44">
        <f>P452/O452</f>
        <v>9.5399999999999991</v>
      </c>
      <c r="S452" s="49">
        <f>Q452*O452</f>
        <v>1</v>
      </c>
      <c r="T452" s="52">
        <f>S452*R452</f>
        <v>9.5399999999999991</v>
      </c>
      <c r="U452" s="50"/>
      <c r="V452" s="50"/>
      <c r="W452" s="50"/>
      <c r="X452" s="69"/>
      <c r="Y452" s="69"/>
      <c r="Z452" s="69"/>
      <c r="AA452" s="50"/>
      <c r="AB452" s="50"/>
      <c r="AC452" s="50"/>
      <c r="AD452" s="50"/>
      <c r="AE452" s="50"/>
      <c r="AF452" s="50"/>
      <c r="AG452" s="50"/>
      <c r="AH452" s="50"/>
      <c r="AI452" s="50" t="s">
        <v>652</v>
      </c>
      <c r="AJ452" s="50"/>
      <c r="AK452" s="50"/>
      <c r="AL452" s="44"/>
      <c r="AM452" s="45"/>
      <c r="AN452" s="50"/>
      <c r="AO452" s="69"/>
      <c r="AP452" s="69"/>
      <c r="AQ452" s="69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5"/>
      <c r="BD452" s="56"/>
      <c r="BE452" s="61"/>
      <c r="BF452" s="65"/>
      <c r="BG452" s="66"/>
      <c r="BH452" s="66"/>
      <c r="BI452" s="60"/>
      <c r="BJ452" s="60"/>
      <c r="BK452" s="60"/>
      <c r="BL452" s="60"/>
      <c r="BM452" s="60"/>
      <c r="BN452" s="60"/>
      <c r="BO452" s="60"/>
      <c r="BP452" s="60"/>
      <c r="BQ452" s="60" t="str">
        <f>IF(BS452="Original",AI452,AZ452)</f>
        <v>Low Threshold Spend</v>
      </c>
      <c r="BR452" s="60"/>
      <c r="BS452" s="60" t="str">
        <f>IF(AQ452="","Original",IF(AP452&lt;Y452,"Alternate","Original"))</f>
        <v>Original</v>
      </c>
    </row>
    <row r="453" spans="1:71" s="31" customFormat="1" x14ac:dyDescent="0.35">
      <c r="A453" s="53" t="s">
        <v>39</v>
      </c>
      <c r="B453" s="49">
        <v>451</v>
      </c>
      <c r="C453" s="50"/>
      <c r="D453" s="50"/>
      <c r="E453" s="51"/>
      <c r="F453" s="50" t="s">
        <v>49</v>
      </c>
      <c r="G453" s="50" t="s">
        <v>1301</v>
      </c>
      <c r="H453" s="50" t="s">
        <v>1302</v>
      </c>
      <c r="I453" s="50"/>
      <c r="J453" s="50"/>
      <c r="K453" s="50"/>
      <c r="L453" s="50"/>
      <c r="M453" s="50"/>
      <c r="N453" s="54" t="s">
        <v>43</v>
      </c>
      <c r="O453" s="49">
        <v>1</v>
      </c>
      <c r="P453" s="43">
        <v>9.5399999999999991</v>
      </c>
      <c r="Q453" s="49">
        <v>1</v>
      </c>
      <c r="R453" s="44">
        <f>P453/O453</f>
        <v>9.5399999999999991</v>
      </c>
      <c r="S453" s="49">
        <f>Q453*O453</f>
        <v>1</v>
      </c>
      <c r="T453" s="52">
        <f>S453*R453</f>
        <v>9.5399999999999991</v>
      </c>
      <c r="U453" s="50"/>
      <c r="V453" s="50"/>
      <c r="W453" s="50"/>
      <c r="X453" s="69"/>
      <c r="Y453" s="69"/>
      <c r="Z453" s="69"/>
      <c r="AA453" s="50"/>
      <c r="AB453" s="50"/>
      <c r="AC453" s="50"/>
      <c r="AD453" s="50"/>
      <c r="AE453" s="50"/>
      <c r="AF453" s="50"/>
      <c r="AG453" s="50"/>
      <c r="AH453" s="50"/>
      <c r="AI453" s="50" t="s">
        <v>652</v>
      </c>
      <c r="AJ453" s="50"/>
      <c r="AK453" s="50"/>
      <c r="AL453" s="44"/>
      <c r="AM453" s="45"/>
      <c r="AN453" s="50"/>
      <c r="AO453" s="69"/>
      <c r="AP453" s="69"/>
      <c r="AQ453" s="69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5"/>
      <c r="BD453" s="56"/>
      <c r="BE453" s="61"/>
      <c r="BF453" s="65"/>
      <c r="BG453" s="66"/>
      <c r="BH453" s="66"/>
      <c r="BI453" s="60"/>
      <c r="BJ453" s="60"/>
      <c r="BK453" s="60"/>
      <c r="BL453" s="60"/>
      <c r="BM453" s="60"/>
      <c r="BN453" s="60"/>
      <c r="BO453" s="60"/>
      <c r="BP453" s="60"/>
      <c r="BQ453" s="60" t="str">
        <f>IF(BS453="Original",AI453,AZ453)</f>
        <v>Low Threshold Spend</v>
      </c>
      <c r="BR453" s="60"/>
      <c r="BS453" s="60" t="str">
        <f>IF(AQ453="","Original",IF(AP453&lt;Y453,"Alternate","Original"))</f>
        <v>Original</v>
      </c>
    </row>
    <row r="454" spans="1:71" s="31" customFormat="1" x14ac:dyDescent="0.35">
      <c r="A454" s="53" t="s">
        <v>39</v>
      </c>
      <c r="B454" s="49">
        <v>452</v>
      </c>
      <c r="C454" s="50"/>
      <c r="D454" s="50"/>
      <c r="E454" s="51"/>
      <c r="F454" s="50" t="s">
        <v>40</v>
      </c>
      <c r="G454" s="50" t="s">
        <v>1303</v>
      </c>
      <c r="H454" s="50" t="s">
        <v>1304</v>
      </c>
      <c r="I454" s="50"/>
      <c r="J454" s="50"/>
      <c r="K454" s="50"/>
      <c r="L454" s="50"/>
      <c r="M454" s="50"/>
      <c r="N454" s="54" t="s">
        <v>43</v>
      </c>
      <c r="O454" s="49">
        <v>1</v>
      </c>
      <c r="P454" s="43">
        <v>9.4600000000000009</v>
      </c>
      <c r="Q454" s="49">
        <v>1</v>
      </c>
      <c r="R454" s="44">
        <f>P454/O454</f>
        <v>9.4600000000000009</v>
      </c>
      <c r="S454" s="49">
        <f>Q454*O454</f>
        <v>1</v>
      </c>
      <c r="T454" s="52">
        <f>S454*R454</f>
        <v>9.4600000000000009</v>
      </c>
      <c r="U454" s="50"/>
      <c r="V454" s="50"/>
      <c r="W454" s="50"/>
      <c r="X454" s="69"/>
      <c r="Y454" s="69"/>
      <c r="Z454" s="69"/>
      <c r="AA454" s="50"/>
      <c r="AB454" s="50"/>
      <c r="AC454" s="50"/>
      <c r="AD454" s="50"/>
      <c r="AE454" s="50"/>
      <c r="AF454" s="50"/>
      <c r="AG454" s="50"/>
      <c r="AH454" s="50"/>
      <c r="AI454" s="50" t="s">
        <v>652</v>
      </c>
      <c r="AJ454" s="50"/>
      <c r="AK454" s="50"/>
      <c r="AL454" s="44"/>
      <c r="AM454" s="45"/>
      <c r="AN454" s="50"/>
      <c r="AO454" s="69"/>
      <c r="AP454" s="69"/>
      <c r="AQ454" s="69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5"/>
      <c r="BD454" s="56"/>
      <c r="BE454" s="61"/>
      <c r="BF454" s="65"/>
      <c r="BG454" s="66"/>
      <c r="BH454" s="66"/>
      <c r="BI454" s="60"/>
      <c r="BJ454" s="60"/>
      <c r="BK454" s="60"/>
      <c r="BL454" s="60"/>
      <c r="BM454" s="60"/>
      <c r="BN454" s="60"/>
      <c r="BO454" s="60"/>
      <c r="BP454" s="60"/>
      <c r="BQ454" s="60" t="str">
        <f>IF(BS454="Original",AI454,AZ454)</f>
        <v>Low Threshold Spend</v>
      </c>
      <c r="BR454" s="60"/>
      <c r="BS454" s="60" t="str">
        <f>IF(AQ454="","Original",IF(AP454&lt;Y454,"Alternate","Original"))</f>
        <v>Original</v>
      </c>
    </row>
    <row r="455" spans="1:71" s="31" customFormat="1" x14ac:dyDescent="0.35">
      <c r="A455" s="53" t="s">
        <v>39</v>
      </c>
      <c r="B455" s="49">
        <v>453</v>
      </c>
      <c r="C455" s="50"/>
      <c r="D455" s="50"/>
      <c r="E455" s="51"/>
      <c r="F455" s="50" t="s">
        <v>40</v>
      </c>
      <c r="G455" s="50" t="s">
        <v>1305</v>
      </c>
      <c r="H455" s="50" t="s">
        <v>1306</v>
      </c>
      <c r="I455" s="50"/>
      <c r="J455" s="50"/>
      <c r="K455" s="50"/>
      <c r="L455" s="50"/>
      <c r="M455" s="50"/>
      <c r="N455" s="54" t="s">
        <v>43</v>
      </c>
      <c r="O455" s="49">
        <v>1</v>
      </c>
      <c r="P455" s="43">
        <v>9.4600000000000009</v>
      </c>
      <c r="Q455" s="49">
        <v>1</v>
      </c>
      <c r="R455" s="44">
        <f>P455/O455</f>
        <v>9.4600000000000009</v>
      </c>
      <c r="S455" s="49">
        <f>Q455*O455</f>
        <v>1</v>
      </c>
      <c r="T455" s="52">
        <f>S455*R455</f>
        <v>9.4600000000000009</v>
      </c>
      <c r="U455" s="50"/>
      <c r="V455" s="50"/>
      <c r="W455" s="50"/>
      <c r="X455" s="69"/>
      <c r="Y455" s="69"/>
      <c r="Z455" s="69"/>
      <c r="AA455" s="50"/>
      <c r="AB455" s="50"/>
      <c r="AC455" s="50"/>
      <c r="AD455" s="50"/>
      <c r="AE455" s="50"/>
      <c r="AF455" s="50"/>
      <c r="AG455" s="50"/>
      <c r="AH455" s="50"/>
      <c r="AI455" s="50" t="s">
        <v>652</v>
      </c>
      <c r="AJ455" s="50"/>
      <c r="AK455" s="50"/>
      <c r="AL455" s="44"/>
      <c r="AM455" s="45"/>
      <c r="AN455" s="50"/>
      <c r="AO455" s="69"/>
      <c r="AP455" s="69"/>
      <c r="AQ455" s="69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5"/>
      <c r="BD455" s="56"/>
      <c r="BE455" s="61"/>
      <c r="BF455" s="65"/>
      <c r="BG455" s="66"/>
      <c r="BH455" s="66"/>
      <c r="BI455" s="60"/>
      <c r="BJ455" s="60"/>
      <c r="BK455" s="60"/>
      <c r="BL455" s="60"/>
      <c r="BM455" s="60"/>
      <c r="BN455" s="60"/>
      <c r="BO455" s="60"/>
      <c r="BP455" s="60"/>
      <c r="BQ455" s="60" t="str">
        <f>IF(BS455="Original",AI455,AZ455)</f>
        <v>Low Threshold Spend</v>
      </c>
      <c r="BR455" s="60"/>
      <c r="BS455" s="60" t="str">
        <f>IF(AQ455="","Original",IF(AP455&lt;Y455,"Alternate","Original"))</f>
        <v>Original</v>
      </c>
    </row>
    <row r="456" spans="1:71" s="31" customFormat="1" x14ac:dyDescent="0.35">
      <c r="A456" s="53" t="s">
        <v>39</v>
      </c>
      <c r="B456" s="49">
        <v>454</v>
      </c>
      <c r="C456" s="50"/>
      <c r="D456" s="50"/>
      <c r="E456" s="51"/>
      <c r="F456" s="50" t="s">
        <v>40</v>
      </c>
      <c r="G456" s="50" t="s">
        <v>1307</v>
      </c>
      <c r="H456" s="50" t="s">
        <v>1308</v>
      </c>
      <c r="I456" s="50"/>
      <c r="J456" s="50"/>
      <c r="K456" s="50"/>
      <c r="L456" s="50"/>
      <c r="M456" s="50"/>
      <c r="N456" s="54" t="s">
        <v>43</v>
      </c>
      <c r="O456" s="49">
        <v>1</v>
      </c>
      <c r="P456" s="43">
        <v>9.4600000000000009</v>
      </c>
      <c r="Q456" s="49">
        <v>1</v>
      </c>
      <c r="R456" s="44">
        <f>P456/O456</f>
        <v>9.4600000000000009</v>
      </c>
      <c r="S456" s="49">
        <f>Q456*O456</f>
        <v>1</v>
      </c>
      <c r="T456" s="52">
        <f>S456*R456</f>
        <v>9.4600000000000009</v>
      </c>
      <c r="U456" s="50"/>
      <c r="V456" s="50"/>
      <c r="W456" s="50"/>
      <c r="X456" s="69"/>
      <c r="Y456" s="69"/>
      <c r="Z456" s="69"/>
      <c r="AA456" s="50"/>
      <c r="AB456" s="50"/>
      <c r="AC456" s="50"/>
      <c r="AD456" s="50"/>
      <c r="AE456" s="50"/>
      <c r="AF456" s="50"/>
      <c r="AG456" s="50"/>
      <c r="AH456" s="50"/>
      <c r="AI456" s="50" t="s">
        <v>652</v>
      </c>
      <c r="AJ456" s="50"/>
      <c r="AK456" s="50"/>
      <c r="AL456" s="44"/>
      <c r="AM456" s="45"/>
      <c r="AN456" s="50"/>
      <c r="AO456" s="69"/>
      <c r="AP456" s="69"/>
      <c r="AQ456" s="69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5"/>
      <c r="BD456" s="56"/>
      <c r="BE456" s="61"/>
      <c r="BF456" s="65"/>
      <c r="BG456" s="66"/>
      <c r="BH456" s="66"/>
      <c r="BI456" s="60"/>
      <c r="BJ456" s="60"/>
      <c r="BK456" s="60"/>
      <c r="BL456" s="60"/>
      <c r="BM456" s="60"/>
      <c r="BN456" s="60"/>
      <c r="BO456" s="60"/>
      <c r="BP456" s="60"/>
      <c r="BQ456" s="60" t="str">
        <f>IF(BS456="Original",AI456,AZ456)</f>
        <v>Low Threshold Spend</v>
      </c>
      <c r="BR456" s="60"/>
      <c r="BS456" s="60" t="str">
        <f>IF(AQ456="","Original",IF(AP456&lt;Y456,"Alternate","Original"))</f>
        <v>Original</v>
      </c>
    </row>
    <row r="457" spans="1:71" s="31" customFormat="1" x14ac:dyDescent="0.35">
      <c r="A457" s="53" t="s">
        <v>39</v>
      </c>
      <c r="B457" s="49">
        <v>455</v>
      </c>
      <c r="C457" s="50"/>
      <c r="D457" s="50"/>
      <c r="E457" s="51"/>
      <c r="F457" s="50" t="s">
        <v>40</v>
      </c>
      <c r="G457" s="50" t="s">
        <v>1309</v>
      </c>
      <c r="H457" s="50" t="s">
        <v>1310</v>
      </c>
      <c r="I457" s="50"/>
      <c r="J457" s="50"/>
      <c r="K457" s="50"/>
      <c r="L457" s="50"/>
      <c r="M457" s="50"/>
      <c r="N457" s="54" t="s">
        <v>43</v>
      </c>
      <c r="O457" s="49">
        <v>1</v>
      </c>
      <c r="P457" s="43">
        <v>9.44</v>
      </c>
      <c r="Q457" s="49">
        <v>1</v>
      </c>
      <c r="R457" s="44">
        <f>P457/O457</f>
        <v>9.44</v>
      </c>
      <c r="S457" s="49">
        <f>Q457*O457</f>
        <v>1</v>
      </c>
      <c r="T457" s="52">
        <f>S457*R457</f>
        <v>9.44</v>
      </c>
      <c r="U457" s="50"/>
      <c r="V457" s="50"/>
      <c r="W457" s="50"/>
      <c r="X457" s="69"/>
      <c r="Y457" s="69"/>
      <c r="Z457" s="69"/>
      <c r="AA457" s="50"/>
      <c r="AB457" s="50"/>
      <c r="AC457" s="50"/>
      <c r="AD457" s="50"/>
      <c r="AE457" s="50"/>
      <c r="AF457" s="50"/>
      <c r="AG457" s="50"/>
      <c r="AH457" s="50"/>
      <c r="AI457" s="50" t="s">
        <v>652</v>
      </c>
      <c r="AJ457" s="50"/>
      <c r="AK457" s="50"/>
      <c r="AL457" s="44"/>
      <c r="AM457" s="45"/>
      <c r="AN457" s="50"/>
      <c r="AO457" s="69"/>
      <c r="AP457" s="69"/>
      <c r="AQ457" s="69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5"/>
      <c r="BD457" s="56"/>
      <c r="BE457" s="61"/>
      <c r="BF457" s="65"/>
      <c r="BG457" s="66"/>
      <c r="BH457" s="66"/>
      <c r="BI457" s="60"/>
      <c r="BJ457" s="60"/>
      <c r="BK457" s="60"/>
      <c r="BL457" s="60"/>
      <c r="BM457" s="60"/>
      <c r="BN457" s="60"/>
      <c r="BO457" s="60"/>
      <c r="BP457" s="60"/>
      <c r="BQ457" s="60" t="str">
        <f>IF(BS457="Original",AI457,AZ457)</f>
        <v>Low Threshold Spend</v>
      </c>
      <c r="BR457" s="60"/>
      <c r="BS457" s="60" t="str">
        <f>IF(AQ457="","Original",IF(AP457&lt;Y457,"Alternate","Original"))</f>
        <v>Original</v>
      </c>
    </row>
    <row r="458" spans="1:71" s="31" customFormat="1" x14ac:dyDescent="0.35">
      <c r="A458" s="53" t="s">
        <v>39</v>
      </c>
      <c r="B458" s="49">
        <v>456</v>
      </c>
      <c r="C458" s="50"/>
      <c r="D458" s="50"/>
      <c r="E458" s="51"/>
      <c r="F458" s="50" t="s">
        <v>40</v>
      </c>
      <c r="G458" s="50" t="s">
        <v>1311</v>
      </c>
      <c r="H458" s="50" t="s">
        <v>1312</v>
      </c>
      <c r="I458" s="50"/>
      <c r="J458" s="50"/>
      <c r="K458" s="50"/>
      <c r="L458" s="50"/>
      <c r="M458" s="50"/>
      <c r="N458" s="54" t="s">
        <v>43</v>
      </c>
      <c r="O458" s="49">
        <v>1</v>
      </c>
      <c r="P458" s="43">
        <v>9.41</v>
      </c>
      <c r="Q458" s="49">
        <v>1</v>
      </c>
      <c r="R458" s="44">
        <f>P458/O458</f>
        <v>9.41</v>
      </c>
      <c r="S458" s="49">
        <f>Q458*O458</f>
        <v>1</v>
      </c>
      <c r="T458" s="52">
        <f>S458*R458</f>
        <v>9.41</v>
      </c>
      <c r="U458" s="50"/>
      <c r="V458" s="50"/>
      <c r="W458" s="50"/>
      <c r="X458" s="69"/>
      <c r="Y458" s="69"/>
      <c r="Z458" s="69"/>
      <c r="AA458" s="50"/>
      <c r="AB458" s="50"/>
      <c r="AC458" s="50"/>
      <c r="AD458" s="50"/>
      <c r="AE458" s="50"/>
      <c r="AF458" s="50"/>
      <c r="AG458" s="50"/>
      <c r="AH458" s="50"/>
      <c r="AI458" s="50" t="s">
        <v>652</v>
      </c>
      <c r="AJ458" s="50"/>
      <c r="AK458" s="50"/>
      <c r="AL458" s="44"/>
      <c r="AM458" s="45"/>
      <c r="AN458" s="50"/>
      <c r="AO458" s="69"/>
      <c r="AP458" s="69"/>
      <c r="AQ458" s="69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5"/>
      <c r="BD458" s="56"/>
      <c r="BE458" s="61"/>
      <c r="BF458" s="65"/>
      <c r="BG458" s="66"/>
      <c r="BH458" s="66"/>
      <c r="BI458" s="60"/>
      <c r="BJ458" s="60"/>
      <c r="BK458" s="60"/>
      <c r="BL458" s="60"/>
      <c r="BM458" s="60"/>
      <c r="BN458" s="60"/>
      <c r="BO458" s="60"/>
      <c r="BP458" s="60"/>
      <c r="BQ458" s="60" t="str">
        <f>IF(BS458="Original",AI458,AZ458)</f>
        <v>Low Threshold Spend</v>
      </c>
      <c r="BR458" s="60"/>
      <c r="BS458" s="60" t="str">
        <f>IF(AQ458="","Original",IF(AP458&lt;Y458,"Alternate","Original"))</f>
        <v>Original</v>
      </c>
    </row>
    <row r="459" spans="1:71" s="31" customFormat="1" x14ac:dyDescent="0.35">
      <c r="A459" s="53" t="s">
        <v>39</v>
      </c>
      <c r="B459" s="49">
        <v>457</v>
      </c>
      <c r="C459" s="50"/>
      <c r="D459" s="50"/>
      <c r="E459" s="51"/>
      <c r="F459" s="50" t="s">
        <v>60</v>
      </c>
      <c r="G459" s="50" t="s">
        <v>1313</v>
      </c>
      <c r="H459" s="50" t="s">
        <v>1314</v>
      </c>
      <c r="I459" s="50"/>
      <c r="J459" s="50"/>
      <c r="K459" s="50"/>
      <c r="L459" s="50"/>
      <c r="M459" s="50"/>
      <c r="N459" s="54" t="s">
        <v>43</v>
      </c>
      <c r="O459" s="49">
        <v>1</v>
      </c>
      <c r="P459" s="43">
        <v>9.4</v>
      </c>
      <c r="Q459" s="49">
        <v>1</v>
      </c>
      <c r="R459" s="44">
        <f>P459/O459</f>
        <v>9.4</v>
      </c>
      <c r="S459" s="49">
        <f>Q459*O459</f>
        <v>1</v>
      </c>
      <c r="T459" s="52">
        <f>S459*R459</f>
        <v>9.4</v>
      </c>
      <c r="U459" s="50"/>
      <c r="V459" s="50"/>
      <c r="W459" s="50"/>
      <c r="X459" s="69"/>
      <c r="Y459" s="69"/>
      <c r="Z459" s="69"/>
      <c r="AA459" s="50"/>
      <c r="AB459" s="50"/>
      <c r="AC459" s="50"/>
      <c r="AD459" s="50"/>
      <c r="AE459" s="50"/>
      <c r="AF459" s="50"/>
      <c r="AG459" s="50"/>
      <c r="AH459" s="50"/>
      <c r="AI459" s="50" t="s">
        <v>652</v>
      </c>
      <c r="AJ459" s="50"/>
      <c r="AK459" s="50"/>
      <c r="AL459" s="44"/>
      <c r="AM459" s="45"/>
      <c r="AN459" s="50"/>
      <c r="AO459" s="69"/>
      <c r="AP459" s="69"/>
      <c r="AQ459" s="69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5"/>
      <c r="BD459" s="56"/>
      <c r="BE459" s="61"/>
      <c r="BF459" s="65"/>
      <c r="BG459" s="66"/>
      <c r="BH459" s="66"/>
      <c r="BI459" s="60"/>
      <c r="BJ459" s="60"/>
      <c r="BK459" s="60"/>
      <c r="BL459" s="60"/>
      <c r="BM459" s="60"/>
      <c r="BN459" s="60"/>
      <c r="BO459" s="60"/>
      <c r="BP459" s="60"/>
      <c r="BQ459" s="60" t="str">
        <f>IF(BS459="Original",AI459,AZ459)</f>
        <v>Low Threshold Spend</v>
      </c>
      <c r="BR459" s="60"/>
      <c r="BS459" s="60" t="str">
        <f>IF(AQ459="","Original",IF(AP459&lt;Y459,"Alternate","Original"))</f>
        <v>Original</v>
      </c>
    </row>
    <row r="460" spans="1:71" s="31" customFormat="1" x14ac:dyDescent="0.35">
      <c r="A460" s="53" t="s">
        <v>39</v>
      </c>
      <c r="B460" s="49">
        <v>458</v>
      </c>
      <c r="C460" s="50"/>
      <c r="D460" s="50"/>
      <c r="E460" s="51"/>
      <c r="F460" s="50" t="s">
        <v>60</v>
      </c>
      <c r="G460" s="50" t="s">
        <v>1315</v>
      </c>
      <c r="H460" s="50" t="s">
        <v>1316</v>
      </c>
      <c r="I460" s="50"/>
      <c r="J460" s="50"/>
      <c r="K460" s="50"/>
      <c r="L460" s="50"/>
      <c r="M460" s="50"/>
      <c r="N460" s="54" t="s">
        <v>43</v>
      </c>
      <c r="O460" s="49">
        <v>1</v>
      </c>
      <c r="P460" s="43">
        <v>9.41</v>
      </c>
      <c r="Q460" s="49">
        <v>1</v>
      </c>
      <c r="R460" s="44">
        <f>P460/O460</f>
        <v>9.41</v>
      </c>
      <c r="S460" s="49">
        <f>Q460*O460</f>
        <v>1</v>
      </c>
      <c r="T460" s="52">
        <f>S460*R460</f>
        <v>9.41</v>
      </c>
      <c r="U460" s="50"/>
      <c r="V460" s="50"/>
      <c r="W460" s="50"/>
      <c r="X460" s="69"/>
      <c r="Y460" s="69"/>
      <c r="Z460" s="69"/>
      <c r="AA460" s="50"/>
      <c r="AB460" s="50"/>
      <c r="AC460" s="50"/>
      <c r="AD460" s="50"/>
      <c r="AE460" s="50"/>
      <c r="AF460" s="50"/>
      <c r="AG460" s="50"/>
      <c r="AH460" s="50"/>
      <c r="AI460" s="50" t="s">
        <v>652</v>
      </c>
      <c r="AJ460" s="50"/>
      <c r="AK460" s="50"/>
      <c r="AL460" s="44"/>
      <c r="AM460" s="45"/>
      <c r="AN460" s="50"/>
      <c r="AO460" s="69"/>
      <c r="AP460" s="69"/>
      <c r="AQ460" s="69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5"/>
      <c r="BD460" s="56"/>
      <c r="BE460" s="61"/>
      <c r="BF460" s="65"/>
      <c r="BG460" s="66"/>
      <c r="BH460" s="66"/>
      <c r="BI460" s="60"/>
      <c r="BJ460" s="60"/>
      <c r="BK460" s="60"/>
      <c r="BL460" s="60"/>
      <c r="BM460" s="60"/>
      <c r="BN460" s="60"/>
      <c r="BO460" s="60"/>
      <c r="BP460" s="60"/>
      <c r="BQ460" s="60" t="str">
        <f>IF(BS460="Original",AI460,AZ460)</f>
        <v>Low Threshold Spend</v>
      </c>
      <c r="BR460" s="60"/>
      <c r="BS460" s="60" t="str">
        <f>IF(AQ460="","Original",IF(AP460&lt;Y460,"Alternate","Original"))</f>
        <v>Original</v>
      </c>
    </row>
    <row r="461" spans="1:71" s="31" customFormat="1" x14ac:dyDescent="0.35">
      <c r="A461" s="53" t="s">
        <v>39</v>
      </c>
      <c r="B461" s="49">
        <v>459</v>
      </c>
      <c r="C461" s="50"/>
      <c r="D461" s="50"/>
      <c r="E461" s="51"/>
      <c r="F461" s="50" t="s">
        <v>60</v>
      </c>
      <c r="G461" s="50" t="s">
        <v>1317</v>
      </c>
      <c r="H461" s="50" t="s">
        <v>1318</v>
      </c>
      <c r="I461" s="50"/>
      <c r="J461" s="50"/>
      <c r="K461" s="50"/>
      <c r="L461" s="50"/>
      <c r="M461" s="50"/>
      <c r="N461" s="54" t="s">
        <v>43</v>
      </c>
      <c r="O461" s="49">
        <v>1</v>
      </c>
      <c r="P461" s="43">
        <v>9.41</v>
      </c>
      <c r="Q461" s="49">
        <v>1</v>
      </c>
      <c r="R461" s="44">
        <f>P461/O461</f>
        <v>9.41</v>
      </c>
      <c r="S461" s="49">
        <f>Q461*O461</f>
        <v>1</v>
      </c>
      <c r="T461" s="52">
        <f>S461*R461</f>
        <v>9.41</v>
      </c>
      <c r="U461" s="50"/>
      <c r="V461" s="50"/>
      <c r="W461" s="50"/>
      <c r="X461" s="69"/>
      <c r="Y461" s="69"/>
      <c r="Z461" s="69"/>
      <c r="AA461" s="50"/>
      <c r="AB461" s="50"/>
      <c r="AC461" s="50"/>
      <c r="AD461" s="50"/>
      <c r="AE461" s="50"/>
      <c r="AF461" s="50"/>
      <c r="AG461" s="50"/>
      <c r="AH461" s="50"/>
      <c r="AI461" s="50" t="s">
        <v>652</v>
      </c>
      <c r="AJ461" s="50"/>
      <c r="AK461" s="50"/>
      <c r="AL461" s="44"/>
      <c r="AM461" s="45"/>
      <c r="AN461" s="50"/>
      <c r="AO461" s="69"/>
      <c r="AP461" s="69"/>
      <c r="AQ461" s="69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5"/>
      <c r="BD461" s="56"/>
      <c r="BE461" s="61"/>
      <c r="BF461" s="65"/>
      <c r="BG461" s="66"/>
      <c r="BH461" s="66"/>
      <c r="BI461" s="60"/>
      <c r="BJ461" s="60"/>
      <c r="BK461" s="60"/>
      <c r="BL461" s="60"/>
      <c r="BM461" s="60"/>
      <c r="BN461" s="60"/>
      <c r="BO461" s="60"/>
      <c r="BP461" s="60"/>
      <c r="BQ461" s="60" t="str">
        <f>IF(BS461="Original",AI461,AZ461)</f>
        <v>Low Threshold Spend</v>
      </c>
      <c r="BR461" s="60"/>
      <c r="BS461" s="60" t="str">
        <f>IF(AQ461="","Original",IF(AP461&lt;Y461,"Alternate","Original"))</f>
        <v>Original</v>
      </c>
    </row>
    <row r="462" spans="1:71" s="31" customFormat="1" x14ac:dyDescent="0.35">
      <c r="A462" s="53" t="s">
        <v>39</v>
      </c>
      <c r="B462" s="49">
        <v>460</v>
      </c>
      <c r="C462" s="50"/>
      <c r="D462" s="50"/>
      <c r="E462" s="51"/>
      <c r="F462" s="50" t="s">
        <v>40</v>
      </c>
      <c r="G462" s="50" t="s">
        <v>1319</v>
      </c>
      <c r="H462" s="50" t="s">
        <v>1320</v>
      </c>
      <c r="I462" s="50"/>
      <c r="J462" s="50"/>
      <c r="K462" s="50"/>
      <c r="L462" s="50"/>
      <c r="M462" s="50"/>
      <c r="N462" s="54" t="s">
        <v>43</v>
      </c>
      <c r="O462" s="49">
        <v>1</v>
      </c>
      <c r="P462" s="43">
        <v>9.36</v>
      </c>
      <c r="Q462" s="49">
        <v>1</v>
      </c>
      <c r="R462" s="44">
        <f>P462/O462</f>
        <v>9.36</v>
      </c>
      <c r="S462" s="49">
        <f>Q462*O462</f>
        <v>1</v>
      </c>
      <c r="T462" s="52">
        <f>S462*R462</f>
        <v>9.36</v>
      </c>
      <c r="U462" s="50"/>
      <c r="V462" s="50"/>
      <c r="W462" s="50"/>
      <c r="X462" s="69"/>
      <c r="Y462" s="69"/>
      <c r="Z462" s="69"/>
      <c r="AA462" s="50"/>
      <c r="AB462" s="50"/>
      <c r="AC462" s="50"/>
      <c r="AD462" s="50"/>
      <c r="AE462" s="50"/>
      <c r="AF462" s="50"/>
      <c r="AG462" s="50"/>
      <c r="AH462" s="50"/>
      <c r="AI462" s="50" t="s">
        <v>652</v>
      </c>
      <c r="AJ462" s="50"/>
      <c r="AK462" s="50"/>
      <c r="AL462" s="44"/>
      <c r="AM462" s="45"/>
      <c r="AN462" s="50"/>
      <c r="AO462" s="69"/>
      <c r="AP462" s="69"/>
      <c r="AQ462" s="69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5"/>
      <c r="BD462" s="56"/>
      <c r="BE462" s="61"/>
      <c r="BF462" s="65"/>
      <c r="BG462" s="66"/>
      <c r="BH462" s="66"/>
      <c r="BI462" s="60"/>
      <c r="BJ462" s="60"/>
      <c r="BK462" s="60"/>
      <c r="BL462" s="60"/>
      <c r="BM462" s="60"/>
      <c r="BN462" s="60"/>
      <c r="BO462" s="60"/>
      <c r="BP462" s="60"/>
      <c r="BQ462" s="60" t="str">
        <f>IF(BS462="Original",AI462,AZ462)</f>
        <v>Low Threshold Spend</v>
      </c>
      <c r="BR462" s="60"/>
      <c r="BS462" s="60" t="str">
        <f>IF(AQ462="","Original",IF(AP462&lt;Y462,"Alternate","Original"))</f>
        <v>Original</v>
      </c>
    </row>
    <row r="463" spans="1:71" s="31" customFormat="1" x14ac:dyDescent="0.35">
      <c r="A463" s="53" t="s">
        <v>39</v>
      </c>
      <c r="B463" s="49">
        <v>461</v>
      </c>
      <c r="C463" s="50"/>
      <c r="D463" s="50"/>
      <c r="E463" s="51"/>
      <c r="F463" s="50" t="s">
        <v>40</v>
      </c>
      <c r="G463" s="50" t="s">
        <v>1321</v>
      </c>
      <c r="H463" s="50" t="s">
        <v>1270</v>
      </c>
      <c r="I463" s="50"/>
      <c r="J463" s="50"/>
      <c r="K463" s="50"/>
      <c r="L463" s="50"/>
      <c r="M463" s="50"/>
      <c r="N463" s="54" t="s">
        <v>43</v>
      </c>
      <c r="O463" s="49">
        <v>1</v>
      </c>
      <c r="P463" s="43">
        <v>9.2100000000000009</v>
      </c>
      <c r="Q463" s="49">
        <v>1</v>
      </c>
      <c r="R463" s="44">
        <f>P463/O463</f>
        <v>9.2100000000000009</v>
      </c>
      <c r="S463" s="49">
        <f>Q463*O463</f>
        <v>1</v>
      </c>
      <c r="T463" s="52">
        <f>S463*R463</f>
        <v>9.2100000000000009</v>
      </c>
      <c r="U463" s="50"/>
      <c r="V463" s="50"/>
      <c r="W463" s="50"/>
      <c r="X463" s="69"/>
      <c r="Y463" s="69"/>
      <c r="Z463" s="69"/>
      <c r="AA463" s="50"/>
      <c r="AB463" s="50"/>
      <c r="AC463" s="50"/>
      <c r="AD463" s="50"/>
      <c r="AE463" s="50"/>
      <c r="AF463" s="50"/>
      <c r="AG463" s="50"/>
      <c r="AH463" s="50"/>
      <c r="AI463" s="50" t="s">
        <v>652</v>
      </c>
      <c r="AJ463" s="50"/>
      <c r="AK463" s="50"/>
      <c r="AL463" s="44"/>
      <c r="AM463" s="45"/>
      <c r="AN463" s="50"/>
      <c r="AO463" s="69"/>
      <c r="AP463" s="69"/>
      <c r="AQ463" s="69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5"/>
      <c r="BD463" s="56"/>
      <c r="BE463" s="61"/>
      <c r="BF463" s="65"/>
      <c r="BG463" s="66"/>
      <c r="BH463" s="66"/>
      <c r="BI463" s="60"/>
      <c r="BJ463" s="60"/>
      <c r="BK463" s="60"/>
      <c r="BL463" s="60"/>
      <c r="BM463" s="60"/>
      <c r="BN463" s="60"/>
      <c r="BO463" s="60"/>
      <c r="BP463" s="60"/>
      <c r="BQ463" s="60" t="str">
        <f>IF(BS463="Original",AI463,AZ463)</f>
        <v>Low Threshold Spend</v>
      </c>
      <c r="BR463" s="60"/>
      <c r="BS463" s="60" t="str">
        <f>IF(AQ463="","Original",IF(AP463&lt;Y463,"Alternate","Original"))</f>
        <v>Original</v>
      </c>
    </row>
    <row r="464" spans="1:71" s="31" customFormat="1" x14ac:dyDescent="0.35">
      <c r="A464" s="53" t="s">
        <v>39</v>
      </c>
      <c r="B464" s="49">
        <v>462</v>
      </c>
      <c r="C464" s="50"/>
      <c r="D464" s="50"/>
      <c r="E464" s="51"/>
      <c r="F464" s="50" t="s">
        <v>60</v>
      </c>
      <c r="G464" s="50" t="s">
        <v>1322</v>
      </c>
      <c r="H464" s="50" t="s">
        <v>1323</v>
      </c>
      <c r="I464" s="50"/>
      <c r="J464" s="50"/>
      <c r="K464" s="50"/>
      <c r="L464" s="50"/>
      <c r="M464" s="50"/>
      <c r="N464" s="54" t="s">
        <v>43</v>
      </c>
      <c r="O464" s="49">
        <v>1</v>
      </c>
      <c r="P464" s="43">
        <v>9.18</v>
      </c>
      <c r="Q464" s="49">
        <v>1</v>
      </c>
      <c r="R464" s="44">
        <f>P464/O464</f>
        <v>9.18</v>
      </c>
      <c r="S464" s="49">
        <f>Q464*O464</f>
        <v>1</v>
      </c>
      <c r="T464" s="52">
        <f>S464*R464</f>
        <v>9.18</v>
      </c>
      <c r="U464" s="50"/>
      <c r="V464" s="50"/>
      <c r="W464" s="50"/>
      <c r="X464" s="69"/>
      <c r="Y464" s="69"/>
      <c r="Z464" s="69"/>
      <c r="AA464" s="50"/>
      <c r="AB464" s="50"/>
      <c r="AC464" s="50"/>
      <c r="AD464" s="50"/>
      <c r="AE464" s="50"/>
      <c r="AF464" s="50"/>
      <c r="AG464" s="50"/>
      <c r="AH464" s="50"/>
      <c r="AI464" s="50" t="s">
        <v>652</v>
      </c>
      <c r="AJ464" s="50"/>
      <c r="AK464" s="50"/>
      <c r="AL464" s="44"/>
      <c r="AM464" s="45"/>
      <c r="AN464" s="50"/>
      <c r="AO464" s="69"/>
      <c r="AP464" s="69"/>
      <c r="AQ464" s="69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5"/>
      <c r="BD464" s="56"/>
      <c r="BE464" s="61"/>
      <c r="BF464" s="65"/>
      <c r="BG464" s="66"/>
      <c r="BH464" s="66"/>
      <c r="BI464" s="60"/>
      <c r="BJ464" s="60"/>
      <c r="BK464" s="60"/>
      <c r="BL464" s="60"/>
      <c r="BM464" s="60"/>
      <c r="BN464" s="60"/>
      <c r="BO464" s="60"/>
      <c r="BP464" s="60"/>
      <c r="BQ464" s="60" t="str">
        <f>IF(BS464="Original",AI464,AZ464)</f>
        <v>Low Threshold Spend</v>
      </c>
      <c r="BR464" s="60"/>
      <c r="BS464" s="60" t="str">
        <f>IF(AQ464="","Original",IF(AP464&lt;Y464,"Alternate","Original"))</f>
        <v>Original</v>
      </c>
    </row>
    <row r="465" spans="1:71" s="31" customFormat="1" x14ac:dyDescent="0.35">
      <c r="A465" s="53" t="s">
        <v>39</v>
      </c>
      <c r="B465" s="49">
        <v>463</v>
      </c>
      <c r="C465" s="50"/>
      <c r="D465" s="50"/>
      <c r="E465" s="51"/>
      <c r="F465" s="50" t="s">
        <v>40</v>
      </c>
      <c r="G465" s="50" t="s">
        <v>1324</v>
      </c>
      <c r="H465" s="50" t="s">
        <v>1325</v>
      </c>
      <c r="I465" s="50"/>
      <c r="J465" s="50"/>
      <c r="K465" s="50"/>
      <c r="L465" s="50"/>
      <c r="M465" s="50"/>
      <c r="N465" s="54" t="s">
        <v>43</v>
      </c>
      <c r="O465" s="49">
        <v>1</v>
      </c>
      <c r="P465" s="43">
        <v>8.91</v>
      </c>
      <c r="Q465" s="49">
        <v>1</v>
      </c>
      <c r="R465" s="44">
        <f>P465/O465</f>
        <v>8.91</v>
      </c>
      <c r="S465" s="49">
        <f>Q465*O465</f>
        <v>1</v>
      </c>
      <c r="T465" s="52">
        <f>S465*R465</f>
        <v>8.91</v>
      </c>
      <c r="U465" s="50"/>
      <c r="V465" s="50"/>
      <c r="W465" s="50"/>
      <c r="X465" s="69"/>
      <c r="Y465" s="69"/>
      <c r="Z465" s="69"/>
      <c r="AA465" s="50"/>
      <c r="AB465" s="50"/>
      <c r="AC465" s="50"/>
      <c r="AD465" s="50"/>
      <c r="AE465" s="50"/>
      <c r="AF465" s="50"/>
      <c r="AG465" s="50"/>
      <c r="AH465" s="50"/>
      <c r="AI465" s="50" t="s">
        <v>652</v>
      </c>
      <c r="AJ465" s="50"/>
      <c r="AK465" s="50"/>
      <c r="AL465" s="44"/>
      <c r="AM465" s="45"/>
      <c r="AN465" s="50"/>
      <c r="AO465" s="69"/>
      <c r="AP465" s="69"/>
      <c r="AQ465" s="69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5"/>
      <c r="BD465" s="56"/>
      <c r="BE465" s="61"/>
      <c r="BF465" s="65"/>
      <c r="BG465" s="66"/>
      <c r="BH465" s="66"/>
      <c r="BI465" s="60"/>
      <c r="BJ465" s="60"/>
      <c r="BK465" s="60"/>
      <c r="BL465" s="60"/>
      <c r="BM465" s="60"/>
      <c r="BN465" s="60"/>
      <c r="BO465" s="60"/>
      <c r="BP465" s="60"/>
      <c r="BQ465" s="60" t="str">
        <f>IF(BS465="Original",AI465,AZ465)</f>
        <v>Low Threshold Spend</v>
      </c>
      <c r="BR465" s="60"/>
      <c r="BS465" s="60" t="str">
        <f>IF(AQ465="","Original",IF(AP465&lt;Y465,"Alternate","Original"))</f>
        <v>Original</v>
      </c>
    </row>
    <row r="466" spans="1:71" s="31" customFormat="1" x14ac:dyDescent="0.35">
      <c r="A466" s="53" t="s">
        <v>39</v>
      </c>
      <c r="B466" s="49">
        <v>464</v>
      </c>
      <c r="C466" s="50"/>
      <c r="D466" s="50"/>
      <c r="E466" s="51"/>
      <c r="F466" s="50" t="s">
        <v>40</v>
      </c>
      <c r="G466" s="50" t="s">
        <v>1326</v>
      </c>
      <c r="H466" s="50" t="s">
        <v>1327</v>
      </c>
      <c r="I466" s="50"/>
      <c r="J466" s="50"/>
      <c r="K466" s="50"/>
      <c r="L466" s="50"/>
      <c r="M466" s="50"/>
      <c r="N466" s="54" t="s">
        <v>43</v>
      </c>
      <c r="O466" s="49">
        <v>1</v>
      </c>
      <c r="P466" s="43">
        <v>8.7899999999999991</v>
      </c>
      <c r="Q466" s="49">
        <v>1</v>
      </c>
      <c r="R466" s="44">
        <f>P466/O466</f>
        <v>8.7899999999999991</v>
      </c>
      <c r="S466" s="49">
        <f>Q466*O466</f>
        <v>1</v>
      </c>
      <c r="T466" s="52">
        <f>S466*R466</f>
        <v>8.7899999999999991</v>
      </c>
      <c r="U466" s="50"/>
      <c r="V466" s="50"/>
      <c r="W466" s="50"/>
      <c r="X466" s="69"/>
      <c r="Y466" s="69"/>
      <c r="Z466" s="69"/>
      <c r="AA466" s="50"/>
      <c r="AB466" s="50"/>
      <c r="AC466" s="50"/>
      <c r="AD466" s="50"/>
      <c r="AE466" s="50"/>
      <c r="AF466" s="50"/>
      <c r="AG466" s="50"/>
      <c r="AH466" s="50"/>
      <c r="AI466" s="50" t="s">
        <v>652</v>
      </c>
      <c r="AJ466" s="50"/>
      <c r="AK466" s="50"/>
      <c r="AL466" s="44"/>
      <c r="AM466" s="45"/>
      <c r="AN466" s="50"/>
      <c r="AO466" s="69"/>
      <c r="AP466" s="69"/>
      <c r="AQ466" s="69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5"/>
      <c r="BD466" s="56"/>
      <c r="BE466" s="61"/>
      <c r="BF466" s="65"/>
      <c r="BG466" s="66"/>
      <c r="BH466" s="66"/>
      <c r="BI466" s="60"/>
      <c r="BJ466" s="60"/>
      <c r="BK466" s="60"/>
      <c r="BL466" s="60"/>
      <c r="BM466" s="60"/>
      <c r="BN466" s="60"/>
      <c r="BO466" s="60"/>
      <c r="BP466" s="60"/>
      <c r="BQ466" s="60" t="str">
        <f>IF(BS466="Original",AI466,AZ466)</f>
        <v>Low Threshold Spend</v>
      </c>
      <c r="BR466" s="60"/>
      <c r="BS466" s="60" t="str">
        <f>IF(AQ466="","Original",IF(AP466&lt;Y466,"Alternate","Original"))</f>
        <v>Original</v>
      </c>
    </row>
    <row r="467" spans="1:71" s="31" customFormat="1" x14ac:dyDescent="0.35">
      <c r="A467" s="53" t="s">
        <v>39</v>
      </c>
      <c r="B467" s="49">
        <v>465</v>
      </c>
      <c r="C467" s="50"/>
      <c r="D467" s="50"/>
      <c r="E467" s="51"/>
      <c r="F467" s="50" t="s">
        <v>40</v>
      </c>
      <c r="G467" s="50" t="s">
        <v>1328</v>
      </c>
      <c r="H467" s="50" t="s">
        <v>1329</v>
      </c>
      <c r="I467" s="50"/>
      <c r="J467" s="50"/>
      <c r="K467" s="50"/>
      <c r="L467" s="50"/>
      <c r="M467" s="50"/>
      <c r="N467" s="54" t="s">
        <v>43</v>
      </c>
      <c r="O467" s="49">
        <v>1</v>
      </c>
      <c r="P467" s="43">
        <v>8.74</v>
      </c>
      <c r="Q467" s="49">
        <v>1</v>
      </c>
      <c r="R467" s="44">
        <f>P467/O467</f>
        <v>8.74</v>
      </c>
      <c r="S467" s="49">
        <f>Q467*O467</f>
        <v>1</v>
      </c>
      <c r="T467" s="52">
        <f>S467*R467</f>
        <v>8.74</v>
      </c>
      <c r="U467" s="50"/>
      <c r="V467" s="50"/>
      <c r="W467" s="50"/>
      <c r="X467" s="69"/>
      <c r="Y467" s="69"/>
      <c r="Z467" s="69"/>
      <c r="AA467" s="50"/>
      <c r="AB467" s="50"/>
      <c r="AC467" s="50"/>
      <c r="AD467" s="50"/>
      <c r="AE467" s="50"/>
      <c r="AF467" s="50"/>
      <c r="AG467" s="50"/>
      <c r="AH467" s="50"/>
      <c r="AI467" s="50" t="s">
        <v>652</v>
      </c>
      <c r="AJ467" s="50"/>
      <c r="AK467" s="50"/>
      <c r="AL467" s="44"/>
      <c r="AM467" s="45"/>
      <c r="AN467" s="50"/>
      <c r="AO467" s="69"/>
      <c r="AP467" s="69"/>
      <c r="AQ467" s="69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5"/>
      <c r="BD467" s="56"/>
      <c r="BE467" s="61"/>
      <c r="BF467" s="65"/>
      <c r="BG467" s="66"/>
      <c r="BH467" s="66"/>
      <c r="BI467" s="60"/>
      <c r="BJ467" s="60"/>
      <c r="BK467" s="60"/>
      <c r="BL467" s="60"/>
      <c r="BM467" s="60"/>
      <c r="BN467" s="60"/>
      <c r="BO467" s="60"/>
      <c r="BP467" s="60"/>
      <c r="BQ467" s="60" t="str">
        <f>IF(BS467="Original",AI467,AZ467)</f>
        <v>Low Threshold Spend</v>
      </c>
      <c r="BR467" s="60"/>
      <c r="BS467" s="60" t="str">
        <f>IF(AQ467="","Original",IF(AP467&lt;Y467,"Alternate","Original"))</f>
        <v>Original</v>
      </c>
    </row>
    <row r="468" spans="1:71" s="31" customFormat="1" x14ac:dyDescent="0.35">
      <c r="A468" s="53" t="s">
        <v>39</v>
      </c>
      <c r="B468" s="49">
        <v>466</v>
      </c>
      <c r="C468" s="50"/>
      <c r="D468" s="50"/>
      <c r="E468" s="51"/>
      <c r="F468" s="50" t="s">
        <v>40</v>
      </c>
      <c r="G468" s="50" t="s">
        <v>1330</v>
      </c>
      <c r="H468" s="50" t="s">
        <v>1331</v>
      </c>
      <c r="I468" s="50"/>
      <c r="J468" s="50"/>
      <c r="K468" s="50"/>
      <c r="L468" s="50"/>
      <c r="M468" s="50"/>
      <c r="N468" s="54" t="s">
        <v>43</v>
      </c>
      <c r="O468" s="49">
        <v>1</v>
      </c>
      <c r="P468" s="43">
        <v>8.66</v>
      </c>
      <c r="Q468" s="49">
        <v>1</v>
      </c>
      <c r="R468" s="44">
        <f>P468/O468</f>
        <v>8.66</v>
      </c>
      <c r="S468" s="49">
        <f>Q468*O468</f>
        <v>1</v>
      </c>
      <c r="T468" s="52">
        <f>S468*R468</f>
        <v>8.66</v>
      </c>
      <c r="U468" s="50"/>
      <c r="V468" s="50"/>
      <c r="W468" s="50"/>
      <c r="X468" s="69"/>
      <c r="Y468" s="69"/>
      <c r="Z468" s="69"/>
      <c r="AA468" s="50"/>
      <c r="AB468" s="50"/>
      <c r="AC468" s="50"/>
      <c r="AD468" s="50"/>
      <c r="AE468" s="50"/>
      <c r="AF468" s="50"/>
      <c r="AG468" s="50"/>
      <c r="AH468" s="50"/>
      <c r="AI468" s="50" t="s">
        <v>652</v>
      </c>
      <c r="AJ468" s="50"/>
      <c r="AK468" s="50"/>
      <c r="AL468" s="44"/>
      <c r="AM468" s="45"/>
      <c r="AN468" s="50"/>
      <c r="AO468" s="69"/>
      <c r="AP468" s="69"/>
      <c r="AQ468" s="69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5"/>
      <c r="BD468" s="56"/>
      <c r="BE468" s="61"/>
      <c r="BF468" s="65"/>
      <c r="BG468" s="66"/>
      <c r="BH468" s="66"/>
      <c r="BI468" s="60"/>
      <c r="BJ468" s="60"/>
      <c r="BK468" s="60"/>
      <c r="BL468" s="60"/>
      <c r="BM468" s="60"/>
      <c r="BN468" s="60"/>
      <c r="BO468" s="60"/>
      <c r="BP468" s="60"/>
      <c r="BQ468" s="60" t="str">
        <f>IF(BS468="Original",AI468,AZ468)</f>
        <v>Low Threshold Spend</v>
      </c>
      <c r="BR468" s="60"/>
      <c r="BS468" s="60" t="str">
        <f>IF(AQ468="","Original",IF(AP468&lt;Y468,"Alternate","Original"))</f>
        <v>Original</v>
      </c>
    </row>
    <row r="469" spans="1:71" s="31" customFormat="1" x14ac:dyDescent="0.35">
      <c r="A469" s="53" t="s">
        <v>39</v>
      </c>
      <c r="B469" s="49">
        <v>467</v>
      </c>
      <c r="C469" s="50"/>
      <c r="D469" s="50"/>
      <c r="E469" s="51"/>
      <c r="F469" s="50" t="s">
        <v>40</v>
      </c>
      <c r="G469" s="50" t="s">
        <v>1332</v>
      </c>
      <c r="H469" s="50" t="s">
        <v>1333</v>
      </c>
      <c r="I469" s="50"/>
      <c r="J469" s="50"/>
      <c r="K469" s="50"/>
      <c r="L469" s="50"/>
      <c r="M469" s="50"/>
      <c r="N469" s="54" t="s">
        <v>43</v>
      </c>
      <c r="O469" s="49">
        <v>1</v>
      </c>
      <c r="P469" s="43">
        <v>8.56</v>
      </c>
      <c r="Q469" s="49">
        <v>1</v>
      </c>
      <c r="R469" s="44">
        <f>P469/O469</f>
        <v>8.56</v>
      </c>
      <c r="S469" s="49">
        <f>Q469*O469</f>
        <v>1</v>
      </c>
      <c r="T469" s="52">
        <f>S469*R469</f>
        <v>8.56</v>
      </c>
      <c r="U469" s="50"/>
      <c r="V469" s="50"/>
      <c r="W469" s="50"/>
      <c r="X469" s="69"/>
      <c r="Y469" s="69"/>
      <c r="Z469" s="69"/>
      <c r="AA469" s="50"/>
      <c r="AB469" s="50"/>
      <c r="AC469" s="50"/>
      <c r="AD469" s="50"/>
      <c r="AE469" s="50"/>
      <c r="AF469" s="50"/>
      <c r="AG469" s="50"/>
      <c r="AH469" s="50"/>
      <c r="AI469" s="50" t="s">
        <v>652</v>
      </c>
      <c r="AJ469" s="50"/>
      <c r="AK469" s="50"/>
      <c r="AL469" s="44"/>
      <c r="AM469" s="45"/>
      <c r="AN469" s="50"/>
      <c r="AO469" s="69"/>
      <c r="AP469" s="69"/>
      <c r="AQ469" s="69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5"/>
      <c r="BD469" s="56"/>
      <c r="BE469" s="61"/>
      <c r="BF469" s="65"/>
      <c r="BG469" s="66"/>
      <c r="BH469" s="66"/>
      <c r="BI469" s="60"/>
      <c r="BJ469" s="60"/>
      <c r="BK469" s="60"/>
      <c r="BL469" s="60"/>
      <c r="BM469" s="60"/>
      <c r="BN469" s="60"/>
      <c r="BO469" s="60"/>
      <c r="BP469" s="60"/>
      <c r="BQ469" s="60" t="str">
        <f>IF(BS469="Original",AI469,AZ469)</f>
        <v>Low Threshold Spend</v>
      </c>
      <c r="BR469" s="60"/>
      <c r="BS469" s="60" t="str">
        <f>IF(AQ469="","Original",IF(AP469&lt;Y469,"Alternate","Original"))</f>
        <v>Original</v>
      </c>
    </row>
    <row r="470" spans="1:71" s="31" customFormat="1" x14ac:dyDescent="0.35">
      <c r="A470" s="53" t="s">
        <v>39</v>
      </c>
      <c r="B470" s="49">
        <v>468</v>
      </c>
      <c r="C470" s="50"/>
      <c r="D470" s="50"/>
      <c r="E470" s="51"/>
      <c r="F470" s="50" t="s">
        <v>40</v>
      </c>
      <c r="G470" s="50" t="s">
        <v>1334</v>
      </c>
      <c r="H470" s="50" t="s">
        <v>1280</v>
      </c>
      <c r="I470" s="50"/>
      <c r="J470" s="50"/>
      <c r="K470" s="50"/>
      <c r="L470" s="50"/>
      <c r="M470" s="50"/>
      <c r="N470" s="54" t="s">
        <v>43</v>
      </c>
      <c r="O470" s="49">
        <v>1</v>
      </c>
      <c r="P470" s="43">
        <v>8.4600000000000009</v>
      </c>
      <c r="Q470" s="49">
        <v>1</v>
      </c>
      <c r="R470" s="44">
        <f>P470/O470</f>
        <v>8.4600000000000009</v>
      </c>
      <c r="S470" s="49">
        <f>Q470*O470</f>
        <v>1</v>
      </c>
      <c r="T470" s="52">
        <f>S470*R470</f>
        <v>8.4600000000000009</v>
      </c>
      <c r="U470" s="50"/>
      <c r="V470" s="50"/>
      <c r="W470" s="50"/>
      <c r="X470" s="69"/>
      <c r="Y470" s="69"/>
      <c r="Z470" s="69"/>
      <c r="AA470" s="50"/>
      <c r="AB470" s="50"/>
      <c r="AC470" s="50"/>
      <c r="AD470" s="50"/>
      <c r="AE470" s="50"/>
      <c r="AF470" s="50"/>
      <c r="AG470" s="50"/>
      <c r="AH470" s="50"/>
      <c r="AI470" s="50" t="s">
        <v>652</v>
      </c>
      <c r="AJ470" s="50"/>
      <c r="AK470" s="50"/>
      <c r="AL470" s="44"/>
      <c r="AM470" s="45"/>
      <c r="AN470" s="50"/>
      <c r="AO470" s="69"/>
      <c r="AP470" s="69"/>
      <c r="AQ470" s="69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5"/>
      <c r="BD470" s="56"/>
      <c r="BE470" s="61"/>
      <c r="BF470" s="65"/>
      <c r="BG470" s="66"/>
      <c r="BH470" s="66"/>
      <c r="BI470" s="60"/>
      <c r="BJ470" s="60"/>
      <c r="BK470" s="60"/>
      <c r="BL470" s="60"/>
      <c r="BM470" s="60"/>
      <c r="BN470" s="60"/>
      <c r="BO470" s="60"/>
      <c r="BP470" s="60"/>
      <c r="BQ470" s="60" t="str">
        <f>IF(BS470="Original",AI470,AZ470)</f>
        <v>Low Threshold Spend</v>
      </c>
      <c r="BR470" s="60"/>
      <c r="BS470" s="60" t="str">
        <f>IF(AQ470="","Original",IF(AP470&lt;Y470,"Alternate","Original"))</f>
        <v>Original</v>
      </c>
    </row>
    <row r="471" spans="1:71" s="31" customFormat="1" x14ac:dyDescent="0.35">
      <c r="A471" s="53" t="s">
        <v>39</v>
      </c>
      <c r="B471" s="49">
        <v>469</v>
      </c>
      <c r="C471" s="50"/>
      <c r="D471" s="50"/>
      <c r="E471" s="51"/>
      <c r="F471" s="50" t="s">
        <v>60</v>
      </c>
      <c r="G471" s="50" t="s">
        <v>1335</v>
      </c>
      <c r="H471" s="50" t="s">
        <v>1336</v>
      </c>
      <c r="I471" s="50"/>
      <c r="J471" s="50"/>
      <c r="K471" s="50"/>
      <c r="L471" s="50"/>
      <c r="M471" s="50"/>
      <c r="N471" s="54" t="s">
        <v>43</v>
      </c>
      <c r="O471" s="49">
        <v>1</v>
      </c>
      <c r="P471" s="43">
        <v>8.42</v>
      </c>
      <c r="Q471" s="49">
        <v>1</v>
      </c>
      <c r="R471" s="44">
        <f>P471/O471</f>
        <v>8.42</v>
      </c>
      <c r="S471" s="49">
        <f>Q471*O471</f>
        <v>1</v>
      </c>
      <c r="T471" s="52">
        <f>S471*R471</f>
        <v>8.42</v>
      </c>
      <c r="U471" s="50"/>
      <c r="V471" s="50"/>
      <c r="W471" s="50"/>
      <c r="X471" s="69"/>
      <c r="Y471" s="69"/>
      <c r="Z471" s="69"/>
      <c r="AA471" s="50"/>
      <c r="AB471" s="50"/>
      <c r="AC471" s="50"/>
      <c r="AD471" s="50"/>
      <c r="AE471" s="50"/>
      <c r="AF471" s="50"/>
      <c r="AG471" s="50"/>
      <c r="AH471" s="50"/>
      <c r="AI471" s="50" t="s">
        <v>652</v>
      </c>
      <c r="AJ471" s="50"/>
      <c r="AK471" s="50"/>
      <c r="AL471" s="44"/>
      <c r="AM471" s="45"/>
      <c r="AN471" s="50"/>
      <c r="AO471" s="69"/>
      <c r="AP471" s="69"/>
      <c r="AQ471" s="69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5"/>
      <c r="BD471" s="56"/>
      <c r="BE471" s="61"/>
      <c r="BF471" s="65"/>
      <c r="BG471" s="66"/>
      <c r="BH471" s="66"/>
      <c r="BI471" s="60"/>
      <c r="BJ471" s="60"/>
      <c r="BK471" s="60"/>
      <c r="BL471" s="60"/>
      <c r="BM471" s="60"/>
      <c r="BN471" s="60"/>
      <c r="BO471" s="60"/>
      <c r="BP471" s="60"/>
      <c r="BQ471" s="60" t="str">
        <f>IF(BS471="Original",AI471,AZ471)</f>
        <v>Low Threshold Spend</v>
      </c>
      <c r="BR471" s="60"/>
      <c r="BS471" s="60" t="str">
        <f>IF(AQ471="","Original",IF(AP471&lt;Y471,"Alternate","Original"))</f>
        <v>Original</v>
      </c>
    </row>
    <row r="472" spans="1:71" s="31" customFormat="1" x14ac:dyDescent="0.35">
      <c r="A472" s="53" t="s">
        <v>39</v>
      </c>
      <c r="B472" s="49">
        <v>470</v>
      </c>
      <c r="C472" s="50"/>
      <c r="D472" s="50"/>
      <c r="E472" s="51"/>
      <c r="F472" s="50" t="s">
        <v>40</v>
      </c>
      <c r="G472" s="50" t="s">
        <v>1337</v>
      </c>
      <c r="H472" s="50" t="s">
        <v>1338</v>
      </c>
      <c r="I472" s="50"/>
      <c r="J472" s="50"/>
      <c r="K472" s="50"/>
      <c r="L472" s="50"/>
      <c r="M472" s="50"/>
      <c r="N472" s="54" t="s">
        <v>43</v>
      </c>
      <c r="O472" s="49">
        <v>1</v>
      </c>
      <c r="P472" s="43">
        <v>8.3800000000000008</v>
      </c>
      <c r="Q472" s="49">
        <v>1</v>
      </c>
      <c r="R472" s="44">
        <f>P472/O472</f>
        <v>8.3800000000000008</v>
      </c>
      <c r="S472" s="49">
        <f>Q472*O472</f>
        <v>1</v>
      </c>
      <c r="T472" s="52">
        <f>S472*R472</f>
        <v>8.3800000000000008</v>
      </c>
      <c r="U472" s="50"/>
      <c r="V472" s="50"/>
      <c r="W472" s="50"/>
      <c r="X472" s="69"/>
      <c r="Y472" s="69"/>
      <c r="Z472" s="69"/>
      <c r="AA472" s="50"/>
      <c r="AB472" s="50"/>
      <c r="AC472" s="50"/>
      <c r="AD472" s="50"/>
      <c r="AE472" s="50"/>
      <c r="AF472" s="50"/>
      <c r="AG472" s="50"/>
      <c r="AH472" s="50"/>
      <c r="AI472" s="50" t="s">
        <v>652</v>
      </c>
      <c r="AJ472" s="50"/>
      <c r="AK472" s="50"/>
      <c r="AL472" s="44"/>
      <c r="AM472" s="45"/>
      <c r="AN472" s="50"/>
      <c r="AO472" s="69"/>
      <c r="AP472" s="69"/>
      <c r="AQ472" s="69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5"/>
      <c r="BD472" s="56"/>
      <c r="BE472" s="61"/>
      <c r="BF472" s="65"/>
      <c r="BG472" s="66"/>
      <c r="BH472" s="66"/>
      <c r="BI472" s="60"/>
      <c r="BJ472" s="60"/>
      <c r="BK472" s="60"/>
      <c r="BL472" s="60"/>
      <c r="BM472" s="60"/>
      <c r="BN472" s="60"/>
      <c r="BO472" s="60"/>
      <c r="BP472" s="60"/>
      <c r="BQ472" s="60" t="str">
        <f>IF(BS472="Original",AI472,AZ472)</f>
        <v>Low Threshold Spend</v>
      </c>
      <c r="BR472" s="60"/>
      <c r="BS472" s="60" t="str">
        <f>IF(AQ472="","Original",IF(AP472&lt;Y472,"Alternate","Original"))</f>
        <v>Original</v>
      </c>
    </row>
    <row r="473" spans="1:71" s="31" customFormat="1" x14ac:dyDescent="0.35">
      <c r="A473" s="53" t="s">
        <v>39</v>
      </c>
      <c r="B473" s="49">
        <v>471</v>
      </c>
      <c r="C473" s="50"/>
      <c r="D473" s="50"/>
      <c r="E473" s="51"/>
      <c r="F473" s="50" t="s">
        <v>49</v>
      </c>
      <c r="G473" s="50" t="s">
        <v>1339</v>
      </c>
      <c r="H473" s="50" t="s">
        <v>1340</v>
      </c>
      <c r="I473" s="50"/>
      <c r="J473" s="50"/>
      <c r="K473" s="50"/>
      <c r="L473" s="50"/>
      <c r="M473" s="50"/>
      <c r="N473" s="54" t="s">
        <v>43</v>
      </c>
      <c r="O473" s="49">
        <v>1</v>
      </c>
      <c r="P473" s="43">
        <v>8.32</v>
      </c>
      <c r="Q473" s="49">
        <v>1</v>
      </c>
      <c r="R473" s="44">
        <f>P473/O473</f>
        <v>8.32</v>
      </c>
      <c r="S473" s="49">
        <f>Q473*O473</f>
        <v>1</v>
      </c>
      <c r="T473" s="52">
        <f>S473*R473</f>
        <v>8.32</v>
      </c>
      <c r="U473" s="50"/>
      <c r="V473" s="50"/>
      <c r="W473" s="50"/>
      <c r="X473" s="69"/>
      <c r="Y473" s="69"/>
      <c r="Z473" s="69"/>
      <c r="AA473" s="50"/>
      <c r="AB473" s="50"/>
      <c r="AC473" s="50"/>
      <c r="AD473" s="50"/>
      <c r="AE473" s="50"/>
      <c r="AF473" s="50"/>
      <c r="AG473" s="50"/>
      <c r="AH473" s="50"/>
      <c r="AI473" s="50" t="s">
        <v>652</v>
      </c>
      <c r="AJ473" s="50"/>
      <c r="AK473" s="50"/>
      <c r="AL473" s="44"/>
      <c r="AM473" s="45"/>
      <c r="AN473" s="50"/>
      <c r="AO473" s="69"/>
      <c r="AP473" s="69"/>
      <c r="AQ473" s="69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5"/>
      <c r="BD473" s="56"/>
      <c r="BE473" s="61"/>
      <c r="BF473" s="65"/>
      <c r="BG473" s="66"/>
      <c r="BH473" s="66"/>
      <c r="BI473" s="60"/>
      <c r="BJ473" s="60"/>
      <c r="BK473" s="60"/>
      <c r="BL473" s="60"/>
      <c r="BM473" s="60"/>
      <c r="BN473" s="60"/>
      <c r="BO473" s="60"/>
      <c r="BP473" s="60"/>
      <c r="BQ473" s="60" t="str">
        <f>IF(BS473="Original",AI473,AZ473)</f>
        <v>Low Threshold Spend</v>
      </c>
      <c r="BR473" s="60"/>
      <c r="BS473" s="60" t="str">
        <f>IF(AQ473="","Original",IF(AP473&lt;Y473,"Alternate","Original"))</f>
        <v>Original</v>
      </c>
    </row>
    <row r="474" spans="1:71" s="31" customFormat="1" x14ac:dyDescent="0.35">
      <c r="A474" s="53" t="s">
        <v>39</v>
      </c>
      <c r="B474" s="49">
        <v>472</v>
      </c>
      <c r="C474" s="50"/>
      <c r="D474" s="50"/>
      <c r="E474" s="51"/>
      <c r="F474" s="50" t="s">
        <v>40</v>
      </c>
      <c r="G474" s="50" t="s">
        <v>1341</v>
      </c>
      <c r="H474" s="50" t="s">
        <v>787</v>
      </c>
      <c r="I474" s="50"/>
      <c r="J474" s="50"/>
      <c r="K474" s="50"/>
      <c r="L474" s="50"/>
      <c r="M474" s="50"/>
      <c r="N474" s="54" t="s">
        <v>43</v>
      </c>
      <c r="O474" s="49">
        <v>1</v>
      </c>
      <c r="P474" s="43">
        <v>8.18</v>
      </c>
      <c r="Q474" s="49">
        <v>1</v>
      </c>
      <c r="R474" s="44">
        <f>P474/O474</f>
        <v>8.18</v>
      </c>
      <c r="S474" s="49">
        <f>Q474*O474</f>
        <v>1</v>
      </c>
      <c r="T474" s="52">
        <f>S474*R474</f>
        <v>8.18</v>
      </c>
      <c r="U474" s="50"/>
      <c r="V474" s="50"/>
      <c r="W474" s="50"/>
      <c r="X474" s="69"/>
      <c r="Y474" s="69"/>
      <c r="Z474" s="69"/>
      <c r="AA474" s="50"/>
      <c r="AB474" s="50"/>
      <c r="AC474" s="50"/>
      <c r="AD474" s="50"/>
      <c r="AE474" s="50"/>
      <c r="AF474" s="50"/>
      <c r="AG474" s="50"/>
      <c r="AH474" s="50"/>
      <c r="AI474" s="50" t="s">
        <v>652</v>
      </c>
      <c r="AJ474" s="50"/>
      <c r="AK474" s="50"/>
      <c r="AL474" s="44"/>
      <c r="AM474" s="45"/>
      <c r="AN474" s="50"/>
      <c r="AO474" s="69"/>
      <c r="AP474" s="69"/>
      <c r="AQ474" s="69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5"/>
      <c r="BD474" s="56"/>
      <c r="BE474" s="61"/>
      <c r="BF474" s="65"/>
      <c r="BG474" s="66"/>
      <c r="BH474" s="66"/>
      <c r="BI474" s="60"/>
      <c r="BJ474" s="60"/>
      <c r="BK474" s="60"/>
      <c r="BL474" s="60"/>
      <c r="BM474" s="60"/>
      <c r="BN474" s="60"/>
      <c r="BO474" s="60"/>
      <c r="BP474" s="60"/>
      <c r="BQ474" s="60" t="str">
        <f>IF(BS474="Original",AI474,AZ474)</f>
        <v>Low Threshold Spend</v>
      </c>
      <c r="BR474" s="60"/>
      <c r="BS474" s="60" t="str">
        <f>IF(AQ474="","Original",IF(AP474&lt;Y474,"Alternate","Original"))</f>
        <v>Original</v>
      </c>
    </row>
    <row r="475" spans="1:71" s="31" customFormat="1" x14ac:dyDescent="0.35">
      <c r="A475" s="53" t="s">
        <v>39</v>
      </c>
      <c r="B475" s="49">
        <v>473</v>
      </c>
      <c r="C475" s="50"/>
      <c r="D475" s="50"/>
      <c r="E475" s="51"/>
      <c r="F475" s="50" t="s">
        <v>40</v>
      </c>
      <c r="G475" s="50" t="s">
        <v>1342</v>
      </c>
      <c r="H475" s="50" t="s">
        <v>1343</v>
      </c>
      <c r="I475" s="50"/>
      <c r="J475" s="50"/>
      <c r="K475" s="50"/>
      <c r="L475" s="50"/>
      <c r="M475" s="50"/>
      <c r="N475" s="54" t="s">
        <v>43</v>
      </c>
      <c r="O475" s="49">
        <v>1</v>
      </c>
      <c r="P475" s="43">
        <v>8.15</v>
      </c>
      <c r="Q475" s="49">
        <v>1</v>
      </c>
      <c r="R475" s="44">
        <f>P475/O475</f>
        <v>8.15</v>
      </c>
      <c r="S475" s="49">
        <f>Q475*O475</f>
        <v>1</v>
      </c>
      <c r="T475" s="52">
        <f>S475*R475</f>
        <v>8.15</v>
      </c>
      <c r="U475" s="50"/>
      <c r="V475" s="50"/>
      <c r="W475" s="50"/>
      <c r="X475" s="69"/>
      <c r="Y475" s="69"/>
      <c r="Z475" s="69"/>
      <c r="AA475" s="50"/>
      <c r="AB475" s="50"/>
      <c r="AC475" s="50"/>
      <c r="AD475" s="50"/>
      <c r="AE475" s="50"/>
      <c r="AF475" s="50"/>
      <c r="AG475" s="50"/>
      <c r="AH475" s="50"/>
      <c r="AI475" s="50" t="s">
        <v>652</v>
      </c>
      <c r="AJ475" s="50"/>
      <c r="AK475" s="50"/>
      <c r="AL475" s="44"/>
      <c r="AM475" s="45"/>
      <c r="AN475" s="50"/>
      <c r="AO475" s="69"/>
      <c r="AP475" s="69"/>
      <c r="AQ475" s="69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5"/>
      <c r="BD475" s="56"/>
      <c r="BE475" s="61"/>
      <c r="BF475" s="65"/>
      <c r="BG475" s="66"/>
      <c r="BH475" s="66"/>
      <c r="BI475" s="60"/>
      <c r="BJ475" s="60"/>
      <c r="BK475" s="60"/>
      <c r="BL475" s="60"/>
      <c r="BM475" s="60"/>
      <c r="BN475" s="60"/>
      <c r="BO475" s="60"/>
      <c r="BP475" s="60"/>
      <c r="BQ475" s="60" t="str">
        <f>IF(BS475="Original",AI475,AZ475)</f>
        <v>Low Threshold Spend</v>
      </c>
      <c r="BR475" s="60"/>
      <c r="BS475" s="60" t="str">
        <f>IF(AQ475="","Original",IF(AP475&lt;Y475,"Alternate","Original"))</f>
        <v>Original</v>
      </c>
    </row>
    <row r="476" spans="1:71" s="31" customFormat="1" x14ac:dyDescent="0.35">
      <c r="A476" s="53" t="s">
        <v>39</v>
      </c>
      <c r="B476" s="49">
        <v>474</v>
      </c>
      <c r="C476" s="50"/>
      <c r="D476" s="50"/>
      <c r="E476" s="51"/>
      <c r="F476" s="50" t="s">
        <v>40</v>
      </c>
      <c r="G476" s="50" t="s">
        <v>1344</v>
      </c>
      <c r="H476" s="50" t="s">
        <v>1345</v>
      </c>
      <c r="I476" s="50"/>
      <c r="J476" s="50"/>
      <c r="K476" s="50"/>
      <c r="L476" s="50"/>
      <c r="M476" s="50"/>
      <c r="N476" s="54" t="s">
        <v>43</v>
      </c>
      <c r="O476" s="49">
        <v>1</v>
      </c>
      <c r="P476" s="43">
        <v>8.1300000000000008</v>
      </c>
      <c r="Q476" s="49">
        <v>1</v>
      </c>
      <c r="R476" s="44">
        <f>P476/O476</f>
        <v>8.1300000000000008</v>
      </c>
      <c r="S476" s="49">
        <f>Q476*O476</f>
        <v>1</v>
      </c>
      <c r="T476" s="52">
        <f>S476*R476</f>
        <v>8.1300000000000008</v>
      </c>
      <c r="U476" s="50"/>
      <c r="V476" s="50"/>
      <c r="W476" s="50"/>
      <c r="X476" s="69"/>
      <c r="Y476" s="69"/>
      <c r="Z476" s="69"/>
      <c r="AA476" s="50"/>
      <c r="AB476" s="50"/>
      <c r="AC476" s="50"/>
      <c r="AD476" s="50"/>
      <c r="AE476" s="50"/>
      <c r="AF476" s="50"/>
      <c r="AG476" s="50"/>
      <c r="AH476" s="50"/>
      <c r="AI476" s="50" t="s">
        <v>652</v>
      </c>
      <c r="AJ476" s="50"/>
      <c r="AK476" s="50"/>
      <c r="AL476" s="44"/>
      <c r="AM476" s="45"/>
      <c r="AN476" s="50"/>
      <c r="AO476" s="69"/>
      <c r="AP476" s="69"/>
      <c r="AQ476" s="69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5"/>
      <c r="BD476" s="56"/>
      <c r="BE476" s="61"/>
      <c r="BF476" s="65"/>
      <c r="BG476" s="66"/>
      <c r="BH476" s="66"/>
      <c r="BI476" s="60"/>
      <c r="BJ476" s="60"/>
      <c r="BK476" s="60"/>
      <c r="BL476" s="60"/>
      <c r="BM476" s="60"/>
      <c r="BN476" s="60"/>
      <c r="BO476" s="60"/>
      <c r="BP476" s="60"/>
      <c r="BQ476" s="60" t="str">
        <f>IF(BS476="Original",AI476,AZ476)</f>
        <v>Low Threshold Spend</v>
      </c>
      <c r="BR476" s="60"/>
      <c r="BS476" s="60" t="str">
        <f>IF(AQ476="","Original",IF(AP476&lt;Y476,"Alternate","Original"))</f>
        <v>Original</v>
      </c>
    </row>
    <row r="477" spans="1:71" s="31" customFormat="1" x14ac:dyDescent="0.35">
      <c r="A477" s="53" t="s">
        <v>39</v>
      </c>
      <c r="B477" s="49">
        <v>475</v>
      </c>
      <c r="C477" s="50"/>
      <c r="D477" s="50"/>
      <c r="E477" s="51"/>
      <c r="F477" s="50" t="s">
        <v>40</v>
      </c>
      <c r="G477" s="50" t="s">
        <v>1346</v>
      </c>
      <c r="H477" s="50" t="s">
        <v>1347</v>
      </c>
      <c r="I477" s="50"/>
      <c r="J477" s="50"/>
      <c r="K477" s="50"/>
      <c r="L477" s="50"/>
      <c r="M477" s="50"/>
      <c r="N477" s="54" t="s">
        <v>43</v>
      </c>
      <c r="O477" s="49">
        <v>1</v>
      </c>
      <c r="P477" s="43">
        <v>8.1</v>
      </c>
      <c r="Q477" s="49">
        <v>1</v>
      </c>
      <c r="R477" s="44">
        <f>P477/O477</f>
        <v>8.1</v>
      </c>
      <c r="S477" s="49">
        <f>Q477*O477</f>
        <v>1</v>
      </c>
      <c r="T477" s="52">
        <f>S477*R477</f>
        <v>8.1</v>
      </c>
      <c r="U477" s="50"/>
      <c r="V477" s="50"/>
      <c r="W477" s="50"/>
      <c r="X477" s="69"/>
      <c r="Y477" s="69"/>
      <c r="Z477" s="69"/>
      <c r="AA477" s="50"/>
      <c r="AB477" s="50"/>
      <c r="AC477" s="50"/>
      <c r="AD477" s="50"/>
      <c r="AE477" s="50"/>
      <c r="AF477" s="50"/>
      <c r="AG477" s="50"/>
      <c r="AH477" s="50"/>
      <c r="AI477" s="50" t="s">
        <v>652</v>
      </c>
      <c r="AJ477" s="50"/>
      <c r="AK477" s="50"/>
      <c r="AL477" s="44"/>
      <c r="AM477" s="45"/>
      <c r="AN477" s="50"/>
      <c r="AO477" s="69"/>
      <c r="AP477" s="69"/>
      <c r="AQ477" s="69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5"/>
      <c r="BD477" s="56"/>
      <c r="BE477" s="61"/>
      <c r="BF477" s="65"/>
      <c r="BG477" s="66"/>
      <c r="BH477" s="66"/>
      <c r="BI477" s="60"/>
      <c r="BJ477" s="60"/>
      <c r="BK477" s="60"/>
      <c r="BL477" s="60"/>
      <c r="BM477" s="60"/>
      <c r="BN477" s="60"/>
      <c r="BO477" s="60"/>
      <c r="BP477" s="60"/>
      <c r="BQ477" s="60" t="str">
        <f>IF(BS477="Original",AI477,AZ477)</f>
        <v>Low Threshold Spend</v>
      </c>
      <c r="BR477" s="60"/>
      <c r="BS477" s="60" t="str">
        <f>IF(AQ477="","Original",IF(AP477&lt;Y477,"Alternate","Original"))</f>
        <v>Original</v>
      </c>
    </row>
    <row r="478" spans="1:71" s="31" customFormat="1" x14ac:dyDescent="0.35">
      <c r="A478" s="53" t="s">
        <v>39</v>
      </c>
      <c r="B478" s="49">
        <v>476</v>
      </c>
      <c r="C478" s="50"/>
      <c r="D478" s="50"/>
      <c r="E478" s="51"/>
      <c r="F478" s="50" t="s">
        <v>60</v>
      </c>
      <c r="G478" s="50" t="s">
        <v>1348</v>
      </c>
      <c r="H478" s="50" t="s">
        <v>1349</v>
      </c>
      <c r="I478" s="50"/>
      <c r="J478" s="50"/>
      <c r="K478" s="50"/>
      <c r="L478" s="50"/>
      <c r="M478" s="50"/>
      <c r="N478" s="54" t="s">
        <v>43</v>
      </c>
      <c r="O478" s="49">
        <v>1</v>
      </c>
      <c r="P478" s="43">
        <v>8.09</v>
      </c>
      <c r="Q478" s="49">
        <v>1</v>
      </c>
      <c r="R478" s="44">
        <f>P478/O478</f>
        <v>8.09</v>
      </c>
      <c r="S478" s="49">
        <f>Q478*O478</f>
        <v>1</v>
      </c>
      <c r="T478" s="52">
        <f>S478*R478</f>
        <v>8.09</v>
      </c>
      <c r="U478" s="50"/>
      <c r="V478" s="50"/>
      <c r="W478" s="50"/>
      <c r="X478" s="69"/>
      <c r="Y478" s="69"/>
      <c r="Z478" s="69"/>
      <c r="AA478" s="50"/>
      <c r="AB478" s="50"/>
      <c r="AC478" s="50"/>
      <c r="AD478" s="50"/>
      <c r="AE478" s="50"/>
      <c r="AF478" s="50"/>
      <c r="AG478" s="50"/>
      <c r="AH478" s="50"/>
      <c r="AI478" s="50" t="s">
        <v>652</v>
      </c>
      <c r="AJ478" s="50"/>
      <c r="AK478" s="50"/>
      <c r="AL478" s="44"/>
      <c r="AM478" s="45"/>
      <c r="AN478" s="50"/>
      <c r="AO478" s="69"/>
      <c r="AP478" s="69"/>
      <c r="AQ478" s="69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5"/>
      <c r="BD478" s="56"/>
      <c r="BE478" s="61"/>
      <c r="BF478" s="65"/>
      <c r="BG478" s="66"/>
      <c r="BH478" s="66"/>
      <c r="BI478" s="60"/>
      <c r="BJ478" s="60"/>
      <c r="BK478" s="60"/>
      <c r="BL478" s="60"/>
      <c r="BM478" s="60"/>
      <c r="BN478" s="60"/>
      <c r="BO478" s="60"/>
      <c r="BP478" s="60"/>
      <c r="BQ478" s="60" t="str">
        <f>IF(BS478="Original",AI478,AZ478)</f>
        <v>Low Threshold Spend</v>
      </c>
      <c r="BR478" s="60"/>
      <c r="BS478" s="60" t="str">
        <f>IF(AQ478="","Original",IF(AP478&lt;Y478,"Alternate","Original"))</f>
        <v>Original</v>
      </c>
    </row>
    <row r="479" spans="1:71" s="31" customFormat="1" x14ac:dyDescent="0.35">
      <c r="A479" s="53" t="s">
        <v>39</v>
      </c>
      <c r="B479" s="49">
        <v>477</v>
      </c>
      <c r="C479" s="50"/>
      <c r="D479" s="50"/>
      <c r="E479" s="51"/>
      <c r="F479" s="50" t="s">
        <v>60</v>
      </c>
      <c r="G479" s="50" t="s">
        <v>1350</v>
      </c>
      <c r="H479" s="50" t="s">
        <v>1351</v>
      </c>
      <c r="I479" s="50"/>
      <c r="J479" s="50"/>
      <c r="K479" s="50"/>
      <c r="L479" s="50"/>
      <c r="M479" s="50"/>
      <c r="N479" s="54" t="s">
        <v>43</v>
      </c>
      <c r="O479" s="49">
        <v>1</v>
      </c>
      <c r="P479" s="43">
        <v>7.86</v>
      </c>
      <c r="Q479" s="49">
        <v>1</v>
      </c>
      <c r="R479" s="44">
        <f>P479/O479</f>
        <v>7.86</v>
      </c>
      <c r="S479" s="49">
        <f>Q479*O479</f>
        <v>1</v>
      </c>
      <c r="T479" s="52">
        <f>S479*R479</f>
        <v>7.86</v>
      </c>
      <c r="U479" s="50"/>
      <c r="V479" s="50"/>
      <c r="W479" s="50"/>
      <c r="X479" s="69"/>
      <c r="Y479" s="69"/>
      <c r="Z479" s="69"/>
      <c r="AA479" s="50"/>
      <c r="AB479" s="50"/>
      <c r="AC479" s="50"/>
      <c r="AD479" s="50"/>
      <c r="AE479" s="50"/>
      <c r="AF479" s="50"/>
      <c r="AG479" s="50"/>
      <c r="AH479" s="50"/>
      <c r="AI479" s="50" t="s">
        <v>652</v>
      </c>
      <c r="AJ479" s="50"/>
      <c r="AK479" s="50"/>
      <c r="AL479" s="44"/>
      <c r="AM479" s="45"/>
      <c r="AN479" s="50"/>
      <c r="AO479" s="69"/>
      <c r="AP479" s="69"/>
      <c r="AQ479" s="69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5"/>
      <c r="BD479" s="56"/>
      <c r="BE479" s="61"/>
      <c r="BF479" s="65"/>
      <c r="BG479" s="66"/>
      <c r="BH479" s="66"/>
      <c r="BI479" s="60"/>
      <c r="BJ479" s="60"/>
      <c r="BK479" s="60"/>
      <c r="BL479" s="60"/>
      <c r="BM479" s="60"/>
      <c r="BN479" s="60"/>
      <c r="BO479" s="60"/>
      <c r="BP479" s="60"/>
      <c r="BQ479" s="60" t="str">
        <f>IF(BS479="Original",AI479,AZ479)</f>
        <v>Low Threshold Spend</v>
      </c>
      <c r="BR479" s="60"/>
      <c r="BS479" s="60" t="str">
        <f>IF(AQ479="","Original",IF(AP479&lt;Y479,"Alternate","Original"))</f>
        <v>Original</v>
      </c>
    </row>
    <row r="480" spans="1:71" s="31" customFormat="1" x14ac:dyDescent="0.35">
      <c r="A480" s="53" t="s">
        <v>39</v>
      </c>
      <c r="B480" s="49">
        <v>478</v>
      </c>
      <c r="C480" s="50"/>
      <c r="D480" s="50"/>
      <c r="E480" s="51"/>
      <c r="F480" s="50" t="s">
        <v>60</v>
      </c>
      <c r="G480" s="50" t="s">
        <v>1352</v>
      </c>
      <c r="H480" s="50" t="s">
        <v>1353</v>
      </c>
      <c r="I480" s="50"/>
      <c r="J480" s="50"/>
      <c r="K480" s="50"/>
      <c r="L480" s="50"/>
      <c r="M480" s="50"/>
      <c r="N480" s="54" t="s">
        <v>43</v>
      </c>
      <c r="O480" s="49">
        <v>1</v>
      </c>
      <c r="P480" s="43">
        <v>7.86</v>
      </c>
      <c r="Q480" s="49">
        <v>1</v>
      </c>
      <c r="R480" s="44">
        <f>P480/O480</f>
        <v>7.86</v>
      </c>
      <c r="S480" s="49">
        <f>Q480*O480</f>
        <v>1</v>
      </c>
      <c r="T480" s="52">
        <f>S480*R480</f>
        <v>7.86</v>
      </c>
      <c r="U480" s="50"/>
      <c r="V480" s="50"/>
      <c r="W480" s="50"/>
      <c r="X480" s="69"/>
      <c r="Y480" s="69"/>
      <c r="Z480" s="69"/>
      <c r="AA480" s="50"/>
      <c r="AB480" s="50"/>
      <c r="AC480" s="50"/>
      <c r="AD480" s="50"/>
      <c r="AE480" s="50"/>
      <c r="AF480" s="50"/>
      <c r="AG480" s="50"/>
      <c r="AH480" s="50"/>
      <c r="AI480" s="50" t="s">
        <v>652</v>
      </c>
      <c r="AJ480" s="50"/>
      <c r="AK480" s="50"/>
      <c r="AL480" s="44"/>
      <c r="AM480" s="45"/>
      <c r="AN480" s="50"/>
      <c r="AO480" s="69"/>
      <c r="AP480" s="69"/>
      <c r="AQ480" s="69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5"/>
      <c r="BD480" s="56"/>
      <c r="BE480" s="61"/>
      <c r="BF480" s="65"/>
      <c r="BG480" s="66"/>
      <c r="BH480" s="66"/>
      <c r="BI480" s="60"/>
      <c r="BJ480" s="60"/>
      <c r="BK480" s="60"/>
      <c r="BL480" s="60"/>
      <c r="BM480" s="60"/>
      <c r="BN480" s="60"/>
      <c r="BO480" s="60"/>
      <c r="BP480" s="60"/>
      <c r="BQ480" s="60" t="str">
        <f>IF(BS480="Original",AI480,AZ480)</f>
        <v>Low Threshold Spend</v>
      </c>
      <c r="BR480" s="60"/>
      <c r="BS480" s="60" t="str">
        <f>IF(AQ480="","Original",IF(AP480&lt;Y480,"Alternate","Original"))</f>
        <v>Original</v>
      </c>
    </row>
    <row r="481" spans="1:71" s="31" customFormat="1" x14ac:dyDescent="0.35">
      <c r="A481" s="53" t="s">
        <v>39</v>
      </c>
      <c r="B481" s="49">
        <v>479</v>
      </c>
      <c r="C481" s="50"/>
      <c r="D481" s="50"/>
      <c r="E481" s="51"/>
      <c r="F481" s="50" t="s">
        <v>60</v>
      </c>
      <c r="G481" s="50" t="s">
        <v>1354</v>
      </c>
      <c r="H481" s="50" t="s">
        <v>1355</v>
      </c>
      <c r="I481" s="50"/>
      <c r="J481" s="50"/>
      <c r="K481" s="50"/>
      <c r="L481" s="50"/>
      <c r="M481" s="50"/>
      <c r="N481" s="54" t="s">
        <v>43</v>
      </c>
      <c r="O481" s="49">
        <v>1</v>
      </c>
      <c r="P481" s="43">
        <v>7.85</v>
      </c>
      <c r="Q481" s="49">
        <v>1</v>
      </c>
      <c r="R481" s="44">
        <f>P481/O481</f>
        <v>7.85</v>
      </c>
      <c r="S481" s="49">
        <f>Q481*O481</f>
        <v>1</v>
      </c>
      <c r="T481" s="52">
        <f>S481*R481</f>
        <v>7.85</v>
      </c>
      <c r="U481" s="50"/>
      <c r="V481" s="50"/>
      <c r="W481" s="50"/>
      <c r="X481" s="69"/>
      <c r="Y481" s="69"/>
      <c r="Z481" s="69"/>
      <c r="AA481" s="50"/>
      <c r="AB481" s="50"/>
      <c r="AC481" s="50"/>
      <c r="AD481" s="50"/>
      <c r="AE481" s="50"/>
      <c r="AF481" s="50"/>
      <c r="AG481" s="50"/>
      <c r="AH481" s="50"/>
      <c r="AI481" s="50" t="s">
        <v>652</v>
      </c>
      <c r="AJ481" s="50"/>
      <c r="AK481" s="50"/>
      <c r="AL481" s="44"/>
      <c r="AM481" s="45"/>
      <c r="AN481" s="50"/>
      <c r="AO481" s="69"/>
      <c r="AP481" s="69"/>
      <c r="AQ481" s="69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5"/>
      <c r="BD481" s="56"/>
      <c r="BE481" s="61"/>
      <c r="BF481" s="65"/>
      <c r="BG481" s="66"/>
      <c r="BH481" s="66"/>
      <c r="BI481" s="60"/>
      <c r="BJ481" s="60"/>
      <c r="BK481" s="60"/>
      <c r="BL481" s="60"/>
      <c r="BM481" s="60"/>
      <c r="BN481" s="60"/>
      <c r="BO481" s="60"/>
      <c r="BP481" s="60"/>
      <c r="BQ481" s="60" t="str">
        <f>IF(BS481="Original",AI481,AZ481)</f>
        <v>Low Threshold Spend</v>
      </c>
      <c r="BR481" s="60"/>
      <c r="BS481" s="60" t="str">
        <f>IF(AQ481="","Original",IF(AP481&lt;Y481,"Alternate","Original"))</f>
        <v>Original</v>
      </c>
    </row>
    <row r="482" spans="1:71" s="31" customFormat="1" x14ac:dyDescent="0.35">
      <c r="A482" s="53" t="s">
        <v>39</v>
      </c>
      <c r="B482" s="49">
        <v>480</v>
      </c>
      <c r="C482" s="50"/>
      <c r="D482" s="50"/>
      <c r="E482" s="51"/>
      <c r="F482" s="50" t="s">
        <v>40</v>
      </c>
      <c r="G482" s="50" t="s">
        <v>1356</v>
      </c>
      <c r="H482" s="50" t="s">
        <v>1357</v>
      </c>
      <c r="I482" s="50"/>
      <c r="J482" s="50"/>
      <c r="K482" s="50"/>
      <c r="L482" s="50"/>
      <c r="M482" s="50"/>
      <c r="N482" s="54" t="s">
        <v>43</v>
      </c>
      <c r="O482" s="49">
        <v>1</v>
      </c>
      <c r="P482" s="43">
        <v>7.83</v>
      </c>
      <c r="Q482" s="49">
        <v>1</v>
      </c>
      <c r="R482" s="44">
        <f>P482/O482</f>
        <v>7.83</v>
      </c>
      <c r="S482" s="49">
        <f>Q482*O482</f>
        <v>1</v>
      </c>
      <c r="T482" s="52">
        <f>S482*R482</f>
        <v>7.83</v>
      </c>
      <c r="U482" s="50"/>
      <c r="V482" s="50"/>
      <c r="W482" s="50"/>
      <c r="X482" s="69"/>
      <c r="Y482" s="69"/>
      <c r="Z482" s="69"/>
      <c r="AA482" s="50"/>
      <c r="AB482" s="50"/>
      <c r="AC482" s="50"/>
      <c r="AD482" s="50"/>
      <c r="AE482" s="50"/>
      <c r="AF482" s="50"/>
      <c r="AG482" s="50"/>
      <c r="AH482" s="50"/>
      <c r="AI482" s="50" t="s">
        <v>652</v>
      </c>
      <c r="AJ482" s="50"/>
      <c r="AK482" s="50"/>
      <c r="AL482" s="44"/>
      <c r="AM482" s="45"/>
      <c r="AN482" s="50"/>
      <c r="AO482" s="69"/>
      <c r="AP482" s="69"/>
      <c r="AQ482" s="69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5"/>
      <c r="BD482" s="56"/>
      <c r="BE482" s="61"/>
      <c r="BF482" s="65"/>
      <c r="BG482" s="66"/>
      <c r="BH482" s="66"/>
      <c r="BI482" s="60"/>
      <c r="BJ482" s="60"/>
      <c r="BK482" s="60"/>
      <c r="BL482" s="60"/>
      <c r="BM482" s="60"/>
      <c r="BN482" s="60"/>
      <c r="BO482" s="60"/>
      <c r="BP482" s="60"/>
      <c r="BQ482" s="60" t="str">
        <f>IF(BS482="Original",AI482,AZ482)</f>
        <v>Low Threshold Spend</v>
      </c>
      <c r="BR482" s="60"/>
      <c r="BS482" s="60" t="str">
        <f>IF(AQ482="","Original",IF(AP482&lt;Y482,"Alternate","Original"))</f>
        <v>Original</v>
      </c>
    </row>
    <row r="483" spans="1:71" s="31" customFormat="1" x14ac:dyDescent="0.35">
      <c r="A483" s="53" t="s">
        <v>39</v>
      </c>
      <c r="B483" s="49">
        <v>481</v>
      </c>
      <c r="C483" s="50"/>
      <c r="D483" s="50"/>
      <c r="E483" s="51"/>
      <c r="F483" s="50" t="s">
        <v>40</v>
      </c>
      <c r="G483" s="50" t="s">
        <v>1358</v>
      </c>
      <c r="H483" s="50" t="s">
        <v>1359</v>
      </c>
      <c r="I483" s="50"/>
      <c r="J483" s="50"/>
      <c r="K483" s="50"/>
      <c r="L483" s="50"/>
      <c r="M483" s="50"/>
      <c r="N483" s="54" t="s">
        <v>43</v>
      </c>
      <c r="O483" s="49">
        <v>1</v>
      </c>
      <c r="P483" s="43">
        <v>7.84</v>
      </c>
      <c r="Q483" s="49">
        <v>1</v>
      </c>
      <c r="R483" s="44">
        <f>P483/O483</f>
        <v>7.84</v>
      </c>
      <c r="S483" s="49">
        <f>Q483*O483</f>
        <v>1</v>
      </c>
      <c r="T483" s="52">
        <f>S483*R483</f>
        <v>7.84</v>
      </c>
      <c r="U483" s="50"/>
      <c r="V483" s="50"/>
      <c r="W483" s="50"/>
      <c r="X483" s="69"/>
      <c r="Y483" s="69"/>
      <c r="Z483" s="69"/>
      <c r="AA483" s="50"/>
      <c r="AB483" s="50"/>
      <c r="AC483" s="50"/>
      <c r="AD483" s="50"/>
      <c r="AE483" s="50"/>
      <c r="AF483" s="50"/>
      <c r="AG483" s="50"/>
      <c r="AH483" s="50"/>
      <c r="AI483" s="50" t="s">
        <v>652</v>
      </c>
      <c r="AJ483" s="50"/>
      <c r="AK483" s="50"/>
      <c r="AL483" s="44"/>
      <c r="AM483" s="45"/>
      <c r="AN483" s="50"/>
      <c r="AO483" s="69"/>
      <c r="AP483" s="69"/>
      <c r="AQ483" s="69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5"/>
      <c r="BD483" s="56"/>
      <c r="BE483" s="61"/>
      <c r="BF483" s="65"/>
      <c r="BG483" s="66"/>
      <c r="BH483" s="66"/>
      <c r="BI483" s="60"/>
      <c r="BJ483" s="60"/>
      <c r="BK483" s="60"/>
      <c r="BL483" s="60"/>
      <c r="BM483" s="60"/>
      <c r="BN483" s="60"/>
      <c r="BO483" s="60"/>
      <c r="BP483" s="60"/>
      <c r="BQ483" s="60" t="str">
        <f>IF(BS483="Original",AI483,AZ483)</f>
        <v>Low Threshold Spend</v>
      </c>
      <c r="BR483" s="60"/>
      <c r="BS483" s="60" t="str">
        <f>IF(AQ483="","Original",IF(AP483&lt;Y483,"Alternate","Original"))</f>
        <v>Original</v>
      </c>
    </row>
    <row r="484" spans="1:71" s="31" customFormat="1" x14ac:dyDescent="0.35">
      <c r="A484" s="53" t="s">
        <v>39</v>
      </c>
      <c r="B484" s="49">
        <v>482</v>
      </c>
      <c r="C484" s="50"/>
      <c r="D484" s="50"/>
      <c r="E484" s="51"/>
      <c r="F484" s="50" t="s">
        <v>40</v>
      </c>
      <c r="G484" s="50" t="s">
        <v>1360</v>
      </c>
      <c r="H484" s="50" t="s">
        <v>1361</v>
      </c>
      <c r="I484" s="50"/>
      <c r="J484" s="50"/>
      <c r="K484" s="50"/>
      <c r="L484" s="50"/>
      <c r="M484" s="50"/>
      <c r="N484" s="54" t="s">
        <v>43</v>
      </c>
      <c r="O484" s="49">
        <v>1</v>
      </c>
      <c r="P484" s="43">
        <v>7.84</v>
      </c>
      <c r="Q484" s="49">
        <v>1</v>
      </c>
      <c r="R484" s="44">
        <f>P484/O484</f>
        <v>7.84</v>
      </c>
      <c r="S484" s="49">
        <f>Q484*O484</f>
        <v>1</v>
      </c>
      <c r="T484" s="52">
        <f>S484*R484</f>
        <v>7.84</v>
      </c>
      <c r="U484" s="50"/>
      <c r="V484" s="50"/>
      <c r="W484" s="50"/>
      <c r="X484" s="69"/>
      <c r="Y484" s="69"/>
      <c r="Z484" s="69"/>
      <c r="AA484" s="50"/>
      <c r="AB484" s="50"/>
      <c r="AC484" s="50"/>
      <c r="AD484" s="50"/>
      <c r="AE484" s="50"/>
      <c r="AF484" s="50"/>
      <c r="AG484" s="50"/>
      <c r="AH484" s="50"/>
      <c r="AI484" s="50" t="s">
        <v>652</v>
      </c>
      <c r="AJ484" s="50"/>
      <c r="AK484" s="50"/>
      <c r="AL484" s="44"/>
      <c r="AM484" s="45"/>
      <c r="AN484" s="50"/>
      <c r="AO484" s="69"/>
      <c r="AP484" s="69"/>
      <c r="AQ484" s="69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5"/>
      <c r="BD484" s="56"/>
      <c r="BE484" s="61"/>
      <c r="BF484" s="65"/>
      <c r="BG484" s="66"/>
      <c r="BH484" s="66"/>
      <c r="BI484" s="60"/>
      <c r="BJ484" s="60"/>
      <c r="BK484" s="60"/>
      <c r="BL484" s="60"/>
      <c r="BM484" s="60"/>
      <c r="BN484" s="60"/>
      <c r="BO484" s="60"/>
      <c r="BP484" s="60"/>
      <c r="BQ484" s="60" t="str">
        <f>IF(BS484="Original",AI484,AZ484)</f>
        <v>Low Threshold Spend</v>
      </c>
      <c r="BR484" s="60"/>
      <c r="BS484" s="60" t="str">
        <f>IF(AQ484="","Original",IF(AP484&lt;Y484,"Alternate","Original"))</f>
        <v>Original</v>
      </c>
    </row>
    <row r="485" spans="1:71" s="31" customFormat="1" x14ac:dyDescent="0.35">
      <c r="A485" s="53" t="s">
        <v>39</v>
      </c>
      <c r="B485" s="49">
        <v>483</v>
      </c>
      <c r="C485" s="50"/>
      <c r="D485" s="50"/>
      <c r="E485" s="51"/>
      <c r="F485" s="50" t="s">
        <v>40</v>
      </c>
      <c r="G485" s="50" t="s">
        <v>1362</v>
      </c>
      <c r="H485" s="50" t="s">
        <v>1363</v>
      </c>
      <c r="I485" s="50"/>
      <c r="J485" s="50"/>
      <c r="K485" s="50"/>
      <c r="L485" s="50"/>
      <c r="M485" s="50"/>
      <c r="N485" s="54" t="s">
        <v>43</v>
      </c>
      <c r="O485" s="49">
        <v>1</v>
      </c>
      <c r="P485" s="43">
        <v>7.84</v>
      </c>
      <c r="Q485" s="49">
        <v>1</v>
      </c>
      <c r="R485" s="44">
        <f>P485/O485</f>
        <v>7.84</v>
      </c>
      <c r="S485" s="49">
        <f>Q485*O485</f>
        <v>1</v>
      </c>
      <c r="T485" s="52">
        <f>S485*R485</f>
        <v>7.84</v>
      </c>
      <c r="U485" s="50"/>
      <c r="V485" s="50"/>
      <c r="W485" s="50"/>
      <c r="X485" s="69"/>
      <c r="Y485" s="69"/>
      <c r="Z485" s="69"/>
      <c r="AA485" s="50"/>
      <c r="AB485" s="50"/>
      <c r="AC485" s="50"/>
      <c r="AD485" s="50"/>
      <c r="AE485" s="50"/>
      <c r="AF485" s="50"/>
      <c r="AG485" s="50"/>
      <c r="AH485" s="50"/>
      <c r="AI485" s="50" t="s">
        <v>652</v>
      </c>
      <c r="AJ485" s="50"/>
      <c r="AK485" s="50"/>
      <c r="AL485" s="44"/>
      <c r="AM485" s="45"/>
      <c r="AN485" s="50"/>
      <c r="AO485" s="69"/>
      <c r="AP485" s="69"/>
      <c r="AQ485" s="69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5"/>
      <c r="BD485" s="56"/>
      <c r="BE485" s="61"/>
      <c r="BF485" s="65"/>
      <c r="BG485" s="66"/>
      <c r="BH485" s="66"/>
      <c r="BI485" s="60"/>
      <c r="BJ485" s="60"/>
      <c r="BK485" s="60"/>
      <c r="BL485" s="60"/>
      <c r="BM485" s="60"/>
      <c r="BN485" s="60"/>
      <c r="BO485" s="60"/>
      <c r="BP485" s="60"/>
      <c r="BQ485" s="60" t="str">
        <f>IF(BS485="Original",AI485,AZ485)</f>
        <v>Low Threshold Spend</v>
      </c>
      <c r="BR485" s="60"/>
      <c r="BS485" s="60" t="str">
        <f>IF(AQ485="","Original",IF(AP485&lt;Y485,"Alternate","Original"))</f>
        <v>Original</v>
      </c>
    </row>
    <row r="486" spans="1:71" s="31" customFormat="1" x14ac:dyDescent="0.35">
      <c r="A486" s="53" t="s">
        <v>39</v>
      </c>
      <c r="B486" s="49">
        <v>484</v>
      </c>
      <c r="C486" s="50"/>
      <c r="D486" s="50"/>
      <c r="E486" s="51"/>
      <c r="F486" s="50" t="s">
        <v>40</v>
      </c>
      <c r="G486" s="50" t="s">
        <v>1364</v>
      </c>
      <c r="H486" s="50" t="s">
        <v>1365</v>
      </c>
      <c r="I486" s="50"/>
      <c r="J486" s="50"/>
      <c r="K486" s="50"/>
      <c r="L486" s="50"/>
      <c r="M486" s="50"/>
      <c r="N486" s="54" t="s">
        <v>43</v>
      </c>
      <c r="O486" s="49">
        <v>1</v>
      </c>
      <c r="P486" s="43">
        <v>7.84</v>
      </c>
      <c r="Q486" s="49">
        <v>1</v>
      </c>
      <c r="R486" s="44">
        <f>P486/O486</f>
        <v>7.84</v>
      </c>
      <c r="S486" s="49">
        <f>Q486*O486</f>
        <v>1</v>
      </c>
      <c r="T486" s="52">
        <f>S486*R486</f>
        <v>7.84</v>
      </c>
      <c r="U486" s="50"/>
      <c r="V486" s="50"/>
      <c r="W486" s="50"/>
      <c r="X486" s="69"/>
      <c r="Y486" s="69"/>
      <c r="Z486" s="69"/>
      <c r="AA486" s="50"/>
      <c r="AB486" s="50"/>
      <c r="AC486" s="50"/>
      <c r="AD486" s="50"/>
      <c r="AE486" s="50"/>
      <c r="AF486" s="50"/>
      <c r="AG486" s="50"/>
      <c r="AH486" s="50"/>
      <c r="AI486" s="50" t="s">
        <v>652</v>
      </c>
      <c r="AJ486" s="50"/>
      <c r="AK486" s="50"/>
      <c r="AL486" s="44"/>
      <c r="AM486" s="45"/>
      <c r="AN486" s="50"/>
      <c r="AO486" s="69"/>
      <c r="AP486" s="69"/>
      <c r="AQ486" s="69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5"/>
      <c r="BD486" s="56"/>
      <c r="BE486" s="61"/>
      <c r="BF486" s="65"/>
      <c r="BG486" s="66"/>
      <c r="BH486" s="66"/>
      <c r="BI486" s="60"/>
      <c r="BJ486" s="60"/>
      <c r="BK486" s="60"/>
      <c r="BL486" s="60"/>
      <c r="BM486" s="60"/>
      <c r="BN486" s="60"/>
      <c r="BO486" s="60"/>
      <c r="BP486" s="60"/>
      <c r="BQ486" s="60" t="str">
        <f>IF(BS486="Original",AI486,AZ486)</f>
        <v>Low Threshold Spend</v>
      </c>
      <c r="BR486" s="60"/>
      <c r="BS486" s="60" t="str">
        <f>IF(AQ486="","Original",IF(AP486&lt;Y486,"Alternate","Original"))</f>
        <v>Original</v>
      </c>
    </row>
    <row r="487" spans="1:71" s="31" customFormat="1" x14ac:dyDescent="0.35">
      <c r="A487" s="53" t="s">
        <v>39</v>
      </c>
      <c r="B487" s="49">
        <v>485</v>
      </c>
      <c r="C487" s="50"/>
      <c r="D487" s="50"/>
      <c r="E487" s="51"/>
      <c r="F487" s="50" t="s">
        <v>40</v>
      </c>
      <c r="G487" s="50" t="s">
        <v>1366</v>
      </c>
      <c r="H487" s="50" t="s">
        <v>1367</v>
      </c>
      <c r="I487" s="50"/>
      <c r="J487" s="50"/>
      <c r="K487" s="50"/>
      <c r="L487" s="50"/>
      <c r="M487" s="50"/>
      <c r="N487" s="54" t="s">
        <v>43</v>
      </c>
      <c r="O487" s="49">
        <v>1</v>
      </c>
      <c r="P487" s="43">
        <v>7.84</v>
      </c>
      <c r="Q487" s="49">
        <v>1</v>
      </c>
      <c r="R487" s="44">
        <f>P487/O487</f>
        <v>7.84</v>
      </c>
      <c r="S487" s="49">
        <f>Q487*O487</f>
        <v>1</v>
      </c>
      <c r="T487" s="52">
        <f>S487*R487</f>
        <v>7.84</v>
      </c>
      <c r="U487" s="50"/>
      <c r="V487" s="50"/>
      <c r="W487" s="50"/>
      <c r="X487" s="69"/>
      <c r="Y487" s="69"/>
      <c r="Z487" s="69"/>
      <c r="AA487" s="50"/>
      <c r="AB487" s="50"/>
      <c r="AC487" s="50"/>
      <c r="AD487" s="50"/>
      <c r="AE487" s="50"/>
      <c r="AF487" s="50"/>
      <c r="AG487" s="50"/>
      <c r="AH487" s="50"/>
      <c r="AI487" s="50" t="s">
        <v>652</v>
      </c>
      <c r="AJ487" s="50"/>
      <c r="AK487" s="50"/>
      <c r="AL487" s="44"/>
      <c r="AM487" s="45"/>
      <c r="AN487" s="50"/>
      <c r="AO487" s="69"/>
      <c r="AP487" s="69"/>
      <c r="AQ487" s="69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5"/>
      <c r="BD487" s="56"/>
      <c r="BE487" s="61"/>
      <c r="BF487" s="65"/>
      <c r="BG487" s="66"/>
      <c r="BH487" s="66"/>
      <c r="BI487" s="60"/>
      <c r="BJ487" s="60"/>
      <c r="BK487" s="60"/>
      <c r="BL487" s="60"/>
      <c r="BM487" s="60"/>
      <c r="BN487" s="60"/>
      <c r="BO487" s="60"/>
      <c r="BP487" s="60"/>
      <c r="BQ487" s="60" t="str">
        <f>IF(BS487="Original",AI487,AZ487)</f>
        <v>Low Threshold Spend</v>
      </c>
      <c r="BR487" s="60"/>
      <c r="BS487" s="60" t="str">
        <f>IF(AQ487="","Original",IF(AP487&lt;Y487,"Alternate","Original"))</f>
        <v>Original</v>
      </c>
    </row>
    <row r="488" spans="1:71" s="31" customFormat="1" x14ac:dyDescent="0.35">
      <c r="A488" s="53" t="s">
        <v>39</v>
      </c>
      <c r="B488" s="49">
        <v>486</v>
      </c>
      <c r="C488" s="50"/>
      <c r="D488" s="50"/>
      <c r="E488" s="51"/>
      <c r="F488" s="50" t="s">
        <v>40</v>
      </c>
      <c r="G488" s="50" t="s">
        <v>1368</v>
      </c>
      <c r="H488" s="50" t="s">
        <v>1369</v>
      </c>
      <c r="I488" s="50"/>
      <c r="J488" s="50"/>
      <c r="K488" s="50"/>
      <c r="L488" s="50"/>
      <c r="M488" s="50"/>
      <c r="N488" s="54" t="s">
        <v>43</v>
      </c>
      <c r="O488" s="49">
        <v>1</v>
      </c>
      <c r="P488" s="43">
        <v>7.84</v>
      </c>
      <c r="Q488" s="49">
        <v>1</v>
      </c>
      <c r="R488" s="44">
        <f>P488/O488</f>
        <v>7.84</v>
      </c>
      <c r="S488" s="49">
        <f>Q488*O488</f>
        <v>1</v>
      </c>
      <c r="T488" s="52">
        <f>S488*R488</f>
        <v>7.84</v>
      </c>
      <c r="U488" s="50"/>
      <c r="V488" s="50"/>
      <c r="W488" s="50"/>
      <c r="X488" s="69"/>
      <c r="Y488" s="69"/>
      <c r="Z488" s="69"/>
      <c r="AA488" s="50"/>
      <c r="AB488" s="50"/>
      <c r="AC488" s="50"/>
      <c r="AD488" s="50"/>
      <c r="AE488" s="50"/>
      <c r="AF488" s="50"/>
      <c r="AG488" s="50"/>
      <c r="AH488" s="50"/>
      <c r="AI488" s="50" t="s">
        <v>652</v>
      </c>
      <c r="AJ488" s="50"/>
      <c r="AK488" s="50"/>
      <c r="AL488" s="44"/>
      <c r="AM488" s="45"/>
      <c r="AN488" s="50"/>
      <c r="AO488" s="69"/>
      <c r="AP488" s="69"/>
      <c r="AQ488" s="69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5"/>
      <c r="BD488" s="56"/>
      <c r="BE488" s="61"/>
      <c r="BF488" s="65"/>
      <c r="BG488" s="66"/>
      <c r="BH488" s="66"/>
      <c r="BI488" s="60"/>
      <c r="BJ488" s="60"/>
      <c r="BK488" s="60"/>
      <c r="BL488" s="60"/>
      <c r="BM488" s="60"/>
      <c r="BN488" s="60"/>
      <c r="BO488" s="60"/>
      <c r="BP488" s="60"/>
      <c r="BQ488" s="60" t="str">
        <f>IF(BS488="Original",AI488,AZ488)</f>
        <v>Low Threshold Spend</v>
      </c>
      <c r="BR488" s="60"/>
      <c r="BS488" s="60" t="str">
        <f>IF(AQ488="","Original",IF(AP488&lt;Y488,"Alternate","Original"))</f>
        <v>Original</v>
      </c>
    </row>
    <row r="489" spans="1:71" s="31" customFormat="1" x14ac:dyDescent="0.35">
      <c r="A489" s="53" t="s">
        <v>39</v>
      </c>
      <c r="B489" s="49">
        <v>487</v>
      </c>
      <c r="C489" s="50"/>
      <c r="D489" s="50"/>
      <c r="E489" s="51"/>
      <c r="F489" s="50" t="s">
        <v>40</v>
      </c>
      <c r="G489" s="50" t="s">
        <v>1370</v>
      </c>
      <c r="H489" s="50" t="s">
        <v>1371</v>
      </c>
      <c r="I489" s="50"/>
      <c r="J489" s="50"/>
      <c r="K489" s="50"/>
      <c r="L489" s="50"/>
      <c r="M489" s="50"/>
      <c r="N489" s="54" t="s">
        <v>43</v>
      </c>
      <c r="O489" s="49">
        <v>1</v>
      </c>
      <c r="P489" s="43">
        <v>7.84</v>
      </c>
      <c r="Q489" s="49">
        <v>1</v>
      </c>
      <c r="R489" s="44">
        <f>P489/O489</f>
        <v>7.84</v>
      </c>
      <c r="S489" s="49">
        <f>Q489*O489</f>
        <v>1</v>
      </c>
      <c r="T489" s="52">
        <f>S489*R489</f>
        <v>7.84</v>
      </c>
      <c r="U489" s="50"/>
      <c r="V489" s="50"/>
      <c r="W489" s="50"/>
      <c r="X489" s="69"/>
      <c r="Y489" s="69"/>
      <c r="Z489" s="69"/>
      <c r="AA489" s="50"/>
      <c r="AB489" s="50"/>
      <c r="AC489" s="50"/>
      <c r="AD489" s="50"/>
      <c r="AE489" s="50"/>
      <c r="AF489" s="50"/>
      <c r="AG489" s="50"/>
      <c r="AH489" s="50"/>
      <c r="AI489" s="50" t="s">
        <v>652</v>
      </c>
      <c r="AJ489" s="50"/>
      <c r="AK489" s="50"/>
      <c r="AL489" s="44"/>
      <c r="AM489" s="45"/>
      <c r="AN489" s="50"/>
      <c r="AO489" s="69"/>
      <c r="AP489" s="69"/>
      <c r="AQ489" s="69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5"/>
      <c r="BD489" s="56"/>
      <c r="BE489" s="61"/>
      <c r="BF489" s="65"/>
      <c r="BG489" s="66"/>
      <c r="BH489" s="66"/>
      <c r="BI489" s="60"/>
      <c r="BJ489" s="60"/>
      <c r="BK489" s="60"/>
      <c r="BL489" s="60"/>
      <c r="BM489" s="60"/>
      <c r="BN489" s="60"/>
      <c r="BO489" s="60"/>
      <c r="BP489" s="60"/>
      <c r="BQ489" s="60" t="str">
        <f>IF(BS489="Original",AI489,AZ489)</f>
        <v>Low Threshold Spend</v>
      </c>
      <c r="BR489" s="60"/>
      <c r="BS489" s="60" t="str">
        <f>IF(AQ489="","Original",IF(AP489&lt;Y489,"Alternate","Original"))</f>
        <v>Original</v>
      </c>
    </row>
    <row r="490" spans="1:71" s="31" customFormat="1" x14ac:dyDescent="0.35">
      <c r="A490" s="53" t="s">
        <v>39</v>
      </c>
      <c r="B490" s="49">
        <v>488</v>
      </c>
      <c r="C490" s="50"/>
      <c r="D490" s="50"/>
      <c r="E490" s="51"/>
      <c r="F490" s="50" t="s">
        <v>40</v>
      </c>
      <c r="G490" s="50" t="s">
        <v>1372</v>
      </c>
      <c r="H490" s="50" t="s">
        <v>1373</v>
      </c>
      <c r="I490" s="50"/>
      <c r="J490" s="50"/>
      <c r="K490" s="50"/>
      <c r="L490" s="50"/>
      <c r="M490" s="50"/>
      <c r="N490" s="54" t="s">
        <v>43</v>
      </c>
      <c r="O490" s="49">
        <v>1</v>
      </c>
      <c r="P490" s="43">
        <v>7.71</v>
      </c>
      <c r="Q490" s="49">
        <v>1</v>
      </c>
      <c r="R490" s="44">
        <f>P490/O490</f>
        <v>7.71</v>
      </c>
      <c r="S490" s="49">
        <f>Q490*O490</f>
        <v>1</v>
      </c>
      <c r="T490" s="52">
        <f>S490*R490</f>
        <v>7.71</v>
      </c>
      <c r="U490" s="50"/>
      <c r="V490" s="50"/>
      <c r="W490" s="50"/>
      <c r="X490" s="69"/>
      <c r="Y490" s="69"/>
      <c r="Z490" s="69"/>
      <c r="AA490" s="50"/>
      <c r="AB490" s="50"/>
      <c r="AC490" s="50"/>
      <c r="AD490" s="50"/>
      <c r="AE490" s="50"/>
      <c r="AF490" s="50"/>
      <c r="AG490" s="50"/>
      <c r="AH490" s="50"/>
      <c r="AI490" s="50" t="s">
        <v>652</v>
      </c>
      <c r="AJ490" s="50"/>
      <c r="AK490" s="50"/>
      <c r="AL490" s="44"/>
      <c r="AM490" s="45"/>
      <c r="AN490" s="50"/>
      <c r="AO490" s="69"/>
      <c r="AP490" s="69"/>
      <c r="AQ490" s="69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5"/>
      <c r="BD490" s="56"/>
      <c r="BE490" s="61"/>
      <c r="BF490" s="65"/>
      <c r="BG490" s="66"/>
      <c r="BH490" s="66"/>
      <c r="BI490" s="60"/>
      <c r="BJ490" s="60"/>
      <c r="BK490" s="60"/>
      <c r="BL490" s="60"/>
      <c r="BM490" s="60"/>
      <c r="BN490" s="60"/>
      <c r="BO490" s="60"/>
      <c r="BP490" s="60"/>
      <c r="BQ490" s="60" t="str">
        <f>IF(BS490="Original",AI490,AZ490)</f>
        <v>Low Threshold Spend</v>
      </c>
      <c r="BR490" s="60"/>
      <c r="BS490" s="60" t="str">
        <f>IF(AQ490="","Original",IF(AP490&lt;Y490,"Alternate","Original"))</f>
        <v>Original</v>
      </c>
    </row>
    <row r="491" spans="1:71" s="31" customFormat="1" x14ac:dyDescent="0.35">
      <c r="A491" s="53" t="s">
        <v>39</v>
      </c>
      <c r="B491" s="49">
        <v>489</v>
      </c>
      <c r="C491" s="50"/>
      <c r="D491" s="50"/>
      <c r="E491" s="51"/>
      <c r="F491" s="50" t="s">
        <v>40</v>
      </c>
      <c r="G491" s="50" t="s">
        <v>1374</v>
      </c>
      <c r="H491" s="50" t="s">
        <v>1375</v>
      </c>
      <c r="I491" s="50"/>
      <c r="J491" s="50"/>
      <c r="K491" s="50"/>
      <c r="L491" s="50"/>
      <c r="M491" s="50"/>
      <c r="N491" s="54" t="s">
        <v>43</v>
      </c>
      <c r="O491" s="49">
        <v>1</v>
      </c>
      <c r="P491" s="43">
        <v>7.69</v>
      </c>
      <c r="Q491" s="49">
        <v>1</v>
      </c>
      <c r="R491" s="44">
        <f>P491/O491</f>
        <v>7.69</v>
      </c>
      <c r="S491" s="49">
        <f>Q491*O491</f>
        <v>1</v>
      </c>
      <c r="T491" s="52">
        <f>S491*R491</f>
        <v>7.69</v>
      </c>
      <c r="U491" s="50"/>
      <c r="V491" s="50"/>
      <c r="W491" s="50"/>
      <c r="X491" s="69"/>
      <c r="Y491" s="69"/>
      <c r="Z491" s="69"/>
      <c r="AA491" s="50"/>
      <c r="AB491" s="50"/>
      <c r="AC491" s="50"/>
      <c r="AD491" s="50"/>
      <c r="AE491" s="50"/>
      <c r="AF491" s="50"/>
      <c r="AG491" s="50"/>
      <c r="AH491" s="50"/>
      <c r="AI491" s="50" t="s">
        <v>652</v>
      </c>
      <c r="AJ491" s="50"/>
      <c r="AK491" s="50"/>
      <c r="AL491" s="44"/>
      <c r="AM491" s="45"/>
      <c r="AN491" s="50"/>
      <c r="AO491" s="69"/>
      <c r="AP491" s="69"/>
      <c r="AQ491" s="69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5"/>
      <c r="BD491" s="56"/>
      <c r="BE491" s="61"/>
      <c r="BF491" s="65"/>
      <c r="BG491" s="66"/>
      <c r="BH491" s="66"/>
      <c r="BI491" s="60"/>
      <c r="BJ491" s="60"/>
      <c r="BK491" s="60"/>
      <c r="BL491" s="60"/>
      <c r="BM491" s="60"/>
      <c r="BN491" s="60"/>
      <c r="BO491" s="60"/>
      <c r="BP491" s="60"/>
      <c r="BQ491" s="60" t="str">
        <f>IF(BS491="Original",AI491,AZ491)</f>
        <v>Low Threshold Spend</v>
      </c>
      <c r="BR491" s="60"/>
      <c r="BS491" s="60" t="str">
        <f>IF(AQ491="","Original",IF(AP491&lt;Y491,"Alternate","Original"))</f>
        <v>Original</v>
      </c>
    </row>
    <row r="492" spans="1:71" s="31" customFormat="1" x14ac:dyDescent="0.35">
      <c r="A492" s="53" t="s">
        <v>39</v>
      </c>
      <c r="B492" s="49">
        <v>490</v>
      </c>
      <c r="C492" s="50"/>
      <c r="D492" s="50"/>
      <c r="E492" s="51"/>
      <c r="F492" s="50" t="s">
        <v>40</v>
      </c>
      <c r="G492" s="50" t="s">
        <v>1376</v>
      </c>
      <c r="H492" s="50" t="s">
        <v>1377</v>
      </c>
      <c r="I492" s="50"/>
      <c r="J492" s="50"/>
      <c r="K492" s="50"/>
      <c r="L492" s="50"/>
      <c r="M492" s="50"/>
      <c r="N492" s="54" t="s">
        <v>43</v>
      </c>
      <c r="O492" s="49">
        <v>1</v>
      </c>
      <c r="P492" s="43">
        <v>7.6</v>
      </c>
      <c r="Q492" s="49">
        <v>1</v>
      </c>
      <c r="R492" s="44">
        <f>P492/O492</f>
        <v>7.6</v>
      </c>
      <c r="S492" s="49">
        <f>Q492*O492</f>
        <v>1</v>
      </c>
      <c r="T492" s="52">
        <f>S492*R492</f>
        <v>7.6</v>
      </c>
      <c r="U492" s="50"/>
      <c r="V492" s="50"/>
      <c r="W492" s="50"/>
      <c r="X492" s="69"/>
      <c r="Y492" s="69"/>
      <c r="Z492" s="69"/>
      <c r="AA492" s="50"/>
      <c r="AB492" s="50"/>
      <c r="AC492" s="50"/>
      <c r="AD492" s="50"/>
      <c r="AE492" s="50"/>
      <c r="AF492" s="50"/>
      <c r="AG492" s="50"/>
      <c r="AH492" s="50"/>
      <c r="AI492" s="50" t="s">
        <v>652</v>
      </c>
      <c r="AJ492" s="50"/>
      <c r="AK492" s="50"/>
      <c r="AL492" s="44"/>
      <c r="AM492" s="45"/>
      <c r="AN492" s="50"/>
      <c r="AO492" s="69"/>
      <c r="AP492" s="69"/>
      <c r="AQ492" s="69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5"/>
      <c r="BD492" s="56"/>
      <c r="BE492" s="61"/>
      <c r="BF492" s="65"/>
      <c r="BG492" s="66"/>
      <c r="BH492" s="66"/>
      <c r="BI492" s="60"/>
      <c r="BJ492" s="60"/>
      <c r="BK492" s="60"/>
      <c r="BL492" s="60"/>
      <c r="BM492" s="60"/>
      <c r="BN492" s="60"/>
      <c r="BO492" s="60"/>
      <c r="BP492" s="60"/>
      <c r="BQ492" s="60" t="str">
        <f>IF(BS492="Original",AI492,AZ492)</f>
        <v>Low Threshold Spend</v>
      </c>
      <c r="BR492" s="60"/>
      <c r="BS492" s="60" t="str">
        <f>IF(AQ492="","Original",IF(AP492&lt;Y492,"Alternate","Original"))</f>
        <v>Original</v>
      </c>
    </row>
    <row r="493" spans="1:71" s="31" customFormat="1" x14ac:dyDescent="0.35">
      <c r="A493" s="53" t="s">
        <v>39</v>
      </c>
      <c r="B493" s="49">
        <v>491</v>
      </c>
      <c r="C493" s="50"/>
      <c r="D493" s="50"/>
      <c r="E493" s="51"/>
      <c r="F493" s="50" t="s">
        <v>40</v>
      </c>
      <c r="G493" s="50" t="s">
        <v>1378</v>
      </c>
      <c r="H493" s="50" t="s">
        <v>1379</v>
      </c>
      <c r="I493" s="50"/>
      <c r="J493" s="50"/>
      <c r="K493" s="50"/>
      <c r="L493" s="50"/>
      <c r="M493" s="50"/>
      <c r="N493" s="54" t="s">
        <v>43</v>
      </c>
      <c r="O493" s="49">
        <v>1</v>
      </c>
      <c r="P493" s="43">
        <v>7.52</v>
      </c>
      <c r="Q493" s="49">
        <v>1</v>
      </c>
      <c r="R493" s="44">
        <f>P493/O493</f>
        <v>7.52</v>
      </c>
      <c r="S493" s="49">
        <f>Q493*O493</f>
        <v>1</v>
      </c>
      <c r="T493" s="52">
        <f>S493*R493</f>
        <v>7.52</v>
      </c>
      <c r="U493" s="50"/>
      <c r="V493" s="50"/>
      <c r="W493" s="50"/>
      <c r="X493" s="69"/>
      <c r="Y493" s="69"/>
      <c r="Z493" s="69"/>
      <c r="AA493" s="50"/>
      <c r="AB493" s="50"/>
      <c r="AC493" s="50"/>
      <c r="AD493" s="50"/>
      <c r="AE493" s="50"/>
      <c r="AF493" s="50"/>
      <c r="AG493" s="50"/>
      <c r="AH493" s="50"/>
      <c r="AI493" s="50" t="s">
        <v>652</v>
      </c>
      <c r="AJ493" s="50"/>
      <c r="AK493" s="50"/>
      <c r="AL493" s="44"/>
      <c r="AM493" s="45"/>
      <c r="AN493" s="50"/>
      <c r="AO493" s="69"/>
      <c r="AP493" s="69"/>
      <c r="AQ493" s="69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5"/>
      <c r="BD493" s="56"/>
      <c r="BE493" s="61"/>
      <c r="BF493" s="65"/>
      <c r="BG493" s="66"/>
      <c r="BH493" s="66"/>
      <c r="BI493" s="60"/>
      <c r="BJ493" s="60"/>
      <c r="BK493" s="60"/>
      <c r="BL493" s="60"/>
      <c r="BM493" s="60"/>
      <c r="BN493" s="60"/>
      <c r="BO493" s="60"/>
      <c r="BP493" s="60"/>
      <c r="BQ493" s="60" t="str">
        <f>IF(BS493="Original",AI493,AZ493)</f>
        <v>Low Threshold Spend</v>
      </c>
      <c r="BR493" s="60"/>
      <c r="BS493" s="60" t="str">
        <f>IF(AQ493="","Original",IF(AP493&lt;Y493,"Alternate","Original"))</f>
        <v>Original</v>
      </c>
    </row>
    <row r="494" spans="1:71" s="31" customFormat="1" x14ac:dyDescent="0.35">
      <c r="A494" s="53" t="s">
        <v>39</v>
      </c>
      <c r="B494" s="49">
        <v>492</v>
      </c>
      <c r="C494" s="50"/>
      <c r="D494" s="50"/>
      <c r="E494" s="51"/>
      <c r="F494" s="50" t="s">
        <v>40</v>
      </c>
      <c r="G494" s="50" t="s">
        <v>1380</v>
      </c>
      <c r="H494" s="50" t="s">
        <v>1379</v>
      </c>
      <c r="I494" s="50"/>
      <c r="J494" s="50"/>
      <c r="K494" s="50"/>
      <c r="L494" s="50"/>
      <c r="M494" s="50"/>
      <c r="N494" s="54" t="s">
        <v>43</v>
      </c>
      <c r="O494" s="49">
        <v>1</v>
      </c>
      <c r="P494" s="43">
        <v>7.46</v>
      </c>
      <c r="Q494" s="49">
        <v>1</v>
      </c>
      <c r="R494" s="44">
        <f>P494/O494</f>
        <v>7.46</v>
      </c>
      <c r="S494" s="49">
        <f>Q494*O494</f>
        <v>1</v>
      </c>
      <c r="T494" s="52">
        <f>S494*R494</f>
        <v>7.46</v>
      </c>
      <c r="U494" s="50"/>
      <c r="V494" s="50"/>
      <c r="W494" s="50"/>
      <c r="X494" s="69"/>
      <c r="Y494" s="69"/>
      <c r="Z494" s="69"/>
      <c r="AA494" s="50"/>
      <c r="AB494" s="50"/>
      <c r="AC494" s="50"/>
      <c r="AD494" s="50"/>
      <c r="AE494" s="50"/>
      <c r="AF494" s="50"/>
      <c r="AG494" s="50"/>
      <c r="AH494" s="50"/>
      <c r="AI494" s="50" t="s">
        <v>652</v>
      </c>
      <c r="AJ494" s="50"/>
      <c r="AK494" s="50"/>
      <c r="AL494" s="44"/>
      <c r="AM494" s="45"/>
      <c r="AN494" s="50"/>
      <c r="AO494" s="69"/>
      <c r="AP494" s="69"/>
      <c r="AQ494" s="69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5"/>
      <c r="BD494" s="56"/>
      <c r="BE494" s="61"/>
      <c r="BF494" s="65"/>
      <c r="BG494" s="66"/>
      <c r="BH494" s="66"/>
      <c r="BI494" s="60"/>
      <c r="BJ494" s="60"/>
      <c r="BK494" s="60"/>
      <c r="BL494" s="60"/>
      <c r="BM494" s="60"/>
      <c r="BN494" s="60"/>
      <c r="BO494" s="60"/>
      <c r="BP494" s="60"/>
      <c r="BQ494" s="60" t="str">
        <f>IF(BS494="Original",AI494,AZ494)</f>
        <v>Low Threshold Spend</v>
      </c>
      <c r="BR494" s="60"/>
      <c r="BS494" s="60" t="str">
        <f>IF(AQ494="","Original",IF(AP494&lt;Y494,"Alternate","Original"))</f>
        <v>Original</v>
      </c>
    </row>
    <row r="495" spans="1:71" s="31" customFormat="1" x14ac:dyDescent="0.35">
      <c r="A495" s="53" t="s">
        <v>39</v>
      </c>
      <c r="B495" s="49">
        <v>493</v>
      </c>
      <c r="C495" s="50"/>
      <c r="D495" s="50"/>
      <c r="E495" s="51"/>
      <c r="F495" s="50" t="s">
        <v>49</v>
      </c>
      <c r="G495" s="50" t="s">
        <v>1381</v>
      </c>
      <c r="H495" s="50" t="s">
        <v>1340</v>
      </c>
      <c r="I495" s="50"/>
      <c r="J495" s="50"/>
      <c r="K495" s="50"/>
      <c r="L495" s="50"/>
      <c r="M495" s="50"/>
      <c r="N495" s="54" t="s">
        <v>43</v>
      </c>
      <c r="O495" s="49">
        <v>1</v>
      </c>
      <c r="P495" s="43">
        <v>7.22</v>
      </c>
      <c r="Q495" s="49">
        <v>1</v>
      </c>
      <c r="R495" s="44">
        <f>P495/O495</f>
        <v>7.22</v>
      </c>
      <c r="S495" s="49">
        <f>Q495*O495</f>
        <v>1</v>
      </c>
      <c r="T495" s="52">
        <f>S495*R495</f>
        <v>7.22</v>
      </c>
      <c r="U495" s="50"/>
      <c r="V495" s="50"/>
      <c r="W495" s="50"/>
      <c r="X495" s="69"/>
      <c r="Y495" s="69"/>
      <c r="Z495" s="69"/>
      <c r="AA495" s="50"/>
      <c r="AB495" s="50"/>
      <c r="AC495" s="50"/>
      <c r="AD495" s="50"/>
      <c r="AE495" s="50"/>
      <c r="AF495" s="50"/>
      <c r="AG495" s="50"/>
      <c r="AH495" s="50"/>
      <c r="AI495" s="50" t="s">
        <v>652</v>
      </c>
      <c r="AJ495" s="50"/>
      <c r="AK495" s="50"/>
      <c r="AL495" s="44"/>
      <c r="AM495" s="45"/>
      <c r="AN495" s="50"/>
      <c r="AO495" s="69"/>
      <c r="AP495" s="69"/>
      <c r="AQ495" s="69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5"/>
      <c r="BD495" s="56"/>
      <c r="BE495" s="61"/>
      <c r="BF495" s="65"/>
      <c r="BG495" s="66"/>
      <c r="BH495" s="66"/>
      <c r="BI495" s="60"/>
      <c r="BJ495" s="60"/>
      <c r="BK495" s="60"/>
      <c r="BL495" s="60"/>
      <c r="BM495" s="60"/>
      <c r="BN495" s="60"/>
      <c r="BO495" s="60"/>
      <c r="BP495" s="60"/>
      <c r="BQ495" s="60" t="str">
        <f>IF(BS495="Original",AI495,AZ495)</f>
        <v>Low Threshold Spend</v>
      </c>
      <c r="BR495" s="60"/>
      <c r="BS495" s="60" t="str">
        <f>IF(AQ495="","Original",IF(AP495&lt;Y495,"Alternate","Original"))</f>
        <v>Original</v>
      </c>
    </row>
    <row r="496" spans="1:71" s="31" customFormat="1" x14ac:dyDescent="0.35">
      <c r="A496" s="53" t="s">
        <v>39</v>
      </c>
      <c r="B496" s="49">
        <v>494</v>
      </c>
      <c r="C496" s="50"/>
      <c r="D496" s="50"/>
      <c r="E496" s="51"/>
      <c r="F496" s="50" t="s">
        <v>60</v>
      </c>
      <c r="G496" s="50" t="s">
        <v>1382</v>
      </c>
      <c r="H496" s="50" t="s">
        <v>1383</v>
      </c>
      <c r="I496" s="50"/>
      <c r="J496" s="50"/>
      <c r="K496" s="50"/>
      <c r="L496" s="50"/>
      <c r="M496" s="50"/>
      <c r="N496" s="54" t="s">
        <v>43</v>
      </c>
      <c r="O496" s="49">
        <v>1</v>
      </c>
      <c r="P496" s="43">
        <v>7.04</v>
      </c>
      <c r="Q496" s="49">
        <v>1</v>
      </c>
      <c r="R496" s="44">
        <f>P496/O496</f>
        <v>7.04</v>
      </c>
      <c r="S496" s="49">
        <f>Q496*O496</f>
        <v>1</v>
      </c>
      <c r="T496" s="52">
        <f>S496*R496</f>
        <v>7.04</v>
      </c>
      <c r="U496" s="50"/>
      <c r="V496" s="50"/>
      <c r="W496" s="50"/>
      <c r="X496" s="69"/>
      <c r="Y496" s="69"/>
      <c r="Z496" s="69"/>
      <c r="AA496" s="50"/>
      <c r="AB496" s="50"/>
      <c r="AC496" s="50"/>
      <c r="AD496" s="50"/>
      <c r="AE496" s="50"/>
      <c r="AF496" s="50"/>
      <c r="AG496" s="50"/>
      <c r="AH496" s="50"/>
      <c r="AI496" s="50" t="s">
        <v>652</v>
      </c>
      <c r="AJ496" s="50"/>
      <c r="AK496" s="50"/>
      <c r="AL496" s="44"/>
      <c r="AM496" s="45"/>
      <c r="AN496" s="50"/>
      <c r="AO496" s="69"/>
      <c r="AP496" s="69"/>
      <c r="AQ496" s="69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5"/>
      <c r="BD496" s="56"/>
      <c r="BE496" s="61"/>
      <c r="BF496" s="65"/>
      <c r="BG496" s="66"/>
      <c r="BH496" s="66"/>
      <c r="BI496" s="60"/>
      <c r="BJ496" s="60"/>
      <c r="BK496" s="60"/>
      <c r="BL496" s="60"/>
      <c r="BM496" s="60"/>
      <c r="BN496" s="60"/>
      <c r="BO496" s="60"/>
      <c r="BP496" s="60"/>
      <c r="BQ496" s="60" t="str">
        <f>IF(BS496="Original",AI496,AZ496)</f>
        <v>Low Threshold Spend</v>
      </c>
      <c r="BR496" s="60"/>
      <c r="BS496" s="60" t="str">
        <f>IF(AQ496="","Original",IF(AP496&lt;Y496,"Alternate","Original"))</f>
        <v>Original</v>
      </c>
    </row>
    <row r="497" spans="1:71" s="31" customFormat="1" x14ac:dyDescent="0.35">
      <c r="A497" s="53" t="s">
        <v>39</v>
      </c>
      <c r="B497" s="49">
        <v>495</v>
      </c>
      <c r="C497" s="50"/>
      <c r="D497" s="50"/>
      <c r="E497" s="51"/>
      <c r="F497" s="50" t="s">
        <v>40</v>
      </c>
      <c r="G497" s="50" t="s">
        <v>1384</v>
      </c>
      <c r="H497" s="50" t="s">
        <v>1385</v>
      </c>
      <c r="I497" s="50"/>
      <c r="J497" s="50"/>
      <c r="K497" s="50"/>
      <c r="L497" s="50"/>
      <c r="M497" s="50"/>
      <c r="N497" s="54" t="s">
        <v>43</v>
      </c>
      <c r="O497" s="49">
        <v>1</v>
      </c>
      <c r="P497" s="43">
        <v>7.01</v>
      </c>
      <c r="Q497" s="49">
        <v>1</v>
      </c>
      <c r="R497" s="44">
        <f>P497/O497</f>
        <v>7.01</v>
      </c>
      <c r="S497" s="49">
        <f>Q497*O497</f>
        <v>1</v>
      </c>
      <c r="T497" s="52">
        <f>S497*R497</f>
        <v>7.01</v>
      </c>
      <c r="U497" s="50"/>
      <c r="V497" s="50"/>
      <c r="W497" s="50"/>
      <c r="X497" s="69"/>
      <c r="Y497" s="69"/>
      <c r="Z497" s="69"/>
      <c r="AA497" s="50"/>
      <c r="AB497" s="50"/>
      <c r="AC497" s="50"/>
      <c r="AD497" s="50"/>
      <c r="AE497" s="50"/>
      <c r="AF497" s="50"/>
      <c r="AG497" s="50"/>
      <c r="AH497" s="50"/>
      <c r="AI497" s="50" t="s">
        <v>652</v>
      </c>
      <c r="AJ497" s="50"/>
      <c r="AK497" s="50"/>
      <c r="AL497" s="44"/>
      <c r="AM497" s="45"/>
      <c r="AN497" s="50"/>
      <c r="AO497" s="69"/>
      <c r="AP497" s="69"/>
      <c r="AQ497" s="69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5"/>
      <c r="BD497" s="56"/>
      <c r="BE497" s="61"/>
      <c r="BF497" s="65"/>
      <c r="BG497" s="66"/>
      <c r="BH497" s="66"/>
      <c r="BI497" s="60"/>
      <c r="BJ497" s="60"/>
      <c r="BK497" s="60"/>
      <c r="BL497" s="60"/>
      <c r="BM497" s="60"/>
      <c r="BN497" s="60"/>
      <c r="BO497" s="60"/>
      <c r="BP497" s="60"/>
      <c r="BQ497" s="60" t="str">
        <f>IF(BS497="Original",AI497,AZ497)</f>
        <v>Low Threshold Spend</v>
      </c>
      <c r="BR497" s="60"/>
      <c r="BS497" s="60" t="str">
        <f>IF(AQ497="","Original",IF(AP497&lt;Y497,"Alternate","Original"))</f>
        <v>Original</v>
      </c>
    </row>
    <row r="498" spans="1:71" s="31" customFormat="1" x14ac:dyDescent="0.35">
      <c r="A498" s="53" t="s">
        <v>39</v>
      </c>
      <c r="B498" s="49">
        <v>496</v>
      </c>
      <c r="C498" s="50"/>
      <c r="D498" s="50"/>
      <c r="E498" s="51"/>
      <c r="F498" s="50" t="s">
        <v>60</v>
      </c>
      <c r="G498" s="50" t="s">
        <v>1386</v>
      </c>
      <c r="H498" s="50" t="s">
        <v>1387</v>
      </c>
      <c r="I498" s="50"/>
      <c r="J498" s="50"/>
      <c r="K498" s="50"/>
      <c r="L498" s="50"/>
      <c r="M498" s="50"/>
      <c r="N498" s="54" t="s">
        <v>43</v>
      </c>
      <c r="O498" s="49">
        <v>1</v>
      </c>
      <c r="P498" s="43">
        <v>6.93</v>
      </c>
      <c r="Q498" s="49">
        <v>1</v>
      </c>
      <c r="R498" s="44">
        <f>P498/O498</f>
        <v>6.93</v>
      </c>
      <c r="S498" s="49">
        <f>Q498*O498</f>
        <v>1</v>
      </c>
      <c r="T498" s="52">
        <f>S498*R498</f>
        <v>6.93</v>
      </c>
      <c r="U498" s="50"/>
      <c r="V498" s="50"/>
      <c r="W498" s="50"/>
      <c r="X498" s="69"/>
      <c r="Y498" s="69"/>
      <c r="Z498" s="69"/>
      <c r="AA498" s="50"/>
      <c r="AB498" s="50"/>
      <c r="AC498" s="50"/>
      <c r="AD498" s="50"/>
      <c r="AE498" s="50"/>
      <c r="AF498" s="50"/>
      <c r="AG498" s="50"/>
      <c r="AH498" s="50"/>
      <c r="AI498" s="50" t="s">
        <v>652</v>
      </c>
      <c r="AJ498" s="50"/>
      <c r="AK498" s="50"/>
      <c r="AL498" s="44"/>
      <c r="AM498" s="45"/>
      <c r="AN498" s="50"/>
      <c r="AO498" s="69"/>
      <c r="AP498" s="69"/>
      <c r="AQ498" s="69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5"/>
      <c r="BD498" s="56"/>
      <c r="BE498" s="61"/>
      <c r="BF498" s="65"/>
      <c r="BG498" s="66"/>
      <c r="BH498" s="66"/>
      <c r="BI498" s="60"/>
      <c r="BJ498" s="60"/>
      <c r="BK498" s="60"/>
      <c r="BL498" s="60"/>
      <c r="BM498" s="60"/>
      <c r="BN498" s="60"/>
      <c r="BO498" s="60"/>
      <c r="BP498" s="60"/>
      <c r="BQ498" s="60" t="str">
        <f>IF(BS498="Original",AI498,AZ498)</f>
        <v>Low Threshold Spend</v>
      </c>
      <c r="BR498" s="60"/>
      <c r="BS498" s="60" t="str">
        <f>IF(AQ498="","Original",IF(AP498&lt;Y498,"Alternate","Original"))</f>
        <v>Original</v>
      </c>
    </row>
    <row r="499" spans="1:71" s="31" customFormat="1" x14ac:dyDescent="0.35">
      <c r="A499" s="53" t="s">
        <v>39</v>
      </c>
      <c r="B499" s="49">
        <v>497</v>
      </c>
      <c r="C499" s="50"/>
      <c r="D499" s="50"/>
      <c r="E499" s="51"/>
      <c r="F499" s="50" t="s">
        <v>40</v>
      </c>
      <c r="G499" s="50" t="s">
        <v>1388</v>
      </c>
      <c r="H499" s="50" t="s">
        <v>1389</v>
      </c>
      <c r="I499" s="50"/>
      <c r="J499" s="50"/>
      <c r="K499" s="50"/>
      <c r="L499" s="50"/>
      <c r="M499" s="50"/>
      <c r="N499" s="54" t="s">
        <v>43</v>
      </c>
      <c r="O499" s="49">
        <v>1</v>
      </c>
      <c r="P499" s="43">
        <v>6.87</v>
      </c>
      <c r="Q499" s="49">
        <v>1</v>
      </c>
      <c r="R499" s="44">
        <f>P499/O499</f>
        <v>6.87</v>
      </c>
      <c r="S499" s="49">
        <f>Q499*O499</f>
        <v>1</v>
      </c>
      <c r="T499" s="52">
        <f>S499*R499</f>
        <v>6.87</v>
      </c>
      <c r="U499" s="50"/>
      <c r="V499" s="50"/>
      <c r="W499" s="50"/>
      <c r="X499" s="69"/>
      <c r="Y499" s="69"/>
      <c r="Z499" s="69"/>
      <c r="AA499" s="50"/>
      <c r="AB499" s="50"/>
      <c r="AC499" s="50"/>
      <c r="AD499" s="50"/>
      <c r="AE499" s="50"/>
      <c r="AF499" s="50"/>
      <c r="AG499" s="50"/>
      <c r="AH499" s="50"/>
      <c r="AI499" s="50" t="s">
        <v>652</v>
      </c>
      <c r="AJ499" s="50"/>
      <c r="AK499" s="50"/>
      <c r="AL499" s="44"/>
      <c r="AM499" s="45"/>
      <c r="AN499" s="50"/>
      <c r="AO499" s="69"/>
      <c r="AP499" s="69"/>
      <c r="AQ499" s="69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5"/>
      <c r="BD499" s="56"/>
      <c r="BE499" s="61"/>
      <c r="BF499" s="65"/>
      <c r="BG499" s="66"/>
      <c r="BH499" s="66"/>
      <c r="BI499" s="60"/>
      <c r="BJ499" s="60"/>
      <c r="BK499" s="60"/>
      <c r="BL499" s="60"/>
      <c r="BM499" s="60"/>
      <c r="BN499" s="60"/>
      <c r="BO499" s="60"/>
      <c r="BP499" s="60"/>
      <c r="BQ499" s="60" t="str">
        <f>IF(BS499="Original",AI499,AZ499)</f>
        <v>Low Threshold Spend</v>
      </c>
      <c r="BR499" s="60"/>
      <c r="BS499" s="60" t="str">
        <f>IF(AQ499="","Original",IF(AP499&lt;Y499,"Alternate","Original"))</f>
        <v>Original</v>
      </c>
    </row>
    <row r="500" spans="1:71" s="31" customFormat="1" x14ac:dyDescent="0.35">
      <c r="A500" s="53" t="s">
        <v>39</v>
      </c>
      <c r="B500" s="49">
        <v>498</v>
      </c>
      <c r="C500" s="50"/>
      <c r="D500" s="50"/>
      <c r="E500" s="51"/>
      <c r="F500" s="50" t="s">
        <v>40</v>
      </c>
      <c r="G500" s="50" t="s">
        <v>1390</v>
      </c>
      <c r="H500" s="50" t="s">
        <v>1391</v>
      </c>
      <c r="I500" s="50"/>
      <c r="J500" s="50"/>
      <c r="K500" s="50"/>
      <c r="L500" s="50"/>
      <c r="M500" s="50"/>
      <c r="N500" s="54" t="s">
        <v>43</v>
      </c>
      <c r="O500" s="49">
        <v>1</v>
      </c>
      <c r="P500" s="43">
        <v>6.73</v>
      </c>
      <c r="Q500" s="49">
        <v>1</v>
      </c>
      <c r="R500" s="44">
        <f>P500/O500</f>
        <v>6.73</v>
      </c>
      <c r="S500" s="49">
        <f>Q500*O500</f>
        <v>1</v>
      </c>
      <c r="T500" s="52">
        <f>S500*R500</f>
        <v>6.73</v>
      </c>
      <c r="U500" s="50"/>
      <c r="V500" s="50"/>
      <c r="W500" s="50"/>
      <c r="X500" s="69"/>
      <c r="Y500" s="69"/>
      <c r="Z500" s="69"/>
      <c r="AA500" s="50"/>
      <c r="AB500" s="50"/>
      <c r="AC500" s="50"/>
      <c r="AD500" s="50"/>
      <c r="AE500" s="50"/>
      <c r="AF500" s="50"/>
      <c r="AG500" s="50"/>
      <c r="AH500" s="50"/>
      <c r="AI500" s="50" t="s">
        <v>652</v>
      </c>
      <c r="AJ500" s="50"/>
      <c r="AK500" s="50"/>
      <c r="AL500" s="44"/>
      <c r="AM500" s="45"/>
      <c r="AN500" s="50"/>
      <c r="AO500" s="69"/>
      <c r="AP500" s="69"/>
      <c r="AQ500" s="69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5"/>
      <c r="BD500" s="56"/>
      <c r="BE500" s="61"/>
      <c r="BF500" s="65"/>
      <c r="BG500" s="66"/>
      <c r="BH500" s="66"/>
      <c r="BI500" s="60"/>
      <c r="BJ500" s="60"/>
      <c r="BK500" s="60"/>
      <c r="BL500" s="60"/>
      <c r="BM500" s="60"/>
      <c r="BN500" s="60"/>
      <c r="BO500" s="60"/>
      <c r="BP500" s="60"/>
      <c r="BQ500" s="60" t="str">
        <f>IF(BS500="Original",AI500,AZ500)</f>
        <v>Low Threshold Spend</v>
      </c>
      <c r="BR500" s="60"/>
      <c r="BS500" s="60" t="str">
        <f>IF(AQ500="","Original",IF(AP500&lt;Y500,"Alternate","Original"))</f>
        <v>Original</v>
      </c>
    </row>
    <row r="501" spans="1:71" s="31" customFormat="1" x14ac:dyDescent="0.35">
      <c r="A501" s="53" t="s">
        <v>39</v>
      </c>
      <c r="B501" s="49">
        <v>499</v>
      </c>
      <c r="C501" s="50"/>
      <c r="D501" s="50"/>
      <c r="E501" s="51"/>
      <c r="F501" s="50" t="s">
        <v>60</v>
      </c>
      <c r="G501" s="50" t="s">
        <v>1392</v>
      </c>
      <c r="H501" s="50" t="s">
        <v>1393</v>
      </c>
      <c r="I501" s="50"/>
      <c r="J501" s="50"/>
      <c r="K501" s="50"/>
      <c r="L501" s="50"/>
      <c r="M501" s="50"/>
      <c r="N501" s="54" t="s">
        <v>43</v>
      </c>
      <c r="O501" s="49">
        <v>1</v>
      </c>
      <c r="P501" s="43">
        <v>6.71</v>
      </c>
      <c r="Q501" s="49">
        <v>1</v>
      </c>
      <c r="R501" s="44">
        <f>P501/O501</f>
        <v>6.71</v>
      </c>
      <c r="S501" s="49">
        <f>Q501*O501</f>
        <v>1</v>
      </c>
      <c r="T501" s="52">
        <f>S501*R501</f>
        <v>6.71</v>
      </c>
      <c r="U501" s="50"/>
      <c r="V501" s="50"/>
      <c r="W501" s="50"/>
      <c r="X501" s="69"/>
      <c r="Y501" s="69"/>
      <c r="Z501" s="69"/>
      <c r="AA501" s="50"/>
      <c r="AB501" s="50"/>
      <c r="AC501" s="50"/>
      <c r="AD501" s="50"/>
      <c r="AE501" s="50"/>
      <c r="AF501" s="50"/>
      <c r="AG501" s="50"/>
      <c r="AH501" s="50"/>
      <c r="AI501" s="50" t="s">
        <v>652</v>
      </c>
      <c r="AJ501" s="50"/>
      <c r="AK501" s="50"/>
      <c r="AL501" s="44"/>
      <c r="AM501" s="45"/>
      <c r="AN501" s="50"/>
      <c r="AO501" s="69"/>
      <c r="AP501" s="69"/>
      <c r="AQ501" s="69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5"/>
      <c r="BD501" s="56"/>
      <c r="BE501" s="61"/>
      <c r="BF501" s="65"/>
      <c r="BG501" s="66"/>
      <c r="BH501" s="66"/>
      <c r="BI501" s="60"/>
      <c r="BJ501" s="60"/>
      <c r="BK501" s="60"/>
      <c r="BL501" s="60"/>
      <c r="BM501" s="60"/>
      <c r="BN501" s="60"/>
      <c r="BO501" s="60"/>
      <c r="BP501" s="60"/>
      <c r="BQ501" s="60" t="str">
        <f>IF(BS501="Original",AI501,AZ501)</f>
        <v>Low Threshold Spend</v>
      </c>
      <c r="BR501" s="60"/>
      <c r="BS501" s="60" t="str">
        <f>IF(AQ501="","Original",IF(AP501&lt;Y501,"Alternate","Original"))</f>
        <v>Original</v>
      </c>
    </row>
    <row r="502" spans="1:71" s="31" customFormat="1" x14ac:dyDescent="0.35">
      <c r="A502" s="53" t="s">
        <v>39</v>
      </c>
      <c r="B502" s="49">
        <v>500</v>
      </c>
      <c r="C502" s="50"/>
      <c r="D502" s="50"/>
      <c r="E502" s="51"/>
      <c r="F502" s="50" t="s">
        <v>40</v>
      </c>
      <c r="G502" s="50" t="s">
        <v>1394</v>
      </c>
      <c r="H502" s="50" t="s">
        <v>1395</v>
      </c>
      <c r="I502" s="50"/>
      <c r="J502" s="50"/>
      <c r="K502" s="50"/>
      <c r="L502" s="50"/>
      <c r="M502" s="50"/>
      <c r="N502" s="54" t="s">
        <v>43</v>
      </c>
      <c r="O502" s="49">
        <v>1</v>
      </c>
      <c r="P502" s="43">
        <v>6.69</v>
      </c>
      <c r="Q502" s="49">
        <v>1</v>
      </c>
      <c r="R502" s="44">
        <f>P502/O502</f>
        <v>6.69</v>
      </c>
      <c r="S502" s="49">
        <f>Q502*O502</f>
        <v>1</v>
      </c>
      <c r="T502" s="52">
        <f>S502*R502</f>
        <v>6.69</v>
      </c>
      <c r="U502" s="50"/>
      <c r="V502" s="50"/>
      <c r="W502" s="50"/>
      <c r="X502" s="69"/>
      <c r="Y502" s="69"/>
      <c r="Z502" s="69"/>
      <c r="AA502" s="50"/>
      <c r="AB502" s="50"/>
      <c r="AC502" s="50"/>
      <c r="AD502" s="50"/>
      <c r="AE502" s="50"/>
      <c r="AF502" s="50"/>
      <c r="AG502" s="50"/>
      <c r="AH502" s="50"/>
      <c r="AI502" s="50" t="s">
        <v>652</v>
      </c>
      <c r="AJ502" s="50"/>
      <c r="AK502" s="50"/>
      <c r="AL502" s="44"/>
      <c r="AM502" s="45"/>
      <c r="AN502" s="50"/>
      <c r="AO502" s="69"/>
      <c r="AP502" s="69"/>
      <c r="AQ502" s="69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5"/>
      <c r="BD502" s="56"/>
      <c r="BE502" s="61"/>
      <c r="BF502" s="65"/>
      <c r="BG502" s="66"/>
      <c r="BH502" s="66"/>
      <c r="BI502" s="60"/>
      <c r="BJ502" s="60"/>
      <c r="BK502" s="60"/>
      <c r="BL502" s="60"/>
      <c r="BM502" s="60"/>
      <c r="BN502" s="60"/>
      <c r="BO502" s="60"/>
      <c r="BP502" s="60"/>
      <c r="BQ502" s="60" t="str">
        <f>IF(BS502="Original",AI502,AZ502)</f>
        <v>Low Threshold Spend</v>
      </c>
      <c r="BR502" s="60"/>
      <c r="BS502" s="60" t="str">
        <f>IF(AQ502="","Original",IF(AP502&lt;Y502,"Alternate","Original"))</f>
        <v>Original</v>
      </c>
    </row>
    <row r="503" spans="1:71" s="31" customFormat="1" x14ac:dyDescent="0.35">
      <c r="A503" s="53" t="s">
        <v>39</v>
      </c>
      <c r="B503" s="49">
        <v>501</v>
      </c>
      <c r="C503" s="50"/>
      <c r="D503" s="50"/>
      <c r="E503" s="51"/>
      <c r="F503" s="50" t="s">
        <v>40</v>
      </c>
      <c r="G503" s="50" t="s">
        <v>1396</v>
      </c>
      <c r="H503" s="50" t="s">
        <v>1397</v>
      </c>
      <c r="I503" s="50"/>
      <c r="J503" s="50"/>
      <c r="K503" s="50"/>
      <c r="L503" s="50"/>
      <c r="M503" s="50"/>
      <c r="N503" s="54" t="s">
        <v>43</v>
      </c>
      <c r="O503" s="49">
        <v>1</v>
      </c>
      <c r="P503" s="43">
        <v>6.63</v>
      </c>
      <c r="Q503" s="49">
        <v>1</v>
      </c>
      <c r="R503" s="44">
        <f>P503/O503</f>
        <v>6.63</v>
      </c>
      <c r="S503" s="49">
        <f>Q503*O503</f>
        <v>1</v>
      </c>
      <c r="T503" s="52">
        <f>S503*R503</f>
        <v>6.63</v>
      </c>
      <c r="U503" s="50"/>
      <c r="V503" s="50"/>
      <c r="W503" s="50"/>
      <c r="X503" s="69"/>
      <c r="Y503" s="69"/>
      <c r="Z503" s="69"/>
      <c r="AA503" s="50"/>
      <c r="AB503" s="50"/>
      <c r="AC503" s="50"/>
      <c r="AD503" s="50"/>
      <c r="AE503" s="50"/>
      <c r="AF503" s="50"/>
      <c r="AG503" s="50"/>
      <c r="AH503" s="50"/>
      <c r="AI503" s="50" t="s">
        <v>652</v>
      </c>
      <c r="AJ503" s="50"/>
      <c r="AK503" s="50"/>
      <c r="AL503" s="44"/>
      <c r="AM503" s="45"/>
      <c r="AN503" s="50"/>
      <c r="AO503" s="69"/>
      <c r="AP503" s="69"/>
      <c r="AQ503" s="69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5"/>
      <c r="BD503" s="56"/>
      <c r="BE503" s="61"/>
      <c r="BF503" s="65"/>
      <c r="BG503" s="66"/>
      <c r="BH503" s="66"/>
      <c r="BI503" s="60"/>
      <c r="BJ503" s="60"/>
      <c r="BK503" s="60"/>
      <c r="BL503" s="60"/>
      <c r="BM503" s="60"/>
      <c r="BN503" s="60"/>
      <c r="BO503" s="60"/>
      <c r="BP503" s="60"/>
      <c r="BQ503" s="60" t="str">
        <f>IF(BS503="Original",AI503,AZ503)</f>
        <v>Low Threshold Spend</v>
      </c>
      <c r="BR503" s="60"/>
      <c r="BS503" s="60" t="str">
        <f>IF(AQ503="","Original",IF(AP503&lt;Y503,"Alternate","Original"))</f>
        <v>Original</v>
      </c>
    </row>
    <row r="504" spans="1:71" s="31" customFormat="1" x14ac:dyDescent="0.35">
      <c r="A504" s="53" t="s">
        <v>39</v>
      </c>
      <c r="B504" s="49">
        <v>502</v>
      </c>
      <c r="C504" s="50"/>
      <c r="D504" s="50"/>
      <c r="E504" s="51"/>
      <c r="F504" s="50" t="s">
        <v>40</v>
      </c>
      <c r="G504" s="50" t="s">
        <v>1398</v>
      </c>
      <c r="H504" s="50" t="s">
        <v>1399</v>
      </c>
      <c r="I504" s="50"/>
      <c r="J504" s="50"/>
      <c r="K504" s="50"/>
      <c r="L504" s="50"/>
      <c r="M504" s="50"/>
      <c r="N504" s="54" t="s">
        <v>43</v>
      </c>
      <c r="O504" s="49">
        <v>1</v>
      </c>
      <c r="P504" s="43">
        <v>6.49</v>
      </c>
      <c r="Q504" s="49">
        <v>1</v>
      </c>
      <c r="R504" s="44">
        <f>P504/O504</f>
        <v>6.49</v>
      </c>
      <c r="S504" s="49">
        <f>Q504*O504</f>
        <v>1</v>
      </c>
      <c r="T504" s="52">
        <f>S504*R504</f>
        <v>6.49</v>
      </c>
      <c r="U504" s="50"/>
      <c r="V504" s="50"/>
      <c r="W504" s="50"/>
      <c r="X504" s="69"/>
      <c r="Y504" s="69"/>
      <c r="Z504" s="69"/>
      <c r="AA504" s="50"/>
      <c r="AB504" s="50"/>
      <c r="AC504" s="50"/>
      <c r="AD504" s="50"/>
      <c r="AE504" s="50"/>
      <c r="AF504" s="50"/>
      <c r="AG504" s="50"/>
      <c r="AH504" s="50"/>
      <c r="AI504" s="50" t="s">
        <v>652</v>
      </c>
      <c r="AJ504" s="50"/>
      <c r="AK504" s="50"/>
      <c r="AL504" s="44"/>
      <c r="AM504" s="45"/>
      <c r="AN504" s="50"/>
      <c r="AO504" s="69"/>
      <c r="AP504" s="69"/>
      <c r="AQ504" s="69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5"/>
      <c r="BD504" s="56"/>
      <c r="BE504" s="61"/>
      <c r="BF504" s="65"/>
      <c r="BG504" s="66"/>
      <c r="BH504" s="66"/>
      <c r="BI504" s="60"/>
      <c r="BJ504" s="60"/>
      <c r="BK504" s="60"/>
      <c r="BL504" s="60"/>
      <c r="BM504" s="60"/>
      <c r="BN504" s="60"/>
      <c r="BO504" s="60"/>
      <c r="BP504" s="60"/>
      <c r="BQ504" s="60" t="str">
        <f>IF(BS504="Original",AI504,AZ504)</f>
        <v>Low Threshold Spend</v>
      </c>
      <c r="BR504" s="60"/>
      <c r="BS504" s="60" t="str">
        <f>IF(AQ504="","Original",IF(AP504&lt;Y504,"Alternate","Original"))</f>
        <v>Original</v>
      </c>
    </row>
    <row r="505" spans="1:71" s="31" customFormat="1" x14ac:dyDescent="0.35">
      <c r="A505" s="53" t="s">
        <v>39</v>
      </c>
      <c r="B505" s="49">
        <v>503</v>
      </c>
      <c r="C505" s="50"/>
      <c r="D505" s="50"/>
      <c r="E505" s="51"/>
      <c r="F505" s="50" t="s">
        <v>60</v>
      </c>
      <c r="G505" s="50" t="s">
        <v>1400</v>
      </c>
      <c r="H505" s="50" t="s">
        <v>1401</v>
      </c>
      <c r="I505" s="50"/>
      <c r="J505" s="50"/>
      <c r="K505" s="50"/>
      <c r="L505" s="50"/>
      <c r="M505" s="50"/>
      <c r="N505" s="54" t="s">
        <v>43</v>
      </c>
      <c r="O505" s="49">
        <v>1</v>
      </c>
      <c r="P505" s="43">
        <v>6.18</v>
      </c>
      <c r="Q505" s="49">
        <v>1</v>
      </c>
      <c r="R505" s="44">
        <f>P505/O505</f>
        <v>6.18</v>
      </c>
      <c r="S505" s="49">
        <f>Q505*O505</f>
        <v>1</v>
      </c>
      <c r="T505" s="52">
        <f>S505*R505</f>
        <v>6.18</v>
      </c>
      <c r="U505" s="50"/>
      <c r="V505" s="50"/>
      <c r="W505" s="50"/>
      <c r="X505" s="69"/>
      <c r="Y505" s="69"/>
      <c r="Z505" s="69"/>
      <c r="AA505" s="50"/>
      <c r="AB505" s="50"/>
      <c r="AC505" s="50"/>
      <c r="AD505" s="50"/>
      <c r="AE505" s="50"/>
      <c r="AF505" s="50"/>
      <c r="AG505" s="50"/>
      <c r="AH505" s="50"/>
      <c r="AI505" s="50" t="s">
        <v>652</v>
      </c>
      <c r="AJ505" s="50"/>
      <c r="AK505" s="50"/>
      <c r="AL505" s="44"/>
      <c r="AM505" s="45"/>
      <c r="AN505" s="50"/>
      <c r="AO505" s="69"/>
      <c r="AP505" s="69"/>
      <c r="AQ505" s="69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5"/>
      <c r="BD505" s="56"/>
      <c r="BE505" s="61"/>
      <c r="BF505" s="65"/>
      <c r="BG505" s="66"/>
      <c r="BH505" s="66"/>
      <c r="BI505" s="60"/>
      <c r="BJ505" s="60"/>
      <c r="BK505" s="60"/>
      <c r="BL505" s="60"/>
      <c r="BM505" s="60"/>
      <c r="BN505" s="60"/>
      <c r="BO505" s="60"/>
      <c r="BP505" s="60"/>
      <c r="BQ505" s="60" t="str">
        <f>IF(BS505="Original",AI505,AZ505)</f>
        <v>Low Threshold Spend</v>
      </c>
      <c r="BR505" s="60"/>
      <c r="BS505" s="60" t="str">
        <f>IF(AQ505="","Original",IF(AP505&lt;Y505,"Alternate","Original"))</f>
        <v>Original</v>
      </c>
    </row>
    <row r="506" spans="1:71" s="31" customFormat="1" x14ac:dyDescent="0.35">
      <c r="A506" s="53" t="s">
        <v>39</v>
      </c>
      <c r="B506" s="49">
        <v>504</v>
      </c>
      <c r="C506" s="50"/>
      <c r="D506" s="50"/>
      <c r="E506" s="51"/>
      <c r="F506" s="50" t="s">
        <v>40</v>
      </c>
      <c r="G506" s="50" t="s">
        <v>1402</v>
      </c>
      <c r="H506" s="50" t="s">
        <v>1403</v>
      </c>
      <c r="I506" s="50"/>
      <c r="J506" s="50"/>
      <c r="K506" s="50"/>
      <c r="L506" s="50"/>
      <c r="M506" s="50"/>
      <c r="N506" s="54" t="s">
        <v>43</v>
      </c>
      <c r="O506" s="49">
        <v>1</v>
      </c>
      <c r="P506" s="43">
        <v>6.15</v>
      </c>
      <c r="Q506" s="49">
        <v>1</v>
      </c>
      <c r="R506" s="44">
        <f>P506/O506</f>
        <v>6.15</v>
      </c>
      <c r="S506" s="49">
        <f>Q506*O506</f>
        <v>1</v>
      </c>
      <c r="T506" s="52">
        <f>S506*R506</f>
        <v>6.15</v>
      </c>
      <c r="U506" s="50"/>
      <c r="V506" s="50"/>
      <c r="W506" s="50"/>
      <c r="X506" s="69"/>
      <c r="Y506" s="69"/>
      <c r="Z506" s="69"/>
      <c r="AA506" s="50"/>
      <c r="AB506" s="50"/>
      <c r="AC506" s="50"/>
      <c r="AD506" s="50"/>
      <c r="AE506" s="50"/>
      <c r="AF506" s="50"/>
      <c r="AG506" s="50"/>
      <c r="AH506" s="50"/>
      <c r="AI506" s="50" t="s">
        <v>652</v>
      </c>
      <c r="AJ506" s="50"/>
      <c r="AK506" s="50"/>
      <c r="AL506" s="44"/>
      <c r="AM506" s="45"/>
      <c r="AN506" s="50"/>
      <c r="AO506" s="69"/>
      <c r="AP506" s="69"/>
      <c r="AQ506" s="69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5"/>
      <c r="BD506" s="56"/>
      <c r="BE506" s="61"/>
      <c r="BF506" s="65"/>
      <c r="BG506" s="66"/>
      <c r="BH506" s="66"/>
      <c r="BI506" s="60"/>
      <c r="BJ506" s="60"/>
      <c r="BK506" s="60"/>
      <c r="BL506" s="60"/>
      <c r="BM506" s="60"/>
      <c r="BN506" s="60"/>
      <c r="BO506" s="60"/>
      <c r="BP506" s="60"/>
      <c r="BQ506" s="60" t="str">
        <f>IF(BS506="Original",AI506,AZ506)</f>
        <v>Low Threshold Spend</v>
      </c>
      <c r="BR506" s="60"/>
      <c r="BS506" s="60" t="str">
        <f>IF(AQ506="","Original",IF(AP506&lt;Y506,"Alternate","Original"))</f>
        <v>Original</v>
      </c>
    </row>
    <row r="507" spans="1:71" s="31" customFormat="1" x14ac:dyDescent="0.35">
      <c r="A507" s="53" t="s">
        <v>39</v>
      </c>
      <c r="B507" s="49">
        <v>505</v>
      </c>
      <c r="C507" s="50"/>
      <c r="D507" s="50"/>
      <c r="E507" s="51"/>
      <c r="F507" s="50" t="s">
        <v>40</v>
      </c>
      <c r="G507" s="50" t="s">
        <v>1404</v>
      </c>
      <c r="H507" s="50" t="s">
        <v>1405</v>
      </c>
      <c r="I507" s="50"/>
      <c r="J507" s="50"/>
      <c r="K507" s="50"/>
      <c r="L507" s="50"/>
      <c r="M507" s="50"/>
      <c r="N507" s="54" t="s">
        <v>43</v>
      </c>
      <c r="O507" s="49">
        <v>1</v>
      </c>
      <c r="P507" s="43">
        <v>6.12</v>
      </c>
      <c r="Q507" s="49">
        <v>1</v>
      </c>
      <c r="R507" s="44">
        <f>P507/O507</f>
        <v>6.12</v>
      </c>
      <c r="S507" s="49">
        <f>Q507*O507</f>
        <v>1</v>
      </c>
      <c r="T507" s="52">
        <f>S507*R507</f>
        <v>6.12</v>
      </c>
      <c r="U507" s="50"/>
      <c r="V507" s="50"/>
      <c r="W507" s="50"/>
      <c r="X507" s="69"/>
      <c r="Y507" s="69"/>
      <c r="Z507" s="69"/>
      <c r="AA507" s="50"/>
      <c r="AB507" s="50"/>
      <c r="AC507" s="50"/>
      <c r="AD507" s="50"/>
      <c r="AE507" s="50"/>
      <c r="AF507" s="50"/>
      <c r="AG507" s="50"/>
      <c r="AH507" s="50"/>
      <c r="AI507" s="50" t="s">
        <v>652</v>
      </c>
      <c r="AJ507" s="50"/>
      <c r="AK507" s="50"/>
      <c r="AL507" s="44"/>
      <c r="AM507" s="45"/>
      <c r="AN507" s="50"/>
      <c r="AO507" s="69"/>
      <c r="AP507" s="69"/>
      <c r="AQ507" s="69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5"/>
      <c r="BD507" s="56"/>
      <c r="BE507" s="61"/>
      <c r="BF507" s="65"/>
      <c r="BG507" s="66"/>
      <c r="BH507" s="66"/>
      <c r="BI507" s="60"/>
      <c r="BJ507" s="60"/>
      <c r="BK507" s="60"/>
      <c r="BL507" s="60"/>
      <c r="BM507" s="60"/>
      <c r="BN507" s="60"/>
      <c r="BO507" s="60"/>
      <c r="BP507" s="60"/>
      <c r="BQ507" s="60" t="str">
        <f>IF(BS507="Original",AI507,AZ507)</f>
        <v>Low Threshold Spend</v>
      </c>
      <c r="BR507" s="60"/>
      <c r="BS507" s="60" t="str">
        <f>IF(AQ507="","Original",IF(AP507&lt;Y507,"Alternate","Original"))</f>
        <v>Original</v>
      </c>
    </row>
    <row r="508" spans="1:71" s="31" customFormat="1" x14ac:dyDescent="0.35">
      <c r="A508" s="53" t="s">
        <v>39</v>
      </c>
      <c r="B508" s="49">
        <v>506</v>
      </c>
      <c r="C508" s="50"/>
      <c r="D508" s="50"/>
      <c r="E508" s="51"/>
      <c r="F508" s="50" t="s">
        <v>40</v>
      </c>
      <c r="G508" s="50" t="s">
        <v>1406</v>
      </c>
      <c r="H508" s="50" t="s">
        <v>1407</v>
      </c>
      <c r="I508" s="50"/>
      <c r="J508" s="50"/>
      <c r="K508" s="50"/>
      <c r="L508" s="50"/>
      <c r="M508" s="50"/>
      <c r="N508" s="54" t="s">
        <v>43</v>
      </c>
      <c r="O508" s="49">
        <v>1</v>
      </c>
      <c r="P508" s="43">
        <v>5.99</v>
      </c>
      <c r="Q508" s="49">
        <v>1</v>
      </c>
      <c r="R508" s="44">
        <f>P508/O508</f>
        <v>5.99</v>
      </c>
      <c r="S508" s="49">
        <f>Q508*O508</f>
        <v>1</v>
      </c>
      <c r="T508" s="52">
        <f>S508*R508</f>
        <v>5.99</v>
      </c>
      <c r="U508" s="50"/>
      <c r="V508" s="50"/>
      <c r="W508" s="50"/>
      <c r="X508" s="69"/>
      <c r="Y508" s="69"/>
      <c r="Z508" s="69"/>
      <c r="AA508" s="50"/>
      <c r="AB508" s="50"/>
      <c r="AC508" s="50"/>
      <c r="AD508" s="50"/>
      <c r="AE508" s="50"/>
      <c r="AF508" s="50"/>
      <c r="AG508" s="50"/>
      <c r="AH508" s="50"/>
      <c r="AI508" s="50" t="s">
        <v>652</v>
      </c>
      <c r="AJ508" s="50"/>
      <c r="AK508" s="50"/>
      <c r="AL508" s="44"/>
      <c r="AM508" s="45"/>
      <c r="AN508" s="50"/>
      <c r="AO508" s="69"/>
      <c r="AP508" s="69"/>
      <c r="AQ508" s="69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5"/>
      <c r="BD508" s="56"/>
      <c r="BE508" s="61"/>
      <c r="BF508" s="65"/>
      <c r="BG508" s="66"/>
      <c r="BH508" s="66"/>
      <c r="BI508" s="60"/>
      <c r="BJ508" s="60"/>
      <c r="BK508" s="60"/>
      <c r="BL508" s="60"/>
      <c r="BM508" s="60"/>
      <c r="BN508" s="60"/>
      <c r="BO508" s="60"/>
      <c r="BP508" s="60"/>
      <c r="BQ508" s="60" t="str">
        <f>IF(BS508="Original",AI508,AZ508)</f>
        <v>Low Threshold Spend</v>
      </c>
      <c r="BR508" s="60"/>
      <c r="BS508" s="60" t="str">
        <f>IF(AQ508="","Original",IF(AP508&lt;Y508,"Alternate","Original"))</f>
        <v>Original</v>
      </c>
    </row>
    <row r="509" spans="1:71" s="31" customFormat="1" x14ac:dyDescent="0.35">
      <c r="A509" s="53" t="s">
        <v>39</v>
      </c>
      <c r="B509" s="49">
        <v>507</v>
      </c>
      <c r="C509" s="50"/>
      <c r="D509" s="50"/>
      <c r="E509" s="51"/>
      <c r="F509" s="50" t="s">
        <v>60</v>
      </c>
      <c r="G509" s="50" t="s">
        <v>1408</v>
      </c>
      <c r="H509" s="50" t="s">
        <v>1409</v>
      </c>
      <c r="I509" s="50"/>
      <c r="J509" s="50"/>
      <c r="K509" s="50"/>
      <c r="L509" s="50"/>
      <c r="M509" s="50"/>
      <c r="N509" s="54" t="s">
        <v>43</v>
      </c>
      <c r="O509" s="49">
        <v>1</v>
      </c>
      <c r="P509" s="43">
        <v>5.57</v>
      </c>
      <c r="Q509" s="49">
        <v>1</v>
      </c>
      <c r="R509" s="44">
        <f>P509/O509</f>
        <v>5.57</v>
      </c>
      <c r="S509" s="49">
        <f>Q509*O509</f>
        <v>1</v>
      </c>
      <c r="T509" s="52">
        <f>S509*R509</f>
        <v>5.57</v>
      </c>
      <c r="U509" s="50"/>
      <c r="V509" s="50"/>
      <c r="W509" s="50"/>
      <c r="X509" s="69"/>
      <c r="Y509" s="69"/>
      <c r="Z509" s="69"/>
      <c r="AA509" s="50"/>
      <c r="AB509" s="50"/>
      <c r="AC509" s="50"/>
      <c r="AD509" s="50"/>
      <c r="AE509" s="50"/>
      <c r="AF509" s="50"/>
      <c r="AG509" s="50"/>
      <c r="AH509" s="50"/>
      <c r="AI509" s="50" t="s">
        <v>652</v>
      </c>
      <c r="AJ509" s="50"/>
      <c r="AK509" s="50"/>
      <c r="AL509" s="44"/>
      <c r="AM509" s="45"/>
      <c r="AN509" s="50"/>
      <c r="AO509" s="69"/>
      <c r="AP509" s="69"/>
      <c r="AQ509" s="69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5"/>
      <c r="BD509" s="56"/>
      <c r="BE509" s="61"/>
      <c r="BF509" s="65"/>
      <c r="BG509" s="66"/>
      <c r="BH509" s="66"/>
      <c r="BI509" s="60"/>
      <c r="BJ509" s="60"/>
      <c r="BK509" s="60"/>
      <c r="BL509" s="60"/>
      <c r="BM509" s="60"/>
      <c r="BN509" s="60"/>
      <c r="BO509" s="60"/>
      <c r="BP509" s="60"/>
      <c r="BQ509" s="60" t="str">
        <f>IF(BS509="Original",AI509,AZ509)</f>
        <v>Low Threshold Spend</v>
      </c>
      <c r="BR509" s="60"/>
      <c r="BS509" s="60" t="str">
        <f>IF(AQ509="","Original",IF(AP509&lt;Y509,"Alternate","Original"))</f>
        <v>Original</v>
      </c>
    </row>
    <row r="510" spans="1:71" s="31" customFormat="1" x14ac:dyDescent="0.35">
      <c r="A510" s="53" t="s">
        <v>39</v>
      </c>
      <c r="B510" s="49">
        <v>508</v>
      </c>
      <c r="C510" s="50"/>
      <c r="D510" s="50"/>
      <c r="E510" s="51"/>
      <c r="F510" s="50" t="s">
        <v>60</v>
      </c>
      <c r="G510" s="50" t="s">
        <v>1410</v>
      </c>
      <c r="H510" s="50" t="s">
        <v>1411</v>
      </c>
      <c r="I510" s="50"/>
      <c r="J510" s="50"/>
      <c r="K510" s="50"/>
      <c r="L510" s="50"/>
      <c r="M510" s="50"/>
      <c r="N510" s="54" t="s">
        <v>43</v>
      </c>
      <c r="O510" s="49">
        <v>1</v>
      </c>
      <c r="P510" s="43">
        <v>5.52</v>
      </c>
      <c r="Q510" s="49">
        <v>1</v>
      </c>
      <c r="R510" s="44">
        <f>P510/O510</f>
        <v>5.52</v>
      </c>
      <c r="S510" s="49">
        <f>Q510*O510</f>
        <v>1</v>
      </c>
      <c r="T510" s="52">
        <f>S510*R510</f>
        <v>5.52</v>
      </c>
      <c r="U510" s="50"/>
      <c r="V510" s="50"/>
      <c r="W510" s="50"/>
      <c r="X510" s="69"/>
      <c r="Y510" s="69"/>
      <c r="Z510" s="69"/>
      <c r="AA510" s="50"/>
      <c r="AB510" s="50"/>
      <c r="AC510" s="50"/>
      <c r="AD510" s="50"/>
      <c r="AE510" s="50"/>
      <c r="AF510" s="50"/>
      <c r="AG510" s="50"/>
      <c r="AH510" s="50"/>
      <c r="AI510" s="50" t="s">
        <v>652</v>
      </c>
      <c r="AJ510" s="50"/>
      <c r="AK510" s="50"/>
      <c r="AL510" s="44"/>
      <c r="AM510" s="45"/>
      <c r="AN510" s="50"/>
      <c r="AO510" s="69"/>
      <c r="AP510" s="69"/>
      <c r="AQ510" s="69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5"/>
      <c r="BD510" s="56"/>
      <c r="BE510" s="61"/>
      <c r="BF510" s="65"/>
      <c r="BG510" s="66"/>
      <c r="BH510" s="66"/>
      <c r="BI510" s="60"/>
      <c r="BJ510" s="60"/>
      <c r="BK510" s="60"/>
      <c r="BL510" s="60"/>
      <c r="BM510" s="60"/>
      <c r="BN510" s="60"/>
      <c r="BO510" s="60"/>
      <c r="BP510" s="60"/>
      <c r="BQ510" s="60" t="str">
        <f>IF(BS510="Original",AI510,AZ510)</f>
        <v>Low Threshold Spend</v>
      </c>
      <c r="BR510" s="60"/>
      <c r="BS510" s="60" t="str">
        <f>IF(AQ510="","Original",IF(AP510&lt;Y510,"Alternate","Original"))</f>
        <v>Original</v>
      </c>
    </row>
    <row r="511" spans="1:71" s="31" customFormat="1" x14ac:dyDescent="0.35">
      <c r="A511" s="53" t="s">
        <v>39</v>
      </c>
      <c r="B511" s="49">
        <v>509</v>
      </c>
      <c r="C511" s="50"/>
      <c r="D511" s="50"/>
      <c r="E511" s="51"/>
      <c r="F511" s="50" t="s">
        <v>49</v>
      </c>
      <c r="G511" s="50" t="s">
        <v>1412</v>
      </c>
      <c r="H511" s="50" t="s">
        <v>1413</v>
      </c>
      <c r="I511" s="50"/>
      <c r="J511" s="50"/>
      <c r="K511" s="50"/>
      <c r="L511" s="50"/>
      <c r="M511" s="50"/>
      <c r="N511" s="54" t="s">
        <v>43</v>
      </c>
      <c r="O511" s="49">
        <v>1</v>
      </c>
      <c r="P511" s="43">
        <v>5.3</v>
      </c>
      <c r="Q511" s="49">
        <v>1</v>
      </c>
      <c r="R511" s="44">
        <f>P511/O511</f>
        <v>5.3</v>
      </c>
      <c r="S511" s="49">
        <f>Q511*O511</f>
        <v>1</v>
      </c>
      <c r="T511" s="52">
        <f>S511*R511</f>
        <v>5.3</v>
      </c>
      <c r="U511" s="50"/>
      <c r="V511" s="50"/>
      <c r="W511" s="50"/>
      <c r="X511" s="69"/>
      <c r="Y511" s="69"/>
      <c r="Z511" s="69"/>
      <c r="AA511" s="50"/>
      <c r="AB511" s="50"/>
      <c r="AC511" s="50"/>
      <c r="AD511" s="50"/>
      <c r="AE511" s="50"/>
      <c r="AF511" s="50"/>
      <c r="AG511" s="50"/>
      <c r="AH511" s="50"/>
      <c r="AI511" s="50" t="s">
        <v>652</v>
      </c>
      <c r="AJ511" s="50"/>
      <c r="AK511" s="50"/>
      <c r="AL511" s="44"/>
      <c r="AM511" s="45"/>
      <c r="AN511" s="50"/>
      <c r="AO511" s="69"/>
      <c r="AP511" s="69"/>
      <c r="AQ511" s="69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5"/>
      <c r="BD511" s="56"/>
      <c r="BE511" s="61"/>
      <c r="BF511" s="65"/>
      <c r="BG511" s="66"/>
      <c r="BH511" s="66"/>
      <c r="BI511" s="60"/>
      <c r="BJ511" s="60"/>
      <c r="BK511" s="60"/>
      <c r="BL511" s="60"/>
      <c r="BM511" s="60"/>
      <c r="BN511" s="60"/>
      <c r="BO511" s="60"/>
      <c r="BP511" s="60"/>
      <c r="BQ511" s="60" t="str">
        <f>IF(BS511="Original",AI511,AZ511)</f>
        <v>Low Threshold Spend</v>
      </c>
      <c r="BR511" s="60"/>
      <c r="BS511" s="60" t="str">
        <f>IF(AQ511="","Original",IF(AP511&lt;Y511,"Alternate","Original"))</f>
        <v>Original</v>
      </c>
    </row>
    <row r="512" spans="1:71" s="31" customFormat="1" x14ac:dyDescent="0.35">
      <c r="A512" s="53" t="s">
        <v>39</v>
      </c>
      <c r="B512" s="49">
        <v>510</v>
      </c>
      <c r="C512" s="50"/>
      <c r="D512" s="50"/>
      <c r="E512" s="51"/>
      <c r="F512" s="50" t="s">
        <v>49</v>
      </c>
      <c r="G512" s="50" t="s">
        <v>1414</v>
      </c>
      <c r="H512" s="50" t="s">
        <v>1415</v>
      </c>
      <c r="I512" s="50"/>
      <c r="J512" s="50"/>
      <c r="K512" s="50"/>
      <c r="L512" s="50"/>
      <c r="M512" s="50"/>
      <c r="N512" s="54" t="s">
        <v>43</v>
      </c>
      <c r="O512" s="49">
        <v>1</v>
      </c>
      <c r="P512" s="43">
        <v>5.3</v>
      </c>
      <c r="Q512" s="49">
        <v>1</v>
      </c>
      <c r="R512" s="44">
        <f>P512/O512</f>
        <v>5.3</v>
      </c>
      <c r="S512" s="49">
        <f>Q512*O512</f>
        <v>1</v>
      </c>
      <c r="T512" s="52">
        <f>S512*R512</f>
        <v>5.3</v>
      </c>
      <c r="U512" s="50"/>
      <c r="V512" s="50"/>
      <c r="W512" s="50"/>
      <c r="X512" s="69"/>
      <c r="Y512" s="69"/>
      <c r="Z512" s="69"/>
      <c r="AA512" s="50"/>
      <c r="AB512" s="50"/>
      <c r="AC512" s="50"/>
      <c r="AD512" s="50"/>
      <c r="AE512" s="50"/>
      <c r="AF512" s="50"/>
      <c r="AG512" s="50"/>
      <c r="AH512" s="50"/>
      <c r="AI512" s="50" t="s">
        <v>652</v>
      </c>
      <c r="AJ512" s="50"/>
      <c r="AK512" s="50"/>
      <c r="AL512" s="44"/>
      <c r="AM512" s="45"/>
      <c r="AN512" s="50"/>
      <c r="AO512" s="69"/>
      <c r="AP512" s="69"/>
      <c r="AQ512" s="69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5"/>
      <c r="BD512" s="56"/>
      <c r="BE512" s="61"/>
      <c r="BF512" s="65"/>
      <c r="BG512" s="66"/>
      <c r="BH512" s="66"/>
      <c r="BI512" s="60"/>
      <c r="BJ512" s="60"/>
      <c r="BK512" s="60"/>
      <c r="BL512" s="60"/>
      <c r="BM512" s="60"/>
      <c r="BN512" s="60"/>
      <c r="BO512" s="60"/>
      <c r="BP512" s="60"/>
      <c r="BQ512" s="60" t="str">
        <f>IF(BS512="Original",AI512,AZ512)</f>
        <v>Low Threshold Spend</v>
      </c>
      <c r="BR512" s="60"/>
      <c r="BS512" s="60" t="str">
        <f>IF(AQ512="","Original",IF(AP512&lt;Y512,"Alternate","Original"))</f>
        <v>Original</v>
      </c>
    </row>
    <row r="513" spans="1:71" s="31" customFormat="1" x14ac:dyDescent="0.35">
      <c r="A513" s="53" t="s">
        <v>39</v>
      </c>
      <c r="B513" s="49">
        <v>511</v>
      </c>
      <c r="C513" s="50"/>
      <c r="D513" s="50"/>
      <c r="E513" s="51"/>
      <c r="F513" s="50" t="s">
        <v>60</v>
      </c>
      <c r="G513" s="50" t="s">
        <v>1416</v>
      </c>
      <c r="H513" s="50" t="s">
        <v>1417</v>
      </c>
      <c r="I513" s="50"/>
      <c r="J513" s="50"/>
      <c r="K513" s="50"/>
      <c r="L513" s="50"/>
      <c r="M513" s="50"/>
      <c r="N513" s="54" t="s">
        <v>43</v>
      </c>
      <c r="O513" s="49">
        <v>1</v>
      </c>
      <c r="P513" s="43">
        <v>5.22</v>
      </c>
      <c r="Q513" s="49">
        <v>1</v>
      </c>
      <c r="R513" s="44">
        <f>P513/O513</f>
        <v>5.22</v>
      </c>
      <c r="S513" s="49">
        <f>Q513*O513</f>
        <v>1</v>
      </c>
      <c r="T513" s="52">
        <f>S513*R513</f>
        <v>5.22</v>
      </c>
      <c r="U513" s="50"/>
      <c r="V513" s="50"/>
      <c r="W513" s="50"/>
      <c r="X513" s="69"/>
      <c r="Y513" s="69"/>
      <c r="Z513" s="69"/>
      <c r="AA513" s="50"/>
      <c r="AB513" s="50"/>
      <c r="AC513" s="50"/>
      <c r="AD513" s="50"/>
      <c r="AE513" s="50"/>
      <c r="AF513" s="50"/>
      <c r="AG513" s="50"/>
      <c r="AH513" s="50"/>
      <c r="AI513" s="50" t="s">
        <v>652</v>
      </c>
      <c r="AJ513" s="50"/>
      <c r="AK513" s="50"/>
      <c r="AL513" s="44"/>
      <c r="AM513" s="45"/>
      <c r="AN513" s="50"/>
      <c r="AO513" s="69"/>
      <c r="AP513" s="69"/>
      <c r="AQ513" s="69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5"/>
      <c r="BD513" s="56"/>
      <c r="BE513" s="61"/>
      <c r="BF513" s="65"/>
      <c r="BG513" s="66"/>
      <c r="BH513" s="66"/>
      <c r="BI513" s="60"/>
      <c r="BJ513" s="60"/>
      <c r="BK513" s="60"/>
      <c r="BL513" s="60"/>
      <c r="BM513" s="60"/>
      <c r="BN513" s="60"/>
      <c r="BO513" s="60"/>
      <c r="BP513" s="60"/>
      <c r="BQ513" s="60" t="str">
        <f>IF(BS513="Original",AI513,AZ513)</f>
        <v>Low Threshold Spend</v>
      </c>
      <c r="BR513" s="60"/>
      <c r="BS513" s="60" t="str">
        <f>IF(AQ513="","Original",IF(AP513&lt;Y513,"Alternate","Original"))</f>
        <v>Original</v>
      </c>
    </row>
    <row r="514" spans="1:71" s="31" customFormat="1" x14ac:dyDescent="0.35">
      <c r="A514" s="53" t="s">
        <v>39</v>
      </c>
      <c r="B514" s="49">
        <v>512</v>
      </c>
      <c r="C514" s="50"/>
      <c r="D514" s="50"/>
      <c r="E514" s="51"/>
      <c r="F514" s="50" t="s">
        <v>40</v>
      </c>
      <c r="G514" s="50" t="s">
        <v>1418</v>
      </c>
      <c r="H514" s="50" t="s">
        <v>1419</v>
      </c>
      <c r="I514" s="50"/>
      <c r="J514" s="50"/>
      <c r="K514" s="50"/>
      <c r="L514" s="50"/>
      <c r="M514" s="50"/>
      <c r="N514" s="54" t="s">
        <v>43</v>
      </c>
      <c r="O514" s="49">
        <v>1</v>
      </c>
      <c r="P514" s="43">
        <v>4.95</v>
      </c>
      <c r="Q514" s="49">
        <v>1</v>
      </c>
      <c r="R514" s="44">
        <f>P514/O514</f>
        <v>4.95</v>
      </c>
      <c r="S514" s="49">
        <f>Q514*O514</f>
        <v>1</v>
      </c>
      <c r="T514" s="52">
        <f>S514*R514</f>
        <v>4.95</v>
      </c>
      <c r="U514" s="50"/>
      <c r="V514" s="50"/>
      <c r="W514" s="50"/>
      <c r="X514" s="69"/>
      <c r="Y514" s="69"/>
      <c r="Z514" s="69"/>
      <c r="AA514" s="50"/>
      <c r="AB514" s="50"/>
      <c r="AC514" s="50"/>
      <c r="AD514" s="50"/>
      <c r="AE514" s="50"/>
      <c r="AF514" s="50"/>
      <c r="AG514" s="50"/>
      <c r="AH514" s="50"/>
      <c r="AI514" s="50" t="s">
        <v>652</v>
      </c>
      <c r="AJ514" s="50"/>
      <c r="AK514" s="50"/>
      <c r="AL514" s="44"/>
      <c r="AM514" s="45"/>
      <c r="AN514" s="50"/>
      <c r="AO514" s="69"/>
      <c r="AP514" s="69"/>
      <c r="AQ514" s="69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5"/>
      <c r="BD514" s="56"/>
      <c r="BE514" s="61"/>
      <c r="BF514" s="65"/>
      <c r="BG514" s="66"/>
      <c r="BH514" s="66"/>
      <c r="BI514" s="60"/>
      <c r="BJ514" s="60"/>
      <c r="BK514" s="60"/>
      <c r="BL514" s="60"/>
      <c r="BM514" s="60"/>
      <c r="BN514" s="60"/>
      <c r="BO514" s="60"/>
      <c r="BP514" s="60"/>
      <c r="BQ514" s="60" t="str">
        <f>IF(BS514="Original",AI514,AZ514)</f>
        <v>Low Threshold Spend</v>
      </c>
      <c r="BR514" s="60"/>
      <c r="BS514" s="60" t="str">
        <f>IF(AQ514="","Original",IF(AP514&lt;Y514,"Alternate","Original"))</f>
        <v>Original</v>
      </c>
    </row>
    <row r="515" spans="1:71" s="31" customFormat="1" x14ac:dyDescent="0.35">
      <c r="A515" s="53" t="s">
        <v>39</v>
      </c>
      <c r="B515" s="49">
        <v>513</v>
      </c>
      <c r="C515" s="50"/>
      <c r="D515" s="50"/>
      <c r="E515" s="51"/>
      <c r="F515" s="50" t="s">
        <v>60</v>
      </c>
      <c r="G515" s="50" t="s">
        <v>1420</v>
      </c>
      <c r="H515" s="50" t="s">
        <v>1421</v>
      </c>
      <c r="I515" s="50"/>
      <c r="J515" s="50"/>
      <c r="K515" s="50"/>
      <c r="L515" s="50"/>
      <c r="M515" s="50"/>
      <c r="N515" s="54" t="s">
        <v>43</v>
      </c>
      <c r="O515" s="49">
        <v>1</v>
      </c>
      <c r="P515" s="43">
        <v>4.9000000000000004</v>
      </c>
      <c r="Q515" s="49">
        <v>1</v>
      </c>
      <c r="R515" s="44">
        <f>P515/O515</f>
        <v>4.9000000000000004</v>
      </c>
      <c r="S515" s="49">
        <f>Q515*O515</f>
        <v>1</v>
      </c>
      <c r="T515" s="52">
        <f>S515*R515</f>
        <v>4.9000000000000004</v>
      </c>
      <c r="U515" s="50"/>
      <c r="V515" s="50"/>
      <c r="W515" s="50"/>
      <c r="X515" s="69"/>
      <c r="Y515" s="69"/>
      <c r="Z515" s="69"/>
      <c r="AA515" s="50"/>
      <c r="AB515" s="50"/>
      <c r="AC515" s="50"/>
      <c r="AD515" s="50"/>
      <c r="AE515" s="50"/>
      <c r="AF515" s="50"/>
      <c r="AG515" s="50"/>
      <c r="AH515" s="50"/>
      <c r="AI515" s="50" t="s">
        <v>652</v>
      </c>
      <c r="AJ515" s="50"/>
      <c r="AK515" s="50"/>
      <c r="AL515" s="44"/>
      <c r="AM515" s="45"/>
      <c r="AN515" s="50"/>
      <c r="AO515" s="69"/>
      <c r="AP515" s="69"/>
      <c r="AQ515" s="69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5"/>
      <c r="BD515" s="56"/>
      <c r="BE515" s="61"/>
      <c r="BF515" s="65"/>
      <c r="BG515" s="66"/>
      <c r="BH515" s="66"/>
      <c r="BI515" s="60"/>
      <c r="BJ515" s="60"/>
      <c r="BK515" s="60"/>
      <c r="BL515" s="60"/>
      <c r="BM515" s="60"/>
      <c r="BN515" s="60"/>
      <c r="BO515" s="60"/>
      <c r="BP515" s="60"/>
      <c r="BQ515" s="60" t="str">
        <f>IF(BS515="Original",AI515,AZ515)</f>
        <v>Low Threshold Spend</v>
      </c>
      <c r="BR515" s="60"/>
      <c r="BS515" s="60" t="str">
        <f>IF(AQ515="","Original",IF(AP515&lt;Y515,"Alternate","Original"))</f>
        <v>Original</v>
      </c>
    </row>
    <row r="516" spans="1:71" s="31" customFormat="1" x14ac:dyDescent="0.35">
      <c r="A516" s="53" t="s">
        <v>39</v>
      </c>
      <c r="B516" s="49">
        <v>514</v>
      </c>
      <c r="C516" s="50"/>
      <c r="D516" s="50"/>
      <c r="E516" s="51"/>
      <c r="F516" s="50" t="s">
        <v>40</v>
      </c>
      <c r="G516" s="50" t="s">
        <v>1422</v>
      </c>
      <c r="H516" s="50" t="s">
        <v>1423</v>
      </c>
      <c r="I516" s="50"/>
      <c r="J516" s="50"/>
      <c r="K516" s="50"/>
      <c r="L516" s="50"/>
      <c r="M516" s="50"/>
      <c r="N516" s="54" t="s">
        <v>43</v>
      </c>
      <c r="O516" s="49">
        <v>1</v>
      </c>
      <c r="P516" s="43">
        <v>4.8499999999999996</v>
      </c>
      <c r="Q516" s="49">
        <v>1</v>
      </c>
      <c r="R516" s="44">
        <f>P516/O516</f>
        <v>4.8499999999999996</v>
      </c>
      <c r="S516" s="49">
        <f>Q516*O516</f>
        <v>1</v>
      </c>
      <c r="T516" s="52">
        <f>S516*R516</f>
        <v>4.8499999999999996</v>
      </c>
      <c r="U516" s="50"/>
      <c r="V516" s="50"/>
      <c r="W516" s="50"/>
      <c r="X516" s="69"/>
      <c r="Y516" s="69"/>
      <c r="Z516" s="69"/>
      <c r="AA516" s="50"/>
      <c r="AB516" s="50"/>
      <c r="AC516" s="50"/>
      <c r="AD516" s="50"/>
      <c r="AE516" s="50"/>
      <c r="AF516" s="50"/>
      <c r="AG516" s="50"/>
      <c r="AH516" s="50"/>
      <c r="AI516" s="50" t="s">
        <v>652</v>
      </c>
      <c r="AJ516" s="50"/>
      <c r="AK516" s="50"/>
      <c r="AL516" s="44"/>
      <c r="AM516" s="45"/>
      <c r="AN516" s="50"/>
      <c r="AO516" s="69"/>
      <c r="AP516" s="69"/>
      <c r="AQ516" s="69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5"/>
      <c r="BD516" s="56"/>
      <c r="BE516" s="61"/>
      <c r="BF516" s="65"/>
      <c r="BG516" s="66"/>
      <c r="BH516" s="66"/>
      <c r="BI516" s="60"/>
      <c r="BJ516" s="60"/>
      <c r="BK516" s="60"/>
      <c r="BL516" s="60"/>
      <c r="BM516" s="60"/>
      <c r="BN516" s="60"/>
      <c r="BO516" s="60"/>
      <c r="BP516" s="60"/>
      <c r="BQ516" s="60" t="str">
        <f>IF(BS516="Original",AI516,AZ516)</f>
        <v>Low Threshold Spend</v>
      </c>
      <c r="BR516" s="60"/>
      <c r="BS516" s="60" t="str">
        <f>IF(AQ516="","Original",IF(AP516&lt;Y516,"Alternate","Original"))</f>
        <v>Original</v>
      </c>
    </row>
    <row r="517" spans="1:71" s="31" customFormat="1" x14ac:dyDescent="0.35">
      <c r="A517" s="53" t="s">
        <v>39</v>
      </c>
      <c r="B517" s="49">
        <v>515</v>
      </c>
      <c r="C517" s="50"/>
      <c r="D517" s="50"/>
      <c r="E517" s="51"/>
      <c r="F517" s="50" t="s">
        <v>60</v>
      </c>
      <c r="G517" s="50" t="s">
        <v>1424</v>
      </c>
      <c r="H517" s="50" t="s">
        <v>1425</v>
      </c>
      <c r="I517" s="50"/>
      <c r="J517" s="50"/>
      <c r="K517" s="50"/>
      <c r="L517" s="50"/>
      <c r="M517" s="50"/>
      <c r="N517" s="54" t="s">
        <v>43</v>
      </c>
      <c r="O517" s="49">
        <v>1</v>
      </c>
      <c r="P517" s="43">
        <v>4.6500000000000004</v>
      </c>
      <c r="Q517" s="49">
        <v>1</v>
      </c>
      <c r="R517" s="44">
        <f>P517/O517</f>
        <v>4.6500000000000004</v>
      </c>
      <c r="S517" s="49">
        <f>Q517*O517</f>
        <v>1</v>
      </c>
      <c r="T517" s="52">
        <f>S517*R517</f>
        <v>4.6500000000000004</v>
      </c>
      <c r="U517" s="50"/>
      <c r="V517" s="50"/>
      <c r="W517" s="50"/>
      <c r="X517" s="69"/>
      <c r="Y517" s="69"/>
      <c r="Z517" s="69"/>
      <c r="AA517" s="50"/>
      <c r="AB517" s="50"/>
      <c r="AC517" s="50"/>
      <c r="AD517" s="50"/>
      <c r="AE517" s="50"/>
      <c r="AF517" s="50"/>
      <c r="AG517" s="50"/>
      <c r="AH517" s="50"/>
      <c r="AI517" s="50" t="s">
        <v>652</v>
      </c>
      <c r="AJ517" s="50"/>
      <c r="AK517" s="50"/>
      <c r="AL517" s="44"/>
      <c r="AM517" s="45"/>
      <c r="AN517" s="50"/>
      <c r="AO517" s="69"/>
      <c r="AP517" s="69"/>
      <c r="AQ517" s="69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5"/>
      <c r="BD517" s="56"/>
      <c r="BE517" s="61"/>
      <c r="BF517" s="65"/>
      <c r="BG517" s="66"/>
      <c r="BH517" s="66"/>
      <c r="BI517" s="60"/>
      <c r="BJ517" s="60"/>
      <c r="BK517" s="60"/>
      <c r="BL517" s="60"/>
      <c r="BM517" s="60"/>
      <c r="BN517" s="60"/>
      <c r="BO517" s="60"/>
      <c r="BP517" s="60"/>
      <c r="BQ517" s="60" t="str">
        <f>IF(BS517="Original",AI517,AZ517)</f>
        <v>Low Threshold Spend</v>
      </c>
      <c r="BR517" s="60"/>
      <c r="BS517" s="60" t="str">
        <f>IF(AQ517="","Original",IF(AP517&lt;Y517,"Alternate","Original"))</f>
        <v>Original</v>
      </c>
    </row>
    <row r="518" spans="1:71" s="31" customFormat="1" x14ac:dyDescent="0.35">
      <c r="A518" s="53" t="s">
        <v>39</v>
      </c>
      <c r="B518" s="49">
        <v>516</v>
      </c>
      <c r="C518" s="50"/>
      <c r="D518" s="50"/>
      <c r="E518" s="51"/>
      <c r="F518" s="50" t="s">
        <v>60</v>
      </c>
      <c r="G518" s="50" t="s">
        <v>1426</v>
      </c>
      <c r="H518" s="50" t="s">
        <v>1427</v>
      </c>
      <c r="I518" s="50"/>
      <c r="J518" s="50"/>
      <c r="K518" s="50"/>
      <c r="L518" s="50"/>
      <c r="M518" s="50"/>
      <c r="N518" s="54" t="s">
        <v>43</v>
      </c>
      <c r="O518" s="49">
        <v>1</v>
      </c>
      <c r="P518" s="43">
        <v>4.53</v>
      </c>
      <c r="Q518" s="49">
        <v>1</v>
      </c>
      <c r="R518" s="44">
        <f>P518/O518</f>
        <v>4.53</v>
      </c>
      <c r="S518" s="49">
        <f>Q518*O518</f>
        <v>1</v>
      </c>
      <c r="T518" s="52">
        <f>S518*R518</f>
        <v>4.53</v>
      </c>
      <c r="U518" s="50"/>
      <c r="V518" s="50"/>
      <c r="W518" s="50"/>
      <c r="X518" s="69"/>
      <c r="Y518" s="69"/>
      <c r="Z518" s="69"/>
      <c r="AA518" s="50"/>
      <c r="AB518" s="50"/>
      <c r="AC518" s="50"/>
      <c r="AD518" s="50"/>
      <c r="AE518" s="50"/>
      <c r="AF518" s="50"/>
      <c r="AG518" s="50"/>
      <c r="AH518" s="50"/>
      <c r="AI518" s="50" t="s">
        <v>652</v>
      </c>
      <c r="AJ518" s="50"/>
      <c r="AK518" s="50"/>
      <c r="AL518" s="44"/>
      <c r="AM518" s="45"/>
      <c r="AN518" s="50"/>
      <c r="AO518" s="69"/>
      <c r="AP518" s="69"/>
      <c r="AQ518" s="69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5"/>
      <c r="BD518" s="56"/>
      <c r="BE518" s="61"/>
      <c r="BF518" s="65"/>
      <c r="BG518" s="66"/>
      <c r="BH518" s="66"/>
      <c r="BI518" s="60"/>
      <c r="BJ518" s="60"/>
      <c r="BK518" s="60"/>
      <c r="BL518" s="60"/>
      <c r="BM518" s="60"/>
      <c r="BN518" s="60"/>
      <c r="BO518" s="60"/>
      <c r="BP518" s="60"/>
      <c r="BQ518" s="60" t="str">
        <f>IF(BS518="Original",AI518,AZ518)</f>
        <v>Low Threshold Spend</v>
      </c>
      <c r="BR518" s="60"/>
      <c r="BS518" s="60" t="str">
        <f>IF(AQ518="","Original",IF(AP518&lt;Y518,"Alternate","Original"))</f>
        <v>Original</v>
      </c>
    </row>
    <row r="519" spans="1:71" s="31" customFormat="1" x14ac:dyDescent="0.35">
      <c r="A519" s="53" t="s">
        <v>39</v>
      </c>
      <c r="B519" s="49">
        <v>517</v>
      </c>
      <c r="C519" s="50"/>
      <c r="D519" s="50"/>
      <c r="E519" s="51"/>
      <c r="F519" s="50" t="s">
        <v>60</v>
      </c>
      <c r="G519" s="50" t="s">
        <v>1428</v>
      </c>
      <c r="H519" s="50" t="s">
        <v>1429</v>
      </c>
      <c r="I519" s="50"/>
      <c r="J519" s="50"/>
      <c r="K519" s="50"/>
      <c r="L519" s="50"/>
      <c r="M519" s="50"/>
      <c r="N519" s="54" t="s">
        <v>43</v>
      </c>
      <c r="O519" s="49">
        <v>1</v>
      </c>
      <c r="P519" s="43">
        <v>4.3499999999999996</v>
      </c>
      <c r="Q519" s="49">
        <v>1</v>
      </c>
      <c r="R519" s="44">
        <f>P519/O519</f>
        <v>4.3499999999999996</v>
      </c>
      <c r="S519" s="49">
        <f>Q519*O519</f>
        <v>1</v>
      </c>
      <c r="T519" s="52">
        <f>S519*R519</f>
        <v>4.3499999999999996</v>
      </c>
      <c r="U519" s="50"/>
      <c r="V519" s="50"/>
      <c r="W519" s="50"/>
      <c r="X519" s="69"/>
      <c r="Y519" s="69"/>
      <c r="Z519" s="69"/>
      <c r="AA519" s="50"/>
      <c r="AB519" s="50"/>
      <c r="AC519" s="50"/>
      <c r="AD519" s="50"/>
      <c r="AE519" s="50"/>
      <c r="AF519" s="50"/>
      <c r="AG519" s="50"/>
      <c r="AH519" s="50"/>
      <c r="AI519" s="50" t="s">
        <v>652</v>
      </c>
      <c r="AJ519" s="50"/>
      <c r="AK519" s="50"/>
      <c r="AL519" s="44"/>
      <c r="AM519" s="45"/>
      <c r="AN519" s="50"/>
      <c r="AO519" s="69"/>
      <c r="AP519" s="69"/>
      <c r="AQ519" s="69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5"/>
      <c r="BD519" s="56"/>
      <c r="BE519" s="61"/>
      <c r="BF519" s="65"/>
      <c r="BG519" s="66"/>
      <c r="BH519" s="66"/>
      <c r="BI519" s="60"/>
      <c r="BJ519" s="60"/>
      <c r="BK519" s="60"/>
      <c r="BL519" s="60"/>
      <c r="BM519" s="60"/>
      <c r="BN519" s="60"/>
      <c r="BO519" s="60"/>
      <c r="BP519" s="60"/>
      <c r="BQ519" s="60" t="str">
        <f>IF(BS519="Original",AI519,AZ519)</f>
        <v>Low Threshold Spend</v>
      </c>
      <c r="BR519" s="60"/>
      <c r="BS519" s="60" t="str">
        <f>IF(AQ519="","Original",IF(AP519&lt;Y519,"Alternate","Original"))</f>
        <v>Original</v>
      </c>
    </row>
    <row r="520" spans="1:71" s="31" customFormat="1" x14ac:dyDescent="0.35">
      <c r="A520" s="53" t="s">
        <v>39</v>
      </c>
      <c r="B520" s="49">
        <v>518</v>
      </c>
      <c r="C520" s="50"/>
      <c r="D520" s="50"/>
      <c r="E520" s="51"/>
      <c r="F520" s="50" t="s">
        <v>60</v>
      </c>
      <c r="G520" s="50" t="s">
        <v>1430</v>
      </c>
      <c r="H520" s="50" t="s">
        <v>1431</v>
      </c>
      <c r="I520" s="50"/>
      <c r="J520" s="50"/>
      <c r="K520" s="50"/>
      <c r="L520" s="50"/>
      <c r="M520" s="50"/>
      <c r="N520" s="54" t="s">
        <v>43</v>
      </c>
      <c r="O520" s="49">
        <v>1</v>
      </c>
      <c r="P520" s="43">
        <v>4.28</v>
      </c>
      <c r="Q520" s="49">
        <v>1</v>
      </c>
      <c r="R520" s="44">
        <f>P520/O520</f>
        <v>4.28</v>
      </c>
      <c r="S520" s="49">
        <f>Q520*O520</f>
        <v>1</v>
      </c>
      <c r="T520" s="52">
        <f>S520*R520</f>
        <v>4.28</v>
      </c>
      <c r="U520" s="50"/>
      <c r="V520" s="50"/>
      <c r="W520" s="50"/>
      <c r="X520" s="69"/>
      <c r="Y520" s="69"/>
      <c r="Z520" s="69"/>
      <c r="AA520" s="50"/>
      <c r="AB520" s="50"/>
      <c r="AC520" s="50"/>
      <c r="AD520" s="50"/>
      <c r="AE520" s="50"/>
      <c r="AF520" s="50"/>
      <c r="AG520" s="50"/>
      <c r="AH520" s="50"/>
      <c r="AI520" s="50" t="s">
        <v>652</v>
      </c>
      <c r="AJ520" s="50"/>
      <c r="AK520" s="50"/>
      <c r="AL520" s="44"/>
      <c r="AM520" s="45"/>
      <c r="AN520" s="50"/>
      <c r="AO520" s="69"/>
      <c r="AP520" s="69"/>
      <c r="AQ520" s="69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5"/>
      <c r="BD520" s="56"/>
      <c r="BE520" s="61"/>
      <c r="BF520" s="65"/>
      <c r="BG520" s="66"/>
      <c r="BH520" s="66"/>
      <c r="BI520" s="60"/>
      <c r="BJ520" s="60"/>
      <c r="BK520" s="60"/>
      <c r="BL520" s="60"/>
      <c r="BM520" s="60"/>
      <c r="BN520" s="60"/>
      <c r="BO520" s="60"/>
      <c r="BP520" s="60"/>
      <c r="BQ520" s="60" t="str">
        <f>IF(BS520="Original",AI520,AZ520)</f>
        <v>Low Threshold Spend</v>
      </c>
      <c r="BR520" s="60"/>
      <c r="BS520" s="60" t="str">
        <f>IF(AQ520="","Original",IF(AP520&lt;Y520,"Alternate","Original"))</f>
        <v>Original</v>
      </c>
    </row>
    <row r="521" spans="1:71" s="31" customFormat="1" x14ac:dyDescent="0.35">
      <c r="A521" s="53" t="s">
        <v>39</v>
      </c>
      <c r="B521" s="49">
        <v>519</v>
      </c>
      <c r="C521" s="50"/>
      <c r="D521" s="50"/>
      <c r="E521" s="51"/>
      <c r="F521" s="50" t="s">
        <v>60</v>
      </c>
      <c r="G521" s="50" t="s">
        <v>1432</v>
      </c>
      <c r="H521" s="50" t="s">
        <v>1433</v>
      </c>
      <c r="I521" s="50"/>
      <c r="J521" s="50"/>
      <c r="K521" s="50"/>
      <c r="L521" s="50"/>
      <c r="M521" s="50"/>
      <c r="N521" s="54" t="s">
        <v>43</v>
      </c>
      <c r="O521" s="49">
        <v>1</v>
      </c>
      <c r="P521" s="43">
        <v>4.03</v>
      </c>
      <c r="Q521" s="49">
        <v>1</v>
      </c>
      <c r="R521" s="44">
        <f>P521/O521</f>
        <v>4.03</v>
      </c>
      <c r="S521" s="49">
        <f>Q521*O521</f>
        <v>1</v>
      </c>
      <c r="T521" s="52">
        <f>S521*R521</f>
        <v>4.03</v>
      </c>
      <c r="U521" s="50"/>
      <c r="V521" s="50"/>
      <c r="W521" s="50"/>
      <c r="X521" s="69"/>
      <c r="Y521" s="69"/>
      <c r="Z521" s="69"/>
      <c r="AA521" s="50"/>
      <c r="AB521" s="50"/>
      <c r="AC521" s="50"/>
      <c r="AD521" s="50"/>
      <c r="AE521" s="50"/>
      <c r="AF521" s="50"/>
      <c r="AG521" s="50"/>
      <c r="AH521" s="50"/>
      <c r="AI521" s="50" t="s">
        <v>652</v>
      </c>
      <c r="AJ521" s="50"/>
      <c r="AK521" s="50"/>
      <c r="AL521" s="44"/>
      <c r="AM521" s="45"/>
      <c r="AN521" s="50"/>
      <c r="AO521" s="69"/>
      <c r="AP521" s="69"/>
      <c r="AQ521" s="69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5"/>
      <c r="BD521" s="56"/>
      <c r="BE521" s="61"/>
      <c r="BF521" s="65"/>
      <c r="BG521" s="66"/>
      <c r="BH521" s="66"/>
      <c r="BI521" s="60"/>
      <c r="BJ521" s="60"/>
      <c r="BK521" s="60"/>
      <c r="BL521" s="60"/>
      <c r="BM521" s="60"/>
      <c r="BN521" s="60"/>
      <c r="BO521" s="60"/>
      <c r="BP521" s="60"/>
      <c r="BQ521" s="60" t="str">
        <f>IF(BS521="Original",AI521,AZ521)</f>
        <v>Low Threshold Spend</v>
      </c>
      <c r="BR521" s="60"/>
      <c r="BS521" s="60" t="str">
        <f>IF(AQ521="","Original",IF(AP521&lt;Y521,"Alternate","Original"))</f>
        <v>Original</v>
      </c>
    </row>
    <row r="522" spans="1:71" s="31" customFormat="1" x14ac:dyDescent="0.35">
      <c r="A522" s="53" t="s">
        <v>39</v>
      </c>
      <c r="B522" s="49">
        <v>520</v>
      </c>
      <c r="C522" s="50"/>
      <c r="D522" s="50"/>
      <c r="E522" s="51"/>
      <c r="F522" s="50" t="s">
        <v>60</v>
      </c>
      <c r="G522" s="50" t="s">
        <v>1434</v>
      </c>
      <c r="H522" s="50" t="s">
        <v>1435</v>
      </c>
      <c r="I522" s="50"/>
      <c r="J522" s="50"/>
      <c r="K522" s="50"/>
      <c r="L522" s="50"/>
      <c r="M522" s="50"/>
      <c r="N522" s="54" t="s">
        <v>43</v>
      </c>
      <c r="O522" s="49">
        <v>1</v>
      </c>
      <c r="P522" s="43">
        <v>3.84</v>
      </c>
      <c r="Q522" s="49">
        <v>1</v>
      </c>
      <c r="R522" s="44">
        <f>P522/O522</f>
        <v>3.84</v>
      </c>
      <c r="S522" s="49">
        <f>Q522*O522</f>
        <v>1</v>
      </c>
      <c r="T522" s="52">
        <f>S522*R522</f>
        <v>3.84</v>
      </c>
      <c r="U522" s="50"/>
      <c r="V522" s="50"/>
      <c r="W522" s="50"/>
      <c r="X522" s="69"/>
      <c r="Y522" s="69"/>
      <c r="Z522" s="69"/>
      <c r="AA522" s="50"/>
      <c r="AB522" s="50"/>
      <c r="AC522" s="50"/>
      <c r="AD522" s="50"/>
      <c r="AE522" s="50"/>
      <c r="AF522" s="50"/>
      <c r="AG522" s="50"/>
      <c r="AH522" s="50"/>
      <c r="AI522" s="50" t="s">
        <v>652</v>
      </c>
      <c r="AJ522" s="50"/>
      <c r="AK522" s="50"/>
      <c r="AL522" s="44"/>
      <c r="AM522" s="45"/>
      <c r="AN522" s="50"/>
      <c r="AO522" s="69"/>
      <c r="AP522" s="69"/>
      <c r="AQ522" s="69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5"/>
      <c r="BD522" s="56"/>
      <c r="BE522" s="61"/>
      <c r="BF522" s="65"/>
      <c r="BG522" s="66"/>
      <c r="BH522" s="66"/>
      <c r="BI522" s="60"/>
      <c r="BJ522" s="60"/>
      <c r="BK522" s="60"/>
      <c r="BL522" s="60"/>
      <c r="BM522" s="60"/>
      <c r="BN522" s="60"/>
      <c r="BO522" s="60"/>
      <c r="BP522" s="60"/>
      <c r="BQ522" s="60" t="str">
        <f>IF(BS522="Original",AI522,AZ522)</f>
        <v>Low Threshold Spend</v>
      </c>
      <c r="BR522" s="60"/>
      <c r="BS522" s="60" t="str">
        <f>IF(AQ522="","Original",IF(AP522&lt;Y522,"Alternate","Original"))</f>
        <v>Original</v>
      </c>
    </row>
    <row r="523" spans="1:71" s="31" customFormat="1" x14ac:dyDescent="0.35">
      <c r="A523" s="53" t="s">
        <v>39</v>
      </c>
      <c r="B523" s="49">
        <v>521</v>
      </c>
      <c r="C523" s="50"/>
      <c r="D523" s="50"/>
      <c r="E523" s="51"/>
      <c r="F523" s="50" t="s">
        <v>60</v>
      </c>
      <c r="G523" s="50" t="s">
        <v>1436</v>
      </c>
      <c r="H523" s="50" t="s">
        <v>1437</v>
      </c>
      <c r="I523" s="50"/>
      <c r="J523" s="50"/>
      <c r="K523" s="50"/>
      <c r="L523" s="50"/>
      <c r="M523" s="50"/>
      <c r="N523" s="54" t="s">
        <v>43</v>
      </c>
      <c r="O523" s="49">
        <v>1</v>
      </c>
      <c r="P523" s="43">
        <v>3.81</v>
      </c>
      <c r="Q523" s="49">
        <v>1</v>
      </c>
      <c r="R523" s="44">
        <f>P523/O523</f>
        <v>3.81</v>
      </c>
      <c r="S523" s="49">
        <f>Q523*O523</f>
        <v>1</v>
      </c>
      <c r="T523" s="52">
        <f>S523*R523</f>
        <v>3.81</v>
      </c>
      <c r="U523" s="50"/>
      <c r="V523" s="50"/>
      <c r="W523" s="50"/>
      <c r="X523" s="69"/>
      <c r="Y523" s="69"/>
      <c r="Z523" s="69"/>
      <c r="AA523" s="50"/>
      <c r="AB523" s="50"/>
      <c r="AC523" s="50"/>
      <c r="AD523" s="50"/>
      <c r="AE523" s="50"/>
      <c r="AF523" s="50"/>
      <c r="AG523" s="50"/>
      <c r="AH523" s="50"/>
      <c r="AI523" s="50" t="s">
        <v>652</v>
      </c>
      <c r="AJ523" s="50"/>
      <c r="AK523" s="50"/>
      <c r="AL523" s="44"/>
      <c r="AM523" s="45"/>
      <c r="AN523" s="50"/>
      <c r="AO523" s="69"/>
      <c r="AP523" s="69"/>
      <c r="AQ523" s="69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5"/>
      <c r="BD523" s="56"/>
      <c r="BE523" s="61"/>
      <c r="BF523" s="65"/>
      <c r="BG523" s="66"/>
      <c r="BH523" s="66"/>
      <c r="BI523" s="60"/>
      <c r="BJ523" s="60"/>
      <c r="BK523" s="60"/>
      <c r="BL523" s="60"/>
      <c r="BM523" s="60"/>
      <c r="BN523" s="60"/>
      <c r="BO523" s="60"/>
      <c r="BP523" s="60"/>
      <c r="BQ523" s="60" t="str">
        <f>IF(BS523="Original",AI523,AZ523)</f>
        <v>Low Threshold Spend</v>
      </c>
      <c r="BR523" s="60"/>
      <c r="BS523" s="60" t="str">
        <f>IF(AQ523="","Original",IF(AP523&lt;Y523,"Alternate","Original"))</f>
        <v>Original</v>
      </c>
    </row>
    <row r="524" spans="1:71" s="31" customFormat="1" x14ac:dyDescent="0.35">
      <c r="A524" s="53" t="s">
        <v>39</v>
      </c>
      <c r="B524" s="49">
        <v>522</v>
      </c>
      <c r="C524" s="50"/>
      <c r="D524" s="50"/>
      <c r="E524" s="51"/>
      <c r="F524" s="50" t="s">
        <v>60</v>
      </c>
      <c r="G524" s="50" t="s">
        <v>1438</v>
      </c>
      <c r="H524" s="50" t="s">
        <v>1439</v>
      </c>
      <c r="I524" s="50"/>
      <c r="J524" s="50"/>
      <c r="K524" s="50"/>
      <c r="L524" s="50"/>
      <c r="M524" s="50"/>
      <c r="N524" s="54" t="s">
        <v>43</v>
      </c>
      <c r="O524" s="49">
        <v>1</v>
      </c>
      <c r="P524" s="43">
        <v>3.75</v>
      </c>
      <c r="Q524" s="49">
        <v>1</v>
      </c>
      <c r="R524" s="44">
        <f>P524/O524</f>
        <v>3.75</v>
      </c>
      <c r="S524" s="49">
        <f>Q524*O524</f>
        <v>1</v>
      </c>
      <c r="T524" s="52">
        <f>S524*R524</f>
        <v>3.75</v>
      </c>
      <c r="U524" s="50"/>
      <c r="V524" s="50"/>
      <c r="W524" s="50"/>
      <c r="X524" s="69"/>
      <c r="Y524" s="69"/>
      <c r="Z524" s="69"/>
      <c r="AA524" s="50"/>
      <c r="AB524" s="50"/>
      <c r="AC524" s="50"/>
      <c r="AD524" s="50"/>
      <c r="AE524" s="50"/>
      <c r="AF524" s="50"/>
      <c r="AG524" s="50"/>
      <c r="AH524" s="50"/>
      <c r="AI524" s="50" t="s">
        <v>652</v>
      </c>
      <c r="AJ524" s="50"/>
      <c r="AK524" s="50"/>
      <c r="AL524" s="44"/>
      <c r="AM524" s="45"/>
      <c r="AN524" s="50"/>
      <c r="AO524" s="69"/>
      <c r="AP524" s="69"/>
      <c r="AQ524" s="69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5"/>
      <c r="BD524" s="56"/>
      <c r="BE524" s="61"/>
      <c r="BF524" s="65"/>
      <c r="BG524" s="66"/>
      <c r="BH524" s="66"/>
      <c r="BI524" s="60"/>
      <c r="BJ524" s="60"/>
      <c r="BK524" s="60"/>
      <c r="BL524" s="60"/>
      <c r="BM524" s="60"/>
      <c r="BN524" s="60"/>
      <c r="BO524" s="60"/>
      <c r="BP524" s="60"/>
      <c r="BQ524" s="60" t="str">
        <f>IF(BS524="Original",AI524,AZ524)</f>
        <v>Low Threshold Spend</v>
      </c>
      <c r="BR524" s="60"/>
      <c r="BS524" s="60" t="str">
        <f>IF(AQ524="","Original",IF(AP524&lt;Y524,"Alternate","Original"))</f>
        <v>Original</v>
      </c>
    </row>
    <row r="525" spans="1:71" s="31" customFormat="1" x14ac:dyDescent="0.35">
      <c r="A525" s="53" t="s">
        <v>39</v>
      </c>
      <c r="B525" s="49">
        <v>523</v>
      </c>
      <c r="C525" s="50"/>
      <c r="D525" s="50"/>
      <c r="E525" s="51"/>
      <c r="F525" s="50" t="s">
        <v>60</v>
      </c>
      <c r="G525" s="50" t="s">
        <v>1440</v>
      </c>
      <c r="H525" s="50" t="s">
        <v>1441</v>
      </c>
      <c r="I525" s="50"/>
      <c r="J525" s="50"/>
      <c r="K525" s="50"/>
      <c r="L525" s="50"/>
      <c r="M525" s="50"/>
      <c r="N525" s="54" t="s">
        <v>43</v>
      </c>
      <c r="O525" s="49">
        <v>1</v>
      </c>
      <c r="P525" s="43">
        <v>3.73</v>
      </c>
      <c r="Q525" s="49">
        <v>1</v>
      </c>
      <c r="R525" s="44">
        <f>P525/O525</f>
        <v>3.73</v>
      </c>
      <c r="S525" s="49">
        <f>Q525*O525</f>
        <v>1</v>
      </c>
      <c r="T525" s="52">
        <f>S525*R525</f>
        <v>3.73</v>
      </c>
      <c r="U525" s="50"/>
      <c r="V525" s="50"/>
      <c r="W525" s="50"/>
      <c r="X525" s="69"/>
      <c r="Y525" s="69"/>
      <c r="Z525" s="69"/>
      <c r="AA525" s="50"/>
      <c r="AB525" s="50"/>
      <c r="AC525" s="50"/>
      <c r="AD525" s="50"/>
      <c r="AE525" s="50"/>
      <c r="AF525" s="50"/>
      <c r="AG525" s="50"/>
      <c r="AH525" s="50"/>
      <c r="AI525" s="50" t="s">
        <v>652</v>
      </c>
      <c r="AJ525" s="50"/>
      <c r="AK525" s="50"/>
      <c r="AL525" s="44"/>
      <c r="AM525" s="45"/>
      <c r="AN525" s="50"/>
      <c r="AO525" s="69"/>
      <c r="AP525" s="69"/>
      <c r="AQ525" s="69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5"/>
      <c r="BD525" s="56"/>
      <c r="BE525" s="61"/>
      <c r="BF525" s="65"/>
      <c r="BG525" s="66"/>
      <c r="BH525" s="66"/>
      <c r="BI525" s="60"/>
      <c r="BJ525" s="60"/>
      <c r="BK525" s="60"/>
      <c r="BL525" s="60"/>
      <c r="BM525" s="60"/>
      <c r="BN525" s="60"/>
      <c r="BO525" s="60"/>
      <c r="BP525" s="60"/>
      <c r="BQ525" s="60" t="str">
        <f>IF(BS525="Original",AI525,AZ525)</f>
        <v>Low Threshold Spend</v>
      </c>
      <c r="BR525" s="60"/>
      <c r="BS525" s="60" t="str">
        <f>IF(AQ525="","Original",IF(AP525&lt;Y525,"Alternate","Original"))</f>
        <v>Original</v>
      </c>
    </row>
    <row r="526" spans="1:71" s="31" customFormat="1" x14ac:dyDescent="0.35">
      <c r="A526" s="53" t="s">
        <v>39</v>
      </c>
      <c r="B526" s="49">
        <v>524</v>
      </c>
      <c r="C526" s="50"/>
      <c r="D526" s="50"/>
      <c r="E526" s="51"/>
      <c r="F526" s="50" t="s">
        <v>40</v>
      </c>
      <c r="G526" s="50" t="s">
        <v>1442</v>
      </c>
      <c r="H526" s="50" t="s">
        <v>1443</v>
      </c>
      <c r="I526" s="50"/>
      <c r="J526" s="50"/>
      <c r="K526" s="50"/>
      <c r="L526" s="50"/>
      <c r="M526" s="50"/>
      <c r="N526" s="54" t="s">
        <v>43</v>
      </c>
      <c r="O526" s="49">
        <v>1</v>
      </c>
      <c r="P526" s="43">
        <v>3.22</v>
      </c>
      <c r="Q526" s="49">
        <v>1</v>
      </c>
      <c r="R526" s="44">
        <f>P526/O526</f>
        <v>3.22</v>
      </c>
      <c r="S526" s="49">
        <f>Q526*O526</f>
        <v>1</v>
      </c>
      <c r="T526" s="52">
        <f>S526*R526</f>
        <v>3.22</v>
      </c>
      <c r="U526" s="50"/>
      <c r="V526" s="50"/>
      <c r="W526" s="50"/>
      <c r="X526" s="69"/>
      <c r="Y526" s="69"/>
      <c r="Z526" s="69"/>
      <c r="AA526" s="50"/>
      <c r="AB526" s="50"/>
      <c r="AC526" s="50"/>
      <c r="AD526" s="50"/>
      <c r="AE526" s="50"/>
      <c r="AF526" s="50"/>
      <c r="AG526" s="50"/>
      <c r="AH526" s="50"/>
      <c r="AI526" s="50" t="s">
        <v>652</v>
      </c>
      <c r="AJ526" s="50"/>
      <c r="AK526" s="50"/>
      <c r="AL526" s="44"/>
      <c r="AM526" s="45"/>
      <c r="AN526" s="50"/>
      <c r="AO526" s="69"/>
      <c r="AP526" s="69"/>
      <c r="AQ526" s="69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5"/>
      <c r="BD526" s="56"/>
      <c r="BE526" s="61"/>
      <c r="BF526" s="65"/>
      <c r="BG526" s="66"/>
      <c r="BH526" s="66"/>
      <c r="BI526" s="60"/>
      <c r="BJ526" s="60"/>
      <c r="BK526" s="60"/>
      <c r="BL526" s="60"/>
      <c r="BM526" s="60"/>
      <c r="BN526" s="60"/>
      <c r="BO526" s="60"/>
      <c r="BP526" s="60"/>
      <c r="BQ526" s="60" t="str">
        <f>IF(BS526="Original",AI526,AZ526)</f>
        <v>Low Threshold Spend</v>
      </c>
      <c r="BR526" s="60"/>
      <c r="BS526" s="60" t="str">
        <f>IF(AQ526="","Original",IF(AP526&lt;Y526,"Alternate","Original"))</f>
        <v>Original</v>
      </c>
    </row>
    <row r="527" spans="1:71" s="31" customFormat="1" x14ac:dyDescent="0.35">
      <c r="A527" s="53" t="s">
        <v>39</v>
      </c>
      <c r="B527" s="49">
        <v>525</v>
      </c>
      <c r="C527" s="50"/>
      <c r="D527" s="50"/>
      <c r="E527" s="51"/>
      <c r="F527" s="50" t="s">
        <v>40</v>
      </c>
      <c r="G527" s="50" t="s">
        <v>1444</v>
      </c>
      <c r="H527" s="50" t="s">
        <v>1445</v>
      </c>
      <c r="I527" s="50"/>
      <c r="J527" s="50"/>
      <c r="K527" s="50"/>
      <c r="L527" s="50"/>
      <c r="M527" s="50"/>
      <c r="N527" s="54" t="s">
        <v>43</v>
      </c>
      <c r="O527" s="49">
        <v>1</v>
      </c>
      <c r="P527" s="43">
        <v>3.13</v>
      </c>
      <c r="Q527" s="49">
        <v>1</v>
      </c>
      <c r="R527" s="44">
        <f>P527/O527</f>
        <v>3.13</v>
      </c>
      <c r="S527" s="49">
        <f>Q527*O527</f>
        <v>1</v>
      </c>
      <c r="T527" s="52">
        <f>S527*R527</f>
        <v>3.13</v>
      </c>
      <c r="U527" s="50"/>
      <c r="V527" s="50"/>
      <c r="W527" s="50"/>
      <c r="X527" s="69"/>
      <c r="Y527" s="69"/>
      <c r="Z527" s="69"/>
      <c r="AA527" s="50"/>
      <c r="AB527" s="50"/>
      <c r="AC527" s="50"/>
      <c r="AD527" s="50"/>
      <c r="AE527" s="50"/>
      <c r="AF527" s="50"/>
      <c r="AG527" s="50"/>
      <c r="AH527" s="50"/>
      <c r="AI527" s="50" t="s">
        <v>652</v>
      </c>
      <c r="AJ527" s="50"/>
      <c r="AK527" s="50"/>
      <c r="AL527" s="44"/>
      <c r="AM527" s="45"/>
      <c r="AN527" s="50"/>
      <c r="AO527" s="69"/>
      <c r="AP527" s="69"/>
      <c r="AQ527" s="69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5"/>
      <c r="BD527" s="56"/>
      <c r="BE527" s="61"/>
      <c r="BF527" s="65"/>
      <c r="BG527" s="66"/>
      <c r="BH527" s="66"/>
      <c r="BI527" s="60"/>
      <c r="BJ527" s="60"/>
      <c r="BK527" s="60"/>
      <c r="BL527" s="60"/>
      <c r="BM527" s="60"/>
      <c r="BN527" s="60"/>
      <c r="BO527" s="60"/>
      <c r="BP527" s="60"/>
      <c r="BQ527" s="60" t="str">
        <f>IF(BS527="Original",AI527,AZ527)</f>
        <v>Low Threshold Spend</v>
      </c>
      <c r="BR527" s="60"/>
      <c r="BS527" s="60" t="str">
        <f>IF(AQ527="","Original",IF(AP527&lt;Y527,"Alternate","Original"))</f>
        <v>Original</v>
      </c>
    </row>
    <row r="528" spans="1:71" s="31" customFormat="1" x14ac:dyDescent="0.35">
      <c r="A528" s="53" t="s">
        <v>39</v>
      </c>
      <c r="B528" s="49">
        <v>526</v>
      </c>
      <c r="C528" s="50"/>
      <c r="D528" s="50"/>
      <c r="E528" s="51"/>
      <c r="F528" s="50" t="s">
        <v>60</v>
      </c>
      <c r="G528" s="50" t="s">
        <v>1446</v>
      </c>
      <c r="H528" s="50" t="s">
        <v>1447</v>
      </c>
      <c r="I528" s="50"/>
      <c r="J528" s="50"/>
      <c r="K528" s="50"/>
      <c r="L528" s="50"/>
      <c r="M528" s="50"/>
      <c r="N528" s="54" t="s">
        <v>43</v>
      </c>
      <c r="O528" s="49">
        <v>1</v>
      </c>
      <c r="P528" s="43">
        <v>3.1</v>
      </c>
      <c r="Q528" s="49">
        <v>1</v>
      </c>
      <c r="R528" s="44">
        <f>P528/O528</f>
        <v>3.1</v>
      </c>
      <c r="S528" s="49">
        <f>Q528*O528</f>
        <v>1</v>
      </c>
      <c r="T528" s="52">
        <f>S528*R528</f>
        <v>3.1</v>
      </c>
      <c r="U528" s="50"/>
      <c r="V528" s="50"/>
      <c r="W528" s="50"/>
      <c r="X528" s="69"/>
      <c r="Y528" s="69"/>
      <c r="Z528" s="69"/>
      <c r="AA528" s="50"/>
      <c r="AB528" s="50"/>
      <c r="AC528" s="50"/>
      <c r="AD528" s="50"/>
      <c r="AE528" s="50"/>
      <c r="AF528" s="50"/>
      <c r="AG528" s="50"/>
      <c r="AH528" s="50"/>
      <c r="AI528" s="50" t="s">
        <v>652</v>
      </c>
      <c r="AJ528" s="50"/>
      <c r="AK528" s="50"/>
      <c r="AL528" s="44"/>
      <c r="AM528" s="45"/>
      <c r="AN528" s="50"/>
      <c r="AO528" s="69"/>
      <c r="AP528" s="69"/>
      <c r="AQ528" s="69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5"/>
      <c r="BD528" s="56"/>
      <c r="BE528" s="61"/>
      <c r="BF528" s="65"/>
      <c r="BG528" s="66"/>
      <c r="BH528" s="66"/>
      <c r="BI528" s="60"/>
      <c r="BJ528" s="60"/>
      <c r="BK528" s="60"/>
      <c r="BL528" s="60"/>
      <c r="BM528" s="60"/>
      <c r="BN528" s="60"/>
      <c r="BO528" s="60"/>
      <c r="BP528" s="60"/>
      <c r="BQ528" s="60" t="str">
        <f>IF(BS528="Original",AI528,AZ528)</f>
        <v>Low Threshold Spend</v>
      </c>
      <c r="BR528" s="60"/>
      <c r="BS528" s="60" t="str">
        <f>IF(AQ528="","Original",IF(AP528&lt;Y528,"Alternate","Original"))</f>
        <v>Original</v>
      </c>
    </row>
    <row r="529" spans="1:71" s="31" customFormat="1" x14ac:dyDescent="0.35">
      <c r="A529" s="53" t="s">
        <v>39</v>
      </c>
      <c r="B529" s="49">
        <v>527</v>
      </c>
      <c r="C529" s="50"/>
      <c r="D529" s="50"/>
      <c r="E529" s="51"/>
      <c r="F529" s="50" t="s">
        <v>60</v>
      </c>
      <c r="G529" s="50" t="s">
        <v>1448</v>
      </c>
      <c r="H529" s="50" t="s">
        <v>1449</v>
      </c>
      <c r="I529" s="50"/>
      <c r="J529" s="50"/>
      <c r="K529" s="50"/>
      <c r="L529" s="50"/>
      <c r="M529" s="50"/>
      <c r="N529" s="54" t="s">
        <v>43</v>
      </c>
      <c r="O529" s="49">
        <v>1</v>
      </c>
      <c r="P529" s="43">
        <v>3.1</v>
      </c>
      <c r="Q529" s="49">
        <v>1</v>
      </c>
      <c r="R529" s="44">
        <f>P529/O529</f>
        <v>3.1</v>
      </c>
      <c r="S529" s="49">
        <f>Q529*O529</f>
        <v>1</v>
      </c>
      <c r="T529" s="52">
        <f>S529*R529</f>
        <v>3.1</v>
      </c>
      <c r="U529" s="50"/>
      <c r="V529" s="50"/>
      <c r="W529" s="50"/>
      <c r="X529" s="69"/>
      <c r="Y529" s="69"/>
      <c r="Z529" s="69"/>
      <c r="AA529" s="50"/>
      <c r="AB529" s="50"/>
      <c r="AC529" s="50"/>
      <c r="AD529" s="50"/>
      <c r="AE529" s="50"/>
      <c r="AF529" s="50"/>
      <c r="AG529" s="50"/>
      <c r="AH529" s="50"/>
      <c r="AI529" s="50" t="s">
        <v>652</v>
      </c>
      <c r="AJ529" s="50"/>
      <c r="AK529" s="50"/>
      <c r="AL529" s="44"/>
      <c r="AM529" s="45"/>
      <c r="AN529" s="50"/>
      <c r="AO529" s="69"/>
      <c r="AP529" s="69"/>
      <c r="AQ529" s="69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5"/>
      <c r="BD529" s="56"/>
      <c r="BE529" s="61"/>
      <c r="BF529" s="65"/>
      <c r="BG529" s="66"/>
      <c r="BH529" s="66"/>
      <c r="BI529" s="60"/>
      <c r="BJ529" s="60"/>
      <c r="BK529" s="60"/>
      <c r="BL529" s="60"/>
      <c r="BM529" s="60"/>
      <c r="BN529" s="60"/>
      <c r="BO529" s="60"/>
      <c r="BP529" s="60"/>
      <c r="BQ529" s="60" t="str">
        <f>IF(BS529="Original",AI529,AZ529)</f>
        <v>Low Threshold Spend</v>
      </c>
      <c r="BR529" s="60"/>
      <c r="BS529" s="60" t="str">
        <f>IF(AQ529="","Original",IF(AP529&lt;Y529,"Alternate","Original"))</f>
        <v>Original</v>
      </c>
    </row>
    <row r="530" spans="1:71" s="31" customFormat="1" x14ac:dyDescent="0.35">
      <c r="A530" s="53" t="s">
        <v>39</v>
      </c>
      <c r="B530" s="49">
        <v>528</v>
      </c>
      <c r="C530" s="50"/>
      <c r="D530" s="50"/>
      <c r="E530" s="51"/>
      <c r="F530" s="50" t="s">
        <v>60</v>
      </c>
      <c r="G530" s="50" t="s">
        <v>1450</v>
      </c>
      <c r="H530" s="50" t="s">
        <v>1451</v>
      </c>
      <c r="I530" s="50"/>
      <c r="J530" s="50"/>
      <c r="K530" s="50"/>
      <c r="L530" s="50"/>
      <c r="M530" s="50"/>
      <c r="N530" s="54" t="s">
        <v>43</v>
      </c>
      <c r="O530" s="49">
        <v>1</v>
      </c>
      <c r="P530" s="43">
        <v>3.07</v>
      </c>
      <c r="Q530" s="49">
        <v>1</v>
      </c>
      <c r="R530" s="44">
        <f>P530/O530</f>
        <v>3.07</v>
      </c>
      <c r="S530" s="49">
        <f>Q530*O530</f>
        <v>1</v>
      </c>
      <c r="T530" s="52">
        <f>S530*R530</f>
        <v>3.07</v>
      </c>
      <c r="U530" s="50"/>
      <c r="V530" s="50"/>
      <c r="W530" s="50"/>
      <c r="X530" s="69"/>
      <c r="Y530" s="69"/>
      <c r="Z530" s="69"/>
      <c r="AA530" s="50"/>
      <c r="AB530" s="50"/>
      <c r="AC530" s="50"/>
      <c r="AD530" s="50"/>
      <c r="AE530" s="50"/>
      <c r="AF530" s="50"/>
      <c r="AG530" s="50"/>
      <c r="AH530" s="50"/>
      <c r="AI530" s="50" t="s">
        <v>652</v>
      </c>
      <c r="AJ530" s="50"/>
      <c r="AK530" s="50"/>
      <c r="AL530" s="44"/>
      <c r="AM530" s="45"/>
      <c r="AN530" s="50"/>
      <c r="AO530" s="69"/>
      <c r="AP530" s="69"/>
      <c r="AQ530" s="69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5"/>
      <c r="BD530" s="56"/>
      <c r="BE530" s="61"/>
      <c r="BF530" s="65"/>
      <c r="BG530" s="66"/>
      <c r="BH530" s="66"/>
      <c r="BI530" s="60"/>
      <c r="BJ530" s="60"/>
      <c r="BK530" s="60"/>
      <c r="BL530" s="60"/>
      <c r="BM530" s="60"/>
      <c r="BN530" s="60"/>
      <c r="BO530" s="60"/>
      <c r="BP530" s="60"/>
      <c r="BQ530" s="60" t="str">
        <f>IF(BS530="Original",AI530,AZ530)</f>
        <v>Low Threshold Spend</v>
      </c>
      <c r="BR530" s="60"/>
      <c r="BS530" s="60" t="str">
        <f>IF(AQ530="","Original",IF(AP530&lt;Y530,"Alternate","Original"))</f>
        <v>Original</v>
      </c>
    </row>
    <row r="531" spans="1:71" s="31" customFormat="1" x14ac:dyDescent="0.35">
      <c r="A531" s="53" t="s">
        <v>39</v>
      </c>
      <c r="B531" s="49">
        <v>529</v>
      </c>
      <c r="C531" s="50"/>
      <c r="D531" s="50"/>
      <c r="E531" s="51"/>
      <c r="F531" s="50" t="s">
        <v>40</v>
      </c>
      <c r="G531" s="50" t="s">
        <v>1452</v>
      </c>
      <c r="H531" s="50" t="s">
        <v>1453</v>
      </c>
      <c r="I531" s="50"/>
      <c r="J531" s="50"/>
      <c r="K531" s="50"/>
      <c r="L531" s="50"/>
      <c r="M531" s="50"/>
      <c r="N531" s="54" t="s">
        <v>43</v>
      </c>
      <c r="O531" s="49">
        <v>1</v>
      </c>
      <c r="P531" s="43">
        <v>2.71</v>
      </c>
      <c r="Q531" s="49">
        <v>1</v>
      </c>
      <c r="R531" s="44">
        <f>P531/O531</f>
        <v>2.71</v>
      </c>
      <c r="S531" s="49">
        <f>Q531*O531</f>
        <v>1</v>
      </c>
      <c r="T531" s="52">
        <f>S531*R531</f>
        <v>2.71</v>
      </c>
      <c r="U531" s="50"/>
      <c r="V531" s="50"/>
      <c r="W531" s="50"/>
      <c r="X531" s="69"/>
      <c r="Y531" s="69"/>
      <c r="Z531" s="69"/>
      <c r="AA531" s="50"/>
      <c r="AB531" s="50"/>
      <c r="AC531" s="50"/>
      <c r="AD531" s="50"/>
      <c r="AE531" s="50"/>
      <c r="AF531" s="50"/>
      <c r="AG531" s="50"/>
      <c r="AH531" s="50"/>
      <c r="AI531" s="50" t="s">
        <v>652</v>
      </c>
      <c r="AJ531" s="50"/>
      <c r="AK531" s="50"/>
      <c r="AL531" s="44"/>
      <c r="AM531" s="45"/>
      <c r="AN531" s="50"/>
      <c r="AO531" s="69"/>
      <c r="AP531" s="69"/>
      <c r="AQ531" s="69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5"/>
      <c r="BD531" s="56"/>
      <c r="BE531" s="61"/>
      <c r="BF531" s="65"/>
      <c r="BG531" s="66"/>
      <c r="BH531" s="66"/>
      <c r="BI531" s="60"/>
      <c r="BJ531" s="60"/>
      <c r="BK531" s="60"/>
      <c r="BL531" s="60"/>
      <c r="BM531" s="60"/>
      <c r="BN531" s="60"/>
      <c r="BO531" s="60"/>
      <c r="BP531" s="60"/>
      <c r="BQ531" s="60" t="str">
        <f>IF(BS531="Original",AI531,AZ531)</f>
        <v>Low Threshold Spend</v>
      </c>
      <c r="BR531" s="60"/>
      <c r="BS531" s="60" t="str">
        <f>IF(AQ531="","Original",IF(AP531&lt;Y531,"Alternate","Original"))</f>
        <v>Original</v>
      </c>
    </row>
    <row r="532" spans="1:71" s="31" customFormat="1" x14ac:dyDescent="0.35">
      <c r="A532" s="53" t="s">
        <v>39</v>
      </c>
      <c r="B532" s="49">
        <v>530</v>
      </c>
      <c r="C532" s="50"/>
      <c r="D532" s="50"/>
      <c r="E532" s="51"/>
      <c r="F532" s="50" t="s">
        <v>60</v>
      </c>
      <c r="G532" s="50" t="s">
        <v>1454</v>
      </c>
      <c r="H532" s="50" t="s">
        <v>1441</v>
      </c>
      <c r="I532" s="50"/>
      <c r="J532" s="50"/>
      <c r="K532" s="50"/>
      <c r="L532" s="50"/>
      <c r="M532" s="50"/>
      <c r="N532" s="54" t="s">
        <v>43</v>
      </c>
      <c r="O532" s="49">
        <v>1</v>
      </c>
      <c r="P532" s="43">
        <v>2.59</v>
      </c>
      <c r="Q532" s="49">
        <v>1</v>
      </c>
      <c r="R532" s="44">
        <f>P532/O532</f>
        <v>2.59</v>
      </c>
      <c r="S532" s="49">
        <f>Q532*O532</f>
        <v>1</v>
      </c>
      <c r="T532" s="52">
        <f>S532*R532</f>
        <v>2.59</v>
      </c>
      <c r="U532" s="50"/>
      <c r="V532" s="50"/>
      <c r="W532" s="50"/>
      <c r="X532" s="69"/>
      <c r="Y532" s="69"/>
      <c r="Z532" s="69"/>
      <c r="AA532" s="50"/>
      <c r="AB532" s="50"/>
      <c r="AC532" s="50"/>
      <c r="AD532" s="50"/>
      <c r="AE532" s="50"/>
      <c r="AF532" s="50"/>
      <c r="AG532" s="50"/>
      <c r="AH532" s="50"/>
      <c r="AI532" s="50" t="s">
        <v>652</v>
      </c>
      <c r="AJ532" s="50"/>
      <c r="AK532" s="50"/>
      <c r="AL532" s="44"/>
      <c r="AM532" s="45"/>
      <c r="AN532" s="50"/>
      <c r="AO532" s="69"/>
      <c r="AP532" s="69"/>
      <c r="AQ532" s="69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5"/>
      <c r="BD532" s="56"/>
      <c r="BE532" s="61"/>
      <c r="BF532" s="65"/>
      <c r="BG532" s="66"/>
      <c r="BH532" s="66"/>
      <c r="BI532" s="60"/>
      <c r="BJ532" s="60"/>
      <c r="BK532" s="60"/>
      <c r="BL532" s="60"/>
      <c r="BM532" s="60"/>
      <c r="BN532" s="60"/>
      <c r="BO532" s="60"/>
      <c r="BP532" s="60"/>
      <c r="BQ532" s="60" t="str">
        <f>IF(BS532="Original",AI532,AZ532)</f>
        <v>Low Threshold Spend</v>
      </c>
      <c r="BR532" s="60"/>
      <c r="BS532" s="60" t="str">
        <f>IF(AQ532="","Original",IF(AP532&lt;Y532,"Alternate","Original"))</f>
        <v>Original</v>
      </c>
    </row>
    <row r="533" spans="1:71" s="31" customFormat="1" x14ac:dyDescent="0.35">
      <c r="A533" s="53" t="s">
        <v>39</v>
      </c>
      <c r="B533" s="49">
        <v>531</v>
      </c>
      <c r="C533" s="50"/>
      <c r="D533" s="50"/>
      <c r="E533" s="51"/>
      <c r="F533" s="50" t="s">
        <v>49</v>
      </c>
      <c r="G533" s="50" t="s">
        <v>1455</v>
      </c>
      <c r="H533" s="50" t="s">
        <v>1456</v>
      </c>
      <c r="I533" s="50"/>
      <c r="J533" s="50"/>
      <c r="K533" s="50"/>
      <c r="L533" s="50"/>
      <c r="M533" s="50"/>
      <c r="N533" s="54" t="s">
        <v>43</v>
      </c>
      <c r="O533" s="49">
        <v>1</v>
      </c>
      <c r="P533" s="43">
        <v>2.57</v>
      </c>
      <c r="Q533" s="49">
        <v>1</v>
      </c>
      <c r="R533" s="44">
        <f>P533/O533</f>
        <v>2.57</v>
      </c>
      <c r="S533" s="49">
        <f>Q533*O533</f>
        <v>1</v>
      </c>
      <c r="T533" s="52">
        <f>S533*R533</f>
        <v>2.57</v>
      </c>
      <c r="U533" s="50"/>
      <c r="V533" s="50"/>
      <c r="W533" s="50"/>
      <c r="X533" s="69"/>
      <c r="Y533" s="69"/>
      <c r="Z533" s="69"/>
      <c r="AA533" s="50"/>
      <c r="AB533" s="50"/>
      <c r="AC533" s="50"/>
      <c r="AD533" s="50"/>
      <c r="AE533" s="50"/>
      <c r="AF533" s="50"/>
      <c r="AG533" s="50"/>
      <c r="AH533" s="50"/>
      <c r="AI533" s="50" t="s">
        <v>652</v>
      </c>
      <c r="AJ533" s="50"/>
      <c r="AK533" s="50"/>
      <c r="AL533" s="44"/>
      <c r="AM533" s="45"/>
      <c r="AN533" s="50"/>
      <c r="AO533" s="69"/>
      <c r="AP533" s="69"/>
      <c r="AQ533" s="69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5"/>
      <c r="BD533" s="56"/>
      <c r="BE533" s="61"/>
      <c r="BF533" s="65"/>
      <c r="BG533" s="66"/>
      <c r="BH533" s="66"/>
      <c r="BI533" s="60"/>
      <c r="BJ533" s="60"/>
      <c r="BK533" s="60"/>
      <c r="BL533" s="60"/>
      <c r="BM533" s="60"/>
      <c r="BN533" s="60"/>
      <c r="BO533" s="60"/>
      <c r="BP533" s="60"/>
      <c r="BQ533" s="60" t="str">
        <f>IF(BS533="Original",AI533,AZ533)</f>
        <v>Low Threshold Spend</v>
      </c>
      <c r="BR533" s="60"/>
      <c r="BS533" s="60" t="str">
        <f>IF(AQ533="","Original",IF(AP533&lt;Y533,"Alternate","Original"))</f>
        <v>Original</v>
      </c>
    </row>
    <row r="534" spans="1:71" s="31" customFormat="1" x14ac:dyDescent="0.35">
      <c r="A534" s="53" t="s">
        <v>39</v>
      </c>
      <c r="B534" s="49">
        <v>532</v>
      </c>
      <c r="C534" s="50"/>
      <c r="D534" s="50"/>
      <c r="E534" s="51"/>
      <c r="F534" s="50" t="s">
        <v>60</v>
      </c>
      <c r="G534" s="50" t="s">
        <v>1457</v>
      </c>
      <c r="H534" s="50" t="s">
        <v>1458</v>
      </c>
      <c r="I534" s="50"/>
      <c r="J534" s="50"/>
      <c r="K534" s="50"/>
      <c r="L534" s="50"/>
      <c r="M534" s="50"/>
      <c r="N534" s="54" t="s">
        <v>43</v>
      </c>
      <c r="O534" s="49">
        <v>1</v>
      </c>
      <c r="P534" s="43">
        <v>2.4700000000000002</v>
      </c>
      <c r="Q534" s="49">
        <v>1</v>
      </c>
      <c r="R534" s="44">
        <f>P534/O534</f>
        <v>2.4700000000000002</v>
      </c>
      <c r="S534" s="49">
        <f>Q534*O534</f>
        <v>1</v>
      </c>
      <c r="T534" s="52">
        <f>S534*R534</f>
        <v>2.4700000000000002</v>
      </c>
      <c r="U534" s="50"/>
      <c r="V534" s="50"/>
      <c r="W534" s="50"/>
      <c r="X534" s="69"/>
      <c r="Y534" s="69"/>
      <c r="Z534" s="69"/>
      <c r="AA534" s="50"/>
      <c r="AB534" s="50"/>
      <c r="AC534" s="50"/>
      <c r="AD534" s="50"/>
      <c r="AE534" s="50"/>
      <c r="AF534" s="50"/>
      <c r="AG534" s="50"/>
      <c r="AH534" s="50"/>
      <c r="AI534" s="50" t="s">
        <v>652</v>
      </c>
      <c r="AJ534" s="50"/>
      <c r="AK534" s="50"/>
      <c r="AL534" s="44"/>
      <c r="AM534" s="45"/>
      <c r="AN534" s="50"/>
      <c r="AO534" s="69"/>
      <c r="AP534" s="69"/>
      <c r="AQ534" s="69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5"/>
      <c r="BD534" s="56"/>
      <c r="BE534" s="61"/>
      <c r="BF534" s="65"/>
      <c r="BG534" s="66"/>
      <c r="BH534" s="66"/>
      <c r="BI534" s="60"/>
      <c r="BJ534" s="60"/>
      <c r="BK534" s="60"/>
      <c r="BL534" s="60"/>
      <c r="BM534" s="60"/>
      <c r="BN534" s="60"/>
      <c r="BO534" s="60"/>
      <c r="BP534" s="60"/>
      <c r="BQ534" s="60" t="str">
        <f>IF(BS534="Original",AI534,AZ534)</f>
        <v>Low Threshold Spend</v>
      </c>
      <c r="BR534" s="60"/>
      <c r="BS534" s="60" t="str">
        <f>IF(AQ534="","Original",IF(AP534&lt;Y534,"Alternate","Original"))</f>
        <v>Original</v>
      </c>
    </row>
    <row r="535" spans="1:71" s="31" customFormat="1" x14ac:dyDescent="0.35">
      <c r="A535" s="53" t="s">
        <v>39</v>
      </c>
      <c r="B535" s="49">
        <v>533</v>
      </c>
      <c r="C535" s="50"/>
      <c r="D535" s="50"/>
      <c r="E535" s="51"/>
      <c r="F535" s="50" t="s">
        <v>60</v>
      </c>
      <c r="G535" s="50" t="s">
        <v>1459</v>
      </c>
      <c r="H535" s="50" t="s">
        <v>1460</v>
      </c>
      <c r="I535" s="50"/>
      <c r="J535" s="50"/>
      <c r="K535" s="50"/>
      <c r="L535" s="50"/>
      <c r="M535" s="50"/>
      <c r="N535" s="54" t="s">
        <v>43</v>
      </c>
      <c r="O535" s="49">
        <v>1</v>
      </c>
      <c r="P535" s="43">
        <v>2.0299999999999998</v>
      </c>
      <c r="Q535" s="49">
        <v>1</v>
      </c>
      <c r="R535" s="44">
        <f>P535/O535</f>
        <v>2.0299999999999998</v>
      </c>
      <c r="S535" s="49">
        <f>Q535*O535</f>
        <v>1</v>
      </c>
      <c r="T535" s="52">
        <f>S535*R535</f>
        <v>2.0299999999999998</v>
      </c>
      <c r="U535" s="50"/>
      <c r="V535" s="50"/>
      <c r="W535" s="50"/>
      <c r="X535" s="69"/>
      <c r="Y535" s="69"/>
      <c r="Z535" s="69"/>
      <c r="AA535" s="50"/>
      <c r="AB535" s="50"/>
      <c r="AC535" s="50"/>
      <c r="AD535" s="50"/>
      <c r="AE535" s="50"/>
      <c r="AF535" s="50"/>
      <c r="AG535" s="50"/>
      <c r="AH535" s="50"/>
      <c r="AI535" s="50" t="s">
        <v>652</v>
      </c>
      <c r="AJ535" s="50"/>
      <c r="AK535" s="50"/>
      <c r="AL535" s="44"/>
      <c r="AM535" s="45"/>
      <c r="AN535" s="50"/>
      <c r="AO535" s="69"/>
      <c r="AP535" s="69"/>
      <c r="AQ535" s="69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5"/>
      <c r="BD535" s="56"/>
      <c r="BE535" s="61"/>
      <c r="BF535" s="65"/>
      <c r="BG535" s="66"/>
      <c r="BH535" s="66"/>
      <c r="BI535" s="60"/>
      <c r="BJ535" s="60"/>
      <c r="BK535" s="60"/>
      <c r="BL535" s="60"/>
      <c r="BM535" s="60"/>
      <c r="BN535" s="60"/>
      <c r="BO535" s="60"/>
      <c r="BP535" s="60"/>
      <c r="BQ535" s="60" t="str">
        <f>IF(BS535="Original",AI535,AZ535)</f>
        <v>Low Threshold Spend</v>
      </c>
      <c r="BR535" s="60"/>
      <c r="BS535" s="60" t="str">
        <f>IF(AQ535="","Original",IF(AP535&lt;Y535,"Alternate","Original"))</f>
        <v>Original</v>
      </c>
    </row>
    <row r="536" spans="1:71" s="31" customFormat="1" x14ac:dyDescent="0.35">
      <c r="A536" s="53" t="s">
        <v>39</v>
      </c>
      <c r="B536" s="49">
        <v>534</v>
      </c>
      <c r="C536" s="50"/>
      <c r="D536" s="50"/>
      <c r="E536" s="51"/>
      <c r="F536" s="50" t="s">
        <v>60</v>
      </c>
      <c r="G536" s="50" t="s">
        <v>1461</v>
      </c>
      <c r="H536" s="50" t="s">
        <v>1462</v>
      </c>
      <c r="I536" s="50"/>
      <c r="J536" s="50"/>
      <c r="K536" s="50"/>
      <c r="L536" s="50"/>
      <c r="M536" s="50"/>
      <c r="N536" s="54" t="s">
        <v>43</v>
      </c>
      <c r="O536" s="49">
        <v>1</v>
      </c>
      <c r="P536" s="43">
        <v>1.76</v>
      </c>
      <c r="Q536" s="49">
        <v>1</v>
      </c>
      <c r="R536" s="44">
        <f>P536/O536</f>
        <v>1.76</v>
      </c>
      <c r="S536" s="49">
        <f>Q536*O536</f>
        <v>1</v>
      </c>
      <c r="T536" s="52">
        <f>S536*R536</f>
        <v>1.76</v>
      </c>
      <c r="U536" s="50"/>
      <c r="V536" s="50"/>
      <c r="W536" s="50"/>
      <c r="X536" s="69"/>
      <c r="Y536" s="69"/>
      <c r="Z536" s="69"/>
      <c r="AA536" s="50"/>
      <c r="AB536" s="50"/>
      <c r="AC536" s="50"/>
      <c r="AD536" s="50"/>
      <c r="AE536" s="50"/>
      <c r="AF536" s="50"/>
      <c r="AG536" s="50"/>
      <c r="AH536" s="50"/>
      <c r="AI536" s="50" t="s">
        <v>652</v>
      </c>
      <c r="AJ536" s="50"/>
      <c r="AK536" s="50"/>
      <c r="AL536" s="44"/>
      <c r="AM536" s="45"/>
      <c r="AN536" s="50"/>
      <c r="AO536" s="69"/>
      <c r="AP536" s="69"/>
      <c r="AQ536" s="69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5"/>
      <c r="BD536" s="56"/>
      <c r="BE536" s="61"/>
      <c r="BF536" s="65"/>
      <c r="BG536" s="66"/>
      <c r="BH536" s="66"/>
      <c r="BI536" s="60"/>
      <c r="BJ536" s="60"/>
      <c r="BK536" s="60"/>
      <c r="BL536" s="60"/>
      <c r="BM536" s="60"/>
      <c r="BN536" s="60"/>
      <c r="BO536" s="60"/>
      <c r="BP536" s="60"/>
      <c r="BQ536" s="60" t="str">
        <f>IF(BS536="Original",AI536,AZ536)</f>
        <v>Low Threshold Spend</v>
      </c>
      <c r="BR536" s="60"/>
      <c r="BS536" s="60" t="str">
        <f>IF(AQ536="","Original",IF(AP536&lt;Y536,"Alternate","Original"))</f>
        <v>Original</v>
      </c>
    </row>
    <row r="537" spans="1:71" s="31" customFormat="1" x14ac:dyDescent="0.35">
      <c r="A537" s="53" t="s">
        <v>39</v>
      </c>
      <c r="B537" s="49">
        <v>535</v>
      </c>
      <c r="C537" s="50"/>
      <c r="D537" s="50"/>
      <c r="E537" s="51"/>
      <c r="F537" s="50" t="s">
        <v>60</v>
      </c>
      <c r="G537" s="50" t="s">
        <v>1463</v>
      </c>
      <c r="H537" s="50" t="s">
        <v>1464</v>
      </c>
      <c r="I537" s="50"/>
      <c r="J537" s="50"/>
      <c r="K537" s="50"/>
      <c r="L537" s="50"/>
      <c r="M537" s="50"/>
      <c r="N537" s="54" t="s">
        <v>43</v>
      </c>
      <c r="O537" s="49">
        <v>1</v>
      </c>
      <c r="P537" s="43">
        <v>1.59</v>
      </c>
      <c r="Q537" s="49">
        <v>1</v>
      </c>
      <c r="R537" s="44">
        <f>P537/O537</f>
        <v>1.59</v>
      </c>
      <c r="S537" s="49">
        <f>Q537*O537</f>
        <v>1</v>
      </c>
      <c r="T537" s="52">
        <f>S537*R537</f>
        <v>1.59</v>
      </c>
      <c r="U537" s="50"/>
      <c r="V537" s="50"/>
      <c r="W537" s="50"/>
      <c r="X537" s="69"/>
      <c r="Y537" s="69"/>
      <c r="Z537" s="69"/>
      <c r="AA537" s="50"/>
      <c r="AB537" s="50"/>
      <c r="AC537" s="50"/>
      <c r="AD537" s="50"/>
      <c r="AE537" s="50"/>
      <c r="AF537" s="50"/>
      <c r="AG537" s="50"/>
      <c r="AH537" s="50"/>
      <c r="AI537" s="50" t="s">
        <v>652</v>
      </c>
      <c r="AJ537" s="50"/>
      <c r="AK537" s="50"/>
      <c r="AL537" s="44"/>
      <c r="AM537" s="45"/>
      <c r="AN537" s="50"/>
      <c r="AO537" s="69"/>
      <c r="AP537" s="69"/>
      <c r="AQ537" s="69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5"/>
      <c r="BD537" s="56"/>
      <c r="BE537" s="61"/>
      <c r="BF537" s="65"/>
      <c r="BG537" s="66"/>
      <c r="BH537" s="66"/>
      <c r="BI537" s="60"/>
      <c r="BJ537" s="60"/>
      <c r="BK537" s="60"/>
      <c r="BL537" s="60"/>
      <c r="BM537" s="60"/>
      <c r="BN537" s="60"/>
      <c r="BO537" s="60"/>
      <c r="BP537" s="60"/>
      <c r="BQ537" s="60" t="str">
        <f>IF(BS537="Original",AI537,AZ537)</f>
        <v>Low Threshold Spend</v>
      </c>
      <c r="BR537" s="60"/>
      <c r="BS537" s="60" t="str">
        <f>IF(AQ537="","Original",IF(AP537&lt;Y537,"Alternate","Original"))</f>
        <v>Original</v>
      </c>
    </row>
    <row r="538" spans="1:71" s="31" customFormat="1" x14ac:dyDescent="0.35">
      <c r="A538" s="53" t="s">
        <v>39</v>
      </c>
      <c r="B538" s="49">
        <v>536</v>
      </c>
      <c r="C538" s="50"/>
      <c r="D538" s="50"/>
      <c r="E538" s="51"/>
      <c r="F538" s="50" t="s">
        <v>60</v>
      </c>
      <c r="G538" s="50" t="s">
        <v>1465</v>
      </c>
      <c r="H538" s="50" t="s">
        <v>1466</v>
      </c>
      <c r="I538" s="50"/>
      <c r="J538" s="50"/>
      <c r="K538" s="50"/>
      <c r="L538" s="50"/>
      <c r="M538" s="50"/>
      <c r="N538" s="54" t="s">
        <v>43</v>
      </c>
      <c r="O538" s="49">
        <v>1</v>
      </c>
      <c r="P538" s="43">
        <v>1.47</v>
      </c>
      <c r="Q538" s="49">
        <v>1</v>
      </c>
      <c r="R538" s="44">
        <f>P538/O538</f>
        <v>1.47</v>
      </c>
      <c r="S538" s="49">
        <f>Q538*O538</f>
        <v>1</v>
      </c>
      <c r="T538" s="52">
        <f>S538*R538</f>
        <v>1.47</v>
      </c>
      <c r="U538" s="50"/>
      <c r="V538" s="50"/>
      <c r="W538" s="50"/>
      <c r="X538" s="69"/>
      <c r="Y538" s="69"/>
      <c r="Z538" s="69"/>
      <c r="AA538" s="50"/>
      <c r="AB538" s="50"/>
      <c r="AC538" s="50"/>
      <c r="AD538" s="50"/>
      <c r="AE538" s="50"/>
      <c r="AF538" s="50"/>
      <c r="AG538" s="50"/>
      <c r="AH538" s="50"/>
      <c r="AI538" s="50" t="s">
        <v>652</v>
      </c>
      <c r="AJ538" s="50"/>
      <c r="AK538" s="50"/>
      <c r="AL538" s="44"/>
      <c r="AM538" s="45"/>
      <c r="AN538" s="50"/>
      <c r="AO538" s="69"/>
      <c r="AP538" s="69"/>
      <c r="AQ538" s="69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5"/>
      <c r="BD538" s="56"/>
      <c r="BE538" s="61"/>
      <c r="BF538" s="65"/>
      <c r="BG538" s="66"/>
      <c r="BH538" s="66"/>
      <c r="BI538" s="60"/>
      <c r="BJ538" s="60"/>
      <c r="BK538" s="60"/>
      <c r="BL538" s="60"/>
      <c r="BM538" s="60"/>
      <c r="BN538" s="60"/>
      <c r="BO538" s="60"/>
      <c r="BP538" s="60"/>
      <c r="BQ538" s="60" t="str">
        <f>IF(BS538="Original",AI538,AZ538)</f>
        <v>Low Threshold Spend</v>
      </c>
      <c r="BR538" s="60"/>
      <c r="BS538" s="60" t="str">
        <f>IF(AQ538="","Original",IF(AP538&lt;Y538,"Alternate","Original"))</f>
        <v>Original</v>
      </c>
    </row>
    <row r="539" spans="1:71" s="31" customFormat="1" x14ac:dyDescent="0.35">
      <c r="A539" s="53" t="s">
        <v>39</v>
      </c>
      <c r="B539" s="49">
        <v>537</v>
      </c>
      <c r="C539" s="50"/>
      <c r="D539" s="50"/>
      <c r="E539" s="51"/>
      <c r="F539" s="50" t="s">
        <v>60</v>
      </c>
      <c r="G539" s="50" t="s">
        <v>1467</v>
      </c>
      <c r="H539" s="50" t="s">
        <v>1468</v>
      </c>
      <c r="I539" s="50"/>
      <c r="J539" s="50"/>
      <c r="K539" s="50"/>
      <c r="L539" s="50"/>
      <c r="M539" s="50"/>
      <c r="N539" s="54" t="s">
        <v>43</v>
      </c>
      <c r="O539" s="49">
        <v>1</v>
      </c>
      <c r="P539" s="43">
        <v>1.37</v>
      </c>
      <c r="Q539" s="49">
        <v>1</v>
      </c>
      <c r="R539" s="44">
        <f>P539/O539</f>
        <v>1.37</v>
      </c>
      <c r="S539" s="49">
        <f>Q539*O539</f>
        <v>1</v>
      </c>
      <c r="T539" s="52">
        <f>S539*R539</f>
        <v>1.37</v>
      </c>
      <c r="U539" s="50"/>
      <c r="V539" s="50"/>
      <c r="W539" s="50"/>
      <c r="X539" s="69"/>
      <c r="Y539" s="69"/>
      <c r="Z539" s="69"/>
      <c r="AA539" s="50"/>
      <c r="AB539" s="50"/>
      <c r="AC539" s="50"/>
      <c r="AD539" s="50"/>
      <c r="AE539" s="50"/>
      <c r="AF539" s="50"/>
      <c r="AG539" s="50"/>
      <c r="AH539" s="50"/>
      <c r="AI539" s="50" t="s">
        <v>652</v>
      </c>
      <c r="AJ539" s="50"/>
      <c r="AK539" s="50"/>
      <c r="AL539" s="44"/>
      <c r="AM539" s="45"/>
      <c r="AN539" s="50"/>
      <c r="AO539" s="69"/>
      <c r="AP539" s="69"/>
      <c r="AQ539" s="69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5"/>
      <c r="BD539" s="56"/>
      <c r="BE539" s="61"/>
      <c r="BF539" s="65"/>
      <c r="BG539" s="66"/>
      <c r="BH539" s="66"/>
      <c r="BI539" s="60"/>
      <c r="BJ539" s="60"/>
      <c r="BK539" s="60"/>
      <c r="BL539" s="60"/>
      <c r="BM539" s="60"/>
      <c r="BN539" s="60"/>
      <c r="BO539" s="60"/>
      <c r="BP539" s="60"/>
      <c r="BQ539" s="60" t="str">
        <f>IF(BS539="Original",AI539,AZ539)</f>
        <v>Low Threshold Spend</v>
      </c>
      <c r="BR539" s="60"/>
      <c r="BS539" s="60" t="str">
        <f>IF(AQ539="","Original",IF(AP539&lt;Y539,"Alternate","Original"))</f>
        <v>Original</v>
      </c>
    </row>
    <row r="540" spans="1:71" s="31" customFormat="1" x14ac:dyDescent="0.35">
      <c r="A540" s="53" t="s">
        <v>39</v>
      </c>
      <c r="B540" s="49">
        <v>538</v>
      </c>
      <c r="C540" s="50"/>
      <c r="D540" s="50"/>
      <c r="E540" s="51"/>
      <c r="F540" s="50" t="s">
        <v>60</v>
      </c>
      <c r="G540" s="50" t="s">
        <v>1469</v>
      </c>
      <c r="H540" s="50" t="s">
        <v>1470</v>
      </c>
      <c r="I540" s="50"/>
      <c r="J540" s="50"/>
      <c r="K540" s="50"/>
      <c r="L540" s="50"/>
      <c r="M540" s="50"/>
      <c r="N540" s="54" t="s">
        <v>43</v>
      </c>
      <c r="O540" s="49">
        <v>1</v>
      </c>
      <c r="P540" s="43">
        <v>1.34</v>
      </c>
      <c r="Q540" s="49">
        <v>1</v>
      </c>
      <c r="R540" s="44">
        <f>P540/O540</f>
        <v>1.34</v>
      </c>
      <c r="S540" s="49">
        <f>Q540*O540</f>
        <v>1</v>
      </c>
      <c r="T540" s="52">
        <f>S540*R540</f>
        <v>1.34</v>
      </c>
      <c r="U540" s="50"/>
      <c r="V540" s="50"/>
      <c r="W540" s="50"/>
      <c r="X540" s="69"/>
      <c r="Y540" s="69"/>
      <c r="Z540" s="69"/>
      <c r="AA540" s="50"/>
      <c r="AB540" s="50"/>
      <c r="AC540" s="50"/>
      <c r="AD540" s="50"/>
      <c r="AE540" s="50"/>
      <c r="AF540" s="50"/>
      <c r="AG540" s="50"/>
      <c r="AH540" s="50"/>
      <c r="AI540" s="50" t="s">
        <v>652</v>
      </c>
      <c r="AJ540" s="50"/>
      <c r="AK540" s="50"/>
      <c r="AL540" s="44"/>
      <c r="AM540" s="45"/>
      <c r="AN540" s="50"/>
      <c r="AO540" s="69"/>
      <c r="AP540" s="69"/>
      <c r="AQ540" s="69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5"/>
      <c r="BD540" s="56"/>
      <c r="BE540" s="61"/>
      <c r="BF540" s="65"/>
      <c r="BG540" s="66"/>
      <c r="BH540" s="66"/>
      <c r="BI540" s="60"/>
      <c r="BJ540" s="60"/>
      <c r="BK540" s="60"/>
      <c r="BL540" s="60"/>
      <c r="BM540" s="60"/>
      <c r="BN540" s="60"/>
      <c r="BO540" s="60"/>
      <c r="BP540" s="60"/>
      <c r="BQ540" s="60" t="str">
        <f>IF(BS540="Original",AI540,AZ540)</f>
        <v>Low Threshold Spend</v>
      </c>
      <c r="BR540" s="60"/>
      <c r="BS540" s="60" t="str">
        <f>IF(AQ540="","Original",IF(AP540&lt;Y540,"Alternate","Original"))</f>
        <v>Original</v>
      </c>
    </row>
  </sheetData>
  <autoFilter ref="A2:BS540" xr:uid="{00000000-0001-0000-0000-000000000000}">
    <sortState xmlns:xlrd2="http://schemas.microsoft.com/office/spreadsheetml/2017/richdata2" ref="A3:BS540">
      <sortCondition ref="B2:B540"/>
    </sortState>
  </autoFilter>
  <conditionalFormatting sqref="AG2">
    <cfRule type="duplicateValues" dxfId="8" priority="12"/>
  </conditionalFormatting>
  <conditionalFormatting sqref="AF2">
    <cfRule type="duplicateValues" dxfId="7" priority="11"/>
  </conditionalFormatting>
  <conditionalFormatting sqref="AX2">
    <cfRule type="duplicateValues" dxfId="6" priority="4"/>
  </conditionalFormatting>
  <conditionalFormatting sqref="AW2">
    <cfRule type="duplicateValues" dxfId="5" priority="3"/>
  </conditionalFormatting>
  <conditionalFormatting sqref="BO2">
    <cfRule type="duplicateValues" dxfId="4" priority="2"/>
  </conditionalFormatting>
  <conditionalFormatting sqref="BN2">
    <cfRule type="duplicateValues" dxfId="3" priority="1"/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5FA441F-FC93-42F1-9FFE-14381CFAD187}">
          <x14:formula1>
            <xm:f>'Match Types'!$C$4:$C$10</xm:f>
          </x14:formula1>
          <xm:sqref>AI86:AI121 AI78:AI80 AI82:AI84 AI21 AI19 AI23:AI28 AI34 AI30:AI31 AI56:AI69 AI36:AI52 AI73:AI74 AI71 AI76 AI123:AI1048576 AZ7 AZ16 AZ23 AZ37 AZ47 AZ50 AZ62 AZ93:AZ94 AZ99:AZ101 AI3:AI17</xm:sqref>
        </x14:dataValidation>
        <x14:dataValidation type="list" allowBlank="1" showInputMessage="1" showErrorMessage="1" xr:uid="{7647FDF5-7725-47BF-9809-64216DA191EB}">
          <x14:formula1>
            <xm:f>'Match Types'!$C$5</xm:f>
          </x14:formula1>
          <xm:sqref>AZ8:AZ15 AZ17:AZ22 AZ24:AZ36 AZ38:AZ46 AZ48:AZ49 AZ51:AZ61 AZ63:AZ92 AZ95:AZ98 AZ102:AZ1048576 AZ3:AZ6</xm:sqref>
        </x14:dataValidation>
        <x14:dataValidation type="list" allowBlank="1" showInputMessage="1" showErrorMessage="1" xr:uid="{A0872939-158F-4274-A10A-A0979B5FA02C}">
          <x14:formula1>
            <xm:f>'Match Types'!$C$4:$C$12</xm:f>
          </x14:formula1>
          <xm:sqref>AI122 AI18 AI20 AI22 AI29 AI32:AI33 AI35 AI53:AI55 AI70 AI72 AI75 AI77 AI81 AI85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6A64-F464-4B27-9CC7-18A54BAB6F0F}">
  <dimension ref="B4:E25"/>
  <sheetViews>
    <sheetView showGridLines="0" zoomScaleNormal="100" workbookViewId="0">
      <selection activeCell="E23" sqref="E23"/>
    </sheetView>
  </sheetViews>
  <sheetFormatPr defaultRowHeight="14.5" x14ac:dyDescent="0.35"/>
  <cols>
    <col min="1" max="2" width="1.7265625" customWidth="1"/>
    <col min="3" max="3" width="28" customWidth="1"/>
    <col min="4" max="4" width="28.453125" customWidth="1"/>
    <col min="5" max="5" width="127.453125" bestFit="1" customWidth="1"/>
    <col min="6" max="6" width="114" bestFit="1" customWidth="1"/>
    <col min="7" max="7" width="15.1796875" bestFit="1" customWidth="1"/>
    <col min="8" max="8" width="104.26953125" bestFit="1" customWidth="1"/>
  </cols>
  <sheetData>
    <row r="4" spans="2:5" x14ac:dyDescent="0.35">
      <c r="B4" s="16"/>
      <c r="C4" s="17" t="s">
        <v>1471</v>
      </c>
      <c r="D4" s="17" t="s">
        <v>1472</v>
      </c>
      <c r="E4" s="17" t="s">
        <v>1473</v>
      </c>
    </row>
    <row r="5" spans="2:5" x14ac:dyDescent="0.35">
      <c r="C5" s="23" t="s">
        <v>1474</v>
      </c>
      <c r="D5" s="22" t="s">
        <v>1475</v>
      </c>
      <c r="E5" s="20" t="s">
        <v>1476</v>
      </c>
    </row>
    <row r="6" spans="2:5" x14ac:dyDescent="0.35">
      <c r="C6" s="24" t="s">
        <v>1477</v>
      </c>
      <c r="D6" s="22" t="s">
        <v>1478</v>
      </c>
      <c r="E6" s="20" t="s">
        <v>1479</v>
      </c>
    </row>
    <row r="7" spans="2:5" x14ac:dyDescent="0.35">
      <c r="C7" s="25" t="s">
        <v>1480</v>
      </c>
      <c r="D7" s="22" t="s">
        <v>1481</v>
      </c>
      <c r="E7" s="20" t="s">
        <v>1482</v>
      </c>
    </row>
    <row r="8" spans="2:5" x14ac:dyDescent="0.35">
      <c r="C8" s="26" t="s">
        <v>1483</v>
      </c>
      <c r="D8" s="22" t="s">
        <v>1484</v>
      </c>
      <c r="E8" s="20" t="s">
        <v>1485</v>
      </c>
    </row>
    <row r="9" spans="2:5" x14ac:dyDescent="0.35">
      <c r="C9" s="27" t="s">
        <v>1486</v>
      </c>
      <c r="D9" s="22" t="s">
        <v>1487</v>
      </c>
      <c r="E9" s="20" t="s">
        <v>1488</v>
      </c>
    </row>
    <row r="10" spans="2:5" x14ac:dyDescent="0.35">
      <c r="C10" s="13" t="s">
        <v>1489</v>
      </c>
      <c r="D10" s="22" t="s">
        <v>1490</v>
      </c>
      <c r="E10" s="20" t="s">
        <v>1491</v>
      </c>
    </row>
    <row r="12" spans="2:5" x14ac:dyDescent="0.35">
      <c r="B12" s="14" t="s">
        <v>1492</v>
      </c>
      <c r="C12" s="14"/>
      <c r="D12" s="14" t="s">
        <v>1473</v>
      </c>
      <c r="E12" s="14"/>
    </row>
    <row r="13" spans="2:5" x14ac:dyDescent="0.35">
      <c r="C13" s="15" t="s">
        <v>25</v>
      </c>
      <c r="D13" s="28" t="s">
        <v>1493</v>
      </c>
      <c r="E13" s="20"/>
    </row>
    <row r="14" spans="2:5" x14ac:dyDescent="0.35">
      <c r="C14" s="15" t="s">
        <v>26</v>
      </c>
      <c r="D14" s="28" t="s">
        <v>1494</v>
      </c>
      <c r="E14" s="20"/>
    </row>
    <row r="15" spans="2:5" x14ac:dyDescent="0.35">
      <c r="C15" s="15" t="s">
        <v>27</v>
      </c>
      <c r="D15" s="29" t="s">
        <v>1495</v>
      </c>
      <c r="E15" s="20"/>
    </row>
    <row r="16" spans="2:5" x14ac:dyDescent="0.35">
      <c r="C16" s="30" t="s">
        <v>1496</v>
      </c>
      <c r="D16" s="29" t="s">
        <v>1497</v>
      </c>
      <c r="E16" s="20"/>
    </row>
    <row r="19" spans="2:5" x14ac:dyDescent="0.35">
      <c r="B19" s="14" t="s">
        <v>1498</v>
      </c>
      <c r="C19" s="14"/>
      <c r="D19" s="14" t="s">
        <v>1473</v>
      </c>
      <c r="E19" s="14" t="s">
        <v>1499</v>
      </c>
    </row>
    <row r="20" spans="2:5" x14ac:dyDescent="0.35">
      <c r="C20" s="18" t="s">
        <v>1500</v>
      </c>
      <c r="D20" s="28" t="s">
        <v>1501</v>
      </c>
      <c r="E20" s="21" t="str">
        <f>IF((COUNTIF(Data!A:A,"&lt;&gt;")-COUNTIF(Data!AI:AI,"&lt;&gt;"))=0,"Complete","Insert Match Types")</f>
        <v>Complete</v>
      </c>
    </row>
    <row r="21" spans="2:5" x14ac:dyDescent="0.35">
      <c r="C21" s="18" t="s">
        <v>32</v>
      </c>
      <c r="D21" s="28" t="s">
        <v>1502</v>
      </c>
      <c r="E21" s="21" t="str">
        <f>IF((COUNTIF(Data!AG:AG,"&lt;&gt;")-COUNTIF(Data!AF:AF,"&lt;&gt;"))=0,"Complete","Update Category Info")</f>
        <v>Complete</v>
      </c>
    </row>
    <row r="22" spans="2:5" x14ac:dyDescent="0.35">
      <c r="C22" s="18" t="s">
        <v>33</v>
      </c>
      <c r="D22" s="28" t="s">
        <v>1502</v>
      </c>
      <c r="E22" s="21" t="str">
        <f>IF((COUNTIF(Data!AH:AH,"&lt;&gt;")-COUNTIF(Data!AF:AF,"&lt;&gt;"))=0,"Complete","Update Product Description")</f>
        <v>Complete</v>
      </c>
    </row>
    <row r="23" spans="2:5" x14ac:dyDescent="0.35">
      <c r="C23" s="19" t="s">
        <v>35</v>
      </c>
      <c r="D23" s="28" t="s">
        <v>1502</v>
      </c>
      <c r="E23" s="21" t="str">
        <f>IF((COUNTIF(Data!AJ:AJ,"&lt;&gt;")-COUNTIF(Data!AF:AF,"&lt;&gt;"))=0,"Complete","Update PA Core")</f>
        <v>Complete</v>
      </c>
    </row>
    <row r="24" spans="2:5" x14ac:dyDescent="0.35">
      <c r="C24" s="12" t="s">
        <v>26</v>
      </c>
      <c r="D24" s="28" t="s">
        <v>1502</v>
      </c>
      <c r="E24" s="21" t="str">
        <f>IF((COUNTIF(Data!AA:AA,"&lt;&gt;")-COUNTIF(Data!AF:AF,"&lt;&gt;"))=0,"Complete","Update FNL UoM")</f>
        <v>Complete</v>
      </c>
    </row>
    <row r="25" spans="2:5" x14ac:dyDescent="0.35">
      <c r="C25" s="12" t="s">
        <v>27</v>
      </c>
      <c r="D25" s="28" t="s">
        <v>1502</v>
      </c>
      <c r="E25" s="21" t="str">
        <f>IF((COUNTIF(Data!AB:AB,"&lt;&gt;")-COUNTIF(Data!AF:AF,"&lt;&gt;"))=0,"Complete","Update Units per Pack")</f>
        <v>Complete</v>
      </c>
    </row>
  </sheetData>
  <conditionalFormatting sqref="E20:E25">
    <cfRule type="notContainsText" dxfId="2" priority="2" operator="notContains" text="Complete">
      <formula>ISERROR(SEARCH("Complete",E20))</formula>
    </cfRule>
    <cfRule type="containsText" dxfId="1" priority="3" operator="containsText" text="Complete">
      <formula>NOT(ISERROR(SEARCH("Complete",E20)))</formula>
    </cfRule>
  </conditionalFormatting>
  <conditionalFormatting sqref="C2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66A-6287-4013-B0AF-7FDEC1BB5A2C}">
  <dimension ref="C3:J17"/>
  <sheetViews>
    <sheetView zoomScale="130" zoomScaleNormal="130" workbookViewId="0"/>
  </sheetViews>
  <sheetFormatPr defaultRowHeight="14.5" x14ac:dyDescent="0.35"/>
  <cols>
    <col min="1" max="2" width="1.7265625" customWidth="1"/>
    <col min="3" max="3" width="23.453125" bestFit="1" customWidth="1"/>
    <col min="5" max="5" width="162.1796875" customWidth="1"/>
    <col min="10" max="10" width="112.54296875" customWidth="1"/>
  </cols>
  <sheetData>
    <row r="3" spans="3:5" x14ac:dyDescent="0.35">
      <c r="C3" s="14" t="s">
        <v>1503</v>
      </c>
      <c r="D3" s="14" t="s">
        <v>1504</v>
      </c>
      <c r="E3" s="14" t="s">
        <v>1505</v>
      </c>
    </row>
    <row r="4" spans="3:5" x14ac:dyDescent="0.35">
      <c r="C4" t="s">
        <v>69</v>
      </c>
      <c r="D4" t="s">
        <v>1506</v>
      </c>
      <c r="E4" t="s">
        <v>1507</v>
      </c>
    </row>
    <row r="5" spans="3:5" x14ac:dyDescent="0.35">
      <c r="C5" t="s">
        <v>58</v>
      </c>
      <c r="D5" t="s">
        <v>1508</v>
      </c>
      <c r="E5" t="s">
        <v>1509</v>
      </c>
    </row>
    <row r="6" spans="3:5" x14ac:dyDescent="0.35">
      <c r="C6" t="s">
        <v>206</v>
      </c>
      <c r="D6" t="s">
        <v>1510</v>
      </c>
      <c r="E6" t="s">
        <v>1511</v>
      </c>
    </row>
    <row r="7" spans="3:5" x14ac:dyDescent="0.35">
      <c r="C7" t="s">
        <v>44</v>
      </c>
      <c r="D7" t="s">
        <v>1512</v>
      </c>
      <c r="E7" t="s">
        <v>1513</v>
      </c>
    </row>
    <row r="8" spans="3:5" x14ac:dyDescent="0.35">
      <c r="C8" t="s">
        <v>394</v>
      </c>
      <c r="D8" t="s">
        <v>1514</v>
      </c>
      <c r="E8" t="s">
        <v>1515</v>
      </c>
    </row>
    <row r="9" spans="3:5" x14ac:dyDescent="0.35">
      <c r="C9" t="s">
        <v>652</v>
      </c>
      <c r="D9" t="s">
        <v>1516</v>
      </c>
      <c r="E9" t="s">
        <v>1517</v>
      </c>
    </row>
    <row r="10" spans="3:5" x14ac:dyDescent="0.35">
      <c r="C10" t="s">
        <v>1518</v>
      </c>
      <c r="D10" t="s">
        <v>1519</v>
      </c>
      <c r="E10" t="s">
        <v>1520</v>
      </c>
    </row>
    <row r="11" spans="3:5" x14ac:dyDescent="0.35">
      <c r="C11" t="s">
        <v>129</v>
      </c>
      <c r="D11" t="s">
        <v>1521</v>
      </c>
      <c r="E11" t="s">
        <v>1522</v>
      </c>
    </row>
    <row r="17" spans="10:10" x14ac:dyDescent="0.35">
      <c r="J17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792626c-082b-4be0-8dde-bf6c4f3e6892" xsi:nil="true"/>
    <_dlc_DocId xmlns="dca028c4-1572-4e76-985e-3945b006a67e">2ZHJXEC2K56H-1847063577-327209</_dlc_DocId>
    <_dlc_DocIdUrl xmlns="dca028c4-1572-4e76-985e-3945b006a67e">
      <Url>https://fastenal.sharepoint.com/sites/crm/_layouts/15/DocIdRedir.aspx?ID=2ZHJXEC2K56H-1847063577-327209</Url>
      <Description>2ZHJXEC2K56H-1847063577-327209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D275D87D67124690E133692565F9DA" ma:contentTypeVersion="16" ma:contentTypeDescription="Create a new document." ma:contentTypeScope="" ma:versionID="43d1d327bfb9dd810907cdc76aeace56">
  <xsd:schema xmlns:xsd="http://www.w3.org/2001/XMLSchema" xmlns:xs="http://www.w3.org/2001/XMLSchema" xmlns:p="http://schemas.microsoft.com/office/2006/metadata/properties" xmlns:ns2="dca028c4-1572-4e76-985e-3945b006a67e" xmlns:ns3="4792626c-082b-4be0-8dde-bf6c4f3e6892" targetNamespace="http://schemas.microsoft.com/office/2006/metadata/properties" ma:root="true" ma:fieldsID="ed7c5bf84707ef524351ca13448a1a9d" ns2:_="" ns3:_="">
    <xsd:import namespace="dca028c4-1572-4e76-985e-3945b006a67e"/>
    <xsd:import namespace="4792626c-082b-4be0-8dde-bf6c4f3e689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028c4-1572-4e76-985e-3945b006a6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2626c-082b-4be0-8dde-bf6c4f3e68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FA27515-B85F-49FE-AD39-6AE74C8CBD3F}">
  <ds:schemaRefs>
    <ds:schemaRef ds:uri="http://schemas.microsoft.com/office/2006/metadata/properties"/>
    <ds:schemaRef ds:uri="http://schemas.microsoft.com/office/infopath/2007/PartnerControls"/>
    <ds:schemaRef ds:uri="4792626c-082b-4be0-8dde-bf6c4f3e6892"/>
    <ds:schemaRef ds:uri="dca028c4-1572-4e76-985e-3945b006a67e"/>
  </ds:schemaRefs>
</ds:datastoreItem>
</file>

<file path=customXml/itemProps2.xml><?xml version="1.0" encoding="utf-8"?>
<ds:datastoreItem xmlns:ds="http://schemas.openxmlformats.org/officeDocument/2006/customXml" ds:itemID="{AF9FC7C4-9C8D-4320-A6A9-11B3EC20D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a028c4-1572-4e76-985e-3945b006a67e"/>
    <ds:schemaRef ds:uri="4792626c-082b-4be0-8dde-bf6c4f3e6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105AD6-3CFC-4279-882F-DF8D712757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72143B-6DE4-43E3-9D14-8DD263ADD95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Guideline</vt:lpstr>
      <vt:lpstr>Match Types</vt:lpstr>
    </vt:vector>
  </TitlesOfParts>
  <Manager/>
  <Company>Consolidated Container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skatarya</dc:creator>
  <cp:keywords/>
  <dc:description/>
  <cp:lastModifiedBy>Michael Johnson</cp:lastModifiedBy>
  <cp:revision/>
  <dcterms:created xsi:type="dcterms:W3CDTF">2011-06-06T20:40:23Z</dcterms:created>
  <dcterms:modified xsi:type="dcterms:W3CDTF">2022-02-28T19:18:45Z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0x01010008D275D87D67124690E133692565F9DA</vt:lpwstr>
  </property>
  <property fmtid="{D5CDD505-2E9C-101B-9397-08002B2CF9AE}" pid="3" name="_dlc_DocIdItemGuid">
    <vt:lpwstr>e304a22e-a873-4f20-b925-5c041d8b4d3d</vt:lpwstr>
  </property>
</Properties>
</file>