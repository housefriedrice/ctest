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Industrial Team\Procurement Advisors\2022 Customer RFPs\Molnlycke\"/>
    </mc:Choice>
  </mc:AlternateContent>
  <xr:revisionPtr revIDLastSave="0" documentId="13_ncr:1_{E8B1BF9D-1CD1-41EF-9194-46F3561D637B}" xr6:coauthVersionLast="46" xr6:coauthVersionMax="46" xr10:uidLastSave="{00000000-0000-0000-0000-000000000000}"/>
  <bookViews>
    <workbookView xWindow="-5835" yWindow="4035" windowWidth="4275" windowHeight="2175" tabRatio="798" xr2:uid="{00000000-000D-0000-FFFF-FFFF00000000}"/>
  </bookViews>
  <sheets>
    <sheet name="Summary.Confidential" sheetId="4" r:id="rId1"/>
    <sheet name="Loc.Summ.Confidential" sheetId="16" r:id="rId2"/>
    <sheet name="Segment.Confidential" sheetId="13" r:id="rId3"/>
    <sheet name="ItemDetail.Confidential" sheetId="5" r:id="rId4"/>
    <sheet name="Excluded.Confidential" sheetId="6" r:id="rId5"/>
  </sheets>
  <definedNames>
    <definedName name="_xlnm._FilterDatabase" localSheetId="4" hidden="1">Excluded.Confidential!$A$1:$P$78</definedName>
    <definedName name="_xlnm._FilterDatabase" localSheetId="3" hidden="1">ItemDetail.Confidential!$A$3:$AG$71</definedName>
    <definedName name="_xlnm._FilterDatabase" localSheetId="1" hidden="1">'Loc.Summ.Confidential'!$A$2:$G$4</definedName>
    <definedName name="_xlnm._FilterDatabase" localSheetId="2" hidden="1">Segment.Confidential!$A$2:$G$16</definedName>
    <definedName name="lookup21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11" i="5" l="1"/>
  <c r="AC19" i="5"/>
  <c r="AC27" i="5"/>
  <c r="AC35" i="5"/>
  <c r="AC43" i="5"/>
  <c r="AC51" i="5"/>
  <c r="AC55" i="5"/>
  <c r="AC59" i="5"/>
  <c r="AC63" i="5"/>
  <c r="AC67" i="5"/>
  <c r="AC71" i="5"/>
  <c r="R13" i="5"/>
  <c r="O13" i="5" s="1"/>
  <c r="P13" i="5" s="1"/>
  <c r="Q13" i="5" s="1"/>
  <c r="R8" i="5"/>
  <c r="O8" i="5" s="1"/>
  <c r="P8" i="5" s="1"/>
  <c r="Q8" i="5" s="1"/>
  <c r="R7" i="5"/>
  <c r="O7" i="5" s="1"/>
  <c r="P7" i="5" s="1"/>
  <c r="Q7" i="5" s="1"/>
  <c r="R6" i="5"/>
  <c r="O6" i="5" s="1"/>
  <c r="P6" i="5" s="1"/>
  <c r="Q6" i="5" s="1"/>
  <c r="R5" i="5"/>
  <c r="O5" i="5" s="1"/>
  <c r="P5" i="5" s="1"/>
  <c r="Q5" i="5" s="1"/>
  <c r="V11" i="5"/>
  <c r="V14" i="5"/>
  <c r="V19" i="5"/>
  <c r="V21" i="5"/>
  <c r="V25" i="5"/>
  <c r="V27" i="5"/>
  <c r="V33" i="5"/>
  <c r="V34" i="5"/>
  <c r="V45" i="5"/>
  <c r="V47" i="5"/>
  <c r="V49" i="5"/>
  <c r="V53" i="5"/>
  <c r="V57" i="5"/>
  <c r="V69" i="5"/>
  <c r="R9" i="5"/>
  <c r="O9" i="5" s="1"/>
  <c r="P9" i="5" s="1"/>
  <c r="Q9" i="5" s="1"/>
  <c r="R29" i="5"/>
  <c r="O29" i="5" s="1"/>
  <c r="P29" i="5" s="1"/>
  <c r="Q29" i="5" s="1"/>
  <c r="R30" i="5"/>
  <c r="O30" i="5" s="1"/>
  <c r="P30" i="5" s="1"/>
  <c r="Q30" i="5" s="1"/>
  <c r="R33" i="5"/>
  <c r="O33" i="5" s="1"/>
  <c r="P33" i="5" s="1"/>
  <c r="Q33" i="5" s="1"/>
  <c r="R45" i="5"/>
  <c r="O45" i="5" s="1"/>
  <c r="P45" i="5" s="1"/>
  <c r="Q45" i="5" s="1"/>
  <c r="R54" i="5"/>
  <c r="O54" i="5" s="1"/>
  <c r="P54" i="5" s="1"/>
  <c r="Q54" i="5" s="1"/>
  <c r="R69" i="5"/>
  <c r="O69" i="5" s="1"/>
  <c r="P69" i="5" s="1"/>
  <c r="Q69" i="5" s="1"/>
  <c r="R70" i="5"/>
  <c r="O70" i="5" s="1"/>
  <c r="P70" i="5" s="1"/>
  <c r="Q70" i="5" s="1"/>
  <c r="AC5" i="5"/>
  <c r="AC6" i="5"/>
  <c r="AC7" i="5"/>
  <c r="AC8" i="5"/>
  <c r="AC9" i="5"/>
  <c r="AC10" i="5"/>
  <c r="AC12" i="5"/>
  <c r="AC13" i="5"/>
  <c r="AC14" i="5"/>
  <c r="AC15" i="5"/>
  <c r="AC16" i="5"/>
  <c r="AC17" i="5"/>
  <c r="AC18" i="5"/>
  <c r="AC20" i="5"/>
  <c r="AC21" i="5"/>
  <c r="AC22" i="5"/>
  <c r="AC23" i="5"/>
  <c r="AC24" i="5"/>
  <c r="AC25" i="5"/>
  <c r="AC26" i="5"/>
  <c r="AC28" i="5"/>
  <c r="AC29" i="5"/>
  <c r="AC30" i="5"/>
  <c r="AC31" i="5"/>
  <c r="AC32" i="5"/>
  <c r="AC33" i="5"/>
  <c r="AC34" i="5"/>
  <c r="AC36" i="5"/>
  <c r="AC37" i="5"/>
  <c r="AC38" i="5"/>
  <c r="AC39" i="5"/>
  <c r="AC40" i="5"/>
  <c r="AC41" i="5"/>
  <c r="AC42" i="5"/>
  <c r="AC44" i="5"/>
  <c r="AC45" i="5"/>
  <c r="AC46" i="5"/>
  <c r="AC47" i="5"/>
  <c r="AC48" i="5"/>
  <c r="AC49" i="5"/>
  <c r="AC50" i="5"/>
  <c r="AC52" i="5"/>
  <c r="AC53" i="5"/>
  <c r="AC54" i="5"/>
  <c r="AC56" i="5"/>
  <c r="AC57" i="5"/>
  <c r="AC58" i="5"/>
  <c r="AC60" i="5"/>
  <c r="AC61" i="5"/>
  <c r="AC62" i="5"/>
  <c r="AC64" i="5"/>
  <c r="AC65" i="5"/>
  <c r="AC66" i="5"/>
  <c r="AC68" i="5"/>
  <c r="AC69" i="5"/>
  <c r="AC70" i="5"/>
  <c r="V5" i="5"/>
  <c r="V8" i="5"/>
  <c r="V12" i="5"/>
  <c r="V13" i="5"/>
  <c r="V16" i="5"/>
  <c r="V20" i="5"/>
  <c r="V24" i="5"/>
  <c r="V28" i="5"/>
  <c r="V29" i="5"/>
  <c r="V32" i="5"/>
  <c r="V36" i="5"/>
  <c r="V40" i="5"/>
  <c r="V44" i="5"/>
  <c r="V48" i="5"/>
  <c r="V52" i="5"/>
  <c r="V56" i="5"/>
  <c r="V60" i="5"/>
  <c r="V68" i="5"/>
  <c r="V71" i="5"/>
  <c r="R25" i="5"/>
  <c r="O25" i="5" s="1"/>
  <c r="P25" i="5" s="1"/>
  <c r="Q25" i="5" s="1"/>
  <c r="R31" i="5"/>
  <c r="O31" i="5" s="1"/>
  <c r="P31" i="5" s="1"/>
  <c r="Q31" i="5" s="1"/>
  <c r="R39" i="5"/>
  <c r="O39" i="5" s="1"/>
  <c r="P39" i="5" s="1"/>
  <c r="Q39" i="5" s="1"/>
  <c r="R41" i="5"/>
  <c r="O41" i="5" s="1"/>
  <c r="P41" i="5" s="1"/>
  <c r="Q41" i="5" s="1"/>
  <c r="R49" i="5"/>
  <c r="O49" i="5" s="1"/>
  <c r="P49" i="5" s="1"/>
  <c r="Q49" i="5" s="1"/>
  <c r="R57" i="5"/>
  <c r="O57" i="5" s="1"/>
  <c r="P57" i="5" s="1"/>
  <c r="Q57" i="5" s="1"/>
  <c r="R65" i="5"/>
  <c r="O65" i="5" s="1"/>
  <c r="P65" i="5" s="1"/>
  <c r="Q65" i="5" s="1"/>
  <c r="V55" i="5" l="1"/>
  <c r="R63" i="5"/>
  <c r="O63" i="5" s="1"/>
  <c r="P63" i="5" s="1"/>
  <c r="Q63" i="5" s="1"/>
  <c r="V64" i="5"/>
  <c r="R40" i="5"/>
  <c r="O40" i="5" s="1"/>
  <c r="P40" i="5" s="1"/>
  <c r="Q40" i="5" s="1"/>
  <c r="V61" i="5"/>
  <c r="R56" i="5"/>
  <c r="O56" i="5" s="1"/>
  <c r="P56" i="5" s="1"/>
  <c r="Q56" i="5" s="1"/>
  <c r="V58" i="5"/>
  <c r="R55" i="5"/>
  <c r="O55" i="5" s="1"/>
  <c r="P55" i="5" s="1"/>
  <c r="Q55" i="5" s="1"/>
  <c r="V41" i="5"/>
  <c r="X41" i="5" s="1"/>
  <c r="Y41" i="5" s="1"/>
  <c r="Z41" i="5" s="1"/>
  <c r="R71" i="5"/>
  <c r="O71" i="5" s="1"/>
  <c r="P71" i="5" s="1"/>
  <c r="Q71" i="5" s="1"/>
  <c r="R48" i="5"/>
  <c r="O48" i="5" s="1"/>
  <c r="P48" i="5" s="1"/>
  <c r="Q48" i="5" s="1"/>
  <c r="R47" i="5"/>
  <c r="O47" i="5" s="1"/>
  <c r="P47" i="5" s="1"/>
  <c r="Q47" i="5" s="1"/>
  <c r="V10" i="5"/>
  <c r="R64" i="5"/>
  <c r="O64" i="5" s="1"/>
  <c r="P64" i="5" s="1"/>
  <c r="Q64" i="5" s="1"/>
  <c r="V50" i="5"/>
  <c r="V23" i="5"/>
  <c r="V7" i="5"/>
  <c r="X7" i="5" s="1"/>
  <c r="Y7" i="5" s="1"/>
  <c r="Z7" i="5" s="1"/>
  <c r="V39" i="5"/>
  <c r="X39" i="5" s="1"/>
  <c r="Y39" i="5" s="1"/>
  <c r="Z39" i="5" s="1"/>
  <c r="V63" i="5"/>
  <c r="X63" i="5" s="1"/>
  <c r="Y63" i="5" s="1"/>
  <c r="Z63" i="5" s="1"/>
  <c r="V15" i="5"/>
  <c r="V31" i="5"/>
  <c r="X31" i="5" s="1"/>
  <c r="Y31" i="5" s="1"/>
  <c r="Z31" i="5" s="1"/>
  <c r="R17" i="5"/>
  <c r="O17" i="5" s="1"/>
  <c r="P17" i="5" s="1"/>
  <c r="Q17" i="5" s="1"/>
  <c r="R16" i="5"/>
  <c r="O16" i="5" s="1"/>
  <c r="P16" i="5" s="1"/>
  <c r="Q16" i="5" s="1"/>
  <c r="R32" i="5"/>
  <c r="O32" i="5" s="1"/>
  <c r="P32" i="5" s="1"/>
  <c r="Q32" i="5" s="1"/>
  <c r="R23" i="5"/>
  <c r="O23" i="5" s="1"/>
  <c r="P23" i="5" s="1"/>
  <c r="Q23" i="5" s="1"/>
  <c r="V37" i="5"/>
  <c r="V54" i="5"/>
  <c r="X54" i="5" s="1"/>
  <c r="Y54" i="5" s="1"/>
  <c r="Z54" i="5" s="1"/>
  <c r="V30" i="5"/>
  <c r="X30" i="5" s="1"/>
  <c r="Y30" i="5" s="1"/>
  <c r="Z30" i="5" s="1"/>
  <c r="V6" i="5"/>
  <c r="X6" i="5" s="1"/>
  <c r="Y6" i="5" s="1"/>
  <c r="Z6" i="5" s="1"/>
  <c r="R15" i="5"/>
  <c r="O15" i="5" s="1"/>
  <c r="P15" i="5" s="1"/>
  <c r="Q15" i="5" s="1"/>
  <c r="V62" i="5"/>
  <c r="V38" i="5"/>
  <c r="V70" i="5"/>
  <c r="X70" i="5" s="1"/>
  <c r="Y70" i="5" s="1"/>
  <c r="Z70" i="5" s="1"/>
  <c r="R24" i="5"/>
  <c r="O24" i="5" s="1"/>
  <c r="P24" i="5" s="1"/>
  <c r="Q24" i="5" s="1"/>
  <c r="V46" i="5"/>
  <c r="V22" i="5"/>
  <c r="V9" i="5"/>
  <c r="X9" i="5" s="1"/>
  <c r="Y9" i="5" s="1"/>
  <c r="Z9" i="5" s="1"/>
  <c r="V17" i="5"/>
  <c r="V65" i="5"/>
  <c r="X65" i="5" s="1"/>
  <c r="Y65" i="5" s="1"/>
  <c r="Z65" i="5" s="1"/>
  <c r="R21" i="5"/>
  <c r="O21" i="5" s="1"/>
  <c r="P21" i="5" s="1"/>
  <c r="Q21" i="5" s="1"/>
  <c r="R38" i="5"/>
  <c r="O38" i="5" s="1"/>
  <c r="P38" i="5" s="1"/>
  <c r="Q38" i="5" s="1"/>
  <c r="X40" i="5"/>
  <c r="Y40" i="5" s="1"/>
  <c r="Z40" i="5" s="1"/>
  <c r="R37" i="5"/>
  <c r="O37" i="5" s="1"/>
  <c r="P37" i="5" s="1"/>
  <c r="Q37" i="5" s="1"/>
  <c r="X8" i="5"/>
  <c r="Y8" i="5" s="1"/>
  <c r="Z8" i="5" s="1"/>
  <c r="R62" i="5"/>
  <c r="O62" i="5" s="1"/>
  <c r="P62" i="5" s="1"/>
  <c r="Q62" i="5" s="1"/>
  <c r="R46" i="5"/>
  <c r="O46" i="5" s="1"/>
  <c r="P46" i="5" s="1"/>
  <c r="Q46" i="5" s="1"/>
  <c r="R53" i="5"/>
  <c r="O53" i="5" s="1"/>
  <c r="P53" i="5" s="1"/>
  <c r="Q53" i="5" s="1"/>
  <c r="R14" i="5"/>
  <c r="O14" i="5" s="1"/>
  <c r="P14" i="5" s="1"/>
  <c r="Q14" i="5" s="1"/>
  <c r="V42" i="5"/>
  <c r="R61" i="5"/>
  <c r="O61" i="5" s="1"/>
  <c r="P61" i="5" s="1"/>
  <c r="Q61" i="5" s="1"/>
  <c r="R22" i="5"/>
  <c r="O22" i="5" s="1"/>
  <c r="P22" i="5" s="1"/>
  <c r="Q22" i="5" s="1"/>
  <c r="V66" i="5"/>
  <c r="X69" i="5"/>
  <c r="Y69" i="5" s="1"/>
  <c r="Z69" i="5" s="1"/>
  <c r="X64" i="5"/>
  <c r="Y64" i="5" s="1"/>
  <c r="Z64" i="5" s="1"/>
  <c r="X55" i="5"/>
  <c r="Y55" i="5" s="1"/>
  <c r="Z55" i="5" s="1"/>
  <c r="V18" i="5"/>
  <c r="V26" i="5"/>
  <c r="X16" i="5"/>
  <c r="Y16" i="5" s="1"/>
  <c r="Z16" i="5" s="1"/>
  <c r="V67" i="5"/>
  <c r="V59" i="5"/>
  <c r="V51" i="5"/>
  <c r="V43" i="5"/>
  <c r="V35" i="5"/>
  <c r="R68" i="5"/>
  <c r="AD68" i="5" s="1"/>
  <c r="AE68" i="5" s="1"/>
  <c r="AF68" i="5" s="1"/>
  <c r="R44" i="5"/>
  <c r="AD44" i="5" s="1"/>
  <c r="AE44" i="5" s="1"/>
  <c r="AF44" i="5" s="1"/>
  <c r="R20" i="5"/>
  <c r="X29" i="5"/>
  <c r="Y29" i="5" s="1"/>
  <c r="Z29" i="5" s="1"/>
  <c r="R52" i="5"/>
  <c r="R36" i="5"/>
  <c r="R12" i="5"/>
  <c r="AD12" i="5" s="1"/>
  <c r="AE12" i="5" s="1"/>
  <c r="AF12" i="5" s="1"/>
  <c r="X49" i="5"/>
  <c r="Y49" i="5" s="1"/>
  <c r="Z49" i="5" s="1"/>
  <c r="R67" i="5"/>
  <c r="R59" i="5"/>
  <c r="AD59" i="5" s="1"/>
  <c r="AE59" i="5" s="1"/>
  <c r="AF59" i="5" s="1"/>
  <c r="R51" i="5"/>
  <c r="AD51" i="5" s="1"/>
  <c r="AE51" i="5" s="1"/>
  <c r="AF51" i="5" s="1"/>
  <c r="R43" i="5"/>
  <c r="R35" i="5"/>
  <c r="AD35" i="5" s="1"/>
  <c r="AE35" i="5" s="1"/>
  <c r="AF35" i="5" s="1"/>
  <c r="R27" i="5"/>
  <c r="AD27" i="5" s="1"/>
  <c r="AE27" i="5" s="1"/>
  <c r="AF27" i="5" s="1"/>
  <c r="R19" i="5"/>
  <c r="AD19" i="5" s="1"/>
  <c r="AE19" i="5" s="1"/>
  <c r="AF19" i="5" s="1"/>
  <c r="R11" i="5"/>
  <c r="X25" i="5"/>
  <c r="Y25" i="5" s="1"/>
  <c r="Z25" i="5" s="1"/>
  <c r="AD65" i="5"/>
  <c r="AE65" i="5" s="1"/>
  <c r="AF65" i="5" s="1"/>
  <c r="AD57" i="5"/>
  <c r="AE57" i="5" s="1"/>
  <c r="AF57" i="5" s="1"/>
  <c r="AD49" i="5"/>
  <c r="AE49" i="5" s="1"/>
  <c r="AF49" i="5" s="1"/>
  <c r="AD41" i="5"/>
  <c r="AE41" i="5" s="1"/>
  <c r="AF41" i="5" s="1"/>
  <c r="AD33" i="5"/>
  <c r="AE33" i="5" s="1"/>
  <c r="AF33" i="5" s="1"/>
  <c r="AD25" i="5"/>
  <c r="AE25" i="5" s="1"/>
  <c r="AF25" i="5" s="1"/>
  <c r="AD9" i="5"/>
  <c r="AE9" i="5" s="1"/>
  <c r="AF9" i="5" s="1"/>
  <c r="R60" i="5"/>
  <c r="AD60" i="5" s="1"/>
  <c r="AE60" i="5" s="1"/>
  <c r="AF60" i="5" s="1"/>
  <c r="R28" i="5"/>
  <c r="R66" i="5"/>
  <c r="AD66" i="5" s="1"/>
  <c r="AE66" i="5" s="1"/>
  <c r="AF66" i="5" s="1"/>
  <c r="R58" i="5"/>
  <c r="R50" i="5"/>
  <c r="D20" i="13" s="1"/>
  <c r="R42" i="5"/>
  <c r="AD42" i="5" s="1"/>
  <c r="AE42" i="5" s="1"/>
  <c r="AF42" i="5" s="1"/>
  <c r="R34" i="5"/>
  <c r="R26" i="5"/>
  <c r="AD26" i="5" s="1"/>
  <c r="AE26" i="5" s="1"/>
  <c r="AF26" i="5" s="1"/>
  <c r="R18" i="5"/>
  <c r="R10" i="5"/>
  <c r="AD10" i="5" s="1"/>
  <c r="AE10" i="5" s="1"/>
  <c r="AF10" i="5" s="1"/>
  <c r="X5" i="5"/>
  <c r="Y5" i="5" s="1"/>
  <c r="Z5" i="5" s="1"/>
  <c r="AD64" i="5"/>
  <c r="AE64" i="5" s="1"/>
  <c r="AF64" i="5" s="1"/>
  <c r="AD40" i="5"/>
  <c r="AE40" i="5" s="1"/>
  <c r="AF40" i="5" s="1"/>
  <c r="AD32" i="5"/>
  <c r="AE32" i="5" s="1"/>
  <c r="AF32" i="5" s="1"/>
  <c r="AD16" i="5"/>
  <c r="AE16" i="5" s="1"/>
  <c r="AF16" i="5" s="1"/>
  <c r="AD8" i="5"/>
  <c r="AE8" i="5" s="1"/>
  <c r="AF8" i="5" s="1"/>
  <c r="X57" i="5"/>
  <c r="Y57" i="5" s="1"/>
  <c r="Z57" i="5" s="1"/>
  <c r="X33" i="5"/>
  <c r="Y33" i="5" s="1"/>
  <c r="Z33" i="5" s="1"/>
  <c r="AD55" i="5"/>
  <c r="AE55" i="5" s="1"/>
  <c r="AF55" i="5" s="1"/>
  <c r="AD39" i="5"/>
  <c r="AE39" i="5" s="1"/>
  <c r="AF39" i="5" s="1"/>
  <c r="AD31" i="5"/>
  <c r="AE31" i="5" s="1"/>
  <c r="AF31" i="5" s="1"/>
  <c r="AD7" i="5"/>
  <c r="AE7" i="5" s="1"/>
  <c r="AF7" i="5" s="1"/>
  <c r="X13" i="5"/>
  <c r="Y13" i="5" s="1"/>
  <c r="Z13" i="5" s="1"/>
  <c r="AD70" i="5"/>
  <c r="AE70" i="5" s="1"/>
  <c r="AF70" i="5" s="1"/>
  <c r="AD54" i="5"/>
  <c r="AE54" i="5" s="1"/>
  <c r="AF54" i="5" s="1"/>
  <c r="AD30" i="5"/>
  <c r="AE30" i="5" s="1"/>
  <c r="AF30" i="5" s="1"/>
  <c r="AD6" i="5"/>
  <c r="AE6" i="5" s="1"/>
  <c r="AF6" i="5" s="1"/>
  <c r="X45" i="5"/>
  <c r="Y45" i="5" s="1"/>
  <c r="Z45" i="5" s="1"/>
  <c r="AD69" i="5"/>
  <c r="AE69" i="5" s="1"/>
  <c r="AF69" i="5" s="1"/>
  <c r="AD45" i="5"/>
  <c r="AE45" i="5" s="1"/>
  <c r="AF45" i="5" s="1"/>
  <c r="AD29" i="5"/>
  <c r="AE29" i="5" s="1"/>
  <c r="AF29" i="5" s="1"/>
  <c r="AD13" i="5"/>
  <c r="AE13" i="5" s="1"/>
  <c r="AF13" i="5" s="1"/>
  <c r="AD5" i="5"/>
  <c r="AE5" i="5" s="1"/>
  <c r="AF5" i="5" s="1"/>
  <c r="C4" i="16"/>
  <c r="A4" i="16"/>
  <c r="D24" i="13"/>
  <c r="C24" i="13"/>
  <c r="B24" i="13"/>
  <c r="C23" i="13"/>
  <c r="B23" i="13"/>
  <c r="D22" i="13"/>
  <c r="C22" i="13"/>
  <c r="B22" i="13"/>
  <c r="D21" i="13"/>
  <c r="C21" i="13"/>
  <c r="B21" i="13"/>
  <c r="C20" i="13"/>
  <c r="B20" i="13"/>
  <c r="D19" i="13"/>
  <c r="C19" i="13"/>
  <c r="B19" i="13"/>
  <c r="D18" i="13"/>
  <c r="C18" i="13"/>
  <c r="B18" i="13"/>
  <c r="D17" i="13"/>
  <c r="C17" i="13"/>
  <c r="B17" i="13"/>
  <c r="D23" i="13" l="1"/>
  <c r="AD47" i="5"/>
  <c r="AE47" i="5" s="1"/>
  <c r="AF47" i="5" s="1"/>
  <c r="AD62" i="5"/>
  <c r="AE62" i="5" s="1"/>
  <c r="AF62" i="5" s="1"/>
  <c r="X23" i="5"/>
  <c r="Y23" i="5" s="1"/>
  <c r="Z23" i="5" s="1"/>
  <c r="X47" i="5"/>
  <c r="Y47" i="5" s="1"/>
  <c r="Z47" i="5" s="1"/>
  <c r="AD21" i="5"/>
  <c r="AE21" i="5" s="1"/>
  <c r="AF21" i="5" s="1"/>
  <c r="AD63" i="5"/>
  <c r="AE63" i="5" s="1"/>
  <c r="AF63" i="5" s="1"/>
  <c r="X71" i="5"/>
  <c r="Y71" i="5" s="1"/>
  <c r="Z71" i="5" s="1"/>
  <c r="AD71" i="5"/>
  <c r="AE71" i="5" s="1"/>
  <c r="AF71" i="5" s="1"/>
  <c r="X56" i="5"/>
  <c r="Y56" i="5" s="1"/>
  <c r="Z56" i="5" s="1"/>
  <c r="AD24" i="5"/>
  <c r="AE24" i="5" s="1"/>
  <c r="AF24" i="5" s="1"/>
  <c r="AD48" i="5"/>
  <c r="AE48" i="5" s="1"/>
  <c r="AF48" i="5" s="1"/>
  <c r="X48" i="5"/>
  <c r="Y48" i="5" s="1"/>
  <c r="Z48" i="5" s="1"/>
  <c r="AD23" i="5"/>
  <c r="AE23" i="5" s="1"/>
  <c r="AF23" i="5" s="1"/>
  <c r="AD56" i="5"/>
  <c r="AE56" i="5" s="1"/>
  <c r="AF56" i="5" s="1"/>
  <c r="X32" i="5"/>
  <c r="Y32" i="5" s="1"/>
  <c r="Z32" i="5" s="1"/>
  <c r="X24" i="5"/>
  <c r="Y24" i="5" s="1"/>
  <c r="Z24" i="5" s="1"/>
  <c r="AD17" i="5"/>
  <c r="AE17" i="5" s="1"/>
  <c r="AF17" i="5" s="1"/>
  <c r="X17" i="5"/>
  <c r="Y17" i="5" s="1"/>
  <c r="Z17" i="5" s="1"/>
  <c r="X62" i="5"/>
  <c r="Y62" i="5" s="1"/>
  <c r="Z62" i="5" s="1"/>
  <c r="AD15" i="5"/>
  <c r="AE15" i="5" s="1"/>
  <c r="AF15" i="5" s="1"/>
  <c r="X61" i="5"/>
  <c r="Y61" i="5" s="1"/>
  <c r="Z61" i="5" s="1"/>
  <c r="X46" i="5"/>
  <c r="Y46" i="5" s="1"/>
  <c r="Z46" i="5" s="1"/>
  <c r="AD53" i="5"/>
  <c r="AE53" i="5" s="1"/>
  <c r="AF53" i="5" s="1"/>
  <c r="AD38" i="5"/>
  <c r="AE38" i="5" s="1"/>
  <c r="AF38" i="5" s="1"/>
  <c r="X15" i="5"/>
  <c r="Y15" i="5" s="1"/>
  <c r="Z15" i="5" s="1"/>
  <c r="X37" i="5"/>
  <c r="Y37" i="5" s="1"/>
  <c r="Z37" i="5" s="1"/>
  <c r="X22" i="5"/>
  <c r="Y22" i="5" s="1"/>
  <c r="Z22" i="5" s="1"/>
  <c r="X38" i="5"/>
  <c r="Y38" i="5" s="1"/>
  <c r="Z38" i="5" s="1"/>
  <c r="X21" i="5"/>
  <c r="Y21" i="5" s="1"/>
  <c r="Z21" i="5" s="1"/>
  <c r="X14" i="5"/>
  <c r="Y14" i="5" s="1"/>
  <c r="Z14" i="5" s="1"/>
  <c r="AD14" i="5"/>
  <c r="AE14" i="5" s="1"/>
  <c r="AF14" i="5" s="1"/>
  <c r="AD37" i="5"/>
  <c r="AE37" i="5" s="1"/>
  <c r="AF37" i="5" s="1"/>
  <c r="AD46" i="5"/>
  <c r="AE46" i="5" s="1"/>
  <c r="AF46" i="5" s="1"/>
  <c r="X53" i="5"/>
  <c r="Y53" i="5" s="1"/>
  <c r="Z53" i="5" s="1"/>
  <c r="AD61" i="5"/>
  <c r="AE61" i="5" s="1"/>
  <c r="AF61" i="5" s="1"/>
  <c r="AD22" i="5"/>
  <c r="AE22" i="5" s="1"/>
  <c r="AF22" i="5" s="1"/>
  <c r="O18" i="5"/>
  <c r="P18" i="5" s="1"/>
  <c r="Q18" i="5" s="1"/>
  <c r="X18" i="5"/>
  <c r="Y18" i="5" s="1"/>
  <c r="Z18" i="5" s="1"/>
  <c r="O43" i="5"/>
  <c r="P43" i="5" s="1"/>
  <c r="Q43" i="5" s="1"/>
  <c r="X43" i="5"/>
  <c r="Y43" i="5" s="1"/>
  <c r="Z43" i="5" s="1"/>
  <c r="O12" i="5"/>
  <c r="P12" i="5" s="1"/>
  <c r="Q12" i="5" s="1"/>
  <c r="X12" i="5"/>
  <c r="Y12" i="5" s="1"/>
  <c r="Z12" i="5" s="1"/>
  <c r="O42" i="5"/>
  <c r="P42" i="5" s="1"/>
  <c r="Q42" i="5" s="1"/>
  <c r="X42" i="5"/>
  <c r="Y42" i="5" s="1"/>
  <c r="Z42" i="5" s="1"/>
  <c r="O60" i="5"/>
  <c r="P60" i="5" s="1"/>
  <c r="Q60" i="5" s="1"/>
  <c r="X60" i="5"/>
  <c r="Y60" i="5" s="1"/>
  <c r="Z60" i="5" s="1"/>
  <c r="O67" i="5"/>
  <c r="P67" i="5" s="1"/>
  <c r="Q67" i="5" s="1"/>
  <c r="X67" i="5"/>
  <c r="Y67" i="5" s="1"/>
  <c r="Z67" i="5" s="1"/>
  <c r="O52" i="5"/>
  <c r="P52" i="5" s="1"/>
  <c r="Q52" i="5" s="1"/>
  <c r="X52" i="5"/>
  <c r="Y52" i="5" s="1"/>
  <c r="Z52" i="5" s="1"/>
  <c r="O44" i="5"/>
  <c r="P44" i="5" s="1"/>
  <c r="Q44" i="5" s="1"/>
  <c r="X44" i="5"/>
  <c r="Y44" i="5" s="1"/>
  <c r="Z44" i="5" s="1"/>
  <c r="O50" i="5"/>
  <c r="P50" i="5" s="1"/>
  <c r="Q50" i="5" s="1"/>
  <c r="X50" i="5"/>
  <c r="Y50" i="5" s="1"/>
  <c r="Z50" i="5" s="1"/>
  <c r="O11" i="5"/>
  <c r="P11" i="5" s="1"/>
  <c r="Q11" i="5" s="1"/>
  <c r="X11" i="5"/>
  <c r="Y11" i="5" s="1"/>
  <c r="Z11" i="5" s="1"/>
  <c r="AD11" i="5"/>
  <c r="AE11" i="5" s="1"/>
  <c r="AF11" i="5" s="1"/>
  <c r="O68" i="5"/>
  <c r="P68" i="5" s="1"/>
  <c r="Q68" i="5" s="1"/>
  <c r="X68" i="5"/>
  <c r="Y68" i="5" s="1"/>
  <c r="Z68" i="5" s="1"/>
  <c r="O34" i="5"/>
  <c r="P34" i="5" s="1"/>
  <c r="Q34" i="5" s="1"/>
  <c r="X34" i="5"/>
  <c r="Y34" i="5" s="1"/>
  <c r="Z34" i="5" s="1"/>
  <c r="O28" i="5"/>
  <c r="P28" i="5" s="1"/>
  <c r="Q28" i="5" s="1"/>
  <c r="X28" i="5"/>
  <c r="Y28" i="5" s="1"/>
  <c r="Z28" i="5" s="1"/>
  <c r="O59" i="5"/>
  <c r="P59" i="5" s="1"/>
  <c r="Q59" i="5" s="1"/>
  <c r="X59" i="5"/>
  <c r="Y59" i="5" s="1"/>
  <c r="Z59" i="5" s="1"/>
  <c r="O36" i="5"/>
  <c r="P36" i="5" s="1"/>
  <c r="Q36" i="5" s="1"/>
  <c r="X36" i="5"/>
  <c r="Y36" i="5" s="1"/>
  <c r="Z36" i="5" s="1"/>
  <c r="O20" i="5"/>
  <c r="P20" i="5" s="1"/>
  <c r="Q20" i="5" s="1"/>
  <c r="X20" i="5"/>
  <c r="Y20" i="5" s="1"/>
  <c r="Z20" i="5" s="1"/>
  <c r="AD20" i="5"/>
  <c r="AE20" i="5" s="1"/>
  <c r="AF20" i="5" s="1"/>
  <c r="O58" i="5"/>
  <c r="P58" i="5" s="1"/>
  <c r="Q58" i="5" s="1"/>
  <c r="X58" i="5"/>
  <c r="Y58" i="5" s="1"/>
  <c r="Z58" i="5" s="1"/>
  <c r="O19" i="5"/>
  <c r="P19" i="5" s="1"/>
  <c r="Q19" i="5" s="1"/>
  <c r="X19" i="5"/>
  <c r="Y19" i="5" s="1"/>
  <c r="Z19" i="5" s="1"/>
  <c r="AD43" i="5"/>
  <c r="AE43" i="5" s="1"/>
  <c r="AF43" i="5" s="1"/>
  <c r="O26" i="5"/>
  <c r="P26" i="5" s="1"/>
  <c r="Q26" i="5" s="1"/>
  <c r="X26" i="5"/>
  <c r="Y26" i="5" s="1"/>
  <c r="Z26" i="5" s="1"/>
  <c r="O51" i="5"/>
  <c r="P51" i="5" s="1"/>
  <c r="Q51" i="5" s="1"/>
  <c r="X51" i="5"/>
  <c r="Y51" i="5" s="1"/>
  <c r="Z51" i="5" s="1"/>
  <c r="O66" i="5"/>
  <c r="P66" i="5" s="1"/>
  <c r="Q66" i="5" s="1"/>
  <c r="X66" i="5"/>
  <c r="Y66" i="5" s="1"/>
  <c r="Z66" i="5" s="1"/>
  <c r="O27" i="5"/>
  <c r="P27" i="5" s="1"/>
  <c r="Q27" i="5" s="1"/>
  <c r="X27" i="5"/>
  <c r="Y27" i="5" s="1"/>
  <c r="Z27" i="5" s="1"/>
  <c r="AD50" i="5"/>
  <c r="AE50" i="5" s="1"/>
  <c r="AF50" i="5" s="1"/>
  <c r="AD52" i="5"/>
  <c r="AE52" i="5" s="1"/>
  <c r="AF52" i="5" s="1"/>
  <c r="AD67" i="5"/>
  <c r="AE67" i="5" s="1"/>
  <c r="AF67" i="5" s="1"/>
  <c r="AD28" i="5"/>
  <c r="AE28" i="5" s="1"/>
  <c r="AF28" i="5" s="1"/>
  <c r="O10" i="5"/>
  <c r="P10" i="5" s="1"/>
  <c r="Q10" i="5" s="1"/>
  <c r="X10" i="5"/>
  <c r="Y10" i="5" s="1"/>
  <c r="Z10" i="5" s="1"/>
  <c r="AD18" i="5"/>
  <c r="AE18" i="5" s="1"/>
  <c r="AF18" i="5" s="1"/>
  <c r="O35" i="5"/>
  <c r="P35" i="5" s="1"/>
  <c r="Q35" i="5" s="1"/>
  <c r="X35" i="5"/>
  <c r="Y35" i="5" s="1"/>
  <c r="Z35" i="5" s="1"/>
  <c r="AD58" i="5"/>
  <c r="AE58" i="5" s="1"/>
  <c r="AF58" i="5" s="1"/>
  <c r="AD34" i="5"/>
  <c r="AE34" i="5" s="1"/>
  <c r="AF34" i="5" s="1"/>
  <c r="AD36" i="5"/>
  <c r="AE36" i="5" s="1"/>
  <c r="AF36" i="5" s="1"/>
  <c r="F20" i="13"/>
  <c r="G20" i="13" s="1"/>
  <c r="F19" i="13"/>
  <c r="G19" i="13" s="1"/>
  <c r="F23" i="13"/>
  <c r="G23" i="13" s="1"/>
  <c r="F24" i="13"/>
  <c r="G24" i="13" s="1"/>
  <c r="F17" i="13"/>
  <c r="G17" i="13" s="1"/>
  <c r="F22" i="13"/>
  <c r="G22" i="13" s="1"/>
  <c r="F21" i="13"/>
  <c r="G21" i="13" s="1"/>
  <c r="F18" i="13"/>
  <c r="G18" i="13" s="1"/>
  <c r="A12" i="4" l="1"/>
  <c r="A6" i="4"/>
  <c r="C16" i="13" l="1"/>
  <c r="C15" i="13"/>
  <c r="C14" i="13"/>
  <c r="C13" i="13"/>
  <c r="C12" i="13"/>
  <c r="C11" i="13"/>
  <c r="C10" i="13"/>
  <c r="C9" i="13"/>
  <c r="C8" i="13"/>
  <c r="C6" i="13"/>
  <c r="C5" i="13"/>
  <c r="C4" i="13"/>
  <c r="B16" i="13" l="1"/>
  <c r="B15" i="13"/>
  <c r="B14" i="13"/>
  <c r="B11" i="13"/>
  <c r="B13" i="13"/>
  <c r="B12" i="13"/>
  <c r="B18" i="4" l="1"/>
  <c r="D16" i="13" l="1"/>
  <c r="F16" i="13" s="1"/>
  <c r="G16" i="13" s="1"/>
  <c r="D14" i="13"/>
  <c r="F14" i="13" s="1"/>
  <c r="G14" i="13" s="1"/>
  <c r="D13" i="13"/>
  <c r="F13" i="13" s="1"/>
  <c r="G13" i="13" s="1"/>
  <c r="D12" i="13"/>
  <c r="F12" i="13" s="1"/>
  <c r="G12" i="13" s="1"/>
  <c r="D11" i="13"/>
  <c r="F11" i="13" s="1"/>
  <c r="G11" i="13" s="1"/>
  <c r="D15" i="13"/>
  <c r="F15" i="13" s="1"/>
  <c r="G15" i="13" s="1"/>
  <c r="B10" i="13" l="1"/>
  <c r="B8" i="13"/>
  <c r="B9" i="13"/>
  <c r="B7" i="13"/>
  <c r="B6" i="13"/>
  <c r="B5" i="13"/>
  <c r="B4" i="13"/>
  <c r="AC4" i="5"/>
  <c r="V4" i="5" l="1"/>
  <c r="C7" i="13" l="1"/>
  <c r="D4" i="16"/>
  <c r="D18" i="4"/>
  <c r="C3" i="13"/>
  <c r="D3" i="16"/>
  <c r="D17" i="4"/>
  <c r="B3" i="13"/>
  <c r="B25" i="13" s="1"/>
  <c r="C25" i="13" l="1"/>
  <c r="C3" i="16"/>
  <c r="B22" i="4" l="1"/>
  <c r="B36" i="4" s="1"/>
  <c r="B35" i="4"/>
  <c r="B29" i="4"/>
  <c r="C6" i="4"/>
  <c r="B17" i="4"/>
  <c r="D5" i="16"/>
  <c r="C5" i="16"/>
  <c r="B37" i="4" l="1"/>
  <c r="B19" i="4"/>
  <c r="D19" i="4"/>
  <c r="C17" i="4" s="1"/>
  <c r="C18" i="4" l="1"/>
  <c r="C19" i="4" s="1"/>
  <c r="E23" i="13" l="1"/>
  <c r="E19" i="13"/>
  <c r="E22" i="13"/>
  <c r="E18" i="13"/>
  <c r="E17" i="13"/>
  <c r="E20" i="13"/>
  <c r="E21" i="13"/>
  <c r="E24" i="13"/>
  <c r="E16" i="13"/>
  <c r="E11" i="13"/>
  <c r="E12" i="13"/>
  <c r="E13" i="13"/>
  <c r="E14" i="13"/>
  <c r="E15" i="13"/>
  <c r="E8" i="13"/>
  <c r="E10" i="13"/>
  <c r="E7" i="13"/>
  <c r="E5" i="13"/>
  <c r="E6" i="13"/>
  <c r="E4" i="13"/>
  <c r="E3" i="13"/>
  <c r="E9" i="13"/>
  <c r="E25" i="13" l="1"/>
  <c r="R4" i="5"/>
  <c r="E4" i="16" s="1"/>
  <c r="F4" i="16" s="1"/>
  <c r="G4" i="16" s="1"/>
  <c r="E18" i="4" l="1"/>
  <c r="AD4" i="5"/>
  <c r="AE4" i="5" s="1"/>
  <c r="AF4" i="5" s="1"/>
  <c r="X4" i="5"/>
  <c r="Y4" i="5" s="1"/>
  <c r="Z4" i="5" s="1"/>
  <c r="O4" i="5"/>
  <c r="P4" i="5" s="1"/>
  <c r="Q4" i="5" s="1"/>
  <c r="E3" i="16" l="1"/>
  <c r="F3" i="16" s="1"/>
  <c r="G3" i="16" s="1"/>
  <c r="D3" i="13" l="1"/>
  <c r="D6" i="13"/>
  <c r="F6" i="13" s="1"/>
  <c r="G6" i="13" s="1"/>
  <c r="D5" i="13"/>
  <c r="F5" i="13" s="1"/>
  <c r="G5" i="13" s="1"/>
  <c r="D8" i="13"/>
  <c r="F8" i="13" s="1"/>
  <c r="G8" i="13" s="1"/>
  <c r="D9" i="13"/>
  <c r="F9" i="13" s="1"/>
  <c r="G9" i="13" s="1"/>
  <c r="D7" i="13"/>
  <c r="F7" i="13" s="1"/>
  <c r="G7" i="13" s="1"/>
  <c r="F3" i="13" l="1"/>
  <c r="D10" i="13"/>
  <c r="F10" i="13" s="1"/>
  <c r="G10" i="13" s="1"/>
  <c r="D4" i="13"/>
  <c r="F4" i="13" s="1"/>
  <c r="C22" i="4"/>
  <c r="G3" i="13" l="1"/>
  <c r="F25" i="13"/>
  <c r="D25" i="13"/>
  <c r="E17" i="4"/>
  <c r="F17" i="4" s="1"/>
  <c r="E22" i="4"/>
  <c r="G22" i="4" s="1"/>
  <c r="D6" i="4"/>
  <c r="E6" i="4" s="1"/>
  <c r="F6" i="4" s="1"/>
  <c r="D22" i="4"/>
  <c r="B6" i="4"/>
  <c r="G4" i="13"/>
  <c r="E19" i="4" l="1"/>
  <c r="F19" i="4" s="1"/>
  <c r="C13" i="4"/>
  <c r="D9" i="4"/>
  <c r="G13" i="4"/>
  <c r="G9" i="4"/>
  <c r="G12" i="4"/>
  <c r="G17" i="4"/>
  <c r="E12" i="4"/>
  <c r="E5" i="16"/>
  <c r="F5" i="16" s="1"/>
  <c r="G5" i="16" s="1"/>
  <c r="G25" i="13"/>
  <c r="B12" i="4"/>
  <c r="C12" i="4"/>
  <c r="B9" i="4"/>
  <c r="C9" i="4"/>
  <c r="E13" i="4"/>
  <c r="B13" i="4"/>
  <c r="D12" i="4"/>
  <c r="D13" i="4"/>
  <c r="F13" i="4"/>
  <c r="F9" i="4"/>
  <c r="F12" i="4"/>
  <c r="F18" i="4"/>
  <c r="E9" i="4"/>
  <c r="G18" i="4"/>
  <c r="F22" i="4"/>
  <c r="F23" i="4" s="1"/>
  <c r="G23" i="4" s="1"/>
  <c r="G19" i="4" l="1"/>
  <c r="G14" i="4"/>
  <c r="C14" i="4"/>
  <c r="E14" i="4"/>
  <c r="H13" i="4"/>
  <c r="B14" i="4"/>
  <c r="D14" i="4"/>
  <c r="H9" i="4"/>
  <c r="F14" i="4"/>
  <c r="H12" i="4"/>
  <c r="B15" i="4" s="1"/>
  <c r="C15" i="4" l="1"/>
  <c r="H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u005p9</author>
  </authors>
  <commentList>
    <comment ref="U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u005p9:</t>
        </r>
        <r>
          <rPr>
            <sz val="9"/>
            <color indexed="81"/>
            <rFont val="Tahoma"/>
            <family val="2"/>
          </rPr>
          <t xml:space="preserve">
Current Hotlist
New Hotlist
Local Pricing
PPG Pricing</t>
        </r>
      </text>
    </comment>
  </commentList>
</comments>
</file>

<file path=xl/sharedStrings.xml><?xml version="1.0" encoding="utf-8"?>
<sst xmlns="http://schemas.openxmlformats.org/spreadsheetml/2006/main" count="984" uniqueCount="353">
  <si>
    <t>%</t>
  </si>
  <si>
    <t>Comments</t>
  </si>
  <si>
    <t>PA Extended</t>
  </si>
  <si>
    <t>Savings</t>
  </si>
  <si>
    <t>Savings %</t>
  </si>
  <si>
    <t>Total Spend Provided</t>
  </si>
  <si>
    <t>Benchmarked Spend</t>
  </si>
  <si>
    <t>Benchmarked % of Total</t>
  </si>
  <si>
    <t>PA Pricing</t>
  </si>
  <si>
    <t>Savings $</t>
  </si>
  <si>
    <t>No. of SKUs</t>
  </si>
  <si>
    <t>Negative</t>
  </si>
  <si>
    <t>Same</t>
  </si>
  <si>
    <t>0-10%</t>
  </si>
  <si>
    <t>10-20%</t>
  </si>
  <si>
    <t>20-30%</t>
  </si>
  <si>
    <t>30+%</t>
  </si>
  <si>
    <t>Total</t>
  </si>
  <si>
    <t>Total SKUs</t>
  </si>
  <si>
    <t>$ Spend</t>
  </si>
  <si>
    <t>SKU Level Savings</t>
  </si>
  <si>
    <t>CSPL breakdown</t>
  </si>
  <si>
    <t>SKUs</t>
  </si>
  <si>
    <t xml:space="preserve"> $</t>
  </si>
  <si>
    <t>PA $</t>
  </si>
  <si>
    <t>CSPL Skus</t>
  </si>
  <si>
    <t>Non-CSPL Skus</t>
  </si>
  <si>
    <t>Note:</t>
  </si>
  <si>
    <t>(3) Used company purchase history to compare against PA current price</t>
  </si>
  <si>
    <t>(4) Savings do not reflect (a) volume and manufacturer rebates, (b) CSPL alternatives and future CSPL adds</t>
  </si>
  <si>
    <t>Savings Cat.</t>
  </si>
  <si>
    <t>Notes</t>
  </si>
  <si>
    <t>CSPL</t>
  </si>
  <si>
    <t>Current Price</t>
  </si>
  <si>
    <t>Current Extended</t>
  </si>
  <si>
    <t>Savings vs. Current</t>
  </si>
  <si>
    <t>Savings vs. Paid</t>
  </si>
  <si>
    <t>Paid Price</t>
  </si>
  <si>
    <t>PA Price</t>
  </si>
  <si>
    <t>(5) Benchmark pricing valid for 60 days</t>
  </si>
  <si>
    <t>Segment Breakdown</t>
  </si>
  <si>
    <t>Segment</t>
  </si>
  <si>
    <t># SKUs</t>
  </si>
  <si>
    <t>Total Spend</t>
  </si>
  <si>
    <t>PA Ext Price</t>
  </si>
  <si>
    <t>% of Total</t>
  </si>
  <si>
    <t>Saving %</t>
  </si>
  <si>
    <t>Totals</t>
  </si>
  <si>
    <t>Location Summary</t>
  </si>
  <si>
    <t>Location Name</t>
  </si>
  <si>
    <t>Total Paid</t>
  </si>
  <si>
    <t>PA Ext. Price</t>
  </si>
  <si>
    <t>#</t>
  </si>
  <si>
    <t>ITEM NUMBER</t>
  </si>
  <si>
    <t>ITEM DESCRIPTION</t>
  </si>
  <si>
    <t>PURCHASE AMOUNT</t>
  </si>
  <si>
    <t>QTY PURCHASED</t>
  </si>
  <si>
    <t>TRANSACTIONS</t>
  </si>
  <si>
    <t>Exact SKU benchmarking</t>
  </si>
  <si>
    <t>Deeply discounted SKU List</t>
  </si>
  <si>
    <t>Category Discounts (15-50%) or Spot Discounts of atleast 10%</t>
  </si>
  <si>
    <t>Other savings opportunities:</t>
  </si>
  <si>
    <t>Free Freight Benefit</t>
  </si>
  <si>
    <t>Paid freight Prior 12 months</t>
  </si>
  <si>
    <t>PA freight charges</t>
  </si>
  <si>
    <t>Annual Freight Savings Benefit</t>
  </si>
  <si>
    <t>estimate</t>
  </si>
  <si>
    <t>Net 60 benefit</t>
  </si>
  <si>
    <t>Annual rate of return (estimated)</t>
  </si>
  <si>
    <t>Current payment terms (largest act, in days)</t>
  </si>
  <si>
    <t>PA payment terms (in days)</t>
  </si>
  <si>
    <t>Payment Term benefit adjustment</t>
  </si>
  <si>
    <t>R12 Spend</t>
  </si>
  <si>
    <t>Preferred terms estimate</t>
  </si>
  <si>
    <t>(6) "Other Savings" numbers are projections based on historical spend and current agreements, actual numbers and percentages will change based of future spend patterns</t>
  </si>
  <si>
    <t>Overall Savings</t>
  </si>
  <si>
    <t>(2) Benchmarked all SKUs except sourced items</t>
  </si>
  <si>
    <t>Fisher</t>
  </si>
  <si>
    <t>Fisher-PA</t>
  </si>
  <si>
    <t>(1) Total spend is data provided by Fisher</t>
  </si>
  <si>
    <t>List Price</t>
  </si>
  <si>
    <t>List Extended</t>
  </si>
  <si>
    <t>Discount %</t>
  </si>
  <si>
    <t>Discount Category</t>
  </si>
  <si>
    <t>Discount off List</t>
  </si>
  <si>
    <t>Procurement Advisors - Benchmarking Summary</t>
  </si>
  <si>
    <t>Customer</t>
  </si>
  <si>
    <t>Date Range</t>
  </si>
  <si>
    <t>CSPL (Y/N)</t>
  </si>
  <si>
    <t>Pricing Category</t>
  </si>
  <si>
    <t>Current Hotlist</t>
  </si>
  <si>
    <t>Local Pricing</t>
  </si>
  <si>
    <t>PPG Pricing</t>
  </si>
  <si>
    <t>Y</t>
  </si>
  <si>
    <t>N</t>
  </si>
  <si>
    <t>CUSTOMER CITY</t>
  </si>
  <si>
    <t>MANUFACTURER NAME</t>
  </si>
  <si>
    <t>STANDARD UOM</t>
  </si>
  <si>
    <t># OF UNITS IN A STND UOM</t>
  </si>
  <si>
    <t>PA PRICE</t>
  </si>
  <si>
    <t>LTM Savings $</t>
  </si>
  <si>
    <t>LTM Savings %</t>
  </si>
  <si>
    <t>LTM Savings Cat.</t>
  </si>
  <si>
    <t>PRODUCT SEGMENT  (CMT1)</t>
  </si>
  <si>
    <t>PRODUCT FAMILY  (CMT2)</t>
  </si>
  <si>
    <t>MATERIAL CATEGORY  (CMT3)</t>
  </si>
  <si>
    <t>Category: Current Price or Average Price</t>
  </si>
  <si>
    <t>Alternate UOM</t>
  </si>
  <si>
    <t># OF SU UNITS IN AU</t>
  </si>
  <si>
    <t>Lab Supplies</t>
  </si>
  <si>
    <t>PK</t>
  </si>
  <si>
    <t>CS</t>
  </si>
  <si>
    <t>Lab Consumables</t>
  </si>
  <si>
    <t>Bags</t>
  </si>
  <si>
    <t>Rebate</t>
  </si>
  <si>
    <t>WISCASSET</t>
  </si>
  <si>
    <t>SS254200</t>
  </si>
  <si>
    <t>SODIUM HYDROX SOL 50% CR 200L</t>
  </si>
  <si>
    <t>EA</t>
  </si>
  <si>
    <t>THERMO SCI FAIRLAWN CHEMICALS</t>
  </si>
  <si>
    <t>Chemicals</t>
  </si>
  <si>
    <t>Analytical Chemicals</t>
  </si>
  <si>
    <t>Caustics</t>
  </si>
  <si>
    <t>A200C212</t>
  </si>
  <si>
    <t>NITRIC ACID R ACS 4X21/2L/CS</t>
  </si>
  <si>
    <t>Acids</t>
  </si>
  <si>
    <t>305832</t>
  </si>
  <si>
    <t>FERRIC AMM SULFATE TS, 1L</t>
  </si>
  <si>
    <t>RICCA CHEMICAL</t>
  </si>
  <si>
    <t>Solutions and Standard Chemicals</t>
  </si>
  <si>
    <t>Solution[s] for Chemical Testing</t>
  </si>
  <si>
    <t>ST181</t>
  </si>
  <si>
    <t>THIOCYANATE STD N/10 CERT 1L</t>
  </si>
  <si>
    <t>Standards</t>
  </si>
  <si>
    <t>SS25420</t>
  </si>
  <si>
    <t>SODIUM HYDROX SOL 50% CR 20L</t>
  </si>
  <si>
    <t>BRUNSWICK</t>
  </si>
  <si>
    <t>13683553</t>
  </si>
  <si>
    <t>REPEATER E3X W/ CHARGING STAND</t>
  </si>
  <si>
    <t>EPPENDORF NORTH AMERICA BIOTOOLS</t>
  </si>
  <si>
    <t>Glass, Plastic, and Liquid Handling</t>
  </si>
  <si>
    <t>Pipetters and Dispensers</t>
  </si>
  <si>
    <t>Single Channel Pipetters</t>
  </si>
  <si>
    <t>S42150</t>
  </si>
  <si>
    <t>SODIUM SULFATE CERT ACS 50KG</t>
  </si>
  <si>
    <t>Inorganic Chemicals</t>
  </si>
  <si>
    <t>Sodium Inorganic Compounds</t>
  </si>
  <si>
    <t>FB02912025A</t>
  </si>
  <si>
    <t>JAR 1OZ PP NAT  UNLINED 72/CS</t>
  </si>
  <si>
    <t>DWK LIFE SCIENCES LLC</t>
  </si>
  <si>
    <t>Other Plasticware</t>
  </si>
  <si>
    <t>Plastic Jugs and Jars</t>
  </si>
  <si>
    <t>H3604</t>
  </si>
  <si>
    <t>N-HEPTANE, OPTIMA 4L</t>
  </si>
  <si>
    <t>Solvents</t>
  </si>
  <si>
    <t>Heptane [n-]</t>
  </si>
  <si>
    <t>S41550</t>
  </si>
  <si>
    <t>SOD SULFT ACS AN 10/60M 50KG</t>
  </si>
  <si>
    <t>A41620</t>
  </si>
  <si>
    <t>2-PROPANOL CERTIFIED ACS 20L</t>
  </si>
  <si>
    <t>Isopropanol [IPA]</t>
  </si>
  <si>
    <t>S07977S</t>
  </si>
  <si>
    <t>RT BASIC STIRRER SM 120V</t>
  </si>
  <si>
    <t>THERMO SCI ASHEVILLE</t>
  </si>
  <si>
    <t>Lab Appliances</t>
  </si>
  <si>
    <t>Hotplates and Stirrers</t>
  </si>
  <si>
    <t>Stirrers</t>
  </si>
  <si>
    <t>14955314</t>
  </si>
  <si>
    <t>VIAL CLR W/PS 28X73 25ML 72/CS</t>
  </si>
  <si>
    <t>Glassware</t>
  </si>
  <si>
    <t>Glass Vials</t>
  </si>
  <si>
    <t>AC424070025</t>
  </si>
  <si>
    <t>POTASSIUM BROMIDE, FOR A 2.5KG</t>
  </si>
  <si>
    <t>THERMO SCI ACROS ORGANICS</t>
  </si>
  <si>
    <t>Potassium Inorganic Compounds</t>
  </si>
  <si>
    <t>T16125</t>
  </si>
  <si>
    <t>TOLUIDINE BLUE O CERT BIO 25G</t>
  </si>
  <si>
    <t>Life Science and Clinical Research</t>
  </si>
  <si>
    <t>Diagnostics</t>
  </si>
  <si>
    <t>Histology Reagent[s]</t>
  </si>
  <si>
    <t>O21991</t>
  </si>
  <si>
    <t>DIBUTYLAMINE R 1L</t>
  </si>
  <si>
    <t>Organic Chemicals</t>
  </si>
  <si>
    <t>Organic Nitrogen Compounds</t>
  </si>
  <si>
    <t>NC1835545</t>
  </si>
  <si>
    <t>MILLIFLEX OASIS TRYPTIC SOY</t>
  </si>
  <si>
    <t>EMD MILLIPORE 3P</t>
  </si>
  <si>
    <t>Microbiology</t>
  </si>
  <si>
    <t>Microbiology Reagents</t>
  </si>
  <si>
    <t>NC9412439</t>
  </si>
  <si>
    <t>TRYP SOY AGAR CASSETTE 48</t>
  </si>
  <si>
    <t>1523418C</t>
  </si>
  <si>
    <t>POUCHES CHEX-ALL 8X16IN 250/PK</t>
  </si>
  <si>
    <t>PROPPER MANUFACTURING COMPANY INC</t>
  </si>
  <si>
    <t>Safety</t>
  </si>
  <si>
    <t>Controlled Environments</t>
  </si>
  <si>
    <t>Controlled Environments Accessories</t>
  </si>
  <si>
    <t>SA484</t>
  </si>
  <si>
    <t>HYDROCHL ACID SOL 1N CERT 4L</t>
  </si>
  <si>
    <t>191310001</t>
  </si>
  <si>
    <t>SATWIPES NW RAYON 6X9 AC 6CS</t>
  </si>
  <si>
    <t>CONTEC INC</t>
  </si>
  <si>
    <t>02891A</t>
  </si>
  <si>
    <t>JAR WM PP 1OZ/30ML 72/CS</t>
  </si>
  <si>
    <t>DYNALON PRODUCTS</t>
  </si>
  <si>
    <t>509052042</t>
  </si>
  <si>
    <t>CELL 10MM LID QUARTZPK/2</t>
  </si>
  <si>
    <t>PERKINELMER HEALTH SCIENCES INC</t>
  </si>
  <si>
    <t>Glass Specialty</t>
  </si>
  <si>
    <t>137115B</t>
  </si>
  <si>
    <t>PIPET LG TIP TRAN 9.3ML 250/PK</t>
  </si>
  <si>
    <t>THERMO SCI ROCHESTER</t>
  </si>
  <si>
    <t>Plastic Pipets</t>
  </si>
  <si>
    <t>Transfer Pipets</t>
  </si>
  <si>
    <t>137119D</t>
  </si>
  <si>
    <t>TRNS PPT 7.5ML NS GRD 5C/PK</t>
  </si>
  <si>
    <t>THERMO SCI MBP</t>
  </si>
  <si>
    <t>NC1079354</t>
  </si>
  <si>
    <t>TSA CONTACT PLATES 55MM 20/PK</t>
  </si>
  <si>
    <t>FB500250</t>
  </si>
  <si>
    <t>FLSK ERLENM NM GLS 250ML 12/PK</t>
  </si>
  <si>
    <t>Glass Flasks</t>
  </si>
  <si>
    <t>50818899</t>
  </si>
  <si>
    <t>25UL SYRINGE RHEODYNE(625)</t>
  </si>
  <si>
    <t>WATERS CORPORATION</t>
  </si>
  <si>
    <t>Chromatography</t>
  </si>
  <si>
    <t>Chromatography Consumables</t>
  </si>
  <si>
    <t>Chromatography Syringes</t>
  </si>
  <si>
    <t>FB501250</t>
  </si>
  <si>
    <t>FLASK ERLENM WM GLS 250ML 12PK</t>
  </si>
  <si>
    <t>19033766</t>
  </si>
  <si>
    <t>IPA 16OZ 70% BOTTLE STR 12CS</t>
  </si>
  <si>
    <t>Controlled Environments Housekeeping</t>
  </si>
  <si>
    <t>BP1420500</t>
  </si>
  <si>
    <t>PEPTONE POWDER 500G</t>
  </si>
  <si>
    <t>13683708</t>
  </si>
  <si>
    <t>CBT ADVANCED 50ML STNDRD 100CS</t>
  </si>
  <si>
    <t>Pipette Tips</t>
  </si>
  <si>
    <t>Specialty Pipette Tips</t>
  </si>
  <si>
    <t>01915791</t>
  </si>
  <si>
    <t>WEIGHT CLASS 2 100G CERT</t>
  </si>
  <si>
    <t>METTLER TOLEDO INC</t>
  </si>
  <si>
    <t>Weights for Balances</t>
  </si>
  <si>
    <t>138048</t>
  </si>
  <si>
    <t>SCISSORS MAYOS STRAIGHT 6-3/4</t>
  </si>
  <si>
    <t>SURGICAL DESIGN INC</t>
  </si>
  <si>
    <t>Implements</t>
  </si>
  <si>
    <t>R111800</t>
  </si>
  <si>
    <t>STERILE PACK CONTACT 10/PK</t>
  </si>
  <si>
    <t>THERMO SCI REMEL</t>
  </si>
  <si>
    <t>501109721</t>
  </si>
  <si>
    <t>SKLAR DISINFECTANT BOTTLE</t>
  </si>
  <si>
    <t>SKLAR INSTRUMENTS</t>
  </si>
  <si>
    <t>Facility Safety and Maintenance</t>
  </si>
  <si>
    <t>Facility Maintenance</t>
  </si>
  <si>
    <t>08732104</t>
  </si>
  <si>
    <t>ALUM DISH SMOOTH 150ML 100/PK</t>
  </si>
  <si>
    <t>THERMO FISHER SCIENTIFIC (CHINA) CO LTD</t>
  </si>
  <si>
    <t>Weighing Dishes</t>
  </si>
  <si>
    <t>1523418A</t>
  </si>
  <si>
    <t>POUCHES CHEX-ALL 3X8IN 500/PK</t>
  </si>
  <si>
    <t>137119AM</t>
  </si>
  <si>
    <t>TRNS PPT 5.8ML NS GRD 5CPK</t>
  </si>
  <si>
    <t>14828248</t>
  </si>
  <si>
    <t>DT BAG: AC 37X48 2.0ML RED PR</t>
  </si>
  <si>
    <t>MEDEGEN MEDICAL PRODUCTS</t>
  </si>
  <si>
    <t>HNWP02500</t>
  </si>
  <si>
    <t>NYLON 0.45UM 25MM 100/PK</t>
  </si>
  <si>
    <t>EMD MILLIPORE CORP</t>
  </si>
  <si>
    <t>Filtration</t>
  </si>
  <si>
    <t>Membranes for Filtration</t>
  </si>
  <si>
    <t>13878000</t>
  </si>
  <si>
    <t>CHAMBER BRITE CLEANING TABLETS</t>
  </si>
  <si>
    <t>HEIDOLPH NORTH AMERICA</t>
  </si>
  <si>
    <t>Equipment and Instruments</t>
  </si>
  <si>
    <t>Sterilizers and Autoclaves</t>
  </si>
  <si>
    <t>Sterilizer and Autoclave Accessories</t>
  </si>
  <si>
    <t>HVLP01300</t>
  </si>
  <si>
    <t>FLT DUR .45UM PHILIC 100/PK</t>
  </si>
  <si>
    <t>AC326961000</t>
  </si>
  <si>
    <t>ISOPROPANOL</t>
  </si>
  <si>
    <t>T3244</t>
  </si>
  <si>
    <t>TOLUENE CERTIFIED ACS 4L</t>
  </si>
  <si>
    <t>Toluene</t>
  </si>
  <si>
    <t>028934E</t>
  </si>
  <si>
    <t>BOTTLE WM LDPE 32 OZ 6/PK</t>
  </si>
  <si>
    <t>Plastic Bottles</t>
  </si>
  <si>
    <t>Round Plastic Wide Mouth Bottles</t>
  </si>
  <si>
    <t>03990243</t>
  </si>
  <si>
    <t>SS SPOON 8CML W/0.8ML 2.8ML2PK</t>
  </si>
  <si>
    <t>BEL ART PRODUCTS</t>
  </si>
  <si>
    <t>Samplers</t>
  </si>
  <si>
    <t>I119500</t>
  </si>
  <si>
    <t>FERRIC OUS OXIDE BLK PUR 500G</t>
  </si>
  <si>
    <t>Iron Inorganic Compounds</t>
  </si>
  <si>
    <t>SC88500</t>
  </si>
  <si>
    <t>CLEANING SOLUTION 500ML</t>
  </si>
  <si>
    <t>Other Chemicals</t>
  </si>
  <si>
    <t>Decontaminants and Detergents</t>
  </si>
  <si>
    <t>501868155</t>
  </si>
  <si>
    <t>ECOSURF(TM) SA-9</t>
  </si>
  <si>
    <t>SIGMA ALDRICH FINE CHEMICALS BIOSCIENCES</t>
  </si>
  <si>
    <t>Unclassified Organic Compounds</t>
  </si>
  <si>
    <t>S50822</t>
  </si>
  <si>
    <t>MICRO SPATULA TAPERED 8IN 12PK</t>
  </si>
  <si>
    <t>10500</t>
  </si>
  <si>
    <t>POWDER FUNNEL 60-69 12/PK</t>
  </si>
  <si>
    <t>Plastic Funnels</t>
  </si>
  <si>
    <t>501868154</t>
  </si>
  <si>
    <t>08732102</t>
  </si>
  <si>
    <t>ALUM DISH FLUTED 65ML 100/PK</t>
  </si>
  <si>
    <t>1451359SIX</t>
  </si>
  <si>
    <t>STIRBAR OCTAGONAL 1X5/16 6PK</t>
  </si>
  <si>
    <t>Magnetic Stir Bars and Accessories</t>
  </si>
  <si>
    <t>SB107500</t>
  </si>
  <si>
    <t>BUFFER CLRD YEL PH 7.00 500ML</t>
  </si>
  <si>
    <t>Buffers</t>
  </si>
  <si>
    <t>Electrochemistry Buffers</t>
  </si>
  <si>
    <t>AC434441000</t>
  </si>
  <si>
    <t>4-METHYLAMINOPHENOL SULF 100GR</t>
  </si>
  <si>
    <t>SB115500</t>
  </si>
  <si>
    <t>BUFFER COLRD BLUE PH 10 500ML</t>
  </si>
  <si>
    <t>SB101500</t>
  </si>
  <si>
    <t>BUFFER COLRD RED PH 4.00 500ML</t>
  </si>
  <si>
    <t>21170A</t>
  </si>
  <si>
    <t>MICROCAPS 1 LAMBDA 100/PK</t>
  </si>
  <si>
    <t>DRUMMOND SCIENTIFIC COMPANY</t>
  </si>
  <si>
    <t>Glass Pipets</t>
  </si>
  <si>
    <t>NC9556864</t>
  </si>
  <si>
    <t>CONDUCTIVITY STANDARD 16 OZ.</t>
  </si>
  <si>
    <t>COLE PARMER 3P</t>
  </si>
  <si>
    <t>13735743</t>
  </si>
  <si>
    <t>BAL ACC MD WGH BOAT DENV 50PK</t>
  </si>
  <si>
    <t>SARTORIUS CORPORATION</t>
  </si>
  <si>
    <t>0339123</t>
  </si>
  <si>
    <t>VIAL 1ML CAP 8X40MM 200PKVIAL</t>
  </si>
  <si>
    <t>THERMO SCI NATIONAL SCIENTIFIC</t>
  </si>
  <si>
    <t>Chromatography Autosampler Vials and Closures</t>
  </si>
  <si>
    <t>14357Q</t>
  </si>
  <si>
    <t>FISHERBRAND SCOOPULA SS 6/PK</t>
  </si>
  <si>
    <t>14955460</t>
  </si>
  <si>
    <t>3 PART PP SYR 20ML ST LL 50PK</t>
  </si>
  <si>
    <t>Laboratory Syringes and Accessories</t>
  </si>
  <si>
    <t>S32247</t>
  </si>
  <si>
    <t>FLIP SAFETY PIPETTING BALL</t>
  </si>
  <si>
    <t>FISCHER TECHNICAL</t>
  </si>
  <si>
    <t>Diluters Dispensers and Fillers</t>
  </si>
  <si>
    <t>06666A</t>
  </si>
  <si>
    <t>KIMWIPE SML 4-1/2X8-1/2 280/PK</t>
  </si>
  <si>
    <t>KIMBERLY CLARK AWAY FROM HOME DIVISION</t>
  </si>
  <si>
    <t>LTM AVG +7.5%</t>
  </si>
  <si>
    <t>Molnlycie</t>
  </si>
  <si>
    <t>01/21-12/21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</si>
</sst>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&quot;$&quot;#,##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64"/>
      <name val="Arial"/>
      <family val="2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</font>
    <font>
      <sz val="10"/>
      <name val="MS Sans Serif"/>
      <family val="2"/>
    </font>
    <font>
      <sz val="10"/>
      <color rgb="FF00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1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/>
    <xf numFmtId="0" fontId="1" fillId="0" borderId="0"/>
    <xf numFmtId="0" fontId="23" fillId="0" borderId="0"/>
  </cellStyleXfs>
  <cellXfs count="136">
    <xf numFmtId="0" fontId="0" fillId="0" borderId="0" xfId="0"/>
    <xf numFmtId="0" fontId="20" fillId="0" borderId="0" xfId="0" applyFont="1"/>
    <xf numFmtId="0" fontId="0" fillId="0" borderId="13" xfId="0" applyBorder="1"/>
    <xf numFmtId="0" fontId="16" fillId="0" borderId="0" xfId="0" applyFont="1"/>
    <xf numFmtId="0" fontId="21" fillId="0" borderId="0" xfId="0" applyFont="1" applyFill="1" applyBorder="1"/>
    <xf numFmtId="0" fontId="0" fillId="0" borderId="0" xfId="0"/>
    <xf numFmtId="0" fontId="0" fillId="0" borderId="13" xfId="0" applyBorder="1"/>
    <xf numFmtId="0" fontId="13" fillId="39" borderId="13" xfId="0" applyFont="1" applyFill="1" applyBorder="1"/>
    <xf numFmtId="0" fontId="0" fillId="0" borderId="0" xfId="0" applyAlignment="1">
      <alignment horizontal="center"/>
    </xf>
    <xf numFmtId="0" fontId="13" fillId="39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50" applyNumberFormat="1" applyFont="1" applyBorder="1" applyAlignment="1">
      <alignment horizontal="center"/>
    </xf>
    <xf numFmtId="9" fontId="0" fillId="0" borderId="13" xfId="51" applyFont="1" applyBorder="1" applyAlignment="1">
      <alignment horizontal="center"/>
    </xf>
    <xf numFmtId="164" fontId="13" fillId="39" borderId="13" xfId="50" applyNumberFormat="1" applyFont="1" applyFill="1" applyBorder="1" applyAlignment="1">
      <alignment horizontal="center"/>
    </xf>
    <xf numFmtId="9" fontId="13" fillId="39" borderId="13" xfId="0" applyNumberFormat="1" applyFont="1" applyFill="1" applyBorder="1" applyAlignment="1">
      <alignment horizontal="center"/>
    </xf>
    <xf numFmtId="9" fontId="13" fillId="39" borderId="13" xfId="51" applyFont="1" applyFill="1" applyBorder="1" applyAlignment="1">
      <alignment horizontal="center"/>
    </xf>
    <xf numFmtId="9" fontId="0" fillId="39" borderId="13" xfId="51" applyFont="1" applyFill="1" applyBorder="1" applyAlignment="1">
      <alignment horizontal="center"/>
    </xf>
    <xf numFmtId="0" fontId="24" fillId="0" borderId="0" xfId="43" applyFont="1" applyAlignment="1"/>
    <xf numFmtId="0" fontId="24" fillId="0" borderId="0" xfId="43" applyFont="1" applyAlignment="1">
      <alignment horizontal="center"/>
    </xf>
    <xf numFmtId="0" fontId="24" fillId="0" borderId="0" xfId="43" applyFont="1" applyFill="1" applyAlignment="1">
      <alignment horizontal="center"/>
    </xf>
    <xf numFmtId="0" fontId="13" fillId="39" borderId="13" xfId="43" applyFont="1" applyFill="1" applyBorder="1" applyAlignment="1">
      <alignment horizontal="center"/>
    </xf>
    <xf numFmtId="0" fontId="25" fillId="0" borderId="0" xfId="43" applyFont="1"/>
    <xf numFmtId="164" fontId="25" fillId="37" borderId="11" xfId="45" applyNumberFormat="1" applyFont="1" applyFill="1" applyBorder="1" applyAlignment="1">
      <alignment horizontal="center" vertical="center"/>
    </xf>
    <xf numFmtId="164" fontId="25" fillId="37" borderId="11" xfId="46" applyNumberFormat="1" applyFont="1" applyFill="1" applyBorder="1" applyAlignment="1">
      <alignment horizontal="center" vertical="center"/>
    </xf>
    <xf numFmtId="165" fontId="25" fillId="37" borderId="11" xfId="51" applyNumberFormat="1" applyFont="1" applyFill="1" applyBorder="1" applyAlignment="1">
      <alignment horizontal="center" vertical="center"/>
    </xf>
    <xf numFmtId="0" fontId="1" fillId="37" borderId="13" xfId="43" applyFont="1" applyFill="1" applyBorder="1" applyAlignment="1">
      <alignment horizontal="center" vertical="center" wrapText="1"/>
    </xf>
    <xf numFmtId="0" fontId="25" fillId="0" borderId="0" xfId="43" applyFont="1" applyAlignment="1">
      <alignment vertical="top"/>
    </xf>
    <xf numFmtId="0" fontId="13" fillId="39" borderId="14" xfId="43" applyFont="1" applyFill="1" applyBorder="1" applyAlignment="1"/>
    <xf numFmtId="0" fontId="13" fillId="39" borderId="15" xfId="43" applyFont="1" applyFill="1" applyBorder="1" applyAlignment="1">
      <alignment horizontal="center"/>
    </xf>
    <xf numFmtId="0" fontId="13" fillId="39" borderId="16" xfId="43" applyFont="1" applyFill="1" applyBorder="1" applyAlignment="1">
      <alignment horizontal="center"/>
    </xf>
    <xf numFmtId="0" fontId="13" fillId="39" borderId="17" xfId="43" applyFont="1" applyFill="1" applyBorder="1" applyAlignment="1">
      <alignment horizontal="center"/>
    </xf>
    <xf numFmtId="0" fontId="1" fillId="37" borderId="10" xfId="43" applyFont="1" applyFill="1" applyBorder="1"/>
    <xf numFmtId="0" fontId="25" fillId="37" borderId="11" xfId="43" applyFont="1" applyFill="1" applyBorder="1" applyAlignment="1">
      <alignment horizontal="center"/>
    </xf>
    <xf numFmtId="166" fontId="25" fillId="37" borderId="13" xfId="47" applyNumberFormat="1" applyFont="1" applyFill="1" applyBorder="1" applyAlignment="1"/>
    <xf numFmtId="0" fontId="1" fillId="37" borderId="14" xfId="43" applyFont="1" applyFill="1" applyBorder="1"/>
    <xf numFmtId="167" fontId="25" fillId="37" borderId="15" xfId="43" applyNumberFormat="1" applyFont="1" applyFill="1" applyBorder="1" applyAlignment="1">
      <alignment horizontal="center"/>
    </xf>
    <xf numFmtId="167" fontId="25" fillId="37" borderId="18" xfId="43" applyNumberFormat="1" applyFont="1" applyFill="1" applyBorder="1" applyAlignment="1">
      <alignment horizontal="center"/>
    </xf>
    <xf numFmtId="165" fontId="25" fillId="0" borderId="0" xfId="48" applyNumberFormat="1" applyFont="1" applyBorder="1" applyAlignment="1">
      <alignment horizontal="center"/>
    </xf>
    <xf numFmtId="0" fontId="25" fillId="0" borderId="19" xfId="43" applyFont="1" applyFill="1" applyBorder="1"/>
    <xf numFmtId="167" fontId="25" fillId="37" borderId="20" xfId="43" applyNumberFormat="1" applyFont="1" applyFill="1" applyBorder="1" applyAlignment="1">
      <alignment horizontal="center"/>
    </xf>
    <xf numFmtId="0" fontId="25" fillId="0" borderId="0" xfId="43" applyFont="1" applyBorder="1"/>
    <xf numFmtId="0" fontId="13" fillId="39" borderId="19" xfId="43" applyFont="1" applyFill="1" applyBorder="1"/>
    <xf numFmtId="6" fontId="13" fillId="39" borderId="20" xfId="43" applyNumberFormat="1" applyFont="1" applyFill="1" applyBorder="1" applyAlignment="1">
      <alignment horizontal="center"/>
    </xf>
    <xf numFmtId="167" fontId="13" fillId="39" borderId="20" xfId="43" applyNumberFormat="1" applyFont="1" applyFill="1" applyBorder="1" applyAlignment="1">
      <alignment horizontal="center"/>
    </xf>
    <xf numFmtId="167" fontId="13" fillId="39" borderId="13" xfId="43" applyNumberFormat="1" applyFont="1" applyFill="1" applyBorder="1" applyAlignment="1">
      <alignment horizontal="center"/>
    </xf>
    <xf numFmtId="0" fontId="13" fillId="39" borderId="14" xfId="43" applyFont="1" applyFill="1" applyBorder="1"/>
    <xf numFmtId="0" fontId="25" fillId="37" borderId="14" xfId="43" applyFont="1" applyFill="1" applyBorder="1"/>
    <xf numFmtId="0" fontId="25" fillId="37" borderId="15" xfId="43" applyFont="1" applyFill="1" applyBorder="1" applyAlignment="1">
      <alignment horizontal="center"/>
    </xf>
    <xf numFmtId="9" fontId="25" fillId="37" borderId="15" xfId="43" applyNumberFormat="1" applyFont="1" applyFill="1" applyBorder="1" applyAlignment="1">
      <alignment horizontal="center"/>
    </xf>
    <xf numFmtId="167" fontId="25" fillId="37" borderId="17" xfId="43" applyNumberFormat="1" applyFont="1" applyFill="1" applyBorder="1" applyAlignment="1">
      <alignment horizontal="center"/>
    </xf>
    <xf numFmtId="0" fontId="25" fillId="37" borderId="19" xfId="43" applyFont="1" applyFill="1" applyBorder="1"/>
    <xf numFmtId="0" fontId="25" fillId="37" borderId="20" xfId="43" applyFont="1" applyFill="1" applyBorder="1" applyAlignment="1">
      <alignment horizontal="center"/>
    </xf>
    <xf numFmtId="165" fontId="25" fillId="37" borderId="20" xfId="43" applyNumberFormat="1" applyFont="1" applyFill="1" applyBorder="1" applyAlignment="1">
      <alignment horizontal="center"/>
    </xf>
    <xf numFmtId="167" fontId="25" fillId="37" borderId="21" xfId="43" applyNumberFormat="1" applyFont="1" applyFill="1" applyBorder="1" applyAlignment="1">
      <alignment horizontal="center"/>
    </xf>
    <xf numFmtId="37" fontId="13" fillId="39" borderId="20" xfId="43" applyNumberFormat="1" applyFont="1" applyFill="1" applyBorder="1" applyAlignment="1">
      <alignment horizontal="center"/>
    </xf>
    <xf numFmtId="9" fontId="13" fillId="39" borderId="20" xfId="49" applyFont="1" applyFill="1" applyBorder="1" applyAlignment="1">
      <alignment horizontal="center"/>
    </xf>
    <xf numFmtId="5" fontId="13" fillId="39" borderId="20" xfId="43" applyNumberFormat="1" applyFont="1" applyFill="1" applyBorder="1" applyAlignment="1">
      <alignment horizontal="center"/>
    </xf>
    <xf numFmtId="165" fontId="13" fillId="39" borderId="20" xfId="49" applyNumberFormat="1" applyFont="1" applyFill="1" applyBorder="1" applyAlignment="1">
      <alignment horizontal="center"/>
    </xf>
    <xf numFmtId="5" fontId="13" fillId="39" borderId="21" xfId="43" applyNumberFormat="1" applyFont="1" applyFill="1" applyBorder="1" applyAlignment="1">
      <alignment horizontal="center"/>
    </xf>
    <xf numFmtId="0" fontId="1" fillId="37" borderId="10" xfId="44" applyFont="1" applyFill="1" applyBorder="1" applyAlignment="1">
      <alignment horizontal="left" vertical="center"/>
    </xf>
    <xf numFmtId="9" fontId="25" fillId="37" borderId="11" xfId="46" applyNumberFormat="1" applyFont="1" applyFill="1" applyBorder="1" applyAlignment="1">
      <alignment horizontal="center" vertical="center"/>
    </xf>
    <xf numFmtId="164" fontId="25" fillId="37" borderId="11" xfId="43" applyNumberFormat="1" applyFont="1" applyFill="1" applyBorder="1" applyAlignment="1">
      <alignment horizontal="center" vertical="center"/>
    </xf>
    <xf numFmtId="165" fontId="25" fillId="37" borderId="12" xfId="46" applyNumberFormat="1" applyFont="1" applyFill="1" applyBorder="1" applyAlignment="1">
      <alignment horizontal="center" vertical="center"/>
    </xf>
    <xf numFmtId="0" fontId="13" fillId="39" borderId="10" xfId="44" applyFont="1" applyFill="1" applyBorder="1" applyAlignment="1">
      <alignment horizontal="left" vertical="center"/>
    </xf>
    <xf numFmtId="164" fontId="13" fillId="39" borderId="11" xfId="45" applyNumberFormat="1" applyFont="1" applyFill="1" applyBorder="1" applyAlignment="1">
      <alignment horizontal="center" vertical="center"/>
    </xf>
    <xf numFmtId="9" fontId="13" fillId="39" borderId="11" xfId="46" applyNumberFormat="1" applyFont="1" applyFill="1" applyBorder="1" applyAlignment="1">
      <alignment horizontal="center" vertical="center"/>
    </xf>
    <xf numFmtId="164" fontId="13" fillId="39" borderId="11" xfId="43" applyNumberFormat="1" applyFont="1" applyFill="1" applyBorder="1" applyAlignment="1">
      <alignment horizontal="center" vertical="center"/>
    </xf>
    <xf numFmtId="165" fontId="13" fillId="39" borderId="12" xfId="46" applyNumberFormat="1" applyFont="1" applyFill="1" applyBorder="1" applyAlignment="1">
      <alignment horizontal="center" vertical="center"/>
    </xf>
    <xf numFmtId="0" fontId="13" fillId="39" borderId="13" xfId="43" applyFont="1" applyFill="1" applyBorder="1" applyAlignment="1">
      <alignment horizontal="center" vertical="center" wrapText="1"/>
    </xf>
    <xf numFmtId="0" fontId="13" fillId="39" borderId="13" xfId="43" applyFont="1" applyFill="1" applyBorder="1"/>
    <xf numFmtId="44" fontId="13" fillId="39" borderId="13" xfId="50" applyFont="1" applyFill="1" applyBorder="1"/>
    <xf numFmtId="0" fontId="24" fillId="0" borderId="0" xfId="44" applyFont="1" applyBorder="1"/>
    <xf numFmtId="14" fontId="25" fillId="0" borderId="0" xfId="43" applyNumberFormat="1" applyFont="1" applyFill="1"/>
    <xf numFmtId="0" fontId="25" fillId="37" borderId="15" xfId="43" applyFont="1" applyFill="1" applyBorder="1"/>
    <xf numFmtId="0" fontId="25" fillId="37" borderId="17" xfId="43" applyFont="1" applyFill="1" applyBorder="1"/>
    <xf numFmtId="0" fontId="25" fillId="37" borderId="20" xfId="43" applyFont="1" applyFill="1" applyBorder="1"/>
    <xf numFmtId="0" fontId="25" fillId="37" borderId="21" xfId="43" applyFont="1" applyFill="1" applyBorder="1"/>
    <xf numFmtId="0" fontId="25" fillId="0" borderId="0" xfId="43" applyFont="1" applyFill="1"/>
    <xf numFmtId="0" fontId="24" fillId="0" borderId="0" xfId="43" applyFont="1"/>
    <xf numFmtId="0" fontId="25" fillId="0" borderId="13" xfId="43" applyFont="1" applyFill="1" applyBorder="1"/>
    <xf numFmtId="44" fontId="25" fillId="0" borderId="13" xfId="50" applyNumberFormat="1" applyFont="1" applyBorder="1"/>
    <xf numFmtId="44" fontId="25" fillId="0" borderId="13" xfId="50" applyFont="1" applyBorder="1"/>
    <xf numFmtId="9" fontId="25" fillId="0" borderId="13" xfId="51" applyFont="1" applyBorder="1"/>
    <xf numFmtId="0" fontId="25" fillId="0" borderId="13" xfId="43" applyFont="1" applyBorder="1"/>
    <xf numFmtId="164" fontId="25" fillId="0" borderId="13" xfId="43" applyNumberFormat="1" applyFont="1" applyBorder="1"/>
    <xf numFmtId="0" fontId="0" fillId="37" borderId="10" xfId="44" applyFont="1" applyFill="1" applyBorder="1" applyAlignment="1">
      <alignment horizontal="left" vertical="center" wrapText="1"/>
    </xf>
    <xf numFmtId="0" fontId="13" fillId="39" borderId="11" xfId="44" applyFont="1" applyFill="1" applyBorder="1" applyAlignment="1">
      <alignment horizontal="center" vertical="center" wrapText="1"/>
    </xf>
    <xf numFmtId="0" fontId="13" fillId="39" borderId="11" xfId="43" applyFont="1" applyFill="1" applyBorder="1" applyAlignment="1">
      <alignment horizontal="center" vertical="center"/>
    </xf>
    <xf numFmtId="0" fontId="13" fillId="39" borderId="13" xfId="43" applyFont="1" applyFill="1" applyBorder="1" applyAlignment="1">
      <alignment horizontal="center" vertical="center"/>
    </xf>
    <xf numFmtId="0" fontId="25" fillId="0" borderId="0" xfId="43" applyFont="1" applyAlignment="1">
      <alignment horizontal="center" vertical="center"/>
    </xf>
    <xf numFmtId="0" fontId="13" fillId="39" borderId="10" xfId="44" applyFont="1" applyFill="1" applyBorder="1" applyAlignment="1">
      <alignment horizontal="left" vertical="center" wrapText="1"/>
    </xf>
    <xf numFmtId="0" fontId="13" fillId="39" borderId="12" xfId="44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44" fontId="1" fillId="0" borderId="0" xfId="50" applyFont="1"/>
    <xf numFmtId="3" fontId="24" fillId="36" borderId="13" xfId="42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44" fontId="1" fillId="0" borderId="13" xfId="50" applyFont="1" applyBorder="1" applyAlignment="1">
      <alignment horizontal="center"/>
    </xf>
    <xf numFmtId="0" fontId="16" fillId="33" borderId="13" xfId="0" applyFont="1" applyFill="1" applyBorder="1" applyAlignment="1">
      <alignment horizontal="center" vertical="center"/>
    </xf>
    <xf numFmtId="9" fontId="25" fillId="37" borderId="20" xfId="43" applyNumberFormat="1" applyFont="1" applyFill="1" applyBorder="1" applyAlignment="1">
      <alignment horizontal="center"/>
    </xf>
    <xf numFmtId="9" fontId="24" fillId="33" borderId="0" xfId="51" applyFont="1" applyFill="1"/>
    <xf numFmtId="0" fontId="24" fillId="0" borderId="0" xfId="43" applyFont="1" applyAlignment="1">
      <alignment horizontal="left"/>
    </xf>
    <xf numFmtId="0" fontId="24" fillId="0" borderId="0" xfId="43" applyFont="1" applyFill="1" applyAlignment="1">
      <alignment horizontal="left"/>
    </xf>
    <xf numFmtId="0" fontId="24" fillId="0" borderId="13" xfId="43" applyFont="1" applyBorder="1" applyAlignment="1"/>
    <xf numFmtId="0" fontId="24" fillId="0" borderId="13" xfId="43" applyFont="1" applyFill="1" applyBorder="1" applyAlignment="1">
      <alignment horizontal="left"/>
    </xf>
    <xf numFmtId="49" fontId="28" fillId="34" borderId="13" xfId="42" applyNumberFormat="1" applyFont="1" applyFill="1" applyBorder="1" applyAlignment="1">
      <alignment horizontal="center" vertical="center" wrapText="1"/>
    </xf>
    <xf numFmtId="0" fontId="28" fillId="34" borderId="13" xfId="42" applyFont="1" applyFill="1" applyBorder="1" applyAlignment="1">
      <alignment horizontal="center" vertical="center" wrapText="1"/>
    </xf>
    <xf numFmtId="44" fontId="28" fillId="34" borderId="13" xfId="50" applyFont="1" applyFill="1" applyBorder="1" applyAlignment="1">
      <alignment horizontal="center" vertical="center" wrapText="1"/>
    </xf>
    <xf numFmtId="3" fontId="28" fillId="34" borderId="13" xfId="42" applyNumberFormat="1" applyFont="1" applyFill="1" applyBorder="1" applyAlignment="1">
      <alignment horizontal="center" vertical="center" wrapText="1"/>
    </xf>
    <xf numFmtId="44" fontId="28" fillId="35" borderId="13" xfId="50" applyFont="1" applyFill="1" applyBorder="1" applyAlignment="1">
      <alignment horizontal="center" vertical="center" wrapText="1"/>
    </xf>
    <xf numFmtId="3" fontId="28" fillId="35" borderId="13" xfId="42" applyNumberFormat="1" applyFont="1" applyFill="1" applyBorder="1" applyAlignment="1">
      <alignment horizontal="center" vertical="center" wrapText="1"/>
    </xf>
    <xf numFmtId="9" fontId="28" fillId="35" borderId="13" xfId="51" applyFont="1" applyFill="1" applyBorder="1" applyAlignment="1">
      <alignment horizontal="center" vertical="center" wrapText="1"/>
    </xf>
    <xf numFmtId="44" fontId="28" fillId="36" borderId="13" xfId="50" applyFont="1" applyFill="1" applyBorder="1" applyAlignment="1">
      <alignment horizontal="center" vertical="center" wrapText="1"/>
    </xf>
    <xf numFmtId="44" fontId="28" fillId="38" borderId="13" xfId="50" applyFont="1" applyFill="1" applyBorder="1" applyAlignment="1">
      <alignment horizontal="center" vertical="center" wrapText="1"/>
    </xf>
    <xf numFmtId="9" fontId="28" fillId="38" borderId="13" xfId="51" applyFont="1" applyFill="1" applyBorder="1" applyAlignment="1">
      <alignment horizontal="center" vertical="center" wrapText="1"/>
    </xf>
    <xf numFmtId="44" fontId="28" fillId="40" borderId="13" xfId="50" applyFont="1" applyFill="1" applyBorder="1" applyAlignment="1">
      <alignment horizontal="center" vertical="center" wrapText="1"/>
    </xf>
    <xf numFmtId="9" fontId="28" fillId="40" borderId="13" xfId="51" applyFont="1" applyFill="1" applyBorder="1" applyAlignment="1">
      <alignment horizontal="center" vertical="center" wrapText="1"/>
    </xf>
    <xf numFmtId="3" fontId="28" fillId="36" borderId="13" xfId="42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44" fontId="29" fillId="0" borderId="0" xfId="50" applyFont="1"/>
    <xf numFmtId="44" fontId="30" fillId="0" borderId="13" xfId="50" applyNumberFormat="1" applyFont="1" applyBorder="1" applyAlignment="1">
      <alignment horizontal="center"/>
    </xf>
    <xf numFmtId="9" fontId="30" fillId="0" borderId="13" xfId="51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30" fillId="0" borderId="13" xfId="50" applyFont="1" applyBorder="1" applyAlignment="1">
      <alignment horizontal="center"/>
    </xf>
    <xf numFmtId="44" fontId="31" fillId="0" borderId="13" xfId="5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1" fillId="0" borderId="0" xfId="0" applyFont="1" applyAlignment="1">
      <alignment horizontal="center"/>
    </xf>
    <xf numFmtId="9" fontId="29" fillId="0" borderId="0" xfId="51" applyFont="1" applyAlignment="1">
      <alignment horizontal="center"/>
    </xf>
    <xf numFmtId="9" fontId="29" fillId="0" borderId="0" xfId="51" applyFont="1"/>
    <xf numFmtId="0" fontId="31" fillId="0" borderId="0" xfId="0" applyFont="1"/>
    <xf numFmtId="0" fontId="13" fillId="39" borderId="10" xfId="43" applyFont="1" applyFill="1" applyBorder="1" applyAlignment="1">
      <alignment horizontal="center"/>
    </xf>
    <xf numFmtId="0" fontId="13" fillId="39" borderId="11" xfId="43" applyFont="1" applyFill="1" applyBorder="1" applyAlignment="1">
      <alignment horizontal="center"/>
    </xf>
    <xf numFmtId="0" fontId="13" fillId="39" borderId="12" xfId="43" applyFont="1" applyFill="1" applyBorder="1" applyAlignment="1">
      <alignment horizontal="center"/>
    </xf>
    <xf numFmtId="0" fontId="32" fillId="0" borderId="0" xfId="0" applyFont="1" applyFill="1"/>
  </cellXfs>
  <cellStyles count="5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 2" xfId="47" xr:uid="{00000000-0005-0000-0000-00001B000000}"/>
    <cellStyle name="Currency" xfId="50" builtinId="4"/>
    <cellStyle name="Currency 3 2" xfId="45" xr:uid="{00000000-0005-0000-0000-00001D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8000000}"/>
    <cellStyle name="Normal 2 2 6" xfId="44" xr:uid="{00000000-0005-0000-0000-000029000000}"/>
    <cellStyle name="Normal 23 4 32 2" xfId="53" xr:uid="{00000000-0005-0000-0000-00002A000000}"/>
    <cellStyle name="Normal 3" xfId="52" xr:uid="{00000000-0005-0000-0000-00002B000000}"/>
    <cellStyle name="Normal 3 2 6" xfId="43" xr:uid="{00000000-0005-0000-0000-00002C000000}"/>
    <cellStyle name="Normal 4" xfId="54" xr:uid="{00000000-0005-0000-0000-00002D000000}"/>
    <cellStyle name="Note" xfId="15" builtinId="10" customBuiltin="1"/>
    <cellStyle name="Output" xfId="10" builtinId="21" customBuiltin="1"/>
    <cellStyle name="Percent" xfId="51" builtinId="5"/>
    <cellStyle name="Percent 14" xfId="49" xr:uid="{00000000-0005-0000-0000-000031000000}"/>
    <cellStyle name="Percent 3 5" xfId="48" xr:uid="{00000000-0005-0000-0000-000032000000}"/>
    <cellStyle name="Percent 4 2" xfId="46" xr:uid="{00000000-0005-0000-0000-000033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46"/>
  <sheetViews>
    <sheetView showGridLines="0" tabSelected="1" zoomScale="80" zoomScaleNormal="80" workbookViewId="0">
      <selection activeCell="C27" sqref="C27"/>
    </sheetView>
  </sheetViews>
  <sheetFormatPr defaultColWidth="9.08984375" defaultRowHeight="14.5" x14ac:dyDescent="0.35"/>
  <cols>
    <col min="1" max="1" width="33" style="21" customWidth="1"/>
    <col min="2" max="2" width="18.36328125" style="21" customWidth="1"/>
    <col min="3" max="3" width="15.08984375" style="21" customWidth="1"/>
    <col min="4" max="4" width="15.36328125" style="21" bestFit="1" customWidth="1"/>
    <col min="5" max="5" width="15.6328125" style="21" customWidth="1"/>
    <col min="6" max="6" width="11.6328125" style="21" bestFit="1" customWidth="1"/>
    <col min="7" max="7" width="14.36328125" style="21" customWidth="1"/>
    <col min="8" max="8" width="14.08984375" style="21" bestFit="1" customWidth="1"/>
    <col min="9" max="9" width="11.36328125" style="21" customWidth="1"/>
    <col min="10" max="10" width="9.08984375" style="21"/>
    <col min="11" max="11" width="18.90625" style="21" customWidth="1"/>
    <col min="12" max="256" width="9.08984375" style="21"/>
    <col min="257" max="257" width="29.90625" style="21" customWidth="1"/>
    <col min="258" max="258" width="12.453125" style="21" customWidth="1"/>
    <col min="259" max="259" width="15.08984375" style="21" customWidth="1"/>
    <col min="260" max="260" width="14.36328125" style="21" customWidth="1"/>
    <col min="261" max="261" width="11.08984375" style="21" customWidth="1"/>
    <col min="262" max="262" width="11.36328125" style="21" customWidth="1"/>
    <col min="263" max="263" width="13.453125" style="21" customWidth="1"/>
    <col min="264" max="264" width="10.90625" style="21" customWidth="1"/>
    <col min="265" max="265" width="11.36328125" style="21" customWidth="1"/>
    <col min="266" max="512" width="9.08984375" style="21"/>
    <col min="513" max="513" width="29.90625" style="21" customWidth="1"/>
    <col min="514" max="514" width="12.453125" style="21" customWidth="1"/>
    <col min="515" max="515" width="15.08984375" style="21" customWidth="1"/>
    <col min="516" max="516" width="14.36328125" style="21" customWidth="1"/>
    <col min="517" max="517" width="11.08984375" style="21" customWidth="1"/>
    <col min="518" max="518" width="11.36328125" style="21" customWidth="1"/>
    <col min="519" max="519" width="13.453125" style="21" customWidth="1"/>
    <col min="520" max="520" width="10.90625" style="21" customWidth="1"/>
    <col min="521" max="521" width="11.36328125" style="21" customWidth="1"/>
    <col min="522" max="768" width="9.08984375" style="21"/>
    <col min="769" max="769" width="29.90625" style="21" customWidth="1"/>
    <col min="770" max="770" width="12.453125" style="21" customWidth="1"/>
    <col min="771" max="771" width="15.08984375" style="21" customWidth="1"/>
    <col min="772" max="772" width="14.36328125" style="21" customWidth="1"/>
    <col min="773" max="773" width="11.08984375" style="21" customWidth="1"/>
    <col min="774" max="774" width="11.36328125" style="21" customWidth="1"/>
    <col min="775" max="775" width="13.453125" style="21" customWidth="1"/>
    <col min="776" max="776" width="10.90625" style="21" customWidth="1"/>
    <col min="777" max="777" width="11.36328125" style="21" customWidth="1"/>
    <col min="778" max="1024" width="9.08984375" style="21"/>
    <col min="1025" max="1025" width="29.90625" style="21" customWidth="1"/>
    <col min="1026" max="1026" width="12.453125" style="21" customWidth="1"/>
    <col min="1027" max="1027" width="15.08984375" style="21" customWidth="1"/>
    <col min="1028" max="1028" width="14.36328125" style="21" customWidth="1"/>
    <col min="1029" max="1029" width="11.08984375" style="21" customWidth="1"/>
    <col min="1030" max="1030" width="11.36328125" style="21" customWidth="1"/>
    <col min="1031" max="1031" width="13.453125" style="21" customWidth="1"/>
    <col min="1032" max="1032" width="10.90625" style="21" customWidth="1"/>
    <col min="1033" max="1033" width="11.36328125" style="21" customWidth="1"/>
    <col min="1034" max="1280" width="9.08984375" style="21"/>
    <col min="1281" max="1281" width="29.90625" style="21" customWidth="1"/>
    <col min="1282" max="1282" width="12.453125" style="21" customWidth="1"/>
    <col min="1283" max="1283" width="15.08984375" style="21" customWidth="1"/>
    <col min="1284" max="1284" width="14.36328125" style="21" customWidth="1"/>
    <col min="1285" max="1285" width="11.08984375" style="21" customWidth="1"/>
    <col min="1286" max="1286" width="11.36328125" style="21" customWidth="1"/>
    <col min="1287" max="1287" width="13.453125" style="21" customWidth="1"/>
    <col min="1288" max="1288" width="10.90625" style="21" customWidth="1"/>
    <col min="1289" max="1289" width="11.36328125" style="21" customWidth="1"/>
    <col min="1290" max="1536" width="9.08984375" style="21"/>
    <col min="1537" max="1537" width="29.90625" style="21" customWidth="1"/>
    <col min="1538" max="1538" width="12.453125" style="21" customWidth="1"/>
    <col min="1539" max="1539" width="15.08984375" style="21" customWidth="1"/>
    <col min="1540" max="1540" width="14.36328125" style="21" customWidth="1"/>
    <col min="1541" max="1541" width="11.08984375" style="21" customWidth="1"/>
    <col min="1542" max="1542" width="11.36328125" style="21" customWidth="1"/>
    <col min="1543" max="1543" width="13.453125" style="21" customWidth="1"/>
    <col min="1544" max="1544" width="10.90625" style="21" customWidth="1"/>
    <col min="1545" max="1545" width="11.36328125" style="21" customWidth="1"/>
    <col min="1546" max="1792" width="9.08984375" style="21"/>
    <col min="1793" max="1793" width="29.90625" style="21" customWidth="1"/>
    <col min="1794" max="1794" width="12.453125" style="21" customWidth="1"/>
    <col min="1795" max="1795" width="15.08984375" style="21" customWidth="1"/>
    <col min="1796" max="1796" width="14.36328125" style="21" customWidth="1"/>
    <col min="1797" max="1797" width="11.08984375" style="21" customWidth="1"/>
    <col min="1798" max="1798" width="11.36328125" style="21" customWidth="1"/>
    <col min="1799" max="1799" width="13.453125" style="21" customWidth="1"/>
    <col min="1800" max="1800" width="10.90625" style="21" customWidth="1"/>
    <col min="1801" max="1801" width="11.36328125" style="21" customWidth="1"/>
    <col min="1802" max="2048" width="9.08984375" style="21"/>
    <col min="2049" max="2049" width="29.90625" style="21" customWidth="1"/>
    <col min="2050" max="2050" width="12.453125" style="21" customWidth="1"/>
    <col min="2051" max="2051" width="15.08984375" style="21" customWidth="1"/>
    <col min="2052" max="2052" width="14.36328125" style="21" customWidth="1"/>
    <col min="2053" max="2053" width="11.08984375" style="21" customWidth="1"/>
    <col min="2054" max="2054" width="11.36328125" style="21" customWidth="1"/>
    <col min="2055" max="2055" width="13.453125" style="21" customWidth="1"/>
    <col min="2056" max="2056" width="10.90625" style="21" customWidth="1"/>
    <col min="2057" max="2057" width="11.36328125" style="21" customWidth="1"/>
    <col min="2058" max="2304" width="9.08984375" style="21"/>
    <col min="2305" max="2305" width="29.90625" style="21" customWidth="1"/>
    <col min="2306" max="2306" width="12.453125" style="21" customWidth="1"/>
    <col min="2307" max="2307" width="15.08984375" style="21" customWidth="1"/>
    <col min="2308" max="2308" width="14.36328125" style="21" customWidth="1"/>
    <col min="2309" max="2309" width="11.08984375" style="21" customWidth="1"/>
    <col min="2310" max="2310" width="11.36328125" style="21" customWidth="1"/>
    <col min="2311" max="2311" width="13.453125" style="21" customWidth="1"/>
    <col min="2312" max="2312" width="10.90625" style="21" customWidth="1"/>
    <col min="2313" max="2313" width="11.36328125" style="21" customWidth="1"/>
    <col min="2314" max="2560" width="9.08984375" style="21"/>
    <col min="2561" max="2561" width="29.90625" style="21" customWidth="1"/>
    <col min="2562" max="2562" width="12.453125" style="21" customWidth="1"/>
    <col min="2563" max="2563" width="15.08984375" style="21" customWidth="1"/>
    <col min="2564" max="2564" width="14.36328125" style="21" customWidth="1"/>
    <col min="2565" max="2565" width="11.08984375" style="21" customWidth="1"/>
    <col min="2566" max="2566" width="11.36328125" style="21" customWidth="1"/>
    <col min="2567" max="2567" width="13.453125" style="21" customWidth="1"/>
    <col min="2568" max="2568" width="10.90625" style="21" customWidth="1"/>
    <col min="2569" max="2569" width="11.36328125" style="21" customWidth="1"/>
    <col min="2570" max="2816" width="9.08984375" style="21"/>
    <col min="2817" max="2817" width="29.90625" style="21" customWidth="1"/>
    <col min="2818" max="2818" width="12.453125" style="21" customWidth="1"/>
    <col min="2819" max="2819" width="15.08984375" style="21" customWidth="1"/>
    <col min="2820" max="2820" width="14.36328125" style="21" customWidth="1"/>
    <col min="2821" max="2821" width="11.08984375" style="21" customWidth="1"/>
    <col min="2822" max="2822" width="11.36328125" style="21" customWidth="1"/>
    <col min="2823" max="2823" width="13.453125" style="21" customWidth="1"/>
    <col min="2824" max="2824" width="10.90625" style="21" customWidth="1"/>
    <col min="2825" max="2825" width="11.36328125" style="21" customWidth="1"/>
    <col min="2826" max="3072" width="9.08984375" style="21"/>
    <col min="3073" max="3073" width="29.90625" style="21" customWidth="1"/>
    <col min="3074" max="3074" width="12.453125" style="21" customWidth="1"/>
    <col min="3075" max="3075" width="15.08984375" style="21" customWidth="1"/>
    <col min="3076" max="3076" width="14.36328125" style="21" customWidth="1"/>
    <col min="3077" max="3077" width="11.08984375" style="21" customWidth="1"/>
    <col min="3078" max="3078" width="11.36328125" style="21" customWidth="1"/>
    <col min="3079" max="3079" width="13.453125" style="21" customWidth="1"/>
    <col min="3080" max="3080" width="10.90625" style="21" customWidth="1"/>
    <col min="3081" max="3081" width="11.36328125" style="21" customWidth="1"/>
    <col min="3082" max="3328" width="9.08984375" style="21"/>
    <col min="3329" max="3329" width="29.90625" style="21" customWidth="1"/>
    <col min="3330" max="3330" width="12.453125" style="21" customWidth="1"/>
    <col min="3331" max="3331" width="15.08984375" style="21" customWidth="1"/>
    <col min="3332" max="3332" width="14.36328125" style="21" customWidth="1"/>
    <col min="3333" max="3333" width="11.08984375" style="21" customWidth="1"/>
    <col min="3334" max="3334" width="11.36328125" style="21" customWidth="1"/>
    <col min="3335" max="3335" width="13.453125" style="21" customWidth="1"/>
    <col min="3336" max="3336" width="10.90625" style="21" customWidth="1"/>
    <col min="3337" max="3337" width="11.36328125" style="21" customWidth="1"/>
    <col min="3338" max="3584" width="9.08984375" style="21"/>
    <col min="3585" max="3585" width="29.90625" style="21" customWidth="1"/>
    <col min="3586" max="3586" width="12.453125" style="21" customWidth="1"/>
    <col min="3587" max="3587" width="15.08984375" style="21" customWidth="1"/>
    <col min="3588" max="3588" width="14.36328125" style="21" customWidth="1"/>
    <col min="3589" max="3589" width="11.08984375" style="21" customWidth="1"/>
    <col min="3590" max="3590" width="11.36328125" style="21" customWidth="1"/>
    <col min="3591" max="3591" width="13.453125" style="21" customWidth="1"/>
    <col min="3592" max="3592" width="10.90625" style="21" customWidth="1"/>
    <col min="3593" max="3593" width="11.36328125" style="21" customWidth="1"/>
    <col min="3594" max="3840" width="9.08984375" style="21"/>
    <col min="3841" max="3841" width="29.90625" style="21" customWidth="1"/>
    <col min="3842" max="3842" width="12.453125" style="21" customWidth="1"/>
    <col min="3843" max="3843" width="15.08984375" style="21" customWidth="1"/>
    <col min="3844" max="3844" width="14.36328125" style="21" customWidth="1"/>
    <col min="3845" max="3845" width="11.08984375" style="21" customWidth="1"/>
    <col min="3846" max="3846" width="11.36328125" style="21" customWidth="1"/>
    <col min="3847" max="3847" width="13.453125" style="21" customWidth="1"/>
    <col min="3848" max="3848" width="10.90625" style="21" customWidth="1"/>
    <col min="3849" max="3849" width="11.36328125" style="21" customWidth="1"/>
    <col min="3850" max="4096" width="9.08984375" style="21"/>
    <col min="4097" max="4097" width="29.90625" style="21" customWidth="1"/>
    <col min="4098" max="4098" width="12.453125" style="21" customWidth="1"/>
    <col min="4099" max="4099" width="15.08984375" style="21" customWidth="1"/>
    <col min="4100" max="4100" width="14.36328125" style="21" customWidth="1"/>
    <col min="4101" max="4101" width="11.08984375" style="21" customWidth="1"/>
    <col min="4102" max="4102" width="11.36328125" style="21" customWidth="1"/>
    <col min="4103" max="4103" width="13.453125" style="21" customWidth="1"/>
    <col min="4104" max="4104" width="10.90625" style="21" customWidth="1"/>
    <col min="4105" max="4105" width="11.36328125" style="21" customWidth="1"/>
    <col min="4106" max="4352" width="9.08984375" style="21"/>
    <col min="4353" max="4353" width="29.90625" style="21" customWidth="1"/>
    <col min="4354" max="4354" width="12.453125" style="21" customWidth="1"/>
    <col min="4355" max="4355" width="15.08984375" style="21" customWidth="1"/>
    <col min="4356" max="4356" width="14.36328125" style="21" customWidth="1"/>
    <col min="4357" max="4357" width="11.08984375" style="21" customWidth="1"/>
    <col min="4358" max="4358" width="11.36328125" style="21" customWidth="1"/>
    <col min="4359" max="4359" width="13.453125" style="21" customWidth="1"/>
    <col min="4360" max="4360" width="10.90625" style="21" customWidth="1"/>
    <col min="4361" max="4361" width="11.36328125" style="21" customWidth="1"/>
    <col min="4362" max="4608" width="9.08984375" style="21"/>
    <col min="4609" max="4609" width="29.90625" style="21" customWidth="1"/>
    <col min="4610" max="4610" width="12.453125" style="21" customWidth="1"/>
    <col min="4611" max="4611" width="15.08984375" style="21" customWidth="1"/>
    <col min="4612" max="4612" width="14.36328125" style="21" customWidth="1"/>
    <col min="4613" max="4613" width="11.08984375" style="21" customWidth="1"/>
    <col min="4614" max="4614" width="11.36328125" style="21" customWidth="1"/>
    <col min="4615" max="4615" width="13.453125" style="21" customWidth="1"/>
    <col min="4616" max="4616" width="10.90625" style="21" customWidth="1"/>
    <col min="4617" max="4617" width="11.36328125" style="21" customWidth="1"/>
    <col min="4618" max="4864" width="9.08984375" style="21"/>
    <col min="4865" max="4865" width="29.90625" style="21" customWidth="1"/>
    <col min="4866" max="4866" width="12.453125" style="21" customWidth="1"/>
    <col min="4867" max="4867" width="15.08984375" style="21" customWidth="1"/>
    <col min="4868" max="4868" width="14.36328125" style="21" customWidth="1"/>
    <col min="4869" max="4869" width="11.08984375" style="21" customWidth="1"/>
    <col min="4870" max="4870" width="11.36328125" style="21" customWidth="1"/>
    <col min="4871" max="4871" width="13.453125" style="21" customWidth="1"/>
    <col min="4872" max="4872" width="10.90625" style="21" customWidth="1"/>
    <col min="4873" max="4873" width="11.36328125" style="21" customWidth="1"/>
    <col min="4874" max="5120" width="9.08984375" style="21"/>
    <col min="5121" max="5121" width="29.90625" style="21" customWidth="1"/>
    <col min="5122" max="5122" width="12.453125" style="21" customWidth="1"/>
    <col min="5123" max="5123" width="15.08984375" style="21" customWidth="1"/>
    <col min="5124" max="5124" width="14.36328125" style="21" customWidth="1"/>
    <col min="5125" max="5125" width="11.08984375" style="21" customWidth="1"/>
    <col min="5126" max="5126" width="11.36328125" style="21" customWidth="1"/>
    <col min="5127" max="5127" width="13.453125" style="21" customWidth="1"/>
    <col min="5128" max="5128" width="10.90625" style="21" customWidth="1"/>
    <col min="5129" max="5129" width="11.36328125" style="21" customWidth="1"/>
    <col min="5130" max="5376" width="9.08984375" style="21"/>
    <col min="5377" max="5377" width="29.90625" style="21" customWidth="1"/>
    <col min="5378" max="5378" width="12.453125" style="21" customWidth="1"/>
    <col min="5379" max="5379" width="15.08984375" style="21" customWidth="1"/>
    <col min="5380" max="5380" width="14.36328125" style="21" customWidth="1"/>
    <col min="5381" max="5381" width="11.08984375" style="21" customWidth="1"/>
    <col min="5382" max="5382" width="11.36328125" style="21" customWidth="1"/>
    <col min="5383" max="5383" width="13.453125" style="21" customWidth="1"/>
    <col min="5384" max="5384" width="10.90625" style="21" customWidth="1"/>
    <col min="5385" max="5385" width="11.36328125" style="21" customWidth="1"/>
    <col min="5386" max="5632" width="9.08984375" style="21"/>
    <col min="5633" max="5633" width="29.90625" style="21" customWidth="1"/>
    <col min="5634" max="5634" width="12.453125" style="21" customWidth="1"/>
    <col min="5635" max="5635" width="15.08984375" style="21" customWidth="1"/>
    <col min="5636" max="5636" width="14.36328125" style="21" customWidth="1"/>
    <col min="5637" max="5637" width="11.08984375" style="21" customWidth="1"/>
    <col min="5638" max="5638" width="11.36328125" style="21" customWidth="1"/>
    <col min="5639" max="5639" width="13.453125" style="21" customWidth="1"/>
    <col min="5640" max="5640" width="10.90625" style="21" customWidth="1"/>
    <col min="5641" max="5641" width="11.36328125" style="21" customWidth="1"/>
    <col min="5642" max="5888" width="9.08984375" style="21"/>
    <col min="5889" max="5889" width="29.90625" style="21" customWidth="1"/>
    <col min="5890" max="5890" width="12.453125" style="21" customWidth="1"/>
    <col min="5891" max="5891" width="15.08984375" style="21" customWidth="1"/>
    <col min="5892" max="5892" width="14.36328125" style="21" customWidth="1"/>
    <col min="5893" max="5893" width="11.08984375" style="21" customWidth="1"/>
    <col min="5894" max="5894" width="11.36328125" style="21" customWidth="1"/>
    <col min="5895" max="5895" width="13.453125" style="21" customWidth="1"/>
    <col min="5896" max="5896" width="10.90625" style="21" customWidth="1"/>
    <col min="5897" max="5897" width="11.36328125" style="21" customWidth="1"/>
    <col min="5898" max="6144" width="9.08984375" style="21"/>
    <col min="6145" max="6145" width="29.90625" style="21" customWidth="1"/>
    <col min="6146" max="6146" width="12.453125" style="21" customWidth="1"/>
    <col min="6147" max="6147" width="15.08984375" style="21" customWidth="1"/>
    <col min="6148" max="6148" width="14.36328125" style="21" customWidth="1"/>
    <col min="6149" max="6149" width="11.08984375" style="21" customWidth="1"/>
    <col min="6150" max="6150" width="11.36328125" style="21" customWidth="1"/>
    <col min="6151" max="6151" width="13.453125" style="21" customWidth="1"/>
    <col min="6152" max="6152" width="10.90625" style="21" customWidth="1"/>
    <col min="6153" max="6153" width="11.36328125" style="21" customWidth="1"/>
    <col min="6154" max="6400" width="9.08984375" style="21"/>
    <col min="6401" max="6401" width="29.90625" style="21" customWidth="1"/>
    <col min="6402" max="6402" width="12.453125" style="21" customWidth="1"/>
    <col min="6403" max="6403" width="15.08984375" style="21" customWidth="1"/>
    <col min="6404" max="6404" width="14.36328125" style="21" customWidth="1"/>
    <col min="6405" max="6405" width="11.08984375" style="21" customWidth="1"/>
    <col min="6406" max="6406" width="11.36328125" style="21" customWidth="1"/>
    <col min="6407" max="6407" width="13.453125" style="21" customWidth="1"/>
    <col min="6408" max="6408" width="10.90625" style="21" customWidth="1"/>
    <col min="6409" max="6409" width="11.36328125" style="21" customWidth="1"/>
    <col min="6410" max="6656" width="9.08984375" style="21"/>
    <col min="6657" max="6657" width="29.90625" style="21" customWidth="1"/>
    <col min="6658" max="6658" width="12.453125" style="21" customWidth="1"/>
    <col min="6659" max="6659" width="15.08984375" style="21" customWidth="1"/>
    <col min="6660" max="6660" width="14.36328125" style="21" customWidth="1"/>
    <col min="6661" max="6661" width="11.08984375" style="21" customWidth="1"/>
    <col min="6662" max="6662" width="11.36328125" style="21" customWidth="1"/>
    <col min="6663" max="6663" width="13.453125" style="21" customWidth="1"/>
    <col min="6664" max="6664" width="10.90625" style="21" customWidth="1"/>
    <col min="6665" max="6665" width="11.36328125" style="21" customWidth="1"/>
    <col min="6666" max="6912" width="9.08984375" style="21"/>
    <col min="6913" max="6913" width="29.90625" style="21" customWidth="1"/>
    <col min="6914" max="6914" width="12.453125" style="21" customWidth="1"/>
    <col min="6915" max="6915" width="15.08984375" style="21" customWidth="1"/>
    <col min="6916" max="6916" width="14.36328125" style="21" customWidth="1"/>
    <col min="6917" max="6917" width="11.08984375" style="21" customWidth="1"/>
    <col min="6918" max="6918" width="11.36328125" style="21" customWidth="1"/>
    <col min="6919" max="6919" width="13.453125" style="21" customWidth="1"/>
    <col min="6920" max="6920" width="10.90625" style="21" customWidth="1"/>
    <col min="6921" max="6921" width="11.36328125" style="21" customWidth="1"/>
    <col min="6922" max="7168" width="9.08984375" style="21"/>
    <col min="7169" max="7169" width="29.90625" style="21" customWidth="1"/>
    <col min="7170" max="7170" width="12.453125" style="21" customWidth="1"/>
    <col min="7171" max="7171" width="15.08984375" style="21" customWidth="1"/>
    <col min="7172" max="7172" width="14.36328125" style="21" customWidth="1"/>
    <col min="7173" max="7173" width="11.08984375" style="21" customWidth="1"/>
    <col min="7174" max="7174" width="11.36328125" style="21" customWidth="1"/>
    <col min="7175" max="7175" width="13.453125" style="21" customWidth="1"/>
    <col min="7176" max="7176" width="10.90625" style="21" customWidth="1"/>
    <col min="7177" max="7177" width="11.36328125" style="21" customWidth="1"/>
    <col min="7178" max="7424" width="9.08984375" style="21"/>
    <col min="7425" max="7425" width="29.90625" style="21" customWidth="1"/>
    <col min="7426" max="7426" width="12.453125" style="21" customWidth="1"/>
    <col min="7427" max="7427" width="15.08984375" style="21" customWidth="1"/>
    <col min="7428" max="7428" width="14.36328125" style="21" customWidth="1"/>
    <col min="7429" max="7429" width="11.08984375" style="21" customWidth="1"/>
    <col min="7430" max="7430" width="11.36328125" style="21" customWidth="1"/>
    <col min="7431" max="7431" width="13.453125" style="21" customWidth="1"/>
    <col min="7432" max="7432" width="10.90625" style="21" customWidth="1"/>
    <col min="7433" max="7433" width="11.36328125" style="21" customWidth="1"/>
    <col min="7434" max="7680" width="9.08984375" style="21"/>
    <col min="7681" max="7681" width="29.90625" style="21" customWidth="1"/>
    <col min="7682" max="7682" width="12.453125" style="21" customWidth="1"/>
    <col min="7683" max="7683" width="15.08984375" style="21" customWidth="1"/>
    <col min="7684" max="7684" width="14.36328125" style="21" customWidth="1"/>
    <col min="7685" max="7685" width="11.08984375" style="21" customWidth="1"/>
    <col min="7686" max="7686" width="11.36328125" style="21" customWidth="1"/>
    <col min="7687" max="7687" width="13.453125" style="21" customWidth="1"/>
    <col min="7688" max="7688" width="10.90625" style="21" customWidth="1"/>
    <col min="7689" max="7689" width="11.36328125" style="21" customWidth="1"/>
    <col min="7690" max="7936" width="9.08984375" style="21"/>
    <col min="7937" max="7937" width="29.90625" style="21" customWidth="1"/>
    <col min="7938" max="7938" width="12.453125" style="21" customWidth="1"/>
    <col min="7939" max="7939" width="15.08984375" style="21" customWidth="1"/>
    <col min="7940" max="7940" width="14.36328125" style="21" customWidth="1"/>
    <col min="7941" max="7941" width="11.08984375" style="21" customWidth="1"/>
    <col min="7942" max="7942" width="11.36328125" style="21" customWidth="1"/>
    <col min="7943" max="7943" width="13.453125" style="21" customWidth="1"/>
    <col min="7944" max="7944" width="10.90625" style="21" customWidth="1"/>
    <col min="7945" max="7945" width="11.36328125" style="21" customWidth="1"/>
    <col min="7946" max="8192" width="9.08984375" style="21"/>
    <col min="8193" max="8193" width="29.90625" style="21" customWidth="1"/>
    <col min="8194" max="8194" width="12.453125" style="21" customWidth="1"/>
    <col min="8195" max="8195" width="15.08984375" style="21" customWidth="1"/>
    <col min="8196" max="8196" width="14.36328125" style="21" customWidth="1"/>
    <col min="8197" max="8197" width="11.08984375" style="21" customWidth="1"/>
    <col min="8198" max="8198" width="11.36328125" style="21" customWidth="1"/>
    <col min="8199" max="8199" width="13.453125" style="21" customWidth="1"/>
    <col min="8200" max="8200" width="10.90625" style="21" customWidth="1"/>
    <col min="8201" max="8201" width="11.36328125" style="21" customWidth="1"/>
    <col min="8202" max="8448" width="9.08984375" style="21"/>
    <col min="8449" max="8449" width="29.90625" style="21" customWidth="1"/>
    <col min="8450" max="8450" width="12.453125" style="21" customWidth="1"/>
    <col min="8451" max="8451" width="15.08984375" style="21" customWidth="1"/>
    <col min="8452" max="8452" width="14.36328125" style="21" customWidth="1"/>
    <col min="8453" max="8453" width="11.08984375" style="21" customWidth="1"/>
    <col min="8454" max="8454" width="11.36328125" style="21" customWidth="1"/>
    <col min="8455" max="8455" width="13.453125" style="21" customWidth="1"/>
    <col min="8456" max="8456" width="10.90625" style="21" customWidth="1"/>
    <col min="8457" max="8457" width="11.36328125" style="21" customWidth="1"/>
    <col min="8458" max="8704" width="9.08984375" style="21"/>
    <col min="8705" max="8705" width="29.90625" style="21" customWidth="1"/>
    <col min="8706" max="8706" width="12.453125" style="21" customWidth="1"/>
    <col min="8707" max="8707" width="15.08984375" style="21" customWidth="1"/>
    <col min="8708" max="8708" width="14.36328125" style="21" customWidth="1"/>
    <col min="8709" max="8709" width="11.08984375" style="21" customWidth="1"/>
    <col min="8710" max="8710" width="11.36328125" style="21" customWidth="1"/>
    <col min="8711" max="8711" width="13.453125" style="21" customWidth="1"/>
    <col min="8712" max="8712" width="10.90625" style="21" customWidth="1"/>
    <col min="8713" max="8713" width="11.36328125" style="21" customWidth="1"/>
    <col min="8714" max="8960" width="9.08984375" style="21"/>
    <col min="8961" max="8961" width="29.90625" style="21" customWidth="1"/>
    <col min="8962" max="8962" width="12.453125" style="21" customWidth="1"/>
    <col min="8963" max="8963" width="15.08984375" style="21" customWidth="1"/>
    <col min="8964" max="8964" width="14.36328125" style="21" customWidth="1"/>
    <col min="8965" max="8965" width="11.08984375" style="21" customWidth="1"/>
    <col min="8966" max="8966" width="11.36328125" style="21" customWidth="1"/>
    <col min="8967" max="8967" width="13.453125" style="21" customWidth="1"/>
    <col min="8968" max="8968" width="10.90625" style="21" customWidth="1"/>
    <col min="8969" max="8969" width="11.36328125" style="21" customWidth="1"/>
    <col min="8970" max="9216" width="9.08984375" style="21"/>
    <col min="9217" max="9217" width="29.90625" style="21" customWidth="1"/>
    <col min="9218" max="9218" width="12.453125" style="21" customWidth="1"/>
    <col min="9219" max="9219" width="15.08984375" style="21" customWidth="1"/>
    <col min="9220" max="9220" width="14.36328125" style="21" customWidth="1"/>
    <col min="9221" max="9221" width="11.08984375" style="21" customWidth="1"/>
    <col min="9222" max="9222" width="11.36328125" style="21" customWidth="1"/>
    <col min="9223" max="9223" width="13.453125" style="21" customWidth="1"/>
    <col min="9224" max="9224" width="10.90625" style="21" customWidth="1"/>
    <col min="9225" max="9225" width="11.36328125" style="21" customWidth="1"/>
    <col min="9226" max="9472" width="9.08984375" style="21"/>
    <col min="9473" max="9473" width="29.90625" style="21" customWidth="1"/>
    <col min="9474" max="9474" width="12.453125" style="21" customWidth="1"/>
    <col min="9475" max="9475" width="15.08984375" style="21" customWidth="1"/>
    <col min="9476" max="9476" width="14.36328125" style="21" customWidth="1"/>
    <col min="9477" max="9477" width="11.08984375" style="21" customWidth="1"/>
    <col min="9478" max="9478" width="11.36328125" style="21" customWidth="1"/>
    <col min="9479" max="9479" width="13.453125" style="21" customWidth="1"/>
    <col min="9480" max="9480" width="10.90625" style="21" customWidth="1"/>
    <col min="9481" max="9481" width="11.36328125" style="21" customWidth="1"/>
    <col min="9482" max="9728" width="9.08984375" style="21"/>
    <col min="9729" max="9729" width="29.90625" style="21" customWidth="1"/>
    <col min="9730" max="9730" width="12.453125" style="21" customWidth="1"/>
    <col min="9731" max="9731" width="15.08984375" style="21" customWidth="1"/>
    <col min="9732" max="9732" width="14.36328125" style="21" customWidth="1"/>
    <col min="9733" max="9733" width="11.08984375" style="21" customWidth="1"/>
    <col min="9734" max="9734" width="11.36328125" style="21" customWidth="1"/>
    <col min="9735" max="9735" width="13.453125" style="21" customWidth="1"/>
    <col min="9736" max="9736" width="10.90625" style="21" customWidth="1"/>
    <col min="9737" max="9737" width="11.36328125" style="21" customWidth="1"/>
    <col min="9738" max="9984" width="9.08984375" style="21"/>
    <col min="9985" max="9985" width="29.90625" style="21" customWidth="1"/>
    <col min="9986" max="9986" width="12.453125" style="21" customWidth="1"/>
    <col min="9987" max="9987" width="15.08984375" style="21" customWidth="1"/>
    <col min="9988" max="9988" width="14.36328125" style="21" customWidth="1"/>
    <col min="9989" max="9989" width="11.08984375" style="21" customWidth="1"/>
    <col min="9990" max="9990" width="11.36328125" style="21" customWidth="1"/>
    <col min="9991" max="9991" width="13.453125" style="21" customWidth="1"/>
    <col min="9992" max="9992" width="10.90625" style="21" customWidth="1"/>
    <col min="9993" max="9993" width="11.36328125" style="21" customWidth="1"/>
    <col min="9994" max="10240" width="9.08984375" style="21"/>
    <col min="10241" max="10241" width="29.90625" style="21" customWidth="1"/>
    <col min="10242" max="10242" width="12.453125" style="21" customWidth="1"/>
    <col min="10243" max="10243" width="15.08984375" style="21" customWidth="1"/>
    <col min="10244" max="10244" width="14.36328125" style="21" customWidth="1"/>
    <col min="10245" max="10245" width="11.08984375" style="21" customWidth="1"/>
    <col min="10246" max="10246" width="11.36328125" style="21" customWidth="1"/>
    <col min="10247" max="10247" width="13.453125" style="21" customWidth="1"/>
    <col min="10248" max="10248" width="10.90625" style="21" customWidth="1"/>
    <col min="10249" max="10249" width="11.36328125" style="21" customWidth="1"/>
    <col min="10250" max="10496" width="9.08984375" style="21"/>
    <col min="10497" max="10497" width="29.90625" style="21" customWidth="1"/>
    <col min="10498" max="10498" width="12.453125" style="21" customWidth="1"/>
    <col min="10499" max="10499" width="15.08984375" style="21" customWidth="1"/>
    <col min="10500" max="10500" width="14.36328125" style="21" customWidth="1"/>
    <col min="10501" max="10501" width="11.08984375" style="21" customWidth="1"/>
    <col min="10502" max="10502" width="11.36328125" style="21" customWidth="1"/>
    <col min="10503" max="10503" width="13.453125" style="21" customWidth="1"/>
    <col min="10504" max="10504" width="10.90625" style="21" customWidth="1"/>
    <col min="10505" max="10505" width="11.36328125" style="21" customWidth="1"/>
    <col min="10506" max="10752" width="9.08984375" style="21"/>
    <col min="10753" max="10753" width="29.90625" style="21" customWidth="1"/>
    <col min="10754" max="10754" width="12.453125" style="21" customWidth="1"/>
    <col min="10755" max="10755" width="15.08984375" style="21" customWidth="1"/>
    <col min="10756" max="10756" width="14.36328125" style="21" customWidth="1"/>
    <col min="10757" max="10757" width="11.08984375" style="21" customWidth="1"/>
    <col min="10758" max="10758" width="11.36328125" style="21" customWidth="1"/>
    <col min="10759" max="10759" width="13.453125" style="21" customWidth="1"/>
    <col min="10760" max="10760" width="10.90625" style="21" customWidth="1"/>
    <col min="10761" max="10761" width="11.36328125" style="21" customWidth="1"/>
    <col min="10762" max="11008" width="9.08984375" style="21"/>
    <col min="11009" max="11009" width="29.90625" style="21" customWidth="1"/>
    <col min="11010" max="11010" width="12.453125" style="21" customWidth="1"/>
    <col min="11011" max="11011" width="15.08984375" style="21" customWidth="1"/>
    <col min="11012" max="11012" width="14.36328125" style="21" customWidth="1"/>
    <col min="11013" max="11013" width="11.08984375" style="21" customWidth="1"/>
    <col min="11014" max="11014" width="11.36328125" style="21" customWidth="1"/>
    <col min="11015" max="11015" width="13.453125" style="21" customWidth="1"/>
    <col min="11016" max="11016" width="10.90625" style="21" customWidth="1"/>
    <col min="11017" max="11017" width="11.36328125" style="21" customWidth="1"/>
    <col min="11018" max="11264" width="9.08984375" style="21"/>
    <col min="11265" max="11265" width="29.90625" style="21" customWidth="1"/>
    <col min="11266" max="11266" width="12.453125" style="21" customWidth="1"/>
    <col min="11267" max="11267" width="15.08984375" style="21" customWidth="1"/>
    <col min="11268" max="11268" width="14.36328125" style="21" customWidth="1"/>
    <col min="11269" max="11269" width="11.08984375" style="21" customWidth="1"/>
    <col min="11270" max="11270" width="11.36328125" style="21" customWidth="1"/>
    <col min="11271" max="11271" width="13.453125" style="21" customWidth="1"/>
    <col min="11272" max="11272" width="10.90625" style="21" customWidth="1"/>
    <col min="11273" max="11273" width="11.36328125" style="21" customWidth="1"/>
    <col min="11274" max="11520" width="9.08984375" style="21"/>
    <col min="11521" max="11521" width="29.90625" style="21" customWidth="1"/>
    <col min="11522" max="11522" width="12.453125" style="21" customWidth="1"/>
    <col min="11523" max="11523" width="15.08984375" style="21" customWidth="1"/>
    <col min="11524" max="11524" width="14.36328125" style="21" customWidth="1"/>
    <col min="11525" max="11525" width="11.08984375" style="21" customWidth="1"/>
    <col min="11526" max="11526" width="11.36328125" style="21" customWidth="1"/>
    <col min="11527" max="11527" width="13.453125" style="21" customWidth="1"/>
    <col min="11528" max="11528" width="10.90625" style="21" customWidth="1"/>
    <col min="11529" max="11529" width="11.36328125" style="21" customWidth="1"/>
    <col min="11530" max="11776" width="9.08984375" style="21"/>
    <col min="11777" max="11777" width="29.90625" style="21" customWidth="1"/>
    <col min="11778" max="11778" width="12.453125" style="21" customWidth="1"/>
    <col min="11779" max="11779" width="15.08984375" style="21" customWidth="1"/>
    <col min="11780" max="11780" width="14.36328125" style="21" customWidth="1"/>
    <col min="11781" max="11781" width="11.08984375" style="21" customWidth="1"/>
    <col min="11782" max="11782" width="11.36328125" style="21" customWidth="1"/>
    <col min="11783" max="11783" width="13.453125" style="21" customWidth="1"/>
    <col min="11784" max="11784" width="10.90625" style="21" customWidth="1"/>
    <col min="11785" max="11785" width="11.36328125" style="21" customWidth="1"/>
    <col min="11786" max="12032" width="9.08984375" style="21"/>
    <col min="12033" max="12033" width="29.90625" style="21" customWidth="1"/>
    <col min="12034" max="12034" width="12.453125" style="21" customWidth="1"/>
    <col min="12035" max="12035" width="15.08984375" style="21" customWidth="1"/>
    <col min="12036" max="12036" width="14.36328125" style="21" customWidth="1"/>
    <col min="12037" max="12037" width="11.08984375" style="21" customWidth="1"/>
    <col min="12038" max="12038" width="11.36328125" style="21" customWidth="1"/>
    <col min="12039" max="12039" width="13.453125" style="21" customWidth="1"/>
    <col min="12040" max="12040" width="10.90625" style="21" customWidth="1"/>
    <col min="12041" max="12041" width="11.36328125" style="21" customWidth="1"/>
    <col min="12042" max="12288" width="9.08984375" style="21"/>
    <col min="12289" max="12289" width="29.90625" style="21" customWidth="1"/>
    <col min="12290" max="12290" width="12.453125" style="21" customWidth="1"/>
    <col min="12291" max="12291" width="15.08984375" style="21" customWidth="1"/>
    <col min="12292" max="12292" width="14.36328125" style="21" customWidth="1"/>
    <col min="12293" max="12293" width="11.08984375" style="21" customWidth="1"/>
    <col min="12294" max="12294" width="11.36328125" style="21" customWidth="1"/>
    <col min="12295" max="12295" width="13.453125" style="21" customWidth="1"/>
    <col min="12296" max="12296" width="10.90625" style="21" customWidth="1"/>
    <col min="12297" max="12297" width="11.36328125" style="21" customWidth="1"/>
    <col min="12298" max="12544" width="9.08984375" style="21"/>
    <col min="12545" max="12545" width="29.90625" style="21" customWidth="1"/>
    <col min="12546" max="12546" width="12.453125" style="21" customWidth="1"/>
    <col min="12547" max="12547" width="15.08984375" style="21" customWidth="1"/>
    <col min="12548" max="12548" width="14.36328125" style="21" customWidth="1"/>
    <col min="12549" max="12549" width="11.08984375" style="21" customWidth="1"/>
    <col min="12550" max="12550" width="11.36328125" style="21" customWidth="1"/>
    <col min="12551" max="12551" width="13.453125" style="21" customWidth="1"/>
    <col min="12552" max="12552" width="10.90625" style="21" customWidth="1"/>
    <col min="12553" max="12553" width="11.36328125" style="21" customWidth="1"/>
    <col min="12554" max="12800" width="9.08984375" style="21"/>
    <col min="12801" max="12801" width="29.90625" style="21" customWidth="1"/>
    <col min="12802" max="12802" width="12.453125" style="21" customWidth="1"/>
    <col min="12803" max="12803" width="15.08984375" style="21" customWidth="1"/>
    <col min="12804" max="12804" width="14.36328125" style="21" customWidth="1"/>
    <col min="12805" max="12805" width="11.08984375" style="21" customWidth="1"/>
    <col min="12806" max="12806" width="11.36328125" style="21" customWidth="1"/>
    <col min="12807" max="12807" width="13.453125" style="21" customWidth="1"/>
    <col min="12808" max="12808" width="10.90625" style="21" customWidth="1"/>
    <col min="12809" max="12809" width="11.36328125" style="21" customWidth="1"/>
    <col min="12810" max="13056" width="9.08984375" style="21"/>
    <col min="13057" max="13057" width="29.90625" style="21" customWidth="1"/>
    <col min="13058" max="13058" width="12.453125" style="21" customWidth="1"/>
    <col min="13059" max="13059" width="15.08984375" style="21" customWidth="1"/>
    <col min="13060" max="13060" width="14.36328125" style="21" customWidth="1"/>
    <col min="13061" max="13061" width="11.08984375" style="21" customWidth="1"/>
    <col min="13062" max="13062" width="11.36328125" style="21" customWidth="1"/>
    <col min="13063" max="13063" width="13.453125" style="21" customWidth="1"/>
    <col min="13064" max="13064" width="10.90625" style="21" customWidth="1"/>
    <col min="13065" max="13065" width="11.36328125" style="21" customWidth="1"/>
    <col min="13066" max="13312" width="9.08984375" style="21"/>
    <col min="13313" max="13313" width="29.90625" style="21" customWidth="1"/>
    <col min="13314" max="13314" width="12.453125" style="21" customWidth="1"/>
    <col min="13315" max="13315" width="15.08984375" style="21" customWidth="1"/>
    <col min="13316" max="13316" width="14.36328125" style="21" customWidth="1"/>
    <col min="13317" max="13317" width="11.08984375" style="21" customWidth="1"/>
    <col min="13318" max="13318" width="11.36328125" style="21" customWidth="1"/>
    <col min="13319" max="13319" width="13.453125" style="21" customWidth="1"/>
    <col min="13320" max="13320" width="10.90625" style="21" customWidth="1"/>
    <col min="13321" max="13321" width="11.36328125" style="21" customWidth="1"/>
    <col min="13322" max="13568" width="9.08984375" style="21"/>
    <col min="13569" max="13569" width="29.90625" style="21" customWidth="1"/>
    <col min="13570" max="13570" width="12.453125" style="21" customWidth="1"/>
    <col min="13571" max="13571" width="15.08984375" style="21" customWidth="1"/>
    <col min="13572" max="13572" width="14.36328125" style="21" customWidth="1"/>
    <col min="13573" max="13573" width="11.08984375" style="21" customWidth="1"/>
    <col min="13574" max="13574" width="11.36328125" style="21" customWidth="1"/>
    <col min="13575" max="13575" width="13.453125" style="21" customWidth="1"/>
    <col min="13576" max="13576" width="10.90625" style="21" customWidth="1"/>
    <col min="13577" max="13577" width="11.36328125" style="21" customWidth="1"/>
    <col min="13578" max="13824" width="9.08984375" style="21"/>
    <col min="13825" max="13825" width="29.90625" style="21" customWidth="1"/>
    <col min="13826" max="13826" width="12.453125" style="21" customWidth="1"/>
    <col min="13827" max="13827" width="15.08984375" style="21" customWidth="1"/>
    <col min="13828" max="13828" width="14.36328125" style="21" customWidth="1"/>
    <col min="13829" max="13829" width="11.08984375" style="21" customWidth="1"/>
    <col min="13830" max="13830" width="11.36328125" style="21" customWidth="1"/>
    <col min="13831" max="13831" width="13.453125" style="21" customWidth="1"/>
    <col min="13832" max="13832" width="10.90625" style="21" customWidth="1"/>
    <col min="13833" max="13833" width="11.36328125" style="21" customWidth="1"/>
    <col min="13834" max="14080" width="9.08984375" style="21"/>
    <col min="14081" max="14081" width="29.90625" style="21" customWidth="1"/>
    <col min="14082" max="14082" width="12.453125" style="21" customWidth="1"/>
    <col min="14083" max="14083" width="15.08984375" style="21" customWidth="1"/>
    <col min="14084" max="14084" width="14.36328125" style="21" customWidth="1"/>
    <col min="14085" max="14085" width="11.08984375" style="21" customWidth="1"/>
    <col min="14086" max="14086" width="11.36328125" style="21" customWidth="1"/>
    <col min="14087" max="14087" width="13.453125" style="21" customWidth="1"/>
    <col min="14088" max="14088" width="10.90625" style="21" customWidth="1"/>
    <col min="14089" max="14089" width="11.36328125" style="21" customWidth="1"/>
    <col min="14090" max="14336" width="9.08984375" style="21"/>
    <col min="14337" max="14337" width="29.90625" style="21" customWidth="1"/>
    <col min="14338" max="14338" width="12.453125" style="21" customWidth="1"/>
    <col min="14339" max="14339" width="15.08984375" style="21" customWidth="1"/>
    <col min="14340" max="14340" width="14.36328125" style="21" customWidth="1"/>
    <col min="14341" max="14341" width="11.08984375" style="21" customWidth="1"/>
    <col min="14342" max="14342" width="11.36328125" style="21" customWidth="1"/>
    <col min="14343" max="14343" width="13.453125" style="21" customWidth="1"/>
    <col min="14344" max="14344" width="10.90625" style="21" customWidth="1"/>
    <col min="14345" max="14345" width="11.36328125" style="21" customWidth="1"/>
    <col min="14346" max="14592" width="9.08984375" style="21"/>
    <col min="14593" max="14593" width="29.90625" style="21" customWidth="1"/>
    <col min="14594" max="14594" width="12.453125" style="21" customWidth="1"/>
    <col min="14595" max="14595" width="15.08984375" style="21" customWidth="1"/>
    <col min="14596" max="14596" width="14.36328125" style="21" customWidth="1"/>
    <col min="14597" max="14597" width="11.08984375" style="21" customWidth="1"/>
    <col min="14598" max="14598" width="11.36328125" style="21" customWidth="1"/>
    <col min="14599" max="14599" width="13.453125" style="21" customWidth="1"/>
    <col min="14600" max="14600" width="10.90625" style="21" customWidth="1"/>
    <col min="14601" max="14601" width="11.36328125" style="21" customWidth="1"/>
    <col min="14602" max="14848" width="9.08984375" style="21"/>
    <col min="14849" max="14849" width="29.90625" style="21" customWidth="1"/>
    <col min="14850" max="14850" width="12.453125" style="21" customWidth="1"/>
    <col min="14851" max="14851" width="15.08984375" style="21" customWidth="1"/>
    <col min="14852" max="14852" width="14.36328125" style="21" customWidth="1"/>
    <col min="14853" max="14853" width="11.08984375" style="21" customWidth="1"/>
    <col min="14854" max="14854" width="11.36328125" style="21" customWidth="1"/>
    <col min="14855" max="14855" width="13.453125" style="21" customWidth="1"/>
    <col min="14856" max="14856" width="10.90625" style="21" customWidth="1"/>
    <col min="14857" max="14857" width="11.36328125" style="21" customWidth="1"/>
    <col min="14858" max="15104" width="9.08984375" style="21"/>
    <col min="15105" max="15105" width="29.90625" style="21" customWidth="1"/>
    <col min="15106" max="15106" width="12.453125" style="21" customWidth="1"/>
    <col min="15107" max="15107" width="15.08984375" style="21" customWidth="1"/>
    <col min="15108" max="15108" width="14.36328125" style="21" customWidth="1"/>
    <col min="15109" max="15109" width="11.08984375" style="21" customWidth="1"/>
    <col min="15110" max="15110" width="11.36328125" style="21" customWidth="1"/>
    <col min="15111" max="15111" width="13.453125" style="21" customWidth="1"/>
    <col min="15112" max="15112" width="10.90625" style="21" customWidth="1"/>
    <col min="15113" max="15113" width="11.36328125" style="21" customWidth="1"/>
    <col min="15114" max="15360" width="9.08984375" style="21"/>
    <col min="15361" max="15361" width="29.90625" style="21" customWidth="1"/>
    <col min="15362" max="15362" width="12.453125" style="21" customWidth="1"/>
    <col min="15363" max="15363" width="15.08984375" style="21" customWidth="1"/>
    <col min="15364" max="15364" width="14.36328125" style="21" customWidth="1"/>
    <col min="15365" max="15365" width="11.08984375" style="21" customWidth="1"/>
    <col min="15366" max="15366" width="11.36328125" style="21" customWidth="1"/>
    <col min="15367" max="15367" width="13.453125" style="21" customWidth="1"/>
    <col min="15368" max="15368" width="10.90625" style="21" customWidth="1"/>
    <col min="15369" max="15369" width="11.36328125" style="21" customWidth="1"/>
    <col min="15370" max="15616" width="9.08984375" style="21"/>
    <col min="15617" max="15617" width="29.90625" style="21" customWidth="1"/>
    <col min="15618" max="15618" width="12.453125" style="21" customWidth="1"/>
    <col min="15619" max="15619" width="15.08984375" style="21" customWidth="1"/>
    <col min="15620" max="15620" width="14.36328125" style="21" customWidth="1"/>
    <col min="15621" max="15621" width="11.08984375" style="21" customWidth="1"/>
    <col min="15622" max="15622" width="11.36328125" style="21" customWidth="1"/>
    <col min="15623" max="15623" width="13.453125" style="21" customWidth="1"/>
    <col min="15624" max="15624" width="10.90625" style="21" customWidth="1"/>
    <col min="15625" max="15625" width="11.36328125" style="21" customWidth="1"/>
    <col min="15626" max="15872" width="9.08984375" style="21"/>
    <col min="15873" max="15873" width="29.90625" style="21" customWidth="1"/>
    <col min="15874" max="15874" width="12.453125" style="21" customWidth="1"/>
    <col min="15875" max="15875" width="15.08984375" style="21" customWidth="1"/>
    <col min="15876" max="15876" width="14.36328125" style="21" customWidth="1"/>
    <col min="15877" max="15877" width="11.08984375" style="21" customWidth="1"/>
    <col min="15878" max="15878" width="11.36328125" style="21" customWidth="1"/>
    <col min="15879" max="15879" width="13.453125" style="21" customWidth="1"/>
    <col min="15880" max="15880" width="10.90625" style="21" customWidth="1"/>
    <col min="15881" max="15881" width="11.36328125" style="21" customWidth="1"/>
    <col min="15882" max="16128" width="9.08984375" style="21"/>
    <col min="16129" max="16129" width="29.90625" style="21" customWidth="1"/>
    <col min="16130" max="16130" width="12.453125" style="21" customWidth="1"/>
    <col min="16131" max="16131" width="15.08984375" style="21" customWidth="1"/>
    <col min="16132" max="16132" width="14.36328125" style="21" customWidth="1"/>
    <col min="16133" max="16133" width="11.08984375" style="21" customWidth="1"/>
    <col min="16134" max="16134" width="11.36328125" style="21" customWidth="1"/>
    <col min="16135" max="16135" width="13.453125" style="21" customWidth="1"/>
    <col min="16136" max="16136" width="10.90625" style="21" customWidth="1"/>
    <col min="16137" max="16137" width="11.36328125" style="21" customWidth="1"/>
    <col min="16138" max="16384" width="9.08984375" style="21"/>
  </cols>
  <sheetData>
    <row r="1" spans="1:11" x14ac:dyDescent="0.35">
      <c r="A1" s="102" t="s">
        <v>85</v>
      </c>
      <c r="B1" s="17"/>
      <c r="C1" s="18"/>
      <c r="D1" s="17"/>
      <c r="E1" s="17"/>
      <c r="F1" s="17"/>
    </row>
    <row r="2" spans="1:11" x14ac:dyDescent="0.35">
      <c r="A2" s="103" t="s">
        <v>86</v>
      </c>
      <c r="B2" s="104" t="s">
        <v>351</v>
      </c>
      <c r="C2" s="19"/>
      <c r="D2" s="17"/>
      <c r="E2" s="17"/>
      <c r="F2" s="17"/>
      <c r="H2" s="72"/>
    </row>
    <row r="3" spans="1:11" x14ac:dyDescent="0.35">
      <c r="A3" s="103" t="s">
        <v>87</v>
      </c>
      <c r="B3" s="105" t="s">
        <v>352</v>
      </c>
      <c r="C3" s="19"/>
      <c r="D3" s="17"/>
      <c r="E3" s="17"/>
      <c r="F3" s="17"/>
    </row>
    <row r="5" spans="1:11" s="89" customFormat="1" ht="26.25" customHeight="1" x14ac:dyDescent="0.35">
      <c r="A5" s="90" t="s">
        <v>35</v>
      </c>
      <c r="B5" s="86" t="s">
        <v>37</v>
      </c>
      <c r="C5" s="86" t="s">
        <v>33</v>
      </c>
      <c r="D5" s="86" t="s">
        <v>38</v>
      </c>
      <c r="E5" s="86" t="s">
        <v>9</v>
      </c>
      <c r="F5" s="87" t="s">
        <v>4</v>
      </c>
      <c r="G5" s="88" t="s">
        <v>1</v>
      </c>
    </row>
    <row r="6" spans="1:11" s="26" customFormat="1" ht="29" x14ac:dyDescent="0.35">
      <c r="A6" s="85" t="str">
        <f>_xlfn.CONCAT(B2," current price against PA price")</f>
        <v>Molnlycie current price against PA price</v>
      </c>
      <c r="B6" s="22">
        <f>C22</f>
        <v>30767.190000000002</v>
      </c>
      <c r="C6" s="22">
        <f>SUM(ItemDetail.Confidential!$V:$V)</f>
        <v>33074.729249999975</v>
      </c>
      <c r="D6" s="23">
        <f>SUM(ItemDetail.Confidential!$R:$R)</f>
        <v>27876.359499999995</v>
      </c>
      <c r="E6" s="22">
        <f>C6-D6</f>
        <v>5198.3697499999798</v>
      </c>
      <c r="F6" s="24">
        <f>E6/C6</f>
        <v>0.15717044002710873</v>
      </c>
      <c r="G6" s="25" t="s">
        <v>58</v>
      </c>
      <c r="I6"/>
    </row>
    <row r="7" spans="1:11" x14ac:dyDescent="0.35">
      <c r="I7"/>
    </row>
    <row r="8" spans="1:11" x14ac:dyDescent="0.35">
      <c r="A8" s="27" t="s">
        <v>10</v>
      </c>
      <c r="B8" s="28" t="s">
        <v>11</v>
      </c>
      <c r="C8" s="28" t="s">
        <v>12</v>
      </c>
      <c r="D8" s="28" t="s">
        <v>13</v>
      </c>
      <c r="E8" s="28" t="s">
        <v>14</v>
      </c>
      <c r="F8" s="28" t="s">
        <v>15</v>
      </c>
      <c r="G8" s="28" t="s">
        <v>16</v>
      </c>
      <c r="H8" s="29" t="s">
        <v>17</v>
      </c>
      <c r="I8"/>
    </row>
    <row r="9" spans="1:11" x14ac:dyDescent="0.35">
      <c r="A9" s="31" t="s">
        <v>18</v>
      </c>
      <c r="B9" s="32">
        <f>COUNTIF(ItemDetail.Confidential!$Z:$Z,B8)</f>
        <v>7</v>
      </c>
      <c r="C9" s="32">
        <f>COUNTIF(ItemDetail.Confidential!$Z:$Z,C8)</f>
        <v>0</v>
      </c>
      <c r="D9" s="32">
        <f>COUNTIF(ItemDetail.Confidential!$Z:$Z,D8)</f>
        <v>19</v>
      </c>
      <c r="E9" s="32">
        <f>COUNTIF(ItemDetail.Confidential!$Z:$Z,E8)</f>
        <v>23</v>
      </c>
      <c r="F9" s="32">
        <f>COUNTIF(ItemDetail.Confidential!$Z:$Z,F8)</f>
        <v>6</v>
      </c>
      <c r="G9" s="32">
        <f>COUNTIF(ItemDetail.Confidential!$Z:$Z,G8)</f>
        <v>12</v>
      </c>
      <c r="H9" s="33">
        <f>SUM(B9:G9)</f>
        <v>67</v>
      </c>
      <c r="I9"/>
    </row>
    <row r="10" spans="1:11" x14ac:dyDescent="0.35">
      <c r="I10"/>
    </row>
    <row r="11" spans="1:11" x14ac:dyDescent="0.35">
      <c r="A11" s="27" t="s">
        <v>19</v>
      </c>
      <c r="B11" s="28" t="s">
        <v>11</v>
      </c>
      <c r="C11" s="28" t="s">
        <v>12</v>
      </c>
      <c r="D11" s="28" t="s">
        <v>13</v>
      </c>
      <c r="E11" s="28" t="s">
        <v>14</v>
      </c>
      <c r="F11" s="28" t="s">
        <v>15</v>
      </c>
      <c r="G11" s="28" t="s">
        <v>16</v>
      </c>
      <c r="H11" s="20" t="s">
        <v>17</v>
      </c>
      <c r="I11"/>
    </row>
    <row r="12" spans="1:11" x14ac:dyDescent="0.35">
      <c r="A12" s="34" t="str">
        <f>_xlfn.CONCAT("Fisher-",B2)</f>
        <v>Fisher-Molnlycie</v>
      </c>
      <c r="B12" s="35">
        <f>SUMIF(ItemDetail.Confidential!$Z:$Z,B11,ItemDetail.Confidential!$V:$V)</f>
        <v>817.49450000000002</v>
      </c>
      <c r="C12" s="35">
        <f>SUMIF(ItemDetail.Confidential!$Z:$Z,C11,ItemDetail.Confidential!$V:$V)</f>
        <v>0</v>
      </c>
      <c r="D12" s="35">
        <f>SUMIF(ItemDetail.Confidential!$Z:$Z,D11,ItemDetail.Confidential!$V:$V)</f>
        <v>6898.5652500000006</v>
      </c>
      <c r="E12" s="35">
        <f>SUMIF(ItemDetail.Confidential!$Z:$Z,E11,ItemDetail.Confidential!$V:$V)</f>
        <v>16972.852500000005</v>
      </c>
      <c r="F12" s="35">
        <f>SUMIF(ItemDetail.Confidential!$Z:$Z,F11,ItemDetail.Confidential!$V:$V)</f>
        <v>6248.5019999999995</v>
      </c>
      <c r="G12" s="35">
        <f>SUMIF(ItemDetail.Confidential!$Z:$Z,G11,ItemDetail.Confidential!$V:$V)</f>
        <v>2137.3150000000005</v>
      </c>
      <c r="H12" s="36">
        <f>SUM(B12:G12)</f>
        <v>33074.729250000004</v>
      </c>
      <c r="I12" s="37"/>
    </row>
    <row r="13" spans="1:11" x14ac:dyDescent="0.35">
      <c r="A13" s="38" t="s">
        <v>78</v>
      </c>
      <c r="B13" s="39">
        <f>SUMIF(ItemDetail.Confidential!$Z:$Z,B11,ItemDetail.Confidential!$R:$R)</f>
        <v>850.52</v>
      </c>
      <c r="C13" s="39">
        <f>SUMIF(ItemDetail.Confidential!$Z:$Z,C11,ItemDetail.Confidential!$R:$R)</f>
        <v>0</v>
      </c>
      <c r="D13" s="39">
        <f>SUMIF(ItemDetail.Confidential!$Z:$Z,D11,ItemDetail.Confidential!$R:$R)</f>
        <v>6523.5</v>
      </c>
      <c r="E13" s="39">
        <f>SUMIF(ItemDetail.Confidential!$Z:$Z,E11,ItemDetail.Confidential!$R:$R)</f>
        <v>14890.629499999999</v>
      </c>
      <c r="F13" s="39">
        <f>SUMIF(ItemDetail.Confidential!$Z:$Z,F11,ItemDetail.Confidential!$R:$R)</f>
        <v>4672.1100000000015</v>
      </c>
      <c r="G13" s="39">
        <f>SUMIF(ItemDetail.Confidential!$Z:$Z,G11,ItemDetail.Confidential!$R:$R)</f>
        <v>926.31</v>
      </c>
      <c r="H13" s="36">
        <f>SUM(B13:G13)</f>
        <v>27863.069500000001</v>
      </c>
      <c r="I13" s="40"/>
    </row>
    <row r="14" spans="1:11" x14ac:dyDescent="0.35">
      <c r="A14" s="41" t="s">
        <v>20</v>
      </c>
      <c r="B14" s="42">
        <f t="shared" ref="B14:G14" si="0">B12-B13</f>
        <v>-33.025499999999965</v>
      </c>
      <c r="C14" s="43">
        <f t="shared" si="0"/>
        <v>0</v>
      </c>
      <c r="D14" s="43">
        <f t="shared" si="0"/>
        <v>375.06525000000056</v>
      </c>
      <c r="E14" s="43">
        <f t="shared" si="0"/>
        <v>2082.2230000000054</v>
      </c>
      <c r="F14" s="43">
        <f t="shared" si="0"/>
        <v>1576.391999999998</v>
      </c>
      <c r="G14" s="43">
        <f t="shared" si="0"/>
        <v>1211.0050000000006</v>
      </c>
      <c r="H14" s="44">
        <f>H12-H13</f>
        <v>5211.6597500000025</v>
      </c>
      <c r="I14" s="40"/>
    </row>
    <row r="15" spans="1:11" x14ac:dyDescent="0.35">
      <c r="B15" s="101">
        <f>B12/H12</f>
        <v>2.4716589327787163E-2</v>
      </c>
      <c r="C15" s="101">
        <f>C12/H12</f>
        <v>0</v>
      </c>
    </row>
    <row r="16" spans="1:11" x14ac:dyDescent="0.35">
      <c r="A16" s="45" t="s">
        <v>21</v>
      </c>
      <c r="B16" s="28" t="s">
        <v>22</v>
      </c>
      <c r="C16" s="28" t="s">
        <v>0</v>
      </c>
      <c r="D16" s="28" t="s">
        <v>23</v>
      </c>
      <c r="E16" s="28" t="s">
        <v>24</v>
      </c>
      <c r="F16" s="28" t="s">
        <v>4</v>
      </c>
      <c r="G16" s="30" t="s">
        <v>9</v>
      </c>
      <c r="H16" s="132" t="s">
        <v>1</v>
      </c>
      <c r="I16" s="133"/>
      <c r="J16" s="133"/>
      <c r="K16" s="134"/>
    </row>
    <row r="17" spans="1:11" x14ac:dyDescent="0.35">
      <c r="A17" s="46" t="s">
        <v>25</v>
      </c>
      <c r="B17" s="47">
        <f>COUNTIF(ItemDetail.Confidential!$T:$T,"Y")</f>
        <v>15</v>
      </c>
      <c r="C17" s="48">
        <f>D17/D19</f>
        <v>7.7727605283420445E-2</v>
      </c>
      <c r="D17" s="35">
        <f>SUMIF(ItemDetail.Confidential!$T:$T,"Y",ItemDetail.Confidential!$V:$V)</f>
        <v>2570.8195000000001</v>
      </c>
      <c r="E17" s="35">
        <f>SUMIF(ItemDetail.Confidential!$T:$T,"Y",ItemDetail.Confidential!$R:$R)</f>
        <v>1611.56</v>
      </c>
      <c r="F17" s="48">
        <f>1-E17/D17</f>
        <v>0.37313374198383054</v>
      </c>
      <c r="G17" s="49">
        <f>D17-E17</f>
        <v>959.25950000000012</v>
      </c>
      <c r="H17" s="46" t="s">
        <v>59</v>
      </c>
      <c r="I17" s="73"/>
      <c r="J17" s="73"/>
      <c r="K17" s="74"/>
    </row>
    <row r="18" spans="1:11" x14ac:dyDescent="0.35">
      <c r="A18" s="50" t="s">
        <v>26</v>
      </c>
      <c r="B18" s="51">
        <f>COUNTIF(ItemDetail.Confidential!$T:$T,"N")</f>
        <v>53</v>
      </c>
      <c r="C18" s="100">
        <f>D18/D19</f>
        <v>0.92227239471657962</v>
      </c>
      <c r="D18" s="39">
        <f>SUMIF(ItemDetail.Confidential!$T:$T,"N",ItemDetail.Confidential!$V:$V)</f>
        <v>30503.909749999992</v>
      </c>
      <c r="E18" s="39">
        <f>SUMIF(ItemDetail.Confidential!$T:$T,"N",ItemDetail.Confidential!$R:$R)</f>
        <v>26264.799499999994</v>
      </c>
      <c r="F18" s="52">
        <f>1-E18/D18</f>
        <v>0.13896940702822524</v>
      </c>
      <c r="G18" s="53">
        <f>D18-E18</f>
        <v>4239.1102499999979</v>
      </c>
      <c r="H18" s="50" t="s">
        <v>60</v>
      </c>
      <c r="I18" s="75"/>
      <c r="J18" s="75"/>
      <c r="K18" s="76"/>
    </row>
    <row r="19" spans="1:11" x14ac:dyDescent="0.35">
      <c r="A19" s="41" t="s">
        <v>17</v>
      </c>
      <c r="B19" s="54">
        <f>SUM(B17:B18)</f>
        <v>68</v>
      </c>
      <c r="C19" s="55">
        <f t="shared" ref="C19:G19" si="1">SUM(C17:C18)</f>
        <v>1</v>
      </c>
      <c r="D19" s="56">
        <f t="shared" si="1"/>
        <v>33074.729249999989</v>
      </c>
      <c r="E19" s="56">
        <f t="shared" si="1"/>
        <v>27876.359499999995</v>
      </c>
      <c r="F19" s="57">
        <f>1-E19/D19</f>
        <v>0.15717044002710912</v>
      </c>
      <c r="G19" s="58">
        <f t="shared" si="1"/>
        <v>5198.369749999998</v>
      </c>
    </row>
    <row r="21" spans="1:11" s="89" customFormat="1" ht="29" x14ac:dyDescent="0.35">
      <c r="A21" s="90" t="s">
        <v>36</v>
      </c>
      <c r="B21" s="86" t="s">
        <v>5</v>
      </c>
      <c r="C21" s="86" t="s">
        <v>6</v>
      </c>
      <c r="D21" s="86" t="s">
        <v>7</v>
      </c>
      <c r="E21" s="86" t="s">
        <v>8</v>
      </c>
      <c r="F21" s="87" t="s">
        <v>9</v>
      </c>
      <c r="G21" s="91" t="s">
        <v>3</v>
      </c>
      <c r="H21" s="88" t="s">
        <v>1</v>
      </c>
    </row>
    <row r="22" spans="1:11" s="26" customFormat="1" ht="29" x14ac:dyDescent="0.35">
      <c r="A22" s="59" t="s">
        <v>77</v>
      </c>
      <c r="B22" s="22">
        <f>SUM(ItemDetail.Confidential!$L:$L)+SUM(Excluded.Confidential!$L:$L)</f>
        <v>30767.190000000002</v>
      </c>
      <c r="C22" s="22">
        <f>SUMIF(ItemDetail.Confidential!$S:$S,"&gt;-9e100",ItemDetail.Confidential!$L:$L)</f>
        <v>30767.190000000002</v>
      </c>
      <c r="D22" s="60">
        <f>C22/B22</f>
        <v>1</v>
      </c>
      <c r="E22" s="22">
        <f>SUMIF(ItemDetail.Confidential!$S:$S,"&gt;-9e100",ItemDetail.Confidential!$R:$R)</f>
        <v>27876.359499999995</v>
      </c>
      <c r="F22" s="61">
        <f>C22-E22</f>
        <v>2890.8305000000073</v>
      </c>
      <c r="G22" s="62">
        <f>SUM(1-(E22/C22))</f>
        <v>9.3958223029142585E-2</v>
      </c>
      <c r="H22" s="25" t="s">
        <v>58</v>
      </c>
    </row>
    <row r="23" spans="1:11" s="26" customFormat="1" x14ac:dyDescent="0.35">
      <c r="A23" s="63" t="s">
        <v>75</v>
      </c>
      <c r="B23" s="64"/>
      <c r="C23" s="64"/>
      <c r="D23" s="65"/>
      <c r="E23" s="64"/>
      <c r="F23" s="66">
        <f>SUM(F22:F22)</f>
        <v>2890.8305000000073</v>
      </c>
      <c r="G23" s="67">
        <f>F23/C22</f>
        <v>9.395822302914264E-2</v>
      </c>
      <c r="H23" s="68"/>
    </row>
    <row r="24" spans="1:11" x14ac:dyDescent="0.35">
      <c r="A24" s="77"/>
    </row>
    <row r="25" spans="1:11" x14ac:dyDescent="0.35">
      <c r="A25" s="78" t="s">
        <v>61</v>
      </c>
    </row>
    <row r="26" spans="1:11" x14ac:dyDescent="0.35">
      <c r="A26" s="45" t="s">
        <v>62</v>
      </c>
      <c r="B26" s="69"/>
    </row>
    <row r="27" spans="1:11" x14ac:dyDescent="0.35">
      <c r="A27" s="79" t="s">
        <v>63</v>
      </c>
      <c r="B27" s="80">
        <v>0</v>
      </c>
    </row>
    <row r="28" spans="1:11" x14ac:dyDescent="0.35">
      <c r="A28" s="79" t="s">
        <v>64</v>
      </c>
      <c r="B28" s="81">
        <v>0</v>
      </c>
    </row>
    <row r="29" spans="1:11" x14ac:dyDescent="0.35">
      <c r="A29" s="69" t="s">
        <v>65</v>
      </c>
      <c r="B29" s="70">
        <f>B27-B28</f>
        <v>0</v>
      </c>
      <c r="C29" s="78" t="s">
        <v>66</v>
      </c>
    </row>
    <row r="31" spans="1:11" x14ac:dyDescent="0.35">
      <c r="A31" s="45" t="s">
        <v>67</v>
      </c>
      <c r="B31" s="69"/>
    </row>
    <row r="32" spans="1:11" x14ac:dyDescent="0.35">
      <c r="A32" s="79" t="s">
        <v>68</v>
      </c>
      <c r="B32" s="82">
        <v>0.08</v>
      </c>
    </row>
    <row r="33" spans="1:3" x14ac:dyDescent="0.35">
      <c r="A33" s="83" t="s">
        <v>69</v>
      </c>
      <c r="B33" s="83">
        <v>30</v>
      </c>
    </row>
    <row r="34" spans="1:3" x14ac:dyDescent="0.35">
      <c r="A34" s="83" t="s">
        <v>70</v>
      </c>
      <c r="B34" s="83">
        <v>60</v>
      </c>
    </row>
    <row r="35" spans="1:3" x14ac:dyDescent="0.35">
      <c r="A35" s="83" t="s">
        <v>71</v>
      </c>
      <c r="B35" s="83">
        <f>B32/365*(B34-B33)</f>
        <v>6.5753424657534251E-3</v>
      </c>
    </row>
    <row r="36" spans="1:3" x14ac:dyDescent="0.35">
      <c r="A36" s="83" t="s">
        <v>72</v>
      </c>
      <c r="B36" s="84">
        <f>B22</f>
        <v>30767.190000000002</v>
      </c>
    </row>
    <row r="37" spans="1:3" x14ac:dyDescent="0.35">
      <c r="A37" s="69" t="s">
        <v>73</v>
      </c>
      <c r="B37" s="70">
        <f>B36*B35</f>
        <v>202.30481095890414</v>
      </c>
      <c r="C37" s="78" t="s">
        <v>66</v>
      </c>
    </row>
    <row r="40" spans="1:3" x14ac:dyDescent="0.35">
      <c r="A40" s="71" t="s">
        <v>27</v>
      </c>
    </row>
    <row r="41" spans="1:3" x14ac:dyDescent="0.35">
      <c r="A41" s="21" t="s">
        <v>79</v>
      </c>
    </row>
    <row r="42" spans="1:3" x14ac:dyDescent="0.35">
      <c r="A42" s="21" t="s">
        <v>76</v>
      </c>
    </row>
    <row r="43" spans="1:3" x14ac:dyDescent="0.35">
      <c r="A43" s="21" t="s">
        <v>28</v>
      </c>
    </row>
    <row r="44" spans="1:3" x14ac:dyDescent="0.35">
      <c r="A44" s="21" t="s">
        <v>29</v>
      </c>
    </row>
    <row r="45" spans="1:3" x14ac:dyDescent="0.35">
      <c r="A45" s="21" t="s">
        <v>39</v>
      </c>
    </row>
    <row r="46" spans="1:3" x14ac:dyDescent="0.35">
      <c r="A46" s="21" t="s">
        <v>74</v>
      </c>
    </row>
  </sheetData>
  <mergeCells count="1">
    <mergeCell ref="H16:K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20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0" sqref="B20"/>
    </sheetView>
  </sheetViews>
  <sheetFormatPr defaultRowHeight="14.5" x14ac:dyDescent="0.35"/>
  <cols>
    <col min="1" max="1" width="7.6328125" customWidth="1"/>
    <col min="2" max="2" width="44.453125" bestFit="1" customWidth="1"/>
    <col min="3" max="7" width="15.08984375" style="8" customWidth="1"/>
  </cols>
  <sheetData>
    <row r="1" spans="1:10" ht="23.5" x14ac:dyDescent="0.55000000000000004">
      <c r="A1" s="4" t="s">
        <v>48</v>
      </c>
    </row>
    <row r="2" spans="1:10" s="3" customFormat="1" x14ac:dyDescent="0.35">
      <c r="A2" s="7" t="s">
        <v>52</v>
      </c>
      <c r="B2" s="7" t="s">
        <v>49</v>
      </c>
      <c r="C2" s="9" t="s">
        <v>42</v>
      </c>
      <c r="D2" s="9" t="s">
        <v>50</v>
      </c>
      <c r="E2" s="9" t="s">
        <v>51</v>
      </c>
      <c r="F2" s="9" t="s">
        <v>9</v>
      </c>
      <c r="G2" s="9" t="s">
        <v>4</v>
      </c>
    </row>
    <row r="3" spans="1:10" x14ac:dyDescent="0.35">
      <c r="A3" s="2">
        <v>1</v>
      </c>
      <c r="B3" s="2" t="s">
        <v>136</v>
      </c>
      <c r="C3" s="10">
        <f>COUNTIF(ItemDetail.Confidential!$A:$A,B3)</f>
        <v>20</v>
      </c>
      <c r="D3" s="11">
        <f>SUMIF(ItemDetail.Confidential!$A:$A,B3,ItemDetail.Confidential!$V:$V)</f>
        <v>6423.4797499999986</v>
      </c>
      <c r="E3" s="11">
        <f>SUMIF(ItemDetail.Confidential!$A:$A,B3,ItemDetail.Confidential!$R:$R)</f>
        <v>5579.6800000000021</v>
      </c>
      <c r="F3" s="11">
        <f>D3-E3</f>
        <v>843.79974999999649</v>
      </c>
      <c r="G3" s="12">
        <f>IFERROR(F3/D3,"")</f>
        <v>0.13136178252916525</v>
      </c>
    </row>
    <row r="4" spans="1:10" s="5" customFormat="1" x14ac:dyDescent="0.35">
      <c r="A4" s="6">
        <f>A3+1</f>
        <v>2</v>
      </c>
      <c r="B4" s="6" t="s">
        <v>115</v>
      </c>
      <c r="C4" s="10">
        <f>COUNTIF(ItemDetail.Confidential!$A:$A,B4)</f>
        <v>48</v>
      </c>
      <c r="D4" s="11">
        <f>SUMIF(ItemDetail.Confidential!$A:$A,B4,ItemDetail.Confidential!$V:$V)</f>
        <v>26651.249499999998</v>
      </c>
      <c r="E4" s="11">
        <f>SUMIF(ItemDetail.Confidential!$A:$A,B4,ItemDetail.Confidential!$R:$R)</f>
        <v>22296.679499999984</v>
      </c>
      <c r="F4" s="11">
        <f t="shared" ref="F4" si="0">D4-E4</f>
        <v>4354.5700000000143</v>
      </c>
      <c r="G4" s="12">
        <f t="shared" ref="G4" si="1">IFERROR(F4/D4,"")</f>
        <v>0.16339083839202415</v>
      </c>
    </row>
    <row r="5" spans="1:10" s="5" customFormat="1" x14ac:dyDescent="0.35">
      <c r="A5" s="7"/>
      <c r="B5" s="7" t="s">
        <v>17</v>
      </c>
      <c r="C5" s="9">
        <f>SUM(C3:C4)</f>
        <v>68</v>
      </c>
      <c r="D5" s="13">
        <f>SUM(D3:D4)</f>
        <v>33074.729249999997</v>
      </c>
      <c r="E5" s="13">
        <f>SUM(E3:E4)</f>
        <v>27876.359499999984</v>
      </c>
      <c r="F5" s="13">
        <f t="shared" ref="F5" si="2">D5-E5</f>
        <v>5198.3697500000126</v>
      </c>
      <c r="G5" s="16">
        <f t="shared" ref="G5" si="3">IFERROR(F5/D5,"")</f>
        <v>0.15717044002710961</v>
      </c>
      <c r="I5"/>
      <c r="J5"/>
    </row>
    <row r="6" spans="1:10" s="5" customFormat="1" x14ac:dyDescent="0.35">
      <c r="A6"/>
      <c r="B6"/>
      <c r="C6" s="8"/>
      <c r="D6" s="8"/>
      <c r="E6" s="8"/>
      <c r="F6" s="8"/>
      <c r="G6" s="8"/>
      <c r="I6"/>
      <c r="J6"/>
    </row>
    <row r="7" spans="1:10" s="5" customFormat="1" x14ac:dyDescent="0.35">
      <c r="A7"/>
      <c r="B7"/>
      <c r="C7" s="8"/>
      <c r="D7" s="8"/>
      <c r="E7" s="8"/>
      <c r="F7" s="8"/>
      <c r="G7" s="8"/>
      <c r="I7"/>
      <c r="J7"/>
    </row>
    <row r="8" spans="1:10" s="5" customFormat="1" x14ac:dyDescent="0.35">
      <c r="A8"/>
      <c r="B8"/>
      <c r="C8" s="8"/>
      <c r="D8" s="8"/>
      <c r="E8" s="8"/>
      <c r="F8" s="8"/>
      <c r="G8" s="8"/>
      <c r="I8"/>
      <c r="J8"/>
    </row>
    <row r="9" spans="1:10" s="5" customFormat="1" x14ac:dyDescent="0.35">
      <c r="A9"/>
      <c r="B9"/>
      <c r="C9" s="8"/>
      <c r="D9" s="8"/>
      <c r="E9" s="8"/>
      <c r="F9" s="8"/>
      <c r="G9" s="8"/>
      <c r="I9"/>
      <c r="J9"/>
    </row>
    <row r="10" spans="1:10" s="5" customFormat="1" x14ac:dyDescent="0.35">
      <c r="A10"/>
      <c r="B10"/>
      <c r="C10" s="8"/>
      <c r="D10" s="8"/>
      <c r="E10" s="8"/>
      <c r="F10" s="8"/>
      <c r="G10" s="8"/>
      <c r="I10"/>
      <c r="J10"/>
    </row>
    <row r="11" spans="1:10" s="5" customFormat="1" x14ac:dyDescent="0.35">
      <c r="A11"/>
      <c r="B11"/>
      <c r="C11" s="8"/>
      <c r="D11" s="8"/>
      <c r="E11" s="8"/>
      <c r="F11" s="8"/>
      <c r="G11" s="8"/>
      <c r="I11"/>
      <c r="J11"/>
    </row>
    <row r="12" spans="1:10" s="5" customFormat="1" x14ac:dyDescent="0.35">
      <c r="A12"/>
      <c r="B12"/>
      <c r="C12" s="8"/>
      <c r="D12" s="8"/>
      <c r="E12" s="8"/>
      <c r="F12" s="8"/>
      <c r="G12" s="8"/>
      <c r="I12"/>
      <c r="J12"/>
    </row>
    <row r="13" spans="1:10" s="5" customFormat="1" x14ac:dyDescent="0.35">
      <c r="A13"/>
      <c r="B13"/>
      <c r="C13" s="8"/>
      <c r="D13" s="8"/>
      <c r="E13" s="8"/>
      <c r="F13" s="8"/>
      <c r="G13" s="8"/>
      <c r="I13"/>
      <c r="J13"/>
    </row>
    <row r="14" spans="1:10" s="5" customFormat="1" x14ac:dyDescent="0.35">
      <c r="A14"/>
      <c r="B14"/>
      <c r="C14" s="8"/>
      <c r="D14" s="8"/>
      <c r="E14" s="8"/>
      <c r="F14" s="8"/>
      <c r="G14" s="8"/>
    </row>
    <row r="15" spans="1:10" s="5" customFormat="1" x14ac:dyDescent="0.35">
      <c r="A15"/>
      <c r="B15"/>
      <c r="C15" s="8"/>
      <c r="D15" s="8"/>
      <c r="E15" s="8"/>
      <c r="F15" s="8"/>
      <c r="G15" s="8"/>
    </row>
    <row r="16" spans="1:10" s="5" customFormat="1" x14ac:dyDescent="0.35">
      <c r="A16"/>
      <c r="B16"/>
      <c r="C16" s="8"/>
      <c r="D16" s="8"/>
      <c r="E16" s="8"/>
      <c r="F16" s="8"/>
      <c r="G16" s="8"/>
    </row>
    <row r="17" spans="1:7" s="5" customFormat="1" x14ac:dyDescent="0.35">
      <c r="A17"/>
      <c r="B17"/>
      <c r="C17" s="8"/>
      <c r="D17" s="8"/>
      <c r="E17" s="8"/>
      <c r="F17" s="8"/>
      <c r="G17" s="8"/>
    </row>
    <row r="18" spans="1:7" s="5" customFormat="1" x14ac:dyDescent="0.35">
      <c r="A18"/>
      <c r="B18"/>
      <c r="C18" s="8"/>
      <c r="D18" s="8"/>
      <c r="E18" s="8"/>
      <c r="F18" s="8"/>
      <c r="G18" s="8"/>
    </row>
    <row r="19" spans="1:7" s="5" customFormat="1" x14ac:dyDescent="0.35">
      <c r="A19"/>
      <c r="B19"/>
      <c r="C19" s="8"/>
      <c r="D19" s="8"/>
      <c r="E19" s="8"/>
      <c r="F19" s="8"/>
      <c r="G19" s="8"/>
    </row>
    <row r="20" spans="1:7" s="3" customFormat="1" x14ac:dyDescent="0.35">
      <c r="A20"/>
      <c r="B20"/>
      <c r="C20" s="8"/>
      <c r="D20" s="8"/>
      <c r="E20" s="8"/>
      <c r="F20" s="8"/>
      <c r="G20" s="8"/>
    </row>
  </sheetData>
  <autoFilter ref="A2:G4" xr:uid="{00000000-0009-0000-0000-000001000000}">
    <sortState xmlns:xlrd2="http://schemas.microsoft.com/office/spreadsheetml/2017/richdata2" ref="A3:G20">
      <sortCondition descending="1" ref="D2:D20"/>
    </sortState>
  </autoFilter>
  <sortState xmlns:xlrd2="http://schemas.microsoft.com/office/spreadsheetml/2017/richdata2" ref="A3:G20">
    <sortCondition descending="1" ref="D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J25"/>
  <sheetViews>
    <sheetView showGridLines="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C32" sqref="C32"/>
    </sheetView>
  </sheetViews>
  <sheetFormatPr defaultRowHeight="14.5" x14ac:dyDescent="0.35"/>
  <cols>
    <col min="1" max="1" width="36.08984375" bestFit="1" customWidth="1"/>
    <col min="2" max="2" width="9.08984375" style="8"/>
    <col min="3" max="4" width="12.54296875" style="8" bestFit="1" customWidth="1"/>
    <col min="5" max="5" width="9.6328125" style="8" bestFit="1" customWidth="1"/>
    <col min="6" max="6" width="12.36328125" style="8" bestFit="1" customWidth="1"/>
    <col min="7" max="7" width="9.08984375" style="8"/>
  </cols>
  <sheetData>
    <row r="1" spans="1:10" ht="23.5" x14ac:dyDescent="0.55000000000000004">
      <c r="A1" s="1" t="s">
        <v>40</v>
      </c>
    </row>
    <row r="2" spans="1:10" x14ac:dyDescent="0.35">
      <c r="A2" s="7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9</v>
      </c>
      <c r="G2" s="9" t="s">
        <v>46</v>
      </c>
    </row>
    <row r="3" spans="1:10" x14ac:dyDescent="0.35">
      <c r="A3" s="2" t="s">
        <v>121</v>
      </c>
      <c r="B3" s="10">
        <f>COUNTIF(ItemDetail.Confidential!$J:$J,A3)</f>
        <v>4</v>
      </c>
      <c r="C3" s="11">
        <f>SUMIF(ItemDetail.Confidential!$J:$J,A3,ItemDetail.Confidential!$V:$V)</f>
        <v>10748.2155</v>
      </c>
      <c r="D3" s="11">
        <f>SUMIF(ItemDetail.Confidential!$J:$J,A3,ItemDetail.Confidential!$R:$R)</f>
        <v>8827.2349999999988</v>
      </c>
      <c r="E3" s="12">
        <f>C3/$C$25</f>
        <v>0.3249676034763006</v>
      </c>
      <c r="F3" s="11">
        <f t="shared" ref="F3:F16" si="0">C3-D3</f>
        <v>1920.9805000000015</v>
      </c>
      <c r="G3" s="12">
        <f t="shared" ref="G3:G16" si="1">IFERROR(F3/C3,0)</f>
        <v>0.17872552890291429</v>
      </c>
    </row>
    <row r="4" spans="1:10" x14ac:dyDescent="0.35">
      <c r="A4" s="2" t="s">
        <v>316</v>
      </c>
      <c r="B4" s="10">
        <f>COUNTIF(ItemDetail.Confidential!$J:$J,A4)</f>
        <v>3</v>
      </c>
      <c r="C4" s="11">
        <f>SUMIF(ItemDetail.Confidential!$J:$J,A4,ItemDetail.Confidential!$V:$V)</f>
        <v>140.65299999999999</v>
      </c>
      <c r="D4" s="11">
        <f>SUMIF(ItemDetail.Confidential!$J:$J,A4,ItemDetail.Confidential!$R:$R)</f>
        <v>19.489999999999998</v>
      </c>
      <c r="E4" s="12">
        <f>C4/$C$25</f>
        <v>4.2525820525046321E-3</v>
      </c>
      <c r="F4" s="11">
        <f t="shared" si="0"/>
        <v>121.163</v>
      </c>
      <c r="G4" s="12">
        <f t="shared" si="1"/>
        <v>0.86143203486594677</v>
      </c>
    </row>
    <row r="5" spans="1:10" x14ac:dyDescent="0.35">
      <c r="A5" s="2" t="s">
        <v>226</v>
      </c>
      <c r="B5" s="10">
        <f>COUNTIF(ItemDetail.Confidential!$J:$J,A5)</f>
        <v>2</v>
      </c>
      <c r="C5" s="11">
        <f>SUMIF(ItemDetail.Confidential!$J:$J,A5,ItemDetail.Confidential!$V:$V)</f>
        <v>264.47149999999999</v>
      </c>
      <c r="D5" s="11">
        <f>SUMIF(ItemDetail.Confidential!$J:$J,A5,ItemDetail.Confidential!$R:$R)</f>
        <v>250.7</v>
      </c>
      <c r="E5" s="12">
        <f>C5/$C$25</f>
        <v>7.9961803466614932E-3</v>
      </c>
      <c r="F5" s="11">
        <f t="shared" si="0"/>
        <v>13.771500000000003</v>
      </c>
      <c r="G5" s="12">
        <f t="shared" si="1"/>
        <v>5.2071773329073277E-2</v>
      </c>
    </row>
    <row r="6" spans="1:10" x14ac:dyDescent="0.35">
      <c r="A6" s="2" t="s">
        <v>195</v>
      </c>
      <c r="B6" s="10">
        <f>COUNTIF(ItemDetail.Confidential!$J:$J,A6)</f>
        <v>4</v>
      </c>
      <c r="C6" s="11">
        <f>SUMIF(ItemDetail.Confidential!$J:$J,A6,ItemDetail.Confidential!$V:$V)</f>
        <v>969.23074999999994</v>
      </c>
      <c r="D6" s="11">
        <f>SUMIF(ItemDetail.Confidential!$J:$J,A6,ItemDetail.Confidential!$R:$R)</f>
        <v>853.65</v>
      </c>
      <c r="E6" s="12">
        <f>C6/$C$25</f>
        <v>2.9304268605615268E-2</v>
      </c>
      <c r="F6" s="11">
        <f t="shared" si="0"/>
        <v>115.58074999999997</v>
      </c>
      <c r="G6" s="12">
        <f t="shared" si="1"/>
        <v>0.11924998252480121</v>
      </c>
    </row>
    <row r="7" spans="1:10" s="5" customFormat="1" x14ac:dyDescent="0.35">
      <c r="A7" s="6" t="s">
        <v>178</v>
      </c>
      <c r="B7" s="10">
        <f>COUNTIF(ItemDetail.Confidential!$J:$J,A7)</f>
        <v>2</v>
      </c>
      <c r="C7" s="11">
        <f>SUMIF(ItemDetail.Confidential!$J:$J,A7,ItemDetail.Confidential!$V:$V)</f>
        <v>966.42499999999995</v>
      </c>
      <c r="D7" s="11">
        <f>SUMIF(ItemDetail.Confidential!$J:$J,A7,ItemDetail.Confidential!$R:$R)</f>
        <v>835.2</v>
      </c>
      <c r="E7" s="12">
        <f>C7/$C$25</f>
        <v>2.9219437979223974E-2</v>
      </c>
      <c r="F7" s="11">
        <f t="shared" si="0"/>
        <v>131.22499999999991</v>
      </c>
      <c r="G7" s="12">
        <f t="shared" si="1"/>
        <v>0.13578394598649654</v>
      </c>
      <c r="I7"/>
      <c r="J7"/>
    </row>
    <row r="8" spans="1:10" s="5" customFormat="1" x14ac:dyDescent="0.35">
      <c r="A8" s="6" t="s">
        <v>253</v>
      </c>
      <c r="B8" s="10">
        <f>COUNTIF(ItemDetail.Confidential!$J:$J,A8)</f>
        <v>2</v>
      </c>
      <c r="C8" s="11">
        <f>SUMIF(ItemDetail.Confidential!$J:$J,A8,ItemDetail.Confidential!$V:$V)</f>
        <v>169.49524999999997</v>
      </c>
      <c r="D8" s="11">
        <f>SUMIF(ItemDetail.Confidential!$J:$J,A8,ItemDetail.Confidential!$R:$R)</f>
        <v>177.70999999999998</v>
      </c>
      <c r="E8" s="12">
        <f>C8/$C$25</f>
        <v>5.1246148900825845E-3</v>
      </c>
      <c r="F8" s="11">
        <f t="shared" si="0"/>
        <v>-8.2147500000000093</v>
      </c>
      <c r="G8" s="12">
        <f t="shared" si="1"/>
        <v>-4.8465959960529929E-2</v>
      </c>
      <c r="I8"/>
      <c r="J8"/>
    </row>
    <row r="9" spans="1:10" s="5" customFormat="1" x14ac:dyDescent="0.35">
      <c r="A9" s="6" t="s">
        <v>269</v>
      </c>
      <c r="B9" s="10">
        <f>COUNTIF(ItemDetail.Confidential!$J:$J,A9)</f>
        <v>2</v>
      </c>
      <c r="C9" s="11">
        <f>SUMIF(ItemDetail.Confidential!$J:$J,A9,ItemDetail.Confidential!$V:$V)</f>
        <v>286.16499999999996</v>
      </c>
      <c r="D9" s="11">
        <f>SUMIF(ItemDetail.Confidential!$J:$J,A9,ItemDetail.Confidential!$R:$R)</f>
        <v>257.42</v>
      </c>
      <c r="E9" s="12">
        <f>C9/$C$25</f>
        <v>8.6520738487980212E-3</v>
      </c>
      <c r="F9" s="11">
        <f t="shared" si="0"/>
        <v>28.744999999999948</v>
      </c>
      <c r="G9" s="12">
        <f t="shared" si="1"/>
        <v>0.10044904163681775</v>
      </c>
      <c r="I9"/>
      <c r="J9"/>
    </row>
    <row r="10" spans="1:10" s="5" customFormat="1" x14ac:dyDescent="0.35">
      <c r="A10" s="6" t="s">
        <v>169</v>
      </c>
      <c r="B10" s="10">
        <f>COUNTIF(ItemDetail.Confidential!$J:$J,A10)</f>
        <v>5</v>
      </c>
      <c r="C10" s="11">
        <f>SUMIF(ItemDetail.Confidential!$J:$J,A10,ItemDetail.Confidential!$V:$V)</f>
        <v>1425.89075</v>
      </c>
      <c r="D10" s="11">
        <f>SUMIF(ItemDetail.Confidential!$J:$J,A10,ItemDetail.Confidential!$R:$R)</f>
        <v>1323.1599999999999</v>
      </c>
      <c r="E10" s="12">
        <f>C10/$C$25</f>
        <v>4.3111184349301973E-2</v>
      </c>
      <c r="F10" s="11">
        <f t="shared" si="0"/>
        <v>102.73075000000017</v>
      </c>
      <c r="G10" s="12">
        <f t="shared" si="1"/>
        <v>7.2046718866785667E-2</v>
      </c>
    </row>
    <row r="11" spans="1:10" s="5" customFormat="1" x14ac:dyDescent="0.35">
      <c r="A11" s="6" t="s">
        <v>165</v>
      </c>
      <c r="B11" s="10">
        <f>COUNTIF(ItemDetail.Confidential!$J:$J,A11)</f>
        <v>1</v>
      </c>
      <c r="C11" s="11">
        <f>SUMIF(ItemDetail.Confidential!$J:$J,A11,ItemDetail.Confidential!$V:$V)</f>
        <v>632.93849999999998</v>
      </c>
      <c r="D11" s="11">
        <f>SUMIF(ItemDetail.Confidential!$J:$J,A11,ItemDetail.Confidential!$R:$R)</f>
        <v>599.64</v>
      </c>
      <c r="E11" s="12">
        <f>C11/$C$25</f>
        <v>1.9136619236270847E-2</v>
      </c>
      <c r="F11" s="11">
        <f t="shared" si="0"/>
        <v>33.29849999999999</v>
      </c>
      <c r="G11" s="12">
        <f t="shared" si="1"/>
        <v>5.2609376740394197E-2</v>
      </c>
    </row>
    <row r="12" spans="1:10" s="5" customFormat="1" x14ac:dyDescent="0.35">
      <c r="A12" s="6" t="s">
        <v>145</v>
      </c>
      <c r="B12" s="10">
        <f>COUNTIF(ItemDetail.Confidential!$J:$J,A12)</f>
        <v>4</v>
      </c>
      <c r="C12" s="11">
        <f>SUMIF(ItemDetail.Confidential!$J:$J,A12,ItemDetail.Confidential!$V:$V)</f>
        <v>2483.3789999999999</v>
      </c>
      <c r="D12" s="11">
        <f>SUMIF(ItemDetail.Confidential!$J:$J,A12,ItemDetail.Confidential!$R:$R)</f>
        <v>2158.643</v>
      </c>
      <c r="E12" s="12">
        <f>C12/$C$25</f>
        <v>7.5083879938336914E-2</v>
      </c>
      <c r="F12" s="11">
        <f t="shared" si="0"/>
        <v>324.73599999999988</v>
      </c>
      <c r="G12" s="12">
        <f t="shared" si="1"/>
        <v>0.13076376984745378</v>
      </c>
    </row>
    <row r="13" spans="1:10" s="5" customFormat="1" x14ac:dyDescent="0.35">
      <c r="A13" s="6" t="s">
        <v>109</v>
      </c>
      <c r="B13" s="10">
        <f>COUNTIF(ItemDetail.Confidential!$J:$J,A13)</f>
        <v>11</v>
      </c>
      <c r="C13" s="11">
        <f>SUMIF(ItemDetail.Confidential!$J:$J,A13,ItemDetail.Confidential!$V:$V)</f>
        <v>1071.8072500000001</v>
      </c>
      <c r="D13" s="11">
        <f>SUMIF(ItemDetail.Confidential!$J:$J,A13,ItemDetail.Confidential!$R:$R)</f>
        <v>883.86999999999989</v>
      </c>
      <c r="E13" s="12">
        <f>C13/$C$25</f>
        <v>3.2405624303031906E-2</v>
      </c>
      <c r="F13" s="11">
        <f t="shared" si="0"/>
        <v>187.93725000000018</v>
      </c>
      <c r="G13" s="12">
        <f t="shared" si="1"/>
        <v>0.17534612683390616</v>
      </c>
    </row>
    <row r="14" spans="1:10" s="5" customFormat="1" x14ac:dyDescent="0.35">
      <c r="A14" s="6" t="s">
        <v>187</v>
      </c>
      <c r="B14" s="10">
        <f>COUNTIF(ItemDetail.Confidential!$J:$J,A14)</f>
        <v>5</v>
      </c>
      <c r="C14" s="11">
        <f>SUMIF(ItemDetail.Confidential!$J:$J,A14,ItemDetail.Confidential!$V:$V)</f>
        <v>1407.9059999999999</v>
      </c>
      <c r="D14" s="11">
        <f>SUMIF(ItemDetail.Confidential!$J:$J,A14,ItemDetail.Confidential!$R:$R)</f>
        <v>1316.06</v>
      </c>
      <c r="E14" s="12">
        <f>C14/$C$25</f>
        <v>4.2567423284349336E-2</v>
      </c>
      <c r="F14" s="11">
        <f t="shared" si="0"/>
        <v>91.846000000000004</v>
      </c>
      <c r="G14" s="12">
        <f t="shared" si="1"/>
        <v>6.523588932783865E-2</v>
      </c>
    </row>
    <row r="15" spans="1:10" s="5" customFormat="1" x14ac:dyDescent="0.35">
      <c r="A15" s="6" t="s">
        <v>182</v>
      </c>
      <c r="B15" s="10">
        <f>COUNTIF(ItemDetail.Confidential!$J:$J,A15)</f>
        <v>4</v>
      </c>
      <c r="C15" s="11">
        <f>SUMIF(ItemDetail.Confidential!$J:$J,A15,ItemDetail.Confidential!$V:$V)</f>
        <v>644.72049999999979</v>
      </c>
      <c r="D15" s="11">
        <f>SUMIF(ItemDetail.Confidential!$J:$J,A15,ItemDetail.Confidential!$R:$R)</f>
        <v>573.74099999999999</v>
      </c>
      <c r="E15" s="12">
        <f>C15/$C$25</f>
        <v>1.9492842862802871E-2</v>
      </c>
      <c r="F15" s="11">
        <f t="shared" si="0"/>
        <v>70.979499999999803</v>
      </c>
      <c r="G15" s="12">
        <f t="shared" si="1"/>
        <v>0.11009344359299855</v>
      </c>
    </row>
    <row r="16" spans="1:10" s="5" customFormat="1" x14ac:dyDescent="0.35">
      <c r="A16" s="6" t="s">
        <v>297</v>
      </c>
      <c r="B16" s="10">
        <f>COUNTIF(ItemDetail.Confidential!$J:$J,A16)</f>
        <v>1</v>
      </c>
      <c r="C16" s="11">
        <f>SUMIF(ItemDetail.Confidential!$J:$J,A16,ItemDetail.Confidential!$V:$V)</f>
        <v>79.248999999999995</v>
      </c>
      <c r="D16" s="11">
        <f>SUMIF(ItemDetail.Confidential!$J:$J,A16,ItemDetail.Confidential!$R:$R)</f>
        <v>80.31</v>
      </c>
      <c r="E16" s="12">
        <f>C16/$C$25</f>
        <v>2.3960589186077766E-3</v>
      </c>
      <c r="F16" s="11">
        <f t="shared" si="0"/>
        <v>-1.061000000000007</v>
      </c>
      <c r="G16" s="12">
        <f t="shared" si="1"/>
        <v>-1.3388181554341469E-2</v>
      </c>
    </row>
    <row r="17" spans="1:7" s="5" customFormat="1" x14ac:dyDescent="0.35">
      <c r="A17" s="6" t="s">
        <v>150</v>
      </c>
      <c r="B17" s="10">
        <f>COUNTIF(ItemDetail.Confidential!$J:$J,A17)</f>
        <v>3</v>
      </c>
      <c r="C17" s="11">
        <f>SUMIF(ItemDetail.Confidential!$J:$J,A17,ItemDetail.Confidential!$V:$V)</f>
        <v>1336.7517499999999</v>
      </c>
      <c r="D17" s="11">
        <f>SUMIF(ItemDetail.Confidential!$J:$J,A17,ItemDetail.Confidential!$R:$R)</f>
        <v>1217.54</v>
      </c>
      <c r="E17" s="12">
        <f>C17/$C$25</f>
        <v>4.04161055982038E-2</v>
      </c>
      <c r="F17" s="11">
        <f t="shared" ref="F17:F24" si="2">C17-D17</f>
        <v>119.21174999999994</v>
      </c>
      <c r="G17" s="12">
        <f t="shared" ref="G17:G24" si="3">IFERROR(F17/C17,0)</f>
        <v>8.9180171262165875E-2</v>
      </c>
    </row>
    <row r="18" spans="1:7" s="5" customFormat="1" x14ac:dyDescent="0.35">
      <c r="A18" s="6" t="s">
        <v>237</v>
      </c>
      <c r="B18" s="10">
        <f>COUNTIF(ItemDetail.Confidential!$J:$J,A18)</f>
        <v>1</v>
      </c>
      <c r="C18" s="11">
        <f>SUMIF(ItemDetail.Confidential!$J:$J,A18,ItemDetail.Confidential!$V:$V)</f>
        <v>203.04599999999999</v>
      </c>
      <c r="D18" s="11">
        <f>SUMIF(ItemDetail.Confidential!$J:$J,A18,ItemDetail.Confidential!$R:$R)</f>
        <v>163.47</v>
      </c>
      <c r="E18" s="12">
        <f>C18/$C$25</f>
        <v>6.1390071696505273E-3</v>
      </c>
      <c r="F18" s="11">
        <f t="shared" si="2"/>
        <v>39.575999999999993</v>
      </c>
      <c r="G18" s="12">
        <f t="shared" si="3"/>
        <v>0.19491149788717824</v>
      </c>
    </row>
    <row r="19" spans="1:7" s="5" customFormat="1" x14ac:dyDescent="0.35">
      <c r="A19" s="6" t="s">
        <v>141</v>
      </c>
      <c r="B19" s="10">
        <f>COUNTIF(ItemDetail.Confidential!$J:$J,A19)</f>
        <v>2</v>
      </c>
      <c r="C19" s="11">
        <f>SUMIF(ItemDetail.Confidential!$J:$J,A19,ItemDetail.Confidential!$V:$V)</f>
        <v>1722.5155</v>
      </c>
      <c r="D19" s="11">
        <f>SUMIF(ItemDetail.Confidential!$J:$J,A19,ItemDetail.Confidential!$R:$R)</f>
        <v>1677.06</v>
      </c>
      <c r="E19" s="12">
        <f>C19/$C$25</f>
        <v>5.2079504173114285E-2</v>
      </c>
      <c r="F19" s="11">
        <f t="shared" si="2"/>
        <v>45.455500000000029</v>
      </c>
      <c r="G19" s="12">
        <f t="shared" si="3"/>
        <v>2.6389022333906446E-2</v>
      </c>
    </row>
    <row r="20" spans="1:7" s="5" customFormat="1" x14ac:dyDescent="0.35">
      <c r="A20" s="6" t="s">
        <v>286</v>
      </c>
      <c r="B20" s="10">
        <f>COUNTIF(ItemDetail.Confidential!$J:$J,A20)</f>
        <v>1</v>
      </c>
      <c r="C20" s="11">
        <f>SUMIF(ItemDetail.Confidential!$J:$J,A20,ItemDetail.Confidential!$V:$V)</f>
        <v>103.18924999999999</v>
      </c>
      <c r="D20" s="11">
        <f>SUMIF(ItemDetail.Confidential!$J:$J,A20,ItemDetail.Confidential!$R:$R)</f>
        <v>104.22</v>
      </c>
      <c r="E20" s="12">
        <f>C20/$C$25</f>
        <v>3.1198819261687529E-3</v>
      </c>
      <c r="F20" s="11">
        <f t="shared" si="2"/>
        <v>-1.0307500000000118</v>
      </c>
      <c r="G20" s="12">
        <f t="shared" si="3"/>
        <v>-9.9889281102441569E-3</v>
      </c>
    </row>
    <row r="21" spans="1:7" s="5" customFormat="1" x14ac:dyDescent="0.35">
      <c r="A21" s="6" t="s">
        <v>212</v>
      </c>
      <c r="B21" s="10">
        <f>COUNTIF(ItemDetail.Confidential!$J:$J,A21)</f>
        <v>3</v>
      </c>
      <c r="C21" s="11">
        <f>SUMIF(ItemDetail.Confidential!$J:$J,A21,ItemDetail.Confidential!$V:$V)</f>
        <v>722.43224999999995</v>
      </c>
      <c r="D21" s="11">
        <f>SUMIF(ItemDetail.Confidential!$J:$J,A21,ItemDetail.Confidential!$R:$R)</f>
        <v>193.85</v>
      </c>
      <c r="E21" s="12">
        <f>C21/$C$25</f>
        <v>2.184242369875182E-2</v>
      </c>
      <c r="F21" s="11">
        <f t="shared" si="2"/>
        <v>528.58224999999993</v>
      </c>
      <c r="G21" s="12">
        <f t="shared" si="3"/>
        <v>0.73167034002150366</v>
      </c>
    </row>
    <row r="22" spans="1:7" s="5" customFormat="1" x14ac:dyDescent="0.35">
      <c r="A22" s="6" t="s">
        <v>129</v>
      </c>
      <c r="B22" s="10">
        <f>COUNTIF(ItemDetail.Confidential!$J:$J,A22)</f>
        <v>3</v>
      </c>
      <c r="C22" s="11">
        <f>SUMIF(ItemDetail.Confidential!$J:$J,A22,ItemDetail.Confidential!$V:$V)</f>
        <v>5647.0717499999992</v>
      </c>
      <c r="D22" s="11">
        <f>SUMIF(ItemDetail.Confidential!$J:$J,A22,ItemDetail.Confidential!$R:$R)</f>
        <v>4987.9105</v>
      </c>
      <c r="E22" s="12">
        <f>C22/$C$25</f>
        <v>0.17073674911488504</v>
      </c>
      <c r="F22" s="11">
        <f t="shared" si="2"/>
        <v>659.1612499999992</v>
      </c>
      <c r="G22" s="12">
        <f t="shared" si="3"/>
        <v>0.11672620416058983</v>
      </c>
    </row>
    <row r="23" spans="1:7" s="5" customFormat="1" x14ac:dyDescent="0.35">
      <c r="A23" s="6" t="s">
        <v>154</v>
      </c>
      <c r="B23" s="10">
        <f>COUNTIF(ItemDetail.Confidential!$J:$J,A23)</f>
        <v>4</v>
      </c>
      <c r="C23" s="11">
        <f>SUMIF(ItemDetail.Confidential!$J:$J,A23,ItemDetail.Confidential!$V:$V)</f>
        <v>1909.2644999999998</v>
      </c>
      <c r="D23" s="11">
        <f>SUMIF(ItemDetail.Confidential!$J:$J,A23,ItemDetail.Confidential!$R:$R)</f>
        <v>1229.42</v>
      </c>
      <c r="E23" s="12">
        <f>C23/$C$25</f>
        <v>5.7725778662269772E-2</v>
      </c>
      <c r="F23" s="11">
        <f t="shared" si="2"/>
        <v>679.8444999999997</v>
      </c>
      <c r="G23" s="12">
        <f t="shared" si="3"/>
        <v>0.3560766462687594</v>
      </c>
    </row>
    <row r="24" spans="1:7" s="5" customFormat="1" x14ac:dyDescent="0.35">
      <c r="A24" s="6" t="s">
        <v>275</v>
      </c>
      <c r="B24" s="10">
        <f>COUNTIF(ItemDetail.Confidential!$J:$J,A24)</f>
        <v>1</v>
      </c>
      <c r="C24" s="11">
        <f>SUMIF(ItemDetail.Confidential!$J:$J,A24,ItemDetail.Confidential!$V:$V)</f>
        <v>139.91125</v>
      </c>
      <c r="D24" s="11">
        <f>SUMIF(ItemDetail.Confidential!$J:$J,A24,ItemDetail.Confidential!$R:$R)</f>
        <v>146.06</v>
      </c>
      <c r="E24" s="12">
        <f>C24/$C$25</f>
        <v>4.2301555650678538E-3</v>
      </c>
      <c r="F24" s="11">
        <f t="shared" si="2"/>
        <v>-6.1487500000000068</v>
      </c>
      <c r="G24" s="12">
        <f t="shared" si="3"/>
        <v>-4.3947502434579115E-2</v>
      </c>
    </row>
    <row r="25" spans="1:7" x14ac:dyDescent="0.35">
      <c r="A25" s="7" t="s">
        <v>47</v>
      </c>
      <c r="B25" s="9">
        <f>SUM(B3:B24)</f>
        <v>68</v>
      </c>
      <c r="C25" s="13">
        <f>SUM(C3:C24)</f>
        <v>33074.729249999997</v>
      </c>
      <c r="D25" s="13">
        <f>SUM(D3:D24)</f>
        <v>27876.359500000002</v>
      </c>
      <c r="E25" s="14">
        <f>SUM(E3:E24)</f>
        <v>1</v>
      </c>
      <c r="F25" s="13">
        <f>SUM(F3:F24)</f>
        <v>5198.3697499999998</v>
      </c>
      <c r="G25" s="15">
        <f>F25/C25</f>
        <v>0.15717044002710923</v>
      </c>
    </row>
  </sheetData>
  <autoFilter ref="A2:G24" xr:uid="{00000000-0009-0000-0000-000002000000}">
    <sortState xmlns:xlrd2="http://schemas.microsoft.com/office/spreadsheetml/2017/richdata2" ref="A3:G24">
      <sortCondition descending="1" ref="C2:C16"/>
    </sortState>
  </autoFilter>
  <sortState xmlns:xlrd2="http://schemas.microsoft.com/office/spreadsheetml/2017/richdata2" ref="A3:G16">
    <sortCondition descending="1" ref="C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G71"/>
  <sheetViews>
    <sheetView workbookViewId="0">
      <pane xSplit="2" ySplit="3" topLeftCell="L4" activePane="bottomRight" state="frozen"/>
      <selection pane="topRight" activeCell="C1" sqref="C1"/>
      <selection pane="bottomLeft" activeCell="A2" sqref="A2"/>
      <selection pane="bottomRight" activeCell="S1" sqref="S1:S2"/>
    </sheetView>
  </sheetViews>
  <sheetFormatPr defaultColWidth="27.08984375" defaultRowHeight="10" x14ac:dyDescent="0.2"/>
  <cols>
    <col min="1" max="1" width="13.08984375" style="120" customWidth="1"/>
    <col min="2" max="2" width="16" style="120" bestFit="1" customWidth="1"/>
    <col min="3" max="3" width="35.54296875" style="120" customWidth="1"/>
    <col min="4" max="4" width="7.453125" style="120" customWidth="1"/>
    <col min="5" max="7" width="9.6328125" style="120" customWidth="1"/>
    <col min="8" max="8" width="22.453125" style="120" customWidth="1"/>
    <col min="9" max="9" width="17.36328125" style="120" customWidth="1"/>
    <col min="10" max="10" width="20.453125" style="120" customWidth="1"/>
    <col min="11" max="11" width="21" style="120" customWidth="1"/>
    <col min="12" max="12" width="21.453125" style="121" customWidth="1"/>
    <col min="13" max="13" width="13.90625" style="120" customWidth="1"/>
    <col min="14" max="14" width="12.6328125" style="120" customWidth="1"/>
    <col min="15" max="15" width="12.54296875" style="121" customWidth="1"/>
    <col min="16" max="16" width="12.453125" style="120" customWidth="1"/>
    <col min="17" max="17" width="14.54296875" style="130" customWidth="1"/>
    <col min="18" max="18" width="15.6328125" style="121" customWidth="1"/>
    <col min="19" max="19" width="14.6328125" style="121" customWidth="1"/>
    <col min="20" max="20" width="8.36328125" style="120" bestFit="1" customWidth="1"/>
    <col min="21" max="21" width="14.6328125" style="120" customWidth="1"/>
    <col min="22" max="22" width="20" style="121" customWidth="1"/>
    <col min="23" max="23" width="16" style="121" bestFit="1" customWidth="1"/>
    <col min="24" max="24" width="11.36328125" style="121" customWidth="1"/>
    <col min="25" max="25" width="14.6328125" style="129" customWidth="1"/>
    <col min="26" max="26" width="14.54296875" style="121" customWidth="1"/>
    <col min="27" max="27" width="19.36328125" style="121" bestFit="1" customWidth="1"/>
    <col min="28" max="28" width="14.08984375" style="121" customWidth="1"/>
    <col min="29" max="29" width="16.36328125" style="121" customWidth="1"/>
    <col min="30" max="30" width="15.6328125" style="121" customWidth="1"/>
    <col min="31" max="31" width="12.36328125" style="129" customWidth="1"/>
    <col min="32" max="32" width="17.36328125" style="129" customWidth="1"/>
    <col min="33" max="33" width="33" style="120" customWidth="1"/>
    <col min="34" max="16384" width="27.08984375" style="120"/>
  </cols>
  <sheetData>
    <row r="1" spans="1:33" ht="10.5" x14ac:dyDescent="0.25">
      <c r="AG1" s="135"/>
    </row>
    <row r="2" spans="1:33" x14ac:dyDescent="0.2">
      <c r="AG2" s="121"/>
    </row>
    <row r="3" spans="1:33" s="119" customFormat="1" ht="31.5" x14ac:dyDescent="0.35">
      <c r="A3" s="106" t="s">
        <v>95</v>
      </c>
      <c r="B3" s="106" t="s">
        <v>53</v>
      </c>
      <c r="C3" s="107" t="s">
        <v>54</v>
      </c>
      <c r="D3" s="107" t="s">
        <v>97</v>
      </c>
      <c r="E3" s="107" t="s">
        <v>98</v>
      </c>
      <c r="F3" s="107" t="s">
        <v>107</v>
      </c>
      <c r="G3" s="107" t="s">
        <v>108</v>
      </c>
      <c r="H3" s="107" t="s">
        <v>96</v>
      </c>
      <c r="I3" s="107" t="s">
        <v>103</v>
      </c>
      <c r="J3" s="107" t="s">
        <v>104</v>
      </c>
      <c r="K3" s="107" t="s">
        <v>105</v>
      </c>
      <c r="L3" s="108" t="s">
        <v>55</v>
      </c>
      <c r="M3" s="109" t="s">
        <v>57</v>
      </c>
      <c r="N3" s="109" t="s">
        <v>56</v>
      </c>
      <c r="O3" s="110" t="s">
        <v>100</v>
      </c>
      <c r="P3" s="111" t="s">
        <v>101</v>
      </c>
      <c r="Q3" s="112" t="s">
        <v>102</v>
      </c>
      <c r="R3" s="113" t="s">
        <v>2</v>
      </c>
      <c r="S3" s="113" t="s">
        <v>99</v>
      </c>
      <c r="T3" s="118" t="s">
        <v>88</v>
      </c>
      <c r="U3" s="118" t="s">
        <v>89</v>
      </c>
      <c r="V3" s="114" t="s">
        <v>34</v>
      </c>
      <c r="W3" s="114" t="s">
        <v>33</v>
      </c>
      <c r="X3" s="114" t="s">
        <v>3</v>
      </c>
      <c r="Y3" s="115" t="s">
        <v>4</v>
      </c>
      <c r="Z3" s="115" t="s">
        <v>30</v>
      </c>
      <c r="AA3" s="115" t="s">
        <v>106</v>
      </c>
      <c r="AB3" s="116" t="s">
        <v>80</v>
      </c>
      <c r="AC3" s="116" t="s">
        <v>81</v>
      </c>
      <c r="AD3" s="116" t="s">
        <v>84</v>
      </c>
      <c r="AE3" s="117" t="s">
        <v>82</v>
      </c>
      <c r="AF3" s="117" t="s">
        <v>83</v>
      </c>
      <c r="AG3" s="118" t="s">
        <v>31</v>
      </c>
    </row>
    <row r="4" spans="1:33" s="128" customFormat="1" x14ac:dyDescent="0.2">
      <c r="A4" s="120" t="s">
        <v>115</v>
      </c>
      <c r="B4" s="120" t="s">
        <v>116</v>
      </c>
      <c r="C4" s="120" t="s">
        <v>117</v>
      </c>
      <c r="D4" s="120" t="s">
        <v>118</v>
      </c>
      <c r="E4" s="120">
        <v>1</v>
      </c>
      <c r="F4" s="120" t="s">
        <v>118</v>
      </c>
      <c r="G4" s="120">
        <v>1</v>
      </c>
      <c r="H4" s="131" t="s">
        <v>119</v>
      </c>
      <c r="I4" s="131" t="s">
        <v>120</v>
      </c>
      <c r="J4" s="131" t="s">
        <v>121</v>
      </c>
      <c r="K4" s="131" t="s">
        <v>122</v>
      </c>
      <c r="L4" s="121">
        <v>4500</v>
      </c>
      <c r="M4" s="120">
        <v>1</v>
      </c>
      <c r="N4" s="120">
        <v>1</v>
      </c>
      <c r="O4" s="122">
        <f t="shared" ref="O4" si="0">L4-R4</f>
        <v>868.5</v>
      </c>
      <c r="P4" s="123">
        <f t="shared" ref="P4" si="1">O4/L4</f>
        <v>0.193</v>
      </c>
      <c r="Q4" s="124" t="str">
        <f t="shared" ref="Q4" si="2">IF(P4&lt;0,"Negative",IF(P4=0,"Same",IF(P4&gt;0.3,"30+%",IF(P4&gt;0.2,"20-30%",IF(P4&gt;0.1,"10-20%",IF(P4&lt;=0.1,"0-10%"))))))</f>
        <v>10-20%</v>
      </c>
      <c r="R4" s="125">
        <f t="shared" ref="R4" si="3">S4*N4</f>
        <v>3631.5</v>
      </c>
      <c r="S4" s="121">
        <v>3631.5</v>
      </c>
      <c r="T4" s="127" t="s">
        <v>94</v>
      </c>
      <c r="U4" s="127" t="s">
        <v>91</v>
      </c>
      <c r="V4" s="125">
        <f t="shared" ref="V4:V67" si="4">W4*N4</f>
        <v>4837.5</v>
      </c>
      <c r="W4" s="121">
        <v>4837.5</v>
      </c>
      <c r="X4" s="125">
        <f>V4-R4</f>
        <v>1206</v>
      </c>
      <c r="Y4" s="123">
        <f>X4/V4</f>
        <v>0.24930232558139534</v>
      </c>
      <c r="Z4" s="124" t="str">
        <f t="shared" ref="Z4" si="5">IF(Y4&lt;0,"Negative",IF(Y4=0,"Same",IF(Y4&gt;0.3,"30+%",IF(Y4&gt;0.2,"20-30%",IF(Y4&gt;0.1,"10-20%",IF(Y4&lt;=0.1,"0-10%"))))))</f>
        <v>20-30%</v>
      </c>
      <c r="AA4" s="126" t="s">
        <v>350</v>
      </c>
      <c r="AB4" s="121">
        <v>4500</v>
      </c>
      <c r="AC4" s="125">
        <f>AB4*N4</f>
        <v>4500</v>
      </c>
      <c r="AD4" s="125">
        <f>AC4-R4</f>
        <v>868.5</v>
      </c>
      <c r="AE4" s="123">
        <f>AD4/AC4</f>
        <v>0.193</v>
      </c>
      <c r="AF4" s="124" t="str">
        <f t="shared" ref="AF4" si="6">IF(AE4&lt;0,"Negative",IF(AE4=0,"Same",IF(AE4&gt;0.3,"30+%",IF(AE4&gt;0.2,"20-30%",IF(AE4&gt;0.1,"10-20%",IF(AE4&lt;=0.1,"0-10%"))))))</f>
        <v>10-20%</v>
      </c>
      <c r="AG4" s="127"/>
    </row>
    <row r="5" spans="1:33" s="128" customFormat="1" x14ac:dyDescent="0.2">
      <c r="A5" s="120" t="s">
        <v>115</v>
      </c>
      <c r="B5" s="120" t="s">
        <v>123</v>
      </c>
      <c r="C5" s="120" t="s">
        <v>124</v>
      </c>
      <c r="D5" s="120" t="s">
        <v>111</v>
      </c>
      <c r="E5" s="120">
        <v>4</v>
      </c>
      <c r="F5" s="120" t="s">
        <v>111</v>
      </c>
      <c r="G5" s="120">
        <v>1</v>
      </c>
      <c r="H5" s="131" t="s">
        <v>119</v>
      </c>
      <c r="I5" s="131" t="s">
        <v>120</v>
      </c>
      <c r="J5" s="131" t="s">
        <v>121</v>
      </c>
      <c r="K5" s="131" t="s">
        <v>125</v>
      </c>
      <c r="L5" s="121">
        <v>3363.82</v>
      </c>
      <c r="M5" s="120">
        <v>10</v>
      </c>
      <c r="N5" s="120">
        <v>16</v>
      </c>
      <c r="O5" s="122">
        <f t="shared" ref="O5:O68" si="7">L5-R5</f>
        <v>168.19100000000026</v>
      </c>
      <c r="P5" s="123">
        <f t="shared" ref="P5:P68" si="8">O5/L5</f>
        <v>5.0000000000000072E-2</v>
      </c>
      <c r="Q5" s="124" t="str">
        <f t="shared" ref="Q5:Q68" si="9">IF(P5&lt;0,"Negative",IF(P5=0,"Same",IF(P5&gt;0.3,"30+%",IF(P5&gt;0.2,"20-30%",IF(P5&gt;0.1,"10-20%",IF(P5&lt;=0.1,"0-10%"))))))</f>
        <v>0-10%</v>
      </c>
      <c r="R5" s="125">
        <f t="shared" ref="R5:R68" si="10">S5*N5</f>
        <v>3195.6289999999999</v>
      </c>
      <c r="S5" s="121">
        <v>199.72681249999999</v>
      </c>
      <c r="T5" s="127" t="s">
        <v>94</v>
      </c>
      <c r="U5" s="127" t="s">
        <v>91</v>
      </c>
      <c r="V5" s="125">
        <f t="shared" si="4"/>
        <v>3616.1064999999999</v>
      </c>
      <c r="W5" s="121">
        <v>226.00665624999999</v>
      </c>
      <c r="X5" s="125">
        <f t="shared" ref="X5:X68" si="11">V5-R5</f>
        <v>420.47749999999996</v>
      </c>
      <c r="Y5" s="123">
        <f t="shared" ref="Y5:Y68" si="12">X5/V5</f>
        <v>0.11627906976744186</v>
      </c>
      <c r="Z5" s="124" t="str">
        <f t="shared" ref="Z5:Z68" si="13">IF(Y5&lt;0,"Negative",IF(Y5=0,"Same",IF(Y5&gt;0.3,"30+%",IF(Y5&gt;0.2,"20-30%",IF(Y5&gt;0.1,"10-20%",IF(Y5&lt;=0.1,"0-10%"))))))</f>
        <v>10-20%</v>
      </c>
      <c r="AA5" s="126" t="s">
        <v>350</v>
      </c>
      <c r="AB5" s="121">
        <v>416</v>
      </c>
      <c r="AC5" s="125">
        <f t="shared" ref="AC5:AC68" si="14">AB5*N5</f>
        <v>6656</v>
      </c>
      <c r="AD5" s="125">
        <f t="shared" ref="AD5:AD68" si="15">AC5-R5</f>
        <v>3460.3710000000001</v>
      </c>
      <c r="AE5" s="123">
        <f t="shared" ref="AE5:AE68" si="16">AD5/AC5</f>
        <v>0.51988746995192314</v>
      </c>
      <c r="AF5" s="124" t="str">
        <f t="shared" ref="AF5:AF68" si="17">IF(AE5&lt;0,"Negative",IF(AE5=0,"Same",IF(AE5&gt;0.3,"30+%",IF(AE5&gt;0.2,"20-30%",IF(AE5&gt;0.1,"10-20%",IF(AE5&lt;=0.1,"0-10%"))))))</f>
        <v>30+%</v>
      </c>
      <c r="AG5" s="127"/>
    </row>
    <row r="6" spans="1:33" s="128" customFormat="1" x14ac:dyDescent="0.2">
      <c r="A6" s="120" t="s">
        <v>115</v>
      </c>
      <c r="B6" s="120" t="s">
        <v>126</v>
      </c>
      <c r="C6" s="120" t="s">
        <v>127</v>
      </c>
      <c r="D6" s="120" t="s">
        <v>118</v>
      </c>
      <c r="E6" s="120">
        <v>1</v>
      </c>
      <c r="F6" s="120" t="s">
        <v>118</v>
      </c>
      <c r="G6" s="120">
        <v>1</v>
      </c>
      <c r="H6" s="131" t="s">
        <v>128</v>
      </c>
      <c r="I6" s="131" t="s">
        <v>120</v>
      </c>
      <c r="J6" s="131" t="s">
        <v>129</v>
      </c>
      <c r="K6" s="131" t="s">
        <v>130</v>
      </c>
      <c r="L6" s="121">
        <v>3286.4</v>
      </c>
      <c r="M6" s="120">
        <v>5</v>
      </c>
      <c r="N6" s="120">
        <v>26</v>
      </c>
      <c r="O6" s="122">
        <f t="shared" si="7"/>
        <v>164.32000000000016</v>
      </c>
      <c r="P6" s="123">
        <f t="shared" si="8"/>
        <v>5.0000000000000051E-2</v>
      </c>
      <c r="Q6" s="124" t="str">
        <f t="shared" si="9"/>
        <v>0-10%</v>
      </c>
      <c r="R6" s="125">
        <f t="shared" si="10"/>
        <v>3122.08</v>
      </c>
      <c r="S6" s="121">
        <v>120.08</v>
      </c>
      <c r="T6" s="127" t="s">
        <v>94</v>
      </c>
      <c r="U6" s="127" t="s">
        <v>91</v>
      </c>
      <c r="V6" s="125">
        <f t="shared" si="4"/>
        <v>3532.88</v>
      </c>
      <c r="W6" s="121">
        <v>135.88</v>
      </c>
      <c r="X6" s="125">
        <f t="shared" si="11"/>
        <v>410.80000000000018</v>
      </c>
      <c r="Y6" s="123">
        <f t="shared" si="12"/>
        <v>0.11627906976744191</v>
      </c>
      <c r="Z6" s="124" t="str">
        <f t="shared" si="13"/>
        <v>10-20%</v>
      </c>
      <c r="AA6" s="126" t="s">
        <v>350</v>
      </c>
      <c r="AB6" s="121">
        <v>185.81</v>
      </c>
      <c r="AC6" s="125">
        <f t="shared" si="14"/>
        <v>4831.0600000000004</v>
      </c>
      <c r="AD6" s="125">
        <f t="shared" si="15"/>
        <v>1708.9800000000005</v>
      </c>
      <c r="AE6" s="123">
        <f t="shared" si="16"/>
        <v>0.35374845272052102</v>
      </c>
      <c r="AF6" s="124" t="str">
        <f t="shared" si="17"/>
        <v>30+%</v>
      </c>
      <c r="AG6" s="127"/>
    </row>
    <row r="7" spans="1:33" s="128" customFormat="1" x14ac:dyDescent="0.2">
      <c r="A7" s="120" t="s">
        <v>115</v>
      </c>
      <c r="B7" s="120" t="s">
        <v>131</v>
      </c>
      <c r="C7" s="120" t="s">
        <v>132</v>
      </c>
      <c r="D7" s="120" t="s">
        <v>118</v>
      </c>
      <c r="E7" s="120">
        <v>1</v>
      </c>
      <c r="F7" s="120" t="s">
        <v>111</v>
      </c>
      <c r="G7" s="120">
        <v>6</v>
      </c>
      <c r="H7" s="131" t="s">
        <v>119</v>
      </c>
      <c r="I7" s="131" t="s">
        <v>120</v>
      </c>
      <c r="J7" s="131" t="s">
        <v>129</v>
      </c>
      <c r="K7" s="131" t="s">
        <v>133</v>
      </c>
      <c r="L7" s="121">
        <v>1927.19</v>
      </c>
      <c r="M7" s="120">
        <v>6</v>
      </c>
      <c r="N7" s="120">
        <v>34</v>
      </c>
      <c r="O7" s="122">
        <f t="shared" si="7"/>
        <v>96.359500000000025</v>
      </c>
      <c r="P7" s="123">
        <f t="shared" si="8"/>
        <v>5.000000000000001E-2</v>
      </c>
      <c r="Q7" s="124" t="str">
        <f t="shared" si="9"/>
        <v>0-10%</v>
      </c>
      <c r="R7" s="125">
        <f t="shared" si="10"/>
        <v>1830.8305</v>
      </c>
      <c r="S7" s="121">
        <v>53.847955882352942</v>
      </c>
      <c r="T7" s="127" t="s">
        <v>94</v>
      </c>
      <c r="U7" s="127" t="s">
        <v>91</v>
      </c>
      <c r="V7" s="125">
        <f t="shared" si="4"/>
        <v>2071.7292499999999</v>
      </c>
      <c r="W7" s="121">
        <v>60.933213235294119</v>
      </c>
      <c r="X7" s="125">
        <f t="shared" si="11"/>
        <v>240.89874999999984</v>
      </c>
      <c r="Y7" s="123">
        <f t="shared" si="12"/>
        <v>0.11627906976744179</v>
      </c>
      <c r="Z7" s="124" t="str">
        <f t="shared" si="13"/>
        <v>10-20%</v>
      </c>
      <c r="AA7" s="126" t="s">
        <v>350</v>
      </c>
      <c r="AB7" s="121">
        <v>118</v>
      </c>
      <c r="AC7" s="125">
        <f t="shared" si="14"/>
        <v>4012</v>
      </c>
      <c r="AD7" s="125">
        <f t="shared" si="15"/>
        <v>2181.1695</v>
      </c>
      <c r="AE7" s="123">
        <f t="shared" si="16"/>
        <v>0.54366139082751741</v>
      </c>
      <c r="AF7" s="124" t="str">
        <f t="shared" si="17"/>
        <v>30+%</v>
      </c>
      <c r="AG7" s="127"/>
    </row>
    <row r="8" spans="1:33" s="128" customFormat="1" x14ac:dyDescent="0.2">
      <c r="A8" s="120" t="s">
        <v>115</v>
      </c>
      <c r="B8" s="120" t="s">
        <v>134</v>
      </c>
      <c r="C8" s="120" t="s">
        <v>135</v>
      </c>
      <c r="D8" s="120" t="s">
        <v>118</v>
      </c>
      <c r="E8" s="120">
        <v>1</v>
      </c>
      <c r="F8" s="120" t="s">
        <v>118</v>
      </c>
      <c r="G8" s="120">
        <v>1</v>
      </c>
      <c r="H8" s="131" t="s">
        <v>119</v>
      </c>
      <c r="I8" s="131" t="s">
        <v>120</v>
      </c>
      <c r="J8" s="131" t="s">
        <v>121</v>
      </c>
      <c r="K8" s="131" t="s">
        <v>122</v>
      </c>
      <c r="L8" s="121">
        <v>1863.48</v>
      </c>
      <c r="M8" s="120">
        <v>2</v>
      </c>
      <c r="N8" s="120">
        <v>6</v>
      </c>
      <c r="O8" s="122">
        <f t="shared" si="7"/>
        <v>93.173999999999978</v>
      </c>
      <c r="P8" s="123">
        <f t="shared" si="8"/>
        <v>4.9999999999999989E-2</v>
      </c>
      <c r="Q8" s="124" t="str">
        <f t="shared" si="9"/>
        <v>0-10%</v>
      </c>
      <c r="R8" s="125">
        <f t="shared" si="10"/>
        <v>1770.306</v>
      </c>
      <c r="S8" s="121">
        <v>295.05099999999999</v>
      </c>
      <c r="T8" s="127" t="s">
        <v>94</v>
      </c>
      <c r="U8" s="127" t="s">
        <v>91</v>
      </c>
      <c r="V8" s="125">
        <f t="shared" si="4"/>
        <v>2003.241</v>
      </c>
      <c r="W8" s="121">
        <v>333.87349999999998</v>
      </c>
      <c r="X8" s="125">
        <f t="shared" si="11"/>
        <v>232.93499999999995</v>
      </c>
      <c r="Y8" s="123">
        <f t="shared" si="12"/>
        <v>0.11627906976744183</v>
      </c>
      <c r="Z8" s="124" t="str">
        <f t="shared" si="13"/>
        <v>10-20%</v>
      </c>
      <c r="AA8" s="126" t="s">
        <v>350</v>
      </c>
      <c r="AB8" s="121">
        <v>1192.5</v>
      </c>
      <c r="AC8" s="125">
        <f t="shared" si="14"/>
        <v>7155</v>
      </c>
      <c r="AD8" s="125">
        <f t="shared" si="15"/>
        <v>5384.6939999999995</v>
      </c>
      <c r="AE8" s="123">
        <f t="shared" si="16"/>
        <v>0.75257777777777768</v>
      </c>
      <c r="AF8" s="124" t="str">
        <f t="shared" si="17"/>
        <v>30+%</v>
      </c>
      <c r="AG8" s="127"/>
    </row>
    <row r="9" spans="1:33" s="128" customFormat="1" x14ac:dyDescent="0.2">
      <c r="A9" s="120" t="s">
        <v>136</v>
      </c>
      <c r="B9" s="120" t="s">
        <v>137</v>
      </c>
      <c r="C9" s="120" t="s">
        <v>138</v>
      </c>
      <c r="D9" s="120" t="s">
        <v>118</v>
      </c>
      <c r="E9" s="120">
        <v>1</v>
      </c>
      <c r="F9" s="120" t="s">
        <v>118</v>
      </c>
      <c r="G9" s="120">
        <v>1</v>
      </c>
      <c r="H9" s="131" t="s">
        <v>139</v>
      </c>
      <c r="I9" s="131" t="s">
        <v>140</v>
      </c>
      <c r="J9" s="131" t="s">
        <v>141</v>
      </c>
      <c r="K9" s="131" t="s">
        <v>142</v>
      </c>
      <c r="L9" s="121">
        <v>1589.18</v>
      </c>
      <c r="M9" s="120">
        <v>1</v>
      </c>
      <c r="N9" s="120">
        <v>1</v>
      </c>
      <c r="O9" s="122">
        <f t="shared" si="7"/>
        <v>-72.519999999999982</v>
      </c>
      <c r="P9" s="123">
        <f t="shared" si="8"/>
        <v>-4.563359720107224E-2</v>
      </c>
      <c r="Q9" s="124" t="str">
        <f t="shared" si="9"/>
        <v>Negative</v>
      </c>
      <c r="R9" s="125">
        <f t="shared" si="10"/>
        <v>1661.7</v>
      </c>
      <c r="S9" s="121">
        <v>1661.7</v>
      </c>
      <c r="T9" s="127" t="s">
        <v>94</v>
      </c>
      <c r="U9" s="127" t="s">
        <v>92</v>
      </c>
      <c r="V9" s="125">
        <f t="shared" si="4"/>
        <v>1708.3685</v>
      </c>
      <c r="W9" s="121">
        <v>1708.3685</v>
      </c>
      <c r="X9" s="125">
        <f t="shared" si="11"/>
        <v>46.668499999999995</v>
      </c>
      <c r="Y9" s="123">
        <f t="shared" si="12"/>
        <v>2.7317583999002554E-2</v>
      </c>
      <c r="Z9" s="124" t="str">
        <f t="shared" si="13"/>
        <v>0-10%</v>
      </c>
      <c r="AA9" s="126" t="s">
        <v>350</v>
      </c>
      <c r="AB9" s="121">
        <v>1751</v>
      </c>
      <c r="AC9" s="125">
        <f t="shared" si="14"/>
        <v>1751</v>
      </c>
      <c r="AD9" s="125">
        <f t="shared" si="15"/>
        <v>89.299999999999955</v>
      </c>
      <c r="AE9" s="123">
        <f t="shared" si="16"/>
        <v>5.0999428897772675E-2</v>
      </c>
      <c r="AF9" s="124" t="str">
        <f t="shared" si="17"/>
        <v>0-10%</v>
      </c>
      <c r="AG9" s="127"/>
    </row>
    <row r="10" spans="1:33" s="128" customFormat="1" x14ac:dyDescent="0.2">
      <c r="A10" s="120" t="s">
        <v>115</v>
      </c>
      <c r="B10" s="120" t="s">
        <v>143</v>
      </c>
      <c r="C10" s="120" t="s">
        <v>144</v>
      </c>
      <c r="D10" s="120" t="s">
        <v>118</v>
      </c>
      <c r="E10" s="120">
        <v>1</v>
      </c>
      <c r="F10" s="120" t="s">
        <v>118</v>
      </c>
      <c r="G10" s="120">
        <v>1</v>
      </c>
      <c r="H10" s="131" t="s">
        <v>119</v>
      </c>
      <c r="I10" s="131" t="s">
        <v>120</v>
      </c>
      <c r="J10" s="131" t="s">
        <v>145</v>
      </c>
      <c r="K10" s="131" t="s">
        <v>146</v>
      </c>
      <c r="L10" s="121">
        <v>942.72</v>
      </c>
      <c r="M10" s="120">
        <v>1</v>
      </c>
      <c r="N10" s="120">
        <v>1</v>
      </c>
      <c r="O10" s="122">
        <f t="shared" si="7"/>
        <v>47.136000000000081</v>
      </c>
      <c r="P10" s="123">
        <f t="shared" si="8"/>
        <v>5.0000000000000086E-2</v>
      </c>
      <c r="Q10" s="124" t="str">
        <f t="shared" si="9"/>
        <v>0-10%</v>
      </c>
      <c r="R10" s="125">
        <f t="shared" si="10"/>
        <v>895.58399999999995</v>
      </c>
      <c r="S10" s="121">
        <v>895.58399999999995</v>
      </c>
      <c r="T10" s="127" t="s">
        <v>94</v>
      </c>
      <c r="U10" s="127" t="s">
        <v>91</v>
      </c>
      <c r="V10" s="125">
        <f t="shared" si="4"/>
        <v>1013.424</v>
      </c>
      <c r="W10" s="121">
        <v>1013.424</v>
      </c>
      <c r="X10" s="125">
        <f t="shared" si="11"/>
        <v>117.84000000000003</v>
      </c>
      <c r="Y10" s="123">
        <f t="shared" si="12"/>
        <v>0.1162790697674419</v>
      </c>
      <c r="Z10" s="124" t="str">
        <f t="shared" si="13"/>
        <v>10-20%</v>
      </c>
      <c r="AA10" s="126" t="s">
        <v>350</v>
      </c>
      <c r="AB10" s="121">
        <v>2400</v>
      </c>
      <c r="AC10" s="125">
        <f t="shared" si="14"/>
        <v>2400</v>
      </c>
      <c r="AD10" s="125">
        <f t="shared" si="15"/>
        <v>1504.4160000000002</v>
      </c>
      <c r="AE10" s="123">
        <f t="shared" si="16"/>
        <v>0.62684000000000006</v>
      </c>
      <c r="AF10" s="124" t="str">
        <f t="shared" si="17"/>
        <v>30+%</v>
      </c>
      <c r="AG10" s="127"/>
    </row>
    <row r="11" spans="1:33" s="128" customFormat="1" x14ac:dyDescent="0.2">
      <c r="A11" s="120" t="s">
        <v>115</v>
      </c>
      <c r="B11" s="120" t="s">
        <v>147</v>
      </c>
      <c r="C11" s="120" t="s">
        <v>148</v>
      </c>
      <c r="D11" s="120" t="s">
        <v>111</v>
      </c>
      <c r="E11" s="120">
        <v>72</v>
      </c>
      <c r="F11" s="120" t="s">
        <v>111</v>
      </c>
      <c r="G11" s="120">
        <v>1</v>
      </c>
      <c r="H11" s="131" t="s">
        <v>149</v>
      </c>
      <c r="I11" s="131" t="s">
        <v>140</v>
      </c>
      <c r="J11" s="131" t="s">
        <v>150</v>
      </c>
      <c r="K11" s="131" t="s">
        <v>151</v>
      </c>
      <c r="L11" s="121">
        <v>915.39</v>
      </c>
      <c r="M11" s="120">
        <v>5</v>
      </c>
      <c r="N11" s="120">
        <v>9</v>
      </c>
      <c r="O11" s="122">
        <f t="shared" si="7"/>
        <v>18.809999999999945</v>
      </c>
      <c r="P11" s="123">
        <f t="shared" si="8"/>
        <v>2.0548618621571074E-2</v>
      </c>
      <c r="Q11" s="124" t="str">
        <f t="shared" si="9"/>
        <v>0-10%</v>
      </c>
      <c r="R11" s="125">
        <f t="shared" si="10"/>
        <v>896.58</v>
      </c>
      <c r="S11" s="121">
        <v>99.62</v>
      </c>
      <c r="T11" s="127" t="s">
        <v>94</v>
      </c>
      <c r="U11" s="127" t="s">
        <v>92</v>
      </c>
      <c r="V11" s="125">
        <f t="shared" si="4"/>
        <v>984.04424999999992</v>
      </c>
      <c r="W11" s="121">
        <v>109.33824999999999</v>
      </c>
      <c r="X11" s="125">
        <f t="shared" si="11"/>
        <v>87.464249999999879</v>
      </c>
      <c r="Y11" s="123">
        <f t="shared" si="12"/>
        <v>8.8882435927042799E-2</v>
      </c>
      <c r="Z11" s="124" t="str">
        <f t="shared" si="13"/>
        <v>0-10%</v>
      </c>
      <c r="AA11" s="126" t="s">
        <v>350</v>
      </c>
      <c r="AB11" s="121">
        <v>114.5</v>
      </c>
      <c r="AC11" s="125">
        <f t="shared" si="14"/>
        <v>1030.5</v>
      </c>
      <c r="AD11" s="125">
        <f t="shared" si="15"/>
        <v>133.91999999999996</v>
      </c>
      <c r="AE11" s="123">
        <f t="shared" si="16"/>
        <v>0.12995633187772923</v>
      </c>
      <c r="AF11" s="124" t="str">
        <f t="shared" si="17"/>
        <v>10-20%</v>
      </c>
      <c r="AG11" s="127"/>
    </row>
    <row r="12" spans="1:33" s="128" customFormat="1" x14ac:dyDescent="0.2">
      <c r="A12" s="120" t="s">
        <v>136</v>
      </c>
      <c r="B12" s="120" t="s">
        <v>152</v>
      </c>
      <c r="C12" s="120" t="s">
        <v>153</v>
      </c>
      <c r="D12" s="120" t="s">
        <v>118</v>
      </c>
      <c r="E12" s="120">
        <v>1</v>
      </c>
      <c r="F12" s="120" t="s">
        <v>111</v>
      </c>
      <c r="G12" s="120">
        <v>4</v>
      </c>
      <c r="H12" s="131" t="s">
        <v>119</v>
      </c>
      <c r="I12" s="131" t="s">
        <v>120</v>
      </c>
      <c r="J12" s="131" t="s">
        <v>154</v>
      </c>
      <c r="K12" s="131" t="s">
        <v>155</v>
      </c>
      <c r="L12" s="121">
        <v>844.56</v>
      </c>
      <c r="M12" s="120">
        <v>2</v>
      </c>
      <c r="N12" s="120">
        <v>5</v>
      </c>
      <c r="O12" s="122">
        <f t="shared" si="7"/>
        <v>275.90999999999997</v>
      </c>
      <c r="P12" s="123">
        <f t="shared" si="8"/>
        <v>0.32669082125603865</v>
      </c>
      <c r="Q12" s="124" t="str">
        <f t="shared" si="9"/>
        <v>30+%</v>
      </c>
      <c r="R12" s="125">
        <f t="shared" si="10"/>
        <v>568.65</v>
      </c>
      <c r="S12" s="121">
        <v>113.73</v>
      </c>
      <c r="T12" s="127" t="s">
        <v>94</v>
      </c>
      <c r="U12" s="127" t="s">
        <v>114</v>
      </c>
      <c r="V12" s="125">
        <f t="shared" si="4"/>
        <v>907.90199999999982</v>
      </c>
      <c r="W12" s="121">
        <v>181.58039999999997</v>
      </c>
      <c r="X12" s="125">
        <f t="shared" si="11"/>
        <v>339.25199999999984</v>
      </c>
      <c r="Y12" s="123">
        <f t="shared" si="12"/>
        <v>0.37366588023817537</v>
      </c>
      <c r="Z12" s="124" t="str">
        <f t="shared" si="13"/>
        <v>30+%</v>
      </c>
      <c r="AA12" s="126" t="s">
        <v>350</v>
      </c>
      <c r="AB12" s="121">
        <v>461.5</v>
      </c>
      <c r="AC12" s="125">
        <f t="shared" si="14"/>
        <v>2307.5</v>
      </c>
      <c r="AD12" s="125">
        <f t="shared" si="15"/>
        <v>1738.85</v>
      </c>
      <c r="AE12" s="123">
        <f t="shared" si="16"/>
        <v>0.75356446370530872</v>
      </c>
      <c r="AF12" s="124" t="str">
        <f t="shared" si="17"/>
        <v>30+%</v>
      </c>
      <c r="AG12" s="127"/>
    </row>
    <row r="13" spans="1:33" s="128" customFormat="1" x14ac:dyDescent="0.2">
      <c r="A13" s="120" t="s">
        <v>115</v>
      </c>
      <c r="B13" s="120" t="s">
        <v>156</v>
      </c>
      <c r="C13" s="120" t="s">
        <v>157</v>
      </c>
      <c r="D13" s="120" t="s">
        <v>118</v>
      </c>
      <c r="E13" s="120">
        <v>1</v>
      </c>
      <c r="F13" s="120" t="s">
        <v>118</v>
      </c>
      <c r="G13" s="120">
        <v>1</v>
      </c>
      <c r="H13" s="131" t="s">
        <v>119</v>
      </c>
      <c r="I13" s="131" t="s">
        <v>120</v>
      </c>
      <c r="J13" s="131" t="s">
        <v>145</v>
      </c>
      <c r="K13" s="131" t="s">
        <v>146</v>
      </c>
      <c r="L13" s="121">
        <v>762.22</v>
      </c>
      <c r="M13" s="120">
        <v>1</v>
      </c>
      <c r="N13" s="120">
        <v>1</v>
      </c>
      <c r="O13" s="122">
        <f t="shared" si="7"/>
        <v>38.11099999999999</v>
      </c>
      <c r="P13" s="123">
        <f t="shared" si="8"/>
        <v>4.9999999999999982E-2</v>
      </c>
      <c r="Q13" s="124" t="str">
        <f t="shared" si="9"/>
        <v>0-10%</v>
      </c>
      <c r="R13" s="125">
        <f t="shared" si="10"/>
        <v>724.10900000000004</v>
      </c>
      <c r="S13" s="121">
        <v>724.10900000000004</v>
      </c>
      <c r="T13" s="127" t="s">
        <v>94</v>
      </c>
      <c r="U13" s="127" t="s">
        <v>91</v>
      </c>
      <c r="V13" s="125">
        <f t="shared" si="4"/>
        <v>819.38649999999996</v>
      </c>
      <c r="W13" s="121">
        <v>819.38649999999996</v>
      </c>
      <c r="X13" s="125">
        <f t="shared" si="11"/>
        <v>95.277499999999918</v>
      </c>
      <c r="Y13" s="123">
        <f t="shared" si="12"/>
        <v>0.11627906976744176</v>
      </c>
      <c r="Z13" s="124" t="str">
        <f t="shared" si="13"/>
        <v>10-20%</v>
      </c>
      <c r="AA13" s="126" t="s">
        <v>350</v>
      </c>
      <c r="AB13" s="121">
        <v>1388</v>
      </c>
      <c r="AC13" s="125">
        <f t="shared" si="14"/>
        <v>1388</v>
      </c>
      <c r="AD13" s="125">
        <f t="shared" si="15"/>
        <v>663.89099999999996</v>
      </c>
      <c r="AE13" s="123">
        <f t="shared" si="16"/>
        <v>0.47830763688760802</v>
      </c>
      <c r="AF13" s="124" t="str">
        <f t="shared" si="17"/>
        <v>30+%</v>
      </c>
      <c r="AG13" s="127"/>
    </row>
    <row r="14" spans="1:33" s="128" customFormat="1" x14ac:dyDescent="0.2">
      <c r="A14" s="120" t="s">
        <v>115</v>
      </c>
      <c r="B14" s="120" t="s">
        <v>158</v>
      </c>
      <c r="C14" s="120" t="s">
        <v>159</v>
      </c>
      <c r="D14" s="120" t="s">
        <v>118</v>
      </c>
      <c r="E14" s="120">
        <v>1</v>
      </c>
      <c r="F14" s="120" t="s">
        <v>118</v>
      </c>
      <c r="G14" s="120">
        <v>1</v>
      </c>
      <c r="H14" s="131" t="s">
        <v>119</v>
      </c>
      <c r="I14" s="131" t="s">
        <v>120</v>
      </c>
      <c r="J14" s="131" t="s">
        <v>154</v>
      </c>
      <c r="K14" s="131" t="s">
        <v>160</v>
      </c>
      <c r="L14" s="121">
        <v>682.92</v>
      </c>
      <c r="M14" s="120">
        <v>2</v>
      </c>
      <c r="N14" s="120">
        <v>3</v>
      </c>
      <c r="O14" s="122">
        <f t="shared" si="7"/>
        <v>165.57000000000005</v>
      </c>
      <c r="P14" s="123">
        <f t="shared" si="8"/>
        <v>0.24244421015638737</v>
      </c>
      <c r="Q14" s="124" t="str">
        <f t="shared" si="9"/>
        <v>20-30%</v>
      </c>
      <c r="R14" s="125">
        <f t="shared" si="10"/>
        <v>517.34999999999991</v>
      </c>
      <c r="S14" s="121">
        <v>172.45</v>
      </c>
      <c r="T14" s="127" t="s">
        <v>93</v>
      </c>
      <c r="U14" s="127" t="s">
        <v>90</v>
      </c>
      <c r="V14" s="125">
        <f t="shared" si="4"/>
        <v>734.1389999999999</v>
      </c>
      <c r="W14" s="121">
        <v>244.71299999999997</v>
      </c>
      <c r="X14" s="125">
        <f t="shared" si="11"/>
        <v>216.78899999999999</v>
      </c>
      <c r="Y14" s="123">
        <f t="shared" si="12"/>
        <v>0.2952969396803603</v>
      </c>
      <c r="Z14" s="124" t="str">
        <f t="shared" si="13"/>
        <v>20-30%</v>
      </c>
      <c r="AA14" s="126" t="s">
        <v>350</v>
      </c>
      <c r="AB14" s="121">
        <v>646.5</v>
      </c>
      <c r="AC14" s="125">
        <f t="shared" si="14"/>
        <v>1939.5</v>
      </c>
      <c r="AD14" s="125">
        <f t="shared" si="15"/>
        <v>1422.15</v>
      </c>
      <c r="AE14" s="123">
        <f t="shared" si="16"/>
        <v>0.73325599381283846</v>
      </c>
      <c r="AF14" s="124" t="str">
        <f t="shared" si="17"/>
        <v>30+%</v>
      </c>
      <c r="AG14" s="127"/>
    </row>
    <row r="15" spans="1:33" s="128" customFormat="1" x14ac:dyDescent="0.2">
      <c r="A15" s="120" t="s">
        <v>115</v>
      </c>
      <c r="B15" s="120" t="s">
        <v>161</v>
      </c>
      <c r="C15" s="120" t="s">
        <v>162</v>
      </c>
      <c r="D15" s="120" t="s">
        <v>118</v>
      </c>
      <c r="E15" s="120">
        <v>1</v>
      </c>
      <c r="F15" s="120" t="s">
        <v>118</v>
      </c>
      <c r="G15" s="120">
        <v>1</v>
      </c>
      <c r="H15" s="131" t="s">
        <v>163</v>
      </c>
      <c r="I15" s="131" t="s">
        <v>164</v>
      </c>
      <c r="J15" s="131" t="s">
        <v>165</v>
      </c>
      <c r="K15" s="131" t="s">
        <v>166</v>
      </c>
      <c r="L15" s="121">
        <v>588.78</v>
      </c>
      <c r="M15" s="120">
        <v>2</v>
      </c>
      <c r="N15" s="120">
        <v>3</v>
      </c>
      <c r="O15" s="122">
        <f t="shared" si="7"/>
        <v>-10.860000000000014</v>
      </c>
      <c r="P15" s="123">
        <f t="shared" si="8"/>
        <v>-1.844492000407625E-2</v>
      </c>
      <c r="Q15" s="124" t="str">
        <f t="shared" si="9"/>
        <v>Negative</v>
      </c>
      <c r="R15" s="125">
        <f t="shared" si="10"/>
        <v>599.64</v>
      </c>
      <c r="S15" s="121">
        <v>199.88</v>
      </c>
      <c r="T15" s="127" t="s">
        <v>94</v>
      </c>
      <c r="U15" s="127" t="s">
        <v>92</v>
      </c>
      <c r="V15" s="125">
        <f t="shared" si="4"/>
        <v>632.93849999999998</v>
      </c>
      <c r="W15" s="121">
        <v>210.97949999999997</v>
      </c>
      <c r="X15" s="125">
        <f t="shared" si="11"/>
        <v>33.29849999999999</v>
      </c>
      <c r="Y15" s="123">
        <f t="shared" si="12"/>
        <v>5.2609376740394197E-2</v>
      </c>
      <c r="Z15" s="124" t="str">
        <f t="shared" si="13"/>
        <v>0-10%</v>
      </c>
      <c r="AA15" s="126" t="s">
        <v>350</v>
      </c>
      <c r="AB15" s="121">
        <v>205</v>
      </c>
      <c r="AC15" s="125">
        <f t="shared" si="14"/>
        <v>615</v>
      </c>
      <c r="AD15" s="125">
        <f t="shared" si="15"/>
        <v>15.360000000000014</v>
      </c>
      <c r="AE15" s="123">
        <f t="shared" si="16"/>
        <v>2.4975609756097583E-2</v>
      </c>
      <c r="AF15" s="124" t="str">
        <f t="shared" si="17"/>
        <v>0-10%</v>
      </c>
      <c r="AG15" s="127"/>
    </row>
    <row r="16" spans="1:33" s="128" customFormat="1" x14ac:dyDescent="0.2">
      <c r="A16" s="120" t="s">
        <v>115</v>
      </c>
      <c r="B16" s="120" t="s">
        <v>167</v>
      </c>
      <c r="C16" s="120" t="s">
        <v>168</v>
      </c>
      <c r="D16" s="120" t="s">
        <v>111</v>
      </c>
      <c r="E16" s="120">
        <v>72</v>
      </c>
      <c r="F16" s="120" t="s">
        <v>111</v>
      </c>
      <c r="G16" s="120">
        <v>1</v>
      </c>
      <c r="H16" s="131" t="s">
        <v>149</v>
      </c>
      <c r="I16" s="131" t="s">
        <v>140</v>
      </c>
      <c r="J16" s="131" t="s">
        <v>169</v>
      </c>
      <c r="K16" s="131" t="s">
        <v>170</v>
      </c>
      <c r="L16" s="121">
        <v>574.55999999999995</v>
      </c>
      <c r="M16" s="120">
        <v>3</v>
      </c>
      <c r="N16" s="120">
        <v>6</v>
      </c>
      <c r="O16" s="122">
        <f t="shared" si="7"/>
        <v>30.240000000000009</v>
      </c>
      <c r="P16" s="123">
        <f t="shared" si="8"/>
        <v>5.2631578947368439E-2</v>
      </c>
      <c r="Q16" s="124" t="str">
        <f t="shared" si="9"/>
        <v>0-10%</v>
      </c>
      <c r="R16" s="125">
        <f t="shared" si="10"/>
        <v>544.31999999999994</v>
      </c>
      <c r="S16" s="121">
        <v>90.72</v>
      </c>
      <c r="T16" s="127" t="s">
        <v>94</v>
      </c>
      <c r="U16" s="127" t="s">
        <v>92</v>
      </c>
      <c r="V16" s="125">
        <f t="shared" si="4"/>
        <v>617.65199999999993</v>
      </c>
      <c r="W16" s="121">
        <v>102.94199999999999</v>
      </c>
      <c r="X16" s="125">
        <f t="shared" si="11"/>
        <v>73.331999999999994</v>
      </c>
      <c r="Y16" s="123">
        <f t="shared" si="12"/>
        <v>0.11872705018359854</v>
      </c>
      <c r="Z16" s="124" t="str">
        <f t="shared" si="13"/>
        <v>10-20%</v>
      </c>
      <c r="AA16" s="126" t="s">
        <v>350</v>
      </c>
      <c r="AB16" s="121">
        <v>100.8</v>
      </c>
      <c r="AC16" s="125">
        <f t="shared" si="14"/>
        <v>604.79999999999995</v>
      </c>
      <c r="AD16" s="125">
        <f t="shared" si="15"/>
        <v>60.480000000000018</v>
      </c>
      <c r="AE16" s="123">
        <f t="shared" si="16"/>
        <v>0.10000000000000003</v>
      </c>
      <c r="AF16" s="124" t="str">
        <f t="shared" si="17"/>
        <v>0-10%</v>
      </c>
      <c r="AG16" s="127"/>
    </row>
    <row r="17" spans="1:33" s="128" customFormat="1" x14ac:dyDescent="0.2">
      <c r="A17" s="120" t="s">
        <v>115</v>
      </c>
      <c r="B17" s="120" t="s">
        <v>171</v>
      </c>
      <c r="C17" s="120" t="s">
        <v>172</v>
      </c>
      <c r="D17" s="120" t="s">
        <v>118</v>
      </c>
      <c r="E17" s="120">
        <v>1</v>
      </c>
      <c r="F17" s="120" t="s">
        <v>118</v>
      </c>
      <c r="G17" s="120">
        <v>1</v>
      </c>
      <c r="H17" s="131" t="s">
        <v>173</v>
      </c>
      <c r="I17" s="131" t="s">
        <v>120</v>
      </c>
      <c r="J17" s="131" t="s">
        <v>145</v>
      </c>
      <c r="K17" s="131" t="s">
        <v>174</v>
      </c>
      <c r="L17" s="121">
        <v>527.17999999999995</v>
      </c>
      <c r="M17" s="120">
        <v>1</v>
      </c>
      <c r="N17" s="120">
        <v>2</v>
      </c>
      <c r="O17" s="122">
        <f t="shared" si="7"/>
        <v>42.759999999999934</v>
      </c>
      <c r="P17" s="123">
        <f t="shared" si="8"/>
        <v>8.1110816040062095E-2</v>
      </c>
      <c r="Q17" s="124" t="str">
        <f t="shared" si="9"/>
        <v>0-10%</v>
      </c>
      <c r="R17" s="125">
        <f t="shared" si="10"/>
        <v>484.42</v>
      </c>
      <c r="S17" s="121">
        <v>242.21</v>
      </c>
      <c r="T17" s="127" t="s">
        <v>94</v>
      </c>
      <c r="U17" s="127" t="s">
        <v>92</v>
      </c>
      <c r="V17" s="125">
        <f t="shared" si="4"/>
        <v>566.71849999999995</v>
      </c>
      <c r="W17" s="121">
        <v>283.35924999999997</v>
      </c>
      <c r="X17" s="125">
        <f t="shared" si="11"/>
        <v>82.298499999999933</v>
      </c>
      <c r="Y17" s="123">
        <f t="shared" si="12"/>
        <v>0.1452193637581973</v>
      </c>
      <c r="Z17" s="124" t="str">
        <f t="shared" si="13"/>
        <v>10-20%</v>
      </c>
      <c r="AA17" s="126" t="s">
        <v>350</v>
      </c>
      <c r="AB17" s="121">
        <v>337.5</v>
      </c>
      <c r="AC17" s="125">
        <f t="shared" si="14"/>
        <v>675</v>
      </c>
      <c r="AD17" s="125">
        <f t="shared" si="15"/>
        <v>190.57999999999998</v>
      </c>
      <c r="AE17" s="123">
        <f t="shared" si="16"/>
        <v>0.28234074074074073</v>
      </c>
      <c r="AF17" s="124" t="str">
        <f t="shared" si="17"/>
        <v>20-30%</v>
      </c>
      <c r="AG17" s="127"/>
    </row>
    <row r="18" spans="1:33" s="128" customFormat="1" x14ac:dyDescent="0.2">
      <c r="A18" s="120" t="s">
        <v>136</v>
      </c>
      <c r="B18" s="120" t="s">
        <v>175</v>
      </c>
      <c r="C18" s="120" t="s">
        <v>176</v>
      </c>
      <c r="D18" s="120" t="s">
        <v>118</v>
      </c>
      <c r="E18" s="120">
        <v>1</v>
      </c>
      <c r="F18" s="120" t="s">
        <v>111</v>
      </c>
      <c r="G18" s="120">
        <v>6</v>
      </c>
      <c r="H18" s="131" t="s">
        <v>119</v>
      </c>
      <c r="I18" s="131" t="s">
        <v>177</v>
      </c>
      <c r="J18" s="131" t="s">
        <v>178</v>
      </c>
      <c r="K18" s="131" t="s">
        <v>179</v>
      </c>
      <c r="L18" s="121">
        <v>480</v>
      </c>
      <c r="M18" s="120">
        <v>1</v>
      </c>
      <c r="N18" s="120">
        <v>1</v>
      </c>
      <c r="O18" s="122">
        <f t="shared" si="7"/>
        <v>62.399999999999977</v>
      </c>
      <c r="P18" s="123">
        <f t="shared" si="8"/>
        <v>0.12999999999999995</v>
      </c>
      <c r="Q18" s="124" t="str">
        <f t="shared" si="9"/>
        <v>10-20%</v>
      </c>
      <c r="R18" s="125">
        <f t="shared" si="10"/>
        <v>417.6</v>
      </c>
      <c r="S18" s="121">
        <v>417.6</v>
      </c>
      <c r="T18" s="127" t="s">
        <v>94</v>
      </c>
      <c r="U18" s="127" t="s">
        <v>92</v>
      </c>
      <c r="V18" s="125">
        <f t="shared" si="4"/>
        <v>516</v>
      </c>
      <c r="W18" s="121">
        <v>516</v>
      </c>
      <c r="X18" s="125">
        <f t="shared" si="11"/>
        <v>98.399999999999977</v>
      </c>
      <c r="Y18" s="123">
        <f t="shared" si="12"/>
        <v>0.19069767441860461</v>
      </c>
      <c r="Z18" s="124" t="str">
        <f t="shared" si="13"/>
        <v>10-20%</v>
      </c>
      <c r="AA18" s="126" t="s">
        <v>350</v>
      </c>
      <c r="AB18" s="121">
        <v>480</v>
      </c>
      <c r="AC18" s="125">
        <f t="shared" si="14"/>
        <v>480</v>
      </c>
      <c r="AD18" s="125">
        <f t="shared" si="15"/>
        <v>62.399999999999977</v>
      </c>
      <c r="AE18" s="123">
        <f t="shared" si="16"/>
        <v>0.12999999999999995</v>
      </c>
      <c r="AF18" s="124" t="str">
        <f t="shared" si="17"/>
        <v>10-20%</v>
      </c>
      <c r="AG18" s="127"/>
    </row>
    <row r="19" spans="1:33" s="128" customFormat="1" x14ac:dyDescent="0.2">
      <c r="A19" s="120" t="s">
        <v>115</v>
      </c>
      <c r="B19" s="120" t="s">
        <v>180</v>
      </c>
      <c r="C19" s="120" t="s">
        <v>181</v>
      </c>
      <c r="D19" s="120" t="s">
        <v>118</v>
      </c>
      <c r="E19" s="120">
        <v>1</v>
      </c>
      <c r="F19" s="120" t="s">
        <v>111</v>
      </c>
      <c r="G19" s="120">
        <v>6</v>
      </c>
      <c r="H19" s="131" t="s">
        <v>119</v>
      </c>
      <c r="I19" s="131" t="s">
        <v>120</v>
      </c>
      <c r="J19" s="131" t="s">
        <v>182</v>
      </c>
      <c r="K19" s="131" t="s">
        <v>183</v>
      </c>
      <c r="L19" s="121">
        <v>428.78</v>
      </c>
      <c r="M19" s="120">
        <v>1</v>
      </c>
      <c r="N19" s="120">
        <v>6</v>
      </c>
      <c r="O19" s="122">
        <f t="shared" si="7"/>
        <v>21.439000000000021</v>
      </c>
      <c r="P19" s="123">
        <f t="shared" si="8"/>
        <v>5.0000000000000051E-2</v>
      </c>
      <c r="Q19" s="124" t="str">
        <f t="shared" si="9"/>
        <v>0-10%</v>
      </c>
      <c r="R19" s="125">
        <f t="shared" si="10"/>
        <v>407.34099999999995</v>
      </c>
      <c r="S19" s="121">
        <v>67.890166666666659</v>
      </c>
      <c r="T19" s="127" t="s">
        <v>94</v>
      </c>
      <c r="U19" s="127" t="s">
        <v>91</v>
      </c>
      <c r="V19" s="125">
        <f t="shared" si="4"/>
        <v>460.93849999999986</v>
      </c>
      <c r="W19" s="121">
        <v>76.823083333333315</v>
      </c>
      <c r="X19" s="125">
        <f t="shared" si="11"/>
        <v>53.597499999999911</v>
      </c>
      <c r="Y19" s="123">
        <f t="shared" si="12"/>
        <v>0.11627906976744171</v>
      </c>
      <c r="Z19" s="124" t="str">
        <f t="shared" si="13"/>
        <v>10-20%</v>
      </c>
      <c r="AA19" s="126" t="s">
        <v>350</v>
      </c>
      <c r="AB19" s="121">
        <v>179.8</v>
      </c>
      <c r="AC19" s="125">
        <f t="shared" si="14"/>
        <v>1078.8000000000002</v>
      </c>
      <c r="AD19" s="125">
        <f t="shared" si="15"/>
        <v>671.45900000000029</v>
      </c>
      <c r="AE19" s="123">
        <f t="shared" si="16"/>
        <v>0.62241286614757152</v>
      </c>
      <c r="AF19" s="124" t="str">
        <f t="shared" si="17"/>
        <v>30+%</v>
      </c>
      <c r="AG19" s="127"/>
    </row>
    <row r="20" spans="1:33" s="128" customFormat="1" x14ac:dyDescent="0.2">
      <c r="A20" s="120" t="s">
        <v>115</v>
      </c>
      <c r="B20" s="120" t="s">
        <v>175</v>
      </c>
      <c r="C20" s="120" t="s">
        <v>176</v>
      </c>
      <c r="D20" s="120" t="s">
        <v>118</v>
      </c>
      <c r="E20" s="120">
        <v>1</v>
      </c>
      <c r="F20" s="120" t="s">
        <v>111</v>
      </c>
      <c r="G20" s="120">
        <v>6</v>
      </c>
      <c r="H20" s="131" t="s">
        <v>119</v>
      </c>
      <c r="I20" s="131" t="s">
        <v>177</v>
      </c>
      <c r="J20" s="131" t="s">
        <v>178</v>
      </c>
      <c r="K20" s="131" t="s">
        <v>179</v>
      </c>
      <c r="L20" s="121">
        <v>419</v>
      </c>
      <c r="M20" s="120">
        <v>1</v>
      </c>
      <c r="N20" s="120">
        <v>1</v>
      </c>
      <c r="O20" s="122">
        <f t="shared" si="7"/>
        <v>1.3999999999999773</v>
      </c>
      <c r="P20" s="123">
        <f t="shared" si="8"/>
        <v>3.3412887828161747E-3</v>
      </c>
      <c r="Q20" s="124" t="str">
        <f t="shared" si="9"/>
        <v>0-10%</v>
      </c>
      <c r="R20" s="125">
        <f t="shared" si="10"/>
        <v>417.6</v>
      </c>
      <c r="S20" s="121">
        <v>417.6</v>
      </c>
      <c r="T20" s="127" t="s">
        <v>94</v>
      </c>
      <c r="U20" s="127" t="s">
        <v>92</v>
      </c>
      <c r="V20" s="125">
        <f t="shared" si="4"/>
        <v>450.42499999999995</v>
      </c>
      <c r="W20" s="121">
        <v>450.42499999999995</v>
      </c>
      <c r="X20" s="125">
        <f t="shared" si="11"/>
        <v>32.824999999999932</v>
      </c>
      <c r="Y20" s="123">
        <f t="shared" si="12"/>
        <v>7.287561747238705E-2</v>
      </c>
      <c r="Z20" s="124" t="str">
        <f t="shared" si="13"/>
        <v>0-10%</v>
      </c>
      <c r="AA20" s="126" t="s">
        <v>350</v>
      </c>
      <c r="AB20" s="121">
        <v>480</v>
      </c>
      <c r="AC20" s="125">
        <f t="shared" si="14"/>
        <v>480</v>
      </c>
      <c r="AD20" s="125">
        <f t="shared" si="15"/>
        <v>62.399999999999977</v>
      </c>
      <c r="AE20" s="123">
        <f t="shared" si="16"/>
        <v>0.12999999999999995</v>
      </c>
      <c r="AF20" s="124" t="str">
        <f t="shared" si="17"/>
        <v>10-20%</v>
      </c>
      <c r="AG20" s="127"/>
    </row>
    <row r="21" spans="1:33" s="128" customFormat="1" x14ac:dyDescent="0.2">
      <c r="A21" s="120" t="s">
        <v>136</v>
      </c>
      <c r="B21" s="120" t="s">
        <v>184</v>
      </c>
      <c r="C21" s="120" t="s">
        <v>185</v>
      </c>
      <c r="D21" s="120" t="s">
        <v>118</v>
      </c>
      <c r="E21" s="120">
        <v>1</v>
      </c>
      <c r="F21" s="120" t="s">
        <v>118</v>
      </c>
      <c r="G21" s="120">
        <v>1</v>
      </c>
      <c r="H21" s="131" t="s">
        <v>186</v>
      </c>
      <c r="I21" s="131" t="s">
        <v>177</v>
      </c>
      <c r="J21" s="131" t="s">
        <v>187</v>
      </c>
      <c r="K21" s="131" t="s">
        <v>188</v>
      </c>
      <c r="L21" s="121">
        <v>360.84</v>
      </c>
      <c r="M21" s="120">
        <v>1</v>
      </c>
      <c r="N21" s="120">
        <v>1</v>
      </c>
      <c r="O21" s="122">
        <f t="shared" si="7"/>
        <v>-13.640000000000043</v>
      </c>
      <c r="P21" s="123">
        <f t="shared" si="8"/>
        <v>-3.780068728522349E-2</v>
      </c>
      <c r="Q21" s="124" t="str">
        <f t="shared" si="9"/>
        <v>Negative</v>
      </c>
      <c r="R21" s="125">
        <f t="shared" si="10"/>
        <v>374.48</v>
      </c>
      <c r="S21" s="121">
        <v>374.48</v>
      </c>
      <c r="T21" s="127" t="s">
        <v>94</v>
      </c>
      <c r="U21" s="127" t="s">
        <v>92</v>
      </c>
      <c r="V21" s="125">
        <f t="shared" si="4"/>
        <v>387.90299999999996</v>
      </c>
      <c r="W21" s="121">
        <v>387.90299999999996</v>
      </c>
      <c r="X21" s="125">
        <f t="shared" si="11"/>
        <v>13.422999999999945</v>
      </c>
      <c r="Y21" s="123">
        <f t="shared" si="12"/>
        <v>3.4604011827699052E-2</v>
      </c>
      <c r="Z21" s="124" t="str">
        <f t="shared" si="13"/>
        <v>0-10%</v>
      </c>
      <c r="AA21" s="126" t="s">
        <v>350</v>
      </c>
      <c r="AB21" s="121">
        <v>302</v>
      </c>
      <c r="AC21" s="125">
        <f t="shared" si="14"/>
        <v>302</v>
      </c>
      <c r="AD21" s="125">
        <f t="shared" si="15"/>
        <v>-72.480000000000018</v>
      </c>
      <c r="AE21" s="123">
        <f t="shared" si="16"/>
        <v>-0.24000000000000005</v>
      </c>
      <c r="AF21" s="124" t="str">
        <f t="shared" si="17"/>
        <v>Negative</v>
      </c>
      <c r="AG21" s="127"/>
    </row>
    <row r="22" spans="1:33" s="128" customFormat="1" x14ac:dyDescent="0.2">
      <c r="A22" s="120" t="s">
        <v>136</v>
      </c>
      <c r="B22" s="120" t="s">
        <v>189</v>
      </c>
      <c r="C22" s="120" t="s">
        <v>190</v>
      </c>
      <c r="D22" s="120" t="s">
        <v>118</v>
      </c>
      <c r="E22" s="120">
        <v>1</v>
      </c>
      <c r="F22" s="120" t="s">
        <v>118</v>
      </c>
      <c r="G22" s="120">
        <v>1</v>
      </c>
      <c r="H22" s="131" t="s">
        <v>186</v>
      </c>
      <c r="I22" s="131" t="s">
        <v>177</v>
      </c>
      <c r="J22" s="131" t="s">
        <v>187</v>
      </c>
      <c r="K22" s="131" t="s">
        <v>188</v>
      </c>
      <c r="L22" s="121">
        <v>342.24</v>
      </c>
      <c r="M22" s="120">
        <v>1</v>
      </c>
      <c r="N22" s="120">
        <v>1</v>
      </c>
      <c r="O22" s="122">
        <f t="shared" si="7"/>
        <v>-12.399999999999977</v>
      </c>
      <c r="P22" s="123">
        <f t="shared" si="8"/>
        <v>-3.6231884057970946E-2</v>
      </c>
      <c r="Q22" s="124" t="str">
        <f t="shared" si="9"/>
        <v>Negative</v>
      </c>
      <c r="R22" s="125">
        <f t="shared" si="10"/>
        <v>354.64</v>
      </c>
      <c r="S22" s="121">
        <v>354.64</v>
      </c>
      <c r="T22" s="127" t="s">
        <v>94</v>
      </c>
      <c r="U22" s="127" t="s">
        <v>92</v>
      </c>
      <c r="V22" s="125">
        <f t="shared" si="4"/>
        <v>367.90800000000002</v>
      </c>
      <c r="W22" s="121">
        <v>367.90800000000002</v>
      </c>
      <c r="X22" s="125">
        <f t="shared" si="11"/>
        <v>13.268000000000029</v>
      </c>
      <c r="Y22" s="123">
        <f t="shared" si="12"/>
        <v>3.6063363667003787E-2</v>
      </c>
      <c r="Z22" s="124" t="str">
        <f t="shared" si="13"/>
        <v>0-10%</v>
      </c>
      <c r="AA22" s="126" t="s">
        <v>350</v>
      </c>
      <c r="AB22" s="121">
        <v>286</v>
      </c>
      <c r="AC22" s="125">
        <f t="shared" si="14"/>
        <v>286</v>
      </c>
      <c r="AD22" s="125">
        <f t="shared" si="15"/>
        <v>-68.639999999999986</v>
      </c>
      <c r="AE22" s="123">
        <f t="shared" si="16"/>
        <v>-0.23999999999999996</v>
      </c>
      <c r="AF22" s="124" t="str">
        <f t="shared" si="17"/>
        <v>Negative</v>
      </c>
      <c r="AG22" s="127"/>
    </row>
    <row r="23" spans="1:33" s="128" customFormat="1" x14ac:dyDescent="0.2">
      <c r="A23" s="120" t="s">
        <v>136</v>
      </c>
      <c r="B23" s="120" t="s">
        <v>191</v>
      </c>
      <c r="C23" s="120" t="s">
        <v>192</v>
      </c>
      <c r="D23" s="120" t="s">
        <v>110</v>
      </c>
      <c r="E23" s="120">
        <v>250</v>
      </c>
      <c r="F23" s="120" t="s">
        <v>111</v>
      </c>
      <c r="G23" s="120">
        <v>2</v>
      </c>
      <c r="H23" s="131" t="s">
        <v>193</v>
      </c>
      <c r="I23" s="131" t="s">
        <v>194</v>
      </c>
      <c r="J23" s="131" t="s">
        <v>195</v>
      </c>
      <c r="K23" s="131" t="s">
        <v>196</v>
      </c>
      <c r="L23" s="121">
        <v>288</v>
      </c>
      <c r="M23" s="120">
        <v>1</v>
      </c>
      <c r="N23" s="120">
        <v>1</v>
      </c>
      <c r="O23" s="122">
        <f t="shared" si="7"/>
        <v>31.680000000000007</v>
      </c>
      <c r="P23" s="123">
        <f t="shared" si="8"/>
        <v>0.11000000000000003</v>
      </c>
      <c r="Q23" s="124" t="str">
        <f t="shared" si="9"/>
        <v>10-20%</v>
      </c>
      <c r="R23" s="125">
        <f t="shared" si="10"/>
        <v>256.32</v>
      </c>
      <c r="S23" s="121">
        <v>256.32</v>
      </c>
      <c r="T23" s="127" t="s">
        <v>94</v>
      </c>
      <c r="U23" s="127" t="s">
        <v>92</v>
      </c>
      <c r="V23" s="125">
        <f t="shared" si="4"/>
        <v>309.59999999999997</v>
      </c>
      <c r="W23" s="121">
        <v>309.59999999999997</v>
      </c>
      <c r="X23" s="125">
        <f t="shared" si="11"/>
        <v>53.279999999999973</v>
      </c>
      <c r="Y23" s="123">
        <f t="shared" si="12"/>
        <v>0.17209302325581388</v>
      </c>
      <c r="Z23" s="124" t="str">
        <f t="shared" si="13"/>
        <v>10-20%</v>
      </c>
      <c r="AA23" s="126" t="s">
        <v>350</v>
      </c>
      <c r="AB23" s="121">
        <v>288</v>
      </c>
      <c r="AC23" s="125">
        <f t="shared" si="14"/>
        <v>288</v>
      </c>
      <c r="AD23" s="125">
        <f t="shared" si="15"/>
        <v>31.680000000000007</v>
      </c>
      <c r="AE23" s="123">
        <f t="shared" si="16"/>
        <v>0.11000000000000003</v>
      </c>
      <c r="AF23" s="124" t="str">
        <f t="shared" si="17"/>
        <v>10-20%</v>
      </c>
      <c r="AG23" s="127"/>
    </row>
    <row r="24" spans="1:33" s="128" customFormat="1" x14ac:dyDescent="0.2">
      <c r="A24" s="120" t="s">
        <v>115</v>
      </c>
      <c r="B24" s="120" t="s">
        <v>197</v>
      </c>
      <c r="C24" s="120" t="s">
        <v>198</v>
      </c>
      <c r="D24" s="120" t="s">
        <v>118</v>
      </c>
      <c r="E24" s="120">
        <v>1</v>
      </c>
      <c r="F24" s="120" t="s">
        <v>111</v>
      </c>
      <c r="G24" s="120">
        <v>4</v>
      </c>
      <c r="H24" s="131" t="s">
        <v>119</v>
      </c>
      <c r="I24" s="131" t="s">
        <v>120</v>
      </c>
      <c r="J24" s="131" t="s">
        <v>121</v>
      </c>
      <c r="K24" s="131" t="s">
        <v>125</v>
      </c>
      <c r="L24" s="121">
        <v>271.04000000000002</v>
      </c>
      <c r="M24" s="120">
        <v>1</v>
      </c>
      <c r="N24" s="120">
        <v>2</v>
      </c>
      <c r="O24" s="122">
        <f t="shared" si="7"/>
        <v>41.240000000000009</v>
      </c>
      <c r="P24" s="123">
        <f t="shared" si="8"/>
        <v>0.1521546635182999</v>
      </c>
      <c r="Q24" s="124" t="str">
        <f t="shared" si="9"/>
        <v>10-20%</v>
      </c>
      <c r="R24" s="125">
        <f t="shared" si="10"/>
        <v>229.8</v>
      </c>
      <c r="S24" s="121">
        <v>114.9</v>
      </c>
      <c r="T24" s="127" t="s">
        <v>93</v>
      </c>
      <c r="U24" s="127" t="s">
        <v>90</v>
      </c>
      <c r="V24" s="125">
        <f t="shared" si="4"/>
        <v>291.36799999999999</v>
      </c>
      <c r="W24" s="121">
        <v>145.684</v>
      </c>
      <c r="X24" s="125">
        <f t="shared" si="11"/>
        <v>61.567999999999984</v>
      </c>
      <c r="Y24" s="123">
        <f t="shared" si="12"/>
        <v>0.21130666373795332</v>
      </c>
      <c r="Z24" s="124" t="str">
        <f t="shared" si="13"/>
        <v>20-30%</v>
      </c>
      <c r="AA24" s="126" t="s">
        <v>350</v>
      </c>
      <c r="AB24" s="121">
        <v>199.3</v>
      </c>
      <c r="AC24" s="125">
        <f t="shared" si="14"/>
        <v>398.6</v>
      </c>
      <c r="AD24" s="125">
        <f t="shared" si="15"/>
        <v>168.8</v>
      </c>
      <c r="AE24" s="123">
        <f t="shared" si="16"/>
        <v>0.42348218765679879</v>
      </c>
      <c r="AF24" s="124" t="str">
        <f t="shared" si="17"/>
        <v>30+%</v>
      </c>
      <c r="AG24" s="127"/>
    </row>
    <row r="25" spans="1:33" s="128" customFormat="1" x14ac:dyDescent="0.2">
      <c r="A25" s="120" t="s">
        <v>136</v>
      </c>
      <c r="B25" s="120" t="s">
        <v>199</v>
      </c>
      <c r="C25" s="120" t="s">
        <v>200</v>
      </c>
      <c r="D25" s="120" t="s">
        <v>111</v>
      </c>
      <c r="E25" s="120">
        <v>6</v>
      </c>
      <c r="F25" s="120" t="s">
        <v>111</v>
      </c>
      <c r="G25" s="120">
        <v>1</v>
      </c>
      <c r="H25" s="131" t="s">
        <v>201</v>
      </c>
      <c r="I25" s="131" t="s">
        <v>194</v>
      </c>
      <c r="J25" s="131" t="s">
        <v>195</v>
      </c>
      <c r="K25" s="131" t="s">
        <v>196</v>
      </c>
      <c r="L25" s="121">
        <v>270</v>
      </c>
      <c r="M25" s="120">
        <v>2</v>
      </c>
      <c r="N25" s="120">
        <v>2</v>
      </c>
      <c r="O25" s="122">
        <f t="shared" si="7"/>
        <v>0</v>
      </c>
      <c r="P25" s="123">
        <f t="shared" si="8"/>
        <v>0</v>
      </c>
      <c r="Q25" s="124" t="str">
        <f t="shared" si="9"/>
        <v>Same</v>
      </c>
      <c r="R25" s="125">
        <f t="shared" si="10"/>
        <v>270</v>
      </c>
      <c r="S25" s="121">
        <v>135</v>
      </c>
      <c r="T25" s="127" t="s">
        <v>94</v>
      </c>
      <c r="U25" s="127" t="s">
        <v>91</v>
      </c>
      <c r="V25" s="125">
        <f t="shared" si="4"/>
        <v>290.25</v>
      </c>
      <c r="W25" s="121">
        <v>145.125</v>
      </c>
      <c r="X25" s="125">
        <f t="shared" si="11"/>
        <v>20.25</v>
      </c>
      <c r="Y25" s="123">
        <f t="shared" si="12"/>
        <v>6.9767441860465115E-2</v>
      </c>
      <c r="Z25" s="124" t="str">
        <f t="shared" si="13"/>
        <v>0-10%</v>
      </c>
      <c r="AA25" s="126" t="s">
        <v>350</v>
      </c>
      <c r="AB25" s="121">
        <v>236</v>
      </c>
      <c r="AC25" s="125">
        <f t="shared" si="14"/>
        <v>472</v>
      </c>
      <c r="AD25" s="125">
        <f t="shared" si="15"/>
        <v>202</v>
      </c>
      <c r="AE25" s="123">
        <f t="shared" si="16"/>
        <v>0.42796610169491528</v>
      </c>
      <c r="AF25" s="124" t="str">
        <f t="shared" si="17"/>
        <v>30+%</v>
      </c>
      <c r="AG25" s="127"/>
    </row>
    <row r="26" spans="1:33" s="128" customFormat="1" x14ac:dyDescent="0.2">
      <c r="A26" s="120" t="s">
        <v>115</v>
      </c>
      <c r="B26" s="120" t="s">
        <v>202</v>
      </c>
      <c r="C26" s="120" t="s">
        <v>203</v>
      </c>
      <c r="D26" s="120" t="s">
        <v>111</v>
      </c>
      <c r="E26" s="120">
        <v>72</v>
      </c>
      <c r="F26" s="120" t="s">
        <v>111</v>
      </c>
      <c r="G26" s="120">
        <v>1</v>
      </c>
      <c r="H26" s="131" t="s">
        <v>204</v>
      </c>
      <c r="I26" s="131" t="s">
        <v>140</v>
      </c>
      <c r="J26" s="131" t="s">
        <v>150</v>
      </c>
      <c r="K26" s="131" t="s">
        <v>151</v>
      </c>
      <c r="L26" s="121">
        <v>269.8</v>
      </c>
      <c r="M26" s="120">
        <v>1</v>
      </c>
      <c r="N26" s="120">
        <v>2</v>
      </c>
      <c r="O26" s="122">
        <f t="shared" si="7"/>
        <v>-1.6399999999999864</v>
      </c>
      <c r="P26" s="123">
        <f t="shared" si="8"/>
        <v>-6.0785767234988368E-3</v>
      </c>
      <c r="Q26" s="124" t="str">
        <f t="shared" si="9"/>
        <v>Negative</v>
      </c>
      <c r="R26" s="125">
        <f t="shared" si="10"/>
        <v>271.44</v>
      </c>
      <c r="S26" s="121">
        <v>135.72</v>
      </c>
      <c r="T26" s="127" t="s">
        <v>94</v>
      </c>
      <c r="U26" s="127" t="s">
        <v>92</v>
      </c>
      <c r="V26" s="125">
        <f t="shared" si="4"/>
        <v>290.03500000000003</v>
      </c>
      <c r="W26" s="121">
        <v>145.01750000000001</v>
      </c>
      <c r="X26" s="125">
        <f t="shared" si="11"/>
        <v>18.595000000000027</v>
      </c>
      <c r="Y26" s="123">
        <f t="shared" si="12"/>
        <v>6.4112951885117397E-2</v>
      </c>
      <c r="Z26" s="124" t="str">
        <f t="shared" si="13"/>
        <v>0-10%</v>
      </c>
      <c r="AA26" s="126" t="s">
        <v>350</v>
      </c>
      <c r="AB26" s="121">
        <v>156</v>
      </c>
      <c r="AC26" s="125">
        <f t="shared" si="14"/>
        <v>312</v>
      </c>
      <c r="AD26" s="125">
        <f t="shared" si="15"/>
        <v>40.56</v>
      </c>
      <c r="AE26" s="123">
        <f t="shared" si="16"/>
        <v>0.13</v>
      </c>
      <c r="AF26" s="124" t="str">
        <f t="shared" si="17"/>
        <v>10-20%</v>
      </c>
      <c r="AG26" s="127"/>
    </row>
    <row r="27" spans="1:33" s="128" customFormat="1" x14ac:dyDescent="0.2">
      <c r="A27" s="120" t="s">
        <v>115</v>
      </c>
      <c r="B27" s="120" t="s">
        <v>205</v>
      </c>
      <c r="C27" s="120" t="s">
        <v>206</v>
      </c>
      <c r="D27" s="120" t="s">
        <v>110</v>
      </c>
      <c r="E27" s="120">
        <v>2</v>
      </c>
      <c r="F27" s="120" t="s">
        <v>110</v>
      </c>
      <c r="G27" s="120">
        <v>1</v>
      </c>
      <c r="H27" s="131" t="s">
        <v>207</v>
      </c>
      <c r="I27" s="131" t="s">
        <v>140</v>
      </c>
      <c r="J27" s="131" t="s">
        <v>169</v>
      </c>
      <c r="K27" s="131" t="s">
        <v>208</v>
      </c>
      <c r="L27" s="121">
        <v>264.89</v>
      </c>
      <c r="M27" s="120">
        <v>1</v>
      </c>
      <c r="N27" s="120">
        <v>1</v>
      </c>
      <c r="O27" s="122">
        <f t="shared" si="7"/>
        <v>-39.550000000000011</v>
      </c>
      <c r="P27" s="123">
        <f t="shared" si="8"/>
        <v>-0.14930725961719965</v>
      </c>
      <c r="Q27" s="124" t="str">
        <f t="shared" si="9"/>
        <v>Negative</v>
      </c>
      <c r="R27" s="125">
        <f t="shared" si="10"/>
        <v>304.44</v>
      </c>
      <c r="S27" s="121">
        <v>304.44</v>
      </c>
      <c r="T27" s="127" t="s">
        <v>94</v>
      </c>
      <c r="U27" s="127" t="s">
        <v>92</v>
      </c>
      <c r="V27" s="125">
        <f t="shared" si="4"/>
        <v>284.75674999999995</v>
      </c>
      <c r="W27" s="121">
        <v>284.75674999999995</v>
      </c>
      <c r="X27" s="125">
        <f t="shared" si="11"/>
        <v>-19.683250000000044</v>
      </c>
      <c r="Y27" s="123">
        <f t="shared" si="12"/>
        <v>-6.9123032202046297E-2</v>
      </c>
      <c r="Z27" s="124" t="str">
        <f t="shared" si="13"/>
        <v>Negative</v>
      </c>
      <c r="AA27" s="126" t="s">
        <v>350</v>
      </c>
      <c r="AB27" s="121">
        <v>258</v>
      </c>
      <c r="AC27" s="125">
        <f t="shared" si="14"/>
        <v>258</v>
      </c>
      <c r="AD27" s="125">
        <f t="shared" si="15"/>
        <v>-46.44</v>
      </c>
      <c r="AE27" s="123">
        <f t="shared" si="16"/>
        <v>-0.18</v>
      </c>
      <c r="AF27" s="124" t="str">
        <f t="shared" si="17"/>
        <v>Negative</v>
      </c>
      <c r="AG27" s="127"/>
    </row>
    <row r="28" spans="1:33" s="128" customFormat="1" x14ac:dyDescent="0.2">
      <c r="A28" s="120" t="s">
        <v>115</v>
      </c>
      <c r="B28" s="120" t="s">
        <v>209</v>
      </c>
      <c r="C28" s="120" t="s">
        <v>210</v>
      </c>
      <c r="D28" s="120" t="s">
        <v>110</v>
      </c>
      <c r="E28" s="120">
        <v>250</v>
      </c>
      <c r="F28" s="120" t="s">
        <v>111</v>
      </c>
      <c r="G28" s="120">
        <v>10</v>
      </c>
      <c r="H28" s="131" t="s">
        <v>211</v>
      </c>
      <c r="I28" s="131" t="s">
        <v>140</v>
      </c>
      <c r="J28" s="131" t="s">
        <v>212</v>
      </c>
      <c r="K28" s="131" t="s">
        <v>213</v>
      </c>
      <c r="L28" s="121">
        <v>264.2</v>
      </c>
      <c r="M28" s="120">
        <v>1</v>
      </c>
      <c r="N28" s="120">
        <v>4</v>
      </c>
      <c r="O28" s="122">
        <f t="shared" si="7"/>
        <v>213.67999999999998</v>
      </c>
      <c r="P28" s="123">
        <f t="shared" si="8"/>
        <v>0.80878122634367899</v>
      </c>
      <c r="Q28" s="124" t="str">
        <f t="shared" si="9"/>
        <v>30+%</v>
      </c>
      <c r="R28" s="125">
        <f t="shared" si="10"/>
        <v>50.52</v>
      </c>
      <c r="S28" s="121">
        <v>12.63</v>
      </c>
      <c r="T28" s="127" t="s">
        <v>93</v>
      </c>
      <c r="U28" s="127" t="s">
        <v>90</v>
      </c>
      <c r="V28" s="125">
        <f t="shared" si="4"/>
        <v>284.01499999999999</v>
      </c>
      <c r="W28" s="121">
        <v>71.003749999999997</v>
      </c>
      <c r="X28" s="125">
        <f t="shared" si="11"/>
        <v>233.49499999999998</v>
      </c>
      <c r="Y28" s="123">
        <f t="shared" si="12"/>
        <v>0.82212207101737578</v>
      </c>
      <c r="Z28" s="124" t="str">
        <f t="shared" si="13"/>
        <v>30+%</v>
      </c>
      <c r="AA28" s="126" t="s">
        <v>350</v>
      </c>
      <c r="AB28" s="121">
        <v>67.400000000000006</v>
      </c>
      <c r="AC28" s="125">
        <f t="shared" si="14"/>
        <v>269.60000000000002</v>
      </c>
      <c r="AD28" s="125">
        <f t="shared" si="15"/>
        <v>219.08</v>
      </c>
      <c r="AE28" s="123">
        <f t="shared" si="16"/>
        <v>0.81261127596439164</v>
      </c>
      <c r="AF28" s="124" t="str">
        <f t="shared" si="17"/>
        <v>30+%</v>
      </c>
      <c r="AG28" s="127"/>
    </row>
    <row r="29" spans="1:33" x14ac:dyDescent="0.2">
      <c r="A29" s="120" t="s">
        <v>115</v>
      </c>
      <c r="B29" s="120" t="s">
        <v>214</v>
      </c>
      <c r="C29" s="120" t="s">
        <v>215</v>
      </c>
      <c r="D29" s="120" t="s">
        <v>110</v>
      </c>
      <c r="E29" s="120">
        <v>500</v>
      </c>
      <c r="F29" s="120" t="s">
        <v>111</v>
      </c>
      <c r="G29" s="120">
        <v>10</v>
      </c>
      <c r="H29" s="120" t="s">
        <v>216</v>
      </c>
      <c r="I29" s="120" t="s">
        <v>140</v>
      </c>
      <c r="J29" s="120" t="s">
        <v>212</v>
      </c>
      <c r="K29" s="120" t="s">
        <v>213</v>
      </c>
      <c r="L29" s="121">
        <v>262.60000000000002</v>
      </c>
      <c r="M29" s="120">
        <v>1</v>
      </c>
      <c r="N29" s="120">
        <v>4</v>
      </c>
      <c r="O29" s="122">
        <f t="shared" si="7"/>
        <v>187.64000000000004</v>
      </c>
      <c r="P29" s="123">
        <f t="shared" si="8"/>
        <v>0.71454683929931462</v>
      </c>
      <c r="Q29" s="124" t="str">
        <f t="shared" si="9"/>
        <v>30+%</v>
      </c>
      <c r="R29" s="125">
        <f t="shared" si="10"/>
        <v>74.959999999999994</v>
      </c>
      <c r="S29" s="121">
        <v>18.739999999999998</v>
      </c>
      <c r="T29" s="127" t="s">
        <v>93</v>
      </c>
      <c r="U29" s="127" t="s">
        <v>90</v>
      </c>
      <c r="V29" s="125">
        <f t="shared" si="4"/>
        <v>282.29500000000002</v>
      </c>
      <c r="W29" s="121">
        <v>70.573750000000004</v>
      </c>
      <c r="X29" s="125">
        <f t="shared" si="11"/>
        <v>207.33500000000004</v>
      </c>
      <c r="Y29" s="123">
        <f t="shared" si="12"/>
        <v>0.73446217609238573</v>
      </c>
      <c r="Z29" s="124" t="str">
        <f t="shared" si="13"/>
        <v>30+%</v>
      </c>
      <c r="AA29" s="126" t="s">
        <v>350</v>
      </c>
      <c r="AB29" s="121">
        <v>78.5</v>
      </c>
      <c r="AC29" s="125">
        <f t="shared" si="14"/>
        <v>314</v>
      </c>
      <c r="AD29" s="125">
        <f t="shared" si="15"/>
        <v>239.04000000000002</v>
      </c>
      <c r="AE29" s="123">
        <f t="shared" si="16"/>
        <v>0.76127388535031859</v>
      </c>
      <c r="AF29" s="124" t="str">
        <f t="shared" si="17"/>
        <v>30+%</v>
      </c>
      <c r="AG29" s="127"/>
    </row>
    <row r="30" spans="1:33" x14ac:dyDescent="0.2">
      <c r="A30" s="120" t="s">
        <v>136</v>
      </c>
      <c r="B30" s="120" t="s">
        <v>217</v>
      </c>
      <c r="C30" s="120" t="s">
        <v>218</v>
      </c>
      <c r="D30" s="120" t="s">
        <v>110</v>
      </c>
      <c r="E30" s="120">
        <v>1</v>
      </c>
      <c r="F30" s="120" t="s">
        <v>110</v>
      </c>
      <c r="G30" s="120">
        <v>1</v>
      </c>
      <c r="H30" s="120" t="s">
        <v>186</v>
      </c>
      <c r="I30" s="120" t="s">
        <v>177</v>
      </c>
      <c r="J30" s="120" t="s">
        <v>187</v>
      </c>
      <c r="K30" s="120" t="s">
        <v>188</v>
      </c>
      <c r="L30" s="121">
        <v>259.39999999999998</v>
      </c>
      <c r="M30" s="120">
        <v>1</v>
      </c>
      <c r="N30" s="120">
        <v>4</v>
      </c>
      <c r="O30" s="122">
        <f t="shared" si="7"/>
        <v>-13.480000000000018</v>
      </c>
      <c r="P30" s="123">
        <f t="shared" si="8"/>
        <v>-5.196607555898234E-2</v>
      </c>
      <c r="Q30" s="124" t="str">
        <f t="shared" si="9"/>
        <v>Negative</v>
      </c>
      <c r="R30" s="125">
        <f t="shared" si="10"/>
        <v>272.88</v>
      </c>
      <c r="S30" s="121">
        <v>68.22</v>
      </c>
      <c r="T30" s="127" t="s">
        <v>94</v>
      </c>
      <c r="U30" s="127" t="s">
        <v>92</v>
      </c>
      <c r="V30" s="125">
        <f t="shared" si="4"/>
        <v>278.85499999999996</v>
      </c>
      <c r="W30" s="121">
        <v>69.71374999999999</v>
      </c>
      <c r="X30" s="125">
        <f t="shared" si="11"/>
        <v>5.9749999999999659</v>
      </c>
      <c r="Y30" s="123">
        <f t="shared" si="12"/>
        <v>2.1426906456760562E-2</v>
      </c>
      <c r="Z30" s="124" t="str">
        <f t="shared" si="13"/>
        <v>0-10%</v>
      </c>
      <c r="AA30" s="126" t="s">
        <v>350</v>
      </c>
      <c r="AB30" s="121">
        <v>53.3</v>
      </c>
      <c r="AC30" s="125">
        <f t="shared" si="14"/>
        <v>213.2</v>
      </c>
      <c r="AD30" s="125">
        <f t="shared" si="15"/>
        <v>-59.680000000000007</v>
      </c>
      <c r="AE30" s="123">
        <f t="shared" si="16"/>
        <v>-0.27992495309568483</v>
      </c>
      <c r="AF30" s="124" t="str">
        <f t="shared" si="17"/>
        <v>Negative</v>
      </c>
      <c r="AG30" s="127"/>
    </row>
    <row r="31" spans="1:33" x14ac:dyDescent="0.2">
      <c r="A31" s="120" t="s">
        <v>115</v>
      </c>
      <c r="B31" s="120" t="s">
        <v>219</v>
      </c>
      <c r="C31" s="120" t="s">
        <v>220</v>
      </c>
      <c r="D31" s="120" t="s">
        <v>110</v>
      </c>
      <c r="E31" s="120">
        <v>12</v>
      </c>
      <c r="F31" s="120" t="s">
        <v>111</v>
      </c>
      <c r="G31" s="120">
        <v>4</v>
      </c>
      <c r="H31" s="120" t="s">
        <v>149</v>
      </c>
      <c r="I31" s="120" t="s">
        <v>140</v>
      </c>
      <c r="J31" s="120" t="s">
        <v>169</v>
      </c>
      <c r="K31" s="120" t="s">
        <v>221</v>
      </c>
      <c r="L31" s="121">
        <v>239.04</v>
      </c>
      <c r="M31" s="120">
        <v>1</v>
      </c>
      <c r="N31" s="120">
        <v>3</v>
      </c>
      <c r="O31" s="122">
        <f t="shared" si="7"/>
        <v>5.6999999999999886</v>
      </c>
      <c r="P31" s="123">
        <f t="shared" si="8"/>
        <v>2.3845381526104371E-2</v>
      </c>
      <c r="Q31" s="124" t="str">
        <f t="shared" si="9"/>
        <v>0-10%</v>
      </c>
      <c r="R31" s="125">
        <f t="shared" si="10"/>
        <v>233.34</v>
      </c>
      <c r="S31" s="121">
        <v>77.78</v>
      </c>
      <c r="T31" s="127" t="s">
        <v>94</v>
      </c>
      <c r="U31" s="127" t="s">
        <v>92</v>
      </c>
      <c r="V31" s="125">
        <f t="shared" si="4"/>
        <v>256.96799999999996</v>
      </c>
      <c r="W31" s="121">
        <v>85.655999999999992</v>
      </c>
      <c r="X31" s="125">
        <f t="shared" si="11"/>
        <v>23.627999999999957</v>
      </c>
      <c r="Y31" s="123">
        <f t="shared" si="12"/>
        <v>9.1949192117306289E-2</v>
      </c>
      <c r="Z31" s="124" t="str">
        <f t="shared" si="13"/>
        <v>0-10%</v>
      </c>
      <c r="AA31" s="126" t="s">
        <v>350</v>
      </c>
      <c r="AB31" s="121">
        <v>87.2</v>
      </c>
      <c r="AC31" s="125">
        <f t="shared" si="14"/>
        <v>261.60000000000002</v>
      </c>
      <c r="AD31" s="125">
        <f t="shared" si="15"/>
        <v>28.260000000000019</v>
      </c>
      <c r="AE31" s="123">
        <f t="shared" si="16"/>
        <v>0.10802752293577988</v>
      </c>
      <c r="AF31" s="124" t="str">
        <f t="shared" si="17"/>
        <v>10-20%</v>
      </c>
      <c r="AG31" s="127"/>
    </row>
    <row r="32" spans="1:33" x14ac:dyDescent="0.2">
      <c r="A32" s="120" t="s">
        <v>115</v>
      </c>
      <c r="B32" s="120" t="s">
        <v>222</v>
      </c>
      <c r="C32" s="120" t="s">
        <v>223</v>
      </c>
      <c r="D32" s="120" t="s">
        <v>118</v>
      </c>
      <c r="E32" s="120">
        <v>1</v>
      </c>
      <c r="F32" s="120" t="s">
        <v>118</v>
      </c>
      <c r="G32" s="120">
        <v>1</v>
      </c>
      <c r="H32" s="120" t="s">
        <v>224</v>
      </c>
      <c r="I32" s="120" t="s">
        <v>225</v>
      </c>
      <c r="J32" s="120" t="s">
        <v>226</v>
      </c>
      <c r="K32" s="120" t="s">
        <v>227</v>
      </c>
      <c r="L32" s="121">
        <v>217</v>
      </c>
      <c r="M32" s="120">
        <v>1</v>
      </c>
      <c r="N32" s="120">
        <v>1</v>
      </c>
      <c r="O32" s="122">
        <f t="shared" si="7"/>
        <v>-6.1999999999999886</v>
      </c>
      <c r="P32" s="123">
        <f t="shared" si="8"/>
        <v>-2.8571428571428518E-2</v>
      </c>
      <c r="Q32" s="124" t="str">
        <f t="shared" si="9"/>
        <v>Negative</v>
      </c>
      <c r="R32" s="125">
        <f t="shared" si="10"/>
        <v>223.2</v>
      </c>
      <c r="S32" s="121">
        <v>223.2</v>
      </c>
      <c r="T32" s="127" t="s">
        <v>94</v>
      </c>
      <c r="U32" s="127" t="s">
        <v>92</v>
      </c>
      <c r="V32" s="125">
        <f t="shared" si="4"/>
        <v>233.27499999999998</v>
      </c>
      <c r="W32" s="121">
        <v>233.27499999999998</v>
      </c>
      <c r="X32" s="125">
        <f t="shared" si="11"/>
        <v>10.074999999999989</v>
      </c>
      <c r="Y32" s="123">
        <f t="shared" si="12"/>
        <v>4.3189368770764076E-2</v>
      </c>
      <c r="Z32" s="124" t="str">
        <f t="shared" si="13"/>
        <v>0-10%</v>
      </c>
      <c r="AA32" s="126" t="s">
        <v>350</v>
      </c>
      <c r="AB32" s="121">
        <v>180</v>
      </c>
      <c r="AC32" s="125">
        <f t="shared" si="14"/>
        <v>180</v>
      </c>
      <c r="AD32" s="125">
        <f t="shared" si="15"/>
        <v>-43.199999999999989</v>
      </c>
      <c r="AE32" s="123">
        <f t="shared" si="16"/>
        <v>-0.23999999999999994</v>
      </c>
      <c r="AF32" s="124" t="str">
        <f t="shared" si="17"/>
        <v>Negative</v>
      </c>
      <c r="AG32" s="127"/>
    </row>
    <row r="33" spans="1:33" x14ac:dyDescent="0.2">
      <c r="A33" s="120" t="s">
        <v>115</v>
      </c>
      <c r="B33" s="120" t="s">
        <v>228</v>
      </c>
      <c r="C33" s="120" t="s">
        <v>229</v>
      </c>
      <c r="D33" s="120" t="s">
        <v>110</v>
      </c>
      <c r="E33" s="120">
        <v>12</v>
      </c>
      <c r="F33" s="120" t="s">
        <v>111</v>
      </c>
      <c r="G33" s="120">
        <v>4</v>
      </c>
      <c r="H33" s="120" t="s">
        <v>149</v>
      </c>
      <c r="I33" s="120" t="s">
        <v>140</v>
      </c>
      <c r="J33" s="120" t="s">
        <v>169</v>
      </c>
      <c r="K33" s="120" t="s">
        <v>221</v>
      </c>
      <c r="L33" s="121">
        <v>207.36</v>
      </c>
      <c r="M33" s="120">
        <v>1</v>
      </c>
      <c r="N33" s="120">
        <v>2</v>
      </c>
      <c r="O33" s="122">
        <f t="shared" si="7"/>
        <v>5.0600000000000023</v>
      </c>
      <c r="P33" s="123">
        <f t="shared" si="8"/>
        <v>2.4402006172839514E-2</v>
      </c>
      <c r="Q33" s="124" t="str">
        <f t="shared" si="9"/>
        <v>0-10%</v>
      </c>
      <c r="R33" s="125">
        <f t="shared" si="10"/>
        <v>202.3</v>
      </c>
      <c r="S33" s="121">
        <v>101.15</v>
      </c>
      <c r="T33" s="127" t="s">
        <v>94</v>
      </c>
      <c r="U33" s="127" t="s">
        <v>92</v>
      </c>
      <c r="V33" s="125">
        <f t="shared" si="4"/>
        <v>222.91200000000001</v>
      </c>
      <c r="W33" s="121">
        <v>111.456</v>
      </c>
      <c r="X33" s="125">
        <f t="shared" si="11"/>
        <v>20.611999999999995</v>
      </c>
      <c r="Y33" s="123">
        <f t="shared" si="12"/>
        <v>9.2466982486362301E-2</v>
      </c>
      <c r="Z33" s="124" t="str">
        <f t="shared" si="13"/>
        <v>0-10%</v>
      </c>
      <c r="AA33" s="126" t="s">
        <v>350</v>
      </c>
      <c r="AB33" s="121">
        <v>113.4</v>
      </c>
      <c r="AC33" s="125">
        <f t="shared" si="14"/>
        <v>226.8</v>
      </c>
      <c r="AD33" s="125">
        <f t="shared" si="15"/>
        <v>24.5</v>
      </c>
      <c r="AE33" s="123">
        <f t="shared" si="16"/>
        <v>0.10802469135802469</v>
      </c>
      <c r="AF33" s="124" t="str">
        <f t="shared" si="17"/>
        <v>10-20%</v>
      </c>
      <c r="AG33" s="127"/>
    </row>
    <row r="34" spans="1:33" x14ac:dyDescent="0.2">
      <c r="A34" s="120" t="s">
        <v>136</v>
      </c>
      <c r="B34" s="120" t="s">
        <v>230</v>
      </c>
      <c r="C34" s="120" t="s">
        <v>231</v>
      </c>
      <c r="D34" s="120" t="s">
        <v>111</v>
      </c>
      <c r="E34" s="120">
        <v>12</v>
      </c>
      <c r="F34" s="120" t="s">
        <v>111</v>
      </c>
      <c r="G34" s="120">
        <v>1</v>
      </c>
      <c r="H34" s="120" t="s">
        <v>201</v>
      </c>
      <c r="I34" s="120" t="s">
        <v>194</v>
      </c>
      <c r="J34" s="120" t="s">
        <v>195</v>
      </c>
      <c r="K34" s="120" t="s">
        <v>232</v>
      </c>
      <c r="L34" s="121">
        <v>195.61</v>
      </c>
      <c r="M34" s="120">
        <v>1</v>
      </c>
      <c r="N34" s="120">
        <v>1</v>
      </c>
      <c r="O34" s="122">
        <f t="shared" si="7"/>
        <v>0</v>
      </c>
      <c r="P34" s="123">
        <f t="shared" si="8"/>
        <v>0</v>
      </c>
      <c r="Q34" s="124" t="str">
        <f t="shared" si="9"/>
        <v>Same</v>
      </c>
      <c r="R34" s="125">
        <f t="shared" si="10"/>
        <v>195.61</v>
      </c>
      <c r="S34" s="121">
        <v>195.61</v>
      </c>
      <c r="T34" s="127" t="s">
        <v>94</v>
      </c>
      <c r="U34" s="127" t="s">
        <v>91</v>
      </c>
      <c r="V34" s="125">
        <f t="shared" si="4"/>
        <v>210.28075000000001</v>
      </c>
      <c r="W34" s="121">
        <v>210.28075000000001</v>
      </c>
      <c r="X34" s="125">
        <f t="shared" si="11"/>
        <v>14.670749999999998</v>
      </c>
      <c r="Y34" s="123">
        <f t="shared" si="12"/>
        <v>6.9767441860465101E-2</v>
      </c>
      <c r="Z34" s="124" t="str">
        <f t="shared" si="13"/>
        <v>0-10%</v>
      </c>
      <c r="AA34" s="126" t="s">
        <v>350</v>
      </c>
      <c r="AB34" s="121">
        <v>318</v>
      </c>
      <c r="AC34" s="125">
        <f t="shared" si="14"/>
        <v>318</v>
      </c>
      <c r="AD34" s="125">
        <f t="shared" si="15"/>
        <v>122.38999999999999</v>
      </c>
      <c r="AE34" s="123">
        <f t="shared" si="16"/>
        <v>0.38487421383647796</v>
      </c>
      <c r="AF34" s="124" t="str">
        <f t="shared" si="17"/>
        <v>30+%</v>
      </c>
      <c r="AG34" s="127"/>
    </row>
    <row r="35" spans="1:33" x14ac:dyDescent="0.2">
      <c r="A35" s="120" t="s">
        <v>136</v>
      </c>
      <c r="B35" s="120" t="s">
        <v>233</v>
      </c>
      <c r="C35" s="120" t="s">
        <v>234</v>
      </c>
      <c r="D35" s="120" t="s">
        <v>118</v>
      </c>
      <c r="E35" s="120">
        <v>1</v>
      </c>
      <c r="F35" s="120" t="s">
        <v>111</v>
      </c>
      <c r="G35" s="120">
        <v>6</v>
      </c>
      <c r="H35" s="120" t="s">
        <v>119</v>
      </c>
      <c r="I35" s="120" t="s">
        <v>177</v>
      </c>
      <c r="J35" s="120" t="s">
        <v>187</v>
      </c>
      <c r="K35" s="120" t="s">
        <v>188</v>
      </c>
      <c r="L35" s="121">
        <v>189</v>
      </c>
      <c r="M35" s="120">
        <v>1</v>
      </c>
      <c r="N35" s="120">
        <v>1</v>
      </c>
      <c r="O35" s="122">
        <f t="shared" si="7"/>
        <v>8.3199999999999932</v>
      </c>
      <c r="P35" s="123">
        <f t="shared" si="8"/>
        <v>4.4021164021163982E-2</v>
      </c>
      <c r="Q35" s="124" t="str">
        <f t="shared" si="9"/>
        <v>0-10%</v>
      </c>
      <c r="R35" s="125">
        <f t="shared" si="10"/>
        <v>180.68</v>
      </c>
      <c r="S35" s="121">
        <v>180.68</v>
      </c>
      <c r="T35" s="127" t="s">
        <v>94</v>
      </c>
      <c r="U35" s="127" t="s">
        <v>92</v>
      </c>
      <c r="V35" s="125">
        <f t="shared" si="4"/>
        <v>203.17499999999998</v>
      </c>
      <c r="W35" s="121">
        <v>203.17499999999998</v>
      </c>
      <c r="X35" s="125">
        <f t="shared" si="11"/>
        <v>22.494999999999976</v>
      </c>
      <c r="Y35" s="123">
        <f t="shared" si="12"/>
        <v>0.11071736188015247</v>
      </c>
      <c r="Z35" s="124" t="str">
        <f t="shared" si="13"/>
        <v>10-20%</v>
      </c>
      <c r="AA35" s="126" t="s">
        <v>350</v>
      </c>
      <c r="AB35" s="121">
        <v>189</v>
      </c>
      <c r="AC35" s="125">
        <f t="shared" si="14"/>
        <v>189</v>
      </c>
      <c r="AD35" s="125">
        <f t="shared" si="15"/>
        <v>8.3199999999999932</v>
      </c>
      <c r="AE35" s="123">
        <f t="shared" si="16"/>
        <v>4.4021164021163982E-2</v>
      </c>
      <c r="AF35" s="124" t="str">
        <f t="shared" si="17"/>
        <v>0-10%</v>
      </c>
      <c r="AG35" s="127"/>
    </row>
    <row r="36" spans="1:33" x14ac:dyDescent="0.2">
      <c r="A36" s="120" t="s">
        <v>136</v>
      </c>
      <c r="B36" s="120" t="s">
        <v>235</v>
      </c>
      <c r="C36" s="120" t="s">
        <v>236</v>
      </c>
      <c r="D36" s="120" t="s">
        <v>111</v>
      </c>
      <c r="E36" s="120">
        <v>100</v>
      </c>
      <c r="F36" s="120" t="s">
        <v>111</v>
      </c>
      <c r="G36" s="120">
        <v>1</v>
      </c>
      <c r="H36" s="120" t="s">
        <v>139</v>
      </c>
      <c r="I36" s="120" t="s">
        <v>140</v>
      </c>
      <c r="J36" s="120" t="s">
        <v>237</v>
      </c>
      <c r="K36" s="120" t="s">
        <v>238</v>
      </c>
      <c r="L36" s="121">
        <v>188.88</v>
      </c>
      <c r="M36" s="120">
        <v>1</v>
      </c>
      <c r="N36" s="120">
        <v>1</v>
      </c>
      <c r="O36" s="122">
        <f t="shared" si="7"/>
        <v>25.409999999999997</v>
      </c>
      <c r="P36" s="123">
        <f t="shared" si="8"/>
        <v>0.13452986022871663</v>
      </c>
      <c r="Q36" s="124" t="str">
        <f t="shared" si="9"/>
        <v>10-20%</v>
      </c>
      <c r="R36" s="125">
        <f t="shared" si="10"/>
        <v>163.47</v>
      </c>
      <c r="S36" s="121">
        <v>163.47</v>
      </c>
      <c r="T36" s="127" t="s">
        <v>93</v>
      </c>
      <c r="U36" s="127" t="s">
        <v>90</v>
      </c>
      <c r="V36" s="125">
        <f t="shared" si="4"/>
        <v>203.04599999999999</v>
      </c>
      <c r="W36" s="121">
        <v>203.04599999999999</v>
      </c>
      <c r="X36" s="125">
        <f t="shared" si="11"/>
        <v>39.575999999999993</v>
      </c>
      <c r="Y36" s="123">
        <f t="shared" si="12"/>
        <v>0.19491149788717824</v>
      </c>
      <c r="Z36" s="124" t="str">
        <f t="shared" si="13"/>
        <v>10-20%</v>
      </c>
      <c r="AA36" s="126" t="s">
        <v>350</v>
      </c>
      <c r="AB36" s="121">
        <v>216</v>
      </c>
      <c r="AC36" s="125">
        <f t="shared" si="14"/>
        <v>216</v>
      </c>
      <c r="AD36" s="125">
        <f t="shared" si="15"/>
        <v>52.53</v>
      </c>
      <c r="AE36" s="123">
        <f t="shared" si="16"/>
        <v>0.24319444444444446</v>
      </c>
      <c r="AF36" s="124" t="str">
        <f t="shared" si="17"/>
        <v>20-30%</v>
      </c>
      <c r="AG36" s="127"/>
    </row>
    <row r="37" spans="1:33" x14ac:dyDescent="0.2">
      <c r="A37" s="120" t="s">
        <v>115</v>
      </c>
      <c r="B37" s="120" t="s">
        <v>239</v>
      </c>
      <c r="C37" s="120" t="s">
        <v>240</v>
      </c>
      <c r="D37" s="120" t="s">
        <v>118</v>
      </c>
      <c r="E37" s="120">
        <v>1</v>
      </c>
      <c r="F37" s="120" t="s">
        <v>118</v>
      </c>
      <c r="G37" s="120">
        <v>1</v>
      </c>
      <c r="H37" s="120" t="s">
        <v>241</v>
      </c>
      <c r="I37" s="120" t="s">
        <v>112</v>
      </c>
      <c r="J37" s="120" t="s">
        <v>109</v>
      </c>
      <c r="K37" s="120" t="s">
        <v>242</v>
      </c>
      <c r="L37" s="121">
        <v>179.36</v>
      </c>
      <c r="M37" s="120">
        <v>1</v>
      </c>
      <c r="N37" s="120">
        <v>1</v>
      </c>
      <c r="O37" s="122">
        <f t="shared" si="7"/>
        <v>11.850000000000023</v>
      </c>
      <c r="P37" s="123">
        <f t="shared" si="8"/>
        <v>6.606824264049968E-2</v>
      </c>
      <c r="Q37" s="124" t="str">
        <f t="shared" si="9"/>
        <v>0-10%</v>
      </c>
      <c r="R37" s="125">
        <f t="shared" si="10"/>
        <v>167.51</v>
      </c>
      <c r="S37" s="121">
        <v>167.51</v>
      </c>
      <c r="T37" s="127" t="s">
        <v>94</v>
      </c>
      <c r="U37" s="127" t="s">
        <v>92</v>
      </c>
      <c r="V37" s="125">
        <f t="shared" si="4"/>
        <v>192.81200000000001</v>
      </c>
      <c r="W37" s="121">
        <v>192.81200000000001</v>
      </c>
      <c r="X37" s="125">
        <f t="shared" si="11"/>
        <v>25.302000000000021</v>
      </c>
      <c r="Y37" s="123">
        <f t="shared" si="12"/>
        <v>0.1312262722237206</v>
      </c>
      <c r="Z37" s="124" t="str">
        <f t="shared" si="13"/>
        <v>10-20%</v>
      </c>
      <c r="AA37" s="126" t="s">
        <v>350</v>
      </c>
      <c r="AB37" s="121">
        <v>179.92</v>
      </c>
      <c r="AC37" s="125">
        <f t="shared" si="14"/>
        <v>179.92</v>
      </c>
      <c r="AD37" s="125">
        <f t="shared" si="15"/>
        <v>12.409999999999997</v>
      </c>
      <c r="AE37" s="123">
        <f t="shared" si="16"/>
        <v>6.8975100044464194E-2</v>
      </c>
      <c r="AF37" s="124" t="str">
        <f t="shared" si="17"/>
        <v>0-10%</v>
      </c>
      <c r="AG37" s="127"/>
    </row>
    <row r="38" spans="1:33" x14ac:dyDescent="0.2">
      <c r="A38" s="120" t="s">
        <v>136</v>
      </c>
      <c r="B38" s="120" t="s">
        <v>243</v>
      </c>
      <c r="C38" s="120" t="s">
        <v>244</v>
      </c>
      <c r="D38" s="120" t="s">
        <v>118</v>
      </c>
      <c r="E38" s="120">
        <v>1</v>
      </c>
      <c r="F38" s="120" t="s">
        <v>111</v>
      </c>
      <c r="G38" s="120">
        <v>6</v>
      </c>
      <c r="H38" s="120" t="s">
        <v>245</v>
      </c>
      <c r="I38" s="120" t="s">
        <v>112</v>
      </c>
      <c r="J38" s="120" t="s">
        <v>109</v>
      </c>
      <c r="K38" s="120" t="s">
        <v>246</v>
      </c>
      <c r="L38" s="121">
        <v>175.47</v>
      </c>
      <c r="M38" s="120">
        <v>1</v>
      </c>
      <c r="N38" s="120">
        <v>6</v>
      </c>
      <c r="O38" s="122">
        <f t="shared" si="7"/>
        <v>0</v>
      </c>
      <c r="P38" s="123">
        <f t="shared" si="8"/>
        <v>0</v>
      </c>
      <c r="Q38" s="124" t="str">
        <f t="shared" si="9"/>
        <v>Same</v>
      </c>
      <c r="R38" s="125">
        <f t="shared" si="10"/>
        <v>175.47</v>
      </c>
      <c r="S38" s="121">
        <v>29.245000000000001</v>
      </c>
      <c r="T38" s="127" t="s">
        <v>94</v>
      </c>
      <c r="U38" s="127" t="s">
        <v>91</v>
      </c>
      <c r="V38" s="125">
        <f t="shared" si="4"/>
        <v>188.63024999999999</v>
      </c>
      <c r="W38" s="121">
        <v>31.438375000000001</v>
      </c>
      <c r="X38" s="125">
        <f t="shared" si="11"/>
        <v>13.160249999999991</v>
      </c>
      <c r="Y38" s="123">
        <f t="shared" si="12"/>
        <v>6.9767441860465074E-2</v>
      </c>
      <c r="Z38" s="124" t="str">
        <f t="shared" si="13"/>
        <v>0-10%</v>
      </c>
      <c r="AA38" s="126" t="s">
        <v>350</v>
      </c>
      <c r="AB38" s="121">
        <v>38.5</v>
      </c>
      <c r="AC38" s="125">
        <f t="shared" si="14"/>
        <v>231</v>
      </c>
      <c r="AD38" s="125">
        <f t="shared" si="15"/>
        <v>55.53</v>
      </c>
      <c r="AE38" s="123">
        <f t="shared" si="16"/>
        <v>0.2403896103896104</v>
      </c>
      <c r="AF38" s="124" t="str">
        <f t="shared" si="17"/>
        <v>20-30%</v>
      </c>
      <c r="AG38" s="127"/>
    </row>
    <row r="39" spans="1:33" x14ac:dyDescent="0.2">
      <c r="A39" s="120" t="s">
        <v>136</v>
      </c>
      <c r="B39" s="120" t="s">
        <v>247</v>
      </c>
      <c r="C39" s="120" t="s">
        <v>248</v>
      </c>
      <c r="D39" s="120" t="s">
        <v>110</v>
      </c>
      <c r="E39" s="120">
        <v>10</v>
      </c>
      <c r="F39" s="120" t="s">
        <v>110</v>
      </c>
      <c r="G39" s="120">
        <v>1</v>
      </c>
      <c r="H39" s="120" t="s">
        <v>249</v>
      </c>
      <c r="I39" s="120" t="s">
        <v>177</v>
      </c>
      <c r="J39" s="120" t="s">
        <v>187</v>
      </c>
      <c r="K39" s="120" t="s">
        <v>188</v>
      </c>
      <c r="L39" s="121">
        <v>158.19999999999999</v>
      </c>
      <c r="M39" s="120">
        <v>1</v>
      </c>
      <c r="N39" s="120">
        <v>1</v>
      </c>
      <c r="O39" s="122">
        <f t="shared" si="7"/>
        <v>24.819999999999993</v>
      </c>
      <c r="P39" s="123">
        <f t="shared" si="8"/>
        <v>0.15689001264222499</v>
      </c>
      <c r="Q39" s="124" t="str">
        <f t="shared" si="9"/>
        <v>10-20%</v>
      </c>
      <c r="R39" s="125">
        <f t="shared" si="10"/>
        <v>133.38</v>
      </c>
      <c r="S39" s="121">
        <v>133.38</v>
      </c>
      <c r="T39" s="127" t="s">
        <v>93</v>
      </c>
      <c r="U39" s="127" t="s">
        <v>90</v>
      </c>
      <c r="V39" s="125">
        <f t="shared" si="4"/>
        <v>170.06499999999997</v>
      </c>
      <c r="W39" s="121">
        <v>170.06499999999997</v>
      </c>
      <c r="X39" s="125">
        <f t="shared" si="11"/>
        <v>36.684999999999974</v>
      </c>
      <c r="Y39" s="123">
        <f t="shared" si="12"/>
        <v>0.21571163966718596</v>
      </c>
      <c r="Z39" s="124" t="str">
        <f t="shared" si="13"/>
        <v>20-30%</v>
      </c>
      <c r="AA39" s="126" t="s">
        <v>350</v>
      </c>
      <c r="AB39" s="121">
        <v>158.19999999999999</v>
      </c>
      <c r="AC39" s="125">
        <f t="shared" si="14"/>
        <v>158.19999999999999</v>
      </c>
      <c r="AD39" s="125">
        <f t="shared" si="15"/>
        <v>24.819999999999993</v>
      </c>
      <c r="AE39" s="123">
        <f t="shared" si="16"/>
        <v>0.15689001264222499</v>
      </c>
      <c r="AF39" s="124" t="str">
        <f t="shared" si="17"/>
        <v>10-20%</v>
      </c>
      <c r="AG39" s="127"/>
    </row>
    <row r="40" spans="1:33" x14ac:dyDescent="0.2">
      <c r="A40" s="120" t="s">
        <v>115</v>
      </c>
      <c r="B40" s="120" t="s">
        <v>250</v>
      </c>
      <c r="C40" s="120" t="s">
        <v>251</v>
      </c>
      <c r="D40" s="120" t="s">
        <v>111</v>
      </c>
      <c r="E40" s="120">
        <v>6</v>
      </c>
      <c r="F40" s="120" t="s">
        <v>111</v>
      </c>
      <c r="G40" s="120">
        <v>1</v>
      </c>
      <c r="H40" s="120" t="s">
        <v>252</v>
      </c>
      <c r="I40" s="120" t="s">
        <v>194</v>
      </c>
      <c r="J40" s="120" t="s">
        <v>253</v>
      </c>
      <c r="K40" s="120" t="s">
        <v>254</v>
      </c>
      <c r="L40" s="121">
        <v>157.66999999999999</v>
      </c>
      <c r="M40" s="120">
        <v>1</v>
      </c>
      <c r="N40" s="120">
        <v>1</v>
      </c>
      <c r="O40" s="122">
        <f t="shared" si="7"/>
        <v>-6.75</v>
      </c>
      <c r="P40" s="123">
        <f t="shared" si="8"/>
        <v>-4.2810934229720307E-2</v>
      </c>
      <c r="Q40" s="124" t="str">
        <f t="shared" si="9"/>
        <v>Negative</v>
      </c>
      <c r="R40" s="125">
        <f t="shared" si="10"/>
        <v>164.42</v>
      </c>
      <c r="S40" s="121">
        <v>164.42</v>
      </c>
      <c r="T40" s="127" t="s">
        <v>94</v>
      </c>
      <c r="U40" s="127" t="s">
        <v>92</v>
      </c>
      <c r="V40" s="125">
        <f t="shared" si="4"/>
        <v>169.49524999999997</v>
      </c>
      <c r="W40" s="121">
        <v>169.49524999999997</v>
      </c>
      <c r="X40" s="125">
        <f t="shared" si="11"/>
        <v>5.0752499999999827</v>
      </c>
      <c r="Y40" s="123">
        <f t="shared" si="12"/>
        <v>2.9943316995608926E-2</v>
      </c>
      <c r="Z40" s="124" t="str">
        <f t="shared" si="13"/>
        <v>0-10%</v>
      </c>
      <c r="AA40" s="126" t="s">
        <v>350</v>
      </c>
      <c r="AB40" s="121">
        <v>164.42</v>
      </c>
      <c r="AC40" s="125">
        <f t="shared" si="14"/>
        <v>164.42</v>
      </c>
      <c r="AD40" s="125">
        <f t="shared" si="15"/>
        <v>0</v>
      </c>
      <c r="AE40" s="123">
        <f t="shared" si="16"/>
        <v>0</v>
      </c>
      <c r="AF40" s="124" t="str">
        <f t="shared" si="17"/>
        <v>Same</v>
      </c>
      <c r="AG40" s="127"/>
    </row>
    <row r="41" spans="1:33" x14ac:dyDescent="0.2">
      <c r="A41" s="120" t="s">
        <v>115</v>
      </c>
      <c r="B41" s="120" t="s">
        <v>255</v>
      </c>
      <c r="C41" s="120" t="s">
        <v>256</v>
      </c>
      <c r="D41" s="120" t="s">
        <v>110</v>
      </c>
      <c r="E41" s="120">
        <v>100</v>
      </c>
      <c r="F41" s="120" t="s">
        <v>111</v>
      </c>
      <c r="G41" s="120">
        <v>10</v>
      </c>
      <c r="H41" s="120" t="s">
        <v>257</v>
      </c>
      <c r="I41" s="120" t="s">
        <v>112</v>
      </c>
      <c r="J41" s="120" t="s">
        <v>109</v>
      </c>
      <c r="K41" s="120" t="s">
        <v>258</v>
      </c>
      <c r="L41" s="121">
        <v>153.80000000000001</v>
      </c>
      <c r="M41" s="120">
        <v>2</v>
      </c>
      <c r="N41" s="120">
        <v>2</v>
      </c>
      <c r="O41" s="122">
        <f t="shared" si="7"/>
        <v>-13.97999999999999</v>
      </c>
      <c r="P41" s="123">
        <f t="shared" si="8"/>
        <v>-9.0897269180754151E-2</v>
      </c>
      <c r="Q41" s="124" t="str">
        <f t="shared" si="9"/>
        <v>Negative</v>
      </c>
      <c r="R41" s="125">
        <f t="shared" si="10"/>
        <v>167.78</v>
      </c>
      <c r="S41" s="121">
        <v>83.89</v>
      </c>
      <c r="T41" s="127" t="s">
        <v>94</v>
      </c>
      <c r="U41" s="127" t="s">
        <v>92</v>
      </c>
      <c r="V41" s="125">
        <f t="shared" si="4"/>
        <v>165.33500000000001</v>
      </c>
      <c r="W41" s="121">
        <v>82.667500000000004</v>
      </c>
      <c r="X41" s="125">
        <f t="shared" si="11"/>
        <v>-2.4449999999999932</v>
      </c>
      <c r="Y41" s="123">
        <f t="shared" si="12"/>
        <v>-1.478815737744575E-2</v>
      </c>
      <c r="Z41" s="124" t="str">
        <f t="shared" si="13"/>
        <v>Negative</v>
      </c>
      <c r="AA41" s="126" t="s">
        <v>350</v>
      </c>
      <c r="AB41" s="121">
        <v>106.6</v>
      </c>
      <c r="AC41" s="125">
        <f t="shared" si="14"/>
        <v>213.2</v>
      </c>
      <c r="AD41" s="125">
        <f t="shared" si="15"/>
        <v>45.419999999999987</v>
      </c>
      <c r="AE41" s="123">
        <f t="shared" si="16"/>
        <v>0.21303939962476542</v>
      </c>
      <c r="AF41" s="124" t="str">
        <f t="shared" si="17"/>
        <v>20-30%</v>
      </c>
      <c r="AG41" s="127"/>
    </row>
    <row r="42" spans="1:33" x14ac:dyDescent="0.2">
      <c r="A42" s="120" t="s">
        <v>136</v>
      </c>
      <c r="B42" s="120" t="s">
        <v>259</v>
      </c>
      <c r="C42" s="120" t="s">
        <v>260</v>
      </c>
      <c r="D42" s="120" t="s">
        <v>110</v>
      </c>
      <c r="E42" s="120">
        <v>500</v>
      </c>
      <c r="F42" s="120" t="s">
        <v>111</v>
      </c>
      <c r="G42" s="120">
        <v>2</v>
      </c>
      <c r="H42" s="120" t="s">
        <v>193</v>
      </c>
      <c r="I42" s="120" t="s">
        <v>194</v>
      </c>
      <c r="J42" s="120" t="s">
        <v>195</v>
      </c>
      <c r="K42" s="120" t="s">
        <v>196</v>
      </c>
      <c r="L42" s="121">
        <v>148</v>
      </c>
      <c r="M42" s="120">
        <v>1</v>
      </c>
      <c r="N42" s="120">
        <v>1</v>
      </c>
      <c r="O42" s="122">
        <f t="shared" si="7"/>
        <v>16.28</v>
      </c>
      <c r="P42" s="123">
        <f t="shared" si="8"/>
        <v>0.11000000000000001</v>
      </c>
      <c r="Q42" s="124" t="str">
        <f t="shared" si="9"/>
        <v>10-20%</v>
      </c>
      <c r="R42" s="125">
        <f t="shared" si="10"/>
        <v>131.72</v>
      </c>
      <c r="S42" s="121">
        <v>131.72</v>
      </c>
      <c r="T42" s="127" t="s">
        <v>94</v>
      </c>
      <c r="U42" s="127" t="s">
        <v>92</v>
      </c>
      <c r="V42" s="125">
        <f t="shared" si="4"/>
        <v>159.1</v>
      </c>
      <c r="W42" s="121">
        <v>159.1</v>
      </c>
      <c r="X42" s="125">
        <f t="shared" si="11"/>
        <v>27.379999999999995</v>
      </c>
      <c r="Y42" s="123">
        <f t="shared" si="12"/>
        <v>0.17209302325581394</v>
      </c>
      <c r="Z42" s="124" t="str">
        <f t="shared" si="13"/>
        <v>10-20%</v>
      </c>
      <c r="AA42" s="126" t="s">
        <v>350</v>
      </c>
      <c r="AB42" s="121">
        <v>148</v>
      </c>
      <c r="AC42" s="125">
        <f t="shared" si="14"/>
        <v>148</v>
      </c>
      <c r="AD42" s="125">
        <f t="shared" si="15"/>
        <v>16.28</v>
      </c>
      <c r="AE42" s="123">
        <f t="shared" si="16"/>
        <v>0.11000000000000001</v>
      </c>
      <c r="AF42" s="124" t="str">
        <f t="shared" si="17"/>
        <v>10-20%</v>
      </c>
      <c r="AG42" s="127"/>
    </row>
    <row r="43" spans="1:33" x14ac:dyDescent="0.2">
      <c r="A43" s="120" t="s">
        <v>115</v>
      </c>
      <c r="B43" s="120" t="s">
        <v>261</v>
      </c>
      <c r="C43" s="120" t="s">
        <v>262</v>
      </c>
      <c r="D43" s="120" t="s">
        <v>110</v>
      </c>
      <c r="E43" s="120">
        <v>500</v>
      </c>
      <c r="F43" s="120" t="s">
        <v>111</v>
      </c>
      <c r="G43" s="120">
        <v>10</v>
      </c>
      <c r="H43" s="120" t="s">
        <v>216</v>
      </c>
      <c r="I43" s="120" t="s">
        <v>140</v>
      </c>
      <c r="J43" s="120" t="s">
        <v>212</v>
      </c>
      <c r="K43" s="120" t="s">
        <v>213</v>
      </c>
      <c r="L43" s="121">
        <v>145.22999999999999</v>
      </c>
      <c r="M43" s="120">
        <v>1</v>
      </c>
      <c r="N43" s="120">
        <v>3</v>
      </c>
      <c r="O43" s="122">
        <f t="shared" si="7"/>
        <v>76.859999999999985</v>
      </c>
      <c r="P43" s="123">
        <f t="shared" si="8"/>
        <v>0.52922949803759545</v>
      </c>
      <c r="Q43" s="124" t="str">
        <f t="shared" si="9"/>
        <v>30+%</v>
      </c>
      <c r="R43" s="125">
        <f t="shared" si="10"/>
        <v>68.37</v>
      </c>
      <c r="S43" s="121">
        <v>22.79</v>
      </c>
      <c r="T43" s="127" t="s">
        <v>93</v>
      </c>
      <c r="U43" s="127" t="s">
        <v>90</v>
      </c>
      <c r="V43" s="125">
        <f t="shared" si="4"/>
        <v>156.12224999999998</v>
      </c>
      <c r="W43" s="121">
        <v>52.040749999999996</v>
      </c>
      <c r="X43" s="125">
        <f t="shared" si="11"/>
        <v>87.752249999999975</v>
      </c>
      <c r="Y43" s="123">
        <f t="shared" si="12"/>
        <v>0.56207395166287943</v>
      </c>
      <c r="Z43" s="124" t="str">
        <f t="shared" si="13"/>
        <v>30+%</v>
      </c>
      <c r="AA43" s="126" t="s">
        <v>350</v>
      </c>
      <c r="AB43" s="121">
        <v>63.79</v>
      </c>
      <c r="AC43" s="125">
        <f t="shared" si="14"/>
        <v>191.37</v>
      </c>
      <c r="AD43" s="125">
        <f t="shared" si="15"/>
        <v>123</v>
      </c>
      <c r="AE43" s="123">
        <f t="shared" si="16"/>
        <v>0.64273397084182471</v>
      </c>
      <c r="AF43" s="124" t="str">
        <f t="shared" si="17"/>
        <v>30+%</v>
      </c>
      <c r="AG43" s="127"/>
    </row>
    <row r="44" spans="1:33" x14ac:dyDescent="0.2">
      <c r="A44" s="120" t="s">
        <v>136</v>
      </c>
      <c r="B44" s="120" t="s">
        <v>263</v>
      </c>
      <c r="C44" s="120" t="s">
        <v>264</v>
      </c>
      <c r="D44" s="120" t="s">
        <v>111</v>
      </c>
      <c r="E44" s="120">
        <v>100</v>
      </c>
      <c r="F44" s="120" t="s">
        <v>111</v>
      </c>
      <c r="G44" s="120">
        <v>1</v>
      </c>
      <c r="H44" s="120" t="s">
        <v>265</v>
      </c>
      <c r="I44" s="120" t="s">
        <v>112</v>
      </c>
      <c r="J44" s="120" t="s">
        <v>109</v>
      </c>
      <c r="K44" s="120" t="s">
        <v>113</v>
      </c>
      <c r="L44" s="121">
        <v>142.1</v>
      </c>
      <c r="M44" s="120">
        <v>1</v>
      </c>
      <c r="N44" s="120">
        <v>1</v>
      </c>
      <c r="O44" s="122">
        <f t="shared" si="7"/>
        <v>31.539999999999992</v>
      </c>
      <c r="P44" s="123">
        <f t="shared" si="8"/>
        <v>0.22195636875439825</v>
      </c>
      <c r="Q44" s="124" t="str">
        <f t="shared" si="9"/>
        <v>20-30%</v>
      </c>
      <c r="R44" s="125">
        <f t="shared" si="10"/>
        <v>110.56</v>
      </c>
      <c r="S44" s="121">
        <v>110.56</v>
      </c>
      <c r="T44" s="127" t="s">
        <v>94</v>
      </c>
      <c r="U44" s="127" t="s">
        <v>92</v>
      </c>
      <c r="V44" s="125">
        <f t="shared" si="4"/>
        <v>152.75749999999999</v>
      </c>
      <c r="W44" s="121">
        <v>152.75749999999999</v>
      </c>
      <c r="X44" s="125">
        <f t="shared" si="11"/>
        <v>42.197499999999991</v>
      </c>
      <c r="Y44" s="123">
        <f t="shared" si="12"/>
        <v>0.27623848256223094</v>
      </c>
      <c r="Z44" s="124" t="str">
        <f t="shared" si="13"/>
        <v>20-30%</v>
      </c>
      <c r="AA44" s="126" t="s">
        <v>350</v>
      </c>
      <c r="AB44" s="121">
        <v>133.19999999999999</v>
      </c>
      <c r="AC44" s="125">
        <f t="shared" si="14"/>
        <v>133.19999999999999</v>
      </c>
      <c r="AD44" s="125">
        <f t="shared" si="15"/>
        <v>22.639999999999986</v>
      </c>
      <c r="AE44" s="123">
        <f t="shared" si="16"/>
        <v>0.16996996996996988</v>
      </c>
      <c r="AF44" s="124" t="str">
        <f t="shared" si="17"/>
        <v>10-20%</v>
      </c>
      <c r="AG44" s="127"/>
    </row>
    <row r="45" spans="1:33" x14ac:dyDescent="0.2">
      <c r="A45" s="120" t="s">
        <v>115</v>
      </c>
      <c r="B45" s="120" t="s">
        <v>266</v>
      </c>
      <c r="C45" s="120" t="s">
        <v>267</v>
      </c>
      <c r="D45" s="120" t="s">
        <v>110</v>
      </c>
      <c r="E45" s="120">
        <v>100</v>
      </c>
      <c r="F45" s="120" t="s">
        <v>110</v>
      </c>
      <c r="G45" s="120">
        <v>1</v>
      </c>
      <c r="H45" s="120" t="s">
        <v>268</v>
      </c>
      <c r="I45" s="120" t="s">
        <v>140</v>
      </c>
      <c r="J45" s="120" t="s">
        <v>269</v>
      </c>
      <c r="K45" s="120" t="s">
        <v>270</v>
      </c>
      <c r="L45" s="121">
        <v>136.19999999999999</v>
      </c>
      <c r="M45" s="120">
        <v>1</v>
      </c>
      <c r="N45" s="120">
        <v>1</v>
      </c>
      <c r="O45" s="122">
        <f t="shared" si="7"/>
        <v>4.4899999999999807</v>
      </c>
      <c r="P45" s="123">
        <f t="shared" si="8"/>
        <v>3.2966226138032163E-2</v>
      </c>
      <c r="Q45" s="124" t="str">
        <f t="shared" si="9"/>
        <v>0-10%</v>
      </c>
      <c r="R45" s="125">
        <f t="shared" si="10"/>
        <v>131.71</v>
      </c>
      <c r="S45" s="121">
        <v>131.71</v>
      </c>
      <c r="T45" s="127" t="s">
        <v>94</v>
      </c>
      <c r="U45" s="127" t="s">
        <v>92</v>
      </c>
      <c r="V45" s="125">
        <f t="shared" si="4"/>
        <v>146.41499999999999</v>
      </c>
      <c r="W45" s="121">
        <v>146.41499999999999</v>
      </c>
      <c r="X45" s="125">
        <f t="shared" si="11"/>
        <v>14.704999999999984</v>
      </c>
      <c r="Y45" s="123">
        <f t="shared" si="12"/>
        <v>0.1004336987330532</v>
      </c>
      <c r="Z45" s="124" t="str">
        <f t="shared" si="13"/>
        <v>10-20%</v>
      </c>
      <c r="AA45" s="126" t="s">
        <v>350</v>
      </c>
      <c r="AB45" s="121">
        <v>136.19999999999999</v>
      </c>
      <c r="AC45" s="125">
        <f t="shared" si="14"/>
        <v>136.19999999999999</v>
      </c>
      <c r="AD45" s="125">
        <f t="shared" si="15"/>
        <v>4.4899999999999807</v>
      </c>
      <c r="AE45" s="123">
        <f t="shared" si="16"/>
        <v>3.2966226138032163E-2</v>
      </c>
      <c r="AF45" s="124" t="str">
        <f t="shared" si="17"/>
        <v>0-10%</v>
      </c>
      <c r="AG45" s="127"/>
    </row>
    <row r="46" spans="1:33" x14ac:dyDescent="0.2">
      <c r="A46" s="120" t="s">
        <v>136</v>
      </c>
      <c r="B46" s="120" t="s">
        <v>271</v>
      </c>
      <c r="C46" s="120" t="s">
        <v>272</v>
      </c>
      <c r="D46" s="120" t="s">
        <v>110</v>
      </c>
      <c r="E46" s="120">
        <v>12</v>
      </c>
      <c r="F46" s="120" t="s">
        <v>110</v>
      </c>
      <c r="G46" s="120">
        <v>1</v>
      </c>
      <c r="H46" s="120" t="s">
        <v>273</v>
      </c>
      <c r="I46" s="120" t="s">
        <v>274</v>
      </c>
      <c r="J46" s="120" t="s">
        <v>275</v>
      </c>
      <c r="K46" s="120" t="s">
        <v>276</v>
      </c>
      <c r="L46" s="121">
        <v>130.15</v>
      </c>
      <c r="M46" s="120">
        <v>1</v>
      </c>
      <c r="N46" s="120">
        <v>1</v>
      </c>
      <c r="O46" s="122">
        <f t="shared" si="7"/>
        <v>-15.909999999999997</v>
      </c>
      <c r="P46" s="123">
        <f t="shared" si="8"/>
        <v>-0.12224356511717246</v>
      </c>
      <c r="Q46" s="124" t="str">
        <f t="shared" si="9"/>
        <v>Negative</v>
      </c>
      <c r="R46" s="125">
        <f t="shared" si="10"/>
        <v>146.06</v>
      </c>
      <c r="S46" s="121">
        <v>146.06</v>
      </c>
      <c r="T46" s="127" t="s">
        <v>93</v>
      </c>
      <c r="U46" s="127" t="s">
        <v>90</v>
      </c>
      <c r="V46" s="125">
        <f t="shared" si="4"/>
        <v>139.91125</v>
      </c>
      <c r="W46" s="121">
        <v>139.91125</v>
      </c>
      <c r="X46" s="125">
        <f t="shared" si="11"/>
        <v>-6.1487500000000068</v>
      </c>
      <c r="Y46" s="123">
        <f t="shared" si="12"/>
        <v>-4.3947502434579115E-2</v>
      </c>
      <c r="Z46" s="124" t="str">
        <f t="shared" si="13"/>
        <v>Negative</v>
      </c>
      <c r="AA46" s="126" t="s">
        <v>350</v>
      </c>
      <c r="AB46" s="121">
        <v>154.9</v>
      </c>
      <c r="AC46" s="125">
        <f t="shared" si="14"/>
        <v>154.9</v>
      </c>
      <c r="AD46" s="125">
        <f t="shared" si="15"/>
        <v>8.8400000000000034</v>
      </c>
      <c r="AE46" s="123">
        <f t="shared" si="16"/>
        <v>5.7069076823757281E-2</v>
      </c>
      <c r="AF46" s="124" t="str">
        <f t="shared" si="17"/>
        <v>0-10%</v>
      </c>
      <c r="AG46" s="127"/>
    </row>
    <row r="47" spans="1:33" x14ac:dyDescent="0.2">
      <c r="A47" s="120" t="s">
        <v>115</v>
      </c>
      <c r="B47" s="120" t="s">
        <v>277</v>
      </c>
      <c r="C47" s="120" t="s">
        <v>278</v>
      </c>
      <c r="D47" s="120" t="s">
        <v>110</v>
      </c>
      <c r="E47" s="120">
        <v>100</v>
      </c>
      <c r="F47" s="120" t="s">
        <v>110</v>
      </c>
      <c r="G47" s="120">
        <v>1</v>
      </c>
      <c r="H47" s="120" t="s">
        <v>268</v>
      </c>
      <c r="I47" s="120" t="s">
        <v>140</v>
      </c>
      <c r="J47" s="120" t="s">
        <v>269</v>
      </c>
      <c r="K47" s="120" t="s">
        <v>270</v>
      </c>
      <c r="L47" s="121">
        <v>130</v>
      </c>
      <c r="M47" s="120">
        <v>1</v>
      </c>
      <c r="N47" s="120">
        <v>1</v>
      </c>
      <c r="O47" s="122">
        <f t="shared" si="7"/>
        <v>4.2900000000000063</v>
      </c>
      <c r="P47" s="123">
        <f t="shared" si="8"/>
        <v>3.300000000000005E-2</v>
      </c>
      <c r="Q47" s="124" t="str">
        <f t="shared" si="9"/>
        <v>0-10%</v>
      </c>
      <c r="R47" s="125">
        <f t="shared" si="10"/>
        <v>125.71</v>
      </c>
      <c r="S47" s="121">
        <v>125.71</v>
      </c>
      <c r="T47" s="127" t="s">
        <v>94</v>
      </c>
      <c r="U47" s="127" t="s">
        <v>92</v>
      </c>
      <c r="V47" s="125">
        <f t="shared" si="4"/>
        <v>139.75</v>
      </c>
      <c r="W47" s="121">
        <v>139.75</v>
      </c>
      <c r="X47" s="125">
        <f t="shared" si="11"/>
        <v>14.040000000000006</v>
      </c>
      <c r="Y47" s="123">
        <f t="shared" si="12"/>
        <v>0.10046511627906982</v>
      </c>
      <c r="Z47" s="124" t="str">
        <f t="shared" si="13"/>
        <v>10-20%</v>
      </c>
      <c r="AA47" s="126" t="s">
        <v>350</v>
      </c>
      <c r="AB47" s="121">
        <v>130</v>
      </c>
      <c r="AC47" s="125">
        <f t="shared" si="14"/>
        <v>130</v>
      </c>
      <c r="AD47" s="125">
        <f t="shared" si="15"/>
        <v>4.2900000000000063</v>
      </c>
      <c r="AE47" s="123">
        <f t="shared" si="16"/>
        <v>3.300000000000005E-2</v>
      </c>
      <c r="AF47" s="124" t="str">
        <f t="shared" si="17"/>
        <v>0-10%</v>
      </c>
      <c r="AG47" s="127"/>
    </row>
    <row r="48" spans="1:33" x14ac:dyDescent="0.2">
      <c r="A48" s="120" t="s">
        <v>115</v>
      </c>
      <c r="B48" s="120" t="s">
        <v>279</v>
      </c>
      <c r="C48" s="120" t="s">
        <v>280</v>
      </c>
      <c r="D48" s="120" t="s">
        <v>118</v>
      </c>
      <c r="E48" s="120">
        <v>1</v>
      </c>
      <c r="F48" s="120" t="s">
        <v>111</v>
      </c>
      <c r="G48" s="120">
        <v>6</v>
      </c>
      <c r="H48" s="120" t="s">
        <v>173</v>
      </c>
      <c r="I48" s="120" t="s">
        <v>120</v>
      </c>
      <c r="J48" s="120" t="s">
        <v>154</v>
      </c>
      <c r="K48" s="120" t="s">
        <v>160</v>
      </c>
      <c r="L48" s="121">
        <v>127.17</v>
      </c>
      <c r="M48" s="120">
        <v>1</v>
      </c>
      <c r="N48" s="120">
        <v>3</v>
      </c>
      <c r="O48" s="122">
        <f t="shared" si="7"/>
        <v>17.64</v>
      </c>
      <c r="P48" s="123">
        <f t="shared" si="8"/>
        <v>0.13871196036801134</v>
      </c>
      <c r="Q48" s="124" t="str">
        <f t="shared" si="9"/>
        <v>10-20%</v>
      </c>
      <c r="R48" s="125">
        <f t="shared" si="10"/>
        <v>109.53</v>
      </c>
      <c r="S48" s="121">
        <v>36.51</v>
      </c>
      <c r="T48" s="127" t="s">
        <v>94</v>
      </c>
      <c r="U48" s="127" t="s">
        <v>92</v>
      </c>
      <c r="V48" s="125">
        <f t="shared" si="4"/>
        <v>136.70774999999998</v>
      </c>
      <c r="W48" s="121">
        <v>45.569249999999997</v>
      </c>
      <c r="X48" s="125">
        <f t="shared" si="11"/>
        <v>27.177749999999975</v>
      </c>
      <c r="Y48" s="123">
        <f t="shared" si="12"/>
        <v>0.19880182359814991</v>
      </c>
      <c r="Z48" s="124" t="str">
        <f t="shared" si="13"/>
        <v>10-20%</v>
      </c>
      <c r="AA48" s="126" t="s">
        <v>350</v>
      </c>
      <c r="AB48" s="121">
        <v>47.25</v>
      </c>
      <c r="AC48" s="125">
        <f t="shared" si="14"/>
        <v>141.75</v>
      </c>
      <c r="AD48" s="125">
        <f t="shared" si="15"/>
        <v>32.22</v>
      </c>
      <c r="AE48" s="123">
        <f t="shared" si="16"/>
        <v>0.22730158730158728</v>
      </c>
      <c r="AF48" s="124" t="str">
        <f t="shared" si="17"/>
        <v>20-30%</v>
      </c>
      <c r="AG48" s="127"/>
    </row>
    <row r="49" spans="1:33" x14ac:dyDescent="0.2">
      <c r="A49" s="120" t="s">
        <v>115</v>
      </c>
      <c r="B49" s="120" t="s">
        <v>281</v>
      </c>
      <c r="C49" s="120" t="s">
        <v>282</v>
      </c>
      <c r="D49" s="120" t="s">
        <v>118</v>
      </c>
      <c r="E49" s="120">
        <v>1</v>
      </c>
      <c r="F49" s="120" t="s">
        <v>111</v>
      </c>
      <c r="G49" s="120">
        <v>4</v>
      </c>
      <c r="H49" s="120" t="s">
        <v>119</v>
      </c>
      <c r="I49" s="120" t="s">
        <v>120</v>
      </c>
      <c r="J49" s="120" t="s">
        <v>154</v>
      </c>
      <c r="K49" s="120" t="s">
        <v>283</v>
      </c>
      <c r="L49" s="121">
        <v>121.41</v>
      </c>
      <c r="M49" s="120">
        <v>1</v>
      </c>
      <c r="N49" s="120">
        <v>1</v>
      </c>
      <c r="O49" s="122">
        <f t="shared" si="7"/>
        <v>87.52</v>
      </c>
      <c r="P49" s="123">
        <f t="shared" si="8"/>
        <v>0.72086319084095218</v>
      </c>
      <c r="Q49" s="124" t="str">
        <f t="shared" si="9"/>
        <v>30+%</v>
      </c>
      <c r="R49" s="125">
        <f t="shared" si="10"/>
        <v>33.89</v>
      </c>
      <c r="S49" s="121">
        <v>33.89</v>
      </c>
      <c r="T49" s="127" t="s">
        <v>94</v>
      </c>
      <c r="U49" s="127" t="s">
        <v>114</v>
      </c>
      <c r="V49" s="125">
        <f t="shared" si="4"/>
        <v>130.51575</v>
      </c>
      <c r="W49" s="121">
        <v>130.51575</v>
      </c>
      <c r="X49" s="125">
        <f t="shared" si="11"/>
        <v>96.625749999999996</v>
      </c>
      <c r="Y49" s="123">
        <f t="shared" si="12"/>
        <v>0.74033785194507173</v>
      </c>
      <c r="Z49" s="124" t="str">
        <f t="shared" si="13"/>
        <v>30+%</v>
      </c>
      <c r="AA49" s="126" t="s">
        <v>350</v>
      </c>
      <c r="AB49" s="121">
        <v>213</v>
      </c>
      <c r="AC49" s="125">
        <f t="shared" si="14"/>
        <v>213</v>
      </c>
      <c r="AD49" s="125">
        <f t="shared" si="15"/>
        <v>179.11</v>
      </c>
      <c r="AE49" s="123">
        <f t="shared" si="16"/>
        <v>0.84089201877934283</v>
      </c>
      <c r="AF49" s="124" t="str">
        <f t="shared" si="17"/>
        <v>30+%</v>
      </c>
      <c r="AG49" s="127"/>
    </row>
    <row r="50" spans="1:33" x14ac:dyDescent="0.2">
      <c r="A50" s="120" t="s">
        <v>115</v>
      </c>
      <c r="B50" s="120" t="s">
        <v>284</v>
      </c>
      <c r="C50" s="120" t="s">
        <v>285</v>
      </c>
      <c r="D50" s="120" t="s">
        <v>110</v>
      </c>
      <c r="E50" s="120">
        <v>6</v>
      </c>
      <c r="F50" s="120" t="s">
        <v>111</v>
      </c>
      <c r="G50" s="120">
        <v>4</v>
      </c>
      <c r="H50" s="120" t="s">
        <v>211</v>
      </c>
      <c r="I50" s="120" t="s">
        <v>140</v>
      </c>
      <c r="J50" s="120" t="s">
        <v>286</v>
      </c>
      <c r="K50" s="120" t="s">
        <v>287</v>
      </c>
      <c r="L50" s="121">
        <v>95.99</v>
      </c>
      <c r="M50" s="120">
        <v>1</v>
      </c>
      <c r="N50" s="120">
        <v>1</v>
      </c>
      <c r="O50" s="122">
        <f t="shared" si="7"/>
        <v>-8.230000000000004</v>
      </c>
      <c r="P50" s="123">
        <f t="shared" si="8"/>
        <v>-8.5738097718512388E-2</v>
      </c>
      <c r="Q50" s="124" t="str">
        <f t="shared" si="9"/>
        <v>Negative</v>
      </c>
      <c r="R50" s="125">
        <f t="shared" si="10"/>
        <v>104.22</v>
      </c>
      <c r="S50" s="121">
        <v>104.22</v>
      </c>
      <c r="T50" s="127" t="s">
        <v>93</v>
      </c>
      <c r="U50" s="127" t="s">
        <v>90</v>
      </c>
      <c r="V50" s="125">
        <f t="shared" si="4"/>
        <v>103.18924999999999</v>
      </c>
      <c r="W50" s="121">
        <v>103.18924999999999</v>
      </c>
      <c r="X50" s="125">
        <f t="shared" si="11"/>
        <v>-1.0307500000000118</v>
      </c>
      <c r="Y50" s="123">
        <f t="shared" si="12"/>
        <v>-9.9889281102441569E-3</v>
      </c>
      <c r="Z50" s="124" t="str">
        <f t="shared" si="13"/>
        <v>Negative</v>
      </c>
      <c r="AA50" s="126" t="s">
        <v>350</v>
      </c>
      <c r="AB50" s="121">
        <v>132</v>
      </c>
      <c r="AC50" s="125">
        <f t="shared" si="14"/>
        <v>132</v>
      </c>
      <c r="AD50" s="125">
        <f t="shared" si="15"/>
        <v>27.78</v>
      </c>
      <c r="AE50" s="123">
        <f t="shared" si="16"/>
        <v>0.21045454545454545</v>
      </c>
      <c r="AF50" s="124" t="str">
        <f t="shared" si="17"/>
        <v>20-30%</v>
      </c>
      <c r="AG50" s="127"/>
    </row>
    <row r="51" spans="1:33" x14ac:dyDescent="0.2">
      <c r="A51" s="120" t="s">
        <v>115</v>
      </c>
      <c r="B51" s="120" t="s">
        <v>288</v>
      </c>
      <c r="C51" s="120" t="s">
        <v>289</v>
      </c>
      <c r="D51" s="120" t="s">
        <v>110</v>
      </c>
      <c r="E51" s="120">
        <v>2</v>
      </c>
      <c r="F51" s="120" t="s">
        <v>110</v>
      </c>
      <c r="G51" s="120">
        <v>1</v>
      </c>
      <c r="H51" s="120" t="s">
        <v>290</v>
      </c>
      <c r="I51" s="120" t="s">
        <v>112</v>
      </c>
      <c r="J51" s="120" t="s">
        <v>109</v>
      </c>
      <c r="K51" s="120" t="s">
        <v>291</v>
      </c>
      <c r="L51" s="121">
        <v>92.3</v>
      </c>
      <c r="M51" s="120">
        <v>1</v>
      </c>
      <c r="N51" s="120">
        <v>1</v>
      </c>
      <c r="O51" s="122">
        <f t="shared" si="7"/>
        <v>3.75</v>
      </c>
      <c r="P51" s="123">
        <f t="shared" si="8"/>
        <v>4.0628385698808236E-2</v>
      </c>
      <c r="Q51" s="124" t="str">
        <f t="shared" si="9"/>
        <v>0-10%</v>
      </c>
      <c r="R51" s="125">
        <f t="shared" si="10"/>
        <v>88.55</v>
      </c>
      <c r="S51" s="121">
        <v>88.55</v>
      </c>
      <c r="T51" s="127" t="s">
        <v>94</v>
      </c>
      <c r="U51" s="127" t="s">
        <v>92</v>
      </c>
      <c r="V51" s="125">
        <f t="shared" si="4"/>
        <v>99.222499999999997</v>
      </c>
      <c r="W51" s="121">
        <v>99.222499999999997</v>
      </c>
      <c r="X51" s="125">
        <f t="shared" si="11"/>
        <v>10.672499999999999</v>
      </c>
      <c r="Y51" s="123">
        <f t="shared" si="12"/>
        <v>0.10756128902214719</v>
      </c>
      <c r="Z51" s="124" t="str">
        <f t="shared" si="13"/>
        <v>10-20%</v>
      </c>
      <c r="AA51" s="126" t="s">
        <v>350</v>
      </c>
      <c r="AB51" s="121">
        <v>94.3</v>
      </c>
      <c r="AC51" s="125">
        <f t="shared" si="14"/>
        <v>94.3</v>
      </c>
      <c r="AD51" s="125">
        <f t="shared" si="15"/>
        <v>5.75</v>
      </c>
      <c r="AE51" s="123">
        <f t="shared" si="16"/>
        <v>6.097560975609756E-2</v>
      </c>
      <c r="AF51" s="124" t="str">
        <f t="shared" si="17"/>
        <v>0-10%</v>
      </c>
      <c r="AG51" s="127"/>
    </row>
    <row r="52" spans="1:33" x14ac:dyDescent="0.2">
      <c r="A52" s="120" t="s">
        <v>115</v>
      </c>
      <c r="B52" s="120" t="s">
        <v>292</v>
      </c>
      <c r="C52" s="120" t="s">
        <v>293</v>
      </c>
      <c r="D52" s="120" t="s">
        <v>118</v>
      </c>
      <c r="E52" s="120">
        <v>1</v>
      </c>
      <c r="F52" s="120" t="s">
        <v>111</v>
      </c>
      <c r="G52" s="120">
        <v>6</v>
      </c>
      <c r="H52" s="120" t="s">
        <v>119</v>
      </c>
      <c r="I52" s="120" t="s">
        <v>120</v>
      </c>
      <c r="J52" s="120" t="s">
        <v>145</v>
      </c>
      <c r="K52" s="120" t="s">
        <v>294</v>
      </c>
      <c r="L52" s="121">
        <v>78</v>
      </c>
      <c r="M52" s="120">
        <v>1</v>
      </c>
      <c r="N52" s="120">
        <v>1</v>
      </c>
      <c r="O52" s="122">
        <f t="shared" si="7"/>
        <v>23.47</v>
      </c>
      <c r="P52" s="123">
        <f t="shared" si="8"/>
        <v>0.30089743589743589</v>
      </c>
      <c r="Q52" s="124" t="str">
        <f t="shared" si="9"/>
        <v>30+%</v>
      </c>
      <c r="R52" s="125">
        <f t="shared" si="10"/>
        <v>54.53</v>
      </c>
      <c r="S52" s="121">
        <v>54.53</v>
      </c>
      <c r="T52" s="127" t="s">
        <v>94</v>
      </c>
      <c r="U52" s="127" t="s">
        <v>92</v>
      </c>
      <c r="V52" s="125">
        <f t="shared" si="4"/>
        <v>83.85</v>
      </c>
      <c r="W52" s="121">
        <v>83.85</v>
      </c>
      <c r="X52" s="125">
        <f t="shared" si="11"/>
        <v>29.319999999999993</v>
      </c>
      <c r="Y52" s="123">
        <f t="shared" si="12"/>
        <v>0.34967203339296354</v>
      </c>
      <c r="Z52" s="124" t="str">
        <f t="shared" si="13"/>
        <v>30+%</v>
      </c>
      <c r="AA52" s="126" t="s">
        <v>350</v>
      </c>
      <c r="AB52" s="121">
        <v>89.4</v>
      </c>
      <c r="AC52" s="125">
        <f t="shared" si="14"/>
        <v>89.4</v>
      </c>
      <c r="AD52" s="125">
        <f t="shared" si="15"/>
        <v>34.870000000000005</v>
      </c>
      <c r="AE52" s="123">
        <f t="shared" si="16"/>
        <v>0.3900447427293065</v>
      </c>
      <c r="AF52" s="124" t="str">
        <f t="shared" si="17"/>
        <v>30+%</v>
      </c>
      <c r="AG52" s="127"/>
    </row>
    <row r="53" spans="1:33" x14ac:dyDescent="0.2">
      <c r="A53" s="120" t="s">
        <v>115</v>
      </c>
      <c r="B53" s="120" t="s">
        <v>295</v>
      </c>
      <c r="C53" s="120" t="s">
        <v>296</v>
      </c>
      <c r="D53" s="120" t="s">
        <v>118</v>
      </c>
      <c r="E53" s="120">
        <v>1</v>
      </c>
      <c r="F53" s="120" t="s">
        <v>111</v>
      </c>
      <c r="G53" s="120">
        <v>6</v>
      </c>
      <c r="H53" s="120" t="s">
        <v>119</v>
      </c>
      <c r="I53" s="120" t="s">
        <v>120</v>
      </c>
      <c r="J53" s="120" t="s">
        <v>297</v>
      </c>
      <c r="K53" s="120" t="s">
        <v>298</v>
      </c>
      <c r="L53" s="121">
        <v>73.72</v>
      </c>
      <c r="M53" s="120">
        <v>1</v>
      </c>
      <c r="N53" s="120">
        <v>1</v>
      </c>
      <c r="O53" s="122">
        <f t="shared" si="7"/>
        <v>-6.5900000000000034</v>
      </c>
      <c r="P53" s="123">
        <f t="shared" si="8"/>
        <v>-8.9392295170917027E-2</v>
      </c>
      <c r="Q53" s="124" t="str">
        <f t="shared" si="9"/>
        <v>Negative</v>
      </c>
      <c r="R53" s="125">
        <f t="shared" si="10"/>
        <v>80.31</v>
      </c>
      <c r="S53" s="121">
        <v>80.31</v>
      </c>
      <c r="T53" s="127" t="s">
        <v>94</v>
      </c>
      <c r="U53" s="127" t="s">
        <v>92</v>
      </c>
      <c r="V53" s="125">
        <f t="shared" si="4"/>
        <v>79.248999999999995</v>
      </c>
      <c r="W53" s="121">
        <v>79.248999999999995</v>
      </c>
      <c r="X53" s="125">
        <f t="shared" si="11"/>
        <v>-1.061000000000007</v>
      </c>
      <c r="Y53" s="123">
        <f t="shared" si="12"/>
        <v>-1.3388181554341469E-2</v>
      </c>
      <c r="Z53" s="124" t="str">
        <f t="shared" si="13"/>
        <v>Negative</v>
      </c>
      <c r="AA53" s="126" t="s">
        <v>350</v>
      </c>
      <c r="AB53" s="121">
        <v>87.1</v>
      </c>
      <c r="AC53" s="125">
        <f t="shared" si="14"/>
        <v>87.1</v>
      </c>
      <c r="AD53" s="125">
        <f t="shared" si="15"/>
        <v>6.789999999999992</v>
      </c>
      <c r="AE53" s="123">
        <f t="shared" si="16"/>
        <v>7.7956371986222642E-2</v>
      </c>
      <c r="AF53" s="124" t="str">
        <f t="shared" si="17"/>
        <v>0-10%</v>
      </c>
      <c r="AG53" s="127"/>
    </row>
    <row r="54" spans="1:33" x14ac:dyDescent="0.2">
      <c r="A54" s="120" t="s">
        <v>136</v>
      </c>
      <c r="B54" s="120" t="s">
        <v>299</v>
      </c>
      <c r="C54" s="120" t="s">
        <v>300</v>
      </c>
      <c r="D54" s="120" t="s">
        <v>118</v>
      </c>
      <c r="E54" s="120">
        <v>1</v>
      </c>
      <c r="F54" s="120" t="s">
        <v>118</v>
      </c>
      <c r="G54" s="120">
        <v>1</v>
      </c>
      <c r="H54" s="120" t="s">
        <v>301</v>
      </c>
      <c r="I54" s="120" t="s">
        <v>120</v>
      </c>
      <c r="J54" s="120" t="s">
        <v>182</v>
      </c>
      <c r="K54" s="120" t="s">
        <v>302</v>
      </c>
      <c r="L54" s="121">
        <v>69.8</v>
      </c>
      <c r="M54" s="120">
        <v>1</v>
      </c>
      <c r="N54" s="120">
        <v>1</v>
      </c>
      <c r="O54" s="122">
        <f t="shared" si="7"/>
        <v>0.32999999999999829</v>
      </c>
      <c r="P54" s="123">
        <f t="shared" si="8"/>
        <v>4.7277936962750473E-3</v>
      </c>
      <c r="Q54" s="124" t="str">
        <f t="shared" si="9"/>
        <v>0-10%</v>
      </c>
      <c r="R54" s="125">
        <f t="shared" si="10"/>
        <v>69.47</v>
      </c>
      <c r="S54" s="121">
        <v>69.47</v>
      </c>
      <c r="T54" s="127" t="s">
        <v>94</v>
      </c>
      <c r="U54" s="127" t="s">
        <v>92</v>
      </c>
      <c r="V54" s="125">
        <f t="shared" si="4"/>
        <v>75.034999999999997</v>
      </c>
      <c r="W54" s="121">
        <v>75.034999999999997</v>
      </c>
      <c r="X54" s="125">
        <f t="shared" si="11"/>
        <v>5.5649999999999977</v>
      </c>
      <c r="Y54" s="123">
        <f t="shared" si="12"/>
        <v>7.4165389484907016E-2</v>
      </c>
      <c r="Z54" s="124" t="str">
        <f t="shared" si="13"/>
        <v>0-10%</v>
      </c>
      <c r="AA54" s="126" t="s">
        <v>350</v>
      </c>
      <c r="AB54" s="121">
        <v>54.27</v>
      </c>
      <c r="AC54" s="125">
        <f t="shared" si="14"/>
        <v>54.27</v>
      </c>
      <c r="AD54" s="125">
        <f t="shared" si="15"/>
        <v>-15.199999999999996</v>
      </c>
      <c r="AE54" s="123">
        <f t="shared" si="16"/>
        <v>-0.28008107610097649</v>
      </c>
      <c r="AF54" s="124" t="str">
        <f t="shared" si="17"/>
        <v>Negative</v>
      </c>
      <c r="AG54" s="127"/>
    </row>
    <row r="55" spans="1:33" x14ac:dyDescent="0.2">
      <c r="A55" s="120" t="s">
        <v>115</v>
      </c>
      <c r="B55" s="120" t="s">
        <v>303</v>
      </c>
      <c r="C55" s="120" t="s">
        <v>304</v>
      </c>
      <c r="D55" s="120" t="s">
        <v>110</v>
      </c>
      <c r="E55" s="120">
        <v>12</v>
      </c>
      <c r="F55" s="120" t="s">
        <v>110</v>
      </c>
      <c r="G55" s="120">
        <v>1</v>
      </c>
      <c r="H55" s="120" t="s">
        <v>245</v>
      </c>
      <c r="I55" s="120" t="s">
        <v>112</v>
      </c>
      <c r="J55" s="120" t="s">
        <v>109</v>
      </c>
      <c r="K55" s="120" t="s">
        <v>246</v>
      </c>
      <c r="L55" s="121">
        <v>61.75</v>
      </c>
      <c r="M55" s="120">
        <v>1</v>
      </c>
      <c r="N55" s="120">
        <v>1</v>
      </c>
      <c r="O55" s="122">
        <f t="shared" si="7"/>
        <v>-2.1099999999999994</v>
      </c>
      <c r="P55" s="123">
        <f t="shared" si="8"/>
        <v>-3.4170040485829951E-2</v>
      </c>
      <c r="Q55" s="124" t="str">
        <f t="shared" si="9"/>
        <v>Negative</v>
      </c>
      <c r="R55" s="125">
        <f t="shared" si="10"/>
        <v>63.86</v>
      </c>
      <c r="S55" s="121">
        <v>63.86</v>
      </c>
      <c r="T55" s="127" t="s">
        <v>94</v>
      </c>
      <c r="U55" s="127" t="s">
        <v>92</v>
      </c>
      <c r="V55" s="125">
        <f t="shared" si="4"/>
        <v>66.381249999999994</v>
      </c>
      <c r="W55" s="121">
        <v>66.381249999999994</v>
      </c>
      <c r="X55" s="125">
        <f t="shared" si="11"/>
        <v>2.5212499999999949</v>
      </c>
      <c r="Y55" s="123">
        <f t="shared" si="12"/>
        <v>3.7981357687599963E-2</v>
      </c>
      <c r="Z55" s="124" t="str">
        <f t="shared" si="13"/>
        <v>0-10%</v>
      </c>
      <c r="AA55" s="126" t="s">
        <v>350</v>
      </c>
      <c r="AB55" s="121">
        <v>65.5</v>
      </c>
      <c r="AC55" s="125">
        <f t="shared" si="14"/>
        <v>65.5</v>
      </c>
      <c r="AD55" s="125">
        <f t="shared" si="15"/>
        <v>1.6400000000000006</v>
      </c>
      <c r="AE55" s="123">
        <f t="shared" si="16"/>
        <v>2.5038167938931308E-2</v>
      </c>
      <c r="AF55" s="124" t="str">
        <f t="shared" si="17"/>
        <v>0-10%</v>
      </c>
      <c r="AG55" s="127"/>
    </row>
    <row r="56" spans="1:33" x14ac:dyDescent="0.2">
      <c r="A56" s="120" t="s">
        <v>136</v>
      </c>
      <c r="B56" s="120" t="s">
        <v>305</v>
      </c>
      <c r="C56" s="120" t="s">
        <v>306</v>
      </c>
      <c r="D56" s="120" t="s">
        <v>110</v>
      </c>
      <c r="E56" s="120">
        <v>12</v>
      </c>
      <c r="F56" s="120" t="s">
        <v>111</v>
      </c>
      <c r="G56" s="120">
        <v>3</v>
      </c>
      <c r="H56" s="120" t="s">
        <v>211</v>
      </c>
      <c r="I56" s="120" t="s">
        <v>140</v>
      </c>
      <c r="J56" s="120" t="s">
        <v>150</v>
      </c>
      <c r="K56" s="120" t="s">
        <v>307</v>
      </c>
      <c r="L56" s="121">
        <v>58.3</v>
      </c>
      <c r="M56" s="120">
        <v>1</v>
      </c>
      <c r="N56" s="120">
        <v>1</v>
      </c>
      <c r="O56" s="122">
        <f t="shared" si="7"/>
        <v>8.779999999999994</v>
      </c>
      <c r="P56" s="123">
        <f t="shared" si="8"/>
        <v>0.15060034305317316</v>
      </c>
      <c r="Q56" s="124" t="str">
        <f t="shared" si="9"/>
        <v>10-20%</v>
      </c>
      <c r="R56" s="125">
        <f t="shared" si="10"/>
        <v>49.52</v>
      </c>
      <c r="S56" s="121">
        <v>49.52</v>
      </c>
      <c r="T56" s="127" t="s">
        <v>94</v>
      </c>
      <c r="U56" s="127" t="s">
        <v>92</v>
      </c>
      <c r="V56" s="125">
        <f t="shared" si="4"/>
        <v>62.672499999999992</v>
      </c>
      <c r="W56" s="121">
        <v>62.672499999999992</v>
      </c>
      <c r="X56" s="125">
        <f t="shared" si="11"/>
        <v>13.152499999999989</v>
      </c>
      <c r="Y56" s="123">
        <f t="shared" si="12"/>
        <v>0.20986078423550986</v>
      </c>
      <c r="Z56" s="124" t="str">
        <f t="shared" si="13"/>
        <v>20-30%</v>
      </c>
      <c r="AA56" s="126" t="s">
        <v>350</v>
      </c>
      <c r="AB56" s="121">
        <v>58.3</v>
      </c>
      <c r="AC56" s="125">
        <f t="shared" si="14"/>
        <v>58.3</v>
      </c>
      <c r="AD56" s="125">
        <f t="shared" si="15"/>
        <v>8.779999999999994</v>
      </c>
      <c r="AE56" s="123">
        <f t="shared" si="16"/>
        <v>0.15060034305317316</v>
      </c>
      <c r="AF56" s="124" t="str">
        <f t="shared" si="17"/>
        <v>10-20%</v>
      </c>
      <c r="AG56" s="127"/>
    </row>
    <row r="57" spans="1:33" x14ac:dyDescent="0.2">
      <c r="A57" s="120" t="s">
        <v>115</v>
      </c>
      <c r="B57" s="120" t="s">
        <v>308</v>
      </c>
      <c r="C57" s="120" t="s">
        <v>300</v>
      </c>
      <c r="D57" s="120" t="s">
        <v>118</v>
      </c>
      <c r="E57" s="120">
        <v>1</v>
      </c>
      <c r="F57" s="120" t="s">
        <v>118</v>
      </c>
      <c r="G57" s="120">
        <v>1</v>
      </c>
      <c r="H57" s="120" t="s">
        <v>301</v>
      </c>
      <c r="I57" s="120" t="s">
        <v>120</v>
      </c>
      <c r="J57" s="120" t="s">
        <v>182</v>
      </c>
      <c r="K57" s="120" t="s">
        <v>302</v>
      </c>
      <c r="L57" s="121">
        <v>56.8</v>
      </c>
      <c r="M57" s="120">
        <v>1</v>
      </c>
      <c r="N57" s="120">
        <v>1</v>
      </c>
      <c r="O57" s="122">
        <f t="shared" si="7"/>
        <v>1.8200000000000003</v>
      </c>
      <c r="P57" s="123">
        <f t="shared" si="8"/>
        <v>3.2042253521126766E-2</v>
      </c>
      <c r="Q57" s="124" t="str">
        <f t="shared" si="9"/>
        <v>0-10%</v>
      </c>
      <c r="R57" s="125">
        <f t="shared" si="10"/>
        <v>54.98</v>
      </c>
      <c r="S57" s="121">
        <v>54.98</v>
      </c>
      <c r="T57" s="127" t="s">
        <v>94</v>
      </c>
      <c r="U57" s="127" t="s">
        <v>92</v>
      </c>
      <c r="V57" s="125">
        <f t="shared" si="4"/>
        <v>61.059999999999995</v>
      </c>
      <c r="W57" s="121">
        <v>61.059999999999995</v>
      </c>
      <c r="X57" s="125">
        <f t="shared" si="11"/>
        <v>6.0799999999999983</v>
      </c>
      <c r="Y57" s="123">
        <f t="shared" si="12"/>
        <v>9.9574189321978368E-2</v>
      </c>
      <c r="Z57" s="124" t="str">
        <f t="shared" si="13"/>
        <v>0-10%</v>
      </c>
      <c r="AA57" s="126" t="s">
        <v>350</v>
      </c>
      <c r="AB57" s="121">
        <v>42.95</v>
      </c>
      <c r="AC57" s="125">
        <f t="shared" si="14"/>
        <v>42.95</v>
      </c>
      <c r="AD57" s="125">
        <f t="shared" si="15"/>
        <v>-12.029999999999994</v>
      </c>
      <c r="AE57" s="123">
        <f t="shared" si="16"/>
        <v>-0.28009313154831184</v>
      </c>
      <c r="AF57" s="124" t="str">
        <f t="shared" si="17"/>
        <v>Negative</v>
      </c>
      <c r="AG57" s="127"/>
    </row>
    <row r="58" spans="1:33" x14ac:dyDescent="0.2">
      <c r="A58" s="120" t="s">
        <v>115</v>
      </c>
      <c r="B58" s="120" t="s">
        <v>309</v>
      </c>
      <c r="C58" s="120" t="s">
        <v>310</v>
      </c>
      <c r="D58" s="120" t="s">
        <v>110</v>
      </c>
      <c r="E58" s="120">
        <v>100</v>
      </c>
      <c r="F58" s="120" t="s">
        <v>111</v>
      </c>
      <c r="G58" s="120">
        <v>10</v>
      </c>
      <c r="H58" s="120" t="s">
        <v>257</v>
      </c>
      <c r="I58" s="120" t="s">
        <v>112</v>
      </c>
      <c r="J58" s="120" t="s">
        <v>109</v>
      </c>
      <c r="K58" s="120" t="s">
        <v>258</v>
      </c>
      <c r="L58" s="121">
        <v>55.76</v>
      </c>
      <c r="M58" s="120">
        <v>1</v>
      </c>
      <c r="N58" s="120">
        <v>1</v>
      </c>
      <c r="O58" s="122">
        <f t="shared" si="7"/>
        <v>47.33</v>
      </c>
      <c r="P58" s="123">
        <f t="shared" si="8"/>
        <v>0.84881635581061698</v>
      </c>
      <c r="Q58" s="124" t="str">
        <f t="shared" si="9"/>
        <v>30+%</v>
      </c>
      <c r="R58" s="125">
        <f t="shared" si="10"/>
        <v>8.43</v>
      </c>
      <c r="S58" s="121">
        <v>8.43</v>
      </c>
      <c r="T58" s="127" t="s">
        <v>93</v>
      </c>
      <c r="U58" s="127" t="s">
        <v>90</v>
      </c>
      <c r="V58" s="125">
        <f t="shared" si="4"/>
        <v>59.941999999999993</v>
      </c>
      <c r="W58" s="121">
        <v>59.941999999999993</v>
      </c>
      <c r="X58" s="125">
        <f t="shared" si="11"/>
        <v>51.511999999999993</v>
      </c>
      <c r="Y58" s="123">
        <f t="shared" si="12"/>
        <v>0.85936405191685294</v>
      </c>
      <c r="Z58" s="124" t="str">
        <f t="shared" si="13"/>
        <v>30+%</v>
      </c>
      <c r="AA58" s="126" t="s">
        <v>350</v>
      </c>
      <c r="AB58" s="121">
        <v>74.099999999999994</v>
      </c>
      <c r="AC58" s="125">
        <f t="shared" si="14"/>
        <v>74.099999999999994</v>
      </c>
      <c r="AD58" s="125">
        <f t="shared" si="15"/>
        <v>65.669999999999987</v>
      </c>
      <c r="AE58" s="123">
        <f t="shared" si="16"/>
        <v>0.88623481781376512</v>
      </c>
      <c r="AF58" s="124" t="str">
        <f t="shared" si="17"/>
        <v>30+%</v>
      </c>
      <c r="AG58" s="127"/>
    </row>
    <row r="59" spans="1:33" x14ac:dyDescent="0.2">
      <c r="A59" s="120" t="s">
        <v>136</v>
      </c>
      <c r="B59" s="120" t="s">
        <v>311</v>
      </c>
      <c r="C59" s="120" t="s">
        <v>312</v>
      </c>
      <c r="D59" s="120" t="s">
        <v>110</v>
      </c>
      <c r="E59" s="120">
        <v>6</v>
      </c>
      <c r="F59" s="120" t="s">
        <v>110</v>
      </c>
      <c r="G59" s="120">
        <v>1</v>
      </c>
      <c r="H59" s="120" t="s">
        <v>290</v>
      </c>
      <c r="I59" s="120" t="s">
        <v>112</v>
      </c>
      <c r="J59" s="120" t="s">
        <v>109</v>
      </c>
      <c r="K59" s="120" t="s">
        <v>313</v>
      </c>
      <c r="L59" s="121">
        <v>46.17</v>
      </c>
      <c r="M59" s="120">
        <v>1</v>
      </c>
      <c r="N59" s="120">
        <v>1</v>
      </c>
      <c r="O59" s="122">
        <f t="shared" si="7"/>
        <v>22.470000000000002</v>
      </c>
      <c r="P59" s="123">
        <f t="shared" si="8"/>
        <v>0.48667966211825864</v>
      </c>
      <c r="Q59" s="124" t="str">
        <f t="shared" si="9"/>
        <v>30+%</v>
      </c>
      <c r="R59" s="125">
        <f t="shared" si="10"/>
        <v>23.7</v>
      </c>
      <c r="S59" s="121">
        <v>23.7</v>
      </c>
      <c r="T59" s="127" t="s">
        <v>93</v>
      </c>
      <c r="U59" s="127" t="s">
        <v>90</v>
      </c>
      <c r="V59" s="125">
        <f t="shared" si="4"/>
        <v>49.632750000000001</v>
      </c>
      <c r="W59" s="121">
        <v>49.632750000000001</v>
      </c>
      <c r="X59" s="125">
        <f t="shared" si="11"/>
        <v>25.932750000000002</v>
      </c>
      <c r="Y59" s="123">
        <f t="shared" si="12"/>
        <v>0.52249270894721733</v>
      </c>
      <c r="Z59" s="124" t="str">
        <f t="shared" si="13"/>
        <v>30+%</v>
      </c>
      <c r="AA59" s="126" t="s">
        <v>350</v>
      </c>
      <c r="AB59" s="121">
        <v>45.75</v>
      </c>
      <c r="AC59" s="125">
        <f t="shared" si="14"/>
        <v>45.75</v>
      </c>
      <c r="AD59" s="125">
        <f t="shared" si="15"/>
        <v>22.05</v>
      </c>
      <c r="AE59" s="123">
        <f t="shared" si="16"/>
        <v>0.4819672131147541</v>
      </c>
      <c r="AF59" s="124" t="str">
        <f t="shared" si="17"/>
        <v>30+%</v>
      </c>
      <c r="AG59" s="127"/>
    </row>
    <row r="60" spans="1:33" x14ac:dyDescent="0.2">
      <c r="A60" s="120" t="s">
        <v>115</v>
      </c>
      <c r="B60" s="120" t="s">
        <v>314</v>
      </c>
      <c r="C60" s="120" t="s">
        <v>315</v>
      </c>
      <c r="D60" s="120" t="s">
        <v>118</v>
      </c>
      <c r="E60" s="120">
        <v>1</v>
      </c>
      <c r="F60" s="120" t="s">
        <v>111</v>
      </c>
      <c r="G60" s="120">
        <v>6</v>
      </c>
      <c r="H60" s="120" t="s">
        <v>119</v>
      </c>
      <c r="I60" s="120" t="s">
        <v>120</v>
      </c>
      <c r="J60" s="120" t="s">
        <v>316</v>
      </c>
      <c r="K60" s="120" t="s">
        <v>317</v>
      </c>
      <c r="L60" s="121">
        <v>46.02</v>
      </c>
      <c r="M60" s="120">
        <v>1</v>
      </c>
      <c r="N60" s="120">
        <v>1</v>
      </c>
      <c r="O60" s="122">
        <f t="shared" si="7"/>
        <v>39.61</v>
      </c>
      <c r="P60" s="123">
        <f t="shared" si="8"/>
        <v>0.86071273359408951</v>
      </c>
      <c r="Q60" s="124" t="str">
        <f t="shared" si="9"/>
        <v>30+%</v>
      </c>
      <c r="R60" s="125">
        <f t="shared" si="10"/>
        <v>6.41</v>
      </c>
      <c r="S60" s="121">
        <v>6.41</v>
      </c>
      <c r="T60" s="127" t="s">
        <v>94</v>
      </c>
      <c r="U60" s="127" t="s">
        <v>114</v>
      </c>
      <c r="V60" s="125">
        <f t="shared" si="4"/>
        <v>49.471499999999999</v>
      </c>
      <c r="W60" s="121">
        <v>49.471499999999999</v>
      </c>
      <c r="X60" s="125">
        <f t="shared" si="11"/>
        <v>43.061499999999995</v>
      </c>
      <c r="Y60" s="123">
        <f t="shared" si="12"/>
        <v>0.87043044985496687</v>
      </c>
      <c r="Z60" s="124" t="str">
        <f t="shared" si="13"/>
        <v>30+%</v>
      </c>
      <c r="AA60" s="126" t="s">
        <v>350</v>
      </c>
      <c r="AB60" s="121">
        <v>57</v>
      </c>
      <c r="AC60" s="125">
        <f t="shared" si="14"/>
        <v>57</v>
      </c>
      <c r="AD60" s="125">
        <f t="shared" si="15"/>
        <v>50.59</v>
      </c>
      <c r="AE60" s="123">
        <f t="shared" si="16"/>
        <v>0.88754385964912286</v>
      </c>
      <c r="AF60" s="124" t="str">
        <f t="shared" si="17"/>
        <v>30+%</v>
      </c>
      <c r="AG60" s="127"/>
    </row>
    <row r="61" spans="1:33" x14ac:dyDescent="0.2">
      <c r="A61" s="120" t="s">
        <v>115</v>
      </c>
      <c r="B61" s="120" t="s">
        <v>318</v>
      </c>
      <c r="C61" s="120" t="s">
        <v>319</v>
      </c>
      <c r="D61" s="120" t="s">
        <v>118</v>
      </c>
      <c r="E61" s="120">
        <v>1</v>
      </c>
      <c r="F61" s="120" t="s">
        <v>118</v>
      </c>
      <c r="G61" s="120">
        <v>1</v>
      </c>
      <c r="H61" s="120" t="s">
        <v>173</v>
      </c>
      <c r="I61" s="120" t="s">
        <v>120</v>
      </c>
      <c r="J61" s="120" t="s">
        <v>182</v>
      </c>
      <c r="K61" s="120" t="s">
        <v>302</v>
      </c>
      <c r="L61" s="121">
        <v>44.36</v>
      </c>
      <c r="M61" s="120">
        <v>1</v>
      </c>
      <c r="N61" s="120">
        <v>1</v>
      </c>
      <c r="O61" s="122">
        <f t="shared" si="7"/>
        <v>2.4099999999999966</v>
      </c>
      <c r="P61" s="123">
        <f t="shared" si="8"/>
        <v>5.4328223624887206E-2</v>
      </c>
      <c r="Q61" s="124" t="str">
        <f t="shared" si="9"/>
        <v>0-10%</v>
      </c>
      <c r="R61" s="125">
        <f t="shared" si="10"/>
        <v>41.95</v>
      </c>
      <c r="S61" s="121">
        <v>41.95</v>
      </c>
      <c r="T61" s="127" t="s">
        <v>94</v>
      </c>
      <c r="U61" s="127" t="s">
        <v>92</v>
      </c>
      <c r="V61" s="125">
        <f t="shared" si="4"/>
        <v>47.686999999999998</v>
      </c>
      <c r="W61" s="121">
        <v>47.686999999999998</v>
      </c>
      <c r="X61" s="125">
        <f t="shared" si="11"/>
        <v>5.7369999999999948</v>
      </c>
      <c r="Y61" s="123">
        <f t="shared" si="12"/>
        <v>0.12030532430222063</v>
      </c>
      <c r="Z61" s="124" t="str">
        <f t="shared" si="13"/>
        <v>10-20%</v>
      </c>
      <c r="AA61" s="126" t="s">
        <v>350</v>
      </c>
      <c r="AB61" s="121">
        <v>48.55</v>
      </c>
      <c r="AC61" s="125">
        <f t="shared" si="14"/>
        <v>48.55</v>
      </c>
      <c r="AD61" s="125">
        <f t="shared" si="15"/>
        <v>6.5999999999999943</v>
      </c>
      <c r="AE61" s="123">
        <f t="shared" si="16"/>
        <v>0.13594232749742521</v>
      </c>
      <c r="AF61" s="124" t="str">
        <f t="shared" si="17"/>
        <v>10-20%</v>
      </c>
      <c r="AG61" s="127"/>
    </row>
    <row r="62" spans="1:33" x14ac:dyDescent="0.2">
      <c r="A62" s="120" t="s">
        <v>115</v>
      </c>
      <c r="B62" s="120" t="s">
        <v>320</v>
      </c>
      <c r="C62" s="120" t="s">
        <v>321</v>
      </c>
      <c r="D62" s="120" t="s">
        <v>118</v>
      </c>
      <c r="E62" s="120">
        <v>1</v>
      </c>
      <c r="F62" s="120" t="s">
        <v>111</v>
      </c>
      <c r="G62" s="120">
        <v>6</v>
      </c>
      <c r="H62" s="120" t="s">
        <v>119</v>
      </c>
      <c r="I62" s="120" t="s">
        <v>120</v>
      </c>
      <c r="J62" s="120" t="s">
        <v>316</v>
      </c>
      <c r="K62" s="120" t="s">
        <v>317</v>
      </c>
      <c r="L62" s="121">
        <v>43.05</v>
      </c>
      <c r="M62" s="120">
        <v>1</v>
      </c>
      <c r="N62" s="120">
        <v>1</v>
      </c>
      <c r="O62" s="122">
        <f t="shared" si="7"/>
        <v>36.419999999999995</v>
      </c>
      <c r="P62" s="123">
        <f t="shared" si="8"/>
        <v>0.84599303135888493</v>
      </c>
      <c r="Q62" s="124" t="str">
        <f t="shared" si="9"/>
        <v>30+%</v>
      </c>
      <c r="R62" s="125">
        <f t="shared" si="10"/>
        <v>6.63</v>
      </c>
      <c r="S62" s="121">
        <v>6.63</v>
      </c>
      <c r="T62" s="127" t="s">
        <v>94</v>
      </c>
      <c r="U62" s="127" t="s">
        <v>114</v>
      </c>
      <c r="V62" s="125">
        <f t="shared" si="4"/>
        <v>46.278749999999995</v>
      </c>
      <c r="W62" s="121">
        <v>46.278749999999995</v>
      </c>
      <c r="X62" s="125">
        <f t="shared" si="11"/>
        <v>39.648749999999993</v>
      </c>
      <c r="Y62" s="123">
        <f t="shared" si="12"/>
        <v>0.85673770358966039</v>
      </c>
      <c r="Z62" s="124" t="str">
        <f t="shared" si="13"/>
        <v>30+%</v>
      </c>
      <c r="AA62" s="126" t="s">
        <v>350</v>
      </c>
      <c r="AB62" s="121">
        <v>59.3</v>
      </c>
      <c r="AC62" s="125">
        <f t="shared" si="14"/>
        <v>59.3</v>
      </c>
      <c r="AD62" s="125">
        <f t="shared" si="15"/>
        <v>52.669999999999995</v>
      </c>
      <c r="AE62" s="123">
        <f t="shared" si="16"/>
        <v>0.88819561551433379</v>
      </c>
      <c r="AF62" s="124" t="str">
        <f t="shared" si="17"/>
        <v>30+%</v>
      </c>
      <c r="AG62" s="127"/>
    </row>
    <row r="63" spans="1:33" x14ac:dyDescent="0.2">
      <c r="A63" s="120" t="s">
        <v>115</v>
      </c>
      <c r="B63" s="120" t="s">
        <v>322</v>
      </c>
      <c r="C63" s="120" t="s">
        <v>323</v>
      </c>
      <c r="D63" s="120" t="s">
        <v>118</v>
      </c>
      <c r="E63" s="120">
        <v>1</v>
      </c>
      <c r="F63" s="120" t="s">
        <v>111</v>
      </c>
      <c r="G63" s="120">
        <v>6</v>
      </c>
      <c r="H63" s="120" t="s">
        <v>119</v>
      </c>
      <c r="I63" s="120" t="s">
        <v>120</v>
      </c>
      <c r="J63" s="120" t="s">
        <v>316</v>
      </c>
      <c r="K63" s="120" t="s">
        <v>317</v>
      </c>
      <c r="L63" s="121">
        <v>41.77</v>
      </c>
      <c r="M63" s="120">
        <v>1</v>
      </c>
      <c r="N63" s="120">
        <v>1</v>
      </c>
      <c r="O63" s="122">
        <f t="shared" si="7"/>
        <v>35.32</v>
      </c>
      <c r="P63" s="123">
        <f t="shared" si="8"/>
        <v>0.84558295427340191</v>
      </c>
      <c r="Q63" s="124" t="str">
        <f t="shared" si="9"/>
        <v>30+%</v>
      </c>
      <c r="R63" s="125">
        <f t="shared" si="10"/>
        <v>6.45</v>
      </c>
      <c r="S63" s="121">
        <v>6.45</v>
      </c>
      <c r="T63" s="127" t="s">
        <v>94</v>
      </c>
      <c r="U63" s="127" t="s">
        <v>114</v>
      </c>
      <c r="V63" s="125">
        <f t="shared" si="4"/>
        <v>44.902750000000005</v>
      </c>
      <c r="W63" s="121">
        <v>44.902750000000005</v>
      </c>
      <c r="X63" s="125">
        <f t="shared" si="11"/>
        <v>38.452750000000002</v>
      </c>
      <c r="Y63" s="123">
        <f t="shared" si="12"/>
        <v>0.8563562365333971</v>
      </c>
      <c r="Z63" s="124" t="str">
        <f t="shared" si="13"/>
        <v>30+%</v>
      </c>
      <c r="AA63" s="126" t="s">
        <v>350</v>
      </c>
      <c r="AB63" s="121">
        <v>58.2</v>
      </c>
      <c r="AC63" s="125">
        <f t="shared" si="14"/>
        <v>58.2</v>
      </c>
      <c r="AD63" s="125">
        <f t="shared" si="15"/>
        <v>51.75</v>
      </c>
      <c r="AE63" s="123">
        <f t="shared" si="16"/>
        <v>0.88917525773195871</v>
      </c>
      <c r="AF63" s="124" t="str">
        <f t="shared" si="17"/>
        <v>30+%</v>
      </c>
      <c r="AG63" s="127"/>
    </row>
    <row r="64" spans="1:33" x14ac:dyDescent="0.2">
      <c r="A64" s="120" t="s">
        <v>115</v>
      </c>
      <c r="B64" s="120" t="s">
        <v>324</v>
      </c>
      <c r="C64" s="120" t="s">
        <v>325</v>
      </c>
      <c r="D64" s="120" t="s">
        <v>110</v>
      </c>
      <c r="E64" s="120">
        <v>100</v>
      </c>
      <c r="F64" s="120" t="s">
        <v>110</v>
      </c>
      <c r="G64" s="120">
        <v>1</v>
      </c>
      <c r="H64" s="120" t="s">
        <v>326</v>
      </c>
      <c r="I64" s="120" t="s">
        <v>140</v>
      </c>
      <c r="J64" s="120" t="s">
        <v>169</v>
      </c>
      <c r="K64" s="120" t="s">
        <v>327</v>
      </c>
      <c r="L64" s="121">
        <v>40.56</v>
      </c>
      <c r="M64" s="120">
        <v>1</v>
      </c>
      <c r="N64" s="120">
        <v>2</v>
      </c>
      <c r="O64" s="122">
        <f t="shared" si="7"/>
        <v>1.8000000000000043</v>
      </c>
      <c r="P64" s="123">
        <f t="shared" si="8"/>
        <v>4.4378698224852173E-2</v>
      </c>
      <c r="Q64" s="124" t="str">
        <f t="shared" si="9"/>
        <v>0-10%</v>
      </c>
      <c r="R64" s="125">
        <f t="shared" si="10"/>
        <v>38.76</v>
      </c>
      <c r="S64" s="121">
        <v>19.38</v>
      </c>
      <c r="T64" s="127" t="s">
        <v>94</v>
      </c>
      <c r="U64" s="127" t="s">
        <v>92</v>
      </c>
      <c r="V64" s="125">
        <f t="shared" si="4"/>
        <v>43.602000000000004</v>
      </c>
      <c r="W64" s="121">
        <v>21.801000000000002</v>
      </c>
      <c r="X64" s="125">
        <f t="shared" si="11"/>
        <v>4.8420000000000059</v>
      </c>
      <c r="Y64" s="123">
        <f t="shared" si="12"/>
        <v>0.11104995183707182</v>
      </c>
      <c r="Z64" s="124" t="str">
        <f t="shared" si="13"/>
        <v>10-20%</v>
      </c>
      <c r="AA64" s="126" t="s">
        <v>350</v>
      </c>
      <c r="AB64" s="121">
        <v>22.25</v>
      </c>
      <c r="AC64" s="125">
        <f t="shared" si="14"/>
        <v>44.5</v>
      </c>
      <c r="AD64" s="125">
        <f t="shared" si="15"/>
        <v>5.740000000000002</v>
      </c>
      <c r="AE64" s="123">
        <f t="shared" si="16"/>
        <v>0.12898876404494386</v>
      </c>
      <c r="AF64" s="124" t="str">
        <f t="shared" si="17"/>
        <v>10-20%</v>
      </c>
      <c r="AG64" s="127"/>
    </row>
    <row r="65" spans="1:33" x14ac:dyDescent="0.2">
      <c r="A65" s="120" t="s">
        <v>115</v>
      </c>
      <c r="B65" s="120" t="s">
        <v>328</v>
      </c>
      <c r="C65" s="120" t="s">
        <v>329</v>
      </c>
      <c r="D65" s="120" t="s">
        <v>118</v>
      </c>
      <c r="E65" s="120">
        <v>1</v>
      </c>
      <c r="F65" s="120" t="s">
        <v>118</v>
      </c>
      <c r="G65" s="120">
        <v>1</v>
      </c>
      <c r="H65" s="120" t="s">
        <v>330</v>
      </c>
      <c r="I65" s="120" t="s">
        <v>120</v>
      </c>
      <c r="J65" s="120" t="s">
        <v>129</v>
      </c>
      <c r="K65" s="120" t="s">
        <v>133</v>
      </c>
      <c r="L65" s="121">
        <v>39.5</v>
      </c>
      <c r="M65" s="120">
        <v>1</v>
      </c>
      <c r="N65" s="120">
        <v>1</v>
      </c>
      <c r="O65" s="122">
        <f t="shared" si="7"/>
        <v>4.5</v>
      </c>
      <c r="P65" s="123">
        <f t="shared" si="8"/>
        <v>0.11392405063291139</v>
      </c>
      <c r="Q65" s="124" t="str">
        <f t="shared" si="9"/>
        <v>10-20%</v>
      </c>
      <c r="R65" s="125">
        <f t="shared" si="10"/>
        <v>35</v>
      </c>
      <c r="S65" s="121">
        <v>35</v>
      </c>
      <c r="T65" s="127" t="s">
        <v>94</v>
      </c>
      <c r="U65" s="127" t="s">
        <v>92</v>
      </c>
      <c r="V65" s="125">
        <f t="shared" si="4"/>
        <v>42.462499999999999</v>
      </c>
      <c r="W65" s="121">
        <v>42.462499999999999</v>
      </c>
      <c r="X65" s="125">
        <f t="shared" si="11"/>
        <v>7.4624999999999986</v>
      </c>
      <c r="Y65" s="123">
        <f t="shared" si="12"/>
        <v>0.17574330291433615</v>
      </c>
      <c r="Z65" s="124" t="str">
        <f t="shared" si="13"/>
        <v>10-20%</v>
      </c>
      <c r="AA65" s="126" t="s">
        <v>350</v>
      </c>
      <c r="AB65" s="121">
        <v>35</v>
      </c>
      <c r="AC65" s="125">
        <f t="shared" si="14"/>
        <v>35</v>
      </c>
      <c r="AD65" s="125">
        <f t="shared" si="15"/>
        <v>0</v>
      </c>
      <c r="AE65" s="123">
        <f t="shared" si="16"/>
        <v>0</v>
      </c>
      <c r="AF65" s="124" t="str">
        <f t="shared" si="17"/>
        <v>Same</v>
      </c>
      <c r="AG65" s="127"/>
    </row>
    <row r="66" spans="1:33" x14ac:dyDescent="0.2">
      <c r="A66" s="120" t="s">
        <v>136</v>
      </c>
      <c r="B66" s="120" t="s">
        <v>331</v>
      </c>
      <c r="C66" s="120" t="s">
        <v>332</v>
      </c>
      <c r="D66" s="120" t="s">
        <v>110</v>
      </c>
      <c r="E66" s="120">
        <v>50</v>
      </c>
      <c r="F66" s="120" t="s">
        <v>110</v>
      </c>
      <c r="G66" s="120">
        <v>1</v>
      </c>
      <c r="H66" s="120" t="s">
        <v>333</v>
      </c>
      <c r="I66" s="120" t="s">
        <v>112</v>
      </c>
      <c r="J66" s="120" t="s">
        <v>109</v>
      </c>
      <c r="K66" s="120" t="s">
        <v>258</v>
      </c>
      <c r="L66" s="121">
        <v>39.43</v>
      </c>
      <c r="M66" s="120">
        <v>1</v>
      </c>
      <c r="N66" s="120">
        <v>1</v>
      </c>
      <c r="O66" s="122">
        <f t="shared" si="7"/>
        <v>15.66</v>
      </c>
      <c r="P66" s="123">
        <f t="shared" si="8"/>
        <v>0.39715952320568099</v>
      </c>
      <c r="Q66" s="124" t="str">
        <f t="shared" si="9"/>
        <v>30+%</v>
      </c>
      <c r="R66" s="125">
        <f t="shared" si="10"/>
        <v>23.77</v>
      </c>
      <c r="S66" s="121">
        <v>23.77</v>
      </c>
      <c r="T66" s="127" t="s">
        <v>93</v>
      </c>
      <c r="U66" s="127" t="s">
        <v>90</v>
      </c>
      <c r="V66" s="125">
        <f t="shared" si="4"/>
        <v>42.387249999999995</v>
      </c>
      <c r="W66" s="121">
        <v>42.387249999999995</v>
      </c>
      <c r="X66" s="125">
        <f t="shared" si="11"/>
        <v>18.617249999999995</v>
      </c>
      <c r="Y66" s="123">
        <f t="shared" si="12"/>
        <v>0.43921816112156359</v>
      </c>
      <c r="Z66" s="124" t="str">
        <f t="shared" si="13"/>
        <v>30+%</v>
      </c>
      <c r="AA66" s="126" t="s">
        <v>350</v>
      </c>
      <c r="AB66" s="121">
        <v>42.7</v>
      </c>
      <c r="AC66" s="125">
        <f t="shared" si="14"/>
        <v>42.7</v>
      </c>
      <c r="AD66" s="125">
        <f t="shared" si="15"/>
        <v>18.930000000000003</v>
      </c>
      <c r="AE66" s="123">
        <f t="shared" si="16"/>
        <v>0.44332552693208438</v>
      </c>
      <c r="AF66" s="124" t="str">
        <f t="shared" si="17"/>
        <v>30+%</v>
      </c>
      <c r="AG66" s="127"/>
    </row>
    <row r="67" spans="1:33" x14ac:dyDescent="0.2">
      <c r="A67" s="120" t="s">
        <v>115</v>
      </c>
      <c r="B67" s="120" t="s">
        <v>334</v>
      </c>
      <c r="C67" s="120" t="s">
        <v>335</v>
      </c>
      <c r="D67" s="120" t="s">
        <v>110</v>
      </c>
      <c r="E67" s="120">
        <v>200</v>
      </c>
      <c r="F67" s="120" t="s">
        <v>110</v>
      </c>
      <c r="G67" s="120">
        <v>1</v>
      </c>
      <c r="H67" s="120" t="s">
        <v>336</v>
      </c>
      <c r="I67" s="120" t="s">
        <v>225</v>
      </c>
      <c r="J67" s="120" t="s">
        <v>226</v>
      </c>
      <c r="K67" s="120" t="s">
        <v>337</v>
      </c>
      <c r="L67" s="121">
        <v>29.02</v>
      </c>
      <c r="M67" s="120">
        <v>1</v>
      </c>
      <c r="N67" s="120">
        <v>1</v>
      </c>
      <c r="O67" s="122">
        <f t="shared" si="7"/>
        <v>1.5199999999999996</v>
      </c>
      <c r="P67" s="123">
        <f t="shared" si="8"/>
        <v>5.237767057201928E-2</v>
      </c>
      <c r="Q67" s="124" t="str">
        <f t="shared" si="9"/>
        <v>0-10%</v>
      </c>
      <c r="R67" s="125">
        <f t="shared" si="10"/>
        <v>27.5</v>
      </c>
      <c r="S67" s="121">
        <v>27.5</v>
      </c>
      <c r="T67" s="127" t="s">
        <v>94</v>
      </c>
      <c r="U67" s="127" t="s">
        <v>92</v>
      </c>
      <c r="V67" s="125">
        <f t="shared" si="4"/>
        <v>31.196499999999997</v>
      </c>
      <c r="W67" s="121">
        <v>31.196499999999997</v>
      </c>
      <c r="X67" s="125">
        <f t="shared" si="11"/>
        <v>3.6964999999999968</v>
      </c>
      <c r="Y67" s="123">
        <f t="shared" si="12"/>
        <v>0.11849085634606438</v>
      </c>
      <c r="Z67" s="124" t="str">
        <f t="shared" si="13"/>
        <v>10-20%</v>
      </c>
      <c r="AA67" s="126" t="s">
        <v>350</v>
      </c>
      <c r="AB67" s="121">
        <v>30.55</v>
      </c>
      <c r="AC67" s="125">
        <f t="shared" si="14"/>
        <v>30.55</v>
      </c>
      <c r="AD67" s="125">
        <f t="shared" si="15"/>
        <v>3.0500000000000007</v>
      </c>
      <c r="AE67" s="123">
        <f t="shared" si="16"/>
        <v>9.9836333878887087E-2</v>
      </c>
      <c r="AF67" s="124" t="str">
        <f t="shared" si="17"/>
        <v>0-10%</v>
      </c>
      <c r="AG67" s="127"/>
    </row>
    <row r="68" spans="1:33" x14ac:dyDescent="0.2">
      <c r="A68" s="120" t="s">
        <v>115</v>
      </c>
      <c r="B68" s="120" t="s">
        <v>338</v>
      </c>
      <c r="C68" s="120" t="s">
        <v>339</v>
      </c>
      <c r="D68" s="120" t="s">
        <v>110</v>
      </c>
      <c r="E68" s="120">
        <v>6</v>
      </c>
      <c r="F68" s="120" t="s">
        <v>110</v>
      </c>
      <c r="G68" s="120">
        <v>1</v>
      </c>
      <c r="H68" s="120" t="s">
        <v>257</v>
      </c>
      <c r="I68" s="120" t="s">
        <v>112</v>
      </c>
      <c r="J68" s="120" t="s">
        <v>109</v>
      </c>
      <c r="K68" s="120" t="s">
        <v>246</v>
      </c>
      <c r="L68" s="121">
        <v>28.75</v>
      </c>
      <c r="M68" s="120">
        <v>1</v>
      </c>
      <c r="N68" s="120">
        <v>1</v>
      </c>
      <c r="O68" s="122">
        <f t="shared" si="7"/>
        <v>-3.6000000000000014</v>
      </c>
      <c r="P68" s="123">
        <f t="shared" si="8"/>
        <v>-0.12521739130434786</v>
      </c>
      <c r="Q68" s="124" t="str">
        <f t="shared" si="9"/>
        <v>Negative</v>
      </c>
      <c r="R68" s="125">
        <f t="shared" si="10"/>
        <v>32.35</v>
      </c>
      <c r="S68" s="121">
        <v>32.35</v>
      </c>
      <c r="T68" s="127" t="s">
        <v>93</v>
      </c>
      <c r="U68" s="127" t="s">
        <v>90</v>
      </c>
      <c r="V68" s="125">
        <f t="shared" ref="V68:V71" si="18">W68*N68</f>
        <v>30.90625</v>
      </c>
      <c r="W68" s="121">
        <v>30.90625</v>
      </c>
      <c r="X68" s="125">
        <f t="shared" si="11"/>
        <v>-1.4437500000000014</v>
      </c>
      <c r="Y68" s="123">
        <f t="shared" si="12"/>
        <v>-4.6713852376137559E-2</v>
      </c>
      <c r="Z68" s="124" t="str">
        <f t="shared" si="13"/>
        <v>Negative</v>
      </c>
      <c r="AA68" s="126" t="s">
        <v>350</v>
      </c>
      <c r="AB68" s="121">
        <v>61.1</v>
      </c>
      <c r="AC68" s="125">
        <f t="shared" si="14"/>
        <v>61.1</v>
      </c>
      <c r="AD68" s="125">
        <f t="shared" si="15"/>
        <v>28.75</v>
      </c>
      <c r="AE68" s="123">
        <f t="shared" si="16"/>
        <v>0.47054009819967263</v>
      </c>
      <c r="AF68" s="124" t="str">
        <f t="shared" si="17"/>
        <v>30+%</v>
      </c>
      <c r="AG68" s="127"/>
    </row>
    <row r="69" spans="1:33" x14ac:dyDescent="0.2">
      <c r="A69" s="120" t="s">
        <v>115</v>
      </c>
      <c r="B69" s="120" t="s">
        <v>340</v>
      </c>
      <c r="C69" s="120" t="s">
        <v>341</v>
      </c>
      <c r="D69" s="120" t="s">
        <v>110</v>
      </c>
      <c r="E69" s="120">
        <v>50</v>
      </c>
      <c r="F69" s="120" t="s">
        <v>111</v>
      </c>
      <c r="G69" s="120">
        <v>18</v>
      </c>
      <c r="H69" s="120" t="s">
        <v>257</v>
      </c>
      <c r="I69" s="120" t="s">
        <v>112</v>
      </c>
      <c r="J69" s="120" t="s">
        <v>109</v>
      </c>
      <c r="K69" s="120" t="s">
        <v>342</v>
      </c>
      <c r="L69" s="121">
        <v>22.14</v>
      </c>
      <c r="M69" s="120">
        <v>1</v>
      </c>
      <c r="N69" s="120">
        <v>1</v>
      </c>
      <c r="O69" s="122">
        <f t="shared" ref="O69:O71" si="19">L69-R69</f>
        <v>0.25</v>
      </c>
      <c r="P69" s="123">
        <f t="shared" ref="P69:P71" si="20">O69/L69</f>
        <v>1.1291779584462511E-2</v>
      </c>
      <c r="Q69" s="124" t="str">
        <f t="shared" ref="Q69:Q71" si="21">IF(P69&lt;0,"Negative",IF(P69=0,"Same",IF(P69&gt;0.3,"30+%",IF(P69&gt;0.2,"20-30%",IF(P69&gt;0.1,"10-20%",IF(P69&lt;=0.1,"0-10%"))))))</f>
        <v>0-10%</v>
      </c>
      <c r="R69" s="125">
        <f t="shared" ref="R69:R71" si="22">S69*N69</f>
        <v>21.89</v>
      </c>
      <c r="S69" s="121">
        <v>21.89</v>
      </c>
      <c r="T69" s="127" t="s">
        <v>93</v>
      </c>
      <c r="U69" s="127" t="s">
        <v>90</v>
      </c>
      <c r="V69" s="125">
        <f t="shared" si="18"/>
        <v>23.8005</v>
      </c>
      <c r="W69" s="121">
        <v>23.8005</v>
      </c>
      <c r="X69" s="125">
        <f t="shared" ref="X69:X71" si="23">V69-R69</f>
        <v>1.910499999999999</v>
      </c>
      <c r="Y69" s="123">
        <f t="shared" ref="Y69:Y71" si="24">X69/V69</f>
        <v>8.0271422869267417E-2</v>
      </c>
      <c r="Z69" s="124" t="str">
        <f t="shared" ref="Z69:Z71" si="25">IF(Y69&lt;0,"Negative",IF(Y69=0,"Same",IF(Y69&gt;0.3,"30+%",IF(Y69&gt;0.2,"20-30%",IF(Y69&gt;0.1,"10-20%",IF(Y69&lt;=0.1,"0-10%"))))))</f>
        <v>0-10%</v>
      </c>
      <c r="AA69" s="126" t="s">
        <v>350</v>
      </c>
      <c r="AB69" s="121">
        <v>25.9</v>
      </c>
      <c r="AC69" s="125">
        <f t="shared" ref="AC69:AC71" si="26">AB69*N69</f>
        <v>25.9</v>
      </c>
      <c r="AD69" s="125">
        <f t="shared" ref="AD69:AD71" si="27">AC69-R69</f>
        <v>4.009999999999998</v>
      </c>
      <c r="AE69" s="123">
        <f t="shared" ref="AE69:AE71" si="28">AD69/AC69</f>
        <v>0.15482625482625476</v>
      </c>
      <c r="AF69" s="124" t="str">
        <f t="shared" ref="AF69:AF71" si="29">IF(AE69&lt;0,"Negative",IF(AE69=0,"Same",IF(AE69&gt;0.3,"30+%",IF(AE69&gt;0.2,"20-30%",IF(AE69&gt;0.1,"10-20%",IF(AE69&lt;=0.1,"0-10%"))))))</f>
        <v>10-20%</v>
      </c>
      <c r="AG69" s="127"/>
    </row>
    <row r="70" spans="1:33" x14ac:dyDescent="0.2">
      <c r="A70" s="120" t="s">
        <v>115</v>
      </c>
      <c r="B70" s="120" t="s">
        <v>343</v>
      </c>
      <c r="C70" s="120" t="s">
        <v>344</v>
      </c>
      <c r="D70" s="120" t="s">
        <v>118</v>
      </c>
      <c r="E70" s="120">
        <v>1</v>
      </c>
      <c r="F70" s="120" t="s">
        <v>118</v>
      </c>
      <c r="G70" s="120">
        <v>1</v>
      </c>
      <c r="H70" s="120" t="s">
        <v>345</v>
      </c>
      <c r="I70" s="120" t="s">
        <v>140</v>
      </c>
      <c r="J70" s="120" t="s">
        <v>141</v>
      </c>
      <c r="K70" s="120" t="s">
        <v>346</v>
      </c>
      <c r="L70" s="121">
        <v>13.16</v>
      </c>
      <c r="M70" s="120">
        <v>1</v>
      </c>
      <c r="N70" s="120">
        <v>1</v>
      </c>
      <c r="O70" s="122">
        <f t="shared" si="19"/>
        <v>-2.1999999999999993</v>
      </c>
      <c r="P70" s="123">
        <f t="shared" si="20"/>
        <v>-0.1671732522796352</v>
      </c>
      <c r="Q70" s="124" t="str">
        <f t="shared" si="21"/>
        <v>Negative</v>
      </c>
      <c r="R70" s="125">
        <f t="shared" si="22"/>
        <v>15.36</v>
      </c>
      <c r="S70" s="121">
        <v>15.36</v>
      </c>
      <c r="T70" s="127" t="s">
        <v>94</v>
      </c>
      <c r="U70" s="127" t="s">
        <v>92</v>
      </c>
      <c r="V70" s="125">
        <f t="shared" si="18"/>
        <v>14.147</v>
      </c>
      <c r="W70" s="121">
        <v>14.147</v>
      </c>
      <c r="X70" s="125">
        <f t="shared" si="23"/>
        <v>-1.2129999999999992</v>
      </c>
      <c r="Y70" s="123">
        <f t="shared" si="24"/>
        <v>-8.5742560260125764E-2</v>
      </c>
      <c r="Z70" s="124" t="str">
        <f t="shared" si="25"/>
        <v>Negative</v>
      </c>
      <c r="AA70" s="126" t="s">
        <v>350</v>
      </c>
      <c r="AB70" s="121">
        <v>15.75</v>
      </c>
      <c r="AC70" s="125">
        <f t="shared" si="26"/>
        <v>15.75</v>
      </c>
      <c r="AD70" s="125">
        <f t="shared" si="27"/>
        <v>0.39000000000000057</v>
      </c>
      <c r="AE70" s="123">
        <f t="shared" si="28"/>
        <v>2.4761904761904797E-2</v>
      </c>
      <c r="AF70" s="124" t="str">
        <f t="shared" si="29"/>
        <v>0-10%</v>
      </c>
      <c r="AG70" s="127"/>
    </row>
    <row r="71" spans="1:33" x14ac:dyDescent="0.2">
      <c r="A71" s="120" t="s">
        <v>115</v>
      </c>
      <c r="B71" s="120" t="s">
        <v>347</v>
      </c>
      <c r="C71" s="120" t="s">
        <v>348</v>
      </c>
      <c r="D71" s="120" t="s">
        <v>110</v>
      </c>
      <c r="E71" s="120">
        <v>280</v>
      </c>
      <c r="F71" s="120" t="s">
        <v>111</v>
      </c>
      <c r="G71" s="120">
        <v>60</v>
      </c>
      <c r="H71" s="120" t="s">
        <v>349</v>
      </c>
      <c r="I71" s="120" t="s">
        <v>194</v>
      </c>
      <c r="J71" s="120" t="s">
        <v>253</v>
      </c>
      <c r="K71" s="120" t="s">
        <v>254</v>
      </c>
      <c r="L71" s="121">
        <v>0</v>
      </c>
      <c r="M71" s="120">
        <v>1</v>
      </c>
      <c r="N71" s="120">
        <v>3</v>
      </c>
      <c r="O71" s="122">
        <f t="shared" si="19"/>
        <v>-13.29</v>
      </c>
      <c r="P71" s="123" t="e">
        <f t="shared" si="20"/>
        <v>#DIV/0!</v>
      </c>
      <c r="Q71" s="124" t="e">
        <f t="shared" si="21"/>
        <v>#DIV/0!</v>
      </c>
      <c r="R71" s="125">
        <f t="shared" si="22"/>
        <v>13.29</v>
      </c>
      <c r="S71" s="121">
        <v>4.43</v>
      </c>
      <c r="T71" s="127" t="s">
        <v>93</v>
      </c>
      <c r="U71" s="127" t="s">
        <v>90</v>
      </c>
      <c r="V71" s="125">
        <f t="shared" si="18"/>
        <v>0</v>
      </c>
      <c r="W71" s="121">
        <v>0</v>
      </c>
      <c r="X71" s="125">
        <f t="shared" si="23"/>
        <v>-13.29</v>
      </c>
      <c r="Y71" s="123" t="e">
        <f t="shared" si="24"/>
        <v>#DIV/0!</v>
      </c>
      <c r="Z71" s="124" t="e">
        <f t="shared" si="25"/>
        <v>#DIV/0!</v>
      </c>
      <c r="AA71" s="126" t="s">
        <v>350</v>
      </c>
      <c r="AB71" s="121">
        <v>12.22</v>
      </c>
      <c r="AC71" s="125">
        <f t="shared" si="26"/>
        <v>36.660000000000004</v>
      </c>
      <c r="AD71" s="125">
        <f t="shared" si="27"/>
        <v>23.370000000000005</v>
      </c>
      <c r="AE71" s="123">
        <f t="shared" si="28"/>
        <v>0.63747954173486099</v>
      </c>
      <c r="AF71" s="124" t="str">
        <f t="shared" si="29"/>
        <v>30+%</v>
      </c>
      <c r="AG71" s="127"/>
    </row>
  </sheetData>
  <autoFilter ref="A3:AG71" xr:uid="{00000000-0009-0000-0000-000003000000}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1000000}">
          <x14:formula1>
            <xm:f>#REF!</xm:f>
          </x14:formula1>
          <xm:sqref>T4:T71</xm:sqref>
        </x14:dataValidation>
        <x14:dataValidation type="list" allowBlank="1" showInputMessage="1" showErrorMessage="1" xr:uid="{00000000-0002-0000-0300-000002000000}">
          <x14:formula1>
            <xm:f>#REF!</xm:f>
          </x14:formula1>
          <xm:sqref>U4:U71</xm:sqref>
        </x14:dataValidation>
        <x14:dataValidation type="list" allowBlank="1" showInputMessage="1" showErrorMessage="1" xr:uid="{69475330-C6DD-40DF-9542-DEC2151A7ABD}">
          <x14:formula1>
            <xm:f>#REF!</xm:f>
          </x14:formula1>
          <xm:sqref>AA4:AA71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P78"/>
  <sheetViews>
    <sheetView topLeftCell="J1" workbookViewId="0">
      <pane ySplit="1" topLeftCell="A2" activePane="bottomLeft" state="frozen"/>
      <selection pane="bottomLeft" activeCell="N37" sqref="N37"/>
    </sheetView>
  </sheetViews>
  <sheetFormatPr defaultColWidth="43.08984375" defaultRowHeight="14.5" x14ac:dyDescent="0.35"/>
  <cols>
    <col min="1" max="1" width="17.36328125" style="93" bestFit="1" customWidth="1"/>
    <col min="2" max="2" width="14" style="93" bestFit="1" customWidth="1"/>
    <col min="3" max="3" width="35" style="93" bestFit="1" customWidth="1"/>
    <col min="4" max="7" width="35" style="93" customWidth="1"/>
    <col min="8" max="8" width="41" style="93" bestFit="1" customWidth="1"/>
    <col min="9" max="9" width="31.453125" style="93" bestFit="1" customWidth="1"/>
    <col min="10" max="10" width="46.54296875" style="93" bestFit="1" customWidth="1"/>
    <col min="11" max="11" width="37.6328125" style="93" bestFit="1" customWidth="1"/>
    <col min="12" max="12" width="20" style="93" bestFit="1" customWidth="1"/>
    <col min="13" max="13" width="14.90625" style="93" bestFit="1" customWidth="1"/>
    <col min="14" max="14" width="15.90625" style="93" bestFit="1" customWidth="1"/>
    <col min="15" max="15" width="5.08984375" style="93" bestFit="1" customWidth="1"/>
    <col min="16" max="16" width="9.08984375" style="93" bestFit="1" customWidth="1"/>
    <col min="17" max="16384" width="43.08984375" style="93"/>
  </cols>
  <sheetData>
    <row r="1" spans="1:16" s="92" customFormat="1" ht="27" customHeight="1" x14ac:dyDescent="0.35">
      <c r="A1" s="106" t="s">
        <v>95</v>
      </c>
      <c r="B1" s="106" t="s">
        <v>53</v>
      </c>
      <c r="C1" s="107" t="s">
        <v>54</v>
      </c>
      <c r="D1" s="107" t="s">
        <v>97</v>
      </c>
      <c r="E1" s="107" t="s">
        <v>98</v>
      </c>
      <c r="F1" s="107" t="s">
        <v>107</v>
      </c>
      <c r="G1" s="107" t="s">
        <v>108</v>
      </c>
      <c r="H1" s="107" t="s">
        <v>96</v>
      </c>
      <c r="I1" s="107" t="s">
        <v>103</v>
      </c>
      <c r="J1" s="107" t="s">
        <v>104</v>
      </c>
      <c r="K1" s="107" t="s">
        <v>105</v>
      </c>
      <c r="L1" s="108" t="s">
        <v>55</v>
      </c>
      <c r="M1" s="109" t="s">
        <v>57</v>
      </c>
      <c r="N1" s="109" t="s">
        <v>56</v>
      </c>
      <c r="O1" s="95" t="s">
        <v>32</v>
      </c>
      <c r="P1" s="99" t="s">
        <v>31</v>
      </c>
    </row>
    <row r="2" spans="1:16" s="96" customFormat="1" x14ac:dyDescent="0.3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8"/>
      <c r="M2" s="97"/>
      <c r="N2" s="97"/>
      <c r="O2" s="97"/>
      <c r="P2" s="98"/>
    </row>
    <row r="3" spans="1:16" s="96" customFormat="1" x14ac:dyDescent="0.3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97"/>
      <c r="N3" s="97"/>
      <c r="O3" s="97"/>
      <c r="P3" s="98"/>
    </row>
    <row r="4" spans="1:16" s="96" customFormat="1" x14ac:dyDescent="0.35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8"/>
      <c r="M4" s="97"/>
      <c r="N4" s="97"/>
      <c r="O4" s="97"/>
      <c r="P4" s="98"/>
    </row>
    <row r="5" spans="1:16" s="96" customFormat="1" x14ac:dyDescent="0.35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8"/>
      <c r="M5" s="97"/>
      <c r="N5" s="97"/>
      <c r="O5" s="97"/>
      <c r="P5" s="98"/>
    </row>
    <row r="6" spans="1:16" s="96" customFormat="1" x14ac:dyDescent="0.35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  <c r="M6" s="97"/>
      <c r="N6" s="97"/>
      <c r="O6" s="97"/>
      <c r="P6" s="98"/>
    </row>
    <row r="7" spans="1:16" s="96" customFormat="1" x14ac:dyDescent="0.35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8"/>
      <c r="M7" s="97"/>
      <c r="N7" s="97"/>
      <c r="O7" s="97"/>
      <c r="P7" s="98"/>
    </row>
    <row r="8" spans="1:16" s="96" customFormat="1" x14ac:dyDescent="0.35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  <c r="M8" s="97"/>
      <c r="N8" s="97"/>
      <c r="O8" s="97"/>
      <c r="P8" s="98"/>
    </row>
    <row r="9" spans="1:16" s="96" customFormat="1" x14ac:dyDescent="0.35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8"/>
      <c r="M9" s="97"/>
      <c r="N9" s="97"/>
      <c r="O9" s="97"/>
      <c r="P9" s="98"/>
    </row>
    <row r="10" spans="1:16" s="96" customFormat="1" x14ac:dyDescent="0.35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8"/>
      <c r="M10" s="97"/>
      <c r="N10" s="97"/>
      <c r="O10" s="97"/>
      <c r="P10" s="98"/>
    </row>
    <row r="11" spans="1:16" s="96" customFormat="1" x14ac:dyDescent="0.35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8"/>
      <c r="M11" s="97"/>
      <c r="N11" s="97"/>
      <c r="O11" s="97"/>
      <c r="P11" s="98"/>
    </row>
    <row r="12" spans="1:16" s="96" customFormat="1" x14ac:dyDescent="0.35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8"/>
      <c r="M12" s="97"/>
      <c r="N12" s="97"/>
      <c r="O12" s="97"/>
      <c r="P12" s="98"/>
    </row>
    <row r="13" spans="1:16" s="96" customFormat="1" x14ac:dyDescent="0.35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8"/>
      <c r="M13" s="97"/>
      <c r="N13" s="97"/>
      <c r="O13" s="97"/>
      <c r="P13" s="98"/>
    </row>
    <row r="14" spans="1:16" s="96" customFormat="1" x14ac:dyDescent="0.35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8"/>
      <c r="M14" s="97"/>
      <c r="N14" s="97"/>
      <c r="O14" s="97"/>
      <c r="P14" s="98"/>
    </row>
    <row r="15" spans="1:16" s="96" customFormat="1" x14ac:dyDescent="0.3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8"/>
      <c r="M15" s="97"/>
      <c r="N15" s="97"/>
      <c r="O15" s="97"/>
      <c r="P15" s="98"/>
    </row>
    <row r="16" spans="1:16" s="96" customFormat="1" x14ac:dyDescent="0.35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8"/>
      <c r="M16" s="97"/>
      <c r="N16" s="97"/>
      <c r="O16" s="97"/>
      <c r="P16" s="98"/>
    </row>
    <row r="17" spans="1:16" s="96" customFormat="1" x14ac:dyDescent="0.35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8"/>
      <c r="M17" s="97"/>
      <c r="N17" s="97"/>
      <c r="O17" s="97"/>
      <c r="P17" s="98"/>
    </row>
    <row r="18" spans="1:16" s="96" customFormat="1" x14ac:dyDescent="0.35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8"/>
      <c r="M18" s="97"/>
      <c r="N18" s="97"/>
      <c r="O18" s="97"/>
      <c r="P18" s="98"/>
    </row>
    <row r="19" spans="1:16" s="96" customFormat="1" x14ac:dyDescent="0.35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8"/>
      <c r="M19" s="97"/>
      <c r="N19" s="97"/>
      <c r="O19" s="97"/>
      <c r="P19" s="98"/>
    </row>
    <row r="20" spans="1:16" s="96" customFormat="1" x14ac:dyDescent="0.3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8"/>
      <c r="M20" s="97"/>
      <c r="N20" s="97"/>
      <c r="O20" s="97"/>
      <c r="P20" s="98"/>
    </row>
    <row r="21" spans="1:16" s="96" customFormat="1" x14ac:dyDescent="0.35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8"/>
      <c r="M21" s="97"/>
      <c r="N21" s="97"/>
      <c r="O21" s="97"/>
      <c r="P21" s="98"/>
    </row>
    <row r="22" spans="1:16" s="96" customFormat="1" x14ac:dyDescent="0.3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8"/>
      <c r="M22" s="97"/>
      <c r="N22" s="97"/>
      <c r="O22" s="97"/>
      <c r="P22" s="98"/>
    </row>
    <row r="23" spans="1:16" s="96" customFormat="1" x14ac:dyDescent="0.35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8"/>
      <c r="M23" s="97"/>
      <c r="N23" s="97"/>
      <c r="O23" s="97"/>
      <c r="P23" s="98"/>
    </row>
    <row r="24" spans="1:16" s="96" customFormat="1" x14ac:dyDescent="0.35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8"/>
      <c r="M24" s="97"/>
      <c r="N24" s="97"/>
      <c r="O24" s="97"/>
      <c r="P24" s="98"/>
    </row>
    <row r="25" spans="1:16" s="96" customFormat="1" x14ac:dyDescent="0.3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97"/>
      <c r="N25" s="97"/>
      <c r="O25" s="97"/>
      <c r="P25" s="98"/>
    </row>
    <row r="26" spans="1:16" s="96" customFormat="1" x14ac:dyDescent="0.35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8"/>
      <c r="M26" s="97"/>
      <c r="N26" s="97"/>
      <c r="O26" s="97"/>
      <c r="P26" s="98"/>
    </row>
    <row r="27" spans="1:16" s="96" customFormat="1" x14ac:dyDescent="0.35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8"/>
      <c r="M27" s="97"/>
      <c r="N27" s="97"/>
      <c r="O27" s="97"/>
      <c r="P27" s="98"/>
    </row>
    <row r="28" spans="1:16" s="96" customFormat="1" x14ac:dyDescent="0.35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8"/>
      <c r="M28" s="97"/>
      <c r="N28" s="97"/>
      <c r="O28" s="97"/>
      <c r="P28" s="98"/>
    </row>
    <row r="29" spans="1:16" s="96" customFormat="1" x14ac:dyDescent="0.35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8"/>
      <c r="M29" s="97"/>
      <c r="N29" s="97"/>
      <c r="O29" s="97"/>
      <c r="P29" s="98"/>
    </row>
    <row r="30" spans="1:16" s="96" customFormat="1" x14ac:dyDescent="0.35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8"/>
      <c r="M30" s="97"/>
      <c r="N30" s="97"/>
      <c r="O30" s="97"/>
      <c r="P30" s="98"/>
    </row>
    <row r="31" spans="1:16" s="96" customFormat="1" x14ac:dyDescent="0.35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8"/>
      <c r="M31" s="97"/>
      <c r="N31" s="97"/>
      <c r="O31" s="97"/>
      <c r="P31" s="98"/>
    </row>
    <row r="32" spans="1:16" s="96" customFormat="1" x14ac:dyDescent="0.35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8"/>
      <c r="M32" s="97"/>
      <c r="N32" s="97"/>
      <c r="O32" s="97"/>
      <c r="P32" s="98"/>
    </row>
    <row r="33" spans="1:16" s="96" customFormat="1" x14ac:dyDescent="0.35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8"/>
      <c r="M33" s="97"/>
      <c r="N33" s="97"/>
      <c r="O33" s="97"/>
      <c r="P33" s="98"/>
    </row>
    <row r="34" spans="1:16" s="96" customFormat="1" x14ac:dyDescent="0.35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8"/>
      <c r="M34" s="97"/>
      <c r="N34" s="97"/>
      <c r="O34" s="97"/>
      <c r="P34" s="98"/>
    </row>
    <row r="35" spans="1:16" s="96" customFormat="1" x14ac:dyDescent="0.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8"/>
      <c r="M35" s="97"/>
      <c r="N35" s="97"/>
      <c r="O35" s="97"/>
      <c r="P35" s="98"/>
    </row>
    <row r="36" spans="1:16" s="96" customFormat="1" x14ac:dyDescent="0.35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8"/>
      <c r="M36" s="97"/>
      <c r="N36" s="97"/>
      <c r="O36" s="97"/>
      <c r="P36" s="98"/>
    </row>
    <row r="37" spans="1:16" s="96" customFormat="1" x14ac:dyDescent="0.35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8"/>
      <c r="M37" s="97"/>
      <c r="N37" s="97"/>
      <c r="O37" s="97"/>
      <c r="P37" s="98"/>
    </row>
    <row r="38" spans="1:16" s="96" customFormat="1" x14ac:dyDescent="0.35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8"/>
      <c r="M38" s="97"/>
      <c r="N38" s="97"/>
      <c r="O38" s="97"/>
      <c r="P38" s="98"/>
    </row>
    <row r="39" spans="1:16" s="96" customFormat="1" x14ac:dyDescent="0.35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8"/>
      <c r="M39" s="97"/>
      <c r="N39" s="97"/>
      <c r="O39" s="97"/>
      <c r="P39" s="98"/>
    </row>
    <row r="40" spans="1:16" s="96" customFormat="1" x14ac:dyDescent="0.35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8"/>
      <c r="M40" s="97"/>
      <c r="N40" s="97"/>
      <c r="O40" s="97"/>
      <c r="P40" s="98"/>
    </row>
    <row r="41" spans="1:16" s="96" customFormat="1" x14ac:dyDescent="0.35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8"/>
      <c r="M41" s="97"/>
      <c r="N41" s="97"/>
      <c r="O41" s="97"/>
      <c r="P41" s="98"/>
    </row>
    <row r="42" spans="1:16" s="96" customFormat="1" x14ac:dyDescent="0.35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8"/>
      <c r="M42" s="97"/>
      <c r="N42" s="97"/>
      <c r="O42" s="97"/>
      <c r="P42" s="98"/>
    </row>
    <row r="43" spans="1:16" s="96" customFormat="1" x14ac:dyDescent="0.35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8"/>
      <c r="M43" s="97"/>
      <c r="N43" s="97"/>
      <c r="O43" s="97"/>
      <c r="P43" s="98"/>
    </row>
    <row r="44" spans="1:16" s="96" customFormat="1" x14ac:dyDescent="0.35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8"/>
      <c r="M44" s="97"/>
      <c r="N44" s="97"/>
      <c r="O44" s="97"/>
      <c r="P44" s="98"/>
    </row>
    <row r="45" spans="1:16" s="96" customFormat="1" x14ac:dyDescent="0.3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8"/>
      <c r="M45" s="97"/>
      <c r="N45" s="97"/>
      <c r="O45" s="97"/>
      <c r="P45" s="98"/>
    </row>
    <row r="46" spans="1:16" s="96" customFormat="1" x14ac:dyDescent="0.35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8"/>
      <c r="M46" s="97"/>
      <c r="N46" s="97"/>
      <c r="O46" s="97"/>
      <c r="P46" s="98"/>
    </row>
    <row r="47" spans="1:16" s="96" customFormat="1" x14ac:dyDescent="0.35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8"/>
      <c r="M47" s="97"/>
      <c r="N47" s="97"/>
      <c r="O47" s="97"/>
      <c r="P47" s="98"/>
    </row>
    <row r="48" spans="1:16" s="96" customFormat="1" x14ac:dyDescent="0.35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8"/>
      <c r="M48" s="97"/>
      <c r="N48" s="97"/>
      <c r="O48" s="97"/>
      <c r="P48" s="98"/>
    </row>
    <row r="49" spans="1:16" s="96" customFormat="1" x14ac:dyDescent="0.35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8"/>
      <c r="M49" s="97"/>
      <c r="N49" s="97"/>
      <c r="O49" s="97"/>
      <c r="P49" s="98"/>
    </row>
    <row r="50" spans="1:16" s="96" customFormat="1" x14ac:dyDescent="0.35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8"/>
      <c r="M50" s="97"/>
      <c r="N50" s="97"/>
      <c r="O50" s="97"/>
      <c r="P50" s="98"/>
    </row>
    <row r="51" spans="1:16" s="96" customFormat="1" x14ac:dyDescent="0.35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8"/>
      <c r="M51" s="97"/>
      <c r="N51" s="97"/>
      <c r="O51" s="97"/>
      <c r="P51" s="98"/>
    </row>
    <row r="52" spans="1:16" s="96" customFormat="1" x14ac:dyDescent="0.35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8"/>
      <c r="M52" s="97"/>
      <c r="N52" s="97"/>
      <c r="O52" s="97"/>
      <c r="P52" s="98"/>
    </row>
    <row r="53" spans="1:16" s="96" customFormat="1" x14ac:dyDescent="0.3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8"/>
      <c r="M53" s="97"/>
      <c r="N53" s="97"/>
      <c r="O53" s="97"/>
      <c r="P53" s="98"/>
    </row>
    <row r="54" spans="1:16" s="96" customFormat="1" x14ac:dyDescent="0.35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8"/>
      <c r="M54" s="97"/>
      <c r="N54" s="97"/>
      <c r="O54" s="97"/>
      <c r="P54" s="98"/>
    </row>
    <row r="55" spans="1:16" s="96" customFormat="1" x14ac:dyDescent="0.3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8"/>
      <c r="M55" s="97"/>
      <c r="N55" s="97"/>
      <c r="O55" s="97"/>
      <c r="P55" s="98"/>
    </row>
    <row r="56" spans="1:16" s="96" customFormat="1" x14ac:dyDescent="0.3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8"/>
      <c r="M56" s="97"/>
      <c r="N56" s="97"/>
      <c r="O56" s="97"/>
      <c r="P56" s="98"/>
    </row>
    <row r="57" spans="1:16" s="96" customFormat="1" x14ac:dyDescent="0.3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8"/>
      <c r="M57" s="97"/>
      <c r="N57" s="97"/>
      <c r="O57" s="97"/>
      <c r="P57" s="98"/>
    </row>
    <row r="58" spans="1:16" s="96" customFormat="1" x14ac:dyDescent="0.3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8"/>
      <c r="M58" s="97"/>
      <c r="N58" s="97"/>
      <c r="O58" s="97"/>
      <c r="P58" s="98"/>
    </row>
    <row r="59" spans="1:16" s="96" customFormat="1" x14ac:dyDescent="0.35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8"/>
      <c r="M59" s="97"/>
      <c r="N59" s="97"/>
      <c r="O59" s="97"/>
      <c r="P59" s="98"/>
    </row>
    <row r="60" spans="1:16" s="96" customFormat="1" x14ac:dyDescent="0.35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8"/>
      <c r="M60" s="97"/>
      <c r="N60" s="97"/>
      <c r="O60" s="97"/>
      <c r="P60" s="98"/>
    </row>
    <row r="61" spans="1:16" s="96" customFormat="1" x14ac:dyDescent="0.35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8"/>
      <c r="M61" s="97"/>
      <c r="N61" s="97"/>
      <c r="O61" s="97"/>
      <c r="P61" s="98"/>
    </row>
    <row r="62" spans="1:16" s="96" customFormat="1" x14ac:dyDescent="0.35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8"/>
      <c r="M62" s="97"/>
      <c r="N62" s="97"/>
      <c r="O62" s="97"/>
      <c r="P62" s="98"/>
    </row>
    <row r="63" spans="1:16" s="96" customFormat="1" x14ac:dyDescent="0.35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8"/>
      <c r="M63" s="97"/>
      <c r="N63" s="97"/>
      <c r="O63" s="97"/>
      <c r="P63" s="98"/>
    </row>
    <row r="64" spans="1:16" s="96" customFormat="1" x14ac:dyDescent="0.35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8"/>
      <c r="M64" s="97"/>
      <c r="N64" s="97"/>
      <c r="O64" s="97"/>
      <c r="P64" s="98"/>
    </row>
    <row r="65" spans="1:16" s="96" customFormat="1" x14ac:dyDescent="0.3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8"/>
      <c r="M65" s="97"/>
      <c r="N65" s="97"/>
      <c r="O65" s="97"/>
      <c r="P65" s="98"/>
    </row>
    <row r="66" spans="1:16" s="96" customFormat="1" x14ac:dyDescent="0.35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8"/>
      <c r="M66" s="97"/>
      <c r="N66" s="97"/>
      <c r="O66" s="97"/>
      <c r="P66" s="98"/>
    </row>
    <row r="67" spans="1:16" s="96" customFormat="1" x14ac:dyDescent="0.35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8"/>
      <c r="M67" s="97"/>
      <c r="N67" s="97"/>
      <c r="O67" s="97"/>
      <c r="P67" s="98"/>
    </row>
    <row r="68" spans="1:16" s="96" customFormat="1" x14ac:dyDescent="0.35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8"/>
      <c r="M68" s="97"/>
      <c r="N68" s="97"/>
      <c r="O68" s="97"/>
      <c r="P68" s="98"/>
    </row>
    <row r="69" spans="1:16" x14ac:dyDescent="0.35">
      <c r="L69" s="94"/>
      <c r="P69" s="94"/>
    </row>
    <row r="70" spans="1:16" x14ac:dyDescent="0.35">
      <c r="L70" s="94"/>
      <c r="P70" s="94"/>
    </row>
    <row r="71" spans="1:16" x14ac:dyDescent="0.35">
      <c r="L71" s="94"/>
      <c r="P71" s="94"/>
    </row>
    <row r="72" spans="1:16" x14ac:dyDescent="0.35">
      <c r="L72" s="94"/>
      <c r="P72" s="94"/>
    </row>
    <row r="73" spans="1:16" x14ac:dyDescent="0.35">
      <c r="L73" s="94"/>
      <c r="P73" s="94"/>
    </row>
    <row r="74" spans="1:16" x14ac:dyDescent="0.35">
      <c r="L74" s="94"/>
      <c r="P74" s="94"/>
    </row>
    <row r="75" spans="1:16" x14ac:dyDescent="0.35">
      <c r="L75" s="94"/>
      <c r="P75" s="94"/>
    </row>
    <row r="76" spans="1:16" x14ac:dyDescent="0.35">
      <c r="L76" s="94"/>
      <c r="P76" s="94"/>
    </row>
    <row r="77" spans="1:16" x14ac:dyDescent="0.35">
      <c r="L77" s="94"/>
      <c r="P77" s="94"/>
    </row>
    <row r="78" spans="1:16" x14ac:dyDescent="0.35">
      <c r="L78" s="94"/>
      <c r="P78" s="9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Summary.Confidential</vt:lpstr>
      <vt:lpstr>Loc.Summ.Confidential</vt:lpstr>
      <vt:lpstr>Segment.Confidential</vt:lpstr>
      <vt:lpstr>ItemDetail.Confidential</vt:lpstr>
      <vt:lpstr>Excluded.Confidential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Ryan</dc:creator>
  <cp:lastModifiedBy>Merenda, Rachael</cp:lastModifiedBy>
  <cp:lastPrinted>2014-07-03T22:01:17Z</cp:lastPrinted>
  <dcterms:created xsi:type="dcterms:W3CDTF">2014-05-05T02:16:50Z</dcterms:created>
  <dcterms:modified xsi:type="dcterms:W3CDTF">2022-01-12T14:17:02Z</dcterms:modified>
</cp:coreProperties>
</file>