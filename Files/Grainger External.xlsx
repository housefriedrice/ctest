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orporate Analysis\Benchmark Process\Benchmark Formats\Supplier Copy Formats\"/>
    </mc:Choice>
  </mc:AlternateContent>
  <xr:revisionPtr revIDLastSave="0" documentId="8_{3F52FE37-3C1D-4BF2-8A08-B818573C4F2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mmary" sheetId="4" r:id="rId1"/>
    <sheet name="Item Detail" sheetId="7" r:id="rId2"/>
    <sheet name="Excluded" sheetId="17" r:id="rId3"/>
    <sheet name="Cust File" sheetId="18" r:id="rId4"/>
    <sheet name="Segment Summary" sheetId="21" r:id="rId5"/>
  </sheets>
  <definedNames>
    <definedName name="_xlnm._FilterDatabase" localSheetId="2" hidden="1">Excluded!$A$1:$AJ$72</definedName>
    <definedName name="_xlnm._FilterDatabase" localSheetId="1" hidden="1">'Item Detail'!$A$1:$AK$1</definedName>
    <definedName name="_xlnm._FilterDatabase" localSheetId="4" hidden="1">'Segment Summary'!$A$2:$F$2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8" i="17" l="1"/>
  <c r="N145" i="17"/>
  <c r="M144" i="17"/>
  <c r="N143" i="17"/>
  <c r="N142" i="17"/>
  <c r="N141" i="17"/>
  <c r="N138" i="17"/>
  <c r="N137" i="17"/>
  <c r="M130" i="17"/>
  <c r="N129" i="17"/>
  <c r="N128" i="17"/>
  <c r="N127" i="17"/>
  <c r="N125" i="17"/>
  <c r="N124" i="17"/>
  <c r="M122" i="17"/>
  <c r="N121" i="17"/>
  <c r="N120" i="17"/>
  <c r="M113" i="17"/>
  <c r="N112" i="17"/>
  <c r="N111" i="17"/>
  <c r="M107" i="17"/>
  <c r="N101" i="17"/>
  <c r="N97" i="17"/>
  <c r="N96" i="17"/>
  <c r="N95" i="17"/>
  <c r="N89" i="17"/>
  <c r="M89" i="17"/>
  <c r="N88" i="17"/>
  <c r="M87" i="17"/>
  <c r="M86" i="17"/>
  <c r="N85" i="17"/>
  <c r="N77" i="17"/>
  <c r="N74" i="17"/>
  <c r="N71" i="17"/>
  <c r="N63" i="17"/>
  <c r="M62" i="17"/>
  <c r="M59" i="17"/>
  <c r="N57" i="17"/>
  <c r="M57" i="17"/>
  <c r="N54" i="17"/>
  <c r="M54" i="17"/>
  <c r="M53" i="17"/>
  <c r="M51" i="17"/>
  <c r="N43" i="17"/>
  <c r="M42" i="17"/>
  <c r="N40" i="17"/>
  <c r="N37" i="17"/>
  <c r="M33" i="17"/>
  <c r="N32" i="17"/>
  <c r="N26" i="17"/>
  <c r="N21" i="17"/>
  <c r="N7" i="17"/>
  <c r="N2" i="17"/>
  <c r="M12" i="17" l="1"/>
  <c r="M5" i="17"/>
  <c r="O5" i="17" s="1"/>
  <c r="N81" i="17"/>
  <c r="M99" i="17"/>
  <c r="O99" i="17" s="1"/>
  <c r="M111" i="17"/>
  <c r="M64" i="17"/>
  <c r="M81" i="17"/>
  <c r="M98" i="17"/>
  <c r="M4" i="17"/>
  <c r="M37" i="17"/>
  <c r="N62" i="17"/>
  <c r="O62" i="17" s="1"/>
  <c r="M126" i="17"/>
  <c r="N134" i="17"/>
  <c r="N126" i="17"/>
  <c r="N30" i="17"/>
  <c r="N68" i="17"/>
  <c r="M75" i="17"/>
  <c r="M103" i="17"/>
  <c r="O103" i="17" s="1"/>
  <c r="N29" i="17"/>
  <c r="N55" i="17"/>
  <c r="N76" i="17"/>
  <c r="M117" i="17"/>
  <c r="M124" i="17"/>
  <c r="O124" i="17" s="1"/>
  <c r="M76" i="17"/>
  <c r="N113" i="17"/>
  <c r="N130" i="17"/>
  <c r="N139" i="17"/>
  <c r="M103" i="7"/>
  <c r="N103" i="7"/>
  <c r="O76" i="17"/>
  <c r="N99" i="17"/>
  <c r="M120" i="17"/>
  <c r="O120" i="17" s="1"/>
  <c r="M125" i="17"/>
  <c r="M138" i="17"/>
  <c r="O138" i="17" s="1"/>
  <c r="M149" i="17"/>
  <c r="M25" i="17"/>
  <c r="M43" i="17"/>
  <c r="O43" i="17" s="1"/>
  <c r="M48" i="17"/>
  <c r="N64" i="17"/>
  <c r="M116" i="17"/>
  <c r="N24" i="17"/>
  <c r="M115" i="17"/>
  <c r="O115" i="17" s="1"/>
  <c r="N116" i="17"/>
  <c r="M148" i="17"/>
  <c r="O148" i="17" s="1"/>
  <c r="M63" i="17"/>
  <c r="O63" i="17" s="1"/>
  <c r="M77" i="17"/>
  <c r="M78" i="17"/>
  <c r="O89" i="17"/>
  <c r="M100" i="17"/>
  <c r="M108" i="17"/>
  <c r="M112" i="17"/>
  <c r="O112" i="17" s="1"/>
  <c r="M121" i="17"/>
  <c r="O121" i="17" s="1"/>
  <c r="M139" i="17"/>
  <c r="M41" i="17"/>
  <c r="M65" i="17"/>
  <c r="M134" i="17"/>
  <c r="N49" i="17"/>
  <c r="N3" i="17"/>
  <c r="N4" i="17"/>
  <c r="O4" i="17" s="1"/>
  <c r="M8" i="17"/>
  <c r="M17" i="17"/>
  <c r="O17" i="17" s="1"/>
  <c r="M47" i="17"/>
  <c r="N69" i="17"/>
  <c r="N115" i="17"/>
  <c r="N118" i="17"/>
  <c r="M129" i="17"/>
  <c r="M141" i="17"/>
  <c r="O141" i="17" s="1"/>
  <c r="N144" i="17"/>
  <c r="N136" i="17"/>
  <c r="M23" i="17"/>
  <c r="M88" i="17"/>
  <c r="O88" i="17" s="1"/>
  <c r="M92" i="17"/>
  <c r="N22" i="17"/>
  <c r="N31" i="17"/>
  <c r="N45" i="17"/>
  <c r="M58" i="17"/>
  <c r="N87" i="17"/>
  <c r="O87" i="17" s="1"/>
  <c r="M106" i="17"/>
  <c r="N117" i="17"/>
  <c r="M143" i="17"/>
  <c r="O143" i="17" s="1"/>
  <c r="N36" i="17"/>
  <c r="M52" i="17"/>
  <c r="N53" i="17"/>
  <c r="O53" i="17" s="1"/>
  <c r="O57" i="17"/>
  <c r="N60" i="17"/>
  <c r="N106" i="17"/>
  <c r="N5" i="17"/>
  <c r="N34" i="17"/>
  <c r="N35" i="17"/>
  <c r="N50" i="17"/>
  <c r="N61" i="17"/>
  <c r="N82" i="17"/>
  <c r="M90" i="17"/>
  <c r="M102" i="17"/>
  <c r="M104" i="17"/>
  <c r="M110" i="17"/>
  <c r="M27" i="17"/>
  <c r="N39" i="17"/>
  <c r="M67" i="17"/>
  <c r="N98" i="17"/>
  <c r="O98" i="17" s="1"/>
  <c r="M101" i="17"/>
  <c r="O101" i="17" s="1"/>
  <c r="N110" i="17"/>
  <c r="M135" i="17"/>
  <c r="O129" i="17"/>
  <c r="O134" i="17"/>
  <c r="O125" i="17"/>
  <c r="M6" i="17"/>
  <c r="N10" i="17"/>
  <c r="N15" i="17"/>
  <c r="N25" i="17"/>
  <c r="N27" i="17"/>
  <c r="N84" i="17"/>
  <c r="N92" i="17"/>
  <c r="N108" i="17"/>
  <c r="O108" i="17" s="1"/>
  <c r="M118" i="17"/>
  <c r="N131" i="17"/>
  <c r="M28" i="17"/>
  <c r="O28" i="17" s="1"/>
  <c r="M60" i="17"/>
  <c r="O60" i="17" s="1"/>
  <c r="M96" i="17"/>
  <c r="O96" i="17" s="1"/>
  <c r="M131" i="17"/>
  <c r="M22" i="17"/>
  <c r="N79" i="17"/>
  <c r="N80" i="17"/>
  <c r="N83" i="17"/>
  <c r="M127" i="17"/>
  <c r="O127" i="17" s="1"/>
  <c r="M145" i="17"/>
  <c r="O145" i="17" s="1"/>
  <c r="M40" i="17"/>
  <c r="O40" i="17" s="1"/>
  <c r="M82" i="17"/>
  <c r="O82" i="17" s="1"/>
  <c r="M34" i="17"/>
  <c r="M38" i="17"/>
  <c r="M45" i="17"/>
  <c r="O45" i="17" s="1"/>
  <c r="M50" i="17"/>
  <c r="N140" i="17"/>
  <c r="M9" i="17"/>
  <c r="M26" i="17"/>
  <c r="O26" i="17" s="1"/>
  <c r="N38" i="17"/>
  <c r="N48" i="17"/>
  <c r="M68" i="17"/>
  <c r="O68" i="17" s="1"/>
  <c r="M94" i="17"/>
  <c r="M137" i="17"/>
  <c r="O137" i="17" s="1"/>
  <c r="M14" i="17"/>
  <c r="N18" i="17"/>
  <c r="M31" i="17"/>
  <c r="M36" i="17"/>
  <c r="O36" i="17" s="1"/>
  <c r="N44" i="17"/>
  <c r="M55" i="17"/>
  <c r="O55" i="17" s="1"/>
  <c r="N56" i="17"/>
  <c r="N58" i="17"/>
  <c r="O58" i="17" s="1"/>
  <c r="N75" i="17"/>
  <c r="O75" i="17" s="1"/>
  <c r="N78" i="17"/>
  <c r="M79" i="17"/>
  <c r="N102" i="17"/>
  <c r="M140" i="17"/>
  <c r="N135" i="17"/>
  <c r="O135" i="17" s="1"/>
  <c r="M35" i="17"/>
  <c r="M49" i="17"/>
  <c r="O49" i="17" s="1"/>
  <c r="M61" i="17"/>
  <c r="M69" i="17"/>
  <c r="M74" i="17"/>
  <c r="O74" i="17" s="1"/>
  <c r="M85" i="17"/>
  <c r="O85" i="17" s="1"/>
  <c r="M128" i="17"/>
  <c r="O128" i="17" s="1"/>
  <c r="M11" i="17"/>
  <c r="M16" i="17"/>
  <c r="M2" i="17"/>
  <c r="M39" i="17"/>
  <c r="N67" i="17"/>
  <c r="M72" i="17"/>
  <c r="N93" i="17"/>
  <c r="N114" i="17"/>
  <c r="M142" i="17"/>
  <c r="O142" i="17" s="1"/>
  <c r="M18" i="17"/>
  <c r="N14" i="17"/>
  <c r="O14" i="17" s="1"/>
  <c r="N33" i="17"/>
  <c r="O33" i="17" s="1"/>
  <c r="O37" i="17"/>
  <c r="N65" i="17"/>
  <c r="O65" i="17" s="1"/>
  <c r="N72" i="17"/>
  <c r="N100" i="17"/>
  <c r="O100" i="17" s="1"/>
  <c r="N107" i="17"/>
  <c r="O107" i="17" s="1"/>
  <c r="N122" i="17"/>
  <c r="O122" i="17" s="1"/>
  <c r="N149" i="17"/>
  <c r="N41" i="17"/>
  <c r="O41" i="17" s="1"/>
  <c r="N47" i="17"/>
  <c r="N59" i="17"/>
  <c r="O59" i="17" s="1"/>
  <c r="M71" i="17"/>
  <c r="O71" i="17" s="1"/>
  <c r="N91" i="17"/>
  <c r="M97" i="17"/>
  <c r="O97" i="17" s="1"/>
  <c r="N103" i="17"/>
  <c r="O54" i="17"/>
  <c r="N46" i="17"/>
  <c r="N90" i="17"/>
  <c r="O90" i="17" s="1"/>
  <c r="O111" i="17"/>
  <c r="O113" i="17"/>
  <c r="M136" i="17"/>
  <c r="O81" i="17"/>
  <c r="M7" i="17"/>
  <c r="O7" i="17" s="1"/>
  <c r="M10" i="17"/>
  <c r="O10" i="17" s="1"/>
  <c r="N19" i="17"/>
  <c r="O77" i="17"/>
  <c r="N150" i="17"/>
  <c r="M150" i="17"/>
  <c r="N8" i="17"/>
  <c r="N16" i="17"/>
  <c r="O16" i="17" s="1"/>
  <c r="M19" i="17"/>
  <c r="N23" i="17"/>
  <c r="M32" i="17"/>
  <c r="O32" i="17" s="1"/>
  <c r="N51" i="17"/>
  <c r="N52" i="17"/>
  <c r="N105" i="17"/>
  <c r="M105" i="17"/>
  <c r="O116" i="17"/>
  <c r="O140" i="17"/>
  <c r="N11" i="17"/>
  <c r="N12" i="17"/>
  <c r="O12" i="17" s="1"/>
  <c r="O144" i="17"/>
  <c r="N17" i="17"/>
  <c r="O51" i="17"/>
  <c r="N66" i="17"/>
  <c r="M66" i="17"/>
  <c r="M91" i="17"/>
  <c r="M24" i="17"/>
  <c r="M83" i="17"/>
  <c r="N42" i="17"/>
  <c r="O42" i="17" s="1"/>
  <c r="M84" i="17"/>
  <c r="M93" i="17"/>
  <c r="O93" i="17" s="1"/>
  <c r="M3" i="17"/>
  <c r="O3" i="17" s="1"/>
  <c r="N9" i="17"/>
  <c r="M13" i="17"/>
  <c r="M15" i="17"/>
  <c r="O15" i="17" s="1"/>
  <c r="M20" i="17"/>
  <c r="O22" i="17"/>
  <c r="N132" i="17"/>
  <c r="M132" i="17"/>
  <c r="N133" i="17"/>
  <c r="M133" i="17"/>
  <c r="M30" i="17"/>
  <c r="O30" i="17" s="1"/>
  <c r="M44" i="17"/>
  <c r="M46" i="17"/>
  <c r="O117" i="17"/>
  <c r="N28" i="17"/>
  <c r="N13" i="17"/>
  <c r="M56" i="17"/>
  <c r="N70" i="17"/>
  <c r="M70" i="17"/>
  <c r="N94" i="17"/>
  <c r="N109" i="17"/>
  <c r="M114" i="17"/>
  <c r="M109" i="17"/>
  <c r="N146" i="17"/>
  <c r="M95" i="17"/>
  <c r="O95" i="17" s="1"/>
  <c r="N147" i="17"/>
  <c r="M147" i="17"/>
  <c r="M146" i="17"/>
  <c r="N104" i="17"/>
  <c r="N86" i="17"/>
  <c r="O86" i="17" s="1"/>
  <c r="O126" i="17"/>
  <c r="O130" i="17"/>
  <c r="M80" i="17"/>
  <c r="N123" i="17"/>
  <c r="N119" i="17"/>
  <c r="M119" i="17"/>
  <c r="M123" i="17"/>
  <c r="O123" i="17" s="1"/>
  <c r="O2" i="17"/>
  <c r="M29" i="17"/>
  <c r="N6" i="17"/>
  <c r="N20" i="17"/>
  <c r="M21" i="17"/>
  <c r="O21" i="17" s="1"/>
  <c r="C32" i="4"/>
  <c r="B32" i="4"/>
  <c r="O31" i="17" l="1"/>
  <c r="O47" i="17"/>
  <c r="O25" i="17"/>
  <c r="O52" i="17"/>
  <c r="O48" i="17"/>
  <c r="O72" i="17"/>
  <c r="O24" i="17"/>
  <c r="O64" i="17"/>
  <c r="O9" i="17"/>
  <c r="O61" i="17"/>
  <c r="O29" i="17"/>
  <c r="O11" i="17"/>
  <c r="O139" i="17"/>
  <c r="O103" i="7"/>
  <c r="O23" i="17"/>
  <c r="O50" i="17"/>
  <c r="O110" i="17"/>
  <c r="O35" i="17"/>
  <c r="O104" i="17"/>
  <c r="O39" i="17"/>
  <c r="O38" i="17"/>
  <c r="O102" i="17"/>
  <c r="O149" i="17"/>
  <c r="O34" i="17"/>
  <c r="O136" i="17"/>
  <c r="O27" i="17"/>
  <c r="O92" i="17"/>
  <c r="O79" i="17"/>
  <c r="O6" i="17"/>
  <c r="O56" i="17"/>
  <c r="O78" i="17"/>
  <c r="O118" i="17"/>
  <c r="O106" i="17"/>
  <c r="O69" i="17"/>
  <c r="O46" i="17"/>
  <c r="O80" i="17"/>
  <c r="O8" i="17"/>
  <c r="O67" i="17"/>
  <c r="O83" i="17"/>
  <c r="O91" i="17"/>
  <c r="O18" i="17"/>
  <c r="O44" i="17"/>
  <c r="O131" i="17"/>
  <c r="O133" i="17"/>
  <c r="O114" i="17"/>
  <c r="O132" i="17"/>
  <c r="O66" i="17"/>
  <c r="O84" i="17"/>
  <c r="O20" i="17"/>
  <c r="O94" i="17"/>
  <c r="O147" i="17"/>
  <c r="O119" i="17"/>
  <c r="O70" i="17"/>
  <c r="O105" i="17"/>
  <c r="O150" i="17"/>
  <c r="O109" i="17"/>
  <c r="O13" i="17"/>
  <c r="O19" i="17"/>
  <c r="O146" i="17"/>
  <c r="M3" i="7"/>
  <c r="M4" i="7"/>
  <c r="N4" i="7"/>
  <c r="M7" i="7"/>
  <c r="N7" i="7"/>
  <c r="N8" i="7"/>
  <c r="M9" i="7"/>
  <c r="M10" i="7"/>
  <c r="N14" i="7"/>
  <c r="N16" i="7"/>
  <c r="N17" i="7"/>
  <c r="M20" i="7"/>
  <c r="N21" i="7"/>
  <c r="M23" i="7"/>
  <c r="M25" i="7"/>
  <c r="N25" i="7"/>
  <c r="N26" i="7"/>
  <c r="M30" i="7"/>
  <c r="M31" i="7"/>
  <c r="N32" i="7"/>
  <c r="N35" i="7"/>
  <c r="M36" i="7"/>
  <c r="N38" i="7"/>
  <c r="N41" i="7"/>
  <c r="M42" i="7"/>
  <c r="N42" i="7"/>
  <c r="M45" i="7"/>
  <c r="N45" i="7"/>
  <c r="M46" i="7"/>
  <c r="N101" i="7"/>
  <c r="M102" i="7"/>
  <c r="N56" i="7"/>
  <c r="N57" i="7"/>
  <c r="N58" i="7"/>
  <c r="M59" i="7"/>
  <c r="M64" i="7"/>
  <c r="N66" i="7"/>
  <c r="M72" i="7"/>
  <c r="N73" i="7"/>
  <c r="M75" i="7"/>
  <c r="N75" i="7"/>
  <c r="M77" i="7"/>
  <c r="M78" i="7"/>
  <c r="N78" i="7"/>
  <c r="N80" i="7"/>
  <c r="M84" i="7"/>
  <c r="N86" i="7"/>
  <c r="N87" i="7"/>
  <c r="N88" i="7"/>
  <c r="N89" i="7"/>
  <c r="M90" i="7"/>
  <c r="N90" i="7"/>
  <c r="M91" i="7"/>
  <c r="M92" i="7"/>
  <c r="N93" i="7"/>
  <c r="M96" i="7"/>
  <c r="N96" i="7"/>
  <c r="T105" i="17" l="1"/>
  <c r="S105" i="17" s="1"/>
  <c r="P105" i="17" s="1"/>
  <c r="Q105" i="17" s="1"/>
  <c r="R105" i="17" s="1"/>
  <c r="T59" i="17"/>
  <c r="S59" i="17" s="1"/>
  <c r="P59" i="17" s="1"/>
  <c r="Q59" i="17" s="1"/>
  <c r="R59" i="17" s="1"/>
  <c r="T39" i="17"/>
  <c r="S39" i="17" s="1"/>
  <c r="P39" i="17" s="1"/>
  <c r="Q39" i="17" s="1"/>
  <c r="R39" i="17" s="1"/>
  <c r="T71" i="17"/>
  <c r="S71" i="17" s="1"/>
  <c r="P71" i="17" s="1"/>
  <c r="Q71" i="17" s="1"/>
  <c r="R71" i="17" s="1"/>
  <c r="T103" i="17"/>
  <c r="S103" i="17" s="1"/>
  <c r="P103" i="17" s="1"/>
  <c r="Q103" i="17" s="1"/>
  <c r="R103" i="17" s="1"/>
  <c r="T88" i="17"/>
  <c r="S88" i="17" s="1"/>
  <c r="P88" i="17" s="1"/>
  <c r="Q88" i="17" s="1"/>
  <c r="R88" i="17" s="1"/>
  <c r="T49" i="17"/>
  <c r="S49" i="17" s="1"/>
  <c r="P49" i="17" s="1"/>
  <c r="Q49" i="17" s="1"/>
  <c r="R49" i="17" s="1"/>
  <c r="T83" i="17"/>
  <c r="S83" i="17" s="1"/>
  <c r="P83" i="17" s="1"/>
  <c r="Q83" i="17" s="1"/>
  <c r="R83" i="17" s="1"/>
  <c r="T149" i="17"/>
  <c r="S149" i="17" s="1"/>
  <c r="P149" i="17" s="1"/>
  <c r="Q149" i="17" s="1"/>
  <c r="R149" i="17" s="1"/>
  <c r="N28" i="7"/>
  <c r="T81" i="7"/>
  <c r="T90" i="7"/>
  <c r="T11" i="7"/>
  <c r="T68" i="7"/>
  <c r="T78" i="7"/>
  <c r="M6" i="7"/>
  <c r="N61" i="7"/>
  <c r="O78" i="7"/>
  <c r="N55" i="7"/>
  <c r="N79" i="7"/>
  <c r="N83" i="7"/>
  <c r="M62" i="7"/>
  <c r="N64" i="7"/>
  <c r="O64" i="7" s="1"/>
  <c r="M56" i="7"/>
  <c r="O56" i="7" s="1"/>
  <c r="N29" i="7"/>
  <c r="N76" i="7"/>
  <c r="M73" i="7"/>
  <c r="O73" i="7" s="1"/>
  <c r="N85" i="7"/>
  <c r="N68" i="7"/>
  <c r="M49" i="7"/>
  <c r="M74" i="7"/>
  <c r="N40" i="7"/>
  <c r="N100" i="7"/>
  <c r="N94" i="7"/>
  <c r="N18" i="7"/>
  <c r="M95" i="7"/>
  <c r="N92" i="7"/>
  <c r="O92" i="7" s="1"/>
  <c r="M76" i="7"/>
  <c r="N72" i="7"/>
  <c r="O72" i="7" s="1"/>
  <c r="M69" i="7"/>
  <c r="N67" i="7"/>
  <c r="M65" i="7"/>
  <c r="N54" i="7"/>
  <c r="M53" i="7"/>
  <c r="N102" i="7"/>
  <c r="O102" i="7" s="1"/>
  <c r="N50" i="7"/>
  <c r="M47" i="7"/>
  <c r="M82" i="7"/>
  <c r="M68" i="7"/>
  <c r="M67" i="7"/>
  <c r="M61" i="7"/>
  <c r="M54" i="7"/>
  <c r="M44" i="7"/>
  <c r="N95" i="7"/>
  <c r="N91" i="7"/>
  <c r="O91" i="7" s="1"/>
  <c r="M89" i="7"/>
  <c r="O89" i="7" s="1"/>
  <c r="M85" i="7"/>
  <c r="N84" i="7"/>
  <c r="O84" i="7" s="1"/>
  <c r="M79" i="7"/>
  <c r="N69" i="7"/>
  <c r="N65" i="7"/>
  <c r="N59" i="7"/>
  <c r="O59" i="7" s="1"/>
  <c r="M57" i="7"/>
  <c r="O57" i="7" s="1"/>
  <c r="N53" i="7"/>
  <c r="M48" i="7"/>
  <c r="N47" i="7"/>
  <c r="N46" i="7"/>
  <c r="O46" i="7" s="1"/>
  <c r="N39" i="7"/>
  <c r="N44" i="7"/>
  <c r="M43" i="7"/>
  <c r="M37" i="7"/>
  <c r="N31" i="7"/>
  <c r="O31" i="7" s="1"/>
  <c r="M24" i="7"/>
  <c r="M41" i="7"/>
  <c r="O41" i="7" s="1"/>
  <c r="M39" i="7"/>
  <c r="M34" i="7"/>
  <c r="M17" i="7"/>
  <c r="O17" i="7" s="1"/>
  <c r="N11" i="7"/>
  <c r="N24" i="7"/>
  <c r="N15" i="7"/>
  <c r="N12" i="7"/>
  <c r="N30" i="7"/>
  <c r="O30" i="7" s="1"/>
  <c r="M29" i="7"/>
  <c r="M26" i="7"/>
  <c r="O26" i="7" s="1"/>
  <c r="M22" i="7"/>
  <c r="M16" i="7"/>
  <c r="O16" i="7" s="1"/>
  <c r="M15" i="7"/>
  <c r="M12" i="7"/>
  <c r="M5" i="7"/>
  <c r="O96" i="7"/>
  <c r="M71" i="7"/>
  <c r="N71" i="7"/>
  <c r="M81" i="7"/>
  <c r="M98" i="7"/>
  <c r="N97" i="7"/>
  <c r="M93" i="7"/>
  <c r="O93" i="7" s="1"/>
  <c r="M86" i="7"/>
  <c r="O86" i="7" s="1"/>
  <c r="N81" i="7"/>
  <c r="N77" i="7"/>
  <c r="O77" i="7" s="1"/>
  <c r="N74" i="7"/>
  <c r="M60" i="7"/>
  <c r="M55" i="7"/>
  <c r="M52" i="7"/>
  <c r="N52" i="7"/>
  <c r="M94" i="7"/>
  <c r="M100" i="7"/>
  <c r="N99" i="7"/>
  <c r="N98" i="7"/>
  <c r="M97" i="7"/>
  <c r="M88" i="7"/>
  <c r="O88" i="7" s="1"/>
  <c r="M83" i="7"/>
  <c r="N82" i="7"/>
  <c r="O45" i="7"/>
  <c r="O42" i="7"/>
  <c r="N70" i="7"/>
  <c r="N63" i="7"/>
  <c r="N62" i="7"/>
  <c r="N49" i="7"/>
  <c r="M101" i="7"/>
  <c r="O101" i="7" s="1"/>
  <c r="M35" i="7"/>
  <c r="O35" i="7" s="1"/>
  <c r="M32" i="7"/>
  <c r="O32" i="7" s="1"/>
  <c r="M70" i="7"/>
  <c r="M66" i="7"/>
  <c r="O66" i="7" s="1"/>
  <c r="M63" i="7"/>
  <c r="N60" i="7"/>
  <c r="M58" i="7"/>
  <c r="O58" i="7" s="1"/>
  <c r="N51" i="7"/>
  <c r="N48" i="7"/>
  <c r="N43" i="7"/>
  <c r="N33" i="7"/>
  <c r="N20" i="7"/>
  <c r="O20" i="7" s="1"/>
  <c r="N37" i="7"/>
  <c r="N36" i="7"/>
  <c r="O36" i="7" s="1"/>
  <c r="N34" i="7"/>
  <c r="M27" i="7"/>
  <c r="N23" i="7"/>
  <c r="O23" i="7" s="1"/>
  <c r="M21" i="7"/>
  <c r="O21" i="7" s="1"/>
  <c r="N19" i="7"/>
  <c r="M28" i="7"/>
  <c r="N27" i="7"/>
  <c r="N22" i="7"/>
  <c r="M19" i="7"/>
  <c r="M18" i="7"/>
  <c r="M13" i="7"/>
  <c r="O7" i="7"/>
  <c r="N3" i="7"/>
  <c r="O3" i="7" s="1"/>
  <c r="N6" i="7"/>
  <c r="N13" i="7"/>
  <c r="M11" i="7"/>
  <c r="N10" i="7"/>
  <c r="O10" i="7" s="1"/>
  <c r="M8" i="7"/>
  <c r="O8" i="7" s="1"/>
  <c r="N5" i="7"/>
  <c r="O4" i="7"/>
  <c r="M99" i="7"/>
  <c r="M87" i="7"/>
  <c r="O87" i="7" s="1"/>
  <c r="O90" i="7"/>
  <c r="M80" i="7"/>
  <c r="O80" i="7" s="1"/>
  <c r="O75" i="7"/>
  <c r="M50" i="7"/>
  <c r="M51" i="7"/>
  <c r="M40" i="7"/>
  <c r="M33" i="7"/>
  <c r="M38" i="7"/>
  <c r="O38" i="7" s="1"/>
  <c r="O25" i="7"/>
  <c r="M14" i="7"/>
  <c r="O14" i="7" s="1"/>
  <c r="N9" i="7"/>
  <c r="O9" i="7" s="1"/>
  <c r="O54" i="7" l="1"/>
  <c r="O28" i="7"/>
  <c r="O68" i="7"/>
  <c r="O74" i="7"/>
  <c r="T61" i="7"/>
  <c r="T7" i="7"/>
  <c r="S7" i="7" s="1"/>
  <c r="P7" i="7" s="1"/>
  <c r="Q7" i="7" s="1"/>
  <c r="R7" i="7" s="1"/>
  <c r="T71" i="7"/>
  <c r="S71" i="7" s="1"/>
  <c r="T20" i="7"/>
  <c r="T14" i="7"/>
  <c r="S14" i="7" s="1"/>
  <c r="P14" i="7" s="1"/>
  <c r="Q14" i="7" s="1"/>
  <c r="R14" i="7" s="1"/>
  <c r="T23" i="7"/>
  <c r="S23" i="7" s="1"/>
  <c r="P23" i="7" s="1"/>
  <c r="Q23" i="7" s="1"/>
  <c r="R23" i="7" s="1"/>
  <c r="T15" i="7"/>
  <c r="S15" i="7" s="1"/>
  <c r="T17" i="7"/>
  <c r="S17" i="7" s="1"/>
  <c r="P17" i="7" s="1"/>
  <c r="Q17" i="7" s="1"/>
  <c r="R17" i="7" s="1"/>
  <c r="T9" i="7"/>
  <c r="S9" i="7" s="1"/>
  <c r="P9" i="7" s="1"/>
  <c r="Q9" i="7" s="1"/>
  <c r="R9" i="7" s="1"/>
  <c r="T4" i="7"/>
  <c r="S4" i="7" s="1"/>
  <c r="P4" i="7" s="1"/>
  <c r="Q4" i="7" s="1"/>
  <c r="R4" i="7" s="1"/>
  <c r="T35" i="17"/>
  <c r="S35" i="17" s="1"/>
  <c r="P35" i="17" s="1"/>
  <c r="Q35" i="17" s="1"/>
  <c r="R35" i="17" s="1"/>
  <c r="T99" i="7"/>
  <c r="O82" i="7"/>
  <c r="T122" i="17"/>
  <c r="S122" i="17" s="1"/>
  <c r="P122" i="17" s="1"/>
  <c r="Q122" i="17" s="1"/>
  <c r="R122" i="17" s="1"/>
  <c r="T30" i="7"/>
  <c r="S30" i="7" s="1"/>
  <c r="P30" i="7" s="1"/>
  <c r="Q30" i="7" s="1"/>
  <c r="R30" i="7" s="1"/>
  <c r="T53" i="7"/>
  <c r="S53" i="7" s="1"/>
  <c r="T89" i="7"/>
  <c r="S89" i="7" s="1"/>
  <c r="P89" i="7" s="1"/>
  <c r="Q89" i="7" s="1"/>
  <c r="R89" i="7" s="1"/>
  <c r="T96" i="7"/>
  <c r="S96" i="7" s="1"/>
  <c r="P96" i="7" s="1"/>
  <c r="Q96" i="7" s="1"/>
  <c r="R96" i="7" s="1"/>
  <c r="T48" i="17"/>
  <c r="S48" i="17" s="1"/>
  <c r="P48" i="17" s="1"/>
  <c r="Q48" i="17" s="1"/>
  <c r="R48" i="17" s="1"/>
  <c r="T10" i="7"/>
  <c r="S10" i="7" s="1"/>
  <c r="P10" i="7" s="1"/>
  <c r="Q10" i="7" s="1"/>
  <c r="R10" i="7" s="1"/>
  <c r="T58" i="7"/>
  <c r="S58" i="7" s="1"/>
  <c r="P58" i="7" s="1"/>
  <c r="Q58" i="7" s="1"/>
  <c r="R58" i="7" s="1"/>
  <c r="T94" i="17"/>
  <c r="S94" i="17" s="1"/>
  <c r="P94" i="17" s="1"/>
  <c r="Q94" i="17" s="1"/>
  <c r="R94" i="17" s="1"/>
  <c r="T76" i="7"/>
  <c r="S76" i="7" s="1"/>
  <c r="T13" i="7"/>
  <c r="S13" i="7" s="1"/>
  <c r="T101" i="7"/>
  <c r="S101" i="7" s="1"/>
  <c r="P101" i="7" s="1"/>
  <c r="Q101" i="7" s="1"/>
  <c r="R101" i="7" s="1"/>
  <c r="T84" i="7"/>
  <c r="S84" i="7" s="1"/>
  <c r="P84" i="7" s="1"/>
  <c r="Q84" i="7" s="1"/>
  <c r="R84" i="7" s="1"/>
  <c r="T19" i="7"/>
  <c r="S19" i="7" s="1"/>
  <c r="O61" i="7"/>
  <c r="T45" i="7"/>
  <c r="S45" i="7" s="1"/>
  <c r="P45" i="7" s="1"/>
  <c r="Q45" i="7" s="1"/>
  <c r="R45" i="7" s="1"/>
  <c r="O24" i="7"/>
  <c r="T56" i="7"/>
  <c r="S56" i="7" s="1"/>
  <c r="P56" i="7" s="1"/>
  <c r="Q56" i="7" s="1"/>
  <c r="R56" i="7" s="1"/>
  <c r="T6" i="7"/>
  <c r="S6" i="7" s="1"/>
  <c r="T97" i="7"/>
  <c r="S97" i="7" s="1"/>
  <c r="T28" i="7"/>
  <c r="S28" i="7" s="1"/>
  <c r="P28" i="7" s="1"/>
  <c r="Q28" i="7" s="1"/>
  <c r="R28" i="7" s="1"/>
  <c r="T35" i="7"/>
  <c r="S35" i="7" s="1"/>
  <c r="P35" i="7" s="1"/>
  <c r="Q35" i="7" s="1"/>
  <c r="R35" i="7" s="1"/>
  <c r="T26" i="7"/>
  <c r="S26" i="7" s="1"/>
  <c r="P26" i="7" s="1"/>
  <c r="Q26" i="7" s="1"/>
  <c r="R26" i="7" s="1"/>
  <c r="T55" i="7"/>
  <c r="S55" i="7" s="1"/>
  <c r="T37" i="7"/>
  <c r="S37" i="7" s="1"/>
  <c r="T34" i="7"/>
  <c r="S34" i="7" s="1"/>
  <c r="T70" i="7"/>
  <c r="S70" i="7" s="1"/>
  <c r="T94" i="7"/>
  <c r="S94" i="7" s="1"/>
  <c r="T72" i="7"/>
  <c r="S72" i="7" s="1"/>
  <c r="P72" i="7" s="1"/>
  <c r="Q72" i="7" s="1"/>
  <c r="R72" i="7" s="1"/>
  <c r="T43" i="7"/>
  <c r="S43" i="7" s="1"/>
  <c r="O81" i="7"/>
  <c r="T44" i="7"/>
  <c r="S44" i="7" s="1"/>
  <c r="T24" i="7"/>
  <c r="S24" i="7" s="1"/>
  <c r="T31" i="7"/>
  <c r="S31" i="7" s="1"/>
  <c r="P31" i="7" s="1"/>
  <c r="Q31" i="7" s="1"/>
  <c r="R31" i="7" s="1"/>
  <c r="T86" i="7"/>
  <c r="S86" i="7" s="1"/>
  <c r="P86" i="7" s="1"/>
  <c r="Q86" i="7" s="1"/>
  <c r="R86" i="7" s="1"/>
  <c r="T87" i="7"/>
  <c r="S87" i="7" s="1"/>
  <c r="P87" i="7" s="1"/>
  <c r="Q87" i="7" s="1"/>
  <c r="R87" i="7" s="1"/>
  <c r="T93" i="7"/>
  <c r="S93" i="7" s="1"/>
  <c r="P93" i="7" s="1"/>
  <c r="Q93" i="7" s="1"/>
  <c r="R93" i="7" s="1"/>
  <c r="T16" i="7"/>
  <c r="S16" i="7" s="1"/>
  <c r="P16" i="7" s="1"/>
  <c r="Q16" i="7" s="1"/>
  <c r="R16" i="7" s="1"/>
  <c r="T25" i="7"/>
  <c r="S25" i="7" s="1"/>
  <c r="P25" i="7" s="1"/>
  <c r="Q25" i="7" s="1"/>
  <c r="R25" i="7" s="1"/>
  <c r="T46" i="7"/>
  <c r="S46" i="7" s="1"/>
  <c r="P46" i="7" s="1"/>
  <c r="Q46" i="7" s="1"/>
  <c r="R46" i="7" s="1"/>
  <c r="T100" i="7"/>
  <c r="S100" i="7" s="1"/>
  <c r="T42" i="7"/>
  <c r="S42" i="7" s="1"/>
  <c r="P42" i="7" s="1"/>
  <c r="Q42" i="7" s="1"/>
  <c r="R42" i="7" s="1"/>
  <c r="T60" i="7"/>
  <c r="S60" i="7" s="1"/>
  <c r="T92" i="7"/>
  <c r="S92" i="7" s="1"/>
  <c r="P92" i="7" s="1"/>
  <c r="Q92" i="7" s="1"/>
  <c r="R92" i="7" s="1"/>
  <c r="T66" i="7"/>
  <c r="S66" i="7" s="1"/>
  <c r="P66" i="7" s="1"/>
  <c r="Q66" i="7" s="1"/>
  <c r="R66" i="7" s="1"/>
  <c r="T103" i="7"/>
  <c r="S103" i="7" s="1"/>
  <c r="P103" i="7" s="1"/>
  <c r="Q103" i="7" s="1"/>
  <c r="R103" i="7" s="1"/>
  <c r="T36" i="7"/>
  <c r="S36" i="7" s="1"/>
  <c r="P36" i="7" s="1"/>
  <c r="Q36" i="7" s="1"/>
  <c r="R36" i="7" s="1"/>
  <c r="T80" i="7"/>
  <c r="S80" i="7" s="1"/>
  <c r="P80" i="7" s="1"/>
  <c r="Q80" i="7" s="1"/>
  <c r="R80" i="7" s="1"/>
  <c r="T12" i="7"/>
  <c r="S12" i="7" s="1"/>
  <c r="T40" i="7"/>
  <c r="S40" i="7" s="1"/>
  <c r="T49" i="7"/>
  <c r="S49" i="7" s="1"/>
  <c r="T51" i="7"/>
  <c r="S51" i="7" s="1"/>
  <c r="T102" i="7"/>
  <c r="S102" i="7" s="1"/>
  <c r="P102" i="7" s="1"/>
  <c r="Q102" i="7" s="1"/>
  <c r="R102" i="7" s="1"/>
  <c r="T3" i="7"/>
  <c r="S3" i="7" s="1"/>
  <c r="P3" i="7" s="1"/>
  <c r="Q3" i="7" s="1"/>
  <c r="R3" i="7" s="1"/>
  <c r="T65" i="7"/>
  <c r="S65" i="7" s="1"/>
  <c r="T95" i="7"/>
  <c r="S95" i="7" s="1"/>
  <c r="T79" i="7"/>
  <c r="S79" i="7" s="1"/>
  <c r="T64" i="17"/>
  <c r="S64" i="17" s="1"/>
  <c r="P64" i="17" s="1"/>
  <c r="Q64" i="17" s="1"/>
  <c r="R64" i="17" s="1"/>
  <c r="T59" i="7"/>
  <c r="S59" i="7" s="1"/>
  <c r="P59" i="7" s="1"/>
  <c r="Q59" i="7" s="1"/>
  <c r="R59" i="7" s="1"/>
  <c r="S99" i="7"/>
  <c r="O13" i="7"/>
  <c r="O63" i="7"/>
  <c r="O15" i="7"/>
  <c r="O62" i="7"/>
  <c r="O79" i="7"/>
  <c r="O47" i="7"/>
  <c r="O97" i="7"/>
  <c r="T32" i="17"/>
  <c r="S32" i="17" s="1"/>
  <c r="P32" i="17" s="1"/>
  <c r="Q32" i="17" s="1"/>
  <c r="R32" i="17" s="1"/>
  <c r="S78" i="7"/>
  <c r="P78" i="7" s="1"/>
  <c r="Q78" i="7" s="1"/>
  <c r="R78" i="7" s="1"/>
  <c r="T134" i="17"/>
  <c r="S134" i="17" s="1"/>
  <c r="P134" i="17" s="1"/>
  <c r="Q134" i="17" s="1"/>
  <c r="R134" i="17" s="1"/>
  <c r="T140" i="17"/>
  <c r="S140" i="17" s="1"/>
  <c r="P140" i="17" s="1"/>
  <c r="Q140" i="17" s="1"/>
  <c r="R140" i="17" s="1"/>
  <c r="T85" i="17"/>
  <c r="S85" i="17" s="1"/>
  <c r="P85" i="17" s="1"/>
  <c r="Q85" i="17" s="1"/>
  <c r="R85" i="17" s="1"/>
  <c r="T113" i="17"/>
  <c r="S113" i="17" s="1"/>
  <c r="P113" i="17" s="1"/>
  <c r="Q113" i="17" s="1"/>
  <c r="R113" i="17" s="1"/>
  <c r="T143" i="17"/>
  <c r="S143" i="17" s="1"/>
  <c r="P143" i="17" s="1"/>
  <c r="Q143" i="17" s="1"/>
  <c r="R143" i="17" s="1"/>
  <c r="T114" i="17"/>
  <c r="S114" i="17" s="1"/>
  <c r="P114" i="17" s="1"/>
  <c r="Q114" i="17" s="1"/>
  <c r="R114" i="17" s="1"/>
  <c r="T135" i="17"/>
  <c r="S135" i="17" s="1"/>
  <c r="P135" i="17" s="1"/>
  <c r="Q135" i="17" s="1"/>
  <c r="R135" i="17" s="1"/>
  <c r="T78" i="17"/>
  <c r="S78" i="17" s="1"/>
  <c r="P78" i="17" s="1"/>
  <c r="Q78" i="17" s="1"/>
  <c r="R78" i="17" s="1"/>
  <c r="T100" i="17"/>
  <c r="S100" i="17" s="1"/>
  <c r="P100" i="17" s="1"/>
  <c r="Q100" i="17" s="1"/>
  <c r="R100" i="17" s="1"/>
  <c r="T43" i="17"/>
  <c r="S43" i="17" s="1"/>
  <c r="P43" i="17" s="1"/>
  <c r="Q43" i="17" s="1"/>
  <c r="R43" i="17" s="1"/>
  <c r="S68" i="7"/>
  <c r="P68" i="7" s="1"/>
  <c r="Q68" i="7" s="1"/>
  <c r="R68" i="7" s="1"/>
  <c r="T44" i="17"/>
  <c r="S44" i="17" s="1"/>
  <c r="P44" i="17" s="1"/>
  <c r="Q44" i="17" s="1"/>
  <c r="R44" i="17" s="1"/>
  <c r="T87" i="17"/>
  <c r="S87" i="17" s="1"/>
  <c r="P87" i="17" s="1"/>
  <c r="Q87" i="17" s="1"/>
  <c r="R87" i="17" s="1"/>
  <c r="T129" i="17"/>
  <c r="S129" i="17" s="1"/>
  <c r="P129" i="17" s="1"/>
  <c r="Q129" i="17" s="1"/>
  <c r="R129" i="17" s="1"/>
  <c r="T139" i="17"/>
  <c r="S139" i="17" s="1"/>
  <c r="P139" i="17" s="1"/>
  <c r="Q139" i="17" s="1"/>
  <c r="R139" i="17" s="1"/>
  <c r="T63" i="17"/>
  <c r="S63" i="17" s="1"/>
  <c r="P63" i="17" s="1"/>
  <c r="Q63" i="17" s="1"/>
  <c r="R63" i="17" s="1"/>
  <c r="T109" i="17"/>
  <c r="S109" i="17" s="1"/>
  <c r="P109" i="17" s="1"/>
  <c r="Q109" i="17" s="1"/>
  <c r="R109" i="17" s="1"/>
  <c r="T130" i="17"/>
  <c r="S130" i="17" s="1"/>
  <c r="P130" i="17" s="1"/>
  <c r="Q130" i="17" s="1"/>
  <c r="R130" i="17" s="1"/>
  <c r="S20" i="7"/>
  <c r="P20" i="7" s="1"/>
  <c r="Q20" i="7" s="1"/>
  <c r="R20" i="7" s="1"/>
  <c r="T31" i="17"/>
  <c r="S31" i="17" s="1"/>
  <c r="P31" i="17" s="1"/>
  <c r="Q31" i="17" s="1"/>
  <c r="R31" i="17" s="1"/>
  <c r="T91" i="17"/>
  <c r="S91" i="17" s="1"/>
  <c r="P91" i="17" s="1"/>
  <c r="Q91" i="17" s="1"/>
  <c r="R91" i="17" s="1"/>
  <c r="T131" i="17"/>
  <c r="S131" i="17" s="1"/>
  <c r="P131" i="17" s="1"/>
  <c r="Q131" i="17" s="1"/>
  <c r="R131" i="17" s="1"/>
  <c r="T93" i="17"/>
  <c r="S93" i="17" s="1"/>
  <c r="P93" i="17" s="1"/>
  <c r="Q93" i="17" s="1"/>
  <c r="R93" i="17" s="1"/>
  <c r="T144" i="17"/>
  <c r="S144" i="17" s="1"/>
  <c r="P144" i="17" s="1"/>
  <c r="Q144" i="17" s="1"/>
  <c r="R144" i="17" s="1"/>
  <c r="S81" i="7"/>
  <c r="T75" i="17"/>
  <c r="S75" i="17" s="1"/>
  <c r="P75" i="17" s="1"/>
  <c r="Q75" i="17" s="1"/>
  <c r="R75" i="17" s="1"/>
  <c r="T136" i="17"/>
  <c r="S136" i="17" s="1"/>
  <c r="P136" i="17" s="1"/>
  <c r="Q136" i="17" s="1"/>
  <c r="R136" i="17" s="1"/>
  <c r="T101" i="17"/>
  <c r="S101" i="17" s="1"/>
  <c r="P101" i="17" s="1"/>
  <c r="Q101" i="17" s="1"/>
  <c r="R101" i="17" s="1"/>
  <c r="T102" i="17"/>
  <c r="S102" i="17" s="1"/>
  <c r="P102" i="17" s="1"/>
  <c r="Q102" i="17" s="1"/>
  <c r="R102" i="17" s="1"/>
  <c r="T90" i="17"/>
  <c r="S90" i="17" s="1"/>
  <c r="P90" i="17" s="1"/>
  <c r="Q90" i="17" s="1"/>
  <c r="R90" i="17" s="1"/>
  <c r="T125" i="17"/>
  <c r="S125" i="17" s="1"/>
  <c r="P125" i="17" s="1"/>
  <c r="Q125" i="17" s="1"/>
  <c r="R125" i="17" s="1"/>
  <c r="T84" i="17"/>
  <c r="S84" i="17" s="1"/>
  <c r="P84" i="17" s="1"/>
  <c r="Q84" i="17" s="1"/>
  <c r="R84" i="17" s="1"/>
  <c r="T108" i="17"/>
  <c r="S108" i="17" s="1"/>
  <c r="P108" i="17" s="1"/>
  <c r="Q108" i="17" s="1"/>
  <c r="R108" i="17" s="1"/>
  <c r="T46" i="17"/>
  <c r="S46" i="17" s="1"/>
  <c r="P46" i="17" s="1"/>
  <c r="Q46" i="17" s="1"/>
  <c r="R46" i="17" s="1"/>
  <c r="S61" i="7"/>
  <c r="P61" i="7" s="1"/>
  <c r="Q61" i="7" s="1"/>
  <c r="R61" i="7" s="1"/>
  <c r="T119" i="17"/>
  <c r="S119" i="17" s="1"/>
  <c r="P119" i="17" s="1"/>
  <c r="Q119" i="17" s="1"/>
  <c r="R119" i="17" s="1"/>
  <c r="T47" i="17"/>
  <c r="S47" i="17" s="1"/>
  <c r="P47" i="17" s="1"/>
  <c r="Q47" i="17" s="1"/>
  <c r="R47" i="17" s="1"/>
  <c r="T69" i="17"/>
  <c r="S69" i="17" s="1"/>
  <c r="P69" i="17" s="1"/>
  <c r="Q69" i="17" s="1"/>
  <c r="R69" i="17" s="1"/>
  <c r="T107" i="17"/>
  <c r="S107" i="17" s="1"/>
  <c r="P107" i="17" s="1"/>
  <c r="Q107" i="17" s="1"/>
  <c r="R107" i="17" s="1"/>
  <c r="T76" i="17"/>
  <c r="S76" i="17" s="1"/>
  <c r="P76" i="17" s="1"/>
  <c r="Q76" i="17" s="1"/>
  <c r="R76" i="17" s="1"/>
  <c r="T38" i="17"/>
  <c r="S38" i="17" s="1"/>
  <c r="P38" i="17" s="1"/>
  <c r="Q38" i="17" s="1"/>
  <c r="R38" i="17" s="1"/>
  <c r="T86" i="17"/>
  <c r="S86" i="17" s="1"/>
  <c r="P86" i="17" s="1"/>
  <c r="Q86" i="17" s="1"/>
  <c r="R86" i="17" s="1"/>
  <c r="T128" i="17"/>
  <c r="S128" i="17" s="1"/>
  <c r="P128" i="17" s="1"/>
  <c r="Q128" i="17" s="1"/>
  <c r="R128" i="17" s="1"/>
  <c r="T79" i="17"/>
  <c r="S79" i="17" s="1"/>
  <c r="P79" i="17" s="1"/>
  <c r="Q79" i="17" s="1"/>
  <c r="R79" i="17" s="1"/>
  <c r="T142" i="17"/>
  <c r="S142" i="17" s="1"/>
  <c r="P142" i="17" s="1"/>
  <c r="Q142" i="17" s="1"/>
  <c r="R142" i="17" s="1"/>
  <c r="T132" i="17"/>
  <c r="S132" i="17" s="1"/>
  <c r="P132" i="17" s="1"/>
  <c r="Q132" i="17" s="1"/>
  <c r="R132" i="17" s="1"/>
  <c r="T123" i="17"/>
  <c r="S123" i="17" s="1"/>
  <c r="P123" i="17" s="1"/>
  <c r="Q123" i="17" s="1"/>
  <c r="R123" i="17" s="1"/>
  <c r="T106" i="17"/>
  <c r="S106" i="17" s="1"/>
  <c r="P106" i="17" s="1"/>
  <c r="Q106" i="17" s="1"/>
  <c r="R106" i="17" s="1"/>
  <c r="T99" i="17"/>
  <c r="S99" i="17" s="1"/>
  <c r="P99" i="17" s="1"/>
  <c r="Q99" i="17" s="1"/>
  <c r="R99" i="17" s="1"/>
  <c r="T133" i="17"/>
  <c r="S133" i="17" s="1"/>
  <c r="P133" i="17" s="1"/>
  <c r="Q133" i="17" s="1"/>
  <c r="R133" i="17" s="1"/>
  <c r="T145" i="17"/>
  <c r="S145" i="17" s="1"/>
  <c r="P145" i="17" s="1"/>
  <c r="Q145" i="17" s="1"/>
  <c r="R145" i="17" s="1"/>
  <c r="T82" i="17"/>
  <c r="S82" i="17" s="1"/>
  <c r="P82" i="17" s="1"/>
  <c r="Q82" i="17" s="1"/>
  <c r="R82" i="17" s="1"/>
  <c r="T111" i="17"/>
  <c r="S111" i="17" s="1"/>
  <c r="P111" i="17" s="1"/>
  <c r="Q111" i="17" s="1"/>
  <c r="R111" i="17" s="1"/>
  <c r="T42" i="17"/>
  <c r="S42" i="17" s="1"/>
  <c r="P42" i="17" s="1"/>
  <c r="Q42" i="17" s="1"/>
  <c r="R42" i="17" s="1"/>
  <c r="T110" i="17"/>
  <c r="S110" i="17" s="1"/>
  <c r="P110" i="17" s="1"/>
  <c r="Q110" i="17" s="1"/>
  <c r="R110" i="17" s="1"/>
  <c r="T62" i="17"/>
  <c r="S62" i="17" s="1"/>
  <c r="P62" i="17" s="1"/>
  <c r="Q62" i="17" s="1"/>
  <c r="R62" i="17" s="1"/>
  <c r="T66" i="17"/>
  <c r="S66" i="17" s="1"/>
  <c r="P66" i="17" s="1"/>
  <c r="Q66" i="17" s="1"/>
  <c r="R66" i="17" s="1"/>
  <c r="T127" i="17"/>
  <c r="S127" i="17" s="1"/>
  <c r="P127" i="17" s="1"/>
  <c r="Q127" i="17" s="1"/>
  <c r="R127" i="17" s="1"/>
  <c r="T56" i="17"/>
  <c r="S56" i="17" s="1"/>
  <c r="P56" i="17" s="1"/>
  <c r="Q56" i="17" s="1"/>
  <c r="R56" i="17" s="1"/>
  <c r="T37" i="17"/>
  <c r="S37" i="17" s="1"/>
  <c r="P37" i="17" s="1"/>
  <c r="Q37" i="17" s="1"/>
  <c r="R37" i="17" s="1"/>
  <c r="T36" i="17"/>
  <c r="S36" i="17" s="1"/>
  <c r="P36" i="17" s="1"/>
  <c r="Q36" i="17" s="1"/>
  <c r="R36" i="17" s="1"/>
  <c r="T67" i="17"/>
  <c r="S67" i="17" s="1"/>
  <c r="P67" i="17" s="1"/>
  <c r="Q67" i="17" s="1"/>
  <c r="R67" i="17" s="1"/>
  <c r="T118" i="17"/>
  <c r="S118" i="17" s="1"/>
  <c r="P118" i="17" s="1"/>
  <c r="Q118" i="17" s="1"/>
  <c r="R118" i="17" s="1"/>
  <c r="T74" i="17"/>
  <c r="S74" i="17" s="1"/>
  <c r="P74" i="17" s="1"/>
  <c r="Q74" i="17" s="1"/>
  <c r="R74" i="17" s="1"/>
  <c r="T81" i="17"/>
  <c r="S81" i="17" s="1"/>
  <c r="P81" i="17" s="1"/>
  <c r="Q81" i="17" s="1"/>
  <c r="R81" i="17" s="1"/>
  <c r="T57" i="17"/>
  <c r="S57" i="17" s="1"/>
  <c r="P57" i="17" s="1"/>
  <c r="Q57" i="17" s="1"/>
  <c r="R57" i="17" s="1"/>
  <c r="T60" i="17"/>
  <c r="S60" i="17" s="1"/>
  <c r="P60" i="17" s="1"/>
  <c r="Q60" i="17" s="1"/>
  <c r="R60" i="17" s="1"/>
  <c r="S11" i="7"/>
  <c r="T95" i="17"/>
  <c r="S95" i="17" s="1"/>
  <c r="P95" i="17" s="1"/>
  <c r="Q95" i="17" s="1"/>
  <c r="R95" i="17" s="1"/>
  <c r="T80" i="17"/>
  <c r="S80" i="17" s="1"/>
  <c r="P80" i="17" s="1"/>
  <c r="Q80" i="17" s="1"/>
  <c r="R80" i="17" s="1"/>
  <c r="T58" i="17"/>
  <c r="S58" i="17" s="1"/>
  <c r="P58" i="17" s="1"/>
  <c r="Q58" i="17" s="1"/>
  <c r="R58" i="17" s="1"/>
  <c r="T72" i="17"/>
  <c r="S72" i="17" s="1"/>
  <c r="P72" i="17" s="1"/>
  <c r="Q72" i="17" s="1"/>
  <c r="R72" i="17" s="1"/>
  <c r="S90" i="7"/>
  <c r="P90" i="7" s="1"/>
  <c r="Q90" i="7" s="1"/>
  <c r="R90" i="7" s="1"/>
  <c r="T41" i="17"/>
  <c r="S41" i="17" s="1"/>
  <c r="P41" i="17" s="1"/>
  <c r="Q41" i="17" s="1"/>
  <c r="R41" i="17" s="1"/>
  <c r="T52" i="17"/>
  <c r="S52" i="17" s="1"/>
  <c r="P52" i="17" s="1"/>
  <c r="Q52" i="17" s="1"/>
  <c r="R52" i="17" s="1"/>
  <c r="O18" i="7"/>
  <c r="O83" i="7"/>
  <c r="O95" i="7"/>
  <c r="O99" i="7"/>
  <c r="O29" i="7"/>
  <c r="O43" i="7"/>
  <c r="O33" i="7"/>
  <c r="O48" i="7"/>
  <c r="O69" i="7"/>
  <c r="O67" i="7"/>
  <c r="O94" i="7"/>
  <c r="O55" i="7"/>
  <c r="O27" i="7"/>
  <c r="O49" i="7"/>
  <c r="O6" i="7"/>
  <c r="O53" i="7"/>
  <c r="O5" i="7"/>
  <c r="O11" i="7"/>
  <c r="O34" i="7"/>
  <c r="O70" i="7"/>
  <c r="O65" i="7"/>
  <c r="O50" i="7"/>
  <c r="O51" i="7"/>
  <c r="T27" i="7"/>
  <c r="T82" i="7"/>
  <c r="T52" i="7"/>
  <c r="T75" i="7"/>
  <c r="T77" i="7"/>
  <c r="T38" i="7"/>
  <c r="T62" i="7"/>
  <c r="T18" i="7"/>
  <c r="T54" i="7"/>
  <c r="T48" i="7"/>
  <c r="T39" i="7"/>
  <c r="T5" i="7"/>
  <c r="T91" i="7"/>
  <c r="T83" i="7"/>
  <c r="T98" i="7"/>
  <c r="T63" i="7"/>
  <c r="O76" i="7"/>
  <c r="O44" i="7"/>
  <c r="O40" i="7"/>
  <c r="O22" i="7"/>
  <c r="O37" i="7"/>
  <c r="O39" i="7"/>
  <c r="O85" i="7"/>
  <c r="O100" i="7"/>
  <c r="O12" i="7"/>
  <c r="O19" i="7"/>
  <c r="O52" i="7"/>
  <c r="O98" i="7"/>
  <c r="O60" i="7"/>
  <c r="O71" i="7"/>
  <c r="T51" i="17" l="1"/>
  <c r="S51" i="17" s="1"/>
  <c r="P51" i="17" s="1"/>
  <c r="Q51" i="17" s="1"/>
  <c r="R51" i="17" s="1"/>
  <c r="T67" i="7"/>
  <c r="S67" i="7" s="1"/>
  <c r="P67" i="7" s="1"/>
  <c r="Q67" i="7" s="1"/>
  <c r="R67" i="7" s="1"/>
  <c r="T53" i="17"/>
  <c r="S53" i="17" s="1"/>
  <c r="P53" i="17" s="1"/>
  <c r="Q53" i="17" s="1"/>
  <c r="R53" i="17" s="1"/>
  <c r="T34" i="17"/>
  <c r="S34" i="17" s="1"/>
  <c r="P34" i="17" s="1"/>
  <c r="Q34" i="17" s="1"/>
  <c r="R34" i="17" s="1"/>
  <c r="T73" i="7"/>
  <c r="S73" i="7" s="1"/>
  <c r="P73" i="7" s="1"/>
  <c r="Q73" i="7" s="1"/>
  <c r="R73" i="7" s="1"/>
  <c r="T47" i="7"/>
  <c r="S47" i="7" s="1"/>
  <c r="T41" i="7"/>
  <c r="S41" i="7" s="1"/>
  <c r="P41" i="7" s="1"/>
  <c r="Q41" i="7" s="1"/>
  <c r="R41" i="7" s="1"/>
  <c r="T4" i="17"/>
  <c r="S4" i="17" s="1"/>
  <c r="P4" i="17" s="1"/>
  <c r="Q4" i="17" s="1"/>
  <c r="R4" i="17" s="1"/>
  <c r="T2" i="17"/>
  <c r="S2" i="17" s="1"/>
  <c r="P2" i="17" s="1"/>
  <c r="Q2" i="17" s="1"/>
  <c r="R2" i="17" s="1"/>
  <c r="T8" i="17"/>
  <c r="S8" i="17" s="1"/>
  <c r="P8" i="17" s="1"/>
  <c r="Q8" i="17" s="1"/>
  <c r="R8" i="17" s="1"/>
  <c r="T5" i="17"/>
  <c r="S5" i="17" s="1"/>
  <c r="P5" i="17" s="1"/>
  <c r="Q5" i="17" s="1"/>
  <c r="R5" i="17" s="1"/>
  <c r="T7" i="17"/>
  <c r="S7" i="17" s="1"/>
  <c r="P7" i="17" s="1"/>
  <c r="Q7" i="17" s="1"/>
  <c r="R7" i="17" s="1"/>
  <c r="T3" i="17"/>
  <c r="S3" i="17" s="1"/>
  <c r="P3" i="17" s="1"/>
  <c r="Q3" i="17" s="1"/>
  <c r="R3" i="17" s="1"/>
  <c r="T10" i="17"/>
  <c r="S10" i="17" s="1"/>
  <c r="P10" i="17" s="1"/>
  <c r="Q10" i="17" s="1"/>
  <c r="R10" i="17" s="1"/>
  <c r="T11" i="17"/>
  <c r="S11" i="17" s="1"/>
  <c r="P11" i="17" s="1"/>
  <c r="Q11" i="17" s="1"/>
  <c r="R11" i="17" s="1"/>
  <c r="T6" i="17"/>
  <c r="S6" i="17" s="1"/>
  <c r="P6" i="17" s="1"/>
  <c r="Q6" i="17" s="1"/>
  <c r="R6" i="17" s="1"/>
  <c r="T13" i="17"/>
  <c r="S13" i="17" s="1"/>
  <c r="P13" i="17" s="1"/>
  <c r="Q13" i="17" s="1"/>
  <c r="R13" i="17" s="1"/>
  <c r="T9" i="17"/>
  <c r="S9" i="17" s="1"/>
  <c r="P9" i="17" s="1"/>
  <c r="Q9" i="17" s="1"/>
  <c r="R9" i="17" s="1"/>
  <c r="T15" i="17"/>
  <c r="S15" i="17" s="1"/>
  <c r="P15" i="17" s="1"/>
  <c r="Q15" i="17" s="1"/>
  <c r="R15" i="17" s="1"/>
  <c r="T12" i="17"/>
  <c r="S12" i="17" s="1"/>
  <c r="P12" i="17" s="1"/>
  <c r="Q12" i="17" s="1"/>
  <c r="R12" i="17" s="1"/>
  <c r="T16" i="17"/>
  <c r="S16" i="17" s="1"/>
  <c r="P16" i="17" s="1"/>
  <c r="Q16" i="17" s="1"/>
  <c r="R16" i="17" s="1"/>
  <c r="T17" i="17"/>
  <c r="S17" i="17" s="1"/>
  <c r="P17" i="17" s="1"/>
  <c r="Q17" i="17" s="1"/>
  <c r="R17" i="17" s="1"/>
  <c r="T14" i="17"/>
  <c r="S14" i="17" s="1"/>
  <c r="P14" i="17" s="1"/>
  <c r="Q14" i="17" s="1"/>
  <c r="R14" i="17" s="1"/>
  <c r="T20" i="17"/>
  <c r="S20" i="17" s="1"/>
  <c r="P20" i="17" s="1"/>
  <c r="Q20" i="17" s="1"/>
  <c r="R20" i="17" s="1"/>
  <c r="T19" i="17"/>
  <c r="S19" i="17" s="1"/>
  <c r="P19" i="17" s="1"/>
  <c r="Q19" i="17" s="1"/>
  <c r="R19" i="17" s="1"/>
  <c r="T21" i="17"/>
  <c r="S21" i="17" s="1"/>
  <c r="P21" i="17" s="1"/>
  <c r="Q21" i="17" s="1"/>
  <c r="R21" i="17" s="1"/>
  <c r="T18" i="17"/>
  <c r="S18" i="17" s="1"/>
  <c r="P18" i="17" s="1"/>
  <c r="Q18" i="17" s="1"/>
  <c r="R18" i="17" s="1"/>
  <c r="T24" i="17"/>
  <c r="S24" i="17" s="1"/>
  <c r="P24" i="17" s="1"/>
  <c r="Q24" i="17" s="1"/>
  <c r="R24" i="17" s="1"/>
  <c r="T22" i="17"/>
  <c r="S22" i="17" s="1"/>
  <c r="P22" i="17" s="1"/>
  <c r="Q22" i="17" s="1"/>
  <c r="R22" i="17" s="1"/>
  <c r="T23" i="17"/>
  <c r="S23" i="17" s="1"/>
  <c r="P23" i="17" s="1"/>
  <c r="Q23" i="17" s="1"/>
  <c r="R23" i="17" s="1"/>
  <c r="T27" i="17"/>
  <c r="S27" i="17" s="1"/>
  <c r="P27" i="17" s="1"/>
  <c r="Q27" i="17" s="1"/>
  <c r="R27" i="17" s="1"/>
  <c r="T29" i="17"/>
  <c r="S29" i="17" s="1"/>
  <c r="P29" i="17" s="1"/>
  <c r="Q29" i="17" s="1"/>
  <c r="R29" i="17" s="1"/>
  <c r="T28" i="17"/>
  <c r="S28" i="17" s="1"/>
  <c r="P28" i="17" s="1"/>
  <c r="Q28" i="17" s="1"/>
  <c r="R28" i="17" s="1"/>
  <c r="T25" i="17"/>
  <c r="S25" i="17" s="1"/>
  <c r="P25" i="17" s="1"/>
  <c r="Q25" i="17" s="1"/>
  <c r="R25" i="17" s="1"/>
  <c r="T26" i="17"/>
  <c r="S26" i="17" s="1"/>
  <c r="P26" i="17" s="1"/>
  <c r="Q26" i="17" s="1"/>
  <c r="R26" i="17" s="1"/>
  <c r="T88" i="7"/>
  <c r="S88" i="7" s="1"/>
  <c r="P88" i="7" s="1"/>
  <c r="Q88" i="7" s="1"/>
  <c r="R88" i="7" s="1"/>
  <c r="T74" i="7"/>
  <c r="S74" i="7" s="1"/>
  <c r="P74" i="7" s="1"/>
  <c r="Q74" i="7" s="1"/>
  <c r="R74" i="7" s="1"/>
  <c r="T69" i="7"/>
  <c r="P81" i="7"/>
  <c r="Q81" i="7" s="1"/>
  <c r="R81" i="7" s="1"/>
  <c r="P13" i="7"/>
  <c r="Q13" i="7" s="1"/>
  <c r="R13" i="7" s="1"/>
  <c r="P24" i="7"/>
  <c r="Q24" i="7" s="1"/>
  <c r="R24" i="7" s="1"/>
  <c r="P97" i="7"/>
  <c r="Q97" i="7" s="1"/>
  <c r="R97" i="7" s="1"/>
  <c r="P15" i="7"/>
  <c r="Q15" i="7" s="1"/>
  <c r="R15" i="7" s="1"/>
  <c r="P79" i="7"/>
  <c r="Q79" i="7" s="1"/>
  <c r="R79" i="7" s="1"/>
  <c r="P47" i="7"/>
  <c r="Q47" i="7" s="1"/>
  <c r="R47" i="7" s="1"/>
  <c r="T126" i="17"/>
  <c r="S126" i="17" s="1"/>
  <c r="P126" i="17" s="1"/>
  <c r="Q126" i="17" s="1"/>
  <c r="R126" i="17" s="1"/>
  <c r="T50" i="7"/>
  <c r="S50" i="7" s="1"/>
  <c r="P50" i="7" s="1"/>
  <c r="Q50" i="7" s="1"/>
  <c r="R50" i="7" s="1"/>
  <c r="T85" i="7"/>
  <c r="S85" i="7" s="1"/>
  <c r="P85" i="7" s="1"/>
  <c r="Q85" i="7" s="1"/>
  <c r="R85" i="7" s="1"/>
  <c r="T57" i="7"/>
  <c r="S57" i="7" s="1"/>
  <c r="P57" i="7" s="1"/>
  <c r="Q57" i="7" s="1"/>
  <c r="R57" i="7" s="1"/>
  <c r="T64" i="7"/>
  <c r="S64" i="7" s="1"/>
  <c r="P64" i="7" s="1"/>
  <c r="Q64" i="7" s="1"/>
  <c r="R64" i="7" s="1"/>
  <c r="T146" i="17"/>
  <c r="S146" i="17" s="1"/>
  <c r="P146" i="17" s="1"/>
  <c r="Q146" i="17" s="1"/>
  <c r="R146" i="17" s="1"/>
  <c r="T45" i="17"/>
  <c r="S45" i="17" s="1"/>
  <c r="P45" i="17" s="1"/>
  <c r="Q45" i="17" s="1"/>
  <c r="R45" i="17" s="1"/>
  <c r="P99" i="7"/>
  <c r="Q99" i="7" s="1"/>
  <c r="R99" i="7" s="1"/>
  <c r="P95" i="7"/>
  <c r="Q95" i="7" s="1"/>
  <c r="R95" i="7" s="1"/>
  <c r="P43" i="7"/>
  <c r="Q43" i="7" s="1"/>
  <c r="R43" i="7" s="1"/>
  <c r="P44" i="7"/>
  <c r="Q44" i="7" s="1"/>
  <c r="R44" i="7" s="1"/>
  <c r="P6" i="7"/>
  <c r="Q6" i="7" s="1"/>
  <c r="R6" i="7" s="1"/>
  <c r="P12" i="7"/>
  <c r="Q12" i="7" s="1"/>
  <c r="R12" i="7" s="1"/>
  <c r="P49" i="7"/>
  <c r="Q49" i="7" s="1"/>
  <c r="R49" i="7" s="1"/>
  <c r="P94" i="7"/>
  <c r="Q94" i="7" s="1"/>
  <c r="R94" i="7" s="1"/>
  <c r="T121" i="17"/>
  <c r="S121" i="17" s="1"/>
  <c r="P121" i="17" s="1"/>
  <c r="Q121" i="17" s="1"/>
  <c r="R121" i="17" s="1"/>
  <c r="S75" i="7"/>
  <c r="P75" i="7" s="1"/>
  <c r="Q75" i="7" s="1"/>
  <c r="R75" i="7" s="1"/>
  <c r="T137" i="17"/>
  <c r="S137" i="17" s="1"/>
  <c r="P137" i="17" s="1"/>
  <c r="Q137" i="17" s="1"/>
  <c r="R137" i="17" s="1"/>
  <c r="T141" i="17"/>
  <c r="S141" i="17" s="1"/>
  <c r="P141" i="17" s="1"/>
  <c r="Q141" i="17" s="1"/>
  <c r="R141" i="17" s="1"/>
  <c r="S62" i="7"/>
  <c r="P62" i="7" s="1"/>
  <c r="Q62" i="7" s="1"/>
  <c r="R62" i="7" s="1"/>
  <c r="T33" i="17"/>
  <c r="S33" i="17" s="1"/>
  <c r="P33" i="17" s="1"/>
  <c r="Q33" i="17" s="1"/>
  <c r="R33" i="17" s="1"/>
  <c r="T150" i="17"/>
  <c r="S150" i="17" s="1"/>
  <c r="P150" i="17" s="1"/>
  <c r="Q150" i="17" s="1"/>
  <c r="R150" i="17" s="1"/>
  <c r="T124" i="17"/>
  <c r="S124" i="17" s="1"/>
  <c r="P124" i="17" s="1"/>
  <c r="Q124" i="17" s="1"/>
  <c r="R124" i="17" s="1"/>
  <c r="S52" i="7"/>
  <c r="P52" i="7" s="1"/>
  <c r="Q52" i="7" s="1"/>
  <c r="R52" i="7" s="1"/>
  <c r="S82" i="7"/>
  <c r="P82" i="7" s="1"/>
  <c r="Q82" i="7" s="1"/>
  <c r="R82" i="7" s="1"/>
  <c r="T40" i="17"/>
  <c r="S40" i="17" s="1"/>
  <c r="P40" i="17" s="1"/>
  <c r="Q40" i="17" s="1"/>
  <c r="R40" i="17" s="1"/>
  <c r="T55" i="17"/>
  <c r="S55" i="17" s="1"/>
  <c r="P55" i="17" s="1"/>
  <c r="Q55" i="17" s="1"/>
  <c r="R55" i="17" s="1"/>
  <c r="S18" i="7"/>
  <c r="P18" i="7" s="1"/>
  <c r="Q18" i="7" s="1"/>
  <c r="R18" i="7" s="1"/>
  <c r="T50" i="17"/>
  <c r="S50" i="17" s="1"/>
  <c r="P50" i="17" s="1"/>
  <c r="Q50" i="17" s="1"/>
  <c r="R50" i="17" s="1"/>
  <c r="T61" i="17"/>
  <c r="S61" i="17" s="1"/>
  <c r="P61" i="17" s="1"/>
  <c r="Q61" i="17" s="1"/>
  <c r="R61" i="17" s="1"/>
  <c r="T98" i="17"/>
  <c r="S98" i="17" s="1"/>
  <c r="P98" i="17" s="1"/>
  <c r="Q98" i="17" s="1"/>
  <c r="R98" i="17" s="1"/>
  <c r="T30" i="17"/>
  <c r="S30" i="17" s="1"/>
  <c r="P30" i="17" s="1"/>
  <c r="Q30" i="17" s="1"/>
  <c r="R30" i="17" s="1"/>
  <c r="P11" i="7"/>
  <c r="Q11" i="7" s="1"/>
  <c r="R11" i="7" s="1"/>
  <c r="S5" i="7"/>
  <c r="P5" i="7" s="1"/>
  <c r="Q5" i="7" s="1"/>
  <c r="R5" i="7" s="1"/>
  <c r="T68" i="17"/>
  <c r="S68" i="17" s="1"/>
  <c r="P68" i="17" s="1"/>
  <c r="Q68" i="17" s="1"/>
  <c r="R68" i="17" s="1"/>
  <c r="T96" i="17"/>
  <c r="S96" i="17" s="1"/>
  <c r="P96" i="17" s="1"/>
  <c r="Q96" i="17" s="1"/>
  <c r="R96" i="17" s="1"/>
  <c r="T117" i="17"/>
  <c r="S117" i="17" s="1"/>
  <c r="P117" i="17" s="1"/>
  <c r="Q117" i="17" s="1"/>
  <c r="R117" i="17" s="1"/>
  <c r="T54" i="17"/>
  <c r="S54" i="17" s="1"/>
  <c r="P54" i="17" s="1"/>
  <c r="Q54" i="17" s="1"/>
  <c r="R54" i="17" s="1"/>
  <c r="T97" i="17"/>
  <c r="S97" i="17" s="1"/>
  <c r="P97" i="17" s="1"/>
  <c r="Q97" i="17" s="1"/>
  <c r="R97" i="17" s="1"/>
  <c r="S39" i="7"/>
  <c r="P39" i="7" s="1"/>
  <c r="Q39" i="7" s="1"/>
  <c r="R39" i="7" s="1"/>
  <c r="T138" i="17"/>
  <c r="S138" i="17" s="1"/>
  <c r="P138" i="17" s="1"/>
  <c r="Q138" i="17" s="1"/>
  <c r="R138" i="17" s="1"/>
  <c r="T89" i="17"/>
  <c r="S89" i="17" s="1"/>
  <c r="P89" i="17" s="1"/>
  <c r="Q89" i="17" s="1"/>
  <c r="R89" i="17" s="1"/>
  <c r="P53" i="7"/>
  <c r="Q53" i="7" s="1"/>
  <c r="R53" i="7" s="1"/>
  <c r="T116" i="17"/>
  <c r="S116" i="17" s="1"/>
  <c r="P116" i="17" s="1"/>
  <c r="Q116" i="17" s="1"/>
  <c r="R116" i="17" s="1"/>
  <c r="S98" i="7"/>
  <c r="P98" i="7" s="1"/>
  <c r="Q98" i="7" s="1"/>
  <c r="R98" i="7" s="1"/>
  <c r="T104" i="17"/>
  <c r="S104" i="17" s="1"/>
  <c r="P104" i="17" s="1"/>
  <c r="Q104" i="17" s="1"/>
  <c r="R104" i="17" s="1"/>
  <c r="T112" i="17"/>
  <c r="S112" i="17" s="1"/>
  <c r="P112" i="17" s="1"/>
  <c r="Q112" i="17" s="1"/>
  <c r="R112" i="17" s="1"/>
  <c r="T70" i="17"/>
  <c r="S70" i="17" s="1"/>
  <c r="P70" i="17" s="1"/>
  <c r="Q70" i="17" s="1"/>
  <c r="R70" i="17" s="1"/>
  <c r="T120" i="17"/>
  <c r="S120" i="17" s="1"/>
  <c r="P120" i="17" s="1"/>
  <c r="Q120" i="17" s="1"/>
  <c r="R120" i="17" s="1"/>
  <c r="S27" i="7"/>
  <c r="P27" i="7" s="1"/>
  <c r="Q27" i="7" s="1"/>
  <c r="R27" i="7" s="1"/>
  <c r="S83" i="7"/>
  <c r="P83" i="7" s="1"/>
  <c r="Q83" i="7" s="1"/>
  <c r="R83" i="7" s="1"/>
  <c r="S69" i="7"/>
  <c r="P69" i="7" s="1"/>
  <c r="Q69" i="7" s="1"/>
  <c r="R69" i="7" s="1"/>
  <c r="S38" i="7"/>
  <c r="P38" i="7" s="1"/>
  <c r="Q38" i="7" s="1"/>
  <c r="R38" i="7" s="1"/>
  <c r="P40" i="7"/>
  <c r="Q40" i="7" s="1"/>
  <c r="R40" i="7" s="1"/>
  <c r="S63" i="7"/>
  <c r="P63" i="7" s="1"/>
  <c r="Q63" i="7" s="1"/>
  <c r="R63" i="7" s="1"/>
  <c r="S91" i="7"/>
  <c r="P91" i="7" s="1"/>
  <c r="Q91" i="7" s="1"/>
  <c r="R91" i="7" s="1"/>
  <c r="S48" i="7"/>
  <c r="P48" i="7" s="1"/>
  <c r="Q48" i="7" s="1"/>
  <c r="R48" i="7" s="1"/>
  <c r="T92" i="17"/>
  <c r="S92" i="17" s="1"/>
  <c r="P92" i="17" s="1"/>
  <c r="Q92" i="17" s="1"/>
  <c r="R92" i="17" s="1"/>
  <c r="S54" i="7"/>
  <c r="P54" i="7" s="1"/>
  <c r="Q54" i="7" s="1"/>
  <c r="R54" i="7" s="1"/>
  <c r="S77" i="7"/>
  <c r="P77" i="7" s="1"/>
  <c r="Q77" i="7" s="1"/>
  <c r="R77" i="7" s="1"/>
  <c r="T77" i="17"/>
  <c r="S77" i="17" s="1"/>
  <c r="P77" i="17" s="1"/>
  <c r="Q77" i="17" s="1"/>
  <c r="R77" i="17" s="1"/>
  <c r="T65" i="17"/>
  <c r="S65" i="17" s="1"/>
  <c r="P65" i="17" s="1"/>
  <c r="Q65" i="17" s="1"/>
  <c r="R65" i="17" s="1"/>
  <c r="P65" i="7"/>
  <c r="Q65" i="7" s="1"/>
  <c r="R65" i="7" s="1"/>
  <c r="P55" i="7"/>
  <c r="Q55" i="7" s="1"/>
  <c r="R55" i="7" s="1"/>
  <c r="P51" i="7"/>
  <c r="Q51" i="7" s="1"/>
  <c r="R51" i="7" s="1"/>
  <c r="P70" i="7"/>
  <c r="Q70" i="7" s="1"/>
  <c r="R70" i="7" s="1"/>
  <c r="P71" i="7"/>
  <c r="Q71" i="7" s="1"/>
  <c r="R71" i="7" s="1"/>
  <c r="P100" i="7"/>
  <c r="Q100" i="7" s="1"/>
  <c r="R100" i="7" s="1"/>
  <c r="P34" i="7"/>
  <c r="Q34" i="7" s="1"/>
  <c r="R34" i="7" s="1"/>
  <c r="P76" i="7"/>
  <c r="Q76" i="7" s="1"/>
  <c r="R76" i="7" s="1"/>
  <c r="P37" i="7"/>
  <c r="Q37" i="7" s="1"/>
  <c r="R37" i="7" s="1"/>
  <c r="P60" i="7"/>
  <c r="Q60" i="7" s="1"/>
  <c r="R60" i="7" s="1"/>
  <c r="T8" i="7"/>
  <c r="T29" i="7"/>
  <c r="T21" i="7"/>
  <c r="T32" i="7"/>
  <c r="P19" i="7"/>
  <c r="Q19" i="7" s="1"/>
  <c r="R19" i="7" s="1"/>
  <c r="T22" i="7" l="1"/>
  <c r="S22" i="7" s="1"/>
  <c r="P22" i="7" s="1"/>
  <c r="Q22" i="7" s="1"/>
  <c r="R22" i="7" s="1"/>
  <c r="T33" i="7"/>
  <c r="S33" i="7" s="1"/>
  <c r="P33" i="7" s="1"/>
  <c r="Q33" i="7" s="1"/>
  <c r="R33" i="7" s="1"/>
  <c r="T115" i="17"/>
  <c r="S115" i="17" s="1"/>
  <c r="P115" i="17" s="1"/>
  <c r="Q115" i="17" s="1"/>
  <c r="R115" i="17" s="1"/>
  <c r="S32" i="7"/>
  <c r="P32" i="7" s="1"/>
  <c r="Q32" i="7" s="1"/>
  <c r="R32" i="7" s="1"/>
  <c r="T148" i="17"/>
  <c r="S148" i="17" s="1"/>
  <c r="P148" i="17" s="1"/>
  <c r="Q148" i="17" s="1"/>
  <c r="R148" i="17" s="1"/>
  <c r="S21" i="7"/>
  <c r="P21" i="7" s="1"/>
  <c r="Q21" i="7" s="1"/>
  <c r="R21" i="7" s="1"/>
  <c r="T147" i="17"/>
  <c r="S147" i="17" s="1"/>
  <c r="P147" i="17" s="1"/>
  <c r="Q147" i="17" s="1"/>
  <c r="R147" i="17" s="1"/>
  <c r="S8" i="7"/>
  <c r="P8" i="7" s="1"/>
  <c r="Q8" i="7" s="1"/>
  <c r="R8" i="7" s="1"/>
  <c r="S29" i="7"/>
  <c r="P29" i="7" s="1"/>
  <c r="Q29" i="7" s="1"/>
  <c r="R29" i="7" s="1"/>
  <c r="N2" i="7"/>
  <c r="M2" i="7"/>
  <c r="O2" i="7" l="1"/>
  <c r="T2" i="7"/>
  <c r="S2" i="7" s="1"/>
  <c r="P2" i="7" l="1"/>
  <c r="Q2" i="7" s="1"/>
  <c r="R2" i="7" s="1"/>
  <c r="C47" i="4" l="1"/>
  <c r="C48" i="4"/>
  <c r="B48" i="4"/>
  <c r="B47" i="4"/>
  <c r="B46" i="4" l="1"/>
  <c r="C45" i="4"/>
  <c r="B45" i="4"/>
  <c r="C44" i="4"/>
  <c r="B44" i="4"/>
  <c r="C43" i="4"/>
  <c r="B43" i="4"/>
  <c r="C42" i="4"/>
  <c r="B42" i="4"/>
  <c r="A11" i="4"/>
  <c r="B41" i="4" l="1"/>
  <c r="C46" i="4"/>
  <c r="C41" i="4" s="1"/>
  <c r="B37" i="4"/>
  <c r="B34" i="4" s="1"/>
  <c r="B33" i="4" s="1"/>
  <c r="B39" i="4" l="1"/>
  <c r="B20" i="4" l="1"/>
  <c r="B16" i="4"/>
  <c r="B17" i="4" s="1"/>
  <c r="E17" i="4"/>
  <c r="D17" i="4" l="1"/>
  <c r="F17" i="4" s="1"/>
  <c r="B18" i="4"/>
  <c r="G17" i="4" l="1"/>
  <c r="C37" i="4"/>
  <c r="C5" i="4"/>
  <c r="D16" i="4"/>
  <c r="E5" i="4"/>
  <c r="E16" i="4"/>
  <c r="G5" i="4" l="1"/>
  <c r="B8" i="4"/>
  <c r="F8" i="4"/>
  <c r="C11" i="4"/>
  <c r="G11" i="4"/>
  <c r="E12" i="4"/>
  <c r="C8" i="4"/>
  <c r="G8" i="4"/>
  <c r="D11" i="4"/>
  <c r="B12" i="4"/>
  <c r="F12" i="4"/>
  <c r="D8" i="4"/>
  <c r="E11" i="4"/>
  <c r="C12" i="4"/>
  <c r="G12" i="4"/>
  <c r="E8" i="4"/>
  <c r="B11" i="4"/>
  <c r="F11" i="4"/>
  <c r="D12" i="4"/>
  <c r="D18" i="4"/>
  <c r="G16" i="4"/>
  <c r="G18" i="4" s="1"/>
  <c r="F5" i="4"/>
  <c r="F16" i="4"/>
  <c r="E18" i="4"/>
  <c r="B5" i="4"/>
  <c r="D5" i="4" s="1"/>
  <c r="C34" i="4"/>
  <c r="C33" i="4" s="1"/>
  <c r="C39" i="4"/>
  <c r="C18" i="21"/>
  <c r="B22" i="21"/>
  <c r="C9" i="21"/>
  <c r="D32" i="21"/>
  <c r="C32" i="21"/>
  <c r="F18" i="4" l="1"/>
  <c r="C13" i="4"/>
  <c r="D13" i="4"/>
  <c r="G13" i="4"/>
  <c r="H11" i="4"/>
  <c r="B13" i="4"/>
  <c r="F13" i="4"/>
  <c r="H12" i="4"/>
  <c r="E13" i="4"/>
  <c r="H8" i="4"/>
  <c r="B9" i="21"/>
  <c r="C25" i="21"/>
  <c r="D30" i="21"/>
  <c r="B5" i="21"/>
  <c r="C22" i="21"/>
  <c r="D24" i="21"/>
  <c r="D11" i="21"/>
  <c r="B20" i="21"/>
  <c r="B21" i="21"/>
  <c r="C19" i="21"/>
  <c r="B12" i="21"/>
  <c r="B25" i="21"/>
  <c r="B15" i="21"/>
  <c r="D6" i="21"/>
  <c r="B8" i="21"/>
  <c r="C27" i="21"/>
  <c r="D34" i="21"/>
  <c r="B34" i="21"/>
  <c r="D12" i="21"/>
  <c r="B27" i="21"/>
  <c r="B7" i="21"/>
  <c r="D13" i="21"/>
  <c r="D23" i="21"/>
  <c r="D29" i="21"/>
  <c r="C33" i="21"/>
  <c r="B16" i="21"/>
  <c r="D7" i="21"/>
  <c r="C10" i="21"/>
  <c r="D14" i="21"/>
  <c r="D5" i="21"/>
  <c r="C20" i="21"/>
  <c r="C13" i="21"/>
  <c r="C8" i="21"/>
  <c r="D10" i="21"/>
  <c r="D15" i="21"/>
  <c r="C21" i="21"/>
  <c r="C4" i="21"/>
  <c r="C15" i="21"/>
  <c r="B32" i="21"/>
  <c r="C5" i="21"/>
  <c r="B26" i="21"/>
  <c r="D9" i="21"/>
  <c r="E9" i="21" s="1"/>
  <c r="F9" i="21" s="1"/>
  <c r="C6" i="21"/>
  <c r="B17" i="21"/>
  <c r="B14" i="21"/>
  <c r="D25" i="21"/>
  <c r="B28" i="21"/>
  <c r="C23" i="21"/>
  <c r="D19" i="21"/>
  <c r="B3" i="21"/>
  <c r="D3" i="21"/>
  <c r="D20" i="21"/>
  <c r="B10" i="21"/>
  <c r="D21" i="21"/>
  <c r="C7" i="21"/>
  <c r="B23" i="21"/>
  <c r="D8" i="21"/>
  <c r="B30" i="21"/>
  <c r="C28" i="21"/>
  <c r="D16" i="21"/>
  <c r="B13" i="21"/>
  <c r="C24" i="21"/>
  <c r="C16" i="21"/>
  <c r="D27" i="21"/>
  <c r="C17" i="21"/>
  <c r="D18" i="21"/>
  <c r="E18" i="21" s="1"/>
  <c r="F18" i="21" s="1"/>
  <c r="B11" i="21"/>
  <c r="C11" i="21"/>
  <c r="B29" i="21"/>
  <c r="D4" i="21"/>
  <c r="B6" i="21"/>
  <c r="C34" i="21"/>
  <c r="B18" i="21"/>
  <c r="C3" i="21"/>
  <c r="C30" i="21"/>
  <c r="C12" i="21"/>
  <c r="B24" i="21"/>
  <c r="B33" i="21"/>
  <c r="D33" i="21"/>
  <c r="C26" i="21"/>
  <c r="D22" i="21"/>
  <c r="B19" i="21"/>
  <c r="D17" i="21"/>
  <c r="C14" i="21"/>
  <c r="D26" i="21"/>
  <c r="B31" i="21"/>
  <c r="D28" i="21"/>
  <c r="B4" i="21"/>
  <c r="C29" i="21"/>
  <c r="C31" i="21"/>
  <c r="E32" i="21"/>
  <c r="F32" i="21" s="1"/>
  <c r="D31" i="21"/>
  <c r="E30" i="21" l="1"/>
  <c r="F30" i="21" s="1"/>
  <c r="C16" i="4"/>
  <c r="C17" i="4"/>
  <c r="H13" i="4"/>
  <c r="E7" i="21"/>
  <c r="F7" i="21" s="1"/>
  <c r="E4" i="21"/>
  <c r="F4" i="21" s="1"/>
  <c r="E29" i="21"/>
  <c r="F29" i="21" s="1"/>
  <c r="E5" i="21"/>
  <c r="F5" i="21" s="1"/>
  <c r="E13" i="21"/>
  <c r="F13" i="21" s="1"/>
  <c r="E19" i="21"/>
  <c r="F19" i="21" s="1"/>
  <c r="E12" i="21"/>
  <c r="F12" i="21" s="1"/>
  <c r="E11" i="21"/>
  <c r="F11" i="21" s="1"/>
  <c r="E20" i="21"/>
  <c r="F20" i="21" s="1"/>
  <c r="E23" i="21"/>
  <c r="F23" i="21" s="1"/>
  <c r="E22" i="21"/>
  <c r="F22" i="21" s="1"/>
  <c r="E10" i="21"/>
  <c r="F10" i="21" s="1"/>
  <c r="E17" i="21"/>
  <c r="F17" i="21" s="1"/>
  <c r="E8" i="21"/>
  <c r="F8" i="21" s="1"/>
  <c r="E25" i="21"/>
  <c r="F25" i="21" s="1"/>
  <c r="E15" i="21"/>
  <c r="F15" i="21" s="1"/>
  <c r="E24" i="21"/>
  <c r="F24" i="21" s="1"/>
  <c r="E21" i="21"/>
  <c r="F21" i="21" s="1"/>
  <c r="E6" i="21"/>
  <c r="F6" i="21" s="1"/>
  <c r="B36" i="21"/>
  <c r="E26" i="21"/>
  <c r="F26" i="21" s="1"/>
  <c r="E33" i="21"/>
  <c r="F33" i="21" s="1"/>
  <c r="E3" i="21"/>
  <c r="F3" i="21" s="1"/>
  <c r="E14" i="21"/>
  <c r="F14" i="21" s="1"/>
  <c r="E34" i="21"/>
  <c r="F34" i="21" s="1"/>
  <c r="E27" i="21"/>
  <c r="F27" i="21" s="1"/>
  <c r="E16" i="21"/>
  <c r="F16" i="21" s="1"/>
  <c r="E28" i="21"/>
  <c r="F28" i="21" s="1"/>
  <c r="C36" i="21"/>
  <c r="E31" i="21"/>
  <c r="F31" i="21" s="1"/>
  <c r="D36" i="21"/>
  <c r="C18" i="4" l="1"/>
  <c r="E36" i="21"/>
  <c r="F36" i="21" s="1"/>
</calcChain>
</file>

<file path=xl/sharedStrings.xml><?xml version="1.0" encoding="utf-8"?>
<sst xmlns="http://schemas.openxmlformats.org/spreadsheetml/2006/main" count="10312" uniqueCount="3131">
  <si>
    <t>Procurement Advisors</t>
  </si>
  <si>
    <t>Incumbent</t>
  </si>
  <si>
    <t>Total Eligible Spend</t>
  </si>
  <si>
    <t>Benchmarked Spend</t>
  </si>
  <si>
    <t>Benchmarked % of Total</t>
  </si>
  <si>
    <t>PA Pricing</t>
  </si>
  <si>
    <t>Savings $</t>
  </si>
  <si>
    <t>Savings</t>
  </si>
  <si>
    <t>Comments</t>
  </si>
  <si>
    <t>Like-to-like SKU benchmarking</t>
  </si>
  <si>
    <t>No. of SKUs</t>
  </si>
  <si>
    <t>Negative</t>
  </si>
  <si>
    <t>Same</t>
  </si>
  <si>
    <t>0-10%</t>
  </si>
  <si>
    <t>10-20%</t>
  </si>
  <si>
    <t>20-30%</t>
  </si>
  <si>
    <t>30+%</t>
  </si>
  <si>
    <t>Total</t>
  </si>
  <si>
    <t>Total SKUs</t>
  </si>
  <si>
    <t>$ Spend</t>
  </si>
  <si>
    <t>WWG-PA</t>
  </si>
  <si>
    <t>SKU Level Savings</t>
  </si>
  <si>
    <t>CSPL breakdown</t>
  </si>
  <si>
    <t>SKUs</t>
  </si>
  <si>
    <t>%</t>
  </si>
  <si>
    <t xml:space="preserve"> $</t>
  </si>
  <si>
    <t>PA $</t>
  </si>
  <si>
    <t>Savings %</t>
  </si>
  <si>
    <t>CSPL Skus</t>
  </si>
  <si>
    <t>Non-CSPL Skus</t>
  </si>
  <si>
    <t>SKUs Submitted for Conditional CSP</t>
  </si>
  <si>
    <t>Note:</t>
  </si>
  <si>
    <t>(1) Total eligible spend is the full data provided by the customer</t>
  </si>
  <si>
    <t>(2) Benchmarked active Redbook SKUs</t>
  </si>
  <si>
    <t>(3) Savings do not reflect A) volume and manufacturer rebates, B) future CSPL adds, C) freight savings</t>
  </si>
  <si>
    <t>(4) Benchmark files are a preliminary assessment and valid for 30 days. Final SKU review will occur at time of affiliation.</t>
  </si>
  <si>
    <t>Product cross-reference comparisons do not imply that products are available or perfectly comparable.  Cross-referenced products are not represented or warranted as functional or performance equivalents.  Each Member shall review all cross-referenced product specifications prior to purchase and use to determine suitability of the product for the Member's intended use. Savings $ and %  presented is based on these products alone. Changes in the product mix will result is a different savings calculation.</t>
  </si>
  <si>
    <t>File Summary</t>
  </si>
  <si>
    <t># SKU</t>
  </si>
  <si>
    <t>Spend $</t>
  </si>
  <si>
    <t>Total Provided</t>
  </si>
  <si>
    <t>SKUs not meeting threshold</t>
  </si>
  <si>
    <t>SKUs reviewed for benchmarking</t>
  </si>
  <si>
    <t>Benchmarking Summary</t>
  </si>
  <si>
    <t>Items Benchmarked (Item Detail)</t>
  </si>
  <si>
    <t>Total Excluded (Excluded Tab)</t>
  </si>
  <si>
    <t>Non-MRO spend (DNC)</t>
  </si>
  <si>
    <t>Need more information (X)</t>
  </si>
  <si>
    <t>Items with zero spend (ZERO)</t>
  </si>
  <si>
    <t>UOM issues (UOM)</t>
  </si>
  <si>
    <t>WWG potential sourcing (O)</t>
  </si>
  <si>
    <t>Non Product Data (NPD)</t>
  </si>
  <si>
    <t>Duplicates (DUP)</t>
  </si>
  <si>
    <t>Xsort</t>
  </si>
  <si>
    <t>Sequence #</t>
  </si>
  <si>
    <t>Customer product #</t>
  </si>
  <si>
    <t>Distributor name</t>
  </si>
  <si>
    <t>Distributor #</t>
  </si>
  <si>
    <t>Description</t>
  </si>
  <si>
    <t>Manufacturer name</t>
  </si>
  <si>
    <t>Manufacturer number</t>
  </si>
  <si>
    <t>Unit of measure</t>
  </si>
  <si>
    <t>Units/pack</t>
  </si>
  <si>
    <t>Pack price</t>
  </si>
  <si>
    <t>Total packs</t>
  </si>
  <si>
    <t>Unit price</t>
  </si>
  <si>
    <t>Total baseline units</t>
  </si>
  <si>
    <t>Total incumbent spend</t>
  </si>
  <si>
    <t>Savings cat.</t>
  </si>
  <si>
    <t>WWG extended price</t>
  </si>
  <si>
    <t>WWG unit price</t>
  </si>
  <si>
    <t>WWG item #</t>
  </si>
  <si>
    <t>Code</t>
  </si>
  <si>
    <t>Status (in/out)</t>
  </si>
  <si>
    <t>Act price</t>
  </si>
  <si>
    <t>Notes</t>
  </si>
  <si>
    <t>Xref Notes</t>
  </si>
  <si>
    <t>WWG unit of measure</t>
  </si>
  <si>
    <t>WWG unit/pack</t>
  </si>
  <si>
    <t>WWG Manufacturer name</t>
  </si>
  <si>
    <t>WWG Manufacturer number</t>
  </si>
  <si>
    <t>WWG Description</t>
  </si>
  <si>
    <t>Product segment</t>
  </si>
  <si>
    <t>Product category</t>
  </si>
  <si>
    <t>Product family</t>
  </si>
  <si>
    <t>CSP</t>
  </si>
  <si>
    <t>UOM</t>
  </si>
  <si>
    <t>Segment</t>
  </si>
  <si>
    <t>SKU Count</t>
  </si>
  <si>
    <t>Incumbent Spend</t>
  </si>
  <si>
    <t>WWG Spend</t>
  </si>
  <si>
    <t>Abrasives</t>
  </si>
  <si>
    <t>Adhesives, Sealants and Tape</t>
  </si>
  <si>
    <t>Cleaning</t>
  </si>
  <si>
    <t>Electrical</t>
  </si>
  <si>
    <t>Electronics, Appliances, and Batteries</t>
  </si>
  <si>
    <t>Fasteners</t>
  </si>
  <si>
    <t>Fleet and Vehicle Maintenance</t>
  </si>
  <si>
    <t>Furniture, Hospitality and Food Service</t>
  </si>
  <si>
    <t>Hand Tools</t>
  </si>
  <si>
    <t>Hardware</t>
  </si>
  <si>
    <t>HVAC and Refrigeration</t>
  </si>
  <si>
    <t>Hydraulics</t>
  </si>
  <si>
    <t>Lab Supplies</t>
  </si>
  <si>
    <t>Lighting</t>
  </si>
  <si>
    <t>Lubrication</t>
  </si>
  <si>
    <t>Machining</t>
  </si>
  <si>
    <t>Material Handling</t>
  </si>
  <si>
    <t>Motors</t>
  </si>
  <si>
    <t>Office Supplies</t>
  </si>
  <si>
    <t>Outdoor Equipment</t>
  </si>
  <si>
    <t>Paint, Equipment and Supplies</t>
  </si>
  <si>
    <t>Plumbing</t>
  </si>
  <si>
    <t>Pneumatics</t>
  </si>
  <si>
    <t>Power Tools</t>
  </si>
  <si>
    <t>Power Transmission</t>
  </si>
  <si>
    <t>Pumps</t>
  </si>
  <si>
    <t>Raw Materials</t>
  </si>
  <si>
    <t>Reference and Learning Material</t>
  </si>
  <si>
    <t>Safety</t>
  </si>
  <si>
    <t>Security</t>
  </si>
  <si>
    <t>Test Instruments</t>
  </si>
  <si>
    <t>Welding</t>
  </si>
  <si>
    <t>Project Name</t>
  </si>
  <si>
    <t>Sequence Number</t>
  </si>
  <si>
    <t>Location</t>
  </si>
  <si>
    <t>Customer Internal Part Number</t>
  </si>
  <si>
    <t>Transaction Date</t>
  </si>
  <si>
    <t>Distributor Name</t>
  </si>
  <si>
    <t>Distributor Part Number</t>
  </si>
  <si>
    <t>Item Description</t>
  </si>
  <si>
    <t>Manufacturer</t>
  </si>
  <si>
    <t>Manufacturer Part Number</t>
  </si>
  <si>
    <t>Other Notes 1</t>
  </si>
  <si>
    <t>Other Notes 2</t>
  </si>
  <si>
    <t>Other Notes 3</t>
  </si>
  <si>
    <t>UOM Qty</t>
  </si>
  <si>
    <t>Pack Price</t>
  </si>
  <si>
    <t>Qty</t>
  </si>
  <si>
    <t>Unit Price</t>
  </si>
  <si>
    <t>Total Baseline Units</t>
  </si>
  <si>
    <t>Extended Price</t>
  </si>
  <si>
    <t>AIRGAS</t>
  </si>
  <si>
    <t>CB2GENERIC</t>
  </si>
  <si>
    <t>[DS] CHICAGO PROTECTIVE APPAREL/CPA</t>
  </si>
  <si>
    <t>144</t>
  </si>
  <si>
    <t>601.90</t>
  </si>
  <si>
    <t>1</t>
  </si>
  <si>
    <t>125</t>
  </si>
  <si>
    <t>5PGX2</t>
  </si>
  <si>
    <t>FE</t>
  </si>
  <si>
    <t/>
  </si>
  <si>
    <t>R51-36X36X1-P</t>
  </si>
  <si>
    <t>HI TEMP</t>
  </si>
  <si>
    <t>EA</t>
  </si>
  <si>
    <t>RPB03-892</t>
  </si>
  <si>
    <t>FLTR HI EFNC (HE) PX5</t>
  </si>
  <si>
    <t>1010</t>
  </si>
  <si>
    <t>54.75</t>
  </si>
  <si>
    <t>515</t>
  </si>
  <si>
    <t>61CX03</t>
  </si>
  <si>
    <t>E</t>
  </si>
  <si>
    <t>Hepa Filter</t>
  </si>
  <si>
    <t>03-892</t>
  </si>
  <si>
    <t>RPB SAFETY</t>
  </si>
  <si>
    <t>IS6PR05814B0A1</t>
  </si>
  <si>
    <t>HRDHT BLK NCK CAPE HE FLTR INT&amp;EXT SWCH</t>
  </si>
  <si>
    <t>26</t>
  </si>
  <si>
    <t>1758.51</t>
  </si>
  <si>
    <t>216</t>
  </si>
  <si>
    <t>1TTU9</t>
  </si>
  <si>
    <t>CONDOR</t>
  </si>
  <si>
    <t>PK</t>
  </si>
  <si>
    <t>N33GENERIC</t>
  </si>
  <si>
    <t>[DS] NATIONAL SAFETY APPAREL INC</t>
  </si>
  <si>
    <t>115</t>
  </si>
  <si>
    <t>373.25</t>
  </si>
  <si>
    <t>322</t>
  </si>
  <si>
    <t>NCI</t>
  </si>
  <si>
    <t>RPB16-078-21-FR</t>
  </si>
  <si>
    <t>RESP Z-LINK &amp; RESP INCL 16-810 SFTY LENS</t>
  </si>
  <si>
    <t>14</t>
  </si>
  <si>
    <t>2547.85</t>
  </si>
  <si>
    <t>527</t>
  </si>
  <si>
    <t>61CX77</t>
  </si>
  <si>
    <t>Z-Link Helmet</t>
  </si>
  <si>
    <t>16-078-21-FR</t>
  </si>
  <si>
    <t>3MR15-0299-99X20</t>
  </si>
  <si>
    <t>FLTR PAPR HI EFNC PRTCLT ADFLO 20/CA</t>
  </si>
  <si>
    <t>600</t>
  </si>
  <si>
    <t>58.32</t>
  </si>
  <si>
    <t>16</t>
  </si>
  <si>
    <t>785WP9</t>
  </si>
  <si>
    <t>3M</t>
  </si>
  <si>
    <t>3MR37-1101-30ISW</t>
  </si>
  <si>
    <t>&gt;&gt; PAPR SYS W/WLDG HLMT HE L-ION BAT</t>
  </si>
  <si>
    <t>18</t>
  </si>
  <si>
    <t>1672.63</t>
  </si>
  <si>
    <t>33</t>
  </si>
  <si>
    <t>446M10</t>
  </si>
  <si>
    <t>3M SPEEDGLAS</t>
  </si>
  <si>
    <t>SEL4125AFB</t>
  </si>
  <si>
    <t>FCSHD CLR GLD HT REFLV A/FG</t>
  </si>
  <si>
    <t>120</t>
  </si>
  <si>
    <t>147.39</t>
  </si>
  <si>
    <t>565</t>
  </si>
  <si>
    <t>O</t>
  </si>
  <si>
    <t>RAD64057044</t>
  </si>
  <si>
    <t>GLV DRVR LG GN CWHD HIVIS IMPRINTED</t>
  </si>
  <si>
    <t>3504</t>
  </si>
  <si>
    <t>4.96</t>
  </si>
  <si>
    <t>461</t>
  </si>
  <si>
    <t>3ZL50</t>
  </si>
  <si>
    <t>PR</t>
  </si>
  <si>
    <t>B86BWC2RM</t>
  </si>
  <si>
    <t>MNTR SNGL GAS BW CLP CO 35-200PPM RTD 2Y</t>
  </si>
  <si>
    <t>78</t>
  </si>
  <si>
    <t>211.94</t>
  </si>
  <si>
    <t>108</t>
  </si>
  <si>
    <t>41HG96</t>
  </si>
  <si>
    <t>BWC2-M</t>
  </si>
  <si>
    <t>HONEYWELL</t>
  </si>
  <si>
    <t>MOL6645</t>
  </si>
  <si>
    <t>DSPR FOR FM ERPG PLUGSTATION 500 PAIRS</t>
  </si>
  <si>
    <t>232</t>
  </si>
  <si>
    <t>69.16</t>
  </si>
  <si>
    <t>266</t>
  </si>
  <si>
    <t>2FLL1</t>
  </si>
  <si>
    <t>MOLDEX</t>
  </si>
  <si>
    <t>MSA475396</t>
  </si>
  <si>
    <t>HDCP SKLGD WHT FAS-TRAC SUSP</t>
  </si>
  <si>
    <t>140</t>
  </si>
  <si>
    <t>114.10</t>
  </si>
  <si>
    <t>282</t>
  </si>
  <si>
    <t>4MD41</t>
  </si>
  <si>
    <t>MSA</t>
  </si>
  <si>
    <t>N33DJXG705185XL</t>
  </si>
  <si>
    <t>GLV 18.5" XL ALUMZD LTHR PLM PTCH CTTN</t>
  </si>
  <si>
    <t>192</t>
  </si>
  <si>
    <t>80.73</t>
  </si>
  <si>
    <t>321</t>
  </si>
  <si>
    <t>56XM45</t>
  </si>
  <si>
    <t>DJXG705165XL</t>
  </si>
  <si>
    <t>NATIONAL SAFETY APPAREL</t>
  </si>
  <si>
    <t>3MRS1201SGAF-KT</t>
  </si>
  <si>
    <t>GLS KT FM STRP CLR A/FG LENS GRN/BLK FRM</t>
  </si>
  <si>
    <t>1040</t>
  </si>
  <si>
    <t>14.36</t>
  </si>
  <si>
    <t>51</t>
  </si>
  <si>
    <t>48TK84</t>
  </si>
  <si>
    <t>S1201SGAF-KT</t>
  </si>
  <si>
    <t>N33C22CWXL48179</t>
  </si>
  <si>
    <t>CT HT RES XL 12OZ OPF BLND FLCE CLTH</t>
  </si>
  <si>
    <t>24</t>
  </si>
  <si>
    <t>539.50</t>
  </si>
  <si>
    <t>295</t>
  </si>
  <si>
    <t>8AAR2</t>
  </si>
  <si>
    <t>PS-NMI</t>
  </si>
  <si>
    <t>714ACKXL</t>
  </si>
  <si>
    <t>KAREWEAR</t>
  </si>
  <si>
    <t>HONMXM-1-D</t>
  </si>
  <si>
    <t>ERPG UCRD SNGL USE MXM BL SHAPE PU FM</t>
  </si>
  <si>
    <t>57.45</t>
  </si>
  <si>
    <t>191</t>
  </si>
  <si>
    <t>3WU33</t>
  </si>
  <si>
    <t>MXM-1-DG</t>
  </si>
  <si>
    <t>HONEYWELL HOWARD LEIGHT</t>
  </si>
  <si>
    <t>3WU37</t>
  </si>
  <si>
    <t>N33H74H3001</t>
  </si>
  <si>
    <t>TALLYHOOD 8.6OZ OPF BLND RPSP TWLL</t>
  </si>
  <si>
    <t>83.81</t>
  </si>
  <si>
    <t>329</t>
  </si>
  <si>
    <t>61RN10</t>
  </si>
  <si>
    <t>PS-PLG</t>
  </si>
  <si>
    <t>ARIAT</t>
  </si>
  <si>
    <t>N33C22CW3X48179</t>
  </si>
  <si>
    <t>CT HT RES 3X 12OZ OPF BLND FLCE CLTH</t>
  </si>
  <si>
    <t>20</t>
  </si>
  <si>
    <t>593.43</t>
  </si>
  <si>
    <t>291</t>
  </si>
  <si>
    <t>8DN27</t>
  </si>
  <si>
    <t>714ACK3XL</t>
  </si>
  <si>
    <t>2YRK4</t>
  </si>
  <si>
    <t>N33H31NK</t>
  </si>
  <si>
    <t>HOOD 6OZ UNIV NMX BIB WHT FR</t>
  </si>
  <si>
    <t>384</t>
  </si>
  <si>
    <t>29.45</t>
  </si>
  <si>
    <t>326</t>
  </si>
  <si>
    <t>2YRH8</t>
  </si>
  <si>
    <t>H31NK</t>
  </si>
  <si>
    <t>RPB03-810</t>
  </si>
  <si>
    <t>FAN HSNG</t>
  </si>
  <si>
    <t>13</t>
  </si>
  <si>
    <t>867.98</t>
  </si>
  <si>
    <t>511</t>
  </si>
  <si>
    <t>382WZ4</t>
  </si>
  <si>
    <t>PX5 Fan Housing</t>
  </si>
  <si>
    <t>03-810</t>
  </si>
  <si>
    <t>SEL24125AFB</t>
  </si>
  <si>
    <t>FACESHIELD ASSEMBLY</t>
  </si>
  <si>
    <t>70</t>
  </si>
  <si>
    <t>160.33</t>
  </si>
  <si>
    <t>560</t>
  </si>
  <si>
    <t>N33C22CW2X48179</t>
  </si>
  <si>
    <t>CT ALUMZD 2X 48" LNG 14OZ CARBON-X</t>
  </si>
  <si>
    <t>595.37</t>
  </si>
  <si>
    <t>290</t>
  </si>
  <si>
    <t>C22NL2X45</t>
  </si>
  <si>
    <t>RAD64055740</t>
  </si>
  <si>
    <t>SRBNT UNIV PD HVY WGT 15"X17" EA=BG</t>
  </si>
  <si>
    <t>270</t>
  </si>
  <si>
    <t>39.02</t>
  </si>
  <si>
    <t>450</t>
  </si>
  <si>
    <t>35ZP89</t>
  </si>
  <si>
    <t>W67GENERIC</t>
  </si>
  <si>
    <t>[DS] WILSON BOHANNAN COMPANY</t>
  </si>
  <si>
    <t>454</t>
  </si>
  <si>
    <t>23.09</t>
  </si>
  <si>
    <t>621</t>
  </si>
  <si>
    <t>B13540-L</t>
  </si>
  <si>
    <t>GLV CUT RES PU CTD LG WHT 13 GA HPPE</t>
  </si>
  <si>
    <t>1680</t>
  </si>
  <si>
    <t>6.23</t>
  </si>
  <si>
    <t>97</t>
  </si>
  <si>
    <t>24L256</t>
  </si>
  <si>
    <t>11-644</t>
  </si>
  <si>
    <t>HYFLEX</t>
  </si>
  <si>
    <t>TIL24DL</t>
  </si>
  <si>
    <t>GLV MIG/TIG PRM TOP GN KDSKN LTHR LG</t>
  </si>
  <si>
    <t>540</t>
  </si>
  <si>
    <t>19.21</t>
  </si>
  <si>
    <t>601</t>
  </si>
  <si>
    <t>48W282</t>
  </si>
  <si>
    <t>24DL</t>
  </si>
  <si>
    <t>TILLMAN</t>
  </si>
  <si>
    <t>D623400135</t>
  </si>
  <si>
    <t>LFLN SLF-RTRCTG 50' CL 1 SEALED-BLOK SS</t>
  </si>
  <si>
    <t>5</t>
  </si>
  <si>
    <t>2062.98</t>
  </si>
  <si>
    <t>148</t>
  </si>
  <si>
    <t>809EZ8</t>
  </si>
  <si>
    <t>3M DBI-SALA</t>
  </si>
  <si>
    <t>RPB16-810</t>
  </si>
  <si>
    <t>LENS SFTY Z-LNK A/FG A/SCRTCH</t>
  </si>
  <si>
    <t>343</t>
  </si>
  <si>
    <t>29.93</t>
  </si>
  <si>
    <t>537</t>
  </si>
  <si>
    <t>61CX82</t>
  </si>
  <si>
    <t>Safety Lens</t>
  </si>
  <si>
    <t>16-810</t>
  </si>
  <si>
    <t>PIP16-377/L</t>
  </si>
  <si>
    <t>GLV CUT RES POLYKOR X7 BLND SHL LG GRY</t>
  </si>
  <si>
    <t>720</t>
  </si>
  <si>
    <t>14.24</t>
  </si>
  <si>
    <t>389</t>
  </si>
  <si>
    <t>55TK81</t>
  </si>
  <si>
    <t>16-377/L</t>
  </si>
  <si>
    <t>PIP</t>
  </si>
  <si>
    <t>D623100548</t>
  </si>
  <si>
    <t>LFLN SLF RTRCTG 6' PERSL SWVL SNP HK</t>
  </si>
  <si>
    <t>496.11</t>
  </si>
  <si>
    <t>145</t>
  </si>
  <si>
    <t>806XZ7</t>
  </si>
  <si>
    <t>B13540-M</t>
  </si>
  <si>
    <t>GLV CUT RES PU CTD MD WHT 13 GA HPPE</t>
  </si>
  <si>
    <t>1584</t>
  </si>
  <si>
    <t>6.26</t>
  </si>
  <si>
    <t>98</t>
  </si>
  <si>
    <t>24L254</t>
  </si>
  <si>
    <t>ANE70-765-9</t>
  </si>
  <si>
    <t>GLV CUT RES 9 KV/PL/CT LTHR PLM</t>
  </si>
  <si>
    <t>504</t>
  </si>
  <si>
    <t>19.10</t>
  </si>
  <si>
    <t>2JBD8</t>
  </si>
  <si>
    <t>70-765</t>
  </si>
  <si>
    <t>ACTIVARMR</t>
  </si>
  <si>
    <t>3MR35-1099-07</t>
  </si>
  <si>
    <t>BAT RESPY PAPR LIION 35-1099-07 ADFLO</t>
  </si>
  <si>
    <t>389.83</t>
  </si>
  <si>
    <t>31</t>
  </si>
  <si>
    <t>32NC27</t>
  </si>
  <si>
    <t>35-1099-07</t>
  </si>
  <si>
    <t>RAD64055742</t>
  </si>
  <si>
    <t>SRBNT UNIV RL HVY WGT 30X150PRFRTD EA=BA</t>
  </si>
  <si>
    <t>100</t>
  </si>
  <si>
    <t>89.29</t>
  </si>
  <si>
    <t>451</t>
  </si>
  <si>
    <t>2GU48</t>
  </si>
  <si>
    <t>HT30</t>
  </si>
  <si>
    <t>BRADY SPC ABSORBENTS</t>
  </si>
  <si>
    <t>3MR27-0099-35SW</t>
  </si>
  <si>
    <t>HLMT WLDG 9100 MP W/HRDHT &amp; SWS</t>
  </si>
  <si>
    <t>11</t>
  </si>
  <si>
    <t>750.25</t>
  </si>
  <si>
    <t>21VG03</t>
  </si>
  <si>
    <t>27-0099-35SW</t>
  </si>
  <si>
    <t>IS6PR02026SP</t>
  </si>
  <si>
    <t>FLTR ESM WLDG HLMT HI EFNC</t>
  </si>
  <si>
    <t>76</t>
  </si>
  <si>
    <t>108.30</t>
  </si>
  <si>
    <t>209</t>
  </si>
  <si>
    <t>RPB03-890</t>
  </si>
  <si>
    <t>PRE-FILTER PX5 EA = PK/10</t>
  </si>
  <si>
    <t>374</t>
  </si>
  <si>
    <t>21.85</t>
  </si>
  <si>
    <t>514</t>
  </si>
  <si>
    <t>61CX02</t>
  </si>
  <si>
    <t>03-890</t>
  </si>
  <si>
    <t>RAD64057045</t>
  </si>
  <si>
    <t>GLV DRVR XL GN CWHD UNL KYSTN THMB HIVIS</t>
  </si>
  <si>
    <t>1632</t>
  </si>
  <si>
    <t>4.99</t>
  </si>
  <si>
    <t>462</t>
  </si>
  <si>
    <t>3ZL49</t>
  </si>
  <si>
    <t>PIP16-377/XL</t>
  </si>
  <si>
    <t>GLV CUT RES POLYKOR X7 BLND SHL XL GRY</t>
  </si>
  <si>
    <t>552</t>
  </si>
  <si>
    <t>14.31</t>
  </si>
  <si>
    <t>391</t>
  </si>
  <si>
    <t>55TK84</t>
  </si>
  <si>
    <t>16-377/XL</t>
  </si>
  <si>
    <t>RAD64057042</t>
  </si>
  <si>
    <t>GLV DRVR SM GN CWHD UNL HIVIS IMPRINTED</t>
  </si>
  <si>
    <t>1848</t>
  </si>
  <si>
    <t>4.24</t>
  </si>
  <si>
    <t>459</t>
  </si>
  <si>
    <t>3ZL52</t>
  </si>
  <si>
    <t>8.08</t>
  </si>
  <si>
    <t>B13540-XL</t>
  </si>
  <si>
    <t>GLV CUT RES PU CTD XL WHT 13 GA HPPE</t>
  </si>
  <si>
    <t>1236</t>
  </si>
  <si>
    <t>6.24</t>
  </si>
  <si>
    <t>40LJ77</t>
  </si>
  <si>
    <t>11-727</t>
  </si>
  <si>
    <t>TIL50XL</t>
  </si>
  <si>
    <t>GLV MIG XL TOP GN CWHD FLCE LND PLM</t>
  </si>
  <si>
    <t>289</t>
  </si>
  <si>
    <t>26.50</t>
  </si>
  <si>
    <t>608</t>
  </si>
  <si>
    <t>5UPC8</t>
  </si>
  <si>
    <t>50XL</t>
  </si>
  <si>
    <t>RAD64051750</t>
  </si>
  <si>
    <t>FCSHD 9.75X19X.06 IN PN CLR</t>
  </si>
  <si>
    <t>1200</t>
  </si>
  <si>
    <t>6.20</t>
  </si>
  <si>
    <t>436</t>
  </si>
  <si>
    <t>2KFZ3</t>
  </si>
  <si>
    <t>4199CL</t>
  </si>
  <si>
    <t>HONEYWELL FIBRE-METAL</t>
  </si>
  <si>
    <t>D623100523</t>
  </si>
  <si>
    <t>LNYRD SLF-RTRCTG 6' ALUM CRBNR</t>
  </si>
  <si>
    <t>36</t>
  </si>
  <si>
    <t>204.00</t>
  </si>
  <si>
    <t>142</t>
  </si>
  <si>
    <t>806XX9</t>
  </si>
  <si>
    <t>ANE70-765-10</t>
  </si>
  <si>
    <t>GLV CUT RES 10 KV/PL/CT LTHR PLM</t>
  </si>
  <si>
    <t>18.95</t>
  </si>
  <si>
    <t>67</t>
  </si>
  <si>
    <t>2JBD9</t>
  </si>
  <si>
    <t>TIL50L</t>
  </si>
  <si>
    <t>GLV MIG LG TOP GN CWHD FLCE LND PLM</t>
  </si>
  <si>
    <t>272</t>
  </si>
  <si>
    <t>26.51</t>
  </si>
  <si>
    <t>604</t>
  </si>
  <si>
    <t>5UPC7</t>
  </si>
  <si>
    <t>50L</t>
  </si>
  <si>
    <t>ANE70-765-8</t>
  </si>
  <si>
    <t>GLV CUT RES 8 KV/PL/CT LTHR PLM</t>
  </si>
  <si>
    <t>360</t>
  </si>
  <si>
    <t>19.00</t>
  </si>
  <si>
    <t>69</t>
  </si>
  <si>
    <t>2JBD7</t>
  </si>
  <si>
    <t>REVBM88-MD</t>
  </si>
  <si>
    <t>GLV SZ MD WLDG CWHD BCK PRM MIG GN</t>
  </si>
  <si>
    <t>366</t>
  </si>
  <si>
    <t>17.80</t>
  </si>
  <si>
    <t>482</t>
  </si>
  <si>
    <t>2UKA6</t>
  </si>
  <si>
    <t>35M</t>
  </si>
  <si>
    <t>N33DF2CM265ALPDSLG</t>
  </si>
  <si>
    <t>\\ LONGJOHN FR PNTS HVYWT DRIFIRE</t>
  </si>
  <si>
    <t>71</t>
  </si>
  <si>
    <t>87.39</t>
  </si>
  <si>
    <t>313</t>
  </si>
  <si>
    <t>N33U52JKSRLG</t>
  </si>
  <si>
    <t>UNWR LNG FR CTRL 2.0 LG 5.5OZ SND 4CAL</t>
  </si>
  <si>
    <t>79.04</t>
  </si>
  <si>
    <t>339</t>
  </si>
  <si>
    <t>M683142-18THY</t>
  </si>
  <si>
    <t>SLV HIVIS 18" KORPLEX 1 PLY YLW THMBHL</t>
  </si>
  <si>
    <t>1338</t>
  </si>
  <si>
    <t>4.46</t>
  </si>
  <si>
    <t>239</t>
  </si>
  <si>
    <t>55LE01</t>
  </si>
  <si>
    <t>99-1-315-18</t>
  </si>
  <si>
    <t>BDG</t>
  </si>
  <si>
    <t>PF311-13001-02</t>
  </si>
  <si>
    <t>GLS SFTY MX300 CLR A/FG TRUESHIELD 12/BX</t>
  </si>
  <si>
    <t>11.10</t>
  </si>
  <si>
    <t>388R40</t>
  </si>
  <si>
    <t>11-13001-02</t>
  </si>
  <si>
    <t>HEXARMOR</t>
  </si>
  <si>
    <t>JTR23004</t>
  </si>
  <si>
    <t>LCKR CYL FOR 12 HRZNL 20/33LB LPG CYL</t>
  </si>
  <si>
    <t>2</t>
  </si>
  <si>
    <t>2796.23</t>
  </si>
  <si>
    <t>218</t>
  </si>
  <si>
    <t>6HCA2</t>
  </si>
  <si>
    <t>CYL-EX-12-S</t>
  </si>
  <si>
    <t>VESTIL</t>
  </si>
  <si>
    <t>HON4199DGN</t>
  </si>
  <si>
    <t>FCSHD 9"X19"X.06" PN DRK GRN TAB</t>
  </si>
  <si>
    <t>10.47</t>
  </si>
  <si>
    <t>180</t>
  </si>
  <si>
    <t>15W961</t>
  </si>
  <si>
    <t>4199DGN</t>
  </si>
  <si>
    <t>2KFZ5</t>
  </si>
  <si>
    <t>N33H15NJGOLD</t>
  </si>
  <si>
    <t>HDGR 13OZ DLX ALUMZD W/ RTCHT HDGR</t>
  </si>
  <si>
    <t>12</t>
  </si>
  <si>
    <t>424.79</t>
  </si>
  <si>
    <t>325</t>
  </si>
  <si>
    <t>2YRL4</t>
  </si>
  <si>
    <t>H58NLHG</t>
  </si>
  <si>
    <t>JTR23006</t>
  </si>
  <si>
    <t>LCKR CYL FOR 10 VRTL CMPSD GAS</t>
  </si>
  <si>
    <t>3</t>
  </si>
  <si>
    <t>1646.34</t>
  </si>
  <si>
    <t>219</t>
  </si>
  <si>
    <t>4HUA4</t>
  </si>
  <si>
    <t>JUSTRITE</t>
  </si>
  <si>
    <t>ANE80-813-9</t>
  </si>
  <si>
    <t>GLV FR 9.0 KVLR SHL FM NTRL PLM</t>
  </si>
  <si>
    <t>336</t>
  </si>
  <si>
    <t>14.65</t>
  </si>
  <si>
    <t>74</t>
  </si>
  <si>
    <t>5LRF4</t>
  </si>
  <si>
    <t>80-813</t>
  </si>
  <si>
    <t>SHPGENERIC</t>
  </si>
  <si>
    <t>[DS] STRONG HOLD PRODUCTS</t>
  </si>
  <si>
    <t>4905.74</t>
  </si>
  <si>
    <t>568</t>
  </si>
  <si>
    <t>3MR06-0000-30I</t>
  </si>
  <si>
    <t>FLTR ADRKNG WLDG SFTY SHADES 5 8-13</t>
  </si>
  <si>
    <t>10</t>
  </si>
  <si>
    <t>469.02</t>
  </si>
  <si>
    <t>48WL45</t>
  </si>
  <si>
    <t>IS6PR02020SP</t>
  </si>
  <si>
    <t>FLTR HEPA NIOSH 8 INTERACTIVE PUREFLO</t>
  </si>
  <si>
    <t>467.55</t>
  </si>
  <si>
    <t>208</t>
  </si>
  <si>
    <t>4MH55</t>
  </si>
  <si>
    <t>PIP994KOTP/L</t>
  </si>
  <si>
    <t>GLV CLD WTHR DRVR GN PIG LTHR LG TAN</t>
  </si>
  <si>
    <t>576</t>
  </si>
  <si>
    <t>7.49</t>
  </si>
  <si>
    <t>409</t>
  </si>
  <si>
    <t>25D570</t>
  </si>
  <si>
    <t>3213HVIL</t>
  </si>
  <si>
    <t>MCR SAFETY</t>
  </si>
  <si>
    <t>RAD64051066</t>
  </si>
  <si>
    <t>BRCKT ALUM FOR HDCP</t>
  </si>
  <si>
    <t>555</t>
  </si>
  <si>
    <t>7.63</t>
  </si>
  <si>
    <t>427</t>
  </si>
  <si>
    <t>4EZC8</t>
  </si>
  <si>
    <t>D623100525</t>
  </si>
  <si>
    <t>LFLN NANO LOK 6' SNGL LEG SELF-RETRAC</t>
  </si>
  <si>
    <t>260.90</t>
  </si>
  <si>
    <t>143</t>
  </si>
  <si>
    <t>806XY1</t>
  </si>
  <si>
    <t>SEL29084</t>
  </si>
  <si>
    <t>FCSHD PN 9"X15.5"X.060" CLR UBD</t>
  </si>
  <si>
    <t>456</t>
  </si>
  <si>
    <t>9.06</t>
  </si>
  <si>
    <t>562</t>
  </si>
  <si>
    <t>33VA20</t>
  </si>
  <si>
    <t>JACKSON SAFETY</t>
  </si>
  <si>
    <t>KPG159200201</t>
  </si>
  <si>
    <t>FRZR SQWEEZE ASRTD FLVR 3OZ</t>
  </si>
  <si>
    <t>34.25</t>
  </si>
  <si>
    <t>229</t>
  </si>
  <si>
    <t>1UFK7</t>
  </si>
  <si>
    <t>SQWINCHER</t>
  </si>
  <si>
    <t>PIP16-377/M</t>
  </si>
  <si>
    <t>GLV CUT RES POLYKOR X7 BLND SHL MD GRY</t>
  </si>
  <si>
    <t>288</t>
  </si>
  <si>
    <t>14.27</t>
  </si>
  <si>
    <t>390</t>
  </si>
  <si>
    <t>55TK82</t>
  </si>
  <si>
    <t>16-377/M</t>
  </si>
  <si>
    <t>3MR6001</t>
  </si>
  <si>
    <t>CRTDG ORGC VPR RESPY PRTN 6001</t>
  </si>
  <si>
    <t>13.81</t>
  </si>
  <si>
    <t>35</t>
  </si>
  <si>
    <t>6AM37</t>
  </si>
  <si>
    <t>EA4GENERIC</t>
  </si>
  <si>
    <t>[DS] EBEL IMPRINTS</t>
  </si>
  <si>
    <t>47</t>
  </si>
  <si>
    <t>83.52</t>
  </si>
  <si>
    <t>167</t>
  </si>
  <si>
    <t>N33DF2CM265ALSDSXL</t>
  </si>
  <si>
    <t>\\ TSHT LNG SLV FR XL 8.75OZ PRFRMN DES</t>
  </si>
  <si>
    <t>45</t>
  </si>
  <si>
    <t>86.89</t>
  </si>
  <si>
    <t>320</t>
  </si>
  <si>
    <t>61RJ24</t>
  </si>
  <si>
    <t>N33C22CW4X48179</t>
  </si>
  <si>
    <t>CT HT RES 4X 12OZ OPF BLND FLCE CLTH</t>
  </si>
  <si>
    <t>6</t>
  </si>
  <si>
    <t>650.14</t>
  </si>
  <si>
    <t>292</t>
  </si>
  <si>
    <t>REV320L</t>
  </si>
  <si>
    <t>GLV WLDG SPLT CWHD CSHN COR LND LG</t>
  </si>
  <si>
    <t>312</t>
  </si>
  <si>
    <t>12.36</t>
  </si>
  <si>
    <t>476</t>
  </si>
  <si>
    <t>4TJX5</t>
  </si>
  <si>
    <t>E5742201</t>
  </si>
  <si>
    <t>MULTI-BAND OSFA FR NVY</t>
  </si>
  <si>
    <t>200</t>
  </si>
  <si>
    <t>19.17</t>
  </si>
  <si>
    <t>157</t>
  </si>
  <si>
    <t>48Z856</t>
  </si>
  <si>
    <t>CHILL-ITS BY ERGODYNE</t>
  </si>
  <si>
    <t>SEL3165B</t>
  </si>
  <si>
    <t>FCSHD GLD HT REFLV W/ ALUM BRCKT</t>
  </si>
  <si>
    <t>159.20</t>
  </si>
  <si>
    <t>564</t>
  </si>
  <si>
    <t>3MR340-4003</t>
  </si>
  <si>
    <t>ERPG UCRD HRG CNSRVTN IN PLY BG 340-4003</t>
  </si>
  <si>
    <t>34</t>
  </si>
  <si>
    <t>111.56</t>
  </si>
  <si>
    <t>3NHE5</t>
  </si>
  <si>
    <t>340-4003</t>
  </si>
  <si>
    <t>N33C52JKSRLSLG</t>
  </si>
  <si>
    <t>TSHT FR LG DES SND CTRL 2.0 LNG SLV</t>
  </si>
  <si>
    <t>55</t>
  </si>
  <si>
    <t>68.47</t>
  </si>
  <si>
    <t>306</t>
  </si>
  <si>
    <t>826R65</t>
  </si>
  <si>
    <t>Gray.</t>
  </si>
  <si>
    <t>Long sleeve base layer</t>
  </si>
  <si>
    <t>DF2-CM-762-PLS-RG-LG</t>
  </si>
  <si>
    <t>D621102000</t>
  </si>
  <si>
    <t>HRNS UNIV BCK D-RNG TNG BCL LEGS VST</t>
  </si>
  <si>
    <t>30</t>
  </si>
  <si>
    <t>124.13</t>
  </si>
  <si>
    <t>128</t>
  </si>
  <si>
    <t>2UZH7</t>
  </si>
  <si>
    <t>ANE80-813-10</t>
  </si>
  <si>
    <t>GLV FR 10.0 KVLR SHL FM NTRL PLM</t>
  </si>
  <si>
    <t>252</t>
  </si>
  <si>
    <t>14.62</t>
  </si>
  <si>
    <t>5LRF5</t>
  </si>
  <si>
    <t>PIP994KOTP/XL</t>
  </si>
  <si>
    <t>GLV CLD WTHR DRVR GN PIG LTHR XL TAN</t>
  </si>
  <si>
    <t>480</t>
  </si>
  <si>
    <t>7.51</t>
  </si>
  <si>
    <t>412</t>
  </si>
  <si>
    <t>25D573</t>
  </si>
  <si>
    <t>3213HVIXL</t>
  </si>
  <si>
    <t>3MR06-0700-54</t>
  </si>
  <si>
    <t>VSR WIDE-VIEW CLR GRDG A/FG TRTD</t>
  </si>
  <si>
    <t>235</t>
  </si>
  <si>
    <t>15.05</t>
  </si>
  <si>
    <t>32V203</t>
  </si>
  <si>
    <t>06-0700-54</t>
  </si>
  <si>
    <t>SPEEDGLAS</t>
  </si>
  <si>
    <t>AYI04-400MTN-L</t>
  </si>
  <si>
    <t>GLV CUT RES 15 GA ENGRD LNR LG ORG BLK</t>
  </si>
  <si>
    <t>421</t>
  </si>
  <si>
    <t>8.14</t>
  </si>
  <si>
    <t>89</t>
  </si>
  <si>
    <t>379AH3</t>
  </si>
  <si>
    <t>04-400MTN-L</t>
  </si>
  <si>
    <t>ARMOR GUYS</t>
  </si>
  <si>
    <t>N33DF2CM265ALSDSLG</t>
  </si>
  <si>
    <t>\\ TSHT LNG SLV FR LG 8.75OZ PRFRMN DES</t>
  </si>
  <si>
    <t>39</t>
  </si>
  <si>
    <t>87.37</t>
  </si>
  <si>
    <t>318</t>
  </si>
  <si>
    <t>61RJ23</t>
  </si>
  <si>
    <t>RPB16-910</t>
  </si>
  <si>
    <t>VSN LNK LED LGHT BDY ASSY</t>
  </si>
  <si>
    <t>15</t>
  </si>
  <si>
    <t>224.74</t>
  </si>
  <si>
    <t>543</t>
  </si>
  <si>
    <t>43MJ59</t>
  </si>
  <si>
    <t>2760C</t>
  </si>
  <si>
    <t>PELICAN</t>
  </si>
  <si>
    <t>3MR8271</t>
  </si>
  <si>
    <t>RESP PRTCLT P95 8271</t>
  </si>
  <si>
    <t>96</t>
  </si>
  <si>
    <t>34.76</t>
  </si>
  <si>
    <t>42</t>
  </si>
  <si>
    <t>4JG30</t>
  </si>
  <si>
    <t>AYI00-840-L</t>
  </si>
  <si>
    <t>GLV 18G GRY LG BLK HCT MICRO FM NTRL PLM</t>
  </si>
  <si>
    <t>372</t>
  </si>
  <si>
    <t>8.84</t>
  </si>
  <si>
    <t>83</t>
  </si>
  <si>
    <t>379AK7</t>
  </si>
  <si>
    <t>00-840-L</t>
  </si>
  <si>
    <t>RAD64057043</t>
  </si>
  <si>
    <t>GLV DRVR MD GN CWHD HIVIS IMPRINTED</t>
  </si>
  <si>
    <t>648</t>
  </si>
  <si>
    <t>460</t>
  </si>
  <si>
    <t>3ZL51</t>
  </si>
  <si>
    <t>N33C52JKSRLSXL</t>
  </si>
  <si>
    <t>TSHT FR XL DES SND CTRL 2.0 LNG SLV</t>
  </si>
  <si>
    <t>46</t>
  </si>
  <si>
    <t>68.77</t>
  </si>
  <si>
    <t>309</t>
  </si>
  <si>
    <t>826R71</t>
  </si>
  <si>
    <t>DF2-CM-762-PLS-RG-XL</t>
  </si>
  <si>
    <t>3MR06-0200-51</t>
  </si>
  <si>
    <t>&gt;&gt; PLA OTSD PRTN WLDG HLMT 9100</t>
  </si>
  <si>
    <t>1100</t>
  </si>
  <si>
    <t>2.87</t>
  </si>
  <si>
    <t>4CWH2</t>
  </si>
  <si>
    <t>06-0200-51</t>
  </si>
  <si>
    <t>D623100570</t>
  </si>
  <si>
    <t>LFLN SLF-RTRCTG 6' HOT WORK TWIN LEG</t>
  </si>
  <si>
    <t>632.03</t>
  </si>
  <si>
    <t>146</t>
  </si>
  <si>
    <t>812P65</t>
  </si>
  <si>
    <t>MSA454618</t>
  </si>
  <si>
    <t>HDCP SKLGD WHT STAZ-ON SUSP</t>
  </si>
  <si>
    <t>102.62</t>
  </si>
  <si>
    <t>276</t>
  </si>
  <si>
    <t>4LN94</t>
  </si>
  <si>
    <t>HON4199IRUV5</t>
  </si>
  <si>
    <t>FCSHD 9"X19"X.06" PN IR5 TAB MNT &amp; CAM</t>
  </si>
  <si>
    <t>21.77</t>
  </si>
  <si>
    <t>181</t>
  </si>
  <si>
    <t>4199IRUV5</t>
  </si>
  <si>
    <t>IS6PR02475SP</t>
  </si>
  <si>
    <t>CAPE NCK FR 4 INTERACTIVE SFTY PUREFLO</t>
  </si>
  <si>
    <t>217.46</t>
  </si>
  <si>
    <t>215</t>
  </si>
  <si>
    <t>D623101366</t>
  </si>
  <si>
    <t>LFLN SLF RTRCTG 9' 3M DBI-SALA NANO-L</t>
  </si>
  <si>
    <t>273.74</t>
  </si>
  <si>
    <t>147</t>
  </si>
  <si>
    <t>46W460</t>
  </si>
  <si>
    <t>IS6PR02050SP</t>
  </si>
  <si>
    <t>VSR ASSY HI IMPCT PUREFLO W/ ATCHMT KT</t>
  </si>
  <si>
    <t>148.80</t>
  </si>
  <si>
    <t>212</t>
  </si>
  <si>
    <t>CB2901ALUM</t>
  </si>
  <si>
    <t>GLV WLDG DMSTC SPLT LTHR 15OZ AR</t>
  </si>
  <si>
    <t>60</t>
  </si>
  <si>
    <t>49.57</t>
  </si>
  <si>
    <t>123</t>
  </si>
  <si>
    <t>56XM44</t>
  </si>
  <si>
    <t>DJXGSP382</t>
  </si>
  <si>
    <t>REV320XL</t>
  </si>
  <si>
    <t>GLV WLDG SPLT CWHD CSHN COR LND XL</t>
  </si>
  <si>
    <t>240</t>
  </si>
  <si>
    <t>12.26</t>
  </si>
  <si>
    <t>479</t>
  </si>
  <si>
    <t>26K813</t>
  </si>
  <si>
    <t>AYI04-400MTN-M</t>
  </si>
  <si>
    <t>GLV CUT RES 15 GA ENGRD LNR MD ORG BLK</t>
  </si>
  <si>
    <t>358</t>
  </si>
  <si>
    <t>8.17</t>
  </si>
  <si>
    <t>90</t>
  </si>
  <si>
    <t>379AH2</t>
  </si>
  <si>
    <t>04-400MTN-M</t>
  </si>
  <si>
    <t>3MR11872-00000</t>
  </si>
  <si>
    <t>EYEWR PROTV W/FM GSKT CLR AF LENS</t>
  </si>
  <si>
    <t>46F390</t>
  </si>
  <si>
    <t>8.87</t>
  </si>
  <si>
    <t>M683142-14THY</t>
  </si>
  <si>
    <t>SLV HIVIS 14" KORPLEX 1 PLY YLW THMBHL</t>
  </si>
  <si>
    <t>722</t>
  </si>
  <si>
    <t>4.01</t>
  </si>
  <si>
    <t>238</t>
  </si>
  <si>
    <t>55LD98</t>
  </si>
  <si>
    <t>99-1-315-14</t>
  </si>
  <si>
    <t>N33C22CW5X48179</t>
  </si>
  <si>
    <t>CT HT RES 5X 12OZ OPF BLND FLCE CLTH</t>
  </si>
  <si>
    <t>4</t>
  </si>
  <si>
    <t>721.91</t>
  </si>
  <si>
    <t>293</t>
  </si>
  <si>
    <t>PF311-13003-02</t>
  </si>
  <si>
    <t>GLS SFTY MX300 GRY TRUSHIELD 12/CA</t>
  </si>
  <si>
    <t>237</t>
  </si>
  <si>
    <t>12.13</t>
  </si>
  <si>
    <t>368</t>
  </si>
  <si>
    <t>623L75</t>
  </si>
  <si>
    <t>11-13003-02</t>
  </si>
  <si>
    <t>3MR340-4014</t>
  </si>
  <si>
    <t>[AD] ERPG CRDD HRG CNSRVTN IN ECONOPACK</t>
  </si>
  <si>
    <t>253.26</t>
  </si>
  <si>
    <t>28</t>
  </si>
  <si>
    <t>4T151</t>
  </si>
  <si>
    <t>340-4004</t>
  </si>
  <si>
    <t>N33DF2CM265ALPDSXL</t>
  </si>
  <si>
    <t>\\ LONGJOHN FR XL DRIFIRE</t>
  </si>
  <si>
    <t>32</t>
  </si>
  <si>
    <t>87.01</t>
  </si>
  <si>
    <t>315</t>
  </si>
  <si>
    <t>N33DF2CM265ALPDSMD</t>
  </si>
  <si>
    <t>\\ LONGJOHN FR MD DRIFIRE</t>
  </si>
  <si>
    <t>86.97</t>
  </si>
  <si>
    <t>314</t>
  </si>
  <si>
    <t>ICMREBT2057</t>
  </si>
  <si>
    <t>TP BARICD 3"X500' RED DNGR RFRCD GRDE</t>
  </si>
  <si>
    <t>132</t>
  </si>
  <si>
    <t>20.85</t>
  </si>
  <si>
    <t>205</t>
  </si>
  <si>
    <t>30WU19</t>
  </si>
  <si>
    <t>DR</t>
  </si>
  <si>
    <t>BR35XR21-200</t>
  </si>
  <si>
    <t>APPROVED VENDOR</t>
  </si>
  <si>
    <t>MOL4400</t>
  </si>
  <si>
    <t>RESP DSPBL MD / LG AIRWAVE P100 5/BX</t>
  </si>
  <si>
    <t>9</t>
  </si>
  <si>
    <t>304.92</t>
  </si>
  <si>
    <t>264</t>
  </si>
  <si>
    <t>40M364</t>
  </si>
  <si>
    <t>N33DF2CM265ALSDS2X</t>
  </si>
  <si>
    <t>\\ TSHT LNG SLV FR 2X 8.75OZ PRFRMN DES</t>
  </si>
  <si>
    <t>96.17</t>
  </si>
  <si>
    <t>316</t>
  </si>
  <si>
    <t>61RJ25</t>
  </si>
  <si>
    <t>RAD64053274</t>
  </si>
  <si>
    <t>[AD] CVRL PRO-2 PPYL SRGD SEAMS 4X WHT D</t>
  </si>
  <si>
    <t>575</t>
  </si>
  <si>
    <t>4.58</t>
  </si>
  <si>
    <t>442</t>
  </si>
  <si>
    <t>4LUH5</t>
  </si>
  <si>
    <t>SL127TWHMD000600</t>
  </si>
  <si>
    <t>DUPONT</t>
  </si>
  <si>
    <t>RPB16-673</t>
  </si>
  <si>
    <t>VSR WLD ATCHMT CLP Z-LNK</t>
  </si>
  <si>
    <t>22.87</t>
  </si>
  <si>
    <t>531</t>
  </si>
  <si>
    <t>B13376L-08</t>
  </si>
  <si>
    <t>GLV GP GRIP 376 FM NTRL LG BLK/BLU 13 GA</t>
  </si>
  <si>
    <t>624</t>
  </si>
  <si>
    <t>4.20</t>
  </si>
  <si>
    <t>94</t>
  </si>
  <si>
    <t>18F251</t>
  </si>
  <si>
    <t>376L-08</t>
  </si>
  <si>
    <t>SHOWA</t>
  </si>
  <si>
    <t>N33C22NU4X48018</t>
  </si>
  <si>
    <t>CT HT RES 4X 13OZ ALUMZD CARBON</t>
  </si>
  <si>
    <t>431.70</t>
  </si>
  <si>
    <t>299</t>
  </si>
  <si>
    <t>REVBM88-LG</t>
  </si>
  <si>
    <t>GLV SZ LG WLDG CWHD BCK PRM MIG GN</t>
  </si>
  <si>
    <t>17.83</t>
  </si>
  <si>
    <t>481</t>
  </si>
  <si>
    <t>RAD64053272</t>
  </si>
  <si>
    <t>[AD] CVRL PRO-2 PPYL SRGD SEAMS 2X WHT D</t>
  </si>
  <si>
    <t>650</t>
  </si>
  <si>
    <t>3.90</t>
  </si>
  <si>
    <t>440</t>
  </si>
  <si>
    <t>4LUJ5</t>
  </si>
  <si>
    <t>SL122BWH2X001200</t>
  </si>
  <si>
    <t>BWA500367</t>
  </si>
  <si>
    <t>GATE SFTY 27" SELF-CLOSING</t>
  </si>
  <si>
    <t>8</t>
  </si>
  <si>
    <t>315.28</t>
  </si>
  <si>
    <t>119</t>
  </si>
  <si>
    <t>31TT69</t>
  </si>
  <si>
    <t>PF311-13002-02</t>
  </si>
  <si>
    <t>GLS SFTY MX300 AMB TRUSHIELD 12/CA</t>
  </si>
  <si>
    <t>195</t>
  </si>
  <si>
    <t>12.66</t>
  </si>
  <si>
    <t>367</t>
  </si>
  <si>
    <t>623L74</t>
  </si>
  <si>
    <t>11-13002-02</t>
  </si>
  <si>
    <t>RPB16-872</t>
  </si>
  <si>
    <t>LENS IMPCT WLDG ADF</t>
  </si>
  <si>
    <t>1350</t>
  </si>
  <si>
    <t>1.77</t>
  </si>
  <si>
    <t>61CX89</t>
  </si>
  <si>
    <t>16-872</t>
  </si>
  <si>
    <t>PIP150-SK-0-10</t>
  </si>
  <si>
    <t>\\  ELTRCL SFTY KT CL 0 SZ 10 CNTN</t>
  </si>
  <si>
    <t>25</t>
  </si>
  <si>
    <t>95.25</t>
  </si>
  <si>
    <t>3RMY6</t>
  </si>
  <si>
    <t>GK011B/9</t>
  </si>
  <si>
    <t>SALISBURY</t>
  </si>
  <si>
    <t>3MR15009999X12</t>
  </si>
  <si>
    <t>PFLTR WLDG SFTY 15-0099-99X12 12 PER CA</t>
  </si>
  <si>
    <t>780</t>
  </si>
  <si>
    <t>3.03</t>
  </si>
  <si>
    <t>32V222</t>
  </si>
  <si>
    <t>15-0099-99X12</t>
  </si>
  <si>
    <t>N33DF2CM265ALSDSMD</t>
  </si>
  <si>
    <t>\\ TSHT LNG SLV FR MD 8.75OZ PRFRMN DES</t>
  </si>
  <si>
    <t>27</t>
  </si>
  <si>
    <t>319</t>
  </si>
  <si>
    <t>61RJ22</t>
  </si>
  <si>
    <t>N33C22NU3X48018</t>
  </si>
  <si>
    <t>CT HT RES 3X 13OZ ALUMZD CARBON</t>
  </si>
  <si>
    <t>391.18</t>
  </si>
  <si>
    <t>298</t>
  </si>
  <si>
    <t>N33C22NU2X48018</t>
  </si>
  <si>
    <t>CT HT RES 2X 13OZ ALUMZD CARBON</t>
  </si>
  <si>
    <t>390.45</t>
  </si>
  <si>
    <t>297</t>
  </si>
  <si>
    <t>9NN05</t>
  </si>
  <si>
    <t>714ACK2XL</t>
  </si>
  <si>
    <t>AYI00-840-M</t>
  </si>
  <si>
    <t>GLV 18G GRY MD BLK HCT MICRO FM NTRL PLM</t>
  </si>
  <si>
    <t>8.86</t>
  </si>
  <si>
    <t>84</t>
  </si>
  <si>
    <t>379AK6</t>
  </si>
  <si>
    <t>00-840-M</t>
  </si>
  <si>
    <t>PIP150-SK-0-9</t>
  </si>
  <si>
    <t>\\  ELTRCL SFTY KT CL 0 SZ 9 CNTN</t>
  </si>
  <si>
    <t>94.88</t>
  </si>
  <si>
    <t>387</t>
  </si>
  <si>
    <t>RAD64053273</t>
  </si>
  <si>
    <t>[AD] CVRL PRO-2 PPYL SRGD SEAMS 3X WHT D</t>
  </si>
  <si>
    <t>525</t>
  </si>
  <si>
    <t>4.32</t>
  </si>
  <si>
    <t>441</t>
  </si>
  <si>
    <t>D623100546</t>
  </si>
  <si>
    <t>LFLNE SLF RTRCTG 6' PERSL TWIN-LEG</t>
  </si>
  <si>
    <t>374.54</t>
  </si>
  <si>
    <t>806XZ5</t>
  </si>
  <si>
    <t>N33DF2CM265ALPDS2X</t>
  </si>
  <si>
    <t>\\ LONGJOHN FR 2X DRIFIRE</t>
  </si>
  <si>
    <t>23</t>
  </si>
  <si>
    <t>95.97</t>
  </si>
  <si>
    <t>311</t>
  </si>
  <si>
    <t>MEG3601KL</t>
  </si>
  <si>
    <t>GLV DRVR PRM GRDE LTHR GTSN LG WHT</t>
  </si>
  <si>
    <t>12.14</t>
  </si>
  <si>
    <t>241</t>
  </si>
  <si>
    <t>21NM43</t>
  </si>
  <si>
    <t>3601KL</t>
  </si>
  <si>
    <t>N33C22CWLG48179</t>
  </si>
  <si>
    <t>CT HT RES LG 12OZ OPF BLND FLCE CLTH</t>
  </si>
  <si>
    <t>539.45</t>
  </si>
  <si>
    <t>294</t>
  </si>
  <si>
    <t>8AAR0</t>
  </si>
  <si>
    <t>714ACKL</t>
  </si>
  <si>
    <t>E421904X</t>
  </si>
  <si>
    <t>E CBNT FLAM BTOP 4G MAN YEL</t>
  </si>
  <si>
    <t>530.31</t>
  </si>
  <si>
    <t>153</t>
  </si>
  <si>
    <t>55EA62</t>
  </si>
  <si>
    <t>1904X</t>
  </si>
  <si>
    <t>EAGLE</t>
  </si>
  <si>
    <t>D621113037</t>
  </si>
  <si>
    <t>HRNS SFTY EXOFIT NEX LG FRNT/BCK D-RN</t>
  </si>
  <si>
    <t>418.26</t>
  </si>
  <si>
    <t>788CM0</t>
  </si>
  <si>
    <t>B13376M-07</t>
  </si>
  <si>
    <t>GLV GP GRIP 376 FM NTRL MD BLK/BLU 13 GA</t>
  </si>
  <si>
    <t>95</t>
  </si>
  <si>
    <t>18F250</t>
  </si>
  <si>
    <t>376M-07</t>
  </si>
  <si>
    <t>N33DF2-762SNG-DS</t>
  </si>
  <si>
    <t>GAITER NCK FR DES SND 1 LYR</t>
  </si>
  <si>
    <t>16.21</t>
  </si>
  <si>
    <t>310</t>
  </si>
  <si>
    <t>60TR23</t>
  </si>
  <si>
    <t>FR Neck Gaiter</t>
  </si>
  <si>
    <t>ERGODYNE</t>
  </si>
  <si>
    <t>REVBM88-SM</t>
  </si>
  <si>
    <t>GLV SZ SM WLDG CWHD BCK PRM MIG GN</t>
  </si>
  <si>
    <t>112</t>
  </si>
  <si>
    <t>17.88</t>
  </si>
  <si>
    <t>483</t>
  </si>
  <si>
    <t>62XV01</t>
  </si>
  <si>
    <t>0216-S</t>
  </si>
  <si>
    <t>STEINER</t>
  </si>
  <si>
    <t>ICMREBT2058</t>
  </si>
  <si>
    <t>TP BARICD 3"X500' YLW CAUT RFRCD GRDE</t>
  </si>
  <si>
    <t>20.78</t>
  </si>
  <si>
    <t>206</t>
  </si>
  <si>
    <t>8RLR9</t>
  </si>
  <si>
    <t>B3104Y16-200</t>
  </si>
  <si>
    <t>PIP994KOTP/M</t>
  </si>
  <si>
    <t>GLV CLD WTHR DRVR GN PIG LTHR MD TA</t>
  </si>
  <si>
    <t>410</t>
  </si>
  <si>
    <t>25D571</t>
  </si>
  <si>
    <t>3213HVIM</t>
  </si>
  <si>
    <t>RAD64057525</t>
  </si>
  <si>
    <t>GLV LTHR LG SLCT W/RBZ SFTY CFF FUL LTHR</t>
  </si>
  <si>
    <t>2.75</t>
  </si>
  <si>
    <t>464</t>
  </si>
  <si>
    <t>2AP24</t>
  </si>
  <si>
    <t>RPB16-010-11</t>
  </si>
  <si>
    <t>RESP Z-LINK INCL SFTY LENS FR FACE SL</t>
  </si>
  <si>
    <t>490.49</t>
  </si>
  <si>
    <t>524</t>
  </si>
  <si>
    <t>61CX57</t>
  </si>
  <si>
    <t>RPB Z-Z Link</t>
  </si>
  <si>
    <t>16-010-11</t>
  </si>
  <si>
    <t>3MR82602-00000</t>
  </si>
  <si>
    <t>WNDW FCSHD TTL PRFRMN GLD-CTD PLYCRB CLR</t>
  </si>
  <si>
    <t>980.54</t>
  </si>
  <si>
    <t>41</t>
  </si>
  <si>
    <t>2ELX5</t>
  </si>
  <si>
    <t>82602-00000</t>
  </si>
  <si>
    <t>RPB03-855</t>
  </si>
  <si>
    <t>BAT PX5</t>
  </si>
  <si>
    <t>214.71</t>
  </si>
  <si>
    <t>513</t>
  </si>
  <si>
    <t>61CX01</t>
  </si>
  <si>
    <t>Battery</t>
  </si>
  <si>
    <t>03-855</t>
  </si>
  <si>
    <t>AYI00-840-XL</t>
  </si>
  <si>
    <t>GLV 18G GRY XL BLK HCT MICRO FM NTRL PLM</t>
  </si>
  <si>
    <t>86</t>
  </si>
  <si>
    <t>379AK8</t>
  </si>
  <si>
    <t>00-840-XL</t>
  </si>
  <si>
    <t>3MR35-1099-01</t>
  </si>
  <si>
    <t>BLWR UNIT PAPR W/CVR 35-1099-01 ADF</t>
  </si>
  <si>
    <t>465.40</t>
  </si>
  <si>
    <t>32NC24</t>
  </si>
  <si>
    <t>35-1099-01</t>
  </si>
  <si>
    <t>ANE70-765-11</t>
  </si>
  <si>
    <t>GLV CUT RES 11 KV/PL/CT LTHR PLM</t>
  </si>
  <si>
    <t>68</t>
  </si>
  <si>
    <t>2JBE1</t>
  </si>
  <si>
    <t>D621109975</t>
  </si>
  <si>
    <t>HRNS SFTY DELTA II UNIV D-RNG NMX/KVL</t>
  </si>
  <si>
    <t>363.50</t>
  </si>
  <si>
    <t>129</t>
  </si>
  <si>
    <t>30M512</t>
  </si>
  <si>
    <t>IS6PR02153SP</t>
  </si>
  <si>
    <t>ATTACHEMENT BAR SECONDARY VISOR</t>
  </si>
  <si>
    <t>113.51</t>
  </si>
  <si>
    <t>214</t>
  </si>
  <si>
    <t>B13540-S</t>
  </si>
  <si>
    <t>GLV CUT RES PU CTD SM WHT 13 GA HPPE</t>
  </si>
  <si>
    <t>6.27</t>
  </si>
  <si>
    <t>99</t>
  </si>
  <si>
    <t>40LJ92</t>
  </si>
  <si>
    <t>RPB16-018-21-FR</t>
  </si>
  <si>
    <t>RESP Z-LINK RESP INCL 16-810 SFTY LENS</t>
  </si>
  <si>
    <t>1798.62</t>
  </si>
  <si>
    <t>526</t>
  </si>
  <si>
    <t>61CX70</t>
  </si>
  <si>
    <t>16-018-21-FR</t>
  </si>
  <si>
    <t>IS6PR02101SP</t>
  </si>
  <si>
    <t>VISOR SECONDARY GOLD COATED SHD 3.0 GRN</t>
  </si>
  <si>
    <t>176.53</t>
  </si>
  <si>
    <t>213</t>
  </si>
  <si>
    <t>ES9GENERIC</t>
  </si>
  <si>
    <t>[DS] EYE SAFETY SYSTEMS INC</t>
  </si>
  <si>
    <t>143.94</t>
  </si>
  <si>
    <t>168</t>
  </si>
  <si>
    <t>N33C52JKSRLSMD</t>
  </si>
  <si>
    <t>TSHT FR MD DES SND CTRL 2.0 LNG SLV</t>
  </si>
  <si>
    <t>68.76</t>
  </si>
  <si>
    <t>307</t>
  </si>
  <si>
    <t>826R67</t>
  </si>
  <si>
    <t>DF2-CM-762-PLS-RG-MD</t>
  </si>
  <si>
    <t>B13376XL-09</t>
  </si>
  <si>
    <t>GLV GP GRIP 376 FM NTRL XL BLK/BLU 13 GA</t>
  </si>
  <si>
    <t>4.22</t>
  </si>
  <si>
    <t>18F252</t>
  </si>
  <si>
    <t>376XL-09</t>
  </si>
  <si>
    <t>REV320M</t>
  </si>
  <si>
    <t>GLV WLDG SPLT CWHD CSHN COR LND MD</t>
  </si>
  <si>
    <t>12.25</t>
  </si>
  <si>
    <t>477</t>
  </si>
  <si>
    <t>4TJV2</t>
  </si>
  <si>
    <t>MEG3601KXL</t>
  </si>
  <si>
    <t>GLV DRVR PRM GRDE LTHR GTSN XL WHT</t>
  </si>
  <si>
    <t>126</t>
  </si>
  <si>
    <t>12.69</t>
  </si>
  <si>
    <t>244</t>
  </si>
  <si>
    <t>21NM44</t>
  </si>
  <si>
    <t>3601KXL</t>
  </si>
  <si>
    <t>N33U52JKSRMD</t>
  </si>
  <si>
    <t>UNWR LNG FR CTRL 2.0 MD 5.5OZ SND 4CAL</t>
  </si>
  <si>
    <t>78.76</t>
  </si>
  <si>
    <t>340</t>
  </si>
  <si>
    <t>AYI04-400MTN-XL</t>
  </si>
  <si>
    <t>GLV CUT RES 15 GA ENGRD LNR XL ORG BLK</t>
  </si>
  <si>
    <t>187</t>
  </si>
  <si>
    <t>8.21</t>
  </si>
  <si>
    <t>92</t>
  </si>
  <si>
    <t>379AH4</t>
  </si>
  <si>
    <t>04-400MTN-XL</t>
  </si>
  <si>
    <t>ALE1410</t>
  </si>
  <si>
    <t>SPRY SCK PAINTING HOOD 144 SOCKS/BX</t>
  </si>
  <si>
    <t>152.70</t>
  </si>
  <si>
    <t>46W162</t>
  </si>
  <si>
    <t>MEG3601KXXXL</t>
  </si>
  <si>
    <t>GLV DRVR PRM GRDE LTHR GTSN 3X WHT</t>
  </si>
  <si>
    <t>17.09</t>
  </si>
  <si>
    <t>246</t>
  </si>
  <si>
    <t>21NM46</t>
  </si>
  <si>
    <t>3601KXXXL</t>
  </si>
  <si>
    <t>N33C52JKSRLS2X</t>
  </si>
  <si>
    <t>TSHT FR 2X DES SND CTRL 2.0 LNG SLV</t>
  </si>
  <si>
    <t>75.23</t>
  </si>
  <si>
    <t>304</t>
  </si>
  <si>
    <t>826R57</t>
  </si>
  <si>
    <t>DF2-CM-762-PLS-RG-2X</t>
  </si>
  <si>
    <t>N33C22NUXL48018</t>
  </si>
  <si>
    <t>CT HT RES XL 13OZ ALUMZD CARBON</t>
  </si>
  <si>
    <t>356.85</t>
  </si>
  <si>
    <t>300</t>
  </si>
  <si>
    <t>2YRJ6</t>
  </si>
  <si>
    <t>C22NLXL30</t>
  </si>
  <si>
    <t>3MRH7B</t>
  </si>
  <si>
    <t>ERMF BEHIND-THE-HEAD HRG CONSERVATION</t>
  </si>
  <si>
    <t>65</t>
  </si>
  <si>
    <t>21.65</t>
  </si>
  <si>
    <t>48</t>
  </si>
  <si>
    <t>3NZF2</t>
  </si>
  <si>
    <t>H7B</t>
  </si>
  <si>
    <t>3M PELTOR</t>
  </si>
  <si>
    <t>MEG3601KM</t>
  </si>
  <si>
    <t>GLV DRVR PRM GRDE LTHR GTSN MD WHT</t>
  </si>
  <si>
    <t>12.12</t>
  </si>
  <si>
    <t>242</t>
  </si>
  <si>
    <t>21NM42</t>
  </si>
  <si>
    <t>3601KM</t>
  </si>
  <si>
    <t>RAD64054950</t>
  </si>
  <si>
    <t>SLV 9OZ 18" GRN FR CTTN ELAS AT BTH ENDS</t>
  </si>
  <si>
    <t>190</t>
  </si>
  <si>
    <t>7.24</t>
  </si>
  <si>
    <t>446</t>
  </si>
  <si>
    <t>6NE10</t>
  </si>
  <si>
    <t>PHIWLD-CB8-HCO</t>
  </si>
  <si>
    <t>GLS CLP ON BLU FLIP UP HALF EYE COB</t>
  </si>
  <si>
    <t>45.17</t>
  </si>
  <si>
    <t>371</t>
  </si>
  <si>
    <t>21UP15</t>
  </si>
  <si>
    <t>32-8LFFB8-0000</t>
  </si>
  <si>
    <t>HONEYWELL UVEX</t>
  </si>
  <si>
    <t>PHIWLD-CB8-FCOHH</t>
  </si>
  <si>
    <t>GLS SFTY BLU 8.0 HRD HAT CLP ON FUL EYE</t>
  </si>
  <si>
    <t>45.02</t>
  </si>
  <si>
    <t>370</t>
  </si>
  <si>
    <t>3MR312-1201</t>
  </si>
  <si>
    <t>ERPG UCRD HRG CNSRVTN IN PLY BG</t>
  </si>
  <si>
    <t>43</t>
  </si>
  <si>
    <t>31.22</t>
  </si>
  <si>
    <t>3WML1</t>
  </si>
  <si>
    <t>312-1201</t>
  </si>
  <si>
    <t>W43LFH40PRG-PP</t>
  </si>
  <si>
    <t>HOOD ASSY LIFT FRNT PRM 40CAL</t>
  </si>
  <si>
    <t>670.47</t>
  </si>
  <si>
    <t>618</t>
  </si>
  <si>
    <t>797TC9</t>
  </si>
  <si>
    <t>LFH40PRG-PP</t>
  </si>
  <si>
    <t>D623503872</t>
  </si>
  <si>
    <t>LFLN SLF-RTRCTG 20' DBI-SALA SMRT LCK</t>
  </si>
  <si>
    <t>663.70</t>
  </si>
  <si>
    <t>149</t>
  </si>
  <si>
    <t>800TW4</t>
  </si>
  <si>
    <t>HONLPF-1-D</t>
  </si>
  <si>
    <t>ERPG UCRD SNGL USE MAX-LITE T-SHAPE PU</t>
  </si>
  <si>
    <t>52.66</t>
  </si>
  <si>
    <t>188</t>
  </si>
  <si>
    <t>3WU35</t>
  </si>
  <si>
    <t>LPF-1-D</t>
  </si>
  <si>
    <t>RPB03-822-FR</t>
  </si>
  <si>
    <t>BCKPK FR ASSY</t>
  </si>
  <si>
    <t>145.17</t>
  </si>
  <si>
    <t>512</t>
  </si>
  <si>
    <t>787WJ1</t>
  </si>
  <si>
    <t>03-822-FR</t>
  </si>
  <si>
    <t>3MR27-0099-53</t>
  </si>
  <si>
    <t>MCHNSM FLIP-UP FOR 9100 MP 27-0099-53</t>
  </si>
  <si>
    <t>118.71</t>
  </si>
  <si>
    <t>21VG05</t>
  </si>
  <si>
    <t>Flip-Up Mechanism for 9100 MP</t>
  </si>
  <si>
    <t>27-0099-53</t>
  </si>
  <si>
    <t>MSA10153385</t>
  </si>
  <si>
    <t>SUSP ASSY FAS-TRAC III RTCHT 4 PT</t>
  </si>
  <si>
    <t>80</t>
  </si>
  <si>
    <t>16.30</t>
  </si>
  <si>
    <t>30FX35</t>
  </si>
  <si>
    <t>N33TEEY2LSPC3XL</t>
  </si>
  <si>
    <t>TSHT HIVIS XL 6.25OZ YLW</t>
  </si>
  <si>
    <t>89.85</t>
  </si>
  <si>
    <t>337</t>
  </si>
  <si>
    <t>61RK24</t>
  </si>
  <si>
    <t>MSA82018</t>
  </si>
  <si>
    <t>HDCP SKLGD NAT TAN STAZ-ON LG N/SLTD</t>
  </si>
  <si>
    <t>103.91</t>
  </si>
  <si>
    <t>285</t>
  </si>
  <si>
    <t>35GJ60</t>
  </si>
  <si>
    <t>RPB16-711</t>
  </si>
  <si>
    <t>SL FACE Z-LNK</t>
  </si>
  <si>
    <t>135.30</t>
  </si>
  <si>
    <t>533</t>
  </si>
  <si>
    <t>61CX79</t>
  </si>
  <si>
    <t>Face Seal</t>
  </si>
  <si>
    <t>16-711</t>
  </si>
  <si>
    <t>RAD64051480</t>
  </si>
  <si>
    <t>WP LENS CLNNG 5"X8" 100/BX</t>
  </si>
  <si>
    <t>4.29</t>
  </si>
  <si>
    <t>429</t>
  </si>
  <si>
    <t>44X059</t>
  </si>
  <si>
    <t>REVBPCX</t>
  </si>
  <si>
    <t>BCKPD HT RES 7"X8.5" ALUMZD FGL TOP LYR</t>
  </si>
  <si>
    <t>8.32</t>
  </si>
  <si>
    <t>485</t>
  </si>
  <si>
    <t>48W312</t>
  </si>
  <si>
    <t>Glove Pad-Bulk</t>
  </si>
  <si>
    <t>550X</t>
  </si>
  <si>
    <t>3MR06-0200-52-B</t>
  </si>
  <si>
    <t>PLA OTSD PRTN 9100 SCRTCH RES 50/CA</t>
  </si>
  <si>
    <t>5.97</t>
  </si>
  <si>
    <t>32V189</t>
  </si>
  <si>
    <t>06-0200-52-B</t>
  </si>
  <si>
    <t>SEL24025</t>
  </si>
  <si>
    <t>FCSHD CLR GLD HR DBLE CRWN DRLD FOR</t>
  </si>
  <si>
    <t>118.94</t>
  </si>
  <si>
    <t>559</t>
  </si>
  <si>
    <t>CB2536KTW</t>
  </si>
  <si>
    <t>APRON 30"X36" 8OZ KVTW YLW</t>
  </si>
  <si>
    <t>41.24</t>
  </si>
  <si>
    <t>121</t>
  </si>
  <si>
    <t>807ZN5</t>
  </si>
  <si>
    <t>APRON-1</t>
  </si>
  <si>
    <t>KUT GARD</t>
  </si>
  <si>
    <t>B137500PFXL</t>
  </si>
  <si>
    <t>GLV DSPBL NTRL PWDR FREE XL BLU 9.5"</t>
  </si>
  <si>
    <t>9.60</t>
  </si>
  <si>
    <t>103</t>
  </si>
  <si>
    <t>2XLZ9</t>
  </si>
  <si>
    <t>PIP6040/M</t>
  </si>
  <si>
    <t>GLV CUT RES HVYWT GN CWHD MD KVTW LNR 4"</t>
  </si>
  <si>
    <t>11.86</t>
  </si>
  <si>
    <t>405</t>
  </si>
  <si>
    <t>388X76</t>
  </si>
  <si>
    <t>0233CR-M</t>
  </si>
  <si>
    <t>STEINER INDUSTRIES</t>
  </si>
  <si>
    <t>OCC870B100-01</t>
  </si>
  <si>
    <t>SWTBND SNAP-ON TRY CTTN NVY PK 100</t>
  </si>
  <si>
    <t>1.83</t>
  </si>
  <si>
    <t>342</t>
  </si>
  <si>
    <t>33Y807</t>
  </si>
  <si>
    <t>870-01</t>
  </si>
  <si>
    <t>OCCUNOMIX</t>
  </si>
  <si>
    <t>PIP68-162HV/XXL</t>
  </si>
  <si>
    <t>GLV DRVR ECON CWHD 2X NAT W/HIVIS ORG</t>
  </si>
  <si>
    <t>396</t>
  </si>
  <si>
    <t>2.84</t>
  </si>
  <si>
    <t>407</t>
  </si>
  <si>
    <t>581U26</t>
  </si>
  <si>
    <t>68-162HV/XXL</t>
  </si>
  <si>
    <t>N33C09NILG3307</t>
  </si>
  <si>
    <t>CT LG 11OZ PLN SHT TYP COLR 14OZ ALUM</t>
  </si>
  <si>
    <t>372.48</t>
  </si>
  <si>
    <t>2YRK2</t>
  </si>
  <si>
    <t>C22NLLG45</t>
  </si>
  <si>
    <t>RAD64057656</t>
  </si>
  <si>
    <t>GLV WLDR LG BRN 14" PRM CWHD DBLE RFRCD</t>
  </si>
  <si>
    <t>12.10</t>
  </si>
  <si>
    <t>466</t>
  </si>
  <si>
    <t>494N41</t>
  </si>
  <si>
    <t>1434-5</t>
  </si>
  <si>
    <t>CAIMAN</t>
  </si>
  <si>
    <t>3MR35-0099-08</t>
  </si>
  <si>
    <t>CHGR PAPR BAT SMRT FOR LIION BAT</t>
  </si>
  <si>
    <t>137.77</t>
  </si>
  <si>
    <t>29</t>
  </si>
  <si>
    <t>32NC26</t>
  </si>
  <si>
    <t>35-0099-08</t>
  </si>
  <si>
    <t>B86BWC2M</t>
  </si>
  <si>
    <t>&gt;&gt; MNTR SNGL GAS BW CLP CO 35-200PPM 2YR</t>
  </si>
  <si>
    <t>91.62</t>
  </si>
  <si>
    <t>107</t>
  </si>
  <si>
    <t>N33H01NU139</t>
  </si>
  <si>
    <t>NCK PRTR 13OZ ALUM CRBN / ARAMID 1" ELAS</t>
  </si>
  <si>
    <t>45.53</t>
  </si>
  <si>
    <t>324</t>
  </si>
  <si>
    <t>60TR24</t>
  </si>
  <si>
    <t>PIPIC6/M</t>
  </si>
  <si>
    <t>GLV LTHR SPLT CWHD MD GRY FLLY CTD</t>
  </si>
  <si>
    <t>4.98</t>
  </si>
  <si>
    <t>414</t>
  </si>
  <si>
    <t>23PG50</t>
  </si>
  <si>
    <t>IC6/M</t>
  </si>
  <si>
    <t>MSA816654</t>
  </si>
  <si>
    <t>SUSP ASSY SWNG RTCHT STD SKLGD BGD</t>
  </si>
  <si>
    <t>44</t>
  </si>
  <si>
    <t>24.38</t>
  </si>
  <si>
    <t>284</t>
  </si>
  <si>
    <t>35GJ75</t>
  </si>
  <si>
    <t>PIPIC6/XL</t>
  </si>
  <si>
    <t>GLV LTHR SPLT CWHD XL GRY FLLY CTD</t>
  </si>
  <si>
    <t>4.95</t>
  </si>
  <si>
    <t>416</t>
  </si>
  <si>
    <t>23PG52</t>
  </si>
  <si>
    <t>IC6/XL</t>
  </si>
  <si>
    <t>N33DF2CM265ALSDS3X</t>
  </si>
  <si>
    <t>\\ TSHT LNG SLV FR 3X 8.75OZ PRFRMN DES</t>
  </si>
  <si>
    <t>96.16</t>
  </si>
  <si>
    <t>317</t>
  </si>
  <si>
    <t>61RJ26</t>
  </si>
  <si>
    <t>3MRH-701T-SF</t>
  </si>
  <si>
    <t>HRDHT ELEVATED TEMP WHT 4-PT RTCHT SUSP</t>
  </si>
  <si>
    <t>40</t>
  </si>
  <si>
    <t>26.23</t>
  </si>
  <si>
    <t>788VP9</t>
  </si>
  <si>
    <t>H-701T-SF</t>
  </si>
  <si>
    <t>SFXGENERIC</t>
  </si>
  <si>
    <t>[DS] SAF-T-GARD</t>
  </si>
  <si>
    <t>12.11</t>
  </si>
  <si>
    <t>567</t>
  </si>
  <si>
    <t>REV320S</t>
  </si>
  <si>
    <t>GLV WLDG SPLT CWHD CSHN COR LND SM</t>
  </si>
  <si>
    <t>12.30</t>
  </si>
  <si>
    <t>478</t>
  </si>
  <si>
    <t>36J035</t>
  </si>
  <si>
    <t>4500S</t>
  </si>
  <si>
    <t>M19421</t>
  </si>
  <si>
    <t>HASP LCKT 1 1/2" JAWS &amp; RED HDL</t>
  </si>
  <si>
    <t>210</t>
  </si>
  <si>
    <t>4.91</t>
  </si>
  <si>
    <t>234</t>
  </si>
  <si>
    <t>5T591</t>
  </si>
  <si>
    <t>AYI04-400MTN-S</t>
  </si>
  <si>
    <t>GLV CUT RES 15 GA ENGRD LNR SM ORG BLK</t>
  </si>
  <si>
    <t>8.18</t>
  </si>
  <si>
    <t>91</t>
  </si>
  <si>
    <t>379AH1</t>
  </si>
  <si>
    <t>04-400MTN-S</t>
  </si>
  <si>
    <t>HONLL-1</t>
  </si>
  <si>
    <t>ERPG UCRD SNGL USE LASER-LITE T-SHAPE PU</t>
  </si>
  <si>
    <t>21.95</t>
  </si>
  <si>
    <t>186</t>
  </si>
  <si>
    <t>6XF59</t>
  </si>
  <si>
    <t>LL-1</t>
  </si>
  <si>
    <t>PIP994KOTP/2XL</t>
  </si>
  <si>
    <t>GLV CLD WTHR DRVR GN PIG LTHR 2X TAN</t>
  </si>
  <si>
    <t>7.00</t>
  </si>
  <si>
    <t>408</t>
  </si>
  <si>
    <t>25D575</t>
  </si>
  <si>
    <t>3213HVIXXL</t>
  </si>
  <si>
    <t>SI0378GTXOTL</t>
  </si>
  <si>
    <t>GLV CUT RES GN GOAT DRVR LG HIVIZ ORG</t>
  </si>
  <si>
    <t>72</t>
  </si>
  <si>
    <t>13.84</t>
  </si>
  <si>
    <t>793WD4</t>
  </si>
  <si>
    <t>378GTXOT-L</t>
  </si>
  <si>
    <t>ENDURA</t>
  </si>
  <si>
    <t>PIP6040/L</t>
  </si>
  <si>
    <t>GLV CUT RES HVYWT GN CWHD LG KVTW LNR 4"</t>
  </si>
  <si>
    <t>11.84</t>
  </si>
  <si>
    <t>404</t>
  </si>
  <si>
    <t>388X74</t>
  </si>
  <si>
    <t>0233CR-L</t>
  </si>
  <si>
    <t>SI0S13KFGFNT11</t>
  </si>
  <si>
    <t>GLV CUT RES 13 GA KVLR KNT SZ 11</t>
  </si>
  <si>
    <t>6.77</t>
  </si>
  <si>
    <t>588</t>
  </si>
  <si>
    <t>6MKL1</t>
  </si>
  <si>
    <t>97-505</t>
  </si>
  <si>
    <t>49.04</t>
  </si>
  <si>
    <t>430</t>
  </si>
  <si>
    <t>DUP</t>
  </si>
  <si>
    <t>D622108406</t>
  </si>
  <si>
    <t>ACHR FXD BEAM OSHA/ANSI/ANSI Z359/ALL</t>
  </si>
  <si>
    <t>484.35</t>
  </si>
  <si>
    <t>2UZF4</t>
  </si>
  <si>
    <t>N33U52JKSR2X</t>
  </si>
  <si>
    <t>UNWR LNG FR CTRL 2.0 2X 5.5OZ SND 4CAL</t>
  </si>
  <si>
    <t>86.79</t>
  </si>
  <si>
    <t>338</t>
  </si>
  <si>
    <t>E80GENERIC</t>
  </si>
  <si>
    <t>[DS] ELLIS MFG CO</t>
  </si>
  <si>
    <t>476.43</t>
  </si>
  <si>
    <t>166</t>
  </si>
  <si>
    <t>MEG3601KXXL</t>
  </si>
  <si>
    <t>GLV DRVR PRM GRDE LTHR GTSN 2X WHT</t>
  </si>
  <si>
    <t>13.41</t>
  </si>
  <si>
    <t>245</t>
  </si>
  <si>
    <t>21NM45</t>
  </si>
  <si>
    <t>3601KXXL</t>
  </si>
  <si>
    <t>3MR27-0099-28</t>
  </si>
  <si>
    <t>SL FACE FOR 9100 MP 27-0099-28 1 PER CA</t>
  </si>
  <si>
    <t>85.83</t>
  </si>
  <si>
    <t>17</t>
  </si>
  <si>
    <t>21VG02</t>
  </si>
  <si>
    <t>Face Seal for 9100 MP</t>
  </si>
  <si>
    <t>27-0099-28</t>
  </si>
  <si>
    <t>RPB04-854</t>
  </si>
  <si>
    <t>CVR TB FR BRTHG</t>
  </si>
  <si>
    <t>47.17</t>
  </si>
  <si>
    <t>518</t>
  </si>
  <si>
    <t>61CX26</t>
  </si>
  <si>
    <t>Breathing Tube Cover 10-1/2 in L</t>
  </si>
  <si>
    <t>04-854</t>
  </si>
  <si>
    <t>AYI00-840-S</t>
  </si>
  <si>
    <t>GLV 18G GRY SM BLK HCT MICRO FM NTRL PLM</t>
  </si>
  <si>
    <t>7.81</t>
  </si>
  <si>
    <t>85</t>
  </si>
  <si>
    <t>379AK5</t>
  </si>
  <si>
    <t>00-840-S</t>
  </si>
  <si>
    <t>N33C45UDMQXLRGSS</t>
  </si>
  <si>
    <t>OVRLL BIB XL-RG 11OZ ULSFT DCK NVY</t>
  </si>
  <si>
    <t>311.85</t>
  </si>
  <si>
    <t>303</t>
  </si>
  <si>
    <t>819XC0</t>
  </si>
  <si>
    <t>EN65BOKVKH02XL</t>
  </si>
  <si>
    <t>TIL6230DM</t>
  </si>
  <si>
    <t>JCKT MD 30" 9OZ CTTN ORG SNPS FR WESTEX</t>
  </si>
  <si>
    <t>27.21</t>
  </si>
  <si>
    <t>614</t>
  </si>
  <si>
    <t>48V841</t>
  </si>
  <si>
    <t>Md 30Inorange Fs Jkt</t>
  </si>
  <si>
    <t>6230DM</t>
  </si>
  <si>
    <t>N33DF2CM265ALPDS3X</t>
  </si>
  <si>
    <t>\\ LONGJOHN FR 3X DRIFIRE</t>
  </si>
  <si>
    <t>96.47</t>
  </si>
  <si>
    <t>HONS3762</t>
  </si>
  <si>
    <t>GLS SFTY CLR GNS RDR MAGFR +2.0 DIO</t>
  </si>
  <si>
    <t>9.38</t>
  </si>
  <si>
    <t>197</t>
  </si>
  <si>
    <t>4UCL7</t>
  </si>
  <si>
    <t>S3762</t>
  </si>
  <si>
    <t>REVBM88-XL</t>
  </si>
  <si>
    <t>GLV SZ XL WLDG CWHD BCK PRM MIG GN</t>
  </si>
  <si>
    <t>17.73</t>
  </si>
  <si>
    <t>484</t>
  </si>
  <si>
    <t>23J987</t>
  </si>
  <si>
    <t>1812-6</t>
  </si>
  <si>
    <t>RAD64053271</t>
  </si>
  <si>
    <t>[AD] CVRL PRO-2 PPYL SRGD SEAMS XL WHT D</t>
  </si>
  <si>
    <t>225</t>
  </si>
  <si>
    <t>3.73</t>
  </si>
  <si>
    <t>439</t>
  </si>
  <si>
    <t>2KTN2</t>
  </si>
  <si>
    <t>SI0378GTXOTXL</t>
  </si>
  <si>
    <t>GLV CUT RES GN GOAT DRVR XL HIVIZ ORG</t>
  </si>
  <si>
    <t>579</t>
  </si>
  <si>
    <t>793WD5</t>
  </si>
  <si>
    <t>378GTXOT-XL</t>
  </si>
  <si>
    <t>SI0378GTXOTXX</t>
  </si>
  <si>
    <t>GLV CUT RES GN GOAT DRVR 2X HIVIZ ORG</t>
  </si>
  <si>
    <t>13.79</t>
  </si>
  <si>
    <t>581</t>
  </si>
  <si>
    <t>793WD6</t>
  </si>
  <si>
    <t>378GTXOT-2XL</t>
  </si>
  <si>
    <t>N33TEEY2LSPC3MD</t>
  </si>
  <si>
    <t>TSHT HIVIS MD 6.25OZ YLW</t>
  </si>
  <si>
    <t>90.45</t>
  </si>
  <si>
    <t>335</t>
  </si>
  <si>
    <t>61RK22</t>
  </si>
  <si>
    <t>PIP3121250BORL</t>
  </si>
  <si>
    <t>TSHT HIVIS LG CL 2 ANSI/ISEA 107 ORG BLK</t>
  </si>
  <si>
    <t>405.96</t>
  </si>
  <si>
    <t>401</t>
  </si>
  <si>
    <t>31XK67</t>
  </si>
  <si>
    <t>LUX-SSETP2B-OL</t>
  </si>
  <si>
    <t>CB2555AKV</t>
  </si>
  <si>
    <t>CHAP 19OZ ALUM PARA-ARAMID BLND</t>
  </si>
  <si>
    <t>133.34</t>
  </si>
  <si>
    <t>122</t>
  </si>
  <si>
    <t>2YRJ9</t>
  </si>
  <si>
    <t>L40NLNL40</t>
  </si>
  <si>
    <t>3MRBPK-HD</t>
  </si>
  <si>
    <t>BCKPK BPK-HD HVYDTY 3/CA</t>
  </si>
  <si>
    <t>7</t>
  </si>
  <si>
    <t>114.22</t>
  </si>
  <si>
    <t>811PH3</t>
  </si>
  <si>
    <t>BPK-HD</t>
  </si>
  <si>
    <t>STIKK005-AG</t>
  </si>
  <si>
    <t>BEANIE WLDRS AIRGAS</t>
  </si>
  <si>
    <t>356</t>
  </si>
  <si>
    <t>2.22</t>
  </si>
  <si>
    <t>594</t>
  </si>
  <si>
    <t>49CE38</t>
  </si>
  <si>
    <t>KH823L</t>
  </si>
  <si>
    <t>LINCOLN ELECTRIC</t>
  </si>
  <si>
    <t>W43RLB1</t>
  </si>
  <si>
    <t>BLNKT RL INSLG 3'X30' RBBR YLW/ORG</t>
  </si>
  <si>
    <t>787.77</t>
  </si>
  <si>
    <t>619</t>
  </si>
  <si>
    <t>3KWX2</t>
  </si>
  <si>
    <t>RLB1</t>
  </si>
  <si>
    <t>IS6PR01600SP</t>
  </si>
  <si>
    <t>HDBND QCK RLS INCL HEAD LNNG PD</t>
  </si>
  <si>
    <t>56.26</t>
  </si>
  <si>
    <t>207</t>
  </si>
  <si>
    <t>2EMH9</t>
  </si>
  <si>
    <t>H30AX14</t>
  </si>
  <si>
    <t>STN EYE &amp; FACE WSH &amp; SHWR UPGRADE KT</t>
  </si>
  <si>
    <t>259.60</t>
  </si>
  <si>
    <t>171</t>
  </si>
  <si>
    <t>19MP61</t>
  </si>
  <si>
    <t>AX14</t>
  </si>
  <si>
    <t>HAWS</t>
  </si>
  <si>
    <t>D621113040</t>
  </si>
  <si>
    <t>HRNS SFTY EXOFIT NEX XL FRNT/BCK D-RN</t>
  </si>
  <si>
    <t>385.62</t>
  </si>
  <si>
    <t>133</t>
  </si>
  <si>
    <t>788CM1</t>
  </si>
  <si>
    <t>D621402037</t>
  </si>
  <si>
    <t>HRNS CMFT VST CLMBG SFTY LG DBI-SALA</t>
  </si>
  <si>
    <t>383.76</t>
  </si>
  <si>
    <t>136</t>
  </si>
  <si>
    <t>788FR4</t>
  </si>
  <si>
    <t>SI0370GFKLL</t>
  </si>
  <si>
    <t>GLV GRAIN GTSN LG</t>
  </si>
  <si>
    <t>15.94</t>
  </si>
  <si>
    <t>570</t>
  </si>
  <si>
    <t>62XV21</t>
  </si>
  <si>
    <t>P210K-L</t>
  </si>
  <si>
    <t>AYI04-400MTN-XXL</t>
  </si>
  <si>
    <t>[AD] GLV CUT RES 15 GA ENGRD LNR 2X ORG</t>
  </si>
  <si>
    <t>110</t>
  </si>
  <si>
    <t>6.94</t>
  </si>
  <si>
    <t>93</t>
  </si>
  <si>
    <t>379AH5</t>
  </si>
  <si>
    <t>04-400MTN-XXL</t>
  </si>
  <si>
    <t>D622000112</t>
  </si>
  <si>
    <t>CRBNR SAFLOK 11/16" GATE OPNG STL S</t>
  </si>
  <si>
    <t>63.40</t>
  </si>
  <si>
    <t>137</t>
  </si>
  <si>
    <t>40C269</t>
  </si>
  <si>
    <t>SI0S13KFGFNT7</t>
  </si>
  <si>
    <t>GLV CUT RES 13 GA KVLR KNT SZ 7</t>
  </si>
  <si>
    <t>111</t>
  </si>
  <si>
    <t>589</t>
  </si>
  <si>
    <t>3PXE1</t>
  </si>
  <si>
    <t>HONLL-1-D</t>
  </si>
  <si>
    <t>53.61</t>
  </si>
  <si>
    <t>LL-1-D</t>
  </si>
  <si>
    <t>3MR6300</t>
  </si>
  <si>
    <t>RESP HALF FCEPCE RUSBL RESPY PRTN LG</t>
  </si>
  <si>
    <t>53</t>
  </si>
  <si>
    <t>14.13</t>
  </si>
  <si>
    <t>37</t>
  </si>
  <si>
    <t>6AP71</t>
  </si>
  <si>
    <t>HONS345C</t>
  </si>
  <si>
    <t>GGLS SFTY CLR FTR 9301 UVXTRM A/FG</t>
  </si>
  <si>
    <t>88</t>
  </si>
  <si>
    <t>8.48</t>
  </si>
  <si>
    <t>194</t>
  </si>
  <si>
    <t>6T363</t>
  </si>
  <si>
    <t>S345C</t>
  </si>
  <si>
    <t>RPB17-215-13</t>
  </si>
  <si>
    <t>T200 RESP T200 AIR DUCT/BUMP CAP ASSY</t>
  </si>
  <si>
    <t>719.67</t>
  </si>
  <si>
    <t>547</t>
  </si>
  <si>
    <t>61CW80</t>
  </si>
  <si>
    <t>T200 Respirator</t>
  </si>
  <si>
    <t>17-200-12</t>
  </si>
  <si>
    <t>HONLS-500</t>
  </si>
  <si>
    <t>DSPR ERPG SRC 500 ANZD ALUM PERM MTD</t>
  </si>
  <si>
    <t>173.91</t>
  </si>
  <si>
    <t>189</t>
  </si>
  <si>
    <t>3WU31</t>
  </si>
  <si>
    <t>Ear Plug Dispenser</t>
  </si>
  <si>
    <t>LS-500</t>
  </si>
  <si>
    <t>RPB16-676</t>
  </si>
  <si>
    <t>WLD VSR INCLUDING FXD LENS FRAMEZ-LINK</t>
  </si>
  <si>
    <t>169.57</t>
  </si>
  <si>
    <t>532</t>
  </si>
  <si>
    <t>HONDPAS-30W</t>
  </si>
  <si>
    <t>ERPG CRDD MULT USE ARSFT 4-FLNG MLDD TPE</t>
  </si>
  <si>
    <t>96.70</t>
  </si>
  <si>
    <t>184</t>
  </si>
  <si>
    <t>5FT99</t>
  </si>
  <si>
    <t>DPAS-30W</t>
  </si>
  <si>
    <t>RN2CSVW-01Z4-2X</t>
  </si>
  <si>
    <t>VST SFTY HIVIS FR 2X WESTEX INDRA ORG</t>
  </si>
  <si>
    <t>55.59</t>
  </si>
  <si>
    <t>491</t>
  </si>
  <si>
    <t>787V92</t>
  </si>
  <si>
    <t>48-73-5303</t>
  </si>
  <si>
    <t>MILWAUKEE</t>
  </si>
  <si>
    <t>3MRFC1-AL</t>
  </si>
  <si>
    <t>CVR HLMT ELEVATED TEMP FRNT HLMT SLVR</t>
  </si>
  <si>
    <t>66.43</t>
  </si>
  <si>
    <t>52WZ14</t>
  </si>
  <si>
    <t>FC1-AL</t>
  </si>
  <si>
    <t>RPB07-765-FR</t>
  </si>
  <si>
    <t>BEL NMX 2" &amp; ACET BCL PX4</t>
  </si>
  <si>
    <t>66.41</t>
  </si>
  <si>
    <t>520</t>
  </si>
  <si>
    <t>61CX30</t>
  </si>
  <si>
    <t>07-765-FR</t>
  </si>
  <si>
    <t>653.75</t>
  </si>
  <si>
    <t>211</t>
  </si>
  <si>
    <t>MSA475385</t>
  </si>
  <si>
    <t>HDCP TGRD WHT RTCHT SLTD</t>
  </si>
  <si>
    <t>32.48</t>
  </si>
  <si>
    <t>281</t>
  </si>
  <si>
    <t>3RRR8</t>
  </si>
  <si>
    <t>RN2CSVW-01Z4-L</t>
  </si>
  <si>
    <t>VST SFTY HIVIS FR LG WESTEX INDRA ORG</t>
  </si>
  <si>
    <t>53.69</t>
  </si>
  <si>
    <t>493</t>
  </si>
  <si>
    <t>787V91</t>
  </si>
  <si>
    <t>48-73-5302</t>
  </si>
  <si>
    <t>RN2CSVW-01Z4-XL</t>
  </si>
  <si>
    <t>VST SFTY HIVIS FR XL WESTEX INDRA ORG</t>
  </si>
  <si>
    <t>53.49</t>
  </si>
  <si>
    <t>494</t>
  </si>
  <si>
    <t>TIL6230DXL</t>
  </si>
  <si>
    <t>JCKT XL 30" 9OZ CTTN ORG SNPS FR WESTEX</t>
  </si>
  <si>
    <t>23.72</t>
  </si>
  <si>
    <t>615</t>
  </si>
  <si>
    <t>36J333</t>
  </si>
  <si>
    <t>Jackets XL 30 Orange Fs</t>
  </si>
  <si>
    <t>6230DXL</t>
  </si>
  <si>
    <t>REVBM88-2X</t>
  </si>
  <si>
    <t>GLV SZ 2X WLDG CWHD BCK PRM MIG GN</t>
  </si>
  <si>
    <t>17.75</t>
  </si>
  <si>
    <t>62XU97</t>
  </si>
  <si>
    <t>0216-2X</t>
  </si>
  <si>
    <t>PIP994KOTP/S</t>
  </si>
  <si>
    <t>GLV CLD WTHR DRVR GN PIG LTHR SM TA</t>
  </si>
  <si>
    <t>7.50</t>
  </si>
  <si>
    <t>411</t>
  </si>
  <si>
    <t>25D572</t>
  </si>
  <si>
    <t>3213HVIS</t>
  </si>
  <si>
    <t>AYI00-840-XS</t>
  </si>
  <si>
    <t>GLV 18G GRY XS BLK HCT MICRO FM NTRL PLM</t>
  </si>
  <si>
    <t>8.61</t>
  </si>
  <si>
    <t>87</t>
  </si>
  <si>
    <t>379AK4</t>
  </si>
  <si>
    <t>00-840-XS</t>
  </si>
  <si>
    <t>HONS2600HS</t>
  </si>
  <si>
    <t>GLS SFTY CLR LENS MTE BLK FRM</t>
  </si>
  <si>
    <t>15.44</t>
  </si>
  <si>
    <t>45FF17</t>
  </si>
  <si>
    <t>S2600HS</t>
  </si>
  <si>
    <t>AYI00-840-2X</t>
  </si>
  <si>
    <t>GLV 18G GRY 2X BLK HCT MICRO FM NTRL PLM</t>
  </si>
  <si>
    <t>8.57</t>
  </si>
  <si>
    <t>82</t>
  </si>
  <si>
    <t>379AK9</t>
  </si>
  <si>
    <t>00-840-2X</t>
  </si>
  <si>
    <t>BlueScope_IMT Airgas Safety Spend PA EXT</t>
  </si>
  <si>
    <t>CHICAGO PROTECTIVE APPAREL</t>
  </si>
  <si>
    <t>INTERACTIVE SAFETY PROD</t>
  </si>
  <si>
    <t>COLOR: BLACK</t>
  </si>
  <si>
    <t>NATIONAL SAFETY APPAREL INC</t>
  </si>
  <si>
    <t>Type: CO Monitor Parts &amp; Consumables, Package Quantity: 1, Description: Z Link Safety Lens, Intrinsically Safe: No, Series: Z-Link, Manufacturers Part Number: 16-810, Batteries: No</t>
  </si>
  <si>
    <t>3M COMPANY</t>
  </si>
  <si>
    <t>TYPE: PAPR, USE: Particulate</t>
  </si>
  <si>
    <t>TYPE: PAPR System, USE: Welding</t>
  </si>
  <si>
    <t>CA</t>
  </si>
  <si>
    <t>SELLSTROM MANUFACTURING</t>
  </si>
  <si>
    <t>COLOR: Clear/Gold</t>
  </si>
  <si>
    <t>AIRGAS (PRIVATE LABEL) / RADNOR</t>
  </si>
  <si>
    <t>TYPE: Driver, MATERIAL: Cowhide, COLOR: Hi-Vis Green</t>
  </si>
  <si>
    <t>HONEYWELL SAFETY PRODUCTS</t>
  </si>
  <si>
    <t>RANGE: 35-200PPM</t>
  </si>
  <si>
    <t>MOLDEX METRIC INC</t>
  </si>
  <si>
    <t>DI</t>
  </si>
  <si>
    <t>MSA (MINE SAFETY APPLIANCES CO)</t>
  </si>
  <si>
    <t>TYPE: Fas-Trac</t>
  </si>
  <si>
    <t>SIZE: XL, LENGTH: 18.5", MATERIAL: Aluminized Leather, Cotton</t>
  </si>
  <si>
    <t>LENS COLOR: CLEAR, FRAME COLOR: GREEN/BLACK, ATTACHMENTS: STRAP</t>
  </si>
  <si>
    <t>KT</t>
  </si>
  <si>
    <t>TYPE: Cloth, SIZE: 12 OZ, MATERIAL: Blended Fleece</t>
  </si>
  <si>
    <t>MATERIAL: PU</t>
  </si>
  <si>
    <t>BX</t>
  </si>
  <si>
    <t>TYPE: Twill, SIZE: 8.6 oz, MATERIAL: OPF Blend</t>
  </si>
  <si>
    <t>SIZE: 3X 12OZ, MATERIAL: BLEND FLEECE CLOTH</t>
  </si>
  <si>
    <t>TYPE: Hood, SIZE: Universal, MATERIAL: Nomex, COLOR: White</t>
  </si>
  <si>
    <t>LENGTH: 48", MATERIAL: CARBON-X</t>
  </si>
  <si>
    <t>SHOWA BEST GLOVE INC</t>
  </si>
  <si>
    <t>TYPE: Cut Resistant, SIZE: Large, MATERIAL: HPPE, COLOR: White</t>
  </si>
  <si>
    <t>TYPE: Universal, FORM: Pad, SIZE: 15" x 17"</t>
  </si>
  <si>
    <t>WILSON BOHANNAN</t>
  </si>
  <si>
    <t>JOHN TILLMAN &amp; CO</t>
  </si>
  <si>
    <t>TYPE: MIG/TIG, SIZE: LG, MATERIAL: Kidskin Leather, COLOR: Green, CUFF: Premium Top</t>
  </si>
  <si>
    <t>MATERIAL: Stainless Steel, SIZE: 50'</t>
  </si>
  <si>
    <t>PROTECTIVE INDUSTRIAL PRODUCTS</t>
  </si>
  <si>
    <t>TYPE: Cut Resistant, SIZE: Large, MATERIAL: PolyKor Blend, COLOR: Gray</t>
  </si>
  <si>
    <t>TYPE: Safety Lens</t>
  </si>
  <si>
    <t>SIZE: 6'</t>
  </si>
  <si>
    <t>TYPE: Cut Resistant, MATERIAL: HPPE, COLOR: White</t>
  </si>
  <si>
    <t>ANSELL</t>
  </si>
  <si>
    <t>TYPE: Cut Resistant, SIZE: 9, MATERIAL: Leather Palm</t>
  </si>
  <si>
    <t>Brand: 3M, Battery Type: Rechargeable, Brand and Series: 3M Adflo 9100 FX-Air, 9100 MP, 9100-Air, System Type: PAPR System, Material: Lithium Ion Cell; Nylon, Maximum Operating Temperature: 129 °F, Minimum Operating Temperature: 23 °F</t>
  </si>
  <si>
    <t>TYPE: UNIVERSAL, FORM: ROLL, SIZE: 30X150</t>
  </si>
  <si>
    <t>TYPE: Pre-Filter</t>
  </si>
  <si>
    <t>TYPE: Driver, STYLE: Keystone, SIZE: XL</t>
  </si>
  <si>
    <t>TYPE: Cut Resistant, SIZE: XL, MATERIAL: PolyKor, COLOR: Gray</t>
  </si>
  <si>
    <t>TYPE: Driver, SIZE: Small, COLOR: Hi-Vis Green, CUFF: Unlined</t>
  </si>
  <si>
    <t>TYPE: Cut Resistant, SIZE: XL, MATERIAL: HPPE, COLOR: White</t>
  </si>
  <si>
    <t>TYPE: MIG, SIZE: XL, MATERIAL: Cowhide, Fleece Lined Palm, COLOR: Green</t>
  </si>
  <si>
    <t>VOLTAGE: 10 KV, MATERIAL: LEATHER</t>
  </si>
  <si>
    <t>TYPE: MIG, LENGTH: Long, MATERIAL: Cowhide, Fleece Lined, Palm, COLOR: Green</t>
  </si>
  <si>
    <t>VOLTAGE: 8 KV, MATERIAL: LEATHER</t>
  </si>
  <si>
    <t>REVCO INDUSTRIES INC</t>
  </si>
  <si>
    <t>TYPE: Welding, SIZE: Medium, MATERIAL: Cowhide, COLOR: Green</t>
  </si>
  <si>
    <t>TYPE: Long John Pants, MATERIAL: FR (Flame Resistant)</t>
  </si>
  <si>
    <t>SIZE: LG</t>
  </si>
  <si>
    <t>MAJESTIC GLOVE</t>
  </si>
  <si>
    <t>LENGTH: 18", MATERIAL: KORPLEX</t>
  </si>
  <si>
    <t>PERFORMANCE FABRICS INC</t>
  </si>
  <si>
    <t>LENS COLOR: CLEAR LENS</t>
  </si>
  <si>
    <t>JUSTRITE MFG</t>
  </si>
  <si>
    <t>SIZE: 20/33LB</t>
  </si>
  <si>
    <t>TYPE: Ratchet Head Wrench, MATERIAL: Aluminum</t>
  </si>
  <si>
    <t>MATERIAL: Kevlar, COLOR: Natural</t>
  </si>
  <si>
    <t>STRONG HOLD PRODUCTS</t>
  </si>
  <si>
    <t>TYPE: Auto-Darkening, SHADE: 5, 8-13</t>
  </si>
  <si>
    <t>TYPE: HEPA</t>
  </si>
  <si>
    <t>TYPE: Driver, SIZE: Large, MATERIAL: Pigskin Leather, COLOR: Tan</t>
  </si>
  <si>
    <t>MATERIAL: ALUMINUM</t>
  </si>
  <si>
    <t>SIZE: 9"X15.5"X.060"</t>
  </si>
  <si>
    <t>Sqwincher Corporation</t>
  </si>
  <si>
    <t>TYPE: Cut Resistant, SIZE: Medium, MATERIAL: PolyKor Blend, COLOR: Gray</t>
  </si>
  <si>
    <t>TYPE: Organic Vapor Respirator Cartridge</t>
  </si>
  <si>
    <t>EBEL SALES INC</t>
  </si>
  <si>
    <t>TYPE: Heat Resistant, LENGTH: Long, MATERIAL: FR (Flame Resistant) Fabric</t>
  </si>
  <si>
    <t>SIZE: 4X12OZ, MATERIAL: BLEND FLEECE CLOTH</t>
  </si>
  <si>
    <t>MATERIAL: GALVANIZED</t>
  </si>
  <si>
    <t>COLOR: Gold, MATERIAL: Aluminum</t>
  </si>
  <si>
    <t>Brand: 3M, Manufacturer Part Number: 340-4003, Style: Uncorded, Earplug Pair Pack Type: Plastic Bag, Sub-brand: E-A-R(TM) UltraFit(TM), Metal-Detectable: No, Standards: 25 dB CSA Class AL</t>
  </si>
  <si>
    <t>TYPE: SAND CONTROL, SIZE: LG, LENGTH: LNG, MATERIAL: FR</t>
  </si>
  <si>
    <t>SIZE: 10.0, MATERIAL: Kevlar, COLOR: Natural</t>
  </si>
  <si>
    <t>TYPE: Driver, SIZE: XL, MATERIAL: Pigskin Leather, COLOR: Tan, CUFF: Gauntlet</t>
  </si>
  <si>
    <t>TYPE: Safety Glasses, LENS COLOR: Clear</t>
  </si>
  <si>
    <t>TYPE: Cut Resistant, SIZE: Large, MATERIAL: Engineered Liner, COLOR: Orange/Black</t>
  </si>
  <si>
    <t>TYPE: LNG SLV, MATERIAL: FR</t>
  </si>
  <si>
    <t>Brand: 3M, Mask Size: M, NIOSH Rating: P95, Mask Material: Polyester, Mask Headstrap Type: Dual, Non-Adjustable, Includes Eyeshield: No, Mask Shape: Molded</t>
  </si>
  <si>
    <t>TYPE: Palm Coated, SIZE: Large, MATERIAL: Nitrile, COLOR: Gray/Black, CUFF: Knit</t>
  </si>
  <si>
    <t>TYPE: Driver, SIZE: Medium, COLOR: Hi-Vis Green</t>
  </si>
  <si>
    <t>LENGTH: LONG SLEEVE, MATERIAL: FR (Flame Resistant)</t>
  </si>
  <si>
    <t>TYPE: Welding, MATERIAL: Split Leather</t>
  </si>
  <si>
    <t>TYPE: Cut Resistant, SIZE: Medium, MATERIAL: Engineered Liner, COLOR: Orange/Black</t>
  </si>
  <si>
    <t>TYPE: Protective Eyewear, LENS COLOR: Clear, ATTACHMENTS: Foam Gasket</t>
  </si>
  <si>
    <t>LENGTH: 14", MATERIAL: KORPLEX</t>
  </si>
  <si>
    <t>SIZE: 5X12OZ, MATERIAL: BLEND FLEECE CLOTH</t>
  </si>
  <si>
    <t>MATERIAL: FR (Flame Resistant)</t>
  </si>
  <si>
    <t>TYPE: Long John, SIZE: XL, MATERIAL: Drifire</t>
  </si>
  <si>
    <t>INCOM MFG GROUP</t>
  </si>
  <si>
    <t>DESIGNATION: DANGER REFLECTED GRADE, SIZE: 3" X 500'</t>
  </si>
  <si>
    <t>RL</t>
  </si>
  <si>
    <t>TYPE: P100, SIZE: Medium/Large</t>
  </si>
  <si>
    <t>TYPE: Long Sleeve, MATERIAL: FR (Flame Resistant)</t>
  </si>
  <si>
    <t>MATERIAL: POLYPROPYLENE</t>
  </si>
  <si>
    <t>TYPE: Grip, SIZE: Large, MATERIAL: Nitrile, COLOR: Black/Blue</t>
  </si>
  <si>
    <t>TYPE: High Temperature Resistant Aluminum Coating, CONTAINER: 13 oz Aerosol</t>
  </si>
  <si>
    <t>TYPE: Welding, SIZE: Large, MATERIAL: Cowhide, COLOR: Green</t>
  </si>
  <si>
    <t>BLUEWATER MFG INC</t>
  </si>
  <si>
    <t>TYPE: SELF-CLOSING, SIZE: 27"</t>
  </si>
  <si>
    <t>VOLTAGE: Class 0, SIZE: 10</t>
  </si>
  <si>
    <t>TYPE: Long Sleeve, MATERIAL: Flame Resistant</t>
  </si>
  <si>
    <t>Item: PAPR Prefilter, For Use With: All Adflo PAPR Sytems, Color Code: White, Cartridge Approved For: Organic Vapor/Acid Gas, Respirator Cartridge Type: PAPR Filter, NIOSH Rating: Organic Vapor/Acid Gas, Typical Application: Assembly, Facility Maintenance, Grinding, Machine Operations, Sanding, Welding</t>
  </si>
  <si>
    <t>CONTAINER: 13 OZ</t>
  </si>
  <si>
    <t>TYPE: High Temperature (HT) Anti-Seize Compound, COLOR: Aluminum, CONTAINER: 13 oz aerosol</t>
  </si>
  <si>
    <t>TYPE: Palm Coated, SIZE: Medium, MATERIAL: Nitrile, COLOR: Gray/Black, CUFF: Knit</t>
  </si>
  <si>
    <t>VOLTAGE: Class 0, SIZE: 9, MATERIAL: Cotton</t>
  </si>
  <si>
    <t>TYPE: Long John, SIZE: 2X, MATERIAL: FR (Flame Resistant)</t>
  </si>
  <si>
    <t>TYPE: Driver, SIZE: Large, MATERIAL: Premium Grade Leather, COLOR: White, CUFF: Gunn</t>
  </si>
  <si>
    <t>SIZE: 12 OZ, MATERIAL: FLEECE CLOTH</t>
  </si>
  <si>
    <t>EAGLE MANUFACTURING COMPANY</t>
  </si>
  <si>
    <t>TYPE: Butt Connector, CONDUCTOR SIZE: 4 Gauge, INSULATION: Flame Retardant, COLOR: Yellow</t>
  </si>
  <si>
    <t>TYPE: Grip, SIZE: Medium, MATERIAL: Nitrile, COLOR: Black/Blue</t>
  </si>
  <si>
    <t>TYPE: Welding, SIZE: Small, MATERIAL: Cowhide, COLOR: Green</t>
  </si>
  <si>
    <t>DESIGNATION: CAUTION REINFORCED GRADE, SIZE: 3" X 500'</t>
  </si>
  <si>
    <t>TYPE: Driver, SIZE: Medium, MATERIAL: Pigskin Leather, COLOR: Green</t>
  </si>
  <si>
    <t>LENGTH: LG, MATERIAL: LEATHER, CUFF: SAFETY CUFF</t>
  </si>
  <si>
    <t>TYPE: Full Face Respirator, USE: Respiratory Protection</t>
  </si>
  <si>
    <t>MATERIAL: Polycarbonate</t>
  </si>
  <si>
    <t>SIZE: XL, MATERIAL: Nitrile Palm, COLOR: Gray/Black</t>
  </si>
  <si>
    <t>Brand: 3M, Intrinsically Safe: No, Brand and Series: 3M Adflo, Includes Battery: No, Includes: Blower Unit; Cover, System Type: PAPR System, Maximum Operating Temperature: 131 °F</t>
  </si>
  <si>
    <t>VOLTAGE: 11 KV, MATERIAL: LEATHER</t>
  </si>
  <si>
    <t>TYPE: Universal D-Ring</t>
  </si>
  <si>
    <t>TYPE: Cut Resistant, SIZE: Small, MATERIAL: HPPE, COLOR: White</t>
  </si>
  <si>
    <t>TYPE: Secondary Visor, MATERIAL: Gold Coated, COLOR: Green</t>
  </si>
  <si>
    <t>EYE SAFETY SYSTEMS INC</t>
  </si>
  <si>
    <t>LENGTH: 2.0</t>
  </si>
  <si>
    <t>TYPE: Grip, SIZE: XL, MATERIAL: Nitrile, COLOR: Black/Blue</t>
  </si>
  <si>
    <t>TYPE: Driver, SIZE: XL, MATERIAL: Premium Grade Leather, COLOR: White, CUFF: Gunn</t>
  </si>
  <si>
    <t>SIZE: MD</t>
  </si>
  <si>
    <t>ALLEGRO INDUSTRIES</t>
  </si>
  <si>
    <t>TYPE: Cut Resistant, SIZE: XL, MATERIAL: 15 Gauge Engineered Liner, COLOR: Orange/Black</t>
  </si>
  <si>
    <t>TYPE: Driver, SIZE: 3X, MATERIAL: Premium Grade Leather, COLOR: White, CUFF: Gunn</t>
  </si>
  <si>
    <t>LENGTH: 2.0 LNG</t>
  </si>
  <si>
    <t>TYPE: High Temperature Resistant, COLOR: Aluminized, CONTAINER: 13 oz</t>
  </si>
  <si>
    <t>TYPE: Driver, SIZE: Medium, MATERIAL: Leather, COLOR: White, CUFF: Gunn</t>
  </si>
  <si>
    <t>LENGTH: 18", MATERIAL: FR Cotton</t>
  </si>
  <si>
    <t>PHILLIPS SAFETY PRODUCTS INC</t>
  </si>
  <si>
    <t>TYPE: Full Face Shield, SIZE: 8.0, COLOR: Blue</t>
  </si>
  <si>
    <t>TYPE: Flip Up Half Eye, LENS COLOR: Blue, ATTACHMENTS: Clip On</t>
  </si>
  <si>
    <t>SIZE: 20'</t>
  </si>
  <si>
    <t>TYPE: EARPLUG</t>
  </si>
  <si>
    <t>TYPE: Ratchet Suspension, SIZE: 4 Point</t>
  </si>
  <si>
    <t>BG</t>
  </si>
  <si>
    <t>Brand: SPEEDGLAS, Manufacturer Part Number: 27-0099-53, Sub-brand: Speedglas(TM), UNSPSC: 46181703, Country of Origin: Sweden (subject to change)</t>
  </si>
  <si>
    <t>SIZE: XL, COLOR: YELLOW</t>
  </si>
  <si>
    <t>SIZE: LARGE, MATERIAL: LEATHER, COLOR: NATURAL TAN, CUFF: GAUNTLET</t>
  </si>
  <si>
    <t>TYPE: Lens Cleaning Wipe, FORM: Wipe, CONTAINER: Box</t>
  </si>
  <si>
    <t>SIZE: 7" X 8.5", MATERIAL: Aluminized Fiberglass, TYPE: Backpad</t>
  </si>
  <si>
    <t>Brand: 3M, Anti-Slip Surface: Yes, Antimicrobial: Yes, Autoclavable: No, Backing Material: Vinyl, Color: Black, Edge Style: Beveled</t>
  </si>
  <si>
    <t>3UZ79</t>
  </si>
  <si>
    <t>TYPE: Double Crown Diamond Core Bit, MATERIAL: Diamond, TIP: Diamond</t>
  </si>
  <si>
    <t>TYPE: Disposable, SIZE: XL, LENGTH: 9.5", MATERIAL: Nitrile, COLOR: Blue</t>
  </si>
  <si>
    <t>TYPE: Apron, SIZE: 30" x 36", MATERIAL: Kevlar Twill, COLOR: Yellow</t>
  </si>
  <si>
    <t>SIZE: MD, LENGTH: 4", MATERIAL: Kevlar, COLOR: Green, CUFF: Gauntlet</t>
  </si>
  <si>
    <t>OCCUNOMIX INTERNATIONAL LLC</t>
  </si>
  <si>
    <t>MATERIAL: COTTON</t>
  </si>
  <si>
    <t>TYPE: Driver, SIZE: 2X, COLOR: Natural with Hi-Vis Orange</t>
  </si>
  <si>
    <t>SIZE: 11OZ, MATERIAL: ALUM, PROCESS: PLN SHT, LBS/SQ FT: 14OZ</t>
  </si>
  <si>
    <t>TYPE: Welding Gloves, LENGTH: 14", MATERIAL: Cowhide, COLOR: Brown, CUFF: Double Reforced</t>
  </si>
  <si>
    <t>TYPE: Charger, USE: PAPR Battery</t>
  </si>
  <si>
    <t>TYPE: Single Gas Detector, RANGE: 35-200PPM</t>
  </si>
  <si>
    <t>MATERIAL: Aluminized Carbon / Aramid</t>
  </si>
  <si>
    <t>MATERIAL: Leather Split Cowhide, COLOR: Gray</t>
  </si>
  <si>
    <t>TYPE: Split Leather, SIZE: XL, MATERIAL: Leather, COLOR: Gray, CUFF: Cowhide</t>
  </si>
  <si>
    <t>TYPE: 4-Point Ratchet</t>
  </si>
  <si>
    <t>SAINT GOBAIN</t>
  </si>
  <si>
    <t>MASTER LOCK CO</t>
  </si>
  <si>
    <t>TYPE: HASP, SIZE: 1 1/2" JAWS, COLOR: RED</t>
  </si>
  <si>
    <t>TYPE: WELDING SPLIT CUSHION CLAMP, MATERIAL: GALVANIZED STEEL</t>
  </si>
  <si>
    <t>TYPE: Cut Resistant, SIZE: Small, COLOR: Orange/Black</t>
  </si>
  <si>
    <t>TYPE: Driver, SIZE: 2X, MATERIAL: Pigskin Leather, COLOR: Tan</t>
  </si>
  <si>
    <t>SUPERIOR GLOVE WORKS USA LTD</t>
  </si>
  <si>
    <t>TYPE: Driver, SIZE: Large, MATERIAL: Goat Grain Leather, COLOR: Hi-Vis Orange</t>
  </si>
  <si>
    <t>TYPE: Cut Resistant, SIZE: Large, LENGTH: 4", MATERIAL: Kevlar, COLOR: Green, CUFF: Gauntlet</t>
  </si>
  <si>
    <t>TYPE: Cut Resistant, SIZE: 11, MATERIAL: Kevlar</t>
  </si>
  <si>
    <t>SIZE: 2X, COLOR: SND</t>
  </si>
  <si>
    <t>ELLIS MANUFACTURING COMPANY INC</t>
  </si>
  <si>
    <t>TYPE: Driver, SIZE: 2X, MATERIAL: Premium Grade Leather, COLOR: White, CUFF: Gunn</t>
  </si>
  <si>
    <t>Brand: SPEEDGLAS, Manufacturer Part Number: 27-0099-28, Sub-brand: Speedglas(TM), UNSPSC: 46181703, Country of Origin: China (subject to change)</t>
  </si>
  <si>
    <t>TYPE: Palm Coated, SIZE: Small, MATERIAL: Microfoam Nitrile, COLOR: Gray/Black</t>
  </si>
  <si>
    <t>TYPE: Jacket, SIZE: 30", MATERIAL: 9 oz Cotton</t>
  </si>
  <si>
    <t>TYPE: Longjohn, SIZE: 3X, MATERIAL: FR (Flame Resistant)</t>
  </si>
  <si>
    <t>TYPE: Welding, SIZE: XL, MATERIAL: Cowhide, COLOR: Green</t>
  </si>
  <si>
    <t>TYPE: Safety Reader Glasses, LENS COLOR: Clear, FRAME COLOR: Green</t>
  </si>
  <si>
    <t>SIZE: XL, MATERIAL: Polypropylene</t>
  </si>
  <si>
    <t>TYPE: Driver, SIZE: XL, MATERIAL: Goat Grain Leather, COLOR: Hi-Vis Orange</t>
  </si>
  <si>
    <t>TYPE: Driver, SIZE: 2X, MATERIAL: Goat, COLOR: Hi-Vis Orange</t>
  </si>
  <si>
    <t>SIZE: LG, COLOR: ORG/BLK</t>
  </si>
  <si>
    <t>MATERIAL: Aluminized Para-Aramid Blend</t>
  </si>
  <si>
    <t>Brand: 3M, For Use With: 3M ADFLO Powered Air Purifying Respirator; TR-300 Series; TR-300N+ Series; TR-600 Series; TR-800 Series, Includes: Attachment Plate; Harness, Material: Polyester; TPE, Height: 27-61/64 in, Length: 11-13/16 in, Width: 0.79 In</t>
  </si>
  <si>
    <t>TYPE: Blanket, FORM: Roll, SIZE: 3' x 30', MATERIAL: Rubber</t>
  </si>
  <si>
    <t>HAWS CORP</t>
  </si>
  <si>
    <t>TYPE: Full Body, SIZE: XL</t>
  </si>
  <si>
    <t>SIZE: LARGE, MATERIAL: GRAIN LEATHER</t>
  </si>
  <si>
    <t>TYPE: Cut Resistant, SIZE: 2X, COLOR: Orange</t>
  </si>
  <si>
    <t>SIZE: 11/16", MATERIAL: Steel</t>
  </si>
  <si>
    <t>TYPE: Cut Resistant, SIZE: 7, MATERIAL: Kevlar</t>
  </si>
  <si>
    <t>TYPE: Half Facepiece, USE: Respiratory Protection, SIZE: Large</t>
  </si>
  <si>
    <t>TYPE: PERM MTD, SIZE: 500, MATERIAL: ALUM</t>
  </si>
  <si>
    <t>MATERIAL: TPE, SHAPE: 4-FLNG</t>
  </si>
  <si>
    <t>RADIANS INC</t>
  </si>
  <si>
    <t>SIZE: 2X, MATERIAL: WESTEX INDURA, COLOR: ORANGE</t>
  </si>
  <si>
    <t>COLOR: SILVER</t>
  </si>
  <si>
    <t>SIZE: 2"</t>
  </si>
  <si>
    <t>TYPE: Hard Cap</t>
  </si>
  <si>
    <t>SIZE: LG, MATERIAL: WESTEX INDURA, COLOR: ORG</t>
  </si>
  <si>
    <t>SIZE: XL, MATERIAL: WESTEX INDURA, COLOR: ORANGE</t>
  </si>
  <si>
    <t>TYPE: Welding, SIZE: 2X, MATERIAL: Cowhide, COLOR: Green</t>
  </si>
  <si>
    <t>TYPE: Jacket, SIZE: XL 30", MATERIAL: 9 oz Cotton</t>
  </si>
  <si>
    <t>TYPE: Driver, SIZE: Small, MATERIAL: Pigskin Leather, COLOR: Green</t>
  </si>
  <si>
    <t>TYPE: Palm Coated, SIZE: 2X, MATERIAL: 18 Gauge Nylon/Spandex, Microfoam Nitrile Palm, COLOR: Gray/Black, CUFF: Knit Wrist</t>
  </si>
  <si>
    <t>SIZE: XS, MATERIAL: Microfoam Nitrile Palm, COLOR: Gray/Black</t>
  </si>
  <si>
    <t>TYPE: Safety Glasses, LENS COLOR: Clear, FRAME COLOR: Black</t>
  </si>
  <si>
    <t>D621231117</t>
  </si>
  <si>
    <t>EXTR D-RING 18” W/ SLF LCKNG SNP HK E</t>
  </si>
  <si>
    <t>SIZE: 18", ENDS: SELF LOCKING SNAP HOOK</t>
  </si>
  <si>
    <t>RPB16-522</t>
  </si>
  <si>
    <t>PD CMFT Z-LNK</t>
  </si>
  <si>
    <t>D621003006</t>
  </si>
  <si>
    <t>ADPTR TIE OFF 6' PASS THROUGH 1-3/4</t>
  </si>
  <si>
    <t>SIZE: 6' x 1-3/4"</t>
  </si>
  <si>
    <t>JB270032CLM3M64</t>
  </si>
  <si>
    <t>CONE TRFC 28" LME 7LB WIDE 6"+4" COLR</t>
  </si>
  <si>
    <t>JBC SAFETY PLASTIC INC</t>
  </si>
  <si>
    <t>SIZE: 28"</t>
  </si>
  <si>
    <t>SI0S13KFGFNT8</t>
  </si>
  <si>
    <t>GLV DEX NT KVLR SZ 8</t>
  </si>
  <si>
    <t>SIZE: 8, MATERIAL: Kevlar</t>
  </si>
  <si>
    <t>N33TEEY2LSPC32X</t>
  </si>
  <si>
    <t>TSHT HIVIS 2X 6.25OZ YLW</t>
  </si>
  <si>
    <t>SIZE: 2X, MATERIAL: 6.25OZ, COLOR: YLW</t>
  </si>
  <si>
    <t>RAI00228040-11</t>
  </si>
  <si>
    <t>META-PAC SZ 11 BLK/YLW 12" S/T WK BT</t>
  </si>
  <si>
    <t>LACROSSE FOOTWEAR INC (RAINFAIR)</t>
  </si>
  <si>
    <t>TYPE: Work Boot, SIZE: 11, COLOR: Black/Yellow</t>
  </si>
  <si>
    <t>RPB16-873</t>
  </si>
  <si>
    <t>LENS REAR WLDG ADF</t>
  </si>
  <si>
    <t>SI0S13KFGFNT9</t>
  </si>
  <si>
    <t>GLV DEX NT KVLR SZ 9</t>
  </si>
  <si>
    <t>SIZE: 9, MATERIAL: Kevlar</t>
  </si>
  <si>
    <t>BRD121154</t>
  </si>
  <si>
    <t>LBL HAZ WSTE "NON HAZ WSTE" 6 X 6 100/PK</t>
  </si>
  <si>
    <t>BRADY WORLDWIDE</t>
  </si>
  <si>
    <t>TYPE: Label, DESIGNATION: Non-Hazardous Waste, SIZE: 6 x 6 in</t>
  </si>
  <si>
    <t>3MR27-0099-52</t>
  </si>
  <si>
    <t>PVT KT FOR 9100 MP 27-0099-52 1 PER CA</t>
  </si>
  <si>
    <t>Type: Pivot Kit, Includes: Pivot Kit, Item: Pivot Kit, For Use With: 9100 MP, Country of Origin (subject to change): United States, Package Quantity: 1</t>
  </si>
  <si>
    <t>RPB16-514</t>
  </si>
  <si>
    <t>JAW Z-LNK</t>
  </si>
  <si>
    <t>RPB04-831</t>
  </si>
  <si>
    <t>TB BRTHG PX5</t>
  </si>
  <si>
    <t>N33C34UDMQXLRGSS</t>
  </si>
  <si>
    <t>JCKT BMBR XL-RG 11OZ ULTRSOFT DCK NVY</t>
  </si>
  <si>
    <t>TYPE: Bomber Jacket, SIZE: XL-RG, MATERIAL: 11 oz UltraSoft</t>
  </si>
  <si>
    <t>RAD64054952</t>
  </si>
  <si>
    <t>SLV 9OZ 23" GRN FR CTTN ELAS BTH ENDS</t>
  </si>
  <si>
    <t>LENGTH: 23", MATERIAL: FR Cotton</t>
  </si>
  <si>
    <t>HONS4040PLUS</t>
  </si>
  <si>
    <t>GLS TMPL STRP CLR 80S A/FG BLK UVEX</t>
  </si>
  <si>
    <t>LENS COLOR: Clear, FRAME COLOR: Black</t>
  </si>
  <si>
    <t>TIL6230D2X</t>
  </si>
  <si>
    <t>JCKT 2X 30" 9OZ CTTN ORG SNPS FR WESTEX</t>
  </si>
  <si>
    <t>LENGTH: 30", MATERIAL: Cotton</t>
  </si>
  <si>
    <t>M19420</t>
  </si>
  <si>
    <t>HASP LCKT 1" JAWS &amp; RED HDL</t>
  </si>
  <si>
    <t>TYPE: HASP, SIZE: 1" JAWS, COLOR: RED</t>
  </si>
  <si>
    <t>RPB16-871-1</t>
  </si>
  <si>
    <t>FLTR AUTO DRKNG Z-LINK (ADF) RPB</t>
  </si>
  <si>
    <t>TYPE: Auto-Darkening Filter (ADF)</t>
  </si>
  <si>
    <t>W43RLBPVC1</t>
  </si>
  <si>
    <t>BLNKT RL INSLG 3'X30' PVC CL 1 CLR</t>
  </si>
  <si>
    <t>TYPE: Blanket, FORM: Roll, SIZE: 3' x 30', MATERIAL: PVC</t>
  </si>
  <si>
    <t>BRD110930</t>
  </si>
  <si>
    <t>TP LBL BMP21 B427 WT/TRNSLCNT 1.5"X14'</t>
  </si>
  <si>
    <t>3MR340-4004</t>
  </si>
  <si>
    <t>ERPG CRDD HRG CNSRVTN IN PLY BG</t>
  </si>
  <si>
    <t>ANE70-761-9</t>
  </si>
  <si>
    <t>GLV CUT RES 9.0 KVLR/PLY/CTTN</t>
  </si>
  <si>
    <t>SIZE: 9.0, MATERIAL: Kevlar/Cotton</t>
  </si>
  <si>
    <t>AYI04-400MTN-2X</t>
  </si>
  <si>
    <t>GLV WORK CUT RES 13G 2X ORG ENGRD LNR</t>
  </si>
  <si>
    <t>RN22724AF</t>
  </si>
  <si>
    <t>GLS SFTY CLR A/F DIA BCK BLK</t>
  </si>
  <si>
    <t>3MR15-0099-16</t>
  </si>
  <si>
    <t>BEL LTHR WLDG SFTY 15-0099-16 1/CA</t>
  </si>
  <si>
    <t>Item: Leather Belt, Color: Black, Material: Leather, For Use With: 3M Adflo Powered Air Purifying Respirator, Adflo, Includes: (1) Leather Belt, Package Type: Case, Brand and Series: 3M Adflo</t>
  </si>
  <si>
    <t>N33TEEY2LSPC34XT</t>
  </si>
  <si>
    <t>TSHT HIVIS 4X-TL 6.25OZ DL BLND KNT</t>
  </si>
  <si>
    <t>TYPE: T-SHIRT, SIZE: 4X-TALL, MATERIAL: 6.25 OZ BLEND KNIT, COLOR: HI-VIS</t>
  </si>
  <si>
    <t>SEL46148</t>
  </si>
  <si>
    <t>HLMT WLDG NXGN HSL100 BLK VRB DGTL ADF</t>
  </si>
  <si>
    <t>STYLE: AUTO-DARKENING, MATERIAL: THERMOPLASTIC</t>
  </si>
  <si>
    <t>MSA10153384</t>
  </si>
  <si>
    <t>RAI00228040-12</t>
  </si>
  <si>
    <t>META-PAC SZ 12 BLK/YLW 12" S/T WK BT</t>
  </si>
  <si>
    <t>TYPE: Work Boot, SIZE: 12, COLOR: Black/Yellow</t>
  </si>
  <si>
    <t>RAI00228040-9</t>
  </si>
  <si>
    <t>META-PAC SZ 9 BLK/YLW 12" S/T RBBR WK BT</t>
  </si>
  <si>
    <t>TIL6230DL</t>
  </si>
  <si>
    <t>JCKT LG 30" 9OZ ORG CTTN SNPS FR WESTEX</t>
  </si>
  <si>
    <t>TYPE: Jacket, SIZE: 30", MATERIAL: 9 oz Orange Cotton, FR Westex</t>
  </si>
  <si>
    <t>RN2GENERIC</t>
  </si>
  <si>
    <t>[DS] RADIANS INC</t>
  </si>
  <si>
    <t>SEL29082</t>
  </si>
  <si>
    <t>FCSHD ACE 9"X15.5"X.040" LGHT GRN BOUND</t>
  </si>
  <si>
    <t>COLOR: Light Green, SIZE: 9" x 15.5" x 0.040"</t>
  </si>
  <si>
    <t>SI0S13KFGFNT10</t>
  </si>
  <si>
    <t>GLV DEX NT KVLR SZ 10</t>
  </si>
  <si>
    <t>SIZE: 10, MATERIAL: Kevlar</t>
  </si>
  <si>
    <t>RPB16-010-12</t>
  </si>
  <si>
    <t>RESP W/ TYCHM FACE SL Z-LINK</t>
  </si>
  <si>
    <t>TYPE: Face Shield, MATERIAL: Tychem</t>
  </si>
  <si>
    <t>RN2SV6-2ZOM-L</t>
  </si>
  <si>
    <t>VST LG MSH ORG 2" TP HRZNL TP FRNT &amp; BCK</t>
  </si>
  <si>
    <t>RN2SV6-2ZOM-M</t>
  </si>
  <si>
    <t>VST MD MSH ORG 2" TP HRZNL TP FRNT &amp; BCK</t>
  </si>
  <si>
    <t>SIZE: 2", COLOR: ORG</t>
  </si>
  <si>
    <t>N33H01GR003</t>
  </si>
  <si>
    <t>HOOD 9.5OZ GRN FR SATEEN</t>
  </si>
  <si>
    <t>SIZE: 9.5OZ, MATERIAL: FR SATEEN, COLOR: GRN</t>
  </si>
  <si>
    <t>RAD64057952</t>
  </si>
  <si>
    <t>GLV CLD WTHR LG W/SFTY CUFFS</t>
  </si>
  <si>
    <t>TYPE: Cold Weather, SIZE: Large, CUFF: Safety Cuff</t>
  </si>
  <si>
    <t>D622101636</t>
  </si>
  <si>
    <t>ACHR 1/4"X2"X4-1/2" D-RNG PLA 304</t>
  </si>
  <si>
    <t>TYPE: D-RING, SIZE: 1/4" X 2" X 4-1/2", MATERIAL: 304 Stainless Steel</t>
  </si>
  <si>
    <t>N33H65UQUQ40LF</t>
  </si>
  <si>
    <t>HOOD FR OFA NVY WESTEX ULSFT</t>
  </si>
  <si>
    <t>SIZE: OFA, MATERIAL: WESTEX ULSFT, COLOR: NVY</t>
  </si>
  <si>
    <t>OCCTJFS-OXL</t>
  </si>
  <si>
    <t>PARKA 5-IN-1 XL PLYST PU COTNG ORG HOOD</t>
  </si>
  <si>
    <t>SIZE: XL, MATERIAL: Polyester, Polyurethane Coating</t>
  </si>
  <si>
    <t>N33TEEY2LSPC3LG</t>
  </si>
  <si>
    <t>TSHT HIVIS LG 6.25OZ YLW</t>
  </si>
  <si>
    <t>RPB16-731</t>
  </si>
  <si>
    <t>CHIN SL FR Z-LINK Z4</t>
  </si>
  <si>
    <t>3MRSG-30W</t>
  </si>
  <si>
    <t>TB BRTHG SLF-ADJ SG-30W/37268 AAD</t>
  </si>
  <si>
    <t>Manufacturer Stock Number: 70071606852, Manufacturer Upc Number: 00051131372689</t>
  </si>
  <si>
    <t>PHIWLD-S6-FCO</t>
  </si>
  <si>
    <t>\\ GLS SFTY WLDG 5"X2"X1.5" FUL CLP ON</t>
  </si>
  <si>
    <t>TYPE: Clip-On, SIZE: 5" x 2" x 1.5"</t>
  </si>
  <si>
    <t>HONS470</t>
  </si>
  <si>
    <t>TOWLETTE CLN UVEX CLR PLS 100/BOX</t>
  </si>
  <si>
    <t>B86ICON-B-H</t>
  </si>
  <si>
    <t>MNTR GAS BW ICON O2 CH4 H2S CO BLK</t>
  </si>
  <si>
    <t>IS6PR02040SP</t>
  </si>
  <si>
    <t>SINGLE BATTERY CHARGER</t>
  </si>
  <si>
    <t>BRD142797</t>
  </si>
  <si>
    <t>CRTDG TP BMP21 SERS/ID/LAB PAL 0.75"X21'</t>
  </si>
  <si>
    <t>PIP3121250BORXL</t>
  </si>
  <si>
    <t>TSHT HIVIS XL CL 2 ANSI/ISEA 107 ORG BLK</t>
  </si>
  <si>
    <t>SIZE: XL, COLOR: ORANGE/BLACK</t>
  </si>
  <si>
    <t>ANERIG011R100</t>
  </si>
  <si>
    <t>GLV ELTRCN 10 RED RIG CL 0 11"</t>
  </si>
  <si>
    <t>SIZE: 10, LENGTH: 11", COLOR: RED</t>
  </si>
  <si>
    <t>3MR06-0200-30</t>
  </si>
  <si>
    <t>&gt;&gt; PLA INSD PRTN 9100XX WLDG SFTY 5/CA</t>
  </si>
  <si>
    <t>SI0370GFKLM</t>
  </si>
  <si>
    <t>GLV GRAIN GTSN MD</t>
  </si>
  <si>
    <t>SI0370GFKLXL</t>
  </si>
  <si>
    <t>GLV GRAIN GTSN XLG</t>
  </si>
  <si>
    <t>SIZE: X-Large, MATERIAL: Grain Leather</t>
  </si>
  <si>
    <t>MEG3601KS</t>
  </si>
  <si>
    <t>GLV DRVR SM PRM GRDE LTHR GTSN WHT 13 GA</t>
  </si>
  <si>
    <t>TYPE: Driver, SIZE: 13, MATERIAL: Premium Grade Leather, COLOR: White</t>
  </si>
  <si>
    <t>ANE70-761-8</t>
  </si>
  <si>
    <t>GLV CUT RES 8.0 KVLR/PLY/CTTN</t>
  </si>
  <si>
    <t>TYPE: Cut Resistant, SIZE: 8.0, MATERIAL: Kevlar/Cotton</t>
  </si>
  <si>
    <t>3MRSG-95</t>
  </si>
  <si>
    <t>CARRY &amp; STOR BG SPEEDGLAS G5 SERS</t>
  </si>
  <si>
    <t>N33C22NJ2X33137NC</t>
  </si>
  <si>
    <t>CT HT RES 2X 14OZ ALUMZD</t>
  </si>
  <si>
    <t>TYPE: High Temperature Resistant Aluminum Coating, CONTAINER: 14 oz aerosol</t>
  </si>
  <si>
    <t>N33C04UP032X49</t>
  </si>
  <si>
    <t>CT FR 2X 49" LNG 9OZ ULSFT NVY H&amp;L 12CAL</t>
  </si>
  <si>
    <t>LENGTH: 49", MATERIAL: 9OZ</t>
  </si>
  <si>
    <t>RN2SV6-2ZOM-S</t>
  </si>
  <si>
    <t>VST SM MSH ORNG 2" TP HRZNL TP FRNT/ BCK</t>
  </si>
  <si>
    <t>MATERIAL: Mesh, SIZE: 2"</t>
  </si>
  <si>
    <t>MSA10034028</t>
  </si>
  <si>
    <t>HDCP VGARD BLU RTCHT I C PE VNTD 6 PT</t>
  </si>
  <si>
    <t>TYPE: Vented, MATERIAL: Polyethylene</t>
  </si>
  <si>
    <t>MSA10034029</t>
  </si>
  <si>
    <t>HDCP VGARD YLW RTCHT I C PE VNTD 6 PT</t>
  </si>
  <si>
    <t>MATERIAL: PE</t>
  </si>
  <si>
    <t>D621113031</t>
  </si>
  <si>
    <t>HRNS SFTY EXOFIT NEX SM FRNT/BCK D-RN</t>
  </si>
  <si>
    <t>TYPE: Full Body, SIZE: Small</t>
  </si>
  <si>
    <t>D621113034</t>
  </si>
  <si>
    <t>HRNS SFTY EXOFIT NEX MD FRNT/BCK D-RN</t>
  </si>
  <si>
    <t>TYPE: Full Body</t>
  </si>
  <si>
    <t>W43AS1200HAT-PP</t>
  </si>
  <si>
    <t>HRD HAT ORG 12 CAL WBS PRM PLS ASSY</t>
  </si>
  <si>
    <t>SIZE: 12 CAL, MATERIAL: PLS, COLOR: ORG</t>
  </si>
  <si>
    <t>RPBNV2027</t>
  </si>
  <si>
    <t>HS BRTHG AIR SPLY 3/8"X100'</t>
  </si>
  <si>
    <t>SIZE: 3/8" X 100'</t>
  </si>
  <si>
    <t>PIP155-4-18/10</t>
  </si>
  <si>
    <t>\\  GLV ELTRCL RBBR SZ 10 BLK/ORG 18"</t>
  </si>
  <si>
    <t>SIZE: 10, LENGTH: 18", MATERIAL: Rubber, COLOR: Black/Orange</t>
  </si>
  <si>
    <t>N33C09NIMD3307</t>
  </si>
  <si>
    <t>CT MD 11OZ PLN SHT TYP COLR 14OZ ALUM</t>
  </si>
  <si>
    <t>TYPE: Plain Sheet, COLOR: Color, CONTAINER: 14 oz Aluminum</t>
  </si>
  <si>
    <t>PIP5555/M</t>
  </si>
  <si>
    <t>[DS] GLV CLD WTHR GN PGSN MD TAN THNSLT</t>
  </si>
  <si>
    <t>TYPE: Cold Weather, SIZE: Medium, MATERIAL: Pigskin, COLOR: Tan</t>
  </si>
  <si>
    <t>RAD64057953</t>
  </si>
  <si>
    <t>GLV CLD WTHR XL W/SFTY CUFFS</t>
  </si>
  <si>
    <t>SIZE: XL, CUFF: SAFETY CUFF</t>
  </si>
  <si>
    <t>ALE9533-15</t>
  </si>
  <si>
    <t>BLWR COM-PAX-IAL 8" PLSTC AC W/ 15' DCTG</t>
  </si>
  <si>
    <t>TYPE: Axial Blower, SIZE: 8 inch, MATERIAL: Plastic</t>
  </si>
  <si>
    <t>P07GB1810STR20</t>
  </si>
  <si>
    <t>SFTY GLS CLR AF 2.0 MAGNFTN V2G READER</t>
  </si>
  <si>
    <t>PYRAMEX SAFETY PRODUCTS LLC</t>
  </si>
  <si>
    <t>RN2CSVW-01Z4-4X</t>
  </si>
  <si>
    <t>VST SFTY HIVIS FR 4X WESTEX INDRA ORG</t>
  </si>
  <si>
    <t>SIZE: 4X, MATERIAL: WESTEX INDURA, COLOR: ORANGE</t>
  </si>
  <si>
    <t>N33TEEY2LSPC3SM</t>
  </si>
  <si>
    <t>TSHT HIVIS SM 6.25OZ YLW</t>
  </si>
  <si>
    <t>TYPE: T-SHIRT, SIZE: SMALL, MATERIAL: 6.25 OZ, COLOR: YELLOW</t>
  </si>
  <si>
    <t>RN2SV6-2ZOM-XL</t>
  </si>
  <si>
    <t>VST XL MSH ORG 2" TP HRZNL TP FRNT &amp; BCK</t>
  </si>
  <si>
    <t>TYPE: VEST, SIZE: XL, MATERIAL: MESH</t>
  </si>
  <si>
    <t>PIPIC65/XXXL</t>
  </si>
  <si>
    <t>GLV CWHD LTHR PLM 3X LTHR BCK RBZ CFF</t>
  </si>
  <si>
    <t>TYPE: Palm, SIZE: 3X, MATERIAL: Leather, CUFF: Rubberized Cuff</t>
  </si>
  <si>
    <t>RPB08-452</t>
  </si>
  <si>
    <t>REG GX4 CLBTN FLW INCLUDING HS &amp; FTNG</t>
  </si>
  <si>
    <t>3MR6200</t>
  </si>
  <si>
    <t>RESP HALF FCEPCE RUSBL RESPY PRTN MD</t>
  </si>
  <si>
    <t>TYPE: Half Facepiece, USE: Respiratory Protection, SIZE: Medium</t>
  </si>
  <si>
    <t>PIP3121250BOR4X</t>
  </si>
  <si>
    <t>TSHT HIVIS 4X CL 2 ANSI/ISEA 107 ORG BLK</t>
  </si>
  <si>
    <t>SIZE: 4X, COLOR: ORANGE/BLACK</t>
  </si>
  <si>
    <t>SI0370GFKLXXL</t>
  </si>
  <si>
    <t>GLV GRAIN GTSN XXL</t>
  </si>
  <si>
    <t>SIZE: XXL, MATERIAL: Grain</t>
  </si>
  <si>
    <t>RPB16-721</t>
  </si>
  <si>
    <t>CAPE SHLDR FR Z-LNK</t>
  </si>
  <si>
    <t>TYPE: Cape Shoulder, MATERIAL: FR (Flame Resistant)</t>
  </si>
  <si>
    <t>RPB03-501</t>
  </si>
  <si>
    <t>RESP CLMT CTRL ADJBL COLG/HTNG</t>
  </si>
  <si>
    <t>L22GENERIC</t>
  </si>
  <si>
    <t>[DS] LAKELAND INDUSTRIES INC</t>
  </si>
  <si>
    <t>LAKELAND INDUSTRIES</t>
  </si>
  <si>
    <t>PHIWLD-CB8-FCO</t>
  </si>
  <si>
    <t>GLS SFTY CLP ON FUL EYE TORCHING</t>
  </si>
  <si>
    <t>TYPE: Clip-On Full Eye Safety Glasses, ATTACHMENTS: Clip-On</t>
  </si>
  <si>
    <t>MSA10034018</t>
  </si>
  <si>
    <t>HDCP VGARD WHT RTCHT I C PE VNTD 4 PT</t>
  </si>
  <si>
    <t>SI0378GTXOTM</t>
  </si>
  <si>
    <t>GLV CUT RES GN GOAT DRVR MD HIVIZ ORG</t>
  </si>
  <si>
    <t>TYPE: Driver, SIZE: Medium, MATERIAL: Goat Grain Leather, COLOR: Hi-Vis Orange</t>
  </si>
  <si>
    <t>SI0378GTXOTS</t>
  </si>
  <si>
    <t>GLV CUT RES GN GOAT DRVR SM HIVIZ ORG</t>
  </si>
  <si>
    <t>TYPE: Driver, SIZE: Small, MATERIAL: Goat Grain Leather, COLOR: Hi-Vis Orange</t>
  </si>
  <si>
    <t>3MR11798-00000</t>
  </si>
  <si>
    <t>EYEWR PROTV CRDD CTRL SYS GRY A/FG</t>
  </si>
  <si>
    <t>LENS COLOR: Gray</t>
  </si>
  <si>
    <t>3MR370-TEPM-25</t>
  </si>
  <si>
    <t>TIP REPL MD PELTOR ULTRAFIT COMM 25PR/CA</t>
  </si>
  <si>
    <t>N33HMOD2BK</t>
  </si>
  <si>
    <t>HAT FR REGLR MODACRYLIC BLND BLK</t>
  </si>
  <si>
    <t>MATERIAL: Modacrylic Blend, COLOR: Black</t>
  </si>
  <si>
    <t>PIP150-SK-00-10</t>
  </si>
  <si>
    <t>\\  ELTRCL SFTY KT CL 00 SZ 10 CNTN</t>
  </si>
  <si>
    <t>VOLTAGE: Class 00, SIZE: 10</t>
  </si>
  <si>
    <t>PIP150-SK-00-8</t>
  </si>
  <si>
    <t>\\  ELTRCL SFTY KT CL 00 SZ 8 CNTN</t>
  </si>
  <si>
    <t>VOLTAGE: Class 00, SIZE: 8</t>
  </si>
  <si>
    <t>PIP150-SK-00-9</t>
  </si>
  <si>
    <t>\\  ELTRCL SFTY KT CL 00 SZ 9 CNTN</t>
  </si>
  <si>
    <t>VOLTAGE: Class 00, SIZE: 9</t>
  </si>
  <si>
    <t>HON1035201-VS</t>
  </si>
  <si>
    <t>ERMF MD VIS HLMT ATN AMERICAS</t>
  </si>
  <si>
    <t>SEL15973</t>
  </si>
  <si>
    <t>CAP MNT ADPTR 386 H-SERS FGL OR HSL</t>
  </si>
  <si>
    <t>SIZE: 386</t>
  </si>
  <si>
    <t>N33U52JKSRSM</t>
  </si>
  <si>
    <t>UNWR LNG FR CTRL 2.0 SM 5.5OZ SND 4CAL</t>
  </si>
  <si>
    <t>SIZE: SM, LENGTH: 2.0, COLOR: SND</t>
  </si>
  <si>
    <t>HON4178IRUV5</t>
  </si>
  <si>
    <t>FCSHD 8"X17"X.06" PN IR5 TAB MNT &amp; CAM</t>
  </si>
  <si>
    <t>N33C45UDMQLGRGSS</t>
  </si>
  <si>
    <t>OVRLL BIB LG-RG 11OZ ULSFT DCK NVY</t>
  </si>
  <si>
    <t>MOL6604</t>
  </si>
  <si>
    <t>ERPG FM SPARKPLUGS DSPBL UCRD NRR-33</t>
  </si>
  <si>
    <t>MEG92743BPL</t>
  </si>
  <si>
    <t>GLV CUT RES LG 13 GA HPPE/STEEL ANSI A7</t>
  </si>
  <si>
    <t>TYPE: Cut Resistant, SIZE: Large, MATERIAL: HPPE/Steel</t>
  </si>
  <si>
    <t>MEG92743BPXS</t>
  </si>
  <si>
    <t>GLV CUT RES DPD 13 GA SALT PEPR STL XS</t>
  </si>
  <si>
    <t>TYPE: Cut Resistant, SIZE: XS, MATERIAL: 13 Gauge Steel, COLOR: Salt and Pepper</t>
  </si>
  <si>
    <t>ANE70-118-14</t>
  </si>
  <si>
    <t>SLV CUT RES 14" KVLR YLW THMB HL</t>
  </si>
  <si>
    <t>LENGTH: 14", MATERIAL: Kevlar</t>
  </si>
  <si>
    <t>RAD64057601</t>
  </si>
  <si>
    <t>GLV WLDR LG PRL GRY 14" CWHD WNG</t>
  </si>
  <si>
    <t>TYPE: Welding Gloves, LENGTH: 14", MATERIAL: Pearl Gray Cowhide, COLOR: Gray, CUFF: Wing</t>
  </si>
  <si>
    <t>RAD64055140</t>
  </si>
  <si>
    <t>APRON LTHR BIB 24"X30" BRBN BRN W/2 PCKT</t>
  </si>
  <si>
    <t>TYPE: Bib, SIZE: 24" x 30", MATERIAL: Leather, COLOR: Brown</t>
  </si>
  <si>
    <t>SEL14975</t>
  </si>
  <si>
    <t>HLMT WLDG PSSV BLK 4.5"X5.25" SHD 10 FXD</t>
  </si>
  <si>
    <t>TYPE: Passive, SIZE: 4.5" x 5.25", SHADE: 10</t>
  </si>
  <si>
    <t>N33H73RY</t>
  </si>
  <si>
    <t>BACLV FR ULSFT SNGL LYR BLK 12CAL</t>
  </si>
  <si>
    <t>RAD64053354</t>
  </si>
  <si>
    <t>CVRL DSPBL 2X POSIM3 WHT 25/CA</t>
  </si>
  <si>
    <t>SIZE: 2X, COLOR: WHT</t>
  </si>
  <si>
    <t>HON4178CL</t>
  </si>
  <si>
    <t>FCSHD 8"X17"X.06" PN CLR TAB MNT &amp; CAM</t>
  </si>
  <si>
    <t>PHIWLD-S6-FCOHH</t>
  </si>
  <si>
    <t>SHD GLS CLP ON GRN SHD 6</t>
  </si>
  <si>
    <t>SIZE: 6, COLOR: GREEN</t>
  </si>
  <si>
    <t>D621402022</t>
  </si>
  <si>
    <t>HRNS CMFT VST SFTY LG DBI-SALA</t>
  </si>
  <si>
    <t>N33C52JKSRLSSM</t>
  </si>
  <si>
    <t>TSHT FR SM DES SND CTRL 2.0 LNG SLV</t>
  </si>
  <si>
    <t>LENGTH: LNG</t>
  </si>
  <si>
    <t>BRDGP100</t>
  </si>
  <si>
    <t>PD ABSNT GP MAXX 1 PLY GRY 15X19</t>
  </si>
  <si>
    <t>TYPE: General Purpose, FORM: Pad, SIZE: 15x19 in</t>
  </si>
  <si>
    <t>BA</t>
  </si>
  <si>
    <t>3MRH24T</t>
  </si>
  <si>
    <t>HLDR FCSHD ELEVATED TEMP BLK FOR HRDHT</t>
  </si>
  <si>
    <t>PHIWLD-S6-HCO</t>
  </si>
  <si>
    <t>\\ GLS SFTY WLDG 5"X2"X1.5" SHD 6 GRN</t>
  </si>
  <si>
    <t>SIZE: 5" X 2" X 1.5", SHADE: 6</t>
  </si>
  <si>
    <t>RPB16-712</t>
  </si>
  <si>
    <t>SL FACE TYCHM QC Z-LNK</t>
  </si>
  <si>
    <t>3MR06-0200-53-B</t>
  </si>
  <si>
    <t>PLA OTSD PRTN 9100 HI TEMP 50/CA BULK</t>
  </si>
  <si>
    <t>HON32-8LFFW5-0000</t>
  </si>
  <si>
    <t>GLS SFTY SHD 5.0 880 SERS KLIP LIFT</t>
  </si>
  <si>
    <t>SIZE: 5.0</t>
  </si>
  <si>
    <t>HON32-8LFFW8-0000</t>
  </si>
  <si>
    <t>EYEWR KLIP LIFT 880 FUL FRNT GRN SHD 8</t>
  </si>
  <si>
    <t>TYPE: Full Front, SHADE: 8</t>
  </si>
  <si>
    <t>RAD64051823</t>
  </si>
  <si>
    <t>ERPG FM DSPBL UCRD NRR-33</t>
  </si>
  <si>
    <t>PIPIC6/S</t>
  </si>
  <si>
    <t>GLV LTHR SPLT CWHD SM GRY FLLY CTD</t>
  </si>
  <si>
    <t>TYPE: Cowhide Leather Split, SIZE: Small, MATERIAL: Leather, COLOR: Gray</t>
  </si>
  <si>
    <t>B137500PFL</t>
  </si>
  <si>
    <t>GLV DSPBL NTRL PWDR FREE LG BLU 9.5"</t>
  </si>
  <si>
    <t>TYPE: Disposable, SIZE: Large, LENGTH: 9.5 in, MATERIAL: Nitrile, COLOR: Blue</t>
  </si>
  <si>
    <t>B137500PFM</t>
  </si>
  <si>
    <t>GLV DSPBL NTRL PWDR FREE MD BLU 9.5"</t>
  </si>
  <si>
    <t>TYPE: Disposable, SIZE: Medium, LENGTH: 9.5", MATERIAL: Nitrile, COLOR: Blue</t>
  </si>
  <si>
    <t>RAD64057001</t>
  </si>
  <si>
    <t>GLV CLD WTHR WHT THERMASTAT PLYST INSLG</t>
  </si>
  <si>
    <t>TYPE: Cold Weather, MATERIAL: Polyester, COLOR: White</t>
  </si>
  <si>
    <t>HON6750CL</t>
  </si>
  <si>
    <t>FCSHD 8"X16.5"X.06" CLR FOR FM400 FM500</t>
  </si>
  <si>
    <t>RPB04-833</t>
  </si>
  <si>
    <t>TB SAR BRTHG</t>
  </si>
  <si>
    <t>HON1035121-VS</t>
  </si>
  <si>
    <t>ERMF CAPMOUNTED PSSV VERISHIELD 120</t>
  </si>
  <si>
    <t>RN2SV6OL</t>
  </si>
  <si>
    <t>\\ VST SRVYR LG PLYST ORG HIVIS REFLV</t>
  </si>
  <si>
    <t>SIZE: LG, MATERIAL: POLYESTER, COLOR: ORANGE</t>
  </si>
  <si>
    <t>RN2SV6OM</t>
  </si>
  <si>
    <t>\\ VST SRVYR MD PLYST ORG HIVIS REFLV</t>
  </si>
  <si>
    <t>MATERIAL: POLYESTER, COLOR: ORANGE</t>
  </si>
  <si>
    <t>MSA10190357</t>
  </si>
  <si>
    <t>HLMT PRTN HRG HLMT MTD V-GARD MD TYP 14</t>
  </si>
  <si>
    <t>TYPE: Type 1</t>
  </si>
  <si>
    <t>S88GENERIC</t>
  </si>
  <si>
    <t>[DS] SAFEHOUSE SIGNS INCORPORATED</t>
  </si>
  <si>
    <t>SAFEHOUSE SIGNS INCORPORATED</t>
  </si>
  <si>
    <t>M19410RED</t>
  </si>
  <si>
    <t>PDLCK 1 1/2" SHKL RED KYD DFRT TPL LTWT</t>
  </si>
  <si>
    <t>SHACKLE DIAMETER: 1 1/2", MATERIAL: RED KYD (Red Kydex)</t>
  </si>
  <si>
    <t>M19493B</t>
  </si>
  <si>
    <t>LCKT CRCTBRKR FIT STD HGHT &amp; TIE BAR</t>
  </si>
  <si>
    <t>PHIWLD-S5-FCOHH</t>
  </si>
  <si>
    <t>SHADE GREEN 5.0 FULL CLIP ON</t>
  </si>
  <si>
    <t>TYPE: Clip-On, SHADE: Green 5.0</t>
  </si>
  <si>
    <t>RAI00228040-10</t>
  </si>
  <si>
    <t>META-PAC SZ 10 BLK/YLW 12" S/T WK BT</t>
  </si>
  <si>
    <t>TYPE: Work Boot, SIZE: 10, COLOR: Black/Yellow</t>
  </si>
  <si>
    <t>HONTRUSTFITPOD-1</t>
  </si>
  <si>
    <t>EARPLUGS PUSH IN FM UCRD</t>
  </si>
  <si>
    <t>P07GB1810STR15</t>
  </si>
  <si>
    <t>SFTY GLS CLR AF 1.5 MAGNFTN V2G READER</t>
  </si>
  <si>
    <t>MIL216326B</t>
  </si>
  <si>
    <t>CVR LENS</t>
  </si>
  <si>
    <t>ITW</t>
  </si>
  <si>
    <t>N33C52JKSRLS3X</t>
  </si>
  <si>
    <t>TSHT FR 3X DES SND CTRL 2.0 LNG SLV</t>
  </si>
  <si>
    <t>GUAGENERIC</t>
  </si>
  <si>
    <t>[DS] GUARD LINE</t>
  </si>
  <si>
    <t>GUARD LINE INC</t>
  </si>
  <si>
    <t>MEG92743BPM</t>
  </si>
  <si>
    <t>GLV CUT RES DPD 13 GA SALT PEPR STL MD</t>
  </si>
  <si>
    <t>TYPE: Cut Resistant, SIZE: Medium, MATERIAL: 13 Gauge Steel, COLOR: Salt and Pepper</t>
  </si>
  <si>
    <t>MEG92743BPS</t>
  </si>
  <si>
    <t>GLV CUT RES DPD 13 GA SALT PEPR STL SM</t>
  </si>
  <si>
    <t>TYPE: Cut Resistant, SIZE: Small, MATERIAL: Polyethylene/Steel, COLOR: Salt and Pepper</t>
  </si>
  <si>
    <t>MEG92743BPXL</t>
  </si>
  <si>
    <t>GLV CUT RES XL 13 GA HPPE/STEEL ANSI A7</t>
  </si>
  <si>
    <t>TYPE: Cut Resistant, SIZE: XL, MATERIAL: HPPE/Steel</t>
  </si>
  <si>
    <t>MEG92743BPXXL</t>
  </si>
  <si>
    <t>GLV CUT RES DPD 13 GA SALT PEPR STL 2X</t>
  </si>
  <si>
    <t>TYPE: Cut Resistant, SIZE: 2X, MATERIAL: Salt and Pepper Steel, COLOR: Salt and Pepper</t>
  </si>
  <si>
    <t>HONS3960HS</t>
  </si>
  <si>
    <t>GGL GRY FLME CLN LENS HYDROSHIELD AF</t>
  </si>
  <si>
    <t>LENS COLOR: GRAY</t>
  </si>
  <si>
    <t>RPB16-530</t>
  </si>
  <si>
    <t>HRNS HEAD RTCHT Z-LNK ASSY</t>
  </si>
  <si>
    <t>3MRM-350</t>
  </si>
  <si>
    <t>SUSP HEAD REPL M-350 AAD</t>
  </si>
  <si>
    <t>INCLUDES: (6) POINT SUSPENSION, BRAND AND SERIES: 3M M-SERIES, COLOR: BLACK, PRODUCT TYPE: HEAD SUSPENSION, SERIES: M-SERIES, FOR USE WITH: M-300 HARDHATS; M-400 HARDHATS, WIDTH: 20 TO 25-1/5 IN</t>
  </si>
  <si>
    <t>11W004</t>
  </si>
  <si>
    <t>TIL50M</t>
  </si>
  <si>
    <t>GLV MIG MD TOP GN CWHD FLCE LND PLM</t>
  </si>
  <si>
    <t>TYPE: MIG, SIZE: MD, MATERIAL: Top Grain Cowhide, Fleece Lined Palm</t>
  </si>
  <si>
    <t>TIL50S</t>
  </si>
  <si>
    <t>GLV MIG SM BLK GN SPLT</t>
  </si>
  <si>
    <t>TYPE: MIG, SIZE: SM, MATERIAL: SPLIT LEATHER, COLOR: BLACK/GREEN</t>
  </si>
  <si>
    <t>W43AS1000HAT-SPL</t>
  </si>
  <si>
    <t>FCSHD ARC FLSH CHIN CUP SA29R FRNT BRM</t>
  </si>
  <si>
    <t>SI0KFG1T18M</t>
  </si>
  <si>
    <t>\\ SLV CONTENDER MD 18" ARAMID BLND TPRD</t>
  </si>
  <si>
    <t>LENGTH: 18", MATERIAL: Aramid Blend</t>
  </si>
  <si>
    <t>RPBNV2029</t>
  </si>
  <si>
    <t>HS BRTHG AIR SPLY 3/8"X50'</t>
  </si>
  <si>
    <t>SIZE: 3/8" X 50'</t>
  </si>
  <si>
    <t>MSA475368</t>
  </si>
  <si>
    <t>HRDHT V-GARD BLU RTCHT N/SLTD PE</t>
  </si>
  <si>
    <t>MSA475370</t>
  </si>
  <si>
    <t>HRDHT V-GARD GRN RTCHT N/SLTD PE</t>
  </si>
  <si>
    <t>TYPE: V-Gard, MATERIAL: Polyethylene</t>
  </si>
  <si>
    <t>ALE7103</t>
  </si>
  <si>
    <t>PD KN FLEXKNEE RBBR CAP</t>
  </si>
  <si>
    <t>TYPE: Knee Pad, MATERIAL: Rubber</t>
  </si>
  <si>
    <t>SI0399GKGL5S</t>
  </si>
  <si>
    <t>GLV LTHR GTSN SIL LND 5" SM W/ STRP</t>
  </si>
  <si>
    <t>SIZE: SM, LENGTH: 5", MATERIAL: LEATHER, COLOR: SILVER, CUFF: GAUNTLET WITH STRAP</t>
  </si>
  <si>
    <t>N33TEEY2LSPC33X</t>
  </si>
  <si>
    <t>TSHT HIVIS 3X 6.25OZ YLW</t>
  </si>
  <si>
    <t>LENGTH: 3X, MATERIAL: 6.25OZ YLW</t>
  </si>
  <si>
    <t>RAD64051602</t>
  </si>
  <si>
    <t>GLS SFTY CLR A/FG ELITE PLS BLK ADJBL</t>
  </si>
  <si>
    <t>N33C04UP033X49</t>
  </si>
  <si>
    <t>CT FR 3X 49" LNG 9OZ ULSFT NVY H&amp;L 12CAL</t>
  </si>
  <si>
    <t>SIZE: 49" LNG, MATERIAL: FR (Flame Resistant), COLOR: NVY (Navy)</t>
  </si>
  <si>
    <t>3MR8210</t>
  </si>
  <si>
    <t>&gt;&gt; RESP PRTCLT N95 DSPBL</t>
  </si>
  <si>
    <t>TYPE: N95, USE: Particulate</t>
  </si>
  <si>
    <t>PIP150-SK-0-11</t>
  </si>
  <si>
    <t>\\  ELTRCL SFTY KT CL 0 SZ 11 CNTN</t>
  </si>
  <si>
    <t>VOLTAGE: Class 0, SIZE: 11</t>
  </si>
  <si>
    <t>M19410GRN</t>
  </si>
  <si>
    <t>PDLCK 1 1/2" SHKL GRN KYD DFRT TPL LTWT</t>
  </si>
  <si>
    <t>D629501403</t>
  </si>
  <si>
    <t>SFTY STRP SUSP TRMA FOR MOST HRNS 1PR</t>
  </si>
  <si>
    <t>WMEULTRAVIEWPLUSTC</t>
  </si>
  <si>
    <t>HLMT WLDG ULTRAVIEW PLS TC TRU COL</t>
  </si>
  <si>
    <t>WELDCOTE METALS INC</t>
  </si>
  <si>
    <t>TIL6012</t>
  </si>
  <si>
    <t>HOOD 9OZ GRN HK LP FR</t>
  </si>
  <si>
    <t>TYPE: Hood, MATERIAL: FR (Flame Resistant) fabric, COLOR: Green</t>
  </si>
  <si>
    <t>HONMXM-1</t>
  </si>
  <si>
    <t>ERPG UCRD MXM-1 SNGL USE MXM BL SHAPE PU</t>
  </si>
  <si>
    <t>DISPOSABLE / REUSABLE: DISPOSABLE, CORDED: NO, NOISE REDUCTION RATING: 33 DB, METAL DETECTABLE: NO, MATERIAL: POLYURETHANE, SHAPE: BELL, INSERTION METHOD: ROLL-DOWN</t>
  </si>
  <si>
    <t>RAD64055136</t>
  </si>
  <si>
    <t>APRON PRM LTHR WST 24" X 24" BRBN BRN</t>
  </si>
  <si>
    <t>TYPE: Apron, SIZE: 24" x 24", MATERIAL: Leather, COLOR: Brown</t>
  </si>
  <si>
    <t>D63SUN100ML</t>
  </si>
  <si>
    <t>CRM SUN PROT 30 PURE SPF 30 100ML TB</t>
  </si>
  <si>
    <t>DEB USA INC</t>
  </si>
  <si>
    <t>TYPE: Sun Protection Cream, SIZE: 100ML</t>
  </si>
  <si>
    <t>ANE80-813-11</t>
  </si>
  <si>
    <t>GLV FR 11.0 KVLR SHL FM NTRL PLM</t>
  </si>
  <si>
    <t>VOLTAGE: 11.0 KV, MATERIAL: Kevlar, COLOR: Natural</t>
  </si>
  <si>
    <t>PIP150-SK-0-8</t>
  </si>
  <si>
    <t>\\  ELTRCL SFTY KT CL 0 SZ 8 CNTN</t>
  </si>
  <si>
    <t>VOLTAGE: Class 0, SIZE: 8</t>
  </si>
  <si>
    <t>D622101630</t>
  </si>
  <si>
    <t>ACHR 1/4"X2"X4-1/2" D-RNG PLA CAD</t>
  </si>
  <si>
    <t>TYPE: D-RING, SIZE: 1/4" X 2" X 4-1/2", MATERIAL: PLATED CADMIUM</t>
  </si>
  <si>
    <t>DZ</t>
  </si>
  <si>
    <t>RPB16-926</t>
  </si>
  <si>
    <t>LNK VSN QR LTCH LVR ASSY</t>
  </si>
  <si>
    <t>3MRM-150</t>
  </si>
  <si>
    <t>SUSP HEAD REPL M-150/37316 AAD AAD</t>
  </si>
  <si>
    <t>D63TVC100ML</t>
  </si>
  <si>
    <t>CRM PRE WORK CLSSC 100ML TB FRSH SCNT</t>
  </si>
  <si>
    <t>3MR6800</t>
  </si>
  <si>
    <t>RESP FUL FCEPCE RUSBL RESPY PRTN MD 6800</t>
  </si>
  <si>
    <t>TYPE: FULL FACEPIECE REUSABLE, SIZE: MEDIUM</t>
  </si>
  <si>
    <t>SEL20393</t>
  </si>
  <si>
    <t>HRDHT CHGR BLU 4PT RTCHT SLTD RN TROUGH</t>
  </si>
  <si>
    <t>ANE80-813-8</t>
  </si>
  <si>
    <t>GLV FR 8.0 KVLR SHL FM NTRL PLM</t>
  </si>
  <si>
    <t>SIZE: 8.0, MATERIAL: Kevlar, COLOR: Natural</t>
  </si>
  <si>
    <t>RPB08-462</t>
  </si>
  <si>
    <t>SLFD HYGN GX4 H2S 20PPM</t>
  </si>
  <si>
    <t>PIP150-SK-00-11</t>
  </si>
  <si>
    <t>\\  ELTRCL SFTY KT CL 00 SZ 11 CNTN</t>
  </si>
  <si>
    <t>VOLTAGE: Class 00, SIZE: 11, MATERIAL: Cotton</t>
  </si>
  <si>
    <t>PIP150-SK-00-12</t>
  </si>
  <si>
    <t>\\  ELTRCL SFTY KT CL 00 SZ 12 CNTN</t>
  </si>
  <si>
    <t>VOLTAGE: Class 00, SIZE: 12</t>
  </si>
  <si>
    <t>PIP150-SK-00-7</t>
  </si>
  <si>
    <t>\\  ELTRCL SFTY KT CL 00 SZ 7 CNTN</t>
  </si>
  <si>
    <t>VOLTAGE: Class 00 (500V), SIZE: 7</t>
  </si>
  <si>
    <t>RAD64051604</t>
  </si>
  <si>
    <t>GLS SFTY GRY ELITE PLS BLK ADJBL RTCHT</t>
  </si>
  <si>
    <t>TYPE: Safety Glasses, LENS COLOR: Gray, FRAME COLOR: Black, ATTACHMENTS: Adjustable Ratchet</t>
  </si>
  <si>
    <t>P07HP14030</t>
  </si>
  <si>
    <t>HARDHAT STANDARD YLW SNP LCK</t>
  </si>
  <si>
    <t>COLOR: YELLOW</t>
  </si>
  <si>
    <t>P07HP44130V</t>
  </si>
  <si>
    <t>HRDHT RDGLNE CAP STYL YLW 4PT RTCHT SUSP</t>
  </si>
  <si>
    <t>TYPE: Cap Style</t>
  </si>
  <si>
    <t>P07HP44160V</t>
  </si>
  <si>
    <t>HRDHT RIDGELINE CAP STYL BLU 4 PT VNTD</t>
  </si>
  <si>
    <t>MIL287815</t>
  </si>
  <si>
    <t>HLMT CLSSC SERS VS RISE W/ CLEARLIGHT</t>
  </si>
  <si>
    <t>MIL288519</t>
  </si>
  <si>
    <t>HLMT CLSSC SERS BS MTL MATRIX</t>
  </si>
  <si>
    <t>MSA475360</t>
  </si>
  <si>
    <t>HDCP VGARD YLW RTCHT SLTD PE STD</t>
  </si>
  <si>
    <t>TYPE: V-Gard, SIZE: Standard, MATERIAL: Polyethylene</t>
  </si>
  <si>
    <t>KPG159060119</t>
  </si>
  <si>
    <t>DRNK QWIKSTIK ZERO TB ASRTD 20OZ YIELD</t>
  </si>
  <si>
    <t>M19GENERIC</t>
  </si>
  <si>
    <t>[DS] MASTER LOCK CO</t>
  </si>
  <si>
    <t>OCCHZSWT-OXL</t>
  </si>
  <si>
    <t>HOODIE FUL ZIP XL ORG PLYST 9OZ 2" REFLV</t>
  </si>
  <si>
    <t>TYPE: Hoodie, SIZE: XL, MATERIAL: Polyester</t>
  </si>
  <si>
    <t>SI0KFG1T18S</t>
  </si>
  <si>
    <t>\\ SLV CONTENDER SM 18" ARAMID BLND TPRD</t>
  </si>
  <si>
    <t>SEL14944</t>
  </si>
  <si>
    <t>ADPTR CAP MNT 382B SLTD CAPS BLD MNT</t>
  </si>
  <si>
    <t>RPBNV2028</t>
  </si>
  <si>
    <t>HS AIR SPLY BRTHG 25'</t>
  </si>
  <si>
    <t>TYPE: Air Supply Breathing Hose, USE: Supplies breathable air to respirators, SIZE: 25 ft</t>
  </si>
  <si>
    <t>REVJF1012LM3X</t>
  </si>
  <si>
    <t>CT FR 3X 30" CTTN 9 OZ LME W/SLVR REFLV</t>
  </si>
  <si>
    <t>PIP6040/XL</t>
  </si>
  <si>
    <t>GLV CUT RES HVYWT GN CWHD XL KVTW LNR 4"</t>
  </si>
  <si>
    <t>TYPE: Cut Resistant, SIZE: XL, LENGTH: 4", MATERIAL: Kevlar, COLOR: Green, CUFF: Cuff with Hemmed Edge</t>
  </si>
  <si>
    <t>TIL502X</t>
  </si>
  <si>
    <t>GLV MIG TOP GN CWHD 2X FLCE LND PLM</t>
  </si>
  <si>
    <t>REVJF1012LM2X</t>
  </si>
  <si>
    <t>CT FR 2X 30" CTTN 9 OZ LME W/SLVR REFLV</t>
  </si>
  <si>
    <t>SI0KFG1T18</t>
  </si>
  <si>
    <t>\\ SLV CONTENDER LG 18" ARAMID BLND TPRD</t>
  </si>
  <si>
    <t>SI0KFG1T18XL</t>
  </si>
  <si>
    <t>\\ SLV CUT RES XL 18" TPRD KNT ARAMID</t>
  </si>
  <si>
    <t>TYPE: CUT RESISTANT, LENGTH: 18", MATERIAL: ARAMID</t>
  </si>
  <si>
    <t>TIL550</t>
  </si>
  <si>
    <t>PD BACKHAND 7-1/2"X5-3/4" 19OZ ALUMZD CR</t>
  </si>
  <si>
    <t>SIZE: 7-1/2" x 5-3/4", MATERIAL: Aluminum Oxide, TYPE: Backhand Pad</t>
  </si>
  <si>
    <t>T52J44122-3X</t>
  </si>
  <si>
    <t>JCKT SFTY FLSCNT YLW GRN 3X 2" SLVR</t>
  </si>
  <si>
    <t>TINGLEY RUBBER CORP</t>
  </si>
  <si>
    <t>TYPE: Safety Jacket, SIZE: 3X, COLOR: Fluorescent Yellow Green</t>
  </si>
  <si>
    <t>REVJF1012LML</t>
  </si>
  <si>
    <t>CT FR LG 30" CTTN 9 OZ LME W/SLVR REFLV</t>
  </si>
  <si>
    <t>REVJF1012LMXL</t>
  </si>
  <si>
    <t>CT FR XL 30" CTTN 9 OZ LME W/SLVR REFLV</t>
  </si>
  <si>
    <t>RN2SV6-2ZOM-2X</t>
  </si>
  <si>
    <t>VST 2X MSH ORG 2" TP HRZNL TP FRNT &amp; BCK</t>
  </si>
  <si>
    <t>TYPE: Mesh, SIZE: 2"</t>
  </si>
  <si>
    <t>RN2SV6O2X</t>
  </si>
  <si>
    <t>\\ VST SRVYR 2X PLYST ORG HIVIS REFLV</t>
  </si>
  <si>
    <t>SIZE: 2X, MATERIAL: POLYESTER, COLOR: ORANGE</t>
  </si>
  <si>
    <t>RN2SV6OS</t>
  </si>
  <si>
    <t>\\ VST SRVYR SM PLYST ORG HIVIS REFLV</t>
  </si>
  <si>
    <t>RN2SV6OXL</t>
  </si>
  <si>
    <t>\\ VST SRVYR XL PLYST ORG HIVIS REFLV</t>
  </si>
  <si>
    <t>SIZE: XL, MATERIAL: Polyester, COLOR: Orange</t>
  </si>
  <si>
    <t>D623100107</t>
  </si>
  <si>
    <t>CONN ASSY</t>
  </si>
  <si>
    <t>E5718336</t>
  </si>
  <si>
    <t>PD KN OSFA SLP RES RBBR CAP BLK</t>
  </si>
  <si>
    <t>SIZE: OSFA, MATERIAL: RUBBER, STYLE: SLOPE</t>
  </si>
  <si>
    <t>MIL216327</t>
  </si>
  <si>
    <t>CVR LENS 4-3/16"X2-1/2" INSD</t>
  </si>
  <si>
    <t>MSA10118418</t>
  </si>
  <si>
    <t>LNR WNTR V-GARD KNT HAT CAP CVR 12/SET</t>
  </si>
  <si>
    <t>TYPE: Knit Hat</t>
  </si>
  <si>
    <t>HONS6904</t>
  </si>
  <si>
    <t>[AD] LENS REPL SCT-REFLECT 50 GNS UL/DU</t>
  </si>
  <si>
    <t>TYPE: Replacement Lens, SHADE: Gold</t>
  </si>
  <si>
    <t>CB2234KV</t>
  </si>
  <si>
    <t>GLV 14" 22OZ PARA-ARAMID BLND 5 FNGR</t>
  </si>
  <si>
    <t>TYPE: 5 Finger, LENGTH: 14", MATERIAL: Para-Aramid Blend</t>
  </si>
  <si>
    <t>OCCTJBJ-YL</t>
  </si>
  <si>
    <t>JCKT BMBR 4-WAY LG PLYST YLW PU COTNG</t>
  </si>
  <si>
    <t>TYPE: Bomber Jacket, SIZE: Large, MATERIAL: Polyester</t>
  </si>
  <si>
    <t>OCCTJBJ-YXL</t>
  </si>
  <si>
    <t>JCKT BMBR 4-WAY XL PLYST YLW PU COTNG</t>
  </si>
  <si>
    <t>RAI00228040-13</t>
  </si>
  <si>
    <t>META-PAC SZ 13 BLK/YLW 12" S/T WK BT</t>
  </si>
  <si>
    <t>TYPE: Boot, SIZE: 13, COLOR: Black/Yellow</t>
  </si>
  <si>
    <t>RAI00228040-8</t>
  </si>
  <si>
    <t>META-PAC SZ 8 BLK/YLW 12" S/T RBBR WK BT</t>
  </si>
  <si>
    <t>TYPE: Steel Toe, SIZE: 8, HEIGHT: 12", MATERIAL: Rubber, COLOR: Black/Yellow</t>
  </si>
  <si>
    <t>ANERIG011R090</t>
  </si>
  <si>
    <t>GLV ELTRCN 9 RED RIG CL 0 11"</t>
  </si>
  <si>
    <t>VOLTAGE: Class 0, SIZE: 9, LENGTH: 11", COLOR: Red</t>
  </si>
  <si>
    <t>MIL235676</t>
  </si>
  <si>
    <t>SPRK ARSTR PAPR</t>
  </si>
  <si>
    <t>T52J44122-S</t>
  </si>
  <si>
    <t>JCKT SFTY FLSCNT YLW GRN SM 2" SLVR</t>
  </si>
  <si>
    <t>SIZE: SM, COLOR: FLUORESCENT YELLOW GREEN</t>
  </si>
  <si>
    <t>TIL6230D3X</t>
  </si>
  <si>
    <t>JCKT 3X 30" 9OZ CTTN HIVIS ORG SNPS FR</t>
  </si>
  <si>
    <t>TYPE: Jacket, SIZE: 3X 30", MATERIAL: 9 oz Cotton</t>
  </si>
  <si>
    <t>SI0SNOW388VM</t>
  </si>
  <si>
    <t>GLV CLD WTHR CLARINO PLM MD PVC VLCO</t>
  </si>
  <si>
    <t>TYPE: Cold Weather, MATERIAL: Clarino, PVC</t>
  </si>
  <si>
    <t>E5719112</t>
  </si>
  <si>
    <t>GRBR DL CLP BLK</t>
  </si>
  <si>
    <t>HONS3761</t>
  </si>
  <si>
    <t>GLS SFTY CLR GNS RDR MAGFR +1.5 DIO</t>
  </si>
  <si>
    <t>TYPE: Safety Glasses, LENS COLOR: Clear, FRAME COLOR: Green</t>
  </si>
  <si>
    <t>HONS3760</t>
  </si>
  <si>
    <t>GLS SFTY CLR GNS RDR MAGFR +1.0 DIO</t>
  </si>
  <si>
    <t>HONS3763</t>
  </si>
  <si>
    <t>GLS SFTY CLR GNS RDR MAGFR +2.5 DIO</t>
  </si>
  <si>
    <t>PIPGENERIC</t>
  </si>
  <si>
    <t>[DS] PROTECTIVE INDUSTRIAL PRODUCTS</t>
  </si>
  <si>
    <t>RPB15-839</t>
  </si>
  <si>
    <t>CLP CAPE FRNT Z4 VSN LNK MNT</t>
  </si>
  <si>
    <t>HON32-000454-0000</t>
  </si>
  <si>
    <t>BTL EYEW 16OZ STRL 12 EA /CASE</t>
  </si>
  <si>
    <t>TYPE: Sterile, CONTAINER: Bottle</t>
  </si>
  <si>
    <t>T52J44122-M</t>
  </si>
  <si>
    <t>JCKT SFTY FLSCNT YLW GRN MD 2" SLVR</t>
  </si>
  <si>
    <t>TYPE: Safety Jacket, SIZE: Medium, COLOR: Fluorescent Yellow Green</t>
  </si>
  <si>
    <t>T52J44122-XL</t>
  </si>
  <si>
    <t>JCKT SFTY FLSCNT YLW GRN XL 2" SLVR</t>
  </si>
  <si>
    <t>SIZE: XL, COLOR: Fluorescent Yellow Green</t>
  </si>
  <si>
    <t>BRD65563</t>
  </si>
  <si>
    <t>LCKT GATE VLV RED 6-1/2" - 10" HDL DMTR</t>
  </si>
  <si>
    <t>TYPE: GATE, SIZE: 6-1/2" - 10", STYLE: LOCKED</t>
  </si>
  <si>
    <t>TIL4236</t>
  </si>
  <si>
    <t>APRON BIB 24"X36" PRM CWHD BRBN BRN SPLT</t>
  </si>
  <si>
    <t>TYPE: Bib Apron, SIZE: 24" x 36", MATERIAL: Split Cowhide</t>
  </si>
  <si>
    <t>H30SP829</t>
  </si>
  <si>
    <t>SHWRHD 1" DRENCH AXION MSR ABS PLSTC 20</t>
  </si>
  <si>
    <t>SIZE: 1"</t>
  </si>
  <si>
    <t>RPBSPM520</t>
  </si>
  <si>
    <t>VSR PEEL OFF ELIPSE INTERGRA 10/PK</t>
  </si>
  <si>
    <t>TYPE: Peel Off Lens</t>
  </si>
  <si>
    <t>RN2SJ11QB-3ZOS-3X</t>
  </si>
  <si>
    <t>JCKT HIVIZ BMBR 3X PU CTD ORG</t>
  </si>
  <si>
    <t>SIZE: 3X, MATERIAL: PU Coated, COLOR: Orange</t>
  </si>
  <si>
    <t>3MR320-2001</t>
  </si>
  <si>
    <t>PRTR HRG MDL 600 HRG CNSRVTN 320-2001</t>
  </si>
  <si>
    <t>STYLE: BANDED, EARPLUG PAIR PACK TYPE: PLASTIC BAG, SUB-BRAND: E-A-R(TM) CABOFLEX(TM) 600, METAL-DETECTABLE: NO, BAND MATERIAL: ABS; PVC; SILICONE, BAND COLOR: BLUE, STANDARDS: ANSI S3.19-1974; NSN 6515-01-149-4133</t>
  </si>
  <si>
    <t>6AP94</t>
  </si>
  <si>
    <t>BHN40250</t>
  </si>
  <si>
    <t>GLS SFTY CLR A/FG A/SCRTCH YLW/BLK RUSH+</t>
  </si>
  <si>
    <t>BUSHNELL HLD</t>
  </si>
  <si>
    <t>TYPE: Safety Glasses, LENS COLOR: Clear, FRAME COLOR: Yellow/Black</t>
  </si>
  <si>
    <t>OCCTJR-OXL</t>
  </si>
  <si>
    <t>JCKT RN XL BRTHBL PLYST PU CTD ORG 34"</t>
  </si>
  <si>
    <t>TYPE: Jacket, SIZE: X-Large, MATERIAL: Breathable Polyester, Polyurethane Coated</t>
  </si>
  <si>
    <t>OCCTJFS-O3X</t>
  </si>
  <si>
    <t>PARKA 5-IN-1 3X PLYST PU COTNG ORG HOOD</t>
  </si>
  <si>
    <t>SIZE: 3X, MATERIAL: Polyester, Polyurethane Coating, ATTACHMENTS: Hood</t>
  </si>
  <si>
    <t>OCCSWT3HZ-OL</t>
  </si>
  <si>
    <t>SWT HOODIE LG WCKG PLYST ORG 2" TP</t>
  </si>
  <si>
    <t>OCCSWT3HZ-OS</t>
  </si>
  <si>
    <t>SWT HOODIE SM WCKG PLYST ORG 2" TP</t>
  </si>
  <si>
    <t>TYPE: Hoodie, SIZE: SM, MATERIAL: Polyester, COLOR: Orange</t>
  </si>
  <si>
    <t>RPB16-811</t>
  </si>
  <si>
    <t>LENS TEAR-OFF Z-LINK</t>
  </si>
  <si>
    <t>TYPE: Tear-Off</t>
  </si>
  <si>
    <t>E5723390</t>
  </si>
  <si>
    <t>VST CL 2 6XL/7XL INCDNT CMND HIVIS ORG</t>
  </si>
  <si>
    <t>SIZE: 6XL/7XL, COLOR: Hi-Vis Orange</t>
  </si>
  <si>
    <t>KPG159060201</t>
  </si>
  <si>
    <t>DRNK QWIKSTIK BULK ZERO MXD BRY 10OZ YLD</t>
  </si>
  <si>
    <t>TYPE: Drink Mix, CONTAINER: Stick Pack</t>
  </si>
  <si>
    <t>KPG159060202</t>
  </si>
  <si>
    <t>DRNK QWIKSTIK BULK ZERO PNCH 10OZ YLD</t>
  </si>
  <si>
    <t>HONS3200HS</t>
  </si>
  <si>
    <t>GLS BLK FRM CLR LENS HYDROSHIELD AF GNS</t>
  </si>
  <si>
    <t>OCCTJFS-OS</t>
  </si>
  <si>
    <t>PARKA 5-IN-1 SM PLYST PU COTNG ORG HOOD</t>
  </si>
  <si>
    <t>SIZE: SM, MATERIAL: POLYESTER, POLYURETHANE COATING, COLOR: ORANGE</t>
  </si>
  <si>
    <t>RAD64051661</t>
  </si>
  <si>
    <t>GLS SFTY OVR THE GLASS</t>
  </si>
  <si>
    <t>TYPE: Over-the-Glass Safety Glasses</t>
  </si>
  <si>
    <t>RPB18-533</t>
  </si>
  <si>
    <t>ERMF QUIET-LINK RPB</t>
  </si>
  <si>
    <t>MEG5409S</t>
  </si>
  <si>
    <t>GLV CHEM-TECH SZ 9 28 MIL NPRN BLU OVR</t>
  </si>
  <si>
    <t>TYPE: Chemical-Resistant, SIZE: 9, MATERIAL: Nitrile, COLOR: Blue</t>
  </si>
  <si>
    <t>3MR310-1101</t>
  </si>
  <si>
    <t>ERPG UCRD HRG CNSRVTN IN PLW PK</t>
  </si>
  <si>
    <t>CB2GB12</t>
  </si>
  <si>
    <t>GLV BG 12"</t>
  </si>
  <si>
    <t>SIZE: 12", STYLE: GLOBE</t>
  </si>
  <si>
    <t>D621002008</t>
  </si>
  <si>
    <t>ADPTR TIE OFF 8'</t>
  </si>
  <si>
    <t>SIZE: 8'</t>
  </si>
  <si>
    <t>PIP148-1000/9</t>
  </si>
  <si>
    <t>PRTR TOP GN GTSN LTHR SZ 9 NAT</t>
  </si>
  <si>
    <t>SIZE: 9, MATERIAL: LEATHER</t>
  </si>
  <si>
    <t>ANE39-122-10</t>
  </si>
  <si>
    <t>GLV CHEM RES 10.0 GRN NTRL</t>
  </si>
  <si>
    <t>TYPE: Chemical Resistant, SIZE: 10.0, MATERIAL: Nitrile, COLOR: Green</t>
  </si>
  <si>
    <t>ANE39-122-8</t>
  </si>
  <si>
    <t>GLV CHEM RES 8.0 GRN NTRL</t>
  </si>
  <si>
    <t>SIZE: 8.0, MATERIAL: Nitrile, COLOR: Green</t>
  </si>
  <si>
    <t>ANE39-122-9</t>
  </si>
  <si>
    <t>GLV CHEM RES 9.0 GRN NTRL</t>
  </si>
  <si>
    <t>TYPE: Chemical Resistant, SIZE: 9.0, MATERIAL: Nitrile, COLOR: Green</t>
  </si>
  <si>
    <t>P07GB1810ST</t>
  </si>
  <si>
    <t>GLS V2G CLR AF STRP/TMPLS 12/BX</t>
  </si>
  <si>
    <t>3MR06-0500-65</t>
  </si>
  <si>
    <t>BG PROTV WLDG SFTY 06-0500-65 1 PER CA</t>
  </si>
  <si>
    <t>Brand: SPEEDGLAS, For Use With: 9100 MP Welding Helmets, System Type: PAPR System, Brand and Series: 3M Speedglas, Color: Black, Standards: ANSI Z87.1-2010, Material: Nylon</t>
  </si>
  <si>
    <t>32V215</t>
  </si>
  <si>
    <t>RAD64005036</t>
  </si>
  <si>
    <t>LENS CVR CLR 4.5X5.25 CR-39</t>
  </si>
  <si>
    <t>MATERIAL: CR-39</t>
  </si>
  <si>
    <t>T52O44122-S</t>
  </si>
  <si>
    <t>OVRLL SFTY FLSCNT YLW GRN FLY FRNT</t>
  </si>
  <si>
    <t>COLOR: Fluorescent Yellow Green</t>
  </si>
  <si>
    <t>RPB16-875</t>
  </si>
  <si>
    <t>LENS MAG HLDR ASSY</t>
  </si>
  <si>
    <t>RPB07-765</t>
  </si>
  <si>
    <t>BEL 2" &amp; NYLN BCL PX4</t>
  </si>
  <si>
    <t>SIZE: 2", MATERIAL: NYLON</t>
  </si>
  <si>
    <t>MSA10171104</t>
  </si>
  <si>
    <t>STRP CHIN 2 PT 3/4" PLYST WBG 10/PK</t>
  </si>
  <si>
    <t>TYPE: Chin Strap, SIZE: 3/4", MATERIAL: Polyester</t>
  </si>
  <si>
    <t>M19453L</t>
  </si>
  <si>
    <t>SACK CINCH LCKT 6 1/4" X 17" ODD SZ &amp; LG</t>
  </si>
  <si>
    <t>SIZE: 6 1/4" X 17"</t>
  </si>
  <si>
    <t>RPB16-913</t>
  </si>
  <si>
    <t>COWLING REAR VSN LNK</t>
  </si>
  <si>
    <t>RN2SJ11QB-3ZOS-L</t>
  </si>
  <si>
    <t>JCKT HIVIZ BMBR LG PU CTD ORG</t>
  </si>
  <si>
    <t>SIZE: LG, MATERIAL: PU CTD, COLOR: ORG</t>
  </si>
  <si>
    <t>RN2SJ11QB-3ZOS-XL</t>
  </si>
  <si>
    <t>JCKT HIVIZ BMBR XL PU CTD ORG</t>
  </si>
  <si>
    <t>SIZE: XL, MATERIAL: PU Coated, COLOR: Orange</t>
  </si>
  <si>
    <t>RAD64005022</t>
  </si>
  <si>
    <t>LENS MAGNFTN 2.00 2X4.25 PLYCRB</t>
  </si>
  <si>
    <t>TYPE: Magnifying Lens, SIZE: 2.00 2X4.25, MATERIAL: Polycarbonate</t>
  </si>
  <si>
    <t>OCCTJBJ-OL</t>
  </si>
  <si>
    <t>JCKT BMBR 4-WAY LG PLYST ORG PU COTNG</t>
  </si>
  <si>
    <t>OCCTJBJ-OXL</t>
  </si>
  <si>
    <t>JCKT BMBR 4-WAY XL PLYST ORG PU COTNG</t>
  </si>
  <si>
    <t>OCCTJBJ-YM</t>
  </si>
  <si>
    <t>JCKT BMBR 4-WAY MD PLYST YLW PU COTNG</t>
  </si>
  <si>
    <t>TYPE: Bomber Jacket, MATERIAL: Polyester</t>
  </si>
  <si>
    <t>MSA454231</t>
  </si>
  <si>
    <t>SUSP ASSY STAZ-ON STD SKULLARGEARD</t>
  </si>
  <si>
    <t>TYPE: STAZ-ON, SIZE: LARGE</t>
  </si>
  <si>
    <t>KPG159015308</t>
  </si>
  <si>
    <t>DRNK FST PK LIQ CNCTRT LML 6OZ YLD</t>
  </si>
  <si>
    <t>FORM: LIQUID, CONTAINER: CAN</t>
  </si>
  <si>
    <t>ANE113783</t>
  </si>
  <si>
    <t>GLV ELTRCN SZ 9.0 BLK RIG 11" CL0</t>
  </si>
  <si>
    <t>VOLTAGE: Class 0, SIZE: 9, LENGTH: 11", COLOR: Black</t>
  </si>
  <si>
    <t>ANE113784</t>
  </si>
  <si>
    <t>GLV ELTRCN SZ 10.0 BLK RIG 11" CL0</t>
  </si>
  <si>
    <t>SIZE: 10.0, LENGTH: 11", COLOR: BLACK</t>
  </si>
  <si>
    <t>ANE123733</t>
  </si>
  <si>
    <t>GLV ELTRCN SZ 9.5 BLK RIG 11" CL0</t>
  </si>
  <si>
    <t>VOLTAGE: Class 0, SIZE: 9.5, LENGTH: 11", COLOR: Black</t>
  </si>
  <si>
    <t>ANEGENERIC</t>
  </si>
  <si>
    <t>[DS] ANSELL HEALTHCARE PRODUCTS</t>
  </si>
  <si>
    <t>B13CHMYXL-10</t>
  </si>
  <si>
    <t>GLV CHEM RES NPRN RBBR XL YLW/BLU 12"</t>
  </si>
  <si>
    <t>TYPE: Chemical Resistant, SIZE: XL, LENGTH: 12", MATERIAL: Nitrile Rubber, COLOR: Yellow/Blue</t>
  </si>
  <si>
    <t>3MR8515</t>
  </si>
  <si>
    <t>PRTCLT WLDG RESP N95 8515/07189 AAD</t>
  </si>
  <si>
    <t>TYPE: N95, USE: Welding</t>
  </si>
  <si>
    <t>OCCTJBJ-YS</t>
  </si>
  <si>
    <t>JCKT BMBR 4-WAY SM PLYST YLW PU COTNG</t>
  </si>
  <si>
    <t>TYPE: Bomber Jacket, SIZE: Small, MATERIAL: Polyester</t>
  </si>
  <si>
    <t>M92334948</t>
  </si>
  <si>
    <t>GLV CHEM RES NPRN 8 BLU &amp; BLK MDWT  NL34</t>
  </si>
  <si>
    <t>LEHIGH GROUP LLC</t>
  </si>
  <si>
    <t>HON998</t>
  </si>
  <si>
    <t>HLMT WLDG 998 4-1/2"X5-1/4" FXD FRNT TPL</t>
  </si>
  <si>
    <t>Type: Welding Helmet, Helmet Color: Gray, Helmet Graphics: None, Product Line: Tigerhood Classic, Helmet Material: Plastic, Window Height: 4-1/2 in, Window Width: 5-1/4 in</t>
  </si>
  <si>
    <t>PIP150-0-11/9.5</t>
  </si>
  <si>
    <t>\\  GLV ELTRCL RBBR SZ 9.5 BLK 11" UNL</t>
  </si>
  <si>
    <t>SIZE: 9.5, LENGTH: 11", MATERIAL: Rubber, COLOR: Black</t>
  </si>
  <si>
    <t>3MR6885</t>
  </si>
  <si>
    <t>CVR FCSHD RESPY PRTN ACC</t>
  </si>
  <si>
    <t>RAD64051101</t>
  </si>
  <si>
    <t>GLS SFTY CLR VSTR SPEC CLR SDSHLD</t>
  </si>
  <si>
    <t>TYPE: Visitor Safety Glasses, LENS COLOR: Clear, FRAME COLOR: Clear, ATTACHMENTS: Side Shields</t>
  </si>
  <si>
    <t>BRD66321</t>
  </si>
  <si>
    <t>LCKT MLT POLE UNIV BRKR</t>
  </si>
  <si>
    <t>POLE: MULTI-POLE, TYPE: UNIVERSAL BREAKER</t>
  </si>
  <si>
    <t>A81MLT603LPP</t>
  </si>
  <si>
    <t>TAG DNGR EQUIP LOCK OUT MY SL-P 25EA/PK</t>
  </si>
  <si>
    <t>ACCUFORM SIGNS</t>
  </si>
  <si>
    <t>DESIGNATION: DANGER EQUIPMENT LOCK OUT</t>
  </si>
  <si>
    <t>OCCTJR-OL</t>
  </si>
  <si>
    <t>JCKT RN LG BRTHBL PLYST PU CTD ORG 34"</t>
  </si>
  <si>
    <t>TYPE: Jacket, SIZE: 34", MATERIAL: Breathable Polyester, Polyurethane Coated</t>
  </si>
  <si>
    <t>RAD64056114</t>
  </si>
  <si>
    <t>CAP WLDG SZ 7-3/8 2000 STYL REV ASRTD</t>
  </si>
  <si>
    <t>TYPE: Welding Cap, SIZE: 7-3/8, COLOR: Assorted</t>
  </si>
  <si>
    <t>OCCSWT3HZ-O3X</t>
  </si>
  <si>
    <t>SWT HOODIE 3X WCKG PLYST ORG 2" TP</t>
  </si>
  <si>
    <t>TYPE: Hoodie, SIZE: 3X, MATERIAL: Polyester, COLOR: Orange</t>
  </si>
  <si>
    <t>BRD65688</t>
  </si>
  <si>
    <t>LCKT SNGL POLE CRCTBRKR 120V RED 6/PK</t>
  </si>
  <si>
    <t>TYPE: Single Pole Circuit Breaker Lockout, COLOR: Red</t>
  </si>
  <si>
    <t>G577000BLUE</t>
  </si>
  <si>
    <t>GLV GRD 7000 UTLITY BLU</t>
  </si>
  <si>
    <t>GLOVE GUARD LP</t>
  </si>
  <si>
    <t>Color: Assorted, Type: Utility Guard Glove Clip</t>
  </si>
  <si>
    <t>PIP250-11-0920</t>
  </si>
  <si>
    <t>GLS SFTY CLR PLYCRB LENS CLR &amp; PNK TMPLS</t>
  </si>
  <si>
    <t>TYPE: Safety Glasses, LENS COLOR: Clear, FRAME COLOR: Pink</t>
  </si>
  <si>
    <t>PIP2940/M</t>
  </si>
  <si>
    <t>GLV DSPBL PWDRF MD 7 MIL NTRL ORG IG TXT</t>
  </si>
  <si>
    <t>TYPE: Disposable, SIZE: Medium, MATERIAL: Nitrile, COLOR: Orange</t>
  </si>
  <si>
    <t>RAD64057782</t>
  </si>
  <si>
    <t>GLV MIG HVYWT GN CWHD PLM LG NVY BLU</t>
  </si>
  <si>
    <t>TYPE: MIG, SIZE: LG, MATERIAL: Cowhide, COLOR: Navy Blue</t>
  </si>
  <si>
    <t>SI0SNOW388V</t>
  </si>
  <si>
    <t>GLV CLD WTHR CLARINO PLM LG PVC VLCO</t>
  </si>
  <si>
    <t>SIZE: LG, MATERIAL: Clarino, PVC</t>
  </si>
  <si>
    <t>RAD64056117</t>
  </si>
  <si>
    <t>CAP WLDG SZ 7-1/2 1000 SNGL SDD ASRTD</t>
  </si>
  <si>
    <t>SIZE: 7-1/2</t>
  </si>
  <si>
    <t>RAD64056118</t>
  </si>
  <si>
    <t>CAP WLDG SZ 7-1/4 1000 SNGL SDD ASRTD</t>
  </si>
  <si>
    <t>TYPE: Welding Cap, SIZE: 7-1/4</t>
  </si>
  <si>
    <t>RAD64056121</t>
  </si>
  <si>
    <t>CAP WLDG SZ 7-3/4 1000 SNGL SDD ASRTD</t>
  </si>
  <si>
    <t>SIZE: 7-3/4</t>
  </si>
  <si>
    <t>RAD64056122</t>
  </si>
  <si>
    <t>CAP WLDG SZ 7 1000 STYL SNGL SDD ASRTD</t>
  </si>
  <si>
    <t>SIZE: 7</t>
  </si>
  <si>
    <t>MSA475369</t>
  </si>
  <si>
    <t>HRDHT V-GARD WHT FAS-TRAC III FUL BRM</t>
  </si>
  <si>
    <t>TYPE: Full Brim</t>
  </si>
  <si>
    <t>KPG159015309</t>
  </si>
  <si>
    <t>DRNK FST PK LIQ CNCTRT TPC 6OZ YLD</t>
  </si>
  <si>
    <t>BHN40249</t>
  </si>
  <si>
    <t>GLS SFTY RUSH+ W/ CLR LENS PNK &amp; WHT</t>
  </si>
  <si>
    <t>TYPE: Safety Glasses, LENS COLOR: Clear, FRAME COLOR: Pink &amp; White</t>
  </si>
  <si>
    <t>MSA477484</t>
  </si>
  <si>
    <t>HDCP VGARD YLW RTCHT SLTD</t>
  </si>
  <si>
    <t>OCC940-018</t>
  </si>
  <si>
    <t>BNDN MIRACOOL CTTN PLYM NVY</t>
  </si>
  <si>
    <t>MATERIAL: Cotton/Polymer, COLOR: Navy</t>
  </si>
  <si>
    <t>PIP250-11-5501</t>
  </si>
  <si>
    <t>GLS SFTY GRY PLYCRB LENS GRY &amp; PNK TMPLS</t>
  </si>
  <si>
    <t>TYPE: Safety Glasses, LENS COLOR: Gray, FRAME COLOR: Gray &amp; Pink</t>
  </si>
  <si>
    <t>KPG159060117</t>
  </si>
  <si>
    <t>\\ DRNK QWIK STIK PWDR STR LMN 10/TB</t>
  </si>
  <si>
    <t>TYPE: POWDERED DRINK MIX, CONTAINER: STICK PACK</t>
  </si>
  <si>
    <t>KPG159060118</t>
  </si>
  <si>
    <t>\\ DRNK QWIK STIK PWDR MXD BRY 10/TB</t>
  </si>
  <si>
    <t>TYPE: Powdered Drink Mix, CONTAINER: Stick Pack</t>
  </si>
  <si>
    <t>PIP250-27-0017</t>
  </si>
  <si>
    <t>GLS SFTY RDRS CLR PLYCRB LENS +1.75 DIO</t>
  </si>
  <si>
    <t>TYPE: Safety Readers, LENS COLOR: Clear</t>
  </si>
  <si>
    <t>PIP250-10-0904</t>
  </si>
  <si>
    <t>GLS SFTY LGHT PNK PLYCRB LENS CLR &amp; PNK</t>
  </si>
  <si>
    <t>B13CHMXL-10</t>
  </si>
  <si>
    <t>GLV CHEM RES NPRN RBBR XL BLK/BLU 12"</t>
  </si>
  <si>
    <t>TYPE: Chemical Resistant, SIZE: XL, LENGTH: 12", MATERIAL: Neoprene Rubber, COLOR: Black/Blue</t>
  </si>
  <si>
    <t>ANE96-002-10</t>
  </si>
  <si>
    <t>GLV LINEMAN GOAT SKN LTHR SZ 10 NAT</t>
  </si>
  <si>
    <t>TYPE: Lineman, SIZE: 10, MATERIAL: Goat Skin Leather, COLOR: Natural</t>
  </si>
  <si>
    <t>RAD64051486</t>
  </si>
  <si>
    <t>SOL LENS CLNNG 16OZ</t>
  </si>
  <si>
    <t>TYPE: Lens Cleaner, CONTAINER: Bottle</t>
  </si>
  <si>
    <t>KPG159060116</t>
  </si>
  <si>
    <t>\\ DRNK QWIK STIK PWDR ORG 10/TB</t>
  </si>
  <si>
    <t>TYPE: Powder, CONTAINER: Stick Pack</t>
  </si>
  <si>
    <t>HONFM2280XXL</t>
  </si>
  <si>
    <t>LENS INSD XXL ADF</t>
  </si>
  <si>
    <t>PIP280-GEN2-SUSP</t>
  </si>
  <si>
    <t>SUSP REPL BLK REVLTN GEN 2 FOR JSP EVO</t>
  </si>
  <si>
    <t>TYPE: Replacement Suspension</t>
  </si>
  <si>
    <t>RN2SJ11QB-3ZOS-2X</t>
  </si>
  <si>
    <t>JCKT HIVIZ BMBR 2X PU CTD ORG</t>
  </si>
  <si>
    <t>SIZE: 2X, MATERIAL: PU Coated, COLOR: Orange</t>
  </si>
  <si>
    <t>SEL30590</t>
  </si>
  <si>
    <t>PLA INTNL NXGN ADF CLR</t>
  </si>
  <si>
    <t>MATERIAL: POLYCARBONATE, COLOR: CLEAR</t>
  </si>
  <si>
    <t>KPG159060115</t>
  </si>
  <si>
    <t>\\ DRNK QWIK STIK PWDR PNCH 10/TB</t>
  </si>
  <si>
    <t>TYPE: Powder, CONTAINER: Stick</t>
  </si>
  <si>
    <t>RAD64056139</t>
  </si>
  <si>
    <t>GLV PLYST FLT NTRL CTD 5/PK</t>
  </si>
  <si>
    <t>3MR312-1251</t>
  </si>
  <si>
    <t>ERPG UCRD IN PLY BG LG SZ 312-1251</t>
  </si>
  <si>
    <t>Brand: 3M, Manufacturer Part Number: 312-1251, Style: Uncorded, Earplug Pair Pack Type: Plastic Bag, Metal-Detectable: No, Standards: 33 dB CSA Class AL, Electrically Insulated: Yes</t>
  </si>
  <si>
    <t>3NHR3</t>
  </si>
  <si>
    <t>E5770022</t>
  </si>
  <si>
    <t>SUPRT WRST SM RH DBLE STRP BLK</t>
  </si>
  <si>
    <t>E5770024</t>
  </si>
  <si>
    <t>SUPRT WRST MD RH DBLE STRP BLK</t>
  </si>
  <si>
    <t>SIZE: Medium, COLOR: Black</t>
  </si>
  <si>
    <t>E5770026</t>
  </si>
  <si>
    <t>SUPRT WRST LG RH DBLE STRP BLK</t>
  </si>
  <si>
    <t>SIZE: LG, COLOR: BLK</t>
  </si>
  <si>
    <t>E5770028</t>
  </si>
  <si>
    <t>SUPRT WRST XL RH DBLE STRP BLK</t>
  </si>
  <si>
    <t>SIZE: XL, COLOR: BLK</t>
  </si>
  <si>
    <t>E5770032</t>
  </si>
  <si>
    <t>SUPRT WRST SM LH DBLE STRP BLK</t>
  </si>
  <si>
    <t>E5770034</t>
  </si>
  <si>
    <t>SUPRT WRST MD LH DBLE STRP BLK</t>
  </si>
  <si>
    <t>SIZE: MD, COLOR: BLK</t>
  </si>
  <si>
    <t>E5770036</t>
  </si>
  <si>
    <t>SUPRT WRST LG LH DBLE STRP BLK</t>
  </si>
  <si>
    <t>SIZE: LARGE, COLOR: BLACK</t>
  </si>
  <si>
    <t>E5770038</t>
  </si>
  <si>
    <t>SUPRT WRST XL LH DBLE STRP BLK</t>
  </si>
  <si>
    <t>RAD64005034</t>
  </si>
  <si>
    <t>LENS SFTY CLR 4.5X5.25 PLYCRB</t>
  </si>
  <si>
    <t>TYPE: Safety, SIZE: 4.5X5.25, MATERIAL: Polycarbonate, SHADE: Clear</t>
  </si>
  <si>
    <t>PIP2940/L</t>
  </si>
  <si>
    <t>GLV DSPBL PWDRF LG 7 MIL NTRL ORG IG TXT</t>
  </si>
  <si>
    <t>TYPE: Disposable, SIZE: Large, MATERIAL: Nitrile, COLOR: Orange</t>
  </si>
  <si>
    <t>PIP2940/XL</t>
  </si>
  <si>
    <t>GLV DSPBL PWDRF XL 7 MIL NTRL ORG IG TXT</t>
  </si>
  <si>
    <t>TYPE: Disposable, SIZE: X-Large, MATERIAL: Nitrile, COLOR: Orange</t>
  </si>
  <si>
    <t>3MR310-1001</t>
  </si>
  <si>
    <t>&gt;&gt; ERPG UCRD HRG CNSRVTN IN PLW PK</t>
  </si>
  <si>
    <t>WEG20-3700V</t>
  </si>
  <si>
    <t>SWTBND SFTY HLMT BRN WIDE 2/PK</t>
  </si>
  <si>
    <t>WELDAS CO  LLC</t>
  </si>
  <si>
    <t>SIZE: Wide, COLOR: Brown</t>
  </si>
  <si>
    <t>3MR06-0500-56</t>
  </si>
  <si>
    <t>PLA MAGNFTN 1.5X WLDG SFTY 1/CA</t>
  </si>
  <si>
    <t>TYPE: Magnifying, SIZE: 1.5X, MATERIAL: Plastic</t>
  </si>
  <si>
    <t>3MR06-0500-57</t>
  </si>
  <si>
    <t>PLA MAGNFTN 2.0X 06-0500-57 1/CA</t>
  </si>
  <si>
    <t>FOR USE WITH: 9100 SERIES WELDING HELMETS, LENGTH: 4-1/4 IN, BRAND AND SERIES: 3M SPEEDGLAS, PRODUCT TYPE: MAGNIFICATION PLATE 2.0X, SERIES: SPEEDGLAS, COUNTRY OF ORIGIN: TAIWAN (SUBJECT TO CHANGE)</t>
  </si>
  <si>
    <t>32V212</t>
  </si>
  <si>
    <t>3MR06-0500-58</t>
  </si>
  <si>
    <t>PLA MAGNFTN 2.5X 06-0500-58 1/CA</t>
  </si>
  <si>
    <t>Brand: SPEEDGLAS, For Use With: 9100 Series Welding Helmets, Length: 4-1/4 in, Brand and Series: 3M Speedglas, Product Type: Magnification Plate 2.5X, Series: Speedglas, UNSPSC: 46182007</t>
  </si>
  <si>
    <t>32V213</t>
  </si>
  <si>
    <t>3MR06-0500-59</t>
  </si>
  <si>
    <t>PLA MAGNFTN 3.0X 06-0500-59 1/CA</t>
  </si>
  <si>
    <t>Brand: SPEEDGLAS, For Use With: 9100 Series Welding Helmets, Length: 4-1/4 in, Brand and Series: 3M Speedglas, Product Type: Magnification Plate 3.0X, Series: Speedglas, UNSPSC: 46182007</t>
  </si>
  <si>
    <t>32V214</t>
  </si>
  <si>
    <t>RAD64053435</t>
  </si>
  <si>
    <t>GLV WLDG MIG SZ SM CWHD BCK GN PGSN PLM</t>
  </si>
  <si>
    <t>TYPE: Welding MIG, SIZE: Small, MATERIAL: Cowhide, COLOR: Green, CUFF: Gauntlet</t>
  </si>
  <si>
    <t>RAD64057215</t>
  </si>
  <si>
    <t>GLV LISLE CTTN HVYWT 9" MENS UHMD</t>
  </si>
  <si>
    <t>TYPE: Men's, LENGTH: 9", MATERIAL: Cotton</t>
  </si>
  <si>
    <t>RAD64053402</t>
  </si>
  <si>
    <t>GLV TIG WLDG KDSKN/CWHD SZ LG GN</t>
  </si>
  <si>
    <t>TYPE: TIG Welding, SIZE: Large, MATERIAL: Kidskin/Cowhide, COLOR: Green</t>
  </si>
  <si>
    <t>RPB18-535</t>
  </si>
  <si>
    <t>BRCKT QUIET LNK SUSP</t>
  </si>
  <si>
    <t>RAD64005028</t>
  </si>
  <si>
    <t>LENS FLTR SHD 10 4.5X5.25 GLASS HARDENED</t>
  </si>
  <si>
    <t>MATERIAL: GLASS</t>
  </si>
  <si>
    <t>T52O53122-2X</t>
  </si>
  <si>
    <t>OVRLL RN 2X COMFORT-BRITE FLSCNT YELLOW</t>
  </si>
  <si>
    <t>OCCTENR-OL</t>
  </si>
  <si>
    <t>PNTS WTRPRF LG PLYST ORG COTNG ELAS WST</t>
  </si>
  <si>
    <t>B13CHML-09</t>
  </si>
  <si>
    <t>GLV CHEM RES NPRN RBBR LG BLK/BLU 12"</t>
  </si>
  <si>
    <t>TYPE: Chemical Resistant, SIZE: Large, LENGTH: 12 in, MATERIAL: Neoprene Rubber, COLOR: Black/Blue</t>
  </si>
  <si>
    <t>RAD64051607</t>
  </si>
  <si>
    <t>GLS SFTY AMB ELITE PLS BLK ADJBL RTCHT</t>
  </si>
  <si>
    <t>TYPE: Safety Glasses, LENS COLOR: Amber, FRAME COLOR: Black</t>
  </si>
  <si>
    <t>RAD64005030</t>
  </si>
  <si>
    <t>LENS FLTR SHD 11 4.5X5.25 GLASS HARDENED</t>
  </si>
  <si>
    <t>RPB16-918</t>
  </si>
  <si>
    <t>MNT VSN LNK JAW</t>
  </si>
  <si>
    <t>RAD64005014</t>
  </si>
  <si>
    <t>LENS CVR CLR 2X4.25 CR-39</t>
  </si>
  <si>
    <t>TYPE: Cover Lens, SIZE: 2 x 4.25 in, MATERIAL: CR-39, SHADE: Clear</t>
  </si>
  <si>
    <t>RAD64005020</t>
  </si>
  <si>
    <t>LENS MAGNFTN 1.50 2X4.25 PLYCRB</t>
  </si>
  <si>
    <t>RAD64005053</t>
  </si>
  <si>
    <t>LENS MAGNFTN 1.75 2X4.25 PLYCRB</t>
  </si>
  <si>
    <t>MATERIAL: POLYCARBONATE</t>
  </si>
  <si>
    <t>RAD64005006</t>
  </si>
  <si>
    <t>LENS FLTR SHD 10 2X4.25 GLASS HARDENED</t>
  </si>
  <si>
    <t>RAD64051832</t>
  </si>
  <si>
    <t>RADNOR HRG PRTN SAMPLES KT</t>
  </si>
  <si>
    <t>Battery,Lithium Ion</t>
  </si>
  <si>
    <t>Respiratory</t>
  </si>
  <si>
    <t>Powered Air-Purifying Respirator Batteries</t>
  </si>
  <si>
    <t xml:space="preserve"> </t>
  </si>
  <si>
    <t>PAPR Blower,w/Blower Unit, Cover</t>
  </si>
  <si>
    <t>Powered Air-Purifying Respirator Blowers</t>
  </si>
  <si>
    <t>Welding Safety Equipment</t>
  </si>
  <si>
    <t>Welding Helmet Parts and Accessories</t>
  </si>
  <si>
    <t>Ear Plugs,Corded,Flanged,25dB,PR</t>
  </si>
  <si>
    <t>Hearing Protection</t>
  </si>
  <si>
    <t>Earplugs</t>
  </si>
  <si>
    <t>Face Shield Visor, Clear, Polycarbonate</t>
  </si>
  <si>
    <t>Face Protection</t>
  </si>
  <si>
    <t>Face Shield Replacement Visors and Lenses</t>
  </si>
  <si>
    <t>Ear Plugs,Uncorded,Flanged,25dB,PK100</t>
  </si>
  <si>
    <t>Helmet Cover,Aluminum,Silver</t>
  </si>
  <si>
    <t>Head Protection</t>
  </si>
  <si>
    <t>Hard Hat Covers</t>
  </si>
  <si>
    <t>PAPR Backpack,Color Black,11 13/16" L</t>
  </si>
  <si>
    <t>Powered Air-Purifying Respirator PAPR System Components and Accessories</t>
  </si>
  <si>
    <t>Half Mask Respirator,Elastomer,Gray</t>
  </si>
  <si>
    <t>Half Mask Respirators</t>
  </si>
  <si>
    <t>Safety Glasses, Clear, Anti-Fog, Clear</t>
  </si>
  <si>
    <t>Eye Protection and Accessories</t>
  </si>
  <si>
    <t>Safety Glasses</t>
  </si>
  <si>
    <t>Ear Plugs,Uncorded,Cylinder,29dB,PK200</t>
  </si>
  <si>
    <t>Polycarbonate Plate,4 x 6",PK10</t>
  </si>
  <si>
    <t>Welding Helmet Lenses and Plates</t>
  </si>
  <si>
    <t>Filter,Blue,Bayonet,PK2</t>
  </si>
  <si>
    <t>Respirator Cartridges and Filters</t>
  </si>
  <si>
    <t>Wide-View Anti-Fog Grinding Visor,PK5</t>
  </si>
  <si>
    <t>Ear Muffs,Behind-the-Neck,NRR 26dB</t>
  </si>
  <si>
    <t>Passive Earmuffs</t>
  </si>
  <si>
    <t>Battery Charger,Nylon</t>
  </si>
  <si>
    <t>SafetyGlasses,Clear,AntiFog,Blk/Grn</t>
  </si>
  <si>
    <t>Disposable Respirator,Universal,P95,PK10</t>
  </si>
  <si>
    <t>Disposable Respiratory Protection</t>
  </si>
  <si>
    <t>Cartridge,Black,Bayonet,PK2</t>
  </si>
  <si>
    <t>15-0299- 99X20</t>
  </si>
  <si>
    <t>HE Filter,Pink,PAPR System,PK20</t>
  </si>
  <si>
    <t>Welding Helmet,SideWindow,Blk/Gray/Slvr</t>
  </si>
  <si>
    <t>Welding Helmets</t>
  </si>
  <si>
    <t>Outside Protection Plate,PK50</t>
  </si>
  <si>
    <t>06-0000-30I</t>
  </si>
  <si>
    <t>Auto Darkening Filter,5, 8 to 13</t>
  </si>
  <si>
    <t>37-1101-30ISW</t>
  </si>
  <si>
    <t>Welding PAPR System,Helmet,Belt-Mount</t>
  </si>
  <si>
    <t>Powered Air-Purifying Respirators</t>
  </si>
  <si>
    <t>Elevated Temp Hard Hat,Ratchet,13 oz</t>
  </si>
  <si>
    <t>Hard Hats</t>
  </si>
  <si>
    <t>PAPR Prefilter,PK12</t>
  </si>
  <si>
    <t>Respirator Parts and Accessories</t>
  </si>
  <si>
    <t>Leather Cut-Resistant Glove,M/8,PR</t>
  </si>
  <si>
    <t>Gloves and Hand Protection</t>
  </si>
  <si>
    <t>Knit Gloves and Mitts</t>
  </si>
  <si>
    <t>Cut-Resistant Gloves,S,PR</t>
  </si>
  <si>
    <t>Leather Cut-Resistant Glove,2XL/11,PR</t>
  </si>
  <si>
    <t>PR,Cut Resistant Gloves,Size 7,Gray</t>
  </si>
  <si>
    <t>Leather Cut-Resistant Glove,XL/10,PR</t>
  </si>
  <si>
    <t>Cut Resistant Gloves,Green/Black,Sz 9,PR</t>
  </si>
  <si>
    <t>PR,Cut Resistant Gloves,Size 10,Gray</t>
  </si>
  <si>
    <t>Cut Resist Gloves,Light Gray,10</t>
  </si>
  <si>
    <t>Cut Resistant Gloves,Green/Blck,Sz 10,PR</t>
  </si>
  <si>
    <t>PR,Cut Resistant Gloves,Lgt Gry,8</t>
  </si>
  <si>
    <t>Leather Cut-Resistant Glove,L/9,PR</t>
  </si>
  <si>
    <t>Cut-Resistant Gloves,XL,PR</t>
  </si>
  <si>
    <t>Headlamp,Polycarbonate,Black,289lm</t>
  </si>
  <si>
    <t>Flashlights</t>
  </si>
  <si>
    <t>Headlamps and Headgear Mounted Lights</t>
  </si>
  <si>
    <t>Hard Hat,Type 1, Class G,Ratchet,White</t>
  </si>
  <si>
    <t>Hard Hat,Type 1, Class E,Pinlock,White</t>
  </si>
  <si>
    <t>Hard Hat Suspension,4-pt. Ratchet</t>
  </si>
  <si>
    <t>Hard Hat Suspensions</t>
  </si>
  <si>
    <t>Hard Hat,Type 1, Class E,Ratchet,White</t>
  </si>
  <si>
    <t>Hard Hat,Type 1, Class G,Pinlock,Tan</t>
  </si>
  <si>
    <t>SafetyGlasses,Gry23%,TruShield</t>
  </si>
  <si>
    <t>SafetyGlasses,TruShield,Chrcl/HiVisYlw</t>
  </si>
  <si>
    <t>SafetyGlasses,TruShld,HardCoat</t>
  </si>
  <si>
    <t>Ear Plug Disp Refill,33dB,PairsPerPk 500</t>
  </si>
  <si>
    <t>Earplug Dispenser Refills</t>
  </si>
  <si>
    <t>ReaderSafetyGlasses,ClearLens,+2.0</t>
  </si>
  <si>
    <t>Empty Earplug Dispensers</t>
  </si>
  <si>
    <t>Ear Plug Disp Refill,30dB,Pk 500</t>
  </si>
  <si>
    <t>SafetyGoggles,Polypropylene,Clear,OTG</t>
  </si>
  <si>
    <t>Safety Goggles</t>
  </si>
  <si>
    <t>FaceShieldVisor,Clr,Uncoated,PC</t>
  </si>
  <si>
    <t>FaceShieldVisor,Grn,Uncoated,PC</t>
  </si>
  <si>
    <t>Ear Plug Disp Refill,32dB,PairsPerPk 500</t>
  </si>
  <si>
    <t>Clip-OnEyewear,BlueLens,FullFront,SS</t>
  </si>
  <si>
    <t>Hard Hat Attachable Eyewear</t>
  </si>
  <si>
    <t>SafetyGlasses,Clear,HydroShield,Blk</t>
  </si>
  <si>
    <t>Ear Plugs,Contoured-T,32dB,PK200</t>
  </si>
  <si>
    <t>Ear Plugs,Corded,Flanged,27dB,PK100</t>
  </si>
  <si>
    <t>Aluminized Coat,L,Carbon Kevlar(R)</t>
  </si>
  <si>
    <t>Flame Resistant and Arc Flash Clothing</t>
  </si>
  <si>
    <t>Aluminized Jackets and Coats</t>
  </si>
  <si>
    <t>Aluminized Gloves,285F,13",PR</t>
  </si>
  <si>
    <t>Aluminized Gloves</t>
  </si>
  <si>
    <t>Aluminized Gloves,1,000F,16-1/2",PR</t>
  </si>
  <si>
    <t>Flame-Resistant and Arc Flash Shirts</t>
  </si>
  <si>
    <t>Aluminized Coat,2XL,Carbon Kevlar(R)</t>
  </si>
  <si>
    <t>Bib Overalls,Brown,M</t>
  </si>
  <si>
    <t>Flame-Resistant and Arc Flash Bib Overalls</t>
  </si>
  <si>
    <t>Chaps,40 In. L,Silver,19 oz.</t>
  </si>
  <si>
    <t>Aluminized Chaps</t>
  </si>
  <si>
    <t>Aluminized Coat,XL,Carbon Kevlar(R)</t>
  </si>
  <si>
    <t>Flame Resistant Hood,Universal,White</t>
  </si>
  <si>
    <t>Welding Hoods</t>
  </si>
  <si>
    <t>Hood,Aluminized Carbon Kevlar(R)</t>
  </si>
  <si>
    <t>Aluminized Hoods</t>
  </si>
  <si>
    <t>Single Gas Detectr,CO,Yllw,2yr. Battery</t>
  </si>
  <si>
    <t>Gas Detection</t>
  </si>
  <si>
    <t>Portable Single- and Multi-Gas Detectors</t>
  </si>
  <si>
    <t>Freezer Pop,Assorted,PK150</t>
  </si>
  <si>
    <t>Portable Coolers and Beverages</t>
  </si>
  <si>
    <t>Electrolyte Freezer Pops</t>
  </si>
  <si>
    <t>Leather Gloves,Beige,S</t>
  </si>
  <si>
    <t>Leather Gloves and Mitts</t>
  </si>
  <si>
    <t>Coveralls,XL,Wht,Polypropylene,PK25</t>
  </si>
  <si>
    <t>Chemical and Particulate Protective Clothing</t>
  </si>
  <si>
    <t>Chemical and Particulate Protective Coveralls</t>
  </si>
  <si>
    <t>Welding Gloves,Stick,L/9,PR</t>
  </si>
  <si>
    <t>Welding Gloves</t>
  </si>
  <si>
    <t>Leather Gloves,White,L,PR</t>
  </si>
  <si>
    <t>Bouffant Cap,PP,White,21 in,PK100</t>
  </si>
  <si>
    <t>Hairnets and Bouffants</t>
  </si>
  <si>
    <t>Face Shield Frame, Silver, Aluminum</t>
  </si>
  <si>
    <t>Face Shield Brackets, Crowns and Frames</t>
  </si>
  <si>
    <t>Welding Gloves,Stick,M/8,PR</t>
  </si>
  <si>
    <t>Leather Gloves,Beige,XL,PR</t>
  </si>
  <si>
    <t>Leather Gloves,Beige,M,PR</t>
  </si>
  <si>
    <t>DisposableGloves,Blue,XL,Size10,PK100</t>
  </si>
  <si>
    <t>Disposable Gloves</t>
  </si>
  <si>
    <t>LensCleaningWipes,Ind.Wrapped,PK100</t>
  </si>
  <si>
    <t>Lens Cleaning Wipes and Tissues</t>
  </si>
  <si>
    <t>FR Treated Cotton Sleeve,21-1/2",Grn,PR</t>
  </si>
  <si>
    <t>Welding Sleeves</t>
  </si>
  <si>
    <t>Leather Gloves,Gray,L,PR</t>
  </si>
  <si>
    <t>Paint Spray Sock,Uni,White,Cotton,PK12</t>
  </si>
  <si>
    <t>Chemical and Particulate Protective Hoods</t>
  </si>
  <si>
    <t>Work Gloves,Drivers,2XL,Leather,PR</t>
  </si>
  <si>
    <t>Work Gloves,Drivers,XL,Leather,PR</t>
  </si>
  <si>
    <t>Work Gloves,Drivers,L,Leather,PR</t>
  </si>
  <si>
    <t>Welding Gloves,S/7,PR</t>
  </si>
  <si>
    <t>Welding Gloves,MIG,L/9</t>
  </si>
  <si>
    <t>Welding Gloves,2XL/11,PR</t>
  </si>
  <si>
    <t>Welding Gloves,MIG,M/8</t>
  </si>
  <si>
    <t>Welding Gloves,L/9,PR</t>
  </si>
  <si>
    <t>Leather Gloves,White,M,PR</t>
  </si>
  <si>
    <t>Leather Gloves,Beige,L,PR</t>
  </si>
  <si>
    <t>Leather Gloves,Beige,S,PR</t>
  </si>
  <si>
    <t>Leather Gloves,White,3XL,PR</t>
  </si>
  <si>
    <t>Leather Gloves,Beige,2XL,PR</t>
  </si>
  <si>
    <t>Welding Gloves,Stick,XL/10,PK12</t>
  </si>
  <si>
    <t>Welding Gloves,Stick,S/7,PR</t>
  </si>
  <si>
    <t>Leather Gloves,White,2XL,PR</t>
  </si>
  <si>
    <t>Leather Gloves,White,XL,PR</t>
  </si>
  <si>
    <t>T-Shirt,Mens,L,Orange</t>
  </si>
  <si>
    <t>Workwear</t>
  </si>
  <si>
    <t>High-Visibility Shirts</t>
  </si>
  <si>
    <t>Sweatband, Snap On Navy Individual</t>
  </si>
  <si>
    <t>Headbands, Sweatbands and Cooling Headwear</t>
  </si>
  <si>
    <t>Welding Cap,Beanie,Black,L</t>
  </si>
  <si>
    <t>Welding Caps</t>
  </si>
  <si>
    <t>Single-Door,11 3/4 in,Yellow</t>
  </si>
  <si>
    <t>Structures and Storage Buildings</t>
  </si>
  <si>
    <t>Self-Closing Safety Gates</t>
  </si>
  <si>
    <t>Eye/Face Wash Unit,3-1/4inWx2-1/4inH</t>
  </si>
  <si>
    <t>Emergency Eye Wash and Shower Equipment</t>
  </si>
  <si>
    <t>Eyewash and Shower Repair and Replacement Kits</t>
  </si>
  <si>
    <t>FR Hi-Vis Longsleeve Tee,Yellow,XL</t>
  </si>
  <si>
    <t>FR Crew Longsleeve Tee,Tan,L</t>
  </si>
  <si>
    <t>FR Crew Longsleeve Tee,Tan,M</t>
  </si>
  <si>
    <t>FR Crew Longsleeve Tee,Tan,XL</t>
  </si>
  <si>
    <t>FR Crew Longsleeve Tee,Tan,3XL</t>
  </si>
  <si>
    <t>FR Crew Longsleeve Tee,Tan,2XL</t>
  </si>
  <si>
    <t>FR Hi-Vis Longsleeve Tee,Yellow,M</t>
  </si>
  <si>
    <t>FR Balaclava,Black</t>
  </si>
  <si>
    <t>Flame Resistant and Arc Flash Hats and Caps</t>
  </si>
  <si>
    <t>RPB 2 Inch,Safety PX5,Belt and Buckle</t>
  </si>
  <si>
    <t>Air Purifying Respirator,PC/TPU/Polyestr</t>
  </si>
  <si>
    <t>ADF Impact Lens,Clear,PK 10</t>
  </si>
  <si>
    <t>Pre Filter,PK10</t>
  </si>
  <si>
    <t>Welding Pad, 3 ft W, 3 ft L, Red</t>
  </si>
  <si>
    <t>Welding Blankets, Pads, Wraps and Rolls</t>
  </si>
  <si>
    <t>Cut-Resistant Gloves,M,8" L,PR,PK12</t>
  </si>
  <si>
    <t>Lthr Palm Gloves,Cowhide,Blu/Gray,X,PK12</t>
  </si>
  <si>
    <t>Cut-Resistant Gloves,L,9" L,PK12</t>
  </si>
  <si>
    <t>Welding Gloves,MIG,Stick,XL,PR</t>
  </si>
  <si>
    <t>Cut-Resistant Gloves,XL,10" L,PR,PK12</t>
  </si>
  <si>
    <t>Welding Gloves,L,Welding,PR</t>
  </si>
  <si>
    <t>Lthr Palm Gloves,Cowhide,Blu/Gray,M,PK12</t>
  </si>
  <si>
    <t>Leather Drivers Gloves,Econ Grd,2XL,PK12</t>
  </si>
  <si>
    <t>Cut-Resistant Apron,A6,36"L,Gray</t>
  </si>
  <si>
    <t>Cut and Puncture-Resistant Aprons</t>
  </si>
  <si>
    <t>Cylinder Storage Cabinet, White, Steel</t>
  </si>
  <si>
    <t>Safety Storage</t>
  </si>
  <si>
    <t>Cylinder Storage Cabinets and Lockers</t>
  </si>
  <si>
    <t>PersonalSelfRetractLifeline,6 ft L,1Leg</t>
  </si>
  <si>
    <t>Fall Protection</t>
  </si>
  <si>
    <t>Self-Retracting Lifelines</t>
  </si>
  <si>
    <t>Hot Work Harness,Delta,Univ</t>
  </si>
  <si>
    <t>Fall Protection Harnesses</t>
  </si>
  <si>
    <t>Self-Retracting Lifeline,Snap Hook</t>
  </si>
  <si>
    <t>PersonalSelfRetractLifeline,6 ft L,2Legs</t>
  </si>
  <si>
    <t>Harness,L,310 lb Weight Capacity</t>
  </si>
  <si>
    <t>Carabiner,Offset-D,Yellow</t>
  </si>
  <si>
    <t>Fall Protection Carabiners</t>
  </si>
  <si>
    <t>Self-Retracting Lifeline,9 ft L,1Leg</t>
  </si>
  <si>
    <t>Harness,L,Gray,Quick-Connect,Polyester</t>
  </si>
  <si>
    <t>Fixed Beam Anchor,20" L,2 1/2" D</t>
  </si>
  <si>
    <t>Beam and Steel Anchors</t>
  </si>
  <si>
    <t>Full Body Harness,Delta,Universal</t>
  </si>
  <si>
    <t>Self-Retracting Lifeline,20 ft L,1Leg</t>
  </si>
  <si>
    <t>Self Retracting Lifeline,50 ft,SS</t>
  </si>
  <si>
    <t>Harness,XL,Gray,Quick-Connect,Polyester</t>
  </si>
  <si>
    <t>Absorbent Pad,Universal,Gray,PK100</t>
  </si>
  <si>
    <t>Spill Control Supplies</t>
  </si>
  <si>
    <t>Sorbent Pads, Pillows and Blankets</t>
  </si>
  <si>
    <t>Absorbent Roll,Universal,Gray,150 ft.L</t>
  </si>
  <si>
    <t>Barricade Tape, Yellow, 1,000 ft L, 3 in</t>
  </si>
  <si>
    <t>Access Barriers and Crowd Control</t>
  </si>
  <si>
    <t>Barrier, Flagging and Underground Marking Tapes</t>
  </si>
  <si>
    <t>Barricade Tape, Red, 500 ft L, 3 in</t>
  </si>
  <si>
    <t>Welding Jackets and Coats</t>
  </si>
  <si>
    <t>Welding Gloves,MIG,12",M,PR</t>
  </si>
  <si>
    <t>Heat Reflective Aluminized Pads</t>
  </si>
  <si>
    <t>Welding Gloves,MIG,XL/10,PR</t>
  </si>
  <si>
    <t>Welding Glove,TIG,L/9,PR</t>
  </si>
  <si>
    <t>Welding Gloves,MIG,L/9,PR</t>
  </si>
  <si>
    <t>Headband,Blue,One Size,Terrycloth</t>
  </si>
  <si>
    <t>Flame Resistant Neck Gaiter,Navy</t>
  </si>
  <si>
    <t>Flame-Resistant and Arc Flash Neck Gaiters</t>
  </si>
  <si>
    <t>Cylinder Storage Cabinet, Gray, Aluminum</t>
  </si>
  <si>
    <t>Coveralls,2XL,Wht,Tychem 4000,PK12</t>
  </si>
  <si>
    <t>Hooded Coveralls,M,Wht,Tychem 4000,PK6</t>
  </si>
  <si>
    <t>KnitSleeve,Grn,Unvrsl,Fiberglass;PE</t>
  </si>
  <si>
    <t>Arm Protection</t>
  </si>
  <si>
    <t>Knit Sleeves</t>
  </si>
  <si>
    <t>Insulating Roll Blanket,Orange, Class 1</t>
  </si>
  <si>
    <t>Arc Flash Protection</t>
  </si>
  <si>
    <t>Shock Protection Blankets</t>
  </si>
  <si>
    <t>ElectricalInsulatingGloveKit,Sz9,Blk,PR</t>
  </si>
  <si>
    <t>Electrical-Insulating Glove Kits</t>
  </si>
  <si>
    <t>Arc Flash Hood,Red</t>
  </si>
  <si>
    <t>Flame-Resistant and Arc Flash Hoods</t>
  </si>
  <si>
    <t>Cut-Resistant Glove,ANSI A4,S,PK12</t>
  </si>
  <si>
    <t>Cut-Resistant Glove,ANSI A4,2XL,PK12</t>
  </si>
  <si>
    <t>Cut-Resistant Glove,ANSI A4,M,PK12</t>
  </si>
  <si>
    <t>Cut-Resistant Glove,ANSI A4,L,PK12</t>
  </si>
  <si>
    <t>Cut-Resistant Glove,ANSI A4,XL,PK12</t>
  </si>
  <si>
    <t>Cut-Resistant Glove,ANSI A4,XS,PK12</t>
  </si>
  <si>
    <t>Lockout Hasp,Snap-On,6 Lock,Red</t>
  </si>
  <si>
    <t>Lockout Tagout</t>
  </si>
  <si>
    <t>Lockout Hasps</t>
  </si>
  <si>
    <t>Coated Gloves,Black/Blue,L,PR</t>
  </si>
  <si>
    <t>Coated Gloves,Black/Blue,XL,PR</t>
  </si>
  <si>
    <t>Coated Gloves,Black/Blue,M,PR</t>
  </si>
  <si>
    <t>HazmatStorageCabinet,Yellow,Steel</t>
  </si>
  <si>
    <t>Hazardous Material Storage Cabinets</t>
  </si>
  <si>
    <t>Safety Vest,Polyester,Yellow,L/XL</t>
  </si>
  <si>
    <t>High-Visibility Vests</t>
  </si>
  <si>
    <t>Safety Vest,Polyester,Yellow,2XL/3XL</t>
  </si>
  <si>
    <t>Ear Plug Dispensing System,33dB</t>
  </si>
  <si>
    <t>Filled Earplug Dispensers</t>
  </si>
  <si>
    <t>Disposable Respirator,M/L,N95,PK10</t>
  </si>
  <si>
    <t>Aluminized Jacket,2XL,Carbon Kevlar(R)</t>
  </si>
  <si>
    <t>Aluminized Jacket,3XL,Carbon Kevlar(R)</t>
  </si>
  <si>
    <t>Aluminized Jacket,XL,Carbon Kevlar(R)</t>
  </si>
  <si>
    <t>Aluminized Jacket,L,Carbon Kevlar(R)</t>
  </si>
  <si>
    <t>BlueScope Steel</t>
  </si>
  <si>
    <t>Airgas</t>
  </si>
  <si>
    <t>No Match</t>
  </si>
  <si>
    <t>Non-Exact Match</t>
  </si>
  <si>
    <t>Exact Match</t>
  </si>
  <si>
    <t>UOM Issue</t>
  </si>
  <si>
    <t>Flag</t>
  </si>
  <si>
    <t>Note</t>
  </si>
  <si>
    <t>Exclusion Reason</t>
  </si>
  <si>
    <t>Current Price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</si>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</sst>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_(* #,##0_);_(* \(#,##0\);_(* &quot;-&quot;??_);_(@_)"/>
    <numFmt numFmtId="167" formatCode="&quot;$&quot;#,##0"/>
    <numFmt numFmtId="168" formatCode="_-&quot;$&quot;* #,##0.00_-;\-&quot;$&quot;* #,##0.00_-;_-&quot;$&quot;* &quot;-&quot;??_-;_-@_-"/>
    <numFmt numFmtId="169" formatCode="_([$$-409]* #,##0.00_);_([$$-409]* \(#,##0.00\);_([$$-409]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64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indexed="8"/>
      <name val="Calibri"/>
      <family val="2"/>
    </font>
    <font>
      <sz val="11"/>
      <name val="Arial"/>
      <family val="1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top"/>
    </xf>
    <xf numFmtId="0" fontId="5" fillId="0" borderId="0"/>
    <xf numFmtId="0" fontId="1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>
      <alignment vertical="top"/>
    </xf>
    <xf numFmtId="0" fontId="6" fillId="0" borderId="0" applyNumberFormat="0" applyFill="0" applyBorder="0" applyAlignment="0" applyProtection="0"/>
    <xf numFmtId="0" fontId="7" fillId="0" borderId="13" applyNumberFormat="0" applyFill="0" applyAlignment="0" applyProtection="0"/>
    <xf numFmtId="0" fontId="8" fillId="0" borderId="14" applyNumberFormat="0" applyFill="0" applyAlignment="0" applyProtection="0"/>
    <xf numFmtId="0" fontId="9" fillId="0" borderId="15" applyNumberFormat="0" applyFill="0" applyAlignment="0" applyProtection="0"/>
    <xf numFmtId="0" fontId="9" fillId="0" borderId="0" applyNumberFormat="0" applyFill="0" applyBorder="0" applyAlignment="0" applyProtection="0"/>
    <xf numFmtId="0" fontId="10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16" applyNumberFormat="0" applyAlignment="0" applyProtection="0"/>
    <xf numFmtId="0" fontId="14" fillId="13" borderId="17" applyNumberFormat="0" applyAlignment="0" applyProtection="0"/>
    <xf numFmtId="0" fontId="15" fillId="13" borderId="16" applyNumberFormat="0" applyAlignment="0" applyProtection="0"/>
    <xf numFmtId="0" fontId="16" fillId="0" borderId="18" applyNumberFormat="0" applyFill="0" applyAlignment="0" applyProtection="0"/>
    <xf numFmtId="0" fontId="17" fillId="14" borderId="19" applyNumberFormat="0" applyAlignment="0" applyProtection="0"/>
    <xf numFmtId="0" fontId="18" fillId="0" borderId="0" applyNumberFormat="0" applyFill="0" applyBorder="0" applyAlignment="0" applyProtection="0"/>
    <xf numFmtId="0" fontId="1" fillId="15" borderId="20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20" fillId="39" borderId="0" applyNumberFormat="0" applyBorder="0" applyAlignment="0" applyProtection="0"/>
    <xf numFmtId="0" fontId="21" fillId="0" borderId="0"/>
    <xf numFmtId="0" fontId="24" fillId="0" borderId="0" applyNumberFormat="0" applyFill="0" applyBorder="0" applyProtection="0"/>
    <xf numFmtId="0" fontId="1" fillId="0" borderId="0"/>
    <xf numFmtId="0" fontId="24" fillId="0" borderId="0" applyNumberFormat="0" applyFill="0" applyBorder="0" applyProtection="0"/>
    <xf numFmtId="44" fontId="25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4" fontId="0" fillId="0" borderId="0" xfId="1" applyFont="1" applyFill="1" applyBorder="1" applyAlignment="1">
      <alignment horizontal="center"/>
    </xf>
    <xf numFmtId="0" fontId="22" fillId="0" borderId="0" xfId="4" applyFont="1"/>
    <xf numFmtId="0" fontId="26" fillId="0" borderId="0" xfId="4" applyFont="1"/>
    <xf numFmtId="0" fontId="26" fillId="0" borderId="0" xfId="4" applyFont="1" applyAlignment="1">
      <alignment horizontal="center"/>
    </xf>
    <xf numFmtId="14" fontId="22" fillId="0" borderId="0" xfId="4" applyNumberFormat="1" applyFont="1"/>
    <xf numFmtId="164" fontId="22" fillId="0" borderId="3" xfId="6" applyNumberFormat="1" applyFont="1" applyFill="1" applyBorder="1" applyAlignment="1">
      <alignment horizontal="center" vertical="center"/>
    </xf>
    <xf numFmtId="164" fontId="22" fillId="0" borderId="3" xfId="6" applyNumberFormat="1" applyFont="1" applyBorder="1" applyAlignment="1">
      <alignment horizontal="center" vertical="center"/>
    </xf>
    <xf numFmtId="9" fontId="22" fillId="0" borderId="3" xfId="7" applyFont="1" applyBorder="1" applyAlignment="1">
      <alignment horizontal="center" vertical="center"/>
    </xf>
    <xf numFmtId="164" fontId="22" fillId="0" borderId="3" xfId="4" applyNumberFormat="1" applyFont="1" applyBorder="1" applyAlignment="1">
      <alignment horizontal="center" vertical="center"/>
    </xf>
    <xf numFmtId="165" fontId="22" fillId="0" borderId="4" xfId="7" applyNumberFormat="1" applyFont="1" applyBorder="1" applyAlignment="1">
      <alignment horizontal="center" vertical="center"/>
    </xf>
    <xf numFmtId="0" fontId="1" fillId="0" borderId="1" xfId="4" applyFont="1" applyBorder="1" applyAlignment="1">
      <alignment horizontal="center" vertical="center" wrapText="1"/>
    </xf>
    <xf numFmtId="0" fontId="22" fillId="0" borderId="0" xfId="4" applyFont="1" applyAlignment="1">
      <alignment vertical="top"/>
    </xf>
    <xf numFmtId="0" fontId="17" fillId="42" borderId="5" xfId="4" applyFont="1" applyFill="1" applyBorder="1"/>
    <xf numFmtId="0" fontId="17" fillId="42" borderId="6" xfId="4" applyFont="1" applyFill="1" applyBorder="1" applyAlignment="1">
      <alignment horizontal="center"/>
    </xf>
    <xf numFmtId="0" fontId="17" fillId="42" borderId="7" xfId="4" applyFont="1" applyFill="1" applyBorder="1" applyAlignment="1">
      <alignment horizontal="center"/>
    </xf>
    <xf numFmtId="0" fontId="1" fillId="0" borderId="2" xfId="4" applyFont="1" applyBorder="1"/>
    <xf numFmtId="0" fontId="22" fillId="0" borderId="3" xfId="4" applyFont="1" applyBorder="1" applyAlignment="1">
      <alignment horizontal="center"/>
    </xf>
    <xf numFmtId="166" fontId="22" fillId="0" borderId="1" xfId="8" applyNumberFormat="1" applyFont="1" applyBorder="1" applyAlignment="1"/>
    <xf numFmtId="0" fontId="17" fillId="42" borderId="1" xfId="4" applyFont="1" applyFill="1" applyBorder="1" applyAlignment="1">
      <alignment horizontal="center"/>
    </xf>
    <xf numFmtId="0" fontId="1" fillId="0" borderId="5" xfId="4" applyFont="1" applyBorder="1"/>
    <xf numFmtId="167" fontId="22" fillId="0" borderId="6" xfId="4" applyNumberFormat="1" applyFont="1" applyBorder="1" applyAlignment="1">
      <alignment horizontal="center"/>
    </xf>
    <xf numFmtId="167" fontId="22" fillId="0" borderId="9" xfId="4" applyNumberFormat="1" applyFont="1" applyBorder="1" applyAlignment="1">
      <alignment horizontal="center"/>
    </xf>
    <xf numFmtId="165" fontId="22" fillId="0" borderId="0" xfId="9" applyNumberFormat="1" applyFont="1" applyBorder="1" applyAlignment="1">
      <alignment horizontal="center"/>
    </xf>
    <xf numFmtId="0" fontId="22" fillId="0" borderId="10" xfId="4" applyFont="1" applyBorder="1"/>
    <xf numFmtId="167" fontId="22" fillId="0" borderId="11" xfId="4" applyNumberFormat="1" applyFont="1" applyBorder="1" applyAlignment="1">
      <alignment horizontal="center"/>
    </xf>
    <xf numFmtId="0" fontId="17" fillId="42" borderId="10" xfId="4" applyFont="1" applyFill="1" applyBorder="1"/>
    <xf numFmtId="6" fontId="17" fillId="42" borderId="11" xfId="4" applyNumberFormat="1" applyFont="1" applyFill="1" applyBorder="1" applyAlignment="1">
      <alignment horizontal="center"/>
    </xf>
    <xf numFmtId="167" fontId="17" fillId="42" borderId="11" xfId="4" applyNumberFormat="1" applyFont="1" applyFill="1" applyBorder="1" applyAlignment="1">
      <alignment horizontal="center"/>
    </xf>
    <xf numFmtId="167" fontId="17" fillId="42" borderId="1" xfId="4" applyNumberFormat="1" applyFont="1" applyFill="1" applyBorder="1" applyAlignment="1">
      <alignment horizontal="center"/>
    </xf>
    <xf numFmtId="0" fontId="17" fillId="42" borderId="8" xfId="4" applyFont="1" applyFill="1" applyBorder="1" applyAlignment="1">
      <alignment horizontal="center"/>
    </xf>
    <xf numFmtId="0" fontId="22" fillId="0" borderId="5" xfId="4" applyFont="1" applyBorder="1"/>
    <xf numFmtId="0" fontId="22" fillId="0" borderId="6" xfId="4" applyFont="1" applyBorder="1" applyAlignment="1">
      <alignment horizontal="center"/>
    </xf>
    <xf numFmtId="10" fontId="22" fillId="0" borderId="6" xfId="4" applyNumberFormat="1" applyFont="1" applyBorder="1" applyAlignment="1">
      <alignment horizontal="center"/>
    </xf>
    <xf numFmtId="9" fontId="22" fillId="0" borderId="6" xfId="4" applyNumberFormat="1" applyFont="1" applyBorder="1" applyAlignment="1">
      <alignment horizontal="center"/>
    </xf>
    <xf numFmtId="167" fontId="22" fillId="0" borderId="8" xfId="4" applyNumberFormat="1" applyFont="1" applyBorder="1" applyAlignment="1">
      <alignment horizontal="center"/>
    </xf>
    <xf numFmtId="0" fontId="22" fillId="0" borderId="23" xfId="4" applyFont="1" applyBorder="1"/>
    <xf numFmtId="0" fontId="22" fillId="0" borderId="0" xfId="4" applyFont="1" applyAlignment="1">
      <alignment horizontal="center"/>
    </xf>
    <xf numFmtId="10" fontId="22" fillId="0" borderId="0" xfId="4" applyNumberFormat="1" applyFont="1" applyAlignment="1">
      <alignment horizontal="center"/>
    </xf>
    <xf numFmtId="167" fontId="22" fillId="0" borderId="0" xfId="4" applyNumberFormat="1" applyFont="1" applyAlignment="1">
      <alignment horizontal="center"/>
    </xf>
    <xf numFmtId="165" fontId="22" fillId="0" borderId="0" xfId="4" applyNumberFormat="1" applyFont="1" applyAlignment="1">
      <alignment horizontal="center"/>
    </xf>
    <xf numFmtId="167" fontId="22" fillId="0" borderId="24" xfId="4" applyNumberFormat="1" applyFont="1" applyBorder="1" applyAlignment="1">
      <alignment horizontal="center"/>
    </xf>
    <xf numFmtId="37" fontId="17" fillId="42" borderId="11" xfId="4" applyNumberFormat="1" applyFont="1" applyFill="1" applyBorder="1" applyAlignment="1">
      <alignment horizontal="center"/>
    </xf>
    <xf numFmtId="9" fontId="17" fillId="42" borderId="11" xfId="10" applyFont="1" applyFill="1" applyBorder="1" applyAlignment="1">
      <alignment horizontal="center"/>
    </xf>
    <xf numFmtId="5" fontId="17" fillId="42" borderId="11" xfId="4" applyNumberFormat="1" applyFont="1" applyFill="1" applyBorder="1" applyAlignment="1">
      <alignment horizontal="center"/>
    </xf>
    <xf numFmtId="165" fontId="17" fillId="42" borderId="11" xfId="10" applyNumberFormat="1" applyFont="1" applyFill="1" applyBorder="1" applyAlignment="1">
      <alignment horizontal="center"/>
    </xf>
    <xf numFmtId="5" fontId="17" fillId="42" borderId="12" xfId="4" applyNumberFormat="1" applyFont="1" applyFill="1" applyBorder="1" applyAlignment="1">
      <alignment horizontal="center"/>
    </xf>
    <xf numFmtId="0" fontId="26" fillId="0" borderId="10" xfId="4" applyFont="1" applyBorder="1"/>
    <xf numFmtId="37" fontId="26" fillId="0" borderId="11" xfId="4" applyNumberFormat="1" applyFont="1" applyBorder="1" applyAlignment="1">
      <alignment horizontal="center"/>
    </xf>
    <xf numFmtId="0" fontId="26" fillId="0" borderId="0" xfId="10" applyNumberFormat="1" applyFont="1" applyFill="1" applyBorder="1" applyAlignment="1">
      <alignment horizontal="center"/>
    </xf>
    <xf numFmtId="5" fontId="26" fillId="0" borderId="0" xfId="4" applyNumberFormat="1" applyFont="1" applyAlignment="1">
      <alignment horizontal="center"/>
    </xf>
    <xf numFmtId="165" fontId="26" fillId="0" borderId="0" xfId="10" applyNumberFormat="1" applyFont="1" applyFill="1" applyBorder="1" applyAlignment="1">
      <alignment horizontal="center"/>
    </xf>
    <xf numFmtId="0" fontId="22" fillId="0" borderId="11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6" fillId="0" borderId="0" xfId="5" applyFont="1"/>
    <xf numFmtId="0" fontId="1" fillId="0" borderId="0" xfId="0" applyFont="1"/>
    <xf numFmtId="0" fontId="17" fillId="42" borderId="2" xfId="4" applyFont="1" applyFill="1" applyBorder="1"/>
    <xf numFmtId="0" fontId="17" fillId="42" borderId="3" xfId="4" applyFont="1" applyFill="1" applyBorder="1" applyAlignment="1">
      <alignment horizontal="center"/>
    </xf>
    <xf numFmtId="0" fontId="27" fillId="0" borderId="5" xfId="4" applyFont="1" applyBorder="1" applyAlignment="1">
      <alignment horizontal="right"/>
    </xf>
    <xf numFmtId="164" fontId="22" fillId="0" borderId="8" xfId="1" applyNumberFormat="1" applyFont="1" applyFill="1" applyBorder="1" applyAlignment="1">
      <alignment horizontal="center"/>
    </xf>
    <xf numFmtId="0" fontId="27" fillId="0" borderId="10" xfId="4" applyFont="1" applyBorder="1" applyAlignment="1">
      <alignment horizontal="right"/>
    </xf>
    <xf numFmtId="164" fontId="22" fillId="0" borderId="12" xfId="1" applyNumberFormat="1" applyFont="1" applyFill="1" applyBorder="1" applyAlignment="1">
      <alignment horizontal="center"/>
    </xf>
    <xf numFmtId="164" fontId="22" fillId="0" borderId="0" xfId="1" applyNumberFormat="1" applyFont="1"/>
    <xf numFmtId="164" fontId="26" fillId="0" borderId="0" xfId="1" applyNumberFormat="1" applyFont="1" applyFill="1"/>
    <xf numFmtId="0" fontId="17" fillId="40" borderId="2" xfId="0" applyFont="1" applyFill="1" applyBorder="1"/>
    <xf numFmtId="0" fontId="17" fillId="40" borderId="3" xfId="0" applyFont="1" applyFill="1" applyBorder="1" applyAlignment="1">
      <alignment horizontal="center"/>
    </xf>
    <xf numFmtId="164" fontId="17" fillId="40" borderId="4" xfId="1" applyNumberFormat="1" applyFont="1" applyFill="1" applyBorder="1" applyAlignment="1">
      <alignment horizontal="center"/>
    </xf>
    <xf numFmtId="164" fontId="17" fillId="42" borderId="4" xfId="1" applyNumberFormat="1" applyFont="1" applyFill="1" applyBorder="1"/>
    <xf numFmtId="0" fontId="1" fillId="0" borderId="0" xfId="0" applyFont="1" applyAlignment="1">
      <alignment horizontal="center"/>
    </xf>
    <xf numFmtId="0" fontId="17" fillId="42" borderId="2" xfId="4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164" fontId="22" fillId="0" borderId="8" xfId="1" applyNumberFormat="1" applyFont="1" applyBorder="1"/>
    <xf numFmtId="0" fontId="27" fillId="0" borderId="23" xfId="4" applyFont="1" applyBorder="1" applyAlignment="1">
      <alignment horizontal="right"/>
    </xf>
    <xf numFmtId="164" fontId="22" fillId="0" borderId="24" xfId="1" applyNumberFormat="1" applyFont="1" applyBorder="1"/>
    <xf numFmtId="0" fontId="1" fillId="0" borderId="11" xfId="0" applyFont="1" applyBorder="1" applyAlignment="1">
      <alignment horizontal="center"/>
    </xf>
    <xf numFmtId="164" fontId="22" fillId="0" borderId="12" xfId="1" applyNumberFormat="1" applyFont="1" applyBorder="1"/>
    <xf numFmtId="0" fontId="27" fillId="0" borderId="0" xfId="4" applyFont="1" applyAlignment="1">
      <alignment horizontal="right"/>
    </xf>
    <xf numFmtId="0" fontId="17" fillId="42" borderId="2" xfId="5" applyFont="1" applyFill="1" applyBorder="1" applyAlignment="1">
      <alignment horizontal="left" wrapText="1"/>
    </xf>
    <xf numFmtId="0" fontId="17" fillId="42" borderId="3" xfId="5" applyFont="1" applyFill="1" applyBorder="1" applyAlignment="1">
      <alignment horizontal="center" wrapText="1"/>
    </xf>
    <xf numFmtId="0" fontId="17" fillId="42" borderId="3" xfId="4" applyFont="1" applyFill="1" applyBorder="1"/>
    <xf numFmtId="0" fontId="17" fillId="42" borderId="4" xfId="5" applyFont="1" applyFill="1" applyBorder="1" applyAlignment="1">
      <alignment horizontal="center" wrapText="1"/>
    </xf>
    <xf numFmtId="14" fontId="22" fillId="41" borderId="0" xfId="4" applyNumberFormat="1" applyFont="1" applyFill="1"/>
    <xf numFmtId="0" fontId="17" fillId="42" borderId="0" xfId="4" applyFont="1" applyFill="1"/>
    <xf numFmtId="0" fontId="17" fillId="42" borderId="0" xfId="4" applyFont="1" applyFill="1" applyAlignment="1">
      <alignment horizontal="center"/>
    </xf>
    <xf numFmtId="164" fontId="22" fillId="0" borderId="0" xfId="1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22" fillId="0" borderId="11" xfId="4" applyFont="1" applyBorder="1" applyAlignment="1">
      <alignment horizontal="right"/>
    </xf>
    <xf numFmtId="44" fontId="2" fillId="0" borderId="0" xfId="1" applyFont="1" applyFill="1"/>
    <xf numFmtId="44" fontId="0" fillId="0" borderId="0" xfId="1" applyFont="1" applyFill="1"/>
    <xf numFmtId="44" fontId="0" fillId="0" borderId="0" xfId="0" applyNumberFormat="1"/>
    <xf numFmtId="9" fontId="0" fillId="0" borderId="0" xfId="2" applyFont="1" applyFill="1"/>
    <xf numFmtId="0" fontId="2" fillId="4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9" fontId="2" fillId="0" borderId="0" xfId="1" applyNumberFormat="1" applyFont="1"/>
    <xf numFmtId="0" fontId="17" fillId="43" borderId="0" xfId="0" applyFont="1" applyFill="1" applyAlignment="1">
      <alignment horizontal="center" vertical="center" wrapText="1"/>
    </xf>
    <xf numFmtId="0" fontId="0" fillId="0" borderId="2" xfId="4" applyFont="1" applyBorder="1"/>
    <xf numFmtId="0" fontId="2" fillId="7" borderId="0" xfId="0" applyFont="1" applyFill="1" applyAlignment="1">
      <alignment horizontal="center"/>
    </xf>
    <xf numFmtId="14" fontId="17" fillId="43" borderId="0" xfId="0" applyNumberFormat="1" applyFont="1" applyFill="1" applyAlignment="1">
      <alignment horizontal="center" vertical="center" wrapText="1"/>
    </xf>
    <xf numFmtId="44" fontId="17" fillId="43" borderId="0" xfId="1" applyFont="1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2" fillId="0" borderId="0" xfId="0" quotePrefix="1" applyFont="1"/>
    <xf numFmtId="1" fontId="22" fillId="0" borderId="0" xfId="0" applyNumberFormat="1" applyFont="1"/>
    <xf numFmtId="0" fontId="22" fillId="0" borderId="0" xfId="0" applyFont="1"/>
    <xf numFmtId="1" fontId="22" fillId="0" borderId="0" xfId="0" applyNumberFormat="1" applyFont="1" applyAlignment="1">
      <alignment horizontal="center"/>
    </xf>
    <xf numFmtId="44" fontId="22" fillId="0" borderId="0" xfId="1" applyFont="1" applyAlignment="1">
      <alignment horizontal="center"/>
    </xf>
    <xf numFmtId="44" fontId="0" fillId="0" borderId="0" xfId="1" applyFont="1" applyFill="1" applyBorder="1"/>
    <xf numFmtId="44" fontId="0" fillId="0" borderId="0" xfId="1" applyFont="1"/>
    <xf numFmtId="0" fontId="22" fillId="0" borderId="0" xfId="0" applyFont="1" applyAlignment="1">
      <alignment horizontal="center" wrapText="1"/>
    </xf>
    <xf numFmtId="44" fontId="22" fillId="0" borderId="0" xfId="0" applyNumberFormat="1" applyFont="1" applyAlignment="1">
      <alignment horizontal="center" wrapText="1"/>
    </xf>
    <xf numFmtId="44" fontId="0" fillId="0" borderId="0" xfId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41" borderId="0" xfId="0" applyFont="1" applyFill="1" applyAlignment="1">
      <alignment horizontal="center"/>
    </xf>
    <xf numFmtId="9" fontId="2" fillId="41" borderId="0" xfId="2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44" fontId="0" fillId="0" borderId="0" xfId="0" applyNumberFormat="1" applyAlignment="1">
      <alignment horizontal="center" wrapText="1"/>
    </xf>
    <xf numFmtId="9" fontId="0" fillId="0" borderId="0" xfId="2" applyFont="1" applyFill="1" applyBorder="1" applyAlignment="1">
      <alignment horizontal="center" wrapText="1"/>
    </xf>
    <xf numFmtId="0" fontId="23" fillId="0" borderId="0" xfId="0" applyFont="1" applyAlignment="1">
      <alignment horizontal="center" wrapText="1"/>
    </xf>
    <xf numFmtId="9" fontId="0" fillId="0" borderId="0" xfId="2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9" fontId="2" fillId="5" borderId="22" xfId="2" applyFont="1" applyFill="1" applyBorder="1" applyAlignment="1">
      <alignment horizontal="center"/>
    </xf>
    <xf numFmtId="44" fontId="2" fillId="2" borderId="22" xfId="1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0" fillId="0" borderId="0" xfId="0" quotePrefix="1"/>
    <xf numFmtId="0" fontId="2" fillId="44" borderId="0" xfId="0" applyFont="1" applyFill="1" applyAlignment="1">
      <alignment horizontal="center"/>
    </xf>
    <xf numFmtId="0" fontId="22" fillId="0" borderId="0" xfId="4" applyFont="1" applyAlignment="1">
      <alignment wrapText="1"/>
    </xf>
    <xf numFmtId="0" fontId="0" fillId="0" borderId="0" xfId="0" applyAlignment="1">
      <alignment wrapText="1"/>
    </xf>
  </cellXfs>
  <cellStyles count="59">
    <cellStyle name="20% - Accent1" xfId="30" builtinId="30" customBuiltin="1"/>
    <cellStyle name="20% - Accent2" xfId="34" builtinId="34" customBuiltin="1"/>
    <cellStyle name="20% - Accent3" xfId="38" builtinId="38" customBuiltin="1"/>
    <cellStyle name="20% - Accent4" xfId="42" builtinId="42" customBuiltin="1"/>
    <cellStyle name="20% - Accent5" xfId="46" builtinId="46" customBuiltin="1"/>
    <cellStyle name="20% - Accent6" xfId="50" builtinId="50" customBuiltin="1"/>
    <cellStyle name="40% - Accent1" xfId="31" builtinId="31" customBuiltin="1"/>
    <cellStyle name="40% - Accent2" xfId="35" builtinId="35" customBuiltin="1"/>
    <cellStyle name="40% - Accent3" xfId="39" builtinId="39" customBuiltin="1"/>
    <cellStyle name="40% - Accent4" xfId="43" builtinId="43" customBuiltin="1"/>
    <cellStyle name="40% - Accent5" xfId="47" builtinId="47" customBuiltin="1"/>
    <cellStyle name="40% - Accent6" xfId="51" builtinId="51" customBuiltin="1"/>
    <cellStyle name="60% - Accent1" xfId="32" builtinId="32" customBuiltin="1"/>
    <cellStyle name="60% - Accent2" xfId="36" builtinId="36" customBuiltin="1"/>
    <cellStyle name="60% - Accent3" xfId="40" builtinId="40" customBuiltin="1"/>
    <cellStyle name="60% - Accent4" xfId="44" builtinId="44" customBuiltin="1"/>
    <cellStyle name="60% - Accent5" xfId="48" builtinId="48" customBuiltin="1"/>
    <cellStyle name="60% - Accent6" xfId="52" builtinId="52" customBuiltin="1"/>
    <cellStyle name="Accent1" xfId="29" builtinId="29" customBuiltin="1"/>
    <cellStyle name="Accent2" xfId="33" builtinId="33" customBuiltin="1"/>
    <cellStyle name="Accent3" xfId="37" builtinId="37" customBuiltin="1"/>
    <cellStyle name="Accent4" xfId="41" builtinId="41" customBuiltin="1"/>
    <cellStyle name="Accent5" xfId="45" builtinId="45" customBuiltin="1"/>
    <cellStyle name="Accent6" xfId="49" builtinId="49" customBuiltin="1"/>
    <cellStyle name="Bad" xfId="18" builtinId="27" customBuiltin="1"/>
    <cellStyle name="Calculation" xfId="22" builtinId="22" customBuiltin="1"/>
    <cellStyle name="Check Cell" xfId="24" builtinId="23" customBuiltin="1"/>
    <cellStyle name="Comma 2 2" xfId="8" xr:uid="{00000000-0005-0000-0000-00001B000000}"/>
    <cellStyle name="Currency" xfId="1" builtinId="4"/>
    <cellStyle name="Currency 2" xfId="57" xr:uid="{00000000-0005-0000-0000-00001D000000}"/>
    <cellStyle name="Currency 3" xfId="58" xr:uid="{00000000-0005-0000-0000-00001E000000}"/>
    <cellStyle name="Currency 3 2" xfId="6" xr:uid="{00000000-0005-0000-0000-00001F000000}"/>
    <cellStyle name="Explanatory Text" xfId="27" builtinId="53" customBuiltin="1"/>
    <cellStyle name="Good" xfId="17" builtinId="26" customBuiltin="1"/>
    <cellStyle name="Heading 1" xfId="13" builtinId="16" customBuiltin="1"/>
    <cellStyle name="Heading 2" xfId="14" builtinId="17" customBuiltin="1"/>
    <cellStyle name="Heading 3" xfId="15" builtinId="18" customBuiltin="1"/>
    <cellStyle name="Heading 4" xfId="16" builtinId="19" customBuiltin="1"/>
    <cellStyle name="Input" xfId="20" builtinId="20" customBuiltin="1"/>
    <cellStyle name="Linked Cell" xfId="23" builtinId="24" customBuiltin="1"/>
    <cellStyle name="Neutral" xfId="19" builtinId="28" customBuiltin="1"/>
    <cellStyle name="Normal" xfId="0" builtinId="0"/>
    <cellStyle name="Normal 2" xfId="3" xr:uid="{00000000-0005-0000-0000-00002A000000}"/>
    <cellStyle name="Normal 2 2" xfId="53" xr:uid="{00000000-0005-0000-0000-00002B000000}"/>
    <cellStyle name="Normal 2 2 6" xfId="5" xr:uid="{00000000-0005-0000-0000-00002C000000}"/>
    <cellStyle name="Normal 2 3" xfId="56" xr:uid="{00000000-0005-0000-0000-00002D000000}"/>
    <cellStyle name="Normal 3" xfId="11" xr:uid="{00000000-0005-0000-0000-00002E000000}"/>
    <cellStyle name="Normal 3 2" xfId="55" xr:uid="{00000000-0005-0000-0000-00002F000000}"/>
    <cellStyle name="Normal 3 2 6" xfId="4" xr:uid="{00000000-0005-0000-0000-000030000000}"/>
    <cellStyle name="Normal 4" xfId="54" xr:uid="{00000000-0005-0000-0000-000031000000}"/>
    <cellStyle name="Note" xfId="26" builtinId="10" customBuiltin="1"/>
    <cellStyle name="Output" xfId="21" builtinId="21" customBuiltin="1"/>
    <cellStyle name="Percent" xfId="2" builtinId="5"/>
    <cellStyle name="Percent 14" xfId="10" xr:uid="{00000000-0005-0000-0000-000035000000}"/>
    <cellStyle name="Percent 3 5" xfId="9" xr:uid="{00000000-0005-0000-0000-000036000000}"/>
    <cellStyle name="Percent 4 2" xfId="7" xr:uid="{00000000-0005-0000-0000-000037000000}"/>
    <cellStyle name="Title" xfId="12" builtinId="15" customBuiltin="1"/>
    <cellStyle name="Total" xfId="28" builtinId="25" customBuiltin="1"/>
    <cellStyle name="Warning Text" xfId="25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opLeftCell="A32" workbookViewId="0">
      <selection activeCell="K9" sqref="K9"/>
    </sheetView>
  </sheetViews>
  <sheetFormatPr defaultColWidth="9.1796875" defaultRowHeight="14.5" x14ac:dyDescent="0.35"/>
  <cols>
    <col min="1" max="1" width="38.453125" style="4" customWidth="1"/>
    <col min="2" max="2" width="13.1796875" style="4" bestFit="1" customWidth="1"/>
    <col min="3" max="3" width="15.1796875" style="4" customWidth="1"/>
    <col min="4" max="5" width="15.1796875" style="4" bestFit="1" customWidth="1"/>
    <col min="6" max="6" width="14.54296875" style="4" customWidth="1"/>
    <col min="7" max="7" width="13.453125" style="4" customWidth="1"/>
    <col min="8" max="8" width="17.1796875" style="4" customWidth="1"/>
    <col min="9" max="9" width="11.1796875" style="4" customWidth="1"/>
    <col min="10" max="256" width="9.1796875" style="4"/>
    <col min="257" max="257" width="29.81640625" style="4" customWidth="1"/>
    <col min="258" max="258" width="12.453125" style="4" customWidth="1"/>
    <col min="259" max="259" width="15.1796875" style="4" customWidth="1"/>
    <col min="260" max="260" width="14.1796875" style="4" customWidth="1"/>
    <col min="261" max="262" width="11.1796875" style="4" customWidth="1"/>
    <col min="263" max="263" width="13.453125" style="4" customWidth="1"/>
    <col min="264" max="264" width="10.81640625" style="4" customWidth="1"/>
    <col min="265" max="265" width="11.1796875" style="4" customWidth="1"/>
    <col min="266" max="512" width="9.1796875" style="4"/>
    <col min="513" max="513" width="29.81640625" style="4" customWidth="1"/>
    <col min="514" max="514" width="12.453125" style="4" customWidth="1"/>
    <col min="515" max="515" width="15.1796875" style="4" customWidth="1"/>
    <col min="516" max="516" width="14.1796875" style="4" customWidth="1"/>
    <col min="517" max="518" width="11.1796875" style="4" customWidth="1"/>
    <col min="519" max="519" width="13.453125" style="4" customWidth="1"/>
    <col min="520" max="520" width="10.81640625" style="4" customWidth="1"/>
    <col min="521" max="521" width="11.1796875" style="4" customWidth="1"/>
    <col min="522" max="768" width="9.1796875" style="4"/>
    <col min="769" max="769" width="29.81640625" style="4" customWidth="1"/>
    <col min="770" max="770" width="12.453125" style="4" customWidth="1"/>
    <col min="771" max="771" width="15.1796875" style="4" customWidth="1"/>
    <col min="772" max="772" width="14.1796875" style="4" customWidth="1"/>
    <col min="773" max="774" width="11.1796875" style="4" customWidth="1"/>
    <col min="775" max="775" width="13.453125" style="4" customWidth="1"/>
    <col min="776" max="776" width="10.81640625" style="4" customWidth="1"/>
    <col min="777" max="777" width="11.1796875" style="4" customWidth="1"/>
    <col min="778" max="1024" width="9.1796875" style="4"/>
    <col min="1025" max="1025" width="29.81640625" style="4" customWidth="1"/>
    <col min="1026" max="1026" width="12.453125" style="4" customWidth="1"/>
    <col min="1027" max="1027" width="15.1796875" style="4" customWidth="1"/>
    <col min="1028" max="1028" width="14.1796875" style="4" customWidth="1"/>
    <col min="1029" max="1030" width="11.1796875" style="4" customWidth="1"/>
    <col min="1031" max="1031" width="13.453125" style="4" customWidth="1"/>
    <col min="1032" max="1032" width="10.81640625" style="4" customWidth="1"/>
    <col min="1033" max="1033" width="11.1796875" style="4" customWidth="1"/>
    <col min="1034" max="1280" width="9.1796875" style="4"/>
    <col min="1281" max="1281" width="29.81640625" style="4" customWidth="1"/>
    <col min="1282" max="1282" width="12.453125" style="4" customWidth="1"/>
    <col min="1283" max="1283" width="15.1796875" style="4" customWidth="1"/>
    <col min="1284" max="1284" width="14.1796875" style="4" customWidth="1"/>
    <col min="1285" max="1286" width="11.1796875" style="4" customWidth="1"/>
    <col min="1287" max="1287" width="13.453125" style="4" customWidth="1"/>
    <col min="1288" max="1288" width="10.81640625" style="4" customWidth="1"/>
    <col min="1289" max="1289" width="11.1796875" style="4" customWidth="1"/>
    <col min="1290" max="1536" width="9.1796875" style="4"/>
    <col min="1537" max="1537" width="29.81640625" style="4" customWidth="1"/>
    <col min="1538" max="1538" width="12.453125" style="4" customWidth="1"/>
    <col min="1539" max="1539" width="15.1796875" style="4" customWidth="1"/>
    <col min="1540" max="1540" width="14.1796875" style="4" customWidth="1"/>
    <col min="1541" max="1542" width="11.1796875" style="4" customWidth="1"/>
    <col min="1543" max="1543" width="13.453125" style="4" customWidth="1"/>
    <col min="1544" max="1544" width="10.81640625" style="4" customWidth="1"/>
    <col min="1545" max="1545" width="11.1796875" style="4" customWidth="1"/>
    <col min="1546" max="1792" width="9.1796875" style="4"/>
    <col min="1793" max="1793" width="29.81640625" style="4" customWidth="1"/>
    <col min="1794" max="1794" width="12.453125" style="4" customWidth="1"/>
    <col min="1795" max="1795" width="15.1796875" style="4" customWidth="1"/>
    <col min="1796" max="1796" width="14.1796875" style="4" customWidth="1"/>
    <col min="1797" max="1798" width="11.1796875" style="4" customWidth="1"/>
    <col min="1799" max="1799" width="13.453125" style="4" customWidth="1"/>
    <col min="1800" max="1800" width="10.81640625" style="4" customWidth="1"/>
    <col min="1801" max="1801" width="11.1796875" style="4" customWidth="1"/>
    <col min="1802" max="2048" width="9.1796875" style="4"/>
    <col min="2049" max="2049" width="29.81640625" style="4" customWidth="1"/>
    <col min="2050" max="2050" width="12.453125" style="4" customWidth="1"/>
    <col min="2051" max="2051" width="15.1796875" style="4" customWidth="1"/>
    <col min="2052" max="2052" width="14.1796875" style="4" customWidth="1"/>
    <col min="2053" max="2054" width="11.1796875" style="4" customWidth="1"/>
    <col min="2055" max="2055" width="13.453125" style="4" customWidth="1"/>
    <col min="2056" max="2056" width="10.81640625" style="4" customWidth="1"/>
    <col min="2057" max="2057" width="11.1796875" style="4" customWidth="1"/>
    <col min="2058" max="2304" width="9.1796875" style="4"/>
    <col min="2305" max="2305" width="29.81640625" style="4" customWidth="1"/>
    <col min="2306" max="2306" width="12.453125" style="4" customWidth="1"/>
    <col min="2307" max="2307" width="15.1796875" style="4" customWidth="1"/>
    <col min="2308" max="2308" width="14.1796875" style="4" customWidth="1"/>
    <col min="2309" max="2310" width="11.1796875" style="4" customWidth="1"/>
    <col min="2311" max="2311" width="13.453125" style="4" customWidth="1"/>
    <col min="2312" max="2312" width="10.81640625" style="4" customWidth="1"/>
    <col min="2313" max="2313" width="11.1796875" style="4" customWidth="1"/>
    <col min="2314" max="2560" width="9.1796875" style="4"/>
    <col min="2561" max="2561" width="29.81640625" style="4" customWidth="1"/>
    <col min="2562" max="2562" width="12.453125" style="4" customWidth="1"/>
    <col min="2563" max="2563" width="15.1796875" style="4" customWidth="1"/>
    <col min="2564" max="2564" width="14.1796875" style="4" customWidth="1"/>
    <col min="2565" max="2566" width="11.1796875" style="4" customWidth="1"/>
    <col min="2567" max="2567" width="13.453125" style="4" customWidth="1"/>
    <col min="2568" max="2568" width="10.81640625" style="4" customWidth="1"/>
    <col min="2569" max="2569" width="11.1796875" style="4" customWidth="1"/>
    <col min="2570" max="2816" width="9.1796875" style="4"/>
    <col min="2817" max="2817" width="29.81640625" style="4" customWidth="1"/>
    <col min="2818" max="2818" width="12.453125" style="4" customWidth="1"/>
    <col min="2819" max="2819" width="15.1796875" style="4" customWidth="1"/>
    <col min="2820" max="2820" width="14.1796875" style="4" customWidth="1"/>
    <col min="2821" max="2822" width="11.1796875" style="4" customWidth="1"/>
    <col min="2823" max="2823" width="13.453125" style="4" customWidth="1"/>
    <col min="2824" max="2824" width="10.81640625" style="4" customWidth="1"/>
    <col min="2825" max="2825" width="11.1796875" style="4" customWidth="1"/>
    <col min="2826" max="3072" width="9.1796875" style="4"/>
    <col min="3073" max="3073" width="29.81640625" style="4" customWidth="1"/>
    <col min="3074" max="3074" width="12.453125" style="4" customWidth="1"/>
    <col min="3075" max="3075" width="15.1796875" style="4" customWidth="1"/>
    <col min="3076" max="3076" width="14.1796875" style="4" customWidth="1"/>
    <col min="3077" max="3078" width="11.1796875" style="4" customWidth="1"/>
    <col min="3079" max="3079" width="13.453125" style="4" customWidth="1"/>
    <col min="3080" max="3080" width="10.81640625" style="4" customWidth="1"/>
    <col min="3081" max="3081" width="11.1796875" style="4" customWidth="1"/>
    <col min="3082" max="3328" width="9.1796875" style="4"/>
    <col min="3329" max="3329" width="29.81640625" style="4" customWidth="1"/>
    <col min="3330" max="3330" width="12.453125" style="4" customWidth="1"/>
    <col min="3331" max="3331" width="15.1796875" style="4" customWidth="1"/>
    <col min="3332" max="3332" width="14.1796875" style="4" customWidth="1"/>
    <col min="3333" max="3334" width="11.1796875" style="4" customWidth="1"/>
    <col min="3335" max="3335" width="13.453125" style="4" customWidth="1"/>
    <col min="3336" max="3336" width="10.81640625" style="4" customWidth="1"/>
    <col min="3337" max="3337" width="11.1796875" style="4" customWidth="1"/>
    <col min="3338" max="3584" width="9.1796875" style="4"/>
    <col min="3585" max="3585" width="29.81640625" style="4" customWidth="1"/>
    <col min="3586" max="3586" width="12.453125" style="4" customWidth="1"/>
    <col min="3587" max="3587" width="15.1796875" style="4" customWidth="1"/>
    <col min="3588" max="3588" width="14.1796875" style="4" customWidth="1"/>
    <col min="3589" max="3590" width="11.1796875" style="4" customWidth="1"/>
    <col min="3591" max="3591" width="13.453125" style="4" customWidth="1"/>
    <col min="3592" max="3592" width="10.81640625" style="4" customWidth="1"/>
    <col min="3593" max="3593" width="11.1796875" style="4" customWidth="1"/>
    <col min="3594" max="3840" width="9.1796875" style="4"/>
    <col min="3841" max="3841" width="29.81640625" style="4" customWidth="1"/>
    <col min="3842" max="3842" width="12.453125" style="4" customWidth="1"/>
    <col min="3843" max="3843" width="15.1796875" style="4" customWidth="1"/>
    <col min="3844" max="3844" width="14.1796875" style="4" customWidth="1"/>
    <col min="3845" max="3846" width="11.1796875" style="4" customWidth="1"/>
    <col min="3847" max="3847" width="13.453125" style="4" customWidth="1"/>
    <col min="3848" max="3848" width="10.81640625" style="4" customWidth="1"/>
    <col min="3849" max="3849" width="11.1796875" style="4" customWidth="1"/>
    <col min="3850" max="4096" width="9.1796875" style="4"/>
    <col min="4097" max="4097" width="29.81640625" style="4" customWidth="1"/>
    <col min="4098" max="4098" width="12.453125" style="4" customWidth="1"/>
    <col min="4099" max="4099" width="15.1796875" style="4" customWidth="1"/>
    <col min="4100" max="4100" width="14.1796875" style="4" customWidth="1"/>
    <col min="4101" max="4102" width="11.1796875" style="4" customWidth="1"/>
    <col min="4103" max="4103" width="13.453125" style="4" customWidth="1"/>
    <col min="4104" max="4104" width="10.81640625" style="4" customWidth="1"/>
    <col min="4105" max="4105" width="11.1796875" style="4" customWidth="1"/>
    <col min="4106" max="4352" width="9.1796875" style="4"/>
    <col min="4353" max="4353" width="29.81640625" style="4" customWidth="1"/>
    <col min="4354" max="4354" width="12.453125" style="4" customWidth="1"/>
    <col min="4355" max="4355" width="15.1796875" style="4" customWidth="1"/>
    <col min="4356" max="4356" width="14.1796875" style="4" customWidth="1"/>
    <col min="4357" max="4358" width="11.1796875" style="4" customWidth="1"/>
    <col min="4359" max="4359" width="13.453125" style="4" customWidth="1"/>
    <col min="4360" max="4360" width="10.81640625" style="4" customWidth="1"/>
    <col min="4361" max="4361" width="11.1796875" style="4" customWidth="1"/>
    <col min="4362" max="4608" width="9.1796875" style="4"/>
    <col min="4609" max="4609" width="29.81640625" style="4" customWidth="1"/>
    <col min="4610" max="4610" width="12.453125" style="4" customWidth="1"/>
    <col min="4611" max="4611" width="15.1796875" style="4" customWidth="1"/>
    <col min="4612" max="4612" width="14.1796875" style="4" customWidth="1"/>
    <col min="4613" max="4614" width="11.1796875" style="4" customWidth="1"/>
    <col min="4615" max="4615" width="13.453125" style="4" customWidth="1"/>
    <col min="4616" max="4616" width="10.81640625" style="4" customWidth="1"/>
    <col min="4617" max="4617" width="11.1796875" style="4" customWidth="1"/>
    <col min="4618" max="4864" width="9.1796875" style="4"/>
    <col min="4865" max="4865" width="29.81640625" style="4" customWidth="1"/>
    <col min="4866" max="4866" width="12.453125" style="4" customWidth="1"/>
    <col min="4867" max="4867" width="15.1796875" style="4" customWidth="1"/>
    <col min="4868" max="4868" width="14.1796875" style="4" customWidth="1"/>
    <col min="4869" max="4870" width="11.1796875" style="4" customWidth="1"/>
    <col min="4871" max="4871" width="13.453125" style="4" customWidth="1"/>
    <col min="4872" max="4872" width="10.81640625" style="4" customWidth="1"/>
    <col min="4873" max="4873" width="11.1796875" style="4" customWidth="1"/>
    <col min="4874" max="5120" width="9.1796875" style="4"/>
    <col min="5121" max="5121" width="29.81640625" style="4" customWidth="1"/>
    <col min="5122" max="5122" width="12.453125" style="4" customWidth="1"/>
    <col min="5123" max="5123" width="15.1796875" style="4" customWidth="1"/>
    <col min="5124" max="5124" width="14.1796875" style="4" customWidth="1"/>
    <col min="5125" max="5126" width="11.1796875" style="4" customWidth="1"/>
    <col min="5127" max="5127" width="13.453125" style="4" customWidth="1"/>
    <col min="5128" max="5128" width="10.81640625" style="4" customWidth="1"/>
    <col min="5129" max="5129" width="11.1796875" style="4" customWidth="1"/>
    <col min="5130" max="5376" width="9.1796875" style="4"/>
    <col min="5377" max="5377" width="29.81640625" style="4" customWidth="1"/>
    <col min="5378" max="5378" width="12.453125" style="4" customWidth="1"/>
    <col min="5379" max="5379" width="15.1796875" style="4" customWidth="1"/>
    <col min="5380" max="5380" width="14.1796875" style="4" customWidth="1"/>
    <col min="5381" max="5382" width="11.1796875" style="4" customWidth="1"/>
    <col min="5383" max="5383" width="13.453125" style="4" customWidth="1"/>
    <col min="5384" max="5384" width="10.81640625" style="4" customWidth="1"/>
    <col min="5385" max="5385" width="11.1796875" style="4" customWidth="1"/>
    <col min="5386" max="5632" width="9.1796875" style="4"/>
    <col min="5633" max="5633" width="29.81640625" style="4" customWidth="1"/>
    <col min="5634" max="5634" width="12.453125" style="4" customWidth="1"/>
    <col min="5635" max="5635" width="15.1796875" style="4" customWidth="1"/>
    <col min="5636" max="5636" width="14.1796875" style="4" customWidth="1"/>
    <col min="5637" max="5638" width="11.1796875" style="4" customWidth="1"/>
    <col min="5639" max="5639" width="13.453125" style="4" customWidth="1"/>
    <col min="5640" max="5640" width="10.81640625" style="4" customWidth="1"/>
    <col min="5641" max="5641" width="11.1796875" style="4" customWidth="1"/>
    <col min="5642" max="5888" width="9.1796875" style="4"/>
    <col min="5889" max="5889" width="29.81640625" style="4" customWidth="1"/>
    <col min="5890" max="5890" width="12.453125" style="4" customWidth="1"/>
    <col min="5891" max="5891" width="15.1796875" style="4" customWidth="1"/>
    <col min="5892" max="5892" width="14.1796875" style="4" customWidth="1"/>
    <col min="5893" max="5894" width="11.1796875" style="4" customWidth="1"/>
    <col min="5895" max="5895" width="13.453125" style="4" customWidth="1"/>
    <col min="5896" max="5896" width="10.81640625" style="4" customWidth="1"/>
    <col min="5897" max="5897" width="11.1796875" style="4" customWidth="1"/>
    <col min="5898" max="6144" width="9.1796875" style="4"/>
    <col min="6145" max="6145" width="29.81640625" style="4" customWidth="1"/>
    <col min="6146" max="6146" width="12.453125" style="4" customWidth="1"/>
    <col min="6147" max="6147" width="15.1796875" style="4" customWidth="1"/>
    <col min="6148" max="6148" width="14.1796875" style="4" customWidth="1"/>
    <col min="6149" max="6150" width="11.1796875" style="4" customWidth="1"/>
    <col min="6151" max="6151" width="13.453125" style="4" customWidth="1"/>
    <col min="6152" max="6152" width="10.81640625" style="4" customWidth="1"/>
    <col min="6153" max="6153" width="11.1796875" style="4" customWidth="1"/>
    <col min="6154" max="6400" width="9.1796875" style="4"/>
    <col min="6401" max="6401" width="29.81640625" style="4" customWidth="1"/>
    <col min="6402" max="6402" width="12.453125" style="4" customWidth="1"/>
    <col min="6403" max="6403" width="15.1796875" style="4" customWidth="1"/>
    <col min="6404" max="6404" width="14.1796875" style="4" customWidth="1"/>
    <col min="6405" max="6406" width="11.1796875" style="4" customWidth="1"/>
    <col min="6407" max="6407" width="13.453125" style="4" customWidth="1"/>
    <col min="6408" max="6408" width="10.81640625" style="4" customWidth="1"/>
    <col min="6409" max="6409" width="11.1796875" style="4" customWidth="1"/>
    <col min="6410" max="6656" width="9.1796875" style="4"/>
    <col min="6657" max="6657" width="29.81640625" style="4" customWidth="1"/>
    <col min="6658" max="6658" width="12.453125" style="4" customWidth="1"/>
    <col min="6659" max="6659" width="15.1796875" style="4" customWidth="1"/>
    <col min="6660" max="6660" width="14.1796875" style="4" customWidth="1"/>
    <col min="6661" max="6662" width="11.1796875" style="4" customWidth="1"/>
    <col min="6663" max="6663" width="13.453125" style="4" customWidth="1"/>
    <col min="6664" max="6664" width="10.81640625" style="4" customWidth="1"/>
    <col min="6665" max="6665" width="11.1796875" style="4" customWidth="1"/>
    <col min="6666" max="6912" width="9.1796875" style="4"/>
    <col min="6913" max="6913" width="29.81640625" style="4" customWidth="1"/>
    <col min="6914" max="6914" width="12.453125" style="4" customWidth="1"/>
    <col min="6915" max="6915" width="15.1796875" style="4" customWidth="1"/>
    <col min="6916" max="6916" width="14.1796875" style="4" customWidth="1"/>
    <col min="6917" max="6918" width="11.1796875" style="4" customWidth="1"/>
    <col min="6919" max="6919" width="13.453125" style="4" customWidth="1"/>
    <col min="6920" max="6920" width="10.81640625" style="4" customWidth="1"/>
    <col min="6921" max="6921" width="11.1796875" style="4" customWidth="1"/>
    <col min="6922" max="7168" width="9.1796875" style="4"/>
    <col min="7169" max="7169" width="29.81640625" style="4" customWidth="1"/>
    <col min="7170" max="7170" width="12.453125" style="4" customWidth="1"/>
    <col min="7171" max="7171" width="15.1796875" style="4" customWidth="1"/>
    <col min="7172" max="7172" width="14.1796875" style="4" customWidth="1"/>
    <col min="7173" max="7174" width="11.1796875" style="4" customWidth="1"/>
    <col min="7175" max="7175" width="13.453125" style="4" customWidth="1"/>
    <col min="7176" max="7176" width="10.81640625" style="4" customWidth="1"/>
    <col min="7177" max="7177" width="11.1796875" style="4" customWidth="1"/>
    <col min="7178" max="7424" width="9.1796875" style="4"/>
    <col min="7425" max="7425" width="29.81640625" style="4" customWidth="1"/>
    <col min="7426" max="7426" width="12.453125" style="4" customWidth="1"/>
    <col min="7427" max="7427" width="15.1796875" style="4" customWidth="1"/>
    <col min="7428" max="7428" width="14.1796875" style="4" customWidth="1"/>
    <col min="7429" max="7430" width="11.1796875" style="4" customWidth="1"/>
    <col min="7431" max="7431" width="13.453125" style="4" customWidth="1"/>
    <col min="7432" max="7432" width="10.81640625" style="4" customWidth="1"/>
    <col min="7433" max="7433" width="11.1796875" style="4" customWidth="1"/>
    <col min="7434" max="7680" width="9.1796875" style="4"/>
    <col min="7681" max="7681" width="29.81640625" style="4" customWidth="1"/>
    <col min="7682" max="7682" width="12.453125" style="4" customWidth="1"/>
    <col min="7683" max="7683" width="15.1796875" style="4" customWidth="1"/>
    <col min="7684" max="7684" width="14.1796875" style="4" customWidth="1"/>
    <col min="7685" max="7686" width="11.1796875" style="4" customWidth="1"/>
    <col min="7687" max="7687" width="13.453125" style="4" customWidth="1"/>
    <col min="7688" max="7688" width="10.81640625" style="4" customWidth="1"/>
    <col min="7689" max="7689" width="11.1796875" style="4" customWidth="1"/>
    <col min="7690" max="7936" width="9.1796875" style="4"/>
    <col min="7937" max="7937" width="29.81640625" style="4" customWidth="1"/>
    <col min="7938" max="7938" width="12.453125" style="4" customWidth="1"/>
    <col min="7939" max="7939" width="15.1796875" style="4" customWidth="1"/>
    <col min="7940" max="7940" width="14.1796875" style="4" customWidth="1"/>
    <col min="7941" max="7942" width="11.1796875" style="4" customWidth="1"/>
    <col min="7943" max="7943" width="13.453125" style="4" customWidth="1"/>
    <col min="7944" max="7944" width="10.81640625" style="4" customWidth="1"/>
    <col min="7945" max="7945" width="11.1796875" style="4" customWidth="1"/>
    <col min="7946" max="8192" width="9.1796875" style="4"/>
    <col min="8193" max="8193" width="29.81640625" style="4" customWidth="1"/>
    <col min="8194" max="8194" width="12.453125" style="4" customWidth="1"/>
    <col min="8195" max="8195" width="15.1796875" style="4" customWidth="1"/>
    <col min="8196" max="8196" width="14.1796875" style="4" customWidth="1"/>
    <col min="8197" max="8198" width="11.1796875" style="4" customWidth="1"/>
    <col min="8199" max="8199" width="13.453125" style="4" customWidth="1"/>
    <col min="8200" max="8200" width="10.81640625" style="4" customWidth="1"/>
    <col min="8201" max="8201" width="11.1796875" style="4" customWidth="1"/>
    <col min="8202" max="8448" width="9.1796875" style="4"/>
    <col min="8449" max="8449" width="29.81640625" style="4" customWidth="1"/>
    <col min="8450" max="8450" width="12.453125" style="4" customWidth="1"/>
    <col min="8451" max="8451" width="15.1796875" style="4" customWidth="1"/>
    <col min="8452" max="8452" width="14.1796875" style="4" customWidth="1"/>
    <col min="8453" max="8454" width="11.1796875" style="4" customWidth="1"/>
    <col min="8455" max="8455" width="13.453125" style="4" customWidth="1"/>
    <col min="8456" max="8456" width="10.81640625" style="4" customWidth="1"/>
    <col min="8457" max="8457" width="11.1796875" style="4" customWidth="1"/>
    <col min="8458" max="8704" width="9.1796875" style="4"/>
    <col min="8705" max="8705" width="29.81640625" style="4" customWidth="1"/>
    <col min="8706" max="8706" width="12.453125" style="4" customWidth="1"/>
    <col min="8707" max="8707" width="15.1796875" style="4" customWidth="1"/>
    <col min="8708" max="8708" width="14.1796875" style="4" customWidth="1"/>
    <col min="8709" max="8710" width="11.1796875" style="4" customWidth="1"/>
    <col min="8711" max="8711" width="13.453125" style="4" customWidth="1"/>
    <col min="8712" max="8712" width="10.81640625" style="4" customWidth="1"/>
    <col min="8713" max="8713" width="11.1796875" style="4" customWidth="1"/>
    <col min="8714" max="8960" width="9.1796875" style="4"/>
    <col min="8961" max="8961" width="29.81640625" style="4" customWidth="1"/>
    <col min="8962" max="8962" width="12.453125" style="4" customWidth="1"/>
    <col min="8963" max="8963" width="15.1796875" style="4" customWidth="1"/>
    <col min="8964" max="8964" width="14.1796875" style="4" customWidth="1"/>
    <col min="8965" max="8966" width="11.1796875" style="4" customWidth="1"/>
    <col min="8967" max="8967" width="13.453125" style="4" customWidth="1"/>
    <col min="8968" max="8968" width="10.81640625" style="4" customWidth="1"/>
    <col min="8969" max="8969" width="11.1796875" style="4" customWidth="1"/>
    <col min="8970" max="9216" width="9.1796875" style="4"/>
    <col min="9217" max="9217" width="29.81640625" style="4" customWidth="1"/>
    <col min="9218" max="9218" width="12.453125" style="4" customWidth="1"/>
    <col min="9219" max="9219" width="15.1796875" style="4" customWidth="1"/>
    <col min="9220" max="9220" width="14.1796875" style="4" customWidth="1"/>
    <col min="9221" max="9222" width="11.1796875" style="4" customWidth="1"/>
    <col min="9223" max="9223" width="13.453125" style="4" customWidth="1"/>
    <col min="9224" max="9224" width="10.81640625" style="4" customWidth="1"/>
    <col min="9225" max="9225" width="11.1796875" style="4" customWidth="1"/>
    <col min="9226" max="9472" width="9.1796875" style="4"/>
    <col min="9473" max="9473" width="29.81640625" style="4" customWidth="1"/>
    <col min="9474" max="9474" width="12.453125" style="4" customWidth="1"/>
    <col min="9475" max="9475" width="15.1796875" style="4" customWidth="1"/>
    <col min="9476" max="9476" width="14.1796875" style="4" customWidth="1"/>
    <col min="9477" max="9478" width="11.1796875" style="4" customWidth="1"/>
    <col min="9479" max="9479" width="13.453125" style="4" customWidth="1"/>
    <col min="9480" max="9480" width="10.81640625" style="4" customWidth="1"/>
    <col min="9481" max="9481" width="11.1796875" style="4" customWidth="1"/>
    <col min="9482" max="9728" width="9.1796875" style="4"/>
    <col min="9729" max="9729" width="29.81640625" style="4" customWidth="1"/>
    <col min="9730" max="9730" width="12.453125" style="4" customWidth="1"/>
    <col min="9731" max="9731" width="15.1796875" style="4" customWidth="1"/>
    <col min="9732" max="9732" width="14.1796875" style="4" customWidth="1"/>
    <col min="9733" max="9734" width="11.1796875" style="4" customWidth="1"/>
    <col min="9735" max="9735" width="13.453125" style="4" customWidth="1"/>
    <col min="9736" max="9736" width="10.81640625" style="4" customWidth="1"/>
    <col min="9737" max="9737" width="11.1796875" style="4" customWidth="1"/>
    <col min="9738" max="9984" width="9.1796875" style="4"/>
    <col min="9985" max="9985" width="29.81640625" style="4" customWidth="1"/>
    <col min="9986" max="9986" width="12.453125" style="4" customWidth="1"/>
    <col min="9987" max="9987" width="15.1796875" style="4" customWidth="1"/>
    <col min="9988" max="9988" width="14.1796875" style="4" customWidth="1"/>
    <col min="9989" max="9990" width="11.1796875" style="4" customWidth="1"/>
    <col min="9991" max="9991" width="13.453125" style="4" customWidth="1"/>
    <col min="9992" max="9992" width="10.81640625" style="4" customWidth="1"/>
    <col min="9993" max="9993" width="11.1796875" style="4" customWidth="1"/>
    <col min="9994" max="10240" width="9.1796875" style="4"/>
    <col min="10241" max="10241" width="29.81640625" style="4" customWidth="1"/>
    <col min="10242" max="10242" width="12.453125" style="4" customWidth="1"/>
    <col min="10243" max="10243" width="15.1796875" style="4" customWidth="1"/>
    <col min="10244" max="10244" width="14.1796875" style="4" customWidth="1"/>
    <col min="10245" max="10246" width="11.1796875" style="4" customWidth="1"/>
    <col min="10247" max="10247" width="13.453125" style="4" customWidth="1"/>
    <col min="10248" max="10248" width="10.81640625" style="4" customWidth="1"/>
    <col min="10249" max="10249" width="11.1796875" style="4" customWidth="1"/>
    <col min="10250" max="10496" width="9.1796875" style="4"/>
    <col min="10497" max="10497" width="29.81640625" style="4" customWidth="1"/>
    <col min="10498" max="10498" width="12.453125" style="4" customWidth="1"/>
    <col min="10499" max="10499" width="15.1796875" style="4" customWidth="1"/>
    <col min="10500" max="10500" width="14.1796875" style="4" customWidth="1"/>
    <col min="10501" max="10502" width="11.1796875" style="4" customWidth="1"/>
    <col min="10503" max="10503" width="13.453125" style="4" customWidth="1"/>
    <col min="10504" max="10504" width="10.81640625" style="4" customWidth="1"/>
    <col min="10505" max="10505" width="11.1796875" style="4" customWidth="1"/>
    <col min="10506" max="10752" width="9.1796875" style="4"/>
    <col min="10753" max="10753" width="29.81640625" style="4" customWidth="1"/>
    <col min="10754" max="10754" width="12.453125" style="4" customWidth="1"/>
    <col min="10755" max="10755" width="15.1796875" style="4" customWidth="1"/>
    <col min="10756" max="10756" width="14.1796875" style="4" customWidth="1"/>
    <col min="10757" max="10758" width="11.1796875" style="4" customWidth="1"/>
    <col min="10759" max="10759" width="13.453125" style="4" customWidth="1"/>
    <col min="10760" max="10760" width="10.81640625" style="4" customWidth="1"/>
    <col min="10761" max="10761" width="11.1796875" style="4" customWidth="1"/>
    <col min="10762" max="11008" width="9.1796875" style="4"/>
    <col min="11009" max="11009" width="29.81640625" style="4" customWidth="1"/>
    <col min="11010" max="11010" width="12.453125" style="4" customWidth="1"/>
    <col min="11011" max="11011" width="15.1796875" style="4" customWidth="1"/>
    <col min="11012" max="11012" width="14.1796875" style="4" customWidth="1"/>
    <col min="11013" max="11014" width="11.1796875" style="4" customWidth="1"/>
    <col min="11015" max="11015" width="13.453125" style="4" customWidth="1"/>
    <col min="11016" max="11016" width="10.81640625" style="4" customWidth="1"/>
    <col min="11017" max="11017" width="11.1796875" style="4" customWidth="1"/>
    <col min="11018" max="11264" width="9.1796875" style="4"/>
    <col min="11265" max="11265" width="29.81640625" style="4" customWidth="1"/>
    <col min="11266" max="11266" width="12.453125" style="4" customWidth="1"/>
    <col min="11267" max="11267" width="15.1796875" style="4" customWidth="1"/>
    <col min="11268" max="11268" width="14.1796875" style="4" customWidth="1"/>
    <col min="11269" max="11270" width="11.1796875" style="4" customWidth="1"/>
    <col min="11271" max="11271" width="13.453125" style="4" customWidth="1"/>
    <col min="11272" max="11272" width="10.81640625" style="4" customWidth="1"/>
    <col min="11273" max="11273" width="11.1796875" style="4" customWidth="1"/>
    <col min="11274" max="11520" width="9.1796875" style="4"/>
    <col min="11521" max="11521" width="29.81640625" style="4" customWidth="1"/>
    <col min="11522" max="11522" width="12.453125" style="4" customWidth="1"/>
    <col min="11523" max="11523" width="15.1796875" style="4" customWidth="1"/>
    <col min="11524" max="11524" width="14.1796875" style="4" customWidth="1"/>
    <col min="11525" max="11526" width="11.1796875" style="4" customWidth="1"/>
    <col min="11527" max="11527" width="13.453125" style="4" customWidth="1"/>
    <col min="11528" max="11528" width="10.81640625" style="4" customWidth="1"/>
    <col min="11529" max="11529" width="11.1796875" style="4" customWidth="1"/>
    <col min="11530" max="11776" width="9.1796875" style="4"/>
    <col min="11777" max="11777" width="29.81640625" style="4" customWidth="1"/>
    <col min="11778" max="11778" width="12.453125" style="4" customWidth="1"/>
    <col min="11779" max="11779" width="15.1796875" style="4" customWidth="1"/>
    <col min="11780" max="11780" width="14.1796875" style="4" customWidth="1"/>
    <col min="11781" max="11782" width="11.1796875" style="4" customWidth="1"/>
    <col min="11783" max="11783" width="13.453125" style="4" customWidth="1"/>
    <col min="11784" max="11784" width="10.81640625" style="4" customWidth="1"/>
    <col min="11785" max="11785" width="11.1796875" style="4" customWidth="1"/>
    <col min="11786" max="12032" width="9.1796875" style="4"/>
    <col min="12033" max="12033" width="29.81640625" style="4" customWidth="1"/>
    <col min="12034" max="12034" width="12.453125" style="4" customWidth="1"/>
    <col min="12035" max="12035" width="15.1796875" style="4" customWidth="1"/>
    <col min="12036" max="12036" width="14.1796875" style="4" customWidth="1"/>
    <col min="12037" max="12038" width="11.1796875" style="4" customWidth="1"/>
    <col min="12039" max="12039" width="13.453125" style="4" customWidth="1"/>
    <col min="12040" max="12040" width="10.81640625" style="4" customWidth="1"/>
    <col min="12041" max="12041" width="11.1796875" style="4" customWidth="1"/>
    <col min="12042" max="12288" width="9.1796875" style="4"/>
    <col min="12289" max="12289" width="29.81640625" style="4" customWidth="1"/>
    <col min="12290" max="12290" width="12.453125" style="4" customWidth="1"/>
    <col min="12291" max="12291" width="15.1796875" style="4" customWidth="1"/>
    <col min="12292" max="12292" width="14.1796875" style="4" customWidth="1"/>
    <col min="12293" max="12294" width="11.1796875" style="4" customWidth="1"/>
    <col min="12295" max="12295" width="13.453125" style="4" customWidth="1"/>
    <col min="12296" max="12296" width="10.81640625" style="4" customWidth="1"/>
    <col min="12297" max="12297" width="11.1796875" style="4" customWidth="1"/>
    <col min="12298" max="12544" width="9.1796875" style="4"/>
    <col min="12545" max="12545" width="29.81640625" style="4" customWidth="1"/>
    <col min="12546" max="12546" width="12.453125" style="4" customWidth="1"/>
    <col min="12547" max="12547" width="15.1796875" style="4" customWidth="1"/>
    <col min="12548" max="12548" width="14.1796875" style="4" customWidth="1"/>
    <col min="12549" max="12550" width="11.1796875" style="4" customWidth="1"/>
    <col min="12551" max="12551" width="13.453125" style="4" customWidth="1"/>
    <col min="12552" max="12552" width="10.81640625" style="4" customWidth="1"/>
    <col min="12553" max="12553" width="11.1796875" style="4" customWidth="1"/>
    <col min="12554" max="12800" width="9.1796875" style="4"/>
    <col min="12801" max="12801" width="29.81640625" style="4" customWidth="1"/>
    <col min="12802" max="12802" width="12.453125" style="4" customWidth="1"/>
    <col min="12803" max="12803" width="15.1796875" style="4" customWidth="1"/>
    <col min="12804" max="12804" width="14.1796875" style="4" customWidth="1"/>
    <col min="12805" max="12806" width="11.1796875" style="4" customWidth="1"/>
    <col min="12807" max="12807" width="13.453125" style="4" customWidth="1"/>
    <col min="12808" max="12808" width="10.81640625" style="4" customWidth="1"/>
    <col min="12809" max="12809" width="11.1796875" style="4" customWidth="1"/>
    <col min="12810" max="13056" width="9.1796875" style="4"/>
    <col min="13057" max="13057" width="29.81640625" style="4" customWidth="1"/>
    <col min="13058" max="13058" width="12.453125" style="4" customWidth="1"/>
    <col min="13059" max="13059" width="15.1796875" style="4" customWidth="1"/>
    <col min="13060" max="13060" width="14.1796875" style="4" customWidth="1"/>
    <col min="13061" max="13062" width="11.1796875" style="4" customWidth="1"/>
    <col min="13063" max="13063" width="13.453125" style="4" customWidth="1"/>
    <col min="13064" max="13064" width="10.81640625" style="4" customWidth="1"/>
    <col min="13065" max="13065" width="11.1796875" style="4" customWidth="1"/>
    <col min="13066" max="13312" width="9.1796875" style="4"/>
    <col min="13313" max="13313" width="29.81640625" style="4" customWidth="1"/>
    <col min="13314" max="13314" width="12.453125" style="4" customWidth="1"/>
    <col min="13315" max="13315" width="15.1796875" style="4" customWidth="1"/>
    <col min="13316" max="13316" width="14.1796875" style="4" customWidth="1"/>
    <col min="13317" max="13318" width="11.1796875" style="4" customWidth="1"/>
    <col min="13319" max="13319" width="13.453125" style="4" customWidth="1"/>
    <col min="13320" max="13320" width="10.81640625" style="4" customWidth="1"/>
    <col min="13321" max="13321" width="11.1796875" style="4" customWidth="1"/>
    <col min="13322" max="13568" width="9.1796875" style="4"/>
    <col min="13569" max="13569" width="29.81640625" style="4" customWidth="1"/>
    <col min="13570" max="13570" width="12.453125" style="4" customWidth="1"/>
    <col min="13571" max="13571" width="15.1796875" style="4" customWidth="1"/>
    <col min="13572" max="13572" width="14.1796875" style="4" customWidth="1"/>
    <col min="13573" max="13574" width="11.1796875" style="4" customWidth="1"/>
    <col min="13575" max="13575" width="13.453125" style="4" customWidth="1"/>
    <col min="13576" max="13576" width="10.81640625" style="4" customWidth="1"/>
    <col min="13577" max="13577" width="11.1796875" style="4" customWidth="1"/>
    <col min="13578" max="13824" width="9.1796875" style="4"/>
    <col min="13825" max="13825" width="29.81640625" style="4" customWidth="1"/>
    <col min="13826" max="13826" width="12.453125" style="4" customWidth="1"/>
    <col min="13827" max="13827" width="15.1796875" style="4" customWidth="1"/>
    <col min="13828" max="13828" width="14.1796875" style="4" customWidth="1"/>
    <col min="13829" max="13830" width="11.1796875" style="4" customWidth="1"/>
    <col min="13831" max="13831" width="13.453125" style="4" customWidth="1"/>
    <col min="13832" max="13832" width="10.81640625" style="4" customWidth="1"/>
    <col min="13833" max="13833" width="11.1796875" style="4" customWidth="1"/>
    <col min="13834" max="14080" width="9.1796875" style="4"/>
    <col min="14081" max="14081" width="29.81640625" style="4" customWidth="1"/>
    <col min="14082" max="14082" width="12.453125" style="4" customWidth="1"/>
    <col min="14083" max="14083" width="15.1796875" style="4" customWidth="1"/>
    <col min="14084" max="14084" width="14.1796875" style="4" customWidth="1"/>
    <col min="14085" max="14086" width="11.1796875" style="4" customWidth="1"/>
    <col min="14087" max="14087" width="13.453125" style="4" customWidth="1"/>
    <col min="14088" max="14088" width="10.81640625" style="4" customWidth="1"/>
    <col min="14089" max="14089" width="11.1796875" style="4" customWidth="1"/>
    <col min="14090" max="14336" width="9.1796875" style="4"/>
    <col min="14337" max="14337" width="29.81640625" style="4" customWidth="1"/>
    <col min="14338" max="14338" width="12.453125" style="4" customWidth="1"/>
    <col min="14339" max="14339" width="15.1796875" style="4" customWidth="1"/>
    <col min="14340" max="14340" width="14.1796875" style="4" customWidth="1"/>
    <col min="14341" max="14342" width="11.1796875" style="4" customWidth="1"/>
    <col min="14343" max="14343" width="13.453125" style="4" customWidth="1"/>
    <col min="14344" max="14344" width="10.81640625" style="4" customWidth="1"/>
    <col min="14345" max="14345" width="11.1796875" style="4" customWidth="1"/>
    <col min="14346" max="14592" width="9.1796875" style="4"/>
    <col min="14593" max="14593" width="29.81640625" style="4" customWidth="1"/>
    <col min="14594" max="14594" width="12.453125" style="4" customWidth="1"/>
    <col min="14595" max="14595" width="15.1796875" style="4" customWidth="1"/>
    <col min="14596" max="14596" width="14.1796875" style="4" customWidth="1"/>
    <col min="14597" max="14598" width="11.1796875" style="4" customWidth="1"/>
    <col min="14599" max="14599" width="13.453125" style="4" customWidth="1"/>
    <col min="14600" max="14600" width="10.81640625" style="4" customWidth="1"/>
    <col min="14601" max="14601" width="11.1796875" style="4" customWidth="1"/>
    <col min="14602" max="14848" width="9.1796875" style="4"/>
    <col min="14849" max="14849" width="29.81640625" style="4" customWidth="1"/>
    <col min="14850" max="14850" width="12.453125" style="4" customWidth="1"/>
    <col min="14851" max="14851" width="15.1796875" style="4" customWidth="1"/>
    <col min="14852" max="14852" width="14.1796875" style="4" customWidth="1"/>
    <col min="14853" max="14854" width="11.1796875" style="4" customWidth="1"/>
    <col min="14855" max="14855" width="13.453125" style="4" customWidth="1"/>
    <col min="14856" max="14856" width="10.81640625" style="4" customWidth="1"/>
    <col min="14857" max="14857" width="11.1796875" style="4" customWidth="1"/>
    <col min="14858" max="15104" width="9.1796875" style="4"/>
    <col min="15105" max="15105" width="29.81640625" style="4" customWidth="1"/>
    <col min="15106" max="15106" width="12.453125" style="4" customWidth="1"/>
    <col min="15107" max="15107" width="15.1796875" style="4" customWidth="1"/>
    <col min="15108" max="15108" width="14.1796875" style="4" customWidth="1"/>
    <col min="15109" max="15110" width="11.1796875" style="4" customWidth="1"/>
    <col min="15111" max="15111" width="13.453125" style="4" customWidth="1"/>
    <col min="15112" max="15112" width="10.81640625" style="4" customWidth="1"/>
    <col min="15113" max="15113" width="11.1796875" style="4" customWidth="1"/>
    <col min="15114" max="15360" width="9.1796875" style="4"/>
    <col min="15361" max="15361" width="29.81640625" style="4" customWidth="1"/>
    <col min="15362" max="15362" width="12.453125" style="4" customWidth="1"/>
    <col min="15363" max="15363" width="15.1796875" style="4" customWidth="1"/>
    <col min="15364" max="15364" width="14.1796875" style="4" customWidth="1"/>
    <col min="15365" max="15366" width="11.1796875" style="4" customWidth="1"/>
    <col min="15367" max="15367" width="13.453125" style="4" customWidth="1"/>
    <col min="15368" max="15368" width="10.81640625" style="4" customWidth="1"/>
    <col min="15369" max="15369" width="11.1796875" style="4" customWidth="1"/>
    <col min="15370" max="15616" width="9.1796875" style="4"/>
    <col min="15617" max="15617" width="29.81640625" style="4" customWidth="1"/>
    <col min="15618" max="15618" width="12.453125" style="4" customWidth="1"/>
    <col min="15619" max="15619" width="15.1796875" style="4" customWidth="1"/>
    <col min="15620" max="15620" width="14.1796875" style="4" customWidth="1"/>
    <col min="15621" max="15622" width="11.1796875" style="4" customWidth="1"/>
    <col min="15623" max="15623" width="13.453125" style="4" customWidth="1"/>
    <col min="15624" max="15624" width="10.81640625" style="4" customWidth="1"/>
    <col min="15625" max="15625" width="11.1796875" style="4" customWidth="1"/>
    <col min="15626" max="15872" width="9.1796875" style="4"/>
    <col min="15873" max="15873" width="29.81640625" style="4" customWidth="1"/>
    <col min="15874" max="15874" width="12.453125" style="4" customWidth="1"/>
    <col min="15875" max="15875" width="15.1796875" style="4" customWidth="1"/>
    <col min="15876" max="15876" width="14.1796875" style="4" customWidth="1"/>
    <col min="15877" max="15878" width="11.1796875" style="4" customWidth="1"/>
    <col min="15879" max="15879" width="13.453125" style="4" customWidth="1"/>
    <col min="15880" max="15880" width="10.81640625" style="4" customWidth="1"/>
    <col min="15881" max="15881" width="11.1796875" style="4" customWidth="1"/>
    <col min="15882" max="16128" width="9.1796875" style="4"/>
    <col min="16129" max="16129" width="29.81640625" style="4" customWidth="1"/>
    <col min="16130" max="16130" width="12.453125" style="4" customWidth="1"/>
    <col min="16131" max="16131" width="15.1796875" style="4" customWidth="1"/>
    <col min="16132" max="16132" width="14.1796875" style="4" customWidth="1"/>
    <col min="16133" max="16134" width="11.1796875" style="4" customWidth="1"/>
    <col min="16135" max="16135" width="13.453125" style="4" customWidth="1"/>
    <col min="16136" max="16136" width="10.81640625" style="4" customWidth="1"/>
    <col min="16137" max="16137" width="11.1796875" style="4" customWidth="1"/>
    <col min="16138" max="16384" width="9.1796875" style="4"/>
  </cols>
  <sheetData>
    <row r="1" spans="1:9" x14ac:dyDescent="0.35">
      <c r="B1" s="5"/>
      <c r="C1" s="6" t="s">
        <v>0</v>
      </c>
      <c r="D1" s="5"/>
      <c r="E1" s="5"/>
      <c r="F1" s="5"/>
    </row>
    <row r="2" spans="1:9" x14ac:dyDescent="0.35">
      <c r="B2" s="5"/>
      <c r="C2" s="6" t="s">
        <v>3120</v>
      </c>
      <c r="D2" s="5"/>
      <c r="E2" s="5"/>
      <c r="F2" s="5"/>
      <c r="H2" s="83">
        <v>46000</v>
      </c>
    </row>
    <row r="3" spans="1:9" x14ac:dyDescent="0.35">
      <c r="B3" s="5"/>
      <c r="C3" s="6"/>
      <c r="D3" s="5"/>
      <c r="E3" s="5"/>
      <c r="F3" s="5"/>
      <c r="H3" s="7"/>
    </row>
    <row r="4" spans="1:9" ht="29" x14ac:dyDescent="0.35">
      <c r="A4" s="79" t="s">
        <v>1</v>
      </c>
      <c r="B4" s="80" t="s">
        <v>2</v>
      </c>
      <c r="C4" s="80" t="s">
        <v>3</v>
      </c>
      <c r="D4" s="80" t="s">
        <v>4</v>
      </c>
      <c r="E4" s="80" t="s">
        <v>5</v>
      </c>
      <c r="F4" s="81" t="s">
        <v>6</v>
      </c>
      <c r="G4" s="82" t="s">
        <v>7</v>
      </c>
      <c r="H4" s="21" t="s">
        <v>8</v>
      </c>
    </row>
    <row r="5" spans="1:9" s="14" customFormat="1" ht="29" x14ac:dyDescent="0.35">
      <c r="A5" s="99" t="s">
        <v>3121</v>
      </c>
      <c r="B5" s="8">
        <f>C37</f>
        <v>1180039.4900000005</v>
      </c>
      <c r="C5" s="9">
        <f>SUM('Item Detail'!O:O)</f>
        <v>407377.1</v>
      </c>
      <c r="D5" s="10">
        <f>C5/B5</f>
        <v>0.34522327723117113</v>
      </c>
      <c r="E5" s="9">
        <f>SUM('Item Detail'!S:S)</f>
        <v>393855.52000000008</v>
      </c>
      <c r="F5" s="11">
        <f>C5-E5</f>
        <v>13521.5799999999</v>
      </c>
      <c r="G5" s="12">
        <f>SUM(1-(E5/C5))</f>
        <v>3.3191801895589901E-2</v>
      </c>
      <c r="H5" s="13" t="s">
        <v>9</v>
      </c>
    </row>
    <row r="7" spans="1:9" x14ac:dyDescent="0.35">
      <c r="A7" s="15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7" t="s">
        <v>17</v>
      </c>
    </row>
    <row r="8" spans="1:9" x14ac:dyDescent="0.35">
      <c r="A8" s="18" t="s">
        <v>18</v>
      </c>
      <c r="B8" s="19">
        <f>COUNTIF('Item Detail'!$R:$R,"Negative")</f>
        <v>55</v>
      </c>
      <c r="C8" s="19">
        <f>COUNTIF('Item Detail'!$R:$R,"Same")</f>
        <v>1</v>
      </c>
      <c r="D8" s="19">
        <f>COUNTIF('Item Detail'!$R:$R,"0-10%")</f>
        <v>26</v>
      </c>
      <c r="E8" s="19">
        <f>COUNTIF('Item Detail'!$R:$R,"10-20%")</f>
        <v>8</v>
      </c>
      <c r="F8" s="19">
        <f>COUNTIF('Item Detail'!$R:$R,"20-30%")</f>
        <v>3</v>
      </c>
      <c r="G8" s="19">
        <f>COUNTIF('Item Detail'!$R:$R,"30+%")</f>
        <v>9</v>
      </c>
      <c r="H8" s="20">
        <f>SUM(B8:G8)</f>
        <v>102</v>
      </c>
    </row>
    <row r="10" spans="1:9" x14ac:dyDescent="0.35">
      <c r="A10" s="15" t="s">
        <v>19</v>
      </c>
      <c r="B10" s="16" t="s">
        <v>11</v>
      </c>
      <c r="C10" s="16" t="s">
        <v>12</v>
      </c>
      <c r="D10" s="16" t="s">
        <v>13</v>
      </c>
      <c r="E10" s="16" t="s">
        <v>14</v>
      </c>
      <c r="F10" s="16" t="s">
        <v>15</v>
      </c>
      <c r="G10" s="16" t="s">
        <v>16</v>
      </c>
      <c r="H10" s="21" t="s">
        <v>17</v>
      </c>
      <c r="I10" s="6"/>
    </row>
    <row r="11" spans="1:9" x14ac:dyDescent="0.35">
      <c r="A11" s="22" t="str">
        <f>A5</f>
        <v>Airgas</v>
      </c>
      <c r="B11" s="23">
        <f>SUMIF('Item Detail'!$R:$R,"Negative",'Item Detail'!$O:$O)</f>
        <v>78082.72000000003</v>
      </c>
      <c r="C11" s="23">
        <f>SUMIF('Item Detail'!$R:$R,"Same",'Item Detail'!$O:$O)</f>
        <v>16531.32</v>
      </c>
      <c r="D11" s="23">
        <f>SUMIF('Item Detail'!$R:$R,"0-10%",'Item Detail'!$O:$O)</f>
        <v>146054.15000000002</v>
      </c>
      <c r="E11" s="23">
        <f>SUMIF('Item Detail'!$R:$R,"10-20%",'Item Detail'!$O:$O)</f>
        <v>113700.90999999999</v>
      </c>
      <c r="F11" s="23">
        <f>SUMIF('Item Detail'!$R:$R,"20-30%",'Item Detail'!$O:$O)</f>
        <v>15400.609999999999</v>
      </c>
      <c r="G11" s="23">
        <f>SUMIF('Item Detail'!$R:$R,"30+%",'Item Detail'!$O:$O)</f>
        <v>37607.389999999992</v>
      </c>
      <c r="H11" s="24">
        <f>SUM(B11:G11)</f>
        <v>407377.10000000003</v>
      </c>
      <c r="I11" s="25"/>
    </row>
    <row r="12" spans="1:9" x14ac:dyDescent="0.35">
      <c r="A12" s="26" t="s">
        <v>20</v>
      </c>
      <c r="B12" s="27">
        <f>SUMIF('Item Detail'!$R:$R,"Negative",'Item Detail'!$S:$S)</f>
        <v>106802.58000000003</v>
      </c>
      <c r="C12" s="27">
        <f>SUMIF('Item Detail'!$R:$R,"Same",'Item Detail'!$S:$S)</f>
        <v>16531.32</v>
      </c>
      <c r="D12" s="27">
        <f>SUMIF('Item Detail'!$R:$R,"0-10%",'Item Detail'!$S:$S)</f>
        <v>140775.72999999998</v>
      </c>
      <c r="E12" s="27">
        <f>SUMIF('Item Detail'!$R:$R,"10-20%",'Item Detail'!$S:$S)</f>
        <v>97353.69</v>
      </c>
      <c r="F12" s="27">
        <f>SUMIF('Item Detail'!$R:$R,"20-30%",'Item Detail'!$S:$S)</f>
        <v>11275.630000000001</v>
      </c>
      <c r="G12" s="27">
        <f>SUMIF('Item Detail'!$R:$R,"30+%",'Item Detail'!$S:$S)</f>
        <v>21116.57</v>
      </c>
      <c r="H12" s="24">
        <f>SUM(B12:G12)</f>
        <v>393855.52</v>
      </c>
    </row>
    <row r="13" spans="1:9" x14ac:dyDescent="0.35">
      <c r="A13" s="28" t="s">
        <v>21</v>
      </c>
      <c r="B13" s="29">
        <f t="shared" ref="B13:G13" si="0">B11-B12</f>
        <v>-28719.86</v>
      </c>
      <c r="C13" s="30">
        <f t="shared" si="0"/>
        <v>0</v>
      </c>
      <c r="D13" s="30">
        <f t="shared" si="0"/>
        <v>5278.4200000000419</v>
      </c>
      <c r="E13" s="30">
        <f t="shared" si="0"/>
        <v>16347.219999999987</v>
      </c>
      <c r="F13" s="30">
        <f t="shared" si="0"/>
        <v>4124.9799999999977</v>
      </c>
      <c r="G13" s="30">
        <f t="shared" si="0"/>
        <v>16490.819999999992</v>
      </c>
      <c r="H13" s="31">
        <f>H11-H12</f>
        <v>13521.580000000016</v>
      </c>
    </row>
    <row r="15" spans="1:9" x14ac:dyDescent="0.35">
      <c r="A15" s="15" t="s">
        <v>22</v>
      </c>
      <c r="B15" s="16" t="s">
        <v>23</v>
      </c>
      <c r="C15" s="16" t="s">
        <v>24</v>
      </c>
      <c r="D15" s="16" t="s">
        <v>25</v>
      </c>
      <c r="E15" s="16" t="s">
        <v>26</v>
      </c>
      <c r="F15" s="16" t="s">
        <v>27</v>
      </c>
      <c r="G15" s="32" t="s">
        <v>6</v>
      </c>
    </row>
    <row r="16" spans="1:9" x14ac:dyDescent="0.35">
      <c r="A16" s="33" t="s">
        <v>28</v>
      </c>
      <c r="B16" s="34">
        <f>COUNTIF('Item Detail'!AI:AI,"*True")+COUNTIF('Item Detail'!AI:AI,"TRUEA")</f>
        <v>18</v>
      </c>
      <c r="C16" s="35">
        <f>B16/H8</f>
        <v>0.17647058823529413</v>
      </c>
      <c r="D16" s="23">
        <f>SUMIF('Item Detail'!$AI:$AI,"*True",'Item Detail'!$O:$O)+SUMIF('Item Detail'!$AI:$AI,"TrueA",'Item Detail'!$O:$O)</f>
        <v>63533.950000000004</v>
      </c>
      <c r="E16" s="23">
        <f>SUMIF('Item Detail'!$AI:$AI,"*True",'Item Detail'!$S:$S)+SUMIF('Item Detail'!$AI:$AI,"TrueA",'Item Detail'!$S:$S)</f>
        <v>63372.539999999994</v>
      </c>
      <c r="F16" s="36">
        <f>1-E16/D16</f>
        <v>2.5405314796264067E-3</v>
      </c>
      <c r="G16" s="37">
        <f>D16-E16</f>
        <v>161.41000000001077</v>
      </c>
    </row>
    <row r="17" spans="1:8" x14ac:dyDescent="0.35">
      <c r="A17" s="38" t="s">
        <v>29</v>
      </c>
      <c r="B17" s="39">
        <f>COUNTA('Item Detail'!B:B)-Summary!B16-1</f>
        <v>84</v>
      </c>
      <c r="C17" s="40">
        <f>B17/H8</f>
        <v>0.82352941176470584</v>
      </c>
      <c r="D17" s="41">
        <f>SUMIF('Item Detail'!$AI:$AI,"",'Item Detail'!$O:$O)</f>
        <v>343843.15</v>
      </c>
      <c r="E17" s="41">
        <f>SUMIF('Item Detail'!$AI:$AI,"",'Item Detail'!$S:$S)</f>
        <v>330482.97999999992</v>
      </c>
      <c r="F17" s="42">
        <f>1-E17/D17</f>
        <v>3.8855419978557348E-2</v>
      </c>
      <c r="G17" s="43">
        <f>D17-E17</f>
        <v>13360.1700000001</v>
      </c>
    </row>
    <row r="18" spans="1:8" x14ac:dyDescent="0.35">
      <c r="A18" s="28" t="s">
        <v>17</v>
      </c>
      <c r="B18" s="44">
        <f>SUM(B16:B17)</f>
        <v>102</v>
      </c>
      <c r="C18" s="45">
        <f>SUM(C16:C17)</f>
        <v>1</v>
      </c>
      <c r="D18" s="46">
        <f>SUM(D16:D17)</f>
        <v>407377.10000000003</v>
      </c>
      <c r="E18" s="46">
        <f>SUM(E16:E17)</f>
        <v>393855.5199999999</v>
      </c>
      <c r="F18" s="47">
        <f>1-E18/D18</f>
        <v>3.3191801895590456E-2</v>
      </c>
      <c r="G18" s="48">
        <f>SUM(G16:G17)</f>
        <v>13521.580000000111</v>
      </c>
    </row>
    <row r="19" spans="1:8" x14ac:dyDescent="0.35">
      <c r="A19" s="49"/>
      <c r="B19" s="50"/>
      <c r="C19" s="51"/>
      <c r="D19" s="52"/>
      <c r="E19" s="52"/>
      <c r="F19" s="53"/>
      <c r="G19" s="52"/>
    </row>
    <row r="20" spans="1:8" x14ac:dyDescent="0.35">
      <c r="A20" s="28" t="s">
        <v>30</v>
      </c>
      <c r="B20" s="54">
        <f>COUNTIF('Item Detail'!$AI:$AI,"TRUEA")</f>
        <v>0</v>
      </c>
      <c r="C20" s="55"/>
    </row>
    <row r="21" spans="1:8" x14ac:dyDescent="0.35">
      <c r="B21" s="39"/>
      <c r="C21" s="39"/>
    </row>
    <row r="22" spans="1:8" x14ac:dyDescent="0.35">
      <c r="A22" s="56" t="s">
        <v>31</v>
      </c>
    </row>
    <row r="23" spans="1:8" x14ac:dyDescent="0.35">
      <c r="A23" s="4" t="s">
        <v>32</v>
      </c>
    </row>
    <row r="24" spans="1:8" x14ac:dyDescent="0.35">
      <c r="A24" s="4" t="s">
        <v>33</v>
      </c>
    </row>
    <row r="25" spans="1:8" x14ac:dyDescent="0.35">
      <c r="A25" s="4" t="s">
        <v>34</v>
      </c>
    </row>
    <row r="26" spans="1:8" x14ac:dyDescent="0.35">
      <c r="A26" s="4" t="s">
        <v>35</v>
      </c>
    </row>
    <row r="28" spans="1:8" ht="60.75" customHeight="1" x14ac:dyDescent="0.35">
      <c r="A28" s="134" t="s">
        <v>36</v>
      </c>
      <c r="B28" s="135"/>
      <c r="C28" s="135"/>
      <c r="D28" s="135"/>
      <c r="E28" s="135"/>
      <c r="F28" s="135"/>
      <c r="G28" s="135"/>
      <c r="H28" s="135"/>
    </row>
    <row r="30" spans="1:8" x14ac:dyDescent="0.35">
      <c r="A30" s="5" t="s">
        <v>37</v>
      </c>
    </row>
    <row r="31" spans="1:8" x14ac:dyDescent="0.35">
      <c r="A31" s="57"/>
      <c r="B31" s="6" t="s">
        <v>38</v>
      </c>
      <c r="C31" s="6" t="s">
        <v>39</v>
      </c>
    </row>
    <row r="32" spans="1:8" x14ac:dyDescent="0.35">
      <c r="A32" s="84" t="s">
        <v>40</v>
      </c>
      <c r="B32" s="85">
        <f>COUNTA('Cust File'!B:B)-1</f>
        <v>620</v>
      </c>
      <c r="C32" s="69">
        <f>SUM('Cust File'!T:T)</f>
        <v>1256068.9846999992</v>
      </c>
    </row>
    <row r="33" spans="1:3" x14ac:dyDescent="0.35">
      <c r="A33" s="60" t="s">
        <v>41</v>
      </c>
      <c r="B33" s="34">
        <f>B32-B34</f>
        <v>370</v>
      </c>
      <c r="C33" s="61">
        <f>C32-C34</f>
        <v>76029.494699998759</v>
      </c>
    </row>
    <row r="34" spans="1:3" x14ac:dyDescent="0.35">
      <c r="A34" s="62" t="s">
        <v>42</v>
      </c>
      <c r="B34" s="54">
        <f>B37</f>
        <v>250</v>
      </c>
      <c r="C34" s="63">
        <f>C37</f>
        <v>1180039.4900000005</v>
      </c>
    </row>
    <row r="35" spans="1:3" x14ac:dyDescent="0.35">
      <c r="A35" s="78"/>
      <c r="B35" s="39"/>
      <c r="C35" s="86"/>
    </row>
    <row r="36" spans="1:3" x14ac:dyDescent="0.35">
      <c r="A36" s="1" t="s">
        <v>43</v>
      </c>
      <c r="B36" s="5"/>
      <c r="C36" s="65"/>
    </row>
    <row r="37" spans="1:3" x14ac:dyDescent="0.35">
      <c r="A37" s="66" t="s">
        <v>2</v>
      </c>
      <c r="B37" s="67">
        <f>COUNTA('Item Detail'!B:B)-1+COUNTA(Excluded!B:B)-1</f>
        <v>250</v>
      </c>
      <c r="C37" s="68">
        <f>SUM('Item Detail'!O:O)+SUM(Excluded!O:O)</f>
        <v>1180039.4900000005</v>
      </c>
    </row>
    <row r="38" spans="1:3" x14ac:dyDescent="0.35">
      <c r="A38" s="57"/>
      <c r="B38" s="57"/>
      <c r="C38" s="64"/>
    </row>
    <row r="39" spans="1:3" x14ac:dyDescent="0.35">
      <c r="A39" s="58" t="s">
        <v>44</v>
      </c>
      <c r="B39" s="59">
        <f>B37-B41</f>
        <v>230</v>
      </c>
      <c r="C39" s="69">
        <f>C37-C41</f>
        <v>1101376.4100000004</v>
      </c>
    </row>
    <row r="40" spans="1:3" x14ac:dyDescent="0.35">
      <c r="B40" s="70"/>
      <c r="C40" s="64"/>
    </row>
    <row r="41" spans="1:3" x14ac:dyDescent="0.35">
      <c r="A41" s="71" t="s">
        <v>45</v>
      </c>
      <c r="B41" s="59">
        <f>SUM(B42:B48)</f>
        <v>20</v>
      </c>
      <c r="C41" s="69">
        <f>SUM(C42:C48)</f>
        <v>78663.08</v>
      </c>
    </row>
    <row r="42" spans="1:3" x14ac:dyDescent="0.35">
      <c r="A42" s="60" t="s">
        <v>46</v>
      </c>
      <c r="B42" s="72">
        <f>COUNTIF(Excluded!$V:$V,"DNC")</f>
        <v>0</v>
      </c>
      <c r="C42" s="73">
        <f>SUMIF(Excluded!$V:$V,"DNC",Excluded!$O:$O)</f>
        <v>0</v>
      </c>
    </row>
    <row r="43" spans="1:3" x14ac:dyDescent="0.35">
      <c r="A43" s="74" t="s">
        <v>47</v>
      </c>
      <c r="B43" s="70">
        <f>COUNTIF(Excluded!$V:$V,"X")</f>
        <v>0</v>
      </c>
      <c r="C43" s="75">
        <f>SUMIF(Excluded!$V:$V,"X",Excluded!$O:$O)</f>
        <v>0</v>
      </c>
    </row>
    <row r="44" spans="1:3" x14ac:dyDescent="0.35">
      <c r="A44" s="74" t="s">
        <v>48</v>
      </c>
      <c r="B44" s="70">
        <f>COUNTIF(Excluded!$V:$V,"ZERO")</f>
        <v>0</v>
      </c>
      <c r="C44" s="75">
        <f>SUMIF(Excluded!$V:$V,"ZERO",Excluded!$O:$O)</f>
        <v>0</v>
      </c>
    </row>
    <row r="45" spans="1:3" x14ac:dyDescent="0.35">
      <c r="A45" s="74" t="s">
        <v>49</v>
      </c>
      <c r="B45" s="70">
        <f>COUNTIF(Excluded!$V:$V,"UOM")</f>
        <v>0</v>
      </c>
      <c r="C45" s="75">
        <f>SUMIF(Excluded!$V:$V,"UOM",Excluded!$O:$O)</f>
        <v>0</v>
      </c>
    </row>
    <row r="46" spans="1:3" x14ac:dyDescent="0.35">
      <c r="A46" s="74" t="s">
        <v>50</v>
      </c>
      <c r="B46" s="70">
        <f>COUNTIF(Excluded!$V:$V,"O")</f>
        <v>18</v>
      </c>
      <c r="C46" s="75">
        <f>SUMIF(Excluded!$V:$V,"O",Excluded!$O:$O)</f>
        <v>77028.53</v>
      </c>
    </row>
    <row r="47" spans="1:3" x14ac:dyDescent="0.35">
      <c r="A47" s="74" t="s">
        <v>51</v>
      </c>
      <c r="B47" s="70">
        <f>COUNTIF(Excluded!$V:$V,"NPD")</f>
        <v>0</v>
      </c>
      <c r="C47" s="75">
        <f>SUMIF(Excluded!$V:$V,"NPD",Excluded!$O:$O)</f>
        <v>0</v>
      </c>
    </row>
    <row r="48" spans="1:3" x14ac:dyDescent="0.35">
      <c r="A48" s="89" t="s">
        <v>52</v>
      </c>
      <c r="B48" s="76">
        <f>COUNTIF(Excluded!$V:$V,"DUP")</f>
        <v>2</v>
      </c>
      <c r="C48" s="77">
        <f>SUMIF(Excluded!$V:$V,"DUP",Excluded!$O:$O)</f>
        <v>1634.55</v>
      </c>
    </row>
    <row r="51" spans="1:3" x14ac:dyDescent="0.35">
      <c r="A51" s="78"/>
      <c r="C51" s="64"/>
    </row>
    <row r="52" spans="1:3" x14ac:dyDescent="0.35">
      <c r="A52" s="78"/>
      <c r="C52" s="64"/>
    </row>
  </sheetData>
  <mergeCells count="1">
    <mergeCell ref="A28:H28"/>
  </mergeCells>
  <pageMargins left="0.7" right="0.7" top="0.75" bottom="0.75" header="0.3" footer="0.3"/>
  <pageSetup orientation="portrait" r:id="rId1"/>
  <headerFooter>
    <oddFooter>&amp;C_x000D_&amp;1#&amp;"Calibri"&amp;10&amp;K000000 Low Sensitivity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31"/>
  <sheetViews>
    <sheetView topLeftCell="AF1" zoomScale="98" zoomScaleNormal="98" workbookViewId="0">
      <pane ySplit="1" topLeftCell="A2" activePane="bottomLeft" state="frozen"/>
      <selection activeCell="Q1" sqref="Q1"/>
      <selection pane="bottomLeft" activeCell="AA1" sqref="AA1:AI1"/>
    </sheetView>
  </sheetViews>
  <sheetFormatPr defaultColWidth="9.1796875" defaultRowHeight="14.5" x14ac:dyDescent="0.35"/>
  <cols>
    <col min="1" max="1" width="5.54296875" style="2" bestFit="1" customWidth="1"/>
    <col min="2" max="2" width="11.1796875" style="2" customWidth="1"/>
    <col min="3" max="3" width="20.81640625" style="2" bestFit="1" customWidth="1"/>
    <col min="4" max="4" width="18.453125" style="2" bestFit="1" customWidth="1"/>
    <col min="5" max="5" width="14.1796875" style="2" bestFit="1" customWidth="1"/>
    <col min="6" max="6" width="54.54296875" style="2" customWidth="1"/>
    <col min="7" max="7" width="21.1796875" style="2" bestFit="1" customWidth="1"/>
    <col min="8" max="8" width="23.1796875" style="2" bestFit="1" customWidth="1"/>
    <col min="9" max="9" width="9.54296875" style="2" customWidth="1"/>
    <col min="10" max="10" width="12.453125" style="2" customWidth="1"/>
    <col min="11" max="11" width="13.81640625" style="2" customWidth="1"/>
    <col min="12" max="12" width="14.1796875" style="2" customWidth="1"/>
    <col min="13" max="13" width="12" style="2" bestFit="1" customWidth="1"/>
    <col min="14" max="14" width="20.1796875" style="2" customWidth="1"/>
    <col min="15" max="15" width="19" style="2" customWidth="1"/>
    <col min="16" max="16" width="16" style="2" bestFit="1" customWidth="1"/>
    <col min="17" max="17" width="16" style="122" customWidth="1"/>
    <col min="18" max="18" width="27.81640625" style="2" customWidth="1"/>
    <col min="19" max="19" width="26.1796875" style="3" customWidth="1"/>
    <col min="20" max="20" width="15" style="3" bestFit="1" customWidth="1"/>
    <col min="21" max="21" width="12" style="2" bestFit="1" customWidth="1"/>
    <col min="22" max="22" width="7.81640625" style="2" bestFit="1" customWidth="1"/>
    <col min="23" max="23" width="14" style="2" bestFit="1" customWidth="1"/>
    <col min="24" max="24" width="11.81640625" style="3" customWidth="1"/>
    <col min="25" max="25" width="10.81640625" style="2" bestFit="1" customWidth="1"/>
    <col min="26" max="26" width="28.1796875" style="2" customWidth="1"/>
    <col min="27" max="27" width="9.81640625" style="2" customWidth="1"/>
    <col min="28" max="28" width="9.1796875" style="2" customWidth="1"/>
    <col min="29" max="29" width="24" style="2" bestFit="1" customWidth="1"/>
    <col min="30" max="30" width="26.1796875" style="2" bestFit="1" customWidth="1"/>
    <col min="31" max="31" width="106" style="2" bestFit="1" customWidth="1"/>
    <col min="32" max="32" width="16.1796875" style="2" customWidth="1"/>
    <col min="33" max="33" width="40.453125" style="2" bestFit="1" customWidth="1"/>
    <col min="34" max="34" width="41.1796875" style="2" bestFit="1" customWidth="1"/>
    <col min="35" max="35" width="10.81640625" style="2" bestFit="1" customWidth="1"/>
    <col min="36" max="36" width="15.6328125" style="2" bestFit="1" customWidth="1"/>
    <col min="37" max="37" width="11.81640625" style="2" bestFit="1" customWidth="1"/>
    <col min="38" max="16384" width="9.1796875" style="2"/>
  </cols>
  <sheetData>
    <row r="1" spans="1:37" s="96" customFormat="1" x14ac:dyDescent="0.35">
      <c r="A1" s="87" t="s">
        <v>53</v>
      </c>
      <c r="B1" s="87" t="s">
        <v>54</v>
      </c>
      <c r="C1" s="94" t="s">
        <v>55</v>
      </c>
      <c r="D1" s="94" t="s">
        <v>56</v>
      </c>
      <c r="E1" s="94" t="s">
        <v>57</v>
      </c>
      <c r="F1" s="94" t="s">
        <v>58</v>
      </c>
      <c r="G1" s="94" t="s">
        <v>59</v>
      </c>
      <c r="H1" s="94" t="s">
        <v>60</v>
      </c>
      <c r="I1" s="94" t="s">
        <v>61</v>
      </c>
      <c r="J1" s="94" t="s">
        <v>62</v>
      </c>
      <c r="K1" s="94" t="s">
        <v>63</v>
      </c>
      <c r="L1" s="94" t="s">
        <v>64</v>
      </c>
      <c r="M1" s="94" t="s">
        <v>65</v>
      </c>
      <c r="N1" s="94" t="s">
        <v>66</v>
      </c>
      <c r="O1" s="94" t="s">
        <v>67</v>
      </c>
      <c r="P1" s="115" t="s">
        <v>6</v>
      </c>
      <c r="Q1" s="116" t="s">
        <v>27</v>
      </c>
      <c r="R1" s="115" t="s">
        <v>68</v>
      </c>
      <c r="S1" s="88" t="s">
        <v>69</v>
      </c>
      <c r="T1" s="88" t="s">
        <v>70</v>
      </c>
      <c r="U1" s="117" t="s">
        <v>71</v>
      </c>
      <c r="V1" s="117" t="s">
        <v>72</v>
      </c>
      <c r="W1" s="117" t="s">
        <v>73</v>
      </c>
      <c r="X1" s="88" t="s">
        <v>74</v>
      </c>
      <c r="Y1" s="118" t="s">
        <v>75</v>
      </c>
      <c r="Z1" s="117" t="s">
        <v>76</v>
      </c>
      <c r="AA1" s="100" t="s">
        <v>77</v>
      </c>
      <c r="AB1" s="100" t="s">
        <v>78</v>
      </c>
      <c r="AC1" s="100" t="s">
        <v>79</v>
      </c>
      <c r="AD1" s="100" t="s">
        <v>80</v>
      </c>
      <c r="AE1" s="100" t="s">
        <v>81</v>
      </c>
      <c r="AF1" s="100" t="s">
        <v>82</v>
      </c>
      <c r="AG1" s="100" t="s">
        <v>83</v>
      </c>
      <c r="AH1" s="100" t="s">
        <v>84</v>
      </c>
      <c r="AI1" s="100" t="s">
        <v>85</v>
      </c>
      <c r="AJ1" s="133" t="s">
        <v>3126</v>
      </c>
      <c r="AK1" s="133" t="s">
        <v>3127</v>
      </c>
    </row>
    <row r="2" spans="1:37" s="114" customFormat="1" x14ac:dyDescent="0.35">
      <c r="A2" s="114">
        <v>1</v>
      </c>
      <c r="B2" s="114" t="s">
        <v>148</v>
      </c>
      <c r="F2" s="111" t="s">
        <v>144</v>
      </c>
      <c r="G2" s="111" t="s">
        <v>142</v>
      </c>
      <c r="H2" s="111" t="s">
        <v>143</v>
      </c>
      <c r="I2" s="111" t="b">
        <v>0</v>
      </c>
      <c r="J2" s="114" t="s">
        <v>147</v>
      </c>
      <c r="K2" s="112" t="s">
        <v>146</v>
      </c>
      <c r="L2" s="111" t="s">
        <v>145</v>
      </c>
      <c r="M2" s="112">
        <f t="shared" ref="M2:M33" si="0">IFERROR(IF(A2="","",K2/J2)," ")</f>
        <v>601.9</v>
      </c>
      <c r="N2" s="114">
        <f t="shared" ref="N2:N33" si="1">IFERROR(IF(A2="","",J2*L2)," ")</f>
        <v>144</v>
      </c>
      <c r="O2" s="119">
        <f t="shared" ref="O2:O33" si="2">IFERROR(M2*N2," ")</f>
        <v>86673.599999999991</v>
      </c>
      <c r="P2" s="119">
        <f t="shared" ref="P2:P33" si="3">IFERROR(IF(A2="","",O2-S2)," ")</f>
        <v>11666.87999999999</v>
      </c>
      <c r="Q2" s="120">
        <f t="shared" ref="Q2:Q33" si="4">IFERROR(IF(A2="","",P2/O2)," ")</f>
        <v>0.13460707758763904</v>
      </c>
      <c r="R2" s="114" t="str">
        <f t="shared" ref="R2:R33" si="5">IFERROR(IF(A2="","",(IF(Q2&lt;0,"Negative",IF(Q2=0,"Same",IF(Q2&gt;0.3,"30+%",IF(Q2&gt;0.2,"20-30%",IF(Q2&gt;0.1,"10-20%",IF(Q2&lt;=0.1,"0-10%"))))))))," ")</f>
        <v>10-20%</v>
      </c>
      <c r="S2" s="113">
        <f t="shared" ref="S2:S33" si="6">IFERROR(IF(A2="","",T2*N2)," ")</f>
        <v>75006.720000000001</v>
      </c>
      <c r="T2" s="113">
        <f>IFERROR(IF(A2="","",X2/AB2)," ")</f>
        <v>520.88</v>
      </c>
      <c r="U2" s="114" t="s">
        <v>149</v>
      </c>
      <c r="V2" s="114" t="s">
        <v>150</v>
      </c>
      <c r="W2" s="121"/>
      <c r="X2" s="132">
        <v>520.88</v>
      </c>
      <c r="Z2" s="114">
        <v>0</v>
      </c>
      <c r="AA2" s="114" t="s">
        <v>154</v>
      </c>
      <c r="AB2" s="114">
        <v>1</v>
      </c>
      <c r="AC2" s="114" t="s">
        <v>153</v>
      </c>
      <c r="AD2" s="114" t="s">
        <v>152</v>
      </c>
      <c r="AE2" s="114" t="s">
        <v>3033</v>
      </c>
      <c r="AF2" s="114" t="s">
        <v>122</v>
      </c>
      <c r="AG2" s="114" t="s">
        <v>3034</v>
      </c>
      <c r="AH2" s="114" t="s">
        <v>2856</v>
      </c>
      <c r="AI2" s="114" t="s">
        <v>151</v>
      </c>
      <c r="AJ2" s="132" t="s">
        <v>3124</v>
      </c>
      <c r="AK2" s="132" t="s">
        <v>7</v>
      </c>
    </row>
    <row r="3" spans="1:37" s="114" customFormat="1" x14ac:dyDescent="0.35">
      <c r="A3" s="114">
        <v>5</v>
      </c>
      <c r="B3" s="114" t="s">
        <v>183</v>
      </c>
      <c r="F3" s="111" t="s">
        <v>180</v>
      </c>
      <c r="G3" s="111" t="s">
        <v>142</v>
      </c>
      <c r="H3" s="111" t="s">
        <v>179</v>
      </c>
      <c r="I3" s="111" t="b">
        <v>0</v>
      </c>
      <c r="J3" s="114" t="s">
        <v>147</v>
      </c>
      <c r="K3" s="112" t="s">
        <v>182</v>
      </c>
      <c r="L3" s="111" t="s">
        <v>181</v>
      </c>
      <c r="M3" s="112">
        <f t="shared" si="0"/>
        <v>2547.85</v>
      </c>
      <c r="N3" s="114">
        <f t="shared" si="1"/>
        <v>14</v>
      </c>
      <c r="O3" s="119">
        <f t="shared" si="2"/>
        <v>35669.9</v>
      </c>
      <c r="P3" s="119">
        <f t="shared" si="3"/>
        <v>1783.4599999999991</v>
      </c>
      <c r="Q3" s="120">
        <f t="shared" si="4"/>
        <v>4.999901878054043E-2</v>
      </c>
      <c r="R3" s="114" t="str">
        <f t="shared" si="5"/>
        <v>0-10%</v>
      </c>
      <c r="S3" s="113">
        <f t="shared" si="6"/>
        <v>33886.44</v>
      </c>
      <c r="T3" s="113">
        <f t="shared" ref="T3:T66" si="7">IFERROR(IF(A3="","",X3/AB3)," ")</f>
        <v>2420.46</v>
      </c>
      <c r="U3" s="114" t="s">
        <v>184</v>
      </c>
      <c r="V3" s="114" t="s">
        <v>161</v>
      </c>
      <c r="W3" s="121"/>
      <c r="X3" s="132">
        <v>2420.46</v>
      </c>
      <c r="Z3" s="114">
        <v>0</v>
      </c>
      <c r="AA3" s="114" t="s">
        <v>154</v>
      </c>
      <c r="AB3" s="114">
        <v>1</v>
      </c>
      <c r="AC3" s="114" t="s">
        <v>164</v>
      </c>
      <c r="AD3" s="114" t="s">
        <v>186</v>
      </c>
      <c r="AE3" s="114" t="s">
        <v>185</v>
      </c>
      <c r="AF3" s="114" t="s">
        <v>119</v>
      </c>
      <c r="AG3" s="114" t="s">
        <v>2897</v>
      </c>
      <c r="AH3" s="114" t="s">
        <v>2851</v>
      </c>
      <c r="AI3" s="114" t="s">
        <v>151</v>
      </c>
      <c r="AJ3" s="132" t="s">
        <v>3124</v>
      </c>
      <c r="AK3" s="132" t="s">
        <v>7</v>
      </c>
    </row>
    <row r="4" spans="1:37" s="114" customFormat="1" x14ac:dyDescent="0.35">
      <c r="A4" s="114">
        <v>9</v>
      </c>
      <c r="B4" s="114" t="s">
        <v>211</v>
      </c>
      <c r="F4" s="111" t="s">
        <v>208</v>
      </c>
      <c r="G4" s="111" t="s">
        <v>142</v>
      </c>
      <c r="H4" s="111" t="s">
        <v>207</v>
      </c>
      <c r="I4" s="111" t="b">
        <v>0</v>
      </c>
      <c r="J4" s="114" t="s">
        <v>147</v>
      </c>
      <c r="K4" s="112" t="s">
        <v>210</v>
      </c>
      <c r="L4" s="111" t="s">
        <v>209</v>
      </c>
      <c r="M4" s="112">
        <f t="shared" si="0"/>
        <v>4.96</v>
      </c>
      <c r="N4" s="114">
        <f t="shared" si="1"/>
        <v>3504</v>
      </c>
      <c r="O4" s="119">
        <f t="shared" si="2"/>
        <v>17379.84</v>
      </c>
      <c r="P4" s="119">
        <f t="shared" si="3"/>
        <v>840.96000000000276</v>
      </c>
      <c r="Q4" s="120">
        <f t="shared" si="4"/>
        <v>4.8387096774193707E-2</v>
      </c>
      <c r="R4" s="114" t="str">
        <f t="shared" si="5"/>
        <v>0-10%</v>
      </c>
      <c r="S4" s="113">
        <f t="shared" si="6"/>
        <v>16538.879999999997</v>
      </c>
      <c r="T4" s="113">
        <f t="shared" si="7"/>
        <v>4.72</v>
      </c>
      <c r="U4" s="114" t="s">
        <v>212</v>
      </c>
      <c r="V4" s="114" t="s">
        <v>150</v>
      </c>
      <c r="W4" s="121"/>
      <c r="X4" s="132">
        <v>4.72</v>
      </c>
      <c r="Z4" s="114">
        <v>0</v>
      </c>
      <c r="AA4" s="114" t="s">
        <v>213</v>
      </c>
      <c r="AB4" s="114">
        <v>1</v>
      </c>
      <c r="AC4" s="114" t="s">
        <v>171</v>
      </c>
      <c r="AD4" s="114" t="s">
        <v>212</v>
      </c>
      <c r="AE4" s="114" t="s">
        <v>2973</v>
      </c>
      <c r="AF4" s="114" t="s">
        <v>119</v>
      </c>
      <c r="AG4" s="114" t="s">
        <v>2967</v>
      </c>
      <c r="AH4" s="114" t="s">
        <v>2903</v>
      </c>
      <c r="AI4" s="114" t="s">
        <v>3130</v>
      </c>
      <c r="AJ4" s="132" t="s">
        <v>3124</v>
      </c>
      <c r="AK4" s="132" t="s">
        <v>7</v>
      </c>
    </row>
    <row r="5" spans="1:37" s="114" customFormat="1" x14ac:dyDescent="0.35">
      <c r="A5" s="114">
        <v>10</v>
      </c>
      <c r="B5" s="114" t="s">
        <v>218</v>
      </c>
      <c r="F5" s="111" t="s">
        <v>215</v>
      </c>
      <c r="G5" s="111" t="s">
        <v>142</v>
      </c>
      <c r="H5" s="111" t="s">
        <v>214</v>
      </c>
      <c r="I5" s="111" t="b">
        <v>0</v>
      </c>
      <c r="J5" s="114" t="s">
        <v>147</v>
      </c>
      <c r="K5" s="112" t="s">
        <v>217</v>
      </c>
      <c r="L5" s="111" t="s">
        <v>216</v>
      </c>
      <c r="M5" s="112">
        <f t="shared" si="0"/>
        <v>211.94</v>
      </c>
      <c r="N5" s="114">
        <f t="shared" si="1"/>
        <v>78</v>
      </c>
      <c r="O5" s="119">
        <f t="shared" si="2"/>
        <v>16531.32</v>
      </c>
      <c r="P5" s="119">
        <f t="shared" si="3"/>
        <v>0</v>
      </c>
      <c r="Q5" s="120">
        <f t="shared" si="4"/>
        <v>0</v>
      </c>
      <c r="R5" s="114" t="str">
        <f t="shared" si="5"/>
        <v>Same</v>
      </c>
      <c r="S5" s="113">
        <f t="shared" si="6"/>
        <v>16531.32</v>
      </c>
      <c r="T5" s="113">
        <f t="shared" si="7"/>
        <v>211.94</v>
      </c>
      <c r="U5" s="114" t="s">
        <v>219</v>
      </c>
      <c r="V5" s="114" t="s">
        <v>150</v>
      </c>
      <c r="W5" s="121"/>
      <c r="X5" s="132">
        <v>211.94</v>
      </c>
      <c r="Z5" s="114">
        <v>0</v>
      </c>
      <c r="AA5" s="114" t="s">
        <v>154</v>
      </c>
      <c r="AB5" s="114">
        <v>1</v>
      </c>
      <c r="AC5" s="114" t="s">
        <v>221</v>
      </c>
      <c r="AD5" s="114" t="s">
        <v>220</v>
      </c>
      <c r="AE5" s="114" t="s">
        <v>2960</v>
      </c>
      <c r="AF5" s="114" t="s">
        <v>119</v>
      </c>
      <c r="AG5" s="114" t="s">
        <v>2962</v>
      </c>
      <c r="AH5" s="114" t="s">
        <v>2961</v>
      </c>
      <c r="AI5" s="114" t="s">
        <v>151</v>
      </c>
      <c r="AJ5" s="132" t="s">
        <v>3124</v>
      </c>
      <c r="AK5" s="132" t="s">
        <v>7</v>
      </c>
    </row>
    <row r="6" spans="1:37" s="114" customFormat="1" x14ac:dyDescent="0.35">
      <c r="A6" s="114">
        <v>15</v>
      </c>
      <c r="B6" s="114" t="s">
        <v>255</v>
      </c>
      <c r="F6" s="111" t="s">
        <v>252</v>
      </c>
      <c r="G6" s="111" t="s">
        <v>142</v>
      </c>
      <c r="H6" s="111" t="s">
        <v>251</v>
      </c>
      <c r="I6" s="111" t="b">
        <v>0</v>
      </c>
      <c r="J6" s="114" t="s">
        <v>147</v>
      </c>
      <c r="K6" s="112" t="s">
        <v>254</v>
      </c>
      <c r="L6" s="111" t="s">
        <v>253</v>
      </c>
      <c r="M6" s="112">
        <f t="shared" si="0"/>
        <v>539.5</v>
      </c>
      <c r="N6" s="114">
        <f t="shared" si="1"/>
        <v>24</v>
      </c>
      <c r="O6" s="119">
        <f t="shared" si="2"/>
        <v>12948</v>
      </c>
      <c r="P6" s="119">
        <f t="shared" si="3"/>
        <v>2247.5999999999985</v>
      </c>
      <c r="Q6" s="120">
        <f t="shared" si="4"/>
        <v>0.17358665430954576</v>
      </c>
      <c r="R6" s="114" t="str">
        <f t="shared" si="5"/>
        <v>10-20%</v>
      </c>
      <c r="S6" s="113">
        <f t="shared" si="6"/>
        <v>10700.400000000001</v>
      </c>
      <c r="T6" s="113">
        <f t="shared" si="7"/>
        <v>445.85</v>
      </c>
      <c r="U6" s="114" t="s">
        <v>256</v>
      </c>
      <c r="V6" s="114" t="s">
        <v>257</v>
      </c>
      <c r="W6" s="121"/>
      <c r="X6" s="132">
        <v>445.85</v>
      </c>
      <c r="Z6" s="114">
        <v>0</v>
      </c>
      <c r="AA6" s="114" t="s">
        <v>154</v>
      </c>
      <c r="AB6" s="114">
        <v>1</v>
      </c>
      <c r="AC6" s="114" t="s">
        <v>259</v>
      </c>
      <c r="AD6" s="114" t="s">
        <v>258</v>
      </c>
      <c r="AE6" s="114" t="s">
        <v>3118</v>
      </c>
      <c r="AF6" s="114" t="s">
        <v>119</v>
      </c>
      <c r="AG6" s="114" t="s">
        <v>2945</v>
      </c>
      <c r="AH6" s="114" t="s">
        <v>2944</v>
      </c>
      <c r="AI6" s="114" t="s">
        <v>151</v>
      </c>
      <c r="AJ6" s="132" t="s">
        <v>3124</v>
      </c>
      <c r="AK6" s="132" t="s">
        <v>7</v>
      </c>
    </row>
    <row r="7" spans="1:37" s="114" customFormat="1" x14ac:dyDescent="0.35">
      <c r="A7" s="114">
        <v>17</v>
      </c>
      <c r="B7" s="114" t="s">
        <v>271</v>
      </c>
      <c r="F7" s="111" t="s">
        <v>269</v>
      </c>
      <c r="G7" s="111" t="s">
        <v>142</v>
      </c>
      <c r="H7" s="111" t="s">
        <v>268</v>
      </c>
      <c r="I7" s="111" t="b">
        <v>0</v>
      </c>
      <c r="J7" s="114" t="s">
        <v>147</v>
      </c>
      <c r="K7" s="112" t="s">
        <v>270</v>
      </c>
      <c r="L7" s="111" t="s">
        <v>145</v>
      </c>
      <c r="M7" s="112">
        <f t="shared" si="0"/>
        <v>83.81</v>
      </c>
      <c r="N7" s="114">
        <f t="shared" si="1"/>
        <v>144</v>
      </c>
      <c r="O7" s="119">
        <f t="shared" si="2"/>
        <v>12068.64</v>
      </c>
      <c r="P7" s="119">
        <f t="shared" si="3"/>
        <v>4060.7999999999993</v>
      </c>
      <c r="Q7" s="120">
        <f t="shared" si="4"/>
        <v>0.33647536093544916</v>
      </c>
      <c r="R7" s="114" t="str">
        <f t="shared" si="5"/>
        <v>30+%</v>
      </c>
      <c r="S7" s="113">
        <f t="shared" si="6"/>
        <v>8007.84</v>
      </c>
      <c r="T7" s="113">
        <f t="shared" si="7"/>
        <v>55.61</v>
      </c>
      <c r="U7" s="114" t="s">
        <v>272</v>
      </c>
      <c r="V7" s="114" t="s">
        <v>273</v>
      </c>
      <c r="W7" s="121"/>
      <c r="X7" s="132">
        <v>55.61</v>
      </c>
      <c r="Z7" s="114">
        <v>0</v>
      </c>
      <c r="AA7" s="114" t="s">
        <v>154</v>
      </c>
      <c r="AB7" s="114">
        <v>1</v>
      </c>
      <c r="AC7" s="114" t="s">
        <v>274</v>
      </c>
      <c r="AD7" s="114">
        <v>10018116</v>
      </c>
      <c r="AE7" s="114" t="s">
        <v>3027</v>
      </c>
      <c r="AF7" s="114" t="s">
        <v>119</v>
      </c>
      <c r="AG7" s="114" t="s">
        <v>3028</v>
      </c>
      <c r="AH7" s="114" t="s">
        <v>2944</v>
      </c>
      <c r="AI7" s="114" t="s">
        <v>151</v>
      </c>
      <c r="AJ7" s="132" t="s">
        <v>3124</v>
      </c>
      <c r="AK7" s="132" t="s">
        <v>7</v>
      </c>
    </row>
    <row r="8" spans="1:37" s="114" customFormat="1" x14ac:dyDescent="0.35">
      <c r="A8" s="114">
        <v>18</v>
      </c>
      <c r="B8" s="114" t="s">
        <v>279</v>
      </c>
      <c r="F8" s="111" t="s">
        <v>276</v>
      </c>
      <c r="G8" s="111" t="s">
        <v>142</v>
      </c>
      <c r="H8" s="111" t="s">
        <v>275</v>
      </c>
      <c r="I8" s="111" t="b">
        <v>0</v>
      </c>
      <c r="J8" s="114" t="s">
        <v>147</v>
      </c>
      <c r="K8" s="112" t="s">
        <v>278</v>
      </c>
      <c r="L8" s="111" t="s">
        <v>277</v>
      </c>
      <c r="M8" s="112">
        <f t="shared" si="0"/>
        <v>593.42999999999995</v>
      </c>
      <c r="N8" s="114">
        <f t="shared" si="1"/>
        <v>20</v>
      </c>
      <c r="O8" s="119">
        <f t="shared" si="2"/>
        <v>11868.599999999999</v>
      </c>
      <c r="P8" s="119">
        <f t="shared" si="3"/>
        <v>3239.9999999999982</v>
      </c>
      <c r="Q8" s="120">
        <f t="shared" si="4"/>
        <v>0.27298923209140075</v>
      </c>
      <c r="R8" s="114" t="str">
        <f t="shared" si="5"/>
        <v>20-30%</v>
      </c>
      <c r="S8" s="113">
        <f t="shared" si="6"/>
        <v>8628.6</v>
      </c>
      <c r="T8" s="113">
        <f t="shared" si="7"/>
        <v>431.43</v>
      </c>
      <c r="U8" s="114" t="s">
        <v>280</v>
      </c>
      <c r="V8" s="114" t="s">
        <v>257</v>
      </c>
      <c r="W8" s="121"/>
      <c r="X8" s="132">
        <v>431.43</v>
      </c>
      <c r="Z8" s="114">
        <v>0</v>
      </c>
      <c r="AA8" s="114" t="s">
        <v>154</v>
      </c>
      <c r="AB8" s="114">
        <v>1</v>
      </c>
      <c r="AC8" s="114" t="s">
        <v>259</v>
      </c>
      <c r="AD8" s="114" t="s">
        <v>281</v>
      </c>
      <c r="AE8" s="114" t="s">
        <v>3117</v>
      </c>
      <c r="AF8" s="114" t="s">
        <v>119</v>
      </c>
      <c r="AG8" s="114" t="s">
        <v>2945</v>
      </c>
      <c r="AH8" s="114" t="s">
        <v>2944</v>
      </c>
      <c r="AI8" s="114" t="s">
        <v>151</v>
      </c>
      <c r="AJ8" s="132" t="s">
        <v>3124</v>
      </c>
      <c r="AK8" s="132" t="s">
        <v>7</v>
      </c>
    </row>
    <row r="9" spans="1:37" s="114" customFormat="1" ht="29" x14ac:dyDescent="0.35">
      <c r="A9" s="114">
        <v>20</v>
      </c>
      <c r="B9" s="114" t="s">
        <v>294</v>
      </c>
      <c r="F9" s="111" t="s">
        <v>291</v>
      </c>
      <c r="G9" s="111" t="s">
        <v>142</v>
      </c>
      <c r="H9" s="111" t="s">
        <v>290</v>
      </c>
      <c r="I9" s="111" t="b">
        <v>0</v>
      </c>
      <c r="J9" s="114" t="s">
        <v>147</v>
      </c>
      <c r="K9" s="112" t="s">
        <v>293</v>
      </c>
      <c r="L9" s="111" t="s">
        <v>292</v>
      </c>
      <c r="M9" s="112">
        <f t="shared" si="0"/>
        <v>867.98</v>
      </c>
      <c r="N9" s="114">
        <f t="shared" si="1"/>
        <v>13</v>
      </c>
      <c r="O9" s="119">
        <f t="shared" si="2"/>
        <v>11283.74</v>
      </c>
      <c r="P9" s="119">
        <f t="shared" si="3"/>
        <v>221</v>
      </c>
      <c r="Q9" s="120">
        <f t="shared" si="4"/>
        <v>1.9585704739740549E-2</v>
      </c>
      <c r="R9" s="114" t="str">
        <f t="shared" si="5"/>
        <v>0-10%</v>
      </c>
      <c r="S9" s="113">
        <f t="shared" si="6"/>
        <v>11062.74</v>
      </c>
      <c r="T9" s="113">
        <f t="shared" si="7"/>
        <v>850.98</v>
      </c>
      <c r="U9" s="114" t="s">
        <v>295</v>
      </c>
      <c r="V9" s="114" t="s">
        <v>161</v>
      </c>
      <c r="W9" s="121"/>
      <c r="X9" s="132">
        <v>850.98</v>
      </c>
      <c r="Z9" s="114">
        <v>0</v>
      </c>
      <c r="AA9" s="114" t="s">
        <v>154</v>
      </c>
      <c r="AB9" s="114">
        <v>1</v>
      </c>
      <c r="AC9" s="114" t="s">
        <v>164</v>
      </c>
      <c r="AD9" s="114" t="s">
        <v>297</v>
      </c>
      <c r="AE9" s="114" t="s">
        <v>296</v>
      </c>
      <c r="AF9" s="114" t="s">
        <v>119</v>
      </c>
      <c r="AG9" s="114" t="s">
        <v>2869</v>
      </c>
      <c r="AH9" s="114" t="s">
        <v>2851</v>
      </c>
      <c r="AI9" s="114" t="s">
        <v>151</v>
      </c>
      <c r="AJ9" s="132" t="s">
        <v>3124</v>
      </c>
      <c r="AK9" s="132" t="s">
        <v>7</v>
      </c>
    </row>
    <row r="10" spans="1:37" s="114" customFormat="1" x14ac:dyDescent="0.35">
      <c r="A10" s="114">
        <v>22</v>
      </c>
      <c r="B10" s="114" t="s">
        <v>306</v>
      </c>
      <c r="F10" s="111" t="s">
        <v>304</v>
      </c>
      <c r="G10" s="111" t="s">
        <v>142</v>
      </c>
      <c r="H10" s="111" t="s">
        <v>303</v>
      </c>
      <c r="I10" s="111" t="b">
        <v>0</v>
      </c>
      <c r="J10" s="114" t="s">
        <v>147</v>
      </c>
      <c r="K10" s="112" t="s">
        <v>305</v>
      </c>
      <c r="L10" s="111" t="s">
        <v>196</v>
      </c>
      <c r="M10" s="112">
        <f t="shared" si="0"/>
        <v>595.37</v>
      </c>
      <c r="N10" s="114">
        <f t="shared" si="1"/>
        <v>18</v>
      </c>
      <c r="O10" s="119">
        <f t="shared" si="2"/>
        <v>10716.66</v>
      </c>
      <c r="P10" s="119">
        <f t="shared" si="3"/>
        <v>200.52000000000044</v>
      </c>
      <c r="Q10" s="120">
        <f t="shared" si="4"/>
        <v>1.871105363051552E-2</v>
      </c>
      <c r="R10" s="114" t="str">
        <f t="shared" si="5"/>
        <v>0-10%</v>
      </c>
      <c r="S10" s="113">
        <f t="shared" si="6"/>
        <v>10516.14</v>
      </c>
      <c r="T10" s="113">
        <f t="shared" si="7"/>
        <v>584.23</v>
      </c>
      <c r="U10" s="114" t="s">
        <v>282</v>
      </c>
      <c r="V10" s="114" t="s">
        <v>150</v>
      </c>
      <c r="W10" s="121"/>
      <c r="X10" s="132">
        <v>584.23</v>
      </c>
      <c r="Z10" s="114">
        <v>0</v>
      </c>
      <c r="AA10" s="114" t="s">
        <v>154</v>
      </c>
      <c r="AB10" s="114">
        <v>1</v>
      </c>
      <c r="AC10" s="114" t="s">
        <v>243</v>
      </c>
      <c r="AD10" s="114" t="s">
        <v>307</v>
      </c>
      <c r="AE10" s="114" t="s">
        <v>2950</v>
      </c>
      <c r="AF10" s="114" t="s">
        <v>119</v>
      </c>
      <c r="AG10" s="114" t="s">
        <v>2945</v>
      </c>
      <c r="AH10" s="114" t="s">
        <v>2944</v>
      </c>
      <c r="AI10" s="114" t="s">
        <v>151</v>
      </c>
      <c r="AJ10" s="132" t="s">
        <v>3124</v>
      </c>
      <c r="AK10" s="132" t="s">
        <v>7</v>
      </c>
    </row>
    <row r="11" spans="1:37" s="114" customFormat="1" x14ac:dyDescent="0.35">
      <c r="A11" s="114">
        <v>31</v>
      </c>
      <c r="B11" s="114" t="s">
        <v>367</v>
      </c>
      <c r="F11" s="111" t="s">
        <v>364</v>
      </c>
      <c r="G11" s="111" t="s">
        <v>142</v>
      </c>
      <c r="H11" s="111" t="s">
        <v>363</v>
      </c>
      <c r="I11" s="111" t="b">
        <v>0</v>
      </c>
      <c r="J11" s="114" t="s">
        <v>147</v>
      </c>
      <c r="K11" s="112" t="s">
        <v>366</v>
      </c>
      <c r="L11" s="111" t="s">
        <v>365</v>
      </c>
      <c r="M11" s="112">
        <f t="shared" si="0"/>
        <v>6.26</v>
      </c>
      <c r="N11" s="114">
        <f t="shared" si="1"/>
        <v>1584</v>
      </c>
      <c r="O11" s="119">
        <f t="shared" si="2"/>
        <v>9915.84</v>
      </c>
      <c r="P11" s="119">
        <f t="shared" si="3"/>
        <v>15.840000000000146</v>
      </c>
      <c r="Q11" s="120">
        <f t="shared" si="4"/>
        <v>1.5974440894568837E-3</v>
      </c>
      <c r="R11" s="114" t="str">
        <f t="shared" si="5"/>
        <v>0-10%</v>
      </c>
      <c r="S11" s="113">
        <f t="shared" si="6"/>
        <v>9900</v>
      </c>
      <c r="T11" s="113">
        <f t="shared" si="7"/>
        <v>6.25</v>
      </c>
      <c r="U11" s="114" t="s">
        <v>368</v>
      </c>
      <c r="V11" s="114" t="s">
        <v>150</v>
      </c>
      <c r="W11" s="121"/>
      <c r="X11" s="132">
        <v>6.25</v>
      </c>
      <c r="Z11" s="114">
        <v>0</v>
      </c>
      <c r="AA11" s="114" t="s">
        <v>213</v>
      </c>
      <c r="AB11" s="114">
        <v>1</v>
      </c>
      <c r="AC11" s="114" t="s">
        <v>326</v>
      </c>
      <c r="AD11" s="114" t="s">
        <v>325</v>
      </c>
      <c r="AE11" s="114" t="s">
        <v>2913</v>
      </c>
      <c r="AF11" s="114" t="s">
        <v>119</v>
      </c>
      <c r="AG11" s="114" t="s">
        <v>2904</v>
      </c>
      <c r="AH11" s="114" t="s">
        <v>2903</v>
      </c>
      <c r="AI11" s="114" t="s">
        <v>3130</v>
      </c>
      <c r="AJ11" s="132" t="s">
        <v>3124</v>
      </c>
      <c r="AK11" s="132" t="s">
        <v>7</v>
      </c>
    </row>
    <row r="12" spans="1:37" s="114" customFormat="1" x14ac:dyDescent="0.35">
      <c r="A12" s="114">
        <v>38</v>
      </c>
      <c r="B12" s="114" t="s">
        <v>412</v>
      </c>
      <c r="F12" s="111" t="s">
        <v>409</v>
      </c>
      <c r="G12" s="111" t="s">
        <v>142</v>
      </c>
      <c r="H12" s="111" t="s">
        <v>408</v>
      </c>
      <c r="I12" s="111" t="b">
        <v>0</v>
      </c>
      <c r="J12" s="114" t="s">
        <v>147</v>
      </c>
      <c r="K12" s="112" t="s">
        <v>411</v>
      </c>
      <c r="L12" s="111" t="s">
        <v>410</v>
      </c>
      <c r="M12" s="112">
        <f t="shared" si="0"/>
        <v>4.99</v>
      </c>
      <c r="N12" s="114">
        <f t="shared" si="1"/>
        <v>1632</v>
      </c>
      <c r="O12" s="119">
        <f t="shared" si="2"/>
        <v>8143.68</v>
      </c>
      <c r="P12" s="119">
        <f t="shared" si="3"/>
        <v>391.68000000000029</v>
      </c>
      <c r="Q12" s="120">
        <f t="shared" si="4"/>
        <v>4.8096192384769573E-2</v>
      </c>
      <c r="R12" s="114" t="str">
        <f t="shared" si="5"/>
        <v>0-10%</v>
      </c>
      <c r="S12" s="113">
        <f t="shared" si="6"/>
        <v>7752</v>
      </c>
      <c r="T12" s="113">
        <f t="shared" si="7"/>
        <v>4.75</v>
      </c>
      <c r="U12" s="114" t="s">
        <v>413</v>
      </c>
      <c r="V12" s="114" t="s">
        <v>150</v>
      </c>
      <c r="W12" s="121"/>
      <c r="X12" s="132">
        <v>4.75</v>
      </c>
      <c r="Z12" s="114">
        <v>0</v>
      </c>
      <c r="AA12" s="114" t="s">
        <v>213</v>
      </c>
      <c r="AB12" s="114">
        <v>1</v>
      </c>
      <c r="AC12" s="114" t="s">
        <v>171</v>
      </c>
      <c r="AD12" s="114" t="s">
        <v>413</v>
      </c>
      <c r="AE12" s="114" t="s">
        <v>2979</v>
      </c>
      <c r="AF12" s="114" t="s">
        <v>119</v>
      </c>
      <c r="AG12" s="114" t="s">
        <v>2967</v>
      </c>
      <c r="AH12" s="114" t="s">
        <v>2903</v>
      </c>
      <c r="AI12" s="114" t="s">
        <v>3130</v>
      </c>
      <c r="AJ12" s="132" t="s">
        <v>3124</v>
      </c>
      <c r="AK12" s="132" t="s">
        <v>7</v>
      </c>
    </row>
    <row r="13" spans="1:37" s="114" customFormat="1" x14ac:dyDescent="0.35">
      <c r="A13" s="114">
        <v>42</v>
      </c>
      <c r="B13" s="114" t="s">
        <v>438</v>
      </c>
      <c r="F13" s="111" t="s">
        <v>435</v>
      </c>
      <c r="G13" s="111" t="s">
        <v>142</v>
      </c>
      <c r="H13" s="111" t="s">
        <v>434</v>
      </c>
      <c r="I13" s="111" t="b">
        <v>0</v>
      </c>
      <c r="J13" s="114" t="s">
        <v>147</v>
      </c>
      <c r="K13" s="112" t="s">
        <v>437</v>
      </c>
      <c r="L13" s="111" t="s">
        <v>436</v>
      </c>
      <c r="M13" s="112">
        <f t="shared" si="0"/>
        <v>26.5</v>
      </c>
      <c r="N13" s="114">
        <f t="shared" si="1"/>
        <v>289</v>
      </c>
      <c r="O13" s="119">
        <f t="shared" si="2"/>
        <v>7658.5</v>
      </c>
      <c r="P13" s="119">
        <f t="shared" si="3"/>
        <v>118.48999999999978</v>
      </c>
      <c r="Q13" s="120">
        <f t="shared" si="4"/>
        <v>1.5471698113207519E-2</v>
      </c>
      <c r="R13" s="114" t="str">
        <f t="shared" si="5"/>
        <v>0-10%</v>
      </c>
      <c r="S13" s="113">
        <f t="shared" si="6"/>
        <v>7540.01</v>
      </c>
      <c r="T13" s="113">
        <f t="shared" si="7"/>
        <v>26.09</v>
      </c>
      <c r="U13" s="114" t="s">
        <v>439</v>
      </c>
      <c r="V13" s="114" t="s">
        <v>150</v>
      </c>
      <c r="W13" s="121"/>
      <c r="X13" s="132">
        <v>26.09</v>
      </c>
      <c r="Z13" s="114">
        <v>0</v>
      </c>
      <c r="AA13" s="114" t="s">
        <v>213</v>
      </c>
      <c r="AB13" s="114">
        <v>1</v>
      </c>
      <c r="AC13" s="114" t="s">
        <v>334</v>
      </c>
      <c r="AD13" s="114" t="s">
        <v>440</v>
      </c>
      <c r="AE13" s="114" t="s">
        <v>3077</v>
      </c>
      <c r="AF13" s="114" t="s">
        <v>119</v>
      </c>
      <c r="AG13" s="114" t="s">
        <v>2972</v>
      </c>
      <c r="AH13" s="114" t="s">
        <v>2903</v>
      </c>
      <c r="AI13" s="114" t="s">
        <v>151</v>
      </c>
      <c r="AJ13" s="132" t="s">
        <v>3124</v>
      </c>
      <c r="AK13" s="132" t="s">
        <v>7</v>
      </c>
    </row>
    <row r="14" spans="1:37" s="114" customFormat="1" x14ac:dyDescent="0.35">
      <c r="A14" s="114">
        <v>46</v>
      </c>
      <c r="B14" s="114" t="s">
        <v>464</v>
      </c>
      <c r="F14" s="111" t="s">
        <v>461</v>
      </c>
      <c r="G14" s="111" t="s">
        <v>142</v>
      </c>
      <c r="H14" s="111" t="s">
        <v>460</v>
      </c>
      <c r="I14" s="111" t="b">
        <v>0</v>
      </c>
      <c r="J14" s="114" t="s">
        <v>147</v>
      </c>
      <c r="K14" s="112" t="s">
        <v>463</v>
      </c>
      <c r="L14" s="111" t="s">
        <v>462</v>
      </c>
      <c r="M14" s="112">
        <f t="shared" si="0"/>
        <v>26.51</v>
      </c>
      <c r="N14" s="114">
        <f t="shared" si="1"/>
        <v>272</v>
      </c>
      <c r="O14" s="119">
        <f t="shared" si="2"/>
        <v>7210.72</v>
      </c>
      <c r="P14" s="119">
        <f t="shared" si="3"/>
        <v>114.24000000000069</v>
      </c>
      <c r="Q14" s="120">
        <f t="shared" si="4"/>
        <v>1.5843078083742079E-2</v>
      </c>
      <c r="R14" s="114" t="str">
        <f t="shared" si="5"/>
        <v>0-10%</v>
      </c>
      <c r="S14" s="113">
        <f t="shared" si="6"/>
        <v>7096.48</v>
      </c>
      <c r="T14" s="113">
        <f t="shared" si="7"/>
        <v>26.09</v>
      </c>
      <c r="U14" s="114" t="s">
        <v>465</v>
      </c>
      <c r="V14" s="114" t="s">
        <v>150</v>
      </c>
      <c r="W14" s="121"/>
      <c r="X14" s="132">
        <v>26.09</v>
      </c>
      <c r="Z14" s="114">
        <v>0</v>
      </c>
      <c r="AA14" s="114" t="s">
        <v>213</v>
      </c>
      <c r="AB14" s="114">
        <v>1</v>
      </c>
      <c r="AC14" s="114" t="s">
        <v>334</v>
      </c>
      <c r="AD14" s="114" t="s">
        <v>466</v>
      </c>
      <c r="AE14" s="114" t="s">
        <v>3079</v>
      </c>
      <c r="AF14" s="114" t="s">
        <v>119</v>
      </c>
      <c r="AG14" s="114" t="s">
        <v>2972</v>
      </c>
      <c r="AH14" s="114" t="s">
        <v>2903</v>
      </c>
      <c r="AI14" s="114" t="s">
        <v>151</v>
      </c>
      <c r="AJ14" s="132" t="s">
        <v>3124</v>
      </c>
      <c r="AK14" s="132" t="s">
        <v>7</v>
      </c>
    </row>
    <row r="15" spans="1:37" s="114" customFormat="1" x14ac:dyDescent="0.35">
      <c r="A15" s="114">
        <v>53</v>
      </c>
      <c r="B15" s="114" t="s">
        <v>507</v>
      </c>
      <c r="F15" s="111" t="s">
        <v>504</v>
      </c>
      <c r="G15" s="111" t="s">
        <v>142</v>
      </c>
      <c r="H15" s="111" t="s">
        <v>503</v>
      </c>
      <c r="I15" s="111" t="b">
        <v>0</v>
      </c>
      <c r="J15" s="114" t="s">
        <v>147</v>
      </c>
      <c r="K15" s="112" t="s">
        <v>506</v>
      </c>
      <c r="L15" s="111" t="s">
        <v>505</v>
      </c>
      <c r="M15" s="112">
        <f t="shared" si="0"/>
        <v>2796.23</v>
      </c>
      <c r="N15" s="114">
        <f t="shared" si="1"/>
        <v>2</v>
      </c>
      <c r="O15" s="119">
        <f t="shared" si="2"/>
        <v>5592.46</v>
      </c>
      <c r="P15" s="119">
        <f t="shared" si="3"/>
        <v>3467.26</v>
      </c>
      <c r="Q15" s="120">
        <f t="shared" si="4"/>
        <v>0.61998834144544623</v>
      </c>
      <c r="R15" s="114" t="str">
        <f t="shared" si="5"/>
        <v>30+%</v>
      </c>
      <c r="S15" s="113">
        <f t="shared" si="6"/>
        <v>2125.1999999999998</v>
      </c>
      <c r="T15" s="113">
        <f t="shared" si="7"/>
        <v>1062.5999999999999</v>
      </c>
      <c r="U15" s="114" t="s">
        <v>508</v>
      </c>
      <c r="V15" s="114" t="s">
        <v>150</v>
      </c>
      <c r="W15" s="121"/>
      <c r="X15" s="132">
        <v>1062.5999999999999</v>
      </c>
      <c r="Z15" s="114">
        <v>0</v>
      </c>
      <c r="AA15" s="114" t="s">
        <v>154</v>
      </c>
      <c r="AB15" s="114">
        <v>1</v>
      </c>
      <c r="AC15" s="114" t="s">
        <v>510</v>
      </c>
      <c r="AD15" s="114" t="s">
        <v>509</v>
      </c>
      <c r="AE15" s="114" t="s">
        <v>3045</v>
      </c>
      <c r="AF15" s="114" t="s">
        <v>119</v>
      </c>
      <c r="AG15" s="114" t="s">
        <v>3047</v>
      </c>
      <c r="AH15" s="114" t="s">
        <v>3046</v>
      </c>
      <c r="AI15" s="114" t="s">
        <v>151</v>
      </c>
      <c r="AJ15" s="132" t="s">
        <v>3124</v>
      </c>
      <c r="AK15" s="132" t="s">
        <v>7</v>
      </c>
    </row>
    <row r="16" spans="1:37" s="114" customFormat="1" x14ac:dyDescent="0.35">
      <c r="A16" s="114">
        <v>55</v>
      </c>
      <c r="B16" s="114" t="s">
        <v>522</v>
      </c>
      <c r="F16" s="111" t="s">
        <v>519</v>
      </c>
      <c r="G16" s="111" t="s">
        <v>142</v>
      </c>
      <c r="H16" s="111" t="s">
        <v>518</v>
      </c>
      <c r="I16" s="111" t="b">
        <v>0</v>
      </c>
      <c r="J16" s="114" t="s">
        <v>147</v>
      </c>
      <c r="K16" s="112" t="s">
        <v>521</v>
      </c>
      <c r="L16" s="111" t="s">
        <v>520</v>
      </c>
      <c r="M16" s="112">
        <f t="shared" si="0"/>
        <v>424.79</v>
      </c>
      <c r="N16" s="114">
        <f t="shared" si="1"/>
        <v>12</v>
      </c>
      <c r="O16" s="119">
        <f t="shared" si="2"/>
        <v>5097.4800000000005</v>
      </c>
      <c r="P16" s="119">
        <f t="shared" si="3"/>
        <v>-803.75999999999931</v>
      </c>
      <c r="Q16" s="120">
        <f t="shared" si="4"/>
        <v>-0.15767791143859303</v>
      </c>
      <c r="R16" s="114" t="str">
        <f t="shared" si="5"/>
        <v>Negative</v>
      </c>
      <c r="S16" s="113">
        <f t="shared" si="6"/>
        <v>5901.24</v>
      </c>
      <c r="T16" s="113">
        <f t="shared" si="7"/>
        <v>491.77</v>
      </c>
      <c r="U16" s="114" t="s">
        <v>523</v>
      </c>
      <c r="V16" s="114" t="s">
        <v>150</v>
      </c>
      <c r="W16" s="121"/>
      <c r="X16" s="132">
        <v>491.77</v>
      </c>
      <c r="Z16" s="114">
        <v>0</v>
      </c>
      <c r="AA16" s="114" t="s">
        <v>154</v>
      </c>
      <c r="AB16" s="114">
        <v>1</v>
      </c>
      <c r="AC16" s="114" t="s">
        <v>243</v>
      </c>
      <c r="AD16" s="114" t="s">
        <v>524</v>
      </c>
      <c r="AE16" s="114" t="s">
        <v>2958</v>
      </c>
      <c r="AF16" s="114" t="s">
        <v>119</v>
      </c>
      <c r="AG16" s="114" t="s">
        <v>2959</v>
      </c>
      <c r="AH16" s="114" t="s">
        <v>2944</v>
      </c>
      <c r="AI16" s="114" t="s">
        <v>151</v>
      </c>
      <c r="AJ16" s="132" t="s">
        <v>3124</v>
      </c>
      <c r="AK16" s="132" t="s">
        <v>3129</v>
      </c>
    </row>
    <row r="17" spans="1:37" s="114" customFormat="1" x14ac:dyDescent="0.35">
      <c r="A17" s="114">
        <v>61</v>
      </c>
      <c r="B17" s="114" t="s">
        <v>557</v>
      </c>
      <c r="F17" s="111" t="s">
        <v>554</v>
      </c>
      <c r="G17" s="111" t="s">
        <v>142</v>
      </c>
      <c r="H17" s="111" t="s">
        <v>553</v>
      </c>
      <c r="I17" s="111" t="b">
        <v>0</v>
      </c>
      <c r="J17" s="114" t="s">
        <v>147</v>
      </c>
      <c r="K17" s="112" t="s">
        <v>556</v>
      </c>
      <c r="L17" s="111" t="s">
        <v>555</v>
      </c>
      <c r="M17" s="112">
        <f t="shared" si="0"/>
        <v>7.49</v>
      </c>
      <c r="N17" s="114">
        <f t="shared" si="1"/>
        <v>576</v>
      </c>
      <c r="O17" s="119">
        <f t="shared" si="2"/>
        <v>4314.24</v>
      </c>
      <c r="P17" s="119">
        <f t="shared" si="3"/>
        <v>213.11999999999989</v>
      </c>
      <c r="Q17" s="120">
        <f t="shared" si="4"/>
        <v>4.9399198931909187E-2</v>
      </c>
      <c r="R17" s="114" t="str">
        <f t="shared" si="5"/>
        <v>0-10%</v>
      </c>
      <c r="S17" s="113">
        <f t="shared" si="6"/>
        <v>4101.12</v>
      </c>
      <c r="T17" s="113">
        <f t="shared" si="7"/>
        <v>7.12</v>
      </c>
      <c r="U17" s="114" t="s">
        <v>558</v>
      </c>
      <c r="V17" s="114" t="s">
        <v>150</v>
      </c>
      <c r="W17" s="121"/>
      <c r="X17" s="132">
        <v>7.12</v>
      </c>
      <c r="Z17" s="114">
        <v>0</v>
      </c>
      <c r="AA17" s="114" t="s">
        <v>213</v>
      </c>
      <c r="AB17" s="114">
        <v>1</v>
      </c>
      <c r="AC17" s="114" t="s">
        <v>560</v>
      </c>
      <c r="AD17" s="114" t="s">
        <v>559</v>
      </c>
      <c r="AE17" s="114" t="s">
        <v>2999</v>
      </c>
      <c r="AF17" s="114" t="s">
        <v>119</v>
      </c>
      <c r="AG17" s="114" t="s">
        <v>2967</v>
      </c>
      <c r="AH17" s="114" t="s">
        <v>2903</v>
      </c>
      <c r="AI17" s="114" t="s">
        <v>151</v>
      </c>
      <c r="AJ17" s="132" t="s">
        <v>3124</v>
      </c>
      <c r="AK17" s="132" t="s">
        <v>7</v>
      </c>
    </row>
    <row r="18" spans="1:37" s="114" customFormat="1" x14ac:dyDescent="0.35">
      <c r="A18" s="114">
        <v>64</v>
      </c>
      <c r="B18" s="114" t="s">
        <v>576</v>
      </c>
      <c r="F18" s="111" t="s">
        <v>573</v>
      </c>
      <c r="G18" s="111" t="s">
        <v>142</v>
      </c>
      <c r="H18" s="111" t="s">
        <v>572</v>
      </c>
      <c r="I18" s="111" t="b">
        <v>0</v>
      </c>
      <c r="J18" s="114" t="s">
        <v>147</v>
      </c>
      <c r="K18" s="112" t="s">
        <v>575</v>
      </c>
      <c r="L18" s="111" t="s">
        <v>574</v>
      </c>
      <c r="M18" s="112">
        <f t="shared" si="0"/>
        <v>9.06</v>
      </c>
      <c r="N18" s="114">
        <f t="shared" si="1"/>
        <v>456</v>
      </c>
      <c r="O18" s="119">
        <f t="shared" si="2"/>
        <v>4131.3600000000006</v>
      </c>
      <c r="P18" s="119">
        <f t="shared" si="3"/>
        <v>109.44000000000051</v>
      </c>
      <c r="Q18" s="120">
        <f t="shared" si="4"/>
        <v>2.6490066225165681E-2</v>
      </c>
      <c r="R18" s="114" t="str">
        <f t="shared" si="5"/>
        <v>0-10%</v>
      </c>
      <c r="S18" s="113">
        <f t="shared" si="6"/>
        <v>4021.92</v>
      </c>
      <c r="T18" s="113">
        <f t="shared" si="7"/>
        <v>8.82</v>
      </c>
      <c r="U18" s="114" t="s">
        <v>577</v>
      </c>
      <c r="V18" s="114" t="s">
        <v>161</v>
      </c>
      <c r="W18" s="121"/>
      <c r="X18" s="132">
        <v>8.82</v>
      </c>
      <c r="Z18" s="114">
        <v>0</v>
      </c>
      <c r="AA18" s="114" t="s">
        <v>154</v>
      </c>
      <c r="AB18" s="114">
        <v>1</v>
      </c>
      <c r="AC18" s="114" t="s">
        <v>578</v>
      </c>
      <c r="AD18" s="114">
        <v>29084</v>
      </c>
      <c r="AE18" s="114" t="s">
        <v>2935</v>
      </c>
      <c r="AF18" s="114" t="s">
        <v>119</v>
      </c>
      <c r="AG18" s="114" t="s">
        <v>2863</v>
      </c>
      <c r="AH18" s="114" t="s">
        <v>2862</v>
      </c>
      <c r="AI18" s="114" t="s">
        <v>151</v>
      </c>
      <c r="AJ18" s="132" t="s">
        <v>3124</v>
      </c>
      <c r="AK18" s="132" t="s">
        <v>7</v>
      </c>
    </row>
    <row r="19" spans="1:37" s="114" customFormat="1" x14ac:dyDescent="0.35">
      <c r="A19" s="114">
        <v>67</v>
      </c>
      <c r="B19" s="114" t="s">
        <v>595</v>
      </c>
      <c r="F19" s="111" t="s">
        <v>593</v>
      </c>
      <c r="G19" s="111" t="s">
        <v>142</v>
      </c>
      <c r="H19" s="111" t="s">
        <v>592</v>
      </c>
      <c r="I19" s="111" t="b">
        <v>0</v>
      </c>
      <c r="J19" s="114" t="s">
        <v>147</v>
      </c>
      <c r="K19" s="112" t="s">
        <v>594</v>
      </c>
      <c r="L19" s="111" t="s">
        <v>587</v>
      </c>
      <c r="M19" s="112">
        <f t="shared" si="0"/>
        <v>13.81</v>
      </c>
      <c r="N19" s="114">
        <f t="shared" si="1"/>
        <v>288</v>
      </c>
      <c r="O19" s="119">
        <f t="shared" si="2"/>
        <v>3977.28</v>
      </c>
      <c r="P19" s="119">
        <f t="shared" si="3"/>
        <v>1375.2000000000003</v>
      </c>
      <c r="Q19" s="120">
        <f t="shared" si="4"/>
        <v>0.34576393917451126</v>
      </c>
      <c r="R19" s="114" t="str">
        <f t="shared" si="5"/>
        <v>30+%</v>
      </c>
      <c r="S19" s="113">
        <f t="shared" si="6"/>
        <v>2602.08</v>
      </c>
      <c r="T19" s="113">
        <f t="shared" si="7"/>
        <v>9.0350000000000001</v>
      </c>
      <c r="U19" s="114" t="s">
        <v>596</v>
      </c>
      <c r="V19" s="114" t="s">
        <v>161</v>
      </c>
      <c r="W19" s="121"/>
      <c r="X19" s="132">
        <v>18.07</v>
      </c>
      <c r="Z19" s="114">
        <v>0</v>
      </c>
      <c r="AA19" s="114" t="s">
        <v>172</v>
      </c>
      <c r="AB19" s="114">
        <v>2</v>
      </c>
      <c r="AC19" s="114" t="s">
        <v>193</v>
      </c>
      <c r="AD19" s="114">
        <v>6001</v>
      </c>
      <c r="AE19" s="114" t="s">
        <v>2887</v>
      </c>
      <c r="AF19" s="114" t="s">
        <v>119</v>
      </c>
      <c r="AG19" s="114" t="s">
        <v>2879</v>
      </c>
      <c r="AH19" s="114" t="s">
        <v>2851</v>
      </c>
      <c r="AI19" s="114" t="s">
        <v>3130</v>
      </c>
      <c r="AJ19" s="132" t="s">
        <v>3124</v>
      </c>
      <c r="AK19" s="132" t="s">
        <v>7</v>
      </c>
    </row>
    <row r="20" spans="1:37" s="114" customFormat="1" x14ac:dyDescent="0.35">
      <c r="A20" s="114">
        <v>69</v>
      </c>
      <c r="B20" s="114" t="s">
        <v>606</v>
      </c>
      <c r="F20" s="111" t="s">
        <v>603</v>
      </c>
      <c r="G20" s="111" t="s">
        <v>142</v>
      </c>
      <c r="H20" s="111" t="s">
        <v>602</v>
      </c>
      <c r="I20" s="111" t="b">
        <v>0</v>
      </c>
      <c r="J20" s="114" t="s">
        <v>147</v>
      </c>
      <c r="K20" s="112" t="s">
        <v>605</v>
      </c>
      <c r="L20" s="111" t="s">
        <v>604</v>
      </c>
      <c r="M20" s="112">
        <f t="shared" si="0"/>
        <v>86.89</v>
      </c>
      <c r="N20" s="114">
        <f t="shared" si="1"/>
        <v>45</v>
      </c>
      <c r="O20" s="119">
        <f t="shared" si="2"/>
        <v>3910.05</v>
      </c>
      <c r="P20" s="119">
        <f t="shared" si="3"/>
        <v>684.44999999999982</v>
      </c>
      <c r="Q20" s="120">
        <f t="shared" si="4"/>
        <v>0.17504891241799972</v>
      </c>
      <c r="R20" s="114" t="str">
        <f t="shared" si="5"/>
        <v>10-20%</v>
      </c>
      <c r="S20" s="113">
        <f t="shared" si="6"/>
        <v>3225.6000000000004</v>
      </c>
      <c r="T20" s="113">
        <f t="shared" si="7"/>
        <v>71.680000000000007</v>
      </c>
      <c r="U20" s="114" t="s">
        <v>607</v>
      </c>
      <c r="V20" s="114" t="s">
        <v>150</v>
      </c>
      <c r="W20" s="121"/>
      <c r="X20" s="132">
        <v>71.680000000000007</v>
      </c>
      <c r="Z20" s="114">
        <v>0</v>
      </c>
      <c r="AA20" s="114" t="s">
        <v>154</v>
      </c>
      <c r="AB20" s="114">
        <v>1</v>
      </c>
      <c r="AC20" s="114" t="s">
        <v>274</v>
      </c>
      <c r="AD20" s="114">
        <v>10022328</v>
      </c>
      <c r="AE20" s="114" t="s">
        <v>3023</v>
      </c>
      <c r="AF20" s="114" t="s">
        <v>119</v>
      </c>
      <c r="AG20" s="114" t="s">
        <v>2949</v>
      </c>
      <c r="AH20" s="114" t="s">
        <v>2944</v>
      </c>
      <c r="AI20" s="114" t="s">
        <v>151</v>
      </c>
      <c r="AJ20" s="132" t="s">
        <v>3124</v>
      </c>
      <c r="AK20" s="132" t="s">
        <v>7</v>
      </c>
    </row>
    <row r="21" spans="1:37" s="114" customFormat="1" x14ac:dyDescent="0.35">
      <c r="A21" s="114">
        <v>70</v>
      </c>
      <c r="B21" s="114" t="s">
        <v>612</v>
      </c>
      <c r="F21" s="111" t="s">
        <v>609</v>
      </c>
      <c r="G21" s="111" t="s">
        <v>142</v>
      </c>
      <c r="H21" s="111" t="s">
        <v>608</v>
      </c>
      <c r="I21" s="111" t="b">
        <v>0</v>
      </c>
      <c r="J21" s="114" t="s">
        <v>147</v>
      </c>
      <c r="K21" s="112" t="s">
        <v>611</v>
      </c>
      <c r="L21" s="111" t="s">
        <v>610</v>
      </c>
      <c r="M21" s="112">
        <f t="shared" si="0"/>
        <v>650.14</v>
      </c>
      <c r="N21" s="114">
        <f t="shared" si="1"/>
        <v>6</v>
      </c>
      <c r="O21" s="119">
        <f t="shared" si="2"/>
        <v>3900.84</v>
      </c>
      <c r="P21" s="119">
        <f t="shared" si="3"/>
        <v>1312.2600000000002</v>
      </c>
      <c r="Q21" s="120">
        <f t="shared" si="4"/>
        <v>0.33640446673024277</v>
      </c>
      <c r="R21" s="114" t="str">
        <f t="shared" si="5"/>
        <v>30+%</v>
      </c>
      <c r="S21" s="113">
        <f t="shared" si="6"/>
        <v>2588.58</v>
      </c>
      <c r="T21" s="113">
        <f t="shared" si="7"/>
        <v>431.43</v>
      </c>
      <c r="U21" s="114" t="s">
        <v>280</v>
      </c>
      <c r="V21" s="114" t="s">
        <v>273</v>
      </c>
      <c r="W21" s="121"/>
      <c r="X21" s="132">
        <v>431.43</v>
      </c>
      <c r="Z21" s="114">
        <v>0</v>
      </c>
      <c r="AA21" s="114" t="s">
        <v>154</v>
      </c>
      <c r="AB21" s="114">
        <v>1</v>
      </c>
      <c r="AC21" s="114" t="s">
        <v>259</v>
      </c>
      <c r="AD21" s="114" t="s">
        <v>281</v>
      </c>
      <c r="AE21" s="114" t="s">
        <v>3117</v>
      </c>
      <c r="AF21" s="114" t="s">
        <v>119</v>
      </c>
      <c r="AG21" s="114" t="s">
        <v>2945</v>
      </c>
      <c r="AH21" s="114" t="s">
        <v>2944</v>
      </c>
      <c r="AI21" s="114" t="s">
        <v>151</v>
      </c>
      <c r="AJ21" s="132" t="s">
        <v>3124</v>
      </c>
      <c r="AK21" s="132" t="s">
        <v>7</v>
      </c>
    </row>
    <row r="22" spans="1:37" s="114" customFormat="1" x14ac:dyDescent="0.35">
      <c r="A22" s="114">
        <v>71</v>
      </c>
      <c r="B22" s="114" t="s">
        <v>617</v>
      </c>
      <c r="F22" s="111" t="s">
        <v>614</v>
      </c>
      <c r="G22" s="111" t="s">
        <v>142</v>
      </c>
      <c r="H22" s="111" t="s">
        <v>613</v>
      </c>
      <c r="I22" s="111" t="b">
        <v>0</v>
      </c>
      <c r="J22" s="114" t="s">
        <v>147</v>
      </c>
      <c r="K22" s="112" t="s">
        <v>616</v>
      </c>
      <c r="L22" s="111" t="s">
        <v>615</v>
      </c>
      <c r="M22" s="112">
        <f t="shared" si="0"/>
        <v>12.36</v>
      </c>
      <c r="N22" s="114">
        <f t="shared" si="1"/>
        <v>312</v>
      </c>
      <c r="O22" s="119">
        <f t="shared" si="2"/>
        <v>3856.3199999999997</v>
      </c>
      <c r="P22" s="119">
        <f t="shared" si="3"/>
        <v>190.31999999999971</v>
      </c>
      <c r="Q22" s="120">
        <f t="shared" si="4"/>
        <v>4.9352750809061416E-2</v>
      </c>
      <c r="R22" s="114" t="str">
        <f t="shared" si="5"/>
        <v>0-10%</v>
      </c>
      <c r="S22" s="113">
        <f t="shared" si="6"/>
        <v>3666</v>
      </c>
      <c r="T22" s="113">
        <f t="shared" si="7"/>
        <v>11.75</v>
      </c>
      <c r="U22" s="114" t="s">
        <v>618</v>
      </c>
      <c r="V22" s="114" t="s">
        <v>150</v>
      </c>
      <c r="W22" s="121"/>
      <c r="X22" s="132">
        <v>11.75</v>
      </c>
      <c r="Z22" s="114">
        <v>0</v>
      </c>
      <c r="AA22" s="114" t="s">
        <v>213</v>
      </c>
      <c r="AB22" s="114">
        <v>1</v>
      </c>
      <c r="AC22" s="114" t="s">
        <v>171</v>
      </c>
      <c r="AD22" s="114" t="s">
        <v>618</v>
      </c>
      <c r="AE22" s="114" t="s">
        <v>2971</v>
      </c>
      <c r="AF22" s="114" t="s">
        <v>119</v>
      </c>
      <c r="AG22" s="114" t="s">
        <v>2972</v>
      </c>
      <c r="AH22" s="114" t="s">
        <v>2903</v>
      </c>
      <c r="AI22" s="114" t="s">
        <v>3130</v>
      </c>
      <c r="AJ22" s="132" t="s">
        <v>3124</v>
      </c>
      <c r="AK22" s="132" t="s">
        <v>7</v>
      </c>
    </row>
    <row r="23" spans="1:37" s="114" customFormat="1" x14ac:dyDescent="0.35">
      <c r="A23" s="114">
        <v>78</v>
      </c>
      <c r="B23" s="114" t="s">
        <v>660</v>
      </c>
      <c r="F23" s="111" t="s">
        <v>657</v>
      </c>
      <c r="G23" s="111" t="s">
        <v>142</v>
      </c>
      <c r="H23" s="111" t="s">
        <v>656</v>
      </c>
      <c r="I23" s="111" t="b">
        <v>0</v>
      </c>
      <c r="J23" s="114" t="s">
        <v>147</v>
      </c>
      <c r="K23" s="112" t="s">
        <v>659</v>
      </c>
      <c r="L23" s="111" t="s">
        <v>658</v>
      </c>
      <c r="M23" s="112">
        <f t="shared" si="0"/>
        <v>7.51</v>
      </c>
      <c r="N23" s="114">
        <f t="shared" si="1"/>
        <v>480</v>
      </c>
      <c r="O23" s="119">
        <f t="shared" si="2"/>
        <v>3604.7999999999997</v>
      </c>
      <c r="P23" s="119">
        <f t="shared" si="3"/>
        <v>177.59999999999991</v>
      </c>
      <c r="Q23" s="120">
        <f t="shared" si="4"/>
        <v>4.9267643142476676E-2</v>
      </c>
      <c r="R23" s="114" t="str">
        <f t="shared" si="5"/>
        <v>0-10%</v>
      </c>
      <c r="S23" s="113">
        <f t="shared" si="6"/>
        <v>3427.2</v>
      </c>
      <c r="T23" s="113">
        <f t="shared" si="7"/>
        <v>7.14</v>
      </c>
      <c r="U23" s="114" t="s">
        <v>661</v>
      </c>
      <c r="V23" s="114" t="s">
        <v>150</v>
      </c>
      <c r="W23" s="121"/>
      <c r="X23" s="132">
        <v>7.14</v>
      </c>
      <c r="Z23" s="114">
        <v>0</v>
      </c>
      <c r="AA23" s="114" t="s">
        <v>213</v>
      </c>
      <c r="AB23" s="114">
        <v>1</v>
      </c>
      <c r="AC23" s="114" t="s">
        <v>560</v>
      </c>
      <c r="AD23" s="114" t="s">
        <v>662</v>
      </c>
      <c r="AE23" s="114" t="s">
        <v>2979</v>
      </c>
      <c r="AF23" s="114" t="s">
        <v>119</v>
      </c>
      <c r="AG23" s="114" t="s">
        <v>2967</v>
      </c>
      <c r="AH23" s="114" t="s">
        <v>2903</v>
      </c>
      <c r="AI23" s="114" t="s">
        <v>151</v>
      </c>
      <c r="AJ23" s="132" t="s">
        <v>3124</v>
      </c>
      <c r="AK23" s="132" t="s">
        <v>7</v>
      </c>
    </row>
    <row r="24" spans="1:37" s="114" customFormat="1" x14ac:dyDescent="0.35">
      <c r="A24" s="114">
        <v>81</v>
      </c>
      <c r="B24" s="114" t="s">
        <v>682</v>
      </c>
      <c r="F24" s="111" t="s">
        <v>679</v>
      </c>
      <c r="G24" s="111" t="s">
        <v>142</v>
      </c>
      <c r="H24" s="111" t="s">
        <v>678</v>
      </c>
      <c r="I24" s="111" t="b">
        <v>0</v>
      </c>
      <c r="J24" s="114" t="s">
        <v>147</v>
      </c>
      <c r="K24" s="112" t="s">
        <v>681</v>
      </c>
      <c r="L24" s="111" t="s">
        <v>680</v>
      </c>
      <c r="M24" s="112">
        <f t="shared" si="0"/>
        <v>87.37</v>
      </c>
      <c r="N24" s="114">
        <f t="shared" si="1"/>
        <v>39</v>
      </c>
      <c r="O24" s="119">
        <f t="shared" si="2"/>
        <v>3407.4300000000003</v>
      </c>
      <c r="P24" s="119">
        <f t="shared" si="3"/>
        <v>611.90999999999985</v>
      </c>
      <c r="Q24" s="120">
        <f t="shared" si="4"/>
        <v>0.1795810919079775</v>
      </c>
      <c r="R24" s="114" t="str">
        <f t="shared" si="5"/>
        <v>10-20%</v>
      </c>
      <c r="S24" s="113">
        <f t="shared" si="6"/>
        <v>2795.5200000000004</v>
      </c>
      <c r="T24" s="113">
        <f t="shared" si="7"/>
        <v>71.680000000000007</v>
      </c>
      <c r="U24" s="114" t="s">
        <v>683</v>
      </c>
      <c r="V24" s="114" t="s">
        <v>150</v>
      </c>
      <c r="W24" s="121"/>
      <c r="X24" s="132">
        <v>71.680000000000007</v>
      </c>
      <c r="Z24" s="114">
        <v>0</v>
      </c>
      <c r="AA24" s="114" t="s">
        <v>154</v>
      </c>
      <c r="AB24" s="114">
        <v>1</v>
      </c>
      <c r="AC24" s="114" t="s">
        <v>274</v>
      </c>
      <c r="AD24" s="114">
        <v>10022328</v>
      </c>
      <c r="AE24" s="114" t="s">
        <v>3021</v>
      </c>
      <c r="AF24" s="114" t="s">
        <v>119</v>
      </c>
      <c r="AG24" s="114" t="s">
        <v>2949</v>
      </c>
      <c r="AH24" s="114" t="s">
        <v>2944</v>
      </c>
      <c r="AI24" s="114" t="s">
        <v>151</v>
      </c>
      <c r="AJ24" s="132" t="s">
        <v>3124</v>
      </c>
      <c r="AK24" s="132" t="s">
        <v>7</v>
      </c>
    </row>
    <row r="25" spans="1:37" s="114" customFormat="1" x14ac:dyDescent="0.35">
      <c r="A25" s="114">
        <v>82</v>
      </c>
      <c r="B25" s="114" t="s">
        <v>688</v>
      </c>
      <c r="F25" s="111" t="s">
        <v>685</v>
      </c>
      <c r="G25" s="111" t="s">
        <v>142</v>
      </c>
      <c r="H25" s="111" t="s">
        <v>684</v>
      </c>
      <c r="I25" s="111" t="b">
        <v>0</v>
      </c>
      <c r="J25" s="114" t="s">
        <v>147</v>
      </c>
      <c r="K25" s="112" t="s">
        <v>687</v>
      </c>
      <c r="L25" s="111" t="s">
        <v>686</v>
      </c>
      <c r="M25" s="112">
        <f t="shared" si="0"/>
        <v>224.74</v>
      </c>
      <c r="N25" s="114">
        <f t="shared" si="1"/>
        <v>15</v>
      </c>
      <c r="O25" s="119">
        <f t="shared" si="2"/>
        <v>3371.1000000000004</v>
      </c>
      <c r="P25" s="119">
        <f t="shared" si="3"/>
        <v>2568.3000000000002</v>
      </c>
      <c r="Q25" s="120">
        <f t="shared" si="4"/>
        <v>0.76185814719231104</v>
      </c>
      <c r="R25" s="114" t="str">
        <f t="shared" si="5"/>
        <v>30+%</v>
      </c>
      <c r="S25" s="113">
        <f t="shared" si="6"/>
        <v>802.80000000000007</v>
      </c>
      <c r="T25" s="113">
        <f t="shared" si="7"/>
        <v>53.52</v>
      </c>
      <c r="U25" s="114" t="s">
        <v>689</v>
      </c>
      <c r="V25" s="114" t="s">
        <v>273</v>
      </c>
      <c r="W25" s="121"/>
      <c r="X25" s="132">
        <v>53.52</v>
      </c>
      <c r="Z25" s="114">
        <v>0</v>
      </c>
      <c r="AA25" s="114" t="s">
        <v>154</v>
      </c>
      <c r="AB25" s="114">
        <v>1</v>
      </c>
      <c r="AC25" s="114" t="s">
        <v>691</v>
      </c>
      <c r="AD25" s="114" t="s">
        <v>690</v>
      </c>
      <c r="AE25" s="114" t="s">
        <v>2916</v>
      </c>
      <c r="AF25" s="114" t="s">
        <v>104</v>
      </c>
      <c r="AG25" s="114" t="s">
        <v>2918</v>
      </c>
      <c r="AH25" s="114" t="s">
        <v>2917</v>
      </c>
      <c r="AI25" s="114" t="s">
        <v>151</v>
      </c>
      <c r="AJ25" s="132" t="s">
        <v>3124</v>
      </c>
      <c r="AK25" s="132" t="s">
        <v>7</v>
      </c>
    </row>
    <row r="26" spans="1:37" s="114" customFormat="1" x14ac:dyDescent="0.35">
      <c r="A26" s="114">
        <v>85</v>
      </c>
      <c r="B26" s="114" t="s">
        <v>708</v>
      </c>
      <c r="F26" s="111" t="s">
        <v>706</v>
      </c>
      <c r="G26" s="111" t="s">
        <v>142</v>
      </c>
      <c r="H26" s="111" t="s">
        <v>705</v>
      </c>
      <c r="I26" s="111" t="b">
        <v>0</v>
      </c>
      <c r="J26" s="114" t="s">
        <v>147</v>
      </c>
      <c r="K26" s="112" t="s">
        <v>411</v>
      </c>
      <c r="L26" s="111" t="s">
        <v>707</v>
      </c>
      <c r="M26" s="112">
        <f t="shared" si="0"/>
        <v>4.99</v>
      </c>
      <c r="N26" s="114">
        <f t="shared" si="1"/>
        <v>648</v>
      </c>
      <c r="O26" s="119">
        <f t="shared" si="2"/>
        <v>3233.52</v>
      </c>
      <c r="P26" s="119">
        <f t="shared" si="3"/>
        <v>155.51999999999998</v>
      </c>
      <c r="Q26" s="120">
        <f t="shared" si="4"/>
        <v>4.8096192384769532E-2</v>
      </c>
      <c r="R26" s="114" t="str">
        <f t="shared" si="5"/>
        <v>0-10%</v>
      </c>
      <c r="S26" s="113">
        <f t="shared" si="6"/>
        <v>3078</v>
      </c>
      <c r="T26" s="113">
        <f t="shared" si="7"/>
        <v>4.75</v>
      </c>
      <c r="U26" s="114" t="s">
        <v>709</v>
      </c>
      <c r="V26" s="114" t="s">
        <v>150</v>
      </c>
      <c r="W26" s="121"/>
      <c r="X26" s="132">
        <v>4.75</v>
      </c>
      <c r="Z26" s="114">
        <v>0</v>
      </c>
      <c r="AA26" s="114" t="s">
        <v>213</v>
      </c>
      <c r="AB26" s="114">
        <v>1</v>
      </c>
      <c r="AC26" s="114" t="s">
        <v>171</v>
      </c>
      <c r="AD26" s="114" t="s">
        <v>709</v>
      </c>
      <c r="AE26" s="114" t="s">
        <v>2980</v>
      </c>
      <c r="AF26" s="114" t="s">
        <v>119</v>
      </c>
      <c r="AG26" s="114" t="s">
        <v>2967</v>
      </c>
      <c r="AH26" s="114" t="s">
        <v>2903</v>
      </c>
      <c r="AI26" s="114" t="s">
        <v>3130</v>
      </c>
      <c r="AJ26" s="132" t="s">
        <v>3124</v>
      </c>
      <c r="AK26" s="132" t="s">
        <v>7</v>
      </c>
    </row>
    <row r="27" spans="1:37" s="114" customFormat="1" x14ac:dyDescent="0.35">
      <c r="A27" s="114">
        <v>92</v>
      </c>
      <c r="B27" s="114" t="s">
        <v>745</v>
      </c>
      <c r="F27" s="111" t="s">
        <v>743</v>
      </c>
      <c r="G27" s="111" t="s">
        <v>142</v>
      </c>
      <c r="H27" s="111" t="s">
        <v>742</v>
      </c>
      <c r="I27" s="111" t="b">
        <v>0</v>
      </c>
      <c r="J27" s="114" t="s">
        <v>147</v>
      </c>
      <c r="K27" s="112" t="s">
        <v>744</v>
      </c>
      <c r="L27" s="111" t="s">
        <v>392</v>
      </c>
      <c r="M27" s="112">
        <f t="shared" si="0"/>
        <v>273.74</v>
      </c>
      <c r="N27" s="114">
        <f t="shared" si="1"/>
        <v>11</v>
      </c>
      <c r="O27" s="119">
        <f t="shared" si="2"/>
        <v>3011.1400000000003</v>
      </c>
      <c r="P27" s="119">
        <f t="shared" si="3"/>
        <v>-882.08999999999969</v>
      </c>
      <c r="Q27" s="120">
        <f t="shared" si="4"/>
        <v>-0.29294220793453629</v>
      </c>
      <c r="R27" s="114" t="str">
        <f t="shared" si="5"/>
        <v>Negative</v>
      </c>
      <c r="S27" s="113">
        <f t="shared" si="6"/>
        <v>3893.23</v>
      </c>
      <c r="T27" s="113">
        <f t="shared" si="7"/>
        <v>353.93</v>
      </c>
      <c r="U27" s="114" t="s">
        <v>746</v>
      </c>
      <c r="V27" s="114" t="s">
        <v>150</v>
      </c>
      <c r="W27" s="121"/>
      <c r="X27" s="132">
        <v>353.93</v>
      </c>
      <c r="Z27" s="114">
        <v>0</v>
      </c>
      <c r="AA27" s="114" t="s">
        <v>154</v>
      </c>
      <c r="AB27" s="114">
        <v>1</v>
      </c>
      <c r="AC27" s="114" t="s">
        <v>341</v>
      </c>
      <c r="AD27" s="114">
        <v>3101366</v>
      </c>
      <c r="AE27" s="114" t="s">
        <v>3058</v>
      </c>
      <c r="AF27" s="114" t="s">
        <v>119</v>
      </c>
      <c r="AG27" s="114" t="s">
        <v>3050</v>
      </c>
      <c r="AH27" s="114" t="s">
        <v>3049</v>
      </c>
      <c r="AI27" s="114" t="s">
        <v>151</v>
      </c>
      <c r="AJ27" s="132" t="s">
        <v>3124</v>
      </c>
      <c r="AK27" s="132" t="s">
        <v>3129</v>
      </c>
    </row>
    <row r="28" spans="1:37" s="114" customFormat="1" x14ac:dyDescent="0.35">
      <c r="A28" s="114">
        <v>97</v>
      </c>
      <c r="B28" s="114" t="s">
        <v>292</v>
      </c>
      <c r="F28" s="111" t="s">
        <v>772</v>
      </c>
      <c r="G28" s="111" t="s">
        <v>142</v>
      </c>
      <c r="H28" s="111" t="s">
        <v>771</v>
      </c>
      <c r="I28" s="111" t="b">
        <v>0</v>
      </c>
      <c r="J28" s="114" t="s">
        <v>147</v>
      </c>
      <c r="K28" s="112" t="s">
        <v>427</v>
      </c>
      <c r="L28" s="111" t="s">
        <v>469</v>
      </c>
      <c r="M28" s="112">
        <f t="shared" si="0"/>
        <v>8.08</v>
      </c>
      <c r="N28" s="114">
        <f t="shared" si="1"/>
        <v>360</v>
      </c>
      <c r="O28" s="119">
        <f t="shared" si="2"/>
        <v>2908.8</v>
      </c>
      <c r="P28" s="119">
        <f t="shared" si="3"/>
        <v>-284.39999999999964</v>
      </c>
      <c r="Q28" s="120">
        <f t="shared" si="4"/>
        <v>-9.7772277227722637E-2</v>
      </c>
      <c r="R28" s="114" t="str">
        <f t="shared" si="5"/>
        <v>Negative</v>
      </c>
      <c r="S28" s="113">
        <f t="shared" si="6"/>
        <v>3193.2</v>
      </c>
      <c r="T28" s="113">
        <f t="shared" si="7"/>
        <v>8.8699999999999992</v>
      </c>
      <c r="U28" s="114" t="s">
        <v>773</v>
      </c>
      <c r="V28" s="114" t="s">
        <v>150</v>
      </c>
      <c r="W28" s="121"/>
      <c r="X28" s="132">
        <v>8.8699999999999992</v>
      </c>
      <c r="Z28" s="114">
        <v>0</v>
      </c>
      <c r="AA28" s="114" t="s">
        <v>154</v>
      </c>
      <c r="AB28" s="114">
        <v>1</v>
      </c>
      <c r="AC28" s="114" t="s">
        <v>193</v>
      </c>
      <c r="AD28" s="114">
        <v>11872</v>
      </c>
      <c r="AE28" s="114" t="s">
        <v>2872</v>
      </c>
      <c r="AF28" s="114" t="s">
        <v>119</v>
      </c>
      <c r="AG28" s="114" t="s">
        <v>2874</v>
      </c>
      <c r="AH28" s="114" t="s">
        <v>2873</v>
      </c>
      <c r="AI28" s="114" t="s">
        <v>3130</v>
      </c>
      <c r="AJ28" s="132" t="s">
        <v>3124</v>
      </c>
      <c r="AK28" s="132" t="s">
        <v>3129</v>
      </c>
    </row>
    <row r="29" spans="1:37" s="114" customFormat="1" x14ac:dyDescent="0.35">
      <c r="A29" s="114">
        <v>99</v>
      </c>
      <c r="B29" s="114" t="s">
        <v>786</v>
      </c>
      <c r="F29" s="111" t="s">
        <v>783</v>
      </c>
      <c r="G29" s="111" t="s">
        <v>142</v>
      </c>
      <c r="H29" s="111" t="s">
        <v>782</v>
      </c>
      <c r="I29" s="111" t="b">
        <v>0</v>
      </c>
      <c r="J29" s="114" t="s">
        <v>147</v>
      </c>
      <c r="K29" s="112" t="s">
        <v>785</v>
      </c>
      <c r="L29" s="111" t="s">
        <v>784</v>
      </c>
      <c r="M29" s="112">
        <f t="shared" si="0"/>
        <v>721.91</v>
      </c>
      <c r="N29" s="114">
        <f t="shared" si="1"/>
        <v>4</v>
      </c>
      <c r="O29" s="119">
        <f t="shared" si="2"/>
        <v>2887.64</v>
      </c>
      <c r="P29" s="119">
        <f t="shared" si="3"/>
        <v>1161.9199999999998</v>
      </c>
      <c r="Q29" s="120">
        <f t="shared" si="4"/>
        <v>0.40237702760731942</v>
      </c>
      <c r="R29" s="114" t="str">
        <f t="shared" si="5"/>
        <v>30+%</v>
      </c>
      <c r="S29" s="113">
        <f t="shared" si="6"/>
        <v>1725.72</v>
      </c>
      <c r="T29" s="113">
        <f t="shared" si="7"/>
        <v>431.43</v>
      </c>
      <c r="U29" s="114" t="s">
        <v>280</v>
      </c>
      <c r="V29" s="114" t="s">
        <v>273</v>
      </c>
      <c r="W29" s="121"/>
      <c r="X29" s="132">
        <v>431.43</v>
      </c>
      <c r="Z29" s="114">
        <v>0</v>
      </c>
      <c r="AA29" s="114" t="s">
        <v>154</v>
      </c>
      <c r="AB29" s="114">
        <v>1</v>
      </c>
      <c r="AC29" s="114" t="s">
        <v>259</v>
      </c>
      <c r="AD29" s="114" t="s">
        <v>281</v>
      </c>
      <c r="AE29" s="114" t="s">
        <v>3117</v>
      </c>
      <c r="AF29" s="114" t="s">
        <v>119</v>
      </c>
      <c r="AG29" s="114" t="s">
        <v>2945</v>
      </c>
      <c r="AH29" s="114" t="s">
        <v>2944</v>
      </c>
      <c r="AI29" s="114" t="s">
        <v>151</v>
      </c>
      <c r="AJ29" s="132" t="s">
        <v>3124</v>
      </c>
      <c r="AK29" s="132" t="s">
        <v>7</v>
      </c>
    </row>
    <row r="30" spans="1:37" s="114" customFormat="1" ht="29" x14ac:dyDescent="0.35">
      <c r="A30" s="114">
        <v>104</v>
      </c>
      <c r="B30" s="114" t="s">
        <v>813</v>
      </c>
      <c r="F30" s="111" t="s">
        <v>810</v>
      </c>
      <c r="G30" s="111" t="s">
        <v>142</v>
      </c>
      <c r="H30" s="111" t="s">
        <v>809</v>
      </c>
      <c r="I30" s="111" t="b">
        <v>0</v>
      </c>
      <c r="J30" s="114" t="s">
        <v>147</v>
      </c>
      <c r="K30" s="112" t="s">
        <v>812</v>
      </c>
      <c r="L30" s="111" t="s">
        <v>811</v>
      </c>
      <c r="M30" s="112">
        <f t="shared" si="0"/>
        <v>20.85</v>
      </c>
      <c r="N30" s="114">
        <f t="shared" si="1"/>
        <v>132</v>
      </c>
      <c r="O30" s="119">
        <f t="shared" si="2"/>
        <v>2752.2000000000003</v>
      </c>
      <c r="P30" s="119">
        <f t="shared" si="3"/>
        <v>137.2800000000002</v>
      </c>
      <c r="Q30" s="120">
        <f t="shared" si="4"/>
        <v>4.988009592326146E-2</v>
      </c>
      <c r="R30" s="114" t="str">
        <f t="shared" si="5"/>
        <v>0-10%</v>
      </c>
      <c r="S30" s="113">
        <f t="shared" si="6"/>
        <v>2614.92</v>
      </c>
      <c r="T30" s="113">
        <f t="shared" si="7"/>
        <v>19.810000000000002</v>
      </c>
      <c r="U30" s="114" t="s">
        <v>814</v>
      </c>
      <c r="V30" s="114" t="s">
        <v>815</v>
      </c>
      <c r="W30" s="121"/>
      <c r="X30" s="132">
        <v>19.810000000000002</v>
      </c>
      <c r="Z30" s="114">
        <v>0</v>
      </c>
      <c r="AA30" s="114" t="s">
        <v>154</v>
      </c>
      <c r="AB30" s="114">
        <v>1</v>
      </c>
      <c r="AC30" s="114" t="s">
        <v>817</v>
      </c>
      <c r="AD30" s="114" t="s">
        <v>816</v>
      </c>
      <c r="AE30" s="114" t="s">
        <v>3073</v>
      </c>
      <c r="AF30" s="114" t="s">
        <v>120</v>
      </c>
      <c r="AG30" s="114" t="s">
        <v>3072</v>
      </c>
      <c r="AH30" s="114" t="s">
        <v>3071</v>
      </c>
      <c r="AI30" s="114" t="s">
        <v>151</v>
      </c>
      <c r="AJ30" s="132" t="s">
        <v>3124</v>
      </c>
      <c r="AK30" s="132" t="s">
        <v>7</v>
      </c>
    </row>
    <row r="31" spans="1:37" s="114" customFormat="1" x14ac:dyDescent="0.35">
      <c r="A31" s="114">
        <v>106</v>
      </c>
      <c r="B31" s="114" t="s">
        <v>827</v>
      </c>
      <c r="F31" s="111" t="s">
        <v>825</v>
      </c>
      <c r="G31" s="111" t="s">
        <v>142</v>
      </c>
      <c r="H31" s="111" t="s">
        <v>824</v>
      </c>
      <c r="I31" s="111" t="b">
        <v>0</v>
      </c>
      <c r="J31" s="114" t="s">
        <v>147</v>
      </c>
      <c r="K31" s="112" t="s">
        <v>826</v>
      </c>
      <c r="L31" s="111" t="s">
        <v>797</v>
      </c>
      <c r="M31" s="112">
        <f t="shared" si="0"/>
        <v>96.17</v>
      </c>
      <c r="N31" s="114">
        <f t="shared" si="1"/>
        <v>28</v>
      </c>
      <c r="O31" s="119">
        <f t="shared" si="2"/>
        <v>2692.76</v>
      </c>
      <c r="P31" s="119">
        <f t="shared" si="3"/>
        <v>685.72</v>
      </c>
      <c r="Q31" s="120">
        <f t="shared" si="4"/>
        <v>0.2546532182593324</v>
      </c>
      <c r="R31" s="114" t="str">
        <f t="shared" si="5"/>
        <v>20-30%</v>
      </c>
      <c r="S31" s="113">
        <f t="shared" si="6"/>
        <v>2007.0400000000002</v>
      </c>
      <c r="T31" s="113">
        <f t="shared" si="7"/>
        <v>71.680000000000007</v>
      </c>
      <c r="U31" s="114" t="s">
        <v>828</v>
      </c>
      <c r="V31" s="114" t="s">
        <v>150</v>
      </c>
      <c r="W31" s="121"/>
      <c r="X31" s="132">
        <v>71.680000000000007</v>
      </c>
      <c r="Z31" s="114">
        <v>0</v>
      </c>
      <c r="AA31" s="114" t="s">
        <v>154</v>
      </c>
      <c r="AB31" s="114">
        <v>1</v>
      </c>
      <c r="AC31" s="114" t="s">
        <v>274</v>
      </c>
      <c r="AD31" s="114">
        <v>10022328</v>
      </c>
      <c r="AE31" s="114" t="s">
        <v>3025</v>
      </c>
      <c r="AF31" s="114" t="s">
        <v>119</v>
      </c>
      <c r="AG31" s="114" t="s">
        <v>2949</v>
      </c>
      <c r="AH31" s="114" t="s">
        <v>2944</v>
      </c>
      <c r="AI31" s="114" t="s">
        <v>151</v>
      </c>
      <c r="AJ31" s="132" t="s">
        <v>3124</v>
      </c>
      <c r="AK31" s="132" t="s">
        <v>7</v>
      </c>
    </row>
    <row r="32" spans="1:37" s="114" customFormat="1" x14ac:dyDescent="0.35">
      <c r="A32" s="114">
        <v>110</v>
      </c>
      <c r="B32" s="114" t="s">
        <v>852</v>
      </c>
      <c r="F32" s="111" t="s">
        <v>850</v>
      </c>
      <c r="G32" s="111" t="s">
        <v>142</v>
      </c>
      <c r="H32" s="111" t="s">
        <v>849</v>
      </c>
      <c r="I32" s="111" t="b">
        <v>0</v>
      </c>
      <c r="J32" s="114" t="s">
        <v>147</v>
      </c>
      <c r="K32" s="112" t="s">
        <v>851</v>
      </c>
      <c r="L32" s="111" t="s">
        <v>610</v>
      </c>
      <c r="M32" s="112">
        <f t="shared" si="0"/>
        <v>431.7</v>
      </c>
      <c r="N32" s="114">
        <f t="shared" si="1"/>
        <v>6</v>
      </c>
      <c r="O32" s="119">
        <f t="shared" si="2"/>
        <v>2590.1999999999998</v>
      </c>
      <c r="P32" s="119">
        <f t="shared" si="3"/>
        <v>1.6199999999998909</v>
      </c>
      <c r="Q32" s="120">
        <f t="shared" si="4"/>
        <v>6.2543432939537135E-4</v>
      </c>
      <c r="R32" s="114" t="str">
        <f t="shared" si="5"/>
        <v>0-10%</v>
      </c>
      <c r="S32" s="113">
        <f t="shared" si="6"/>
        <v>2588.58</v>
      </c>
      <c r="T32" s="113">
        <f t="shared" si="7"/>
        <v>431.43</v>
      </c>
      <c r="U32" s="114" t="s">
        <v>280</v>
      </c>
      <c r="V32" s="114" t="s">
        <v>273</v>
      </c>
      <c r="W32" s="121"/>
      <c r="X32" s="132">
        <v>431.43</v>
      </c>
      <c r="Z32" s="114">
        <v>0</v>
      </c>
      <c r="AA32" s="114" t="s">
        <v>154</v>
      </c>
      <c r="AB32" s="114">
        <v>1</v>
      </c>
      <c r="AC32" s="114" t="s">
        <v>259</v>
      </c>
      <c r="AD32" s="114" t="s">
        <v>281</v>
      </c>
      <c r="AE32" s="114" t="s">
        <v>3117</v>
      </c>
      <c r="AF32" s="114" t="s">
        <v>119</v>
      </c>
      <c r="AG32" s="114" t="s">
        <v>2945</v>
      </c>
      <c r="AH32" s="114" t="s">
        <v>2944</v>
      </c>
      <c r="AI32" s="114" t="s">
        <v>151</v>
      </c>
      <c r="AJ32" s="132" t="s">
        <v>3124</v>
      </c>
      <c r="AK32" s="132" t="s">
        <v>7</v>
      </c>
    </row>
    <row r="33" spans="1:37" s="114" customFormat="1" x14ac:dyDescent="0.35">
      <c r="A33" s="114">
        <v>111</v>
      </c>
      <c r="B33" s="114" t="s">
        <v>856</v>
      </c>
      <c r="F33" s="111" t="s">
        <v>854</v>
      </c>
      <c r="G33" s="111" t="s">
        <v>142</v>
      </c>
      <c r="H33" s="111" t="s">
        <v>853</v>
      </c>
      <c r="I33" s="111" t="b">
        <v>0</v>
      </c>
      <c r="J33" s="114" t="s">
        <v>147</v>
      </c>
      <c r="K33" s="112" t="s">
        <v>855</v>
      </c>
      <c r="L33" s="111" t="s">
        <v>145</v>
      </c>
      <c r="M33" s="112">
        <f t="shared" si="0"/>
        <v>17.829999999999998</v>
      </c>
      <c r="N33" s="114">
        <f t="shared" si="1"/>
        <v>144</v>
      </c>
      <c r="O33" s="119">
        <f t="shared" si="2"/>
        <v>2567.5199999999995</v>
      </c>
      <c r="P33" s="119">
        <f t="shared" si="3"/>
        <v>875.51999999999953</v>
      </c>
      <c r="Q33" s="120">
        <f t="shared" si="4"/>
        <v>0.34099831744251252</v>
      </c>
      <c r="R33" s="114" t="str">
        <f t="shared" si="5"/>
        <v>30+%</v>
      </c>
      <c r="S33" s="113">
        <f t="shared" si="6"/>
        <v>1692</v>
      </c>
      <c r="T33" s="113">
        <f t="shared" si="7"/>
        <v>11.75</v>
      </c>
      <c r="U33" s="114" t="s">
        <v>618</v>
      </c>
      <c r="V33" s="114" t="s">
        <v>150</v>
      </c>
      <c r="W33" s="121"/>
      <c r="X33" s="132">
        <v>11.75</v>
      </c>
      <c r="Z33" s="114">
        <v>0</v>
      </c>
      <c r="AA33" s="114" t="s">
        <v>213</v>
      </c>
      <c r="AB33" s="114">
        <v>1</v>
      </c>
      <c r="AC33" s="114" t="s">
        <v>171</v>
      </c>
      <c r="AD33" s="114" t="s">
        <v>618</v>
      </c>
      <c r="AE33" s="114" t="s">
        <v>2971</v>
      </c>
      <c r="AF33" s="114" t="s">
        <v>119</v>
      </c>
      <c r="AG33" s="114" t="s">
        <v>2972</v>
      </c>
      <c r="AH33" s="114" t="s">
        <v>2903</v>
      </c>
      <c r="AI33" s="114" t="s">
        <v>3130</v>
      </c>
      <c r="AJ33" s="132" t="s">
        <v>3124</v>
      </c>
      <c r="AK33" s="132" t="s">
        <v>7</v>
      </c>
    </row>
    <row r="34" spans="1:37" s="114" customFormat="1" x14ac:dyDescent="0.35">
      <c r="A34" s="114">
        <v>113</v>
      </c>
      <c r="B34" s="114" t="s">
        <v>868</v>
      </c>
      <c r="F34" s="111" t="s">
        <v>865</v>
      </c>
      <c r="G34" s="111" t="s">
        <v>142</v>
      </c>
      <c r="H34" s="111" t="s">
        <v>864</v>
      </c>
      <c r="I34" s="111" t="b">
        <v>0</v>
      </c>
      <c r="J34" s="114" t="s">
        <v>147</v>
      </c>
      <c r="K34" s="112" t="s">
        <v>867</v>
      </c>
      <c r="L34" s="111" t="s">
        <v>866</v>
      </c>
      <c r="M34" s="112">
        <f t="shared" ref="M34:M65" si="8">IFERROR(IF(A34="","",K34/J34)," ")</f>
        <v>315.27999999999997</v>
      </c>
      <c r="N34" s="114">
        <f t="shared" ref="N34:N65" si="9">IFERROR(IF(A34="","",J34*L34)," ")</f>
        <v>8</v>
      </c>
      <c r="O34" s="119">
        <f t="shared" ref="O34:O65" si="10">IFERROR(M34*N34," ")</f>
        <v>2522.2399999999998</v>
      </c>
      <c r="P34" s="119">
        <f t="shared" ref="P34:P65" si="11">IFERROR(IF(A34="","",O34-S34)," ")</f>
        <v>1151.5999999999997</v>
      </c>
      <c r="Q34" s="120">
        <f t="shared" ref="Q34:Q65" si="12">IFERROR(IF(A34="","",P34/O34)," ")</f>
        <v>0.45657827962446074</v>
      </c>
      <c r="R34" s="114" t="str">
        <f t="shared" ref="R34:R65" si="13">IFERROR(IF(A34="","",(IF(Q34&lt;0,"Negative",IF(Q34=0,"Same",IF(Q34&gt;0.3,"30+%",IF(Q34&gt;0.2,"20-30%",IF(Q34&gt;0.1,"10-20%",IF(Q34&lt;=0.1,"0-10%"))))))))," ")</f>
        <v>30+%</v>
      </c>
      <c r="S34" s="113">
        <f t="shared" ref="S34:S65" si="14">IFERROR(IF(A34="","",T34*N34)," ")</f>
        <v>1370.64</v>
      </c>
      <c r="T34" s="113">
        <f t="shared" si="7"/>
        <v>171.33</v>
      </c>
      <c r="U34" s="114" t="s">
        <v>869</v>
      </c>
      <c r="V34" s="114" t="s">
        <v>150</v>
      </c>
      <c r="W34" s="121"/>
      <c r="X34" s="132">
        <v>171.33</v>
      </c>
      <c r="Z34" s="114">
        <v>0</v>
      </c>
      <c r="AA34" s="114" t="s">
        <v>154</v>
      </c>
      <c r="AB34" s="114">
        <v>1</v>
      </c>
      <c r="AC34" s="114" t="s">
        <v>171</v>
      </c>
      <c r="AD34" s="114" t="s">
        <v>869</v>
      </c>
      <c r="AE34" s="114" t="s">
        <v>3014</v>
      </c>
      <c r="AF34" s="114" t="s">
        <v>107</v>
      </c>
      <c r="AG34" s="114" t="s">
        <v>3016</v>
      </c>
      <c r="AH34" s="114" t="s">
        <v>3015</v>
      </c>
      <c r="AI34" s="114" t="s">
        <v>151</v>
      </c>
      <c r="AJ34" s="132" t="s">
        <v>3124</v>
      </c>
      <c r="AK34" s="132" t="s">
        <v>7</v>
      </c>
    </row>
    <row r="35" spans="1:37" s="114" customFormat="1" x14ac:dyDescent="0.35">
      <c r="A35" s="114">
        <v>115</v>
      </c>
      <c r="B35" s="114" t="s">
        <v>329</v>
      </c>
      <c r="F35" s="111" t="s">
        <v>878</v>
      </c>
      <c r="G35" s="111" t="s">
        <v>142</v>
      </c>
      <c r="H35" s="111" t="s">
        <v>877</v>
      </c>
      <c r="I35" s="111" t="b">
        <v>0</v>
      </c>
      <c r="J35" s="114" t="s">
        <v>147</v>
      </c>
      <c r="K35" s="112" t="s">
        <v>880</v>
      </c>
      <c r="L35" s="111" t="s">
        <v>879</v>
      </c>
      <c r="M35" s="112">
        <f t="shared" si="8"/>
        <v>1.77</v>
      </c>
      <c r="N35" s="114">
        <f t="shared" si="9"/>
        <v>1350</v>
      </c>
      <c r="O35" s="119">
        <f t="shared" si="10"/>
        <v>2389.5</v>
      </c>
      <c r="P35" s="119">
        <f t="shared" si="11"/>
        <v>-720.89999999999964</v>
      </c>
      <c r="Q35" s="120">
        <f t="shared" si="12"/>
        <v>-0.30169491525423714</v>
      </c>
      <c r="R35" s="114" t="str">
        <f t="shared" si="13"/>
        <v>Negative</v>
      </c>
      <c r="S35" s="113">
        <f t="shared" si="14"/>
        <v>3110.3999999999996</v>
      </c>
      <c r="T35" s="113">
        <f t="shared" si="7"/>
        <v>2.3039999999999998</v>
      </c>
      <c r="U35" s="114" t="s">
        <v>881</v>
      </c>
      <c r="V35" s="114" t="s">
        <v>161</v>
      </c>
      <c r="W35" s="121"/>
      <c r="X35" s="132">
        <v>23.04</v>
      </c>
      <c r="Z35" s="114">
        <v>0</v>
      </c>
      <c r="AA35" s="114" t="s">
        <v>172</v>
      </c>
      <c r="AB35" s="114">
        <v>10</v>
      </c>
      <c r="AC35" s="114" t="s">
        <v>164</v>
      </c>
      <c r="AD35" s="114" t="s">
        <v>882</v>
      </c>
      <c r="AE35" s="114" t="s">
        <v>3031</v>
      </c>
      <c r="AF35" s="114" t="s">
        <v>119</v>
      </c>
      <c r="AG35" s="114" t="s">
        <v>2897</v>
      </c>
      <c r="AH35" s="114" t="s">
        <v>2851</v>
      </c>
      <c r="AI35" s="114" t="s">
        <v>151</v>
      </c>
      <c r="AJ35" s="132" t="s">
        <v>3124</v>
      </c>
      <c r="AK35" s="132" t="s">
        <v>3129</v>
      </c>
    </row>
    <row r="36" spans="1:37" s="114" customFormat="1" x14ac:dyDescent="0.35">
      <c r="A36" s="114">
        <v>117</v>
      </c>
      <c r="B36" s="114" t="s">
        <v>686</v>
      </c>
      <c r="F36" s="111" t="s">
        <v>891</v>
      </c>
      <c r="G36" s="111" t="s">
        <v>142</v>
      </c>
      <c r="H36" s="111" t="s">
        <v>890</v>
      </c>
      <c r="I36" s="111" t="b">
        <v>0</v>
      </c>
      <c r="J36" s="114" t="s">
        <v>147</v>
      </c>
      <c r="K36" s="112" t="s">
        <v>893</v>
      </c>
      <c r="L36" s="111" t="s">
        <v>892</v>
      </c>
      <c r="M36" s="112">
        <f t="shared" si="8"/>
        <v>3.03</v>
      </c>
      <c r="N36" s="114">
        <f t="shared" si="9"/>
        <v>780</v>
      </c>
      <c r="O36" s="119">
        <f t="shared" si="10"/>
        <v>2363.3999999999996</v>
      </c>
      <c r="P36" s="119">
        <f t="shared" si="11"/>
        <v>-967.20000000000073</v>
      </c>
      <c r="Q36" s="120">
        <f t="shared" si="12"/>
        <v>-0.40924092409240959</v>
      </c>
      <c r="R36" s="114" t="str">
        <f t="shared" si="13"/>
        <v>Negative</v>
      </c>
      <c r="S36" s="113">
        <f t="shared" si="14"/>
        <v>3330.6000000000004</v>
      </c>
      <c r="T36" s="113">
        <f t="shared" si="7"/>
        <v>4.2700000000000005</v>
      </c>
      <c r="U36" s="114" t="s">
        <v>894</v>
      </c>
      <c r="V36" s="114" t="s">
        <v>161</v>
      </c>
      <c r="W36" s="121"/>
      <c r="X36" s="132">
        <v>51.24</v>
      </c>
      <c r="Z36" s="114">
        <v>0</v>
      </c>
      <c r="AA36" s="114" t="s">
        <v>172</v>
      </c>
      <c r="AB36" s="114">
        <v>12</v>
      </c>
      <c r="AC36" s="114" t="s">
        <v>669</v>
      </c>
      <c r="AD36" s="114" t="s">
        <v>895</v>
      </c>
      <c r="AE36" s="114" t="s">
        <v>2900</v>
      </c>
      <c r="AF36" s="114" t="s">
        <v>119</v>
      </c>
      <c r="AG36" s="114" t="s">
        <v>2901</v>
      </c>
      <c r="AH36" s="114" t="s">
        <v>2851</v>
      </c>
      <c r="AI36" s="114" t="s">
        <v>151</v>
      </c>
      <c r="AJ36" s="132" t="s">
        <v>3124</v>
      </c>
      <c r="AK36" s="132" t="s">
        <v>3129</v>
      </c>
    </row>
    <row r="37" spans="1:37" s="114" customFormat="1" x14ac:dyDescent="0.35">
      <c r="A37" s="114">
        <v>118</v>
      </c>
      <c r="B37" s="114" t="s">
        <v>899</v>
      </c>
      <c r="F37" s="111" t="s">
        <v>897</v>
      </c>
      <c r="G37" s="111" t="s">
        <v>142</v>
      </c>
      <c r="H37" s="111" t="s">
        <v>896</v>
      </c>
      <c r="I37" s="111" t="b">
        <v>0</v>
      </c>
      <c r="J37" s="114" t="s">
        <v>147</v>
      </c>
      <c r="K37" s="112" t="s">
        <v>807</v>
      </c>
      <c r="L37" s="111" t="s">
        <v>898</v>
      </c>
      <c r="M37" s="112">
        <f t="shared" si="8"/>
        <v>86.97</v>
      </c>
      <c r="N37" s="114">
        <f t="shared" si="9"/>
        <v>27</v>
      </c>
      <c r="O37" s="119">
        <f t="shared" si="10"/>
        <v>2348.19</v>
      </c>
      <c r="P37" s="119">
        <f t="shared" si="11"/>
        <v>412.82999999999993</v>
      </c>
      <c r="Q37" s="120">
        <f t="shared" si="12"/>
        <v>0.17580774979878117</v>
      </c>
      <c r="R37" s="114" t="str">
        <f t="shared" si="13"/>
        <v>10-20%</v>
      </c>
      <c r="S37" s="113">
        <f t="shared" si="14"/>
        <v>1935.3600000000001</v>
      </c>
      <c r="T37" s="113">
        <f t="shared" si="7"/>
        <v>71.680000000000007</v>
      </c>
      <c r="U37" s="114" t="s">
        <v>900</v>
      </c>
      <c r="V37" s="114" t="s">
        <v>150</v>
      </c>
      <c r="W37" s="121"/>
      <c r="X37" s="132">
        <v>71.680000000000007</v>
      </c>
      <c r="Z37" s="114">
        <v>0</v>
      </c>
      <c r="AA37" s="114" t="s">
        <v>154</v>
      </c>
      <c r="AB37" s="114">
        <v>1</v>
      </c>
      <c r="AC37" s="114" t="s">
        <v>274</v>
      </c>
      <c r="AD37" s="114">
        <v>10022328</v>
      </c>
      <c r="AE37" s="114" t="s">
        <v>3022</v>
      </c>
      <c r="AF37" s="114" t="s">
        <v>119</v>
      </c>
      <c r="AG37" s="114" t="s">
        <v>2949</v>
      </c>
      <c r="AH37" s="114" t="s">
        <v>2944</v>
      </c>
      <c r="AI37" s="114" t="s">
        <v>151</v>
      </c>
      <c r="AJ37" s="132" t="s">
        <v>3124</v>
      </c>
      <c r="AK37" s="132" t="s">
        <v>7</v>
      </c>
    </row>
    <row r="38" spans="1:37" s="114" customFormat="1" x14ac:dyDescent="0.35">
      <c r="A38" s="114">
        <v>119</v>
      </c>
      <c r="B38" s="114" t="s">
        <v>904</v>
      </c>
      <c r="F38" s="111" t="s">
        <v>902</v>
      </c>
      <c r="G38" s="111" t="s">
        <v>142</v>
      </c>
      <c r="H38" s="111" t="s">
        <v>901</v>
      </c>
      <c r="I38" s="111" t="b">
        <v>0</v>
      </c>
      <c r="J38" s="114" t="s">
        <v>147</v>
      </c>
      <c r="K38" s="112" t="s">
        <v>903</v>
      </c>
      <c r="L38" s="111" t="s">
        <v>610</v>
      </c>
      <c r="M38" s="112">
        <f t="shared" si="8"/>
        <v>391.18</v>
      </c>
      <c r="N38" s="114">
        <f t="shared" si="9"/>
        <v>6</v>
      </c>
      <c r="O38" s="119">
        <f t="shared" si="10"/>
        <v>2347.08</v>
      </c>
      <c r="P38" s="119">
        <f t="shared" si="11"/>
        <v>-241.5</v>
      </c>
      <c r="Q38" s="120">
        <f t="shared" si="12"/>
        <v>-0.102893808476916</v>
      </c>
      <c r="R38" s="114" t="str">
        <f t="shared" si="13"/>
        <v>Negative</v>
      </c>
      <c r="S38" s="113">
        <f t="shared" si="14"/>
        <v>2588.58</v>
      </c>
      <c r="T38" s="113">
        <f t="shared" si="7"/>
        <v>431.43</v>
      </c>
      <c r="U38" s="114" t="s">
        <v>280</v>
      </c>
      <c r="V38" s="114" t="s">
        <v>150</v>
      </c>
      <c r="W38" s="121"/>
      <c r="X38" s="132">
        <v>431.43</v>
      </c>
      <c r="Z38" s="114">
        <v>0</v>
      </c>
      <c r="AA38" s="114" t="s">
        <v>154</v>
      </c>
      <c r="AB38" s="114">
        <v>1</v>
      </c>
      <c r="AC38" s="114" t="s">
        <v>259</v>
      </c>
      <c r="AD38" s="114" t="s">
        <v>281</v>
      </c>
      <c r="AE38" s="114" t="s">
        <v>3117</v>
      </c>
      <c r="AF38" s="114" t="s">
        <v>119</v>
      </c>
      <c r="AG38" s="114" t="s">
        <v>2945</v>
      </c>
      <c r="AH38" s="114" t="s">
        <v>2944</v>
      </c>
      <c r="AI38" s="114" t="s">
        <v>151</v>
      </c>
      <c r="AJ38" s="132" t="s">
        <v>3124</v>
      </c>
      <c r="AK38" s="132" t="s">
        <v>3129</v>
      </c>
    </row>
    <row r="39" spans="1:37" s="114" customFormat="1" x14ac:dyDescent="0.35">
      <c r="A39" s="114">
        <v>120</v>
      </c>
      <c r="B39" s="114" t="s">
        <v>908</v>
      </c>
      <c r="F39" s="111" t="s">
        <v>906</v>
      </c>
      <c r="G39" s="111" t="s">
        <v>142</v>
      </c>
      <c r="H39" s="111" t="s">
        <v>905</v>
      </c>
      <c r="I39" s="111" t="b">
        <v>0</v>
      </c>
      <c r="J39" s="114" t="s">
        <v>147</v>
      </c>
      <c r="K39" s="112" t="s">
        <v>907</v>
      </c>
      <c r="L39" s="111" t="s">
        <v>610</v>
      </c>
      <c r="M39" s="112">
        <f t="shared" si="8"/>
        <v>390.45</v>
      </c>
      <c r="N39" s="114">
        <f t="shared" si="9"/>
        <v>6</v>
      </c>
      <c r="O39" s="119">
        <f t="shared" si="10"/>
        <v>2342.6999999999998</v>
      </c>
      <c r="P39" s="119">
        <f t="shared" si="11"/>
        <v>-520.38000000000011</v>
      </c>
      <c r="Q39" s="120">
        <f t="shared" si="12"/>
        <v>-0.22212831348444109</v>
      </c>
      <c r="R39" s="114" t="str">
        <f t="shared" si="13"/>
        <v>Negative</v>
      </c>
      <c r="S39" s="113">
        <f t="shared" si="14"/>
        <v>2863.08</v>
      </c>
      <c r="T39" s="113">
        <f t="shared" si="7"/>
        <v>477.18</v>
      </c>
      <c r="U39" s="114" t="s">
        <v>909</v>
      </c>
      <c r="V39" s="114" t="s">
        <v>150</v>
      </c>
      <c r="W39" s="121"/>
      <c r="X39" s="132">
        <v>477.18</v>
      </c>
      <c r="Z39" s="114">
        <v>0</v>
      </c>
      <c r="AA39" s="114" t="s">
        <v>154</v>
      </c>
      <c r="AB39" s="114">
        <v>1</v>
      </c>
      <c r="AC39" s="114" t="s">
        <v>259</v>
      </c>
      <c r="AD39" s="114" t="s">
        <v>910</v>
      </c>
      <c r="AE39" s="114" t="s">
        <v>3116</v>
      </c>
      <c r="AF39" s="114" t="s">
        <v>119</v>
      </c>
      <c r="AG39" s="114" t="s">
        <v>2945</v>
      </c>
      <c r="AH39" s="114" t="s">
        <v>2944</v>
      </c>
      <c r="AI39" s="114" t="s">
        <v>151</v>
      </c>
      <c r="AJ39" s="132" t="s">
        <v>3124</v>
      </c>
      <c r="AK39" s="132" t="s">
        <v>3129</v>
      </c>
    </row>
    <row r="40" spans="1:37" s="114" customFormat="1" x14ac:dyDescent="0.35">
      <c r="A40" s="114">
        <v>126</v>
      </c>
      <c r="B40" s="114" t="s">
        <v>938</v>
      </c>
      <c r="F40" s="111" t="s">
        <v>936</v>
      </c>
      <c r="G40" s="111" t="s">
        <v>142</v>
      </c>
      <c r="H40" s="111" t="s">
        <v>935</v>
      </c>
      <c r="I40" s="111" t="b">
        <v>0</v>
      </c>
      <c r="J40" s="114" t="s">
        <v>147</v>
      </c>
      <c r="K40" s="112" t="s">
        <v>937</v>
      </c>
      <c r="L40" s="111" t="s">
        <v>736</v>
      </c>
      <c r="M40" s="112">
        <f t="shared" si="8"/>
        <v>12.14</v>
      </c>
      <c r="N40" s="114">
        <f t="shared" si="9"/>
        <v>181</v>
      </c>
      <c r="O40" s="119">
        <f t="shared" si="10"/>
        <v>2197.34</v>
      </c>
      <c r="P40" s="119">
        <f t="shared" si="11"/>
        <v>-680.56</v>
      </c>
      <c r="Q40" s="120">
        <f t="shared" si="12"/>
        <v>-0.30971993410214166</v>
      </c>
      <c r="R40" s="114" t="str">
        <f t="shared" si="13"/>
        <v>Negative</v>
      </c>
      <c r="S40" s="113">
        <f t="shared" si="14"/>
        <v>2877.9</v>
      </c>
      <c r="T40" s="113">
        <f t="shared" si="7"/>
        <v>15.9</v>
      </c>
      <c r="U40" s="114" t="s">
        <v>939</v>
      </c>
      <c r="V40" s="114" t="s">
        <v>161</v>
      </c>
      <c r="W40" s="121"/>
      <c r="X40" s="132">
        <v>15.9</v>
      </c>
      <c r="Z40" s="114">
        <v>0</v>
      </c>
      <c r="AA40" s="114" t="s">
        <v>213</v>
      </c>
      <c r="AB40" s="114">
        <v>1</v>
      </c>
      <c r="AC40" s="114" t="s">
        <v>560</v>
      </c>
      <c r="AD40" s="114" t="s">
        <v>940</v>
      </c>
      <c r="AE40" s="114" t="s">
        <v>2973</v>
      </c>
      <c r="AF40" s="114" t="s">
        <v>119</v>
      </c>
      <c r="AG40" s="114" t="s">
        <v>2967</v>
      </c>
      <c r="AH40" s="114" t="s">
        <v>2903</v>
      </c>
      <c r="AI40" s="114" t="s">
        <v>3130</v>
      </c>
      <c r="AJ40" s="132" t="s">
        <v>3124</v>
      </c>
      <c r="AK40" s="132" t="s">
        <v>3129</v>
      </c>
    </row>
    <row r="41" spans="1:37" s="114" customFormat="1" x14ac:dyDescent="0.35">
      <c r="A41" s="114">
        <v>127</v>
      </c>
      <c r="B41" s="114" t="s">
        <v>944</v>
      </c>
      <c r="F41" s="111" t="s">
        <v>942</v>
      </c>
      <c r="G41" s="111" t="s">
        <v>142</v>
      </c>
      <c r="H41" s="111" t="s">
        <v>941</v>
      </c>
      <c r="I41" s="111" t="b">
        <v>0</v>
      </c>
      <c r="J41" s="114" t="s">
        <v>147</v>
      </c>
      <c r="K41" s="112" t="s">
        <v>943</v>
      </c>
      <c r="L41" s="111" t="s">
        <v>784</v>
      </c>
      <c r="M41" s="112">
        <f t="shared" si="8"/>
        <v>539.45000000000005</v>
      </c>
      <c r="N41" s="114">
        <f t="shared" si="9"/>
        <v>4</v>
      </c>
      <c r="O41" s="119">
        <f t="shared" si="10"/>
        <v>2157.8000000000002</v>
      </c>
      <c r="P41" s="119">
        <f t="shared" si="11"/>
        <v>374.40000000000009</v>
      </c>
      <c r="Q41" s="120">
        <f t="shared" si="12"/>
        <v>0.17351005653906759</v>
      </c>
      <c r="R41" s="114" t="str">
        <f t="shared" si="13"/>
        <v>10-20%</v>
      </c>
      <c r="S41" s="113">
        <f t="shared" si="14"/>
        <v>1783.4</v>
      </c>
      <c r="T41" s="113">
        <f t="shared" si="7"/>
        <v>445.85</v>
      </c>
      <c r="U41" s="114" t="s">
        <v>945</v>
      </c>
      <c r="V41" s="114" t="s">
        <v>257</v>
      </c>
      <c r="W41" s="121"/>
      <c r="X41" s="132">
        <v>445.85</v>
      </c>
      <c r="Z41" s="114">
        <v>0</v>
      </c>
      <c r="AA41" s="114" t="s">
        <v>154</v>
      </c>
      <c r="AB41" s="114">
        <v>1</v>
      </c>
      <c r="AC41" s="114" t="s">
        <v>259</v>
      </c>
      <c r="AD41" s="114" t="s">
        <v>946</v>
      </c>
      <c r="AE41" s="114" t="s">
        <v>3119</v>
      </c>
      <c r="AF41" s="114" t="s">
        <v>119</v>
      </c>
      <c r="AG41" s="114" t="s">
        <v>2945</v>
      </c>
      <c r="AH41" s="114" t="s">
        <v>2944</v>
      </c>
      <c r="AI41" s="114" t="s">
        <v>151</v>
      </c>
      <c r="AJ41" s="132" t="s">
        <v>3124</v>
      </c>
      <c r="AK41" s="132" t="s">
        <v>7</v>
      </c>
    </row>
    <row r="42" spans="1:37" s="114" customFormat="1" x14ac:dyDescent="0.35">
      <c r="A42" s="114">
        <v>128</v>
      </c>
      <c r="B42" s="114" t="s">
        <v>950</v>
      </c>
      <c r="F42" s="111" t="s">
        <v>948</v>
      </c>
      <c r="G42" s="111" t="s">
        <v>142</v>
      </c>
      <c r="H42" s="111" t="s">
        <v>947</v>
      </c>
      <c r="I42" s="111" t="b">
        <v>0</v>
      </c>
      <c r="J42" s="114" t="s">
        <v>147</v>
      </c>
      <c r="K42" s="112" t="s">
        <v>949</v>
      </c>
      <c r="L42" s="111" t="s">
        <v>784</v>
      </c>
      <c r="M42" s="112">
        <f t="shared" si="8"/>
        <v>530.30999999999995</v>
      </c>
      <c r="N42" s="114">
        <f t="shared" si="9"/>
        <v>4</v>
      </c>
      <c r="O42" s="119">
        <f t="shared" si="10"/>
        <v>2121.2399999999998</v>
      </c>
      <c r="P42" s="119">
        <f t="shared" si="11"/>
        <v>106.03999999999974</v>
      </c>
      <c r="Q42" s="120">
        <f t="shared" si="12"/>
        <v>4.9989628707736863E-2</v>
      </c>
      <c r="R42" s="114" t="str">
        <f t="shared" si="13"/>
        <v>0-10%</v>
      </c>
      <c r="S42" s="113">
        <f t="shared" si="14"/>
        <v>2015.2</v>
      </c>
      <c r="T42" s="113">
        <f t="shared" si="7"/>
        <v>503.8</v>
      </c>
      <c r="U42" s="114" t="s">
        <v>951</v>
      </c>
      <c r="V42" s="114" t="s">
        <v>161</v>
      </c>
      <c r="W42" s="121"/>
      <c r="X42" s="132">
        <v>503.8</v>
      </c>
      <c r="Z42" s="114">
        <v>0</v>
      </c>
      <c r="AA42" s="114" t="s">
        <v>154</v>
      </c>
      <c r="AB42" s="114">
        <v>1</v>
      </c>
      <c r="AC42" s="114" t="s">
        <v>953</v>
      </c>
      <c r="AD42" s="114" t="s">
        <v>952</v>
      </c>
      <c r="AE42" s="114" t="s">
        <v>3108</v>
      </c>
      <c r="AF42" s="114" t="s">
        <v>119</v>
      </c>
      <c r="AG42" s="114" t="s">
        <v>3109</v>
      </c>
      <c r="AH42" s="114" t="s">
        <v>3046</v>
      </c>
      <c r="AI42" s="114" t="s">
        <v>151</v>
      </c>
      <c r="AJ42" s="132" t="s">
        <v>3124</v>
      </c>
      <c r="AK42" s="132" t="s">
        <v>7</v>
      </c>
    </row>
    <row r="43" spans="1:37" s="114" customFormat="1" x14ac:dyDescent="0.35">
      <c r="A43" s="114">
        <v>129</v>
      </c>
      <c r="B43" s="114" t="s">
        <v>811</v>
      </c>
      <c r="F43" s="111" t="s">
        <v>955</v>
      </c>
      <c r="G43" s="111" t="s">
        <v>142</v>
      </c>
      <c r="H43" s="111" t="s">
        <v>954</v>
      </c>
      <c r="I43" s="111" t="b">
        <v>0</v>
      </c>
      <c r="J43" s="114" t="s">
        <v>147</v>
      </c>
      <c r="K43" s="112" t="s">
        <v>956</v>
      </c>
      <c r="L43" s="111" t="s">
        <v>337</v>
      </c>
      <c r="M43" s="112">
        <f t="shared" si="8"/>
        <v>418.26</v>
      </c>
      <c r="N43" s="114">
        <f t="shared" si="9"/>
        <v>5</v>
      </c>
      <c r="O43" s="119">
        <f t="shared" si="10"/>
        <v>2091.3000000000002</v>
      </c>
      <c r="P43" s="119">
        <f t="shared" si="11"/>
        <v>-961.59999999999991</v>
      </c>
      <c r="Q43" s="120">
        <f t="shared" si="12"/>
        <v>-0.45980968775402853</v>
      </c>
      <c r="R43" s="114" t="str">
        <f t="shared" si="13"/>
        <v>Negative</v>
      </c>
      <c r="S43" s="113">
        <f t="shared" si="14"/>
        <v>3052.9</v>
      </c>
      <c r="T43" s="113">
        <f t="shared" si="7"/>
        <v>610.58000000000004</v>
      </c>
      <c r="U43" s="114" t="s">
        <v>957</v>
      </c>
      <c r="V43" s="114" t="s">
        <v>150</v>
      </c>
      <c r="W43" s="121"/>
      <c r="X43" s="132">
        <v>610.58000000000004</v>
      </c>
      <c r="Z43" s="114">
        <v>0</v>
      </c>
      <c r="AA43" s="114" t="s">
        <v>154</v>
      </c>
      <c r="AB43" s="114">
        <v>1</v>
      </c>
      <c r="AC43" s="114" t="s">
        <v>341</v>
      </c>
      <c r="AD43" s="114">
        <v>1113037</v>
      </c>
      <c r="AE43" s="114" t="s">
        <v>3059</v>
      </c>
      <c r="AF43" s="114" t="s">
        <v>119</v>
      </c>
      <c r="AG43" s="114" t="s">
        <v>3052</v>
      </c>
      <c r="AH43" s="114" t="s">
        <v>3049</v>
      </c>
      <c r="AI43" s="114" t="s">
        <v>151</v>
      </c>
      <c r="AJ43" s="132" t="s">
        <v>3124</v>
      </c>
      <c r="AK43" s="132" t="s">
        <v>3129</v>
      </c>
    </row>
    <row r="44" spans="1:37" s="114" customFormat="1" x14ac:dyDescent="0.35">
      <c r="A44" s="114">
        <v>134</v>
      </c>
      <c r="B44" s="114" t="s">
        <v>986</v>
      </c>
      <c r="F44" s="111" t="s">
        <v>985</v>
      </c>
      <c r="G44" s="111" t="s">
        <v>142</v>
      </c>
      <c r="H44" s="111" t="s">
        <v>984</v>
      </c>
      <c r="I44" s="111" t="b">
        <v>0</v>
      </c>
      <c r="J44" s="114" t="s">
        <v>147</v>
      </c>
      <c r="K44" s="112" t="s">
        <v>556</v>
      </c>
      <c r="L44" s="111" t="s">
        <v>822</v>
      </c>
      <c r="M44" s="112">
        <f t="shared" si="8"/>
        <v>7.49</v>
      </c>
      <c r="N44" s="114">
        <f t="shared" si="9"/>
        <v>264</v>
      </c>
      <c r="O44" s="119">
        <f t="shared" si="10"/>
        <v>1977.3600000000001</v>
      </c>
      <c r="P44" s="119">
        <f t="shared" si="11"/>
        <v>97.680000000000064</v>
      </c>
      <c r="Q44" s="120">
        <f t="shared" si="12"/>
        <v>4.9399198931909243E-2</v>
      </c>
      <c r="R44" s="114" t="str">
        <f t="shared" si="13"/>
        <v>0-10%</v>
      </c>
      <c r="S44" s="113">
        <f t="shared" si="14"/>
        <v>1879.68</v>
      </c>
      <c r="T44" s="113">
        <f t="shared" si="7"/>
        <v>7.12</v>
      </c>
      <c r="U44" s="114" t="s">
        <v>987</v>
      </c>
      <c r="V44" s="114" t="s">
        <v>150</v>
      </c>
      <c r="W44" s="121"/>
      <c r="X44" s="132">
        <v>7.12</v>
      </c>
      <c r="Z44" s="114">
        <v>0</v>
      </c>
      <c r="AA44" s="114" t="s">
        <v>213</v>
      </c>
      <c r="AB44" s="114">
        <v>1</v>
      </c>
      <c r="AC44" s="114" t="s">
        <v>560</v>
      </c>
      <c r="AD44" s="114" t="s">
        <v>988</v>
      </c>
      <c r="AE44" s="114" t="s">
        <v>2980</v>
      </c>
      <c r="AF44" s="114" t="s">
        <v>119</v>
      </c>
      <c r="AG44" s="114" t="s">
        <v>2967</v>
      </c>
      <c r="AH44" s="114" t="s">
        <v>2903</v>
      </c>
      <c r="AI44" s="114" t="s">
        <v>151</v>
      </c>
      <c r="AJ44" s="132" t="s">
        <v>3124</v>
      </c>
      <c r="AK44" s="132" t="s">
        <v>7</v>
      </c>
    </row>
    <row r="45" spans="1:37" s="114" customFormat="1" x14ac:dyDescent="0.35">
      <c r="A45" s="114">
        <v>136</v>
      </c>
      <c r="B45" s="114" t="s">
        <v>997</v>
      </c>
      <c r="F45" s="111" t="s">
        <v>995</v>
      </c>
      <c r="G45" s="111" t="s">
        <v>142</v>
      </c>
      <c r="H45" s="111" t="s">
        <v>994</v>
      </c>
      <c r="I45" s="111" t="b">
        <v>0</v>
      </c>
      <c r="J45" s="114" t="s">
        <v>147</v>
      </c>
      <c r="K45" s="112" t="s">
        <v>996</v>
      </c>
      <c r="L45" s="111" t="s">
        <v>784</v>
      </c>
      <c r="M45" s="112">
        <f t="shared" si="8"/>
        <v>490.49</v>
      </c>
      <c r="N45" s="114">
        <f t="shared" si="9"/>
        <v>4</v>
      </c>
      <c r="O45" s="119">
        <f t="shared" si="10"/>
        <v>1961.96</v>
      </c>
      <c r="P45" s="119">
        <f t="shared" si="11"/>
        <v>-665.40000000000009</v>
      </c>
      <c r="Q45" s="120">
        <f t="shared" si="12"/>
        <v>-0.3391506452730943</v>
      </c>
      <c r="R45" s="114" t="str">
        <f t="shared" si="13"/>
        <v>Negative</v>
      </c>
      <c r="S45" s="113">
        <f t="shared" si="14"/>
        <v>2627.36</v>
      </c>
      <c r="T45" s="113">
        <f t="shared" si="7"/>
        <v>656.84</v>
      </c>
      <c r="U45" s="114" t="s">
        <v>998</v>
      </c>
      <c r="V45" s="114" t="s">
        <v>161</v>
      </c>
      <c r="W45" s="121"/>
      <c r="X45" s="132">
        <v>656.84</v>
      </c>
      <c r="Z45" s="114">
        <v>0</v>
      </c>
      <c r="AA45" s="114" t="s">
        <v>154</v>
      </c>
      <c r="AB45" s="114">
        <v>1</v>
      </c>
      <c r="AC45" s="114" t="s">
        <v>164</v>
      </c>
      <c r="AD45" s="114" t="s">
        <v>1000</v>
      </c>
      <c r="AE45" s="114" t="s">
        <v>999</v>
      </c>
      <c r="AF45" s="114" t="s">
        <v>119</v>
      </c>
      <c r="AG45" s="114" t="s">
        <v>2897</v>
      </c>
      <c r="AH45" s="114" t="s">
        <v>2851</v>
      </c>
      <c r="AI45" s="114" t="s">
        <v>151</v>
      </c>
      <c r="AJ45" s="132" t="s">
        <v>3124</v>
      </c>
      <c r="AK45" s="132" t="s">
        <v>3129</v>
      </c>
    </row>
    <row r="46" spans="1:37" s="114" customFormat="1" x14ac:dyDescent="0.35">
      <c r="A46" s="114">
        <v>140</v>
      </c>
      <c r="B46" s="114" t="s">
        <v>647</v>
      </c>
      <c r="F46" s="111" t="s">
        <v>1020</v>
      </c>
      <c r="G46" s="111" t="s">
        <v>142</v>
      </c>
      <c r="H46" s="111" t="s">
        <v>1019</v>
      </c>
      <c r="I46" s="111" t="b">
        <v>0</v>
      </c>
      <c r="J46" s="114" t="s">
        <v>147</v>
      </c>
      <c r="K46" s="112" t="s">
        <v>1021</v>
      </c>
      <c r="L46" s="111" t="s">
        <v>784</v>
      </c>
      <c r="M46" s="112">
        <f t="shared" si="8"/>
        <v>465.4</v>
      </c>
      <c r="N46" s="114">
        <f t="shared" si="9"/>
        <v>4</v>
      </c>
      <c r="O46" s="119">
        <f t="shared" si="10"/>
        <v>1861.6</v>
      </c>
      <c r="P46" s="119">
        <f t="shared" si="11"/>
        <v>-564.96</v>
      </c>
      <c r="Q46" s="120">
        <f t="shared" si="12"/>
        <v>-0.30348087666523427</v>
      </c>
      <c r="R46" s="114" t="str">
        <f t="shared" si="13"/>
        <v>Negative</v>
      </c>
      <c r="S46" s="113">
        <f t="shared" si="14"/>
        <v>2426.56</v>
      </c>
      <c r="T46" s="113">
        <f t="shared" si="7"/>
        <v>606.64</v>
      </c>
      <c r="U46" s="114" t="s">
        <v>1022</v>
      </c>
      <c r="V46" s="114" t="s">
        <v>161</v>
      </c>
      <c r="W46" s="121"/>
      <c r="X46" s="132">
        <v>606.64</v>
      </c>
      <c r="Z46" s="114">
        <v>0</v>
      </c>
      <c r="AA46" s="114" t="s">
        <v>154</v>
      </c>
      <c r="AB46" s="114">
        <v>1</v>
      </c>
      <c r="AC46" s="114" t="s">
        <v>193</v>
      </c>
      <c r="AD46" s="114" t="s">
        <v>1023</v>
      </c>
      <c r="AE46" s="114" t="s">
        <v>2854</v>
      </c>
      <c r="AF46" s="114" t="s">
        <v>119</v>
      </c>
      <c r="AG46" s="114" t="s">
        <v>2855</v>
      </c>
      <c r="AH46" s="114" t="s">
        <v>2851</v>
      </c>
      <c r="AI46" s="114" t="s">
        <v>151</v>
      </c>
      <c r="AJ46" s="132" t="s">
        <v>3124</v>
      </c>
      <c r="AK46" s="132" t="s">
        <v>3129</v>
      </c>
    </row>
    <row r="47" spans="1:37" s="114" customFormat="1" x14ac:dyDescent="0.35">
      <c r="A47" s="114">
        <v>142</v>
      </c>
      <c r="B47" s="114" t="s">
        <v>1031</v>
      </c>
      <c r="F47" s="111" t="s">
        <v>1029</v>
      </c>
      <c r="G47" s="111" t="s">
        <v>142</v>
      </c>
      <c r="H47" s="111" t="s">
        <v>1028</v>
      </c>
      <c r="I47" s="111" t="b">
        <v>0</v>
      </c>
      <c r="J47" s="114" t="s">
        <v>147</v>
      </c>
      <c r="K47" s="112" t="s">
        <v>1030</v>
      </c>
      <c r="L47" s="111" t="s">
        <v>337</v>
      </c>
      <c r="M47" s="112">
        <f t="shared" si="8"/>
        <v>363.5</v>
      </c>
      <c r="N47" s="114">
        <f t="shared" si="9"/>
        <v>5</v>
      </c>
      <c r="O47" s="119">
        <f t="shared" si="10"/>
        <v>1817.5</v>
      </c>
      <c r="P47" s="119">
        <f t="shared" si="11"/>
        <v>-497.70000000000027</v>
      </c>
      <c r="Q47" s="120">
        <f t="shared" si="12"/>
        <v>-0.27383768913342521</v>
      </c>
      <c r="R47" s="114" t="str">
        <f t="shared" si="13"/>
        <v>Negative</v>
      </c>
      <c r="S47" s="113">
        <f t="shared" si="14"/>
        <v>2315.2000000000003</v>
      </c>
      <c r="T47" s="113">
        <f t="shared" si="7"/>
        <v>463.04</v>
      </c>
      <c r="U47" s="114" t="s">
        <v>1032</v>
      </c>
      <c r="V47" s="114" t="s">
        <v>150</v>
      </c>
      <c r="W47" s="121"/>
      <c r="X47" s="132">
        <v>463.04</v>
      </c>
      <c r="Z47" s="114">
        <v>0</v>
      </c>
      <c r="AA47" s="114" t="s">
        <v>154</v>
      </c>
      <c r="AB47" s="114">
        <v>1</v>
      </c>
      <c r="AC47" s="114" t="s">
        <v>341</v>
      </c>
      <c r="AD47" s="114">
        <v>1109975</v>
      </c>
      <c r="AE47" s="114" t="s">
        <v>3051</v>
      </c>
      <c r="AF47" s="114" t="s">
        <v>119</v>
      </c>
      <c r="AG47" s="114" t="s">
        <v>3052</v>
      </c>
      <c r="AH47" s="114" t="s">
        <v>3049</v>
      </c>
      <c r="AI47" s="114" t="s">
        <v>151</v>
      </c>
      <c r="AJ47" s="132" t="s">
        <v>3124</v>
      </c>
      <c r="AK47" s="132" t="s">
        <v>3129</v>
      </c>
    </row>
    <row r="48" spans="1:37" s="114" customFormat="1" x14ac:dyDescent="0.35">
      <c r="A48" s="114">
        <v>145</v>
      </c>
      <c r="B48" s="114" t="s">
        <v>1045</v>
      </c>
      <c r="F48" s="111" t="s">
        <v>1043</v>
      </c>
      <c r="G48" s="111" t="s">
        <v>142</v>
      </c>
      <c r="H48" s="111" t="s">
        <v>1042</v>
      </c>
      <c r="I48" s="111" t="b">
        <v>0</v>
      </c>
      <c r="J48" s="114" t="s">
        <v>147</v>
      </c>
      <c r="K48" s="112" t="s">
        <v>1044</v>
      </c>
      <c r="L48" s="111" t="s">
        <v>147</v>
      </c>
      <c r="M48" s="112">
        <f t="shared" si="8"/>
        <v>1798.62</v>
      </c>
      <c r="N48" s="114">
        <f t="shared" si="9"/>
        <v>1</v>
      </c>
      <c r="O48" s="119">
        <f t="shared" si="10"/>
        <v>1798.62</v>
      </c>
      <c r="P48" s="119">
        <f t="shared" si="11"/>
        <v>-94.110000000000127</v>
      </c>
      <c r="Q48" s="120">
        <f t="shared" si="12"/>
        <v>-5.2323447976782275E-2</v>
      </c>
      <c r="R48" s="114" t="str">
        <f t="shared" si="13"/>
        <v>Negative</v>
      </c>
      <c r="S48" s="113">
        <f t="shared" si="14"/>
        <v>1892.73</v>
      </c>
      <c r="T48" s="113">
        <f t="shared" si="7"/>
        <v>1892.73</v>
      </c>
      <c r="U48" s="114" t="s">
        <v>1046</v>
      </c>
      <c r="V48" s="114" t="s">
        <v>161</v>
      </c>
      <c r="W48" s="121"/>
      <c r="X48" s="132">
        <v>1892.73</v>
      </c>
      <c r="Z48" s="114">
        <v>0</v>
      </c>
      <c r="AA48" s="114" t="s">
        <v>154</v>
      </c>
      <c r="AB48" s="114">
        <v>1</v>
      </c>
      <c r="AC48" s="114" t="s">
        <v>164</v>
      </c>
      <c r="AD48" s="114" t="s">
        <v>1047</v>
      </c>
      <c r="AE48" s="114" t="s">
        <v>185</v>
      </c>
      <c r="AF48" s="114" t="s">
        <v>119</v>
      </c>
      <c r="AG48" s="114" t="s">
        <v>2897</v>
      </c>
      <c r="AH48" s="114" t="s">
        <v>2851</v>
      </c>
      <c r="AI48" s="114" t="s">
        <v>151</v>
      </c>
      <c r="AJ48" s="132" t="s">
        <v>3124</v>
      </c>
      <c r="AK48" s="132" t="s">
        <v>3129</v>
      </c>
    </row>
    <row r="49" spans="1:37" s="114" customFormat="1" x14ac:dyDescent="0.35">
      <c r="A49" s="114">
        <v>150</v>
      </c>
      <c r="B49" s="114" t="s">
        <v>1070</v>
      </c>
      <c r="F49" s="111" t="s">
        <v>1068</v>
      </c>
      <c r="G49" s="111" t="s">
        <v>142</v>
      </c>
      <c r="H49" s="111" t="s">
        <v>1067</v>
      </c>
      <c r="I49" s="111" t="b">
        <v>0</v>
      </c>
      <c r="J49" s="114" t="s">
        <v>147</v>
      </c>
      <c r="K49" s="112" t="s">
        <v>1069</v>
      </c>
      <c r="L49" s="111" t="s">
        <v>811</v>
      </c>
      <c r="M49" s="112">
        <f t="shared" si="8"/>
        <v>12.25</v>
      </c>
      <c r="N49" s="114">
        <f t="shared" si="9"/>
        <v>132</v>
      </c>
      <c r="O49" s="119">
        <f t="shared" si="10"/>
        <v>1617</v>
      </c>
      <c r="P49" s="119">
        <f t="shared" si="11"/>
        <v>80.519999999999982</v>
      </c>
      <c r="Q49" s="120">
        <f t="shared" si="12"/>
        <v>4.9795918367346925E-2</v>
      </c>
      <c r="R49" s="114" t="str">
        <f t="shared" si="13"/>
        <v>0-10%</v>
      </c>
      <c r="S49" s="113">
        <f t="shared" si="14"/>
        <v>1536.48</v>
      </c>
      <c r="T49" s="113">
        <f t="shared" si="7"/>
        <v>11.64</v>
      </c>
      <c r="U49" s="114" t="s">
        <v>1071</v>
      </c>
      <c r="V49" s="114" t="s">
        <v>150</v>
      </c>
      <c r="W49" s="121"/>
      <c r="X49" s="132">
        <v>11.64</v>
      </c>
      <c r="Z49" s="114">
        <v>0</v>
      </c>
      <c r="AA49" s="114" t="s">
        <v>213</v>
      </c>
      <c r="AB49" s="114">
        <v>1</v>
      </c>
      <c r="AC49" s="114" t="s">
        <v>171</v>
      </c>
      <c r="AD49" s="114" t="s">
        <v>1071</v>
      </c>
      <c r="AE49" s="114" t="s">
        <v>2978</v>
      </c>
      <c r="AF49" s="114" t="s">
        <v>119</v>
      </c>
      <c r="AG49" s="114" t="s">
        <v>2972</v>
      </c>
      <c r="AH49" s="114" t="s">
        <v>2903</v>
      </c>
      <c r="AI49" s="114" t="s">
        <v>151</v>
      </c>
      <c r="AJ49" s="132" t="s">
        <v>3124</v>
      </c>
      <c r="AK49" s="132" t="s">
        <v>7</v>
      </c>
    </row>
    <row r="50" spans="1:37" s="114" customFormat="1" x14ac:dyDescent="0.35">
      <c r="A50" s="114">
        <v>151</v>
      </c>
      <c r="B50" s="114" t="s">
        <v>1076</v>
      </c>
      <c r="F50" s="111" t="s">
        <v>1073</v>
      </c>
      <c r="G50" s="111" t="s">
        <v>142</v>
      </c>
      <c r="H50" s="111" t="s">
        <v>1072</v>
      </c>
      <c r="I50" s="111" t="b">
        <v>0</v>
      </c>
      <c r="J50" s="114" t="s">
        <v>147</v>
      </c>
      <c r="K50" s="112" t="s">
        <v>1075</v>
      </c>
      <c r="L50" s="111" t="s">
        <v>1074</v>
      </c>
      <c r="M50" s="112">
        <f t="shared" si="8"/>
        <v>12.69</v>
      </c>
      <c r="N50" s="114">
        <f t="shared" si="9"/>
        <v>126</v>
      </c>
      <c r="O50" s="119">
        <f t="shared" si="10"/>
        <v>1598.9399999999998</v>
      </c>
      <c r="P50" s="119">
        <f t="shared" si="11"/>
        <v>-404.46000000000026</v>
      </c>
      <c r="Q50" s="120">
        <f t="shared" si="12"/>
        <v>-0.25295508274231698</v>
      </c>
      <c r="R50" s="114" t="str">
        <f t="shared" si="13"/>
        <v>Negative</v>
      </c>
      <c r="S50" s="113">
        <f t="shared" si="14"/>
        <v>2003.4</v>
      </c>
      <c r="T50" s="113">
        <f t="shared" si="7"/>
        <v>15.9</v>
      </c>
      <c r="U50" s="114" t="s">
        <v>1077</v>
      </c>
      <c r="V50" s="114" t="s">
        <v>161</v>
      </c>
      <c r="W50" s="121"/>
      <c r="X50" s="132">
        <v>15.9</v>
      </c>
      <c r="Z50" s="114">
        <v>0</v>
      </c>
      <c r="AA50" s="114" t="s">
        <v>213</v>
      </c>
      <c r="AB50" s="114">
        <v>1</v>
      </c>
      <c r="AC50" s="114" t="s">
        <v>560</v>
      </c>
      <c r="AD50" s="114" t="s">
        <v>1078</v>
      </c>
      <c r="AE50" s="114" t="s">
        <v>3006</v>
      </c>
      <c r="AF50" s="114" t="s">
        <v>119</v>
      </c>
      <c r="AG50" s="114" t="s">
        <v>2967</v>
      </c>
      <c r="AH50" s="114" t="s">
        <v>2903</v>
      </c>
      <c r="AI50" s="114" t="s">
        <v>3130</v>
      </c>
      <c r="AJ50" s="132" t="s">
        <v>3124</v>
      </c>
      <c r="AK50" s="132" t="s">
        <v>3129</v>
      </c>
    </row>
    <row r="51" spans="1:37" s="114" customFormat="1" x14ac:dyDescent="0.35">
      <c r="A51" s="114">
        <v>155</v>
      </c>
      <c r="B51" s="114" t="s">
        <v>1097</v>
      </c>
      <c r="F51" s="111" t="s">
        <v>1095</v>
      </c>
      <c r="G51" s="111" t="s">
        <v>142</v>
      </c>
      <c r="H51" s="111" t="s">
        <v>1094</v>
      </c>
      <c r="I51" s="111" t="b">
        <v>0</v>
      </c>
      <c r="J51" s="114" t="s">
        <v>147</v>
      </c>
      <c r="K51" s="112" t="s">
        <v>1096</v>
      </c>
      <c r="L51" s="111" t="s">
        <v>674</v>
      </c>
      <c r="M51" s="112">
        <f t="shared" si="8"/>
        <v>17.09</v>
      </c>
      <c r="N51" s="114">
        <f t="shared" si="9"/>
        <v>89</v>
      </c>
      <c r="O51" s="119">
        <f t="shared" si="10"/>
        <v>1521.01</v>
      </c>
      <c r="P51" s="119">
        <f t="shared" si="11"/>
        <v>75.649999999999864</v>
      </c>
      <c r="Q51" s="120">
        <f t="shared" si="12"/>
        <v>4.9736688121708512E-2</v>
      </c>
      <c r="R51" s="114" t="str">
        <f t="shared" si="13"/>
        <v>0-10%</v>
      </c>
      <c r="S51" s="113">
        <f t="shared" si="14"/>
        <v>1445.3600000000001</v>
      </c>
      <c r="T51" s="113">
        <f t="shared" si="7"/>
        <v>16.240000000000002</v>
      </c>
      <c r="U51" s="114" t="s">
        <v>1098</v>
      </c>
      <c r="V51" s="114" t="s">
        <v>161</v>
      </c>
      <c r="W51" s="121"/>
      <c r="X51" s="132">
        <v>16.240000000000002</v>
      </c>
      <c r="Z51" s="114">
        <v>0</v>
      </c>
      <c r="AA51" s="114" t="s">
        <v>213</v>
      </c>
      <c r="AB51" s="114">
        <v>1</v>
      </c>
      <c r="AC51" s="114" t="s">
        <v>560</v>
      </c>
      <c r="AD51" s="114" t="s">
        <v>1099</v>
      </c>
      <c r="AE51" s="114" t="s">
        <v>3001</v>
      </c>
      <c r="AF51" s="114" t="s">
        <v>119</v>
      </c>
      <c r="AG51" s="114" t="s">
        <v>2967</v>
      </c>
      <c r="AH51" s="114" t="s">
        <v>2903</v>
      </c>
      <c r="AI51" s="114" t="s">
        <v>151</v>
      </c>
      <c r="AJ51" s="132" t="s">
        <v>3124</v>
      </c>
      <c r="AK51" s="132" t="s">
        <v>7</v>
      </c>
    </row>
    <row r="52" spans="1:37" s="114" customFormat="1" x14ac:dyDescent="0.35">
      <c r="A52" s="114">
        <v>157</v>
      </c>
      <c r="B52" s="114" t="s">
        <v>1109</v>
      </c>
      <c r="F52" s="111" t="s">
        <v>1107</v>
      </c>
      <c r="G52" s="111" t="s">
        <v>142</v>
      </c>
      <c r="H52" s="111" t="s">
        <v>1106</v>
      </c>
      <c r="I52" s="111" t="b">
        <v>0</v>
      </c>
      <c r="J52" s="114" t="s">
        <v>147</v>
      </c>
      <c r="K52" s="112" t="s">
        <v>1108</v>
      </c>
      <c r="L52" s="111" t="s">
        <v>784</v>
      </c>
      <c r="M52" s="112">
        <f t="shared" si="8"/>
        <v>356.85</v>
      </c>
      <c r="N52" s="114">
        <f t="shared" si="9"/>
        <v>4</v>
      </c>
      <c r="O52" s="119">
        <f t="shared" si="10"/>
        <v>1427.4</v>
      </c>
      <c r="P52" s="119">
        <f t="shared" si="11"/>
        <v>-266.52</v>
      </c>
      <c r="Q52" s="120">
        <f t="shared" si="12"/>
        <v>-0.18671710802858341</v>
      </c>
      <c r="R52" s="114" t="str">
        <f t="shared" si="13"/>
        <v>Negative</v>
      </c>
      <c r="S52" s="113">
        <f t="shared" si="14"/>
        <v>1693.92</v>
      </c>
      <c r="T52" s="113">
        <f t="shared" si="7"/>
        <v>423.48</v>
      </c>
      <c r="U52" s="114" t="s">
        <v>1110</v>
      </c>
      <c r="V52" s="114" t="s">
        <v>161</v>
      </c>
      <c r="W52" s="121"/>
      <c r="X52" s="132">
        <v>423.48</v>
      </c>
      <c r="Z52" s="114">
        <v>0</v>
      </c>
      <c r="AA52" s="114" t="s">
        <v>154</v>
      </c>
      <c r="AB52" s="114">
        <v>1</v>
      </c>
      <c r="AC52" s="114" t="s">
        <v>243</v>
      </c>
      <c r="AD52" s="114" t="s">
        <v>1111</v>
      </c>
      <c r="AE52" s="114" t="s">
        <v>2955</v>
      </c>
      <c r="AF52" s="114" t="s">
        <v>119</v>
      </c>
      <c r="AG52" s="114" t="s">
        <v>2945</v>
      </c>
      <c r="AH52" s="114" t="s">
        <v>2944</v>
      </c>
      <c r="AI52" s="114" t="s">
        <v>151</v>
      </c>
      <c r="AJ52" s="132" t="s">
        <v>3124</v>
      </c>
      <c r="AK52" s="132" t="s">
        <v>3129</v>
      </c>
    </row>
    <row r="53" spans="1:37" s="114" customFormat="1" x14ac:dyDescent="0.35">
      <c r="A53" s="114">
        <v>158</v>
      </c>
      <c r="B53" s="114" t="s">
        <v>1116</v>
      </c>
      <c r="F53" s="111" t="s">
        <v>1113</v>
      </c>
      <c r="G53" s="111" t="s">
        <v>142</v>
      </c>
      <c r="H53" s="111" t="s">
        <v>1112</v>
      </c>
      <c r="I53" s="111" t="b">
        <v>0</v>
      </c>
      <c r="J53" s="114" t="s">
        <v>147</v>
      </c>
      <c r="K53" s="112" t="s">
        <v>1115</v>
      </c>
      <c r="L53" s="111" t="s">
        <v>1114</v>
      </c>
      <c r="M53" s="112">
        <f t="shared" si="8"/>
        <v>21.65</v>
      </c>
      <c r="N53" s="114">
        <f t="shared" si="9"/>
        <v>65</v>
      </c>
      <c r="O53" s="119">
        <f t="shared" si="10"/>
        <v>1407.25</v>
      </c>
      <c r="P53" s="119">
        <f t="shared" si="11"/>
        <v>-884</v>
      </c>
      <c r="Q53" s="120">
        <f t="shared" si="12"/>
        <v>-0.62817551963048501</v>
      </c>
      <c r="R53" s="114" t="str">
        <f t="shared" si="13"/>
        <v>Negative</v>
      </c>
      <c r="S53" s="113">
        <f t="shared" si="14"/>
        <v>2291.25</v>
      </c>
      <c r="T53" s="113">
        <f t="shared" si="7"/>
        <v>35.25</v>
      </c>
      <c r="U53" s="114" t="s">
        <v>1117</v>
      </c>
      <c r="V53" s="114" t="s">
        <v>150</v>
      </c>
      <c r="W53" s="121"/>
      <c r="X53" s="132">
        <v>35.25</v>
      </c>
      <c r="Z53" s="114">
        <v>0</v>
      </c>
      <c r="AA53" s="114" t="s">
        <v>154</v>
      </c>
      <c r="AB53" s="114">
        <v>1</v>
      </c>
      <c r="AC53" s="114" t="s">
        <v>1119</v>
      </c>
      <c r="AD53" s="114" t="s">
        <v>1118</v>
      </c>
      <c r="AE53" s="114" t="s">
        <v>2881</v>
      </c>
      <c r="AF53" s="114" t="s">
        <v>119</v>
      </c>
      <c r="AG53" s="114" t="s">
        <v>2882</v>
      </c>
      <c r="AH53" s="114" t="s">
        <v>2859</v>
      </c>
      <c r="AI53" s="114" t="s">
        <v>3130</v>
      </c>
      <c r="AJ53" s="132" t="s">
        <v>3124</v>
      </c>
      <c r="AK53" s="132" t="s">
        <v>3129</v>
      </c>
    </row>
    <row r="54" spans="1:37" s="114" customFormat="1" x14ac:dyDescent="0.35">
      <c r="A54" s="114">
        <v>159</v>
      </c>
      <c r="B54" s="114" t="s">
        <v>1123</v>
      </c>
      <c r="F54" s="111" t="s">
        <v>1121</v>
      </c>
      <c r="G54" s="111" t="s">
        <v>142</v>
      </c>
      <c r="H54" s="111" t="s">
        <v>1120</v>
      </c>
      <c r="I54" s="111" t="b">
        <v>0</v>
      </c>
      <c r="J54" s="114" t="s">
        <v>147</v>
      </c>
      <c r="K54" s="112" t="s">
        <v>1122</v>
      </c>
      <c r="L54" s="111" t="s">
        <v>175</v>
      </c>
      <c r="M54" s="112">
        <f t="shared" si="8"/>
        <v>12.12</v>
      </c>
      <c r="N54" s="114">
        <f t="shared" si="9"/>
        <v>115</v>
      </c>
      <c r="O54" s="119">
        <f t="shared" si="10"/>
        <v>1393.8</v>
      </c>
      <c r="P54" s="119">
        <f t="shared" si="11"/>
        <v>-434.70000000000005</v>
      </c>
      <c r="Q54" s="120">
        <f t="shared" si="12"/>
        <v>-0.31188118811881194</v>
      </c>
      <c r="R54" s="114" t="str">
        <f t="shared" si="13"/>
        <v>Negative</v>
      </c>
      <c r="S54" s="113">
        <f t="shared" si="14"/>
        <v>1828.5</v>
      </c>
      <c r="T54" s="113">
        <f t="shared" si="7"/>
        <v>15.9</v>
      </c>
      <c r="U54" s="114" t="s">
        <v>1124</v>
      </c>
      <c r="V54" s="114" t="s">
        <v>161</v>
      </c>
      <c r="W54" s="121"/>
      <c r="X54" s="132">
        <v>15.9</v>
      </c>
      <c r="Z54" s="114">
        <v>0</v>
      </c>
      <c r="AA54" s="114" t="s">
        <v>213</v>
      </c>
      <c r="AB54" s="114">
        <v>1</v>
      </c>
      <c r="AC54" s="114" t="s">
        <v>560</v>
      </c>
      <c r="AD54" s="114" t="s">
        <v>1125</v>
      </c>
      <c r="AE54" s="114" t="s">
        <v>2998</v>
      </c>
      <c r="AF54" s="114" t="s">
        <v>119</v>
      </c>
      <c r="AG54" s="114" t="s">
        <v>2967</v>
      </c>
      <c r="AH54" s="114" t="s">
        <v>2903</v>
      </c>
      <c r="AI54" s="114" t="s">
        <v>3130</v>
      </c>
      <c r="AJ54" s="132" t="s">
        <v>3124</v>
      </c>
      <c r="AK54" s="132" t="s">
        <v>3129</v>
      </c>
    </row>
    <row r="55" spans="1:37" s="114" customFormat="1" x14ac:dyDescent="0.35">
      <c r="A55" s="114">
        <v>164</v>
      </c>
      <c r="B55" s="114" t="s">
        <v>1152</v>
      </c>
      <c r="F55" s="111" t="s">
        <v>1150</v>
      </c>
      <c r="G55" s="111" t="s">
        <v>142</v>
      </c>
      <c r="H55" s="111" t="s">
        <v>1149</v>
      </c>
      <c r="I55" s="111" t="b">
        <v>0</v>
      </c>
      <c r="J55" s="114" t="s">
        <v>147</v>
      </c>
      <c r="K55" s="112" t="s">
        <v>1151</v>
      </c>
      <c r="L55" s="111" t="s">
        <v>505</v>
      </c>
      <c r="M55" s="112">
        <f t="shared" si="8"/>
        <v>670.47</v>
      </c>
      <c r="N55" s="114">
        <f t="shared" si="9"/>
        <v>2</v>
      </c>
      <c r="O55" s="119">
        <f t="shared" si="10"/>
        <v>1340.94</v>
      </c>
      <c r="P55" s="119">
        <f t="shared" si="11"/>
        <v>-339.87999999999988</v>
      </c>
      <c r="Q55" s="120">
        <f t="shared" si="12"/>
        <v>-0.25346398794875225</v>
      </c>
      <c r="R55" s="114" t="str">
        <f t="shared" si="13"/>
        <v>Negative</v>
      </c>
      <c r="S55" s="113">
        <f t="shared" si="14"/>
        <v>1680.82</v>
      </c>
      <c r="T55" s="113">
        <f t="shared" si="7"/>
        <v>840.41</v>
      </c>
      <c r="U55" s="114" t="s">
        <v>1153</v>
      </c>
      <c r="V55" s="114" t="s">
        <v>161</v>
      </c>
      <c r="W55" s="121"/>
      <c r="X55" s="132">
        <v>840.41</v>
      </c>
      <c r="Z55" s="114">
        <v>0</v>
      </c>
      <c r="AA55" s="114" t="s">
        <v>154</v>
      </c>
      <c r="AB55" s="114">
        <v>1</v>
      </c>
      <c r="AC55" s="114" t="s">
        <v>889</v>
      </c>
      <c r="AD55" s="114" t="s">
        <v>1154</v>
      </c>
      <c r="AE55" s="114" t="s">
        <v>3094</v>
      </c>
      <c r="AF55" s="114" t="s">
        <v>119</v>
      </c>
      <c r="AG55" s="114" t="s">
        <v>3095</v>
      </c>
      <c r="AH55" s="114" t="s">
        <v>2944</v>
      </c>
      <c r="AI55" s="114" t="s">
        <v>151</v>
      </c>
      <c r="AJ55" s="132" t="s">
        <v>3124</v>
      </c>
      <c r="AK55" s="132" t="s">
        <v>3129</v>
      </c>
    </row>
    <row r="56" spans="1:37" s="114" customFormat="1" x14ac:dyDescent="0.35">
      <c r="A56" s="114">
        <v>165</v>
      </c>
      <c r="B56" s="114" t="s">
        <v>1158</v>
      </c>
      <c r="F56" s="111" t="s">
        <v>1156</v>
      </c>
      <c r="G56" s="111" t="s">
        <v>142</v>
      </c>
      <c r="H56" s="111" t="s">
        <v>1155</v>
      </c>
      <c r="I56" s="111" t="b">
        <v>0</v>
      </c>
      <c r="J56" s="114" t="s">
        <v>147</v>
      </c>
      <c r="K56" s="112" t="s">
        <v>1157</v>
      </c>
      <c r="L56" s="111" t="s">
        <v>505</v>
      </c>
      <c r="M56" s="112">
        <f t="shared" si="8"/>
        <v>663.7</v>
      </c>
      <c r="N56" s="114">
        <f t="shared" si="9"/>
        <v>2</v>
      </c>
      <c r="O56" s="119">
        <f t="shared" si="10"/>
        <v>1327.4</v>
      </c>
      <c r="P56" s="119">
        <f t="shared" si="11"/>
        <v>-470.43999999999983</v>
      </c>
      <c r="Q56" s="120">
        <f t="shared" si="12"/>
        <v>-0.35440711164682825</v>
      </c>
      <c r="R56" s="114" t="str">
        <f t="shared" si="13"/>
        <v>Negative</v>
      </c>
      <c r="S56" s="113">
        <f t="shared" si="14"/>
        <v>1797.84</v>
      </c>
      <c r="T56" s="113">
        <f t="shared" si="7"/>
        <v>898.92</v>
      </c>
      <c r="U56" s="114" t="s">
        <v>1159</v>
      </c>
      <c r="V56" s="114" t="s">
        <v>161</v>
      </c>
      <c r="W56" s="121"/>
      <c r="X56" s="132">
        <v>898.92</v>
      </c>
      <c r="Z56" s="114">
        <v>0</v>
      </c>
      <c r="AA56" s="114" t="s">
        <v>154</v>
      </c>
      <c r="AB56" s="114">
        <v>1</v>
      </c>
      <c r="AC56" s="114" t="s">
        <v>341</v>
      </c>
      <c r="AD56" s="114">
        <v>3503872</v>
      </c>
      <c r="AE56" s="114" t="s">
        <v>3063</v>
      </c>
      <c r="AF56" s="114" t="s">
        <v>119</v>
      </c>
      <c r="AG56" s="114" t="s">
        <v>3050</v>
      </c>
      <c r="AH56" s="114" t="s">
        <v>3049</v>
      </c>
      <c r="AI56" s="114" t="s">
        <v>151</v>
      </c>
      <c r="AJ56" s="132" t="s">
        <v>3124</v>
      </c>
      <c r="AK56" s="132" t="s">
        <v>3129</v>
      </c>
    </row>
    <row r="57" spans="1:37" s="114" customFormat="1" ht="29" x14ac:dyDescent="0.35">
      <c r="A57" s="114">
        <v>167</v>
      </c>
      <c r="B57" s="114" t="s">
        <v>1169</v>
      </c>
      <c r="F57" s="111" t="s">
        <v>1167</v>
      </c>
      <c r="G57" s="111" t="s">
        <v>142</v>
      </c>
      <c r="H57" s="111" t="s">
        <v>1166</v>
      </c>
      <c r="I57" s="111" t="b">
        <v>0</v>
      </c>
      <c r="J57" s="114" t="s">
        <v>147</v>
      </c>
      <c r="K57" s="112" t="s">
        <v>1168</v>
      </c>
      <c r="L57" s="111" t="s">
        <v>820</v>
      </c>
      <c r="M57" s="112">
        <f t="shared" si="8"/>
        <v>145.16999999999999</v>
      </c>
      <c r="N57" s="114">
        <f t="shared" si="9"/>
        <v>9</v>
      </c>
      <c r="O57" s="119">
        <f t="shared" si="10"/>
        <v>1306.53</v>
      </c>
      <c r="P57" s="119">
        <f t="shared" si="11"/>
        <v>-76.410000000000082</v>
      </c>
      <c r="Q57" s="120">
        <f t="shared" si="12"/>
        <v>-5.8483157677206098E-2</v>
      </c>
      <c r="R57" s="114" t="str">
        <f t="shared" si="13"/>
        <v>Negative</v>
      </c>
      <c r="S57" s="113">
        <f t="shared" si="14"/>
        <v>1382.94</v>
      </c>
      <c r="T57" s="113">
        <f t="shared" si="7"/>
        <v>153.66</v>
      </c>
      <c r="U57" s="114" t="s">
        <v>1170</v>
      </c>
      <c r="V57" s="114" t="s">
        <v>161</v>
      </c>
      <c r="W57" s="121"/>
      <c r="X57" s="132">
        <v>153.66</v>
      </c>
      <c r="Z57" s="114">
        <v>0</v>
      </c>
      <c r="AA57" s="114" t="s">
        <v>154</v>
      </c>
      <c r="AB57" s="114">
        <v>1</v>
      </c>
      <c r="AC57" s="114" t="s">
        <v>164</v>
      </c>
      <c r="AD57" s="114" t="s">
        <v>1171</v>
      </c>
      <c r="AE57" s="114" t="s">
        <v>3030</v>
      </c>
      <c r="AF57" s="114" t="s">
        <v>119</v>
      </c>
      <c r="AG57" s="114" t="s">
        <v>2869</v>
      </c>
      <c r="AH57" s="114" t="s">
        <v>2851</v>
      </c>
      <c r="AI57" s="114" t="s">
        <v>151</v>
      </c>
      <c r="AJ57" s="132" t="s">
        <v>3124</v>
      </c>
      <c r="AK57" s="132" t="s">
        <v>3129</v>
      </c>
    </row>
    <row r="58" spans="1:37" s="114" customFormat="1" x14ac:dyDescent="0.35">
      <c r="A58" s="114">
        <v>168</v>
      </c>
      <c r="B58" s="114" t="s">
        <v>277</v>
      </c>
      <c r="F58" s="111" t="s">
        <v>1173</v>
      </c>
      <c r="G58" s="111" t="s">
        <v>142</v>
      </c>
      <c r="H58" s="111" t="s">
        <v>1172</v>
      </c>
      <c r="I58" s="111" t="b">
        <v>0</v>
      </c>
      <c r="J58" s="114" t="s">
        <v>147</v>
      </c>
      <c r="K58" s="112" t="s">
        <v>1174</v>
      </c>
      <c r="L58" s="111" t="s">
        <v>392</v>
      </c>
      <c r="M58" s="112">
        <f t="shared" si="8"/>
        <v>118.71</v>
      </c>
      <c r="N58" s="114">
        <f t="shared" si="9"/>
        <v>11</v>
      </c>
      <c r="O58" s="119">
        <f t="shared" si="10"/>
        <v>1305.81</v>
      </c>
      <c r="P58" s="119">
        <f t="shared" si="11"/>
        <v>-448.58000000000015</v>
      </c>
      <c r="Q58" s="120">
        <f t="shared" si="12"/>
        <v>-0.34352624041782509</v>
      </c>
      <c r="R58" s="114" t="str">
        <f t="shared" si="13"/>
        <v>Negative</v>
      </c>
      <c r="S58" s="113">
        <f t="shared" si="14"/>
        <v>1754.39</v>
      </c>
      <c r="T58" s="113">
        <f t="shared" si="7"/>
        <v>159.49</v>
      </c>
      <c r="U58" s="114" t="s">
        <v>1175</v>
      </c>
      <c r="V58" s="114" t="s">
        <v>161</v>
      </c>
      <c r="W58" s="121"/>
      <c r="X58" s="132">
        <v>159.49</v>
      </c>
      <c r="Z58" s="114">
        <v>0</v>
      </c>
      <c r="AA58" s="114" t="s">
        <v>154</v>
      </c>
      <c r="AB58" s="114">
        <v>1</v>
      </c>
      <c r="AC58" s="114" t="s">
        <v>669</v>
      </c>
      <c r="AD58" s="114" t="s">
        <v>1177</v>
      </c>
      <c r="AE58" s="114" t="s">
        <v>1176</v>
      </c>
      <c r="AF58" s="114" t="s">
        <v>122</v>
      </c>
      <c r="AG58" s="114" t="s">
        <v>2857</v>
      </c>
      <c r="AH58" s="114" t="s">
        <v>2856</v>
      </c>
      <c r="AI58" s="114" t="s">
        <v>151</v>
      </c>
      <c r="AJ58" s="132" t="s">
        <v>3124</v>
      </c>
      <c r="AK58" s="132" t="s">
        <v>3129</v>
      </c>
    </row>
    <row r="59" spans="1:37" s="114" customFormat="1" x14ac:dyDescent="0.35">
      <c r="A59" s="114">
        <v>169</v>
      </c>
      <c r="B59" s="114" t="s">
        <v>462</v>
      </c>
      <c r="F59" s="111" t="s">
        <v>1179</v>
      </c>
      <c r="G59" s="111" t="s">
        <v>142</v>
      </c>
      <c r="H59" s="111" t="s">
        <v>1178</v>
      </c>
      <c r="I59" s="111" t="b">
        <v>0</v>
      </c>
      <c r="J59" s="114" t="s">
        <v>147</v>
      </c>
      <c r="K59" s="112" t="s">
        <v>1181</v>
      </c>
      <c r="L59" s="111" t="s">
        <v>1180</v>
      </c>
      <c r="M59" s="112">
        <f t="shared" si="8"/>
        <v>16.3</v>
      </c>
      <c r="N59" s="114">
        <f t="shared" si="9"/>
        <v>80</v>
      </c>
      <c r="O59" s="119">
        <f t="shared" si="10"/>
        <v>1304</v>
      </c>
      <c r="P59" s="119">
        <f t="shared" si="11"/>
        <v>-895.19999999999982</v>
      </c>
      <c r="Q59" s="120">
        <f t="shared" si="12"/>
        <v>-0.68650306748466239</v>
      </c>
      <c r="R59" s="114" t="str">
        <f t="shared" si="13"/>
        <v>Negative</v>
      </c>
      <c r="S59" s="113">
        <f t="shared" si="14"/>
        <v>2199.1999999999998</v>
      </c>
      <c r="T59" s="113">
        <f t="shared" si="7"/>
        <v>27.49</v>
      </c>
      <c r="U59" s="114" t="s">
        <v>1182</v>
      </c>
      <c r="V59" s="114" t="s">
        <v>150</v>
      </c>
      <c r="W59" s="121"/>
      <c r="X59" s="132">
        <v>27.49</v>
      </c>
      <c r="Z59" s="114">
        <v>0</v>
      </c>
      <c r="AA59" s="114" t="s">
        <v>154</v>
      </c>
      <c r="AB59" s="114">
        <v>1</v>
      </c>
      <c r="AC59" s="114" t="s">
        <v>235</v>
      </c>
      <c r="AD59" s="114">
        <v>10153385</v>
      </c>
      <c r="AE59" s="114" t="s">
        <v>2921</v>
      </c>
      <c r="AF59" s="114" t="s">
        <v>119</v>
      </c>
      <c r="AG59" s="114" t="s">
        <v>2922</v>
      </c>
      <c r="AH59" s="114" t="s">
        <v>2866</v>
      </c>
      <c r="AI59" s="114" t="s">
        <v>151</v>
      </c>
      <c r="AJ59" s="132" t="s">
        <v>3124</v>
      </c>
      <c r="AK59" s="132" t="s">
        <v>3129</v>
      </c>
    </row>
    <row r="60" spans="1:37" s="114" customFormat="1" x14ac:dyDescent="0.35">
      <c r="A60" s="114">
        <v>171</v>
      </c>
      <c r="B60" s="114" t="s">
        <v>1191</v>
      </c>
      <c r="F60" s="111" t="s">
        <v>1189</v>
      </c>
      <c r="G60" s="111" t="s">
        <v>142</v>
      </c>
      <c r="H60" s="111" t="s">
        <v>1188</v>
      </c>
      <c r="I60" s="111" t="b">
        <v>0</v>
      </c>
      <c r="J60" s="114" t="s">
        <v>147</v>
      </c>
      <c r="K60" s="112" t="s">
        <v>1190</v>
      </c>
      <c r="L60" s="111" t="s">
        <v>520</v>
      </c>
      <c r="M60" s="112">
        <f t="shared" si="8"/>
        <v>103.91</v>
      </c>
      <c r="N60" s="114">
        <f t="shared" si="9"/>
        <v>12</v>
      </c>
      <c r="O60" s="119">
        <f t="shared" si="10"/>
        <v>1246.92</v>
      </c>
      <c r="P60" s="119">
        <f t="shared" si="11"/>
        <v>-877.80000000000018</v>
      </c>
      <c r="Q60" s="120">
        <f t="shared" si="12"/>
        <v>-0.70397459339813306</v>
      </c>
      <c r="R60" s="114" t="str">
        <f t="shared" si="13"/>
        <v>Negative</v>
      </c>
      <c r="S60" s="113">
        <f t="shared" si="14"/>
        <v>2124.7200000000003</v>
      </c>
      <c r="T60" s="113">
        <f t="shared" si="7"/>
        <v>177.06</v>
      </c>
      <c r="U60" s="114" t="s">
        <v>1192</v>
      </c>
      <c r="V60" s="114" t="s">
        <v>161</v>
      </c>
      <c r="W60" s="121"/>
      <c r="X60" s="132">
        <v>177.06</v>
      </c>
      <c r="Z60" s="114">
        <v>0</v>
      </c>
      <c r="AA60" s="114" t="s">
        <v>154</v>
      </c>
      <c r="AB60" s="114">
        <v>1</v>
      </c>
      <c r="AC60" s="114" t="s">
        <v>235</v>
      </c>
      <c r="AD60" s="114">
        <v>82018</v>
      </c>
      <c r="AE60" s="114" t="s">
        <v>2924</v>
      </c>
      <c r="AF60" s="114" t="s">
        <v>119</v>
      </c>
      <c r="AG60" s="114" t="s">
        <v>2899</v>
      </c>
      <c r="AH60" s="114" t="s">
        <v>2866</v>
      </c>
      <c r="AI60" s="114" t="s">
        <v>151</v>
      </c>
      <c r="AJ60" s="132" t="s">
        <v>3124</v>
      </c>
      <c r="AK60" s="132" t="s">
        <v>3129</v>
      </c>
    </row>
    <row r="61" spans="1:37" s="114" customFormat="1" x14ac:dyDescent="0.35">
      <c r="A61" s="114">
        <v>172</v>
      </c>
      <c r="B61" s="114" t="s">
        <v>1196</v>
      </c>
      <c r="F61" s="111" t="s">
        <v>1194</v>
      </c>
      <c r="G61" s="111" t="s">
        <v>142</v>
      </c>
      <c r="H61" s="111" t="s">
        <v>1193</v>
      </c>
      <c r="I61" s="111" t="b">
        <v>0</v>
      </c>
      <c r="J61" s="114" t="s">
        <v>147</v>
      </c>
      <c r="K61" s="112" t="s">
        <v>1195</v>
      </c>
      <c r="L61" s="111" t="s">
        <v>820</v>
      </c>
      <c r="M61" s="112">
        <f t="shared" si="8"/>
        <v>135.30000000000001</v>
      </c>
      <c r="N61" s="114">
        <f t="shared" si="9"/>
        <v>9</v>
      </c>
      <c r="O61" s="119">
        <f t="shared" si="10"/>
        <v>1217.7</v>
      </c>
      <c r="P61" s="119">
        <f t="shared" si="11"/>
        <v>-331.92000000000007</v>
      </c>
      <c r="Q61" s="120">
        <f t="shared" si="12"/>
        <v>-0.272579453067258</v>
      </c>
      <c r="R61" s="114" t="str">
        <f t="shared" si="13"/>
        <v>Negative</v>
      </c>
      <c r="S61" s="113">
        <f t="shared" si="14"/>
        <v>1549.6200000000001</v>
      </c>
      <c r="T61" s="113">
        <f t="shared" si="7"/>
        <v>172.18</v>
      </c>
      <c r="U61" s="114" t="s">
        <v>1197</v>
      </c>
      <c r="V61" s="114" t="s">
        <v>161</v>
      </c>
      <c r="W61" s="121"/>
      <c r="X61" s="132">
        <v>172.18</v>
      </c>
      <c r="Z61" s="114">
        <v>0</v>
      </c>
      <c r="AA61" s="114" t="s">
        <v>154</v>
      </c>
      <c r="AB61" s="114">
        <v>1</v>
      </c>
      <c r="AC61" s="114" t="s">
        <v>164</v>
      </c>
      <c r="AD61" s="114" t="s">
        <v>1199</v>
      </c>
      <c r="AE61" s="114" t="s">
        <v>1198</v>
      </c>
      <c r="AF61" s="114" t="s">
        <v>119</v>
      </c>
      <c r="AG61" s="114" t="s">
        <v>2897</v>
      </c>
      <c r="AH61" s="114" t="s">
        <v>2851</v>
      </c>
      <c r="AI61" s="114" t="s">
        <v>151</v>
      </c>
      <c r="AJ61" s="132" t="s">
        <v>3124</v>
      </c>
      <c r="AK61" s="132" t="s">
        <v>3129</v>
      </c>
    </row>
    <row r="62" spans="1:37" s="114" customFormat="1" x14ac:dyDescent="0.35">
      <c r="A62" s="114">
        <v>174</v>
      </c>
      <c r="B62" s="114" t="s">
        <v>1208</v>
      </c>
      <c r="F62" s="111" t="s">
        <v>1206</v>
      </c>
      <c r="G62" s="111" t="s">
        <v>142</v>
      </c>
      <c r="H62" s="111" t="s">
        <v>1205</v>
      </c>
      <c r="I62" s="111" t="b">
        <v>0</v>
      </c>
      <c r="J62" s="114" t="s">
        <v>147</v>
      </c>
      <c r="K62" s="112" t="s">
        <v>1207</v>
      </c>
      <c r="L62" s="111" t="s">
        <v>145</v>
      </c>
      <c r="M62" s="112">
        <f t="shared" si="8"/>
        <v>8.32</v>
      </c>
      <c r="N62" s="114">
        <f t="shared" si="9"/>
        <v>144</v>
      </c>
      <c r="O62" s="119">
        <f t="shared" si="10"/>
        <v>1198.08</v>
      </c>
      <c r="P62" s="119">
        <f t="shared" si="11"/>
        <v>191.51999999999987</v>
      </c>
      <c r="Q62" s="120">
        <f t="shared" si="12"/>
        <v>0.15985576923076913</v>
      </c>
      <c r="R62" s="114" t="str">
        <f t="shared" si="13"/>
        <v>10-20%</v>
      </c>
      <c r="S62" s="113">
        <f t="shared" si="14"/>
        <v>1006.5600000000001</v>
      </c>
      <c r="T62" s="113">
        <f t="shared" si="7"/>
        <v>6.99</v>
      </c>
      <c r="U62" s="114" t="s">
        <v>1209</v>
      </c>
      <c r="V62" s="114" t="s">
        <v>150</v>
      </c>
      <c r="W62" s="121"/>
      <c r="X62" s="132">
        <v>6.99</v>
      </c>
      <c r="Z62" s="114">
        <v>0</v>
      </c>
      <c r="AA62" s="114" t="s">
        <v>154</v>
      </c>
      <c r="AB62" s="114">
        <v>1</v>
      </c>
      <c r="AC62" s="114" t="s">
        <v>334</v>
      </c>
      <c r="AD62" s="114" t="s">
        <v>1211</v>
      </c>
      <c r="AE62" s="114" t="s">
        <v>1210</v>
      </c>
      <c r="AF62" s="114" t="s">
        <v>119</v>
      </c>
      <c r="AG62" s="114" t="s">
        <v>3076</v>
      </c>
      <c r="AH62" s="114" t="s">
        <v>2903</v>
      </c>
      <c r="AI62" s="114" t="s">
        <v>151</v>
      </c>
      <c r="AJ62" s="132" t="s">
        <v>3124</v>
      </c>
      <c r="AK62" s="132" t="s">
        <v>7</v>
      </c>
    </row>
    <row r="63" spans="1:37" s="114" customFormat="1" ht="29" x14ac:dyDescent="0.35">
      <c r="A63" s="114">
        <v>175</v>
      </c>
      <c r="B63" s="114" t="s">
        <v>784</v>
      </c>
      <c r="F63" s="111" t="s">
        <v>1213</v>
      </c>
      <c r="G63" s="111" t="s">
        <v>142</v>
      </c>
      <c r="H63" s="111" t="s">
        <v>1212</v>
      </c>
      <c r="I63" s="111" t="b">
        <v>0</v>
      </c>
      <c r="J63" s="114" t="s">
        <v>147</v>
      </c>
      <c r="K63" s="112" t="s">
        <v>1214</v>
      </c>
      <c r="L63" s="111" t="s">
        <v>621</v>
      </c>
      <c r="M63" s="112">
        <f t="shared" si="8"/>
        <v>5.97</v>
      </c>
      <c r="N63" s="114">
        <f t="shared" si="9"/>
        <v>200</v>
      </c>
      <c r="O63" s="119">
        <f t="shared" si="10"/>
        <v>1194</v>
      </c>
      <c r="P63" s="119">
        <f t="shared" si="11"/>
        <v>-265.96000000000004</v>
      </c>
      <c r="Q63" s="120">
        <f t="shared" si="12"/>
        <v>-0.22274706867671695</v>
      </c>
      <c r="R63" s="114" t="str">
        <f t="shared" si="13"/>
        <v>Negative</v>
      </c>
      <c r="S63" s="113">
        <f t="shared" si="14"/>
        <v>1459.96</v>
      </c>
      <c r="T63" s="113">
        <f t="shared" si="7"/>
        <v>7.2998000000000003</v>
      </c>
      <c r="U63" s="114" t="s">
        <v>1215</v>
      </c>
      <c r="V63" s="114" t="s">
        <v>161</v>
      </c>
      <c r="W63" s="121"/>
      <c r="X63" s="132">
        <v>364.99</v>
      </c>
      <c r="Z63" s="114">
        <v>0</v>
      </c>
      <c r="AA63" s="114" t="s">
        <v>172</v>
      </c>
      <c r="AB63" s="114">
        <v>50</v>
      </c>
      <c r="AC63" s="114" t="s">
        <v>669</v>
      </c>
      <c r="AD63" s="114" t="s">
        <v>1216</v>
      </c>
      <c r="AE63" s="114" t="s">
        <v>2892</v>
      </c>
      <c r="AF63" s="114" t="s">
        <v>119</v>
      </c>
      <c r="AG63" s="114" t="s">
        <v>2869</v>
      </c>
      <c r="AH63" s="114" t="s">
        <v>2851</v>
      </c>
      <c r="AI63" s="114" t="s">
        <v>151</v>
      </c>
      <c r="AJ63" s="132" t="s">
        <v>3124</v>
      </c>
      <c r="AK63" s="132" t="s">
        <v>3129</v>
      </c>
    </row>
    <row r="64" spans="1:37" s="114" customFormat="1" ht="29" x14ac:dyDescent="0.35">
      <c r="A64" s="114">
        <v>180</v>
      </c>
      <c r="B64" s="114" t="s">
        <v>1243</v>
      </c>
      <c r="F64" s="111" t="s">
        <v>1241</v>
      </c>
      <c r="G64" s="111" t="s">
        <v>142</v>
      </c>
      <c r="H64" s="111" t="s">
        <v>1240</v>
      </c>
      <c r="I64" s="111" t="b">
        <v>0</v>
      </c>
      <c r="J64" s="114" t="s">
        <v>147</v>
      </c>
      <c r="K64" s="112" t="s">
        <v>1242</v>
      </c>
      <c r="L64" s="111" t="s">
        <v>1152</v>
      </c>
      <c r="M64" s="112">
        <f t="shared" si="8"/>
        <v>1.83</v>
      </c>
      <c r="N64" s="114">
        <f t="shared" si="9"/>
        <v>618</v>
      </c>
      <c r="O64" s="119">
        <f t="shared" si="10"/>
        <v>1130.94</v>
      </c>
      <c r="P64" s="119">
        <f t="shared" si="11"/>
        <v>-685.98</v>
      </c>
      <c r="Q64" s="120">
        <f t="shared" si="12"/>
        <v>-0.60655737704918034</v>
      </c>
      <c r="R64" s="114" t="str">
        <f t="shared" si="13"/>
        <v>Negative</v>
      </c>
      <c r="S64" s="113">
        <f t="shared" si="14"/>
        <v>1816.92</v>
      </c>
      <c r="T64" s="113">
        <f t="shared" si="7"/>
        <v>2.94</v>
      </c>
      <c r="U64" s="114" t="s">
        <v>1244</v>
      </c>
      <c r="V64" s="114" t="s">
        <v>161</v>
      </c>
      <c r="W64" s="121"/>
      <c r="X64" s="132">
        <v>2.94</v>
      </c>
      <c r="Z64" s="114">
        <v>0</v>
      </c>
      <c r="AA64" s="114" t="s">
        <v>154</v>
      </c>
      <c r="AB64" s="114">
        <v>1</v>
      </c>
      <c r="AC64" s="114" t="s">
        <v>1246</v>
      </c>
      <c r="AD64" s="114" t="s">
        <v>1245</v>
      </c>
      <c r="AE64" s="114" t="s">
        <v>3010</v>
      </c>
      <c r="AF64" s="114" t="s">
        <v>119</v>
      </c>
      <c r="AG64" s="114" t="s">
        <v>3011</v>
      </c>
      <c r="AH64" s="114" t="s">
        <v>3008</v>
      </c>
      <c r="AI64" s="114" t="s">
        <v>151</v>
      </c>
      <c r="AJ64" s="132" t="s">
        <v>3124</v>
      </c>
      <c r="AK64" s="132" t="s">
        <v>3129</v>
      </c>
    </row>
    <row r="65" spans="1:37" s="114" customFormat="1" x14ac:dyDescent="0.35">
      <c r="A65" s="114">
        <v>182</v>
      </c>
      <c r="B65" s="114" t="s">
        <v>587</v>
      </c>
      <c r="F65" s="111" t="s">
        <v>1255</v>
      </c>
      <c r="G65" s="111" t="s">
        <v>142</v>
      </c>
      <c r="H65" s="111" t="s">
        <v>1254</v>
      </c>
      <c r="I65" s="111" t="b">
        <v>0</v>
      </c>
      <c r="J65" s="114" t="s">
        <v>147</v>
      </c>
      <c r="K65" s="112" t="s">
        <v>1256</v>
      </c>
      <c r="L65" s="111" t="s">
        <v>527</v>
      </c>
      <c r="M65" s="112">
        <f t="shared" si="8"/>
        <v>372.48</v>
      </c>
      <c r="N65" s="114">
        <f t="shared" si="9"/>
        <v>3</v>
      </c>
      <c r="O65" s="119">
        <f t="shared" si="10"/>
        <v>1117.44</v>
      </c>
      <c r="P65" s="119">
        <f t="shared" si="11"/>
        <v>-323.84999999999991</v>
      </c>
      <c r="Q65" s="120">
        <f t="shared" si="12"/>
        <v>-0.28981421821305831</v>
      </c>
      <c r="R65" s="114" t="str">
        <f t="shared" si="13"/>
        <v>Negative</v>
      </c>
      <c r="S65" s="113">
        <f t="shared" si="14"/>
        <v>1441.29</v>
      </c>
      <c r="T65" s="113">
        <f t="shared" si="7"/>
        <v>480.43</v>
      </c>
      <c r="U65" s="114" t="s">
        <v>1257</v>
      </c>
      <c r="V65" s="114" t="s">
        <v>257</v>
      </c>
      <c r="W65" s="121"/>
      <c r="X65" s="132">
        <v>480.43</v>
      </c>
      <c r="Z65" s="114">
        <v>0</v>
      </c>
      <c r="AA65" s="114" t="s">
        <v>154</v>
      </c>
      <c r="AB65" s="114">
        <v>1</v>
      </c>
      <c r="AC65" s="114" t="s">
        <v>243</v>
      </c>
      <c r="AD65" s="114" t="s">
        <v>1258</v>
      </c>
      <c r="AE65" s="114" t="s">
        <v>2943</v>
      </c>
      <c r="AF65" s="114" t="s">
        <v>119</v>
      </c>
      <c r="AG65" s="114" t="s">
        <v>2945</v>
      </c>
      <c r="AH65" s="114" t="s">
        <v>2944</v>
      </c>
      <c r="AI65" s="114" t="s">
        <v>151</v>
      </c>
      <c r="AJ65" s="132" t="s">
        <v>3124</v>
      </c>
      <c r="AK65" s="132" t="s">
        <v>3129</v>
      </c>
    </row>
    <row r="66" spans="1:37" s="114" customFormat="1" ht="29" x14ac:dyDescent="0.35">
      <c r="A66" s="114">
        <v>184</v>
      </c>
      <c r="B66" s="114" t="s">
        <v>1269</v>
      </c>
      <c r="F66" s="111" t="s">
        <v>1267</v>
      </c>
      <c r="G66" s="111" t="s">
        <v>142</v>
      </c>
      <c r="H66" s="111" t="s">
        <v>1266</v>
      </c>
      <c r="I66" s="111" t="b">
        <v>0</v>
      </c>
      <c r="J66" s="114" t="s">
        <v>147</v>
      </c>
      <c r="K66" s="112" t="s">
        <v>1268</v>
      </c>
      <c r="L66" s="111" t="s">
        <v>866</v>
      </c>
      <c r="M66" s="112">
        <f t="shared" ref="M66:M97" si="15">IFERROR(IF(A66="","",K66/J66)," ")</f>
        <v>137.77000000000001</v>
      </c>
      <c r="N66" s="114">
        <f t="shared" ref="N66:N97" si="16">IFERROR(IF(A66="","",J66*L66)," ")</f>
        <v>8</v>
      </c>
      <c r="O66" s="119">
        <f t="shared" ref="O66:O97" si="17">IFERROR(M66*N66," ")</f>
        <v>1102.1600000000001</v>
      </c>
      <c r="P66" s="119">
        <f t="shared" ref="P66:P97" si="18">IFERROR(IF(A66="","",O66-S66)," ")</f>
        <v>-819.04</v>
      </c>
      <c r="Q66" s="120">
        <f t="shared" ref="Q66:Q97" si="19">IFERROR(IF(A66="","",P66/O66)," ")</f>
        <v>-0.7431225956303984</v>
      </c>
      <c r="R66" s="114" t="str">
        <f t="shared" ref="R66:R97" si="20">IFERROR(IF(A66="","",(IF(Q66&lt;0,"Negative",IF(Q66=0,"Same",IF(Q66&gt;0.3,"30+%",IF(Q66&gt;0.2,"20-30%",IF(Q66&gt;0.1,"10-20%",IF(Q66&lt;=0.1,"0-10%"))))))))," ")</f>
        <v>Negative</v>
      </c>
      <c r="S66" s="113">
        <f t="shared" ref="S66:S97" si="21">IFERROR(IF(A66="","",T66*N66)," ")</f>
        <v>1921.2</v>
      </c>
      <c r="T66" s="113">
        <f t="shared" si="7"/>
        <v>240.15</v>
      </c>
      <c r="U66" s="114" t="s">
        <v>1270</v>
      </c>
      <c r="V66" s="114" t="s">
        <v>150</v>
      </c>
      <c r="W66" s="121"/>
      <c r="X66" s="132">
        <v>240.15</v>
      </c>
      <c r="Z66" s="114">
        <v>0</v>
      </c>
      <c r="AA66" s="114" t="s">
        <v>154</v>
      </c>
      <c r="AB66" s="114">
        <v>1</v>
      </c>
      <c r="AC66" s="114" t="s">
        <v>193</v>
      </c>
      <c r="AD66" s="114" t="s">
        <v>1271</v>
      </c>
      <c r="AE66" s="114" t="s">
        <v>2883</v>
      </c>
      <c r="AF66" s="114" t="s">
        <v>119</v>
      </c>
      <c r="AG66" s="114" t="s">
        <v>2869</v>
      </c>
      <c r="AH66" s="114" t="s">
        <v>2851</v>
      </c>
      <c r="AI66" s="114" t="s">
        <v>151</v>
      </c>
      <c r="AJ66" s="132" t="s">
        <v>3124</v>
      </c>
      <c r="AK66" s="132" t="s">
        <v>3129</v>
      </c>
    </row>
    <row r="67" spans="1:37" s="114" customFormat="1" x14ac:dyDescent="0.35">
      <c r="A67" s="114">
        <v>186</v>
      </c>
      <c r="B67" s="114" t="s">
        <v>1279</v>
      </c>
      <c r="F67" s="111" t="s">
        <v>1277</v>
      </c>
      <c r="G67" s="111" t="s">
        <v>142</v>
      </c>
      <c r="H67" s="111" t="s">
        <v>1276</v>
      </c>
      <c r="I67" s="111" t="b">
        <v>0</v>
      </c>
      <c r="J67" s="114" t="s">
        <v>147</v>
      </c>
      <c r="K67" s="112" t="s">
        <v>1278</v>
      </c>
      <c r="L67" s="111" t="s">
        <v>253</v>
      </c>
      <c r="M67" s="112">
        <f t="shared" si="15"/>
        <v>45.53</v>
      </c>
      <c r="N67" s="114">
        <f t="shared" si="16"/>
        <v>24</v>
      </c>
      <c r="O67" s="119">
        <f t="shared" si="17"/>
        <v>1092.72</v>
      </c>
      <c r="P67" s="119">
        <f t="shared" si="18"/>
        <v>54.480000000000018</v>
      </c>
      <c r="Q67" s="120">
        <f t="shared" si="19"/>
        <v>4.9857236986602257E-2</v>
      </c>
      <c r="R67" s="114" t="str">
        <f t="shared" si="20"/>
        <v>0-10%</v>
      </c>
      <c r="S67" s="113">
        <f t="shared" si="21"/>
        <v>1038.24</v>
      </c>
      <c r="T67" s="113">
        <f t="shared" ref="T67:T103" si="22">IFERROR(IF(A67="","",X67/AB67)," ")</f>
        <v>43.26</v>
      </c>
      <c r="U67" s="114" t="s">
        <v>1280</v>
      </c>
      <c r="V67" s="114" t="s">
        <v>273</v>
      </c>
      <c r="W67" s="121"/>
      <c r="X67" s="132">
        <v>43.26</v>
      </c>
      <c r="Z67" s="114">
        <v>0</v>
      </c>
      <c r="AA67" s="114" t="s">
        <v>154</v>
      </c>
      <c r="AB67" s="114">
        <v>1</v>
      </c>
      <c r="AC67" s="114" t="s">
        <v>969</v>
      </c>
      <c r="AD67" s="114">
        <v>6962</v>
      </c>
      <c r="AE67" s="114" t="s">
        <v>968</v>
      </c>
      <c r="AF67" s="114" t="s">
        <v>119</v>
      </c>
      <c r="AG67" s="114" t="s">
        <v>3082</v>
      </c>
      <c r="AH67" s="114" t="s">
        <v>2944</v>
      </c>
      <c r="AI67" s="114" t="s">
        <v>151</v>
      </c>
      <c r="AJ67" s="132" t="s">
        <v>3124</v>
      </c>
      <c r="AK67" s="132" t="s">
        <v>7</v>
      </c>
    </row>
    <row r="68" spans="1:37" s="114" customFormat="1" x14ac:dyDescent="0.35">
      <c r="A68" s="114">
        <v>188</v>
      </c>
      <c r="B68" s="114" t="s">
        <v>1291</v>
      </c>
      <c r="F68" s="111" t="s">
        <v>1288</v>
      </c>
      <c r="G68" s="111" t="s">
        <v>142</v>
      </c>
      <c r="H68" s="111" t="s">
        <v>1287</v>
      </c>
      <c r="I68" s="111" t="b">
        <v>0</v>
      </c>
      <c r="J68" s="114" t="s">
        <v>147</v>
      </c>
      <c r="K68" s="112" t="s">
        <v>1290</v>
      </c>
      <c r="L68" s="111" t="s">
        <v>1289</v>
      </c>
      <c r="M68" s="112">
        <f t="shared" si="15"/>
        <v>24.38</v>
      </c>
      <c r="N68" s="114">
        <f t="shared" si="16"/>
        <v>44</v>
      </c>
      <c r="O68" s="119">
        <f t="shared" si="17"/>
        <v>1072.72</v>
      </c>
      <c r="P68" s="119">
        <f t="shared" si="18"/>
        <v>-662.2</v>
      </c>
      <c r="Q68" s="120">
        <f t="shared" si="19"/>
        <v>-0.61730926989335522</v>
      </c>
      <c r="R68" s="114" t="str">
        <f t="shared" si="20"/>
        <v>Negative</v>
      </c>
      <c r="S68" s="113">
        <f t="shared" si="21"/>
        <v>1734.92</v>
      </c>
      <c r="T68" s="113">
        <f t="shared" si="22"/>
        <v>39.43</v>
      </c>
      <c r="U68" s="114" t="s">
        <v>1292</v>
      </c>
      <c r="V68" s="114" t="s">
        <v>150</v>
      </c>
      <c r="W68" s="121"/>
      <c r="X68" s="132">
        <v>39.43</v>
      </c>
      <c r="Z68" s="114">
        <v>0</v>
      </c>
      <c r="AA68" s="114" t="s">
        <v>154</v>
      </c>
      <c r="AB68" s="114">
        <v>1</v>
      </c>
      <c r="AC68" s="114" t="s">
        <v>235</v>
      </c>
      <c r="AD68" s="114">
        <v>816654</v>
      </c>
      <c r="AE68" s="114" t="s">
        <v>2921</v>
      </c>
      <c r="AF68" s="114" t="s">
        <v>119</v>
      </c>
      <c r="AG68" s="114" t="s">
        <v>2922</v>
      </c>
      <c r="AH68" s="114" t="s">
        <v>2866</v>
      </c>
      <c r="AI68" s="114" t="s">
        <v>151</v>
      </c>
      <c r="AJ68" s="132" t="s">
        <v>3124</v>
      </c>
      <c r="AK68" s="132" t="s">
        <v>3129</v>
      </c>
    </row>
    <row r="69" spans="1:37" s="114" customFormat="1" x14ac:dyDescent="0.35">
      <c r="A69" s="114">
        <v>190</v>
      </c>
      <c r="B69" s="114" t="s">
        <v>1302</v>
      </c>
      <c r="F69" s="111" t="s">
        <v>1300</v>
      </c>
      <c r="G69" s="111" t="s">
        <v>142</v>
      </c>
      <c r="H69" s="111" t="s">
        <v>1299</v>
      </c>
      <c r="I69" s="111" t="b">
        <v>0</v>
      </c>
      <c r="J69" s="114" t="s">
        <v>147</v>
      </c>
      <c r="K69" s="112" t="s">
        <v>1301</v>
      </c>
      <c r="L69" s="111" t="s">
        <v>392</v>
      </c>
      <c r="M69" s="112">
        <f t="shared" si="15"/>
        <v>96.16</v>
      </c>
      <c r="N69" s="114">
        <f t="shared" si="16"/>
        <v>11</v>
      </c>
      <c r="O69" s="119">
        <f t="shared" si="17"/>
        <v>1057.76</v>
      </c>
      <c r="P69" s="119">
        <f t="shared" si="18"/>
        <v>157.63</v>
      </c>
      <c r="Q69" s="120">
        <f t="shared" si="19"/>
        <v>0.14902246256239601</v>
      </c>
      <c r="R69" s="114" t="str">
        <f t="shared" si="20"/>
        <v>10-20%</v>
      </c>
      <c r="S69" s="113">
        <f t="shared" si="21"/>
        <v>900.13</v>
      </c>
      <c r="T69" s="113">
        <f t="shared" si="22"/>
        <v>81.83</v>
      </c>
      <c r="U69" s="114" t="s">
        <v>1303</v>
      </c>
      <c r="V69" s="114" t="s">
        <v>150</v>
      </c>
      <c r="W69" s="121"/>
      <c r="X69" s="132">
        <v>81.83</v>
      </c>
      <c r="Z69" s="114">
        <v>0</v>
      </c>
      <c r="AA69" s="114" t="s">
        <v>154</v>
      </c>
      <c r="AB69" s="114">
        <v>1</v>
      </c>
      <c r="AC69" s="114" t="s">
        <v>274</v>
      </c>
      <c r="AD69" s="114">
        <v>10022328</v>
      </c>
      <c r="AE69" s="114" t="s">
        <v>3024</v>
      </c>
      <c r="AF69" s="114" t="s">
        <v>119</v>
      </c>
      <c r="AG69" s="114" t="s">
        <v>2949</v>
      </c>
      <c r="AH69" s="114" t="s">
        <v>2944</v>
      </c>
      <c r="AI69" s="114" t="s">
        <v>151</v>
      </c>
      <c r="AJ69" s="132" t="s">
        <v>3124</v>
      </c>
      <c r="AK69" s="132" t="s">
        <v>7</v>
      </c>
    </row>
    <row r="70" spans="1:37" s="114" customFormat="1" x14ac:dyDescent="0.35">
      <c r="A70" s="114">
        <v>191</v>
      </c>
      <c r="B70" s="114" t="s">
        <v>599</v>
      </c>
      <c r="F70" s="111" t="s">
        <v>1305</v>
      </c>
      <c r="G70" s="111" t="s">
        <v>142</v>
      </c>
      <c r="H70" s="111" t="s">
        <v>1304</v>
      </c>
      <c r="I70" s="111" t="b">
        <v>0</v>
      </c>
      <c r="J70" s="114" t="s">
        <v>147</v>
      </c>
      <c r="K70" s="112" t="s">
        <v>1307</v>
      </c>
      <c r="L70" s="111" t="s">
        <v>1306</v>
      </c>
      <c r="M70" s="112">
        <f t="shared" si="15"/>
        <v>26.23</v>
      </c>
      <c r="N70" s="114">
        <f t="shared" si="16"/>
        <v>40</v>
      </c>
      <c r="O70" s="119">
        <f t="shared" si="17"/>
        <v>1049.2</v>
      </c>
      <c r="P70" s="119">
        <f t="shared" si="18"/>
        <v>-444.79999999999995</v>
      </c>
      <c r="Q70" s="120">
        <f t="shared" si="19"/>
        <v>-0.42394205108654209</v>
      </c>
      <c r="R70" s="114" t="str">
        <f t="shared" si="20"/>
        <v>Negative</v>
      </c>
      <c r="S70" s="113">
        <f t="shared" si="21"/>
        <v>1494</v>
      </c>
      <c r="T70" s="113">
        <f t="shared" si="22"/>
        <v>37.35</v>
      </c>
      <c r="U70" s="114" t="s">
        <v>1308</v>
      </c>
      <c r="V70" s="114" t="s">
        <v>161</v>
      </c>
      <c r="W70" s="121"/>
      <c r="X70" s="132">
        <v>37.35</v>
      </c>
      <c r="Z70" s="114">
        <v>0</v>
      </c>
      <c r="AA70" s="114" t="s">
        <v>154</v>
      </c>
      <c r="AB70" s="114">
        <v>1</v>
      </c>
      <c r="AC70" s="114" t="s">
        <v>193</v>
      </c>
      <c r="AD70" s="114" t="s">
        <v>1309</v>
      </c>
      <c r="AE70" s="114" t="s">
        <v>2898</v>
      </c>
      <c r="AF70" s="114" t="s">
        <v>119</v>
      </c>
      <c r="AG70" s="114" t="s">
        <v>2899</v>
      </c>
      <c r="AH70" s="114" t="s">
        <v>2866</v>
      </c>
      <c r="AI70" s="114" t="s">
        <v>151</v>
      </c>
      <c r="AJ70" s="132" t="s">
        <v>3124</v>
      </c>
      <c r="AK70" s="132" t="s">
        <v>3129</v>
      </c>
    </row>
    <row r="71" spans="1:37" s="114" customFormat="1" x14ac:dyDescent="0.35">
      <c r="A71" s="114">
        <v>193</v>
      </c>
      <c r="B71" s="114" t="s">
        <v>1317</v>
      </c>
      <c r="F71" s="111" t="s">
        <v>1315</v>
      </c>
      <c r="G71" s="111" t="s">
        <v>142</v>
      </c>
      <c r="H71" s="111" t="s">
        <v>1314</v>
      </c>
      <c r="I71" s="111" t="b">
        <v>0</v>
      </c>
      <c r="J71" s="114" t="s">
        <v>147</v>
      </c>
      <c r="K71" s="112" t="s">
        <v>1316</v>
      </c>
      <c r="L71" s="111" t="s">
        <v>914</v>
      </c>
      <c r="M71" s="112">
        <f t="shared" si="15"/>
        <v>12.3</v>
      </c>
      <c r="N71" s="114">
        <f t="shared" si="16"/>
        <v>84</v>
      </c>
      <c r="O71" s="119">
        <f t="shared" si="17"/>
        <v>1033.2</v>
      </c>
      <c r="P71" s="119">
        <f t="shared" si="18"/>
        <v>51.240000000000123</v>
      </c>
      <c r="Q71" s="120">
        <f t="shared" si="19"/>
        <v>4.9593495934959465E-2</v>
      </c>
      <c r="R71" s="114" t="str">
        <f t="shared" si="20"/>
        <v>0-10%</v>
      </c>
      <c r="S71" s="113">
        <f t="shared" si="21"/>
        <v>981.95999999999992</v>
      </c>
      <c r="T71" s="113">
        <f t="shared" si="22"/>
        <v>11.69</v>
      </c>
      <c r="U71" s="114" t="s">
        <v>1318</v>
      </c>
      <c r="V71" s="114" t="s">
        <v>150</v>
      </c>
      <c r="W71" s="121"/>
      <c r="X71" s="132">
        <v>11.69</v>
      </c>
      <c r="Z71" s="114">
        <v>0</v>
      </c>
      <c r="AA71" s="114" t="s">
        <v>213</v>
      </c>
      <c r="AB71" s="114">
        <v>1</v>
      </c>
      <c r="AC71" s="114" t="s">
        <v>560</v>
      </c>
      <c r="AD71" s="114" t="s">
        <v>1319</v>
      </c>
      <c r="AE71" s="114" t="s">
        <v>3004</v>
      </c>
      <c r="AF71" s="114" t="s">
        <v>119</v>
      </c>
      <c r="AG71" s="114" t="s">
        <v>2972</v>
      </c>
      <c r="AH71" s="114" t="s">
        <v>2903</v>
      </c>
      <c r="AI71" s="114" t="s">
        <v>151</v>
      </c>
      <c r="AJ71" s="132" t="s">
        <v>3124</v>
      </c>
      <c r="AK71" s="132" t="s">
        <v>7</v>
      </c>
    </row>
    <row r="72" spans="1:37" s="114" customFormat="1" x14ac:dyDescent="0.35">
      <c r="A72" s="114">
        <v>194</v>
      </c>
      <c r="B72" s="114" t="s">
        <v>1324</v>
      </c>
      <c r="F72" s="111" t="s">
        <v>1321</v>
      </c>
      <c r="G72" s="111" t="s">
        <v>142</v>
      </c>
      <c r="H72" s="111" t="s">
        <v>1320</v>
      </c>
      <c r="I72" s="111" t="b">
        <v>0</v>
      </c>
      <c r="J72" s="114" t="s">
        <v>147</v>
      </c>
      <c r="K72" s="112" t="s">
        <v>1323</v>
      </c>
      <c r="L72" s="111" t="s">
        <v>1322</v>
      </c>
      <c r="M72" s="112">
        <f t="shared" si="15"/>
        <v>4.91</v>
      </c>
      <c r="N72" s="114">
        <f t="shared" si="16"/>
        <v>210</v>
      </c>
      <c r="O72" s="119">
        <f t="shared" si="17"/>
        <v>1031.1000000000001</v>
      </c>
      <c r="P72" s="119">
        <f t="shared" si="18"/>
        <v>50.400000000000205</v>
      </c>
      <c r="Q72" s="120">
        <f t="shared" si="19"/>
        <v>4.8879837067209969E-2</v>
      </c>
      <c r="R72" s="114" t="str">
        <f t="shared" si="20"/>
        <v>0-10%</v>
      </c>
      <c r="S72" s="113">
        <f t="shared" si="21"/>
        <v>980.69999999999993</v>
      </c>
      <c r="T72" s="113">
        <f t="shared" si="22"/>
        <v>4.67</v>
      </c>
      <c r="U72" s="114" t="s">
        <v>1325</v>
      </c>
      <c r="V72" s="114" t="s">
        <v>150</v>
      </c>
      <c r="W72" s="121"/>
      <c r="X72" s="132">
        <v>4.67</v>
      </c>
      <c r="Z72" s="114">
        <v>0</v>
      </c>
      <c r="AA72" s="114" t="s">
        <v>154</v>
      </c>
      <c r="AB72" s="114">
        <v>1</v>
      </c>
      <c r="AC72" s="114" t="s">
        <v>171</v>
      </c>
      <c r="AD72" s="114">
        <v>7620</v>
      </c>
      <c r="AE72" s="114" t="s">
        <v>3102</v>
      </c>
      <c r="AF72" s="114" t="s">
        <v>119</v>
      </c>
      <c r="AG72" s="114" t="s">
        <v>3104</v>
      </c>
      <c r="AH72" s="114" t="s">
        <v>3103</v>
      </c>
      <c r="AI72" s="114" t="s">
        <v>3130</v>
      </c>
      <c r="AJ72" s="132" t="s">
        <v>3124</v>
      </c>
      <c r="AK72" s="132" t="s">
        <v>7</v>
      </c>
    </row>
    <row r="73" spans="1:37" s="114" customFormat="1" x14ac:dyDescent="0.35">
      <c r="A73" s="114">
        <v>197</v>
      </c>
      <c r="B73" s="114" t="s">
        <v>1341</v>
      </c>
      <c r="F73" s="111" t="s">
        <v>1339</v>
      </c>
      <c r="G73" s="111" t="s">
        <v>142</v>
      </c>
      <c r="H73" s="111" t="s">
        <v>1338</v>
      </c>
      <c r="I73" s="111" t="b">
        <v>0</v>
      </c>
      <c r="J73" s="114" t="s">
        <v>147</v>
      </c>
      <c r="K73" s="112" t="s">
        <v>1340</v>
      </c>
      <c r="L73" s="111" t="s">
        <v>145</v>
      </c>
      <c r="M73" s="112">
        <f t="shared" si="15"/>
        <v>7</v>
      </c>
      <c r="N73" s="114">
        <f t="shared" si="16"/>
        <v>144</v>
      </c>
      <c r="O73" s="119">
        <f t="shared" si="17"/>
        <v>1008</v>
      </c>
      <c r="P73" s="119">
        <f t="shared" si="18"/>
        <v>30.240000000000009</v>
      </c>
      <c r="Q73" s="120">
        <f t="shared" si="19"/>
        <v>3.0000000000000009E-2</v>
      </c>
      <c r="R73" s="114" t="str">
        <f t="shared" si="20"/>
        <v>0-10%</v>
      </c>
      <c r="S73" s="113">
        <f t="shared" si="21"/>
        <v>977.76</v>
      </c>
      <c r="T73" s="113">
        <f t="shared" si="22"/>
        <v>6.79</v>
      </c>
      <c r="U73" s="114" t="s">
        <v>1342</v>
      </c>
      <c r="V73" s="114" t="s">
        <v>150</v>
      </c>
      <c r="W73" s="121"/>
      <c r="X73" s="132">
        <v>6.79</v>
      </c>
      <c r="Z73" s="114">
        <v>0</v>
      </c>
      <c r="AA73" s="114" t="s">
        <v>213</v>
      </c>
      <c r="AB73" s="114">
        <v>1</v>
      </c>
      <c r="AC73" s="114" t="s">
        <v>560</v>
      </c>
      <c r="AD73" s="114" t="s">
        <v>1343</v>
      </c>
      <c r="AE73" s="114" t="s">
        <v>3002</v>
      </c>
      <c r="AF73" s="114" t="s">
        <v>119</v>
      </c>
      <c r="AG73" s="114" t="s">
        <v>2967</v>
      </c>
      <c r="AH73" s="114" t="s">
        <v>2903</v>
      </c>
      <c r="AI73" s="114" t="s">
        <v>151</v>
      </c>
      <c r="AJ73" s="132" t="s">
        <v>3124</v>
      </c>
      <c r="AK73" s="132" t="s">
        <v>7</v>
      </c>
    </row>
    <row r="74" spans="1:37" s="114" customFormat="1" x14ac:dyDescent="0.35">
      <c r="A74" s="114">
        <v>198</v>
      </c>
      <c r="B74" s="114" t="s">
        <v>831</v>
      </c>
      <c r="F74" s="111" t="s">
        <v>1345</v>
      </c>
      <c r="G74" s="111" t="s">
        <v>142</v>
      </c>
      <c r="H74" s="111" t="s">
        <v>1344</v>
      </c>
      <c r="I74" s="111" t="b">
        <v>0</v>
      </c>
      <c r="J74" s="114" t="s">
        <v>147</v>
      </c>
      <c r="K74" s="112" t="s">
        <v>1347</v>
      </c>
      <c r="L74" s="111" t="s">
        <v>1346</v>
      </c>
      <c r="M74" s="112">
        <f t="shared" si="15"/>
        <v>13.84</v>
      </c>
      <c r="N74" s="114">
        <f t="shared" si="16"/>
        <v>72</v>
      </c>
      <c r="O74" s="119">
        <f t="shared" si="17"/>
        <v>996.48</v>
      </c>
      <c r="P74" s="119">
        <f t="shared" si="18"/>
        <v>-769.68000000000006</v>
      </c>
      <c r="Q74" s="120">
        <f t="shared" si="19"/>
        <v>-0.77239884393063585</v>
      </c>
      <c r="R74" s="114" t="str">
        <f t="shared" si="20"/>
        <v>Negative</v>
      </c>
      <c r="S74" s="113">
        <f t="shared" si="21"/>
        <v>1766.16</v>
      </c>
      <c r="T74" s="113">
        <f t="shared" si="22"/>
        <v>24.53</v>
      </c>
      <c r="U74" s="114" t="s">
        <v>1348</v>
      </c>
      <c r="V74" s="114" t="s">
        <v>161</v>
      </c>
      <c r="W74" s="121"/>
      <c r="X74" s="132">
        <v>24.53</v>
      </c>
      <c r="Z74" s="114">
        <v>0</v>
      </c>
      <c r="AA74" s="114" t="s">
        <v>213</v>
      </c>
      <c r="AB74" s="114">
        <v>1</v>
      </c>
      <c r="AC74" s="114" t="s">
        <v>1350</v>
      </c>
      <c r="AD74" s="114" t="s">
        <v>1349</v>
      </c>
      <c r="AE74" s="114" t="s">
        <v>2992</v>
      </c>
      <c r="AF74" s="114" t="s">
        <v>119</v>
      </c>
      <c r="AG74" s="114" t="s">
        <v>2967</v>
      </c>
      <c r="AH74" s="114" t="s">
        <v>2903</v>
      </c>
      <c r="AI74" s="114" t="s">
        <v>151</v>
      </c>
      <c r="AJ74" s="132" t="s">
        <v>3124</v>
      </c>
      <c r="AK74" s="132" t="s">
        <v>3129</v>
      </c>
    </row>
    <row r="75" spans="1:37" s="114" customFormat="1" x14ac:dyDescent="0.35">
      <c r="A75" s="114">
        <v>202</v>
      </c>
      <c r="B75" s="114" t="s">
        <v>231</v>
      </c>
      <c r="F75" s="111" t="s">
        <v>1367</v>
      </c>
      <c r="G75" s="111" t="s">
        <v>142</v>
      </c>
      <c r="H75" s="111" t="s">
        <v>1366</v>
      </c>
      <c r="I75" s="111" t="b">
        <v>0</v>
      </c>
      <c r="J75" s="114" t="s">
        <v>147</v>
      </c>
      <c r="K75" s="112" t="s">
        <v>1368</v>
      </c>
      <c r="L75" s="111" t="s">
        <v>505</v>
      </c>
      <c r="M75" s="112">
        <f t="shared" si="15"/>
        <v>484.35</v>
      </c>
      <c r="N75" s="114">
        <f t="shared" si="16"/>
        <v>2</v>
      </c>
      <c r="O75" s="119">
        <f t="shared" si="17"/>
        <v>968.7</v>
      </c>
      <c r="P75" s="119">
        <f t="shared" si="18"/>
        <v>-325.03999999999996</v>
      </c>
      <c r="Q75" s="120">
        <f t="shared" si="19"/>
        <v>-0.33554247961185091</v>
      </c>
      <c r="R75" s="114" t="str">
        <f t="shared" si="20"/>
        <v>Negative</v>
      </c>
      <c r="S75" s="113">
        <f t="shared" si="21"/>
        <v>1293.74</v>
      </c>
      <c r="T75" s="113">
        <f t="shared" si="22"/>
        <v>646.87</v>
      </c>
      <c r="U75" s="114" t="s">
        <v>1369</v>
      </c>
      <c r="V75" s="114" t="s">
        <v>150</v>
      </c>
      <c r="W75" s="121"/>
      <c r="X75" s="132">
        <v>646.87</v>
      </c>
      <c r="Z75" s="114">
        <v>0</v>
      </c>
      <c r="AA75" s="114" t="s">
        <v>154</v>
      </c>
      <c r="AB75" s="114">
        <v>1</v>
      </c>
      <c r="AC75" s="114" t="s">
        <v>341</v>
      </c>
      <c r="AD75" s="114">
        <v>2108406</v>
      </c>
      <c r="AE75" s="114" t="s">
        <v>3060</v>
      </c>
      <c r="AF75" s="114" t="s">
        <v>119</v>
      </c>
      <c r="AG75" s="114" t="s">
        <v>3061</v>
      </c>
      <c r="AH75" s="114" t="s">
        <v>3049</v>
      </c>
      <c r="AI75" s="114" t="s">
        <v>151</v>
      </c>
      <c r="AJ75" s="132" t="s">
        <v>3124</v>
      </c>
      <c r="AK75" s="132" t="s">
        <v>3129</v>
      </c>
    </row>
    <row r="76" spans="1:37" s="114" customFormat="1" x14ac:dyDescent="0.35">
      <c r="A76" s="114">
        <v>205</v>
      </c>
      <c r="B76" s="114" t="s">
        <v>1381</v>
      </c>
      <c r="F76" s="111" t="s">
        <v>1379</v>
      </c>
      <c r="G76" s="111" t="s">
        <v>142</v>
      </c>
      <c r="H76" s="111" t="s">
        <v>1378</v>
      </c>
      <c r="I76" s="111" t="b">
        <v>0</v>
      </c>
      <c r="J76" s="114" t="s">
        <v>147</v>
      </c>
      <c r="K76" s="112" t="s">
        <v>1380</v>
      </c>
      <c r="L76" s="111" t="s">
        <v>482</v>
      </c>
      <c r="M76" s="112">
        <f t="shared" si="15"/>
        <v>13.41</v>
      </c>
      <c r="N76" s="114">
        <f t="shared" si="16"/>
        <v>71</v>
      </c>
      <c r="O76" s="119">
        <f t="shared" si="17"/>
        <v>952.11</v>
      </c>
      <c r="P76" s="119">
        <f t="shared" si="18"/>
        <v>-176.79000000000008</v>
      </c>
      <c r="Q76" s="120">
        <f t="shared" si="19"/>
        <v>-0.18568232662192402</v>
      </c>
      <c r="R76" s="114" t="str">
        <f t="shared" si="20"/>
        <v>Negative</v>
      </c>
      <c r="S76" s="113">
        <f t="shared" si="21"/>
        <v>1128.9000000000001</v>
      </c>
      <c r="T76" s="113">
        <f t="shared" si="22"/>
        <v>15.9</v>
      </c>
      <c r="U76" s="114" t="s">
        <v>1382</v>
      </c>
      <c r="V76" s="114" t="s">
        <v>161</v>
      </c>
      <c r="W76" s="121"/>
      <c r="X76" s="132">
        <v>15.9</v>
      </c>
      <c r="Z76" s="114">
        <v>0</v>
      </c>
      <c r="AA76" s="114" t="s">
        <v>213</v>
      </c>
      <c r="AB76" s="114">
        <v>1</v>
      </c>
      <c r="AC76" s="114" t="s">
        <v>560</v>
      </c>
      <c r="AD76" s="114" t="s">
        <v>1383</v>
      </c>
      <c r="AE76" s="114" t="s">
        <v>3005</v>
      </c>
      <c r="AF76" s="114" t="s">
        <v>119</v>
      </c>
      <c r="AG76" s="114" t="s">
        <v>2967</v>
      </c>
      <c r="AH76" s="114" t="s">
        <v>2903</v>
      </c>
      <c r="AI76" s="114" t="s">
        <v>3130</v>
      </c>
      <c r="AJ76" s="132" t="s">
        <v>3124</v>
      </c>
      <c r="AK76" s="132" t="s">
        <v>3129</v>
      </c>
    </row>
    <row r="77" spans="1:37" s="114" customFormat="1" x14ac:dyDescent="0.35">
      <c r="A77" s="114">
        <v>206</v>
      </c>
      <c r="B77" s="114" t="s">
        <v>1387</v>
      </c>
      <c r="F77" s="111" t="s">
        <v>1385</v>
      </c>
      <c r="G77" s="111" t="s">
        <v>142</v>
      </c>
      <c r="H77" s="111" t="s">
        <v>1384</v>
      </c>
      <c r="I77" s="111" t="b">
        <v>0</v>
      </c>
      <c r="J77" s="114" t="s">
        <v>147</v>
      </c>
      <c r="K77" s="112" t="s">
        <v>1386</v>
      </c>
      <c r="L77" s="111" t="s">
        <v>392</v>
      </c>
      <c r="M77" s="112">
        <f t="shared" si="15"/>
        <v>85.83</v>
      </c>
      <c r="N77" s="114">
        <f t="shared" si="16"/>
        <v>11</v>
      </c>
      <c r="O77" s="119">
        <f t="shared" si="17"/>
        <v>944.13</v>
      </c>
      <c r="P77" s="119">
        <f t="shared" si="18"/>
        <v>-724.2399999999999</v>
      </c>
      <c r="Q77" s="120">
        <f t="shared" si="19"/>
        <v>-0.76709775136898506</v>
      </c>
      <c r="R77" s="114" t="str">
        <f t="shared" si="20"/>
        <v>Negative</v>
      </c>
      <c r="S77" s="113">
        <f t="shared" si="21"/>
        <v>1668.37</v>
      </c>
      <c r="T77" s="113">
        <f t="shared" si="22"/>
        <v>151.66999999999999</v>
      </c>
      <c r="U77" s="114" t="s">
        <v>1388</v>
      </c>
      <c r="V77" s="114" t="s">
        <v>161</v>
      </c>
      <c r="W77" s="121"/>
      <c r="X77" s="132">
        <v>151.66999999999999</v>
      </c>
      <c r="Z77" s="114">
        <v>0</v>
      </c>
      <c r="AA77" s="114" t="s">
        <v>154</v>
      </c>
      <c r="AB77" s="114">
        <v>1</v>
      </c>
      <c r="AC77" s="114" t="s">
        <v>669</v>
      </c>
      <c r="AD77" s="114" t="s">
        <v>1390</v>
      </c>
      <c r="AE77" s="114" t="s">
        <v>1389</v>
      </c>
      <c r="AF77" s="114" t="s">
        <v>122</v>
      </c>
      <c r="AG77" s="114" t="s">
        <v>2857</v>
      </c>
      <c r="AH77" s="114" t="s">
        <v>2856</v>
      </c>
      <c r="AI77" s="114" t="s">
        <v>151</v>
      </c>
      <c r="AJ77" s="132" t="s">
        <v>3124</v>
      </c>
      <c r="AK77" s="132" t="s">
        <v>3129</v>
      </c>
    </row>
    <row r="78" spans="1:37" s="114" customFormat="1" ht="29" x14ac:dyDescent="0.35">
      <c r="A78" s="114">
        <v>207</v>
      </c>
      <c r="B78" s="114" t="s">
        <v>1394</v>
      </c>
      <c r="F78" s="111" t="s">
        <v>1392</v>
      </c>
      <c r="G78" s="111" t="s">
        <v>142</v>
      </c>
      <c r="H78" s="111" t="s">
        <v>1391</v>
      </c>
      <c r="I78" s="111" t="b">
        <v>0</v>
      </c>
      <c r="J78" s="114" t="s">
        <v>147</v>
      </c>
      <c r="K78" s="112" t="s">
        <v>1393</v>
      </c>
      <c r="L78" s="111" t="s">
        <v>277</v>
      </c>
      <c r="M78" s="112">
        <f t="shared" si="15"/>
        <v>47.17</v>
      </c>
      <c r="N78" s="114">
        <f t="shared" si="16"/>
        <v>20</v>
      </c>
      <c r="O78" s="119">
        <f t="shared" si="17"/>
        <v>943.40000000000009</v>
      </c>
      <c r="P78" s="119">
        <f t="shared" si="18"/>
        <v>3.6000000000001364</v>
      </c>
      <c r="Q78" s="120">
        <f t="shared" si="19"/>
        <v>3.8159847360612E-3</v>
      </c>
      <c r="R78" s="114" t="str">
        <f t="shared" si="20"/>
        <v>0-10%</v>
      </c>
      <c r="S78" s="113">
        <f t="shared" si="21"/>
        <v>939.8</v>
      </c>
      <c r="T78" s="113">
        <f t="shared" si="22"/>
        <v>46.989999999999995</v>
      </c>
      <c r="U78" s="114" t="s">
        <v>1395</v>
      </c>
      <c r="V78" s="114" t="s">
        <v>161</v>
      </c>
      <c r="W78" s="121"/>
      <c r="X78" s="132">
        <v>46.989999999999995</v>
      </c>
      <c r="Z78" s="114">
        <v>0</v>
      </c>
      <c r="AA78" s="114" t="s">
        <v>154</v>
      </c>
      <c r="AB78" s="114">
        <v>1</v>
      </c>
      <c r="AC78" s="114" t="s">
        <v>164</v>
      </c>
      <c r="AD78" s="114" t="s">
        <v>1397</v>
      </c>
      <c r="AE78" s="114" t="s">
        <v>1396</v>
      </c>
      <c r="AF78" s="114" t="s">
        <v>119</v>
      </c>
      <c r="AG78" s="114" t="s">
        <v>2869</v>
      </c>
      <c r="AH78" s="114" t="s">
        <v>2851</v>
      </c>
      <c r="AI78" s="114" t="s">
        <v>151</v>
      </c>
      <c r="AJ78" s="132" t="s">
        <v>3124</v>
      </c>
      <c r="AK78" s="132" t="s">
        <v>7</v>
      </c>
    </row>
    <row r="79" spans="1:37" s="114" customFormat="1" x14ac:dyDescent="0.35">
      <c r="A79" s="114">
        <v>210</v>
      </c>
      <c r="B79" s="114" t="s">
        <v>1413</v>
      </c>
      <c r="F79" s="111" t="s">
        <v>1411</v>
      </c>
      <c r="G79" s="111" t="s">
        <v>142</v>
      </c>
      <c r="H79" s="111" t="s">
        <v>1410</v>
      </c>
      <c r="I79" s="111" t="b">
        <v>0</v>
      </c>
      <c r="J79" s="114" t="s">
        <v>147</v>
      </c>
      <c r="K79" s="112" t="s">
        <v>1412</v>
      </c>
      <c r="L79" s="111" t="s">
        <v>802</v>
      </c>
      <c r="M79" s="112">
        <f t="shared" si="15"/>
        <v>27.21</v>
      </c>
      <c r="N79" s="114">
        <f t="shared" si="16"/>
        <v>32</v>
      </c>
      <c r="O79" s="119">
        <f t="shared" si="17"/>
        <v>870.72</v>
      </c>
      <c r="P79" s="119">
        <f t="shared" si="18"/>
        <v>-479.3599999999999</v>
      </c>
      <c r="Q79" s="120">
        <f t="shared" si="19"/>
        <v>-0.55053289231900027</v>
      </c>
      <c r="R79" s="114" t="str">
        <f t="shared" si="20"/>
        <v>Negative</v>
      </c>
      <c r="S79" s="113">
        <f t="shared" si="21"/>
        <v>1350.08</v>
      </c>
      <c r="T79" s="113">
        <f t="shared" si="22"/>
        <v>42.19</v>
      </c>
      <c r="U79" s="114" t="s">
        <v>1414</v>
      </c>
      <c r="V79" s="114" t="s">
        <v>150</v>
      </c>
      <c r="W79" s="121"/>
      <c r="X79" s="132">
        <v>42.19</v>
      </c>
      <c r="Z79" s="114">
        <v>0</v>
      </c>
      <c r="AA79" s="114" t="s">
        <v>154</v>
      </c>
      <c r="AB79" s="114">
        <v>1</v>
      </c>
      <c r="AC79" s="114" t="s">
        <v>334</v>
      </c>
      <c r="AD79" s="114" t="s">
        <v>1416</v>
      </c>
      <c r="AE79" s="114" t="s">
        <v>1415</v>
      </c>
      <c r="AF79" s="114" t="s">
        <v>119</v>
      </c>
      <c r="AG79" s="114" t="s">
        <v>3074</v>
      </c>
      <c r="AH79" s="114" t="s">
        <v>2944</v>
      </c>
      <c r="AI79" s="114" t="s">
        <v>151</v>
      </c>
      <c r="AJ79" s="132" t="s">
        <v>3124</v>
      </c>
      <c r="AK79" s="132" t="s">
        <v>3129</v>
      </c>
    </row>
    <row r="80" spans="1:37" s="114" customFormat="1" x14ac:dyDescent="0.35">
      <c r="A80" s="114">
        <v>212</v>
      </c>
      <c r="B80" s="114" t="s">
        <v>1423</v>
      </c>
      <c r="F80" s="111" t="s">
        <v>1421</v>
      </c>
      <c r="G80" s="111" t="s">
        <v>142</v>
      </c>
      <c r="H80" s="111" t="s">
        <v>1420</v>
      </c>
      <c r="I80" s="111" t="b">
        <v>0</v>
      </c>
      <c r="J80" s="114" t="s">
        <v>147</v>
      </c>
      <c r="K80" s="112" t="s">
        <v>1422</v>
      </c>
      <c r="L80" s="111" t="s">
        <v>1329</v>
      </c>
      <c r="M80" s="112">
        <f t="shared" si="15"/>
        <v>9.3800000000000008</v>
      </c>
      <c r="N80" s="114">
        <f t="shared" si="16"/>
        <v>91</v>
      </c>
      <c r="O80" s="119">
        <f t="shared" si="17"/>
        <v>853.58</v>
      </c>
      <c r="P80" s="119">
        <f t="shared" si="18"/>
        <v>-360.36</v>
      </c>
      <c r="Q80" s="120">
        <f t="shared" si="19"/>
        <v>-0.42217484008528783</v>
      </c>
      <c r="R80" s="114" t="str">
        <f t="shared" si="20"/>
        <v>Negative</v>
      </c>
      <c r="S80" s="113">
        <f t="shared" si="21"/>
        <v>1213.94</v>
      </c>
      <c r="T80" s="113">
        <f t="shared" si="22"/>
        <v>13.34</v>
      </c>
      <c r="U80" s="114" t="s">
        <v>1424</v>
      </c>
      <c r="V80" s="114" t="s">
        <v>161</v>
      </c>
      <c r="W80" s="121"/>
      <c r="X80" s="132">
        <v>13.34</v>
      </c>
      <c r="Z80" s="114">
        <v>0</v>
      </c>
      <c r="AA80" s="114" t="s">
        <v>154</v>
      </c>
      <c r="AB80" s="114">
        <v>1</v>
      </c>
      <c r="AC80" s="114" t="s">
        <v>1138</v>
      </c>
      <c r="AD80" s="114" t="s">
        <v>1425</v>
      </c>
      <c r="AE80" s="114" t="s">
        <v>2930</v>
      </c>
      <c r="AF80" s="114" t="s">
        <v>119</v>
      </c>
      <c r="AG80" s="114" t="s">
        <v>2874</v>
      </c>
      <c r="AH80" s="114" t="s">
        <v>2873</v>
      </c>
      <c r="AI80" s="114" t="s">
        <v>3130</v>
      </c>
      <c r="AJ80" s="132" t="s">
        <v>3124</v>
      </c>
      <c r="AK80" s="132" t="s">
        <v>3129</v>
      </c>
    </row>
    <row r="81" spans="1:37" s="114" customFormat="1" x14ac:dyDescent="0.35">
      <c r="A81" s="114">
        <v>214</v>
      </c>
      <c r="B81" s="114" t="s">
        <v>1436</v>
      </c>
      <c r="F81" s="111" t="s">
        <v>1433</v>
      </c>
      <c r="G81" s="111" t="s">
        <v>142</v>
      </c>
      <c r="H81" s="111" t="s">
        <v>1432</v>
      </c>
      <c r="I81" s="111" t="b">
        <v>0</v>
      </c>
      <c r="J81" s="114" t="s">
        <v>147</v>
      </c>
      <c r="K81" s="112" t="s">
        <v>1435</v>
      </c>
      <c r="L81" s="111" t="s">
        <v>1434</v>
      </c>
      <c r="M81" s="112">
        <f t="shared" si="15"/>
        <v>3.73</v>
      </c>
      <c r="N81" s="114">
        <f t="shared" si="16"/>
        <v>225</v>
      </c>
      <c r="O81" s="119">
        <f t="shared" si="17"/>
        <v>839.25</v>
      </c>
      <c r="P81" s="119">
        <f t="shared" si="18"/>
        <v>199.26</v>
      </c>
      <c r="Q81" s="120">
        <f t="shared" si="19"/>
        <v>0.23742627345844503</v>
      </c>
      <c r="R81" s="114" t="str">
        <f t="shared" si="20"/>
        <v>20-30%</v>
      </c>
      <c r="S81" s="113">
        <f t="shared" si="21"/>
        <v>639.99</v>
      </c>
      <c r="T81" s="113">
        <f t="shared" si="22"/>
        <v>2.8443999999999998</v>
      </c>
      <c r="U81" s="114" t="s">
        <v>1437</v>
      </c>
      <c r="V81" s="114" t="s">
        <v>150</v>
      </c>
      <c r="W81" s="121"/>
      <c r="X81" s="132">
        <v>71.11</v>
      </c>
      <c r="Z81" s="114">
        <v>0</v>
      </c>
      <c r="AA81" s="114" t="s">
        <v>172</v>
      </c>
      <c r="AB81" s="114">
        <v>25</v>
      </c>
      <c r="AC81" s="114" t="s">
        <v>171</v>
      </c>
      <c r="AD81" s="114" t="s">
        <v>1437</v>
      </c>
      <c r="AE81" s="114" t="s">
        <v>2968</v>
      </c>
      <c r="AF81" s="114" t="s">
        <v>119</v>
      </c>
      <c r="AG81" s="114" t="s">
        <v>2970</v>
      </c>
      <c r="AH81" s="114" t="s">
        <v>2969</v>
      </c>
      <c r="AI81" s="114" t="s">
        <v>151</v>
      </c>
      <c r="AJ81" s="132" t="s">
        <v>3124</v>
      </c>
      <c r="AK81" s="132" t="s">
        <v>7</v>
      </c>
    </row>
    <row r="82" spans="1:37" s="114" customFormat="1" x14ac:dyDescent="0.35">
      <c r="A82" s="114">
        <v>215</v>
      </c>
      <c r="B82" s="114" t="s">
        <v>1440</v>
      </c>
      <c r="F82" s="111" t="s">
        <v>1439</v>
      </c>
      <c r="G82" s="111" t="s">
        <v>142</v>
      </c>
      <c r="H82" s="111" t="s">
        <v>1438</v>
      </c>
      <c r="I82" s="111" t="b">
        <v>0</v>
      </c>
      <c r="J82" s="114" t="s">
        <v>147</v>
      </c>
      <c r="K82" s="112" t="s">
        <v>1347</v>
      </c>
      <c r="L82" s="111" t="s">
        <v>753</v>
      </c>
      <c r="M82" s="112">
        <f t="shared" si="15"/>
        <v>13.84</v>
      </c>
      <c r="N82" s="114">
        <f t="shared" si="16"/>
        <v>60</v>
      </c>
      <c r="O82" s="119">
        <f t="shared" si="17"/>
        <v>830.4</v>
      </c>
      <c r="P82" s="119">
        <f t="shared" si="18"/>
        <v>-641.4000000000002</v>
      </c>
      <c r="Q82" s="120">
        <f t="shared" si="19"/>
        <v>-0.77239884393063607</v>
      </c>
      <c r="R82" s="114" t="str">
        <f t="shared" si="20"/>
        <v>Negative</v>
      </c>
      <c r="S82" s="113">
        <f t="shared" si="21"/>
        <v>1471.8000000000002</v>
      </c>
      <c r="T82" s="113">
        <f t="shared" si="22"/>
        <v>24.53</v>
      </c>
      <c r="U82" s="114" t="s">
        <v>1441</v>
      </c>
      <c r="V82" s="114" t="s">
        <v>150</v>
      </c>
      <c r="W82" s="121"/>
      <c r="X82" s="132">
        <v>24.53</v>
      </c>
      <c r="Z82" s="114">
        <v>0</v>
      </c>
      <c r="AA82" s="114" t="s">
        <v>213</v>
      </c>
      <c r="AB82" s="114">
        <v>1</v>
      </c>
      <c r="AC82" s="114" t="s">
        <v>1350</v>
      </c>
      <c r="AD82" s="114" t="s">
        <v>1442</v>
      </c>
      <c r="AE82" s="114" t="s">
        <v>2991</v>
      </c>
      <c r="AF82" s="114" t="s">
        <v>119</v>
      </c>
      <c r="AG82" s="114" t="s">
        <v>2967</v>
      </c>
      <c r="AH82" s="114" t="s">
        <v>2903</v>
      </c>
      <c r="AI82" s="114" t="s">
        <v>151</v>
      </c>
      <c r="AJ82" s="132" t="s">
        <v>3124</v>
      </c>
      <c r="AK82" s="132" t="s">
        <v>3129</v>
      </c>
    </row>
    <row r="83" spans="1:37" s="114" customFormat="1" x14ac:dyDescent="0.35">
      <c r="A83" s="114">
        <v>216</v>
      </c>
      <c r="B83" s="114" t="s">
        <v>1446</v>
      </c>
      <c r="F83" s="111" t="s">
        <v>1444</v>
      </c>
      <c r="G83" s="111" t="s">
        <v>142</v>
      </c>
      <c r="H83" s="111" t="s">
        <v>1443</v>
      </c>
      <c r="I83" s="111" t="b">
        <v>0</v>
      </c>
      <c r="J83" s="114" t="s">
        <v>147</v>
      </c>
      <c r="K83" s="112" t="s">
        <v>1445</v>
      </c>
      <c r="L83" s="111" t="s">
        <v>753</v>
      </c>
      <c r="M83" s="112">
        <f t="shared" si="15"/>
        <v>13.79</v>
      </c>
      <c r="N83" s="114">
        <f t="shared" si="16"/>
        <v>60</v>
      </c>
      <c r="O83" s="119">
        <f t="shared" si="17"/>
        <v>827.4</v>
      </c>
      <c r="P83" s="119">
        <f t="shared" si="18"/>
        <v>-644.4000000000002</v>
      </c>
      <c r="Q83" s="120">
        <f t="shared" si="19"/>
        <v>-0.77882523567802786</v>
      </c>
      <c r="R83" s="114" t="str">
        <f t="shared" si="20"/>
        <v>Negative</v>
      </c>
      <c r="S83" s="113">
        <f t="shared" si="21"/>
        <v>1471.8000000000002</v>
      </c>
      <c r="T83" s="113">
        <f t="shared" si="22"/>
        <v>24.53</v>
      </c>
      <c r="U83" s="114" t="s">
        <v>1447</v>
      </c>
      <c r="V83" s="114" t="s">
        <v>161</v>
      </c>
      <c r="W83" s="121"/>
      <c r="X83" s="132">
        <v>24.53</v>
      </c>
      <c r="Z83" s="114">
        <v>0</v>
      </c>
      <c r="AA83" s="114" t="s">
        <v>213</v>
      </c>
      <c r="AB83" s="114">
        <v>1</v>
      </c>
      <c r="AC83" s="114" t="s">
        <v>1350</v>
      </c>
      <c r="AD83" s="114" t="s">
        <v>1448</v>
      </c>
      <c r="AE83" s="114" t="s">
        <v>2990</v>
      </c>
      <c r="AF83" s="114" t="s">
        <v>119</v>
      </c>
      <c r="AG83" s="114" t="s">
        <v>2967</v>
      </c>
      <c r="AH83" s="114" t="s">
        <v>2903</v>
      </c>
      <c r="AI83" s="114" t="s">
        <v>151</v>
      </c>
      <c r="AJ83" s="132" t="s">
        <v>3124</v>
      </c>
      <c r="AK83" s="132" t="s">
        <v>3129</v>
      </c>
    </row>
    <row r="84" spans="1:37" s="114" customFormat="1" ht="29" x14ac:dyDescent="0.35">
      <c r="A84" s="114">
        <v>220</v>
      </c>
      <c r="B84" s="114" t="s">
        <v>1289</v>
      </c>
      <c r="F84" s="111" t="s">
        <v>1467</v>
      </c>
      <c r="G84" s="111" t="s">
        <v>142</v>
      </c>
      <c r="H84" s="111" t="s">
        <v>1466</v>
      </c>
      <c r="I84" s="111" t="b">
        <v>0</v>
      </c>
      <c r="J84" s="114" t="s">
        <v>147</v>
      </c>
      <c r="K84" s="112" t="s">
        <v>1469</v>
      </c>
      <c r="L84" s="111" t="s">
        <v>1468</v>
      </c>
      <c r="M84" s="112">
        <f t="shared" si="15"/>
        <v>114.22</v>
      </c>
      <c r="N84" s="114">
        <f t="shared" si="16"/>
        <v>7</v>
      </c>
      <c r="O84" s="119">
        <f t="shared" si="17"/>
        <v>799.54</v>
      </c>
      <c r="P84" s="119">
        <f t="shared" si="18"/>
        <v>-181.23000000000013</v>
      </c>
      <c r="Q84" s="120">
        <f t="shared" si="19"/>
        <v>-0.22666783400455279</v>
      </c>
      <c r="R84" s="114" t="str">
        <f t="shared" si="20"/>
        <v>Negative</v>
      </c>
      <c r="S84" s="113">
        <f t="shared" si="21"/>
        <v>980.7700000000001</v>
      </c>
      <c r="T84" s="113">
        <f t="shared" si="22"/>
        <v>140.11000000000001</v>
      </c>
      <c r="U84" s="114" t="s">
        <v>1470</v>
      </c>
      <c r="V84" s="114" t="s">
        <v>161</v>
      </c>
      <c r="W84" s="121"/>
      <c r="X84" s="132">
        <v>140.11000000000001</v>
      </c>
      <c r="Z84" s="114">
        <v>0</v>
      </c>
      <c r="AA84" s="114" t="s">
        <v>154</v>
      </c>
      <c r="AB84" s="114">
        <v>1</v>
      </c>
      <c r="AC84" s="114" t="s">
        <v>193</v>
      </c>
      <c r="AD84" s="114" t="s">
        <v>1471</v>
      </c>
      <c r="AE84" s="114" t="s">
        <v>2868</v>
      </c>
      <c r="AF84" s="114" t="s">
        <v>119</v>
      </c>
      <c r="AG84" s="114" t="s">
        <v>2869</v>
      </c>
      <c r="AH84" s="114" t="s">
        <v>2851</v>
      </c>
      <c r="AI84" s="114" t="s">
        <v>151</v>
      </c>
      <c r="AJ84" s="132" t="s">
        <v>3124</v>
      </c>
      <c r="AK84" s="132" t="s">
        <v>3129</v>
      </c>
    </row>
    <row r="85" spans="1:37" s="114" customFormat="1" x14ac:dyDescent="0.35">
      <c r="A85" s="114">
        <v>222</v>
      </c>
      <c r="B85" s="114" t="s">
        <v>1483</v>
      </c>
      <c r="F85" s="111" t="s">
        <v>1481</v>
      </c>
      <c r="G85" s="111" t="s">
        <v>142</v>
      </c>
      <c r="H85" s="111" t="s">
        <v>1480</v>
      </c>
      <c r="I85" s="111" t="b">
        <v>0</v>
      </c>
      <c r="J85" s="114" t="s">
        <v>147</v>
      </c>
      <c r="K85" s="112" t="s">
        <v>1482</v>
      </c>
      <c r="L85" s="111" t="s">
        <v>147</v>
      </c>
      <c r="M85" s="112">
        <f t="shared" si="15"/>
        <v>787.77</v>
      </c>
      <c r="N85" s="114">
        <f t="shared" si="16"/>
        <v>1</v>
      </c>
      <c r="O85" s="119">
        <f t="shared" si="17"/>
        <v>787.77</v>
      </c>
      <c r="P85" s="119">
        <f t="shared" si="18"/>
        <v>-605.03</v>
      </c>
      <c r="Q85" s="120">
        <f t="shared" si="19"/>
        <v>-0.76802873935285676</v>
      </c>
      <c r="R85" s="114" t="str">
        <f t="shared" si="20"/>
        <v>Negative</v>
      </c>
      <c r="S85" s="113">
        <f t="shared" si="21"/>
        <v>1392.8</v>
      </c>
      <c r="T85" s="113">
        <f t="shared" si="22"/>
        <v>1392.8</v>
      </c>
      <c r="U85" s="114" t="s">
        <v>1484</v>
      </c>
      <c r="V85" s="114" t="s">
        <v>161</v>
      </c>
      <c r="W85" s="121"/>
      <c r="X85" s="132">
        <v>1392.8</v>
      </c>
      <c r="Z85" s="114">
        <v>0</v>
      </c>
      <c r="AA85" s="114" t="s">
        <v>154</v>
      </c>
      <c r="AB85" s="114">
        <v>1</v>
      </c>
      <c r="AC85" s="114" t="s">
        <v>889</v>
      </c>
      <c r="AD85" s="114" t="s">
        <v>1485</v>
      </c>
      <c r="AE85" s="114" t="s">
        <v>3089</v>
      </c>
      <c r="AF85" s="114" t="s">
        <v>119</v>
      </c>
      <c r="AG85" s="114" t="s">
        <v>3091</v>
      </c>
      <c r="AH85" s="114" t="s">
        <v>3090</v>
      </c>
      <c r="AI85" s="114" t="s">
        <v>151</v>
      </c>
      <c r="AJ85" s="132" t="s">
        <v>3124</v>
      </c>
      <c r="AK85" s="132" t="s">
        <v>3129</v>
      </c>
    </row>
    <row r="86" spans="1:37" s="114" customFormat="1" ht="29" x14ac:dyDescent="0.35">
      <c r="A86" s="114">
        <v>224</v>
      </c>
      <c r="B86" s="114" t="s">
        <v>1494</v>
      </c>
      <c r="F86" s="111" t="s">
        <v>1492</v>
      </c>
      <c r="G86" s="111" t="s">
        <v>142</v>
      </c>
      <c r="H86" s="111" t="s">
        <v>1491</v>
      </c>
      <c r="I86" s="111" t="b">
        <v>0</v>
      </c>
      <c r="J86" s="114" t="s">
        <v>147</v>
      </c>
      <c r="K86" s="112" t="s">
        <v>1493</v>
      </c>
      <c r="L86" s="111" t="s">
        <v>527</v>
      </c>
      <c r="M86" s="112">
        <f t="shared" si="15"/>
        <v>259.60000000000002</v>
      </c>
      <c r="N86" s="114">
        <f t="shared" si="16"/>
        <v>3</v>
      </c>
      <c r="O86" s="119">
        <f t="shared" si="17"/>
        <v>778.80000000000007</v>
      </c>
      <c r="P86" s="119">
        <f t="shared" si="18"/>
        <v>-326.37</v>
      </c>
      <c r="Q86" s="120">
        <f t="shared" si="19"/>
        <v>-0.41906779661016946</v>
      </c>
      <c r="R86" s="114" t="str">
        <f t="shared" si="20"/>
        <v>Negative</v>
      </c>
      <c r="S86" s="113">
        <f t="shared" si="21"/>
        <v>1105.17</v>
      </c>
      <c r="T86" s="113">
        <f t="shared" si="22"/>
        <v>368.39</v>
      </c>
      <c r="U86" s="114" t="s">
        <v>1495</v>
      </c>
      <c r="V86" s="114" t="s">
        <v>150</v>
      </c>
      <c r="W86" s="121"/>
      <c r="X86" s="132">
        <v>368.39</v>
      </c>
      <c r="Z86" s="114">
        <v>0</v>
      </c>
      <c r="AA86" s="114" t="s">
        <v>154</v>
      </c>
      <c r="AB86" s="114">
        <v>1</v>
      </c>
      <c r="AC86" s="114" t="s">
        <v>1497</v>
      </c>
      <c r="AD86" s="114" t="s">
        <v>1496</v>
      </c>
      <c r="AE86" s="114" t="s">
        <v>3017</v>
      </c>
      <c r="AF86" s="114" t="s">
        <v>119</v>
      </c>
      <c r="AG86" s="114" t="s">
        <v>3019</v>
      </c>
      <c r="AH86" s="114" t="s">
        <v>3018</v>
      </c>
      <c r="AI86" s="114" t="s">
        <v>151</v>
      </c>
      <c r="AJ86" s="132" t="s">
        <v>3124</v>
      </c>
      <c r="AK86" s="132" t="s">
        <v>3129</v>
      </c>
    </row>
    <row r="87" spans="1:37" s="114" customFormat="1" x14ac:dyDescent="0.35">
      <c r="A87" s="114">
        <v>225</v>
      </c>
      <c r="B87" s="114" t="s">
        <v>1501</v>
      </c>
      <c r="F87" s="111" t="s">
        <v>1499</v>
      </c>
      <c r="G87" s="111" t="s">
        <v>142</v>
      </c>
      <c r="H87" s="111" t="s">
        <v>1498</v>
      </c>
      <c r="I87" s="111" t="b">
        <v>0</v>
      </c>
      <c r="J87" s="114" t="s">
        <v>147</v>
      </c>
      <c r="K87" s="112" t="s">
        <v>1500</v>
      </c>
      <c r="L87" s="111" t="s">
        <v>505</v>
      </c>
      <c r="M87" s="112">
        <f t="shared" si="15"/>
        <v>385.62</v>
      </c>
      <c r="N87" s="114">
        <f t="shared" si="16"/>
        <v>2</v>
      </c>
      <c r="O87" s="119">
        <f t="shared" si="17"/>
        <v>771.24</v>
      </c>
      <c r="P87" s="119">
        <f t="shared" si="18"/>
        <v>-449.92000000000007</v>
      </c>
      <c r="Q87" s="120">
        <f t="shared" si="19"/>
        <v>-0.5833722317307195</v>
      </c>
      <c r="R87" s="114" t="str">
        <f t="shared" si="20"/>
        <v>Negative</v>
      </c>
      <c r="S87" s="113">
        <f t="shared" si="21"/>
        <v>1221.1600000000001</v>
      </c>
      <c r="T87" s="113">
        <f t="shared" si="22"/>
        <v>610.58000000000004</v>
      </c>
      <c r="U87" s="114" t="s">
        <v>1502</v>
      </c>
      <c r="V87" s="114" t="s">
        <v>150</v>
      </c>
      <c r="W87" s="121"/>
      <c r="X87" s="132">
        <v>610.58000000000004</v>
      </c>
      <c r="Z87" s="114">
        <v>0</v>
      </c>
      <c r="AA87" s="114" t="s">
        <v>154</v>
      </c>
      <c r="AB87" s="114">
        <v>1</v>
      </c>
      <c r="AC87" s="114" t="s">
        <v>341</v>
      </c>
      <c r="AD87" s="114">
        <v>1113040</v>
      </c>
      <c r="AE87" s="114" t="s">
        <v>3065</v>
      </c>
      <c r="AF87" s="114" t="s">
        <v>119</v>
      </c>
      <c r="AG87" s="114" t="s">
        <v>3052</v>
      </c>
      <c r="AH87" s="114" t="s">
        <v>3049</v>
      </c>
      <c r="AI87" s="114" t="s">
        <v>151</v>
      </c>
      <c r="AJ87" s="132" t="s">
        <v>3124</v>
      </c>
      <c r="AK87" s="132" t="s">
        <v>3129</v>
      </c>
    </row>
    <row r="88" spans="1:37" s="114" customFormat="1" x14ac:dyDescent="0.35">
      <c r="A88" s="114">
        <v>226</v>
      </c>
      <c r="B88" s="114" t="s">
        <v>1506</v>
      </c>
      <c r="F88" s="111" t="s">
        <v>1504</v>
      </c>
      <c r="G88" s="111" t="s">
        <v>142</v>
      </c>
      <c r="H88" s="111" t="s">
        <v>1503</v>
      </c>
      <c r="I88" s="111" t="b">
        <v>0</v>
      </c>
      <c r="J88" s="114" t="s">
        <v>147</v>
      </c>
      <c r="K88" s="112" t="s">
        <v>1505</v>
      </c>
      <c r="L88" s="111" t="s">
        <v>505</v>
      </c>
      <c r="M88" s="112">
        <f t="shared" si="15"/>
        <v>383.76</v>
      </c>
      <c r="N88" s="114">
        <f t="shared" si="16"/>
        <v>2</v>
      </c>
      <c r="O88" s="119">
        <f t="shared" si="17"/>
        <v>767.52</v>
      </c>
      <c r="P88" s="119">
        <f t="shared" si="18"/>
        <v>-287.03999999999996</v>
      </c>
      <c r="Q88" s="120">
        <f t="shared" si="19"/>
        <v>-0.37398373983739835</v>
      </c>
      <c r="R88" s="114" t="str">
        <f t="shared" si="20"/>
        <v>Negative</v>
      </c>
      <c r="S88" s="113">
        <f t="shared" si="21"/>
        <v>1054.56</v>
      </c>
      <c r="T88" s="113">
        <f t="shared" si="22"/>
        <v>527.28</v>
      </c>
      <c r="U88" s="114" t="s">
        <v>1507</v>
      </c>
      <c r="V88" s="114" t="s">
        <v>161</v>
      </c>
      <c r="W88" s="121"/>
      <c r="X88" s="132">
        <v>527.28</v>
      </c>
      <c r="Z88" s="114">
        <v>0</v>
      </c>
      <c r="AA88" s="114" t="s">
        <v>154</v>
      </c>
      <c r="AB88" s="114">
        <v>1</v>
      </c>
      <c r="AC88" s="114" t="s">
        <v>341</v>
      </c>
      <c r="AD88" s="114">
        <v>1402037</v>
      </c>
      <c r="AE88" s="114" t="s">
        <v>3055</v>
      </c>
      <c r="AF88" s="114" t="s">
        <v>119</v>
      </c>
      <c r="AG88" s="114" t="s">
        <v>3052</v>
      </c>
      <c r="AH88" s="114" t="s">
        <v>3049</v>
      </c>
      <c r="AI88" s="114" t="s">
        <v>151</v>
      </c>
      <c r="AJ88" s="132" t="s">
        <v>3124</v>
      </c>
      <c r="AK88" s="132" t="s">
        <v>3129</v>
      </c>
    </row>
    <row r="89" spans="1:37" s="114" customFormat="1" x14ac:dyDescent="0.35">
      <c r="A89" s="114">
        <v>229</v>
      </c>
      <c r="B89" s="114" t="s">
        <v>1524</v>
      </c>
      <c r="F89" s="111" t="s">
        <v>1522</v>
      </c>
      <c r="G89" s="111" t="s">
        <v>142</v>
      </c>
      <c r="H89" s="111" t="s">
        <v>1521</v>
      </c>
      <c r="I89" s="111" t="b">
        <v>0</v>
      </c>
      <c r="J89" s="114" t="s">
        <v>147</v>
      </c>
      <c r="K89" s="112" t="s">
        <v>1523</v>
      </c>
      <c r="L89" s="111" t="s">
        <v>520</v>
      </c>
      <c r="M89" s="112">
        <f t="shared" si="15"/>
        <v>63.4</v>
      </c>
      <c r="N89" s="114">
        <f t="shared" si="16"/>
        <v>12</v>
      </c>
      <c r="O89" s="119">
        <f t="shared" si="17"/>
        <v>760.8</v>
      </c>
      <c r="P89" s="119">
        <f t="shared" si="18"/>
        <v>-322.20000000000005</v>
      </c>
      <c r="Q89" s="120">
        <f t="shared" si="19"/>
        <v>-0.42350157728706633</v>
      </c>
      <c r="R89" s="114" t="str">
        <f t="shared" si="20"/>
        <v>Negative</v>
      </c>
      <c r="S89" s="113">
        <f t="shared" si="21"/>
        <v>1083</v>
      </c>
      <c r="T89" s="113">
        <f t="shared" si="22"/>
        <v>90.25</v>
      </c>
      <c r="U89" s="114" t="s">
        <v>1525</v>
      </c>
      <c r="V89" s="114" t="s">
        <v>161</v>
      </c>
      <c r="W89" s="121"/>
      <c r="X89" s="132">
        <v>90.25</v>
      </c>
      <c r="Z89" s="114">
        <v>0</v>
      </c>
      <c r="AA89" s="114" t="s">
        <v>154</v>
      </c>
      <c r="AB89" s="114">
        <v>1</v>
      </c>
      <c r="AC89" s="114" t="s">
        <v>341</v>
      </c>
      <c r="AD89" s="114">
        <v>2000112</v>
      </c>
      <c r="AE89" s="114" t="s">
        <v>3056</v>
      </c>
      <c r="AF89" s="114" t="s">
        <v>119</v>
      </c>
      <c r="AG89" s="114" t="s">
        <v>3057</v>
      </c>
      <c r="AH89" s="114" t="s">
        <v>3049</v>
      </c>
      <c r="AI89" s="114" t="s">
        <v>151</v>
      </c>
      <c r="AJ89" s="132" t="s">
        <v>3124</v>
      </c>
      <c r="AK89" s="132" t="s">
        <v>3129</v>
      </c>
    </row>
    <row r="90" spans="1:37" s="114" customFormat="1" ht="29" x14ac:dyDescent="0.35">
      <c r="A90" s="114">
        <v>231</v>
      </c>
      <c r="B90" s="114" t="s">
        <v>1085</v>
      </c>
      <c r="F90" s="111" t="s">
        <v>1333</v>
      </c>
      <c r="G90" s="111" t="s">
        <v>142</v>
      </c>
      <c r="H90" s="111" t="s">
        <v>1531</v>
      </c>
      <c r="I90" s="111" t="b">
        <v>0</v>
      </c>
      <c r="J90" s="114" t="s">
        <v>147</v>
      </c>
      <c r="K90" s="112" t="s">
        <v>1532</v>
      </c>
      <c r="L90" s="111" t="s">
        <v>181</v>
      </c>
      <c r="M90" s="112">
        <f t="shared" si="15"/>
        <v>53.61</v>
      </c>
      <c r="N90" s="114">
        <f t="shared" si="16"/>
        <v>14</v>
      </c>
      <c r="O90" s="119">
        <f t="shared" si="17"/>
        <v>750.54</v>
      </c>
      <c r="P90" s="119">
        <f t="shared" si="18"/>
        <v>-318.92000000000007</v>
      </c>
      <c r="Q90" s="120">
        <f t="shared" si="19"/>
        <v>-0.42492072374556999</v>
      </c>
      <c r="R90" s="114" t="str">
        <f t="shared" si="20"/>
        <v>Negative</v>
      </c>
      <c r="S90" s="113">
        <f t="shared" si="21"/>
        <v>1069.46</v>
      </c>
      <c r="T90" s="113">
        <f t="shared" si="22"/>
        <v>76.39</v>
      </c>
      <c r="U90" s="114" t="s">
        <v>267</v>
      </c>
      <c r="V90" s="114" t="s">
        <v>161</v>
      </c>
      <c r="W90" s="121"/>
      <c r="X90" s="132">
        <v>76.39</v>
      </c>
      <c r="Z90" s="114">
        <v>0</v>
      </c>
      <c r="AA90" s="114" t="s">
        <v>154</v>
      </c>
      <c r="AB90" s="114">
        <v>1</v>
      </c>
      <c r="AC90" s="114" t="s">
        <v>266</v>
      </c>
      <c r="AD90" s="114" t="s">
        <v>1533</v>
      </c>
      <c r="AE90" s="114" t="s">
        <v>2937</v>
      </c>
      <c r="AF90" s="114" t="s">
        <v>119</v>
      </c>
      <c r="AG90" s="114" t="s">
        <v>2929</v>
      </c>
      <c r="AH90" s="114" t="s">
        <v>2859</v>
      </c>
      <c r="AI90" s="114" t="s">
        <v>3130</v>
      </c>
      <c r="AJ90" s="132" t="s">
        <v>3124</v>
      </c>
      <c r="AK90" s="132" t="s">
        <v>3129</v>
      </c>
    </row>
    <row r="91" spans="1:37" s="114" customFormat="1" x14ac:dyDescent="0.35">
      <c r="A91" s="114">
        <v>232</v>
      </c>
      <c r="B91" s="114" t="s">
        <v>1538</v>
      </c>
      <c r="F91" s="111" t="s">
        <v>1535</v>
      </c>
      <c r="G91" s="111" t="s">
        <v>142</v>
      </c>
      <c r="H91" s="111" t="s">
        <v>1534</v>
      </c>
      <c r="I91" s="111" t="b">
        <v>0</v>
      </c>
      <c r="J91" s="114" t="s">
        <v>147</v>
      </c>
      <c r="K91" s="112" t="s">
        <v>1537</v>
      </c>
      <c r="L91" s="111" t="s">
        <v>1536</v>
      </c>
      <c r="M91" s="112">
        <f t="shared" si="15"/>
        <v>14.13</v>
      </c>
      <c r="N91" s="114">
        <f t="shared" si="16"/>
        <v>53</v>
      </c>
      <c r="O91" s="119">
        <f t="shared" si="17"/>
        <v>748.89</v>
      </c>
      <c r="P91" s="119">
        <f t="shared" si="18"/>
        <v>-216.24</v>
      </c>
      <c r="Q91" s="120">
        <f t="shared" si="19"/>
        <v>-0.28874734607218683</v>
      </c>
      <c r="R91" s="114" t="str">
        <f t="shared" si="20"/>
        <v>Negative</v>
      </c>
      <c r="S91" s="113">
        <f t="shared" si="21"/>
        <v>965.13</v>
      </c>
      <c r="T91" s="113">
        <f t="shared" si="22"/>
        <v>18.21</v>
      </c>
      <c r="U91" s="114" t="s">
        <v>1539</v>
      </c>
      <c r="V91" s="114" t="s">
        <v>161</v>
      </c>
      <c r="W91" s="121"/>
      <c r="X91" s="132">
        <v>18.21</v>
      </c>
      <c r="Z91" s="114">
        <v>0</v>
      </c>
      <c r="AA91" s="114" t="s">
        <v>154</v>
      </c>
      <c r="AB91" s="114">
        <v>1</v>
      </c>
      <c r="AC91" s="114" t="s">
        <v>193</v>
      </c>
      <c r="AD91" s="114">
        <v>6300</v>
      </c>
      <c r="AE91" s="114" t="s">
        <v>2870</v>
      </c>
      <c r="AF91" s="114" t="s">
        <v>119</v>
      </c>
      <c r="AG91" s="114" t="s">
        <v>2871</v>
      </c>
      <c r="AH91" s="114" t="s">
        <v>2851</v>
      </c>
      <c r="AI91" s="114" t="s">
        <v>3130</v>
      </c>
      <c r="AJ91" s="132" t="s">
        <v>3124</v>
      </c>
      <c r="AK91" s="132" t="s">
        <v>3129</v>
      </c>
    </row>
    <row r="92" spans="1:37" s="114" customFormat="1" x14ac:dyDescent="0.35">
      <c r="A92" s="114">
        <v>234</v>
      </c>
      <c r="B92" s="114" t="s">
        <v>1550</v>
      </c>
      <c r="F92" s="111" t="s">
        <v>1548</v>
      </c>
      <c r="G92" s="111" t="s">
        <v>142</v>
      </c>
      <c r="H92" s="111" t="s">
        <v>1547</v>
      </c>
      <c r="I92" s="111" t="b">
        <v>0</v>
      </c>
      <c r="J92" s="114" t="s">
        <v>147</v>
      </c>
      <c r="K92" s="112" t="s">
        <v>1549</v>
      </c>
      <c r="L92" s="111" t="s">
        <v>147</v>
      </c>
      <c r="M92" s="112">
        <f t="shared" si="15"/>
        <v>719.67</v>
      </c>
      <c r="N92" s="114">
        <f t="shared" si="16"/>
        <v>1</v>
      </c>
      <c r="O92" s="119">
        <f t="shared" si="17"/>
        <v>719.67</v>
      </c>
      <c r="P92" s="119">
        <f t="shared" si="18"/>
        <v>517.95999999999992</v>
      </c>
      <c r="Q92" s="120">
        <f t="shared" si="19"/>
        <v>0.71971875998721635</v>
      </c>
      <c r="R92" s="114" t="str">
        <f t="shared" si="20"/>
        <v>30+%</v>
      </c>
      <c r="S92" s="113">
        <f t="shared" si="21"/>
        <v>201.71</v>
      </c>
      <c r="T92" s="113">
        <f t="shared" si="22"/>
        <v>201.71</v>
      </c>
      <c r="U92" s="114" t="s">
        <v>1551</v>
      </c>
      <c r="V92" s="114" t="s">
        <v>150</v>
      </c>
      <c r="W92" s="121"/>
      <c r="X92" s="132">
        <v>201.71</v>
      </c>
      <c r="Z92" s="114">
        <v>0</v>
      </c>
      <c r="AA92" s="114" t="s">
        <v>154</v>
      </c>
      <c r="AB92" s="114">
        <v>1</v>
      </c>
      <c r="AC92" s="114" t="s">
        <v>164</v>
      </c>
      <c r="AD92" s="114" t="s">
        <v>1553</v>
      </c>
      <c r="AE92" s="114" t="s">
        <v>1552</v>
      </c>
      <c r="AF92" s="114" t="s">
        <v>119</v>
      </c>
      <c r="AG92" s="114" t="s">
        <v>2897</v>
      </c>
      <c r="AH92" s="114" t="s">
        <v>2851</v>
      </c>
      <c r="AI92" s="114" t="s">
        <v>151</v>
      </c>
      <c r="AJ92" s="132" t="s">
        <v>3124</v>
      </c>
      <c r="AK92" s="132" t="s">
        <v>7</v>
      </c>
    </row>
    <row r="93" spans="1:37" s="114" customFormat="1" ht="29" x14ac:dyDescent="0.35">
      <c r="A93" s="114">
        <v>235</v>
      </c>
      <c r="B93" s="114" t="s">
        <v>1557</v>
      </c>
      <c r="F93" s="111" t="s">
        <v>1555</v>
      </c>
      <c r="G93" s="111" t="s">
        <v>142</v>
      </c>
      <c r="H93" s="111" t="s">
        <v>1554</v>
      </c>
      <c r="I93" s="111" t="b">
        <v>0</v>
      </c>
      <c r="J93" s="114" t="s">
        <v>147</v>
      </c>
      <c r="K93" s="112" t="s">
        <v>1556</v>
      </c>
      <c r="L93" s="111" t="s">
        <v>784</v>
      </c>
      <c r="M93" s="112">
        <f t="shared" si="15"/>
        <v>173.91</v>
      </c>
      <c r="N93" s="114">
        <f t="shared" si="16"/>
        <v>4</v>
      </c>
      <c r="O93" s="119">
        <f t="shared" si="17"/>
        <v>695.64</v>
      </c>
      <c r="P93" s="119">
        <f t="shared" si="18"/>
        <v>-187.32000000000005</v>
      </c>
      <c r="Q93" s="120">
        <f t="shared" si="19"/>
        <v>-0.26927721235121621</v>
      </c>
      <c r="R93" s="114" t="str">
        <f t="shared" si="20"/>
        <v>Negative</v>
      </c>
      <c r="S93" s="113">
        <f t="shared" si="21"/>
        <v>882.96</v>
      </c>
      <c r="T93" s="113">
        <f t="shared" si="22"/>
        <v>220.74</v>
      </c>
      <c r="U93" s="114" t="s">
        <v>1558</v>
      </c>
      <c r="V93" s="114" t="s">
        <v>150</v>
      </c>
      <c r="W93" s="121"/>
      <c r="X93" s="132">
        <v>220.74</v>
      </c>
      <c r="Z93" s="114">
        <v>0</v>
      </c>
      <c r="AA93" s="114" t="s">
        <v>154</v>
      </c>
      <c r="AB93" s="114">
        <v>1</v>
      </c>
      <c r="AC93" s="114" t="s">
        <v>266</v>
      </c>
      <c r="AD93" s="114" t="s">
        <v>1560</v>
      </c>
      <c r="AE93" s="114" t="s">
        <v>1559</v>
      </c>
      <c r="AF93" s="114" t="s">
        <v>119</v>
      </c>
      <c r="AG93" s="114" t="s">
        <v>2931</v>
      </c>
      <c r="AH93" s="114" t="s">
        <v>2859</v>
      </c>
      <c r="AI93" s="114" t="s">
        <v>151</v>
      </c>
      <c r="AJ93" s="132" t="s">
        <v>3124</v>
      </c>
      <c r="AK93" s="132" t="s">
        <v>3129</v>
      </c>
    </row>
    <row r="94" spans="1:37" s="114" customFormat="1" x14ac:dyDescent="0.35">
      <c r="A94" s="114">
        <v>239</v>
      </c>
      <c r="B94" s="114" t="s">
        <v>604</v>
      </c>
      <c r="F94" s="111" t="s">
        <v>1579</v>
      </c>
      <c r="G94" s="111" t="s">
        <v>142</v>
      </c>
      <c r="H94" s="111" t="s">
        <v>1578</v>
      </c>
      <c r="I94" s="111" t="b">
        <v>0</v>
      </c>
      <c r="J94" s="114" t="s">
        <v>147</v>
      </c>
      <c r="K94" s="112" t="s">
        <v>1580</v>
      </c>
      <c r="L94" s="111" t="s">
        <v>545</v>
      </c>
      <c r="M94" s="112">
        <f t="shared" si="15"/>
        <v>66.430000000000007</v>
      </c>
      <c r="N94" s="114">
        <f t="shared" si="16"/>
        <v>10</v>
      </c>
      <c r="O94" s="119">
        <f t="shared" si="17"/>
        <v>664.30000000000007</v>
      </c>
      <c r="P94" s="119">
        <f t="shared" si="18"/>
        <v>-406.6</v>
      </c>
      <c r="Q94" s="120">
        <f t="shared" si="19"/>
        <v>-0.61207285864820105</v>
      </c>
      <c r="R94" s="114" t="str">
        <f t="shared" si="20"/>
        <v>Negative</v>
      </c>
      <c r="S94" s="113">
        <f t="shared" si="21"/>
        <v>1070.9000000000001</v>
      </c>
      <c r="T94" s="113">
        <f t="shared" si="22"/>
        <v>107.09</v>
      </c>
      <c r="U94" s="114" t="s">
        <v>1581</v>
      </c>
      <c r="V94" s="114" t="s">
        <v>161</v>
      </c>
      <c r="W94" s="121"/>
      <c r="X94" s="132">
        <v>107.09</v>
      </c>
      <c r="Z94" s="114">
        <v>0</v>
      </c>
      <c r="AA94" s="114" t="s">
        <v>154</v>
      </c>
      <c r="AB94" s="114">
        <v>1</v>
      </c>
      <c r="AC94" s="114" t="s">
        <v>193</v>
      </c>
      <c r="AD94" s="114" t="s">
        <v>1582</v>
      </c>
      <c r="AE94" s="114" t="s">
        <v>2865</v>
      </c>
      <c r="AF94" s="114" t="s">
        <v>119</v>
      </c>
      <c r="AG94" s="114" t="s">
        <v>2867</v>
      </c>
      <c r="AH94" s="114" t="s">
        <v>2866</v>
      </c>
      <c r="AI94" s="114" t="s">
        <v>151</v>
      </c>
      <c r="AJ94" s="132" t="s">
        <v>3124</v>
      </c>
      <c r="AK94" s="132" t="s">
        <v>3129</v>
      </c>
    </row>
    <row r="95" spans="1:37" s="114" customFormat="1" ht="29" x14ac:dyDescent="0.35">
      <c r="A95" s="114">
        <v>240</v>
      </c>
      <c r="B95" s="114" t="s">
        <v>1586</v>
      </c>
      <c r="F95" s="111" t="s">
        <v>1584</v>
      </c>
      <c r="G95" s="111" t="s">
        <v>142</v>
      </c>
      <c r="H95" s="111" t="s">
        <v>1583</v>
      </c>
      <c r="I95" s="111" t="b">
        <v>0</v>
      </c>
      <c r="J95" s="114" t="s">
        <v>147</v>
      </c>
      <c r="K95" s="112" t="s">
        <v>1585</v>
      </c>
      <c r="L95" s="111" t="s">
        <v>545</v>
      </c>
      <c r="M95" s="112">
        <f t="shared" si="15"/>
        <v>66.41</v>
      </c>
      <c r="N95" s="114">
        <f t="shared" si="16"/>
        <v>10</v>
      </c>
      <c r="O95" s="119">
        <f t="shared" si="17"/>
        <v>664.09999999999991</v>
      </c>
      <c r="P95" s="119">
        <f t="shared" si="18"/>
        <v>-186.00000000000011</v>
      </c>
      <c r="Q95" s="120">
        <f t="shared" si="19"/>
        <v>-0.28007830146062362</v>
      </c>
      <c r="R95" s="114" t="str">
        <f t="shared" si="20"/>
        <v>Negative</v>
      </c>
      <c r="S95" s="113">
        <f t="shared" si="21"/>
        <v>850.1</v>
      </c>
      <c r="T95" s="113">
        <f t="shared" si="22"/>
        <v>85.01</v>
      </c>
      <c r="U95" s="114" t="s">
        <v>1587</v>
      </c>
      <c r="V95" s="114" t="s">
        <v>161</v>
      </c>
      <c r="W95" s="121"/>
      <c r="X95" s="132">
        <v>85.01</v>
      </c>
      <c r="Z95" s="114">
        <v>0</v>
      </c>
      <c r="AA95" s="114" t="s">
        <v>154</v>
      </c>
      <c r="AB95" s="114">
        <v>1</v>
      </c>
      <c r="AC95" s="114" t="s">
        <v>164</v>
      </c>
      <c r="AD95" s="114" t="s">
        <v>1588</v>
      </c>
      <c r="AE95" s="114" t="s">
        <v>3029</v>
      </c>
      <c r="AF95" s="114" t="s">
        <v>119</v>
      </c>
      <c r="AG95" s="114" t="s">
        <v>2869</v>
      </c>
      <c r="AH95" s="114" t="s">
        <v>2851</v>
      </c>
      <c r="AI95" s="114" t="s">
        <v>151</v>
      </c>
      <c r="AJ95" s="132" t="s">
        <v>3124</v>
      </c>
      <c r="AK95" s="132" t="s">
        <v>3129</v>
      </c>
    </row>
    <row r="96" spans="1:37" s="114" customFormat="1" x14ac:dyDescent="0.35">
      <c r="A96" s="114">
        <v>242</v>
      </c>
      <c r="B96" s="114" t="s">
        <v>1594</v>
      </c>
      <c r="F96" s="111" t="s">
        <v>1592</v>
      </c>
      <c r="G96" s="111" t="s">
        <v>142</v>
      </c>
      <c r="H96" s="111" t="s">
        <v>1591</v>
      </c>
      <c r="I96" s="111" t="b">
        <v>0</v>
      </c>
      <c r="J96" s="114" t="s">
        <v>147</v>
      </c>
      <c r="K96" s="112" t="s">
        <v>1593</v>
      </c>
      <c r="L96" s="111" t="s">
        <v>277</v>
      </c>
      <c r="M96" s="112">
        <f t="shared" si="15"/>
        <v>32.479999999999997</v>
      </c>
      <c r="N96" s="114">
        <f t="shared" si="16"/>
        <v>20</v>
      </c>
      <c r="O96" s="119">
        <f t="shared" si="17"/>
        <v>649.59999999999991</v>
      </c>
      <c r="P96" s="119">
        <f t="shared" si="18"/>
        <v>-439.40000000000009</v>
      </c>
      <c r="Q96" s="120">
        <f t="shared" si="19"/>
        <v>-0.67641625615763568</v>
      </c>
      <c r="R96" s="114" t="str">
        <f t="shared" si="20"/>
        <v>Negative</v>
      </c>
      <c r="S96" s="113">
        <f t="shared" si="21"/>
        <v>1089</v>
      </c>
      <c r="T96" s="113">
        <f t="shared" si="22"/>
        <v>54.45</v>
      </c>
      <c r="U96" s="114" t="s">
        <v>1595</v>
      </c>
      <c r="V96" s="114" t="s">
        <v>161</v>
      </c>
      <c r="W96" s="121"/>
      <c r="X96" s="132">
        <v>54.45</v>
      </c>
      <c r="Z96" s="114">
        <v>0</v>
      </c>
      <c r="AA96" s="114" t="s">
        <v>154</v>
      </c>
      <c r="AB96" s="114">
        <v>1</v>
      </c>
      <c r="AC96" s="114" t="s">
        <v>235</v>
      </c>
      <c r="AD96" s="114">
        <v>475385</v>
      </c>
      <c r="AE96" s="114" t="s">
        <v>2923</v>
      </c>
      <c r="AF96" s="114" t="s">
        <v>119</v>
      </c>
      <c r="AG96" s="114" t="s">
        <v>2899</v>
      </c>
      <c r="AH96" s="114" t="s">
        <v>2866</v>
      </c>
      <c r="AI96" s="114" t="s">
        <v>151</v>
      </c>
      <c r="AJ96" s="132" t="s">
        <v>3124</v>
      </c>
      <c r="AK96" s="132" t="s">
        <v>3129</v>
      </c>
    </row>
    <row r="97" spans="1:37" s="114" customFormat="1" x14ac:dyDescent="0.35">
      <c r="A97" s="114">
        <v>245</v>
      </c>
      <c r="B97" s="114" t="s">
        <v>1609</v>
      </c>
      <c r="F97" s="111" t="s">
        <v>1607</v>
      </c>
      <c r="G97" s="111" t="s">
        <v>142</v>
      </c>
      <c r="H97" s="111" t="s">
        <v>1606</v>
      </c>
      <c r="I97" s="111" t="b">
        <v>0</v>
      </c>
      <c r="J97" s="114" t="s">
        <v>147</v>
      </c>
      <c r="K97" s="112" t="s">
        <v>1608</v>
      </c>
      <c r="L97" s="111" t="s">
        <v>898</v>
      </c>
      <c r="M97" s="112">
        <f t="shared" si="15"/>
        <v>23.72</v>
      </c>
      <c r="N97" s="114">
        <f t="shared" si="16"/>
        <v>27</v>
      </c>
      <c r="O97" s="119">
        <f t="shared" si="17"/>
        <v>640.43999999999994</v>
      </c>
      <c r="P97" s="119">
        <f t="shared" si="18"/>
        <v>-412.83000000000004</v>
      </c>
      <c r="Q97" s="120">
        <f t="shared" si="19"/>
        <v>-0.64460370994940985</v>
      </c>
      <c r="R97" s="114" t="str">
        <f t="shared" si="20"/>
        <v>Negative</v>
      </c>
      <c r="S97" s="113">
        <f t="shared" si="21"/>
        <v>1053.27</v>
      </c>
      <c r="T97" s="113">
        <f t="shared" si="22"/>
        <v>39.01</v>
      </c>
      <c r="U97" s="114" t="s">
        <v>1610</v>
      </c>
      <c r="V97" s="114" t="s">
        <v>150</v>
      </c>
      <c r="W97" s="121"/>
      <c r="X97" s="132">
        <v>39.01</v>
      </c>
      <c r="Z97" s="114">
        <v>0</v>
      </c>
      <c r="AA97" s="114" t="s">
        <v>154</v>
      </c>
      <c r="AB97" s="114">
        <v>1</v>
      </c>
      <c r="AC97" s="114" t="s">
        <v>334</v>
      </c>
      <c r="AD97" s="114" t="s">
        <v>1612</v>
      </c>
      <c r="AE97" s="114" t="s">
        <v>1611</v>
      </c>
      <c r="AF97" s="114" t="s">
        <v>119</v>
      </c>
      <c r="AG97" s="114" t="s">
        <v>3074</v>
      </c>
      <c r="AH97" s="114" t="s">
        <v>2944</v>
      </c>
      <c r="AI97" s="114" t="s">
        <v>151</v>
      </c>
      <c r="AJ97" s="132" t="s">
        <v>3124</v>
      </c>
      <c r="AK97" s="132" t="s">
        <v>3129</v>
      </c>
    </row>
    <row r="98" spans="1:37" s="114" customFormat="1" x14ac:dyDescent="0.35">
      <c r="A98" s="114">
        <v>246</v>
      </c>
      <c r="B98" s="114" t="s">
        <v>658</v>
      </c>
      <c r="F98" s="111" t="s">
        <v>1614</v>
      </c>
      <c r="G98" s="111" t="s">
        <v>142</v>
      </c>
      <c r="H98" s="111" t="s">
        <v>1613</v>
      </c>
      <c r="I98" s="111" t="b">
        <v>0</v>
      </c>
      <c r="J98" s="114" t="s">
        <v>147</v>
      </c>
      <c r="K98" s="112" t="s">
        <v>1615</v>
      </c>
      <c r="L98" s="111" t="s">
        <v>451</v>
      </c>
      <c r="M98" s="112">
        <f t="shared" ref="M98:M103" si="23">IFERROR(IF(A98="","",K98/J98)," ")</f>
        <v>17.75</v>
      </c>
      <c r="N98" s="114">
        <f t="shared" ref="N98:N103" si="24">IFERROR(IF(A98="","",J98*L98)," ")</f>
        <v>36</v>
      </c>
      <c r="O98" s="119">
        <f t="shared" ref="O98:O103" si="25">IFERROR(M98*N98," ")</f>
        <v>639</v>
      </c>
      <c r="P98" s="119">
        <f t="shared" ref="P98:P103" si="26">IFERROR(IF(A98="","",O98-S98)," ")</f>
        <v>-426.24</v>
      </c>
      <c r="Q98" s="120">
        <f t="shared" ref="Q98:Q103" si="27">IFERROR(IF(A98="","",P98/O98)," ")</f>
        <v>-0.66704225352112678</v>
      </c>
      <c r="R98" s="114" t="str">
        <f t="shared" ref="R98:R103" si="28">IFERROR(IF(A98="","",(IF(Q98&lt;0,"Negative",IF(Q98=0,"Same",IF(Q98&gt;0.3,"30+%",IF(Q98&gt;0.2,"20-30%",IF(Q98&gt;0.1,"10-20%",IF(Q98&lt;=0.1,"0-10%"))))))))," ")</f>
        <v>Negative</v>
      </c>
      <c r="S98" s="113">
        <f t="shared" ref="S98:S103" si="29">IFERROR(IF(A98="","",T98*N98)," ")</f>
        <v>1065.24</v>
      </c>
      <c r="T98" s="113">
        <f t="shared" si="22"/>
        <v>29.59</v>
      </c>
      <c r="U98" s="114" t="s">
        <v>1616</v>
      </c>
      <c r="V98" s="114" t="s">
        <v>150</v>
      </c>
      <c r="W98" s="121"/>
      <c r="X98" s="132">
        <v>29.59</v>
      </c>
      <c r="Z98" s="114">
        <v>0</v>
      </c>
      <c r="AA98" s="114" t="s">
        <v>213</v>
      </c>
      <c r="AB98" s="114">
        <v>1</v>
      </c>
      <c r="AC98" s="114" t="s">
        <v>977</v>
      </c>
      <c r="AD98" s="114" t="s">
        <v>1617</v>
      </c>
      <c r="AE98" s="114" t="s">
        <v>2995</v>
      </c>
      <c r="AF98" s="114" t="s">
        <v>119</v>
      </c>
      <c r="AG98" s="114" t="s">
        <v>2972</v>
      </c>
      <c r="AH98" s="114" t="s">
        <v>2903</v>
      </c>
      <c r="AI98" s="114" t="s">
        <v>151</v>
      </c>
      <c r="AJ98" s="132" t="s">
        <v>3124</v>
      </c>
      <c r="AK98" s="132" t="s">
        <v>3129</v>
      </c>
    </row>
    <row r="99" spans="1:37" s="114" customFormat="1" x14ac:dyDescent="0.35">
      <c r="A99" s="114">
        <v>247</v>
      </c>
      <c r="B99" s="114" t="s">
        <v>1621</v>
      </c>
      <c r="F99" s="111" t="s">
        <v>1619</v>
      </c>
      <c r="G99" s="111" t="s">
        <v>142</v>
      </c>
      <c r="H99" s="111" t="s">
        <v>1618</v>
      </c>
      <c r="I99" s="111" t="b">
        <v>0</v>
      </c>
      <c r="J99" s="114" t="s">
        <v>147</v>
      </c>
      <c r="K99" s="112" t="s">
        <v>1620</v>
      </c>
      <c r="L99" s="111" t="s">
        <v>914</v>
      </c>
      <c r="M99" s="112">
        <f t="shared" si="23"/>
        <v>7.5</v>
      </c>
      <c r="N99" s="114">
        <f t="shared" si="24"/>
        <v>84</v>
      </c>
      <c r="O99" s="119">
        <f t="shared" si="25"/>
        <v>630</v>
      </c>
      <c r="P99" s="119">
        <f t="shared" si="26"/>
        <v>31.080000000000041</v>
      </c>
      <c r="Q99" s="120">
        <f t="shared" si="27"/>
        <v>4.9333333333333396E-2</v>
      </c>
      <c r="R99" s="114" t="str">
        <f t="shared" si="28"/>
        <v>0-10%</v>
      </c>
      <c r="S99" s="113">
        <f t="shared" si="29"/>
        <v>598.91999999999996</v>
      </c>
      <c r="T99" s="113">
        <f t="shared" si="22"/>
        <v>7.13</v>
      </c>
      <c r="U99" s="114" t="s">
        <v>1622</v>
      </c>
      <c r="V99" s="114" t="s">
        <v>150</v>
      </c>
      <c r="W99" s="121"/>
      <c r="X99" s="132">
        <v>7.13</v>
      </c>
      <c r="Z99" s="114">
        <v>0</v>
      </c>
      <c r="AA99" s="114" t="s">
        <v>213</v>
      </c>
      <c r="AB99" s="114">
        <v>1</v>
      </c>
      <c r="AC99" s="114" t="s">
        <v>560</v>
      </c>
      <c r="AD99" s="114" t="s">
        <v>1623</v>
      </c>
      <c r="AE99" s="114" t="s">
        <v>3000</v>
      </c>
      <c r="AF99" s="114" t="s">
        <v>119</v>
      </c>
      <c r="AG99" s="114" t="s">
        <v>2967</v>
      </c>
      <c r="AH99" s="114" t="s">
        <v>2903</v>
      </c>
      <c r="AI99" s="114" t="s">
        <v>151</v>
      </c>
      <c r="AJ99" s="132" t="s">
        <v>3124</v>
      </c>
      <c r="AK99" s="132" t="s">
        <v>7</v>
      </c>
    </row>
    <row r="100" spans="1:37" s="114" customFormat="1" x14ac:dyDescent="0.35">
      <c r="A100" s="114">
        <v>249</v>
      </c>
      <c r="B100" s="114" t="s">
        <v>238</v>
      </c>
      <c r="F100" s="111" t="s">
        <v>1631</v>
      </c>
      <c r="G100" s="111" t="s">
        <v>142</v>
      </c>
      <c r="H100" s="111" t="s">
        <v>1630</v>
      </c>
      <c r="I100" s="111" t="b">
        <v>0</v>
      </c>
      <c r="J100" s="114" t="s">
        <v>147</v>
      </c>
      <c r="K100" s="112" t="s">
        <v>1632</v>
      </c>
      <c r="L100" s="111" t="s">
        <v>1306</v>
      </c>
      <c r="M100" s="112">
        <f t="shared" si="23"/>
        <v>15.44</v>
      </c>
      <c r="N100" s="114">
        <f t="shared" si="24"/>
        <v>40</v>
      </c>
      <c r="O100" s="119">
        <f t="shared" si="25"/>
        <v>617.6</v>
      </c>
      <c r="P100" s="119">
        <f t="shared" si="26"/>
        <v>26.400000000000091</v>
      </c>
      <c r="Q100" s="120">
        <f t="shared" si="27"/>
        <v>4.2746113989637451E-2</v>
      </c>
      <c r="R100" s="114" t="str">
        <f t="shared" si="28"/>
        <v>0-10%</v>
      </c>
      <c r="S100" s="113">
        <f t="shared" si="29"/>
        <v>591.19999999999993</v>
      </c>
      <c r="T100" s="113">
        <f t="shared" si="22"/>
        <v>14.78</v>
      </c>
      <c r="U100" s="114" t="s">
        <v>1633</v>
      </c>
      <c r="V100" s="114" t="s">
        <v>150</v>
      </c>
      <c r="W100" s="121"/>
      <c r="X100" s="132">
        <v>14.78</v>
      </c>
      <c r="Z100" s="114">
        <v>0</v>
      </c>
      <c r="AA100" s="114" t="s">
        <v>154</v>
      </c>
      <c r="AB100" s="114">
        <v>1</v>
      </c>
      <c r="AC100" s="114" t="s">
        <v>1138</v>
      </c>
      <c r="AD100" s="114" t="s">
        <v>1634</v>
      </c>
      <c r="AE100" s="114" t="s">
        <v>2940</v>
      </c>
      <c r="AF100" s="114" t="s">
        <v>119</v>
      </c>
      <c r="AG100" s="114" t="s">
        <v>2874</v>
      </c>
      <c r="AH100" s="114" t="s">
        <v>2873</v>
      </c>
      <c r="AI100" s="114" t="s">
        <v>3130</v>
      </c>
      <c r="AJ100" s="132" t="s">
        <v>3124</v>
      </c>
      <c r="AK100" s="132" t="s">
        <v>7</v>
      </c>
    </row>
    <row r="101" spans="1:37" x14ac:dyDescent="0.35">
      <c r="A101" s="114">
        <v>148</v>
      </c>
      <c r="B101" s="114" t="s">
        <v>1059</v>
      </c>
      <c r="C101" s="114"/>
      <c r="D101" s="114"/>
      <c r="E101" s="114"/>
      <c r="F101" s="111" t="s">
        <v>1057</v>
      </c>
      <c r="G101" s="111" t="s">
        <v>142</v>
      </c>
      <c r="H101" s="111" t="s">
        <v>1056</v>
      </c>
      <c r="I101" s="111" t="b">
        <v>0</v>
      </c>
      <c r="J101" s="114" t="s">
        <v>147</v>
      </c>
      <c r="K101" s="112" t="s">
        <v>1058</v>
      </c>
      <c r="L101" s="111" t="s">
        <v>885</v>
      </c>
      <c r="M101" s="112">
        <f t="shared" si="23"/>
        <v>68.760000000000005</v>
      </c>
      <c r="N101" s="114">
        <f t="shared" si="24"/>
        <v>25</v>
      </c>
      <c r="O101" s="119">
        <f t="shared" si="25"/>
        <v>1719.0000000000002</v>
      </c>
      <c r="P101" s="119">
        <f t="shared" si="26"/>
        <v>-662.99999999999977</v>
      </c>
      <c r="Q101" s="120">
        <f t="shared" si="27"/>
        <v>-0.38568935427574152</v>
      </c>
      <c r="R101" s="114" t="str">
        <f t="shared" si="28"/>
        <v>Negative</v>
      </c>
      <c r="S101" s="113">
        <f t="shared" si="29"/>
        <v>2382</v>
      </c>
      <c r="T101" s="113">
        <f t="shared" si="22"/>
        <v>95.28</v>
      </c>
      <c r="U101" s="114" t="s">
        <v>1060</v>
      </c>
      <c r="V101" s="114" t="s">
        <v>150</v>
      </c>
      <c r="W101" s="121"/>
      <c r="X101" s="132">
        <v>95.28</v>
      </c>
      <c r="Y101" s="114"/>
      <c r="Z101" s="114" t="s">
        <v>642</v>
      </c>
      <c r="AA101" s="114" t="s">
        <v>154</v>
      </c>
      <c r="AB101" s="114">
        <v>1</v>
      </c>
      <c r="AC101" s="114" t="s">
        <v>243</v>
      </c>
      <c r="AD101" s="114" t="s">
        <v>1061</v>
      </c>
      <c r="AE101" s="114" t="s">
        <v>643</v>
      </c>
      <c r="AF101" s="114" t="s">
        <v>119</v>
      </c>
      <c r="AG101" s="114" t="s">
        <v>2949</v>
      </c>
      <c r="AH101" s="114" t="s">
        <v>2944</v>
      </c>
      <c r="AI101" s="114" t="s">
        <v>151</v>
      </c>
      <c r="AJ101" s="132" t="s">
        <v>3123</v>
      </c>
      <c r="AK101" s="132" t="s">
        <v>3129</v>
      </c>
    </row>
    <row r="102" spans="1:37" x14ac:dyDescent="0.35">
      <c r="A102" s="114">
        <v>156</v>
      </c>
      <c r="B102" s="114" t="s">
        <v>1103</v>
      </c>
      <c r="C102" s="114"/>
      <c r="D102" s="114"/>
      <c r="E102" s="114"/>
      <c r="F102" s="111" t="s">
        <v>1101</v>
      </c>
      <c r="G102" s="111" t="s">
        <v>142</v>
      </c>
      <c r="H102" s="111" t="s">
        <v>1100</v>
      </c>
      <c r="I102" s="111" t="b">
        <v>0</v>
      </c>
      <c r="J102" s="114" t="s">
        <v>147</v>
      </c>
      <c r="K102" s="112" t="s">
        <v>1102</v>
      </c>
      <c r="L102" s="111" t="s">
        <v>277</v>
      </c>
      <c r="M102" s="112">
        <f t="shared" si="23"/>
        <v>75.23</v>
      </c>
      <c r="N102" s="114">
        <f t="shared" si="24"/>
        <v>20</v>
      </c>
      <c r="O102" s="119">
        <f t="shared" si="25"/>
        <v>1504.6000000000001</v>
      </c>
      <c r="P102" s="119">
        <f t="shared" si="26"/>
        <v>-598.59999999999968</v>
      </c>
      <c r="Q102" s="120">
        <f t="shared" si="27"/>
        <v>-0.39784660374850433</v>
      </c>
      <c r="R102" s="114" t="str">
        <f t="shared" si="28"/>
        <v>Negative</v>
      </c>
      <c r="S102" s="113">
        <f t="shared" si="29"/>
        <v>2103.1999999999998</v>
      </c>
      <c r="T102" s="113">
        <f t="shared" si="22"/>
        <v>105.16</v>
      </c>
      <c r="U102" s="114" t="s">
        <v>1104</v>
      </c>
      <c r="V102" s="114" t="s">
        <v>150</v>
      </c>
      <c r="W102" s="121"/>
      <c r="X102" s="132">
        <v>105.16</v>
      </c>
      <c r="Y102" s="114"/>
      <c r="Z102" s="114" t="s">
        <v>642</v>
      </c>
      <c r="AA102" s="114" t="s">
        <v>154</v>
      </c>
      <c r="AB102" s="114">
        <v>1</v>
      </c>
      <c r="AC102" s="114" t="s">
        <v>243</v>
      </c>
      <c r="AD102" s="114" t="s">
        <v>1105</v>
      </c>
      <c r="AE102" s="114" t="s">
        <v>643</v>
      </c>
      <c r="AF102" s="114" t="s">
        <v>119</v>
      </c>
      <c r="AG102" s="114" t="s">
        <v>2949</v>
      </c>
      <c r="AH102" s="114" t="s">
        <v>2944</v>
      </c>
      <c r="AI102" s="114" t="s">
        <v>151</v>
      </c>
      <c r="AJ102" s="132" t="s">
        <v>3123</v>
      </c>
      <c r="AK102" s="132" t="s">
        <v>3129</v>
      </c>
    </row>
    <row r="103" spans="1:37" x14ac:dyDescent="0.35">
      <c r="A103" s="114">
        <v>75</v>
      </c>
      <c r="B103" s="114" t="s">
        <v>640</v>
      </c>
      <c r="C103" s="114"/>
      <c r="D103" s="114"/>
      <c r="E103" s="114"/>
      <c r="F103" s="111" t="s">
        <v>637</v>
      </c>
      <c r="G103" s="111" t="s">
        <v>142</v>
      </c>
      <c r="H103" s="111" t="s">
        <v>636</v>
      </c>
      <c r="I103" s="111" t="b">
        <v>0</v>
      </c>
      <c r="J103" s="114" t="s">
        <v>147</v>
      </c>
      <c r="K103" s="112" t="s">
        <v>639</v>
      </c>
      <c r="L103" s="111" t="s">
        <v>638</v>
      </c>
      <c r="M103" s="112">
        <f t="shared" si="23"/>
        <v>68.47</v>
      </c>
      <c r="N103" s="114">
        <f t="shared" si="24"/>
        <v>55</v>
      </c>
      <c r="O103" s="119">
        <f t="shared" si="25"/>
        <v>3765.85</v>
      </c>
      <c r="P103" s="119">
        <f t="shared" si="26"/>
        <v>-2055.35</v>
      </c>
      <c r="Q103" s="120">
        <f t="shared" si="27"/>
        <v>-0.54578647582883011</v>
      </c>
      <c r="R103" s="114" t="str">
        <f t="shared" si="28"/>
        <v>Negative</v>
      </c>
      <c r="S103" s="113">
        <f t="shared" si="29"/>
        <v>5821.2</v>
      </c>
      <c r="T103" s="113">
        <f t="shared" si="22"/>
        <v>105.84</v>
      </c>
      <c r="U103" s="114" t="s">
        <v>641</v>
      </c>
      <c r="V103" s="114" t="s">
        <v>150</v>
      </c>
      <c r="W103" s="121"/>
      <c r="X103" s="132">
        <v>105.84</v>
      </c>
      <c r="Y103" s="114"/>
      <c r="Z103" s="114" t="s">
        <v>642</v>
      </c>
      <c r="AA103" s="114" t="s">
        <v>154</v>
      </c>
      <c r="AB103" s="114">
        <v>1</v>
      </c>
      <c r="AC103" s="114" t="s">
        <v>243</v>
      </c>
      <c r="AD103" s="114" t="s">
        <v>644</v>
      </c>
      <c r="AE103" s="114" t="s">
        <v>643</v>
      </c>
      <c r="AF103" s="114" t="s">
        <v>119</v>
      </c>
      <c r="AG103" s="114" t="s">
        <v>2949</v>
      </c>
      <c r="AH103" s="114" t="s">
        <v>2944</v>
      </c>
      <c r="AI103" s="114" t="s">
        <v>151</v>
      </c>
      <c r="AJ103" s="132" t="s">
        <v>3123</v>
      </c>
      <c r="AK103" s="132" t="s">
        <v>3129</v>
      </c>
    </row>
    <row r="129" spans="1:37" s="114" customForma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122"/>
      <c r="R129" s="2"/>
      <c r="S129" s="3"/>
      <c r="T129" s="3"/>
      <c r="U129" s="2"/>
      <c r="V129" s="2"/>
      <c r="W129" s="2"/>
      <c r="X129" s="3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7" s="114" customForma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122"/>
      <c r="R130" s="2"/>
      <c r="S130" s="3"/>
      <c r="T130" s="3"/>
      <c r="U130" s="2"/>
      <c r="V130" s="2"/>
      <c r="W130" s="2"/>
      <c r="X130" s="3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7" x14ac:dyDescent="0.35">
      <c r="AK131" s="114"/>
    </row>
  </sheetData>
  <autoFilter ref="A1:AK1" xr:uid="{00000000-0001-0000-0100-000000000000}"/>
  <phoneticPr fontId="28" type="noConversion"/>
  <conditionalFormatting sqref="Q2:Q100">
    <cfRule type="cellIs" dxfId="5" priority="4" operator="lessThanOrEqual">
      <formula>-0.8</formula>
    </cfRule>
    <cfRule type="cellIs" dxfId="4" priority="5" operator="greaterThanOrEqual">
      <formula>0.8</formula>
    </cfRule>
  </conditionalFormatting>
  <conditionalFormatting sqref="Q129:Q131">
    <cfRule type="cellIs" dxfId="3" priority="1" operator="lessThanOrEqual">
      <formula>-0.8</formula>
    </cfRule>
    <cfRule type="cellIs" dxfId="2" priority="2" operator="greaterThanOrEqual">
      <formula>0.8</formula>
    </cfRule>
  </conditionalFormatting>
  <dataValidations count="1">
    <dataValidation allowBlank="1" showInputMessage="1" showErrorMessage="1" sqref="V2:V100 Z2:AE100 Z129:AE131 V129:V131" xr:uid="{00000000-0002-0000-0100-000000000000}"/>
  </dataValidations>
  <pageMargins left="0.7" right="0.7" top="0.75" bottom="0.75" header="0.3" footer="0.3"/>
  <pageSetup orientation="portrait" verticalDpi="300" r:id="rId1"/>
  <headerFooter>
    <oddFooter>&amp;C_x000D_&amp;1#&amp;"Calibri"&amp;10&amp;K000000 Low Sensitivity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150"/>
  <sheetViews>
    <sheetView tabSelected="1" topLeftCell="AE1" workbookViewId="0">
      <pane ySplit="1" topLeftCell="A29" activePane="bottomLeft" state="frozen"/>
      <selection pane="bottomLeft" activeCell="AJ75" sqref="AJ75"/>
    </sheetView>
  </sheetViews>
  <sheetFormatPr defaultColWidth="8.81640625" defaultRowHeight="14.5" x14ac:dyDescent="0.35"/>
  <cols>
    <col min="1" max="1" width="10.453125" style="2" bestFit="1" customWidth="1"/>
    <col min="2" max="2" width="16" style="2" bestFit="1" customWidth="1"/>
    <col min="3" max="3" width="23.453125" style="2" bestFit="1" customWidth="1"/>
    <col min="4" max="4" width="21" style="2" bestFit="1" customWidth="1"/>
    <col min="5" max="5" width="16.81640625" style="2" bestFit="1" customWidth="1"/>
    <col min="6" max="6" width="16" style="2" bestFit="1" customWidth="1"/>
    <col min="7" max="7" width="23.81640625" style="2" bestFit="1" customWidth="1"/>
    <col min="8" max="8" width="25.81640625" style="2" bestFit="1" customWidth="1"/>
    <col min="9" max="9" width="20.1796875" style="2" bestFit="1" customWidth="1"/>
    <col min="10" max="10" width="15.453125" style="2" bestFit="1" customWidth="1"/>
    <col min="11" max="11" width="14.81640625" style="2" bestFit="1" customWidth="1"/>
    <col min="12" max="12" width="15.54296875" style="2" bestFit="1" customWidth="1"/>
    <col min="13" max="13" width="14.54296875" style="2" bestFit="1" customWidth="1"/>
    <col min="14" max="14" width="23.453125" style="2" bestFit="1" customWidth="1"/>
    <col min="15" max="15" width="26.54296875" style="2" bestFit="1" customWidth="1"/>
    <col min="16" max="16" width="13.81640625" style="2" bestFit="1" customWidth="1"/>
    <col min="17" max="17" width="14.453125" style="2" bestFit="1" customWidth="1"/>
    <col min="18" max="18" width="16" style="2" bestFit="1" customWidth="1"/>
    <col min="19" max="19" width="27" style="2" bestFit="1" customWidth="1"/>
    <col min="20" max="20" width="21.81640625" style="2" bestFit="1" customWidth="1"/>
    <col min="21" max="21" width="17.1796875" style="2" bestFit="1" customWidth="1"/>
    <col min="22" max="22" width="10.453125" style="2" bestFit="1" customWidth="1"/>
    <col min="23" max="23" width="18.81640625" style="2" bestFit="1" customWidth="1"/>
    <col min="24" max="24" width="15" style="2" bestFit="1" customWidth="1"/>
    <col min="25" max="25" width="11.1796875" style="2" bestFit="1" customWidth="1"/>
    <col min="26" max="26" width="15.1796875" style="2" bestFit="1" customWidth="1"/>
    <col min="27" max="27" width="26" style="2" bestFit="1" customWidth="1"/>
    <col min="28" max="28" width="20.1796875" style="2" bestFit="1" customWidth="1"/>
    <col min="29" max="29" width="29.81640625" style="2" bestFit="1" customWidth="1"/>
    <col min="30" max="30" width="31.81640625" style="2" bestFit="1" customWidth="1"/>
    <col min="31" max="31" width="22.1796875" style="2" bestFit="1" customWidth="1"/>
    <col min="32" max="32" width="21" style="2" bestFit="1" customWidth="1"/>
    <col min="33" max="33" width="20.81640625" style="2" bestFit="1" customWidth="1"/>
    <col min="34" max="34" width="18.81640625" style="2" bestFit="1" customWidth="1"/>
    <col min="35" max="35" width="9.1796875" style="2" bestFit="1" customWidth="1"/>
    <col min="36" max="36" width="15.453125" style="2" bestFit="1" customWidth="1"/>
    <col min="37" max="16384" width="8.81640625" style="2"/>
  </cols>
  <sheetData>
    <row r="1" spans="1:36" s="96" customFormat="1" ht="15" thickBot="1" x14ac:dyDescent="0.4">
      <c r="A1" s="123" t="s">
        <v>53</v>
      </c>
      <c r="B1" s="123" t="s">
        <v>54</v>
      </c>
      <c r="C1" s="124" t="s">
        <v>55</v>
      </c>
      <c r="D1" s="124" t="s">
        <v>56</v>
      </c>
      <c r="E1" s="124" t="s">
        <v>57</v>
      </c>
      <c r="F1" s="124" t="s">
        <v>58</v>
      </c>
      <c r="G1" s="124" t="s">
        <v>59</v>
      </c>
      <c r="H1" s="124" t="s">
        <v>60</v>
      </c>
      <c r="I1" s="124" t="s">
        <v>61</v>
      </c>
      <c r="J1" s="124" t="s">
        <v>62</v>
      </c>
      <c r="K1" s="124" t="s">
        <v>63</v>
      </c>
      <c r="L1" s="124" t="s">
        <v>64</v>
      </c>
      <c r="M1" s="124" t="s">
        <v>65</v>
      </c>
      <c r="N1" s="124" t="s">
        <v>66</v>
      </c>
      <c r="O1" s="124" t="s">
        <v>67</v>
      </c>
      <c r="P1" s="125" t="s">
        <v>6</v>
      </c>
      <c r="Q1" s="126" t="s">
        <v>27</v>
      </c>
      <c r="R1" s="125" t="s">
        <v>68</v>
      </c>
      <c r="S1" s="127" t="s">
        <v>69</v>
      </c>
      <c r="T1" s="127" t="s">
        <v>70</v>
      </c>
      <c r="U1" s="128" t="s">
        <v>71</v>
      </c>
      <c r="V1" s="128" t="s">
        <v>72</v>
      </c>
      <c r="W1" s="128" t="s">
        <v>73</v>
      </c>
      <c r="X1" s="127" t="s">
        <v>74</v>
      </c>
      <c r="Y1" s="129" t="s">
        <v>75</v>
      </c>
      <c r="Z1" s="128" t="s">
        <v>76</v>
      </c>
      <c r="AA1" s="130" t="s">
        <v>77</v>
      </c>
      <c r="AB1" s="130" t="s">
        <v>78</v>
      </c>
      <c r="AC1" s="130" t="s">
        <v>79</v>
      </c>
      <c r="AD1" s="130" t="s">
        <v>80</v>
      </c>
      <c r="AE1" s="130" t="s">
        <v>81</v>
      </c>
      <c r="AF1" s="130" t="s">
        <v>82</v>
      </c>
      <c r="AG1" s="130" t="s">
        <v>83</v>
      </c>
      <c r="AH1" s="130" t="s">
        <v>84</v>
      </c>
      <c r="AI1" s="131" t="s">
        <v>85</v>
      </c>
      <c r="AJ1" s="133" t="s">
        <v>3128</v>
      </c>
    </row>
    <row r="2" spans="1:36" s="114" customFormat="1" ht="43.5" x14ac:dyDescent="0.35">
      <c r="A2" s="114">
        <v>4</v>
      </c>
      <c r="B2" s="114" t="s">
        <v>177</v>
      </c>
      <c r="F2" s="111" t="s">
        <v>174</v>
      </c>
      <c r="G2" s="111" t="s">
        <v>142</v>
      </c>
      <c r="H2" s="111" t="s">
        <v>173</v>
      </c>
      <c r="I2" s="111" t="b">
        <v>0</v>
      </c>
      <c r="J2" s="114" t="s">
        <v>147</v>
      </c>
      <c r="K2" s="112" t="s">
        <v>176</v>
      </c>
      <c r="L2" s="111" t="s">
        <v>175</v>
      </c>
      <c r="M2" s="112">
        <f t="shared" ref="M2:M33" si="0">IFERROR(IF(A2="","",K2/J2)," ")</f>
        <v>373.25</v>
      </c>
      <c r="N2" s="114">
        <f t="shared" ref="N2:N33" si="1">IFERROR(IF(A2="","",J2*L2)," ")</f>
        <v>115</v>
      </c>
      <c r="O2" s="119">
        <f t="shared" ref="O2:O33" si="2">IFERROR(M2*N2," ")</f>
        <v>42923.75</v>
      </c>
      <c r="P2" s="119" t="str">
        <f t="shared" ref="P2:P33" si="3">IFERROR(IF(A2="","",O2-S2)," ")</f>
        <v xml:space="preserve"> </v>
      </c>
      <c r="Q2" s="120" t="str">
        <f t="shared" ref="Q2:Q33" si="4">IFERROR(IF(A2="","",P2/O2)," ")</f>
        <v xml:space="preserve"> </v>
      </c>
      <c r="R2" s="114" t="str">
        <f t="shared" ref="R2:R33" si="5">IFERROR(IF(A2="","",(IF(Q2&lt;0,"Negative",IF(Q2=0,"Same",IF(Q2&gt;0.3,"30+%",IF(Q2&gt;0.2,"20-30%",IF(Q2&gt;0.1,"10-20%",IF(Q2&lt;=0.1,"0-10%"))))))))," ")</f>
        <v>30+%</v>
      </c>
      <c r="S2" s="113" t="str">
        <f t="shared" ref="S2:S33" si="6">IFERROR(IF(A2="","",T2*N2)," ")</f>
        <v xml:space="preserve"> </v>
      </c>
      <c r="T2" s="113" t="str">
        <f t="shared" ref="T2:T33" si="7">IFERROR(IF(A2="","",X2/AB2)," ")</f>
        <v xml:space="preserve"> </v>
      </c>
      <c r="U2" s="114">
        <v>0</v>
      </c>
      <c r="V2" s="114" t="s">
        <v>178</v>
      </c>
      <c r="W2" s="121"/>
      <c r="X2" s="132">
        <v>0</v>
      </c>
      <c r="Z2" s="114">
        <v>0</v>
      </c>
      <c r="AA2" s="114" t="s">
        <v>2853</v>
      </c>
      <c r="AB2" s="114" t="s">
        <v>2853</v>
      </c>
      <c r="AC2" s="114" t="s">
        <v>2853</v>
      </c>
      <c r="AD2" s="114" t="s">
        <v>2853</v>
      </c>
      <c r="AE2" s="114" t="s">
        <v>2853</v>
      </c>
      <c r="AF2" s="114" t="s">
        <v>2853</v>
      </c>
      <c r="AG2" s="114" t="s">
        <v>2853</v>
      </c>
      <c r="AH2" s="114" t="s">
        <v>2853</v>
      </c>
      <c r="AI2" s="114" t="s">
        <v>2853</v>
      </c>
      <c r="AJ2" s="132" t="s">
        <v>3122</v>
      </c>
    </row>
    <row r="3" spans="1:36" s="114" customFormat="1" ht="29" x14ac:dyDescent="0.35">
      <c r="A3" s="114">
        <v>8</v>
      </c>
      <c r="B3" s="114" t="s">
        <v>205</v>
      </c>
      <c r="F3" s="111" t="s">
        <v>202</v>
      </c>
      <c r="G3" s="111" t="s">
        <v>142</v>
      </c>
      <c r="H3" s="111" t="s">
        <v>201</v>
      </c>
      <c r="I3" s="111" t="b">
        <v>0</v>
      </c>
      <c r="J3" s="114" t="s">
        <v>147</v>
      </c>
      <c r="K3" s="112" t="s">
        <v>204</v>
      </c>
      <c r="L3" s="111" t="s">
        <v>203</v>
      </c>
      <c r="M3" s="112">
        <f t="shared" si="0"/>
        <v>147.38999999999999</v>
      </c>
      <c r="N3" s="114">
        <f t="shared" si="1"/>
        <v>120</v>
      </c>
      <c r="O3" s="119">
        <f t="shared" si="2"/>
        <v>17686.8</v>
      </c>
      <c r="P3" s="119" t="str">
        <f t="shared" si="3"/>
        <v xml:space="preserve"> </v>
      </c>
      <c r="Q3" s="120" t="str">
        <f t="shared" si="4"/>
        <v xml:space="preserve"> </v>
      </c>
      <c r="R3" s="114" t="str">
        <f t="shared" si="5"/>
        <v>30+%</v>
      </c>
      <c r="S3" s="113" t="str">
        <f t="shared" si="6"/>
        <v xml:space="preserve"> </v>
      </c>
      <c r="T3" s="113" t="str">
        <f t="shared" si="7"/>
        <v xml:space="preserve"> </v>
      </c>
      <c r="U3" s="114">
        <v>0</v>
      </c>
      <c r="V3" s="114" t="s">
        <v>206</v>
      </c>
      <c r="W3" s="121"/>
      <c r="X3" s="132">
        <v>0</v>
      </c>
      <c r="Z3" s="114">
        <v>0</v>
      </c>
      <c r="AA3" s="114" t="s">
        <v>2853</v>
      </c>
      <c r="AB3" s="114" t="s">
        <v>2853</v>
      </c>
      <c r="AC3" s="114" t="s">
        <v>2853</v>
      </c>
      <c r="AD3" s="114" t="s">
        <v>2853</v>
      </c>
      <c r="AE3" s="114" t="s">
        <v>2853</v>
      </c>
      <c r="AF3" s="114" t="s">
        <v>2853</v>
      </c>
      <c r="AG3" s="114" t="s">
        <v>2853</v>
      </c>
      <c r="AH3" s="114" t="s">
        <v>2853</v>
      </c>
      <c r="AI3" s="114" t="s">
        <v>2853</v>
      </c>
      <c r="AJ3" s="132" t="s">
        <v>3122</v>
      </c>
    </row>
    <row r="4" spans="1:36" s="114" customFormat="1" ht="29" x14ac:dyDescent="0.35">
      <c r="A4" s="114">
        <v>21</v>
      </c>
      <c r="B4" s="114" t="s">
        <v>302</v>
      </c>
      <c r="F4" s="111" t="s">
        <v>299</v>
      </c>
      <c r="G4" s="111" t="s">
        <v>142</v>
      </c>
      <c r="H4" s="111" t="s">
        <v>298</v>
      </c>
      <c r="I4" s="111" t="b">
        <v>0</v>
      </c>
      <c r="J4" s="114" t="s">
        <v>147</v>
      </c>
      <c r="K4" s="112" t="s">
        <v>301</v>
      </c>
      <c r="L4" s="111" t="s">
        <v>300</v>
      </c>
      <c r="M4" s="112">
        <f t="shared" si="0"/>
        <v>160.33000000000001</v>
      </c>
      <c r="N4" s="114">
        <f t="shared" si="1"/>
        <v>70</v>
      </c>
      <c r="O4" s="119">
        <f t="shared" si="2"/>
        <v>11223.1</v>
      </c>
      <c r="P4" s="119" t="str">
        <f t="shared" si="3"/>
        <v xml:space="preserve"> </v>
      </c>
      <c r="Q4" s="120" t="str">
        <f t="shared" si="4"/>
        <v xml:space="preserve"> </v>
      </c>
      <c r="R4" s="114" t="str">
        <f t="shared" si="5"/>
        <v>30+%</v>
      </c>
      <c r="S4" s="113" t="str">
        <f t="shared" si="6"/>
        <v xml:space="preserve"> </v>
      </c>
      <c r="T4" s="113" t="str">
        <f t="shared" si="7"/>
        <v xml:space="preserve"> </v>
      </c>
      <c r="U4" s="114">
        <v>0</v>
      </c>
      <c r="V4" s="114" t="s">
        <v>206</v>
      </c>
      <c r="W4" s="121"/>
      <c r="X4" s="132">
        <v>0</v>
      </c>
      <c r="Z4" s="114">
        <v>0</v>
      </c>
      <c r="AA4" s="114" t="s">
        <v>2853</v>
      </c>
      <c r="AB4" s="114" t="s">
        <v>2853</v>
      </c>
      <c r="AC4" s="114" t="s">
        <v>2853</v>
      </c>
      <c r="AD4" s="114" t="s">
        <v>2853</v>
      </c>
      <c r="AE4" s="114" t="s">
        <v>2853</v>
      </c>
      <c r="AF4" s="114" t="s">
        <v>2853</v>
      </c>
      <c r="AG4" s="114" t="s">
        <v>2853</v>
      </c>
      <c r="AH4" s="114" t="s">
        <v>2853</v>
      </c>
      <c r="AI4" s="114" t="s">
        <v>2853</v>
      </c>
      <c r="AJ4" s="132" t="s">
        <v>3122</v>
      </c>
    </row>
    <row r="5" spans="1:36" s="114" customFormat="1" ht="43.5" x14ac:dyDescent="0.35">
      <c r="A5" s="114">
        <v>24</v>
      </c>
      <c r="B5" s="114" t="s">
        <v>318</v>
      </c>
      <c r="F5" s="111" t="s">
        <v>315</v>
      </c>
      <c r="G5" s="111" t="s">
        <v>142</v>
      </c>
      <c r="H5" s="111" t="s">
        <v>314</v>
      </c>
      <c r="I5" s="111" t="b">
        <v>0</v>
      </c>
      <c r="J5" s="114" t="s">
        <v>147</v>
      </c>
      <c r="K5" s="112" t="s">
        <v>317</v>
      </c>
      <c r="L5" s="111" t="s">
        <v>316</v>
      </c>
      <c r="M5" s="112">
        <f t="shared" si="0"/>
        <v>23.09</v>
      </c>
      <c r="N5" s="114">
        <f t="shared" si="1"/>
        <v>454</v>
      </c>
      <c r="O5" s="119">
        <f t="shared" si="2"/>
        <v>10482.86</v>
      </c>
      <c r="P5" s="119" t="str">
        <f t="shared" si="3"/>
        <v xml:space="preserve"> </v>
      </c>
      <c r="Q5" s="120" t="str">
        <f t="shared" si="4"/>
        <v xml:space="preserve"> </v>
      </c>
      <c r="R5" s="114" t="str">
        <f t="shared" si="5"/>
        <v>30+%</v>
      </c>
      <c r="S5" s="113" t="str">
        <f t="shared" si="6"/>
        <v xml:space="preserve"> </v>
      </c>
      <c r="T5" s="113" t="str">
        <f t="shared" si="7"/>
        <v xml:space="preserve"> </v>
      </c>
      <c r="U5" s="114">
        <v>0</v>
      </c>
      <c r="V5" s="114" t="s">
        <v>178</v>
      </c>
      <c r="W5" s="121"/>
      <c r="X5" s="132">
        <v>0</v>
      </c>
      <c r="Z5" s="114">
        <v>0</v>
      </c>
      <c r="AA5" s="114" t="s">
        <v>2853</v>
      </c>
      <c r="AB5" s="114" t="s">
        <v>2853</v>
      </c>
      <c r="AC5" s="114" t="s">
        <v>2853</v>
      </c>
      <c r="AD5" s="114" t="s">
        <v>2853</v>
      </c>
      <c r="AE5" s="114" t="s">
        <v>2853</v>
      </c>
      <c r="AF5" s="114" t="s">
        <v>2853</v>
      </c>
      <c r="AG5" s="114" t="s">
        <v>2853</v>
      </c>
      <c r="AH5" s="114" t="s">
        <v>2853</v>
      </c>
      <c r="AI5" s="114" t="s">
        <v>2853</v>
      </c>
      <c r="AJ5" s="132" t="s">
        <v>3122</v>
      </c>
    </row>
    <row r="6" spans="1:36" s="114" customFormat="1" ht="29" x14ac:dyDescent="0.35">
      <c r="A6" s="114">
        <v>36</v>
      </c>
      <c r="B6" s="114" t="s">
        <v>400</v>
      </c>
      <c r="F6" s="111" t="s">
        <v>397</v>
      </c>
      <c r="G6" s="111" t="s">
        <v>142</v>
      </c>
      <c r="H6" s="111" t="s">
        <v>396</v>
      </c>
      <c r="I6" s="111" t="b">
        <v>0</v>
      </c>
      <c r="J6" s="114" t="s">
        <v>147</v>
      </c>
      <c r="K6" s="112" t="s">
        <v>399</v>
      </c>
      <c r="L6" s="111" t="s">
        <v>398</v>
      </c>
      <c r="M6" s="112">
        <f t="shared" si="0"/>
        <v>108.3</v>
      </c>
      <c r="N6" s="114">
        <f t="shared" si="1"/>
        <v>76</v>
      </c>
      <c r="O6" s="119">
        <f t="shared" si="2"/>
        <v>8230.7999999999993</v>
      </c>
      <c r="P6" s="119" t="str">
        <f t="shared" si="3"/>
        <v xml:space="preserve"> </v>
      </c>
      <c r="Q6" s="120" t="str">
        <f t="shared" si="4"/>
        <v xml:space="preserve"> </v>
      </c>
      <c r="R6" s="114" t="str">
        <f t="shared" si="5"/>
        <v>30+%</v>
      </c>
      <c r="S6" s="113" t="str">
        <f t="shared" si="6"/>
        <v xml:space="preserve"> </v>
      </c>
      <c r="T6" s="113" t="str">
        <f t="shared" si="7"/>
        <v xml:space="preserve"> </v>
      </c>
      <c r="U6" s="114">
        <v>0</v>
      </c>
      <c r="V6" s="114" t="s">
        <v>206</v>
      </c>
      <c r="W6" s="121"/>
      <c r="X6" s="132">
        <v>0</v>
      </c>
      <c r="Z6" s="114">
        <v>0</v>
      </c>
      <c r="AA6" s="114" t="s">
        <v>2853</v>
      </c>
      <c r="AB6" s="114" t="s">
        <v>2853</v>
      </c>
      <c r="AC6" s="114" t="s">
        <v>2853</v>
      </c>
      <c r="AD6" s="114" t="s">
        <v>2853</v>
      </c>
      <c r="AE6" s="114" t="s">
        <v>2853</v>
      </c>
      <c r="AF6" s="114" t="s">
        <v>2853</v>
      </c>
      <c r="AG6" s="114" t="s">
        <v>2853</v>
      </c>
      <c r="AH6" s="114" t="s">
        <v>2853</v>
      </c>
      <c r="AI6" s="114" t="s">
        <v>2853</v>
      </c>
      <c r="AJ6" s="132" t="s">
        <v>3122</v>
      </c>
    </row>
    <row r="7" spans="1:36" s="114" customFormat="1" ht="43.5" x14ac:dyDescent="0.35">
      <c r="A7" s="114">
        <v>49</v>
      </c>
      <c r="B7" s="114" t="s">
        <v>484</v>
      </c>
      <c r="F7" s="111" t="s">
        <v>481</v>
      </c>
      <c r="G7" s="111" t="s">
        <v>142</v>
      </c>
      <c r="H7" s="111" t="s">
        <v>480</v>
      </c>
      <c r="I7" s="111" t="b">
        <v>0</v>
      </c>
      <c r="J7" s="114" t="s">
        <v>147</v>
      </c>
      <c r="K7" s="112" t="s">
        <v>483</v>
      </c>
      <c r="L7" s="111" t="s">
        <v>482</v>
      </c>
      <c r="M7" s="112">
        <f t="shared" si="0"/>
        <v>87.39</v>
      </c>
      <c r="N7" s="114">
        <f t="shared" si="1"/>
        <v>71</v>
      </c>
      <c r="O7" s="119">
        <f t="shared" si="2"/>
        <v>6204.69</v>
      </c>
      <c r="P7" s="119" t="str">
        <f t="shared" si="3"/>
        <v xml:space="preserve"> </v>
      </c>
      <c r="Q7" s="120" t="str">
        <f t="shared" si="4"/>
        <v xml:space="preserve"> </v>
      </c>
      <c r="R7" s="114" t="str">
        <f t="shared" si="5"/>
        <v>30+%</v>
      </c>
      <c r="S7" s="113" t="str">
        <f t="shared" si="6"/>
        <v xml:space="preserve"> </v>
      </c>
      <c r="T7" s="113" t="str">
        <f t="shared" si="7"/>
        <v xml:space="preserve"> </v>
      </c>
      <c r="U7" s="114">
        <v>0</v>
      </c>
      <c r="V7" s="114" t="s">
        <v>206</v>
      </c>
      <c r="W7" s="121"/>
      <c r="X7" s="132">
        <v>0</v>
      </c>
      <c r="Z7" s="114">
        <v>0</v>
      </c>
      <c r="AA7" s="114" t="s">
        <v>2853</v>
      </c>
      <c r="AB7" s="114" t="s">
        <v>2853</v>
      </c>
      <c r="AC7" s="114" t="s">
        <v>2853</v>
      </c>
      <c r="AD7" s="114" t="s">
        <v>2853</v>
      </c>
      <c r="AE7" s="114" t="s">
        <v>2853</v>
      </c>
      <c r="AF7" s="114" t="s">
        <v>2853</v>
      </c>
      <c r="AG7" s="114" t="s">
        <v>2853</v>
      </c>
      <c r="AH7" s="114" t="s">
        <v>2853</v>
      </c>
      <c r="AI7" s="114" t="s">
        <v>2853</v>
      </c>
      <c r="AJ7" s="132" t="s">
        <v>3122</v>
      </c>
    </row>
    <row r="8" spans="1:36" s="114" customFormat="1" ht="43.5" x14ac:dyDescent="0.35">
      <c r="A8" s="114">
        <v>50</v>
      </c>
      <c r="B8" s="114" t="s">
        <v>488</v>
      </c>
      <c r="F8" s="111" t="s">
        <v>486</v>
      </c>
      <c r="G8" s="111" t="s">
        <v>142</v>
      </c>
      <c r="H8" s="111" t="s">
        <v>485</v>
      </c>
      <c r="I8" s="111" t="b">
        <v>0</v>
      </c>
      <c r="J8" s="114" t="s">
        <v>147</v>
      </c>
      <c r="K8" s="112" t="s">
        <v>487</v>
      </c>
      <c r="L8" s="111" t="s">
        <v>216</v>
      </c>
      <c r="M8" s="112">
        <f t="shared" si="0"/>
        <v>79.040000000000006</v>
      </c>
      <c r="N8" s="114">
        <f t="shared" si="1"/>
        <v>78</v>
      </c>
      <c r="O8" s="119">
        <f t="shared" si="2"/>
        <v>6165.1200000000008</v>
      </c>
      <c r="P8" s="119" t="str">
        <f t="shared" si="3"/>
        <v xml:space="preserve"> </v>
      </c>
      <c r="Q8" s="120" t="str">
        <f t="shared" si="4"/>
        <v xml:space="preserve"> </v>
      </c>
      <c r="R8" s="114" t="str">
        <f t="shared" si="5"/>
        <v>30+%</v>
      </c>
      <c r="S8" s="113" t="str">
        <f t="shared" si="6"/>
        <v xml:space="preserve"> </v>
      </c>
      <c r="T8" s="113" t="str">
        <f t="shared" si="7"/>
        <v xml:space="preserve"> </v>
      </c>
      <c r="U8" s="114">
        <v>0</v>
      </c>
      <c r="V8" s="114" t="s">
        <v>206</v>
      </c>
      <c r="W8" s="121"/>
      <c r="X8" s="132">
        <v>0</v>
      </c>
      <c r="Z8" s="114">
        <v>0</v>
      </c>
      <c r="AA8" s="114" t="s">
        <v>2853</v>
      </c>
      <c r="AB8" s="114" t="s">
        <v>2853</v>
      </c>
      <c r="AC8" s="114" t="s">
        <v>2853</v>
      </c>
      <c r="AD8" s="114" t="s">
        <v>2853</v>
      </c>
      <c r="AE8" s="114" t="s">
        <v>2853</v>
      </c>
      <c r="AF8" s="114" t="s">
        <v>2853</v>
      </c>
      <c r="AG8" s="114" t="s">
        <v>2853</v>
      </c>
      <c r="AH8" s="114" t="s">
        <v>2853</v>
      </c>
      <c r="AI8" s="114" t="s">
        <v>2853</v>
      </c>
      <c r="AJ8" s="132" t="s">
        <v>3122</v>
      </c>
    </row>
    <row r="9" spans="1:36" s="114" customFormat="1" ht="29" x14ac:dyDescent="0.35">
      <c r="A9" s="114">
        <v>58</v>
      </c>
      <c r="B9" s="114" t="s">
        <v>542</v>
      </c>
      <c r="F9" s="111" t="s">
        <v>540</v>
      </c>
      <c r="G9" s="111" t="s">
        <v>142</v>
      </c>
      <c r="H9" s="111" t="s">
        <v>539</v>
      </c>
      <c r="I9" s="111" t="b">
        <v>0</v>
      </c>
      <c r="J9" s="114" t="s">
        <v>147</v>
      </c>
      <c r="K9" s="112" t="s">
        <v>541</v>
      </c>
      <c r="L9" s="111" t="s">
        <v>147</v>
      </c>
      <c r="M9" s="112">
        <f t="shared" si="0"/>
        <v>4905.74</v>
      </c>
      <c r="N9" s="114">
        <f t="shared" si="1"/>
        <v>1</v>
      </c>
      <c r="O9" s="119">
        <f t="shared" si="2"/>
        <v>4905.74</v>
      </c>
      <c r="P9" s="119" t="str">
        <f t="shared" si="3"/>
        <v xml:space="preserve"> </v>
      </c>
      <c r="Q9" s="120" t="str">
        <f t="shared" si="4"/>
        <v xml:space="preserve"> </v>
      </c>
      <c r="R9" s="114" t="str">
        <f t="shared" si="5"/>
        <v>30+%</v>
      </c>
      <c r="S9" s="113" t="str">
        <f t="shared" si="6"/>
        <v xml:space="preserve"> </v>
      </c>
      <c r="T9" s="113" t="str">
        <f t="shared" si="7"/>
        <v xml:space="preserve"> </v>
      </c>
      <c r="U9" s="114">
        <v>0</v>
      </c>
      <c r="V9" s="114" t="s">
        <v>178</v>
      </c>
      <c r="W9" s="121"/>
      <c r="X9" s="132">
        <v>0</v>
      </c>
      <c r="Z9" s="114">
        <v>0</v>
      </c>
      <c r="AA9" s="114" t="s">
        <v>2853</v>
      </c>
      <c r="AB9" s="114" t="s">
        <v>2853</v>
      </c>
      <c r="AC9" s="114" t="s">
        <v>2853</v>
      </c>
      <c r="AD9" s="114" t="s">
        <v>2853</v>
      </c>
      <c r="AE9" s="114" t="s">
        <v>2853</v>
      </c>
      <c r="AF9" s="114" t="s">
        <v>2853</v>
      </c>
      <c r="AG9" s="114" t="s">
        <v>2853</v>
      </c>
      <c r="AH9" s="114" t="s">
        <v>2853</v>
      </c>
      <c r="AI9" s="114" t="s">
        <v>2853</v>
      </c>
      <c r="AJ9" s="132" t="s">
        <v>3122</v>
      </c>
    </row>
    <row r="10" spans="1:36" s="114" customFormat="1" ht="29" x14ac:dyDescent="0.35">
      <c r="A10" s="114">
        <v>68</v>
      </c>
      <c r="B10" s="114" t="s">
        <v>601</v>
      </c>
      <c r="F10" s="111" t="s">
        <v>598</v>
      </c>
      <c r="G10" s="111" t="s">
        <v>142</v>
      </c>
      <c r="H10" s="111" t="s">
        <v>597</v>
      </c>
      <c r="I10" s="111" t="b">
        <v>0</v>
      </c>
      <c r="J10" s="114" t="s">
        <v>147</v>
      </c>
      <c r="K10" s="112" t="s">
        <v>600</v>
      </c>
      <c r="L10" s="111" t="s">
        <v>599</v>
      </c>
      <c r="M10" s="112">
        <f t="shared" si="0"/>
        <v>83.52</v>
      </c>
      <c r="N10" s="114">
        <f t="shared" si="1"/>
        <v>47</v>
      </c>
      <c r="O10" s="119">
        <f t="shared" si="2"/>
        <v>3925.4399999999996</v>
      </c>
      <c r="P10" s="119" t="str">
        <f t="shared" si="3"/>
        <v xml:space="preserve"> </v>
      </c>
      <c r="Q10" s="120" t="str">
        <f t="shared" si="4"/>
        <v xml:space="preserve"> </v>
      </c>
      <c r="R10" s="114" t="str">
        <f t="shared" si="5"/>
        <v>30+%</v>
      </c>
      <c r="S10" s="113" t="str">
        <f t="shared" si="6"/>
        <v xml:space="preserve"> </v>
      </c>
      <c r="T10" s="113" t="str">
        <f t="shared" si="7"/>
        <v xml:space="preserve"> </v>
      </c>
      <c r="U10" s="114">
        <v>0</v>
      </c>
      <c r="V10" s="114" t="s">
        <v>178</v>
      </c>
      <c r="W10" s="121"/>
      <c r="X10" s="132">
        <v>0</v>
      </c>
      <c r="Z10" s="114">
        <v>0</v>
      </c>
      <c r="AA10" s="114" t="s">
        <v>2853</v>
      </c>
      <c r="AB10" s="114" t="s">
        <v>2853</v>
      </c>
      <c r="AC10" s="114" t="s">
        <v>2853</v>
      </c>
      <c r="AD10" s="114" t="s">
        <v>2853</v>
      </c>
      <c r="AE10" s="114" t="s">
        <v>2853</v>
      </c>
      <c r="AF10" s="114" t="s">
        <v>2853</v>
      </c>
      <c r="AG10" s="114" t="s">
        <v>2853</v>
      </c>
      <c r="AH10" s="114" t="s">
        <v>2853</v>
      </c>
      <c r="AI10" s="114" t="s">
        <v>2853</v>
      </c>
      <c r="AJ10" s="132" t="s">
        <v>3122</v>
      </c>
    </row>
    <row r="11" spans="1:36" s="114" customFormat="1" ht="43.5" x14ac:dyDescent="0.35">
      <c r="A11" s="114">
        <v>73</v>
      </c>
      <c r="B11" s="114" t="s">
        <v>629</v>
      </c>
      <c r="F11" s="111" t="s">
        <v>627</v>
      </c>
      <c r="G11" s="111" t="s">
        <v>142</v>
      </c>
      <c r="H11" s="111" t="s">
        <v>626</v>
      </c>
      <c r="I11" s="111" t="b">
        <v>0</v>
      </c>
      <c r="J11" s="114" t="s">
        <v>147</v>
      </c>
      <c r="K11" s="112" t="s">
        <v>628</v>
      </c>
      <c r="L11" s="111" t="s">
        <v>253</v>
      </c>
      <c r="M11" s="112">
        <f t="shared" si="0"/>
        <v>159.19999999999999</v>
      </c>
      <c r="N11" s="114">
        <f t="shared" si="1"/>
        <v>24</v>
      </c>
      <c r="O11" s="119">
        <f t="shared" si="2"/>
        <v>3820.7999999999997</v>
      </c>
      <c r="P11" s="119" t="str">
        <f t="shared" si="3"/>
        <v xml:space="preserve"> </v>
      </c>
      <c r="Q11" s="120" t="str">
        <f t="shared" si="4"/>
        <v xml:space="preserve"> </v>
      </c>
      <c r="R11" s="114" t="str">
        <f t="shared" si="5"/>
        <v>30+%</v>
      </c>
      <c r="S11" s="113" t="str">
        <f t="shared" si="6"/>
        <v xml:space="preserve"> </v>
      </c>
      <c r="T11" s="113" t="str">
        <f t="shared" si="7"/>
        <v xml:space="preserve"> </v>
      </c>
      <c r="U11" s="114">
        <v>0</v>
      </c>
      <c r="V11" s="114" t="s">
        <v>206</v>
      </c>
      <c r="W11" s="121"/>
      <c r="X11" s="132">
        <v>0</v>
      </c>
      <c r="Z11" s="114">
        <v>0</v>
      </c>
      <c r="AA11" s="114" t="s">
        <v>2853</v>
      </c>
      <c r="AB11" s="114" t="s">
        <v>2853</v>
      </c>
      <c r="AC11" s="114" t="s">
        <v>2853</v>
      </c>
      <c r="AD11" s="114" t="s">
        <v>2853</v>
      </c>
      <c r="AE11" s="114" t="s">
        <v>2853</v>
      </c>
      <c r="AF11" s="114" t="s">
        <v>2853</v>
      </c>
      <c r="AG11" s="114" t="s">
        <v>2853</v>
      </c>
      <c r="AH11" s="114" t="s">
        <v>2853</v>
      </c>
      <c r="AI11" s="114" t="s">
        <v>2853</v>
      </c>
      <c r="AJ11" s="132" t="s">
        <v>3122</v>
      </c>
    </row>
    <row r="12" spans="1:36" s="114" customFormat="1" ht="43.5" x14ac:dyDescent="0.35">
      <c r="A12" s="114">
        <v>91</v>
      </c>
      <c r="B12" s="114" t="s">
        <v>741</v>
      </c>
      <c r="F12" s="111" t="s">
        <v>739</v>
      </c>
      <c r="G12" s="111" t="s">
        <v>142</v>
      </c>
      <c r="H12" s="111" t="s">
        <v>738</v>
      </c>
      <c r="I12" s="111" t="b">
        <v>0</v>
      </c>
      <c r="J12" s="114" t="s">
        <v>147</v>
      </c>
      <c r="K12" s="112" t="s">
        <v>740</v>
      </c>
      <c r="L12" s="111" t="s">
        <v>181</v>
      </c>
      <c r="M12" s="112">
        <f t="shared" si="0"/>
        <v>217.46</v>
      </c>
      <c r="N12" s="114">
        <f t="shared" si="1"/>
        <v>14</v>
      </c>
      <c r="O12" s="119">
        <f t="shared" si="2"/>
        <v>3044.44</v>
      </c>
      <c r="P12" s="119" t="str">
        <f t="shared" si="3"/>
        <v xml:space="preserve"> </v>
      </c>
      <c r="Q12" s="120" t="str">
        <f t="shared" si="4"/>
        <v xml:space="preserve"> </v>
      </c>
      <c r="R12" s="114" t="str">
        <f t="shared" si="5"/>
        <v>30+%</v>
      </c>
      <c r="S12" s="113" t="str">
        <f t="shared" si="6"/>
        <v xml:space="preserve"> </v>
      </c>
      <c r="T12" s="113" t="str">
        <f t="shared" si="7"/>
        <v xml:space="preserve"> </v>
      </c>
      <c r="U12" s="114">
        <v>0</v>
      </c>
      <c r="V12" s="114" t="s">
        <v>206</v>
      </c>
      <c r="W12" s="121"/>
      <c r="X12" s="132">
        <v>0</v>
      </c>
      <c r="Z12" s="114">
        <v>0</v>
      </c>
      <c r="AA12" s="114" t="s">
        <v>2853</v>
      </c>
      <c r="AB12" s="114" t="s">
        <v>2853</v>
      </c>
      <c r="AC12" s="114" t="s">
        <v>2853</v>
      </c>
      <c r="AD12" s="114" t="s">
        <v>2853</v>
      </c>
      <c r="AE12" s="114" t="s">
        <v>2853</v>
      </c>
      <c r="AF12" s="114" t="s">
        <v>2853</v>
      </c>
      <c r="AG12" s="114" t="s">
        <v>2853</v>
      </c>
      <c r="AH12" s="114" t="s">
        <v>2853</v>
      </c>
      <c r="AI12" s="114" t="s">
        <v>2853</v>
      </c>
      <c r="AJ12" s="132" t="s">
        <v>3122</v>
      </c>
    </row>
    <row r="13" spans="1:36" s="114" customFormat="1" ht="43.5" x14ac:dyDescent="0.35">
      <c r="A13" s="114">
        <v>93</v>
      </c>
      <c r="B13" s="114" t="s">
        <v>750</v>
      </c>
      <c r="F13" s="111" t="s">
        <v>748</v>
      </c>
      <c r="G13" s="111" t="s">
        <v>142</v>
      </c>
      <c r="H13" s="111" t="s">
        <v>747</v>
      </c>
      <c r="I13" s="111" t="b">
        <v>0</v>
      </c>
      <c r="J13" s="114" t="s">
        <v>147</v>
      </c>
      <c r="K13" s="112" t="s">
        <v>749</v>
      </c>
      <c r="L13" s="111" t="s">
        <v>277</v>
      </c>
      <c r="M13" s="112">
        <f t="shared" si="0"/>
        <v>148.80000000000001</v>
      </c>
      <c r="N13" s="114">
        <f t="shared" si="1"/>
        <v>20</v>
      </c>
      <c r="O13" s="119">
        <f t="shared" si="2"/>
        <v>2976</v>
      </c>
      <c r="P13" s="119" t="str">
        <f t="shared" si="3"/>
        <v xml:space="preserve"> </v>
      </c>
      <c r="Q13" s="120" t="str">
        <f t="shared" si="4"/>
        <v xml:space="preserve"> </v>
      </c>
      <c r="R13" s="114" t="str">
        <f t="shared" si="5"/>
        <v>30+%</v>
      </c>
      <c r="S13" s="113" t="str">
        <f t="shared" si="6"/>
        <v xml:space="preserve"> </v>
      </c>
      <c r="T13" s="113" t="str">
        <f t="shared" si="7"/>
        <v xml:space="preserve"> </v>
      </c>
      <c r="U13" s="114">
        <v>0</v>
      </c>
      <c r="V13" s="114" t="s">
        <v>206</v>
      </c>
      <c r="W13" s="121"/>
      <c r="X13" s="132">
        <v>0</v>
      </c>
      <c r="Z13" s="114">
        <v>0</v>
      </c>
      <c r="AA13" s="114" t="s">
        <v>2853</v>
      </c>
      <c r="AB13" s="114" t="s">
        <v>2853</v>
      </c>
      <c r="AC13" s="114" t="s">
        <v>2853</v>
      </c>
      <c r="AD13" s="114" t="s">
        <v>2853</v>
      </c>
      <c r="AE13" s="114" t="s">
        <v>2853</v>
      </c>
      <c r="AF13" s="114" t="s">
        <v>2853</v>
      </c>
      <c r="AG13" s="114" t="s">
        <v>2853</v>
      </c>
      <c r="AH13" s="114" t="s">
        <v>2853</v>
      </c>
      <c r="AI13" s="114" t="s">
        <v>2853</v>
      </c>
      <c r="AJ13" s="132" t="s">
        <v>3122</v>
      </c>
    </row>
    <row r="14" spans="1:36" s="114" customFormat="1" ht="29" x14ac:dyDescent="0.35">
      <c r="A14" s="114">
        <v>102</v>
      </c>
      <c r="B14" s="114" t="s">
        <v>804</v>
      </c>
      <c r="F14" s="111" t="s">
        <v>801</v>
      </c>
      <c r="G14" s="111" t="s">
        <v>142</v>
      </c>
      <c r="H14" s="111" t="s">
        <v>800</v>
      </c>
      <c r="I14" s="111" t="b">
        <v>0</v>
      </c>
      <c r="J14" s="114" t="s">
        <v>147</v>
      </c>
      <c r="K14" s="112" t="s">
        <v>803</v>
      </c>
      <c r="L14" s="111" t="s">
        <v>802</v>
      </c>
      <c r="M14" s="112">
        <f t="shared" si="0"/>
        <v>87.01</v>
      </c>
      <c r="N14" s="114">
        <f t="shared" si="1"/>
        <v>32</v>
      </c>
      <c r="O14" s="119">
        <f t="shared" si="2"/>
        <v>2784.32</v>
      </c>
      <c r="P14" s="119" t="str">
        <f t="shared" si="3"/>
        <v xml:space="preserve"> </v>
      </c>
      <c r="Q14" s="120" t="str">
        <f t="shared" si="4"/>
        <v xml:space="preserve"> </v>
      </c>
      <c r="R14" s="114" t="str">
        <f t="shared" si="5"/>
        <v>30+%</v>
      </c>
      <c r="S14" s="113" t="str">
        <f t="shared" si="6"/>
        <v xml:space="preserve"> </v>
      </c>
      <c r="T14" s="113" t="str">
        <f t="shared" si="7"/>
        <v xml:space="preserve"> </v>
      </c>
      <c r="U14" s="114">
        <v>0</v>
      </c>
      <c r="V14" s="114" t="s">
        <v>206</v>
      </c>
      <c r="W14" s="121"/>
      <c r="X14" s="132">
        <v>0</v>
      </c>
      <c r="Z14" s="114">
        <v>0</v>
      </c>
      <c r="AA14" s="114" t="s">
        <v>2853</v>
      </c>
      <c r="AB14" s="114" t="s">
        <v>2853</v>
      </c>
      <c r="AC14" s="114" t="s">
        <v>2853</v>
      </c>
      <c r="AD14" s="114" t="s">
        <v>2853</v>
      </c>
      <c r="AE14" s="114" t="s">
        <v>2853</v>
      </c>
      <c r="AF14" s="114" t="s">
        <v>2853</v>
      </c>
      <c r="AG14" s="114" t="s">
        <v>2853</v>
      </c>
      <c r="AH14" s="114" t="s">
        <v>2853</v>
      </c>
      <c r="AI14" s="114" t="s">
        <v>2853</v>
      </c>
      <c r="AJ14" s="132" t="s">
        <v>3122</v>
      </c>
    </row>
    <row r="15" spans="1:36" s="114" customFormat="1" ht="29" x14ac:dyDescent="0.35">
      <c r="A15" s="114">
        <v>103</v>
      </c>
      <c r="B15" s="114" t="s">
        <v>808</v>
      </c>
      <c r="F15" s="111" t="s">
        <v>806</v>
      </c>
      <c r="G15" s="111" t="s">
        <v>142</v>
      </c>
      <c r="H15" s="111" t="s">
        <v>805</v>
      </c>
      <c r="I15" s="111" t="b">
        <v>0</v>
      </c>
      <c r="J15" s="114" t="s">
        <v>147</v>
      </c>
      <c r="K15" s="112" t="s">
        <v>807</v>
      </c>
      <c r="L15" s="111" t="s">
        <v>802</v>
      </c>
      <c r="M15" s="112">
        <f t="shared" si="0"/>
        <v>86.97</v>
      </c>
      <c r="N15" s="114">
        <f t="shared" si="1"/>
        <v>32</v>
      </c>
      <c r="O15" s="119">
        <f t="shared" si="2"/>
        <v>2783.04</v>
      </c>
      <c r="P15" s="119" t="str">
        <f t="shared" si="3"/>
        <v xml:space="preserve"> </v>
      </c>
      <c r="Q15" s="120" t="str">
        <f t="shared" si="4"/>
        <v xml:space="preserve"> </v>
      </c>
      <c r="R15" s="114" t="str">
        <f t="shared" si="5"/>
        <v>30+%</v>
      </c>
      <c r="S15" s="113" t="str">
        <f t="shared" si="6"/>
        <v xml:space="preserve"> </v>
      </c>
      <c r="T15" s="113" t="str">
        <f t="shared" si="7"/>
        <v xml:space="preserve"> </v>
      </c>
      <c r="U15" s="114">
        <v>0</v>
      </c>
      <c r="V15" s="114" t="s">
        <v>206</v>
      </c>
      <c r="W15" s="121"/>
      <c r="X15" s="132">
        <v>0</v>
      </c>
      <c r="Z15" s="114">
        <v>0</v>
      </c>
      <c r="AA15" s="114" t="s">
        <v>2853</v>
      </c>
      <c r="AB15" s="114" t="s">
        <v>2853</v>
      </c>
      <c r="AC15" s="114" t="s">
        <v>2853</v>
      </c>
      <c r="AD15" s="114" t="s">
        <v>2853</v>
      </c>
      <c r="AE15" s="114" t="s">
        <v>2853</v>
      </c>
      <c r="AF15" s="114" t="s">
        <v>2853</v>
      </c>
      <c r="AG15" s="114" t="s">
        <v>2853</v>
      </c>
      <c r="AH15" s="114" t="s">
        <v>2853</v>
      </c>
      <c r="AI15" s="114" t="s">
        <v>2853</v>
      </c>
      <c r="AJ15" s="132" t="s">
        <v>3122</v>
      </c>
    </row>
    <row r="16" spans="1:36" s="114" customFormat="1" ht="43.5" x14ac:dyDescent="0.35">
      <c r="A16" s="114">
        <v>108</v>
      </c>
      <c r="B16" s="114" t="s">
        <v>840</v>
      </c>
      <c r="F16" s="111" t="s">
        <v>838</v>
      </c>
      <c r="G16" s="111" t="s">
        <v>142</v>
      </c>
      <c r="H16" s="111" t="s">
        <v>837</v>
      </c>
      <c r="I16" s="111" t="b">
        <v>0</v>
      </c>
      <c r="J16" s="114" t="s">
        <v>147</v>
      </c>
      <c r="K16" s="112" t="s">
        <v>839</v>
      </c>
      <c r="L16" s="111" t="s">
        <v>175</v>
      </c>
      <c r="M16" s="112">
        <f t="shared" si="0"/>
        <v>22.87</v>
      </c>
      <c r="N16" s="114">
        <f t="shared" si="1"/>
        <v>115</v>
      </c>
      <c r="O16" s="119">
        <f t="shared" si="2"/>
        <v>2630.05</v>
      </c>
      <c r="P16" s="119" t="str">
        <f t="shared" si="3"/>
        <v xml:space="preserve"> </v>
      </c>
      <c r="Q16" s="120" t="str">
        <f t="shared" si="4"/>
        <v xml:space="preserve"> </v>
      </c>
      <c r="R16" s="114" t="str">
        <f t="shared" si="5"/>
        <v>30+%</v>
      </c>
      <c r="S16" s="113" t="str">
        <f t="shared" si="6"/>
        <v xml:space="preserve"> </v>
      </c>
      <c r="T16" s="113" t="str">
        <f t="shared" si="7"/>
        <v xml:space="preserve"> </v>
      </c>
      <c r="U16" s="114">
        <v>0</v>
      </c>
      <c r="V16" s="114" t="s">
        <v>206</v>
      </c>
      <c r="W16" s="121"/>
      <c r="X16" s="132">
        <v>0</v>
      </c>
      <c r="Z16" s="114">
        <v>0</v>
      </c>
      <c r="AA16" s="114" t="s">
        <v>2853</v>
      </c>
      <c r="AB16" s="114" t="s">
        <v>2853</v>
      </c>
      <c r="AC16" s="114" t="s">
        <v>2853</v>
      </c>
      <c r="AD16" s="114" t="s">
        <v>2853</v>
      </c>
      <c r="AE16" s="114" t="s">
        <v>2853</v>
      </c>
      <c r="AF16" s="114" t="s">
        <v>2853</v>
      </c>
      <c r="AG16" s="114" t="s">
        <v>2853</v>
      </c>
      <c r="AH16" s="114" t="s">
        <v>2853</v>
      </c>
      <c r="AI16" s="114" t="s">
        <v>2853</v>
      </c>
      <c r="AJ16" s="132" t="s">
        <v>3122</v>
      </c>
    </row>
    <row r="17" spans="1:36" s="114" customFormat="1" ht="29" x14ac:dyDescent="0.35">
      <c r="A17" s="114">
        <v>125</v>
      </c>
      <c r="B17" s="114" t="s">
        <v>934</v>
      </c>
      <c r="F17" s="111" t="s">
        <v>931</v>
      </c>
      <c r="G17" s="111" t="s">
        <v>142</v>
      </c>
      <c r="H17" s="111" t="s">
        <v>930</v>
      </c>
      <c r="I17" s="111" t="b">
        <v>0</v>
      </c>
      <c r="J17" s="114" t="s">
        <v>147</v>
      </c>
      <c r="K17" s="112" t="s">
        <v>933</v>
      </c>
      <c r="L17" s="111" t="s">
        <v>932</v>
      </c>
      <c r="M17" s="112">
        <f t="shared" si="0"/>
        <v>95.97</v>
      </c>
      <c r="N17" s="114">
        <f t="shared" si="1"/>
        <v>23</v>
      </c>
      <c r="O17" s="119">
        <f t="shared" si="2"/>
        <v>2207.31</v>
      </c>
      <c r="P17" s="119" t="str">
        <f t="shared" si="3"/>
        <v xml:space="preserve"> </v>
      </c>
      <c r="Q17" s="120" t="str">
        <f t="shared" si="4"/>
        <v xml:space="preserve"> </v>
      </c>
      <c r="R17" s="114" t="str">
        <f t="shared" si="5"/>
        <v>30+%</v>
      </c>
      <c r="S17" s="113" t="str">
        <f t="shared" si="6"/>
        <v xml:space="preserve"> </v>
      </c>
      <c r="T17" s="113" t="str">
        <f t="shared" si="7"/>
        <v xml:space="preserve"> </v>
      </c>
      <c r="U17" s="114">
        <v>0</v>
      </c>
      <c r="V17" s="114" t="s">
        <v>206</v>
      </c>
      <c r="W17" s="121"/>
      <c r="X17" s="132">
        <v>0</v>
      </c>
      <c r="Z17" s="114">
        <v>0</v>
      </c>
      <c r="AA17" s="114" t="s">
        <v>2853</v>
      </c>
      <c r="AB17" s="114" t="s">
        <v>2853</v>
      </c>
      <c r="AC17" s="114" t="s">
        <v>2853</v>
      </c>
      <c r="AD17" s="114" t="s">
        <v>2853</v>
      </c>
      <c r="AE17" s="114" t="s">
        <v>2853</v>
      </c>
      <c r="AF17" s="114" t="s">
        <v>2853</v>
      </c>
      <c r="AG17" s="114" t="s">
        <v>2853</v>
      </c>
      <c r="AH17" s="114" t="s">
        <v>2853</v>
      </c>
      <c r="AI17" s="114" t="s">
        <v>2853</v>
      </c>
      <c r="AJ17" s="132" t="s">
        <v>3122</v>
      </c>
    </row>
    <row r="18" spans="1:36" s="114" customFormat="1" ht="43.5" x14ac:dyDescent="0.35">
      <c r="A18" s="114">
        <v>143</v>
      </c>
      <c r="B18" s="114" t="s">
        <v>1036</v>
      </c>
      <c r="F18" s="111" t="s">
        <v>1034</v>
      </c>
      <c r="G18" s="111" t="s">
        <v>142</v>
      </c>
      <c r="H18" s="111" t="s">
        <v>1033</v>
      </c>
      <c r="I18" s="111" t="b">
        <v>0</v>
      </c>
      <c r="J18" s="114" t="s">
        <v>147</v>
      </c>
      <c r="K18" s="112" t="s">
        <v>1035</v>
      </c>
      <c r="L18" s="111" t="s">
        <v>191</v>
      </c>
      <c r="M18" s="112">
        <f t="shared" si="0"/>
        <v>113.51</v>
      </c>
      <c r="N18" s="114">
        <f t="shared" si="1"/>
        <v>16</v>
      </c>
      <c r="O18" s="119">
        <f t="shared" si="2"/>
        <v>1816.16</v>
      </c>
      <c r="P18" s="119" t="str">
        <f t="shared" si="3"/>
        <v xml:space="preserve"> </v>
      </c>
      <c r="Q18" s="120" t="str">
        <f t="shared" si="4"/>
        <v xml:space="preserve"> </v>
      </c>
      <c r="R18" s="114" t="str">
        <f t="shared" si="5"/>
        <v>30+%</v>
      </c>
      <c r="S18" s="113" t="str">
        <f t="shared" si="6"/>
        <v xml:space="preserve"> </v>
      </c>
      <c r="T18" s="113" t="str">
        <f t="shared" si="7"/>
        <v xml:space="preserve"> </v>
      </c>
      <c r="U18" s="114">
        <v>0</v>
      </c>
      <c r="V18" s="114" t="s">
        <v>206</v>
      </c>
      <c r="W18" s="121"/>
      <c r="X18" s="132">
        <v>0</v>
      </c>
      <c r="Z18" s="114">
        <v>0</v>
      </c>
      <c r="AA18" s="114" t="s">
        <v>2853</v>
      </c>
      <c r="AB18" s="114" t="s">
        <v>2853</v>
      </c>
      <c r="AC18" s="114" t="s">
        <v>2853</v>
      </c>
      <c r="AD18" s="114" t="s">
        <v>2853</v>
      </c>
      <c r="AE18" s="114" t="s">
        <v>2853</v>
      </c>
      <c r="AF18" s="114" t="s">
        <v>2853</v>
      </c>
      <c r="AG18" s="114" t="s">
        <v>2853</v>
      </c>
      <c r="AH18" s="114" t="s">
        <v>2853</v>
      </c>
      <c r="AI18" s="114" t="s">
        <v>2853</v>
      </c>
      <c r="AJ18" s="132" t="s">
        <v>3122</v>
      </c>
    </row>
    <row r="19" spans="1:36" s="114" customFormat="1" ht="58" x14ac:dyDescent="0.35">
      <c r="A19" s="114">
        <v>146</v>
      </c>
      <c r="B19" s="114" t="s">
        <v>1051</v>
      </c>
      <c r="F19" s="111" t="s">
        <v>1049</v>
      </c>
      <c r="G19" s="111" t="s">
        <v>142</v>
      </c>
      <c r="H19" s="111" t="s">
        <v>1048</v>
      </c>
      <c r="I19" s="111" t="b">
        <v>0</v>
      </c>
      <c r="J19" s="114" t="s">
        <v>147</v>
      </c>
      <c r="K19" s="112" t="s">
        <v>1050</v>
      </c>
      <c r="L19" s="111" t="s">
        <v>545</v>
      </c>
      <c r="M19" s="112">
        <f t="shared" si="0"/>
        <v>176.53</v>
      </c>
      <c r="N19" s="114">
        <f t="shared" si="1"/>
        <v>10</v>
      </c>
      <c r="O19" s="119">
        <f t="shared" si="2"/>
        <v>1765.3</v>
      </c>
      <c r="P19" s="119" t="str">
        <f t="shared" si="3"/>
        <v xml:space="preserve"> </v>
      </c>
      <c r="Q19" s="120" t="str">
        <f t="shared" si="4"/>
        <v xml:space="preserve"> </v>
      </c>
      <c r="R19" s="114" t="str">
        <f t="shared" si="5"/>
        <v>30+%</v>
      </c>
      <c r="S19" s="113" t="str">
        <f t="shared" si="6"/>
        <v xml:space="preserve"> </v>
      </c>
      <c r="T19" s="113" t="str">
        <f t="shared" si="7"/>
        <v xml:space="preserve"> </v>
      </c>
      <c r="U19" s="114">
        <v>0</v>
      </c>
      <c r="V19" s="114" t="s">
        <v>206</v>
      </c>
      <c r="W19" s="121"/>
      <c r="X19" s="132">
        <v>0</v>
      </c>
      <c r="Z19" s="114">
        <v>0</v>
      </c>
      <c r="AA19" s="114" t="s">
        <v>2853</v>
      </c>
      <c r="AB19" s="114" t="s">
        <v>2853</v>
      </c>
      <c r="AC19" s="114" t="s">
        <v>2853</v>
      </c>
      <c r="AD19" s="114" t="s">
        <v>2853</v>
      </c>
      <c r="AE19" s="114" t="s">
        <v>2853</v>
      </c>
      <c r="AF19" s="114" t="s">
        <v>2853</v>
      </c>
      <c r="AG19" s="114" t="s">
        <v>2853</v>
      </c>
      <c r="AH19" s="114" t="s">
        <v>2853</v>
      </c>
      <c r="AI19" s="114" t="s">
        <v>2853</v>
      </c>
      <c r="AJ19" s="132" t="s">
        <v>3122</v>
      </c>
    </row>
    <row r="20" spans="1:36" s="114" customFormat="1" ht="29" x14ac:dyDescent="0.35">
      <c r="A20" s="114">
        <v>147</v>
      </c>
      <c r="B20" s="114" t="s">
        <v>1055</v>
      </c>
      <c r="F20" s="111" t="s">
        <v>1053</v>
      </c>
      <c r="G20" s="111" t="s">
        <v>142</v>
      </c>
      <c r="H20" s="111" t="s">
        <v>1052</v>
      </c>
      <c r="I20" s="111" t="b">
        <v>0</v>
      </c>
      <c r="J20" s="114" t="s">
        <v>147</v>
      </c>
      <c r="K20" s="112" t="s">
        <v>1054</v>
      </c>
      <c r="L20" s="111" t="s">
        <v>520</v>
      </c>
      <c r="M20" s="112">
        <f t="shared" si="0"/>
        <v>143.94</v>
      </c>
      <c r="N20" s="114">
        <f t="shared" si="1"/>
        <v>12</v>
      </c>
      <c r="O20" s="119">
        <f t="shared" si="2"/>
        <v>1727.28</v>
      </c>
      <c r="P20" s="119" t="str">
        <f t="shared" si="3"/>
        <v xml:space="preserve"> </v>
      </c>
      <c r="Q20" s="120" t="str">
        <f t="shared" si="4"/>
        <v xml:space="preserve"> </v>
      </c>
      <c r="R20" s="114" t="str">
        <f t="shared" si="5"/>
        <v>30+%</v>
      </c>
      <c r="S20" s="113" t="str">
        <f t="shared" si="6"/>
        <v xml:space="preserve"> </v>
      </c>
      <c r="T20" s="113" t="str">
        <f t="shared" si="7"/>
        <v xml:space="preserve"> </v>
      </c>
      <c r="U20" s="114">
        <v>0</v>
      </c>
      <c r="V20" s="114" t="s">
        <v>178</v>
      </c>
      <c r="W20" s="121"/>
      <c r="X20" s="132">
        <v>0</v>
      </c>
      <c r="Z20" s="114">
        <v>0</v>
      </c>
      <c r="AA20" s="114" t="s">
        <v>2853</v>
      </c>
      <c r="AB20" s="114" t="s">
        <v>2853</v>
      </c>
      <c r="AC20" s="114" t="s">
        <v>2853</v>
      </c>
      <c r="AD20" s="114" t="s">
        <v>2853</v>
      </c>
      <c r="AE20" s="114" t="s">
        <v>2853</v>
      </c>
      <c r="AF20" s="114" t="s">
        <v>2853</v>
      </c>
      <c r="AG20" s="114" t="s">
        <v>2853</v>
      </c>
      <c r="AH20" s="114" t="s">
        <v>2853</v>
      </c>
      <c r="AI20" s="114" t="s">
        <v>2853</v>
      </c>
      <c r="AJ20" s="132" t="s">
        <v>3122</v>
      </c>
    </row>
    <row r="21" spans="1:36" s="114" customFormat="1" ht="43.5" x14ac:dyDescent="0.35">
      <c r="A21" s="114">
        <v>152</v>
      </c>
      <c r="B21" s="114" t="s">
        <v>1082</v>
      </c>
      <c r="F21" s="111" t="s">
        <v>1080</v>
      </c>
      <c r="G21" s="111" t="s">
        <v>142</v>
      </c>
      <c r="H21" s="111" t="s">
        <v>1079</v>
      </c>
      <c r="I21" s="111" t="b">
        <v>0</v>
      </c>
      <c r="J21" s="114" t="s">
        <v>147</v>
      </c>
      <c r="K21" s="112" t="s">
        <v>1081</v>
      </c>
      <c r="L21" s="111" t="s">
        <v>277</v>
      </c>
      <c r="M21" s="112">
        <f t="shared" si="0"/>
        <v>78.760000000000005</v>
      </c>
      <c r="N21" s="114">
        <f t="shared" si="1"/>
        <v>20</v>
      </c>
      <c r="O21" s="119">
        <f t="shared" si="2"/>
        <v>1575.2</v>
      </c>
      <c r="P21" s="119" t="str">
        <f t="shared" si="3"/>
        <v xml:space="preserve"> </v>
      </c>
      <c r="Q21" s="120" t="str">
        <f t="shared" si="4"/>
        <v xml:space="preserve"> </v>
      </c>
      <c r="R21" s="114" t="str">
        <f t="shared" si="5"/>
        <v>30+%</v>
      </c>
      <c r="S21" s="113" t="str">
        <f t="shared" si="6"/>
        <v xml:space="preserve"> </v>
      </c>
      <c r="T21" s="113" t="str">
        <f t="shared" si="7"/>
        <v xml:space="preserve"> </v>
      </c>
      <c r="U21" s="114">
        <v>0</v>
      </c>
      <c r="V21" s="114" t="s">
        <v>178</v>
      </c>
      <c r="W21" s="121"/>
      <c r="X21" s="132">
        <v>0</v>
      </c>
      <c r="Z21" s="114">
        <v>0</v>
      </c>
      <c r="AA21" s="114" t="s">
        <v>2853</v>
      </c>
      <c r="AB21" s="114" t="s">
        <v>2853</v>
      </c>
      <c r="AC21" s="114" t="s">
        <v>2853</v>
      </c>
      <c r="AD21" s="114" t="s">
        <v>2853</v>
      </c>
      <c r="AE21" s="114" t="s">
        <v>2853</v>
      </c>
      <c r="AF21" s="114" t="s">
        <v>2853</v>
      </c>
      <c r="AG21" s="114" t="s">
        <v>2853</v>
      </c>
      <c r="AH21" s="114" t="s">
        <v>2853</v>
      </c>
      <c r="AI21" s="114" t="s">
        <v>2853</v>
      </c>
      <c r="AJ21" s="132" t="s">
        <v>3122</v>
      </c>
    </row>
    <row r="22" spans="1:36" s="114" customFormat="1" ht="43.5" x14ac:dyDescent="0.35">
      <c r="A22" s="114">
        <v>176</v>
      </c>
      <c r="B22" s="114" t="s">
        <v>1220</v>
      </c>
      <c r="F22" s="111" t="s">
        <v>1218</v>
      </c>
      <c r="G22" s="111" t="s">
        <v>142</v>
      </c>
      <c r="H22" s="111" t="s">
        <v>1217</v>
      </c>
      <c r="I22" s="111" t="b">
        <v>0</v>
      </c>
      <c r="J22" s="114" t="s">
        <v>147</v>
      </c>
      <c r="K22" s="112" t="s">
        <v>1219</v>
      </c>
      <c r="L22" s="111" t="s">
        <v>545</v>
      </c>
      <c r="M22" s="112">
        <f t="shared" si="0"/>
        <v>118.94</v>
      </c>
      <c r="N22" s="114">
        <f t="shared" si="1"/>
        <v>10</v>
      </c>
      <c r="O22" s="119">
        <f t="shared" si="2"/>
        <v>1189.4000000000001</v>
      </c>
      <c r="P22" s="119" t="str">
        <f t="shared" si="3"/>
        <v xml:space="preserve"> </v>
      </c>
      <c r="Q22" s="120" t="str">
        <f t="shared" si="4"/>
        <v xml:space="preserve"> </v>
      </c>
      <c r="R22" s="114" t="str">
        <f t="shared" si="5"/>
        <v>30+%</v>
      </c>
      <c r="S22" s="113" t="str">
        <f t="shared" si="6"/>
        <v xml:space="preserve"> </v>
      </c>
      <c r="T22" s="113" t="str">
        <f t="shared" si="7"/>
        <v xml:space="preserve"> </v>
      </c>
      <c r="U22" s="114">
        <v>0</v>
      </c>
      <c r="V22" s="114" t="s">
        <v>206</v>
      </c>
      <c r="W22" s="121"/>
      <c r="X22" s="132">
        <v>0</v>
      </c>
      <c r="Z22" s="114">
        <v>0</v>
      </c>
      <c r="AA22" s="114" t="s">
        <v>2853</v>
      </c>
      <c r="AB22" s="114" t="s">
        <v>2853</v>
      </c>
      <c r="AC22" s="114" t="s">
        <v>2853</v>
      </c>
      <c r="AD22" s="114" t="s">
        <v>2853</v>
      </c>
      <c r="AE22" s="114" t="s">
        <v>2853</v>
      </c>
      <c r="AF22" s="114" t="s">
        <v>2853</v>
      </c>
      <c r="AG22" s="114" t="s">
        <v>2853</v>
      </c>
      <c r="AH22" s="114" t="s">
        <v>2853</v>
      </c>
      <c r="AI22" s="114" t="s">
        <v>2853</v>
      </c>
      <c r="AJ22" s="132" t="s">
        <v>3122</v>
      </c>
    </row>
    <row r="23" spans="1:36" s="114" customFormat="1" x14ac:dyDescent="0.35">
      <c r="A23" s="114">
        <v>192</v>
      </c>
      <c r="B23" s="114" t="s">
        <v>1313</v>
      </c>
      <c r="F23" s="111" t="s">
        <v>1311</v>
      </c>
      <c r="G23" s="111" t="s">
        <v>142</v>
      </c>
      <c r="H23" s="111" t="s">
        <v>1310</v>
      </c>
      <c r="I23" s="111" t="b">
        <v>0</v>
      </c>
      <c r="J23" s="114" t="s">
        <v>147</v>
      </c>
      <c r="K23" s="112" t="s">
        <v>1312</v>
      </c>
      <c r="L23" s="111" t="s">
        <v>1016</v>
      </c>
      <c r="M23" s="112">
        <f t="shared" si="0"/>
        <v>12.11</v>
      </c>
      <c r="N23" s="114">
        <f t="shared" si="1"/>
        <v>86</v>
      </c>
      <c r="O23" s="119">
        <f t="shared" si="2"/>
        <v>1041.46</v>
      </c>
      <c r="P23" s="119" t="str">
        <f t="shared" si="3"/>
        <v xml:space="preserve"> </v>
      </c>
      <c r="Q23" s="120" t="str">
        <f t="shared" si="4"/>
        <v xml:space="preserve"> </v>
      </c>
      <c r="R23" s="114" t="str">
        <f t="shared" si="5"/>
        <v>30+%</v>
      </c>
      <c r="S23" s="113" t="str">
        <f t="shared" si="6"/>
        <v xml:space="preserve"> </v>
      </c>
      <c r="T23" s="113" t="str">
        <f t="shared" si="7"/>
        <v xml:space="preserve"> </v>
      </c>
      <c r="U23" s="114">
        <v>0</v>
      </c>
      <c r="V23" s="114" t="s">
        <v>178</v>
      </c>
      <c r="W23" s="121"/>
      <c r="X23" s="132">
        <v>0</v>
      </c>
      <c r="Z23" s="114">
        <v>0</v>
      </c>
      <c r="AA23" s="114" t="s">
        <v>2853</v>
      </c>
      <c r="AB23" s="114" t="s">
        <v>2853</v>
      </c>
      <c r="AC23" s="114" t="s">
        <v>2853</v>
      </c>
      <c r="AD23" s="114" t="s">
        <v>2853</v>
      </c>
      <c r="AE23" s="114" t="s">
        <v>2853</v>
      </c>
      <c r="AF23" s="114" t="s">
        <v>2853</v>
      </c>
      <c r="AG23" s="114" t="s">
        <v>2853</v>
      </c>
      <c r="AH23" s="114" t="s">
        <v>2853</v>
      </c>
      <c r="AI23" s="114" t="s">
        <v>2853</v>
      </c>
      <c r="AJ23" s="132" t="s">
        <v>3122</v>
      </c>
    </row>
    <row r="24" spans="1:36" s="114" customFormat="1" ht="29" x14ac:dyDescent="0.35">
      <c r="A24" s="114">
        <v>201</v>
      </c>
      <c r="B24" s="114" t="s">
        <v>1364</v>
      </c>
      <c r="F24" s="111" t="s">
        <v>1201</v>
      </c>
      <c r="G24" s="111" t="s">
        <v>142</v>
      </c>
      <c r="H24" s="111" t="s">
        <v>1200</v>
      </c>
      <c r="I24" s="111" t="b">
        <v>0</v>
      </c>
      <c r="J24" s="114" t="s">
        <v>147</v>
      </c>
      <c r="K24" s="112" t="s">
        <v>1363</v>
      </c>
      <c r="L24" s="111" t="s">
        <v>277</v>
      </c>
      <c r="M24" s="112">
        <f t="shared" si="0"/>
        <v>49.04</v>
      </c>
      <c r="N24" s="114">
        <f t="shared" si="1"/>
        <v>20</v>
      </c>
      <c r="O24" s="119">
        <f t="shared" si="2"/>
        <v>980.8</v>
      </c>
      <c r="P24" s="119" t="str">
        <f t="shared" si="3"/>
        <v xml:space="preserve"> </v>
      </c>
      <c r="Q24" s="120" t="str">
        <f t="shared" si="4"/>
        <v xml:space="preserve"> </v>
      </c>
      <c r="R24" s="114" t="str">
        <f t="shared" si="5"/>
        <v>30+%</v>
      </c>
      <c r="S24" s="113" t="str">
        <f t="shared" si="6"/>
        <v xml:space="preserve"> </v>
      </c>
      <c r="T24" s="113" t="str">
        <f t="shared" si="7"/>
        <v xml:space="preserve"> </v>
      </c>
      <c r="U24" s="114">
        <v>0</v>
      </c>
      <c r="V24" s="114" t="s">
        <v>1365</v>
      </c>
      <c r="W24" s="121"/>
      <c r="X24" s="132">
        <v>0</v>
      </c>
      <c r="Z24" s="114">
        <v>0</v>
      </c>
      <c r="AA24" s="114" t="s">
        <v>2853</v>
      </c>
      <c r="AB24" s="114" t="s">
        <v>2853</v>
      </c>
      <c r="AC24" s="114" t="s">
        <v>2853</v>
      </c>
      <c r="AD24" s="114" t="s">
        <v>2853</v>
      </c>
      <c r="AE24" s="114" t="s">
        <v>2853</v>
      </c>
      <c r="AF24" s="114" t="s">
        <v>2853</v>
      </c>
      <c r="AG24" s="114" t="s">
        <v>2853</v>
      </c>
      <c r="AH24" s="114" t="s">
        <v>2853</v>
      </c>
      <c r="AI24" s="114" t="s">
        <v>2853</v>
      </c>
      <c r="AJ24" s="132" t="s">
        <v>3122</v>
      </c>
    </row>
    <row r="25" spans="1:36" s="114" customFormat="1" ht="43.5" x14ac:dyDescent="0.35">
      <c r="A25" s="114">
        <v>203</v>
      </c>
      <c r="B25" s="114" t="s">
        <v>1373</v>
      </c>
      <c r="F25" s="111" t="s">
        <v>1371</v>
      </c>
      <c r="G25" s="111" t="s">
        <v>142</v>
      </c>
      <c r="H25" s="111" t="s">
        <v>1370</v>
      </c>
      <c r="I25" s="111" t="b">
        <v>0</v>
      </c>
      <c r="J25" s="114" t="s">
        <v>147</v>
      </c>
      <c r="K25" s="112" t="s">
        <v>1372</v>
      </c>
      <c r="L25" s="111" t="s">
        <v>392</v>
      </c>
      <c r="M25" s="112">
        <f t="shared" si="0"/>
        <v>86.79</v>
      </c>
      <c r="N25" s="114">
        <f t="shared" si="1"/>
        <v>11</v>
      </c>
      <c r="O25" s="119">
        <f t="shared" si="2"/>
        <v>954.69</v>
      </c>
      <c r="P25" s="119" t="str">
        <f t="shared" si="3"/>
        <v xml:space="preserve"> </v>
      </c>
      <c r="Q25" s="120" t="str">
        <f t="shared" si="4"/>
        <v xml:space="preserve"> </v>
      </c>
      <c r="R25" s="114" t="str">
        <f t="shared" si="5"/>
        <v>30+%</v>
      </c>
      <c r="S25" s="113" t="str">
        <f t="shared" si="6"/>
        <v xml:space="preserve"> </v>
      </c>
      <c r="T25" s="113" t="str">
        <f t="shared" si="7"/>
        <v xml:space="preserve"> </v>
      </c>
      <c r="U25" s="114">
        <v>0</v>
      </c>
      <c r="V25" s="114" t="s">
        <v>206</v>
      </c>
      <c r="W25" s="121"/>
      <c r="X25" s="132">
        <v>0</v>
      </c>
      <c r="Z25" s="114">
        <v>0</v>
      </c>
      <c r="AA25" s="114" t="s">
        <v>2853</v>
      </c>
      <c r="AB25" s="114" t="s">
        <v>2853</v>
      </c>
      <c r="AC25" s="114" t="s">
        <v>2853</v>
      </c>
      <c r="AD25" s="114" t="s">
        <v>2853</v>
      </c>
      <c r="AE25" s="114" t="s">
        <v>2853</v>
      </c>
      <c r="AF25" s="114" t="s">
        <v>2853</v>
      </c>
      <c r="AG25" s="114" t="s">
        <v>2853</v>
      </c>
      <c r="AH25" s="114" t="s">
        <v>2853</v>
      </c>
      <c r="AI25" s="114" t="s">
        <v>2853</v>
      </c>
      <c r="AJ25" s="132" t="s">
        <v>3122</v>
      </c>
    </row>
    <row r="26" spans="1:36" s="114" customFormat="1" ht="29" x14ac:dyDescent="0.35">
      <c r="A26" s="114">
        <v>204</v>
      </c>
      <c r="B26" s="114" t="s">
        <v>1377</v>
      </c>
      <c r="F26" s="111" t="s">
        <v>1375</v>
      </c>
      <c r="G26" s="111" t="s">
        <v>142</v>
      </c>
      <c r="H26" s="111" t="s">
        <v>1374</v>
      </c>
      <c r="I26" s="111" t="b">
        <v>0</v>
      </c>
      <c r="J26" s="114" t="s">
        <v>147</v>
      </c>
      <c r="K26" s="112" t="s">
        <v>1376</v>
      </c>
      <c r="L26" s="111" t="s">
        <v>505</v>
      </c>
      <c r="M26" s="112">
        <f t="shared" si="0"/>
        <v>476.43</v>
      </c>
      <c r="N26" s="114">
        <f t="shared" si="1"/>
        <v>2</v>
      </c>
      <c r="O26" s="119">
        <f t="shared" si="2"/>
        <v>952.86</v>
      </c>
      <c r="P26" s="119" t="str">
        <f t="shared" si="3"/>
        <v xml:space="preserve"> </v>
      </c>
      <c r="Q26" s="120" t="str">
        <f t="shared" si="4"/>
        <v xml:space="preserve"> </v>
      </c>
      <c r="R26" s="114" t="str">
        <f t="shared" si="5"/>
        <v>30+%</v>
      </c>
      <c r="S26" s="113" t="str">
        <f t="shared" si="6"/>
        <v xml:space="preserve"> </v>
      </c>
      <c r="T26" s="113" t="str">
        <f t="shared" si="7"/>
        <v xml:space="preserve"> </v>
      </c>
      <c r="U26" s="114">
        <v>0</v>
      </c>
      <c r="V26" s="114" t="s">
        <v>178</v>
      </c>
      <c r="W26" s="121"/>
      <c r="X26" s="132">
        <v>0</v>
      </c>
      <c r="Z26" s="114">
        <v>0</v>
      </c>
      <c r="AA26" s="114" t="s">
        <v>2853</v>
      </c>
      <c r="AB26" s="114" t="s">
        <v>2853</v>
      </c>
      <c r="AC26" s="114" t="s">
        <v>2853</v>
      </c>
      <c r="AD26" s="114" t="s">
        <v>2853</v>
      </c>
      <c r="AE26" s="114" t="s">
        <v>2853</v>
      </c>
      <c r="AF26" s="114" t="s">
        <v>2853</v>
      </c>
      <c r="AG26" s="114" t="s">
        <v>2853</v>
      </c>
      <c r="AH26" s="114" t="s">
        <v>2853</v>
      </c>
      <c r="AI26" s="114" t="s">
        <v>2853</v>
      </c>
      <c r="AJ26" s="132" t="s">
        <v>3122</v>
      </c>
    </row>
    <row r="27" spans="1:36" s="114" customFormat="1" ht="29" x14ac:dyDescent="0.35">
      <c r="A27" s="114">
        <v>211</v>
      </c>
      <c r="B27" s="114" t="s">
        <v>615</v>
      </c>
      <c r="F27" s="111" t="s">
        <v>1418</v>
      </c>
      <c r="G27" s="111" t="s">
        <v>142</v>
      </c>
      <c r="H27" s="111" t="s">
        <v>1417</v>
      </c>
      <c r="I27" s="111" t="b">
        <v>0</v>
      </c>
      <c r="J27" s="114" t="s">
        <v>147</v>
      </c>
      <c r="K27" s="112" t="s">
        <v>1419</v>
      </c>
      <c r="L27" s="111" t="s">
        <v>820</v>
      </c>
      <c r="M27" s="112">
        <f t="shared" si="0"/>
        <v>96.47</v>
      </c>
      <c r="N27" s="114">
        <f t="shared" si="1"/>
        <v>9</v>
      </c>
      <c r="O27" s="119">
        <f t="shared" si="2"/>
        <v>868.23</v>
      </c>
      <c r="P27" s="119" t="str">
        <f t="shared" si="3"/>
        <v xml:space="preserve"> </v>
      </c>
      <c r="Q27" s="120" t="str">
        <f t="shared" si="4"/>
        <v xml:space="preserve"> </v>
      </c>
      <c r="R27" s="114" t="str">
        <f t="shared" si="5"/>
        <v>30+%</v>
      </c>
      <c r="S27" s="113" t="str">
        <f t="shared" si="6"/>
        <v xml:space="preserve"> </v>
      </c>
      <c r="T27" s="113" t="str">
        <f t="shared" si="7"/>
        <v xml:space="preserve"> </v>
      </c>
      <c r="U27" s="114">
        <v>0</v>
      </c>
      <c r="V27" s="114" t="s">
        <v>206</v>
      </c>
      <c r="W27" s="121"/>
      <c r="X27" s="132">
        <v>0</v>
      </c>
      <c r="Z27" s="114">
        <v>0</v>
      </c>
      <c r="AA27" s="114" t="s">
        <v>2853</v>
      </c>
      <c r="AB27" s="114" t="s">
        <v>2853</v>
      </c>
      <c r="AC27" s="114" t="s">
        <v>2853</v>
      </c>
      <c r="AD27" s="114" t="s">
        <v>2853</v>
      </c>
      <c r="AE27" s="114" t="s">
        <v>2853</v>
      </c>
      <c r="AF27" s="114" t="s">
        <v>2853</v>
      </c>
      <c r="AG27" s="114" t="s">
        <v>2853</v>
      </c>
      <c r="AH27" s="114" t="s">
        <v>2853</v>
      </c>
      <c r="AI27" s="114" t="s">
        <v>2853</v>
      </c>
      <c r="AJ27" s="132" t="s">
        <v>3122</v>
      </c>
    </row>
    <row r="28" spans="1:36" s="114" customFormat="1" ht="58" x14ac:dyDescent="0.35">
      <c r="A28" s="114">
        <v>236</v>
      </c>
      <c r="B28" s="114" t="s">
        <v>1564</v>
      </c>
      <c r="F28" s="111" t="s">
        <v>1562</v>
      </c>
      <c r="G28" s="111" t="s">
        <v>142</v>
      </c>
      <c r="H28" s="111" t="s">
        <v>1561</v>
      </c>
      <c r="I28" s="111" t="b">
        <v>0</v>
      </c>
      <c r="J28" s="114" t="s">
        <v>147</v>
      </c>
      <c r="K28" s="112" t="s">
        <v>1563</v>
      </c>
      <c r="L28" s="111" t="s">
        <v>784</v>
      </c>
      <c r="M28" s="112">
        <f t="shared" si="0"/>
        <v>169.57</v>
      </c>
      <c r="N28" s="114">
        <f t="shared" si="1"/>
        <v>4</v>
      </c>
      <c r="O28" s="119">
        <f t="shared" si="2"/>
        <v>678.28</v>
      </c>
      <c r="P28" s="119" t="str">
        <f t="shared" si="3"/>
        <v xml:space="preserve"> </v>
      </c>
      <c r="Q28" s="120" t="str">
        <f t="shared" si="4"/>
        <v xml:space="preserve"> </v>
      </c>
      <c r="R28" s="114" t="str">
        <f t="shared" si="5"/>
        <v>30+%</v>
      </c>
      <c r="S28" s="113" t="str">
        <f t="shared" si="6"/>
        <v xml:space="preserve"> </v>
      </c>
      <c r="T28" s="113" t="str">
        <f t="shared" si="7"/>
        <v xml:space="preserve"> </v>
      </c>
      <c r="U28" s="114">
        <v>0</v>
      </c>
      <c r="V28" s="114" t="s">
        <v>206</v>
      </c>
      <c r="W28" s="121"/>
      <c r="X28" s="132">
        <v>0</v>
      </c>
      <c r="Z28" s="114">
        <v>0</v>
      </c>
      <c r="AA28" s="114" t="s">
        <v>2853</v>
      </c>
      <c r="AB28" s="114" t="s">
        <v>2853</v>
      </c>
      <c r="AC28" s="114" t="s">
        <v>2853</v>
      </c>
      <c r="AD28" s="114" t="s">
        <v>2853</v>
      </c>
      <c r="AE28" s="114" t="s">
        <v>2853</v>
      </c>
      <c r="AF28" s="114" t="s">
        <v>2853</v>
      </c>
      <c r="AG28" s="114" t="s">
        <v>2853</v>
      </c>
      <c r="AH28" s="114" t="s">
        <v>2853</v>
      </c>
      <c r="AI28" s="114" t="s">
        <v>2853</v>
      </c>
      <c r="AJ28" s="132" t="s">
        <v>3122</v>
      </c>
    </row>
    <row r="29" spans="1:36" s="114" customFormat="1" ht="43.5" x14ac:dyDescent="0.35">
      <c r="A29" s="114">
        <v>241</v>
      </c>
      <c r="B29" s="114" t="s">
        <v>1590</v>
      </c>
      <c r="F29" s="111" t="s">
        <v>748</v>
      </c>
      <c r="G29" s="111" t="s">
        <v>142</v>
      </c>
      <c r="H29" s="111" t="s">
        <v>747</v>
      </c>
      <c r="I29" s="111" t="b">
        <v>0</v>
      </c>
      <c r="J29" s="114" t="s">
        <v>147</v>
      </c>
      <c r="K29" s="112" t="s">
        <v>1589</v>
      </c>
      <c r="L29" s="111" t="s">
        <v>147</v>
      </c>
      <c r="M29" s="112">
        <f t="shared" si="0"/>
        <v>653.75</v>
      </c>
      <c r="N29" s="114">
        <f t="shared" si="1"/>
        <v>1</v>
      </c>
      <c r="O29" s="119">
        <f t="shared" si="2"/>
        <v>653.75</v>
      </c>
      <c r="P29" s="119" t="str">
        <f t="shared" si="3"/>
        <v xml:space="preserve"> </v>
      </c>
      <c r="Q29" s="120" t="str">
        <f t="shared" si="4"/>
        <v xml:space="preserve"> </v>
      </c>
      <c r="R29" s="114" t="str">
        <f t="shared" si="5"/>
        <v>30+%</v>
      </c>
      <c r="S29" s="113" t="str">
        <f t="shared" si="6"/>
        <v xml:space="preserve"> </v>
      </c>
      <c r="T29" s="113" t="str">
        <f t="shared" si="7"/>
        <v xml:space="preserve"> </v>
      </c>
      <c r="U29" s="114">
        <v>0</v>
      </c>
      <c r="V29" s="114" t="s">
        <v>1365</v>
      </c>
      <c r="W29" s="121"/>
      <c r="X29" s="132">
        <v>0</v>
      </c>
      <c r="Z29" s="114">
        <v>0</v>
      </c>
      <c r="AA29" s="114" t="s">
        <v>2853</v>
      </c>
      <c r="AB29" s="114" t="s">
        <v>2853</v>
      </c>
      <c r="AC29" s="114" t="s">
        <v>2853</v>
      </c>
      <c r="AD29" s="114" t="s">
        <v>2853</v>
      </c>
      <c r="AE29" s="114" t="s">
        <v>2853</v>
      </c>
      <c r="AF29" s="114" t="s">
        <v>2853</v>
      </c>
      <c r="AG29" s="114" t="s">
        <v>2853</v>
      </c>
      <c r="AH29" s="114" t="s">
        <v>2853</v>
      </c>
      <c r="AI29" s="114" t="s">
        <v>2853</v>
      </c>
      <c r="AJ29" s="132" t="s">
        <v>3122</v>
      </c>
    </row>
    <row r="30" spans="1:36" s="114" customFormat="1" ht="29" hidden="1" x14ac:dyDescent="0.35">
      <c r="A30" s="114">
        <v>2</v>
      </c>
      <c r="B30" s="114" t="s">
        <v>159</v>
      </c>
      <c r="F30" s="111" t="s">
        <v>156</v>
      </c>
      <c r="G30" s="111" t="s">
        <v>142</v>
      </c>
      <c r="H30" s="111" t="s">
        <v>155</v>
      </c>
      <c r="I30" s="111" t="b">
        <v>0</v>
      </c>
      <c r="J30" s="114" t="s">
        <v>147</v>
      </c>
      <c r="K30" s="112" t="s">
        <v>158</v>
      </c>
      <c r="L30" s="111" t="s">
        <v>157</v>
      </c>
      <c r="M30" s="112">
        <f t="shared" si="0"/>
        <v>54.75</v>
      </c>
      <c r="N30" s="114">
        <f t="shared" si="1"/>
        <v>1010</v>
      </c>
      <c r="O30" s="119">
        <f t="shared" si="2"/>
        <v>55297.5</v>
      </c>
      <c r="P30" s="119">
        <f t="shared" si="3"/>
        <v>-14867.199999999997</v>
      </c>
      <c r="Q30" s="120">
        <f t="shared" si="4"/>
        <v>-0.2688584474885844</v>
      </c>
      <c r="R30" s="114" t="str">
        <f t="shared" si="5"/>
        <v>Negative</v>
      </c>
      <c r="S30" s="113">
        <f t="shared" si="6"/>
        <v>70164.7</v>
      </c>
      <c r="T30" s="113">
        <f t="shared" si="7"/>
        <v>69.47</v>
      </c>
      <c r="U30" s="114" t="s">
        <v>160</v>
      </c>
      <c r="V30" s="114" t="s">
        <v>161</v>
      </c>
      <c r="W30" s="121"/>
      <c r="X30" s="132">
        <v>69.47</v>
      </c>
      <c r="Z30" s="114">
        <v>0</v>
      </c>
      <c r="AA30" s="114" t="s">
        <v>154</v>
      </c>
      <c r="AB30" s="114">
        <v>1</v>
      </c>
      <c r="AC30" s="114" t="s">
        <v>164</v>
      </c>
      <c r="AD30" s="114" t="s">
        <v>163</v>
      </c>
      <c r="AE30" s="114" t="s">
        <v>162</v>
      </c>
      <c r="AF30" s="114" t="s">
        <v>119</v>
      </c>
      <c r="AG30" s="114" t="s">
        <v>2897</v>
      </c>
      <c r="AH30" s="114" t="s">
        <v>2851</v>
      </c>
      <c r="AI30" s="114" t="s">
        <v>151</v>
      </c>
      <c r="AJ30" s="132" t="s">
        <v>3125</v>
      </c>
    </row>
    <row r="31" spans="1:36" s="114" customFormat="1" ht="43.5" hidden="1" x14ac:dyDescent="0.35">
      <c r="A31" s="114">
        <v>3</v>
      </c>
      <c r="B31" s="114" t="s">
        <v>169</v>
      </c>
      <c r="F31" s="111" t="s">
        <v>166</v>
      </c>
      <c r="G31" s="111" t="s">
        <v>142</v>
      </c>
      <c r="H31" s="111" t="s">
        <v>165</v>
      </c>
      <c r="I31" s="111" t="b">
        <v>0</v>
      </c>
      <c r="J31" s="114" t="s">
        <v>147</v>
      </c>
      <c r="K31" s="112" t="s">
        <v>168</v>
      </c>
      <c r="L31" s="111" t="s">
        <v>167</v>
      </c>
      <c r="M31" s="112">
        <f t="shared" si="0"/>
        <v>1758.51</v>
      </c>
      <c r="N31" s="114">
        <f t="shared" si="1"/>
        <v>26</v>
      </c>
      <c r="O31" s="119">
        <f t="shared" si="2"/>
        <v>45721.26</v>
      </c>
      <c r="P31" s="119">
        <f t="shared" si="3"/>
        <v>45719.835200000001</v>
      </c>
      <c r="Q31" s="120">
        <f t="shared" si="4"/>
        <v>0.99996883725426633</v>
      </c>
      <c r="R31" s="114" t="str">
        <f t="shared" si="5"/>
        <v>30+%</v>
      </c>
      <c r="S31" s="113">
        <f t="shared" si="6"/>
        <v>1.4248000000000001</v>
      </c>
      <c r="T31" s="113">
        <f t="shared" si="7"/>
        <v>5.4800000000000001E-2</v>
      </c>
      <c r="U31" s="114" t="s">
        <v>170</v>
      </c>
      <c r="V31" s="114" t="s">
        <v>150</v>
      </c>
      <c r="W31" s="121"/>
      <c r="X31" s="132">
        <v>5.48</v>
      </c>
      <c r="Z31" s="114">
        <v>0</v>
      </c>
      <c r="AA31" s="114" t="s">
        <v>172</v>
      </c>
      <c r="AB31" s="114">
        <v>100</v>
      </c>
      <c r="AC31" s="114" t="s">
        <v>171</v>
      </c>
      <c r="AD31" s="114" t="s">
        <v>170</v>
      </c>
      <c r="AE31" s="114" t="s">
        <v>2974</v>
      </c>
      <c r="AF31" s="114" t="s">
        <v>119</v>
      </c>
      <c r="AG31" s="114" t="s">
        <v>2975</v>
      </c>
      <c r="AH31" s="114" t="s">
        <v>2969</v>
      </c>
      <c r="AI31" s="114" t="s">
        <v>3130</v>
      </c>
      <c r="AJ31" s="132" t="s">
        <v>3125</v>
      </c>
    </row>
    <row r="32" spans="1:36" s="114" customFormat="1" ht="58" hidden="1" x14ac:dyDescent="0.35">
      <c r="A32" s="114">
        <v>6</v>
      </c>
      <c r="B32" s="114" t="s">
        <v>191</v>
      </c>
      <c r="F32" s="111" t="s">
        <v>188</v>
      </c>
      <c r="G32" s="111" t="s">
        <v>142</v>
      </c>
      <c r="H32" s="111" t="s">
        <v>187</v>
      </c>
      <c r="I32" s="111" t="b">
        <v>0</v>
      </c>
      <c r="J32" s="114" t="s">
        <v>147</v>
      </c>
      <c r="K32" s="112" t="s">
        <v>190</v>
      </c>
      <c r="L32" s="111" t="s">
        <v>189</v>
      </c>
      <c r="M32" s="112">
        <f t="shared" si="0"/>
        <v>58.32</v>
      </c>
      <c r="N32" s="114">
        <f t="shared" si="1"/>
        <v>600</v>
      </c>
      <c r="O32" s="119">
        <f t="shared" si="2"/>
        <v>34992</v>
      </c>
      <c r="P32" s="119">
        <f t="shared" si="3"/>
        <v>-8730.6000000000058</v>
      </c>
      <c r="Q32" s="120">
        <f t="shared" si="4"/>
        <v>-0.24950274348422513</v>
      </c>
      <c r="R32" s="114" t="str">
        <f t="shared" si="5"/>
        <v>Negative</v>
      </c>
      <c r="S32" s="113">
        <f t="shared" si="6"/>
        <v>43722.600000000006</v>
      </c>
      <c r="T32" s="113">
        <f t="shared" si="7"/>
        <v>72.871000000000009</v>
      </c>
      <c r="U32" s="114" t="s">
        <v>192</v>
      </c>
      <c r="V32" s="114" t="s">
        <v>161</v>
      </c>
      <c r="W32" s="121"/>
      <c r="X32" s="132">
        <v>1457.42</v>
      </c>
      <c r="Z32" s="114">
        <v>0</v>
      </c>
      <c r="AA32" s="114" t="s">
        <v>172</v>
      </c>
      <c r="AB32" s="114">
        <v>20</v>
      </c>
      <c r="AC32" s="114" t="s">
        <v>193</v>
      </c>
      <c r="AD32" s="114" t="s">
        <v>2888</v>
      </c>
      <c r="AE32" s="114" t="s">
        <v>2889</v>
      </c>
      <c r="AF32" s="114" t="s">
        <v>119</v>
      </c>
      <c r="AG32" s="114" t="s">
        <v>2869</v>
      </c>
      <c r="AH32" s="114" t="s">
        <v>2851</v>
      </c>
      <c r="AI32" s="114" t="s">
        <v>151</v>
      </c>
      <c r="AJ32" s="132" t="s">
        <v>3125</v>
      </c>
    </row>
    <row r="33" spans="1:36" s="114" customFormat="1" ht="43.5" hidden="1" x14ac:dyDescent="0.35">
      <c r="A33" s="114">
        <v>7</v>
      </c>
      <c r="B33" s="114" t="s">
        <v>198</v>
      </c>
      <c r="F33" s="111" t="s">
        <v>195</v>
      </c>
      <c r="G33" s="111" t="s">
        <v>142</v>
      </c>
      <c r="H33" s="111" t="s">
        <v>194</v>
      </c>
      <c r="I33" s="111" t="b">
        <v>0</v>
      </c>
      <c r="J33" s="114" t="s">
        <v>147</v>
      </c>
      <c r="K33" s="112" t="s">
        <v>197</v>
      </c>
      <c r="L33" s="111" t="s">
        <v>196</v>
      </c>
      <c r="M33" s="112">
        <f t="shared" si="0"/>
        <v>1672.63</v>
      </c>
      <c r="N33" s="114">
        <f t="shared" si="1"/>
        <v>18</v>
      </c>
      <c r="O33" s="119">
        <f t="shared" si="2"/>
        <v>30107.340000000004</v>
      </c>
      <c r="P33" s="119">
        <f t="shared" si="3"/>
        <v>-21551.939999999995</v>
      </c>
      <c r="Q33" s="120">
        <f t="shared" si="4"/>
        <v>-0.71583673615802634</v>
      </c>
      <c r="R33" s="114" t="str">
        <f t="shared" si="5"/>
        <v>Negative</v>
      </c>
      <c r="S33" s="113">
        <f t="shared" si="6"/>
        <v>51659.28</v>
      </c>
      <c r="T33" s="113">
        <f t="shared" si="7"/>
        <v>2869.96</v>
      </c>
      <c r="U33" s="114" t="s">
        <v>199</v>
      </c>
      <c r="V33" s="114" t="s">
        <v>161</v>
      </c>
      <c r="W33" s="121"/>
      <c r="X33" s="132">
        <v>2869.96</v>
      </c>
      <c r="Z33" s="114">
        <v>0</v>
      </c>
      <c r="AA33" s="114" t="s">
        <v>154</v>
      </c>
      <c r="AB33" s="114">
        <v>1</v>
      </c>
      <c r="AC33" s="114" t="s">
        <v>200</v>
      </c>
      <c r="AD33" s="114" t="s">
        <v>2895</v>
      </c>
      <c r="AE33" s="114" t="s">
        <v>2896</v>
      </c>
      <c r="AF33" s="114" t="s">
        <v>119</v>
      </c>
      <c r="AG33" s="114" t="s">
        <v>2897</v>
      </c>
      <c r="AH33" s="114" t="s">
        <v>2851</v>
      </c>
      <c r="AI33" s="114" t="s">
        <v>151</v>
      </c>
      <c r="AJ33" s="132" t="s">
        <v>3125</v>
      </c>
    </row>
    <row r="34" spans="1:36" s="114" customFormat="1" ht="58" hidden="1" x14ac:dyDescent="0.35">
      <c r="A34" s="114">
        <v>11</v>
      </c>
      <c r="B34" s="114" t="s">
        <v>226</v>
      </c>
      <c r="F34" s="111" t="s">
        <v>223</v>
      </c>
      <c r="G34" s="111" t="s">
        <v>142</v>
      </c>
      <c r="H34" s="111" t="s">
        <v>222</v>
      </c>
      <c r="I34" s="111" t="b">
        <v>0</v>
      </c>
      <c r="J34" s="114" t="s">
        <v>147</v>
      </c>
      <c r="K34" s="112" t="s">
        <v>225</v>
      </c>
      <c r="L34" s="111" t="s">
        <v>224</v>
      </c>
      <c r="M34" s="112">
        <f t="shared" ref="M34:M65" si="8">IFERROR(IF(A34="","",K34/J34)," ")</f>
        <v>69.16</v>
      </c>
      <c r="N34" s="114">
        <f t="shared" ref="N34:N65" si="9">IFERROR(IF(A34="","",J34*L34)," ")</f>
        <v>232</v>
      </c>
      <c r="O34" s="119">
        <f t="shared" ref="O34:O65" si="10">IFERROR(M34*N34," ")</f>
        <v>16045.119999999999</v>
      </c>
      <c r="P34" s="119">
        <f t="shared" ref="P34:P65" si="11">IFERROR(IF(A34="","",O34-S34)," ")</f>
        <v>-7688.48</v>
      </c>
      <c r="Q34" s="120">
        <f t="shared" ref="Q34:Q65" si="12">IFERROR(IF(A34="","",P34/O34)," ")</f>
        <v>-0.47917871602082129</v>
      </c>
      <c r="R34" s="114" t="str">
        <f t="shared" ref="R34:R65" si="13">IFERROR(IF(A34="","",(IF(Q34&lt;0,"Negative",IF(Q34=0,"Same",IF(Q34&gt;0.3,"30+%",IF(Q34&gt;0.2,"20-30%",IF(Q34&gt;0.1,"10-20%",IF(Q34&lt;=0.1,"0-10%"))))))))," ")</f>
        <v>Negative</v>
      </c>
      <c r="S34" s="113">
        <f t="shared" ref="S34:S65" si="14">IFERROR(IF(A34="","",T34*N34)," ")</f>
        <v>23733.599999999999</v>
      </c>
      <c r="T34" s="113">
        <f t="shared" ref="T34:T65" si="15">IFERROR(IF(A34="","",X34/AB34)," ")</f>
        <v>102.3</v>
      </c>
      <c r="U34" s="114" t="s">
        <v>227</v>
      </c>
      <c r="V34" s="114" t="s">
        <v>150</v>
      </c>
      <c r="W34" s="121"/>
      <c r="X34" s="132">
        <v>102.3</v>
      </c>
      <c r="Z34" s="114">
        <v>0</v>
      </c>
      <c r="AA34" s="114" t="s">
        <v>154</v>
      </c>
      <c r="AB34" s="114">
        <v>1</v>
      </c>
      <c r="AC34" s="114" t="s">
        <v>228</v>
      </c>
      <c r="AD34" s="114">
        <v>6645</v>
      </c>
      <c r="AE34" s="114" t="s">
        <v>3113</v>
      </c>
      <c r="AF34" s="114" t="s">
        <v>119</v>
      </c>
      <c r="AG34" s="114" t="s">
        <v>3114</v>
      </c>
      <c r="AH34" s="114" t="s">
        <v>2859</v>
      </c>
      <c r="AI34" s="114" t="s">
        <v>3130</v>
      </c>
      <c r="AJ34" s="132" t="s">
        <v>3125</v>
      </c>
    </row>
    <row r="35" spans="1:36" s="114" customFormat="1" ht="29" hidden="1" x14ac:dyDescent="0.35">
      <c r="A35" s="114">
        <v>12</v>
      </c>
      <c r="B35" s="114" t="s">
        <v>233</v>
      </c>
      <c r="F35" s="111" t="s">
        <v>230</v>
      </c>
      <c r="G35" s="111" t="s">
        <v>142</v>
      </c>
      <c r="H35" s="111" t="s">
        <v>229</v>
      </c>
      <c r="I35" s="111" t="b">
        <v>0</v>
      </c>
      <c r="J35" s="114" t="s">
        <v>147</v>
      </c>
      <c r="K35" s="112" t="s">
        <v>232</v>
      </c>
      <c r="L35" s="111" t="s">
        <v>231</v>
      </c>
      <c r="M35" s="112">
        <f t="shared" si="8"/>
        <v>114.1</v>
      </c>
      <c r="N35" s="114">
        <f t="shared" si="9"/>
        <v>140</v>
      </c>
      <c r="O35" s="119">
        <f t="shared" si="10"/>
        <v>15974</v>
      </c>
      <c r="P35" s="119">
        <f t="shared" si="11"/>
        <v>-11264.400000000001</v>
      </c>
      <c r="Q35" s="120">
        <f t="shared" si="12"/>
        <v>-0.70517090271691507</v>
      </c>
      <c r="R35" s="114" t="str">
        <f t="shared" si="13"/>
        <v>Negative</v>
      </c>
      <c r="S35" s="113">
        <f t="shared" si="14"/>
        <v>27238.400000000001</v>
      </c>
      <c r="T35" s="113">
        <f t="shared" si="15"/>
        <v>194.56</v>
      </c>
      <c r="U35" s="114" t="s">
        <v>234</v>
      </c>
      <c r="V35" s="114" t="s">
        <v>150</v>
      </c>
      <c r="W35" s="121"/>
      <c r="X35" s="132">
        <v>194.56</v>
      </c>
      <c r="Z35" s="114">
        <v>0</v>
      </c>
      <c r="AA35" s="114" t="s">
        <v>154</v>
      </c>
      <c r="AB35" s="114">
        <v>1</v>
      </c>
      <c r="AC35" s="114" t="s">
        <v>235</v>
      </c>
      <c r="AD35" s="114">
        <v>475396</v>
      </c>
      <c r="AE35" s="114" t="s">
        <v>2919</v>
      </c>
      <c r="AF35" s="114" t="s">
        <v>119</v>
      </c>
      <c r="AG35" s="114" t="s">
        <v>2899</v>
      </c>
      <c r="AH35" s="114" t="s">
        <v>2866</v>
      </c>
      <c r="AI35" s="114" t="s">
        <v>151</v>
      </c>
      <c r="AJ35" s="132" t="s">
        <v>3125</v>
      </c>
    </row>
    <row r="36" spans="1:36" s="114" customFormat="1" ht="43.5" hidden="1" x14ac:dyDescent="0.35">
      <c r="A36" s="114">
        <v>13</v>
      </c>
      <c r="B36" s="114" t="s">
        <v>240</v>
      </c>
      <c r="F36" s="111" t="s">
        <v>237</v>
      </c>
      <c r="G36" s="111" t="s">
        <v>142</v>
      </c>
      <c r="H36" s="111" t="s">
        <v>236</v>
      </c>
      <c r="I36" s="111" t="b">
        <v>0</v>
      </c>
      <c r="J36" s="114" t="s">
        <v>147</v>
      </c>
      <c r="K36" s="112" t="s">
        <v>239</v>
      </c>
      <c r="L36" s="111" t="s">
        <v>238</v>
      </c>
      <c r="M36" s="112">
        <f t="shared" si="8"/>
        <v>80.73</v>
      </c>
      <c r="N36" s="114">
        <f t="shared" si="9"/>
        <v>192</v>
      </c>
      <c r="O36" s="119">
        <f t="shared" si="10"/>
        <v>15500.16</v>
      </c>
      <c r="P36" s="119">
        <f t="shared" si="11"/>
        <v>-13242.239999999998</v>
      </c>
      <c r="Q36" s="120">
        <f t="shared" si="12"/>
        <v>-0.85432924563359336</v>
      </c>
      <c r="R36" s="114" t="str">
        <f t="shared" si="13"/>
        <v>Negative</v>
      </c>
      <c r="S36" s="113">
        <f t="shared" si="14"/>
        <v>28742.399999999998</v>
      </c>
      <c r="T36" s="113">
        <f t="shared" si="15"/>
        <v>149.69999999999999</v>
      </c>
      <c r="U36" s="114" t="s">
        <v>241</v>
      </c>
      <c r="V36" s="114" t="s">
        <v>150</v>
      </c>
      <c r="W36" s="121"/>
      <c r="X36" s="132">
        <v>149.69999999999999</v>
      </c>
      <c r="Z36" s="114">
        <v>0</v>
      </c>
      <c r="AA36" s="114" t="s">
        <v>213</v>
      </c>
      <c r="AB36" s="114">
        <v>1</v>
      </c>
      <c r="AC36" s="114" t="s">
        <v>243</v>
      </c>
      <c r="AD36" s="114" t="s">
        <v>242</v>
      </c>
      <c r="AE36" s="114" t="s">
        <v>2948</v>
      </c>
      <c r="AF36" s="114" t="s">
        <v>119</v>
      </c>
      <c r="AG36" s="114" t="s">
        <v>2947</v>
      </c>
      <c r="AH36" s="114" t="s">
        <v>2903</v>
      </c>
      <c r="AI36" s="114" t="s">
        <v>151</v>
      </c>
      <c r="AJ36" s="132" t="s">
        <v>3125</v>
      </c>
    </row>
    <row r="37" spans="1:36" s="114" customFormat="1" ht="43.5" hidden="1" x14ac:dyDescent="0.35">
      <c r="A37" s="114">
        <v>14</v>
      </c>
      <c r="B37" s="114" t="s">
        <v>248</v>
      </c>
      <c r="F37" s="111" t="s">
        <v>245</v>
      </c>
      <c r="G37" s="111" t="s">
        <v>142</v>
      </c>
      <c r="H37" s="111" t="s">
        <v>244</v>
      </c>
      <c r="I37" s="111" t="b">
        <v>0</v>
      </c>
      <c r="J37" s="114" t="s">
        <v>147</v>
      </c>
      <c r="K37" s="112" t="s">
        <v>247</v>
      </c>
      <c r="L37" s="111" t="s">
        <v>246</v>
      </c>
      <c r="M37" s="112">
        <f t="shared" si="8"/>
        <v>14.36</v>
      </c>
      <c r="N37" s="114">
        <f t="shared" si="9"/>
        <v>1040</v>
      </c>
      <c r="O37" s="119">
        <f t="shared" si="10"/>
        <v>14934.4</v>
      </c>
      <c r="P37" s="119">
        <f t="shared" si="11"/>
        <v>-1019.2000000000007</v>
      </c>
      <c r="Q37" s="120">
        <f t="shared" si="12"/>
        <v>-6.8245125348189467E-2</v>
      </c>
      <c r="R37" s="114" t="str">
        <f t="shared" si="13"/>
        <v>Negative</v>
      </c>
      <c r="S37" s="113">
        <f t="shared" si="14"/>
        <v>15953.6</v>
      </c>
      <c r="T37" s="113">
        <f t="shared" si="15"/>
        <v>15.34</v>
      </c>
      <c r="U37" s="114" t="s">
        <v>249</v>
      </c>
      <c r="V37" s="114" t="s">
        <v>161</v>
      </c>
      <c r="W37" s="121"/>
      <c r="X37" s="132">
        <v>15.34</v>
      </c>
      <c r="Z37" s="114">
        <v>0</v>
      </c>
      <c r="AA37" s="114" t="s">
        <v>154</v>
      </c>
      <c r="AB37" s="114">
        <v>1</v>
      </c>
      <c r="AC37" s="114" t="s">
        <v>193</v>
      </c>
      <c r="AD37" s="114" t="s">
        <v>250</v>
      </c>
      <c r="AE37" s="114" t="s">
        <v>2884</v>
      </c>
      <c r="AF37" s="114" t="s">
        <v>119</v>
      </c>
      <c r="AG37" s="114" t="s">
        <v>2874</v>
      </c>
      <c r="AH37" s="114" t="s">
        <v>2873</v>
      </c>
      <c r="AI37" s="114" t="s">
        <v>3130</v>
      </c>
      <c r="AJ37" s="132" t="s">
        <v>3125</v>
      </c>
    </row>
    <row r="38" spans="1:36" s="114" customFormat="1" ht="43.5" hidden="1" x14ac:dyDescent="0.35">
      <c r="A38" s="114">
        <v>16</v>
      </c>
      <c r="B38" s="114" t="s">
        <v>263</v>
      </c>
      <c r="F38" s="111" t="s">
        <v>261</v>
      </c>
      <c r="G38" s="111" t="s">
        <v>142</v>
      </c>
      <c r="H38" s="111" t="s">
        <v>260</v>
      </c>
      <c r="I38" s="111" t="b">
        <v>0</v>
      </c>
      <c r="J38" s="114" t="s">
        <v>147</v>
      </c>
      <c r="K38" s="112" t="s">
        <v>262</v>
      </c>
      <c r="L38" s="111" t="s">
        <v>169</v>
      </c>
      <c r="M38" s="112">
        <f t="shared" si="8"/>
        <v>57.45</v>
      </c>
      <c r="N38" s="114">
        <f t="shared" si="9"/>
        <v>216</v>
      </c>
      <c r="O38" s="119">
        <f t="shared" si="10"/>
        <v>12409.2</v>
      </c>
      <c r="P38" s="119">
        <f t="shared" si="11"/>
        <v>-5058.7200000000012</v>
      </c>
      <c r="Q38" s="120">
        <f t="shared" si="12"/>
        <v>-0.40765883376849443</v>
      </c>
      <c r="R38" s="114" t="str">
        <f t="shared" si="13"/>
        <v>Negative</v>
      </c>
      <c r="S38" s="113">
        <f t="shared" si="14"/>
        <v>17467.920000000002</v>
      </c>
      <c r="T38" s="113">
        <f t="shared" si="15"/>
        <v>80.87</v>
      </c>
      <c r="U38" s="114" t="s">
        <v>264</v>
      </c>
      <c r="V38" s="114" t="s">
        <v>161</v>
      </c>
      <c r="W38" s="121"/>
      <c r="X38" s="132">
        <v>80.87</v>
      </c>
      <c r="Z38" s="114">
        <v>0</v>
      </c>
      <c r="AA38" s="114" t="s">
        <v>154</v>
      </c>
      <c r="AB38" s="114">
        <v>1</v>
      </c>
      <c r="AC38" s="114" t="s">
        <v>266</v>
      </c>
      <c r="AD38" s="114" t="s">
        <v>265</v>
      </c>
      <c r="AE38" s="114" t="s">
        <v>2928</v>
      </c>
      <c r="AF38" s="114" t="s">
        <v>119</v>
      </c>
      <c r="AG38" s="114" t="s">
        <v>2929</v>
      </c>
      <c r="AH38" s="114" t="s">
        <v>2859</v>
      </c>
      <c r="AI38" s="114" t="s">
        <v>3130</v>
      </c>
      <c r="AJ38" s="132" t="s">
        <v>3125</v>
      </c>
    </row>
    <row r="39" spans="1:36" s="114" customFormat="1" ht="29" hidden="1" x14ac:dyDescent="0.35">
      <c r="A39" s="114">
        <v>19</v>
      </c>
      <c r="B39" s="114" t="s">
        <v>287</v>
      </c>
      <c r="F39" s="111" t="s">
        <v>284</v>
      </c>
      <c r="G39" s="111" t="s">
        <v>142</v>
      </c>
      <c r="H39" s="111" t="s">
        <v>283</v>
      </c>
      <c r="I39" s="111" t="b">
        <v>0</v>
      </c>
      <c r="J39" s="114" t="s">
        <v>147</v>
      </c>
      <c r="K39" s="112" t="s">
        <v>286</v>
      </c>
      <c r="L39" s="111" t="s">
        <v>285</v>
      </c>
      <c r="M39" s="112">
        <f t="shared" si="8"/>
        <v>29.45</v>
      </c>
      <c r="N39" s="114">
        <f t="shared" si="9"/>
        <v>384</v>
      </c>
      <c r="O39" s="119">
        <f t="shared" si="10"/>
        <v>11308.8</v>
      </c>
      <c r="P39" s="119">
        <f t="shared" si="11"/>
        <v>-7783.68</v>
      </c>
      <c r="Q39" s="120">
        <f t="shared" si="12"/>
        <v>-0.68828522920203739</v>
      </c>
      <c r="R39" s="114" t="str">
        <f t="shared" si="13"/>
        <v>Negative</v>
      </c>
      <c r="S39" s="113">
        <f t="shared" si="14"/>
        <v>19092.48</v>
      </c>
      <c r="T39" s="113">
        <f t="shared" si="15"/>
        <v>49.72</v>
      </c>
      <c r="U39" s="114" t="s">
        <v>288</v>
      </c>
      <c r="V39" s="114" t="s">
        <v>150</v>
      </c>
      <c r="W39" s="121"/>
      <c r="X39" s="132">
        <v>49.72</v>
      </c>
      <c r="Z39" s="114">
        <v>0</v>
      </c>
      <c r="AA39" s="114" t="s">
        <v>154</v>
      </c>
      <c r="AB39" s="114">
        <v>1</v>
      </c>
      <c r="AC39" s="114" t="s">
        <v>243</v>
      </c>
      <c r="AD39" s="114" t="s">
        <v>289</v>
      </c>
      <c r="AE39" s="114" t="s">
        <v>2956</v>
      </c>
      <c r="AF39" s="114" t="s">
        <v>119</v>
      </c>
      <c r="AG39" s="114" t="s">
        <v>2957</v>
      </c>
      <c r="AH39" s="114" t="s">
        <v>2944</v>
      </c>
      <c r="AI39" s="114" t="s">
        <v>151</v>
      </c>
      <c r="AJ39" s="132" t="s">
        <v>3125</v>
      </c>
    </row>
    <row r="40" spans="1:36" s="114" customFormat="1" ht="43.5" hidden="1" x14ac:dyDescent="0.35">
      <c r="A40" s="114">
        <v>23</v>
      </c>
      <c r="B40" s="114" t="s">
        <v>312</v>
      </c>
      <c r="F40" s="111" t="s">
        <v>309</v>
      </c>
      <c r="G40" s="111" t="s">
        <v>142</v>
      </c>
      <c r="H40" s="111" t="s">
        <v>308</v>
      </c>
      <c r="I40" s="111" t="b">
        <v>0</v>
      </c>
      <c r="J40" s="114" t="s">
        <v>147</v>
      </c>
      <c r="K40" s="112" t="s">
        <v>311</v>
      </c>
      <c r="L40" s="111" t="s">
        <v>310</v>
      </c>
      <c r="M40" s="112">
        <f t="shared" si="8"/>
        <v>39.020000000000003</v>
      </c>
      <c r="N40" s="114">
        <f t="shared" si="9"/>
        <v>270</v>
      </c>
      <c r="O40" s="119">
        <f t="shared" si="10"/>
        <v>10535.400000000001</v>
      </c>
      <c r="P40" s="119">
        <f t="shared" si="11"/>
        <v>10394.406000000001</v>
      </c>
      <c r="Q40" s="120">
        <f t="shared" si="12"/>
        <v>0.98661711942593533</v>
      </c>
      <c r="R40" s="114" t="str">
        <f t="shared" si="13"/>
        <v>30+%</v>
      </c>
      <c r="S40" s="113">
        <f t="shared" si="14"/>
        <v>140.994</v>
      </c>
      <c r="T40" s="113">
        <f t="shared" si="15"/>
        <v>0.5222</v>
      </c>
      <c r="U40" s="114" t="s">
        <v>313</v>
      </c>
      <c r="V40" s="114" t="s">
        <v>150</v>
      </c>
      <c r="W40" s="121"/>
      <c r="X40" s="132">
        <v>52.22</v>
      </c>
      <c r="Z40" s="114">
        <v>0</v>
      </c>
      <c r="AA40" s="114" t="s">
        <v>172</v>
      </c>
      <c r="AB40" s="114">
        <v>100</v>
      </c>
      <c r="AC40" s="114" t="s">
        <v>171</v>
      </c>
      <c r="AD40" s="114" t="s">
        <v>313</v>
      </c>
      <c r="AE40" s="114" t="s">
        <v>3066</v>
      </c>
      <c r="AF40" s="114" t="s">
        <v>119</v>
      </c>
      <c r="AG40" s="114" t="s">
        <v>3068</v>
      </c>
      <c r="AH40" s="114" t="s">
        <v>3067</v>
      </c>
      <c r="AI40" s="114" t="s">
        <v>151</v>
      </c>
      <c r="AJ40" s="132" t="s">
        <v>3125</v>
      </c>
    </row>
    <row r="41" spans="1:36" s="114" customFormat="1" ht="43.5" hidden="1" x14ac:dyDescent="0.35">
      <c r="A41" s="114">
        <v>25</v>
      </c>
      <c r="B41" s="114" t="s">
        <v>323</v>
      </c>
      <c r="F41" s="111" t="s">
        <v>320</v>
      </c>
      <c r="G41" s="111" t="s">
        <v>142</v>
      </c>
      <c r="H41" s="111" t="s">
        <v>319</v>
      </c>
      <c r="I41" s="111" t="b">
        <v>0</v>
      </c>
      <c r="J41" s="114" t="s">
        <v>147</v>
      </c>
      <c r="K41" s="112" t="s">
        <v>322</v>
      </c>
      <c r="L41" s="111" t="s">
        <v>321</v>
      </c>
      <c r="M41" s="112">
        <f t="shared" si="8"/>
        <v>6.23</v>
      </c>
      <c r="N41" s="114">
        <f t="shared" si="9"/>
        <v>1680</v>
      </c>
      <c r="O41" s="119">
        <f t="shared" si="10"/>
        <v>10466.400000000001</v>
      </c>
      <c r="P41" s="119">
        <f t="shared" si="11"/>
        <v>-2234.3999999999978</v>
      </c>
      <c r="Q41" s="120">
        <f t="shared" si="12"/>
        <v>-0.2134831460674155</v>
      </c>
      <c r="R41" s="114" t="str">
        <f t="shared" si="13"/>
        <v>Negative</v>
      </c>
      <c r="S41" s="113">
        <f t="shared" si="14"/>
        <v>12700.8</v>
      </c>
      <c r="T41" s="113">
        <f t="shared" si="15"/>
        <v>7.56</v>
      </c>
      <c r="U41" s="114" t="s">
        <v>324</v>
      </c>
      <c r="V41" s="114" t="s">
        <v>150</v>
      </c>
      <c r="W41" s="121"/>
      <c r="X41" s="132">
        <v>7.56</v>
      </c>
      <c r="Z41" s="114">
        <v>0</v>
      </c>
      <c r="AA41" s="114" t="s">
        <v>213</v>
      </c>
      <c r="AB41" s="114">
        <v>1</v>
      </c>
      <c r="AC41" s="114" t="s">
        <v>326</v>
      </c>
      <c r="AD41" s="114" t="s">
        <v>325</v>
      </c>
      <c r="AE41" s="114" t="s">
        <v>2911</v>
      </c>
      <c r="AF41" s="114" t="s">
        <v>119</v>
      </c>
      <c r="AG41" s="114" t="s">
        <v>2904</v>
      </c>
      <c r="AH41" s="114" t="s">
        <v>2903</v>
      </c>
      <c r="AI41" s="114" t="s">
        <v>3130</v>
      </c>
      <c r="AJ41" s="132" t="s">
        <v>3125</v>
      </c>
    </row>
    <row r="42" spans="1:36" s="114" customFormat="1" ht="43.5" hidden="1" x14ac:dyDescent="0.35">
      <c r="A42" s="114">
        <v>26</v>
      </c>
      <c r="B42" s="114" t="s">
        <v>331</v>
      </c>
      <c r="F42" s="111" t="s">
        <v>328</v>
      </c>
      <c r="G42" s="111" t="s">
        <v>142</v>
      </c>
      <c r="H42" s="111" t="s">
        <v>327</v>
      </c>
      <c r="I42" s="111" t="b">
        <v>0</v>
      </c>
      <c r="J42" s="114" t="s">
        <v>147</v>
      </c>
      <c r="K42" s="112" t="s">
        <v>330</v>
      </c>
      <c r="L42" s="111" t="s">
        <v>329</v>
      </c>
      <c r="M42" s="112">
        <f t="shared" si="8"/>
        <v>19.21</v>
      </c>
      <c r="N42" s="114">
        <f t="shared" si="9"/>
        <v>540</v>
      </c>
      <c r="O42" s="119">
        <f t="shared" si="10"/>
        <v>10373.4</v>
      </c>
      <c r="P42" s="119">
        <f t="shared" si="11"/>
        <v>-7516.8000000000011</v>
      </c>
      <c r="Q42" s="120">
        <f t="shared" si="12"/>
        <v>-0.72462259239979188</v>
      </c>
      <c r="R42" s="114" t="str">
        <f t="shared" si="13"/>
        <v>Negative</v>
      </c>
      <c r="S42" s="113">
        <f t="shared" si="14"/>
        <v>17890.2</v>
      </c>
      <c r="T42" s="113">
        <f t="shared" si="15"/>
        <v>33.130000000000003</v>
      </c>
      <c r="U42" s="114" t="s">
        <v>332</v>
      </c>
      <c r="V42" s="114" t="s">
        <v>150</v>
      </c>
      <c r="W42" s="121"/>
      <c r="X42" s="132">
        <v>33.130000000000003</v>
      </c>
      <c r="Z42" s="114">
        <v>0</v>
      </c>
      <c r="AA42" s="114" t="s">
        <v>213</v>
      </c>
      <c r="AB42" s="114">
        <v>1</v>
      </c>
      <c r="AC42" s="114" t="s">
        <v>334</v>
      </c>
      <c r="AD42" s="114" t="s">
        <v>333</v>
      </c>
      <c r="AE42" s="114" t="s">
        <v>3078</v>
      </c>
      <c r="AF42" s="114" t="s">
        <v>119</v>
      </c>
      <c r="AG42" s="114" t="s">
        <v>2972</v>
      </c>
      <c r="AH42" s="114" t="s">
        <v>2903</v>
      </c>
      <c r="AI42" s="114" t="s">
        <v>151</v>
      </c>
      <c r="AJ42" s="132" t="s">
        <v>3125</v>
      </c>
    </row>
    <row r="43" spans="1:36" s="114" customFormat="1" ht="43.5" hidden="1" x14ac:dyDescent="0.35">
      <c r="A43" s="114">
        <v>27</v>
      </c>
      <c r="B43" s="114" t="s">
        <v>339</v>
      </c>
      <c r="F43" s="111" t="s">
        <v>336</v>
      </c>
      <c r="G43" s="111" t="s">
        <v>142</v>
      </c>
      <c r="H43" s="111" t="s">
        <v>335</v>
      </c>
      <c r="I43" s="111" t="b">
        <v>0</v>
      </c>
      <c r="J43" s="114" t="s">
        <v>147</v>
      </c>
      <c r="K43" s="112" t="s">
        <v>338</v>
      </c>
      <c r="L43" s="111" t="s">
        <v>337</v>
      </c>
      <c r="M43" s="112">
        <f t="shared" si="8"/>
        <v>2062.98</v>
      </c>
      <c r="N43" s="114">
        <f t="shared" si="9"/>
        <v>5</v>
      </c>
      <c r="O43" s="119">
        <f t="shared" si="10"/>
        <v>10314.9</v>
      </c>
      <c r="P43" s="119">
        <f t="shared" si="11"/>
        <v>-3215.7500000000018</v>
      </c>
      <c r="Q43" s="120">
        <f t="shared" si="12"/>
        <v>-0.3117577484997433</v>
      </c>
      <c r="R43" s="114" t="str">
        <f t="shared" si="13"/>
        <v>Negative</v>
      </c>
      <c r="S43" s="113">
        <f t="shared" si="14"/>
        <v>13530.650000000001</v>
      </c>
      <c r="T43" s="113">
        <f t="shared" si="15"/>
        <v>2706.13</v>
      </c>
      <c r="U43" s="114" t="s">
        <v>340</v>
      </c>
      <c r="V43" s="114" t="s">
        <v>161</v>
      </c>
      <c r="W43" s="121"/>
      <c r="X43" s="132">
        <v>2706.13</v>
      </c>
      <c r="Z43" s="114">
        <v>0</v>
      </c>
      <c r="AA43" s="114" t="s">
        <v>154</v>
      </c>
      <c r="AB43" s="114">
        <v>1</v>
      </c>
      <c r="AC43" s="114" t="s">
        <v>341</v>
      </c>
      <c r="AD43" s="114">
        <v>3400135</v>
      </c>
      <c r="AE43" s="114" t="s">
        <v>3064</v>
      </c>
      <c r="AF43" s="114" t="s">
        <v>119</v>
      </c>
      <c r="AG43" s="114" t="s">
        <v>3050</v>
      </c>
      <c r="AH43" s="114" t="s">
        <v>3049</v>
      </c>
      <c r="AI43" s="114" t="s">
        <v>151</v>
      </c>
      <c r="AJ43" s="132" t="s">
        <v>3125</v>
      </c>
    </row>
    <row r="44" spans="1:36" s="114" customFormat="1" ht="29" hidden="1" x14ac:dyDescent="0.35">
      <c r="A44" s="114">
        <v>28</v>
      </c>
      <c r="B44" s="114" t="s">
        <v>346</v>
      </c>
      <c r="F44" s="111" t="s">
        <v>343</v>
      </c>
      <c r="G44" s="111" t="s">
        <v>142</v>
      </c>
      <c r="H44" s="111" t="s">
        <v>342</v>
      </c>
      <c r="I44" s="111" t="b">
        <v>0</v>
      </c>
      <c r="J44" s="114" t="s">
        <v>147</v>
      </c>
      <c r="K44" s="112" t="s">
        <v>345</v>
      </c>
      <c r="L44" s="111" t="s">
        <v>344</v>
      </c>
      <c r="M44" s="112">
        <f t="shared" si="8"/>
        <v>29.93</v>
      </c>
      <c r="N44" s="114">
        <f t="shared" si="9"/>
        <v>343</v>
      </c>
      <c r="O44" s="119">
        <f t="shared" si="10"/>
        <v>10265.99</v>
      </c>
      <c r="P44" s="119">
        <f t="shared" si="11"/>
        <v>-1399.4399999999987</v>
      </c>
      <c r="Q44" s="120">
        <f t="shared" si="12"/>
        <v>-0.1363180755095221</v>
      </c>
      <c r="R44" s="114" t="str">
        <f t="shared" si="13"/>
        <v>Negative</v>
      </c>
      <c r="S44" s="113">
        <f t="shared" si="14"/>
        <v>11665.429999999998</v>
      </c>
      <c r="T44" s="113">
        <f t="shared" si="15"/>
        <v>34.01</v>
      </c>
      <c r="U44" s="114" t="s">
        <v>347</v>
      </c>
      <c r="V44" s="114" t="s">
        <v>161</v>
      </c>
      <c r="W44" s="121"/>
      <c r="X44" s="132">
        <v>34.01</v>
      </c>
      <c r="Z44" s="114">
        <v>0</v>
      </c>
      <c r="AA44" s="114" t="s">
        <v>154</v>
      </c>
      <c r="AB44" s="114">
        <v>1</v>
      </c>
      <c r="AC44" s="114" t="s">
        <v>164</v>
      </c>
      <c r="AD44" s="114" t="s">
        <v>349</v>
      </c>
      <c r="AE44" s="114" t="s">
        <v>348</v>
      </c>
      <c r="AF44" s="114" t="s">
        <v>119</v>
      </c>
      <c r="AG44" s="114" t="s">
        <v>2897</v>
      </c>
      <c r="AH44" s="114" t="s">
        <v>2851</v>
      </c>
      <c r="AI44" s="114" t="s">
        <v>151</v>
      </c>
      <c r="AJ44" s="132" t="s">
        <v>3125</v>
      </c>
    </row>
    <row r="45" spans="1:36" s="114" customFormat="1" ht="43.5" hidden="1" x14ac:dyDescent="0.35">
      <c r="A45" s="114">
        <v>29</v>
      </c>
      <c r="B45" s="114" t="s">
        <v>354</v>
      </c>
      <c r="F45" s="111" t="s">
        <v>351</v>
      </c>
      <c r="G45" s="111" t="s">
        <v>142</v>
      </c>
      <c r="H45" s="111" t="s">
        <v>350</v>
      </c>
      <c r="I45" s="111" t="b">
        <v>0</v>
      </c>
      <c r="J45" s="114" t="s">
        <v>147</v>
      </c>
      <c r="K45" s="112" t="s">
        <v>353</v>
      </c>
      <c r="L45" s="111" t="s">
        <v>352</v>
      </c>
      <c r="M45" s="112">
        <f t="shared" si="8"/>
        <v>14.24</v>
      </c>
      <c r="N45" s="114">
        <f t="shared" si="9"/>
        <v>720</v>
      </c>
      <c r="O45" s="119">
        <f t="shared" si="10"/>
        <v>10252.799999999999</v>
      </c>
      <c r="P45" s="119">
        <f t="shared" si="11"/>
        <v>-9884.4000000000015</v>
      </c>
      <c r="Q45" s="120">
        <f t="shared" si="12"/>
        <v>-0.96406835205992525</v>
      </c>
      <c r="R45" s="114" t="str">
        <f t="shared" si="13"/>
        <v>Negative</v>
      </c>
      <c r="S45" s="113">
        <f t="shared" si="14"/>
        <v>20137.2</v>
      </c>
      <c r="T45" s="113">
        <f t="shared" si="15"/>
        <v>27.968333333333334</v>
      </c>
      <c r="U45" s="114" t="s">
        <v>355</v>
      </c>
      <c r="V45" s="114" t="s">
        <v>161</v>
      </c>
      <c r="W45" s="121"/>
      <c r="X45" s="132">
        <v>335.62</v>
      </c>
      <c r="Z45" s="114">
        <v>0</v>
      </c>
      <c r="AA45" s="114" t="s">
        <v>172</v>
      </c>
      <c r="AB45" s="114">
        <v>12</v>
      </c>
      <c r="AC45" s="114" t="s">
        <v>357</v>
      </c>
      <c r="AD45" s="114" t="s">
        <v>356</v>
      </c>
      <c r="AE45" s="114" t="s">
        <v>3037</v>
      </c>
      <c r="AF45" s="114" t="s">
        <v>119</v>
      </c>
      <c r="AG45" s="114" t="s">
        <v>2904</v>
      </c>
      <c r="AH45" s="114" t="s">
        <v>2903</v>
      </c>
      <c r="AI45" s="114" t="s">
        <v>151</v>
      </c>
      <c r="AJ45" s="132" t="s">
        <v>3125</v>
      </c>
    </row>
    <row r="46" spans="1:36" s="114" customFormat="1" ht="43.5" hidden="1" x14ac:dyDescent="0.35">
      <c r="A46" s="114">
        <v>30</v>
      </c>
      <c r="B46" s="114" t="s">
        <v>361</v>
      </c>
      <c r="F46" s="111" t="s">
        <v>359</v>
      </c>
      <c r="G46" s="111" t="s">
        <v>142</v>
      </c>
      <c r="H46" s="111" t="s">
        <v>358</v>
      </c>
      <c r="I46" s="111" t="b">
        <v>0</v>
      </c>
      <c r="J46" s="114" t="s">
        <v>147</v>
      </c>
      <c r="K46" s="112" t="s">
        <v>360</v>
      </c>
      <c r="L46" s="111" t="s">
        <v>277</v>
      </c>
      <c r="M46" s="112">
        <f t="shared" si="8"/>
        <v>496.11</v>
      </c>
      <c r="N46" s="114">
        <f t="shared" si="9"/>
        <v>20</v>
      </c>
      <c r="O46" s="119">
        <f t="shared" si="10"/>
        <v>9922.2000000000007</v>
      </c>
      <c r="P46" s="119">
        <f t="shared" si="11"/>
        <v>-3802.7999999999993</v>
      </c>
      <c r="Q46" s="120">
        <f t="shared" si="12"/>
        <v>-0.38326177662212002</v>
      </c>
      <c r="R46" s="114" t="str">
        <f t="shared" si="13"/>
        <v>Negative</v>
      </c>
      <c r="S46" s="113">
        <f t="shared" si="14"/>
        <v>13725</v>
      </c>
      <c r="T46" s="113">
        <f t="shared" si="15"/>
        <v>686.25</v>
      </c>
      <c r="U46" s="114" t="s">
        <v>362</v>
      </c>
      <c r="V46" s="114" t="s">
        <v>161</v>
      </c>
      <c r="W46" s="121"/>
      <c r="X46" s="132">
        <v>686.25</v>
      </c>
      <c r="Z46" s="114">
        <v>0</v>
      </c>
      <c r="AA46" s="114" t="s">
        <v>154</v>
      </c>
      <c r="AB46" s="114">
        <v>1</v>
      </c>
      <c r="AC46" s="114" t="s">
        <v>341</v>
      </c>
      <c r="AD46" s="114">
        <v>3100548</v>
      </c>
      <c r="AE46" s="114" t="s">
        <v>3054</v>
      </c>
      <c r="AF46" s="114" t="s">
        <v>119</v>
      </c>
      <c r="AG46" s="114" t="s">
        <v>3050</v>
      </c>
      <c r="AH46" s="114" t="s">
        <v>3049</v>
      </c>
      <c r="AI46" s="114" t="s">
        <v>151</v>
      </c>
      <c r="AJ46" s="132" t="s">
        <v>3125</v>
      </c>
    </row>
    <row r="47" spans="1:36" s="114" customFormat="1" ht="43.5" hidden="1" x14ac:dyDescent="0.35">
      <c r="A47" s="114">
        <v>32</v>
      </c>
      <c r="B47" s="114" t="s">
        <v>300</v>
      </c>
      <c r="F47" s="111" t="s">
        <v>370</v>
      </c>
      <c r="G47" s="111" t="s">
        <v>142</v>
      </c>
      <c r="H47" s="111" t="s">
        <v>369</v>
      </c>
      <c r="I47" s="111" t="b">
        <v>0</v>
      </c>
      <c r="J47" s="114" t="s">
        <v>147</v>
      </c>
      <c r="K47" s="112" t="s">
        <v>372</v>
      </c>
      <c r="L47" s="111" t="s">
        <v>371</v>
      </c>
      <c r="M47" s="112">
        <f t="shared" si="8"/>
        <v>19.100000000000001</v>
      </c>
      <c r="N47" s="114">
        <f t="shared" si="9"/>
        <v>504</v>
      </c>
      <c r="O47" s="119">
        <f t="shared" si="10"/>
        <v>9626.4000000000015</v>
      </c>
      <c r="P47" s="119">
        <f t="shared" si="11"/>
        <v>-2419.1999999999971</v>
      </c>
      <c r="Q47" s="120">
        <f t="shared" si="12"/>
        <v>-0.25130890052355986</v>
      </c>
      <c r="R47" s="114" t="str">
        <f t="shared" si="13"/>
        <v>Negative</v>
      </c>
      <c r="S47" s="113">
        <f t="shared" si="14"/>
        <v>12045.599999999999</v>
      </c>
      <c r="T47" s="113">
        <f t="shared" si="15"/>
        <v>23.9</v>
      </c>
      <c r="U47" s="114" t="s">
        <v>373</v>
      </c>
      <c r="V47" s="114" t="s">
        <v>161</v>
      </c>
      <c r="W47" s="121"/>
      <c r="X47" s="132">
        <v>23.9</v>
      </c>
      <c r="Z47" s="114">
        <v>0</v>
      </c>
      <c r="AA47" s="114" t="s">
        <v>213</v>
      </c>
      <c r="AB47" s="114">
        <v>1</v>
      </c>
      <c r="AC47" s="114" t="s">
        <v>375</v>
      </c>
      <c r="AD47" s="114" t="s">
        <v>374</v>
      </c>
      <c r="AE47" s="114" t="s">
        <v>2914</v>
      </c>
      <c r="AF47" s="114" t="s">
        <v>119</v>
      </c>
      <c r="AG47" s="114" t="s">
        <v>2904</v>
      </c>
      <c r="AH47" s="114" t="s">
        <v>2903</v>
      </c>
      <c r="AI47" s="114" t="s">
        <v>3130</v>
      </c>
      <c r="AJ47" s="132" t="s">
        <v>3125</v>
      </c>
    </row>
    <row r="48" spans="1:36" s="114" customFormat="1" ht="43.5" hidden="1" x14ac:dyDescent="0.35">
      <c r="A48" s="114">
        <v>33</v>
      </c>
      <c r="B48" s="114" t="s">
        <v>379</v>
      </c>
      <c r="F48" s="111" t="s">
        <v>377</v>
      </c>
      <c r="G48" s="111" t="s">
        <v>142</v>
      </c>
      <c r="H48" s="111" t="s">
        <v>376</v>
      </c>
      <c r="I48" s="111" t="b">
        <v>0</v>
      </c>
      <c r="J48" s="114" t="s">
        <v>147</v>
      </c>
      <c r="K48" s="112" t="s">
        <v>378</v>
      </c>
      <c r="L48" s="111" t="s">
        <v>253</v>
      </c>
      <c r="M48" s="112">
        <f t="shared" si="8"/>
        <v>389.83</v>
      </c>
      <c r="N48" s="114">
        <f t="shared" si="9"/>
        <v>24</v>
      </c>
      <c r="O48" s="119">
        <f t="shared" si="10"/>
        <v>9355.92</v>
      </c>
      <c r="P48" s="119">
        <f t="shared" si="11"/>
        <v>-8432.8800000000028</v>
      </c>
      <c r="Q48" s="120">
        <f t="shared" si="12"/>
        <v>-0.90134161044557914</v>
      </c>
      <c r="R48" s="114" t="str">
        <f t="shared" si="13"/>
        <v>Negative</v>
      </c>
      <c r="S48" s="113">
        <f t="shared" si="14"/>
        <v>17788.800000000003</v>
      </c>
      <c r="T48" s="113">
        <f t="shared" si="15"/>
        <v>741.2</v>
      </c>
      <c r="U48" s="114" t="s">
        <v>380</v>
      </c>
      <c r="V48" s="114" t="s">
        <v>150</v>
      </c>
      <c r="W48" s="121"/>
      <c r="X48" s="132">
        <v>741.2</v>
      </c>
      <c r="Z48" s="114">
        <v>0</v>
      </c>
      <c r="AA48" s="114" t="s">
        <v>154</v>
      </c>
      <c r="AB48" s="114">
        <v>1</v>
      </c>
      <c r="AC48" s="114" t="s">
        <v>193</v>
      </c>
      <c r="AD48" s="114" t="s">
        <v>381</v>
      </c>
      <c r="AE48" s="114" t="s">
        <v>2850</v>
      </c>
      <c r="AF48" s="114" t="s">
        <v>119</v>
      </c>
      <c r="AG48" s="114" t="s">
        <v>2852</v>
      </c>
      <c r="AH48" s="114" t="s">
        <v>2851</v>
      </c>
      <c r="AI48" s="114" t="s">
        <v>151</v>
      </c>
      <c r="AJ48" s="132" t="s">
        <v>3125</v>
      </c>
    </row>
    <row r="49" spans="1:36" s="114" customFormat="1" ht="58" hidden="1" x14ac:dyDescent="0.35">
      <c r="A49" s="114">
        <v>34</v>
      </c>
      <c r="B49" s="114" t="s">
        <v>386</v>
      </c>
      <c r="F49" s="111" t="s">
        <v>383</v>
      </c>
      <c r="G49" s="111" t="s">
        <v>142</v>
      </c>
      <c r="H49" s="111" t="s">
        <v>382</v>
      </c>
      <c r="I49" s="111" t="b">
        <v>0</v>
      </c>
      <c r="J49" s="114" t="s">
        <v>147</v>
      </c>
      <c r="K49" s="112" t="s">
        <v>385</v>
      </c>
      <c r="L49" s="111" t="s">
        <v>384</v>
      </c>
      <c r="M49" s="112">
        <f t="shared" si="8"/>
        <v>89.29</v>
      </c>
      <c r="N49" s="114">
        <f t="shared" si="9"/>
        <v>100</v>
      </c>
      <c r="O49" s="119">
        <f t="shared" si="10"/>
        <v>8929</v>
      </c>
      <c r="P49" s="119">
        <f t="shared" si="11"/>
        <v>-10217</v>
      </c>
      <c r="Q49" s="120">
        <f t="shared" si="12"/>
        <v>-1.1442490760443498</v>
      </c>
      <c r="R49" s="114" t="str">
        <f t="shared" si="13"/>
        <v>Negative</v>
      </c>
      <c r="S49" s="113">
        <f t="shared" si="14"/>
        <v>19146</v>
      </c>
      <c r="T49" s="113">
        <f t="shared" si="15"/>
        <v>191.46</v>
      </c>
      <c r="U49" s="114" t="s">
        <v>387</v>
      </c>
      <c r="V49" s="114" t="s">
        <v>150</v>
      </c>
      <c r="W49" s="121"/>
      <c r="X49" s="132">
        <v>191.46</v>
      </c>
      <c r="Z49" s="114">
        <v>0</v>
      </c>
      <c r="AA49" s="114" t="s">
        <v>154</v>
      </c>
      <c r="AB49" s="114">
        <v>1</v>
      </c>
      <c r="AC49" s="114" t="s">
        <v>389</v>
      </c>
      <c r="AD49" s="114" t="s">
        <v>388</v>
      </c>
      <c r="AE49" s="114" t="s">
        <v>3069</v>
      </c>
      <c r="AF49" s="114" t="s">
        <v>119</v>
      </c>
      <c r="AG49" s="114" t="s">
        <v>3068</v>
      </c>
      <c r="AH49" s="114" t="s">
        <v>3067</v>
      </c>
      <c r="AI49" s="114" t="s">
        <v>151</v>
      </c>
      <c r="AJ49" s="132" t="s">
        <v>3125</v>
      </c>
    </row>
    <row r="50" spans="1:36" s="114" customFormat="1" ht="43.5" hidden="1" x14ac:dyDescent="0.35">
      <c r="A50" s="114">
        <v>35</v>
      </c>
      <c r="B50" s="114" t="s">
        <v>196</v>
      </c>
      <c r="F50" s="111" t="s">
        <v>391</v>
      </c>
      <c r="G50" s="111" t="s">
        <v>142</v>
      </c>
      <c r="H50" s="111" t="s">
        <v>390</v>
      </c>
      <c r="I50" s="111" t="b">
        <v>0</v>
      </c>
      <c r="J50" s="114" t="s">
        <v>147</v>
      </c>
      <c r="K50" s="112" t="s">
        <v>393</v>
      </c>
      <c r="L50" s="111" t="s">
        <v>392</v>
      </c>
      <c r="M50" s="112">
        <f t="shared" si="8"/>
        <v>750.25</v>
      </c>
      <c r="N50" s="114">
        <f t="shared" si="9"/>
        <v>11</v>
      </c>
      <c r="O50" s="119">
        <f t="shared" si="10"/>
        <v>8252.75</v>
      </c>
      <c r="P50" s="119">
        <f t="shared" si="11"/>
        <v>-2913.8999999999996</v>
      </c>
      <c r="Q50" s="120">
        <f t="shared" si="12"/>
        <v>-0.35308230589803397</v>
      </c>
      <c r="R50" s="114" t="str">
        <f t="shared" si="13"/>
        <v>Negative</v>
      </c>
      <c r="S50" s="113">
        <f t="shared" si="14"/>
        <v>11166.65</v>
      </c>
      <c r="T50" s="113">
        <f t="shared" si="15"/>
        <v>1015.15</v>
      </c>
      <c r="U50" s="114" t="s">
        <v>394</v>
      </c>
      <c r="V50" s="114" t="s">
        <v>150</v>
      </c>
      <c r="W50" s="121"/>
      <c r="X50" s="132">
        <v>1015.15</v>
      </c>
      <c r="Z50" s="114">
        <v>0</v>
      </c>
      <c r="AA50" s="114" t="s">
        <v>154</v>
      </c>
      <c r="AB50" s="114">
        <v>1</v>
      </c>
      <c r="AC50" s="114" t="s">
        <v>200</v>
      </c>
      <c r="AD50" s="114" t="s">
        <v>395</v>
      </c>
      <c r="AE50" s="114" t="s">
        <v>2890</v>
      </c>
      <c r="AF50" s="114" t="s">
        <v>122</v>
      </c>
      <c r="AG50" s="114" t="s">
        <v>2891</v>
      </c>
      <c r="AH50" s="114" t="s">
        <v>2856</v>
      </c>
      <c r="AI50" s="114" t="s">
        <v>151</v>
      </c>
      <c r="AJ50" s="132" t="s">
        <v>3125</v>
      </c>
    </row>
    <row r="51" spans="1:36" s="114" customFormat="1" ht="29" hidden="1" x14ac:dyDescent="0.35">
      <c r="A51" s="114">
        <v>37</v>
      </c>
      <c r="B51" s="114" t="s">
        <v>405</v>
      </c>
      <c r="F51" s="111" t="s">
        <v>402</v>
      </c>
      <c r="G51" s="111" t="s">
        <v>142</v>
      </c>
      <c r="H51" s="111" t="s">
        <v>401</v>
      </c>
      <c r="I51" s="111" t="b">
        <v>0</v>
      </c>
      <c r="J51" s="114" t="s">
        <v>147</v>
      </c>
      <c r="K51" s="112" t="s">
        <v>404</v>
      </c>
      <c r="L51" s="111" t="s">
        <v>403</v>
      </c>
      <c r="M51" s="112">
        <f t="shared" si="8"/>
        <v>21.85</v>
      </c>
      <c r="N51" s="114">
        <f t="shared" si="9"/>
        <v>374</v>
      </c>
      <c r="O51" s="119">
        <f t="shared" si="10"/>
        <v>8171.9000000000005</v>
      </c>
      <c r="P51" s="119">
        <f t="shared" si="11"/>
        <v>7093.2840000000006</v>
      </c>
      <c r="Q51" s="120">
        <f t="shared" si="12"/>
        <v>0.86800915331807782</v>
      </c>
      <c r="R51" s="114" t="str">
        <f t="shared" si="13"/>
        <v>30+%</v>
      </c>
      <c r="S51" s="113">
        <f t="shared" si="14"/>
        <v>1078.616</v>
      </c>
      <c r="T51" s="113">
        <f t="shared" si="15"/>
        <v>2.8839999999999999</v>
      </c>
      <c r="U51" s="114" t="s">
        <v>406</v>
      </c>
      <c r="V51" s="114" t="s">
        <v>161</v>
      </c>
      <c r="W51" s="121"/>
      <c r="X51" s="132">
        <v>28.84</v>
      </c>
      <c r="Z51" s="114">
        <v>0</v>
      </c>
      <c r="AA51" s="114" t="s">
        <v>172</v>
      </c>
      <c r="AB51" s="114">
        <v>10</v>
      </c>
      <c r="AC51" s="114" t="s">
        <v>164</v>
      </c>
      <c r="AD51" s="114" t="s">
        <v>407</v>
      </c>
      <c r="AE51" s="114" t="s">
        <v>3032</v>
      </c>
      <c r="AF51" s="114" t="s">
        <v>119</v>
      </c>
      <c r="AG51" s="114" t="s">
        <v>2897</v>
      </c>
      <c r="AH51" s="114" t="s">
        <v>2851</v>
      </c>
      <c r="AI51" s="114" t="s">
        <v>151</v>
      </c>
      <c r="AJ51" s="132" t="s">
        <v>3125</v>
      </c>
    </row>
    <row r="52" spans="1:36" s="114" customFormat="1" ht="43.5" hidden="1" x14ac:dyDescent="0.35">
      <c r="A52" s="114">
        <v>39</v>
      </c>
      <c r="B52" s="114" t="s">
        <v>418</v>
      </c>
      <c r="F52" s="111" t="s">
        <v>415</v>
      </c>
      <c r="G52" s="111" t="s">
        <v>142</v>
      </c>
      <c r="H52" s="111" t="s">
        <v>414</v>
      </c>
      <c r="I52" s="111" t="b">
        <v>0</v>
      </c>
      <c r="J52" s="114" t="s">
        <v>147</v>
      </c>
      <c r="K52" s="112" t="s">
        <v>417</v>
      </c>
      <c r="L52" s="111" t="s">
        <v>416</v>
      </c>
      <c r="M52" s="112">
        <f t="shared" si="8"/>
        <v>14.31</v>
      </c>
      <c r="N52" s="114">
        <f t="shared" si="9"/>
        <v>552</v>
      </c>
      <c r="O52" s="119">
        <f t="shared" si="10"/>
        <v>7899.12</v>
      </c>
      <c r="P52" s="119">
        <f t="shared" si="11"/>
        <v>-7539.4000000000005</v>
      </c>
      <c r="Q52" s="120">
        <f t="shared" si="12"/>
        <v>-0.95446075005823439</v>
      </c>
      <c r="R52" s="114" t="str">
        <f t="shared" si="13"/>
        <v>Negative</v>
      </c>
      <c r="S52" s="113">
        <f t="shared" si="14"/>
        <v>15438.52</v>
      </c>
      <c r="T52" s="113">
        <f t="shared" si="15"/>
        <v>27.968333333333334</v>
      </c>
      <c r="U52" s="114" t="s">
        <v>419</v>
      </c>
      <c r="V52" s="114" t="s">
        <v>161</v>
      </c>
      <c r="W52" s="121"/>
      <c r="X52" s="132">
        <v>335.62</v>
      </c>
      <c r="Z52" s="114">
        <v>0</v>
      </c>
      <c r="AA52" s="114" t="s">
        <v>172</v>
      </c>
      <c r="AB52" s="114">
        <v>12</v>
      </c>
      <c r="AC52" s="114" t="s">
        <v>357</v>
      </c>
      <c r="AD52" s="114" t="s">
        <v>420</v>
      </c>
      <c r="AE52" s="114" t="s">
        <v>3039</v>
      </c>
      <c r="AF52" s="114" t="s">
        <v>119</v>
      </c>
      <c r="AG52" s="114" t="s">
        <v>2904</v>
      </c>
      <c r="AH52" s="114" t="s">
        <v>2903</v>
      </c>
      <c r="AI52" s="114" t="s">
        <v>151</v>
      </c>
      <c r="AJ52" s="132" t="s">
        <v>3125</v>
      </c>
    </row>
    <row r="53" spans="1:36" s="114" customFormat="1" ht="43.5" hidden="1" x14ac:dyDescent="0.35">
      <c r="A53" s="114">
        <v>40</v>
      </c>
      <c r="B53" s="114" t="s">
        <v>425</v>
      </c>
      <c r="F53" s="111" t="s">
        <v>422</v>
      </c>
      <c r="G53" s="111" t="s">
        <v>142</v>
      </c>
      <c r="H53" s="111" t="s">
        <v>421</v>
      </c>
      <c r="I53" s="111" t="b">
        <v>0</v>
      </c>
      <c r="J53" s="114" t="s">
        <v>147</v>
      </c>
      <c r="K53" s="112" t="s">
        <v>424</v>
      </c>
      <c r="L53" s="111" t="s">
        <v>423</v>
      </c>
      <c r="M53" s="112">
        <f t="shared" si="8"/>
        <v>4.24</v>
      </c>
      <c r="N53" s="114">
        <f t="shared" si="9"/>
        <v>1848</v>
      </c>
      <c r="O53" s="119">
        <f t="shared" si="10"/>
        <v>7835.52</v>
      </c>
      <c r="P53" s="119">
        <f t="shared" si="11"/>
        <v>166.32000000000153</v>
      </c>
      <c r="Q53" s="120">
        <f t="shared" si="12"/>
        <v>2.1226415094339816E-2</v>
      </c>
      <c r="R53" s="114" t="str">
        <f t="shared" si="13"/>
        <v>0-10%</v>
      </c>
      <c r="S53" s="113">
        <f t="shared" si="14"/>
        <v>7669.1999999999989</v>
      </c>
      <c r="T53" s="113">
        <f t="shared" si="15"/>
        <v>4.1499999999999995</v>
      </c>
      <c r="U53" s="114" t="s">
        <v>426</v>
      </c>
      <c r="V53" s="114" t="s">
        <v>150</v>
      </c>
      <c r="W53" s="121"/>
      <c r="X53" s="132">
        <v>4.1499999999999995</v>
      </c>
      <c r="Z53" s="114">
        <v>0</v>
      </c>
      <c r="AA53" s="114" t="s">
        <v>213</v>
      </c>
      <c r="AB53" s="114">
        <v>1</v>
      </c>
      <c r="AC53" s="114" t="s">
        <v>171</v>
      </c>
      <c r="AD53" s="114" t="s">
        <v>426</v>
      </c>
      <c r="AE53" s="114" t="s">
        <v>2966</v>
      </c>
      <c r="AF53" s="114" t="s">
        <v>119</v>
      </c>
      <c r="AG53" s="114" t="s">
        <v>2967</v>
      </c>
      <c r="AH53" s="114" t="s">
        <v>2903</v>
      </c>
      <c r="AI53" s="114" t="s">
        <v>151</v>
      </c>
      <c r="AJ53" s="132" t="s">
        <v>3125</v>
      </c>
    </row>
    <row r="54" spans="1:36" s="114" customFormat="1" ht="43.5" hidden="1" x14ac:dyDescent="0.35">
      <c r="A54" s="114">
        <v>41</v>
      </c>
      <c r="B54" s="114" t="s">
        <v>384</v>
      </c>
      <c r="F54" s="111" t="s">
        <v>429</v>
      </c>
      <c r="G54" s="111" t="s">
        <v>142</v>
      </c>
      <c r="H54" s="111" t="s">
        <v>428</v>
      </c>
      <c r="I54" s="111" t="b">
        <v>0</v>
      </c>
      <c r="J54" s="114" t="s">
        <v>147</v>
      </c>
      <c r="K54" s="112" t="s">
        <v>431</v>
      </c>
      <c r="L54" s="111" t="s">
        <v>430</v>
      </c>
      <c r="M54" s="112">
        <f t="shared" si="8"/>
        <v>6.24</v>
      </c>
      <c r="N54" s="114">
        <f t="shared" si="9"/>
        <v>1236</v>
      </c>
      <c r="O54" s="119">
        <f t="shared" si="10"/>
        <v>7712.64</v>
      </c>
      <c r="P54" s="119">
        <f t="shared" si="11"/>
        <v>-9121.68</v>
      </c>
      <c r="Q54" s="120">
        <f t="shared" si="12"/>
        <v>-1.1826923076923077</v>
      </c>
      <c r="R54" s="114" t="str">
        <f t="shared" si="13"/>
        <v>Negative</v>
      </c>
      <c r="S54" s="113">
        <f t="shared" si="14"/>
        <v>16834.32</v>
      </c>
      <c r="T54" s="113">
        <f t="shared" si="15"/>
        <v>13.62</v>
      </c>
      <c r="U54" s="114" t="s">
        <v>432</v>
      </c>
      <c r="V54" s="114" t="s">
        <v>150</v>
      </c>
      <c r="W54" s="121"/>
      <c r="X54" s="132">
        <v>13.62</v>
      </c>
      <c r="Z54" s="114">
        <v>0</v>
      </c>
      <c r="AA54" s="114" t="s">
        <v>213</v>
      </c>
      <c r="AB54" s="114">
        <v>1</v>
      </c>
      <c r="AC54" s="114" t="s">
        <v>326</v>
      </c>
      <c r="AD54" s="114" t="s">
        <v>433</v>
      </c>
      <c r="AE54" s="114" t="s">
        <v>2910</v>
      </c>
      <c r="AF54" s="114" t="s">
        <v>119</v>
      </c>
      <c r="AG54" s="114" t="s">
        <v>2904</v>
      </c>
      <c r="AH54" s="114" t="s">
        <v>2903</v>
      </c>
      <c r="AI54" s="114" t="s">
        <v>151</v>
      </c>
      <c r="AJ54" s="132" t="s">
        <v>3125</v>
      </c>
    </row>
    <row r="55" spans="1:36" s="114" customFormat="1" ht="43.5" hidden="1" x14ac:dyDescent="0.35">
      <c r="A55" s="114">
        <v>43</v>
      </c>
      <c r="B55" s="114" t="s">
        <v>445</v>
      </c>
      <c r="F55" s="111" t="s">
        <v>442</v>
      </c>
      <c r="G55" s="111" t="s">
        <v>142</v>
      </c>
      <c r="H55" s="111" t="s">
        <v>441</v>
      </c>
      <c r="I55" s="111" t="b">
        <v>0</v>
      </c>
      <c r="J55" s="114" t="s">
        <v>147</v>
      </c>
      <c r="K55" s="112" t="s">
        <v>444</v>
      </c>
      <c r="L55" s="111" t="s">
        <v>443</v>
      </c>
      <c r="M55" s="112">
        <f t="shared" si="8"/>
        <v>6.2</v>
      </c>
      <c r="N55" s="114">
        <f t="shared" si="9"/>
        <v>1200</v>
      </c>
      <c r="O55" s="119">
        <f t="shared" si="10"/>
        <v>7440</v>
      </c>
      <c r="P55" s="119">
        <f t="shared" si="11"/>
        <v>-13260</v>
      </c>
      <c r="Q55" s="120">
        <f t="shared" si="12"/>
        <v>-1.782258064516129</v>
      </c>
      <c r="R55" s="114" t="str">
        <f t="shared" si="13"/>
        <v>Negative</v>
      </c>
      <c r="S55" s="113">
        <f t="shared" si="14"/>
        <v>20700</v>
      </c>
      <c r="T55" s="113">
        <f t="shared" si="15"/>
        <v>17.25</v>
      </c>
      <c r="U55" s="114" t="s">
        <v>446</v>
      </c>
      <c r="V55" s="114" t="s">
        <v>150</v>
      </c>
      <c r="W55" s="121"/>
      <c r="X55" s="132">
        <v>17.25</v>
      </c>
      <c r="Z55" s="114">
        <v>0</v>
      </c>
      <c r="AA55" s="114" t="s">
        <v>154</v>
      </c>
      <c r="AB55" s="114">
        <v>1</v>
      </c>
      <c r="AC55" s="114" t="s">
        <v>448</v>
      </c>
      <c r="AD55" s="114" t="s">
        <v>447</v>
      </c>
      <c r="AE55" s="114" t="s">
        <v>2935</v>
      </c>
      <c r="AF55" s="114" t="s">
        <v>119</v>
      </c>
      <c r="AG55" s="114" t="s">
        <v>2863</v>
      </c>
      <c r="AH55" s="114" t="s">
        <v>2862</v>
      </c>
      <c r="AI55" s="114" t="s">
        <v>151</v>
      </c>
      <c r="AJ55" s="132" t="s">
        <v>3125</v>
      </c>
    </row>
    <row r="56" spans="1:36" s="114" customFormat="1" ht="43.5" hidden="1" x14ac:dyDescent="0.35">
      <c r="A56" s="114">
        <v>44</v>
      </c>
      <c r="B56" s="114" t="s">
        <v>453</v>
      </c>
      <c r="F56" s="111" t="s">
        <v>450</v>
      </c>
      <c r="G56" s="111" t="s">
        <v>142</v>
      </c>
      <c r="H56" s="111" t="s">
        <v>449</v>
      </c>
      <c r="I56" s="111" t="b">
        <v>0</v>
      </c>
      <c r="J56" s="114" t="s">
        <v>147</v>
      </c>
      <c r="K56" s="112" t="s">
        <v>452</v>
      </c>
      <c r="L56" s="111" t="s">
        <v>451</v>
      </c>
      <c r="M56" s="112">
        <f t="shared" si="8"/>
        <v>204</v>
      </c>
      <c r="N56" s="114">
        <f t="shared" si="9"/>
        <v>36</v>
      </c>
      <c r="O56" s="119">
        <f t="shared" si="10"/>
        <v>7344</v>
      </c>
      <c r="P56" s="119">
        <f t="shared" si="11"/>
        <v>-3098.16</v>
      </c>
      <c r="Q56" s="120">
        <f t="shared" si="12"/>
        <v>-0.42186274509803917</v>
      </c>
      <c r="R56" s="114" t="str">
        <f t="shared" si="13"/>
        <v>Negative</v>
      </c>
      <c r="S56" s="113">
        <f t="shared" si="14"/>
        <v>10442.16</v>
      </c>
      <c r="T56" s="113">
        <f t="shared" si="15"/>
        <v>290.06</v>
      </c>
      <c r="U56" s="114" t="s">
        <v>454</v>
      </c>
      <c r="V56" s="114" t="s">
        <v>161</v>
      </c>
      <c r="W56" s="121"/>
      <c r="X56" s="132">
        <v>290.06</v>
      </c>
      <c r="Z56" s="114">
        <v>0</v>
      </c>
      <c r="AA56" s="114" t="s">
        <v>154</v>
      </c>
      <c r="AB56" s="114">
        <v>1</v>
      </c>
      <c r="AC56" s="114" t="s">
        <v>341</v>
      </c>
      <c r="AD56" s="114">
        <v>3100523</v>
      </c>
      <c r="AE56" s="114" t="s">
        <v>3048</v>
      </c>
      <c r="AF56" s="114" t="s">
        <v>119</v>
      </c>
      <c r="AG56" s="114" t="s">
        <v>3050</v>
      </c>
      <c r="AH56" s="114" t="s">
        <v>3049</v>
      </c>
      <c r="AI56" s="114" t="s">
        <v>151</v>
      </c>
      <c r="AJ56" s="132" t="s">
        <v>3125</v>
      </c>
    </row>
    <row r="57" spans="1:36" s="114" customFormat="1" ht="43.5" hidden="1" x14ac:dyDescent="0.35">
      <c r="A57" s="114">
        <v>45</v>
      </c>
      <c r="B57" s="114" t="s">
        <v>458</v>
      </c>
      <c r="F57" s="111" t="s">
        <v>456</v>
      </c>
      <c r="G57" s="111" t="s">
        <v>142</v>
      </c>
      <c r="H57" s="111" t="s">
        <v>455</v>
      </c>
      <c r="I57" s="111" t="b">
        <v>0</v>
      </c>
      <c r="J57" s="114" t="s">
        <v>147</v>
      </c>
      <c r="K57" s="112" t="s">
        <v>457</v>
      </c>
      <c r="L57" s="111" t="s">
        <v>285</v>
      </c>
      <c r="M57" s="112">
        <f t="shared" si="8"/>
        <v>18.95</v>
      </c>
      <c r="N57" s="114">
        <f t="shared" si="9"/>
        <v>384</v>
      </c>
      <c r="O57" s="119">
        <f t="shared" si="10"/>
        <v>7276.7999999999993</v>
      </c>
      <c r="P57" s="119">
        <f t="shared" si="11"/>
        <v>-1900.7999999999993</v>
      </c>
      <c r="Q57" s="120">
        <f t="shared" si="12"/>
        <v>-0.2612137203166226</v>
      </c>
      <c r="R57" s="114" t="str">
        <f t="shared" si="13"/>
        <v>Negative</v>
      </c>
      <c r="S57" s="113">
        <f t="shared" si="14"/>
        <v>9177.5999999999985</v>
      </c>
      <c r="T57" s="113">
        <f t="shared" si="15"/>
        <v>23.9</v>
      </c>
      <c r="U57" s="114" t="s">
        <v>459</v>
      </c>
      <c r="V57" s="114" t="s">
        <v>161</v>
      </c>
      <c r="W57" s="121"/>
      <c r="X57" s="132">
        <v>23.9</v>
      </c>
      <c r="Z57" s="114">
        <v>0</v>
      </c>
      <c r="AA57" s="114" t="s">
        <v>213</v>
      </c>
      <c r="AB57" s="114">
        <v>1</v>
      </c>
      <c r="AC57" s="114" t="s">
        <v>375</v>
      </c>
      <c r="AD57" s="114" t="s">
        <v>374</v>
      </c>
      <c r="AE57" s="114" t="s">
        <v>2908</v>
      </c>
      <c r="AF57" s="114" t="s">
        <v>119</v>
      </c>
      <c r="AG57" s="114" t="s">
        <v>2904</v>
      </c>
      <c r="AH57" s="114" t="s">
        <v>2903</v>
      </c>
      <c r="AI57" s="114" t="s">
        <v>3130</v>
      </c>
      <c r="AJ57" s="132" t="s">
        <v>3125</v>
      </c>
    </row>
    <row r="58" spans="1:36" s="114" customFormat="1" ht="43.5" hidden="1" x14ac:dyDescent="0.35">
      <c r="A58" s="114">
        <v>47</v>
      </c>
      <c r="B58" s="114" t="s">
        <v>471</v>
      </c>
      <c r="F58" s="111" t="s">
        <v>468</v>
      </c>
      <c r="G58" s="111" t="s">
        <v>142</v>
      </c>
      <c r="H58" s="111" t="s">
        <v>467</v>
      </c>
      <c r="I58" s="111" t="b">
        <v>0</v>
      </c>
      <c r="J58" s="114" t="s">
        <v>147</v>
      </c>
      <c r="K58" s="112" t="s">
        <v>470</v>
      </c>
      <c r="L58" s="111" t="s">
        <v>469</v>
      </c>
      <c r="M58" s="112">
        <f t="shared" si="8"/>
        <v>19</v>
      </c>
      <c r="N58" s="114">
        <f t="shared" si="9"/>
        <v>360</v>
      </c>
      <c r="O58" s="119">
        <f t="shared" si="10"/>
        <v>6840</v>
      </c>
      <c r="P58" s="119">
        <f t="shared" si="11"/>
        <v>-1764</v>
      </c>
      <c r="Q58" s="120">
        <f t="shared" si="12"/>
        <v>-0.25789473684210529</v>
      </c>
      <c r="R58" s="114" t="str">
        <f t="shared" si="13"/>
        <v>Negative</v>
      </c>
      <c r="S58" s="113">
        <f t="shared" si="14"/>
        <v>8604</v>
      </c>
      <c r="T58" s="113">
        <f t="shared" si="15"/>
        <v>23.9</v>
      </c>
      <c r="U58" s="114" t="s">
        <v>472</v>
      </c>
      <c r="V58" s="114" t="s">
        <v>161</v>
      </c>
      <c r="W58" s="121"/>
      <c r="X58" s="132">
        <v>23.9</v>
      </c>
      <c r="Z58" s="114">
        <v>0</v>
      </c>
      <c r="AA58" s="114" t="s">
        <v>213</v>
      </c>
      <c r="AB58" s="114">
        <v>1</v>
      </c>
      <c r="AC58" s="114" t="s">
        <v>375</v>
      </c>
      <c r="AD58" s="114" t="s">
        <v>374</v>
      </c>
      <c r="AE58" s="114" t="s">
        <v>2902</v>
      </c>
      <c r="AF58" s="114" t="s">
        <v>119</v>
      </c>
      <c r="AG58" s="114" t="s">
        <v>2904</v>
      </c>
      <c r="AH58" s="114" t="s">
        <v>2903</v>
      </c>
      <c r="AI58" s="114" t="s">
        <v>3130</v>
      </c>
      <c r="AJ58" s="132" t="s">
        <v>3125</v>
      </c>
    </row>
    <row r="59" spans="1:36" s="114" customFormat="1" ht="43.5" hidden="1" x14ac:dyDescent="0.35">
      <c r="A59" s="114">
        <v>48</v>
      </c>
      <c r="B59" s="114" t="s">
        <v>477</v>
      </c>
      <c r="F59" s="111" t="s">
        <v>474</v>
      </c>
      <c r="G59" s="111" t="s">
        <v>142</v>
      </c>
      <c r="H59" s="111" t="s">
        <v>473</v>
      </c>
      <c r="I59" s="111" t="b">
        <v>0</v>
      </c>
      <c r="J59" s="114" t="s">
        <v>147</v>
      </c>
      <c r="K59" s="112" t="s">
        <v>476</v>
      </c>
      <c r="L59" s="111" t="s">
        <v>475</v>
      </c>
      <c r="M59" s="112">
        <f t="shared" si="8"/>
        <v>17.8</v>
      </c>
      <c r="N59" s="114">
        <f t="shared" si="9"/>
        <v>366</v>
      </c>
      <c r="O59" s="119">
        <f t="shared" si="10"/>
        <v>6514.8</v>
      </c>
      <c r="P59" s="119">
        <f t="shared" si="11"/>
        <v>-7579.86</v>
      </c>
      <c r="Q59" s="120">
        <f t="shared" si="12"/>
        <v>-1.1634831460674155</v>
      </c>
      <c r="R59" s="114" t="str">
        <f t="shared" si="13"/>
        <v>Negative</v>
      </c>
      <c r="S59" s="113">
        <f t="shared" si="14"/>
        <v>14094.66</v>
      </c>
      <c r="T59" s="113">
        <f t="shared" si="15"/>
        <v>38.51</v>
      </c>
      <c r="U59" s="114" t="s">
        <v>478</v>
      </c>
      <c r="V59" s="114" t="s">
        <v>150</v>
      </c>
      <c r="W59" s="121"/>
      <c r="X59" s="132">
        <v>38.51</v>
      </c>
      <c r="Z59" s="114">
        <v>0</v>
      </c>
      <c r="AA59" s="114" t="s">
        <v>213</v>
      </c>
      <c r="AB59" s="114">
        <v>1</v>
      </c>
      <c r="AC59" s="114" t="s">
        <v>334</v>
      </c>
      <c r="AD59" s="114" t="s">
        <v>479</v>
      </c>
      <c r="AE59" s="114" t="s">
        <v>3075</v>
      </c>
      <c r="AF59" s="114" t="s">
        <v>119</v>
      </c>
      <c r="AG59" s="114" t="s">
        <v>2972</v>
      </c>
      <c r="AH59" s="114" t="s">
        <v>2903</v>
      </c>
      <c r="AI59" s="114" t="s">
        <v>151</v>
      </c>
      <c r="AJ59" s="132" t="s">
        <v>3125</v>
      </c>
    </row>
    <row r="60" spans="1:36" s="114" customFormat="1" ht="43.5" hidden="1" x14ac:dyDescent="0.35">
      <c r="A60" s="114">
        <v>51</v>
      </c>
      <c r="B60" s="114" t="s">
        <v>493</v>
      </c>
      <c r="F60" s="111" t="s">
        <v>490</v>
      </c>
      <c r="G60" s="111" t="s">
        <v>142</v>
      </c>
      <c r="H60" s="111" t="s">
        <v>489</v>
      </c>
      <c r="I60" s="111" t="b">
        <v>0</v>
      </c>
      <c r="J60" s="114" t="s">
        <v>147</v>
      </c>
      <c r="K60" s="112" t="s">
        <v>492</v>
      </c>
      <c r="L60" s="111" t="s">
        <v>491</v>
      </c>
      <c r="M60" s="112">
        <f t="shared" si="8"/>
        <v>4.46</v>
      </c>
      <c r="N60" s="114">
        <f t="shared" si="9"/>
        <v>1338</v>
      </c>
      <c r="O60" s="119">
        <f t="shared" si="10"/>
        <v>5967.48</v>
      </c>
      <c r="P60" s="119">
        <f t="shared" si="11"/>
        <v>-10342.74</v>
      </c>
      <c r="Q60" s="120">
        <f t="shared" si="12"/>
        <v>-1.7331838565022422</v>
      </c>
      <c r="R60" s="114" t="str">
        <f t="shared" si="13"/>
        <v>Negative</v>
      </c>
      <c r="S60" s="113">
        <f t="shared" si="14"/>
        <v>16310.22</v>
      </c>
      <c r="T60" s="113">
        <f t="shared" si="15"/>
        <v>12.19</v>
      </c>
      <c r="U60" s="114" t="s">
        <v>494</v>
      </c>
      <c r="V60" s="114" t="s">
        <v>150</v>
      </c>
      <c r="W60" s="121"/>
      <c r="X60" s="132">
        <v>12.19</v>
      </c>
      <c r="Z60" s="114">
        <v>0</v>
      </c>
      <c r="AA60" s="114" t="s">
        <v>154</v>
      </c>
      <c r="AB60" s="114">
        <v>1</v>
      </c>
      <c r="AC60" s="114" t="s">
        <v>496</v>
      </c>
      <c r="AD60" s="114" t="s">
        <v>495</v>
      </c>
      <c r="AE60" s="114" t="s">
        <v>3086</v>
      </c>
      <c r="AF60" s="114" t="s">
        <v>119</v>
      </c>
      <c r="AG60" s="114" t="s">
        <v>3088</v>
      </c>
      <c r="AH60" s="114" t="s">
        <v>3087</v>
      </c>
      <c r="AI60" s="114" t="s">
        <v>151</v>
      </c>
      <c r="AJ60" s="132" t="s">
        <v>3125</v>
      </c>
    </row>
    <row r="61" spans="1:36" s="114" customFormat="1" ht="58" hidden="1" x14ac:dyDescent="0.35">
      <c r="A61" s="114">
        <v>52</v>
      </c>
      <c r="B61" s="114" t="s">
        <v>475</v>
      </c>
      <c r="F61" s="111" t="s">
        <v>498</v>
      </c>
      <c r="G61" s="111" t="s">
        <v>142</v>
      </c>
      <c r="H61" s="111" t="s">
        <v>497</v>
      </c>
      <c r="I61" s="111" t="b">
        <v>0</v>
      </c>
      <c r="J61" s="114" t="s">
        <v>147</v>
      </c>
      <c r="K61" s="112" t="s">
        <v>499</v>
      </c>
      <c r="L61" s="111" t="s">
        <v>294</v>
      </c>
      <c r="M61" s="112">
        <f t="shared" si="8"/>
        <v>11.1</v>
      </c>
      <c r="N61" s="114">
        <f t="shared" si="9"/>
        <v>511</v>
      </c>
      <c r="O61" s="119">
        <f t="shared" si="10"/>
        <v>5672.0999999999995</v>
      </c>
      <c r="P61" s="119">
        <f t="shared" si="11"/>
        <v>-1027.1100000000006</v>
      </c>
      <c r="Q61" s="120">
        <f t="shared" si="12"/>
        <v>-0.1810810810810812</v>
      </c>
      <c r="R61" s="114" t="str">
        <f t="shared" si="13"/>
        <v>Negative</v>
      </c>
      <c r="S61" s="113">
        <f t="shared" si="14"/>
        <v>6699.21</v>
      </c>
      <c r="T61" s="113">
        <f t="shared" si="15"/>
        <v>13.11</v>
      </c>
      <c r="U61" s="114" t="s">
        <v>500</v>
      </c>
      <c r="V61" s="114" t="s">
        <v>161</v>
      </c>
      <c r="W61" s="121"/>
      <c r="X61" s="132">
        <v>13.11</v>
      </c>
      <c r="Z61" s="114">
        <v>0</v>
      </c>
      <c r="AA61" s="114" t="s">
        <v>154</v>
      </c>
      <c r="AB61" s="114">
        <v>1</v>
      </c>
      <c r="AC61" s="114" t="s">
        <v>502</v>
      </c>
      <c r="AD61" s="114" t="s">
        <v>501</v>
      </c>
      <c r="AE61" s="114" t="s">
        <v>2927</v>
      </c>
      <c r="AF61" s="114" t="s">
        <v>119</v>
      </c>
      <c r="AG61" s="114" t="s">
        <v>2874</v>
      </c>
      <c r="AH61" s="114" t="s">
        <v>2873</v>
      </c>
      <c r="AI61" s="114" t="s">
        <v>3130</v>
      </c>
      <c r="AJ61" s="132" t="s">
        <v>3125</v>
      </c>
    </row>
    <row r="62" spans="1:36" s="114" customFormat="1" ht="43.5" hidden="1" x14ac:dyDescent="0.35">
      <c r="A62" s="114">
        <v>54</v>
      </c>
      <c r="B62" s="114" t="s">
        <v>514</v>
      </c>
      <c r="F62" s="111" t="s">
        <v>512</v>
      </c>
      <c r="G62" s="111" t="s">
        <v>142</v>
      </c>
      <c r="H62" s="111" t="s">
        <v>511</v>
      </c>
      <c r="I62" s="111" t="b">
        <v>0</v>
      </c>
      <c r="J62" s="114" t="s">
        <v>147</v>
      </c>
      <c r="K62" s="112" t="s">
        <v>513</v>
      </c>
      <c r="L62" s="111" t="s">
        <v>371</v>
      </c>
      <c r="M62" s="112">
        <f t="shared" si="8"/>
        <v>10.47</v>
      </c>
      <c r="N62" s="114">
        <f t="shared" si="9"/>
        <v>504</v>
      </c>
      <c r="O62" s="119">
        <f t="shared" si="10"/>
        <v>5276.88</v>
      </c>
      <c r="P62" s="119">
        <f t="shared" si="11"/>
        <v>-2857.6800000000003</v>
      </c>
      <c r="Q62" s="120">
        <f t="shared" si="12"/>
        <v>-0.54154727793696278</v>
      </c>
      <c r="R62" s="114" t="str">
        <f t="shared" si="13"/>
        <v>Negative</v>
      </c>
      <c r="S62" s="113">
        <f t="shared" si="14"/>
        <v>8134.56</v>
      </c>
      <c r="T62" s="113">
        <f t="shared" si="15"/>
        <v>16.14</v>
      </c>
      <c r="U62" s="114" t="s">
        <v>515</v>
      </c>
      <c r="V62" s="114" t="s">
        <v>161</v>
      </c>
      <c r="W62" s="121"/>
      <c r="X62" s="132">
        <v>16.14</v>
      </c>
      <c r="Z62" s="114">
        <v>0</v>
      </c>
      <c r="AA62" s="114" t="s">
        <v>154</v>
      </c>
      <c r="AB62" s="114">
        <v>1</v>
      </c>
      <c r="AC62" s="114" t="s">
        <v>448</v>
      </c>
      <c r="AD62" s="114" t="s">
        <v>516</v>
      </c>
      <c r="AE62" s="114" t="s">
        <v>2936</v>
      </c>
      <c r="AF62" s="114" t="s">
        <v>119</v>
      </c>
      <c r="AG62" s="114" t="s">
        <v>2863</v>
      </c>
      <c r="AH62" s="114" t="s">
        <v>2862</v>
      </c>
      <c r="AI62" s="114" t="s">
        <v>151</v>
      </c>
      <c r="AJ62" s="132" t="s">
        <v>3125</v>
      </c>
    </row>
    <row r="63" spans="1:36" s="114" customFormat="1" ht="29" hidden="1" x14ac:dyDescent="0.35">
      <c r="A63" s="114">
        <v>56</v>
      </c>
      <c r="B63" s="114" t="s">
        <v>529</v>
      </c>
      <c r="F63" s="111" t="s">
        <v>526</v>
      </c>
      <c r="G63" s="111" t="s">
        <v>142</v>
      </c>
      <c r="H63" s="111" t="s">
        <v>525</v>
      </c>
      <c r="I63" s="111" t="b">
        <v>0</v>
      </c>
      <c r="J63" s="114" t="s">
        <v>147</v>
      </c>
      <c r="K63" s="112" t="s">
        <v>528</v>
      </c>
      <c r="L63" s="111" t="s">
        <v>527</v>
      </c>
      <c r="M63" s="112">
        <f t="shared" si="8"/>
        <v>1646.34</v>
      </c>
      <c r="N63" s="114">
        <f t="shared" si="9"/>
        <v>3</v>
      </c>
      <c r="O63" s="119">
        <f t="shared" si="10"/>
        <v>4939.0199999999995</v>
      </c>
      <c r="P63" s="119">
        <f t="shared" si="11"/>
        <v>-1005.4500000000007</v>
      </c>
      <c r="Q63" s="120">
        <f t="shared" si="12"/>
        <v>-0.20357277354616923</v>
      </c>
      <c r="R63" s="114" t="str">
        <f t="shared" si="13"/>
        <v>Negative</v>
      </c>
      <c r="S63" s="113">
        <f t="shared" si="14"/>
        <v>5944.47</v>
      </c>
      <c r="T63" s="113">
        <f t="shared" si="15"/>
        <v>1981.49</v>
      </c>
      <c r="U63" s="114" t="s">
        <v>530</v>
      </c>
      <c r="V63" s="114" t="s">
        <v>150</v>
      </c>
      <c r="W63" s="121"/>
      <c r="X63" s="132">
        <v>1981.49</v>
      </c>
      <c r="Z63" s="114">
        <v>0</v>
      </c>
      <c r="AA63" s="114" t="s">
        <v>154</v>
      </c>
      <c r="AB63" s="114">
        <v>1</v>
      </c>
      <c r="AC63" s="114" t="s">
        <v>531</v>
      </c>
      <c r="AD63" s="114">
        <v>23006</v>
      </c>
      <c r="AE63" s="114" t="s">
        <v>3083</v>
      </c>
      <c r="AF63" s="114" t="s">
        <v>119</v>
      </c>
      <c r="AG63" s="114" t="s">
        <v>3047</v>
      </c>
      <c r="AH63" s="114" t="s">
        <v>3046</v>
      </c>
      <c r="AI63" s="114" t="s">
        <v>151</v>
      </c>
      <c r="AJ63" s="132" t="s">
        <v>3125</v>
      </c>
    </row>
    <row r="64" spans="1:36" s="114" customFormat="1" ht="43.5" hidden="1" x14ac:dyDescent="0.35">
      <c r="A64" s="114">
        <v>57</v>
      </c>
      <c r="B64" s="114" t="s">
        <v>536</v>
      </c>
      <c r="F64" s="111" t="s">
        <v>533</v>
      </c>
      <c r="G64" s="111" t="s">
        <v>142</v>
      </c>
      <c r="H64" s="111" t="s">
        <v>532</v>
      </c>
      <c r="I64" s="111" t="b">
        <v>0</v>
      </c>
      <c r="J64" s="114" t="s">
        <v>147</v>
      </c>
      <c r="K64" s="112" t="s">
        <v>535</v>
      </c>
      <c r="L64" s="111" t="s">
        <v>534</v>
      </c>
      <c r="M64" s="112">
        <f t="shared" si="8"/>
        <v>14.65</v>
      </c>
      <c r="N64" s="114">
        <f t="shared" si="9"/>
        <v>336</v>
      </c>
      <c r="O64" s="119">
        <f t="shared" si="10"/>
        <v>4922.4000000000005</v>
      </c>
      <c r="P64" s="119">
        <f t="shared" si="11"/>
        <v>-5493.5999999999995</v>
      </c>
      <c r="Q64" s="120">
        <f t="shared" si="12"/>
        <v>-1.116040955631399</v>
      </c>
      <c r="R64" s="114" t="str">
        <f t="shared" si="13"/>
        <v>Negative</v>
      </c>
      <c r="S64" s="113">
        <f t="shared" si="14"/>
        <v>10416</v>
      </c>
      <c r="T64" s="113">
        <f t="shared" si="15"/>
        <v>31</v>
      </c>
      <c r="U64" s="114" t="s">
        <v>537</v>
      </c>
      <c r="V64" s="114" t="s">
        <v>161</v>
      </c>
      <c r="W64" s="121"/>
      <c r="X64" s="132">
        <v>31</v>
      </c>
      <c r="Z64" s="114">
        <v>0</v>
      </c>
      <c r="AA64" s="114" t="s">
        <v>213</v>
      </c>
      <c r="AB64" s="114">
        <v>1</v>
      </c>
      <c r="AC64" s="114" t="s">
        <v>375</v>
      </c>
      <c r="AD64" s="114" t="s">
        <v>538</v>
      </c>
      <c r="AE64" s="114" t="s">
        <v>2909</v>
      </c>
      <c r="AF64" s="114" t="s">
        <v>119</v>
      </c>
      <c r="AG64" s="114" t="s">
        <v>2904</v>
      </c>
      <c r="AH64" s="114" t="s">
        <v>2903</v>
      </c>
      <c r="AI64" s="114" t="s">
        <v>151</v>
      </c>
      <c r="AJ64" s="132" t="s">
        <v>3125</v>
      </c>
    </row>
    <row r="65" spans="1:36" s="114" customFormat="1" ht="43.5" hidden="1" x14ac:dyDescent="0.35">
      <c r="A65" s="114">
        <v>59</v>
      </c>
      <c r="B65" s="114" t="s">
        <v>147</v>
      </c>
      <c r="F65" s="111" t="s">
        <v>544</v>
      </c>
      <c r="G65" s="111" t="s">
        <v>142</v>
      </c>
      <c r="H65" s="111" t="s">
        <v>543</v>
      </c>
      <c r="I65" s="111" t="b">
        <v>0</v>
      </c>
      <c r="J65" s="114" t="s">
        <v>147</v>
      </c>
      <c r="K65" s="112" t="s">
        <v>546</v>
      </c>
      <c r="L65" s="111" t="s">
        <v>545</v>
      </c>
      <c r="M65" s="112">
        <f t="shared" si="8"/>
        <v>469.02</v>
      </c>
      <c r="N65" s="114">
        <f t="shared" si="9"/>
        <v>10</v>
      </c>
      <c r="O65" s="119">
        <f t="shared" si="10"/>
        <v>4690.2</v>
      </c>
      <c r="P65" s="119">
        <f t="shared" si="11"/>
        <v>-5507.5999999999995</v>
      </c>
      <c r="Q65" s="120">
        <f t="shared" si="12"/>
        <v>-1.1742782823760181</v>
      </c>
      <c r="R65" s="114" t="str">
        <f t="shared" si="13"/>
        <v>Negative</v>
      </c>
      <c r="S65" s="113">
        <f t="shared" si="14"/>
        <v>10197.799999999999</v>
      </c>
      <c r="T65" s="113">
        <f t="shared" si="15"/>
        <v>1019.78</v>
      </c>
      <c r="U65" s="114" t="s">
        <v>547</v>
      </c>
      <c r="V65" s="114" t="s">
        <v>161</v>
      </c>
      <c r="W65" s="121"/>
      <c r="X65" s="132">
        <v>1019.78</v>
      </c>
      <c r="Z65" s="114">
        <v>0</v>
      </c>
      <c r="AA65" s="114" t="s">
        <v>154</v>
      </c>
      <c r="AB65" s="114">
        <v>1</v>
      </c>
      <c r="AC65" s="114" t="s">
        <v>200</v>
      </c>
      <c r="AD65" s="114" t="s">
        <v>2893</v>
      </c>
      <c r="AE65" s="114" t="s">
        <v>2894</v>
      </c>
      <c r="AF65" s="114" t="s">
        <v>122</v>
      </c>
      <c r="AG65" s="114" t="s">
        <v>2877</v>
      </c>
      <c r="AH65" s="114" t="s">
        <v>2856</v>
      </c>
      <c r="AI65" s="114" t="s">
        <v>151</v>
      </c>
      <c r="AJ65" s="132" t="s">
        <v>3125</v>
      </c>
    </row>
    <row r="66" spans="1:36" s="114" customFormat="1" ht="43.5" hidden="1" x14ac:dyDescent="0.35">
      <c r="A66" s="114">
        <v>60</v>
      </c>
      <c r="B66" s="114" t="s">
        <v>551</v>
      </c>
      <c r="F66" s="111" t="s">
        <v>549</v>
      </c>
      <c r="G66" s="111" t="s">
        <v>142</v>
      </c>
      <c r="H66" s="111" t="s">
        <v>548</v>
      </c>
      <c r="I66" s="111" t="b">
        <v>0</v>
      </c>
      <c r="J66" s="114" t="s">
        <v>147</v>
      </c>
      <c r="K66" s="112" t="s">
        <v>550</v>
      </c>
      <c r="L66" s="111" t="s">
        <v>545</v>
      </c>
      <c r="M66" s="112">
        <f t="shared" ref="M66:M72" si="16">IFERROR(IF(A66="","",K66/J66)," ")</f>
        <v>467.55</v>
      </c>
      <c r="N66" s="114">
        <f t="shared" ref="N66:N72" si="17">IFERROR(IF(A66="","",J66*L66)," ")</f>
        <v>10</v>
      </c>
      <c r="O66" s="119">
        <f t="shared" ref="O66:O72" si="18">IFERROR(M66*N66," ")</f>
        <v>4675.5</v>
      </c>
      <c r="P66" s="119">
        <f t="shared" ref="P66:P72" si="19">IFERROR(IF(A66="","",O66-S66)," ")</f>
        <v>4638.7</v>
      </c>
      <c r="Q66" s="120">
        <f t="shared" ref="Q66:Q72" si="20">IFERROR(IF(A66="","",P66/O66)," ")</f>
        <v>0.99212918404448713</v>
      </c>
      <c r="R66" s="114" t="str">
        <f t="shared" ref="R66:R72" si="21">IFERROR(IF(A66="","",(IF(Q66&lt;0,"Negative",IF(Q66=0,"Same",IF(Q66&gt;0.3,"30+%",IF(Q66&gt;0.2,"20-30%",IF(Q66&gt;0.1,"10-20%",IF(Q66&lt;=0.1,"0-10%"))))))))," ")</f>
        <v>30+%</v>
      </c>
      <c r="S66" s="113">
        <f t="shared" ref="S66:S72" si="22">IFERROR(IF(A66="","",T66*N66)," ")</f>
        <v>36.800000000000004</v>
      </c>
      <c r="T66" s="113">
        <f t="shared" ref="T66:T72" si="23">IFERROR(IF(A66="","",X66/AB66)," ")</f>
        <v>3.68</v>
      </c>
      <c r="U66" s="114" t="s">
        <v>552</v>
      </c>
      <c r="V66" s="114" t="s">
        <v>150</v>
      </c>
      <c r="W66" s="121"/>
      <c r="X66" s="132">
        <v>7.36</v>
      </c>
      <c r="Z66" s="114">
        <v>0</v>
      </c>
      <c r="AA66" s="114" t="s">
        <v>172</v>
      </c>
      <c r="AB66" s="114">
        <v>2</v>
      </c>
      <c r="AC66" s="114" t="s">
        <v>193</v>
      </c>
      <c r="AD66" s="114">
        <v>2071</v>
      </c>
      <c r="AE66" s="114" t="s">
        <v>2878</v>
      </c>
      <c r="AF66" s="114" t="s">
        <v>119</v>
      </c>
      <c r="AG66" s="114" t="s">
        <v>2879</v>
      </c>
      <c r="AH66" s="114" t="s">
        <v>2851</v>
      </c>
      <c r="AI66" s="114" t="s">
        <v>151</v>
      </c>
      <c r="AJ66" s="132" t="s">
        <v>3125</v>
      </c>
    </row>
    <row r="67" spans="1:36" s="114" customFormat="1" ht="29" hidden="1" x14ac:dyDescent="0.35">
      <c r="A67" s="114">
        <v>62</v>
      </c>
      <c r="B67" s="114" t="s">
        <v>565</v>
      </c>
      <c r="F67" s="111" t="s">
        <v>562</v>
      </c>
      <c r="G67" s="111" t="s">
        <v>142</v>
      </c>
      <c r="H67" s="111" t="s">
        <v>561</v>
      </c>
      <c r="I67" s="111" t="b">
        <v>0</v>
      </c>
      <c r="J67" s="114" t="s">
        <v>147</v>
      </c>
      <c r="K67" s="112" t="s">
        <v>564</v>
      </c>
      <c r="L67" s="111" t="s">
        <v>563</v>
      </c>
      <c r="M67" s="112">
        <f t="shared" si="16"/>
        <v>7.63</v>
      </c>
      <c r="N67" s="114">
        <f t="shared" si="17"/>
        <v>555</v>
      </c>
      <c r="O67" s="119">
        <f t="shared" si="18"/>
        <v>4234.6499999999996</v>
      </c>
      <c r="P67" s="119">
        <f t="shared" si="19"/>
        <v>-5011.6499999999996</v>
      </c>
      <c r="Q67" s="120">
        <f t="shared" si="20"/>
        <v>-1.1834862385321101</v>
      </c>
      <c r="R67" s="114" t="str">
        <f t="shared" si="21"/>
        <v>Negative</v>
      </c>
      <c r="S67" s="113">
        <f t="shared" si="22"/>
        <v>9246.2999999999993</v>
      </c>
      <c r="T67" s="113">
        <f t="shared" si="23"/>
        <v>16.66</v>
      </c>
      <c r="U67" s="114" t="s">
        <v>566</v>
      </c>
      <c r="V67" s="114" t="s">
        <v>150</v>
      </c>
      <c r="W67" s="121"/>
      <c r="X67" s="132">
        <v>16.66</v>
      </c>
      <c r="Z67" s="114">
        <v>0</v>
      </c>
      <c r="AA67" s="114" t="s">
        <v>154</v>
      </c>
      <c r="AB67" s="114">
        <v>1</v>
      </c>
      <c r="AC67" s="114" t="s">
        <v>171</v>
      </c>
      <c r="AD67" s="114" t="s">
        <v>566</v>
      </c>
      <c r="AE67" s="114" t="s">
        <v>2976</v>
      </c>
      <c r="AF67" s="114" t="s">
        <v>119</v>
      </c>
      <c r="AG67" s="114" t="s">
        <v>2977</v>
      </c>
      <c r="AH67" s="114" t="s">
        <v>2862</v>
      </c>
      <c r="AI67" s="114" t="s">
        <v>151</v>
      </c>
      <c r="AJ67" s="132" t="s">
        <v>3125</v>
      </c>
    </row>
    <row r="68" spans="1:36" s="114" customFormat="1" ht="43.5" hidden="1" x14ac:dyDescent="0.35">
      <c r="A68" s="114">
        <v>63</v>
      </c>
      <c r="B68" s="114" t="s">
        <v>570</v>
      </c>
      <c r="F68" s="111" t="s">
        <v>568</v>
      </c>
      <c r="G68" s="111" t="s">
        <v>142</v>
      </c>
      <c r="H68" s="111" t="s">
        <v>567</v>
      </c>
      <c r="I68" s="111" t="b">
        <v>0</v>
      </c>
      <c r="J68" s="114" t="s">
        <v>147</v>
      </c>
      <c r="K68" s="112" t="s">
        <v>569</v>
      </c>
      <c r="L68" s="111" t="s">
        <v>191</v>
      </c>
      <c r="M68" s="112">
        <f t="shared" si="16"/>
        <v>260.89999999999998</v>
      </c>
      <c r="N68" s="114">
        <f t="shared" si="17"/>
        <v>16</v>
      </c>
      <c r="O68" s="119">
        <f t="shared" si="18"/>
        <v>4174.3999999999996</v>
      </c>
      <c r="P68" s="119">
        <f t="shared" si="19"/>
        <v>-1543.8400000000001</v>
      </c>
      <c r="Q68" s="120">
        <f t="shared" si="20"/>
        <v>-0.36983518589497899</v>
      </c>
      <c r="R68" s="114" t="str">
        <f t="shared" si="21"/>
        <v>Negative</v>
      </c>
      <c r="S68" s="113">
        <f t="shared" si="22"/>
        <v>5718.24</v>
      </c>
      <c r="T68" s="113">
        <f t="shared" si="23"/>
        <v>357.39</v>
      </c>
      <c r="U68" s="114" t="s">
        <v>571</v>
      </c>
      <c r="V68" s="114" t="s">
        <v>161</v>
      </c>
      <c r="W68" s="121"/>
      <c r="X68" s="132">
        <v>357.39</v>
      </c>
      <c r="Z68" s="114">
        <v>0</v>
      </c>
      <c r="AA68" s="114" t="s">
        <v>154</v>
      </c>
      <c r="AB68" s="114">
        <v>1</v>
      </c>
      <c r="AC68" s="114" t="s">
        <v>341</v>
      </c>
      <c r="AD68" s="114">
        <v>3100525</v>
      </c>
      <c r="AE68" s="114" t="s">
        <v>3048</v>
      </c>
      <c r="AF68" s="114" t="s">
        <v>119</v>
      </c>
      <c r="AG68" s="114" t="s">
        <v>3050</v>
      </c>
      <c r="AH68" s="114" t="s">
        <v>3049</v>
      </c>
      <c r="AI68" s="114" t="s">
        <v>151</v>
      </c>
      <c r="AJ68" s="132" t="s">
        <v>3125</v>
      </c>
    </row>
    <row r="69" spans="1:36" s="114" customFormat="1" ht="29" hidden="1" x14ac:dyDescent="0.35">
      <c r="A69" s="114">
        <v>65</v>
      </c>
      <c r="B69" s="114" t="s">
        <v>582</v>
      </c>
      <c r="F69" s="111" t="s">
        <v>580</v>
      </c>
      <c r="G69" s="111" t="s">
        <v>142</v>
      </c>
      <c r="H69" s="111" t="s">
        <v>579</v>
      </c>
      <c r="I69" s="111" t="b">
        <v>0</v>
      </c>
      <c r="J69" s="114" t="s">
        <v>147</v>
      </c>
      <c r="K69" s="112" t="s">
        <v>581</v>
      </c>
      <c r="L69" s="111" t="s">
        <v>203</v>
      </c>
      <c r="M69" s="112">
        <f t="shared" si="16"/>
        <v>34.25</v>
      </c>
      <c r="N69" s="114">
        <f t="shared" si="17"/>
        <v>120</v>
      </c>
      <c r="O69" s="119">
        <f t="shared" si="18"/>
        <v>4110</v>
      </c>
      <c r="P69" s="119">
        <f t="shared" si="19"/>
        <v>4069.52</v>
      </c>
      <c r="Q69" s="120">
        <f t="shared" si="20"/>
        <v>0.99015085158150851</v>
      </c>
      <c r="R69" s="114" t="str">
        <f t="shared" si="21"/>
        <v>30+%</v>
      </c>
      <c r="S69" s="113">
        <f t="shared" si="22"/>
        <v>40.479999999999997</v>
      </c>
      <c r="T69" s="113">
        <f t="shared" si="23"/>
        <v>0.33733333333333332</v>
      </c>
      <c r="U69" s="114" t="s">
        <v>583</v>
      </c>
      <c r="V69" s="114" t="s">
        <v>161</v>
      </c>
      <c r="W69" s="121"/>
      <c r="X69" s="132">
        <v>50.6</v>
      </c>
      <c r="Z69" s="114">
        <v>0</v>
      </c>
      <c r="AA69" s="114" t="s">
        <v>172</v>
      </c>
      <c r="AB69" s="114">
        <v>150</v>
      </c>
      <c r="AC69" s="114" t="s">
        <v>584</v>
      </c>
      <c r="AD69" s="114">
        <v>159200201</v>
      </c>
      <c r="AE69" s="114" t="s">
        <v>2963</v>
      </c>
      <c r="AF69" s="114" t="s">
        <v>119</v>
      </c>
      <c r="AG69" s="114" t="s">
        <v>2965</v>
      </c>
      <c r="AH69" s="114" t="s">
        <v>2964</v>
      </c>
      <c r="AI69" s="114" t="s">
        <v>3130</v>
      </c>
      <c r="AJ69" s="132" t="s">
        <v>3125</v>
      </c>
    </row>
    <row r="70" spans="1:36" s="114" customFormat="1" ht="43.5" hidden="1" x14ac:dyDescent="0.35">
      <c r="A70" s="114">
        <v>66</v>
      </c>
      <c r="B70" s="114" t="s">
        <v>589</v>
      </c>
      <c r="F70" s="111" t="s">
        <v>586</v>
      </c>
      <c r="G70" s="111" t="s">
        <v>142</v>
      </c>
      <c r="H70" s="111" t="s">
        <v>585</v>
      </c>
      <c r="I70" s="111" t="b">
        <v>0</v>
      </c>
      <c r="J70" s="114" t="s">
        <v>147</v>
      </c>
      <c r="K70" s="112" t="s">
        <v>588</v>
      </c>
      <c r="L70" s="111" t="s">
        <v>587</v>
      </c>
      <c r="M70" s="112">
        <f t="shared" si="16"/>
        <v>14.27</v>
      </c>
      <c r="N70" s="114">
        <f t="shared" si="17"/>
        <v>288</v>
      </c>
      <c r="O70" s="119">
        <f t="shared" si="18"/>
        <v>4109.76</v>
      </c>
      <c r="P70" s="119">
        <f t="shared" si="19"/>
        <v>-3945.12</v>
      </c>
      <c r="Q70" s="120">
        <f t="shared" si="20"/>
        <v>-0.9599392665265124</v>
      </c>
      <c r="R70" s="114" t="str">
        <f t="shared" si="21"/>
        <v>Negative</v>
      </c>
      <c r="S70" s="113">
        <f t="shared" si="22"/>
        <v>8054.88</v>
      </c>
      <c r="T70" s="113">
        <f t="shared" si="23"/>
        <v>27.968333333333334</v>
      </c>
      <c r="U70" s="114" t="s">
        <v>590</v>
      </c>
      <c r="V70" s="114" t="s">
        <v>161</v>
      </c>
      <c r="W70" s="121"/>
      <c r="X70" s="132">
        <v>335.62</v>
      </c>
      <c r="Z70" s="114">
        <v>0</v>
      </c>
      <c r="AA70" s="114" t="s">
        <v>172</v>
      </c>
      <c r="AB70" s="114">
        <v>12</v>
      </c>
      <c r="AC70" s="114" t="s">
        <v>357</v>
      </c>
      <c r="AD70" s="114" t="s">
        <v>591</v>
      </c>
      <c r="AE70" s="114" t="s">
        <v>3035</v>
      </c>
      <c r="AF70" s="114" t="s">
        <v>119</v>
      </c>
      <c r="AG70" s="114" t="s">
        <v>2904</v>
      </c>
      <c r="AH70" s="114" t="s">
        <v>2903</v>
      </c>
      <c r="AI70" s="114" t="s">
        <v>151</v>
      </c>
      <c r="AJ70" s="132" t="s">
        <v>3125</v>
      </c>
    </row>
    <row r="71" spans="1:36" s="114" customFormat="1" ht="29" hidden="1" x14ac:dyDescent="0.35">
      <c r="A71" s="114">
        <v>72</v>
      </c>
      <c r="B71" s="114" t="s">
        <v>623</v>
      </c>
      <c r="F71" s="111" t="s">
        <v>620</v>
      </c>
      <c r="G71" s="111" t="s">
        <v>142</v>
      </c>
      <c r="H71" s="111" t="s">
        <v>619</v>
      </c>
      <c r="I71" s="111" t="b">
        <v>0</v>
      </c>
      <c r="J71" s="114" t="s">
        <v>147</v>
      </c>
      <c r="K71" s="112" t="s">
        <v>622</v>
      </c>
      <c r="L71" s="111" t="s">
        <v>621</v>
      </c>
      <c r="M71" s="112">
        <f t="shared" si="16"/>
        <v>19.170000000000002</v>
      </c>
      <c r="N71" s="114">
        <f t="shared" si="17"/>
        <v>200</v>
      </c>
      <c r="O71" s="119">
        <f t="shared" si="18"/>
        <v>3834.0000000000005</v>
      </c>
      <c r="P71" s="119">
        <f t="shared" si="19"/>
        <v>-4114</v>
      </c>
      <c r="Q71" s="120">
        <f t="shared" si="20"/>
        <v>-1.0730307772561292</v>
      </c>
      <c r="R71" s="114" t="str">
        <f t="shared" si="21"/>
        <v>Negative</v>
      </c>
      <c r="S71" s="113">
        <f t="shared" si="22"/>
        <v>7948</v>
      </c>
      <c r="T71" s="113">
        <f t="shared" si="23"/>
        <v>39.74</v>
      </c>
      <c r="U71" s="114" t="s">
        <v>624</v>
      </c>
      <c r="V71" s="114" t="s">
        <v>161</v>
      </c>
      <c r="W71" s="121"/>
      <c r="X71" s="132">
        <v>39.74</v>
      </c>
      <c r="Z71" s="114">
        <v>0</v>
      </c>
      <c r="AA71" s="114" t="s">
        <v>154</v>
      </c>
      <c r="AB71" s="114">
        <v>1</v>
      </c>
      <c r="AC71" s="114" t="s">
        <v>625</v>
      </c>
      <c r="AD71" s="114">
        <v>6486</v>
      </c>
      <c r="AE71" s="114" t="s">
        <v>3081</v>
      </c>
      <c r="AF71" s="114" t="s">
        <v>119</v>
      </c>
      <c r="AG71" s="114" t="s">
        <v>3082</v>
      </c>
      <c r="AH71" s="114" t="s">
        <v>2944</v>
      </c>
      <c r="AI71" s="114" t="s">
        <v>151</v>
      </c>
      <c r="AJ71" s="132" t="s">
        <v>3125</v>
      </c>
    </row>
    <row r="72" spans="1:36" s="114" customFormat="1" ht="43.5" hidden="1" x14ac:dyDescent="0.35">
      <c r="A72" s="114">
        <v>74</v>
      </c>
      <c r="B72" s="114" t="s">
        <v>167</v>
      </c>
      <c r="F72" s="111" t="s">
        <v>631</v>
      </c>
      <c r="G72" s="111" t="s">
        <v>142</v>
      </c>
      <c r="H72" s="111" t="s">
        <v>630</v>
      </c>
      <c r="I72" s="111" t="b">
        <v>0</v>
      </c>
      <c r="J72" s="114" t="s">
        <v>147</v>
      </c>
      <c r="K72" s="112" t="s">
        <v>633</v>
      </c>
      <c r="L72" s="111" t="s">
        <v>632</v>
      </c>
      <c r="M72" s="112">
        <f t="shared" si="16"/>
        <v>111.56</v>
      </c>
      <c r="N72" s="114">
        <f t="shared" si="17"/>
        <v>34</v>
      </c>
      <c r="O72" s="119">
        <f t="shared" si="18"/>
        <v>3793.04</v>
      </c>
      <c r="P72" s="119">
        <f t="shared" si="19"/>
        <v>3744.0459999999998</v>
      </c>
      <c r="Q72" s="120">
        <f t="shared" si="20"/>
        <v>0.98708318393689487</v>
      </c>
      <c r="R72" s="114" t="str">
        <f t="shared" si="21"/>
        <v>30+%</v>
      </c>
      <c r="S72" s="113">
        <f t="shared" si="22"/>
        <v>48.993999999999993</v>
      </c>
      <c r="T72" s="113">
        <f t="shared" si="23"/>
        <v>1.4409999999999998</v>
      </c>
      <c r="U72" s="114" t="s">
        <v>634</v>
      </c>
      <c r="V72" s="114" t="s">
        <v>150</v>
      </c>
      <c r="W72" s="121"/>
      <c r="X72" s="132">
        <v>144.1</v>
      </c>
      <c r="Z72" s="114">
        <v>0</v>
      </c>
      <c r="AA72" s="114" t="s">
        <v>172</v>
      </c>
      <c r="AB72" s="114">
        <v>100</v>
      </c>
      <c r="AC72" s="114" t="s">
        <v>193</v>
      </c>
      <c r="AD72" s="114" t="s">
        <v>635</v>
      </c>
      <c r="AE72" s="114" t="s">
        <v>2864</v>
      </c>
      <c r="AF72" s="114" t="s">
        <v>119</v>
      </c>
      <c r="AG72" s="114" t="s">
        <v>2860</v>
      </c>
      <c r="AH72" s="114" t="s">
        <v>2859</v>
      </c>
      <c r="AI72" s="114" t="s">
        <v>3130</v>
      </c>
      <c r="AJ72" s="132" t="s">
        <v>3125</v>
      </c>
    </row>
    <row r="73" spans="1:36" s="114" customFormat="1" x14ac:dyDescent="0.35"/>
    <row r="74" spans="1:36" s="114" customFormat="1" ht="43.5" x14ac:dyDescent="0.35">
      <c r="A74" s="114">
        <v>76</v>
      </c>
      <c r="B74" s="114" t="s">
        <v>649</v>
      </c>
      <c r="F74" s="111" t="s">
        <v>646</v>
      </c>
      <c r="G74" s="111" t="s">
        <v>142</v>
      </c>
      <c r="H74" s="111" t="s">
        <v>645</v>
      </c>
      <c r="I74" s="111" t="b">
        <v>0</v>
      </c>
      <c r="J74" s="114" t="s">
        <v>147</v>
      </c>
      <c r="K74" s="112" t="s">
        <v>648</v>
      </c>
      <c r="L74" s="111" t="s">
        <v>647</v>
      </c>
      <c r="M74" s="112">
        <f t="shared" ref="M74:M105" si="24">IFERROR(IF(A74="","",K74/J74)," ")</f>
        <v>124.13</v>
      </c>
      <c r="N74" s="114">
        <f t="shared" ref="N74:N105" si="25">IFERROR(IF(A74="","",J74*L74)," ")</f>
        <v>30</v>
      </c>
      <c r="O74" s="119">
        <f t="shared" ref="O74:O105" si="26">IFERROR(M74*N74," ")</f>
        <v>3723.8999999999996</v>
      </c>
      <c r="P74" s="119">
        <f t="shared" ref="P74:P105" si="27">IFERROR(IF(A74="","",O74-S74)," ")</f>
        <v>-1671.3000000000002</v>
      </c>
      <c r="Q74" s="120">
        <f t="shared" ref="Q74:Q105" si="28">IFERROR(IF(A74="","",P74/O74)," ")</f>
        <v>-0.44880367356803358</v>
      </c>
      <c r="R74" s="114" t="str">
        <f t="shared" ref="R74:R105" si="29">IFERROR(IF(A74="","",(IF(Q74&lt;0,"Negative",IF(Q74=0,"Same",IF(Q74&gt;0.3,"30+%",IF(Q74&gt;0.2,"20-30%",IF(Q74&gt;0.1,"10-20%",IF(Q74&lt;=0.1,"0-10%"))))))))," ")</f>
        <v>Negative</v>
      </c>
      <c r="S74" s="113">
        <f t="shared" ref="S74:S105" si="30">IFERROR(IF(A74="","",T74*N74)," ")</f>
        <v>5395.2</v>
      </c>
      <c r="T74" s="113">
        <f t="shared" ref="T74:T105" si="31">IFERROR(IF(A74="","",X74/AB74)," ")</f>
        <v>179.84</v>
      </c>
      <c r="U74" s="114" t="s">
        <v>650</v>
      </c>
      <c r="V74" s="114" t="s">
        <v>150</v>
      </c>
      <c r="W74" s="121"/>
      <c r="X74" s="132">
        <v>179.84</v>
      </c>
      <c r="Z74" s="114">
        <v>0</v>
      </c>
      <c r="AA74" s="114" t="s">
        <v>154</v>
      </c>
      <c r="AB74" s="114">
        <v>1</v>
      </c>
      <c r="AC74" s="114" t="s">
        <v>341</v>
      </c>
      <c r="AD74" s="114">
        <v>1102000</v>
      </c>
      <c r="AE74" s="114" t="s">
        <v>3062</v>
      </c>
      <c r="AF74" s="114" t="s">
        <v>119</v>
      </c>
      <c r="AG74" s="114" t="s">
        <v>3052</v>
      </c>
      <c r="AH74" s="114" t="s">
        <v>3049</v>
      </c>
      <c r="AI74" s="114" t="s">
        <v>151</v>
      </c>
      <c r="AJ74" s="132" t="s">
        <v>3125</v>
      </c>
    </row>
    <row r="75" spans="1:36" s="114" customFormat="1" ht="43.5" x14ac:dyDescent="0.35">
      <c r="A75" s="114">
        <v>77</v>
      </c>
      <c r="B75" s="114" t="s">
        <v>482</v>
      </c>
      <c r="F75" s="111" t="s">
        <v>652</v>
      </c>
      <c r="G75" s="111" t="s">
        <v>142</v>
      </c>
      <c r="H75" s="111" t="s">
        <v>651</v>
      </c>
      <c r="I75" s="111" t="b">
        <v>0</v>
      </c>
      <c r="J75" s="114" t="s">
        <v>147</v>
      </c>
      <c r="K75" s="112" t="s">
        <v>654</v>
      </c>
      <c r="L75" s="111" t="s">
        <v>653</v>
      </c>
      <c r="M75" s="112">
        <f t="shared" si="24"/>
        <v>14.62</v>
      </c>
      <c r="N75" s="114">
        <f t="shared" si="25"/>
        <v>252</v>
      </c>
      <c r="O75" s="119">
        <f t="shared" si="26"/>
        <v>3684.24</v>
      </c>
      <c r="P75" s="119">
        <f t="shared" si="27"/>
        <v>-4127.76</v>
      </c>
      <c r="Q75" s="120">
        <f t="shared" si="28"/>
        <v>-1.1203830369357046</v>
      </c>
      <c r="R75" s="114" t="str">
        <f t="shared" si="29"/>
        <v>Negative</v>
      </c>
      <c r="S75" s="113">
        <f t="shared" si="30"/>
        <v>7812</v>
      </c>
      <c r="T75" s="113">
        <f t="shared" si="31"/>
        <v>31</v>
      </c>
      <c r="U75" s="114" t="s">
        <v>655</v>
      </c>
      <c r="V75" s="114" t="s">
        <v>161</v>
      </c>
      <c r="W75" s="121"/>
      <c r="X75" s="132">
        <v>31</v>
      </c>
      <c r="Z75" s="114">
        <v>0</v>
      </c>
      <c r="AA75" s="114" t="s">
        <v>213</v>
      </c>
      <c r="AB75" s="114">
        <v>1</v>
      </c>
      <c r="AC75" s="114" t="s">
        <v>375</v>
      </c>
      <c r="AD75" s="114" t="s">
        <v>538</v>
      </c>
      <c r="AE75" s="114" t="s">
        <v>2912</v>
      </c>
      <c r="AF75" s="114" t="s">
        <v>119</v>
      </c>
      <c r="AG75" s="114" t="s">
        <v>2904</v>
      </c>
      <c r="AH75" s="114" t="s">
        <v>2903</v>
      </c>
      <c r="AI75" s="114" t="s">
        <v>151</v>
      </c>
      <c r="AJ75" s="132" t="s">
        <v>3125</v>
      </c>
    </row>
    <row r="76" spans="1:36" s="114" customFormat="1" ht="58" x14ac:dyDescent="0.35">
      <c r="A76" s="114">
        <v>79</v>
      </c>
      <c r="B76" s="114" t="s">
        <v>392</v>
      </c>
      <c r="F76" s="111" t="s">
        <v>664</v>
      </c>
      <c r="G76" s="111" t="s">
        <v>142</v>
      </c>
      <c r="H76" s="111" t="s">
        <v>663</v>
      </c>
      <c r="I76" s="111" t="b">
        <v>0</v>
      </c>
      <c r="J76" s="114" t="s">
        <v>147</v>
      </c>
      <c r="K76" s="112" t="s">
        <v>666</v>
      </c>
      <c r="L76" s="111" t="s">
        <v>665</v>
      </c>
      <c r="M76" s="112">
        <f t="shared" si="24"/>
        <v>15.05</v>
      </c>
      <c r="N76" s="114">
        <f t="shared" si="25"/>
        <v>235</v>
      </c>
      <c r="O76" s="119">
        <f t="shared" si="26"/>
        <v>3536.75</v>
      </c>
      <c r="P76" s="119">
        <f t="shared" si="27"/>
        <v>-1906.79</v>
      </c>
      <c r="Q76" s="120">
        <f t="shared" si="28"/>
        <v>-0.53913621262458467</v>
      </c>
      <c r="R76" s="114" t="str">
        <f t="shared" si="29"/>
        <v>Negative</v>
      </c>
      <c r="S76" s="113">
        <f t="shared" si="30"/>
        <v>5443.54</v>
      </c>
      <c r="T76" s="113">
        <f t="shared" si="31"/>
        <v>23.163999999999998</v>
      </c>
      <c r="U76" s="114" t="s">
        <v>667</v>
      </c>
      <c r="V76" s="114" t="s">
        <v>150</v>
      </c>
      <c r="W76" s="121"/>
      <c r="X76" s="132">
        <v>115.82</v>
      </c>
      <c r="Z76" s="114">
        <v>0</v>
      </c>
      <c r="AA76" s="114" t="s">
        <v>172</v>
      </c>
      <c r="AB76" s="114">
        <v>5</v>
      </c>
      <c r="AC76" s="114" t="s">
        <v>669</v>
      </c>
      <c r="AD76" s="114" t="s">
        <v>668</v>
      </c>
      <c r="AE76" s="114" t="s">
        <v>2880</v>
      </c>
      <c r="AF76" s="114" t="s">
        <v>119</v>
      </c>
      <c r="AG76" s="114" t="s">
        <v>2869</v>
      </c>
      <c r="AH76" s="114" t="s">
        <v>2851</v>
      </c>
      <c r="AI76" s="114" t="s">
        <v>151</v>
      </c>
      <c r="AJ76" s="132" t="s">
        <v>3125</v>
      </c>
    </row>
    <row r="77" spans="1:36" s="114" customFormat="1" ht="43.5" x14ac:dyDescent="0.35">
      <c r="A77" s="114">
        <v>80</v>
      </c>
      <c r="B77" s="114" t="s">
        <v>674</v>
      </c>
      <c r="F77" s="111" t="s">
        <v>671</v>
      </c>
      <c r="G77" s="111" t="s">
        <v>142</v>
      </c>
      <c r="H77" s="111" t="s">
        <v>670</v>
      </c>
      <c r="I77" s="111" t="b">
        <v>0</v>
      </c>
      <c r="J77" s="114" t="s">
        <v>147</v>
      </c>
      <c r="K77" s="112" t="s">
        <v>673</v>
      </c>
      <c r="L77" s="111" t="s">
        <v>672</v>
      </c>
      <c r="M77" s="112">
        <f t="shared" si="24"/>
        <v>8.14</v>
      </c>
      <c r="N77" s="114">
        <f t="shared" si="25"/>
        <v>421</v>
      </c>
      <c r="O77" s="119">
        <f t="shared" si="26"/>
        <v>3426.94</v>
      </c>
      <c r="P77" s="119">
        <f t="shared" si="27"/>
        <v>-3702.3441666666663</v>
      </c>
      <c r="Q77" s="120">
        <f t="shared" si="28"/>
        <v>-1.0803644553644551</v>
      </c>
      <c r="R77" s="114" t="str">
        <f t="shared" si="29"/>
        <v>Negative</v>
      </c>
      <c r="S77" s="113">
        <f t="shared" si="30"/>
        <v>7129.2841666666664</v>
      </c>
      <c r="T77" s="113">
        <f t="shared" si="31"/>
        <v>16.934166666666666</v>
      </c>
      <c r="U77" s="114" t="s">
        <v>675</v>
      </c>
      <c r="V77" s="114" t="s">
        <v>161</v>
      </c>
      <c r="W77" s="121"/>
      <c r="X77" s="132">
        <v>203.21</v>
      </c>
      <c r="Z77" s="114">
        <v>0</v>
      </c>
      <c r="AA77" s="114" t="s">
        <v>172</v>
      </c>
      <c r="AB77" s="114">
        <v>12</v>
      </c>
      <c r="AC77" s="114" t="s">
        <v>677</v>
      </c>
      <c r="AD77" s="114" t="s">
        <v>676</v>
      </c>
      <c r="AE77" s="114" t="s">
        <v>3099</v>
      </c>
      <c r="AF77" s="114" t="s">
        <v>119</v>
      </c>
      <c r="AG77" s="114" t="s">
        <v>2904</v>
      </c>
      <c r="AH77" s="114" t="s">
        <v>2903</v>
      </c>
      <c r="AI77" s="114" t="s">
        <v>151</v>
      </c>
      <c r="AJ77" s="132" t="s">
        <v>3125</v>
      </c>
    </row>
    <row r="78" spans="1:36" s="114" customFormat="1" ht="43.5" x14ac:dyDescent="0.35">
      <c r="A78" s="114">
        <v>83</v>
      </c>
      <c r="B78" s="114" t="s">
        <v>696</v>
      </c>
      <c r="F78" s="111" t="s">
        <v>693</v>
      </c>
      <c r="G78" s="111" t="s">
        <v>142</v>
      </c>
      <c r="H78" s="111" t="s">
        <v>692</v>
      </c>
      <c r="I78" s="111" t="b">
        <v>0</v>
      </c>
      <c r="J78" s="114" t="s">
        <v>147</v>
      </c>
      <c r="K78" s="112" t="s">
        <v>695</v>
      </c>
      <c r="L78" s="111" t="s">
        <v>694</v>
      </c>
      <c r="M78" s="112">
        <f t="shared" si="24"/>
        <v>34.76</v>
      </c>
      <c r="N78" s="114">
        <f t="shared" si="25"/>
        <v>96</v>
      </c>
      <c r="O78" s="119">
        <f t="shared" si="26"/>
        <v>3336.96</v>
      </c>
      <c r="P78" s="119">
        <f t="shared" si="27"/>
        <v>2838.0479999999998</v>
      </c>
      <c r="Q78" s="120">
        <f t="shared" si="28"/>
        <v>0.85048906789413115</v>
      </c>
      <c r="R78" s="114" t="str">
        <f t="shared" si="29"/>
        <v>30+%</v>
      </c>
      <c r="S78" s="113">
        <f t="shared" si="30"/>
        <v>498.91200000000003</v>
      </c>
      <c r="T78" s="113">
        <f t="shared" si="31"/>
        <v>5.1970000000000001</v>
      </c>
      <c r="U78" s="114" t="s">
        <v>697</v>
      </c>
      <c r="V78" s="114" t="s">
        <v>161</v>
      </c>
      <c r="W78" s="121"/>
      <c r="X78" s="132">
        <v>51.97</v>
      </c>
      <c r="Z78" s="114">
        <v>0</v>
      </c>
      <c r="AA78" s="114" t="s">
        <v>172</v>
      </c>
      <c r="AB78" s="114">
        <v>10</v>
      </c>
      <c r="AC78" s="114" t="s">
        <v>193</v>
      </c>
      <c r="AD78" s="114">
        <v>8271</v>
      </c>
      <c r="AE78" s="114" t="s">
        <v>2885</v>
      </c>
      <c r="AF78" s="114" t="s">
        <v>119</v>
      </c>
      <c r="AG78" s="114" t="s">
        <v>2886</v>
      </c>
      <c r="AH78" s="114" t="s">
        <v>2851</v>
      </c>
      <c r="AI78" s="114" t="s">
        <v>3130</v>
      </c>
      <c r="AJ78" s="132" t="s">
        <v>3125</v>
      </c>
    </row>
    <row r="79" spans="1:36" s="114" customFormat="1" ht="43.5" x14ac:dyDescent="0.35">
      <c r="A79" s="114">
        <v>84</v>
      </c>
      <c r="B79" s="114" t="s">
        <v>702</v>
      </c>
      <c r="F79" s="111" t="s">
        <v>699</v>
      </c>
      <c r="G79" s="111" t="s">
        <v>142</v>
      </c>
      <c r="H79" s="111" t="s">
        <v>698</v>
      </c>
      <c r="I79" s="111" t="b">
        <v>0</v>
      </c>
      <c r="J79" s="114" t="s">
        <v>147</v>
      </c>
      <c r="K79" s="112" t="s">
        <v>701</v>
      </c>
      <c r="L79" s="111" t="s">
        <v>700</v>
      </c>
      <c r="M79" s="112">
        <f t="shared" si="24"/>
        <v>8.84</v>
      </c>
      <c r="N79" s="114">
        <f t="shared" si="25"/>
        <v>372</v>
      </c>
      <c r="O79" s="119">
        <f t="shared" si="26"/>
        <v>3288.48</v>
      </c>
      <c r="P79" s="119">
        <f t="shared" si="27"/>
        <v>-3750.3799999999997</v>
      </c>
      <c r="Q79" s="120">
        <f t="shared" si="28"/>
        <v>-1.1404600301659125</v>
      </c>
      <c r="R79" s="114" t="str">
        <f t="shared" si="29"/>
        <v>Negative</v>
      </c>
      <c r="S79" s="113">
        <f t="shared" si="30"/>
        <v>7038.86</v>
      </c>
      <c r="T79" s="113">
        <f t="shared" si="31"/>
        <v>18.921666666666667</v>
      </c>
      <c r="U79" s="114" t="s">
        <v>703</v>
      </c>
      <c r="V79" s="114" t="s">
        <v>161</v>
      </c>
      <c r="W79" s="121"/>
      <c r="X79" s="132">
        <v>227.06</v>
      </c>
      <c r="Z79" s="114">
        <v>0</v>
      </c>
      <c r="AA79" s="114" t="s">
        <v>172</v>
      </c>
      <c r="AB79" s="114">
        <v>12</v>
      </c>
      <c r="AC79" s="114" t="s">
        <v>677</v>
      </c>
      <c r="AD79" s="114" t="s">
        <v>704</v>
      </c>
      <c r="AE79" s="114" t="s">
        <v>3099</v>
      </c>
      <c r="AF79" s="114" t="s">
        <v>119</v>
      </c>
      <c r="AG79" s="114" t="s">
        <v>2904</v>
      </c>
      <c r="AH79" s="114" t="s">
        <v>2903</v>
      </c>
      <c r="AI79" s="114" t="s">
        <v>151</v>
      </c>
      <c r="AJ79" s="132" t="s">
        <v>3125</v>
      </c>
    </row>
    <row r="80" spans="1:36" s="114" customFormat="1" ht="43.5" x14ac:dyDescent="0.35">
      <c r="A80" s="114">
        <v>86</v>
      </c>
      <c r="B80" s="114" t="s">
        <v>714</v>
      </c>
      <c r="F80" s="111" t="s">
        <v>711</v>
      </c>
      <c r="G80" s="111" t="s">
        <v>142</v>
      </c>
      <c r="H80" s="111" t="s">
        <v>710</v>
      </c>
      <c r="I80" s="111" t="b">
        <v>0</v>
      </c>
      <c r="J80" s="114" t="s">
        <v>147</v>
      </c>
      <c r="K80" s="112" t="s">
        <v>713</v>
      </c>
      <c r="L80" s="111" t="s">
        <v>712</v>
      </c>
      <c r="M80" s="112">
        <f t="shared" si="24"/>
        <v>68.77</v>
      </c>
      <c r="N80" s="114">
        <f t="shared" si="25"/>
        <v>46</v>
      </c>
      <c r="O80" s="119">
        <f t="shared" si="26"/>
        <v>3163.4199999999996</v>
      </c>
      <c r="P80" s="119">
        <f t="shared" si="27"/>
        <v>-1246.6000000000008</v>
      </c>
      <c r="Q80" s="120">
        <f t="shared" si="28"/>
        <v>-0.39406718045659478</v>
      </c>
      <c r="R80" s="114" t="str">
        <f t="shared" si="29"/>
        <v>Negative</v>
      </c>
      <c r="S80" s="113">
        <f t="shared" si="30"/>
        <v>4410.0200000000004</v>
      </c>
      <c r="T80" s="113">
        <f t="shared" si="31"/>
        <v>95.87</v>
      </c>
      <c r="U80" s="114" t="s">
        <v>715</v>
      </c>
      <c r="V80" s="114" t="s">
        <v>150</v>
      </c>
      <c r="W80" s="121"/>
      <c r="X80" s="132">
        <v>95.87</v>
      </c>
      <c r="Z80" s="114" t="s">
        <v>642</v>
      </c>
      <c r="AA80" s="114" t="s">
        <v>154</v>
      </c>
      <c r="AB80" s="114">
        <v>1</v>
      </c>
      <c r="AC80" s="114" t="s">
        <v>243</v>
      </c>
      <c r="AD80" s="114" t="s">
        <v>716</v>
      </c>
      <c r="AE80" s="114" t="s">
        <v>643</v>
      </c>
      <c r="AF80" s="114" t="s">
        <v>119</v>
      </c>
      <c r="AG80" s="114" t="s">
        <v>2949</v>
      </c>
      <c r="AH80" s="114" t="s">
        <v>2944</v>
      </c>
      <c r="AI80" s="114" t="s">
        <v>151</v>
      </c>
      <c r="AJ80" s="132" t="s">
        <v>3125</v>
      </c>
    </row>
    <row r="81" spans="1:36" s="114" customFormat="1" ht="43.5" x14ac:dyDescent="0.35">
      <c r="A81" s="114">
        <v>87</v>
      </c>
      <c r="B81" s="114" t="s">
        <v>527</v>
      </c>
      <c r="F81" s="111" t="s">
        <v>718</v>
      </c>
      <c r="G81" s="111" t="s">
        <v>142</v>
      </c>
      <c r="H81" s="111" t="s">
        <v>717</v>
      </c>
      <c r="I81" s="111" t="b">
        <v>0</v>
      </c>
      <c r="J81" s="114" t="s">
        <v>147</v>
      </c>
      <c r="K81" s="112" t="s">
        <v>720</v>
      </c>
      <c r="L81" s="111" t="s">
        <v>719</v>
      </c>
      <c r="M81" s="112">
        <f t="shared" si="24"/>
        <v>2.87</v>
      </c>
      <c r="N81" s="114">
        <f t="shared" si="25"/>
        <v>1100</v>
      </c>
      <c r="O81" s="119">
        <f t="shared" si="26"/>
        <v>3157</v>
      </c>
      <c r="P81" s="119">
        <f t="shared" si="27"/>
        <v>-3434.2</v>
      </c>
      <c r="Q81" s="120">
        <f t="shared" si="28"/>
        <v>-1.0878048780487803</v>
      </c>
      <c r="R81" s="114" t="str">
        <f t="shared" si="29"/>
        <v>Negative</v>
      </c>
      <c r="S81" s="113">
        <f t="shared" si="30"/>
        <v>6591.2</v>
      </c>
      <c r="T81" s="113">
        <f t="shared" si="31"/>
        <v>5.992</v>
      </c>
      <c r="U81" s="114" t="s">
        <v>721</v>
      </c>
      <c r="V81" s="114" t="s">
        <v>161</v>
      </c>
      <c r="W81" s="121"/>
      <c r="X81" s="132">
        <v>59.92</v>
      </c>
      <c r="Z81" s="114">
        <v>0</v>
      </c>
      <c r="AA81" s="114" t="s">
        <v>172</v>
      </c>
      <c r="AB81" s="114">
        <v>10</v>
      </c>
      <c r="AC81" s="114" t="s">
        <v>200</v>
      </c>
      <c r="AD81" s="114" t="s">
        <v>722</v>
      </c>
      <c r="AE81" s="114" t="s">
        <v>2876</v>
      </c>
      <c r="AF81" s="114" t="s">
        <v>122</v>
      </c>
      <c r="AG81" s="114" t="s">
        <v>2877</v>
      </c>
      <c r="AH81" s="114" t="s">
        <v>2856</v>
      </c>
      <c r="AI81" s="114" t="s">
        <v>151</v>
      </c>
      <c r="AJ81" s="132" t="s">
        <v>3125</v>
      </c>
    </row>
    <row r="82" spans="1:36" s="114" customFormat="1" ht="43.5" x14ac:dyDescent="0.35">
      <c r="A82" s="114">
        <v>88</v>
      </c>
      <c r="B82" s="114" t="s">
        <v>726</v>
      </c>
      <c r="F82" s="111" t="s">
        <v>724</v>
      </c>
      <c r="G82" s="111" t="s">
        <v>142</v>
      </c>
      <c r="H82" s="111" t="s">
        <v>723</v>
      </c>
      <c r="I82" s="111" t="b">
        <v>0</v>
      </c>
      <c r="J82" s="114" t="s">
        <v>147</v>
      </c>
      <c r="K82" s="112" t="s">
        <v>725</v>
      </c>
      <c r="L82" s="111" t="s">
        <v>337</v>
      </c>
      <c r="M82" s="112">
        <f t="shared" si="24"/>
        <v>632.03</v>
      </c>
      <c r="N82" s="114">
        <f t="shared" si="25"/>
        <v>5</v>
      </c>
      <c r="O82" s="119">
        <f t="shared" si="26"/>
        <v>3160.1499999999996</v>
      </c>
      <c r="P82" s="119">
        <f t="shared" si="27"/>
        <v>-1366.3999999999996</v>
      </c>
      <c r="Q82" s="120">
        <f t="shared" si="28"/>
        <v>-0.43238453870860555</v>
      </c>
      <c r="R82" s="114" t="str">
        <f t="shared" si="29"/>
        <v>Negative</v>
      </c>
      <c r="S82" s="113">
        <f t="shared" si="30"/>
        <v>4526.5499999999993</v>
      </c>
      <c r="T82" s="113">
        <f t="shared" si="31"/>
        <v>905.31</v>
      </c>
      <c r="U82" s="114" t="s">
        <v>727</v>
      </c>
      <c r="V82" s="114" t="s">
        <v>161</v>
      </c>
      <c r="W82" s="121"/>
      <c r="X82" s="132">
        <v>905.31</v>
      </c>
      <c r="Z82" s="114">
        <v>0</v>
      </c>
      <c r="AA82" s="114" t="s">
        <v>154</v>
      </c>
      <c r="AB82" s="114">
        <v>1</v>
      </c>
      <c r="AC82" s="114" t="s">
        <v>341</v>
      </c>
      <c r="AD82" s="114">
        <v>3100570</v>
      </c>
      <c r="AE82" s="114" t="s">
        <v>3053</v>
      </c>
      <c r="AF82" s="114" t="s">
        <v>119</v>
      </c>
      <c r="AG82" s="114" t="s">
        <v>3050</v>
      </c>
      <c r="AH82" s="114" t="s">
        <v>3049</v>
      </c>
      <c r="AI82" s="114" t="s">
        <v>151</v>
      </c>
      <c r="AJ82" s="132" t="s">
        <v>3125</v>
      </c>
    </row>
    <row r="83" spans="1:36" s="114" customFormat="1" ht="29" x14ac:dyDescent="0.35">
      <c r="A83" s="114">
        <v>89</v>
      </c>
      <c r="B83" s="114" t="s">
        <v>731</v>
      </c>
      <c r="F83" s="111" t="s">
        <v>729</v>
      </c>
      <c r="G83" s="111" t="s">
        <v>142</v>
      </c>
      <c r="H83" s="111" t="s">
        <v>728</v>
      </c>
      <c r="I83" s="111" t="b">
        <v>0</v>
      </c>
      <c r="J83" s="114" t="s">
        <v>147</v>
      </c>
      <c r="K83" s="112" t="s">
        <v>730</v>
      </c>
      <c r="L83" s="111" t="s">
        <v>647</v>
      </c>
      <c r="M83" s="112">
        <f t="shared" si="24"/>
        <v>102.62</v>
      </c>
      <c r="N83" s="114">
        <f t="shared" si="25"/>
        <v>30</v>
      </c>
      <c r="O83" s="119">
        <f t="shared" si="26"/>
        <v>3078.6000000000004</v>
      </c>
      <c r="P83" s="119">
        <f t="shared" si="27"/>
        <v>2616.3000000000002</v>
      </c>
      <c r="Q83" s="120">
        <f t="shared" si="28"/>
        <v>0.84983434028454485</v>
      </c>
      <c r="R83" s="114" t="str">
        <f t="shared" si="29"/>
        <v>30+%</v>
      </c>
      <c r="S83" s="113">
        <f t="shared" si="30"/>
        <v>462.3</v>
      </c>
      <c r="T83" s="113">
        <f t="shared" si="31"/>
        <v>15.41</v>
      </c>
      <c r="U83" s="114" t="s">
        <v>732</v>
      </c>
      <c r="V83" s="114" t="s">
        <v>150</v>
      </c>
      <c r="W83" s="121"/>
      <c r="X83" s="132">
        <v>15.41</v>
      </c>
      <c r="Z83" s="114">
        <v>0</v>
      </c>
      <c r="AA83" s="114" t="s">
        <v>154</v>
      </c>
      <c r="AB83" s="114">
        <v>1</v>
      </c>
      <c r="AC83" s="114" t="s">
        <v>235</v>
      </c>
      <c r="AD83" s="114">
        <v>463942</v>
      </c>
      <c r="AE83" s="114" t="s">
        <v>2920</v>
      </c>
      <c r="AF83" s="114" t="s">
        <v>119</v>
      </c>
      <c r="AG83" s="114" t="s">
        <v>2899</v>
      </c>
      <c r="AH83" s="114" t="s">
        <v>2866</v>
      </c>
      <c r="AI83" s="114" t="s">
        <v>151</v>
      </c>
      <c r="AJ83" s="132" t="s">
        <v>3125</v>
      </c>
    </row>
    <row r="84" spans="1:36" s="114" customFormat="1" ht="58" x14ac:dyDescent="0.35">
      <c r="A84" s="114">
        <v>90</v>
      </c>
      <c r="B84" s="114" t="s">
        <v>736</v>
      </c>
      <c r="F84" s="111" t="s">
        <v>734</v>
      </c>
      <c r="G84" s="111" t="s">
        <v>142</v>
      </c>
      <c r="H84" s="111" t="s">
        <v>733</v>
      </c>
      <c r="I84" s="111" t="b">
        <v>0</v>
      </c>
      <c r="J84" s="114" t="s">
        <v>147</v>
      </c>
      <c r="K84" s="112" t="s">
        <v>735</v>
      </c>
      <c r="L84" s="111" t="s">
        <v>231</v>
      </c>
      <c r="M84" s="112">
        <f t="shared" si="24"/>
        <v>21.77</v>
      </c>
      <c r="N84" s="114">
        <f t="shared" si="25"/>
        <v>140</v>
      </c>
      <c r="O84" s="119">
        <f t="shared" si="26"/>
        <v>3047.7999999999997</v>
      </c>
      <c r="P84" s="119">
        <f t="shared" si="27"/>
        <v>-1583.4</v>
      </c>
      <c r="Q84" s="120">
        <f t="shared" si="28"/>
        <v>-0.5195222783647222</v>
      </c>
      <c r="R84" s="114" t="str">
        <f t="shared" si="29"/>
        <v>Negative</v>
      </c>
      <c r="S84" s="113">
        <f t="shared" si="30"/>
        <v>4631.2</v>
      </c>
      <c r="T84" s="113">
        <f t="shared" si="31"/>
        <v>33.08</v>
      </c>
      <c r="U84" s="114" t="s">
        <v>517</v>
      </c>
      <c r="V84" s="114" t="s">
        <v>161</v>
      </c>
      <c r="W84" s="121"/>
      <c r="X84" s="132">
        <v>33.08</v>
      </c>
      <c r="Z84" s="114">
        <v>0</v>
      </c>
      <c r="AA84" s="114" t="s">
        <v>154</v>
      </c>
      <c r="AB84" s="114">
        <v>1</v>
      </c>
      <c r="AC84" s="114" t="s">
        <v>448</v>
      </c>
      <c r="AD84" s="114" t="s">
        <v>737</v>
      </c>
      <c r="AE84" s="114" t="s">
        <v>2936</v>
      </c>
      <c r="AF84" s="114" t="s">
        <v>119</v>
      </c>
      <c r="AG84" s="114" t="s">
        <v>2863</v>
      </c>
      <c r="AH84" s="114" t="s">
        <v>2862</v>
      </c>
      <c r="AI84" s="114" t="s">
        <v>151</v>
      </c>
      <c r="AJ84" s="132" t="s">
        <v>3125</v>
      </c>
    </row>
    <row r="85" spans="1:36" s="114" customFormat="1" ht="43.5" x14ac:dyDescent="0.35">
      <c r="A85" s="114">
        <v>94</v>
      </c>
      <c r="B85" s="114" t="s">
        <v>755</v>
      </c>
      <c r="F85" s="111" t="s">
        <v>752</v>
      </c>
      <c r="G85" s="111" t="s">
        <v>142</v>
      </c>
      <c r="H85" s="111" t="s">
        <v>751</v>
      </c>
      <c r="I85" s="111" t="b">
        <v>0</v>
      </c>
      <c r="J85" s="114" t="s">
        <v>147</v>
      </c>
      <c r="K85" s="112" t="s">
        <v>754</v>
      </c>
      <c r="L85" s="111" t="s">
        <v>753</v>
      </c>
      <c r="M85" s="112">
        <f t="shared" si="24"/>
        <v>49.57</v>
      </c>
      <c r="N85" s="114">
        <f t="shared" si="25"/>
        <v>60</v>
      </c>
      <c r="O85" s="119">
        <f t="shared" si="26"/>
        <v>2974.2</v>
      </c>
      <c r="P85" s="119">
        <f t="shared" si="27"/>
        <v>-4194</v>
      </c>
      <c r="Q85" s="120">
        <f t="shared" si="28"/>
        <v>-1.4101270929997984</v>
      </c>
      <c r="R85" s="114" t="str">
        <f t="shared" si="29"/>
        <v>Negative</v>
      </c>
      <c r="S85" s="113">
        <f t="shared" si="30"/>
        <v>7168.2</v>
      </c>
      <c r="T85" s="113">
        <f t="shared" si="31"/>
        <v>119.47</v>
      </c>
      <c r="U85" s="114" t="s">
        <v>756</v>
      </c>
      <c r="V85" s="114" t="s">
        <v>150</v>
      </c>
      <c r="W85" s="121"/>
      <c r="X85" s="132">
        <v>119.47</v>
      </c>
      <c r="Z85" s="114">
        <v>0</v>
      </c>
      <c r="AA85" s="114" t="s">
        <v>213</v>
      </c>
      <c r="AB85" s="114">
        <v>1</v>
      </c>
      <c r="AC85" s="114" t="s">
        <v>243</v>
      </c>
      <c r="AD85" s="114" t="s">
        <v>757</v>
      </c>
      <c r="AE85" s="114" t="s">
        <v>2946</v>
      </c>
      <c r="AF85" s="114" t="s">
        <v>119</v>
      </c>
      <c r="AG85" s="114" t="s">
        <v>2947</v>
      </c>
      <c r="AH85" s="114" t="s">
        <v>2903</v>
      </c>
      <c r="AI85" s="114" t="s">
        <v>151</v>
      </c>
      <c r="AJ85" s="132" t="s">
        <v>3125</v>
      </c>
    </row>
    <row r="86" spans="1:36" s="114" customFormat="1" ht="43.5" x14ac:dyDescent="0.35">
      <c r="A86" s="114">
        <v>95</v>
      </c>
      <c r="B86" s="114" t="s">
        <v>762</v>
      </c>
      <c r="F86" s="111" t="s">
        <v>759</v>
      </c>
      <c r="G86" s="111" t="s">
        <v>142</v>
      </c>
      <c r="H86" s="111" t="s">
        <v>758</v>
      </c>
      <c r="I86" s="111" t="b">
        <v>0</v>
      </c>
      <c r="J86" s="114" t="s">
        <v>147</v>
      </c>
      <c r="K86" s="112" t="s">
        <v>761</v>
      </c>
      <c r="L86" s="111" t="s">
        <v>760</v>
      </c>
      <c r="M86" s="112">
        <f t="shared" si="24"/>
        <v>12.26</v>
      </c>
      <c r="N86" s="114">
        <f t="shared" si="25"/>
        <v>240</v>
      </c>
      <c r="O86" s="119">
        <f t="shared" si="26"/>
        <v>2942.4</v>
      </c>
      <c r="P86" s="119">
        <f t="shared" si="27"/>
        <v>-2858.6</v>
      </c>
      <c r="Q86" s="120">
        <f t="shared" si="28"/>
        <v>-0.97151984774333866</v>
      </c>
      <c r="R86" s="114" t="str">
        <f t="shared" si="29"/>
        <v>Negative</v>
      </c>
      <c r="S86" s="113">
        <f t="shared" si="30"/>
        <v>5801</v>
      </c>
      <c r="T86" s="113">
        <f t="shared" si="31"/>
        <v>24.170833333333334</v>
      </c>
      <c r="U86" s="114" t="s">
        <v>763</v>
      </c>
      <c r="V86" s="114" t="s">
        <v>150</v>
      </c>
      <c r="W86" s="121"/>
      <c r="X86" s="132">
        <v>290.05</v>
      </c>
      <c r="Z86" s="114">
        <v>0</v>
      </c>
      <c r="AA86" s="114" t="s">
        <v>172</v>
      </c>
      <c r="AB86" s="114">
        <v>12</v>
      </c>
      <c r="AC86" s="114" t="s">
        <v>560</v>
      </c>
      <c r="AD86" s="114">
        <v>4730</v>
      </c>
      <c r="AE86" s="114" t="s">
        <v>3003</v>
      </c>
      <c r="AF86" s="114" t="s">
        <v>119</v>
      </c>
      <c r="AG86" s="114" t="s">
        <v>2972</v>
      </c>
      <c r="AH86" s="114" t="s">
        <v>2903</v>
      </c>
      <c r="AI86" s="114" t="s">
        <v>151</v>
      </c>
      <c r="AJ86" s="132" t="s">
        <v>3125</v>
      </c>
    </row>
    <row r="87" spans="1:36" s="114" customFormat="1" ht="43.5" x14ac:dyDescent="0.35">
      <c r="A87" s="114">
        <v>96</v>
      </c>
      <c r="B87" s="114" t="s">
        <v>768</v>
      </c>
      <c r="F87" s="111" t="s">
        <v>765</v>
      </c>
      <c r="G87" s="111" t="s">
        <v>142</v>
      </c>
      <c r="H87" s="111" t="s">
        <v>764</v>
      </c>
      <c r="I87" s="111" t="b">
        <v>0</v>
      </c>
      <c r="J87" s="114" t="s">
        <v>147</v>
      </c>
      <c r="K87" s="112" t="s">
        <v>767</v>
      </c>
      <c r="L87" s="111" t="s">
        <v>766</v>
      </c>
      <c r="M87" s="112">
        <f t="shared" si="24"/>
        <v>8.17</v>
      </c>
      <c r="N87" s="114">
        <f t="shared" si="25"/>
        <v>358</v>
      </c>
      <c r="O87" s="119">
        <f t="shared" si="26"/>
        <v>2924.86</v>
      </c>
      <c r="P87" s="119">
        <f t="shared" si="27"/>
        <v>-3137.5716666666663</v>
      </c>
      <c r="Q87" s="120">
        <f t="shared" si="28"/>
        <v>-1.0727254181966543</v>
      </c>
      <c r="R87" s="114" t="str">
        <f t="shared" si="29"/>
        <v>Negative</v>
      </c>
      <c r="S87" s="113">
        <f t="shared" si="30"/>
        <v>6062.4316666666664</v>
      </c>
      <c r="T87" s="113">
        <f t="shared" si="31"/>
        <v>16.934166666666666</v>
      </c>
      <c r="U87" s="114" t="s">
        <v>769</v>
      </c>
      <c r="V87" s="114" t="s">
        <v>161</v>
      </c>
      <c r="W87" s="121"/>
      <c r="X87" s="132">
        <v>203.21</v>
      </c>
      <c r="Z87" s="114">
        <v>0</v>
      </c>
      <c r="AA87" s="114" t="s">
        <v>172</v>
      </c>
      <c r="AB87" s="114">
        <v>12</v>
      </c>
      <c r="AC87" s="114" t="s">
        <v>677</v>
      </c>
      <c r="AD87" s="114" t="s">
        <v>770</v>
      </c>
      <c r="AE87" s="114" t="s">
        <v>3098</v>
      </c>
      <c r="AF87" s="114" t="s">
        <v>119</v>
      </c>
      <c r="AG87" s="114" t="s">
        <v>2904</v>
      </c>
      <c r="AH87" s="114" t="s">
        <v>2903</v>
      </c>
      <c r="AI87" s="114" t="s">
        <v>151</v>
      </c>
      <c r="AJ87" s="132" t="s">
        <v>3125</v>
      </c>
    </row>
    <row r="88" spans="1:36" s="114" customFormat="1" ht="43.5" x14ac:dyDescent="0.35">
      <c r="A88" s="114">
        <v>98</v>
      </c>
      <c r="B88" s="114" t="s">
        <v>779</v>
      </c>
      <c r="F88" s="111" t="s">
        <v>776</v>
      </c>
      <c r="G88" s="111" t="s">
        <v>142</v>
      </c>
      <c r="H88" s="111" t="s">
        <v>775</v>
      </c>
      <c r="I88" s="111" t="b">
        <v>0</v>
      </c>
      <c r="J88" s="114" t="s">
        <v>147</v>
      </c>
      <c r="K88" s="112" t="s">
        <v>778</v>
      </c>
      <c r="L88" s="111" t="s">
        <v>777</v>
      </c>
      <c r="M88" s="112">
        <f t="shared" si="24"/>
        <v>4.01</v>
      </c>
      <c r="N88" s="114">
        <f t="shared" si="25"/>
        <v>722</v>
      </c>
      <c r="O88" s="119">
        <f t="shared" si="26"/>
        <v>2895.22</v>
      </c>
      <c r="P88" s="119">
        <f t="shared" si="27"/>
        <v>-4801.3000000000011</v>
      </c>
      <c r="Q88" s="120">
        <f t="shared" si="28"/>
        <v>-1.6583541147132175</v>
      </c>
      <c r="R88" s="114" t="str">
        <f t="shared" si="29"/>
        <v>Negative</v>
      </c>
      <c r="S88" s="113">
        <f t="shared" si="30"/>
        <v>7696.52</v>
      </c>
      <c r="T88" s="113">
        <f t="shared" si="31"/>
        <v>10.66</v>
      </c>
      <c r="U88" s="114" t="s">
        <v>780</v>
      </c>
      <c r="V88" s="114" t="s">
        <v>150</v>
      </c>
      <c r="W88" s="121"/>
      <c r="X88" s="132">
        <v>10.66</v>
      </c>
      <c r="Z88" s="114">
        <v>0</v>
      </c>
      <c r="AA88" s="114" t="s">
        <v>154</v>
      </c>
      <c r="AB88" s="114">
        <v>1</v>
      </c>
      <c r="AC88" s="114" t="s">
        <v>496</v>
      </c>
      <c r="AD88" s="114" t="s">
        <v>781</v>
      </c>
      <c r="AE88" s="114" t="s">
        <v>3086</v>
      </c>
      <c r="AF88" s="114" t="s">
        <v>119</v>
      </c>
      <c r="AG88" s="114" t="s">
        <v>3088</v>
      </c>
      <c r="AH88" s="114" t="s">
        <v>3087</v>
      </c>
      <c r="AI88" s="114" t="s">
        <v>151</v>
      </c>
      <c r="AJ88" s="132" t="s">
        <v>3125</v>
      </c>
    </row>
    <row r="89" spans="1:36" s="114" customFormat="1" ht="43.5" x14ac:dyDescent="0.35">
      <c r="A89" s="114">
        <v>100</v>
      </c>
      <c r="B89" s="114" t="s">
        <v>791</v>
      </c>
      <c r="F89" s="111" t="s">
        <v>788</v>
      </c>
      <c r="G89" s="111" t="s">
        <v>142</v>
      </c>
      <c r="H89" s="111" t="s">
        <v>787</v>
      </c>
      <c r="I89" s="111" t="b">
        <v>0</v>
      </c>
      <c r="J89" s="114" t="s">
        <v>147</v>
      </c>
      <c r="K89" s="112" t="s">
        <v>790</v>
      </c>
      <c r="L89" s="111" t="s">
        <v>789</v>
      </c>
      <c r="M89" s="112">
        <f t="shared" si="24"/>
        <v>12.13</v>
      </c>
      <c r="N89" s="114">
        <f t="shared" si="25"/>
        <v>237</v>
      </c>
      <c r="O89" s="119">
        <f t="shared" si="26"/>
        <v>2874.8100000000004</v>
      </c>
      <c r="P89" s="119">
        <f t="shared" si="27"/>
        <v>-2104.5600000000004</v>
      </c>
      <c r="Q89" s="120">
        <f t="shared" si="28"/>
        <v>-0.73206924979389942</v>
      </c>
      <c r="R89" s="114" t="str">
        <f t="shared" si="29"/>
        <v>Negative</v>
      </c>
      <c r="S89" s="113">
        <f t="shared" si="30"/>
        <v>4979.3700000000008</v>
      </c>
      <c r="T89" s="113">
        <f t="shared" si="31"/>
        <v>21.01</v>
      </c>
      <c r="U89" s="114" t="s">
        <v>792</v>
      </c>
      <c r="V89" s="114" t="s">
        <v>161</v>
      </c>
      <c r="W89" s="121"/>
      <c r="X89" s="132">
        <v>21.01</v>
      </c>
      <c r="Z89" s="114">
        <v>0</v>
      </c>
      <c r="AA89" s="114" t="s">
        <v>154</v>
      </c>
      <c r="AB89" s="114">
        <v>1</v>
      </c>
      <c r="AC89" s="114" t="s">
        <v>502</v>
      </c>
      <c r="AD89" s="114" t="s">
        <v>793</v>
      </c>
      <c r="AE89" s="114" t="s">
        <v>2925</v>
      </c>
      <c r="AF89" s="114" t="s">
        <v>119</v>
      </c>
      <c r="AG89" s="114" t="s">
        <v>2874</v>
      </c>
      <c r="AH89" s="114" t="s">
        <v>2873</v>
      </c>
      <c r="AI89" s="114" t="s">
        <v>151</v>
      </c>
      <c r="AJ89" s="132" t="s">
        <v>3125</v>
      </c>
    </row>
    <row r="90" spans="1:36" s="114" customFormat="1" ht="43.5" x14ac:dyDescent="0.35">
      <c r="A90" s="114">
        <v>101</v>
      </c>
      <c r="B90" s="114" t="s">
        <v>797</v>
      </c>
      <c r="F90" s="111" t="s">
        <v>795</v>
      </c>
      <c r="G90" s="111" t="s">
        <v>142</v>
      </c>
      <c r="H90" s="111" t="s">
        <v>794</v>
      </c>
      <c r="I90" s="111" t="b">
        <v>0</v>
      </c>
      <c r="J90" s="114" t="s">
        <v>147</v>
      </c>
      <c r="K90" s="112" t="s">
        <v>796</v>
      </c>
      <c r="L90" s="111" t="s">
        <v>392</v>
      </c>
      <c r="M90" s="112">
        <f t="shared" si="24"/>
        <v>253.26</v>
      </c>
      <c r="N90" s="114">
        <f t="shared" si="25"/>
        <v>11</v>
      </c>
      <c r="O90" s="119">
        <f t="shared" si="26"/>
        <v>2785.8599999999997</v>
      </c>
      <c r="P90" s="119">
        <f t="shared" si="27"/>
        <v>2766.2799999999997</v>
      </c>
      <c r="Q90" s="120">
        <f t="shared" si="28"/>
        <v>0.99297164968806761</v>
      </c>
      <c r="R90" s="114" t="str">
        <f t="shared" si="29"/>
        <v>30+%</v>
      </c>
      <c r="S90" s="113">
        <f t="shared" si="30"/>
        <v>19.580000000000002</v>
      </c>
      <c r="T90" s="113">
        <f t="shared" si="31"/>
        <v>1.78</v>
      </c>
      <c r="U90" s="114" t="s">
        <v>798</v>
      </c>
      <c r="V90" s="114" t="s">
        <v>150</v>
      </c>
      <c r="W90" s="121"/>
      <c r="X90" s="132">
        <v>1.78</v>
      </c>
      <c r="Z90" s="114">
        <v>0</v>
      </c>
      <c r="AA90" s="114" t="s">
        <v>213</v>
      </c>
      <c r="AB90" s="114">
        <v>1</v>
      </c>
      <c r="AC90" s="114" t="s">
        <v>193</v>
      </c>
      <c r="AD90" s="114" t="s">
        <v>799</v>
      </c>
      <c r="AE90" s="114" t="s">
        <v>2858</v>
      </c>
      <c r="AF90" s="114" t="s">
        <v>119</v>
      </c>
      <c r="AG90" s="114" t="s">
        <v>2860</v>
      </c>
      <c r="AH90" s="114" t="s">
        <v>2859</v>
      </c>
      <c r="AI90" s="114" t="s">
        <v>3130</v>
      </c>
      <c r="AJ90" s="132" t="s">
        <v>3125</v>
      </c>
    </row>
    <row r="91" spans="1:36" s="114" customFormat="1" ht="43.5" x14ac:dyDescent="0.35">
      <c r="A91" s="114">
        <v>105</v>
      </c>
      <c r="B91" s="114" t="s">
        <v>822</v>
      </c>
      <c r="F91" s="111" t="s">
        <v>819</v>
      </c>
      <c r="G91" s="111" t="s">
        <v>142</v>
      </c>
      <c r="H91" s="111" t="s">
        <v>818</v>
      </c>
      <c r="I91" s="111" t="b">
        <v>0</v>
      </c>
      <c r="J91" s="114" t="s">
        <v>147</v>
      </c>
      <c r="K91" s="112" t="s">
        <v>821</v>
      </c>
      <c r="L91" s="111" t="s">
        <v>820</v>
      </c>
      <c r="M91" s="112">
        <f t="shared" si="24"/>
        <v>304.92</v>
      </c>
      <c r="N91" s="114">
        <f t="shared" si="25"/>
        <v>9</v>
      </c>
      <c r="O91" s="119">
        <f t="shared" si="26"/>
        <v>2744.28</v>
      </c>
      <c r="P91" s="119">
        <f t="shared" si="27"/>
        <v>2705.364</v>
      </c>
      <c r="Q91" s="120">
        <f t="shared" si="28"/>
        <v>0.98581923127377669</v>
      </c>
      <c r="R91" s="114" t="str">
        <f t="shared" si="29"/>
        <v>30+%</v>
      </c>
      <c r="S91" s="113">
        <f t="shared" si="30"/>
        <v>38.915999999999997</v>
      </c>
      <c r="T91" s="113">
        <f t="shared" si="31"/>
        <v>4.3239999999999998</v>
      </c>
      <c r="U91" s="114" t="s">
        <v>823</v>
      </c>
      <c r="V91" s="114" t="s">
        <v>161</v>
      </c>
      <c r="W91" s="121"/>
      <c r="X91" s="132">
        <v>43.24</v>
      </c>
      <c r="Z91" s="114">
        <v>0</v>
      </c>
      <c r="AA91" s="114" t="s">
        <v>172</v>
      </c>
      <c r="AB91" s="114">
        <v>10</v>
      </c>
      <c r="AC91" s="114" t="s">
        <v>228</v>
      </c>
      <c r="AD91" s="114">
        <v>4600</v>
      </c>
      <c r="AE91" s="114" t="s">
        <v>3115</v>
      </c>
      <c r="AF91" s="114" t="s">
        <v>119</v>
      </c>
      <c r="AG91" s="114" t="s">
        <v>2886</v>
      </c>
      <c r="AH91" s="114" t="s">
        <v>2851</v>
      </c>
      <c r="AI91" s="114" t="s">
        <v>151</v>
      </c>
      <c r="AJ91" s="132" t="s">
        <v>3125</v>
      </c>
    </row>
    <row r="92" spans="1:36" s="114" customFormat="1" ht="43.5" x14ac:dyDescent="0.35">
      <c r="A92" s="114">
        <v>107</v>
      </c>
      <c r="B92" s="114" t="s">
        <v>833</v>
      </c>
      <c r="F92" s="111" t="s">
        <v>830</v>
      </c>
      <c r="G92" s="111" t="s">
        <v>142</v>
      </c>
      <c r="H92" s="111" t="s">
        <v>829</v>
      </c>
      <c r="I92" s="111" t="b">
        <v>0</v>
      </c>
      <c r="J92" s="114" t="s">
        <v>147</v>
      </c>
      <c r="K92" s="112" t="s">
        <v>832</v>
      </c>
      <c r="L92" s="111" t="s">
        <v>831</v>
      </c>
      <c r="M92" s="112">
        <f t="shared" si="24"/>
        <v>4.58</v>
      </c>
      <c r="N92" s="114">
        <f t="shared" si="25"/>
        <v>575</v>
      </c>
      <c r="O92" s="119">
        <f t="shared" si="26"/>
        <v>2633.5</v>
      </c>
      <c r="P92" s="119">
        <f t="shared" si="27"/>
        <v>-31203.333333333328</v>
      </c>
      <c r="Q92" s="120">
        <f t="shared" si="28"/>
        <v>-11.848617176128091</v>
      </c>
      <c r="R92" s="114" t="str">
        <f t="shared" si="29"/>
        <v>Negative</v>
      </c>
      <c r="S92" s="113">
        <f t="shared" si="30"/>
        <v>33836.833333333328</v>
      </c>
      <c r="T92" s="113">
        <f t="shared" si="31"/>
        <v>58.846666666666664</v>
      </c>
      <c r="U92" s="114" t="s">
        <v>834</v>
      </c>
      <c r="V92" s="114" t="s">
        <v>150</v>
      </c>
      <c r="W92" s="121"/>
      <c r="X92" s="132">
        <v>353.08</v>
      </c>
      <c r="Z92" s="114">
        <v>0</v>
      </c>
      <c r="AA92" s="114" t="s">
        <v>172</v>
      </c>
      <c r="AB92" s="114">
        <v>6</v>
      </c>
      <c r="AC92" s="114" t="s">
        <v>836</v>
      </c>
      <c r="AD92" s="114" t="s">
        <v>835</v>
      </c>
      <c r="AE92" s="114" t="s">
        <v>3085</v>
      </c>
      <c r="AF92" s="114" t="s">
        <v>119</v>
      </c>
      <c r="AG92" s="114" t="s">
        <v>2970</v>
      </c>
      <c r="AH92" s="114" t="s">
        <v>2969</v>
      </c>
      <c r="AI92" s="114" t="s">
        <v>151</v>
      </c>
      <c r="AJ92" s="132" t="s">
        <v>3125</v>
      </c>
    </row>
    <row r="93" spans="1:36" s="114" customFormat="1" ht="43.5" x14ac:dyDescent="0.35">
      <c r="A93" s="114">
        <v>109</v>
      </c>
      <c r="B93" s="114" t="s">
        <v>845</v>
      </c>
      <c r="F93" s="111" t="s">
        <v>842</v>
      </c>
      <c r="G93" s="111" t="s">
        <v>142</v>
      </c>
      <c r="H93" s="111" t="s">
        <v>841</v>
      </c>
      <c r="I93" s="111" t="b">
        <v>0</v>
      </c>
      <c r="J93" s="114" t="s">
        <v>147</v>
      </c>
      <c r="K93" s="112" t="s">
        <v>844</v>
      </c>
      <c r="L93" s="111" t="s">
        <v>843</v>
      </c>
      <c r="M93" s="112">
        <f t="shared" si="24"/>
        <v>4.2</v>
      </c>
      <c r="N93" s="114">
        <f t="shared" si="25"/>
        <v>624</v>
      </c>
      <c r="O93" s="119">
        <f t="shared" si="26"/>
        <v>2620.8000000000002</v>
      </c>
      <c r="P93" s="119">
        <f t="shared" si="27"/>
        <v>-2545.9199999999992</v>
      </c>
      <c r="Q93" s="120">
        <f t="shared" si="28"/>
        <v>-0.97142857142857109</v>
      </c>
      <c r="R93" s="114" t="str">
        <f t="shared" si="29"/>
        <v>Negative</v>
      </c>
      <c r="S93" s="113">
        <f t="shared" si="30"/>
        <v>5166.7199999999993</v>
      </c>
      <c r="T93" s="113">
        <f t="shared" si="31"/>
        <v>8.2799999999999994</v>
      </c>
      <c r="U93" s="114" t="s">
        <v>846</v>
      </c>
      <c r="V93" s="114" t="s">
        <v>161</v>
      </c>
      <c r="W93" s="121"/>
      <c r="X93" s="132">
        <v>8.2799999999999994</v>
      </c>
      <c r="Z93" s="114">
        <v>0</v>
      </c>
      <c r="AA93" s="114" t="s">
        <v>213</v>
      </c>
      <c r="AB93" s="114">
        <v>1</v>
      </c>
      <c r="AC93" s="114" t="s">
        <v>848</v>
      </c>
      <c r="AD93" s="114" t="s">
        <v>847</v>
      </c>
      <c r="AE93" s="114" t="s">
        <v>3105</v>
      </c>
      <c r="AF93" s="114" t="s">
        <v>119</v>
      </c>
      <c r="AG93" s="114" t="s">
        <v>2904</v>
      </c>
      <c r="AH93" s="114" t="s">
        <v>2903</v>
      </c>
      <c r="AI93" s="114" t="s">
        <v>3130</v>
      </c>
      <c r="AJ93" s="132" t="s">
        <v>3125</v>
      </c>
    </row>
    <row r="94" spans="1:36" s="114" customFormat="1" ht="43.5" x14ac:dyDescent="0.35">
      <c r="A94" s="114">
        <v>112</v>
      </c>
      <c r="B94" s="114" t="s">
        <v>861</v>
      </c>
      <c r="F94" s="111" t="s">
        <v>858</v>
      </c>
      <c r="G94" s="111" t="s">
        <v>142</v>
      </c>
      <c r="H94" s="111" t="s">
        <v>857</v>
      </c>
      <c r="I94" s="111" t="b">
        <v>0</v>
      </c>
      <c r="J94" s="114" t="s">
        <v>147</v>
      </c>
      <c r="K94" s="112" t="s">
        <v>860</v>
      </c>
      <c r="L94" s="111" t="s">
        <v>859</v>
      </c>
      <c r="M94" s="112">
        <f t="shared" si="24"/>
        <v>3.9</v>
      </c>
      <c r="N94" s="114">
        <f t="shared" si="25"/>
        <v>650</v>
      </c>
      <c r="O94" s="119">
        <f t="shared" si="26"/>
        <v>2535</v>
      </c>
      <c r="P94" s="119">
        <f t="shared" si="27"/>
        <v>-24364.708333333332</v>
      </c>
      <c r="Q94" s="120">
        <f t="shared" si="28"/>
        <v>-9.6113247863247864</v>
      </c>
      <c r="R94" s="114" t="str">
        <f t="shared" si="29"/>
        <v>Negative</v>
      </c>
      <c r="S94" s="113">
        <f t="shared" si="30"/>
        <v>26899.708333333332</v>
      </c>
      <c r="T94" s="113">
        <f t="shared" si="31"/>
        <v>41.384166666666665</v>
      </c>
      <c r="U94" s="114" t="s">
        <v>862</v>
      </c>
      <c r="V94" s="114" t="s">
        <v>150</v>
      </c>
      <c r="W94" s="121"/>
      <c r="X94" s="132">
        <v>496.61</v>
      </c>
      <c r="Z94" s="114">
        <v>0</v>
      </c>
      <c r="AA94" s="114" t="s">
        <v>172</v>
      </c>
      <c r="AB94" s="114">
        <v>12</v>
      </c>
      <c r="AC94" s="114" t="s">
        <v>836</v>
      </c>
      <c r="AD94" s="114" t="s">
        <v>863</v>
      </c>
      <c r="AE94" s="114" t="s">
        <v>3084</v>
      </c>
      <c r="AF94" s="114" t="s">
        <v>119</v>
      </c>
      <c r="AG94" s="114" t="s">
        <v>2970</v>
      </c>
      <c r="AH94" s="114" t="s">
        <v>2969</v>
      </c>
      <c r="AI94" s="114" t="s">
        <v>151</v>
      </c>
      <c r="AJ94" s="132" t="s">
        <v>3125</v>
      </c>
    </row>
    <row r="95" spans="1:36" s="114" customFormat="1" ht="43.5" x14ac:dyDescent="0.35">
      <c r="A95" s="114">
        <v>114</v>
      </c>
      <c r="B95" s="114" t="s">
        <v>874</v>
      </c>
      <c r="F95" s="111" t="s">
        <v>871</v>
      </c>
      <c r="G95" s="111" t="s">
        <v>142</v>
      </c>
      <c r="H95" s="111" t="s">
        <v>870</v>
      </c>
      <c r="I95" s="111" t="b">
        <v>0</v>
      </c>
      <c r="J95" s="114" t="s">
        <v>147</v>
      </c>
      <c r="K95" s="112" t="s">
        <v>873</v>
      </c>
      <c r="L95" s="111" t="s">
        <v>872</v>
      </c>
      <c r="M95" s="112">
        <f t="shared" si="24"/>
        <v>12.66</v>
      </c>
      <c r="N95" s="114">
        <f t="shared" si="25"/>
        <v>195</v>
      </c>
      <c r="O95" s="119">
        <f t="shared" si="26"/>
        <v>2468.6999999999998</v>
      </c>
      <c r="P95" s="119">
        <f t="shared" si="27"/>
        <v>-1758.9000000000005</v>
      </c>
      <c r="Q95" s="120">
        <f t="shared" si="28"/>
        <v>-0.71248025276461324</v>
      </c>
      <c r="R95" s="114" t="str">
        <f t="shared" si="29"/>
        <v>Negative</v>
      </c>
      <c r="S95" s="113">
        <f t="shared" si="30"/>
        <v>4227.6000000000004</v>
      </c>
      <c r="T95" s="113">
        <f t="shared" si="31"/>
        <v>21.68</v>
      </c>
      <c r="U95" s="114" t="s">
        <v>875</v>
      </c>
      <c r="V95" s="114" t="s">
        <v>150</v>
      </c>
      <c r="W95" s="121"/>
      <c r="X95" s="132">
        <v>21.68</v>
      </c>
      <c r="Z95" s="114">
        <v>0</v>
      </c>
      <c r="AA95" s="114" t="s">
        <v>154</v>
      </c>
      <c r="AB95" s="114">
        <v>1</v>
      </c>
      <c r="AC95" s="114" t="s">
        <v>502</v>
      </c>
      <c r="AD95" s="114" t="s">
        <v>876</v>
      </c>
      <c r="AE95" s="114" t="s">
        <v>2926</v>
      </c>
      <c r="AF95" s="114" t="s">
        <v>119</v>
      </c>
      <c r="AG95" s="114" t="s">
        <v>2874</v>
      </c>
      <c r="AH95" s="114" t="s">
        <v>2873</v>
      </c>
      <c r="AI95" s="114" t="s">
        <v>151</v>
      </c>
      <c r="AJ95" s="132" t="s">
        <v>3125</v>
      </c>
    </row>
    <row r="96" spans="1:36" s="114" customFormat="1" ht="29" x14ac:dyDescent="0.35">
      <c r="A96" s="114">
        <v>116</v>
      </c>
      <c r="B96" s="114" t="s">
        <v>285</v>
      </c>
      <c r="F96" s="111" t="s">
        <v>884</v>
      </c>
      <c r="G96" s="111" t="s">
        <v>142</v>
      </c>
      <c r="H96" s="111" t="s">
        <v>883</v>
      </c>
      <c r="I96" s="111" t="b">
        <v>0</v>
      </c>
      <c r="J96" s="114" t="s">
        <v>147</v>
      </c>
      <c r="K96" s="112" t="s">
        <v>886</v>
      </c>
      <c r="L96" s="111" t="s">
        <v>885</v>
      </c>
      <c r="M96" s="112">
        <f t="shared" si="24"/>
        <v>95.25</v>
      </c>
      <c r="N96" s="114">
        <f t="shared" si="25"/>
        <v>25</v>
      </c>
      <c r="O96" s="119">
        <f t="shared" si="26"/>
        <v>2381.25</v>
      </c>
      <c r="P96" s="119">
        <f t="shared" si="27"/>
        <v>-1322.2499999999995</v>
      </c>
      <c r="Q96" s="120">
        <f t="shared" si="28"/>
        <v>-0.55527559055118092</v>
      </c>
      <c r="R96" s="114" t="str">
        <f t="shared" si="29"/>
        <v>Negative</v>
      </c>
      <c r="S96" s="113">
        <f t="shared" si="30"/>
        <v>3703.4999999999995</v>
      </c>
      <c r="T96" s="113">
        <f t="shared" si="31"/>
        <v>148.13999999999999</v>
      </c>
      <c r="U96" s="114" t="s">
        <v>887</v>
      </c>
      <c r="V96" s="114" t="s">
        <v>161</v>
      </c>
      <c r="W96" s="121"/>
      <c r="X96" s="132">
        <v>148.13999999999999</v>
      </c>
      <c r="Z96" s="114">
        <v>0</v>
      </c>
      <c r="AA96" s="114" t="s">
        <v>213</v>
      </c>
      <c r="AB96" s="114">
        <v>1</v>
      </c>
      <c r="AC96" s="114" t="s">
        <v>889</v>
      </c>
      <c r="AD96" s="114" t="s">
        <v>888</v>
      </c>
      <c r="AE96" s="114" t="s">
        <v>3092</v>
      </c>
      <c r="AF96" s="114" t="s">
        <v>119</v>
      </c>
      <c r="AG96" s="114" t="s">
        <v>3093</v>
      </c>
      <c r="AH96" s="114" t="s">
        <v>2903</v>
      </c>
      <c r="AI96" s="114" t="s">
        <v>151</v>
      </c>
      <c r="AJ96" s="132" t="s">
        <v>3125</v>
      </c>
    </row>
    <row r="97" spans="1:36" s="114" customFormat="1" ht="43.5" x14ac:dyDescent="0.35">
      <c r="A97" s="114">
        <v>121</v>
      </c>
      <c r="B97" s="114" t="s">
        <v>914</v>
      </c>
      <c r="F97" s="111" t="s">
        <v>912</v>
      </c>
      <c r="G97" s="111" t="s">
        <v>142</v>
      </c>
      <c r="H97" s="111" t="s">
        <v>911</v>
      </c>
      <c r="I97" s="111" t="b">
        <v>0</v>
      </c>
      <c r="J97" s="114" t="s">
        <v>147</v>
      </c>
      <c r="K97" s="112" t="s">
        <v>913</v>
      </c>
      <c r="L97" s="111" t="s">
        <v>822</v>
      </c>
      <c r="M97" s="112">
        <f t="shared" si="24"/>
        <v>8.86</v>
      </c>
      <c r="N97" s="114">
        <f t="shared" si="25"/>
        <v>264</v>
      </c>
      <c r="O97" s="119">
        <f t="shared" si="26"/>
        <v>2339.04</v>
      </c>
      <c r="P97" s="119">
        <f t="shared" si="27"/>
        <v>-2353.7800000000007</v>
      </c>
      <c r="Q97" s="120">
        <f t="shared" si="28"/>
        <v>-1.0063017306245301</v>
      </c>
      <c r="R97" s="114" t="str">
        <f t="shared" si="29"/>
        <v>Negative</v>
      </c>
      <c r="S97" s="113">
        <f t="shared" si="30"/>
        <v>4692.8200000000006</v>
      </c>
      <c r="T97" s="113">
        <f t="shared" si="31"/>
        <v>17.775833333333335</v>
      </c>
      <c r="U97" s="114" t="s">
        <v>915</v>
      </c>
      <c r="V97" s="114" t="s">
        <v>161</v>
      </c>
      <c r="W97" s="121"/>
      <c r="X97" s="132">
        <v>213.31</v>
      </c>
      <c r="Z97" s="114">
        <v>0</v>
      </c>
      <c r="AA97" s="114" t="s">
        <v>172</v>
      </c>
      <c r="AB97" s="114">
        <v>12</v>
      </c>
      <c r="AC97" s="114" t="s">
        <v>677</v>
      </c>
      <c r="AD97" s="114" t="s">
        <v>916</v>
      </c>
      <c r="AE97" s="114" t="s">
        <v>3098</v>
      </c>
      <c r="AF97" s="114" t="s">
        <v>119</v>
      </c>
      <c r="AG97" s="114" t="s">
        <v>2904</v>
      </c>
      <c r="AH97" s="114" t="s">
        <v>2903</v>
      </c>
      <c r="AI97" s="114" t="s">
        <v>151</v>
      </c>
      <c r="AJ97" s="132" t="s">
        <v>3125</v>
      </c>
    </row>
    <row r="98" spans="1:36" s="114" customFormat="1" ht="29" x14ac:dyDescent="0.35">
      <c r="A98" s="114">
        <v>122</v>
      </c>
      <c r="B98" s="114" t="s">
        <v>920</v>
      </c>
      <c r="F98" s="111" t="s">
        <v>918</v>
      </c>
      <c r="G98" s="111" t="s">
        <v>142</v>
      </c>
      <c r="H98" s="111" t="s">
        <v>917</v>
      </c>
      <c r="I98" s="111" t="b">
        <v>0</v>
      </c>
      <c r="J98" s="114" t="s">
        <v>147</v>
      </c>
      <c r="K98" s="112" t="s">
        <v>919</v>
      </c>
      <c r="L98" s="111" t="s">
        <v>253</v>
      </c>
      <c r="M98" s="112">
        <f t="shared" si="24"/>
        <v>94.88</v>
      </c>
      <c r="N98" s="114">
        <f t="shared" si="25"/>
        <v>24</v>
      </c>
      <c r="O98" s="119">
        <f t="shared" si="26"/>
        <v>2277.12</v>
      </c>
      <c r="P98" s="119">
        <f t="shared" si="27"/>
        <v>-1278.2399999999998</v>
      </c>
      <c r="Q98" s="120">
        <f t="shared" si="28"/>
        <v>-0.56134064080944346</v>
      </c>
      <c r="R98" s="114" t="str">
        <f t="shared" si="29"/>
        <v>Negative</v>
      </c>
      <c r="S98" s="113">
        <f t="shared" si="30"/>
        <v>3555.3599999999997</v>
      </c>
      <c r="T98" s="113">
        <f t="shared" si="31"/>
        <v>148.13999999999999</v>
      </c>
      <c r="U98" s="114" t="s">
        <v>887</v>
      </c>
      <c r="V98" s="114" t="s">
        <v>161</v>
      </c>
      <c r="W98" s="121"/>
      <c r="X98" s="132">
        <v>148.13999999999999</v>
      </c>
      <c r="Z98" s="114">
        <v>0</v>
      </c>
      <c r="AA98" s="114" t="s">
        <v>213</v>
      </c>
      <c r="AB98" s="114">
        <v>1</v>
      </c>
      <c r="AC98" s="114" t="s">
        <v>889</v>
      </c>
      <c r="AD98" s="114" t="s">
        <v>888</v>
      </c>
      <c r="AE98" s="114" t="s">
        <v>3092</v>
      </c>
      <c r="AF98" s="114" t="s">
        <v>119</v>
      </c>
      <c r="AG98" s="114" t="s">
        <v>3093</v>
      </c>
      <c r="AH98" s="114" t="s">
        <v>2903</v>
      </c>
      <c r="AI98" s="114" t="s">
        <v>151</v>
      </c>
      <c r="AJ98" s="132" t="s">
        <v>3125</v>
      </c>
    </row>
    <row r="99" spans="1:36" s="114" customFormat="1" ht="43.5" x14ac:dyDescent="0.35">
      <c r="A99" s="114">
        <v>123</v>
      </c>
      <c r="B99" s="114" t="s">
        <v>925</v>
      </c>
      <c r="F99" s="111" t="s">
        <v>922</v>
      </c>
      <c r="G99" s="111" t="s">
        <v>142</v>
      </c>
      <c r="H99" s="111" t="s">
        <v>921</v>
      </c>
      <c r="I99" s="111" t="b">
        <v>0</v>
      </c>
      <c r="J99" s="114" t="s">
        <v>147</v>
      </c>
      <c r="K99" s="112" t="s">
        <v>924</v>
      </c>
      <c r="L99" s="111" t="s">
        <v>923</v>
      </c>
      <c r="M99" s="112">
        <f t="shared" si="24"/>
        <v>4.32</v>
      </c>
      <c r="N99" s="114">
        <f t="shared" si="25"/>
        <v>525</v>
      </c>
      <c r="O99" s="119">
        <f t="shared" si="26"/>
        <v>2268</v>
      </c>
      <c r="P99" s="119">
        <f t="shared" si="27"/>
        <v>-28626.5</v>
      </c>
      <c r="Q99" s="120">
        <f t="shared" si="28"/>
        <v>-12.621913580246913</v>
      </c>
      <c r="R99" s="114" t="str">
        <f t="shared" si="29"/>
        <v>Negative</v>
      </c>
      <c r="S99" s="113">
        <f t="shared" si="30"/>
        <v>30894.5</v>
      </c>
      <c r="T99" s="113">
        <f t="shared" si="31"/>
        <v>58.846666666666664</v>
      </c>
      <c r="U99" s="114" t="s">
        <v>834</v>
      </c>
      <c r="V99" s="114" t="s">
        <v>150</v>
      </c>
      <c r="W99" s="121"/>
      <c r="X99" s="132">
        <v>353.08</v>
      </c>
      <c r="Z99" s="114">
        <v>0</v>
      </c>
      <c r="AA99" s="114" t="s">
        <v>172</v>
      </c>
      <c r="AB99" s="114">
        <v>6</v>
      </c>
      <c r="AC99" s="114" t="s">
        <v>836</v>
      </c>
      <c r="AD99" s="114" t="s">
        <v>835</v>
      </c>
      <c r="AE99" s="114" t="s">
        <v>3085</v>
      </c>
      <c r="AF99" s="114" t="s">
        <v>119</v>
      </c>
      <c r="AG99" s="114" t="s">
        <v>2970</v>
      </c>
      <c r="AH99" s="114" t="s">
        <v>2969</v>
      </c>
      <c r="AI99" s="114" t="s">
        <v>151</v>
      </c>
      <c r="AJ99" s="132" t="s">
        <v>3125</v>
      </c>
    </row>
    <row r="100" spans="1:36" s="114" customFormat="1" ht="43.5" x14ac:dyDescent="0.35">
      <c r="A100" s="114">
        <v>124</v>
      </c>
      <c r="B100" s="114" t="s">
        <v>145</v>
      </c>
      <c r="F100" s="111" t="s">
        <v>927</v>
      </c>
      <c r="G100" s="111" t="s">
        <v>142</v>
      </c>
      <c r="H100" s="111" t="s">
        <v>926</v>
      </c>
      <c r="I100" s="111" t="b">
        <v>0</v>
      </c>
      <c r="J100" s="114" t="s">
        <v>147</v>
      </c>
      <c r="K100" s="112" t="s">
        <v>928</v>
      </c>
      <c r="L100" s="111" t="s">
        <v>610</v>
      </c>
      <c r="M100" s="112">
        <f t="shared" si="24"/>
        <v>374.54</v>
      </c>
      <c r="N100" s="114">
        <f t="shared" si="25"/>
        <v>6</v>
      </c>
      <c r="O100" s="119">
        <f t="shared" si="26"/>
        <v>2247.2400000000002</v>
      </c>
      <c r="P100" s="119">
        <f t="shared" si="27"/>
        <v>-1063.08</v>
      </c>
      <c r="Q100" s="120">
        <f t="shared" si="28"/>
        <v>-0.47306028728573707</v>
      </c>
      <c r="R100" s="114" t="str">
        <f t="shared" si="29"/>
        <v>Negative</v>
      </c>
      <c r="S100" s="113">
        <f t="shared" si="30"/>
        <v>3310.32</v>
      </c>
      <c r="T100" s="113">
        <f t="shared" si="31"/>
        <v>551.72</v>
      </c>
      <c r="U100" s="114" t="s">
        <v>929</v>
      </c>
      <c r="V100" s="114" t="s">
        <v>161</v>
      </c>
      <c r="W100" s="121"/>
      <c r="X100" s="132">
        <v>551.72</v>
      </c>
      <c r="Z100" s="114">
        <v>0</v>
      </c>
      <c r="AA100" s="114" t="s">
        <v>154</v>
      </c>
      <c r="AB100" s="114">
        <v>1</v>
      </c>
      <c r="AC100" s="114" t="s">
        <v>341</v>
      </c>
      <c r="AD100" s="114">
        <v>3100546</v>
      </c>
      <c r="AE100" s="114" t="s">
        <v>3054</v>
      </c>
      <c r="AF100" s="114" t="s">
        <v>119</v>
      </c>
      <c r="AG100" s="114" t="s">
        <v>3050</v>
      </c>
      <c r="AH100" s="114" t="s">
        <v>3049</v>
      </c>
      <c r="AI100" s="114" t="s">
        <v>151</v>
      </c>
      <c r="AJ100" s="132" t="s">
        <v>3125</v>
      </c>
    </row>
    <row r="101" spans="1:36" s="114" customFormat="1" ht="43.5" x14ac:dyDescent="0.35">
      <c r="A101" s="114">
        <v>130</v>
      </c>
      <c r="B101" s="114" t="s">
        <v>960</v>
      </c>
      <c r="F101" s="111" t="s">
        <v>959</v>
      </c>
      <c r="G101" s="111" t="s">
        <v>142</v>
      </c>
      <c r="H101" s="111" t="s">
        <v>958</v>
      </c>
      <c r="I101" s="111" t="b">
        <v>0</v>
      </c>
      <c r="J101" s="114" t="s">
        <v>147</v>
      </c>
      <c r="K101" s="112" t="s">
        <v>424</v>
      </c>
      <c r="L101" s="111" t="s">
        <v>658</v>
      </c>
      <c r="M101" s="112">
        <f t="shared" si="24"/>
        <v>4.24</v>
      </c>
      <c r="N101" s="114">
        <f t="shared" si="25"/>
        <v>480</v>
      </c>
      <c r="O101" s="119">
        <f t="shared" si="26"/>
        <v>2035.2</v>
      </c>
      <c r="P101" s="119">
        <f t="shared" si="27"/>
        <v>-1939.1999999999996</v>
      </c>
      <c r="Q101" s="120">
        <f t="shared" si="28"/>
        <v>-0.95283018867924507</v>
      </c>
      <c r="R101" s="114" t="str">
        <f t="shared" si="29"/>
        <v>Negative</v>
      </c>
      <c r="S101" s="113">
        <f t="shared" si="30"/>
        <v>3974.3999999999996</v>
      </c>
      <c r="T101" s="113">
        <f t="shared" si="31"/>
        <v>8.2799999999999994</v>
      </c>
      <c r="U101" s="114" t="s">
        <v>961</v>
      </c>
      <c r="V101" s="114" t="s">
        <v>161</v>
      </c>
      <c r="W101" s="121"/>
      <c r="X101" s="132">
        <v>8.2799999999999994</v>
      </c>
      <c r="Z101" s="114">
        <v>0</v>
      </c>
      <c r="AA101" s="114" t="s">
        <v>213</v>
      </c>
      <c r="AB101" s="114">
        <v>1</v>
      </c>
      <c r="AC101" s="114" t="s">
        <v>848</v>
      </c>
      <c r="AD101" s="114" t="s">
        <v>962</v>
      </c>
      <c r="AE101" s="114" t="s">
        <v>3107</v>
      </c>
      <c r="AF101" s="114" t="s">
        <v>119</v>
      </c>
      <c r="AG101" s="114" t="s">
        <v>2904</v>
      </c>
      <c r="AH101" s="114" t="s">
        <v>2903</v>
      </c>
      <c r="AI101" s="114" t="s">
        <v>3130</v>
      </c>
      <c r="AJ101" s="132" t="s">
        <v>3125</v>
      </c>
    </row>
    <row r="102" spans="1:36" s="114" customFormat="1" ht="29" x14ac:dyDescent="0.35">
      <c r="A102" s="114">
        <v>131</v>
      </c>
      <c r="B102" s="114" t="s">
        <v>966</v>
      </c>
      <c r="F102" s="111" t="s">
        <v>964</v>
      </c>
      <c r="G102" s="111" t="s">
        <v>142</v>
      </c>
      <c r="H102" s="111" t="s">
        <v>963</v>
      </c>
      <c r="I102" s="111" t="b">
        <v>0</v>
      </c>
      <c r="J102" s="114" t="s">
        <v>147</v>
      </c>
      <c r="K102" s="112" t="s">
        <v>965</v>
      </c>
      <c r="L102" s="111" t="s">
        <v>148</v>
      </c>
      <c r="M102" s="112">
        <f t="shared" si="24"/>
        <v>16.21</v>
      </c>
      <c r="N102" s="114">
        <f t="shared" si="25"/>
        <v>125</v>
      </c>
      <c r="O102" s="119">
        <f t="shared" si="26"/>
        <v>2026.25</v>
      </c>
      <c r="P102" s="119">
        <f t="shared" si="27"/>
        <v>-5090</v>
      </c>
      <c r="Q102" s="120">
        <f t="shared" si="28"/>
        <v>-2.5120296113510179</v>
      </c>
      <c r="R102" s="114" t="str">
        <f t="shared" si="29"/>
        <v>Negative</v>
      </c>
      <c r="S102" s="113">
        <f t="shared" si="30"/>
        <v>7116.25</v>
      </c>
      <c r="T102" s="113">
        <f t="shared" si="31"/>
        <v>56.93</v>
      </c>
      <c r="U102" s="114" t="s">
        <v>967</v>
      </c>
      <c r="V102" s="114" t="s">
        <v>150</v>
      </c>
      <c r="W102" s="121"/>
      <c r="X102" s="132">
        <v>56.93</v>
      </c>
      <c r="Z102" s="114">
        <v>0</v>
      </c>
      <c r="AA102" s="114" t="s">
        <v>154</v>
      </c>
      <c r="AB102" s="114">
        <v>1</v>
      </c>
      <c r="AC102" s="114" t="s">
        <v>969</v>
      </c>
      <c r="AD102" s="114">
        <v>6962</v>
      </c>
      <c r="AE102" s="114" t="s">
        <v>968</v>
      </c>
      <c r="AF102" s="114" t="s">
        <v>119</v>
      </c>
      <c r="AG102" s="114" t="s">
        <v>3082</v>
      </c>
      <c r="AH102" s="114" t="s">
        <v>2944</v>
      </c>
      <c r="AI102" s="114" t="s">
        <v>151</v>
      </c>
      <c r="AJ102" s="132" t="s">
        <v>3125</v>
      </c>
    </row>
    <row r="103" spans="1:36" s="114" customFormat="1" ht="43.5" x14ac:dyDescent="0.35">
      <c r="A103" s="114">
        <v>132</v>
      </c>
      <c r="B103" s="114" t="s">
        <v>974</v>
      </c>
      <c r="F103" s="111" t="s">
        <v>971</v>
      </c>
      <c r="G103" s="111" t="s">
        <v>142</v>
      </c>
      <c r="H103" s="111" t="s">
        <v>970</v>
      </c>
      <c r="I103" s="111" t="b">
        <v>0</v>
      </c>
      <c r="J103" s="114" t="s">
        <v>147</v>
      </c>
      <c r="K103" s="112" t="s">
        <v>973</v>
      </c>
      <c r="L103" s="111" t="s">
        <v>972</v>
      </c>
      <c r="M103" s="112">
        <f t="shared" si="24"/>
        <v>17.88</v>
      </c>
      <c r="N103" s="114">
        <f t="shared" si="25"/>
        <v>112</v>
      </c>
      <c r="O103" s="119">
        <f t="shared" si="26"/>
        <v>2002.56</v>
      </c>
      <c r="P103" s="119">
        <f t="shared" si="27"/>
        <v>-1311.52</v>
      </c>
      <c r="Q103" s="120">
        <f t="shared" si="28"/>
        <v>-0.65492170022371365</v>
      </c>
      <c r="R103" s="114" t="str">
        <f t="shared" si="29"/>
        <v>Negative</v>
      </c>
      <c r="S103" s="113">
        <f t="shared" si="30"/>
        <v>3314.08</v>
      </c>
      <c r="T103" s="113">
        <f t="shared" si="31"/>
        <v>29.59</v>
      </c>
      <c r="U103" s="114" t="s">
        <v>975</v>
      </c>
      <c r="V103" s="114" t="s">
        <v>150</v>
      </c>
      <c r="W103" s="121"/>
      <c r="X103" s="132">
        <v>29.59</v>
      </c>
      <c r="Z103" s="114">
        <v>0</v>
      </c>
      <c r="AA103" s="114" t="s">
        <v>213</v>
      </c>
      <c r="AB103" s="114">
        <v>1</v>
      </c>
      <c r="AC103" s="114" t="s">
        <v>977</v>
      </c>
      <c r="AD103" s="114" t="s">
        <v>976</v>
      </c>
      <c r="AE103" s="114" t="s">
        <v>2993</v>
      </c>
      <c r="AF103" s="114" t="s">
        <v>119</v>
      </c>
      <c r="AG103" s="114" t="s">
        <v>2972</v>
      </c>
      <c r="AH103" s="114" t="s">
        <v>2903</v>
      </c>
      <c r="AI103" s="114" t="s">
        <v>151</v>
      </c>
      <c r="AJ103" s="132" t="s">
        <v>3125</v>
      </c>
    </row>
    <row r="104" spans="1:36" s="114" customFormat="1" ht="58" x14ac:dyDescent="0.35">
      <c r="A104" s="114">
        <v>133</v>
      </c>
      <c r="B104" s="114" t="s">
        <v>981</v>
      </c>
      <c r="F104" s="111" t="s">
        <v>979</v>
      </c>
      <c r="G104" s="111" t="s">
        <v>142</v>
      </c>
      <c r="H104" s="111" t="s">
        <v>978</v>
      </c>
      <c r="I104" s="111" t="b">
        <v>0</v>
      </c>
      <c r="J104" s="114" t="s">
        <v>147</v>
      </c>
      <c r="K104" s="112" t="s">
        <v>980</v>
      </c>
      <c r="L104" s="111" t="s">
        <v>694</v>
      </c>
      <c r="M104" s="112">
        <f t="shared" si="24"/>
        <v>20.78</v>
      </c>
      <c r="N104" s="114">
        <f t="shared" si="25"/>
        <v>96</v>
      </c>
      <c r="O104" s="119">
        <f t="shared" si="26"/>
        <v>1994.88</v>
      </c>
      <c r="P104" s="119">
        <f t="shared" si="27"/>
        <v>-2006.3999999999996</v>
      </c>
      <c r="Q104" s="120">
        <f t="shared" si="28"/>
        <v>-1.0057747834456205</v>
      </c>
      <c r="R104" s="114" t="str">
        <f t="shared" si="29"/>
        <v>Negative</v>
      </c>
      <c r="S104" s="113">
        <f t="shared" si="30"/>
        <v>4001.2799999999997</v>
      </c>
      <c r="T104" s="113">
        <f t="shared" si="31"/>
        <v>41.68</v>
      </c>
      <c r="U104" s="114" t="s">
        <v>982</v>
      </c>
      <c r="V104" s="114" t="s">
        <v>150</v>
      </c>
      <c r="W104" s="121"/>
      <c r="X104" s="132">
        <v>41.68</v>
      </c>
      <c r="Z104" s="114">
        <v>0</v>
      </c>
      <c r="AA104" s="114" t="s">
        <v>154</v>
      </c>
      <c r="AB104" s="114">
        <v>1</v>
      </c>
      <c r="AC104" s="114" t="s">
        <v>817</v>
      </c>
      <c r="AD104" s="114" t="s">
        <v>983</v>
      </c>
      <c r="AE104" s="114" t="s">
        <v>3070</v>
      </c>
      <c r="AF104" s="114" t="s">
        <v>120</v>
      </c>
      <c r="AG104" s="114" t="s">
        <v>3072</v>
      </c>
      <c r="AH104" s="114" t="s">
        <v>3071</v>
      </c>
      <c r="AI104" s="114" t="s">
        <v>151</v>
      </c>
      <c r="AJ104" s="132" t="s">
        <v>3125</v>
      </c>
    </row>
    <row r="105" spans="1:36" s="114" customFormat="1" ht="43.5" x14ac:dyDescent="0.35">
      <c r="A105" s="114">
        <v>135</v>
      </c>
      <c r="B105" s="114" t="s">
        <v>992</v>
      </c>
      <c r="F105" s="111" t="s">
        <v>990</v>
      </c>
      <c r="G105" s="111" t="s">
        <v>142</v>
      </c>
      <c r="H105" s="111" t="s">
        <v>989</v>
      </c>
      <c r="I105" s="111" t="b">
        <v>0</v>
      </c>
      <c r="J105" s="114" t="s">
        <v>147</v>
      </c>
      <c r="K105" s="112" t="s">
        <v>991</v>
      </c>
      <c r="L105" s="111" t="s">
        <v>352</v>
      </c>
      <c r="M105" s="112">
        <f t="shared" si="24"/>
        <v>2.75</v>
      </c>
      <c r="N105" s="114">
        <f t="shared" si="25"/>
        <v>720</v>
      </c>
      <c r="O105" s="119">
        <f t="shared" si="26"/>
        <v>1980</v>
      </c>
      <c r="P105" s="119">
        <f t="shared" si="27"/>
        <v>0</v>
      </c>
      <c r="Q105" s="120">
        <f t="shared" si="28"/>
        <v>0</v>
      </c>
      <c r="R105" s="114" t="str">
        <f t="shared" si="29"/>
        <v>Same</v>
      </c>
      <c r="S105" s="113">
        <f t="shared" si="30"/>
        <v>1980</v>
      </c>
      <c r="T105" s="113">
        <f t="shared" si="31"/>
        <v>2.75</v>
      </c>
      <c r="U105" s="114" t="s">
        <v>993</v>
      </c>
      <c r="V105" s="114" t="s">
        <v>150</v>
      </c>
      <c r="W105" s="121"/>
      <c r="X105" s="132">
        <v>2.75</v>
      </c>
      <c r="Z105" s="114">
        <v>0</v>
      </c>
      <c r="AA105" s="114" t="s">
        <v>213</v>
      </c>
      <c r="AB105" s="114">
        <v>1</v>
      </c>
      <c r="AC105" s="114" t="s">
        <v>171</v>
      </c>
      <c r="AD105" s="114" t="s">
        <v>993</v>
      </c>
      <c r="AE105" s="114" t="s">
        <v>2987</v>
      </c>
      <c r="AF105" s="114" t="s">
        <v>119</v>
      </c>
      <c r="AG105" s="114" t="s">
        <v>2967</v>
      </c>
      <c r="AH105" s="114" t="s">
        <v>2903</v>
      </c>
      <c r="AI105" s="114" t="s">
        <v>151</v>
      </c>
      <c r="AJ105" s="132" t="s">
        <v>3125</v>
      </c>
    </row>
    <row r="106" spans="1:36" s="114" customFormat="1" ht="43.5" x14ac:dyDescent="0.35">
      <c r="A106" s="114">
        <v>137</v>
      </c>
      <c r="B106" s="114" t="s">
        <v>1004</v>
      </c>
      <c r="F106" s="111" t="s">
        <v>1002</v>
      </c>
      <c r="G106" s="111" t="s">
        <v>142</v>
      </c>
      <c r="H106" s="111" t="s">
        <v>1001</v>
      </c>
      <c r="I106" s="111" t="b">
        <v>0</v>
      </c>
      <c r="J106" s="114" t="s">
        <v>147</v>
      </c>
      <c r="K106" s="112" t="s">
        <v>1003</v>
      </c>
      <c r="L106" s="111" t="s">
        <v>505</v>
      </c>
      <c r="M106" s="112">
        <f t="shared" ref="M106:M137" si="32">IFERROR(IF(A106="","",K106/J106)," ")</f>
        <v>980.54</v>
      </c>
      <c r="N106" s="114">
        <f t="shared" ref="N106:N137" si="33">IFERROR(IF(A106="","",J106*L106)," ")</f>
        <v>2</v>
      </c>
      <c r="O106" s="119">
        <f t="shared" ref="O106:O137" si="34">IFERROR(M106*N106," ")</f>
        <v>1961.08</v>
      </c>
      <c r="P106" s="119">
        <f t="shared" ref="P106:P137" si="35">IFERROR(IF(A106="","",O106-S106)," ")</f>
        <v>1576.82</v>
      </c>
      <c r="Q106" s="120">
        <f t="shared" ref="Q106:Q137" si="36">IFERROR(IF(A106="","",P106/O106)," ")</f>
        <v>0.80405694821220963</v>
      </c>
      <c r="R106" s="114" t="str">
        <f t="shared" ref="R106:R137" si="37">IFERROR(IF(A106="","",(IF(Q106&lt;0,"Negative",IF(Q106=0,"Same",IF(Q106&gt;0.3,"30+%",IF(Q106&gt;0.2,"20-30%",IF(Q106&gt;0.1,"10-20%",IF(Q106&lt;=0.1,"0-10%"))))))))," ")</f>
        <v>30+%</v>
      </c>
      <c r="S106" s="113">
        <f t="shared" ref="S106:S137" si="38">IFERROR(IF(A106="","",T106*N106)," ")</f>
        <v>384.26</v>
      </c>
      <c r="T106" s="113">
        <f t="shared" ref="T106:T137" si="39">IFERROR(IF(A106="","",X106/AB106)," ")</f>
        <v>192.13</v>
      </c>
      <c r="U106" s="114" t="s">
        <v>1005</v>
      </c>
      <c r="V106" s="114" t="s">
        <v>150</v>
      </c>
      <c r="W106" s="121"/>
      <c r="X106" s="132">
        <v>192.13</v>
      </c>
      <c r="Z106" s="114">
        <v>0</v>
      </c>
      <c r="AA106" s="114" t="s">
        <v>154</v>
      </c>
      <c r="AB106" s="114">
        <v>1</v>
      </c>
      <c r="AC106" s="114" t="s">
        <v>193</v>
      </c>
      <c r="AD106" s="114" t="s">
        <v>1006</v>
      </c>
      <c r="AE106" s="114" t="s">
        <v>2861</v>
      </c>
      <c r="AF106" s="114" t="s">
        <v>119</v>
      </c>
      <c r="AG106" s="114" t="s">
        <v>2863</v>
      </c>
      <c r="AH106" s="114" t="s">
        <v>2862</v>
      </c>
      <c r="AI106" s="114" t="s">
        <v>151</v>
      </c>
      <c r="AJ106" s="132" t="s">
        <v>3125</v>
      </c>
    </row>
    <row r="107" spans="1:36" s="114" customFormat="1" ht="29" x14ac:dyDescent="0.35">
      <c r="A107" s="114">
        <v>138</v>
      </c>
      <c r="B107" s="114" t="s">
        <v>1010</v>
      </c>
      <c r="F107" s="111" t="s">
        <v>1008</v>
      </c>
      <c r="G107" s="111" t="s">
        <v>142</v>
      </c>
      <c r="H107" s="111" t="s">
        <v>1007</v>
      </c>
      <c r="I107" s="111" t="b">
        <v>0</v>
      </c>
      <c r="J107" s="114" t="s">
        <v>147</v>
      </c>
      <c r="K107" s="112" t="s">
        <v>1009</v>
      </c>
      <c r="L107" s="111" t="s">
        <v>820</v>
      </c>
      <c r="M107" s="112">
        <f t="shared" si="32"/>
        <v>214.71</v>
      </c>
      <c r="N107" s="114">
        <f t="shared" si="33"/>
        <v>9</v>
      </c>
      <c r="O107" s="119">
        <f t="shared" si="34"/>
        <v>1932.39</v>
      </c>
      <c r="P107" s="119">
        <f t="shared" si="35"/>
        <v>-1318.68</v>
      </c>
      <c r="Q107" s="120">
        <f t="shared" si="36"/>
        <v>-0.6824088305155791</v>
      </c>
      <c r="R107" s="114" t="str">
        <f t="shared" si="37"/>
        <v>Negative</v>
      </c>
      <c r="S107" s="113">
        <f t="shared" si="38"/>
        <v>3251.07</v>
      </c>
      <c r="T107" s="113">
        <f t="shared" si="39"/>
        <v>361.23</v>
      </c>
      <c r="U107" s="114" t="s">
        <v>1011</v>
      </c>
      <c r="V107" s="114" t="s">
        <v>161</v>
      </c>
      <c r="W107" s="121"/>
      <c r="X107" s="132">
        <v>361.23</v>
      </c>
      <c r="Z107" s="114">
        <v>0</v>
      </c>
      <c r="AA107" s="114" t="s">
        <v>154</v>
      </c>
      <c r="AB107" s="114">
        <v>1</v>
      </c>
      <c r="AC107" s="114" t="s">
        <v>164</v>
      </c>
      <c r="AD107" s="114" t="s">
        <v>1013</v>
      </c>
      <c r="AE107" s="114" t="s">
        <v>1012</v>
      </c>
      <c r="AF107" s="114" t="s">
        <v>119</v>
      </c>
      <c r="AG107" s="114" t="s">
        <v>2852</v>
      </c>
      <c r="AH107" s="114" t="s">
        <v>2851</v>
      </c>
      <c r="AI107" s="114" t="s">
        <v>151</v>
      </c>
      <c r="AJ107" s="132" t="s">
        <v>3125</v>
      </c>
    </row>
    <row r="108" spans="1:36" s="114" customFormat="1" ht="43.5" x14ac:dyDescent="0.35">
      <c r="A108" s="114">
        <v>139</v>
      </c>
      <c r="B108" s="114" t="s">
        <v>1016</v>
      </c>
      <c r="F108" s="111" t="s">
        <v>1015</v>
      </c>
      <c r="G108" s="111" t="s">
        <v>142</v>
      </c>
      <c r="H108" s="111" t="s">
        <v>1014</v>
      </c>
      <c r="I108" s="111" t="b">
        <v>0</v>
      </c>
      <c r="J108" s="114" t="s">
        <v>147</v>
      </c>
      <c r="K108" s="112" t="s">
        <v>774</v>
      </c>
      <c r="L108" s="111" t="s">
        <v>169</v>
      </c>
      <c r="M108" s="112">
        <f t="shared" si="32"/>
        <v>8.8699999999999992</v>
      </c>
      <c r="N108" s="114">
        <f t="shared" si="33"/>
        <v>216</v>
      </c>
      <c r="O108" s="119">
        <f t="shared" si="34"/>
        <v>1915.9199999999998</v>
      </c>
      <c r="P108" s="119">
        <f t="shared" si="35"/>
        <v>-1926.5400000000002</v>
      </c>
      <c r="Q108" s="120">
        <f t="shared" si="36"/>
        <v>-1.0055430289364902</v>
      </c>
      <c r="R108" s="114" t="str">
        <f t="shared" si="37"/>
        <v>Negative</v>
      </c>
      <c r="S108" s="113">
        <f t="shared" si="38"/>
        <v>3842.46</v>
      </c>
      <c r="T108" s="113">
        <f t="shared" si="39"/>
        <v>17.789166666666667</v>
      </c>
      <c r="U108" s="114" t="s">
        <v>1017</v>
      </c>
      <c r="V108" s="114" t="s">
        <v>161</v>
      </c>
      <c r="W108" s="121"/>
      <c r="X108" s="132">
        <v>213.47</v>
      </c>
      <c r="Z108" s="114">
        <v>0</v>
      </c>
      <c r="AA108" s="114" t="s">
        <v>172</v>
      </c>
      <c r="AB108" s="114">
        <v>12</v>
      </c>
      <c r="AC108" s="114" t="s">
        <v>677</v>
      </c>
      <c r="AD108" s="114" t="s">
        <v>1018</v>
      </c>
      <c r="AE108" s="114" t="s">
        <v>3100</v>
      </c>
      <c r="AF108" s="114" t="s">
        <v>119</v>
      </c>
      <c r="AG108" s="114" t="s">
        <v>2904</v>
      </c>
      <c r="AH108" s="114" t="s">
        <v>2903</v>
      </c>
      <c r="AI108" s="114" t="s">
        <v>151</v>
      </c>
      <c r="AJ108" s="132" t="s">
        <v>3125</v>
      </c>
    </row>
    <row r="109" spans="1:36" s="114" customFormat="1" ht="43.5" x14ac:dyDescent="0.35">
      <c r="A109" s="114">
        <v>141</v>
      </c>
      <c r="B109" s="114" t="s">
        <v>1026</v>
      </c>
      <c r="F109" s="111" t="s">
        <v>1025</v>
      </c>
      <c r="G109" s="111" t="s">
        <v>142</v>
      </c>
      <c r="H109" s="111" t="s">
        <v>1024</v>
      </c>
      <c r="I109" s="111" t="b">
        <v>0</v>
      </c>
      <c r="J109" s="114" t="s">
        <v>147</v>
      </c>
      <c r="K109" s="112" t="s">
        <v>457</v>
      </c>
      <c r="L109" s="111" t="s">
        <v>694</v>
      </c>
      <c r="M109" s="112">
        <f t="shared" si="32"/>
        <v>18.95</v>
      </c>
      <c r="N109" s="114">
        <f t="shared" si="33"/>
        <v>96</v>
      </c>
      <c r="O109" s="119">
        <f t="shared" si="34"/>
        <v>1819.1999999999998</v>
      </c>
      <c r="P109" s="119">
        <f t="shared" si="35"/>
        <v>-1086.7200000000003</v>
      </c>
      <c r="Q109" s="120">
        <f t="shared" si="36"/>
        <v>-0.59736147757255953</v>
      </c>
      <c r="R109" s="114" t="str">
        <f t="shared" si="37"/>
        <v>Negative</v>
      </c>
      <c r="S109" s="113">
        <f t="shared" si="38"/>
        <v>2905.92</v>
      </c>
      <c r="T109" s="113">
        <f t="shared" si="39"/>
        <v>30.27</v>
      </c>
      <c r="U109" s="114" t="s">
        <v>1027</v>
      </c>
      <c r="V109" s="114" t="s">
        <v>161</v>
      </c>
      <c r="W109" s="121"/>
      <c r="X109" s="132">
        <v>30.27</v>
      </c>
      <c r="Z109" s="114">
        <v>0</v>
      </c>
      <c r="AA109" s="114" t="s">
        <v>213</v>
      </c>
      <c r="AB109" s="114">
        <v>1</v>
      </c>
      <c r="AC109" s="114" t="s">
        <v>375</v>
      </c>
      <c r="AD109" s="114" t="s">
        <v>374</v>
      </c>
      <c r="AE109" s="114" t="s">
        <v>2906</v>
      </c>
      <c r="AF109" s="114" t="s">
        <v>119</v>
      </c>
      <c r="AG109" s="114" t="s">
        <v>2904</v>
      </c>
      <c r="AH109" s="114" t="s">
        <v>2903</v>
      </c>
      <c r="AI109" s="114" t="s">
        <v>151</v>
      </c>
      <c r="AJ109" s="132" t="s">
        <v>3125</v>
      </c>
    </row>
    <row r="110" spans="1:36" s="114" customFormat="1" ht="43.5" x14ac:dyDescent="0.35">
      <c r="A110" s="114">
        <v>144</v>
      </c>
      <c r="B110" s="114" t="s">
        <v>1040</v>
      </c>
      <c r="F110" s="111" t="s">
        <v>1038</v>
      </c>
      <c r="G110" s="111" t="s">
        <v>142</v>
      </c>
      <c r="H110" s="111" t="s">
        <v>1037</v>
      </c>
      <c r="I110" s="111" t="b">
        <v>0</v>
      </c>
      <c r="J110" s="114" t="s">
        <v>147</v>
      </c>
      <c r="K110" s="112" t="s">
        <v>1039</v>
      </c>
      <c r="L110" s="111" t="s">
        <v>587</v>
      </c>
      <c r="M110" s="112">
        <f t="shared" si="32"/>
        <v>6.27</v>
      </c>
      <c r="N110" s="114">
        <f t="shared" si="33"/>
        <v>288</v>
      </c>
      <c r="O110" s="119">
        <f t="shared" si="34"/>
        <v>1805.7599999999998</v>
      </c>
      <c r="P110" s="119">
        <f t="shared" si="35"/>
        <v>-2116.8000000000002</v>
      </c>
      <c r="Q110" s="120">
        <f t="shared" si="36"/>
        <v>-1.1722488038277514</v>
      </c>
      <c r="R110" s="114" t="str">
        <f t="shared" si="37"/>
        <v>Negative</v>
      </c>
      <c r="S110" s="113">
        <f t="shared" si="38"/>
        <v>3922.56</v>
      </c>
      <c r="T110" s="113">
        <f t="shared" si="39"/>
        <v>13.62</v>
      </c>
      <c r="U110" s="114" t="s">
        <v>1041</v>
      </c>
      <c r="V110" s="114" t="s">
        <v>150</v>
      </c>
      <c r="W110" s="121"/>
      <c r="X110" s="132">
        <v>13.62</v>
      </c>
      <c r="Z110" s="114">
        <v>0</v>
      </c>
      <c r="AA110" s="114" t="s">
        <v>213</v>
      </c>
      <c r="AB110" s="114">
        <v>1</v>
      </c>
      <c r="AC110" s="114" t="s">
        <v>326</v>
      </c>
      <c r="AD110" s="114" t="s">
        <v>433</v>
      </c>
      <c r="AE110" s="114" t="s">
        <v>2907</v>
      </c>
      <c r="AF110" s="114" t="s">
        <v>119</v>
      </c>
      <c r="AG110" s="114" t="s">
        <v>2904</v>
      </c>
      <c r="AH110" s="114" t="s">
        <v>2903</v>
      </c>
      <c r="AI110" s="114" t="s">
        <v>151</v>
      </c>
      <c r="AJ110" s="132" t="s">
        <v>3125</v>
      </c>
    </row>
    <row r="111" spans="1:36" s="114" customFormat="1" ht="43.5" x14ac:dyDescent="0.35">
      <c r="A111" s="114">
        <v>149</v>
      </c>
      <c r="B111" s="114" t="s">
        <v>694</v>
      </c>
      <c r="F111" s="111" t="s">
        <v>1063</v>
      </c>
      <c r="G111" s="111" t="s">
        <v>142</v>
      </c>
      <c r="H111" s="111" t="s">
        <v>1062</v>
      </c>
      <c r="I111" s="111" t="b">
        <v>0</v>
      </c>
      <c r="J111" s="114" t="s">
        <v>147</v>
      </c>
      <c r="K111" s="112" t="s">
        <v>1064</v>
      </c>
      <c r="L111" s="111" t="s">
        <v>285</v>
      </c>
      <c r="M111" s="112">
        <f t="shared" si="32"/>
        <v>4.22</v>
      </c>
      <c r="N111" s="114">
        <f t="shared" si="33"/>
        <v>384</v>
      </c>
      <c r="O111" s="119">
        <f t="shared" si="34"/>
        <v>1620.48</v>
      </c>
      <c r="P111" s="119">
        <f t="shared" si="35"/>
        <v>-1559.0399999999995</v>
      </c>
      <c r="Q111" s="120">
        <f t="shared" si="36"/>
        <v>-0.96208530805687176</v>
      </c>
      <c r="R111" s="114" t="str">
        <f t="shared" si="37"/>
        <v>Negative</v>
      </c>
      <c r="S111" s="113">
        <f t="shared" si="38"/>
        <v>3179.5199999999995</v>
      </c>
      <c r="T111" s="113">
        <f t="shared" si="39"/>
        <v>8.2799999999999994</v>
      </c>
      <c r="U111" s="114" t="s">
        <v>1065</v>
      </c>
      <c r="V111" s="114" t="s">
        <v>161</v>
      </c>
      <c r="W111" s="121"/>
      <c r="X111" s="132">
        <v>8.2799999999999994</v>
      </c>
      <c r="Z111" s="114">
        <v>0</v>
      </c>
      <c r="AA111" s="114" t="s">
        <v>213</v>
      </c>
      <c r="AB111" s="114">
        <v>1</v>
      </c>
      <c r="AC111" s="114" t="s">
        <v>848</v>
      </c>
      <c r="AD111" s="114" t="s">
        <v>1066</v>
      </c>
      <c r="AE111" s="114" t="s">
        <v>3106</v>
      </c>
      <c r="AF111" s="114" t="s">
        <v>119</v>
      </c>
      <c r="AG111" s="114" t="s">
        <v>2904</v>
      </c>
      <c r="AH111" s="114" t="s">
        <v>2903</v>
      </c>
      <c r="AI111" s="114" t="s">
        <v>3130</v>
      </c>
      <c r="AJ111" s="132" t="s">
        <v>3125</v>
      </c>
    </row>
    <row r="112" spans="1:36" s="114" customFormat="1" ht="43.5" x14ac:dyDescent="0.35">
      <c r="A112" s="114">
        <v>153</v>
      </c>
      <c r="B112" s="114" t="s">
        <v>1087</v>
      </c>
      <c r="F112" s="111" t="s">
        <v>1084</v>
      </c>
      <c r="G112" s="111" t="s">
        <v>142</v>
      </c>
      <c r="H112" s="111" t="s">
        <v>1083</v>
      </c>
      <c r="I112" s="111" t="b">
        <v>0</v>
      </c>
      <c r="J112" s="114" t="s">
        <v>147</v>
      </c>
      <c r="K112" s="112" t="s">
        <v>1086</v>
      </c>
      <c r="L112" s="111" t="s">
        <v>1085</v>
      </c>
      <c r="M112" s="112">
        <f t="shared" si="32"/>
        <v>8.2100000000000009</v>
      </c>
      <c r="N112" s="114">
        <f t="shared" si="33"/>
        <v>187</v>
      </c>
      <c r="O112" s="119">
        <f t="shared" si="34"/>
        <v>1535.2700000000002</v>
      </c>
      <c r="P112" s="119">
        <f t="shared" si="35"/>
        <v>-1631.4191666666663</v>
      </c>
      <c r="Q112" s="120">
        <f t="shared" si="36"/>
        <v>-1.062626877791311</v>
      </c>
      <c r="R112" s="114" t="str">
        <f t="shared" si="37"/>
        <v>Negative</v>
      </c>
      <c r="S112" s="113">
        <f t="shared" si="38"/>
        <v>3166.6891666666666</v>
      </c>
      <c r="T112" s="113">
        <f t="shared" si="39"/>
        <v>16.934166666666666</v>
      </c>
      <c r="U112" s="114" t="s">
        <v>1088</v>
      </c>
      <c r="V112" s="114" t="s">
        <v>161</v>
      </c>
      <c r="W112" s="121"/>
      <c r="X112" s="132">
        <v>203.21</v>
      </c>
      <c r="Z112" s="114">
        <v>0</v>
      </c>
      <c r="AA112" s="114" t="s">
        <v>172</v>
      </c>
      <c r="AB112" s="114">
        <v>12</v>
      </c>
      <c r="AC112" s="114" t="s">
        <v>677</v>
      </c>
      <c r="AD112" s="114" t="s">
        <v>1089</v>
      </c>
      <c r="AE112" s="114" t="s">
        <v>3100</v>
      </c>
      <c r="AF112" s="114" t="s">
        <v>119</v>
      </c>
      <c r="AG112" s="114" t="s">
        <v>2904</v>
      </c>
      <c r="AH112" s="114" t="s">
        <v>2903</v>
      </c>
      <c r="AI112" s="114" t="s">
        <v>151</v>
      </c>
      <c r="AJ112" s="132" t="s">
        <v>3125</v>
      </c>
    </row>
    <row r="113" spans="1:36" s="114" customFormat="1" ht="43.5" x14ac:dyDescent="0.35">
      <c r="A113" s="114">
        <v>154</v>
      </c>
      <c r="B113" s="114" t="s">
        <v>638</v>
      </c>
      <c r="F113" s="111" t="s">
        <v>1091</v>
      </c>
      <c r="G113" s="111" t="s">
        <v>142</v>
      </c>
      <c r="H113" s="111" t="s">
        <v>1090</v>
      </c>
      <c r="I113" s="111" t="b">
        <v>0</v>
      </c>
      <c r="J113" s="114" t="s">
        <v>147</v>
      </c>
      <c r="K113" s="112" t="s">
        <v>1092</v>
      </c>
      <c r="L113" s="111" t="s">
        <v>545</v>
      </c>
      <c r="M113" s="112">
        <f t="shared" si="32"/>
        <v>152.69999999999999</v>
      </c>
      <c r="N113" s="114">
        <f t="shared" si="33"/>
        <v>10</v>
      </c>
      <c r="O113" s="119">
        <f t="shared" si="34"/>
        <v>1527</v>
      </c>
      <c r="P113" s="119">
        <f t="shared" si="35"/>
        <v>1508.8166666666666</v>
      </c>
      <c r="Q113" s="120">
        <f t="shared" si="36"/>
        <v>0.98809211962453614</v>
      </c>
      <c r="R113" s="114" t="str">
        <f t="shared" si="37"/>
        <v>30+%</v>
      </c>
      <c r="S113" s="113">
        <f t="shared" si="38"/>
        <v>18.183333333333334</v>
      </c>
      <c r="T113" s="113">
        <f t="shared" si="39"/>
        <v>1.8183333333333334</v>
      </c>
      <c r="U113" s="114" t="s">
        <v>1093</v>
      </c>
      <c r="V113" s="114" t="s">
        <v>150</v>
      </c>
      <c r="W113" s="121"/>
      <c r="X113" s="132">
        <v>21.82</v>
      </c>
      <c r="Z113" s="114">
        <v>0</v>
      </c>
      <c r="AA113" s="114" t="s">
        <v>172</v>
      </c>
      <c r="AB113" s="114">
        <v>12</v>
      </c>
      <c r="AC113" s="114" t="s">
        <v>171</v>
      </c>
      <c r="AD113" s="114" t="s">
        <v>1093</v>
      </c>
      <c r="AE113" s="114" t="s">
        <v>2988</v>
      </c>
      <c r="AF113" s="114" t="s">
        <v>119</v>
      </c>
      <c r="AG113" s="114" t="s">
        <v>2989</v>
      </c>
      <c r="AH113" s="114" t="s">
        <v>2969</v>
      </c>
      <c r="AI113" s="114" t="s">
        <v>151</v>
      </c>
      <c r="AJ113" s="132" t="s">
        <v>3125</v>
      </c>
    </row>
    <row r="114" spans="1:36" s="114" customFormat="1" ht="43.5" x14ac:dyDescent="0.35">
      <c r="A114" s="114">
        <v>160</v>
      </c>
      <c r="B114" s="114" t="s">
        <v>1130</v>
      </c>
      <c r="F114" s="111" t="s">
        <v>1127</v>
      </c>
      <c r="G114" s="111" t="s">
        <v>142</v>
      </c>
      <c r="H114" s="111" t="s">
        <v>1126</v>
      </c>
      <c r="I114" s="111" t="b">
        <v>0</v>
      </c>
      <c r="J114" s="114" t="s">
        <v>147</v>
      </c>
      <c r="K114" s="112" t="s">
        <v>1129</v>
      </c>
      <c r="L114" s="111" t="s">
        <v>1128</v>
      </c>
      <c r="M114" s="112">
        <f t="shared" si="32"/>
        <v>7.24</v>
      </c>
      <c r="N114" s="114">
        <f t="shared" si="33"/>
        <v>190</v>
      </c>
      <c r="O114" s="119">
        <f t="shared" si="34"/>
        <v>1375.6000000000001</v>
      </c>
      <c r="P114" s="119">
        <f t="shared" si="35"/>
        <v>68.400000000000091</v>
      </c>
      <c r="Q114" s="120">
        <f t="shared" si="36"/>
        <v>4.9723756906077408E-2</v>
      </c>
      <c r="R114" s="114" t="str">
        <f t="shared" si="37"/>
        <v>0-10%</v>
      </c>
      <c r="S114" s="113">
        <f t="shared" si="38"/>
        <v>1307.2</v>
      </c>
      <c r="T114" s="113">
        <f t="shared" si="39"/>
        <v>6.88</v>
      </c>
      <c r="U114" s="114" t="s">
        <v>1131</v>
      </c>
      <c r="V114" s="114" t="s">
        <v>150</v>
      </c>
      <c r="W114" s="121"/>
      <c r="X114" s="132">
        <v>6.88</v>
      </c>
      <c r="Z114" s="114">
        <v>0</v>
      </c>
      <c r="AA114" s="114" t="s">
        <v>213</v>
      </c>
      <c r="AB114" s="114">
        <v>1</v>
      </c>
      <c r="AC114" s="114" t="s">
        <v>171</v>
      </c>
      <c r="AD114" s="114" t="s">
        <v>1131</v>
      </c>
      <c r="AE114" s="114" t="s">
        <v>2985</v>
      </c>
      <c r="AF114" s="114" t="s">
        <v>119</v>
      </c>
      <c r="AG114" s="114" t="s">
        <v>2986</v>
      </c>
      <c r="AH114" s="114" t="s">
        <v>2944</v>
      </c>
      <c r="AI114" s="114" t="s">
        <v>151</v>
      </c>
      <c r="AJ114" s="132" t="s">
        <v>3125</v>
      </c>
    </row>
    <row r="115" spans="1:36" s="114" customFormat="1" ht="43.5" x14ac:dyDescent="0.35">
      <c r="A115" s="114">
        <v>161</v>
      </c>
      <c r="B115" s="114" t="s">
        <v>1135</v>
      </c>
      <c r="F115" s="111" t="s">
        <v>1133</v>
      </c>
      <c r="G115" s="111" t="s">
        <v>142</v>
      </c>
      <c r="H115" s="111" t="s">
        <v>1132</v>
      </c>
      <c r="I115" s="111" t="b">
        <v>0</v>
      </c>
      <c r="J115" s="114" t="s">
        <v>147</v>
      </c>
      <c r="K115" s="112" t="s">
        <v>1134</v>
      </c>
      <c r="L115" s="111" t="s">
        <v>647</v>
      </c>
      <c r="M115" s="112">
        <f t="shared" si="32"/>
        <v>45.17</v>
      </c>
      <c r="N115" s="114">
        <f t="shared" si="33"/>
        <v>30</v>
      </c>
      <c r="O115" s="119">
        <f t="shared" si="34"/>
        <v>1355.1000000000001</v>
      </c>
      <c r="P115" s="119">
        <f t="shared" si="35"/>
        <v>-2743.5</v>
      </c>
      <c r="Q115" s="120">
        <f t="shared" si="36"/>
        <v>-2.0245738321895059</v>
      </c>
      <c r="R115" s="114" t="str">
        <f t="shared" si="37"/>
        <v>Negative</v>
      </c>
      <c r="S115" s="113">
        <f t="shared" si="38"/>
        <v>4098.6000000000004</v>
      </c>
      <c r="T115" s="113">
        <f t="shared" si="39"/>
        <v>136.62</v>
      </c>
      <c r="U115" s="114" t="s">
        <v>1136</v>
      </c>
      <c r="V115" s="114" t="s">
        <v>150</v>
      </c>
      <c r="W115" s="121"/>
      <c r="X115" s="132">
        <v>136.62</v>
      </c>
      <c r="Z115" s="114">
        <v>0</v>
      </c>
      <c r="AA115" s="114" t="s">
        <v>154</v>
      </c>
      <c r="AB115" s="114">
        <v>1</v>
      </c>
      <c r="AC115" s="114" t="s">
        <v>1138</v>
      </c>
      <c r="AD115" s="114" t="s">
        <v>1137</v>
      </c>
      <c r="AE115" s="114" t="s">
        <v>2938</v>
      </c>
      <c r="AF115" s="114" t="s">
        <v>119</v>
      </c>
      <c r="AG115" s="114" t="s">
        <v>2939</v>
      </c>
      <c r="AH115" s="114" t="s">
        <v>2873</v>
      </c>
      <c r="AI115" s="114" t="s">
        <v>151</v>
      </c>
      <c r="AJ115" s="132" t="s">
        <v>3125</v>
      </c>
    </row>
    <row r="116" spans="1:36" s="114" customFormat="1" ht="43.5" x14ac:dyDescent="0.35">
      <c r="A116" s="114">
        <v>162</v>
      </c>
      <c r="B116" s="114" t="s">
        <v>1142</v>
      </c>
      <c r="F116" s="111" t="s">
        <v>1140</v>
      </c>
      <c r="G116" s="111" t="s">
        <v>142</v>
      </c>
      <c r="H116" s="111" t="s">
        <v>1139</v>
      </c>
      <c r="I116" s="111" t="b">
        <v>0</v>
      </c>
      <c r="J116" s="114" t="s">
        <v>147</v>
      </c>
      <c r="K116" s="112" t="s">
        <v>1141</v>
      </c>
      <c r="L116" s="111" t="s">
        <v>647</v>
      </c>
      <c r="M116" s="112">
        <f t="shared" si="32"/>
        <v>45.02</v>
      </c>
      <c r="N116" s="114">
        <f t="shared" si="33"/>
        <v>30</v>
      </c>
      <c r="O116" s="119">
        <f t="shared" si="34"/>
        <v>1350.6000000000001</v>
      </c>
      <c r="P116" s="119">
        <f t="shared" si="35"/>
        <v>-2748</v>
      </c>
      <c r="Q116" s="120">
        <f t="shared" si="36"/>
        <v>-2.0346512661039537</v>
      </c>
      <c r="R116" s="114" t="str">
        <f t="shared" si="37"/>
        <v>Negative</v>
      </c>
      <c r="S116" s="113">
        <f t="shared" si="38"/>
        <v>4098.6000000000004</v>
      </c>
      <c r="T116" s="113">
        <f t="shared" si="39"/>
        <v>136.62</v>
      </c>
      <c r="U116" s="114" t="s">
        <v>1136</v>
      </c>
      <c r="V116" s="114" t="s">
        <v>150</v>
      </c>
      <c r="W116" s="121"/>
      <c r="X116" s="132">
        <v>136.62</v>
      </c>
      <c r="Z116" s="114">
        <v>0</v>
      </c>
      <c r="AA116" s="114" t="s">
        <v>154</v>
      </c>
      <c r="AB116" s="114">
        <v>1</v>
      </c>
      <c r="AC116" s="114" t="s">
        <v>1138</v>
      </c>
      <c r="AD116" s="114" t="s">
        <v>1137</v>
      </c>
      <c r="AE116" s="114" t="s">
        <v>2938</v>
      </c>
      <c r="AF116" s="114" t="s">
        <v>119</v>
      </c>
      <c r="AG116" s="114" t="s">
        <v>2939</v>
      </c>
      <c r="AH116" s="114" t="s">
        <v>2873</v>
      </c>
      <c r="AI116" s="114" t="s">
        <v>151</v>
      </c>
      <c r="AJ116" s="132" t="s">
        <v>3125</v>
      </c>
    </row>
    <row r="117" spans="1:36" s="114" customFormat="1" ht="43.5" x14ac:dyDescent="0.35">
      <c r="A117" s="114">
        <v>163</v>
      </c>
      <c r="B117" s="114" t="s">
        <v>932</v>
      </c>
      <c r="F117" s="111" t="s">
        <v>1144</v>
      </c>
      <c r="G117" s="111" t="s">
        <v>142</v>
      </c>
      <c r="H117" s="111" t="s">
        <v>1143</v>
      </c>
      <c r="I117" s="111" t="b">
        <v>0</v>
      </c>
      <c r="J117" s="114" t="s">
        <v>147</v>
      </c>
      <c r="K117" s="112" t="s">
        <v>1146</v>
      </c>
      <c r="L117" s="111" t="s">
        <v>1145</v>
      </c>
      <c r="M117" s="112">
        <f t="shared" si="32"/>
        <v>31.22</v>
      </c>
      <c r="N117" s="114">
        <f t="shared" si="33"/>
        <v>43</v>
      </c>
      <c r="O117" s="119">
        <f t="shared" si="34"/>
        <v>1342.46</v>
      </c>
      <c r="P117" s="119">
        <f t="shared" si="35"/>
        <v>1332.18515</v>
      </c>
      <c r="Q117" s="120">
        <f t="shared" si="36"/>
        <v>0.99234625240230623</v>
      </c>
      <c r="R117" s="114" t="str">
        <f t="shared" si="37"/>
        <v>30+%</v>
      </c>
      <c r="S117" s="113">
        <f t="shared" si="38"/>
        <v>10.274850000000001</v>
      </c>
      <c r="T117" s="113">
        <f t="shared" si="39"/>
        <v>0.23895</v>
      </c>
      <c r="U117" s="114" t="s">
        <v>1147</v>
      </c>
      <c r="V117" s="114" t="s">
        <v>150</v>
      </c>
      <c r="W117" s="121"/>
      <c r="X117" s="132">
        <v>47.79</v>
      </c>
      <c r="Z117" s="114">
        <v>0</v>
      </c>
      <c r="AA117" s="114" t="s">
        <v>172</v>
      </c>
      <c r="AB117" s="114">
        <v>200</v>
      </c>
      <c r="AC117" s="114" t="s">
        <v>193</v>
      </c>
      <c r="AD117" s="114" t="s">
        <v>1148</v>
      </c>
      <c r="AE117" s="114" t="s">
        <v>2875</v>
      </c>
      <c r="AF117" s="114" t="s">
        <v>119</v>
      </c>
      <c r="AG117" s="114" t="s">
        <v>2860</v>
      </c>
      <c r="AH117" s="114" t="s">
        <v>2859</v>
      </c>
      <c r="AI117" s="114" t="s">
        <v>151</v>
      </c>
      <c r="AJ117" s="132" t="s">
        <v>3125</v>
      </c>
    </row>
    <row r="118" spans="1:36" s="114" customFormat="1" ht="43.5" x14ac:dyDescent="0.35">
      <c r="A118" s="114">
        <v>166</v>
      </c>
      <c r="B118" s="114" t="s">
        <v>1163</v>
      </c>
      <c r="F118" s="111" t="s">
        <v>1161</v>
      </c>
      <c r="G118" s="111" t="s">
        <v>142</v>
      </c>
      <c r="H118" s="111" t="s">
        <v>1160</v>
      </c>
      <c r="I118" s="111" t="b">
        <v>0</v>
      </c>
      <c r="J118" s="114" t="s">
        <v>147</v>
      </c>
      <c r="K118" s="112" t="s">
        <v>1162</v>
      </c>
      <c r="L118" s="111" t="s">
        <v>885</v>
      </c>
      <c r="M118" s="112">
        <f t="shared" si="32"/>
        <v>52.66</v>
      </c>
      <c r="N118" s="114">
        <f t="shared" si="33"/>
        <v>25</v>
      </c>
      <c r="O118" s="119">
        <f t="shared" si="34"/>
        <v>1316.5</v>
      </c>
      <c r="P118" s="119">
        <f t="shared" si="35"/>
        <v>1311.4195</v>
      </c>
      <c r="Q118" s="120">
        <f t="shared" si="36"/>
        <v>0.99614090391188759</v>
      </c>
      <c r="R118" s="114" t="str">
        <f t="shared" si="37"/>
        <v>30+%</v>
      </c>
      <c r="S118" s="113">
        <f t="shared" si="38"/>
        <v>5.0805000000000007</v>
      </c>
      <c r="T118" s="113">
        <f t="shared" si="39"/>
        <v>0.20322000000000001</v>
      </c>
      <c r="U118" s="114" t="s">
        <v>1164</v>
      </c>
      <c r="V118" s="114" t="s">
        <v>161</v>
      </c>
      <c r="W118" s="121"/>
      <c r="X118" s="132">
        <v>101.61</v>
      </c>
      <c r="Z118" s="114">
        <v>0</v>
      </c>
      <c r="AA118" s="114" t="s">
        <v>172</v>
      </c>
      <c r="AB118" s="114">
        <v>500</v>
      </c>
      <c r="AC118" s="114" t="s">
        <v>266</v>
      </c>
      <c r="AD118" s="114" t="s">
        <v>1165</v>
      </c>
      <c r="AE118" s="114" t="s">
        <v>2932</v>
      </c>
      <c r="AF118" s="114" t="s">
        <v>119</v>
      </c>
      <c r="AG118" s="114" t="s">
        <v>2929</v>
      </c>
      <c r="AH118" s="114" t="s">
        <v>2859</v>
      </c>
      <c r="AI118" s="114" t="s">
        <v>151</v>
      </c>
      <c r="AJ118" s="132" t="s">
        <v>3125</v>
      </c>
    </row>
    <row r="119" spans="1:36" s="114" customFormat="1" ht="29" x14ac:dyDescent="0.35">
      <c r="A119" s="114">
        <v>170</v>
      </c>
      <c r="B119" s="114" t="s">
        <v>1186</v>
      </c>
      <c r="F119" s="111" t="s">
        <v>1184</v>
      </c>
      <c r="G119" s="111" t="s">
        <v>142</v>
      </c>
      <c r="H119" s="111" t="s">
        <v>1183</v>
      </c>
      <c r="I119" s="111" t="b">
        <v>0</v>
      </c>
      <c r="J119" s="114" t="s">
        <v>147</v>
      </c>
      <c r="K119" s="112" t="s">
        <v>1185</v>
      </c>
      <c r="L119" s="111" t="s">
        <v>181</v>
      </c>
      <c r="M119" s="112">
        <f t="shared" si="32"/>
        <v>89.85</v>
      </c>
      <c r="N119" s="114">
        <f t="shared" si="33"/>
        <v>14</v>
      </c>
      <c r="O119" s="119">
        <f t="shared" si="34"/>
        <v>1257.8999999999999</v>
      </c>
      <c r="P119" s="119">
        <f t="shared" si="35"/>
        <v>-1165.7800000000004</v>
      </c>
      <c r="Q119" s="120">
        <f t="shared" si="36"/>
        <v>-0.9267668336115753</v>
      </c>
      <c r="R119" s="114" t="str">
        <f t="shared" si="37"/>
        <v>Negative</v>
      </c>
      <c r="S119" s="113">
        <f t="shared" si="38"/>
        <v>2423.6800000000003</v>
      </c>
      <c r="T119" s="113">
        <f t="shared" si="39"/>
        <v>173.12</v>
      </c>
      <c r="U119" s="114" t="s">
        <v>1187</v>
      </c>
      <c r="V119" s="114" t="s">
        <v>150</v>
      </c>
      <c r="W119" s="121"/>
      <c r="X119" s="132">
        <v>173.12</v>
      </c>
      <c r="Z119" s="114">
        <v>0</v>
      </c>
      <c r="AA119" s="114" t="s">
        <v>154</v>
      </c>
      <c r="AB119" s="114">
        <v>1</v>
      </c>
      <c r="AC119" s="114" t="s">
        <v>274</v>
      </c>
      <c r="AD119" s="114">
        <v>10025432</v>
      </c>
      <c r="AE119" s="114" t="s">
        <v>3020</v>
      </c>
      <c r="AF119" s="114" t="s">
        <v>119</v>
      </c>
      <c r="AG119" s="114" t="s">
        <v>2949</v>
      </c>
      <c r="AH119" s="114" t="s">
        <v>2944</v>
      </c>
      <c r="AI119" s="114" t="s">
        <v>151</v>
      </c>
      <c r="AJ119" s="132" t="s">
        <v>3125</v>
      </c>
    </row>
    <row r="120" spans="1:36" s="114" customFormat="1" ht="29" x14ac:dyDescent="0.35">
      <c r="A120" s="114">
        <v>173</v>
      </c>
      <c r="B120" s="114" t="s">
        <v>1203</v>
      </c>
      <c r="F120" s="111" t="s">
        <v>1201</v>
      </c>
      <c r="G120" s="111" t="s">
        <v>142</v>
      </c>
      <c r="H120" s="111" t="s">
        <v>1200</v>
      </c>
      <c r="I120" s="111" t="b">
        <v>0</v>
      </c>
      <c r="J120" s="114" t="s">
        <v>147</v>
      </c>
      <c r="K120" s="112" t="s">
        <v>1202</v>
      </c>
      <c r="L120" s="111" t="s">
        <v>233</v>
      </c>
      <c r="M120" s="112">
        <f t="shared" si="32"/>
        <v>4.29</v>
      </c>
      <c r="N120" s="114">
        <f t="shared" si="33"/>
        <v>282</v>
      </c>
      <c r="O120" s="119">
        <f t="shared" si="34"/>
        <v>1209.78</v>
      </c>
      <c r="P120" s="119">
        <f t="shared" si="35"/>
        <v>1191.5909999999999</v>
      </c>
      <c r="Q120" s="120">
        <f t="shared" si="36"/>
        <v>0.98496503496503485</v>
      </c>
      <c r="R120" s="114" t="str">
        <f t="shared" si="37"/>
        <v>30+%</v>
      </c>
      <c r="S120" s="113">
        <f t="shared" si="38"/>
        <v>18.189</v>
      </c>
      <c r="T120" s="113">
        <f t="shared" si="39"/>
        <v>6.4500000000000002E-2</v>
      </c>
      <c r="U120" s="114" t="s">
        <v>1204</v>
      </c>
      <c r="V120" s="114" t="s">
        <v>150</v>
      </c>
      <c r="W120" s="121"/>
      <c r="X120" s="132">
        <v>6.45</v>
      </c>
      <c r="Z120" s="114">
        <v>0</v>
      </c>
      <c r="AA120" s="114" t="s">
        <v>172</v>
      </c>
      <c r="AB120" s="114">
        <v>100</v>
      </c>
      <c r="AC120" s="114" t="s">
        <v>171</v>
      </c>
      <c r="AD120" s="114" t="s">
        <v>1204</v>
      </c>
      <c r="AE120" s="114" t="s">
        <v>2983</v>
      </c>
      <c r="AF120" s="114" t="s">
        <v>119</v>
      </c>
      <c r="AG120" s="114" t="s">
        <v>2984</v>
      </c>
      <c r="AH120" s="114" t="s">
        <v>2873</v>
      </c>
      <c r="AI120" s="114" t="s">
        <v>3130</v>
      </c>
      <c r="AJ120" s="132" t="s">
        <v>3125</v>
      </c>
    </row>
    <row r="121" spans="1:36" s="114" customFormat="1" ht="29" x14ac:dyDescent="0.35">
      <c r="A121" s="114">
        <v>177</v>
      </c>
      <c r="B121" s="114" t="s">
        <v>1224</v>
      </c>
      <c r="F121" s="111" t="s">
        <v>1222</v>
      </c>
      <c r="G121" s="111" t="s">
        <v>142</v>
      </c>
      <c r="H121" s="111" t="s">
        <v>1221</v>
      </c>
      <c r="I121" s="111" t="b">
        <v>0</v>
      </c>
      <c r="J121" s="114" t="s">
        <v>147</v>
      </c>
      <c r="K121" s="112" t="s">
        <v>1223</v>
      </c>
      <c r="L121" s="111" t="s">
        <v>797</v>
      </c>
      <c r="M121" s="112">
        <f t="shared" si="32"/>
        <v>41.24</v>
      </c>
      <c r="N121" s="114">
        <f t="shared" si="33"/>
        <v>28</v>
      </c>
      <c r="O121" s="119">
        <f t="shared" si="34"/>
        <v>1154.72</v>
      </c>
      <c r="P121" s="119">
        <f t="shared" si="35"/>
        <v>-5538.96</v>
      </c>
      <c r="Q121" s="120">
        <f t="shared" si="36"/>
        <v>-4.7967992240543165</v>
      </c>
      <c r="R121" s="114" t="str">
        <f t="shared" si="37"/>
        <v>Negative</v>
      </c>
      <c r="S121" s="113">
        <f t="shared" si="38"/>
        <v>6693.68</v>
      </c>
      <c r="T121" s="113">
        <f t="shared" si="39"/>
        <v>239.06</v>
      </c>
      <c r="U121" s="114" t="s">
        <v>1225</v>
      </c>
      <c r="V121" s="114" t="s">
        <v>273</v>
      </c>
      <c r="W121" s="121"/>
      <c r="X121" s="132">
        <v>239.06</v>
      </c>
      <c r="Z121" s="114">
        <v>0</v>
      </c>
      <c r="AA121" s="114" t="s">
        <v>154</v>
      </c>
      <c r="AB121" s="114">
        <v>1</v>
      </c>
      <c r="AC121" s="114" t="s">
        <v>1227</v>
      </c>
      <c r="AD121" s="114" t="s">
        <v>1226</v>
      </c>
      <c r="AE121" s="114" t="s">
        <v>3043</v>
      </c>
      <c r="AF121" s="114" t="s">
        <v>119</v>
      </c>
      <c r="AG121" s="114" t="s">
        <v>3044</v>
      </c>
      <c r="AH121" s="114" t="s">
        <v>3008</v>
      </c>
      <c r="AI121" s="114" t="s">
        <v>151</v>
      </c>
      <c r="AJ121" s="132" t="s">
        <v>3125</v>
      </c>
    </row>
    <row r="122" spans="1:36" s="114" customFormat="1" ht="43.5" x14ac:dyDescent="0.35">
      <c r="A122" s="114">
        <v>178</v>
      </c>
      <c r="B122" s="114" t="s">
        <v>1231</v>
      </c>
      <c r="F122" s="111" t="s">
        <v>1229</v>
      </c>
      <c r="G122" s="111" t="s">
        <v>142</v>
      </c>
      <c r="H122" s="111" t="s">
        <v>1228</v>
      </c>
      <c r="I122" s="111" t="b">
        <v>0</v>
      </c>
      <c r="J122" s="114" t="s">
        <v>147</v>
      </c>
      <c r="K122" s="112" t="s">
        <v>1230</v>
      </c>
      <c r="L122" s="111" t="s">
        <v>203</v>
      </c>
      <c r="M122" s="112">
        <f t="shared" si="32"/>
        <v>9.6</v>
      </c>
      <c r="N122" s="114">
        <f t="shared" si="33"/>
        <v>120</v>
      </c>
      <c r="O122" s="119">
        <f t="shared" si="34"/>
        <v>1152</v>
      </c>
      <c r="P122" s="119">
        <f t="shared" si="35"/>
        <v>1139.82</v>
      </c>
      <c r="Q122" s="120">
        <f t="shared" si="36"/>
        <v>0.98942708333333329</v>
      </c>
      <c r="R122" s="114" t="str">
        <f t="shared" si="37"/>
        <v>30+%</v>
      </c>
      <c r="S122" s="113">
        <f t="shared" si="38"/>
        <v>12.180000000000001</v>
      </c>
      <c r="T122" s="113">
        <f t="shared" si="39"/>
        <v>0.10150000000000001</v>
      </c>
      <c r="U122" s="114" t="s">
        <v>1232</v>
      </c>
      <c r="V122" s="114" t="s">
        <v>150</v>
      </c>
      <c r="W122" s="121"/>
      <c r="X122" s="132">
        <v>10.15</v>
      </c>
      <c r="Z122" s="114">
        <v>0</v>
      </c>
      <c r="AA122" s="114" t="s">
        <v>172</v>
      </c>
      <c r="AB122" s="114">
        <v>100</v>
      </c>
      <c r="AC122" s="114" t="s">
        <v>171</v>
      </c>
      <c r="AD122" s="114" t="s">
        <v>1232</v>
      </c>
      <c r="AE122" s="114" t="s">
        <v>2981</v>
      </c>
      <c r="AF122" s="114" t="s">
        <v>119</v>
      </c>
      <c r="AG122" s="114" t="s">
        <v>2982</v>
      </c>
      <c r="AH122" s="114" t="s">
        <v>2903</v>
      </c>
      <c r="AI122" s="114" t="s">
        <v>3130</v>
      </c>
      <c r="AJ122" s="132" t="s">
        <v>3125</v>
      </c>
    </row>
    <row r="123" spans="1:36" s="114" customFormat="1" ht="43.5" x14ac:dyDescent="0.35">
      <c r="A123" s="114">
        <v>179</v>
      </c>
      <c r="B123" s="114" t="s">
        <v>1236</v>
      </c>
      <c r="F123" s="111" t="s">
        <v>1234</v>
      </c>
      <c r="G123" s="111" t="s">
        <v>142</v>
      </c>
      <c r="H123" s="111" t="s">
        <v>1233</v>
      </c>
      <c r="I123" s="111" t="b">
        <v>0</v>
      </c>
      <c r="J123" s="114" t="s">
        <v>147</v>
      </c>
      <c r="K123" s="112" t="s">
        <v>1235</v>
      </c>
      <c r="L123" s="111" t="s">
        <v>694</v>
      </c>
      <c r="M123" s="112">
        <f t="shared" si="32"/>
        <v>11.86</v>
      </c>
      <c r="N123" s="114">
        <f t="shared" si="33"/>
        <v>96</v>
      </c>
      <c r="O123" s="119">
        <f t="shared" si="34"/>
        <v>1138.56</v>
      </c>
      <c r="P123" s="119">
        <f t="shared" si="35"/>
        <v>-3207.36</v>
      </c>
      <c r="Q123" s="120">
        <f t="shared" si="36"/>
        <v>-2.8170320404721756</v>
      </c>
      <c r="R123" s="114" t="str">
        <f t="shared" si="37"/>
        <v>Negative</v>
      </c>
      <c r="S123" s="113">
        <f t="shared" si="38"/>
        <v>4345.92</v>
      </c>
      <c r="T123" s="113">
        <f t="shared" si="39"/>
        <v>45.27</v>
      </c>
      <c r="U123" s="114" t="s">
        <v>1237</v>
      </c>
      <c r="V123" s="114" t="s">
        <v>150</v>
      </c>
      <c r="W123" s="121"/>
      <c r="X123" s="132">
        <v>45.27</v>
      </c>
      <c r="Z123" s="114">
        <v>0</v>
      </c>
      <c r="AA123" s="114" t="s">
        <v>213</v>
      </c>
      <c r="AB123" s="114">
        <v>1</v>
      </c>
      <c r="AC123" s="114" t="s">
        <v>1239</v>
      </c>
      <c r="AD123" s="114" t="s">
        <v>1238</v>
      </c>
      <c r="AE123" s="114" t="s">
        <v>2996</v>
      </c>
      <c r="AF123" s="114" t="s">
        <v>119</v>
      </c>
      <c r="AG123" s="114" t="s">
        <v>2972</v>
      </c>
      <c r="AH123" s="114" t="s">
        <v>2903</v>
      </c>
      <c r="AI123" s="114" t="s">
        <v>151</v>
      </c>
      <c r="AJ123" s="132" t="s">
        <v>3125</v>
      </c>
    </row>
    <row r="124" spans="1:36" s="114" customFormat="1" ht="43.5" x14ac:dyDescent="0.35">
      <c r="A124" s="114">
        <v>181</v>
      </c>
      <c r="B124" s="114" t="s">
        <v>1251</v>
      </c>
      <c r="F124" s="111" t="s">
        <v>1248</v>
      </c>
      <c r="G124" s="111" t="s">
        <v>142</v>
      </c>
      <c r="H124" s="111" t="s">
        <v>1247</v>
      </c>
      <c r="I124" s="111" t="b">
        <v>0</v>
      </c>
      <c r="J124" s="114" t="s">
        <v>147</v>
      </c>
      <c r="K124" s="112" t="s">
        <v>1250</v>
      </c>
      <c r="L124" s="111" t="s">
        <v>1249</v>
      </c>
      <c r="M124" s="112">
        <f t="shared" si="32"/>
        <v>2.84</v>
      </c>
      <c r="N124" s="114">
        <f t="shared" si="33"/>
        <v>396</v>
      </c>
      <c r="O124" s="119">
        <f t="shared" si="34"/>
        <v>1124.6399999999999</v>
      </c>
      <c r="P124" s="119">
        <f t="shared" si="35"/>
        <v>-889.02000000000021</v>
      </c>
      <c r="Q124" s="120">
        <f t="shared" si="36"/>
        <v>-0.7904929577464791</v>
      </c>
      <c r="R124" s="114" t="str">
        <f t="shared" si="37"/>
        <v>Negative</v>
      </c>
      <c r="S124" s="113">
        <f t="shared" si="38"/>
        <v>2013.66</v>
      </c>
      <c r="T124" s="113">
        <f t="shared" si="39"/>
        <v>5.085</v>
      </c>
      <c r="U124" s="114" t="s">
        <v>1252</v>
      </c>
      <c r="V124" s="114" t="s">
        <v>161</v>
      </c>
      <c r="W124" s="121"/>
      <c r="X124" s="132">
        <v>61.02</v>
      </c>
      <c r="Z124" s="114">
        <v>0</v>
      </c>
      <c r="AA124" s="114" t="s">
        <v>172</v>
      </c>
      <c r="AB124" s="114">
        <v>12</v>
      </c>
      <c r="AC124" s="114" t="s">
        <v>357</v>
      </c>
      <c r="AD124" s="114" t="s">
        <v>1253</v>
      </c>
      <c r="AE124" s="114" t="s">
        <v>3042</v>
      </c>
      <c r="AF124" s="114" t="s">
        <v>119</v>
      </c>
      <c r="AG124" s="114" t="s">
        <v>2967</v>
      </c>
      <c r="AH124" s="114" t="s">
        <v>2903</v>
      </c>
      <c r="AI124" s="114" t="s">
        <v>151</v>
      </c>
      <c r="AJ124" s="132" t="s">
        <v>3125</v>
      </c>
    </row>
    <row r="125" spans="1:36" s="114" customFormat="1" ht="43.5" x14ac:dyDescent="0.35">
      <c r="A125" s="114">
        <v>183</v>
      </c>
      <c r="B125" s="114" t="s">
        <v>1262</v>
      </c>
      <c r="F125" s="111" t="s">
        <v>1260</v>
      </c>
      <c r="G125" s="111" t="s">
        <v>142</v>
      </c>
      <c r="H125" s="111" t="s">
        <v>1259</v>
      </c>
      <c r="I125" s="111" t="b">
        <v>0</v>
      </c>
      <c r="J125" s="114" t="s">
        <v>147</v>
      </c>
      <c r="K125" s="112" t="s">
        <v>1261</v>
      </c>
      <c r="L125" s="111" t="s">
        <v>1087</v>
      </c>
      <c r="M125" s="112">
        <f t="shared" si="32"/>
        <v>12.1</v>
      </c>
      <c r="N125" s="114">
        <f t="shared" si="33"/>
        <v>92</v>
      </c>
      <c r="O125" s="119">
        <f t="shared" si="34"/>
        <v>1113.2</v>
      </c>
      <c r="P125" s="119">
        <f t="shared" si="35"/>
        <v>-1197.8399999999999</v>
      </c>
      <c r="Q125" s="120">
        <f t="shared" si="36"/>
        <v>-1.0760330578512396</v>
      </c>
      <c r="R125" s="114" t="str">
        <f t="shared" si="37"/>
        <v>Negative</v>
      </c>
      <c r="S125" s="113">
        <f t="shared" si="38"/>
        <v>2311.04</v>
      </c>
      <c r="T125" s="113">
        <f t="shared" si="39"/>
        <v>25.12</v>
      </c>
      <c r="U125" s="114" t="s">
        <v>1263</v>
      </c>
      <c r="V125" s="114" t="s">
        <v>150</v>
      </c>
      <c r="W125" s="121"/>
      <c r="X125" s="132">
        <v>25.12</v>
      </c>
      <c r="Z125" s="114">
        <v>0</v>
      </c>
      <c r="AA125" s="114" t="s">
        <v>213</v>
      </c>
      <c r="AB125" s="114">
        <v>1</v>
      </c>
      <c r="AC125" s="114" t="s">
        <v>1265</v>
      </c>
      <c r="AD125" s="114" t="s">
        <v>1264</v>
      </c>
      <c r="AE125" s="114" t="s">
        <v>3040</v>
      </c>
      <c r="AF125" s="114" t="s">
        <v>119</v>
      </c>
      <c r="AG125" s="114" t="s">
        <v>2972</v>
      </c>
      <c r="AH125" s="114" t="s">
        <v>2903</v>
      </c>
      <c r="AI125" s="114" t="s">
        <v>151</v>
      </c>
      <c r="AJ125" s="132" t="s">
        <v>3125</v>
      </c>
    </row>
    <row r="126" spans="1:36" s="114" customFormat="1" ht="43.5" x14ac:dyDescent="0.35">
      <c r="A126" s="114">
        <v>185</v>
      </c>
      <c r="B126" s="114" t="s">
        <v>1275</v>
      </c>
      <c r="F126" s="111" t="s">
        <v>1273</v>
      </c>
      <c r="G126" s="111" t="s">
        <v>142</v>
      </c>
      <c r="H126" s="111" t="s">
        <v>1272</v>
      </c>
      <c r="I126" s="111" t="b">
        <v>0</v>
      </c>
      <c r="J126" s="114" t="s">
        <v>147</v>
      </c>
      <c r="K126" s="112" t="s">
        <v>1274</v>
      </c>
      <c r="L126" s="111" t="s">
        <v>520</v>
      </c>
      <c r="M126" s="112">
        <f t="shared" si="32"/>
        <v>91.62</v>
      </c>
      <c r="N126" s="114">
        <f t="shared" si="33"/>
        <v>12</v>
      </c>
      <c r="O126" s="119">
        <f t="shared" si="34"/>
        <v>1099.44</v>
      </c>
      <c r="P126" s="119">
        <f t="shared" si="35"/>
        <v>-1443.8399999999997</v>
      </c>
      <c r="Q126" s="120">
        <f t="shared" si="36"/>
        <v>-1.3132503820126606</v>
      </c>
      <c r="R126" s="114" t="str">
        <f t="shared" si="37"/>
        <v>Negative</v>
      </c>
      <c r="S126" s="113">
        <f t="shared" si="38"/>
        <v>2543.2799999999997</v>
      </c>
      <c r="T126" s="113">
        <f t="shared" si="39"/>
        <v>211.94</v>
      </c>
      <c r="U126" s="114" t="s">
        <v>219</v>
      </c>
      <c r="V126" s="114" t="s">
        <v>150</v>
      </c>
      <c r="W126" s="121"/>
      <c r="X126" s="132">
        <v>211.94</v>
      </c>
      <c r="Z126" s="114">
        <v>0</v>
      </c>
      <c r="AA126" s="114" t="s">
        <v>154</v>
      </c>
      <c r="AB126" s="114">
        <v>1</v>
      </c>
      <c r="AC126" s="114" t="s">
        <v>221</v>
      </c>
      <c r="AD126" s="114" t="s">
        <v>220</v>
      </c>
      <c r="AE126" s="114" t="s">
        <v>2960</v>
      </c>
      <c r="AF126" s="114" t="s">
        <v>119</v>
      </c>
      <c r="AG126" s="114" t="s">
        <v>2962</v>
      </c>
      <c r="AH126" s="114" t="s">
        <v>2961</v>
      </c>
      <c r="AI126" s="114" t="s">
        <v>151</v>
      </c>
      <c r="AJ126" s="132" t="s">
        <v>3125</v>
      </c>
    </row>
    <row r="127" spans="1:36" s="114" customFormat="1" ht="43.5" x14ac:dyDescent="0.35">
      <c r="A127" s="114">
        <v>187</v>
      </c>
      <c r="B127" s="114" t="s">
        <v>1284</v>
      </c>
      <c r="F127" s="111" t="s">
        <v>1282</v>
      </c>
      <c r="G127" s="111" t="s">
        <v>142</v>
      </c>
      <c r="H127" s="111" t="s">
        <v>1281</v>
      </c>
      <c r="I127" s="111" t="b">
        <v>0</v>
      </c>
      <c r="J127" s="114" t="s">
        <v>147</v>
      </c>
      <c r="K127" s="112" t="s">
        <v>1283</v>
      </c>
      <c r="L127" s="111" t="s">
        <v>169</v>
      </c>
      <c r="M127" s="112">
        <f t="shared" si="32"/>
        <v>4.9800000000000004</v>
      </c>
      <c r="N127" s="114">
        <f t="shared" si="33"/>
        <v>216</v>
      </c>
      <c r="O127" s="119">
        <f t="shared" si="34"/>
        <v>1075.68</v>
      </c>
      <c r="P127" s="119">
        <f t="shared" si="35"/>
        <v>-971.28</v>
      </c>
      <c r="Q127" s="120">
        <f t="shared" si="36"/>
        <v>-0.90294511378848719</v>
      </c>
      <c r="R127" s="114" t="str">
        <f t="shared" si="37"/>
        <v>Negative</v>
      </c>
      <c r="S127" s="113">
        <f t="shared" si="38"/>
        <v>2046.96</v>
      </c>
      <c r="T127" s="113">
        <f t="shared" si="39"/>
        <v>9.4766666666666666</v>
      </c>
      <c r="U127" s="114" t="s">
        <v>1285</v>
      </c>
      <c r="V127" s="114" t="s">
        <v>161</v>
      </c>
      <c r="W127" s="121"/>
      <c r="X127" s="132">
        <v>113.72</v>
      </c>
      <c r="Z127" s="114">
        <v>0</v>
      </c>
      <c r="AA127" s="114" t="s">
        <v>172</v>
      </c>
      <c r="AB127" s="114">
        <v>12</v>
      </c>
      <c r="AC127" s="114" t="s">
        <v>357</v>
      </c>
      <c r="AD127" s="114" t="s">
        <v>1286</v>
      </c>
      <c r="AE127" s="114" t="s">
        <v>3041</v>
      </c>
      <c r="AF127" s="114" t="s">
        <v>119</v>
      </c>
      <c r="AG127" s="114" t="s">
        <v>2967</v>
      </c>
      <c r="AH127" s="114" t="s">
        <v>2903</v>
      </c>
      <c r="AI127" s="114" t="s">
        <v>151</v>
      </c>
      <c r="AJ127" s="132" t="s">
        <v>3125</v>
      </c>
    </row>
    <row r="128" spans="1:36" s="114" customFormat="1" ht="43.5" x14ac:dyDescent="0.35">
      <c r="A128" s="114">
        <v>189</v>
      </c>
      <c r="B128" s="114" t="s">
        <v>1296</v>
      </c>
      <c r="F128" s="111" t="s">
        <v>1294</v>
      </c>
      <c r="G128" s="111" t="s">
        <v>142</v>
      </c>
      <c r="H128" s="111" t="s">
        <v>1293</v>
      </c>
      <c r="I128" s="111" t="b">
        <v>0</v>
      </c>
      <c r="J128" s="114" t="s">
        <v>147</v>
      </c>
      <c r="K128" s="112" t="s">
        <v>1295</v>
      </c>
      <c r="L128" s="111" t="s">
        <v>169</v>
      </c>
      <c r="M128" s="112">
        <f t="shared" si="32"/>
        <v>4.95</v>
      </c>
      <c r="N128" s="114">
        <f t="shared" si="33"/>
        <v>216</v>
      </c>
      <c r="O128" s="119">
        <f t="shared" si="34"/>
        <v>1069.2</v>
      </c>
      <c r="P128" s="119">
        <f t="shared" si="35"/>
        <v>-977.76</v>
      </c>
      <c r="Q128" s="120">
        <f t="shared" si="36"/>
        <v>-0.91447811447811445</v>
      </c>
      <c r="R128" s="114" t="str">
        <f t="shared" si="37"/>
        <v>Negative</v>
      </c>
      <c r="S128" s="113">
        <f t="shared" si="38"/>
        <v>2046.96</v>
      </c>
      <c r="T128" s="113">
        <f t="shared" si="39"/>
        <v>9.4766666666666666</v>
      </c>
      <c r="U128" s="114" t="s">
        <v>1297</v>
      </c>
      <c r="V128" s="114" t="s">
        <v>161</v>
      </c>
      <c r="W128" s="121"/>
      <c r="X128" s="132">
        <v>113.72</v>
      </c>
      <c r="Z128" s="114">
        <v>0</v>
      </c>
      <c r="AA128" s="114" t="s">
        <v>172</v>
      </c>
      <c r="AB128" s="114">
        <v>12</v>
      </c>
      <c r="AC128" s="114" t="s">
        <v>357</v>
      </c>
      <c r="AD128" s="114" t="s">
        <v>1298</v>
      </c>
      <c r="AE128" s="114" t="s">
        <v>3036</v>
      </c>
      <c r="AF128" s="114" t="s">
        <v>119</v>
      </c>
      <c r="AG128" s="114" t="s">
        <v>2967</v>
      </c>
      <c r="AH128" s="114" t="s">
        <v>2903</v>
      </c>
      <c r="AI128" s="114" t="s">
        <v>151</v>
      </c>
      <c r="AJ128" s="132" t="s">
        <v>3125</v>
      </c>
    </row>
    <row r="129" spans="1:36" s="114" customFormat="1" ht="43.5" x14ac:dyDescent="0.35">
      <c r="A129" s="114">
        <v>195</v>
      </c>
      <c r="B129" s="114" t="s">
        <v>1329</v>
      </c>
      <c r="F129" s="111" t="s">
        <v>1327</v>
      </c>
      <c r="G129" s="111" t="s">
        <v>142</v>
      </c>
      <c r="H129" s="111" t="s">
        <v>1326</v>
      </c>
      <c r="I129" s="111" t="b">
        <v>0</v>
      </c>
      <c r="J129" s="114" t="s">
        <v>147</v>
      </c>
      <c r="K129" s="112" t="s">
        <v>1328</v>
      </c>
      <c r="L129" s="111" t="s">
        <v>1074</v>
      </c>
      <c r="M129" s="112">
        <f t="shared" si="32"/>
        <v>8.18</v>
      </c>
      <c r="N129" s="114">
        <f t="shared" si="33"/>
        <v>126</v>
      </c>
      <c r="O129" s="119">
        <f t="shared" si="34"/>
        <v>1030.68</v>
      </c>
      <c r="P129" s="119">
        <f t="shared" si="35"/>
        <v>-1103.0249999999999</v>
      </c>
      <c r="Q129" s="120">
        <f t="shared" si="36"/>
        <v>-1.0701915240423796</v>
      </c>
      <c r="R129" s="114" t="str">
        <f t="shared" si="37"/>
        <v>Negative</v>
      </c>
      <c r="S129" s="113">
        <f t="shared" si="38"/>
        <v>2133.7049999999999</v>
      </c>
      <c r="T129" s="113">
        <f t="shared" si="39"/>
        <v>16.934166666666666</v>
      </c>
      <c r="U129" s="114" t="s">
        <v>1330</v>
      </c>
      <c r="V129" s="114" t="s">
        <v>161</v>
      </c>
      <c r="W129" s="121"/>
      <c r="X129" s="132">
        <v>203.21</v>
      </c>
      <c r="Z129" s="114">
        <v>0</v>
      </c>
      <c r="AA129" s="114" t="s">
        <v>172</v>
      </c>
      <c r="AB129" s="114">
        <v>12</v>
      </c>
      <c r="AC129" s="114" t="s">
        <v>677</v>
      </c>
      <c r="AD129" s="114" t="s">
        <v>1331</v>
      </c>
      <c r="AE129" s="114" t="s">
        <v>3096</v>
      </c>
      <c r="AF129" s="114" t="s">
        <v>119</v>
      </c>
      <c r="AG129" s="114" t="s">
        <v>2904</v>
      </c>
      <c r="AH129" s="114" t="s">
        <v>2903</v>
      </c>
      <c r="AI129" s="114" t="s">
        <v>151</v>
      </c>
      <c r="AJ129" s="132" t="s">
        <v>3125</v>
      </c>
    </row>
    <row r="130" spans="1:36" s="114" customFormat="1" ht="43.5" x14ac:dyDescent="0.35">
      <c r="A130" s="114">
        <v>196</v>
      </c>
      <c r="B130" s="114" t="s">
        <v>1335</v>
      </c>
      <c r="F130" s="111" t="s">
        <v>1333</v>
      </c>
      <c r="G130" s="111" t="s">
        <v>142</v>
      </c>
      <c r="H130" s="111" t="s">
        <v>1332</v>
      </c>
      <c r="I130" s="111" t="b">
        <v>0</v>
      </c>
      <c r="J130" s="114" t="s">
        <v>147</v>
      </c>
      <c r="K130" s="112" t="s">
        <v>1334</v>
      </c>
      <c r="L130" s="111" t="s">
        <v>712</v>
      </c>
      <c r="M130" s="112">
        <f t="shared" si="32"/>
        <v>21.95</v>
      </c>
      <c r="N130" s="114">
        <f t="shared" si="33"/>
        <v>46</v>
      </c>
      <c r="O130" s="119">
        <f t="shared" si="34"/>
        <v>1009.6999999999999</v>
      </c>
      <c r="P130" s="119">
        <f t="shared" si="35"/>
        <v>1003.2669</v>
      </c>
      <c r="Q130" s="120">
        <f t="shared" si="36"/>
        <v>0.99362870159453309</v>
      </c>
      <c r="R130" s="114" t="str">
        <f t="shared" si="37"/>
        <v>30+%</v>
      </c>
      <c r="S130" s="113">
        <f t="shared" si="38"/>
        <v>6.4331000000000005</v>
      </c>
      <c r="T130" s="113">
        <f t="shared" si="39"/>
        <v>0.13985</v>
      </c>
      <c r="U130" s="114" t="s">
        <v>1336</v>
      </c>
      <c r="V130" s="114" t="s">
        <v>150</v>
      </c>
      <c r="W130" s="121"/>
      <c r="X130" s="132">
        <v>27.97</v>
      </c>
      <c r="Z130" s="114">
        <v>0</v>
      </c>
      <c r="AA130" s="114" t="s">
        <v>172</v>
      </c>
      <c r="AB130" s="114">
        <v>200</v>
      </c>
      <c r="AC130" s="114" t="s">
        <v>266</v>
      </c>
      <c r="AD130" s="114" t="s">
        <v>1337</v>
      </c>
      <c r="AE130" s="114" t="s">
        <v>2941</v>
      </c>
      <c r="AF130" s="114" t="s">
        <v>119</v>
      </c>
      <c r="AG130" s="114" t="s">
        <v>2860</v>
      </c>
      <c r="AH130" s="114" t="s">
        <v>2859</v>
      </c>
      <c r="AI130" s="114" t="s">
        <v>3130</v>
      </c>
      <c r="AJ130" s="132" t="s">
        <v>3125</v>
      </c>
    </row>
    <row r="131" spans="1:36" s="114" customFormat="1" ht="43.5" x14ac:dyDescent="0.35">
      <c r="A131" s="114">
        <v>199</v>
      </c>
      <c r="B131" s="114" t="s">
        <v>1354</v>
      </c>
      <c r="F131" s="111" t="s">
        <v>1352</v>
      </c>
      <c r="G131" s="111" t="s">
        <v>142</v>
      </c>
      <c r="H131" s="111" t="s">
        <v>1351</v>
      </c>
      <c r="I131" s="111" t="b">
        <v>0</v>
      </c>
      <c r="J131" s="114" t="s">
        <v>147</v>
      </c>
      <c r="K131" s="112" t="s">
        <v>1353</v>
      </c>
      <c r="L131" s="111" t="s">
        <v>914</v>
      </c>
      <c r="M131" s="112">
        <f t="shared" si="32"/>
        <v>11.84</v>
      </c>
      <c r="N131" s="114">
        <f t="shared" si="33"/>
        <v>84</v>
      </c>
      <c r="O131" s="119">
        <f t="shared" si="34"/>
        <v>994.56</v>
      </c>
      <c r="P131" s="119">
        <f t="shared" si="35"/>
        <v>-2808.1200000000003</v>
      </c>
      <c r="Q131" s="120">
        <f t="shared" si="36"/>
        <v>-2.8234797297297303</v>
      </c>
      <c r="R131" s="114" t="str">
        <f t="shared" si="37"/>
        <v>Negative</v>
      </c>
      <c r="S131" s="113">
        <f t="shared" si="38"/>
        <v>3802.6800000000003</v>
      </c>
      <c r="T131" s="113">
        <f t="shared" si="39"/>
        <v>45.27</v>
      </c>
      <c r="U131" s="114" t="s">
        <v>1355</v>
      </c>
      <c r="V131" s="114" t="s">
        <v>150</v>
      </c>
      <c r="W131" s="121"/>
      <c r="X131" s="132">
        <v>45.27</v>
      </c>
      <c r="Z131" s="114">
        <v>0</v>
      </c>
      <c r="AA131" s="114" t="s">
        <v>213</v>
      </c>
      <c r="AB131" s="114">
        <v>1</v>
      </c>
      <c r="AC131" s="114" t="s">
        <v>1239</v>
      </c>
      <c r="AD131" s="114" t="s">
        <v>1356</v>
      </c>
      <c r="AE131" s="114" t="s">
        <v>2994</v>
      </c>
      <c r="AF131" s="114" t="s">
        <v>119</v>
      </c>
      <c r="AG131" s="114" t="s">
        <v>2972</v>
      </c>
      <c r="AH131" s="114" t="s">
        <v>2903</v>
      </c>
      <c r="AI131" s="114" t="s">
        <v>151</v>
      </c>
      <c r="AJ131" s="132" t="s">
        <v>3125</v>
      </c>
    </row>
    <row r="132" spans="1:36" s="114" customFormat="1" ht="43.5" x14ac:dyDescent="0.35">
      <c r="A132" s="114">
        <v>200</v>
      </c>
      <c r="B132" s="114" t="s">
        <v>1360</v>
      </c>
      <c r="F132" s="111" t="s">
        <v>1358</v>
      </c>
      <c r="G132" s="111" t="s">
        <v>142</v>
      </c>
      <c r="H132" s="111" t="s">
        <v>1357</v>
      </c>
      <c r="I132" s="111" t="b">
        <v>0</v>
      </c>
      <c r="J132" s="114" t="s">
        <v>147</v>
      </c>
      <c r="K132" s="112" t="s">
        <v>1359</v>
      </c>
      <c r="L132" s="111" t="s">
        <v>361</v>
      </c>
      <c r="M132" s="112">
        <f t="shared" si="32"/>
        <v>6.77</v>
      </c>
      <c r="N132" s="114">
        <f t="shared" si="33"/>
        <v>145</v>
      </c>
      <c r="O132" s="119">
        <f t="shared" si="34"/>
        <v>981.65</v>
      </c>
      <c r="P132" s="119">
        <f t="shared" si="35"/>
        <v>-3764.1999999999994</v>
      </c>
      <c r="Q132" s="120">
        <f t="shared" si="36"/>
        <v>-3.8345642540620379</v>
      </c>
      <c r="R132" s="114" t="str">
        <f t="shared" si="37"/>
        <v>Negative</v>
      </c>
      <c r="S132" s="113">
        <f t="shared" si="38"/>
        <v>4745.8499999999995</v>
      </c>
      <c r="T132" s="113">
        <f t="shared" si="39"/>
        <v>32.729999999999997</v>
      </c>
      <c r="U132" s="114" t="s">
        <v>1361</v>
      </c>
      <c r="V132" s="114" t="s">
        <v>150</v>
      </c>
      <c r="W132" s="121"/>
      <c r="X132" s="132">
        <v>32.729999999999997</v>
      </c>
      <c r="Z132" s="114">
        <v>0</v>
      </c>
      <c r="AA132" s="114" t="s">
        <v>213</v>
      </c>
      <c r="AB132" s="114">
        <v>1</v>
      </c>
      <c r="AC132" s="114" t="s">
        <v>375</v>
      </c>
      <c r="AD132" s="114" t="s">
        <v>1362</v>
      </c>
      <c r="AE132" s="114" t="s">
        <v>2915</v>
      </c>
      <c r="AF132" s="114" t="s">
        <v>119</v>
      </c>
      <c r="AG132" s="114" t="s">
        <v>2904</v>
      </c>
      <c r="AH132" s="114" t="s">
        <v>2903</v>
      </c>
      <c r="AI132" s="114" t="s">
        <v>151</v>
      </c>
      <c r="AJ132" s="132" t="s">
        <v>3125</v>
      </c>
    </row>
    <row r="133" spans="1:36" s="114" customFormat="1" ht="43.5" x14ac:dyDescent="0.35">
      <c r="A133" s="114">
        <v>208</v>
      </c>
      <c r="B133" s="114" t="s">
        <v>1401</v>
      </c>
      <c r="F133" s="111" t="s">
        <v>1399</v>
      </c>
      <c r="G133" s="111" t="s">
        <v>142</v>
      </c>
      <c r="H133" s="111" t="s">
        <v>1398</v>
      </c>
      <c r="I133" s="111" t="b">
        <v>0</v>
      </c>
      <c r="J133" s="114" t="s">
        <v>147</v>
      </c>
      <c r="K133" s="112" t="s">
        <v>1400</v>
      </c>
      <c r="L133" s="111" t="s">
        <v>203</v>
      </c>
      <c r="M133" s="112">
        <f t="shared" si="32"/>
        <v>7.81</v>
      </c>
      <c r="N133" s="114">
        <f t="shared" si="33"/>
        <v>120</v>
      </c>
      <c r="O133" s="119">
        <f t="shared" si="34"/>
        <v>937.19999999999993</v>
      </c>
      <c r="P133" s="119">
        <f t="shared" si="35"/>
        <v>-1343.6000000000004</v>
      </c>
      <c r="Q133" s="120">
        <f t="shared" si="36"/>
        <v>-1.433632095603927</v>
      </c>
      <c r="R133" s="114" t="str">
        <f t="shared" si="37"/>
        <v>Negative</v>
      </c>
      <c r="S133" s="113">
        <f t="shared" si="38"/>
        <v>2280.8000000000002</v>
      </c>
      <c r="T133" s="113">
        <f t="shared" si="39"/>
        <v>19.006666666666668</v>
      </c>
      <c r="U133" s="114" t="s">
        <v>1402</v>
      </c>
      <c r="V133" s="114" t="s">
        <v>161</v>
      </c>
      <c r="W133" s="121"/>
      <c r="X133" s="132">
        <v>228.08</v>
      </c>
      <c r="Z133" s="114">
        <v>0</v>
      </c>
      <c r="AA133" s="114" t="s">
        <v>172</v>
      </c>
      <c r="AB133" s="114">
        <v>12</v>
      </c>
      <c r="AC133" s="114" t="s">
        <v>677</v>
      </c>
      <c r="AD133" s="114" t="s">
        <v>1403</v>
      </c>
      <c r="AE133" s="114" t="s">
        <v>3096</v>
      </c>
      <c r="AF133" s="114" t="s">
        <v>119</v>
      </c>
      <c r="AG133" s="114" t="s">
        <v>2904</v>
      </c>
      <c r="AH133" s="114" t="s">
        <v>2903</v>
      </c>
      <c r="AI133" s="114" t="s">
        <v>151</v>
      </c>
      <c r="AJ133" s="132" t="s">
        <v>3125</v>
      </c>
    </row>
    <row r="134" spans="1:36" s="114" customFormat="1" ht="43.5" x14ac:dyDescent="0.35">
      <c r="A134" s="114">
        <v>209</v>
      </c>
      <c r="B134" s="114" t="s">
        <v>1407</v>
      </c>
      <c r="F134" s="111" t="s">
        <v>1405</v>
      </c>
      <c r="G134" s="111" t="s">
        <v>142</v>
      </c>
      <c r="H134" s="111" t="s">
        <v>1404</v>
      </c>
      <c r="I134" s="111" t="b">
        <v>0</v>
      </c>
      <c r="J134" s="114" t="s">
        <v>147</v>
      </c>
      <c r="K134" s="112" t="s">
        <v>1406</v>
      </c>
      <c r="L134" s="111" t="s">
        <v>527</v>
      </c>
      <c r="M134" s="112">
        <f t="shared" si="32"/>
        <v>311.85000000000002</v>
      </c>
      <c r="N134" s="114">
        <f t="shared" si="33"/>
        <v>3</v>
      </c>
      <c r="O134" s="119">
        <f t="shared" si="34"/>
        <v>935.55000000000007</v>
      </c>
      <c r="P134" s="119">
        <f t="shared" si="35"/>
        <v>-1977.7799999999997</v>
      </c>
      <c r="Q134" s="120">
        <f t="shared" si="36"/>
        <v>-2.1140291806958471</v>
      </c>
      <c r="R134" s="114" t="str">
        <f t="shared" si="37"/>
        <v>Negative</v>
      </c>
      <c r="S134" s="113">
        <f t="shared" si="38"/>
        <v>2913.33</v>
      </c>
      <c r="T134" s="113">
        <f t="shared" si="39"/>
        <v>971.11</v>
      </c>
      <c r="U134" s="114" t="s">
        <v>1408</v>
      </c>
      <c r="V134" s="114" t="s">
        <v>273</v>
      </c>
      <c r="W134" s="121"/>
      <c r="X134" s="132">
        <v>971.11</v>
      </c>
      <c r="Z134" s="114">
        <v>0</v>
      </c>
      <c r="AA134" s="114" t="s">
        <v>154</v>
      </c>
      <c r="AB134" s="114">
        <v>1</v>
      </c>
      <c r="AC134" s="114" t="s">
        <v>243</v>
      </c>
      <c r="AD134" s="114" t="s">
        <v>1409</v>
      </c>
      <c r="AE134" s="114" t="s">
        <v>2951</v>
      </c>
      <c r="AF134" s="114" t="s">
        <v>119</v>
      </c>
      <c r="AG134" s="114" t="s">
        <v>2952</v>
      </c>
      <c r="AH134" s="114" t="s">
        <v>2944</v>
      </c>
      <c r="AI134" s="114" t="s">
        <v>151</v>
      </c>
      <c r="AJ134" s="132" t="s">
        <v>3125</v>
      </c>
    </row>
    <row r="135" spans="1:36" s="114" customFormat="1" ht="43.5" x14ac:dyDescent="0.35">
      <c r="A135" s="114">
        <v>213</v>
      </c>
      <c r="B135" s="114" t="s">
        <v>1429</v>
      </c>
      <c r="F135" s="111" t="s">
        <v>1427</v>
      </c>
      <c r="G135" s="111" t="s">
        <v>142</v>
      </c>
      <c r="H135" s="111" t="s">
        <v>1426</v>
      </c>
      <c r="I135" s="111" t="b">
        <v>0</v>
      </c>
      <c r="J135" s="114" t="s">
        <v>147</v>
      </c>
      <c r="K135" s="112" t="s">
        <v>1428</v>
      </c>
      <c r="L135" s="111" t="s">
        <v>1116</v>
      </c>
      <c r="M135" s="112">
        <f t="shared" si="32"/>
        <v>17.73</v>
      </c>
      <c r="N135" s="114">
        <f t="shared" si="33"/>
        <v>48</v>
      </c>
      <c r="O135" s="119">
        <f t="shared" si="34"/>
        <v>851.04</v>
      </c>
      <c r="P135" s="119">
        <f t="shared" si="35"/>
        <v>-840.48</v>
      </c>
      <c r="Q135" s="120">
        <f t="shared" si="36"/>
        <v>-0.9875916525662719</v>
      </c>
      <c r="R135" s="114" t="str">
        <f t="shared" si="37"/>
        <v>Negative</v>
      </c>
      <c r="S135" s="113">
        <f t="shared" si="38"/>
        <v>1691.52</v>
      </c>
      <c r="T135" s="113">
        <f t="shared" si="39"/>
        <v>35.24</v>
      </c>
      <c r="U135" s="114" t="s">
        <v>1430</v>
      </c>
      <c r="V135" s="114" t="s">
        <v>150</v>
      </c>
      <c r="W135" s="121"/>
      <c r="X135" s="132">
        <v>35.24</v>
      </c>
      <c r="Z135" s="114">
        <v>0</v>
      </c>
      <c r="AA135" s="114" t="s">
        <v>213</v>
      </c>
      <c r="AB135" s="114">
        <v>1</v>
      </c>
      <c r="AC135" s="114" t="s">
        <v>1265</v>
      </c>
      <c r="AD135" s="114" t="s">
        <v>1431</v>
      </c>
      <c r="AE135" s="114" t="s">
        <v>3038</v>
      </c>
      <c r="AF135" s="114" t="s">
        <v>119</v>
      </c>
      <c r="AG135" s="114" t="s">
        <v>2972</v>
      </c>
      <c r="AH135" s="114" t="s">
        <v>2903</v>
      </c>
      <c r="AI135" s="114" t="s">
        <v>151</v>
      </c>
      <c r="AJ135" s="132" t="s">
        <v>3125</v>
      </c>
    </row>
    <row r="136" spans="1:36" s="114" customFormat="1" ht="29" x14ac:dyDescent="0.35">
      <c r="A136" s="114">
        <v>217</v>
      </c>
      <c r="B136" s="114" t="s">
        <v>1452</v>
      </c>
      <c r="F136" s="111" t="s">
        <v>1450</v>
      </c>
      <c r="G136" s="111" t="s">
        <v>142</v>
      </c>
      <c r="H136" s="111" t="s">
        <v>1449</v>
      </c>
      <c r="I136" s="111" t="b">
        <v>0</v>
      </c>
      <c r="J136" s="114" t="s">
        <v>147</v>
      </c>
      <c r="K136" s="112" t="s">
        <v>1451</v>
      </c>
      <c r="L136" s="111" t="s">
        <v>820</v>
      </c>
      <c r="M136" s="112">
        <f t="shared" si="32"/>
        <v>90.45</v>
      </c>
      <c r="N136" s="114">
        <f t="shared" si="33"/>
        <v>9</v>
      </c>
      <c r="O136" s="119">
        <f t="shared" si="34"/>
        <v>814.05000000000007</v>
      </c>
      <c r="P136" s="119">
        <f t="shared" si="35"/>
        <v>-744.02999999999986</v>
      </c>
      <c r="Q136" s="120">
        <f t="shared" si="36"/>
        <v>-0.91398562741846301</v>
      </c>
      <c r="R136" s="114" t="str">
        <f t="shared" si="37"/>
        <v>Negative</v>
      </c>
      <c r="S136" s="113">
        <f t="shared" si="38"/>
        <v>1558.08</v>
      </c>
      <c r="T136" s="113">
        <f t="shared" si="39"/>
        <v>173.12</v>
      </c>
      <c r="U136" s="114" t="s">
        <v>1453</v>
      </c>
      <c r="V136" s="114" t="s">
        <v>150</v>
      </c>
      <c r="W136" s="121"/>
      <c r="X136" s="132">
        <v>173.12</v>
      </c>
      <c r="Z136" s="114">
        <v>0</v>
      </c>
      <c r="AA136" s="114" t="s">
        <v>154</v>
      </c>
      <c r="AB136" s="114">
        <v>1</v>
      </c>
      <c r="AC136" s="114" t="s">
        <v>274</v>
      </c>
      <c r="AD136" s="114">
        <v>10025432</v>
      </c>
      <c r="AE136" s="114" t="s">
        <v>3026</v>
      </c>
      <c r="AF136" s="114" t="s">
        <v>119</v>
      </c>
      <c r="AG136" s="114" t="s">
        <v>2949</v>
      </c>
      <c r="AH136" s="114" t="s">
        <v>2944</v>
      </c>
      <c r="AI136" s="114" t="s">
        <v>151</v>
      </c>
      <c r="AJ136" s="132" t="s">
        <v>3125</v>
      </c>
    </row>
    <row r="137" spans="1:36" s="114" customFormat="1" ht="43.5" x14ac:dyDescent="0.35">
      <c r="A137" s="114">
        <v>218</v>
      </c>
      <c r="B137" s="114" t="s">
        <v>1457</v>
      </c>
      <c r="F137" s="111" t="s">
        <v>1455</v>
      </c>
      <c r="G137" s="111" t="s">
        <v>142</v>
      </c>
      <c r="H137" s="111" t="s">
        <v>1454</v>
      </c>
      <c r="I137" s="111" t="b">
        <v>0</v>
      </c>
      <c r="J137" s="114" t="s">
        <v>147</v>
      </c>
      <c r="K137" s="112" t="s">
        <v>1456</v>
      </c>
      <c r="L137" s="111" t="s">
        <v>505</v>
      </c>
      <c r="M137" s="112">
        <f t="shared" si="32"/>
        <v>405.96</v>
      </c>
      <c r="N137" s="114">
        <f t="shared" si="33"/>
        <v>2</v>
      </c>
      <c r="O137" s="119">
        <f t="shared" si="34"/>
        <v>811.92</v>
      </c>
      <c r="P137" s="119">
        <f t="shared" si="35"/>
        <v>786.18</v>
      </c>
      <c r="Q137" s="120">
        <f t="shared" si="36"/>
        <v>0.96829736919893583</v>
      </c>
      <c r="R137" s="114" t="str">
        <f t="shared" si="37"/>
        <v>30+%</v>
      </c>
      <c r="S137" s="113">
        <f t="shared" si="38"/>
        <v>25.74</v>
      </c>
      <c r="T137" s="113">
        <f t="shared" si="39"/>
        <v>12.87</v>
      </c>
      <c r="U137" s="114" t="s">
        <v>1458</v>
      </c>
      <c r="V137" s="114" t="s">
        <v>150</v>
      </c>
      <c r="W137" s="121"/>
      <c r="X137" s="132">
        <v>12.87</v>
      </c>
      <c r="Z137" s="114">
        <v>0</v>
      </c>
      <c r="AA137" s="114" t="s">
        <v>154</v>
      </c>
      <c r="AB137" s="114">
        <v>1</v>
      </c>
      <c r="AC137" s="114" t="s">
        <v>1246</v>
      </c>
      <c r="AD137" s="114" t="s">
        <v>1459</v>
      </c>
      <c r="AE137" s="114" t="s">
        <v>3007</v>
      </c>
      <c r="AF137" s="114" t="s">
        <v>119</v>
      </c>
      <c r="AG137" s="114" t="s">
        <v>3009</v>
      </c>
      <c r="AH137" s="114" t="s">
        <v>3008</v>
      </c>
      <c r="AI137" s="114" t="s">
        <v>151</v>
      </c>
      <c r="AJ137" s="132" t="s">
        <v>3125</v>
      </c>
    </row>
    <row r="138" spans="1:36" s="114" customFormat="1" ht="43.5" x14ac:dyDescent="0.35">
      <c r="A138" s="114">
        <v>219</v>
      </c>
      <c r="B138" s="114" t="s">
        <v>1463</v>
      </c>
      <c r="F138" s="111" t="s">
        <v>1461</v>
      </c>
      <c r="G138" s="111" t="s">
        <v>142</v>
      </c>
      <c r="H138" s="111" t="s">
        <v>1460</v>
      </c>
      <c r="I138" s="111" t="b">
        <v>0</v>
      </c>
      <c r="J138" s="114" t="s">
        <v>147</v>
      </c>
      <c r="K138" s="112" t="s">
        <v>1462</v>
      </c>
      <c r="L138" s="111" t="s">
        <v>610</v>
      </c>
      <c r="M138" s="112">
        <f t="shared" ref="M138:M150" si="40">IFERROR(IF(A138="","",K138/J138)," ")</f>
        <v>133.34</v>
      </c>
      <c r="N138" s="114">
        <f t="shared" ref="N138:N150" si="41">IFERROR(IF(A138="","",J138*L138)," ")</f>
        <v>6</v>
      </c>
      <c r="O138" s="119">
        <f t="shared" ref="O138:O150" si="42">IFERROR(M138*N138," ")</f>
        <v>800.04</v>
      </c>
      <c r="P138" s="119">
        <f t="shared" ref="P138:P150" si="43">IFERROR(IF(A138="","",O138-S138)," ")</f>
        <v>-716.88000000000011</v>
      </c>
      <c r="Q138" s="120">
        <f t="shared" ref="Q138:Q150" si="44">IFERROR(IF(A138="","",P138/O138)," ")</f>
        <v>-0.89605519724013816</v>
      </c>
      <c r="R138" s="114" t="str">
        <f t="shared" ref="R138:R150" si="45">IFERROR(IF(A138="","",(IF(Q138&lt;0,"Negative",IF(Q138=0,"Same",IF(Q138&gt;0.3,"30+%",IF(Q138&gt;0.2,"20-30%",IF(Q138&gt;0.1,"10-20%",IF(Q138&lt;=0.1,"0-10%"))))))))," ")</f>
        <v>Negative</v>
      </c>
      <c r="S138" s="113">
        <f t="shared" ref="S138:S150" si="46">IFERROR(IF(A138="","",T138*N138)," ")</f>
        <v>1516.92</v>
      </c>
      <c r="T138" s="113">
        <f t="shared" ref="T138:T150" si="47">IFERROR(IF(A138="","",X138/AB138)," ")</f>
        <v>252.82</v>
      </c>
      <c r="U138" s="114" t="s">
        <v>1464</v>
      </c>
      <c r="V138" s="114" t="s">
        <v>150</v>
      </c>
      <c r="W138" s="121"/>
      <c r="X138" s="132">
        <v>252.82</v>
      </c>
      <c r="Z138" s="114">
        <v>0</v>
      </c>
      <c r="AA138" s="114" t="s">
        <v>154</v>
      </c>
      <c r="AB138" s="114">
        <v>1</v>
      </c>
      <c r="AC138" s="114" t="s">
        <v>243</v>
      </c>
      <c r="AD138" s="114" t="s">
        <v>1465</v>
      </c>
      <c r="AE138" s="114" t="s">
        <v>2953</v>
      </c>
      <c r="AF138" s="114" t="s">
        <v>119</v>
      </c>
      <c r="AG138" s="114" t="s">
        <v>2954</v>
      </c>
      <c r="AH138" s="114" t="s">
        <v>2944</v>
      </c>
      <c r="AI138" s="114" t="s">
        <v>151</v>
      </c>
      <c r="AJ138" s="132" t="s">
        <v>3125</v>
      </c>
    </row>
    <row r="139" spans="1:36" s="114" customFormat="1" ht="29" x14ac:dyDescent="0.35">
      <c r="A139" s="114">
        <v>221</v>
      </c>
      <c r="B139" s="114" t="s">
        <v>1476</v>
      </c>
      <c r="F139" s="111" t="s">
        <v>1473</v>
      </c>
      <c r="G139" s="111" t="s">
        <v>142</v>
      </c>
      <c r="H139" s="111" t="s">
        <v>1472</v>
      </c>
      <c r="I139" s="111" t="b">
        <v>0</v>
      </c>
      <c r="J139" s="114" t="s">
        <v>147</v>
      </c>
      <c r="K139" s="112" t="s">
        <v>1475</v>
      </c>
      <c r="L139" s="111" t="s">
        <v>1474</v>
      </c>
      <c r="M139" s="112">
        <f t="shared" si="40"/>
        <v>2.2200000000000002</v>
      </c>
      <c r="N139" s="114">
        <f t="shared" si="41"/>
        <v>356</v>
      </c>
      <c r="O139" s="119">
        <f t="shared" si="42"/>
        <v>790.32</v>
      </c>
      <c r="P139" s="119">
        <f t="shared" si="43"/>
        <v>-1082.2399999999998</v>
      </c>
      <c r="Q139" s="120">
        <f t="shared" si="44"/>
        <v>-1.3693693693693689</v>
      </c>
      <c r="R139" s="114" t="str">
        <f t="shared" si="45"/>
        <v>Negative</v>
      </c>
      <c r="S139" s="113">
        <f t="shared" si="46"/>
        <v>1872.56</v>
      </c>
      <c r="T139" s="113">
        <f t="shared" si="47"/>
        <v>5.26</v>
      </c>
      <c r="U139" s="114" t="s">
        <v>1477</v>
      </c>
      <c r="V139" s="114" t="s">
        <v>150</v>
      </c>
      <c r="W139" s="121"/>
      <c r="X139" s="132">
        <v>5.26</v>
      </c>
      <c r="Z139" s="114">
        <v>0</v>
      </c>
      <c r="AA139" s="114" t="s">
        <v>154</v>
      </c>
      <c r="AB139" s="114">
        <v>1</v>
      </c>
      <c r="AC139" s="114" t="s">
        <v>1479</v>
      </c>
      <c r="AD139" s="114" t="s">
        <v>1478</v>
      </c>
      <c r="AE139" s="114" t="s">
        <v>3012</v>
      </c>
      <c r="AF139" s="114" t="s">
        <v>119</v>
      </c>
      <c r="AG139" s="114" t="s">
        <v>3013</v>
      </c>
      <c r="AH139" s="114" t="s">
        <v>3008</v>
      </c>
      <c r="AI139" s="114" t="s">
        <v>151</v>
      </c>
      <c r="AJ139" s="132" t="s">
        <v>3125</v>
      </c>
    </row>
    <row r="140" spans="1:36" s="114" customFormat="1" ht="43.5" x14ac:dyDescent="0.35">
      <c r="A140" s="114">
        <v>223</v>
      </c>
      <c r="B140" s="114" t="s">
        <v>1489</v>
      </c>
      <c r="F140" s="111" t="s">
        <v>1487</v>
      </c>
      <c r="G140" s="111" t="s">
        <v>142</v>
      </c>
      <c r="H140" s="111" t="s">
        <v>1486</v>
      </c>
      <c r="I140" s="111" t="b">
        <v>0</v>
      </c>
      <c r="J140" s="114" t="s">
        <v>147</v>
      </c>
      <c r="K140" s="112" t="s">
        <v>1488</v>
      </c>
      <c r="L140" s="111" t="s">
        <v>181</v>
      </c>
      <c r="M140" s="112">
        <f t="shared" si="40"/>
        <v>56.26</v>
      </c>
      <c r="N140" s="114">
        <f t="shared" si="41"/>
        <v>14</v>
      </c>
      <c r="O140" s="119">
        <f t="shared" si="42"/>
        <v>787.64</v>
      </c>
      <c r="P140" s="119">
        <f t="shared" si="43"/>
        <v>670.31999999999994</v>
      </c>
      <c r="Q140" s="120">
        <f t="shared" si="44"/>
        <v>0.85104870245289721</v>
      </c>
      <c r="R140" s="114" t="str">
        <f t="shared" si="45"/>
        <v>30+%</v>
      </c>
      <c r="S140" s="113">
        <f t="shared" si="46"/>
        <v>117.32000000000001</v>
      </c>
      <c r="T140" s="113">
        <f t="shared" si="47"/>
        <v>8.3800000000000008</v>
      </c>
      <c r="U140" s="114" t="s">
        <v>1490</v>
      </c>
      <c r="V140" s="114" t="s">
        <v>257</v>
      </c>
      <c r="W140" s="121"/>
      <c r="X140" s="132">
        <v>8.3800000000000008</v>
      </c>
      <c r="Z140" s="114">
        <v>0</v>
      </c>
      <c r="AA140" s="114" t="s">
        <v>154</v>
      </c>
      <c r="AB140" s="114">
        <v>1</v>
      </c>
      <c r="AC140" s="114" t="s">
        <v>625</v>
      </c>
      <c r="AD140" s="114">
        <v>6605</v>
      </c>
      <c r="AE140" s="114" t="s">
        <v>3080</v>
      </c>
      <c r="AF140" s="114" t="s">
        <v>119</v>
      </c>
      <c r="AG140" s="114" t="s">
        <v>3011</v>
      </c>
      <c r="AH140" s="114" t="s">
        <v>3008</v>
      </c>
      <c r="AI140" s="114" t="s">
        <v>151</v>
      </c>
      <c r="AJ140" s="132" t="s">
        <v>3125</v>
      </c>
    </row>
    <row r="141" spans="1:36" s="114" customFormat="1" ht="29" x14ac:dyDescent="0.35">
      <c r="A141" s="114">
        <v>227</v>
      </c>
      <c r="B141" s="114" t="s">
        <v>1511</v>
      </c>
      <c r="F141" s="111" t="s">
        <v>1509</v>
      </c>
      <c r="G141" s="111" t="s">
        <v>142</v>
      </c>
      <c r="H141" s="111" t="s">
        <v>1508</v>
      </c>
      <c r="I141" s="111" t="b">
        <v>0</v>
      </c>
      <c r="J141" s="114" t="s">
        <v>147</v>
      </c>
      <c r="K141" s="112" t="s">
        <v>1510</v>
      </c>
      <c r="L141" s="111" t="s">
        <v>1116</v>
      </c>
      <c r="M141" s="112">
        <f t="shared" si="40"/>
        <v>15.94</v>
      </c>
      <c r="N141" s="114">
        <f t="shared" si="41"/>
        <v>48</v>
      </c>
      <c r="O141" s="119">
        <f t="shared" si="42"/>
        <v>765.12</v>
      </c>
      <c r="P141" s="119">
        <f t="shared" si="43"/>
        <v>-1346.88</v>
      </c>
      <c r="Q141" s="120">
        <f t="shared" si="44"/>
        <v>-1.7603513174404017</v>
      </c>
      <c r="R141" s="114" t="str">
        <f t="shared" si="45"/>
        <v>Negative</v>
      </c>
      <c r="S141" s="113">
        <f t="shared" si="46"/>
        <v>2112</v>
      </c>
      <c r="T141" s="113">
        <f t="shared" si="47"/>
        <v>44</v>
      </c>
      <c r="U141" s="114" t="s">
        <v>1512</v>
      </c>
      <c r="V141" s="114" t="s">
        <v>150</v>
      </c>
      <c r="W141" s="121"/>
      <c r="X141" s="132">
        <v>44</v>
      </c>
      <c r="Z141" s="114">
        <v>0</v>
      </c>
      <c r="AA141" s="114" t="s">
        <v>213</v>
      </c>
      <c r="AB141" s="114">
        <v>1</v>
      </c>
      <c r="AC141" s="114" t="s">
        <v>977</v>
      </c>
      <c r="AD141" s="114" t="s">
        <v>1513</v>
      </c>
      <c r="AE141" s="114" t="s">
        <v>2997</v>
      </c>
      <c r="AF141" s="114" t="s">
        <v>119</v>
      </c>
      <c r="AG141" s="114" t="s">
        <v>2972</v>
      </c>
      <c r="AH141" s="114" t="s">
        <v>2903</v>
      </c>
      <c r="AI141" s="114" t="s">
        <v>151</v>
      </c>
      <c r="AJ141" s="132" t="s">
        <v>3125</v>
      </c>
    </row>
    <row r="142" spans="1:36" s="114" customFormat="1" ht="43.5" x14ac:dyDescent="0.35">
      <c r="A142" s="114">
        <v>228</v>
      </c>
      <c r="B142" s="114" t="s">
        <v>1518</v>
      </c>
      <c r="F142" s="111" t="s">
        <v>1515</v>
      </c>
      <c r="G142" s="111" t="s">
        <v>142</v>
      </c>
      <c r="H142" s="111" t="s">
        <v>1514</v>
      </c>
      <c r="I142" s="111" t="b">
        <v>0</v>
      </c>
      <c r="J142" s="114" t="s">
        <v>147</v>
      </c>
      <c r="K142" s="112" t="s">
        <v>1517</v>
      </c>
      <c r="L142" s="111" t="s">
        <v>1516</v>
      </c>
      <c r="M142" s="112">
        <f t="shared" si="40"/>
        <v>6.94</v>
      </c>
      <c r="N142" s="114">
        <f t="shared" si="41"/>
        <v>110</v>
      </c>
      <c r="O142" s="119">
        <f t="shared" si="42"/>
        <v>763.40000000000009</v>
      </c>
      <c r="P142" s="119">
        <f t="shared" si="43"/>
        <v>-1099.3583333333331</v>
      </c>
      <c r="Q142" s="120">
        <f t="shared" si="44"/>
        <v>-1.4400816522574442</v>
      </c>
      <c r="R142" s="114" t="str">
        <f t="shared" si="45"/>
        <v>Negative</v>
      </c>
      <c r="S142" s="113">
        <f t="shared" si="46"/>
        <v>1862.7583333333332</v>
      </c>
      <c r="T142" s="113">
        <f t="shared" si="47"/>
        <v>16.934166666666666</v>
      </c>
      <c r="U142" s="114" t="s">
        <v>1519</v>
      </c>
      <c r="V142" s="114" t="s">
        <v>161</v>
      </c>
      <c r="W142" s="121"/>
      <c r="X142" s="132">
        <v>203.21</v>
      </c>
      <c r="Z142" s="114">
        <v>0</v>
      </c>
      <c r="AA142" s="114" t="s">
        <v>172</v>
      </c>
      <c r="AB142" s="114">
        <v>12</v>
      </c>
      <c r="AC142" s="114" t="s">
        <v>677</v>
      </c>
      <c r="AD142" s="114" t="s">
        <v>1520</v>
      </c>
      <c r="AE142" s="114" t="s">
        <v>3097</v>
      </c>
      <c r="AF142" s="114" t="s">
        <v>119</v>
      </c>
      <c r="AG142" s="114" t="s">
        <v>2904</v>
      </c>
      <c r="AH142" s="114" t="s">
        <v>2903</v>
      </c>
      <c r="AI142" s="114" t="s">
        <v>151</v>
      </c>
      <c r="AJ142" s="132" t="s">
        <v>3125</v>
      </c>
    </row>
    <row r="143" spans="1:36" s="114" customFormat="1" ht="29" x14ac:dyDescent="0.35">
      <c r="A143" s="114">
        <v>230</v>
      </c>
      <c r="B143" s="114" t="s">
        <v>1529</v>
      </c>
      <c r="F143" s="111" t="s">
        <v>1527</v>
      </c>
      <c r="G143" s="111" t="s">
        <v>142</v>
      </c>
      <c r="H143" s="111" t="s">
        <v>1526</v>
      </c>
      <c r="I143" s="111" t="b">
        <v>0</v>
      </c>
      <c r="J143" s="114" t="s">
        <v>147</v>
      </c>
      <c r="K143" s="112" t="s">
        <v>1359</v>
      </c>
      <c r="L143" s="111" t="s">
        <v>1528</v>
      </c>
      <c r="M143" s="112">
        <f t="shared" si="40"/>
        <v>6.77</v>
      </c>
      <c r="N143" s="114">
        <f t="shared" si="41"/>
        <v>111</v>
      </c>
      <c r="O143" s="119">
        <f t="shared" si="42"/>
        <v>751.46999999999991</v>
      </c>
      <c r="P143" s="119">
        <f t="shared" si="43"/>
        <v>-2881.56</v>
      </c>
      <c r="Q143" s="120">
        <f t="shared" si="44"/>
        <v>-3.8345642540620388</v>
      </c>
      <c r="R143" s="114" t="str">
        <f t="shared" si="45"/>
        <v>Negative</v>
      </c>
      <c r="S143" s="113">
        <f t="shared" si="46"/>
        <v>3633.0299999999997</v>
      </c>
      <c r="T143" s="113">
        <f t="shared" si="47"/>
        <v>32.729999999999997</v>
      </c>
      <c r="U143" s="114" t="s">
        <v>1530</v>
      </c>
      <c r="V143" s="114" t="s">
        <v>150</v>
      </c>
      <c r="W143" s="121"/>
      <c r="X143" s="132">
        <v>32.729999999999997</v>
      </c>
      <c r="Z143" s="114">
        <v>0</v>
      </c>
      <c r="AA143" s="114" t="s">
        <v>213</v>
      </c>
      <c r="AB143" s="114">
        <v>1</v>
      </c>
      <c r="AC143" s="114" t="s">
        <v>375</v>
      </c>
      <c r="AD143" s="114" t="s">
        <v>1362</v>
      </c>
      <c r="AE143" s="114" t="s">
        <v>2905</v>
      </c>
      <c r="AF143" s="114" t="s">
        <v>119</v>
      </c>
      <c r="AG143" s="114" t="s">
        <v>2904</v>
      </c>
      <c r="AH143" s="114" t="s">
        <v>2903</v>
      </c>
      <c r="AI143" s="114" t="s">
        <v>151</v>
      </c>
      <c r="AJ143" s="132" t="s">
        <v>3125</v>
      </c>
    </row>
    <row r="144" spans="1:36" s="114" customFormat="1" ht="43.5" x14ac:dyDescent="0.35">
      <c r="A144" s="114">
        <v>233</v>
      </c>
      <c r="B144" s="114" t="s">
        <v>1544</v>
      </c>
      <c r="F144" s="111" t="s">
        <v>1541</v>
      </c>
      <c r="G144" s="111" t="s">
        <v>142</v>
      </c>
      <c r="H144" s="111" t="s">
        <v>1540</v>
      </c>
      <c r="I144" s="111" t="b">
        <v>0</v>
      </c>
      <c r="J144" s="114" t="s">
        <v>147</v>
      </c>
      <c r="K144" s="112" t="s">
        <v>1543</v>
      </c>
      <c r="L144" s="111" t="s">
        <v>1542</v>
      </c>
      <c r="M144" s="112">
        <f t="shared" si="40"/>
        <v>8.48</v>
      </c>
      <c r="N144" s="114">
        <f t="shared" si="41"/>
        <v>88</v>
      </c>
      <c r="O144" s="119">
        <f t="shared" si="42"/>
        <v>746.24</v>
      </c>
      <c r="P144" s="119">
        <f t="shared" si="43"/>
        <v>-625.68000000000006</v>
      </c>
      <c r="Q144" s="120">
        <f t="shared" si="44"/>
        <v>-0.83844339622641517</v>
      </c>
      <c r="R144" s="114" t="str">
        <f t="shared" si="45"/>
        <v>Negative</v>
      </c>
      <c r="S144" s="113">
        <f t="shared" si="46"/>
        <v>1371.92</v>
      </c>
      <c r="T144" s="113">
        <f t="shared" si="47"/>
        <v>15.59</v>
      </c>
      <c r="U144" s="114" t="s">
        <v>1545</v>
      </c>
      <c r="V144" s="114" t="s">
        <v>161</v>
      </c>
      <c r="W144" s="121"/>
      <c r="X144" s="132">
        <v>15.59</v>
      </c>
      <c r="Z144" s="114">
        <v>0</v>
      </c>
      <c r="AA144" s="114" t="s">
        <v>154</v>
      </c>
      <c r="AB144" s="114">
        <v>1</v>
      </c>
      <c r="AC144" s="114" t="s">
        <v>1138</v>
      </c>
      <c r="AD144" s="114" t="s">
        <v>1546</v>
      </c>
      <c r="AE144" s="114" t="s">
        <v>2933</v>
      </c>
      <c r="AF144" s="114" t="s">
        <v>119</v>
      </c>
      <c r="AG144" s="114" t="s">
        <v>2934</v>
      </c>
      <c r="AH144" s="114" t="s">
        <v>2873</v>
      </c>
      <c r="AI144" s="114" t="s">
        <v>3130</v>
      </c>
      <c r="AJ144" s="132" t="s">
        <v>3125</v>
      </c>
    </row>
    <row r="145" spans="1:36" s="114" customFormat="1" ht="43.5" x14ac:dyDescent="0.35">
      <c r="A145" s="114">
        <v>237</v>
      </c>
      <c r="B145" s="114" t="s">
        <v>1568</v>
      </c>
      <c r="F145" s="111" t="s">
        <v>1566</v>
      </c>
      <c r="G145" s="111" t="s">
        <v>142</v>
      </c>
      <c r="H145" s="111" t="s">
        <v>1565</v>
      </c>
      <c r="I145" s="111" t="b">
        <v>0</v>
      </c>
      <c r="J145" s="114" t="s">
        <v>147</v>
      </c>
      <c r="K145" s="112" t="s">
        <v>1567</v>
      </c>
      <c r="L145" s="111" t="s">
        <v>1468</v>
      </c>
      <c r="M145" s="112">
        <f t="shared" si="40"/>
        <v>96.7</v>
      </c>
      <c r="N145" s="114">
        <f t="shared" si="41"/>
        <v>7</v>
      </c>
      <c r="O145" s="119">
        <f t="shared" si="42"/>
        <v>676.9</v>
      </c>
      <c r="P145" s="119">
        <f t="shared" si="43"/>
        <v>662.88249999999994</v>
      </c>
      <c r="Q145" s="120">
        <f t="shared" si="44"/>
        <v>0.97929162357807642</v>
      </c>
      <c r="R145" s="114" t="str">
        <f t="shared" si="45"/>
        <v>30+%</v>
      </c>
      <c r="S145" s="113">
        <f t="shared" si="46"/>
        <v>14.0175</v>
      </c>
      <c r="T145" s="113">
        <f t="shared" si="47"/>
        <v>2.0024999999999999</v>
      </c>
      <c r="U145" s="114" t="s">
        <v>1569</v>
      </c>
      <c r="V145" s="114" t="s">
        <v>161</v>
      </c>
      <c r="W145" s="121"/>
      <c r="X145" s="132">
        <v>200.25</v>
      </c>
      <c r="Z145" s="114">
        <v>0</v>
      </c>
      <c r="AA145" s="114" t="s">
        <v>172</v>
      </c>
      <c r="AB145" s="114">
        <v>100</v>
      </c>
      <c r="AC145" s="114" t="s">
        <v>266</v>
      </c>
      <c r="AD145" s="114" t="s">
        <v>1570</v>
      </c>
      <c r="AE145" s="114" t="s">
        <v>2942</v>
      </c>
      <c r="AF145" s="114" t="s">
        <v>119</v>
      </c>
      <c r="AG145" s="114" t="s">
        <v>2860</v>
      </c>
      <c r="AH145" s="114" t="s">
        <v>2859</v>
      </c>
      <c r="AI145" s="114" t="s">
        <v>3130</v>
      </c>
      <c r="AJ145" s="132" t="s">
        <v>3125</v>
      </c>
    </row>
    <row r="146" spans="1:36" s="114" customFormat="1" ht="43.5" x14ac:dyDescent="0.35">
      <c r="A146" s="114">
        <v>238</v>
      </c>
      <c r="B146" s="114" t="s">
        <v>1574</v>
      </c>
      <c r="F146" s="111" t="s">
        <v>1572</v>
      </c>
      <c r="G146" s="111" t="s">
        <v>142</v>
      </c>
      <c r="H146" s="111" t="s">
        <v>1571</v>
      </c>
      <c r="I146" s="111" t="b">
        <v>0</v>
      </c>
      <c r="J146" s="114" t="s">
        <v>147</v>
      </c>
      <c r="K146" s="112" t="s">
        <v>1573</v>
      </c>
      <c r="L146" s="111" t="s">
        <v>520</v>
      </c>
      <c r="M146" s="112">
        <f t="shared" si="40"/>
        <v>55.59</v>
      </c>
      <c r="N146" s="114">
        <f t="shared" si="41"/>
        <v>12</v>
      </c>
      <c r="O146" s="119">
        <f t="shared" si="42"/>
        <v>667.08</v>
      </c>
      <c r="P146" s="119">
        <f t="shared" si="43"/>
        <v>-970.43999999999994</v>
      </c>
      <c r="Q146" s="120">
        <f t="shared" si="44"/>
        <v>-1.4547580500089943</v>
      </c>
      <c r="R146" s="114" t="str">
        <f t="shared" si="45"/>
        <v>Negative</v>
      </c>
      <c r="S146" s="113">
        <f t="shared" si="46"/>
        <v>1637.52</v>
      </c>
      <c r="T146" s="113">
        <f t="shared" si="47"/>
        <v>136.46</v>
      </c>
      <c r="U146" s="114" t="s">
        <v>1575</v>
      </c>
      <c r="V146" s="114" t="s">
        <v>273</v>
      </c>
      <c r="W146" s="121"/>
      <c r="X146" s="132">
        <v>136.46</v>
      </c>
      <c r="Z146" s="114">
        <v>0</v>
      </c>
      <c r="AA146" s="114" t="s">
        <v>154</v>
      </c>
      <c r="AB146" s="114">
        <v>1</v>
      </c>
      <c r="AC146" s="114" t="s">
        <v>1577</v>
      </c>
      <c r="AD146" s="114" t="s">
        <v>1576</v>
      </c>
      <c r="AE146" s="114" t="s">
        <v>3112</v>
      </c>
      <c r="AF146" s="114" t="s">
        <v>119</v>
      </c>
      <c r="AG146" s="114" t="s">
        <v>3111</v>
      </c>
      <c r="AH146" s="114" t="s">
        <v>3008</v>
      </c>
      <c r="AI146" s="114" t="s">
        <v>151</v>
      </c>
      <c r="AJ146" s="132" t="s">
        <v>3125</v>
      </c>
    </row>
    <row r="147" spans="1:36" s="114" customFormat="1" ht="43.5" x14ac:dyDescent="0.35">
      <c r="A147" s="114">
        <v>243</v>
      </c>
      <c r="B147" s="114" t="s">
        <v>1599</v>
      </c>
      <c r="F147" s="111" t="s">
        <v>1597</v>
      </c>
      <c r="G147" s="111" t="s">
        <v>142</v>
      </c>
      <c r="H147" s="111" t="s">
        <v>1596</v>
      </c>
      <c r="I147" s="111" t="b">
        <v>0</v>
      </c>
      <c r="J147" s="114" t="s">
        <v>147</v>
      </c>
      <c r="K147" s="112" t="s">
        <v>1598</v>
      </c>
      <c r="L147" s="111" t="s">
        <v>520</v>
      </c>
      <c r="M147" s="112">
        <f t="shared" si="40"/>
        <v>53.69</v>
      </c>
      <c r="N147" s="114">
        <f t="shared" si="41"/>
        <v>12</v>
      </c>
      <c r="O147" s="119">
        <f t="shared" si="42"/>
        <v>644.28</v>
      </c>
      <c r="P147" s="119">
        <f t="shared" si="43"/>
        <v>-993.24</v>
      </c>
      <c r="Q147" s="120">
        <f t="shared" si="44"/>
        <v>-1.541627863661762</v>
      </c>
      <c r="R147" s="114" t="str">
        <f t="shared" si="45"/>
        <v>Negative</v>
      </c>
      <c r="S147" s="113">
        <f t="shared" si="46"/>
        <v>1637.52</v>
      </c>
      <c r="T147" s="113">
        <f t="shared" si="47"/>
        <v>136.46</v>
      </c>
      <c r="U147" s="114" t="s">
        <v>1600</v>
      </c>
      <c r="V147" s="114" t="s">
        <v>273</v>
      </c>
      <c r="W147" s="121"/>
      <c r="X147" s="132">
        <v>136.46</v>
      </c>
      <c r="Z147" s="114">
        <v>0</v>
      </c>
      <c r="AA147" s="114" t="s">
        <v>154</v>
      </c>
      <c r="AB147" s="114">
        <v>1</v>
      </c>
      <c r="AC147" s="114" t="s">
        <v>1577</v>
      </c>
      <c r="AD147" s="114" t="s">
        <v>1601</v>
      </c>
      <c r="AE147" s="114" t="s">
        <v>3110</v>
      </c>
      <c r="AF147" s="114" t="s">
        <v>119</v>
      </c>
      <c r="AG147" s="114" t="s">
        <v>3111</v>
      </c>
      <c r="AH147" s="114" t="s">
        <v>3008</v>
      </c>
      <c r="AI147" s="114" t="s">
        <v>151</v>
      </c>
      <c r="AJ147" s="132" t="s">
        <v>3125</v>
      </c>
    </row>
    <row r="148" spans="1:36" s="114" customFormat="1" ht="43.5" x14ac:dyDescent="0.35">
      <c r="A148" s="114">
        <v>244</v>
      </c>
      <c r="B148" s="114" t="s">
        <v>1605</v>
      </c>
      <c r="F148" s="111" t="s">
        <v>1603</v>
      </c>
      <c r="G148" s="111" t="s">
        <v>142</v>
      </c>
      <c r="H148" s="111" t="s">
        <v>1602</v>
      </c>
      <c r="I148" s="111" t="b">
        <v>0</v>
      </c>
      <c r="J148" s="114" t="s">
        <v>147</v>
      </c>
      <c r="K148" s="112" t="s">
        <v>1604</v>
      </c>
      <c r="L148" s="111" t="s">
        <v>520</v>
      </c>
      <c r="M148" s="112">
        <f t="shared" si="40"/>
        <v>53.49</v>
      </c>
      <c r="N148" s="114">
        <f t="shared" si="41"/>
        <v>12</v>
      </c>
      <c r="O148" s="119">
        <f t="shared" si="42"/>
        <v>641.88</v>
      </c>
      <c r="P148" s="119">
        <f t="shared" si="43"/>
        <v>-995.64</v>
      </c>
      <c r="Q148" s="120">
        <f t="shared" si="44"/>
        <v>-1.5511310525331838</v>
      </c>
      <c r="R148" s="114" t="str">
        <f t="shared" si="45"/>
        <v>Negative</v>
      </c>
      <c r="S148" s="113">
        <f t="shared" si="46"/>
        <v>1637.52</v>
      </c>
      <c r="T148" s="113">
        <f t="shared" si="47"/>
        <v>136.46</v>
      </c>
      <c r="U148" s="114" t="s">
        <v>1600</v>
      </c>
      <c r="V148" s="114" t="s">
        <v>273</v>
      </c>
      <c r="W148" s="121"/>
      <c r="X148" s="132">
        <v>136.46</v>
      </c>
      <c r="Z148" s="114">
        <v>0</v>
      </c>
      <c r="AA148" s="114" t="s">
        <v>154</v>
      </c>
      <c r="AB148" s="114">
        <v>1</v>
      </c>
      <c r="AC148" s="114" t="s">
        <v>1577</v>
      </c>
      <c r="AD148" s="114" t="s">
        <v>1601</v>
      </c>
      <c r="AE148" s="114" t="s">
        <v>3110</v>
      </c>
      <c r="AF148" s="114" t="s">
        <v>119</v>
      </c>
      <c r="AG148" s="114" t="s">
        <v>3111</v>
      </c>
      <c r="AH148" s="114" t="s">
        <v>3008</v>
      </c>
      <c r="AI148" s="114" t="s">
        <v>151</v>
      </c>
      <c r="AJ148" s="132" t="s">
        <v>3125</v>
      </c>
    </row>
    <row r="149" spans="1:36" s="114" customFormat="1" ht="43.5" x14ac:dyDescent="0.35">
      <c r="A149" s="114">
        <v>248</v>
      </c>
      <c r="B149" s="114" t="s">
        <v>1627</v>
      </c>
      <c r="F149" s="111" t="s">
        <v>1625</v>
      </c>
      <c r="G149" s="111" t="s">
        <v>142</v>
      </c>
      <c r="H149" s="111" t="s">
        <v>1624</v>
      </c>
      <c r="I149" s="111" t="b">
        <v>0</v>
      </c>
      <c r="J149" s="114" t="s">
        <v>147</v>
      </c>
      <c r="K149" s="112" t="s">
        <v>1626</v>
      </c>
      <c r="L149" s="111" t="s">
        <v>1346</v>
      </c>
      <c r="M149" s="112">
        <f t="shared" si="40"/>
        <v>8.61</v>
      </c>
      <c r="N149" s="114">
        <f t="shared" si="41"/>
        <v>72</v>
      </c>
      <c r="O149" s="119">
        <f t="shared" si="42"/>
        <v>619.91999999999996</v>
      </c>
      <c r="P149" s="119">
        <f t="shared" si="43"/>
        <v>-668.5200000000001</v>
      </c>
      <c r="Q149" s="120">
        <f t="shared" si="44"/>
        <v>-1.0783972125435541</v>
      </c>
      <c r="R149" s="114" t="str">
        <f t="shared" si="45"/>
        <v>Negative</v>
      </c>
      <c r="S149" s="113">
        <f t="shared" si="46"/>
        <v>1288.44</v>
      </c>
      <c r="T149" s="113">
        <f t="shared" si="47"/>
        <v>17.895</v>
      </c>
      <c r="U149" s="114" t="s">
        <v>1628</v>
      </c>
      <c r="V149" s="114" t="s">
        <v>161</v>
      </c>
      <c r="W149" s="121"/>
      <c r="X149" s="132">
        <v>214.74</v>
      </c>
      <c r="Z149" s="114">
        <v>0</v>
      </c>
      <c r="AA149" s="114" t="s">
        <v>172</v>
      </c>
      <c r="AB149" s="114">
        <v>12</v>
      </c>
      <c r="AC149" s="114" t="s">
        <v>677</v>
      </c>
      <c r="AD149" s="114" t="s">
        <v>1629</v>
      </c>
      <c r="AE149" s="114" t="s">
        <v>3101</v>
      </c>
      <c r="AF149" s="114" t="s">
        <v>119</v>
      </c>
      <c r="AG149" s="114" t="s">
        <v>2904</v>
      </c>
      <c r="AH149" s="114" t="s">
        <v>2903</v>
      </c>
      <c r="AI149" s="114" t="s">
        <v>151</v>
      </c>
      <c r="AJ149" s="132" t="s">
        <v>3125</v>
      </c>
    </row>
    <row r="150" spans="1:36" s="114" customFormat="1" ht="43.5" x14ac:dyDescent="0.35">
      <c r="A150" s="114">
        <v>250</v>
      </c>
      <c r="B150" s="114" t="s">
        <v>1638</v>
      </c>
      <c r="F150" s="111" t="s">
        <v>1636</v>
      </c>
      <c r="G150" s="111" t="s">
        <v>142</v>
      </c>
      <c r="H150" s="111" t="s">
        <v>1635</v>
      </c>
      <c r="I150" s="111" t="b">
        <v>0</v>
      </c>
      <c r="J150" s="114" t="s">
        <v>147</v>
      </c>
      <c r="K150" s="112" t="s">
        <v>1637</v>
      </c>
      <c r="L150" s="111" t="s">
        <v>1346</v>
      </c>
      <c r="M150" s="112">
        <f t="shared" si="40"/>
        <v>8.57</v>
      </c>
      <c r="N150" s="114">
        <f t="shared" si="41"/>
        <v>72</v>
      </c>
      <c r="O150" s="119">
        <f t="shared" si="42"/>
        <v>617.04</v>
      </c>
      <c r="P150" s="119">
        <f t="shared" si="43"/>
        <v>-666.41999999999985</v>
      </c>
      <c r="Q150" s="120">
        <f t="shared" si="44"/>
        <v>-1.0800272267600153</v>
      </c>
      <c r="R150" s="114" t="str">
        <f t="shared" si="45"/>
        <v>Negative</v>
      </c>
      <c r="S150" s="113">
        <f t="shared" si="46"/>
        <v>1283.4599999999998</v>
      </c>
      <c r="T150" s="113">
        <f t="shared" si="47"/>
        <v>17.825833333333332</v>
      </c>
      <c r="U150" s="114" t="s">
        <v>1639</v>
      </c>
      <c r="V150" s="114" t="s">
        <v>161</v>
      </c>
      <c r="W150" s="121"/>
      <c r="X150" s="132">
        <v>213.91</v>
      </c>
      <c r="Z150" s="114">
        <v>0</v>
      </c>
      <c r="AA150" s="114" t="s">
        <v>172</v>
      </c>
      <c r="AB150" s="114">
        <v>12</v>
      </c>
      <c r="AC150" s="114" t="s">
        <v>677</v>
      </c>
      <c r="AD150" s="114" t="s">
        <v>1640</v>
      </c>
      <c r="AE150" s="114" t="s">
        <v>3097</v>
      </c>
      <c r="AF150" s="114" t="s">
        <v>119</v>
      </c>
      <c r="AG150" s="114" t="s">
        <v>2904</v>
      </c>
      <c r="AH150" s="114" t="s">
        <v>2903</v>
      </c>
      <c r="AI150" s="114" t="s">
        <v>151</v>
      </c>
      <c r="AJ150" s="132" t="s">
        <v>3125</v>
      </c>
    </row>
  </sheetData>
  <autoFilter ref="A1:AJ72" xr:uid="{00000000-0001-0000-0200-000000000000}">
    <filterColumn colId="21">
      <filters>
        <filter val="DUP"/>
        <filter val="NCI"/>
        <filter val="O"/>
      </filters>
    </filterColumn>
  </autoFilter>
  <conditionalFormatting sqref="Q2:Q72 Q74:Q150">
    <cfRule type="cellIs" dxfId="1" priority="1" operator="lessThanOrEqual">
      <formula>-0.8</formula>
    </cfRule>
    <cfRule type="cellIs" dxfId="0" priority="2" operator="greaterThanOrEqual">
      <formula>0.8</formula>
    </cfRule>
  </conditionalFormatting>
  <dataValidations count="1">
    <dataValidation allowBlank="1" showInputMessage="1" showErrorMessage="1" sqref="V2:V72 V74:V150 Z2:AE72 Z74:AE150" xr:uid="{680B10E0-7279-4CC6-8F7E-450AA7218DEC}"/>
  </dataValidations>
  <pageMargins left="0.7" right="0.7" top="0.75" bottom="0.75" header="0.3" footer="0.3"/>
  <headerFooter>
    <oddFooter>&amp;C_x000D_&amp;1#&amp;"Calibri"&amp;10&amp;K000000 Low Sensitivity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22"/>
  <sheetViews>
    <sheetView workbookViewId="0">
      <selection activeCell="H26" sqref="H26"/>
    </sheetView>
  </sheetViews>
  <sheetFormatPr defaultRowHeight="14.5" x14ac:dyDescent="0.35"/>
  <cols>
    <col min="1" max="1" width="38" bestFit="1" customWidth="1"/>
    <col min="2" max="2" width="9.1796875" bestFit="1" customWidth="1"/>
    <col min="3" max="3" width="8" bestFit="1" customWidth="1"/>
    <col min="4" max="4" width="11.453125" bestFit="1" customWidth="1"/>
    <col min="5" max="5" width="10.6328125" bestFit="1" customWidth="1"/>
    <col min="6" max="6" width="15.6328125" bestFit="1" customWidth="1"/>
    <col min="7" max="7" width="21.6328125" bestFit="1" customWidth="1"/>
    <col min="8" max="8" width="42.36328125" bestFit="1" customWidth="1"/>
    <col min="9" max="9" width="33.90625" bestFit="1" customWidth="1"/>
    <col min="10" max="10" width="21.6328125" bestFit="1" customWidth="1"/>
    <col min="11" max="11" width="255.6328125" bestFit="1" customWidth="1"/>
    <col min="12" max="12" width="12.81640625" bestFit="1" customWidth="1"/>
    <col min="13" max="13" width="11.1796875" bestFit="1" customWidth="1"/>
    <col min="14" max="14" width="5.453125" bestFit="1" customWidth="1"/>
    <col min="15" max="15" width="8.81640625" bestFit="1" customWidth="1"/>
    <col min="16" max="16" width="10.08984375" bestFit="1" customWidth="1"/>
    <col min="17" max="17" width="4.81640625" bestFit="1" customWidth="1"/>
    <col min="18" max="18" width="10.08984375" bestFit="1" customWidth="1"/>
    <col min="19" max="19" width="8.1796875" bestFit="1" customWidth="1"/>
    <col min="20" max="20" width="11.08984375" bestFit="1" customWidth="1"/>
  </cols>
  <sheetData>
    <row r="1" spans="1:20" x14ac:dyDescent="0.35">
      <c r="S1" s="96"/>
      <c r="T1" s="97"/>
    </row>
    <row r="2" spans="1:20" ht="58" x14ac:dyDescent="0.35">
      <c r="A2" s="98" t="s">
        <v>123</v>
      </c>
      <c r="B2" s="98" t="s">
        <v>124</v>
      </c>
      <c r="C2" s="98" t="s">
        <v>125</v>
      </c>
      <c r="D2" s="98" t="s">
        <v>126</v>
      </c>
      <c r="E2" s="101" t="s">
        <v>127</v>
      </c>
      <c r="F2" s="98" t="s">
        <v>128</v>
      </c>
      <c r="G2" s="98" t="s">
        <v>129</v>
      </c>
      <c r="H2" s="98" t="s">
        <v>130</v>
      </c>
      <c r="I2" s="98" t="s">
        <v>131</v>
      </c>
      <c r="J2" s="98" t="s">
        <v>132</v>
      </c>
      <c r="K2" s="98" t="s">
        <v>133</v>
      </c>
      <c r="L2" s="98" t="s">
        <v>134</v>
      </c>
      <c r="M2" s="98" t="s">
        <v>135</v>
      </c>
      <c r="N2" s="98" t="s">
        <v>86</v>
      </c>
      <c r="O2" s="98" t="s">
        <v>136</v>
      </c>
      <c r="P2" s="102" t="s">
        <v>137</v>
      </c>
      <c r="Q2" s="98" t="s">
        <v>138</v>
      </c>
      <c r="R2" s="102" t="s">
        <v>139</v>
      </c>
      <c r="S2" s="98" t="s">
        <v>140</v>
      </c>
      <c r="T2" s="102" t="s">
        <v>141</v>
      </c>
    </row>
    <row r="3" spans="1:20" x14ac:dyDescent="0.35">
      <c r="A3" t="s">
        <v>1641</v>
      </c>
      <c r="B3" s="2">
        <v>125</v>
      </c>
      <c r="D3" s="103">
        <v>45926</v>
      </c>
      <c r="F3" s="104" t="s">
        <v>142</v>
      </c>
      <c r="G3" s="105" t="s">
        <v>143</v>
      </c>
      <c r="H3" s="106" t="s">
        <v>144</v>
      </c>
      <c r="I3" t="s">
        <v>1642</v>
      </c>
      <c r="J3" s="2" t="s">
        <v>143</v>
      </c>
      <c r="K3" s="2" t="s">
        <v>151</v>
      </c>
      <c r="L3" s="2"/>
      <c r="M3" s="2" t="s">
        <v>151</v>
      </c>
      <c r="N3" s="95" t="s">
        <v>154</v>
      </c>
      <c r="O3" s="107">
        <v>1</v>
      </c>
      <c r="P3" s="108">
        <v>601.90060000000005</v>
      </c>
      <c r="Q3" s="2">
        <v>144</v>
      </c>
      <c r="R3" s="109">
        <v>601.90060000000005</v>
      </c>
      <c r="S3" s="2">
        <v>144</v>
      </c>
      <c r="T3" s="110">
        <v>86673.686400000006</v>
      </c>
    </row>
    <row r="4" spans="1:20" x14ac:dyDescent="0.35">
      <c r="A4" t="s">
        <v>1641</v>
      </c>
      <c r="B4" s="2">
        <v>515</v>
      </c>
      <c r="D4" s="103">
        <v>45929</v>
      </c>
      <c r="F4" s="104" t="s">
        <v>142</v>
      </c>
      <c r="G4" s="105" t="s">
        <v>155</v>
      </c>
      <c r="H4" s="106" t="s">
        <v>156</v>
      </c>
      <c r="I4" t="s">
        <v>164</v>
      </c>
      <c r="J4" s="2" t="s">
        <v>155</v>
      </c>
      <c r="K4" s="2" t="s">
        <v>151</v>
      </c>
      <c r="L4" s="2"/>
      <c r="M4" s="2"/>
      <c r="N4" s="95" t="s">
        <v>154</v>
      </c>
      <c r="O4" s="107">
        <v>1</v>
      </c>
      <c r="P4" s="108">
        <v>54.746899999999997</v>
      </c>
      <c r="Q4" s="2">
        <v>1010</v>
      </c>
      <c r="R4" s="109">
        <v>54.746899999999997</v>
      </c>
      <c r="S4" s="2">
        <v>1010</v>
      </c>
      <c r="T4" s="110">
        <v>55294.368999999999</v>
      </c>
    </row>
    <row r="5" spans="1:20" x14ac:dyDescent="0.35">
      <c r="A5" t="s">
        <v>1641</v>
      </c>
      <c r="B5" s="2">
        <v>216</v>
      </c>
      <c r="D5" s="103">
        <v>45903</v>
      </c>
      <c r="F5" s="104" t="s">
        <v>142</v>
      </c>
      <c r="G5" s="105" t="s">
        <v>165</v>
      </c>
      <c r="H5" s="106" t="s">
        <v>166</v>
      </c>
      <c r="I5" t="s">
        <v>1643</v>
      </c>
      <c r="J5" s="2" t="s">
        <v>165</v>
      </c>
      <c r="K5" s="2" t="s">
        <v>1644</v>
      </c>
      <c r="L5" s="2"/>
      <c r="M5" s="2" t="s">
        <v>151</v>
      </c>
      <c r="N5" s="95" t="s">
        <v>154</v>
      </c>
      <c r="O5" s="107">
        <v>1</v>
      </c>
      <c r="P5" s="108">
        <v>1758.5146</v>
      </c>
      <c r="Q5" s="2">
        <v>26</v>
      </c>
      <c r="R5" s="109">
        <v>1758.5146</v>
      </c>
      <c r="S5" s="2">
        <v>26</v>
      </c>
      <c r="T5" s="110">
        <v>45721.3796</v>
      </c>
    </row>
    <row r="6" spans="1:20" x14ac:dyDescent="0.35">
      <c r="A6" t="s">
        <v>1641</v>
      </c>
      <c r="B6" s="2">
        <v>322</v>
      </c>
      <c r="D6" s="103">
        <v>45926</v>
      </c>
      <c r="F6" s="104" t="s">
        <v>142</v>
      </c>
      <c r="G6" s="105" t="s">
        <v>173</v>
      </c>
      <c r="H6" s="106" t="s">
        <v>174</v>
      </c>
      <c r="I6" t="s">
        <v>1645</v>
      </c>
      <c r="J6" s="2" t="s">
        <v>173</v>
      </c>
      <c r="K6" s="2" t="s">
        <v>151</v>
      </c>
      <c r="L6" s="2"/>
      <c r="M6" s="2" t="s">
        <v>151</v>
      </c>
      <c r="N6" s="95" t="s">
        <v>154</v>
      </c>
      <c r="O6" s="107">
        <v>1</v>
      </c>
      <c r="P6" s="108">
        <v>373.25200000000001</v>
      </c>
      <c r="Q6" s="2">
        <v>115</v>
      </c>
      <c r="R6" s="109">
        <v>373.25200000000001</v>
      </c>
      <c r="S6" s="2">
        <v>115</v>
      </c>
      <c r="T6" s="110">
        <v>42923.98</v>
      </c>
    </row>
    <row r="7" spans="1:20" x14ac:dyDescent="0.35">
      <c r="A7" t="s">
        <v>1641</v>
      </c>
      <c r="B7" s="2">
        <v>527</v>
      </c>
      <c r="D7" s="103">
        <v>45929</v>
      </c>
      <c r="F7" s="104" t="s">
        <v>142</v>
      </c>
      <c r="G7" s="105" t="s">
        <v>179</v>
      </c>
      <c r="H7" s="106" t="s">
        <v>180</v>
      </c>
      <c r="I7" t="s">
        <v>164</v>
      </c>
      <c r="J7" s="2" t="s">
        <v>179</v>
      </c>
      <c r="K7" s="2" t="s">
        <v>1646</v>
      </c>
      <c r="L7" s="2"/>
      <c r="M7" s="2"/>
      <c r="N7" s="95" t="s">
        <v>154</v>
      </c>
      <c r="O7" s="107">
        <v>1</v>
      </c>
      <c r="P7" s="108">
        <v>2547.8492999999999</v>
      </c>
      <c r="Q7" s="2">
        <v>14</v>
      </c>
      <c r="R7" s="109">
        <v>2547.8492999999999</v>
      </c>
      <c r="S7" s="2">
        <v>14</v>
      </c>
      <c r="T7" s="110">
        <v>35669.890199999994</v>
      </c>
    </row>
    <row r="8" spans="1:20" x14ac:dyDescent="0.35">
      <c r="A8" t="s">
        <v>1641</v>
      </c>
      <c r="B8" s="2">
        <v>16</v>
      </c>
      <c r="D8" s="103">
        <v>45915</v>
      </c>
      <c r="F8" s="104" t="s">
        <v>142</v>
      </c>
      <c r="G8" s="105" t="s">
        <v>187</v>
      </c>
      <c r="H8" s="106" t="s">
        <v>188</v>
      </c>
      <c r="I8" t="s">
        <v>1647</v>
      </c>
      <c r="J8" s="2" t="s">
        <v>187</v>
      </c>
      <c r="K8" s="2" t="s">
        <v>1648</v>
      </c>
      <c r="L8" s="2"/>
      <c r="M8" s="2" t="s">
        <v>151</v>
      </c>
      <c r="N8" s="95" t="s">
        <v>154</v>
      </c>
      <c r="O8" s="107">
        <v>1</v>
      </c>
      <c r="P8" s="108">
        <v>58.316899999999997</v>
      </c>
      <c r="Q8" s="2">
        <v>600</v>
      </c>
      <c r="R8" s="109">
        <v>58.316899999999997</v>
      </c>
      <c r="S8" s="2">
        <v>600</v>
      </c>
      <c r="T8" s="110">
        <v>34990.14</v>
      </c>
    </row>
    <row r="9" spans="1:20" x14ac:dyDescent="0.35">
      <c r="A9" t="s">
        <v>1641</v>
      </c>
      <c r="B9" s="2">
        <v>33</v>
      </c>
      <c r="D9" s="103">
        <v>45880</v>
      </c>
      <c r="F9" s="104" t="s">
        <v>142</v>
      </c>
      <c r="G9" s="105" t="s">
        <v>194</v>
      </c>
      <c r="H9" s="106" t="s">
        <v>195</v>
      </c>
      <c r="I9" t="s">
        <v>1647</v>
      </c>
      <c r="J9" s="2" t="s">
        <v>194</v>
      </c>
      <c r="K9" s="2" t="s">
        <v>1649</v>
      </c>
      <c r="L9" s="2"/>
      <c r="M9" s="2" t="s">
        <v>151</v>
      </c>
      <c r="N9" s="95" t="s">
        <v>1650</v>
      </c>
      <c r="O9" s="107">
        <v>1</v>
      </c>
      <c r="P9" s="108">
        <v>1672.6298999999999</v>
      </c>
      <c r="Q9" s="2">
        <v>18</v>
      </c>
      <c r="R9" s="109">
        <v>1672.6298999999999</v>
      </c>
      <c r="S9" s="2">
        <v>18</v>
      </c>
      <c r="T9" s="110">
        <v>30107.338199999998</v>
      </c>
    </row>
    <row r="10" spans="1:20" x14ac:dyDescent="0.35">
      <c r="A10" t="s">
        <v>1641</v>
      </c>
      <c r="B10" s="2">
        <v>565</v>
      </c>
      <c r="D10" s="103">
        <v>45919</v>
      </c>
      <c r="F10" s="104" t="s">
        <v>142</v>
      </c>
      <c r="G10" s="105" t="s">
        <v>201</v>
      </c>
      <c r="H10" s="106" t="s">
        <v>202</v>
      </c>
      <c r="I10" t="s">
        <v>1651</v>
      </c>
      <c r="J10" s="2" t="s">
        <v>201</v>
      </c>
      <c r="K10" s="2" t="s">
        <v>1652</v>
      </c>
      <c r="L10" s="2"/>
      <c r="M10" s="2" t="s">
        <v>151</v>
      </c>
      <c r="N10" s="95" t="s">
        <v>154</v>
      </c>
      <c r="O10" s="107">
        <v>1</v>
      </c>
      <c r="P10" s="108">
        <v>147.3939</v>
      </c>
      <c r="Q10" s="2">
        <v>120</v>
      </c>
      <c r="R10" s="109">
        <v>147.3939</v>
      </c>
      <c r="S10" s="2">
        <v>120</v>
      </c>
      <c r="T10" s="110">
        <v>17687.268</v>
      </c>
    </row>
    <row r="11" spans="1:20" x14ac:dyDescent="0.35">
      <c r="A11" t="s">
        <v>1641</v>
      </c>
      <c r="B11" s="2">
        <v>461</v>
      </c>
      <c r="D11" s="103">
        <v>45926</v>
      </c>
      <c r="F11" s="104" t="s">
        <v>142</v>
      </c>
      <c r="G11" s="105" t="s">
        <v>207</v>
      </c>
      <c r="H11" s="106" t="s">
        <v>208</v>
      </c>
      <c r="I11" t="s">
        <v>1653</v>
      </c>
      <c r="J11" s="2" t="s">
        <v>207</v>
      </c>
      <c r="K11" s="2" t="s">
        <v>1654</v>
      </c>
      <c r="L11" s="2"/>
      <c r="M11" s="2" t="s">
        <v>151</v>
      </c>
      <c r="N11" s="95" t="s">
        <v>213</v>
      </c>
      <c r="O11" s="107">
        <v>1</v>
      </c>
      <c r="P11" s="108">
        <v>4.9564000000000004</v>
      </c>
      <c r="Q11" s="2">
        <v>3504</v>
      </c>
      <c r="R11" s="109">
        <v>4.9564000000000004</v>
      </c>
      <c r="S11" s="2">
        <v>3504</v>
      </c>
      <c r="T11" s="110">
        <v>17367.225600000002</v>
      </c>
    </row>
    <row r="12" spans="1:20" x14ac:dyDescent="0.35">
      <c r="A12" t="s">
        <v>1641</v>
      </c>
      <c r="B12" s="2">
        <v>108</v>
      </c>
      <c r="D12" s="103">
        <v>45866</v>
      </c>
      <c r="F12" s="104" t="s">
        <v>142</v>
      </c>
      <c r="G12" s="106" t="s">
        <v>214</v>
      </c>
      <c r="H12" s="106" t="s">
        <v>215</v>
      </c>
      <c r="I12" t="s">
        <v>1655</v>
      </c>
      <c r="J12" s="2" t="s">
        <v>214</v>
      </c>
      <c r="K12" s="2" t="s">
        <v>1656</v>
      </c>
      <c r="L12" s="2"/>
      <c r="M12" s="2" t="s">
        <v>151</v>
      </c>
      <c r="N12" s="95" t="s">
        <v>154</v>
      </c>
      <c r="O12" s="107">
        <v>1</v>
      </c>
      <c r="P12" s="108">
        <v>211.94409999999999</v>
      </c>
      <c r="Q12" s="2">
        <v>78</v>
      </c>
      <c r="R12" s="109">
        <v>211.94409999999999</v>
      </c>
      <c r="S12" s="2">
        <v>78</v>
      </c>
      <c r="T12" s="110">
        <v>16531.639800000001</v>
      </c>
    </row>
    <row r="13" spans="1:20" x14ac:dyDescent="0.35">
      <c r="A13" t="s">
        <v>1641</v>
      </c>
      <c r="B13" s="2">
        <v>266</v>
      </c>
      <c r="D13" s="103">
        <v>45924</v>
      </c>
      <c r="F13" s="104" t="s">
        <v>142</v>
      </c>
      <c r="G13" s="105" t="s">
        <v>222</v>
      </c>
      <c r="H13" s="106" t="s">
        <v>223</v>
      </c>
      <c r="I13" t="s">
        <v>1657</v>
      </c>
      <c r="J13" s="2" t="s">
        <v>222</v>
      </c>
      <c r="K13" s="2" t="s">
        <v>151</v>
      </c>
      <c r="L13" s="2"/>
      <c r="M13" s="2" t="s">
        <v>151</v>
      </c>
      <c r="N13" s="95" t="s">
        <v>1658</v>
      </c>
      <c r="O13" s="107">
        <v>1</v>
      </c>
      <c r="P13" s="108">
        <v>69.157200000000003</v>
      </c>
      <c r="Q13" s="2">
        <v>232</v>
      </c>
      <c r="R13" s="109">
        <v>69.157200000000003</v>
      </c>
      <c r="S13" s="2">
        <v>232</v>
      </c>
      <c r="T13" s="110">
        <v>16044.4704</v>
      </c>
    </row>
    <row r="14" spans="1:20" x14ac:dyDescent="0.35">
      <c r="A14" t="s">
        <v>1641</v>
      </c>
      <c r="B14" s="2">
        <v>282</v>
      </c>
      <c r="D14" s="103">
        <v>45929</v>
      </c>
      <c r="F14" s="104" t="s">
        <v>142</v>
      </c>
      <c r="G14" t="s">
        <v>229</v>
      </c>
      <c r="H14" s="106" t="s">
        <v>230</v>
      </c>
      <c r="I14" t="s">
        <v>1659</v>
      </c>
      <c r="J14" s="2" t="s">
        <v>229</v>
      </c>
      <c r="K14" s="2" t="s">
        <v>1660</v>
      </c>
      <c r="L14" s="2"/>
      <c r="M14" s="2" t="s">
        <v>151</v>
      </c>
      <c r="N14" s="95" t="s">
        <v>154</v>
      </c>
      <c r="O14" s="107">
        <v>1</v>
      </c>
      <c r="P14" s="108">
        <v>114.0985</v>
      </c>
      <c r="Q14" s="2">
        <v>140</v>
      </c>
      <c r="R14" s="109">
        <v>114.0985</v>
      </c>
      <c r="S14" s="2">
        <v>140</v>
      </c>
      <c r="T14" s="110">
        <v>15973.79</v>
      </c>
    </row>
    <row r="15" spans="1:20" x14ac:dyDescent="0.35">
      <c r="A15" t="s">
        <v>1641</v>
      </c>
      <c r="B15" s="2">
        <v>321</v>
      </c>
      <c r="D15" s="103">
        <v>45924</v>
      </c>
      <c r="F15" s="104" t="s">
        <v>142</v>
      </c>
      <c r="G15" s="105" t="s">
        <v>236</v>
      </c>
      <c r="H15" s="106" t="s">
        <v>237</v>
      </c>
      <c r="I15" t="s">
        <v>1645</v>
      </c>
      <c r="J15" s="2" t="s">
        <v>236</v>
      </c>
      <c r="K15" s="2" t="s">
        <v>1661</v>
      </c>
      <c r="L15" s="2"/>
      <c r="M15" s="2" t="s">
        <v>151</v>
      </c>
      <c r="N15" s="95" t="s">
        <v>213</v>
      </c>
      <c r="O15" s="107">
        <v>1</v>
      </c>
      <c r="P15" s="108">
        <v>80.729200000000006</v>
      </c>
      <c r="Q15" s="2">
        <v>192</v>
      </c>
      <c r="R15" s="109">
        <v>80.729200000000006</v>
      </c>
      <c r="S15" s="2">
        <v>192</v>
      </c>
      <c r="T15" s="110">
        <v>15500.006400000002</v>
      </c>
    </row>
    <row r="16" spans="1:20" x14ac:dyDescent="0.35">
      <c r="A16" t="s">
        <v>1641</v>
      </c>
      <c r="B16" s="2">
        <v>51</v>
      </c>
      <c r="D16" s="103">
        <v>45924</v>
      </c>
      <c r="F16" s="104" t="s">
        <v>142</v>
      </c>
      <c r="G16" s="105" t="s">
        <v>244</v>
      </c>
      <c r="H16" s="106" t="s">
        <v>245</v>
      </c>
      <c r="I16" t="s">
        <v>1647</v>
      </c>
      <c r="J16" s="2" t="s">
        <v>244</v>
      </c>
      <c r="K16" s="2" t="s">
        <v>1662</v>
      </c>
      <c r="L16" s="2"/>
      <c r="M16" s="2" t="s">
        <v>151</v>
      </c>
      <c r="N16" s="95" t="s">
        <v>1663</v>
      </c>
      <c r="O16" s="107">
        <v>1</v>
      </c>
      <c r="P16" s="108">
        <v>14.3636</v>
      </c>
      <c r="Q16" s="2">
        <v>1040</v>
      </c>
      <c r="R16" s="109">
        <v>14.3636</v>
      </c>
      <c r="S16" s="2">
        <v>1040</v>
      </c>
      <c r="T16" s="110">
        <v>14938.144</v>
      </c>
    </row>
    <row r="17" spans="1:20" x14ac:dyDescent="0.35">
      <c r="A17" t="s">
        <v>1641</v>
      </c>
      <c r="B17" s="2">
        <v>295</v>
      </c>
      <c r="D17" s="103">
        <v>45925</v>
      </c>
      <c r="F17" s="104" t="s">
        <v>142</v>
      </c>
      <c r="G17" s="105" t="s">
        <v>251</v>
      </c>
      <c r="H17" s="106" t="s">
        <v>252</v>
      </c>
      <c r="I17" t="s">
        <v>1645</v>
      </c>
      <c r="J17" s="2" t="s">
        <v>251</v>
      </c>
      <c r="K17" s="2" t="s">
        <v>1664</v>
      </c>
      <c r="L17" s="2"/>
      <c r="M17" s="2" t="s">
        <v>151</v>
      </c>
      <c r="N17" s="95" t="s">
        <v>154</v>
      </c>
      <c r="O17" s="107">
        <v>1</v>
      </c>
      <c r="P17" s="108">
        <v>539.50149999999996</v>
      </c>
      <c r="Q17" s="2">
        <v>24</v>
      </c>
      <c r="R17" s="109">
        <v>539.50149999999996</v>
      </c>
      <c r="S17" s="2">
        <v>24</v>
      </c>
      <c r="T17" s="110">
        <v>12948.036</v>
      </c>
    </row>
    <row r="18" spans="1:20" x14ac:dyDescent="0.35">
      <c r="A18" t="s">
        <v>1641</v>
      </c>
      <c r="B18" s="2">
        <v>191</v>
      </c>
      <c r="D18" s="103">
        <v>45929</v>
      </c>
      <c r="F18" s="104" t="s">
        <v>142</v>
      </c>
      <c r="G18" s="105" t="s">
        <v>260</v>
      </c>
      <c r="H18" t="s">
        <v>261</v>
      </c>
      <c r="I18" t="s">
        <v>1655</v>
      </c>
      <c r="J18" s="2" t="s">
        <v>260</v>
      </c>
      <c r="K18" s="2" t="s">
        <v>1665</v>
      </c>
      <c r="L18" s="2"/>
      <c r="M18" s="2" t="s">
        <v>151</v>
      </c>
      <c r="N18" s="95" t="s">
        <v>1666</v>
      </c>
      <c r="O18" s="107">
        <v>1</v>
      </c>
      <c r="P18" s="108">
        <v>57.445099999999996</v>
      </c>
      <c r="Q18" s="2">
        <v>216</v>
      </c>
      <c r="R18" s="109">
        <v>57.445099999999996</v>
      </c>
      <c r="S18" s="2">
        <v>216</v>
      </c>
      <c r="T18" s="110">
        <v>12408.141599999999</v>
      </c>
    </row>
    <row r="19" spans="1:20" x14ac:dyDescent="0.35">
      <c r="A19" t="s">
        <v>1641</v>
      </c>
      <c r="B19" s="2">
        <v>329</v>
      </c>
      <c r="D19" s="103">
        <v>45911</v>
      </c>
      <c r="F19" s="104" t="s">
        <v>142</v>
      </c>
      <c r="G19" s="105" t="s">
        <v>268</v>
      </c>
      <c r="H19" s="106" t="s">
        <v>269</v>
      </c>
      <c r="I19" t="s">
        <v>1645</v>
      </c>
      <c r="J19" s="2" t="s">
        <v>268</v>
      </c>
      <c r="K19" s="2" t="s">
        <v>1667</v>
      </c>
      <c r="L19" s="2"/>
      <c r="M19" s="2" t="s">
        <v>151</v>
      </c>
      <c r="N19" s="95" t="s">
        <v>154</v>
      </c>
      <c r="O19" s="107">
        <v>1</v>
      </c>
      <c r="P19" s="108">
        <v>83.806100000000001</v>
      </c>
      <c r="Q19" s="2">
        <v>144</v>
      </c>
      <c r="R19" s="109">
        <v>83.806100000000001</v>
      </c>
      <c r="S19" s="2">
        <v>144</v>
      </c>
      <c r="T19" s="110">
        <v>12068.0784</v>
      </c>
    </row>
    <row r="20" spans="1:20" x14ac:dyDescent="0.35">
      <c r="A20" t="s">
        <v>1641</v>
      </c>
      <c r="B20" s="2">
        <v>291</v>
      </c>
      <c r="D20" s="103">
        <v>45905</v>
      </c>
      <c r="F20" s="104" t="s">
        <v>142</v>
      </c>
      <c r="G20" s="105" t="s">
        <v>275</v>
      </c>
      <c r="H20" s="106" t="s">
        <v>276</v>
      </c>
      <c r="I20" t="s">
        <v>1645</v>
      </c>
      <c r="J20" s="2" t="s">
        <v>275</v>
      </c>
      <c r="K20" s="2" t="s">
        <v>1668</v>
      </c>
      <c r="L20" s="2"/>
      <c r="M20" s="2" t="s">
        <v>151</v>
      </c>
      <c r="N20" s="95" t="s">
        <v>154</v>
      </c>
      <c r="O20" s="107">
        <v>1</v>
      </c>
      <c r="P20" s="108">
        <v>593.43179999999995</v>
      </c>
      <c r="Q20" s="2">
        <v>20</v>
      </c>
      <c r="R20" s="109">
        <v>593.43179999999995</v>
      </c>
      <c r="S20" s="2">
        <v>20</v>
      </c>
      <c r="T20" s="110">
        <v>11868.635999999999</v>
      </c>
    </row>
    <row r="21" spans="1:20" x14ac:dyDescent="0.35">
      <c r="A21" t="s">
        <v>1641</v>
      </c>
      <c r="B21" s="2">
        <v>511</v>
      </c>
      <c r="D21" s="103">
        <v>45916</v>
      </c>
      <c r="F21" s="104" t="s">
        <v>142</v>
      </c>
      <c r="G21" s="105" t="s">
        <v>290</v>
      </c>
      <c r="H21" s="106" t="s">
        <v>291</v>
      </c>
      <c r="I21" t="s">
        <v>164</v>
      </c>
      <c r="J21" s="2" t="s">
        <v>290</v>
      </c>
      <c r="K21" s="2" t="s">
        <v>151</v>
      </c>
      <c r="L21" s="2"/>
      <c r="M21" s="2" t="s">
        <v>151</v>
      </c>
      <c r="N21" s="95" t="s">
        <v>154</v>
      </c>
      <c r="O21" s="107">
        <v>1</v>
      </c>
      <c r="P21" s="108">
        <v>867.97720000000004</v>
      </c>
      <c r="Q21" s="2">
        <v>13</v>
      </c>
      <c r="R21" s="109">
        <v>867.97720000000004</v>
      </c>
      <c r="S21" s="2">
        <v>13</v>
      </c>
      <c r="T21" s="110">
        <v>11283.703600000001</v>
      </c>
    </row>
    <row r="22" spans="1:20" x14ac:dyDescent="0.35">
      <c r="A22" t="s">
        <v>1641</v>
      </c>
      <c r="B22" s="2">
        <v>326</v>
      </c>
      <c r="D22" s="103">
        <v>45897</v>
      </c>
      <c r="F22" s="104" t="s">
        <v>142</v>
      </c>
      <c r="G22" s="105" t="s">
        <v>283</v>
      </c>
      <c r="H22" s="106" t="s">
        <v>284</v>
      </c>
      <c r="I22" t="s">
        <v>1645</v>
      </c>
      <c r="J22" s="2" t="s">
        <v>283</v>
      </c>
      <c r="K22" s="2" t="s">
        <v>1669</v>
      </c>
      <c r="L22" s="2"/>
      <c r="M22" s="2" t="s">
        <v>151</v>
      </c>
      <c r="N22" s="95" t="s">
        <v>154</v>
      </c>
      <c r="O22" s="107">
        <v>1</v>
      </c>
      <c r="P22" s="108">
        <v>29.452200000000001</v>
      </c>
      <c r="Q22" s="2">
        <v>384</v>
      </c>
      <c r="R22" s="109">
        <v>29.452200000000001</v>
      </c>
      <c r="S22" s="2">
        <v>384</v>
      </c>
      <c r="T22" s="110">
        <v>11309.6448</v>
      </c>
    </row>
    <row r="23" spans="1:20" x14ac:dyDescent="0.35">
      <c r="A23" t="s">
        <v>1641</v>
      </c>
      <c r="B23" s="2">
        <v>560</v>
      </c>
      <c r="D23" s="103">
        <v>45917</v>
      </c>
      <c r="F23" s="104" t="s">
        <v>142</v>
      </c>
      <c r="G23" s="105" t="s">
        <v>298</v>
      </c>
      <c r="H23" t="s">
        <v>299</v>
      </c>
      <c r="I23" t="s">
        <v>1651</v>
      </c>
      <c r="J23" s="2" t="s">
        <v>298</v>
      </c>
      <c r="K23" s="2" t="s">
        <v>151</v>
      </c>
      <c r="L23" s="2"/>
      <c r="M23" s="2" t="s">
        <v>151</v>
      </c>
      <c r="N23" s="95" t="s">
        <v>154</v>
      </c>
      <c r="O23" s="107">
        <v>1</v>
      </c>
      <c r="P23" s="108">
        <v>160.33240000000001</v>
      </c>
      <c r="Q23" s="2">
        <v>70</v>
      </c>
      <c r="R23" s="109">
        <v>160.33240000000001</v>
      </c>
      <c r="S23" s="2">
        <v>70</v>
      </c>
      <c r="T23" s="110">
        <v>11223.268</v>
      </c>
    </row>
    <row r="24" spans="1:20" x14ac:dyDescent="0.35">
      <c r="A24" t="s">
        <v>1641</v>
      </c>
      <c r="B24" s="2">
        <v>290</v>
      </c>
      <c r="D24" s="103">
        <v>45903</v>
      </c>
      <c r="F24" s="104" t="s">
        <v>142</v>
      </c>
      <c r="G24" s="105" t="s">
        <v>303</v>
      </c>
      <c r="H24" s="106" t="s">
        <v>304</v>
      </c>
      <c r="I24" t="s">
        <v>1645</v>
      </c>
      <c r="J24" s="2" t="s">
        <v>303</v>
      </c>
      <c r="K24" s="2" t="s">
        <v>1670</v>
      </c>
      <c r="L24" s="2"/>
      <c r="M24" s="2" t="s">
        <v>151</v>
      </c>
      <c r="N24" s="95" t="s">
        <v>154</v>
      </c>
      <c r="O24" s="107">
        <v>1</v>
      </c>
      <c r="P24" s="108">
        <v>595.37130000000002</v>
      </c>
      <c r="Q24" s="2">
        <v>18</v>
      </c>
      <c r="R24" s="109">
        <v>595.37130000000002</v>
      </c>
      <c r="S24" s="2">
        <v>18</v>
      </c>
      <c r="T24" s="110">
        <v>10716.6834</v>
      </c>
    </row>
    <row r="25" spans="1:20" x14ac:dyDescent="0.35">
      <c r="A25" t="s">
        <v>1641</v>
      </c>
      <c r="B25" s="2">
        <v>97</v>
      </c>
      <c r="D25" s="103">
        <v>45926</v>
      </c>
      <c r="F25" s="104" t="s">
        <v>142</v>
      </c>
      <c r="G25" s="105" t="s">
        <v>319</v>
      </c>
      <c r="H25" s="106" t="s">
        <v>320</v>
      </c>
      <c r="I25" t="s">
        <v>1671</v>
      </c>
      <c r="J25" s="2" t="s">
        <v>319</v>
      </c>
      <c r="K25" s="2" t="s">
        <v>1672</v>
      </c>
      <c r="L25" s="2"/>
      <c r="M25" s="2" t="s">
        <v>151</v>
      </c>
      <c r="N25" s="95" t="s">
        <v>213</v>
      </c>
      <c r="O25" s="107">
        <v>1</v>
      </c>
      <c r="P25" s="108">
        <v>6.2337999999999996</v>
      </c>
      <c r="Q25" s="2">
        <v>1680</v>
      </c>
      <c r="R25" s="109">
        <v>6.2337999999999996</v>
      </c>
      <c r="S25" s="2">
        <v>1680</v>
      </c>
      <c r="T25" s="110">
        <v>10472.784</v>
      </c>
    </row>
    <row r="26" spans="1:20" x14ac:dyDescent="0.35">
      <c r="A26" t="s">
        <v>1641</v>
      </c>
      <c r="B26" s="2">
        <v>450</v>
      </c>
      <c r="D26" s="103">
        <v>45915</v>
      </c>
      <c r="F26" s="104" t="s">
        <v>142</v>
      </c>
      <c r="G26" s="105" t="s">
        <v>308</v>
      </c>
      <c r="H26" s="106" t="s">
        <v>309</v>
      </c>
      <c r="I26" t="s">
        <v>1653</v>
      </c>
      <c r="J26" s="2" t="s">
        <v>308</v>
      </c>
      <c r="K26" s="2" t="s">
        <v>1673</v>
      </c>
      <c r="L26" s="2"/>
      <c r="M26" s="2" t="s">
        <v>151</v>
      </c>
      <c r="N26" s="95" t="s">
        <v>154</v>
      </c>
      <c r="O26" s="107">
        <v>1</v>
      </c>
      <c r="P26" s="108">
        <v>39.0227</v>
      </c>
      <c r="Q26" s="2">
        <v>270</v>
      </c>
      <c r="R26" s="109">
        <v>39.0227</v>
      </c>
      <c r="S26" s="2">
        <v>270</v>
      </c>
      <c r="T26" s="110">
        <v>10536.129000000001</v>
      </c>
    </row>
    <row r="27" spans="1:20" x14ac:dyDescent="0.35">
      <c r="A27" t="s">
        <v>1641</v>
      </c>
      <c r="B27" s="2">
        <v>621</v>
      </c>
      <c r="D27" s="103">
        <v>45904</v>
      </c>
      <c r="F27" s="104" t="s">
        <v>142</v>
      </c>
      <c r="G27" s="105" t="s">
        <v>314</v>
      </c>
      <c r="H27" s="106" t="s">
        <v>315</v>
      </c>
      <c r="I27" t="s">
        <v>1674</v>
      </c>
      <c r="J27" s="2" t="s">
        <v>314</v>
      </c>
      <c r="K27" s="2" t="s">
        <v>151</v>
      </c>
      <c r="L27" s="2"/>
      <c r="M27" s="2" t="s">
        <v>151</v>
      </c>
      <c r="N27" s="95" t="s">
        <v>154</v>
      </c>
      <c r="O27" s="107">
        <v>1</v>
      </c>
      <c r="P27" s="108">
        <v>23.0944</v>
      </c>
      <c r="Q27" s="2">
        <v>454</v>
      </c>
      <c r="R27" s="109">
        <v>23.0944</v>
      </c>
      <c r="S27" s="2">
        <v>454</v>
      </c>
      <c r="T27" s="110">
        <v>10484.857599999999</v>
      </c>
    </row>
    <row r="28" spans="1:20" x14ac:dyDescent="0.35">
      <c r="A28" t="s">
        <v>1641</v>
      </c>
      <c r="B28" s="2">
        <v>601</v>
      </c>
      <c r="D28" s="103">
        <v>45926</v>
      </c>
      <c r="F28" s="104" t="s">
        <v>142</v>
      </c>
      <c r="G28" s="105" t="s">
        <v>327</v>
      </c>
      <c r="H28" s="106" t="s">
        <v>328</v>
      </c>
      <c r="I28" t="s">
        <v>1675</v>
      </c>
      <c r="J28" s="2" t="s">
        <v>327</v>
      </c>
      <c r="K28" s="2" t="s">
        <v>1676</v>
      </c>
      <c r="L28" s="2"/>
      <c r="M28" s="2" t="s">
        <v>151</v>
      </c>
      <c r="N28" s="95" t="s">
        <v>213</v>
      </c>
      <c r="O28" s="107">
        <v>1</v>
      </c>
      <c r="P28" s="108">
        <v>19.208500000000001</v>
      </c>
      <c r="Q28" s="2">
        <v>540</v>
      </c>
      <c r="R28" s="109">
        <v>19.208500000000001</v>
      </c>
      <c r="S28" s="2">
        <v>540</v>
      </c>
      <c r="T28" s="110">
        <v>10372.59</v>
      </c>
    </row>
    <row r="29" spans="1:20" x14ac:dyDescent="0.35">
      <c r="A29" t="s">
        <v>1641</v>
      </c>
      <c r="B29" s="2">
        <v>148</v>
      </c>
      <c r="D29" s="103">
        <v>45813</v>
      </c>
      <c r="F29" s="104" t="s">
        <v>142</v>
      </c>
      <c r="G29" s="105" t="s">
        <v>335</v>
      </c>
      <c r="H29" s="106" t="s">
        <v>336</v>
      </c>
      <c r="I29" t="s">
        <v>1647</v>
      </c>
      <c r="J29" s="2" t="s">
        <v>335</v>
      </c>
      <c r="K29" s="2" t="s">
        <v>1677</v>
      </c>
      <c r="L29" s="2"/>
      <c r="M29" s="2" t="s">
        <v>151</v>
      </c>
      <c r="N29" s="95" t="s">
        <v>154</v>
      </c>
      <c r="O29" s="107">
        <v>1</v>
      </c>
      <c r="P29" s="108">
        <v>2062.9776000000002</v>
      </c>
      <c r="Q29" s="2">
        <v>5</v>
      </c>
      <c r="R29" s="109">
        <v>2062.9776000000002</v>
      </c>
      <c r="S29" s="2">
        <v>5</v>
      </c>
      <c r="T29" s="110">
        <v>10314.888000000001</v>
      </c>
    </row>
    <row r="30" spans="1:20" x14ac:dyDescent="0.35">
      <c r="A30" t="s">
        <v>1641</v>
      </c>
      <c r="B30" s="2">
        <v>389</v>
      </c>
      <c r="D30" s="103">
        <v>45924</v>
      </c>
      <c r="F30" s="104" t="s">
        <v>142</v>
      </c>
      <c r="G30" s="105" t="s">
        <v>350</v>
      </c>
      <c r="H30" s="106" t="s">
        <v>351</v>
      </c>
      <c r="I30" t="s">
        <v>1678</v>
      </c>
      <c r="J30" s="2" t="s">
        <v>350</v>
      </c>
      <c r="K30" s="2" t="s">
        <v>1679</v>
      </c>
      <c r="L30" s="2"/>
      <c r="M30" s="2" t="s">
        <v>151</v>
      </c>
      <c r="N30" s="95" t="s">
        <v>213</v>
      </c>
      <c r="O30" s="107">
        <v>1</v>
      </c>
      <c r="P30" s="108">
        <v>14.241</v>
      </c>
      <c r="Q30" s="2">
        <v>720</v>
      </c>
      <c r="R30" s="109">
        <v>14.241</v>
      </c>
      <c r="S30" s="2">
        <v>720</v>
      </c>
      <c r="T30" s="110">
        <v>10253.52</v>
      </c>
    </row>
    <row r="31" spans="1:20" x14ac:dyDescent="0.35">
      <c r="A31" t="s">
        <v>1641</v>
      </c>
      <c r="B31" s="2">
        <v>537</v>
      </c>
      <c r="D31" s="103">
        <v>45929</v>
      </c>
      <c r="F31" s="104" t="s">
        <v>142</v>
      </c>
      <c r="G31" s="105" t="s">
        <v>342</v>
      </c>
      <c r="H31" s="106" t="s">
        <v>343</v>
      </c>
      <c r="I31" t="s">
        <v>164</v>
      </c>
      <c r="J31" s="2" t="s">
        <v>342</v>
      </c>
      <c r="K31" s="2" t="s">
        <v>1680</v>
      </c>
      <c r="L31" s="2"/>
      <c r="M31" s="2" t="s">
        <v>151</v>
      </c>
      <c r="N31" s="95" t="s">
        <v>154</v>
      </c>
      <c r="O31" s="107">
        <v>1</v>
      </c>
      <c r="P31" s="108">
        <v>29.9254</v>
      </c>
      <c r="Q31" s="2">
        <v>343</v>
      </c>
      <c r="R31" s="109">
        <v>29.9254</v>
      </c>
      <c r="S31" s="2">
        <v>343</v>
      </c>
      <c r="T31" s="110">
        <v>10264.412200000001</v>
      </c>
    </row>
    <row r="32" spans="1:20" x14ac:dyDescent="0.35">
      <c r="A32" t="s">
        <v>1641</v>
      </c>
      <c r="B32" s="2">
        <v>145</v>
      </c>
      <c r="D32" s="103">
        <v>45897</v>
      </c>
      <c r="F32" s="104" t="s">
        <v>142</v>
      </c>
      <c r="G32" s="105" t="s">
        <v>358</v>
      </c>
      <c r="H32" s="106" t="s">
        <v>359</v>
      </c>
      <c r="I32" t="s">
        <v>1647</v>
      </c>
      <c r="J32" s="2" t="s">
        <v>358</v>
      </c>
      <c r="K32" s="2" t="s">
        <v>1681</v>
      </c>
      <c r="L32" s="2" t="s">
        <v>362</v>
      </c>
      <c r="M32" s="2" t="s">
        <v>151</v>
      </c>
      <c r="N32" s="95" t="s">
        <v>154</v>
      </c>
      <c r="O32" s="107">
        <v>1</v>
      </c>
      <c r="P32" s="108">
        <v>496.10750000000002</v>
      </c>
      <c r="Q32" s="2">
        <v>20</v>
      </c>
      <c r="R32" s="109">
        <v>496.10750000000002</v>
      </c>
      <c r="S32" s="2">
        <v>20</v>
      </c>
      <c r="T32" s="110">
        <v>9922.15</v>
      </c>
    </row>
    <row r="33" spans="1:20" x14ac:dyDescent="0.35">
      <c r="A33" t="s">
        <v>1641</v>
      </c>
      <c r="B33" s="2">
        <v>98</v>
      </c>
      <c r="D33" s="103">
        <v>45924</v>
      </c>
      <c r="F33" s="104" t="s">
        <v>142</v>
      </c>
      <c r="G33" s="105" t="s">
        <v>363</v>
      </c>
      <c r="H33" s="106" t="s">
        <v>364</v>
      </c>
      <c r="I33" t="s">
        <v>1671</v>
      </c>
      <c r="J33" s="2" t="s">
        <v>363</v>
      </c>
      <c r="K33" s="2" t="s">
        <v>1682</v>
      </c>
      <c r="L33" s="2"/>
      <c r="M33" s="2" t="s">
        <v>151</v>
      </c>
      <c r="N33" s="95" t="s">
        <v>213</v>
      </c>
      <c r="O33" s="107">
        <v>1</v>
      </c>
      <c r="P33" s="108">
        <v>6.2563000000000004</v>
      </c>
      <c r="Q33" s="2">
        <v>1584</v>
      </c>
      <c r="R33" s="109">
        <v>6.2563000000000004</v>
      </c>
      <c r="S33" s="2">
        <v>1584</v>
      </c>
      <c r="T33" s="110">
        <v>9909.9791999999998</v>
      </c>
    </row>
    <row r="34" spans="1:20" x14ac:dyDescent="0.35">
      <c r="A34" t="s">
        <v>1641</v>
      </c>
      <c r="B34" s="2">
        <v>70</v>
      </c>
      <c r="D34" s="103">
        <v>45926</v>
      </c>
      <c r="F34" s="104" t="s">
        <v>142</v>
      </c>
      <c r="G34" s="105" t="s">
        <v>369</v>
      </c>
      <c r="H34" s="106" t="s">
        <v>370</v>
      </c>
      <c r="I34" t="s">
        <v>1683</v>
      </c>
      <c r="J34" s="2" t="s">
        <v>369</v>
      </c>
      <c r="K34" s="2" t="s">
        <v>1684</v>
      </c>
      <c r="L34" s="2"/>
      <c r="M34" s="2" t="s">
        <v>151</v>
      </c>
      <c r="N34" s="95" t="s">
        <v>213</v>
      </c>
      <c r="O34" s="107">
        <v>1</v>
      </c>
      <c r="P34" s="108">
        <v>19.102699999999999</v>
      </c>
      <c r="Q34" s="2">
        <v>504</v>
      </c>
      <c r="R34" s="109">
        <v>19.102699999999999</v>
      </c>
      <c r="S34" s="2">
        <v>504</v>
      </c>
      <c r="T34" s="110">
        <v>9627.7608</v>
      </c>
    </row>
    <row r="35" spans="1:20" x14ac:dyDescent="0.35">
      <c r="A35" t="s">
        <v>1641</v>
      </c>
      <c r="B35">
        <v>31</v>
      </c>
      <c r="D35">
        <v>45922</v>
      </c>
      <c r="F35" t="s">
        <v>142</v>
      </c>
      <c r="G35" t="s">
        <v>376</v>
      </c>
      <c r="H35" t="s">
        <v>377</v>
      </c>
      <c r="I35" t="s">
        <v>1647</v>
      </c>
      <c r="J35" t="s">
        <v>376</v>
      </c>
      <c r="K35" t="s">
        <v>1685</v>
      </c>
      <c r="L35" t="s">
        <v>380</v>
      </c>
      <c r="N35" t="s">
        <v>154</v>
      </c>
      <c r="O35">
        <v>1</v>
      </c>
      <c r="P35">
        <v>389.82569999999998</v>
      </c>
      <c r="Q35">
        <v>24</v>
      </c>
      <c r="R35">
        <v>389.82569999999998</v>
      </c>
      <c r="S35">
        <v>24</v>
      </c>
      <c r="T35">
        <v>9355.8168000000005</v>
      </c>
    </row>
    <row r="36" spans="1:20" x14ac:dyDescent="0.35">
      <c r="A36" t="s">
        <v>1641</v>
      </c>
      <c r="B36">
        <v>451</v>
      </c>
      <c r="D36">
        <v>45910</v>
      </c>
      <c r="F36" t="s">
        <v>142</v>
      </c>
      <c r="G36" t="s">
        <v>382</v>
      </c>
      <c r="H36" t="s">
        <v>383</v>
      </c>
      <c r="I36" t="s">
        <v>1653</v>
      </c>
      <c r="J36" t="s">
        <v>382</v>
      </c>
      <c r="K36" t="s">
        <v>1686</v>
      </c>
      <c r="M36" t="s">
        <v>151</v>
      </c>
      <c r="N36" t="s">
        <v>154</v>
      </c>
      <c r="O36">
        <v>1</v>
      </c>
      <c r="P36">
        <v>89.285700000000006</v>
      </c>
      <c r="Q36">
        <v>100</v>
      </c>
      <c r="R36">
        <v>89.285700000000006</v>
      </c>
      <c r="S36">
        <v>100</v>
      </c>
      <c r="T36">
        <v>8928.57</v>
      </c>
    </row>
    <row r="37" spans="1:20" x14ac:dyDescent="0.35">
      <c r="A37" t="s">
        <v>1641</v>
      </c>
      <c r="B37">
        <v>18</v>
      </c>
      <c r="D37">
        <v>45870</v>
      </c>
      <c r="F37" t="s">
        <v>142</v>
      </c>
      <c r="G37" t="s">
        <v>390</v>
      </c>
      <c r="H37" t="s">
        <v>391</v>
      </c>
      <c r="I37" t="s">
        <v>1647</v>
      </c>
      <c r="J37" t="s">
        <v>390</v>
      </c>
      <c r="K37" t="s">
        <v>151</v>
      </c>
      <c r="M37" t="s">
        <v>151</v>
      </c>
      <c r="N37" t="s">
        <v>154</v>
      </c>
      <c r="O37">
        <v>1</v>
      </c>
      <c r="P37">
        <v>750.25120000000004</v>
      </c>
      <c r="Q37">
        <v>11</v>
      </c>
      <c r="R37">
        <v>750.25120000000004</v>
      </c>
      <c r="S37">
        <v>11</v>
      </c>
      <c r="T37">
        <v>8252.7632000000012</v>
      </c>
    </row>
    <row r="38" spans="1:20" x14ac:dyDescent="0.35">
      <c r="A38" t="s">
        <v>1641</v>
      </c>
      <c r="B38">
        <v>209</v>
      </c>
      <c r="D38">
        <v>45861</v>
      </c>
      <c r="F38" t="s">
        <v>142</v>
      </c>
      <c r="G38" t="s">
        <v>396</v>
      </c>
      <c r="H38" t="s">
        <v>397</v>
      </c>
      <c r="I38" t="s">
        <v>1643</v>
      </c>
      <c r="J38" t="s">
        <v>396</v>
      </c>
      <c r="K38" t="s">
        <v>151</v>
      </c>
      <c r="M38" t="s">
        <v>151</v>
      </c>
      <c r="N38" t="s">
        <v>154</v>
      </c>
      <c r="O38">
        <v>1</v>
      </c>
      <c r="P38">
        <v>108.3009</v>
      </c>
      <c r="Q38">
        <v>76</v>
      </c>
      <c r="R38">
        <v>108.3009</v>
      </c>
      <c r="S38">
        <v>76</v>
      </c>
      <c r="T38">
        <v>8230.8683999999994</v>
      </c>
    </row>
    <row r="39" spans="1:20" x14ac:dyDescent="0.35">
      <c r="A39" t="s">
        <v>1641</v>
      </c>
      <c r="B39">
        <v>514</v>
      </c>
      <c r="D39">
        <v>45929</v>
      </c>
      <c r="F39" t="s">
        <v>142</v>
      </c>
      <c r="G39" t="s">
        <v>401</v>
      </c>
      <c r="H39" t="s">
        <v>402</v>
      </c>
      <c r="I39" t="s">
        <v>164</v>
      </c>
      <c r="J39" t="s">
        <v>401</v>
      </c>
      <c r="K39" t="s">
        <v>1687</v>
      </c>
      <c r="M39" t="s">
        <v>151</v>
      </c>
      <c r="N39" t="s">
        <v>154</v>
      </c>
      <c r="O39">
        <v>1</v>
      </c>
      <c r="P39">
        <v>21.849599999999999</v>
      </c>
      <c r="Q39">
        <v>374</v>
      </c>
      <c r="R39">
        <v>21.849599999999999</v>
      </c>
      <c r="S39">
        <v>374</v>
      </c>
      <c r="T39">
        <v>8171.7503999999999</v>
      </c>
    </row>
    <row r="40" spans="1:20" x14ac:dyDescent="0.35">
      <c r="A40" t="s">
        <v>1641</v>
      </c>
      <c r="B40">
        <v>462</v>
      </c>
      <c r="D40">
        <v>45926</v>
      </c>
      <c r="F40" t="s">
        <v>142</v>
      </c>
      <c r="G40" t="s">
        <v>408</v>
      </c>
      <c r="H40" t="s">
        <v>409</v>
      </c>
      <c r="I40" t="s">
        <v>1653</v>
      </c>
      <c r="J40" t="s">
        <v>408</v>
      </c>
      <c r="K40" t="s">
        <v>1688</v>
      </c>
      <c r="M40" t="s">
        <v>151</v>
      </c>
      <c r="N40" t="s">
        <v>213</v>
      </c>
      <c r="O40">
        <v>1</v>
      </c>
      <c r="P40">
        <v>4.9867999999999997</v>
      </c>
      <c r="Q40">
        <v>1632</v>
      </c>
      <c r="R40">
        <v>4.9867999999999997</v>
      </c>
      <c r="S40">
        <v>1632</v>
      </c>
      <c r="T40">
        <v>8138.4575999999997</v>
      </c>
    </row>
    <row r="41" spans="1:20" x14ac:dyDescent="0.35">
      <c r="A41" t="s">
        <v>1641</v>
      </c>
      <c r="B41">
        <v>391</v>
      </c>
      <c r="D41">
        <v>45924</v>
      </c>
      <c r="F41" t="s">
        <v>142</v>
      </c>
      <c r="G41" t="s">
        <v>414</v>
      </c>
      <c r="H41" t="s">
        <v>415</v>
      </c>
      <c r="I41" t="s">
        <v>1678</v>
      </c>
      <c r="J41" t="s">
        <v>414</v>
      </c>
      <c r="K41" t="s">
        <v>1689</v>
      </c>
      <c r="M41" t="s">
        <v>151</v>
      </c>
      <c r="N41" t="s">
        <v>213</v>
      </c>
      <c r="O41">
        <v>1</v>
      </c>
      <c r="P41">
        <v>14.3071</v>
      </c>
      <c r="Q41">
        <v>552</v>
      </c>
      <c r="R41">
        <v>14.3071</v>
      </c>
      <c r="S41">
        <v>552</v>
      </c>
      <c r="T41">
        <v>7897.5191999999997</v>
      </c>
    </row>
    <row r="42" spans="1:20" x14ac:dyDescent="0.35">
      <c r="A42" t="s">
        <v>1641</v>
      </c>
      <c r="B42">
        <v>459</v>
      </c>
      <c r="D42">
        <v>45915</v>
      </c>
      <c r="F42" t="s">
        <v>142</v>
      </c>
      <c r="G42" t="s">
        <v>421</v>
      </c>
      <c r="H42" t="s">
        <v>422</v>
      </c>
      <c r="I42" t="s">
        <v>1653</v>
      </c>
      <c r="J42" t="s">
        <v>421</v>
      </c>
      <c r="K42" t="s">
        <v>1690</v>
      </c>
      <c r="M42" t="s">
        <v>151</v>
      </c>
      <c r="N42" t="s">
        <v>213</v>
      </c>
      <c r="O42">
        <v>1</v>
      </c>
      <c r="P42">
        <v>4.2370999999999999</v>
      </c>
      <c r="Q42">
        <v>1848</v>
      </c>
      <c r="R42">
        <v>4.2370999999999999</v>
      </c>
      <c r="S42">
        <v>1848</v>
      </c>
      <c r="T42">
        <v>7830.1607999999997</v>
      </c>
    </row>
    <row r="43" spans="1:20" x14ac:dyDescent="0.35">
      <c r="A43" t="s">
        <v>1641</v>
      </c>
      <c r="B43">
        <v>100</v>
      </c>
      <c r="D43">
        <v>45926</v>
      </c>
      <c r="F43" t="s">
        <v>142</v>
      </c>
      <c r="G43" t="s">
        <v>428</v>
      </c>
      <c r="H43" t="s">
        <v>429</v>
      </c>
      <c r="I43" t="s">
        <v>1671</v>
      </c>
      <c r="J43" t="s">
        <v>428</v>
      </c>
      <c r="K43" t="s">
        <v>1691</v>
      </c>
      <c r="M43" t="s">
        <v>151</v>
      </c>
      <c r="N43" t="s">
        <v>213</v>
      </c>
      <c r="O43">
        <v>1</v>
      </c>
      <c r="P43">
        <v>6.2412999999999998</v>
      </c>
      <c r="Q43">
        <v>1236</v>
      </c>
      <c r="R43">
        <v>6.2412999999999998</v>
      </c>
      <c r="S43">
        <v>1236</v>
      </c>
      <c r="T43">
        <v>7714.2467999999999</v>
      </c>
    </row>
    <row r="44" spans="1:20" x14ac:dyDescent="0.35">
      <c r="A44" t="s">
        <v>1641</v>
      </c>
      <c r="B44">
        <v>608</v>
      </c>
      <c r="D44">
        <v>45925</v>
      </c>
      <c r="F44" t="s">
        <v>142</v>
      </c>
      <c r="G44" t="s">
        <v>434</v>
      </c>
      <c r="H44" t="s">
        <v>435</v>
      </c>
      <c r="I44" t="s">
        <v>1675</v>
      </c>
      <c r="J44" t="s">
        <v>434</v>
      </c>
      <c r="K44" t="s">
        <v>1692</v>
      </c>
      <c r="M44" t="s">
        <v>151</v>
      </c>
      <c r="N44" t="s">
        <v>213</v>
      </c>
      <c r="O44">
        <v>1</v>
      </c>
      <c r="P44">
        <v>26.4983</v>
      </c>
      <c r="Q44">
        <v>289</v>
      </c>
      <c r="R44">
        <v>26.4983</v>
      </c>
      <c r="S44">
        <v>289</v>
      </c>
      <c r="T44">
        <v>7658.0087000000003</v>
      </c>
    </row>
    <row r="45" spans="1:20" x14ac:dyDescent="0.35">
      <c r="A45" t="s">
        <v>1641</v>
      </c>
      <c r="B45">
        <v>436</v>
      </c>
      <c r="D45">
        <v>45924</v>
      </c>
      <c r="F45" t="s">
        <v>142</v>
      </c>
      <c r="G45" t="s">
        <v>441</v>
      </c>
      <c r="H45" t="s">
        <v>442</v>
      </c>
      <c r="I45" t="s">
        <v>1653</v>
      </c>
      <c r="J45" t="s">
        <v>441</v>
      </c>
      <c r="K45" t="s">
        <v>151</v>
      </c>
      <c r="N45" t="s">
        <v>154</v>
      </c>
      <c r="O45">
        <v>1</v>
      </c>
      <c r="P45">
        <v>6.1952999999999996</v>
      </c>
      <c r="Q45">
        <v>1200</v>
      </c>
      <c r="R45">
        <v>6.1952999999999996</v>
      </c>
      <c r="S45">
        <v>1200</v>
      </c>
      <c r="T45">
        <v>7434.36</v>
      </c>
    </row>
    <row r="46" spans="1:20" x14ac:dyDescent="0.35">
      <c r="A46" t="s">
        <v>1641</v>
      </c>
      <c r="B46">
        <v>142</v>
      </c>
      <c r="D46">
        <v>45798</v>
      </c>
      <c r="F46" t="s">
        <v>142</v>
      </c>
      <c r="G46" t="s">
        <v>449</v>
      </c>
      <c r="H46" t="s">
        <v>450</v>
      </c>
      <c r="I46" t="s">
        <v>1647</v>
      </c>
      <c r="J46" t="s">
        <v>449</v>
      </c>
      <c r="K46" t="s">
        <v>1681</v>
      </c>
      <c r="M46" t="s">
        <v>151</v>
      </c>
      <c r="N46" t="s">
        <v>154</v>
      </c>
      <c r="O46">
        <v>1</v>
      </c>
      <c r="P46">
        <v>204.00229999999999</v>
      </c>
      <c r="Q46">
        <v>36</v>
      </c>
      <c r="R46">
        <v>204.00229999999999</v>
      </c>
      <c r="S46">
        <v>36</v>
      </c>
      <c r="T46">
        <v>7344.0828000000001</v>
      </c>
    </row>
    <row r="47" spans="1:20" x14ac:dyDescent="0.35">
      <c r="A47" t="s">
        <v>1641</v>
      </c>
      <c r="B47">
        <v>67</v>
      </c>
      <c r="D47">
        <v>45926</v>
      </c>
      <c r="F47" t="s">
        <v>142</v>
      </c>
      <c r="G47" t="s">
        <v>455</v>
      </c>
      <c r="H47" t="s">
        <v>456</v>
      </c>
      <c r="I47" t="s">
        <v>1683</v>
      </c>
      <c r="J47" t="s">
        <v>455</v>
      </c>
      <c r="K47" t="s">
        <v>1693</v>
      </c>
      <c r="M47" t="s">
        <v>151</v>
      </c>
      <c r="N47" t="s">
        <v>213</v>
      </c>
      <c r="O47">
        <v>1</v>
      </c>
      <c r="P47">
        <v>18.946100000000001</v>
      </c>
      <c r="Q47">
        <v>384</v>
      </c>
      <c r="R47">
        <v>18.946100000000001</v>
      </c>
      <c r="S47">
        <v>384</v>
      </c>
      <c r="T47">
        <v>7275.3024000000005</v>
      </c>
    </row>
    <row r="48" spans="1:20" x14ac:dyDescent="0.35">
      <c r="A48" t="s">
        <v>1641</v>
      </c>
      <c r="B48">
        <v>604</v>
      </c>
      <c r="D48">
        <v>45929</v>
      </c>
      <c r="F48" t="s">
        <v>142</v>
      </c>
      <c r="G48" t="s">
        <v>460</v>
      </c>
      <c r="H48" t="s">
        <v>461</v>
      </c>
      <c r="I48" t="s">
        <v>1675</v>
      </c>
      <c r="J48" t="s">
        <v>460</v>
      </c>
      <c r="K48" t="s">
        <v>1694</v>
      </c>
      <c r="M48" t="s">
        <v>151</v>
      </c>
      <c r="N48" t="s">
        <v>213</v>
      </c>
      <c r="O48">
        <v>1</v>
      </c>
      <c r="P48">
        <v>26.506699999999999</v>
      </c>
      <c r="Q48">
        <v>272</v>
      </c>
      <c r="R48">
        <v>26.506699999999999</v>
      </c>
      <c r="S48">
        <v>272</v>
      </c>
      <c r="T48">
        <v>7209.8224</v>
      </c>
    </row>
    <row r="49" spans="1:20" x14ac:dyDescent="0.35">
      <c r="A49" t="s">
        <v>1641</v>
      </c>
      <c r="B49">
        <v>69</v>
      </c>
      <c r="D49">
        <v>45926</v>
      </c>
      <c r="F49" t="s">
        <v>142</v>
      </c>
      <c r="G49" t="s">
        <v>467</v>
      </c>
      <c r="H49" t="s">
        <v>468</v>
      </c>
      <c r="I49" t="s">
        <v>1683</v>
      </c>
      <c r="J49" t="s">
        <v>467</v>
      </c>
      <c r="K49" t="s">
        <v>1695</v>
      </c>
      <c r="M49" t="s">
        <v>151</v>
      </c>
      <c r="N49" t="s">
        <v>213</v>
      </c>
      <c r="O49">
        <v>1</v>
      </c>
      <c r="P49">
        <v>19.002099999999999</v>
      </c>
      <c r="Q49">
        <v>360</v>
      </c>
      <c r="R49">
        <v>19.002099999999999</v>
      </c>
      <c r="S49">
        <v>360</v>
      </c>
      <c r="T49">
        <v>6840.7559999999994</v>
      </c>
    </row>
    <row r="50" spans="1:20" x14ac:dyDescent="0.35">
      <c r="A50" t="s">
        <v>1641</v>
      </c>
      <c r="B50">
        <v>482</v>
      </c>
      <c r="D50">
        <v>45924</v>
      </c>
      <c r="F50" t="s">
        <v>142</v>
      </c>
      <c r="G50" t="s">
        <v>473</v>
      </c>
      <c r="H50" t="s">
        <v>474</v>
      </c>
      <c r="I50" t="s">
        <v>1696</v>
      </c>
      <c r="J50" t="s">
        <v>473</v>
      </c>
      <c r="K50" t="s">
        <v>1697</v>
      </c>
      <c r="M50" t="s">
        <v>151</v>
      </c>
      <c r="N50" t="s">
        <v>213</v>
      </c>
      <c r="O50">
        <v>1</v>
      </c>
      <c r="P50">
        <v>17.8004</v>
      </c>
      <c r="Q50">
        <v>366</v>
      </c>
      <c r="R50">
        <v>17.8004</v>
      </c>
      <c r="S50">
        <v>366</v>
      </c>
      <c r="T50">
        <v>6514.9463999999998</v>
      </c>
    </row>
    <row r="51" spans="1:20" x14ac:dyDescent="0.35">
      <c r="A51" t="s">
        <v>1641</v>
      </c>
      <c r="B51">
        <v>313</v>
      </c>
      <c r="D51">
        <v>45769</v>
      </c>
      <c r="F51" t="s">
        <v>142</v>
      </c>
      <c r="G51" t="s">
        <v>480</v>
      </c>
      <c r="H51" t="s">
        <v>481</v>
      </c>
      <c r="I51" t="s">
        <v>1645</v>
      </c>
      <c r="J51" t="s">
        <v>480</v>
      </c>
      <c r="K51" t="s">
        <v>1698</v>
      </c>
      <c r="M51" t="s">
        <v>151</v>
      </c>
      <c r="N51" t="s">
        <v>154</v>
      </c>
      <c r="O51">
        <v>1</v>
      </c>
      <c r="P51">
        <v>87.390199999999993</v>
      </c>
      <c r="Q51">
        <v>71</v>
      </c>
      <c r="R51">
        <v>87.390199999999993</v>
      </c>
      <c r="S51">
        <v>71</v>
      </c>
      <c r="T51">
        <v>6204.7041999999992</v>
      </c>
    </row>
    <row r="52" spans="1:20" x14ac:dyDescent="0.35">
      <c r="A52" t="s">
        <v>1641</v>
      </c>
      <c r="B52">
        <v>339</v>
      </c>
      <c r="D52">
        <v>45922</v>
      </c>
      <c r="F52" t="s">
        <v>142</v>
      </c>
      <c r="G52" t="s">
        <v>485</v>
      </c>
      <c r="H52" t="s">
        <v>486</v>
      </c>
      <c r="I52" t="s">
        <v>1645</v>
      </c>
      <c r="J52" t="s">
        <v>485</v>
      </c>
      <c r="K52" t="s">
        <v>1699</v>
      </c>
      <c r="M52" t="s">
        <v>151</v>
      </c>
      <c r="N52" t="s">
        <v>154</v>
      </c>
      <c r="O52">
        <v>1</v>
      </c>
      <c r="P52">
        <v>79.043700000000001</v>
      </c>
      <c r="Q52">
        <v>78</v>
      </c>
      <c r="R52">
        <v>79.043700000000001</v>
      </c>
      <c r="S52">
        <v>78</v>
      </c>
      <c r="T52">
        <v>6165.4085999999998</v>
      </c>
    </row>
    <row r="53" spans="1:20" x14ac:dyDescent="0.35">
      <c r="A53" t="s">
        <v>1641</v>
      </c>
      <c r="B53">
        <v>239</v>
      </c>
      <c r="D53">
        <v>45922</v>
      </c>
      <c r="F53" t="s">
        <v>142</v>
      </c>
      <c r="G53" t="s">
        <v>489</v>
      </c>
      <c r="H53" t="s">
        <v>490</v>
      </c>
      <c r="I53" t="s">
        <v>1700</v>
      </c>
      <c r="J53" t="s">
        <v>489</v>
      </c>
      <c r="K53" t="s">
        <v>1701</v>
      </c>
      <c r="M53" t="s">
        <v>151</v>
      </c>
      <c r="N53" t="s">
        <v>154</v>
      </c>
      <c r="O53">
        <v>1</v>
      </c>
      <c r="P53">
        <v>4.4637000000000002</v>
      </c>
      <c r="Q53">
        <v>1338</v>
      </c>
      <c r="R53">
        <v>4.4637000000000002</v>
      </c>
      <c r="S53">
        <v>1338</v>
      </c>
      <c r="T53">
        <v>5972.4306000000006</v>
      </c>
    </row>
    <row r="54" spans="1:20" x14ac:dyDescent="0.35">
      <c r="A54" t="s">
        <v>1641</v>
      </c>
      <c r="B54">
        <v>366</v>
      </c>
      <c r="D54">
        <v>45929</v>
      </c>
      <c r="F54" t="s">
        <v>142</v>
      </c>
      <c r="G54" t="s">
        <v>497</v>
      </c>
      <c r="H54" t="s">
        <v>498</v>
      </c>
      <c r="I54" t="s">
        <v>1702</v>
      </c>
      <c r="J54" t="s">
        <v>497</v>
      </c>
      <c r="K54" t="s">
        <v>1703</v>
      </c>
      <c r="N54" t="s">
        <v>154</v>
      </c>
      <c r="O54">
        <v>1</v>
      </c>
      <c r="P54">
        <v>11.0974</v>
      </c>
      <c r="Q54">
        <v>511</v>
      </c>
      <c r="R54">
        <v>11.0974</v>
      </c>
      <c r="S54">
        <v>511</v>
      </c>
      <c r="T54">
        <v>5670.7714000000005</v>
      </c>
    </row>
    <row r="55" spans="1:20" x14ac:dyDescent="0.35">
      <c r="A55" t="s">
        <v>1641</v>
      </c>
      <c r="B55">
        <v>218</v>
      </c>
      <c r="D55">
        <v>45811</v>
      </c>
      <c r="F55" t="s">
        <v>142</v>
      </c>
      <c r="G55" t="s">
        <v>503</v>
      </c>
      <c r="H55" t="s">
        <v>504</v>
      </c>
      <c r="I55" t="s">
        <v>1704</v>
      </c>
      <c r="J55" t="s">
        <v>503</v>
      </c>
      <c r="K55" t="s">
        <v>1705</v>
      </c>
      <c r="M55" t="s">
        <v>151</v>
      </c>
      <c r="N55" t="s">
        <v>154</v>
      </c>
      <c r="O55">
        <v>1</v>
      </c>
      <c r="P55">
        <v>2796.2282</v>
      </c>
      <c r="Q55">
        <v>2</v>
      </c>
      <c r="R55">
        <v>2796.2282</v>
      </c>
      <c r="S55">
        <v>2</v>
      </c>
      <c r="T55">
        <v>5592.4564</v>
      </c>
    </row>
    <row r="56" spans="1:20" x14ac:dyDescent="0.35">
      <c r="A56" t="s">
        <v>1641</v>
      </c>
      <c r="B56">
        <v>180</v>
      </c>
      <c r="D56">
        <v>45926</v>
      </c>
      <c r="F56" t="s">
        <v>142</v>
      </c>
      <c r="G56" t="s">
        <v>511</v>
      </c>
      <c r="H56" t="s">
        <v>512</v>
      </c>
      <c r="I56" t="s">
        <v>1655</v>
      </c>
      <c r="J56" t="s">
        <v>511</v>
      </c>
      <c r="K56" t="s">
        <v>151</v>
      </c>
      <c r="N56" t="s">
        <v>154</v>
      </c>
      <c r="O56">
        <v>1</v>
      </c>
      <c r="P56">
        <v>10.465999999999999</v>
      </c>
      <c r="Q56">
        <v>504</v>
      </c>
      <c r="R56">
        <v>10.465999999999999</v>
      </c>
      <c r="S56">
        <v>504</v>
      </c>
      <c r="T56">
        <v>5274.8639999999996</v>
      </c>
    </row>
    <row r="57" spans="1:20" x14ac:dyDescent="0.35">
      <c r="A57" t="s">
        <v>1641</v>
      </c>
      <c r="B57">
        <v>325</v>
      </c>
      <c r="D57">
        <v>45688</v>
      </c>
      <c r="F57" t="s">
        <v>142</v>
      </c>
      <c r="G57" t="s">
        <v>518</v>
      </c>
      <c r="H57" t="s">
        <v>519</v>
      </c>
      <c r="I57" t="s">
        <v>1645</v>
      </c>
      <c r="J57" t="s">
        <v>518</v>
      </c>
      <c r="K57" t="s">
        <v>1706</v>
      </c>
      <c r="M57" t="s">
        <v>151</v>
      </c>
      <c r="N57" t="s">
        <v>154</v>
      </c>
      <c r="O57">
        <v>1</v>
      </c>
      <c r="P57">
        <v>424.79340000000002</v>
      </c>
      <c r="Q57">
        <v>12</v>
      </c>
      <c r="R57">
        <v>424.79340000000002</v>
      </c>
      <c r="S57">
        <v>12</v>
      </c>
      <c r="T57">
        <v>5097.5208000000002</v>
      </c>
    </row>
    <row r="58" spans="1:20" x14ac:dyDescent="0.35">
      <c r="A58" t="s">
        <v>1641</v>
      </c>
      <c r="B58">
        <v>219</v>
      </c>
      <c r="D58">
        <v>45811</v>
      </c>
      <c r="F58" t="s">
        <v>142</v>
      </c>
      <c r="G58" t="s">
        <v>525</v>
      </c>
      <c r="H58" t="s">
        <v>526</v>
      </c>
      <c r="I58" t="s">
        <v>1704</v>
      </c>
      <c r="J58" t="s">
        <v>525</v>
      </c>
      <c r="K58" t="s">
        <v>151</v>
      </c>
      <c r="M58" t="s">
        <v>151</v>
      </c>
      <c r="N58" t="s">
        <v>154</v>
      </c>
      <c r="O58">
        <v>1</v>
      </c>
      <c r="P58">
        <v>1646.3373999999999</v>
      </c>
      <c r="Q58">
        <v>3</v>
      </c>
      <c r="R58">
        <v>1646.3373999999999</v>
      </c>
      <c r="S58">
        <v>3</v>
      </c>
      <c r="T58">
        <v>4939.0121999999992</v>
      </c>
    </row>
    <row r="59" spans="1:20" x14ac:dyDescent="0.35">
      <c r="A59" t="s">
        <v>1641</v>
      </c>
      <c r="B59">
        <v>74</v>
      </c>
      <c r="D59">
        <v>45910</v>
      </c>
      <c r="F59" t="s">
        <v>142</v>
      </c>
      <c r="G59" t="s">
        <v>532</v>
      </c>
      <c r="H59" t="s">
        <v>533</v>
      </c>
      <c r="I59" t="s">
        <v>1683</v>
      </c>
      <c r="J59" t="s">
        <v>532</v>
      </c>
      <c r="K59" t="s">
        <v>1707</v>
      </c>
      <c r="M59" t="s">
        <v>151</v>
      </c>
      <c r="N59" t="s">
        <v>213</v>
      </c>
      <c r="O59">
        <v>1</v>
      </c>
      <c r="P59">
        <v>14.6515</v>
      </c>
      <c r="Q59">
        <v>336</v>
      </c>
      <c r="R59">
        <v>14.6515</v>
      </c>
      <c r="S59">
        <v>336</v>
      </c>
      <c r="T59">
        <v>4922.9040000000005</v>
      </c>
    </row>
    <row r="60" spans="1:20" x14ac:dyDescent="0.35">
      <c r="A60" t="s">
        <v>1641</v>
      </c>
      <c r="B60">
        <v>568</v>
      </c>
      <c r="D60">
        <v>45784</v>
      </c>
      <c r="F60" t="s">
        <v>142</v>
      </c>
      <c r="G60" t="s">
        <v>539</v>
      </c>
      <c r="H60" t="s">
        <v>540</v>
      </c>
      <c r="I60" t="s">
        <v>1708</v>
      </c>
      <c r="J60" t="s">
        <v>539</v>
      </c>
      <c r="K60" t="s">
        <v>151</v>
      </c>
      <c r="M60" t="s">
        <v>151</v>
      </c>
      <c r="N60" t="s">
        <v>154</v>
      </c>
      <c r="O60">
        <v>1</v>
      </c>
      <c r="P60">
        <v>4905.7449999999999</v>
      </c>
      <c r="Q60">
        <v>1</v>
      </c>
      <c r="R60">
        <v>4905.7449999999999</v>
      </c>
      <c r="S60">
        <v>1</v>
      </c>
      <c r="T60">
        <v>4905.7449999999999</v>
      </c>
    </row>
    <row r="61" spans="1:20" x14ac:dyDescent="0.35">
      <c r="A61" t="s">
        <v>1641</v>
      </c>
      <c r="B61">
        <v>1</v>
      </c>
      <c r="D61">
        <v>45912</v>
      </c>
      <c r="F61" t="s">
        <v>142</v>
      </c>
      <c r="G61" t="s">
        <v>543</v>
      </c>
      <c r="H61" t="s">
        <v>544</v>
      </c>
      <c r="I61" t="s">
        <v>1647</v>
      </c>
      <c r="J61" t="s">
        <v>543</v>
      </c>
      <c r="K61" t="s">
        <v>1709</v>
      </c>
      <c r="M61" t="s">
        <v>151</v>
      </c>
      <c r="N61" t="s">
        <v>1650</v>
      </c>
      <c r="O61">
        <v>1</v>
      </c>
      <c r="P61">
        <v>469.024</v>
      </c>
      <c r="Q61">
        <v>10</v>
      </c>
      <c r="R61">
        <v>469.024</v>
      </c>
      <c r="S61">
        <v>10</v>
      </c>
      <c r="T61">
        <v>4690.24</v>
      </c>
    </row>
    <row r="62" spans="1:20" x14ac:dyDescent="0.35">
      <c r="A62" t="s">
        <v>1641</v>
      </c>
      <c r="B62">
        <v>208</v>
      </c>
      <c r="D62">
        <v>45862</v>
      </c>
      <c r="F62" t="s">
        <v>142</v>
      </c>
      <c r="G62" t="s">
        <v>548</v>
      </c>
      <c r="H62" t="s">
        <v>549</v>
      </c>
      <c r="I62" t="s">
        <v>1643</v>
      </c>
      <c r="J62" t="s">
        <v>548</v>
      </c>
      <c r="K62" t="s">
        <v>1710</v>
      </c>
      <c r="M62" t="s">
        <v>151</v>
      </c>
      <c r="N62" t="s">
        <v>1666</v>
      </c>
      <c r="O62">
        <v>1</v>
      </c>
      <c r="P62">
        <v>467.54880000000003</v>
      </c>
      <c r="Q62">
        <v>10</v>
      </c>
      <c r="R62">
        <v>467.54880000000003</v>
      </c>
      <c r="S62">
        <v>10</v>
      </c>
      <c r="T62">
        <v>4675.4880000000003</v>
      </c>
    </row>
    <row r="63" spans="1:20" x14ac:dyDescent="0.35">
      <c r="A63" t="s">
        <v>1641</v>
      </c>
      <c r="B63">
        <v>409</v>
      </c>
      <c r="D63">
        <v>45910</v>
      </c>
      <c r="F63" t="s">
        <v>142</v>
      </c>
      <c r="G63" t="s">
        <v>553</v>
      </c>
      <c r="H63" t="s">
        <v>554</v>
      </c>
      <c r="I63" t="s">
        <v>1678</v>
      </c>
      <c r="J63" t="s">
        <v>553</v>
      </c>
      <c r="K63" t="s">
        <v>1711</v>
      </c>
      <c r="M63" t="s">
        <v>151</v>
      </c>
      <c r="N63" t="s">
        <v>213</v>
      </c>
      <c r="O63">
        <v>1</v>
      </c>
      <c r="P63">
        <v>7.4917999999999996</v>
      </c>
      <c r="Q63">
        <v>576</v>
      </c>
      <c r="R63">
        <v>7.4917999999999996</v>
      </c>
      <c r="S63">
        <v>576</v>
      </c>
      <c r="T63">
        <v>4315.2767999999996</v>
      </c>
    </row>
    <row r="64" spans="1:20" x14ac:dyDescent="0.35">
      <c r="A64" t="s">
        <v>1641</v>
      </c>
      <c r="B64">
        <v>427</v>
      </c>
      <c r="D64">
        <v>45924</v>
      </c>
      <c r="F64" t="s">
        <v>142</v>
      </c>
      <c r="G64" t="s">
        <v>561</v>
      </c>
      <c r="H64" t="s">
        <v>562</v>
      </c>
      <c r="I64" t="s">
        <v>1653</v>
      </c>
      <c r="J64" t="s">
        <v>561</v>
      </c>
      <c r="K64" t="s">
        <v>1712</v>
      </c>
      <c r="M64" t="s">
        <v>151</v>
      </c>
      <c r="N64" t="s">
        <v>154</v>
      </c>
      <c r="O64">
        <v>1</v>
      </c>
      <c r="P64">
        <v>7.6300999999999997</v>
      </c>
      <c r="Q64">
        <v>555</v>
      </c>
      <c r="R64">
        <v>7.6300999999999997</v>
      </c>
      <c r="S64">
        <v>555</v>
      </c>
      <c r="T64">
        <v>4234.7055</v>
      </c>
    </row>
    <row r="65" spans="1:20" x14ac:dyDescent="0.35">
      <c r="A65" t="s">
        <v>1641</v>
      </c>
      <c r="B65">
        <v>143</v>
      </c>
      <c r="D65">
        <v>45904</v>
      </c>
      <c r="F65" t="s">
        <v>142</v>
      </c>
      <c r="G65" t="s">
        <v>567</v>
      </c>
      <c r="H65" t="s">
        <v>568</v>
      </c>
      <c r="I65" t="s">
        <v>1647</v>
      </c>
      <c r="J65" t="s">
        <v>567</v>
      </c>
      <c r="K65" t="s">
        <v>1681</v>
      </c>
      <c r="M65" t="s">
        <v>151</v>
      </c>
      <c r="N65" t="s">
        <v>154</v>
      </c>
      <c r="O65">
        <v>1</v>
      </c>
      <c r="P65">
        <v>260.90339999999998</v>
      </c>
      <c r="Q65">
        <v>16</v>
      </c>
      <c r="R65">
        <v>260.90339999999998</v>
      </c>
      <c r="S65">
        <v>16</v>
      </c>
      <c r="T65">
        <v>4174.4543999999996</v>
      </c>
    </row>
    <row r="66" spans="1:20" x14ac:dyDescent="0.35">
      <c r="A66" t="s">
        <v>1641</v>
      </c>
      <c r="B66">
        <v>562</v>
      </c>
      <c r="D66">
        <v>45768</v>
      </c>
      <c r="F66" t="s">
        <v>142</v>
      </c>
      <c r="G66" t="s">
        <v>572</v>
      </c>
      <c r="H66" t="s">
        <v>573</v>
      </c>
      <c r="I66" t="s">
        <v>1651</v>
      </c>
      <c r="J66" t="s">
        <v>572</v>
      </c>
      <c r="K66" t="s">
        <v>1713</v>
      </c>
      <c r="M66" t="s">
        <v>151</v>
      </c>
      <c r="N66" t="s">
        <v>154</v>
      </c>
      <c r="O66">
        <v>1</v>
      </c>
      <c r="P66">
        <v>9.0612999999999992</v>
      </c>
      <c r="Q66">
        <v>456</v>
      </c>
      <c r="R66">
        <v>9.0612999999999992</v>
      </c>
      <c r="S66">
        <v>456</v>
      </c>
      <c r="T66">
        <v>4131.9528</v>
      </c>
    </row>
    <row r="67" spans="1:20" x14ac:dyDescent="0.35">
      <c r="A67" t="s">
        <v>1641</v>
      </c>
      <c r="B67">
        <v>229</v>
      </c>
      <c r="D67">
        <v>45868</v>
      </c>
      <c r="F67" t="s">
        <v>142</v>
      </c>
      <c r="G67" t="s">
        <v>579</v>
      </c>
      <c r="H67" t="s">
        <v>580</v>
      </c>
      <c r="I67" t="s">
        <v>1714</v>
      </c>
      <c r="J67" t="s">
        <v>579</v>
      </c>
      <c r="K67" t="s">
        <v>151</v>
      </c>
      <c r="M67" t="s">
        <v>151</v>
      </c>
      <c r="N67" t="s">
        <v>1650</v>
      </c>
      <c r="O67">
        <v>1</v>
      </c>
      <c r="P67">
        <v>34.254100000000001</v>
      </c>
      <c r="Q67">
        <v>120</v>
      </c>
      <c r="R67">
        <v>34.254100000000001</v>
      </c>
      <c r="S67">
        <v>120</v>
      </c>
      <c r="T67">
        <v>4110.4920000000002</v>
      </c>
    </row>
    <row r="68" spans="1:20" x14ac:dyDescent="0.35">
      <c r="A68" t="s">
        <v>1641</v>
      </c>
      <c r="B68">
        <v>390</v>
      </c>
      <c r="D68">
        <v>45924</v>
      </c>
      <c r="F68" t="s">
        <v>142</v>
      </c>
      <c r="G68" t="s">
        <v>585</v>
      </c>
      <c r="H68" t="s">
        <v>586</v>
      </c>
      <c r="I68" t="s">
        <v>1678</v>
      </c>
      <c r="J68" t="s">
        <v>585</v>
      </c>
      <c r="K68" t="s">
        <v>1715</v>
      </c>
      <c r="M68" t="s">
        <v>151</v>
      </c>
      <c r="N68" t="s">
        <v>213</v>
      </c>
      <c r="O68">
        <v>1</v>
      </c>
      <c r="P68">
        <v>14.2667</v>
      </c>
      <c r="Q68">
        <v>288</v>
      </c>
      <c r="R68">
        <v>14.2667</v>
      </c>
      <c r="S68">
        <v>288</v>
      </c>
      <c r="T68">
        <v>4108.8096000000005</v>
      </c>
    </row>
    <row r="69" spans="1:20" x14ac:dyDescent="0.35">
      <c r="A69" t="s">
        <v>1641</v>
      </c>
      <c r="B69">
        <v>35</v>
      </c>
      <c r="D69">
        <v>45925</v>
      </c>
      <c r="F69" t="s">
        <v>142</v>
      </c>
      <c r="G69" t="s">
        <v>592</v>
      </c>
      <c r="H69" t="s">
        <v>593</v>
      </c>
      <c r="I69" t="s">
        <v>1647</v>
      </c>
      <c r="J69" t="s">
        <v>592</v>
      </c>
      <c r="K69" t="s">
        <v>1716</v>
      </c>
      <c r="M69" t="s">
        <v>151</v>
      </c>
      <c r="N69" t="s">
        <v>172</v>
      </c>
      <c r="O69">
        <v>1</v>
      </c>
      <c r="P69">
        <v>13.8062</v>
      </c>
      <c r="Q69">
        <v>288</v>
      </c>
      <c r="R69">
        <v>13.8062</v>
      </c>
      <c r="S69">
        <v>288</v>
      </c>
      <c r="T69">
        <v>3976.1856000000002</v>
      </c>
    </row>
    <row r="70" spans="1:20" x14ac:dyDescent="0.35">
      <c r="A70" t="s">
        <v>1641</v>
      </c>
      <c r="B70">
        <v>167</v>
      </c>
      <c r="D70">
        <v>45868</v>
      </c>
      <c r="F70" t="s">
        <v>142</v>
      </c>
      <c r="G70" t="s">
        <v>597</v>
      </c>
      <c r="H70" t="s">
        <v>598</v>
      </c>
      <c r="I70" t="s">
        <v>1717</v>
      </c>
      <c r="J70" t="s">
        <v>597</v>
      </c>
      <c r="K70" t="s">
        <v>151</v>
      </c>
      <c r="M70" t="s">
        <v>151</v>
      </c>
      <c r="N70" t="s">
        <v>154</v>
      </c>
      <c r="O70">
        <v>1</v>
      </c>
      <c r="P70">
        <v>83.522599999999997</v>
      </c>
      <c r="Q70">
        <v>47</v>
      </c>
      <c r="R70">
        <v>83.522599999999997</v>
      </c>
      <c r="S70">
        <v>47</v>
      </c>
      <c r="T70">
        <v>3925.5621999999998</v>
      </c>
    </row>
    <row r="71" spans="1:20" x14ac:dyDescent="0.35">
      <c r="A71" t="s">
        <v>1641</v>
      </c>
      <c r="B71">
        <v>320</v>
      </c>
      <c r="D71">
        <v>45763</v>
      </c>
      <c r="F71" t="s">
        <v>142</v>
      </c>
      <c r="G71" t="s">
        <v>602</v>
      </c>
      <c r="H71" t="s">
        <v>603</v>
      </c>
      <c r="I71" t="s">
        <v>1645</v>
      </c>
      <c r="J71" t="s">
        <v>602</v>
      </c>
      <c r="K71" t="s">
        <v>1718</v>
      </c>
      <c r="M71" t="s">
        <v>151</v>
      </c>
      <c r="N71" t="s">
        <v>154</v>
      </c>
      <c r="O71">
        <v>1</v>
      </c>
      <c r="P71">
        <v>86.891099999999994</v>
      </c>
      <c r="Q71">
        <v>45</v>
      </c>
      <c r="R71">
        <v>86.891099999999994</v>
      </c>
      <c r="S71">
        <v>45</v>
      </c>
      <c r="T71">
        <v>3910.0994999999998</v>
      </c>
    </row>
    <row r="72" spans="1:20" x14ac:dyDescent="0.35">
      <c r="A72" t="s">
        <v>1641</v>
      </c>
      <c r="B72">
        <v>292</v>
      </c>
      <c r="D72">
        <v>45918</v>
      </c>
      <c r="F72" t="s">
        <v>142</v>
      </c>
      <c r="G72" t="s">
        <v>608</v>
      </c>
      <c r="H72" t="s">
        <v>609</v>
      </c>
      <c r="I72" t="s">
        <v>1645</v>
      </c>
      <c r="J72" t="s">
        <v>608</v>
      </c>
      <c r="K72" t="s">
        <v>1719</v>
      </c>
      <c r="M72" t="s">
        <v>151</v>
      </c>
      <c r="N72" t="s">
        <v>154</v>
      </c>
      <c r="O72">
        <v>1</v>
      </c>
      <c r="P72">
        <v>650.14350000000002</v>
      </c>
      <c r="Q72">
        <v>6</v>
      </c>
      <c r="R72">
        <v>650.14350000000002</v>
      </c>
      <c r="S72">
        <v>6</v>
      </c>
      <c r="T72">
        <v>3900.8609999999999</v>
      </c>
    </row>
    <row r="73" spans="1:20" x14ac:dyDescent="0.35">
      <c r="A73" t="s">
        <v>1641</v>
      </c>
      <c r="B73">
        <v>476</v>
      </c>
      <c r="D73">
        <v>45929</v>
      </c>
      <c r="F73" t="s">
        <v>142</v>
      </c>
      <c r="G73" t="s">
        <v>613</v>
      </c>
      <c r="H73" t="s">
        <v>614</v>
      </c>
      <c r="I73" t="s">
        <v>1696</v>
      </c>
      <c r="J73" t="s">
        <v>613</v>
      </c>
      <c r="K73" t="s">
        <v>1720</v>
      </c>
      <c r="M73" t="s">
        <v>151</v>
      </c>
      <c r="N73" t="s">
        <v>213</v>
      </c>
      <c r="O73">
        <v>1</v>
      </c>
      <c r="P73">
        <v>12.3634</v>
      </c>
      <c r="Q73">
        <v>312</v>
      </c>
      <c r="R73">
        <v>12.3634</v>
      </c>
      <c r="S73">
        <v>312</v>
      </c>
      <c r="T73">
        <v>3857.3807999999999</v>
      </c>
    </row>
    <row r="74" spans="1:20" x14ac:dyDescent="0.35">
      <c r="A74" t="s">
        <v>1641</v>
      </c>
      <c r="B74">
        <v>157</v>
      </c>
      <c r="D74">
        <v>45705</v>
      </c>
      <c r="F74" t="s">
        <v>142</v>
      </c>
      <c r="G74" t="s">
        <v>619</v>
      </c>
      <c r="H74" t="s">
        <v>620</v>
      </c>
      <c r="I74" t="s">
        <v>969</v>
      </c>
      <c r="J74" t="s">
        <v>619</v>
      </c>
      <c r="K74" t="s">
        <v>151</v>
      </c>
      <c r="M74" t="s">
        <v>151</v>
      </c>
      <c r="N74" t="s">
        <v>154</v>
      </c>
      <c r="O74">
        <v>1</v>
      </c>
      <c r="P74">
        <v>19.174399999999999</v>
      </c>
      <c r="Q74">
        <v>200</v>
      </c>
      <c r="R74">
        <v>19.174399999999999</v>
      </c>
      <c r="S74">
        <v>200</v>
      </c>
      <c r="T74">
        <v>3834.8799999999997</v>
      </c>
    </row>
    <row r="75" spans="1:20" x14ac:dyDescent="0.35">
      <c r="A75" t="s">
        <v>1641</v>
      </c>
      <c r="B75">
        <v>564</v>
      </c>
      <c r="D75">
        <v>45919</v>
      </c>
      <c r="F75" t="s">
        <v>142</v>
      </c>
      <c r="G75" t="s">
        <v>626</v>
      </c>
      <c r="H75" t="s">
        <v>627</v>
      </c>
      <c r="I75" t="s">
        <v>1651</v>
      </c>
      <c r="J75" t="s">
        <v>626</v>
      </c>
      <c r="K75" t="s">
        <v>1721</v>
      </c>
      <c r="M75" t="s">
        <v>151</v>
      </c>
      <c r="N75" t="s">
        <v>154</v>
      </c>
      <c r="O75">
        <v>1</v>
      </c>
      <c r="P75">
        <v>159.1995</v>
      </c>
      <c r="Q75">
        <v>24</v>
      </c>
      <c r="R75">
        <v>159.1995</v>
      </c>
      <c r="S75">
        <v>24</v>
      </c>
      <c r="T75">
        <v>3820.788</v>
      </c>
    </row>
    <row r="76" spans="1:20" x14ac:dyDescent="0.35">
      <c r="A76" t="s">
        <v>1641</v>
      </c>
      <c r="B76">
        <v>26</v>
      </c>
      <c r="D76">
        <v>45909</v>
      </c>
      <c r="F76" t="s">
        <v>142</v>
      </c>
      <c r="G76" t="s">
        <v>630</v>
      </c>
      <c r="H76" t="s">
        <v>631</v>
      </c>
      <c r="I76" t="s">
        <v>1647</v>
      </c>
      <c r="J76" t="s">
        <v>630</v>
      </c>
      <c r="K76" t="s">
        <v>1722</v>
      </c>
      <c r="L76" t="s">
        <v>634</v>
      </c>
      <c r="N76" t="s">
        <v>1666</v>
      </c>
      <c r="O76">
        <v>1</v>
      </c>
      <c r="P76">
        <v>111.55629999999999</v>
      </c>
      <c r="Q76">
        <v>34</v>
      </c>
      <c r="R76">
        <v>111.55629999999999</v>
      </c>
      <c r="S76">
        <v>34</v>
      </c>
      <c r="T76">
        <v>3792.9141999999997</v>
      </c>
    </row>
    <row r="77" spans="1:20" x14ac:dyDescent="0.35">
      <c r="A77" t="s">
        <v>1641</v>
      </c>
      <c r="B77">
        <v>306</v>
      </c>
      <c r="D77">
        <v>45915</v>
      </c>
      <c r="F77" t="s">
        <v>142</v>
      </c>
      <c r="G77" t="s">
        <v>636</v>
      </c>
      <c r="H77" t="s">
        <v>637</v>
      </c>
      <c r="I77" t="s">
        <v>1645</v>
      </c>
      <c r="J77" t="s">
        <v>636</v>
      </c>
      <c r="K77" t="s">
        <v>1723</v>
      </c>
      <c r="M77" t="s">
        <v>151</v>
      </c>
      <c r="N77" t="s">
        <v>154</v>
      </c>
      <c r="O77">
        <v>1</v>
      </c>
      <c r="P77">
        <v>68.4679</v>
      </c>
      <c r="Q77">
        <v>55</v>
      </c>
      <c r="R77">
        <v>68.4679</v>
      </c>
      <c r="S77">
        <v>55</v>
      </c>
      <c r="T77">
        <v>3765.7345</v>
      </c>
    </row>
    <row r="78" spans="1:20" x14ac:dyDescent="0.35">
      <c r="A78" t="s">
        <v>1641</v>
      </c>
      <c r="B78">
        <v>128</v>
      </c>
      <c r="D78">
        <v>45891</v>
      </c>
      <c r="F78" t="s">
        <v>142</v>
      </c>
      <c r="G78" t="s">
        <v>645</v>
      </c>
      <c r="H78" t="s">
        <v>646</v>
      </c>
      <c r="I78" t="s">
        <v>1647</v>
      </c>
      <c r="J78" t="s">
        <v>645</v>
      </c>
      <c r="K78" t="s">
        <v>151</v>
      </c>
      <c r="L78" t="s">
        <v>650</v>
      </c>
      <c r="M78" t="s">
        <v>151</v>
      </c>
      <c r="N78" t="s">
        <v>154</v>
      </c>
      <c r="O78">
        <v>1</v>
      </c>
      <c r="P78">
        <v>124.1344</v>
      </c>
      <c r="Q78">
        <v>30</v>
      </c>
      <c r="R78">
        <v>124.1344</v>
      </c>
      <c r="S78">
        <v>30</v>
      </c>
      <c r="T78">
        <v>3724.0320000000002</v>
      </c>
    </row>
    <row r="79" spans="1:20" x14ac:dyDescent="0.35">
      <c r="A79" t="s">
        <v>1641</v>
      </c>
      <c r="B79">
        <v>71</v>
      </c>
      <c r="D79">
        <v>45924</v>
      </c>
      <c r="F79" t="s">
        <v>142</v>
      </c>
      <c r="G79" t="s">
        <v>651</v>
      </c>
      <c r="H79" t="s">
        <v>652</v>
      </c>
      <c r="I79" t="s">
        <v>1683</v>
      </c>
      <c r="J79" t="s">
        <v>651</v>
      </c>
      <c r="K79" t="s">
        <v>1724</v>
      </c>
      <c r="M79" t="s">
        <v>151</v>
      </c>
      <c r="N79" t="s">
        <v>213</v>
      </c>
      <c r="O79">
        <v>1</v>
      </c>
      <c r="P79">
        <v>14.617599999999999</v>
      </c>
      <c r="Q79">
        <v>252</v>
      </c>
      <c r="R79">
        <v>14.617599999999999</v>
      </c>
      <c r="S79">
        <v>252</v>
      </c>
      <c r="T79">
        <v>3683.6351999999997</v>
      </c>
    </row>
    <row r="80" spans="1:20" x14ac:dyDescent="0.35">
      <c r="A80" t="s">
        <v>1641</v>
      </c>
      <c r="B80">
        <v>412</v>
      </c>
      <c r="D80">
        <v>45867</v>
      </c>
      <c r="F80" t="s">
        <v>142</v>
      </c>
      <c r="G80" t="s">
        <v>656</v>
      </c>
      <c r="H80" t="s">
        <v>657</v>
      </c>
      <c r="I80" t="s">
        <v>1678</v>
      </c>
      <c r="J80" t="s">
        <v>656</v>
      </c>
      <c r="K80" t="s">
        <v>1725</v>
      </c>
      <c r="M80" t="s">
        <v>151</v>
      </c>
      <c r="N80" t="s">
        <v>213</v>
      </c>
      <c r="O80">
        <v>1</v>
      </c>
      <c r="P80">
        <v>7.5136000000000003</v>
      </c>
      <c r="Q80">
        <v>480</v>
      </c>
      <c r="R80">
        <v>7.5136000000000003</v>
      </c>
      <c r="S80">
        <v>480</v>
      </c>
      <c r="T80">
        <v>3606.5280000000002</v>
      </c>
    </row>
    <row r="81" spans="1:20" x14ac:dyDescent="0.35">
      <c r="A81" t="s">
        <v>1641</v>
      </c>
      <c r="B81">
        <v>11</v>
      </c>
      <c r="D81">
        <v>45915</v>
      </c>
      <c r="F81" t="s">
        <v>142</v>
      </c>
      <c r="G81" t="s">
        <v>663</v>
      </c>
      <c r="H81" t="s">
        <v>664</v>
      </c>
      <c r="I81" t="s">
        <v>1647</v>
      </c>
      <c r="J81" t="s">
        <v>663</v>
      </c>
      <c r="K81" t="s">
        <v>1726</v>
      </c>
      <c r="M81" t="s">
        <v>151</v>
      </c>
      <c r="N81" t="s">
        <v>154</v>
      </c>
      <c r="O81">
        <v>1</v>
      </c>
      <c r="P81">
        <v>15.0467</v>
      </c>
      <c r="Q81">
        <v>235</v>
      </c>
      <c r="R81">
        <v>15.0467</v>
      </c>
      <c r="S81">
        <v>235</v>
      </c>
      <c r="T81">
        <v>3535.9744999999998</v>
      </c>
    </row>
    <row r="82" spans="1:20" x14ac:dyDescent="0.35">
      <c r="A82" t="s">
        <v>1641</v>
      </c>
      <c r="B82">
        <v>89</v>
      </c>
      <c r="D82">
        <v>45929</v>
      </c>
      <c r="F82" t="s">
        <v>142</v>
      </c>
      <c r="G82" t="s">
        <v>670</v>
      </c>
      <c r="H82" t="s">
        <v>671</v>
      </c>
      <c r="I82" t="s">
        <v>677</v>
      </c>
      <c r="J82" t="s">
        <v>670</v>
      </c>
      <c r="K82" t="s">
        <v>1727</v>
      </c>
      <c r="M82" t="s">
        <v>151</v>
      </c>
      <c r="N82" t="s">
        <v>213</v>
      </c>
      <c r="O82">
        <v>1</v>
      </c>
      <c r="P82">
        <v>8.1426999999999996</v>
      </c>
      <c r="Q82">
        <v>421</v>
      </c>
      <c r="R82">
        <v>8.1426999999999996</v>
      </c>
      <c r="S82">
        <v>421</v>
      </c>
      <c r="T82">
        <v>3428.0766999999996</v>
      </c>
    </row>
    <row r="83" spans="1:20" x14ac:dyDescent="0.35">
      <c r="A83" t="s">
        <v>1641</v>
      </c>
      <c r="B83">
        <v>318</v>
      </c>
      <c r="D83">
        <v>45723</v>
      </c>
      <c r="F83" t="s">
        <v>142</v>
      </c>
      <c r="G83" t="s">
        <v>678</v>
      </c>
      <c r="H83" t="s">
        <v>679</v>
      </c>
      <c r="I83" t="s">
        <v>1645</v>
      </c>
      <c r="J83" t="s">
        <v>678</v>
      </c>
      <c r="K83" t="s">
        <v>1728</v>
      </c>
      <c r="M83" t="s">
        <v>151</v>
      </c>
      <c r="N83" t="s">
        <v>154</v>
      </c>
      <c r="O83">
        <v>1</v>
      </c>
      <c r="P83">
        <v>87.366600000000005</v>
      </c>
      <c r="Q83">
        <v>39</v>
      </c>
      <c r="R83">
        <v>87.366600000000005</v>
      </c>
      <c r="S83">
        <v>39</v>
      </c>
      <c r="T83">
        <v>3407.2974000000004</v>
      </c>
    </row>
    <row r="84" spans="1:20" x14ac:dyDescent="0.35">
      <c r="A84" t="s">
        <v>1641</v>
      </c>
      <c r="B84">
        <v>543</v>
      </c>
      <c r="D84">
        <v>45929</v>
      </c>
      <c r="F84" t="s">
        <v>142</v>
      </c>
      <c r="G84" t="s">
        <v>684</v>
      </c>
      <c r="H84" t="s">
        <v>685</v>
      </c>
      <c r="I84" t="s">
        <v>164</v>
      </c>
      <c r="J84" t="s">
        <v>684</v>
      </c>
      <c r="K84" t="s">
        <v>151</v>
      </c>
      <c r="M84" t="s">
        <v>151</v>
      </c>
      <c r="N84" t="s">
        <v>154</v>
      </c>
      <c r="O84">
        <v>1</v>
      </c>
      <c r="P84">
        <v>224.73699999999999</v>
      </c>
      <c r="Q84">
        <v>15</v>
      </c>
      <c r="R84">
        <v>224.73699999999999</v>
      </c>
      <c r="S84">
        <v>15</v>
      </c>
      <c r="T84">
        <v>3371.0549999999998</v>
      </c>
    </row>
    <row r="85" spans="1:20" x14ac:dyDescent="0.35">
      <c r="A85" t="s">
        <v>1641</v>
      </c>
      <c r="B85">
        <v>42</v>
      </c>
      <c r="D85">
        <v>45917</v>
      </c>
      <c r="F85" t="s">
        <v>142</v>
      </c>
      <c r="G85" t="s">
        <v>692</v>
      </c>
      <c r="H85" t="s">
        <v>693</v>
      </c>
      <c r="I85" t="s">
        <v>1647</v>
      </c>
      <c r="J85" t="s">
        <v>692</v>
      </c>
      <c r="K85" t="s">
        <v>1729</v>
      </c>
      <c r="L85" t="s">
        <v>697</v>
      </c>
      <c r="N85" t="s">
        <v>1666</v>
      </c>
      <c r="O85">
        <v>1</v>
      </c>
      <c r="P85">
        <v>34.759700000000002</v>
      </c>
      <c r="Q85">
        <v>96</v>
      </c>
      <c r="R85">
        <v>34.759700000000002</v>
      </c>
      <c r="S85">
        <v>96</v>
      </c>
      <c r="T85">
        <v>3336.9312</v>
      </c>
    </row>
    <row r="86" spans="1:20" x14ac:dyDescent="0.35">
      <c r="A86" t="s">
        <v>1641</v>
      </c>
      <c r="B86">
        <v>83</v>
      </c>
      <c r="D86">
        <v>45922</v>
      </c>
      <c r="F86" t="s">
        <v>142</v>
      </c>
      <c r="G86" t="s">
        <v>698</v>
      </c>
      <c r="H86" t="s">
        <v>699</v>
      </c>
      <c r="I86" t="s">
        <v>677</v>
      </c>
      <c r="J86" t="s">
        <v>698</v>
      </c>
      <c r="K86" t="s">
        <v>1730</v>
      </c>
      <c r="M86" t="s">
        <v>151</v>
      </c>
      <c r="N86" t="s">
        <v>213</v>
      </c>
      <c r="O86">
        <v>1</v>
      </c>
      <c r="P86">
        <v>8.8407999999999998</v>
      </c>
      <c r="Q86">
        <v>372</v>
      </c>
      <c r="R86">
        <v>8.8407999999999998</v>
      </c>
      <c r="S86">
        <v>372</v>
      </c>
      <c r="T86">
        <v>3288.7775999999999</v>
      </c>
    </row>
    <row r="87" spans="1:20" x14ac:dyDescent="0.35">
      <c r="A87" t="s">
        <v>1641</v>
      </c>
      <c r="B87">
        <v>460</v>
      </c>
      <c r="D87">
        <v>45926</v>
      </c>
      <c r="F87" t="s">
        <v>142</v>
      </c>
      <c r="G87" t="s">
        <v>705</v>
      </c>
      <c r="H87" t="s">
        <v>706</v>
      </c>
      <c r="I87" t="s">
        <v>1653</v>
      </c>
      <c r="J87" t="s">
        <v>705</v>
      </c>
      <c r="K87" t="s">
        <v>1731</v>
      </c>
      <c r="M87" t="s">
        <v>151</v>
      </c>
      <c r="N87" t="s">
        <v>213</v>
      </c>
      <c r="O87">
        <v>1</v>
      </c>
      <c r="P87">
        <v>4.9863999999999997</v>
      </c>
      <c r="Q87">
        <v>648</v>
      </c>
      <c r="R87">
        <v>4.9863999999999997</v>
      </c>
      <c r="S87">
        <v>648</v>
      </c>
      <c r="T87">
        <v>3231.1871999999998</v>
      </c>
    </row>
    <row r="88" spans="1:20" x14ac:dyDescent="0.35">
      <c r="A88" t="s">
        <v>1641</v>
      </c>
      <c r="B88">
        <v>146</v>
      </c>
      <c r="D88">
        <v>45827</v>
      </c>
      <c r="F88" t="s">
        <v>142</v>
      </c>
      <c r="G88" t="s">
        <v>723</v>
      </c>
      <c r="H88" t="s">
        <v>724</v>
      </c>
      <c r="I88" t="s">
        <v>1647</v>
      </c>
      <c r="J88" t="s">
        <v>723</v>
      </c>
      <c r="K88" t="s">
        <v>1681</v>
      </c>
      <c r="M88" t="s">
        <v>151</v>
      </c>
      <c r="N88" t="s">
        <v>154</v>
      </c>
      <c r="O88">
        <v>1</v>
      </c>
      <c r="P88">
        <v>632.03489999999999</v>
      </c>
      <c r="Q88">
        <v>5</v>
      </c>
      <c r="R88">
        <v>632.03489999999999</v>
      </c>
      <c r="S88">
        <v>5</v>
      </c>
      <c r="T88">
        <v>3160.1745000000001</v>
      </c>
    </row>
    <row r="89" spans="1:20" x14ac:dyDescent="0.35">
      <c r="A89" t="s">
        <v>1641</v>
      </c>
      <c r="B89">
        <v>3</v>
      </c>
      <c r="D89">
        <v>45915</v>
      </c>
      <c r="F89" t="s">
        <v>142</v>
      </c>
      <c r="G89" t="s">
        <v>717</v>
      </c>
      <c r="H89" t="s">
        <v>718</v>
      </c>
      <c r="I89" t="s">
        <v>1647</v>
      </c>
      <c r="J89" t="s">
        <v>717</v>
      </c>
      <c r="K89" t="s">
        <v>151</v>
      </c>
      <c r="M89" t="s">
        <v>151</v>
      </c>
      <c r="N89" t="s">
        <v>154</v>
      </c>
      <c r="O89">
        <v>1</v>
      </c>
      <c r="P89">
        <v>2.8740999999999999</v>
      </c>
      <c r="Q89">
        <v>1100</v>
      </c>
      <c r="R89">
        <v>2.8740999999999999</v>
      </c>
      <c r="S89">
        <v>1100</v>
      </c>
      <c r="T89">
        <v>3161.5099999999998</v>
      </c>
    </row>
    <row r="90" spans="1:20" x14ac:dyDescent="0.35">
      <c r="A90" t="s">
        <v>1641</v>
      </c>
      <c r="B90">
        <v>309</v>
      </c>
      <c r="D90">
        <v>45922</v>
      </c>
      <c r="F90" t="s">
        <v>142</v>
      </c>
      <c r="G90" t="s">
        <v>710</v>
      </c>
      <c r="H90" t="s">
        <v>711</v>
      </c>
      <c r="I90" t="s">
        <v>1645</v>
      </c>
      <c r="J90" t="s">
        <v>710</v>
      </c>
      <c r="K90" t="s">
        <v>1732</v>
      </c>
      <c r="M90" t="s">
        <v>151</v>
      </c>
      <c r="N90" t="s">
        <v>154</v>
      </c>
      <c r="O90">
        <v>1</v>
      </c>
      <c r="P90">
        <v>68.774000000000001</v>
      </c>
      <c r="Q90">
        <v>46</v>
      </c>
      <c r="R90">
        <v>68.774000000000001</v>
      </c>
      <c r="S90">
        <v>46</v>
      </c>
      <c r="T90">
        <v>3163.6040000000003</v>
      </c>
    </row>
    <row r="91" spans="1:20" x14ac:dyDescent="0.35">
      <c r="A91" t="s">
        <v>1641</v>
      </c>
      <c r="B91">
        <v>276</v>
      </c>
      <c r="D91">
        <v>45812</v>
      </c>
      <c r="F91" t="s">
        <v>142</v>
      </c>
      <c r="G91" t="s">
        <v>728</v>
      </c>
      <c r="H91" t="s">
        <v>729</v>
      </c>
      <c r="I91" t="s">
        <v>1659</v>
      </c>
      <c r="J91" t="s">
        <v>728</v>
      </c>
      <c r="K91" t="s">
        <v>151</v>
      </c>
      <c r="M91" t="s">
        <v>151</v>
      </c>
      <c r="N91" t="s">
        <v>154</v>
      </c>
      <c r="O91">
        <v>1</v>
      </c>
      <c r="P91">
        <v>102.6216</v>
      </c>
      <c r="Q91">
        <v>30</v>
      </c>
      <c r="R91">
        <v>102.6216</v>
      </c>
      <c r="S91">
        <v>30</v>
      </c>
      <c r="T91">
        <v>3078.6480000000001</v>
      </c>
    </row>
    <row r="92" spans="1:20" x14ac:dyDescent="0.35">
      <c r="A92" t="s">
        <v>1641</v>
      </c>
      <c r="B92">
        <v>181</v>
      </c>
      <c r="D92">
        <v>45919</v>
      </c>
      <c r="F92" t="s">
        <v>142</v>
      </c>
      <c r="G92" t="s">
        <v>733</v>
      </c>
      <c r="H92" t="s">
        <v>734</v>
      </c>
      <c r="I92" t="s">
        <v>1655</v>
      </c>
      <c r="J92" t="s">
        <v>733</v>
      </c>
      <c r="K92" t="s">
        <v>151</v>
      </c>
      <c r="N92" t="s">
        <v>154</v>
      </c>
      <c r="O92">
        <v>1</v>
      </c>
      <c r="P92">
        <v>21.773900000000001</v>
      </c>
      <c r="Q92">
        <v>140</v>
      </c>
      <c r="R92">
        <v>21.773900000000001</v>
      </c>
      <c r="S92">
        <v>140</v>
      </c>
      <c r="T92">
        <v>3048.346</v>
      </c>
    </row>
    <row r="93" spans="1:20" x14ac:dyDescent="0.35">
      <c r="A93" t="s">
        <v>1641</v>
      </c>
      <c r="B93">
        <v>215</v>
      </c>
      <c r="D93">
        <v>45817</v>
      </c>
      <c r="F93" t="s">
        <v>142</v>
      </c>
      <c r="G93" t="s">
        <v>738</v>
      </c>
      <c r="H93" t="s">
        <v>739</v>
      </c>
      <c r="I93" t="s">
        <v>1643</v>
      </c>
      <c r="J93" t="s">
        <v>738</v>
      </c>
      <c r="K93" t="s">
        <v>151</v>
      </c>
      <c r="M93" t="s">
        <v>151</v>
      </c>
      <c r="N93" t="s">
        <v>154</v>
      </c>
      <c r="O93">
        <v>1</v>
      </c>
      <c r="P93">
        <v>217.45849999999999</v>
      </c>
      <c r="Q93">
        <v>14</v>
      </c>
      <c r="R93">
        <v>217.45849999999999</v>
      </c>
      <c r="S93">
        <v>14</v>
      </c>
      <c r="T93">
        <v>3044.4189999999999</v>
      </c>
    </row>
    <row r="94" spans="1:20" x14ac:dyDescent="0.35">
      <c r="A94" t="s">
        <v>1641</v>
      </c>
      <c r="B94">
        <v>147</v>
      </c>
      <c r="D94">
        <v>45887</v>
      </c>
      <c r="F94" t="s">
        <v>142</v>
      </c>
      <c r="G94" t="s">
        <v>742</v>
      </c>
      <c r="H94" t="s">
        <v>743</v>
      </c>
      <c r="I94" t="s">
        <v>1647</v>
      </c>
      <c r="J94" t="s">
        <v>742</v>
      </c>
      <c r="K94" t="s">
        <v>151</v>
      </c>
      <c r="M94" t="s">
        <v>151</v>
      </c>
      <c r="N94" t="s">
        <v>154</v>
      </c>
      <c r="O94">
        <v>1</v>
      </c>
      <c r="P94">
        <v>273.73649999999998</v>
      </c>
      <c r="Q94">
        <v>11</v>
      </c>
      <c r="R94">
        <v>273.73649999999998</v>
      </c>
      <c r="S94">
        <v>11</v>
      </c>
      <c r="T94">
        <v>3011.1014999999998</v>
      </c>
    </row>
    <row r="95" spans="1:20" x14ac:dyDescent="0.35">
      <c r="A95" t="s">
        <v>1641</v>
      </c>
      <c r="B95">
        <v>212</v>
      </c>
      <c r="D95">
        <v>45784</v>
      </c>
      <c r="F95" t="s">
        <v>142</v>
      </c>
      <c r="G95" t="s">
        <v>747</v>
      </c>
      <c r="H95" t="s">
        <v>748</v>
      </c>
      <c r="I95" t="s">
        <v>1643</v>
      </c>
      <c r="J95" t="s">
        <v>747</v>
      </c>
      <c r="K95" t="s">
        <v>151</v>
      </c>
      <c r="M95" t="s">
        <v>151</v>
      </c>
      <c r="N95" t="s">
        <v>154</v>
      </c>
      <c r="O95">
        <v>1</v>
      </c>
      <c r="P95">
        <v>148.79929999999999</v>
      </c>
      <c r="Q95">
        <v>20</v>
      </c>
      <c r="R95">
        <v>148.79929999999999</v>
      </c>
      <c r="S95">
        <v>20</v>
      </c>
      <c r="T95">
        <v>2975.9859999999999</v>
      </c>
    </row>
    <row r="96" spans="1:20" x14ac:dyDescent="0.35">
      <c r="A96" t="s">
        <v>1641</v>
      </c>
      <c r="B96">
        <v>123</v>
      </c>
      <c r="D96">
        <v>45911</v>
      </c>
      <c r="F96" t="s">
        <v>142</v>
      </c>
      <c r="G96" t="s">
        <v>751</v>
      </c>
      <c r="H96" t="s">
        <v>752</v>
      </c>
      <c r="I96" t="s">
        <v>1642</v>
      </c>
      <c r="J96" t="s">
        <v>751</v>
      </c>
      <c r="K96" t="s">
        <v>1733</v>
      </c>
      <c r="M96" t="s">
        <v>151</v>
      </c>
      <c r="N96" t="s">
        <v>213</v>
      </c>
      <c r="O96">
        <v>1</v>
      </c>
      <c r="P96">
        <v>49.568800000000003</v>
      </c>
      <c r="Q96">
        <v>60</v>
      </c>
      <c r="R96">
        <v>49.568800000000003</v>
      </c>
      <c r="S96">
        <v>60</v>
      </c>
      <c r="T96">
        <v>2974.1280000000002</v>
      </c>
    </row>
    <row r="97" spans="1:20" x14ac:dyDescent="0.35">
      <c r="A97" t="s">
        <v>1641</v>
      </c>
      <c r="B97">
        <v>479</v>
      </c>
      <c r="D97">
        <v>45887</v>
      </c>
      <c r="F97" t="s">
        <v>142</v>
      </c>
      <c r="G97" t="s">
        <v>758</v>
      </c>
      <c r="H97" t="s">
        <v>759</v>
      </c>
      <c r="I97" t="s">
        <v>1696</v>
      </c>
      <c r="J97" t="s">
        <v>758</v>
      </c>
      <c r="K97" t="s">
        <v>1720</v>
      </c>
      <c r="M97" t="s">
        <v>151</v>
      </c>
      <c r="N97" t="s">
        <v>213</v>
      </c>
      <c r="O97">
        <v>1</v>
      </c>
      <c r="P97">
        <v>12.2614</v>
      </c>
      <c r="Q97">
        <v>240</v>
      </c>
      <c r="R97">
        <v>12.2614</v>
      </c>
      <c r="S97">
        <v>240</v>
      </c>
      <c r="T97">
        <v>2942.7359999999999</v>
      </c>
    </row>
    <row r="98" spans="1:20" x14ac:dyDescent="0.35">
      <c r="A98" t="s">
        <v>1641</v>
      </c>
      <c r="B98">
        <v>90</v>
      </c>
      <c r="D98">
        <v>45929</v>
      </c>
      <c r="F98" t="s">
        <v>142</v>
      </c>
      <c r="G98" t="s">
        <v>764</v>
      </c>
      <c r="H98" t="s">
        <v>765</v>
      </c>
      <c r="I98" t="s">
        <v>677</v>
      </c>
      <c r="J98" t="s">
        <v>764</v>
      </c>
      <c r="K98" t="s">
        <v>1734</v>
      </c>
      <c r="M98" t="s">
        <v>151</v>
      </c>
      <c r="N98" t="s">
        <v>213</v>
      </c>
      <c r="O98">
        <v>1</v>
      </c>
      <c r="P98">
        <v>8.1689000000000007</v>
      </c>
      <c r="Q98">
        <v>358</v>
      </c>
      <c r="R98">
        <v>8.1689000000000007</v>
      </c>
      <c r="S98">
        <v>358</v>
      </c>
      <c r="T98">
        <v>2924.4662000000003</v>
      </c>
    </row>
    <row r="99" spans="1:20" x14ac:dyDescent="0.35">
      <c r="A99" t="s">
        <v>1641</v>
      </c>
      <c r="B99">
        <v>13</v>
      </c>
      <c r="D99">
        <v>45922</v>
      </c>
      <c r="F99" t="s">
        <v>142</v>
      </c>
      <c r="G99" t="s">
        <v>771</v>
      </c>
      <c r="H99" t="s">
        <v>772</v>
      </c>
      <c r="I99" t="s">
        <v>1647</v>
      </c>
      <c r="J99" t="s">
        <v>771</v>
      </c>
      <c r="K99" t="s">
        <v>1735</v>
      </c>
      <c r="M99" t="s">
        <v>151</v>
      </c>
      <c r="N99" t="s">
        <v>154</v>
      </c>
      <c r="O99">
        <v>1</v>
      </c>
      <c r="P99">
        <v>8.0821000000000005</v>
      </c>
      <c r="Q99">
        <v>360</v>
      </c>
      <c r="R99">
        <v>8.0821000000000005</v>
      </c>
      <c r="S99">
        <v>360</v>
      </c>
      <c r="T99">
        <v>2909.556</v>
      </c>
    </row>
    <row r="100" spans="1:20" x14ac:dyDescent="0.35">
      <c r="A100" t="s">
        <v>1641</v>
      </c>
      <c r="B100">
        <v>238</v>
      </c>
      <c r="D100">
        <v>45919</v>
      </c>
      <c r="F100" t="s">
        <v>142</v>
      </c>
      <c r="G100" t="s">
        <v>775</v>
      </c>
      <c r="H100" t="s">
        <v>776</v>
      </c>
      <c r="I100" t="s">
        <v>1700</v>
      </c>
      <c r="J100" t="s">
        <v>775</v>
      </c>
      <c r="K100" t="s">
        <v>1736</v>
      </c>
      <c r="M100" t="s">
        <v>151</v>
      </c>
      <c r="N100" t="s">
        <v>154</v>
      </c>
      <c r="O100">
        <v>1</v>
      </c>
      <c r="P100">
        <v>4.0128000000000004</v>
      </c>
      <c r="Q100">
        <v>722</v>
      </c>
      <c r="R100">
        <v>4.0128000000000004</v>
      </c>
      <c r="S100">
        <v>722</v>
      </c>
      <c r="T100">
        <v>2897.2416000000003</v>
      </c>
    </row>
    <row r="101" spans="1:20" x14ac:dyDescent="0.35">
      <c r="A101" t="s">
        <v>1641</v>
      </c>
      <c r="B101">
        <v>293</v>
      </c>
      <c r="D101">
        <v>45884</v>
      </c>
      <c r="F101" t="s">
        <v>142</v>
      </c>
      <c r="G101" t="s">
        <v>782</v>
      </c>
      <c r="H101" t="s">
        <v>783</v>
      </c>
      <c r="I101" t="s">
        <v>1645</v>
      </c>
      <c r="J101" t="s">
        <v>782</v>
      </c>
      <c r="K101" t="s">
        <v>1737</v>
      </c>
      <c r="M101" t="s">
        <v>151</v>
      </c>
      <c r="N101" t="s">
        <v>154</v>
      </c>
      <c r="O101">
        <v>1</v>
      </c>
      <c r="P101">
        <v>721.90710000000001</v>
      </c>
      <c r="Q101">
        <v>4</v>
      </c>
      <c r="R101">
        <v>721.90710000000001</v>
      </c>
      <c r="S101">
        <v>4</v>
      </c>
      <c r="T101">
        <v>2887.6284000000001</v>
      </c>
    </row>
    <row r="102" spans="1:20" x14ac:dyDescent="0.35">
      <c r="A102" t="s">
        <v>1641</v>
      </c>
      <c r="B102">
        <v>368</v>
      </c>
      <c r="D102">
        <v>45923</v>
      </c>
      <c r="F102" t="s">
        <v>142</v>
      </c>
      <c r="G102" t="s">
        <v>787</v>
      </c>
      <c r="H102" t="s">
        <v>788</v>
      </c>
      <c r="I102" t="s">
        <v>1702</v>
      </c>
      <c r="J102" t="s">
        <v>787</v>
      </c>
      <c r="K102" t="s">
        <v>1703</v>
      </c>
      <c r="N102" t="s">
        <v>154</v>
      </c>
      <c r="O102">
        <v>1</v>
      </c>
      <c r="P102">
        <v>12.1281</v>
      </c>
      <c r="Q102">
        <v>237</v>
      </c>
      <c r="R102">
        <v>12.1281</v>
      </c>
      <c r="S102">
        <v>237</v>
      </c>
      <c r="T102">
        <v>2874.3597</v>
      </c>
    </row>
    <row r="103" spans="1:20" x14ac:dyDescent="0.35">
      <c r="A103" t="s">
        <v>1641</v>
      </c>
      <c r="B103">
        <v>314</v>
      </c>
      <c r="D103">
        <v>45761</v>
      </c>
      <c r="F103" t="s">
        <v>142</v>
      </c>
      <c r="G103" t="s">
        <v>805</v>
      </c>
      <c r="H103" t="s">
        <v>806</v>
      </c>
      <c r="I103" t="s">
        <v>1645</v>
      </c>
      <c r="J103" t="s">
        <v>805</v>
      </c>
      <c r="K103" t="s">
        <v>1738</v>
      </c>
      <c r="M103" t="s">
        <v>151</v>
      </c>
      <c r="N103" t="s">
        <v>154</v>
      </c>
      <c r="O103">
        <v>1</v>
      </c>
      <c r="P103">
        <v>86.970799999999997</v>
      </c>
      <c r="Q103">
        <v>32</v>
      </c>
      <c r="R103">
        <v>86.970799999999997</v>
      </c>
      <c r="S103">
        <v>32</v>
      </c>
      <c r="T103">
        <v>2783.0655999999999</v>
      </c>
    </row>
    <row r="104" spans="1:20" x14ac:dyDescent="0.35">
      <c r="A104" t="s">
        <v>1641</v>
      </c>
      <c r="B104">
        <v>315</v>
      </c>
      <c r="D104">
        <v>45730</v>
      </c>
      <c r="F104" t="s">
        <v>142</v>
      </c>
      <c r="G104" t="s">
        <v>800</v>
      </c>
      <c r="H104" t="s">
        <v>801</v>
      </c>
      <c r="I104" t="s">
        <v>1645</v>
      </c>
      <c r="J104" t="s">
        <v>800</v>
      </c>
      <c r="K104" t="s">
        <v>1739</v>
      </c>
      <c r="M104" t="s">
        <v>151</v>
      </c>
      <c r="N104" t="s">
        <v>154</v>
      </c>
      <c r="O104">
        <v>1</v>
      </c>
      <c r="P104">
        <v>87.008700000000005</v>
      </c>
      <c r="Q104">
        <v>32</v>
      </c>
      <c r="R104">
        <v>87.008700000000005</v>
      </c>
      <c r="S104">
        <v>32</v>
      </c>
      <c r="T104">
        <v>2784.2784000000001</v>
      </c>
    </row>
    <row r="105" spans="1:20" x14ac:dyDescent="0.35">
      <c r="A105" t="s">
        <v>1641</v>
      </c>
      <c r="B105">
        <v>28</v>
      </c>
      <c r="D105">
        <v>45911</v>
      </c>
      <c r="F105" t="s">
        <v>142</v>
      </c>
      <c r="G105" t="s">
        <v>794</v>
      </c>
      <c r="H105" t="s">
        <v>795</v>
      </c>
      <c r="I105" t="s">
        <v>1647</v>
      </c>
      <c r="J105" t="s">
        <v>794</v>
      </c>
      <c r="K105" t="s">
        <v>151</v>
      </c>
      <c r="M105" t="s">
        <v>151</v>
      </c>
      <c r="N105" t="s">
        <v>1666</v>
      </c>
      <c r="O105">
        <v>1</v>
      </c>
      <c r="P105">
        <v>253.25989999999999</v>
      </c>
      <c r="Q105">
        <v>11</v>
      </c>
      <c r="R105">
        <v>253.25989999999999</v>
      </c>
      <c r="S105">
        <v>11</v>
      </c>
      <c r="T105">
        <v>2785.8588999999997</v>
      </c>
    </row>
    <row r="106" spans="1:20" x14ac:dyDescent="0.35">
      <c r="A106" t="s">
        <v>1641</v>
      </c>
      <c r="B106">
        <v>205</v>
      </c>
      <c r="D106">
        <v>45908</v>
      </c>
      <c r="F106" t="s">
        <v>142</v>
      </c>
      <c r="G106" t="s">
        <v>809</v>
      </c>
      <c r="H106" t="s">
        <v>810</v>
      </c>
      <c r="I106" t="s">
        <v>1740</v>
      </c>
      <c r="J106" t="s">
        <v>809</v>
      </c>
      <c r="K106" t="s">
        <v>1741</v>
      </c>
      <c r="M106" t="s">
        <v>151</v>
      </c>
      <c r="N106" t="s">
        <v>1742</v>
      </c>
      <c r="O106">
        <v>1</v>
      </c>
      <c r="P106">
        <v>20.847899999999999</v>
      </c>
      <c r="Q106">
        <v>132</v>
      </c>
      <c r="R106">
        <v>20.847899999999999</v>
      </c>
      <c r="S106">
        <v>132</v>
      </c>
      <c r="T106">
        <v>2751.9227999999998</v>
      </c>
    </row>
    <row r="107" spans="1:20" x14ac:dyDescent="0.35">
      <c r="A107" t="s">
        <v>1641</v>
      </c>
      <c r="B107">
        <v>264</v>
      </c>
      <c r="D107">
        <v>45915</v>
      </c>
      <c r="F107" t="s">
        <v>142</v>
      </c>
      <c r="G107" t="s">
        <v>818</v>
      </c>
      <c r="H107" t="s">
        <v>819</v>
      </c>
      <c r="I107" t="s">
        <v>1657</v>
      </c>
      <c r="J107" t="s">
        <v>818</v>
      </c>
      <c r="K107" t="s">
        <v>1743</v>
      </c>
      <c r="M107" t="s">
        <v>151</v>
      </c>
      <c r="N107" t="s">
        <v>1650</v>
      </c>
      <c r="O107">
        <v>1</v>
      </c>
      <c r="P107">
        <v>304.92360000000002</v>
      </c>
      <c r="Q107">
        <v>9</v>
      </c>
      <c r="R107">
        <v>304.92360000000002</v>
      </c>
      <c r="S107">
        <v>9</v>
      </c>
      <c r="T107">
        <v>2744.3124000000003</v>
      </c>
    </row>
    <row r="108" spans="1:20" x14ac:dyDescent="0.35">
      <c r="A108" t="s">
        <v>1641</v>
      </c>
      <c r="B108">
        <v>316</v>
      </c>
      <c r="D108">
        <v>45756</v>
      </c>
      <c r="F108" t="s">
        <v>142</v>
      </c>
      <c r="G108" t="s">
        <v>824</v>
      </c>
      <c r="H108" t="s">
        <v>825</v>
      </c>
      <c r="I108" t="s">
        <v>1645</v>
      </c>
      <c r="J108" t="s">
        <v>824</v>
      </c>
      <c r="K108" t="s">
        <v>1744</v>
      </c>
      <c r="M108" t="s">
        <v>151</v>
      </c>
      <c r="N108" t="s">
        <v>154</v>
      </c>
      <c r="O108">
        <v>1</v>
      </c>
      <c r="P108">
        <v>96.174300000000002</v>
      </c>
      <c r="Q108">
        <v>28</v>
      </c>
      <c r="R108">
        <v>96.174300000000002</v>
      </c>
      <c r="S108">
        <v>28</v>
      </c>
      <c r="T108">
        <v>2692.8804</v>
      </c>
    </row>
    <row r="109" spans="1:20" x14ac:dyDescent="0.35">
      <c r="A109" t="s">
        <v>1641</v>
      </c>
      <c r="B109">
        <v>442</v>
      </c>
      <c r="D109">
        <v>45919</v>
      </c>
      <c r="F109" t="s">
        <v>142</v>
      </c>
      <c r="G109" t="s">
        <v>829</v>
      </c>
      <c r="H109" t="s">
        <v>830</v>
      </c>
      <c r="I109" t="s">
        <v>1653</v>
      </c>
      <c r="J109" t="s">
        <v>829</v>
      </c>
      <c r="K109" t="s">
        <v>1745</v>
      </c>
      <c r="M109" t="s">
        <v>151</v>
      </c>
      <c r="N109" t="s">
        <v>154</v>
      </c>
      <c r="O109">
        <v>1</v>
      </c>
      <c r="P109">
        <v>4.5762</v>
      </c>
      <c r="Q109">
        <v>575</v>
      </c>
      <c r="R109">
        <v>4.5762</v>
      </c>
      <c r="S109">
        <v>575</v>
      </c>
      <c r="T109">
        <v>2631.3150000000001</v>
      </c>
    </row>
    <row r="110" spans="1:20" x14ac:dyDescent="0.35">
      <c r="A110" t="s">
        <v>1641</v>
      </c>
      <c r="B110">
        <v>94</v>
      </c>
      <c r="D110">
        <v>45926</v>
      </c>
      <c r="F110" t="s">
        <v>142</v>
      </c>
      <c r="G110" t="s">
        <v>841</v>
      </c>
      <c r="H110" t="s">
        <v>842</v>
      </c>
      <c r="I110" t="s">
        <v>1671</v>
      </c>
      <c r="J110" t="s">
        <v>841</v>
      </c>
      <c r="K110" t="s">
        <v>1746</v>
      </c>
      <c r="M110" t="s">
        <v>151</v>
      </c>
      <c r="N110" t="s">
        <v>213</v>
      </c>
      <c r="O110">
        <v>1</v>
      </c>
      <c r="P110">
        <v>4.1966000000000001</v>
      </c>
      <c r="Q110">
        <v>624</v>
      </c>
      <c r="R110">
        <v>4.1966000000000001</v>
      </c>
      <c r="S110">
        <v>624</v>
      </c>
      <c r="T110">
        <v>2618.6784000000002</v>
      </c>
    </row>
    <row r="111" spans="1:20" x14ac:dyDescent="0.35">
      <c r="A111" t="s">
        <v>1641</v>
      </c>
      <c r="B111">
        <v>531</v>
      </c>
      <c r="D111">
        <v>45916</v>
      </c>
      <c r="F111" t="s">
        <v>142</v>
      </c>
      <c r="G111" t="s">
        <v>837</v>
      </c>
      <c r="H111" t="s">
        <v>838</v>
      </c>
      <c r="I111" t="s">
        <v>164</v>
      </c>
      <c r="J111" t="s">
        <v>837</v>
      </c>
      <c r="K111" t="s">
        <v>151</v>
      </c>
      <c r="M111" t="s">
        <v>151</v>
      </c>
      <c r="N111" t="s">
        <v>154</v>
      </c>
      <c r="O111">
        <v>1</v>
      </c>
      <c r="P111">
        <v>22.874300000000002</v>
      </c>
      <c r="Q111">
        <v>115</v>
      </c>
      <c r="R111">
        <v>22.874300000000002</v>
      </c>
      <c r="S111">
        <v>115</v>
      </c>
      <c r="T111">
        <v>2630.5445</v>
      </c>
    </row>
    <row r="112" spans="1:20" x14ac:dyDescent="0.35">
      <c r="A112" t="s">
        <v>1641</v>
      </c>
      <c r="B112">
        <v>299</v>
      </c>
      <c r="D112">
        <v>45808</v>
      </c>
      <c r="F112" t="s">
        <v>142</v>
      </c>
      <c r="G112" t="s">
        <v>849</v>
      </c>
      <c r="H112" t="s">
        <v>850</v>
      </c>
      <c r="I112" t="s">
        <v>1645</v>
      </c>
      <c r="J112" t="s">
        <v>849</v>
      </c>
      <c r="K112" t="s">
        <v>1747</v>
      </c>
      <c r="M112" t="s">
        <v>151</v>
      </c>
      <c r="N112" t="s">
        <v>154</v>
      </c>
      <c r="O112">
        <v>1</v>
      </c>
      <c r="P112">
        <v>431.7004</v>
      </c>
      <c r="Q112">
        <v>6</v>
      </c>
      <c r="R112">
        <v>431.7004</v>
      </c>
      <c r="S112">
        <v>6</v>
      </c>
      <c r="T112">
        <v>2590.2024000000001</v>
      </c>
    </row>
    <row r="113" spans="1:20" x14ac:dyDescent="0.35">
      <c r="A113" t="s">
        <v>1641</v>
      </c>
      <c r="B113">
        <v>481</v>
      </c>
      <c r="D113">
        <v>45910</v>
      </c>
      <c r="F113" t="s">
        <v>142</v>
      </c>
      <c r="G113" t="s">
        <v>853</v>
      </c>
      <c r="H113" t="s">
        <v>854</v>
      </c>
      <c r="I113" t="s">
        <v>1696</v>
      </c>
      <c r="J113" t="s">
        <v>853</v>
      </c>
      <c r="K113" t="s">
        <v>1748</v>
      </c>
      <c r="M113" t="s">
        <v>151</v>
      </c>
      <c r="N113" t="s">
        <v>213</v>
      </c>
      <c r="O113">
        <v>1</v>
      </c>
      <c r="P113">
        <v>17.828399999999998</v>
      </c>
      <c r="Q113">
        <v>144</v>
      </c>
      <c r="R113">
        <v>17.828399999999998</v>
      </c>
      <c r="S113">
        <v>144</v>
      </c>
      <c r="T113">
        <v>2567.2895999999996</v>
      </c>
    </row>
    <row r="114" spans="1:20" x14ac:dyDescent="0.35">
      <c r="A114" t="s">
        <v>1641</v>
      </c>
      <c r="B114">
        <v>440</v>
      </c>
      <c r="D114">
        <v>45919</v>
      </c>
      <c r="F114" t="s">
        <v>142</v>
      </c>
      <c r="G114" t="s">
        <v>857</v>
      </c>
      <c r="H114" t="s">
        <v>858</v>
      </c>
      <c r="I114" t="s">
        <v>1653</v>
      </c>
      <c r="J114" t="s">
        <v>857</v>
      </c>
      <c r="K114" t="s">
        <v>1745</v>
      </c>
      <c r="M114" t="s">
        <v>151</v>
      </c>
      <c r="N114" t="s">
        <v>154</v>
      </c>
      <c r="O114">
        <v>1</v>
      </c>
      <c r="P114">
        <v>3.9039999999999999</v>
      </c>
      <c r="Q114">
        <v>650</v>
      </c>
      <c r="R114">
        <v>3.9039999999999999</v>
      </c>
      <c r="S114">
        <v>650</v>
      </c>
      <c r="T114">
        <v>2537.6</v>
      </c>
    </row>
    <row r="115" spans="1:20" x14ac:dyDescent="0.35">
      <c r="A115" t="s">
        <v>1641</v>
      </c>
      <c r="B115">
        <v>119</v>
      </c>
      <c r="D115">
        <v>45910</v>
      </c>
      <c r="F115" t="s">
        <v>142</v>
      </c>
      <c r="G115" t="s">
        <v>864</v>
      </c>
      <c r="H115" t="s">
        <v>865</v>
      </c>
      <c r="I115" t="s">
        <v>1749</v>
      </c>
      <c r="J115" t="s">
        <v>864</v>
      </c>
      <c r="K115" t="s">
        <v>1750</v>
      </c>
      <c r="M115" t="s">
        <v>151</v>
      </c>
      <c r="N115" t="s">
        <v>154</v>
      </c>
      <c r="O115">
        <v>1</v>
      </c>
      <c r="P115">
        <v>315.28309999999999</v>
      </c>
      <c r="Q115">
        <v>8</v>
      </c>
      <c r="R115">
        <v>315.28309999999999</v>
      </c>
      <c r="S115">
        <v>8</v>
      </c>
      <c r="T115">
        <v>2522.2647999999999</v>
      </c>
    </row>
    <row r="116" spans="1:20" x14ac:dyDescent="0.35">
      <c r="A116" t="s">
        <v>1641</v>
      </c>
      <c r="B116">
        <v>367</v>
      </c>
      <c r="D116">
        <v>45929</v>
      </c>
      <c r="F116" t="s">
        <v>142</v>
      </c>
      <c r="G116" t="s">
        <v>870</v>
      </c>
      <c r="H116" t="s">
        <v>871</v>
      </c>
      <c r="I116" t="s">
        <v>1702</v>
      </c>
      <c r="J116" t="s">
        <v>870</v>
      </c>
      <c r="K116" t="s">
        <v>1703</v>
      </c>
      <c r="N116" t="s">
        <v>154</v>
      </c>
      <c r="O116">
        <v>1</v>
      </c>
      <c r="P116">
        <v>12.6638</v>
      </c>
      <c r="Q116">
        <v>195</v>
      </c>
      <c r="R116">
        <v>12.6638</v>
      </c>
      <c r="S116">
        <v>195</v>
      </c>
      <c r="T116">
        <v>2469.4410000000003</v>
      </c>
    </row>
    <row r="117" spans="1:20" x14ac:dyDescent="0.35">
      <c r="A117" t="s">
        <v>1641</v>
      </c>
      <c r="B117">
        <v>540</v>
      </c>
      <c r="D117">
        <v>45919</v>
      </c>
      <c r="F117" t="s">
        <v>142</v>
      </c>
      <c r="G117" t="s">
        <v>877</v>
      </c>
      <c r="H117" t="s">
        <v>878</v>
      </c>
      <c r="I117" t="s">
        <v>164</v>
      </c>
      <c r="J117" t="s">
        <v>877</v>
      </c>
      <c r="K117" t="s">
        <v>151</v>
      </c>
      <c r="M117" t="s">
        <v>151</v>
      </c>
      <c r="N117" t="s">
        <v>154</v>
      </c>
      <c r="O117">
        <v>1</v>
      </c>
      <c r="P117">
        <v>1.7713000000000001</v>
      </c>
      <c r="Q117">
        <v>1350</v>
      </c>
      <c r="R117">
        <v>1.7713000000000001</v>
      </c>
      <c r="S117">
        <v>1350</v>
      </c>
      <c r="T117">
        <v>2391.2550000000001</v>
      </c>
    </row>
    <row r="118" spans="1:20" x14ac:dyDescent="0.35">
      <c r="A118" t="s">
        <v>1641</v>
      </c>
      <c r="B118">
        <v>384</v>
      </c>
      <c r="D118">
        <v>45882</v>
      </c>
      <c r="F118" t="s">
        <v>142</v>
      </c>
      <c r="G118" t="s">
        <v>883</v>
      </c>
      <c r="H118" t="s">
        <v>884</v>
      </c>
      <c r="I118" t="s">
        <v>1678</v>
      </c>
      <c r="J118" t="s">
        <v>883</v>
      </c>
      <c r="K118" t="s">
        <v>1751</v>
      </c>
      <c r="M118" t="s">
        <v>151</v>
      </c>
      <c r="N118" t="s">
        <v>154</v>
      </c>
      <c r="O118">
        <v>1</v>
      </c>
      <c r="P118">
        <v>95.245699999999999</v>
      </c>
      <c r="Q118">
        <v>25</v>
      </c>
      <c r="R118">
        <v>95.245699999999999</v>
      </c>
      <c r="S118">
        <v>25</v>
      </c>
      <c r="T118">
        <v>2381.1424999999999</v>
      </c>
    </row>
    <row r="119" spans="1:20" x14ac:dyDescent="0.35">
      <c r="A119" t="s">
        <v>1641</v>
      </c>
      <c r="B119">
        <v>319</v>
      </c>
      <c r="D119">
        <v>45757</v>
      </c>
      <c r="F119" t="s">
        <v>142</v>
      </c>
      <c r="G119" t="s">
        <v>896</v>
      </c>
      <c r="H119" t="s">
        <v>897</v>
      </c>
      <c r="I119" t="s">
        <v>1645</v>
      </c>
      <c r="J119" t="s">
        <v>896</v>
      </c>
      <c r="K119" t="s">
        <v>1752</v>
      </c>
      <c r="M119" t="s">
        <v>151</v>
      </c>
      <c r="N119" t="s">
        <v>154</v>
      </c>
      <c r="O119">
        <v>1</v>
      </c>
      <c r="P119">
        <v>86.965599999999995</v>
      </c>
      <c r="Q119">
        <v>27</v>
      </c>
      <c r="R119">
        <v>86.965599999999995</v>
      </c>
      <c r="S119">
        <v>27</v>
      </c>
      <c r="T119">
        <v>2348.0711999999999</v>
      </c>
    </row>
    <row r="120" spans="1:20" x14ac:dyDescent="0.35">
      <c r="A120" t="s">
        <v>1641</v>
      </c>
      <c r="B120">
        <v>15</v>
      </c>
      <c r="D120">
        <v>45880</v>
      </c>
      <c r="F120" t="s">
        <v>142</v>
      </c>
      <c r="G120" t="s">
        <v>890</v>
      </c>
      <c r="H120" t="s">
        <v>891</v>
      </c>
      <c r="I120" t="s">
        <v>1647</v>
      </c>
      <c r="J120" t="s">
        <v>890</v>
      </c>
      <c r="K120" t="s">
        <v>1753</v>
      </c>
      <c r="N120" t="s">
        <v>154</v>
      </c>
      <c r="O120">
        <v>1</v>
      </c>
      <c r="P120">
        <v>3.0339999999999998</v>
      </c>
      <c r="Q120">
        <v>780</v>
      </c>
      <c r="R120">
        <v>3.0339999999999998</v>
      </c>
      <c r="S120">
        <v>780</v>
      </c>
      <c r="T120">
        <v>2366.52</v>
      </c>
    </row>
    <row r="121" spans="1:20" x14ac:dyDescent="0.35">
      <c r="A121" t="s">
        <v>1641</v>
      </c>
      <c r="B121">
        <v>298</v>
      </c>
      <c r="D121">
        <v>45884</v>
      </c>
      <c r="F121" t="s">
        <v>142</v>
      </c>
      <c r="G121" t="s">
        <v>901</v>
      </c>
      <c r="H121" t="s">
        <v>902</v>
      </c>
      <c r="I121" t="s">
        <v>1645</v>
      </c>
      <c r="J121" t="s">
        <v>901</v>
      </c>
      <c r="K121" t="s">
        <v>1754</v>
      </c>
      <c r="M121" t="s">
        <v>151</v>
      </c>
      <c r="N121" t="s">
        <v>154</v>
      </c>
      <c r="O121">
        <v>1</v>
      </c>
      <c r="P121">
        <v>391.18060000000003</v>
      </c>
      <c r="Q121">
        <v>6</v>
      </c>
      <c r="R121">
        <v>391.18060000000003</v>
      </c>
      <c r="S121">
        <v>6</v>
      </c>
      <c r="T121">
        <v>2347.0835999999999</v>
      </c>
    </row>
    <row r="122" spans="1:20" x14ac:dyDescent="0.35">
      <c r="A122" t="s">
        <v>1641</v>
      </c>
      <c r="B122">
        <v>297</v>
      </c>
      <c r="D122">
        <v>45853</v>
      </c>
      <c r="F122" t="s">
        <v>142</v>
      </c>
      <c r="G122" t="s">
        <v>905</v>
      </c>
      <c r="H122" t="s">
        <v>906</v>
      </c>
      <c r="I122" t="s">
        <v>1645</v>
      </c>
      <c r="J122" t="s">
        <v>905</v>
      </c>
      <c r="K122" t="s">
        <v>1755</v>
      </c>
      <c r="M122" t="s">
        <v>151</v>
      </c>
      <c r="N122" t="s">
        <v>154</v>
      </c>
      <c r="O122">
        <v>1</v>
      </c>
      <c r="P122">
        <v>390.4513</v>
      </c>
      <c r="Q122">
        <v>6</v>
      </c>
      <c r="R122">
        <v>390.4513</v>
      </c>
      <c r="S122">
        <v>6</v>
      </c>
      <c r="T122">
        <v>2342.7078000000001</v>
      </c>
    </row>
    <row r="123" spans="1:20" x14ac:dyDescent="0.35">
      <c r="A123" t="s">
        <v>1641</v>
      </c>
      <c r="B123">
        <v>84</v>
      </c>
      <c r="D123">
        <v>45898</v>
      </c>
      <c r="F123" t="s">
        <v>142</v>
      </c>
      <c r="G123" t="s">
        <v>911</v>
      </c>
      <c r="H123" t="s">
        <v>912</v>
      </c>
      <c r="I123" t="s">
        <v>677</v>
      </c>
      <c r="J123" t="s">
        <v>911</v>
      </c>
      <c r="K123" t="s">
        <v>1756</v>
      </c>
      <c r="M123" t="s">
        <v>151</v>
      </c>
      <c r="N123" t="s">
        <v>213</v>
      </c>
      <c r="O123">
        <v>1</v>
      </c>
      <c r="P123">
        <v>8.8606999999999996</v>
      </c>
      <c r="Q123">
        <v>264</v>
      </c>
      <c r="R123">
        <v>8.8606999999999996</v>
      </c>
      <c r="S123">
        <v>264</v>
      </c>
      <c r="T123">
        <v>2339.2248</v>
      </c>
    </row>
    <row r="124" spans="1:20" x14ac:dyDescent="0.35">
      <c r="A124" t="s">
        <v>1641</v>
      </c>
      <c r="B124">
        <v>387</v>
      </c>
      <c r="D124">
        <v>45882</v>
      </c>
      <c r="F124" t="s">
        <v>142</v>
      </c>
      <c r="G124" t="s">
        <v>917</v>
      </c>
      <c r="H124" t="s">
        <v>918</v>
      </c>
      <c r="I124" t="s">
        <v>1678</v>
      </c>
      <c r="J124" t="s">
        <v>917</v>
      </c>
      <c r="K124" t="s">
        <v>1757</v>
      </c>
      <c r="M124" t="s">
        <v>151</v>
      </c>
      <c r="N124" t="s">
        <v>154</v>
      </c>
      <c r="O124">
        <v>1</v>
      </c>
      <c r="P124">
        <v>94.883200000000002</v>
      </c>
      <c r="Q124">
        <v>24</v>
      </c>
      <c r="R124">
        <v>94.883200000000002</v>
      </c>
      <c r="S124">
        <v>24</v>
      </c>
      <c r="T124">
        <v>2277.1968000000002</v>
      </c>
    </row>
    <row r="125" spans="1:20" x14ac:dyDescent="0.35">
      <c r="A125" t="s">
        <v>1641</v>
      </c>
      <c r="B125">
        <v>441</v>
      </c>
      <c r="D125">
        <v>45919</v>
      </c>
      <c r="F125" t="s">
        <v>142</v>
      </c>
      <c r="G125" t="s">
        <v>921</v>
      </c>
      <c r="H125" t="s">
        <v>922</v>
      </c>
      <c r="I125" t="s">
        <v>1653</v>
      </c>
      <c r="J125" t="s">
        <v>921</v>
      </c>
      <c r="K125" t="s">
        <v>1745</v>
      </c>
      <c r="M125" t="s">
        <v>151</v>
      </c>
      <c r="N125" t="s">
        <v>154</v>
      </c>
      <c r="O125">
        <v>1</v>
      </c>
      <c r="P125">
        <v>4.3220999999999998</v>
      </c>
      <c r="Q125">
        <v>525</v>
      </c>
      <c r="R125">
        <v>4.3220999999999998</v>
      </c>
      <c r="S125">
        <v>525</v>
      </c>
      <c r="T125">
        <v>2269.1025</v>
      </c>
    </row>
    <row r="126" spans="1:20" x14ac:dyDescent="0.35">
      <c r="A126" t="s">
        <v>1641</v>
      </c>
      <c r="B126">
        <v>144</v>
      </c>
      <c r="D126">
        <v>45713</v>
      </c>
      <c r="F126" t="s">
        <v>142</v>
      </c>
      <c r="G126" t="s">
        <v>926</v>
      </c>
      <c r="H126" t="s">
        <v>927</v>
      </c>
      <c r="I126" t="s">
        <v>1647</v>
      </c>
      <c r="J126" t="s">
        <v>926</v>
      </c>
      <c r="K126" t="s">
        <v>1681</v>
      </c>
      <c r="M126" t="s">
        <v>151</v>
      </c>
      <c r="N126" t="s">
        <v>154</v>
      </c>
      <c r="O126">
        <v>1</v>
      </c>
      <c r="P126">
        <v>374.54270000000002</v>
      </c>
      <c r="Q126">
        <v>6</v>
      </c>
      <c r="R126">
        <v>374.54270000000002</v>
      </c>
      <c r="S126">
        <v>6</v>
      </c>
      <c r="T126">
        <v>2247.2562000000003</v>
      </c>
    </row>
    <row r="127" spans="1:20" x14ac:dyDescent="0.35">
      <c r="A127" t="s">
        <v>1641</v>
      </c>
      <c r="B127">
        <v>311</v>
      </c>
      <c r="D127">
        <v>45723</v>
      </c>
      <c r="F127" t="s">
        <v>142</v>
      </c>
      <c r="G127" t="s">
        <v>930</v>
      </c>
      <c r="H127" t="s">
        <v>931</v>
      </c>
      <c r="I127" t="s">
        <v>1645</v>
      </c>
      <c r="J127" t="s">
        <v>930</v>
      </c>
      <c r="K127" t="s">
        <v>1758</v>
      </c>
      <c r="M127" t="s">
        <v>151</v>
      </c>
      <c r="N127" t="s">
        <v>154</v>
      </c>
      <c r="O127">
        <v>1</v>
      </c>
      <c r="P127">
        <v>95.965699999999998</v>
      </c>
      <c r="Q127">
        <v>23</v>
      </c>
      <c r="R127">
        <v>95.965699999999998</v>
      </c>
      <c r="S127">
        <v>23</v>
      </c>
      <c r="T127">
        <v>2207.2111</v>
      </c>
    </row>
    <row r="128" spans="1:20" x14ac:dyDescent="0.35">
      <c r="A128" t="s">
        <v>1641</v>
      </c>
      <c r="B128">
        <v>241</v>
      </c>
      <c r="D128">
        <v>45925</v>
      </c>
      <c r="F128" t="s">
        <v>142</v>
      </c>
      <c r="G128" t="s">
        <v>935</v>
      </c>
      <c r="H128" t="s">
        <v>936</v>
      </c>
      <c r="I128" t="s">
        <v>560</v>
      </c>
      <c r="J128" t="s">
        <v>935</v>
      </c>
      <c r="K128" t="s">
        <v>1759</v>
      </c>
      <c r="M128" t="s">
        <v>151</v>
      </c>
      <c r="N128" t="s">
        <v>213</v>
      </c>
      <c r="O128">
        <v>1</v>
      </c>
      <c r="P128">
        <v>12.144399999999999</v>
      </c>
      <c r="Q128">
        <v>181</v>
      </c>
      <c r="R128">
        <v>12.144399999999999</v>
      </c>
      <c r="S128">
        <v>181</v>
      </c>
      <c r="T128">
        <v>2198.1363999999999</v>
      </c>
    </row>
    <row r="129" spans="1:20" x14ac:dyDescent="0.35">
      <c r="A129" t="s">
        <v>1641</v>
      </c>
      <c r="B129">
        <v>294</v>
      </c>
      <c r="D129">
        <v>45806</v>
      </c>
      <c r="F129" t="s">
        <v>142</v>
      </c>
      <c r="G129" t="s">
        <v>941</v>
      </c>
      <c r="H129" t="s">
        <v>942</v>
      </c>
      <c r="I129" t="s">
        <v>1645</v>
      </c>
      <c r="J129" t="s">
        <v>941</v>
      </c>
      <c r="K129" t="s">
        <v>1760</v>
      </c>
      <c r="M129" t="s">
        <v>151</v>
      </c>
      <c r="N129" t="s">
        <v>154</v>
      </c>
      <c r="O129">
        <v>1</v>
      </c>
      <c r="P129">
        <v>539.45370000000003</v>
      </c>
      <c r="Q129">
        <v>4</v>
      </c>
      <c r="R129">
        <v>539.45370000000003</v>
      </c>
      <c r="S129">
        <v>4</v>
      </c>
      <c r="T129">
        <v>2157.8148000000001</v>
      </c>
    </row>
    <row r="130" spans="1:20" x14ac:dyDescent="0.35">
      <c r="A130" t="s">
        <v>1641</v>
      </c>
      <c r="B130">
        <v>153</v>
      </c>
      <c r="D130">
        <v>45701</v>
      </c>
      <c r="F130" t="s">
        <v>142</v>
      </c>
      <c r="G130" t="s">
        <v>947</v>
      </c>
      <c r="H130" t="s">
        <v>948</v>
      </c>
      <c r="I130" t="s">
        <v>1761</v>
      </c>
      <c r="J130" t="s">
        <v>947</v>
      </c>
      <c r="K130" t="s">
        <v>1762</v>
      </c>
      <c r="M130" t="s">
        <v>151</v>
      </c>
      <c r="N130" t="s">
        <v>154</v>
      </c>
      <c r="O130">
        <v>1</v>
      </c>
      <c r="P130">
        <v>530.30700000000002</v>
      </c>
      <c r="Q130">
        <v>4</v>
      </c>
      <c r="R130">
        <v>530.30700000000002</v>
      </c>
      <c r="S130">
        <v>4</v>
      </c>
      <c r="T130">
        <v>2121.2280000000001</v>
      </c>
    </row>
    <row r="131" spans="1:20" x14ac:dyDescent="0.35">
      <c r="A131" t="s">
        <v>1641</v>
      </c>
      <c r="B131">
        <v>132</v>
      </c>
      <c r="D131">
        <v>45866</v>
      </c>
      <c r="F131" t="s">
        <v>142</v>
      </c>
      <c r="G131" t="s">
        <v>954</v>
      </c>
      <c r="H131" t="s">
        <v>955</v>
      </c>
      <c r="I131" t="s">
        <v>1647</v>
      </c>
      <c r="J131" t="s">
        <v>954</v>
      </c>
      <c r="K131" t="s">
        <v>1699</v>
      </c>
      <c r="M131" t="s">
        <v>151</v>
      </c>
      <c r="N131" t="s">
        <v>154</v>
      </c>
      <c r="O131">
        <v>1</v>
      </c>
      <c r="P131">
        <v>418.25799999999998</v>
      </c>
      <c r="Q131">
        <v>5</v>
      </c>
      <c r="R131">
        <v>418.25799999999998</v>
      </c>
      <c r="S131">
        <v>5</v>
      </c>
      <c r="T131">
        <v>2091.29</v>
      </c>
    </row>
    <row r="132" spans="1:20" x14ac:dyDescent="0.35">
      <c r="A132" t="s">
        <v>1641</v>
      </c>
      <c r="B132">
        <v>310</v>
      </c>
      <c r="D132">
        <v>45806</v>
      </c>
      <c r="F132" t="s">
        <v>142</v>
      </c>
      <c r="G132" t="s">
        <v>963</v>
      </c>
      <c r="H132" t="s">
        <v>964</v>
      </c>
      <c r="I132" t="s">
        <v>1645</v>
      </c>
      <c r="J132" t="s">
        <v>963</v>
      </c>
      <c r="K132" t="s">
        <v>151</v>
      </c>
      <c r="M132" t="s">
        <v>151</v>
      </c>
      <c r="N132" t="s">
        <v>154</v>
      </c>
      <c r="O132">
        <v>1</v>
      </c>
      <c r="P132">
        <v>16.206</v>
      </c>
      <c r="Q132">
        <v>125</v>
      </c>
      <c r="R132">
        <v>16.206</v>
      </c>
      <c r="S132">
        <v>125</v>
      </c>
      <c r="T132">
        <v>2025.75</v>
      </c>
    </row>
    <row r="133" spans="1:20" x14ac:dyDescent="0.35">
      <c r="A133" t="s">
        <v>1641</v>
      </c>
      <c r="B133">
        <v>95</v>
      </c>
      <c r="D133">
        <v>45912</v>
      </c>
      <c r="F133" t="s">
        <v>142</v>
      </c>
      <c r="G133" t="s">
        <v>958</v>
      </c>
      <c r="H133" t="s">
        <v>959</v>
      </c>
      <c r="I133" t="s">
        <v>1671</v>
      </c>
      <c r="J133" t="s">
        <v>958</v>
      </c>
      <c r="K133" t="s">
        <v>1763</v>
      </c>
      <c r="M133" t="s">
        <v>151</v>
      </c>
      <c r="N133" t="s">
        <v>213</v>
      </c>
      <c r="O133">
        <v>1</v>
      </c>
      <c r="P133">
        <v>4.2350000000000003</v>
      </c>
      <c r="Q133">
        <v>480</v>
      </c>
      <c r="R133">
        <v>4.2350000000000003</v>
      </c>
      <c r="S133">
        <v>480</v>
      </c>
      <c r="T133">
        <v>2032.8000000000002</v>
      </c>
    </row>
    <row r="134" spans="1:20" x14ac:dyDescent="0.35">
      <c r="A134" t="s">
        <v>1641</v>
      </c>
      <c r="B134">
        <v>483</v>
      </c>
      <c r="D134">
        <v>45915</v>
      </c>
      <c r="F134" t="s">
        <v>142</v>
      </c>
      <c r="G134" t="s">
        <v>970</v>
      </c>
      <c r="H134" t="s">
        <v>971</v>
      </c>
      <c r="I134" t="s">
        <v>1696</v>
      </c>
      <c r="J134" t="s">
        <v>970</v>
      </c>
      <c r="K134" t="s">
        <v>1764</v>
      </c>
      <c r="M134" t="s">
        <v>151</v>
      </c>
      <c r="N134" t="s">
        <v>213</v>
      </c>
      <c r="O134">
        <v>1</v>
      </c>
      <c r="P134">
        <v>17.881</v>
      </c>
      <c r="Q134">
        <v>112</v>
      </c>
      <c r="R134">
        <v>17.881</v>
      </c>
      <c r="S134">
        <v>112</v>
      </c>
      <c r="T134">
        <v>2002.672</v>
      </c>
    </row>
    <row r="135" spans="1:20" x14ac:dyDescent="0.35">
      <c r="A135" t="s">
        <v>1641</v>
      </c>
      <c r="B135">
        <v>206</v>
      </c>
      <c r="D135">
        <v>45910</v>
      </c>
      <c r="F135" t="s">
        <v>142</v>
      </c>
      <c r="G135" t="s">
        <v>978</v>
      </c>
      <c r="H135" t="s">
        <v>979</v>
      </c>
      <c r="I135" t="s">
        <v>1740</v>
      </c>
      <c r="J135" t="s">
        <v>978</v>
      </c>
      <c r="K135" t="s">
        <v>1765</v>
      </c>
      <c r="M135" t="s">
        <v>151</v>
      </c>
      <c r="N135" t="s">
        <v>1742</v>
      </c>
      <c r="O135">
        <v>1</v>
      </c>
      <c r="P135">
        <v>20.784800000000001</v>
      </c>
      <c r="Q135">
        <v>96</v>
      </c>
      <c r="R135">
        <v>20.784800000000001</v>
      </c>
      <c r="S135">
        <v>96</v>
      </c>
      <c r="T135">
        <v>1995.3407999999999</v>
      </c>
    </row>
    <row r="136" spans="1:20" x14ac:dyDescent="0.35">
      <c r="A136" t="s">
        <v>1641</v>
      </c>
      <c r="B136">
        <v>410</v>
      </c>
      <c r="D136">
        <v>45910</v>
      </c>
      <c r="F136" t="s">
        <v>142</v>
      </c>
      <c r="G136" t="s">
        <v>984</v>
      </c>
      <c r="H136" t="s">
        <v>985</v>
      </c>
      <c r="I136" t="s">
        <v>1678</v>
      </c>
      <c r="J136" t="s">
        <v>984</v>
      </c>
      <c r="K136" t="s">
        <v>1766</v>
      </c>
      <c r="M136" t="s">
        <v>151</v>
      </c>
      <c r="N136" t="s">
        <v>213</v>
      </c>
      <c r="O136">
        <v>1</v>
      </c>
      <c r="P136">
        <v>7.4928999999999997</v>
      </c>
      <c r="Q136">
        <v>264</v>
      </c>
      <c r="R136">
        <v>7.4928999999999997</v>
      </c>
      <c r="S136">
        <v>264</v>
      </c>
      <c r="T136">
        <v>1978.1255999999998</v>
      </c>
    </row>
    <row r="137" spans="1:20" x14ac:dyDescent="0.35">
      <c r="A137" t="s">
        <v>1641</v>
      </c>
      <c r="B137">
        <v>464</v>
      </c>
      <c r="D137">
        <v>45860</v>
      </c>
      <c r="F137" t="s">
        <v>142</v>
      </c>
      <c r="G137" t="s">
        <v>989</v>
      </c>
      <c r="H137" t="s">
        <v>990</v>
      </c>
      <c r="I137" t="s">
        <v>1653</v>
      </c>
      <c r="J137" t="s">
        <v>989</v>
      </c>
      <c r="K137" t="s">
        <v>1767</v>
      </c>
      <c r="M137" t="s">
        <v>151</v>
      </c>
      <c r="N137" t="s">
        <v>213</v>
      </c>
      <c r="O137">
        <v>1</v>
      </c>
      <c r="P137">
        <v>2.7467000000000001</v>
      </c>
      <c r="Q137">
        <v>720</v>
      </c>
      <c r="R137">
        <v>2.7467000000000001</v>
      </c>
      <c r="S137">
        <v>720</v>
      </c>
      <c r="T137">
        <v>1977.624</v>
      </c>
    </row>
    <row r="138" spans="1:20" x14ac:dyDescent="0.35">
      <c r="A138" t="s">
        <v>1641</v>
      </c>
      <c r="B138">
        <v>524</v>
      </c>
      <c r="D138">
        <v>45730</v>
      </c>
      <c r="F138" t="s">
        <v>142</v>
      </c>
      <c r="G138" t="s">
        <v>994</v>
      </c>
      <c r="H138" t="s">
        <v>995</v>
      </c>
      <c r="I138" t="s">
        <v>164</v>
      </c>
      <c r="J138" t="s">
        <v>994</v>
      </c>
      <c r="K138" t="s">
        <v>1768</v>
      </c>
      <c r="M138" t="s">
        <v>151</v>
      </c>
      <c r="N138" t="s">
        <v>154</v>
      </c>
      <c r="O138">
        <v>1</v>
      </c>
      <c r="P138">
        <v>490.48809999999997</v>
      </c>
      <c r="Q138">
        <v>4</v>
      </c>
      <c r="R138">
        <v>490.48809999999997</v>
      </c>
      <c r="S138">
        <v>4</v>
      </c>
      <c r="T138">
        <v>1961.9523999999999</v>
      </c>
    </row>
    <row r="139" spans="1:20" x14ac:dyDescent="0.35">
      <c r="A139" t="s">
        <v>1641</v>
      </c>
      <c r="B139">
        <v>41</v>
      </c>
      <c r="D139">
        <v>45929</v>
      </c>
      <c r="F139" t="s">
        <v>142</v>
      </c>
      <c r="G139" t="s">
        <v>1001</v>
      </c>
      <c r="H139" t="s">
        <v>1002</v>
      </c>
      <c r="I139" t="s">
        <v>1647</v>
      </c>
      <c r="J139" t="s">
        <v>1001</v>
      </c>
      <c r="K139" t="s">
        <v>1769</v>
      </c>
      <c r="M139" t="s">
        <v>151</v>
      </c>
      <c r="N139" t="s">
        <v>1650</v>
      </c>
      <c r="O139">
        <v>1</v>
      </c>
      <c r="P139">
        <v>980.53970000000004</v>
      </c>
      <c r="Q139">
        <v>2</v>
      </c>
      <c r="R139">
        <v>980.53970000000004</v>
      </c>
      <c r="S139">
        <v>2</v>
      </c>
      <c r="T139">
        <v>1961.0794000000001</v>
      </c>
    </row>
    <row r="140" spans="1:20" x14ac:dyDescent="0.35">
      <c r="A140" t="s">
        <v>1641</v>
      </c>
      <c r="B140">
        <v>513</v>
      </c>
      <c r="D140">
        <v>45827</v>
      </c>
      <c r="F140" t="s">
        <v>142</v>
      </c>
      <c r="G140" t="s">
        <v>1007</v>
      </c>
      <c r="H140" t="s">
        <v>1008</v>
      </c>
      <c r="I140" t="s">
        <v>164</v>
      </c>
      <c r="J140" t="s">
        <v>1007</v>
      </c>
      <c r="K140" t="s">
        <v>151</v>
      </c>
      <c r="N140" t="s">
        <v>154</v>
      </c>
      <c r="O140">
        <v>1</v>
      </c>
      <c r="P140">
        <v>214.71039999999999</v>
      </c>
      <c r="Q140">
        <v>9</v>
      </c>
      <c r="R140">
        <v>214.71039999999999</v>
      </c>
      <c r="S140">
        <v>9</v>
      </c>
      <c r="T140">
        <v>1932.3935999999999</v>
      </c>
    </row>
    <row r="141" spans="1:20" x14ac:dyDescent="0.35">
      <c r="A141" t="s">
        <v>1641</v>
      </c>
      <c r="B141">
        <v>86</v>
      </c>
      <c r="D141">
        <v>45898</v>
      </c>
      <c r="F141" t="s">
        <v>142</v>
      </c>
      <c r="G141" t="s">
        <v>1014</v>
      </c>
      <c r="H141" t="s">
        <v>1015</v>
      </c>
      <c r="I141" t="s">
        <v>677</v>
      </c>
      <c r="J141" t="s">
        <v>1014</v>
      </c>
      <c r="K141" t="s">
        <v>1770</v>
      </c>
      <c r="M141" t="s">
        <v>151</v>
      </c>
      <c r="N141" t="s">
        <v>213</v>
      </c>
      <c r="O141">
        <v>1</v>
      </c>
      <c r="P141">
        <v>8.8671000000000006</v>
      </c>
      <c r="Q141">
        <v>216</v>
      </c>
      <c r="R141">
        <v>8.8671000000000006</v>
      </c>
      <c r="S141">
        <v>216</v>
      </c>
      <c r="T141">
        <v>1915.2936000000002</v>
      </c>
    </row>
    <row r="142" spans="1:20" x14ac:dyDescent="0.35">
      <c r="A142" t="s">
        <v>1641</v>
      </c>
      <c r="B142">
        <v>30</v>
      </c>
      <c r="D142">
        <v>45817</v>
      </c>
      <c r="F142" t="s">
        <v>142</v>
      </c>
      <c r="G142" t="s">
        <v>1019</v>
      </c>
      <c r="H142" t="s">
        <v>1020</v>
      </c>
      <c r="I142" t="s">
        <v>1647</v>
      </c>
      <c r="J142" t="s">
        <v>1019</v>
      </c>
      <c r="K142" t="s">
        <v>1771</v>
      </c>
      <c r="L142" t="s">
        <v>1022</v>
      </c>
      <c r="N142" t="s">
        <v>154</v>
      </c>
      <c r="O142">
        <v>1</v>
      </c>
      <c r="P142">
        <v>465.40159999999997</v>
      </c>
      <c r="Q142">
        <v>4</v>
      </c>
      <c r="R142">
        <v>465.40159999999997</v>
      </c>
      <c r="S142">
        <v>4</v>
      </c>
      <c r="T142">
        <v>1861.6063999999999</v>
      </c>
    </row>
    <row r="143" spans="1:20" x14ac:dyDescent="0.35">
      <c r="A143" t="s">
        <v>1641</v>
      </c>
      <c r="B143">
        <v>68</v>
      </c>
      <c r="D143">
        <v>45910</v>
      </c>
      <c r="F143" t="s">
        <v>142</v>
      </c>
      <c r="G143" t="s">
        <v>1024</v>
      </c>
      <c r="H143" t="s">
        <v>1025</v>
      </c>
      <c r="I143" t="s">
        <v>1683</v>
      </c>
      <c r="J143" t="s">
        <v>1024</v>
      </c>
      <c r="K143" t="s">
        <v>1772</v>
      </c>
      <c r="M143" t="s">
        <v>151</v>
      </c>
      <c r="N143" t="s">
        <v>213</v>
      </c>
      <c r="O143">
        <v>1</v>
      </c>
      <c r="P143">
        <v>18.952500000000001</v>
      </c>
      <c r="Q143">
        <v>96</v>
      </c>
      <c r="R143">
        <v>18.952500000000001</v>
      </c>
      <c r="S143">
        <v>96</v>
      </c>
      <c r="T143">
        <v>1819.44</v>
      </c>
    </row>
    <row r="144" spans="1:20" x14ac:dyDescent="0.35">
      <c r="A144" t="s">
        <v>1641</v>
      </c>
      <c r="B144">
        <v>214</v>
      </c>
      <c r="D144">
        <v>45817</v>
      </c>
      <c r="F144" t="s">
        <v>142</v>
      </c>
      <c r="G144" t="s">
        <v>1033</v>
      </c>
      <c r="H144" t="s">
        <v>1034</v>
      </c>
      <c r="I144" t="s">
        <v>1643</v>
      </c>
      <c r="J144" t="s">
        <v>1033</v>
      </c>
      <c r="K144" t="s">
        <v>151</v>
      </c>
      <c r="M144" t="s">
        <v>151</v>
      </c>
      <c r="N144" t="s">
        <v>154</v>
      </c>
      <c r="O144">
        <v>1</v>
      </c>
      <c r="P144">
        <v>113.5128</v>
      </c>
      <c r="Q144">
        <v>16</v>
      </c>
      <c r="R144">
        <v>113.5128</v>
      </c>
      <c r="S144">
        <v>16</v>
      </c>
      <c r="T144">
        <v>1816.2048</v>
      </c>
    </row>
    <row r="145" spans="1:20" x14ac:dyDescent="0.35">
      <c r="A145" t="s">
        <v>1641</v>
      </c>
      <c r="B145">
        <v>129</v>
      </c>
      <c r="D145">
        <v>45819</v>
      </c>
      <c r="F145" t="s">
        <v>142</v>
      </c>
      <c r="G145" t="s">
        <v>1028</v>
      </c>
      <c r="H145" t="s">
        <v>1029</v>
      </c>
      <c r="I145" t="s">
        <v>1647</v>
      </c>
      <c r="J145" t="s">
        <v>1028</v>
      </c>
      <c r="K145" t="s">
        <v>1773</v>
      </c>
      <c r="L145" t="s">
        <v>1032</v>
      </c>
      <c r="M145" t="s">
        <v>151</v>
      </c>
      <c r="N145" t="s">
        <v>154</v>
      </c>
      <c r="O145">
        <v>1</v>
      </c>
      <c r="P145">
        <v>363.5</v>
      </c>
      <c r="Q145">
        <v>5</v>
      </c>
      <c r="R145">
        <v>363.5</v>
      </c>
      <c r="S145">
        <v>5</v>
      </c>
      <c r="T145">
        <v>1817.5</v>
      </c>
    </row>
    <row r="146" spans="1:20" x14ac:dyDescent="0.35">
      <c r="A146" t="s">
        <v>1641</v>
      </c>
      <c r="B146">
        <v>99</v>
      </c>
      <c r="D146">
        <v>45847</v>
      </c>
      <c r="F146" t="s">
        <v>142</v>
      </c>
      <c r="G146" t="s">
        <v>1037</v>
      </c>
      <c r="H146" t="s">
        <v>1038</v>
      </c>
      <c r="I146" t="s">
        <v>1671</v>
      </c>
      <c r="J146" t="s">
        <v>1037</v>
      </c>
      <c r="K146" t="s">
        <v>1774</v>
      </c>
      <c r="M146" t="s">
        <v>151</v>
      </c>
      <c r="N146" t="s">
        <v>213</v>
      </c>
      <c r="O146">
        <v>1</v>
      </c>
      <c r="P146">
        <v>6.2725999999999997</v>
      </c>
      <c r="Q146">
        <v>288</v>
      </c>
      <c r="R146">
        <v>6.2725999999999997</v>
      </c>
      <c r="S146">
        <v>288</v>
      </c>
      <c r="T146">
        <v>1806.5087999999998</v>
      </c>
    </row>
    <row r="147" spans="1:20" x14ac:dyDescent="0.35">
      <c r="A147" t="s">
        <v>1641</v>
      </c>
      <c r="B147">
        <v>526</v>
      </c>
      <c r="D147">
        <v>45874</v>
      </c>
      <c r="F147" t="s">
        <v>142</v>
      </c>
      <c r="G147" t="s">
        <v>1042</v>
      </c>
      <c r="H147" t="s">
        <v>1043</v>
      </c>
      <c r="I147" t="s">
        <v>164</v>
      </c>
      <c r="J147" t="s">
        <v>1042</v>
      </c>
      <c r="K147" t="s">
        <v>1646</v>
      </c>
      <c r="N147" t="s">
        <v>154</v>
      </c>
      <c r="O147">
        <v>1</v>
      </c>
      <c r="P147">
        <v>1798.6171999999999</v>
      </c>
      <c r="Q147">
        <v>1</v>
      </c>
      <c r="R147">
        <v>1798.6171999999999</v>
      </c>
      <c r="S147">
        <v>1</v>
      </c>
      <c r="T147">
        <v>1798.6171999999999</v>
      </c>
    </row>
    <row r="148" spans="1:20" x14ac:dyDescent="0.35">
      <c r="A148" t="s">
        <v>1641</v>
      </c>
      <c r="B148">
        <v>213</v>
      </c>
      <c r="D148">
        <v>45679</v>
      </c>
      <c r="F148" t="s">
        <v>142</v>
      </c>
      <c r="G148" t="s">
        <v>1048</v>
      </c>
      <c r="H148" t="s">
        <v>1049</v>
      </c>
      <c r="I148" t="s">
        <v>1643</v>
      </c>
      <c r="J148" t="s">
        <v>1048</v>
      </c>
      <c r="K148" t="s">
        <v>1775</v>
      </c>
      <c r="M148" t="s">
        <v>151</v>
      </c>
      <c r="N148" t="s">
        <v>154</v>
      </c>
      <c r="O148">
        <v>1</v>
      </c>
      <c r="P148">
        <v>176.52719999999999</v>
      </c>
      <c r="Q148">
        <v>10</v>
      </c>
      <c r="R148">
        <v>176.52719999999999</v>
      </c>
      <c r="S148">
        <v>10</v>
      </c>
      <c r="T148">
        <v>1765.2719999999999</v>
      </c>
    </row>
    <row r="149" spans="1:20" x14ac:dyDescent="0.35">
      <c r="A149" t="s">
        <v>1641</v>
      </c>
      <c r="B149">
        <v>168</v>
      </c>
      <c r="D149">
        <v>45728</v>
      </c>
      <c r="F149" t="s">
        <v>142</v>
      </c>
      <c r="G149" t="s">
        <v>1052</v>
      </c>
      <c r="H149" t="s">
        <v>1053</v>
      </c>
      <c r="I149" t="s">
        <v>1776</v>
      </c>
      <c r="J149" t="s">
        <v>1052</v>
      </c>
      <c r="K149" t="s">
        <v>151</v>
      </c>
      <c r="M149" t="s">
        <v>151</v>
      </c>
      <c r="N149" t="s">
        <v>154</v>
      </c>
      <c r="O149">
        <v>1</v>
      </c>
      <c r="P149">
        <v>143.93559999999999</v>
      </c>
      <c r="Q149">
        <v>12</v>
      </c>
      <c r="R149">
        <v>143.93559999999999</v>
      </c>
      <c r="S149">
        <v>12</v>
      </c>
      <c r="T149">
        <v>1727.2271999999998</v>
      </c>
    </row>
    <row r="150" spans="1:20" x14ac:dyDescent="0.35">
      <c r="A150" t="s">
        <v>1641</v>
      </c>
      <c r="B150">
        <v>307</v>
      </c>
      <c r="D150">
        <v>45922</v>
      </c>
      <c r="F150" t="s">
        <v>142</v>
      </c>
      <c r="G150" t="s">
        <v>1056</v>
      </c>
      <c r="H150" t="s">
        <v>1057</v>
      </c>
      <c r="I150" t="s">
        <v>1645</v>
      </c>
      <c r="J150" t="s">
        <v>1056</v>
      </c>
      <c r="K150" t="s">
        <v>1777</v>
      </c>
      <c r="M150" t="s">
        <v>151</v>
      </c>
      <c r="N150" t="s">
        <v>154</v>
      </c>
      <c r="O150">
        <v>1</v>
      </c>
      <c r="P150">
        <v>68.757999999999996</v>
      </c>
      <c r="Q150">
        <v>25</v>
      </c>
      <c r="R150">
        <v>68.757999999999996</v>
      </c>
      <c r="S150">
        <v>25</v>
      </c>
      <c r="T150">
        <v>1718.9499999999998</v>
      </c>
    </row>
    <row r="151" spans="1:20" x14ac:dyDescent="0.35">
      <c r="A151" t="s">
        <v>1641</v>
      </c>
      <c r="B151">
        <v>477</v>
      </c>
      <c r="D151">
        <v>45923</v>
      </c>
      <c r="F151" t="s">
        <v>142</v>
      </c>
      <c r="G151" t="s">
        <v>1067</v>
      </c>
      <c r="H151" t="s">
        <v>1068</v>
      </c>
      <c r="I151" t="s">
        <v>1696</v>
      </c>
      <c r="J151" t="s">
        <v>1067</v>
      </c>
      <c r="K151" t="s">
        <v>1720</v>
      </c>
      <c r="M151" t="s">
        <v>151</v>
      </c>
      <c r="N151" t="s">
        <v>213</v>
      </c>
      <c r="O151">
        <v>1</v>
      </c>
      <c r="P151">
        <v>12.249599999999999</v>
      </c>
      <c r="Q151">
        <v>132</v>
      </c>
      <c r="R151">
        <v>12.249599999999999</v>
      </c>
      <c r="S151">
        <v>132</v>
      </c>
      <c r="T151">
        <v>1616.9471999999998</v>
      </c>
    </row>
    <row r="152" spans="1:20" x14ac:dyDescent="0.35">
      <c r="A152" t="s">
        <v>1641</v>
      </c>
      <c r="B152">
        <v>96</v>
      </c>
      <c r="D152">
        <v>45912</v>
      </c>
      <c r="F152" t="s">
        <v>142</v>
      </c>
      <c r="G152" t="s">
        <v>1062</v>
      </c>
      <c r="H152" t="s">
        <v>1063</v>
      </c>
      <c r="I152" t="s">
        <v>1671</v>
      </c>
      <c r="J152" t="s">
        <v>1062</v>
      </c>
      <c r="K152" t="s">
        <v>1778</v>
      </c>
      <c r="M152" t="s">
        <v>151</v>
      </c>
      <c r="N152" t="s">
        <v>213</v>
      </c>
      <c r="O152">
        <v>1</v>
      </c>
      <c r="P152">
        <v>4.2157</v>
      </c>
      <c r="Q152">
        <v>384</v>
      </c>
      <c r="R152">
        <v>4.2157</v>
      </c>
      <c r="S152">
        <v>384</v>
      </c>
      <c r="T152">
        <v>1618.8288</v>
      </c>
    </row>
    <row r="153" spans="1:20" x14ac:dyDescent="0.35">
      <c r="A153" t="s">
        <v>1641</v>
      </c>
      <c r="B153">
        <v>244</v>
      </c>
      <c r="D153">
        <v>45929</v>
      </c>
      <c r="F153" t="s">
        <v>142</v>
      </c>
      <c r="G153" t="s">
        <v>1072</v>
      </c>
      <c r="H153" t="s">
        <v>1073</v>
      </c>
      <c r="I153" t="s">
        <v>560</v>
      </c>
      <c r="J153" t="s">
        <v>1072</v>
      </c>
      <c r="K153" t="s">
        <v>1779</v>
      </c>
      <c r="M153" t="s">
        <v>151</v>
      </c>
      <c r="N153" t="s">
        <v>213</v>
      </c>
      <c r="O153">
        <v>1</v>
      </c>
      <c r="P153">
        <v>12.689500000000001</v>
      </c>
      <c r="Q153">
        <v>126</v>
      </c>
      <c r="R153">
        <v>12.689500000000001</v>
      </c>
      <c r="S153">
        <v>126</v>
      </c>
      <c r="T153">
        <v>1598.8770000000002</v>
      </c>
    </row>
    <row r="154" spans="1:20" x14ac:dyDescent="0.35">
      <c r="A154" t="s">
        <v>1641</v>
      </c>
      <c r="B154">
        <v>340</v>
      </c>
      <c r="D154">
        <v>45820</v>
      </c>
      <c r="F154" t="s">
        <v>142</v>
      </c>
      <c r="G154" t="s">
        <v>1079</v>
      </c>
      <c r="H154" t="s">
        <v>1080</v>
      </c>
      <c r="I154" t="s">
        <v>1645</v>
      </c>
      <c r="J154" t="s">
        <v>1079</v>
      </c>
      <c r="K154" t="s">
        <v>1780</v>
      </c>
      <c r="M154" t="s">
        <v>151</v>
      </c>
      <c r="N154" t="s">
        <v>154</v>
      </c>
      <c r="O154">
        <v>1</v>
      </c>
      <c r="P154">
        <v>78.755300000000005</v>
      </c>
      <c r="Q154">
        <v>20</v>
      </c>
      <c r="R154">
        <v>78.755300000000005</v>
      </c>
      <c r="S154">
        <v>20</v>
      </c>
      <c r="T154">
        <v>1575.1060000000002</v>
      </c>
    </row>
    <row r="155" spans="1:20" x14ac:dyDescent="0.35">
      <c r="A155" t="s">
        <v>1641</v>
      </c>
      <c r="B155">
        <v>55</v>
      </c>
      <c r="D155">
        <v>45866</v>
      </c>
      <c r="F155" t="s">
        <v>142</v>
      </c>
      <c r="G155" t="s">
        <v>1090</v>
      </c>
      <c r="H155" t="s">
        <v>1091</v>
      </c>
      <c r="I155" t="s">
        <v>1781</v>
      </c>
      <c r="J155" t="s">
        <v>1090</v>
      </c>
      <c r="K155" t="s">
        <v>151</v>
      </c>
      <c r="M155" t="s">
        <v>151</v>
      </c>
      <c r="N155" t="s">
        <v>1666</v>
      </c>
      <c r="O155">
        <v>1</v>
      </c>
      <c r="P155">
        <v>152.70419999999999</v>
      </c>
      <c r="Q155">
        <v>10</v>
      </c>
      <c r="R155">
        <v>152.70419999999999</v>
      </c>
      <c r="S155">
        <v>10</v>
      </c>
      <c r="T155">
        <v>1527.0419999999999</v>
      </c>
    </row>
    <row r="156" spans="1:20" x14ac:dyDescent="0.35">
      <c r="A156" t="s">
        <v>1641</v>
      </c>
      <c r="B156">
        <v>92</v>
      </c>
      <c r="D156">
        <v>45925</v>
      </c>
      <c r="F156" t="s">
        <v>142</v>
      </c>
      <c r="G156" t="s">
        <v>1083</v>
      </c>
      <c r="H156" t="s">
        <v>1084</v>
      </c>
      <c r="I156" t="s">
        <v>677</v>
      </c>
      <c r="J156" t="s">
        <v>1083</v>
      </c>
      <c r="K156" t="s">
        <v>1782</v>
      </c>
      <c r="M156" t="s">
        <v>151</v>
      </c>
      <c r="N156" t="s">
        <v>213</v>
      </c>
      <c r="O156">
        <v>1</v>
      </c>
      <c r="P156">
        <v>8.2081999999999997</v>
      </c>
      <c r="Q156">
        <v>187</v>
      </c>
      <c r="R156">
        <v>8.2081999999999997</v>
      </c>
      <c r="S156">
        <v>187</v>
      </c>
      <c r="T156">
        <v>1534.9333999999999</v>
      </c>
    </row>
    <row r="157" spans="1:20" x14ac:dyDescent="0.35">
      <c r="A157" t="s">
        <v>1641</v>
      </c>
      <c r="B157">
        <v>246</v>
      </c>
      <c r="D157">
        <v>45915</v>
      </c>
      <c r="F157" t="s">
        <v>142</v>
      </c>
      <c r="G157" t="s">
        <v>1094</v>
      </c>
      <c r="H157" t="s">
        <v>1095</v>
      </c>
      <c r="I157" t="s">
        <v>560</v>
      </c>
      <c r="J157" t="s">
        <v>1094</v>
      </c>
      <c r="K157" t="s">
        <v>1783</v>
      </c>
      <c r="M157" t="s">
        <v>151</v>
      </c>
      <c r="N157" t="s">
        <v>213</v>
      </c>
      <c r="O157">
        <v>1</v>
      </c>
      <c r="P157">
        <v>17.0946</v>
      </c>
      <c r="Q157">
        <v>89</v>
      </c>
      <c r="R157">
        <v>17.0946</v>
      </c>
      <c r="S157">
        <v>89</v>
      </c>
      <c r="T157">
        <v>1521.4194</v>
      </c>
    </row>
    <row r="158" spans="1:20" x14ac:dyDescent="0.35">
      <c r="A158" t="s">
        <v>1641</v>
      </c>
      <c r="B158">
        <v>304</v>
      </c>
      <c r="D158">
        <v>45882</v>
      </c>
      <c r="F158" t="s">
        <v>142</v>
      </c>
      <c r="G158" t="s">
        <v>1100</v>
      </c>
      <c r="H158" t="s">
        <v>1101</v>
      </c>
      <c r="I158" t="s">
        <v>1645</v>
      </c>
      <c r="J158" t="s">
        <v>1100</v>
      </c>
      <c r="K158" t="s">
        <v>1784</v>
      </c>
      <c r="M158" t="s">
        <v>151</v>
      </c>
      <c r="N158" t="s">
        <v>154</v>
      </c>
      <c r="O158">
        <v>1</v>
      </c>
      <c r="P158">
        <v>75.2286</v>
      </c>
      <c r="Q158">
        <v>20</v>
      </c>
      <c r="R158">
        <v>75.2286</v>
      </c>
      <c r="S158">
        <v>20</v>
      </c>
      <c r="T158">
        <v>1504.5720000000001</v>
      </c>
    </row>
    <row r="159" spans="1:20" x14ac:dyDescent="0.35">
      <c r="A159" t="s">
        <v>1641</v>
      </c>
      <c r="B159">
        <v>300</v>
      </c>
      <c r="D159">
        <v>45814</v>
      </c>
      <c r="F159" t="s">
        <v>142</v>
      </c>
      <c r="G159" t="s">
        <v>1106</v>
      </c>
      <c r="H159" t="s">
        <v>1107</v>
      </c>
      <c r="I159" t="s">
        <v>1645</v>
      </c>
      <c r="J159" t="s">
        <v>1106</v>
      </c>
      <c r="K159" t="s">
        <v>1785</v>
      </c>
      <c r="M159" t="s">
        <v>151</v>
      </c>
      <c r="N159" t="s">
        <v>154</v>
      </c>
      <c r="O159">
        <v>1</v>
      </c>
      <c r="P159">
        <v>356.84730000000002</v>
      </c>
      <c r="Q159">
        <v>4</v>
      </c>
      <c r="R159">
        <v>356.84730000000002</v>
      </c>
      <c r="S159">
        <v>4</v>
      </c>
      <c r="T159">
        <v>1427.3892000000001</v>
      </c>
    </row>
    <row r="160" spans="1:20" x14ac:dyDescent="0.35">
      <c r="A160" t="s">
        <v>1641</v>
      </c>
      <c r="B160">
        <v>48</v>
      </c>
      <c r="D160">
        <v>45890</v>
      </c>
      <c r="F160" t="s">
        <v>142</v>
      </c>
      <c r="G160" t="s">
        <v>1112</v>
      </c>
      <c r="H160" t="s">
        <v>1113</v>
      </c>
      <c r="I160" t="s">
        <v>1647</v>
      </c>
      <c r="J160" t="s">
        <v>1112</v>
      </c>
      <c r="K160" t="s">
        <v>151</v>
      </c>
      <c r="M160" t="s">
        <v>151</v>
      </c>
      <c r="N160" t="s">
        <v>154</v>
      </c>
      <c r="O160">
        <v>1</v>
      </c>
      <c r="P160">
        <v>21.654399999999999</v>
      </c>
      <c r="Q160">
        <v>65</v>
      </c>
      <c r="R160">
        <v>21.654399999999999</v>
      </c>
      <c r="S160">
        <v>65</v>
      </c>
      <c r="T160">
        <v>1407.5359999999998</v>
      </c>
    </row>
    <row r="161" spans="1:20" x14ac:dyDescent="0.35">
      <c r="A161" t="s">
        <v>1641</v>
      </c>
      <c r="B161">
        <v>242</v>
      </c>
      <c r="D161">
        <v>45929</v>
      </c>
      <c r="F161" t="s">
        <v>142</v>
      </c>
      <c r="G161" t="s">
        <v>1120</v>
      </c>
      <c r="H161" t="s">
        <v>1121</v>
      </c>
      <c r="I161" t="s">
        <v>560</v>
      </c>
      <c r="J161" t="s">
        <v>1120</v>
      </c>
      <c r="K161" t="s">
        <v>1786</v>
      </c>
      <c r="M161" t="s">
        <v>151</v>
      </c>
      <c r="N161" t="s">
        <v>213</v>
      </c>
      <c r="O161">
        <v>1</v>
      </c>
      <c r="P161">
        <v>12.120900000000001</v>
      </c>
      <c r="Q161">
        <v>115</v>
      </c>
      <c r="R161">
        <v>12.120900000000001</v>
      </c>
      <c r="S161">
        <v>115</v>
      </c>
      <c r="T161">
        <v>1393.9035000000001</v>
      </c>
    </row>
    <row r="162" spans="1:20" x14ac:dyDescent="0.35">
      <c r="A162" t="s">
        <v>1641</v>
      </c>
      <c r="B162">
        <v>446</v>
      </c>
      <c r="D162">
        <v>45929</v>
      </c>
      <c r="F162" t="s">
        <v>142</v>
      </c>
      <c r="G162" t="s">
        <v>1126</v>
      </c>
      <c r="H162" t="s">
        <v>1127</v>
      </c>
      <c r="I162" t="s">
        <v>1653</v>
      </c>
      <c r="J162" t="s">
        <v>1126</v>
      </c>
      <c r="K162" t="s">
        <v>1787</v>
      </c>
      <c r="M162" t="s">
        <v>151</v>
      </c>
      <c r="N162" t="s">
        <v>213</v>
      </c>
      <c r="O162">
        <v>1</v>
      </c>
      <c r="P162">
        <v>7.2431000000000001</v>
      </c>
      <c r="Q162">
        <v>190</v>
      </c>
      <c r="R162">
        <v>7.2431000000000001</v>
      </c>
      <c r="S162">
        <v>190</v>
      </c>
      <c r="T162">
        <v>1376.1890000000001</v>
      </c>
    </row>
    <row r="163" spans="1:20" x14ac:dyDescent="0.35">
      <c r="A163" t="s">
        <v>1641</v>
      </c>
      <c r="B163">
        <v>370</v>
      </c>
      <c r="D163">
        <v>45925</v>
      </c>
      <c r="F163" t="s">
        <v>142</v>
      </c>
      <c r="G163" t="s">
        <v>1139</v>
      </c>
      <c r="H163" t="s">
        <v>1140</v>
      </c>
      <c r="I163" t="s">
        <v>1788</v>
      </c>
      <c r="J163" t="s">
        <v>1139</v>
      </c>
      <c r="K163" t="s">
        <v>1789</v>
      </c>
      <c r="M163" t="s">
        <v>151</v>
      </c>
      <c r="N163" t="s">
        <v>154</v>
      </c>
      <c r="O163">
        <v>1</v>
      </c>
      <c r="P163">
        <v>45.018999999999998</v>
      </c>
      <c r="Q163">
        <v>30</v>
      </c>
      <c r="R163">
        <v>45.018999999999998</v>
      </c>
      <c r="S163">
        <v>30</v>
      </c>
      <c r="T163">
        <v>1350.57</v>
      </c>
    </row>
    <row r="164" spans="1:20" x14ac:dyDescent="0.35">
      <c r="A164" t="s">
        <v>1641</v>
      </c>
      <c r="B164">
        <v>371</v>
      </c>
      <c r="D164">
        <v>45890</v>
      </c>
      <c r="F164" t="s">
        <v>142</v>
      </c>
      <c r="G164" t="s">
        <v>1132</v>
      </c>
      <c r="H164" t="s">
        <v>1133</v>
      </c>
      <c r="I164" t="s">
        <v>1788</v>
      </c>
      <c r="J164" t="s">
        <v>1132</v>
      </c>
      <c r="K164" t="s">
        <v>1790</v>
      </c>
      <c r="M164" t="s">
        <v>151</v>
      </c>
      <c r="N164" t="s">
        <v>154</v>
      </c>
      <c r="O164">
        <v>1</v>
      </c>
      <c r="P164">
        <v>45.1678</v>
      </c>
      <c r="Q164">
        <v>30</v>
      </c>
      <c r="R164">
        <v>45.1678</v>
      </c>
      <c r="S164">
        <v>30</v>
      </c>
      <c r="T164">
        <v>1355.0340000000001</v>
      </c>
    </row>
    <row r="165" spans="1:20" x14ac:dyDescent="0.35">
      <c r="A165" t="s">
        <v>1641</v>
      </c>
      <c r="B165">
        <v>23</v>
      </c>
      <c r="D165">
        <v>45909</v>
      </c>
      <c r="F165" t="s">
        <v>142</v>
      </c>
      <c r="G165" t="s">
        <v>1143</v>
      </c>
      <c r="H165" t="s">
        <v>1144</v>
      </c>
      <c r="I165" t="s">
        <v>1647</v>
      </c>
      <c r="J165" t="s">
        <v>1143</v>
      </c>
      <c r="K165" t="s">
        <v>151</v>
      </c>
      <c r="M165" t="s">
        <v>151</v>
      </c>
      <c r="N165" t="s">
        <v>1666</v>
      </c>
      <c r="O165">
        <v>1</v>
      </c>
      <c r="P165">
        <v>31.224499999999999</v>
      </c>
      <c r="Q165">
        <v>43</v>
      </c>
      <c r="R165">
        <v>31.224499999999999</v>
      </c>
      <c r="S165">
        <v>43</v>
      </c>
      <c r="T165">
        <v>1342.6534999999999</v>
      </c>
    </row>
    <row r="166" spans="1:20" x14ac:dyDescent="0.35">
      <c r="A166" t="s">
        <v>1641</v>
      </c>
      <c r="B166">
        <v>618</v>
      </c>
      <c r="D166">
        <v>45924</v>
      </c>
      <c r="F166" t="s">
        <v>142</v>
      </c>
      <c r="G166" t="s">
        <v>1149</v>
      </c>
      <c r="H166" t="s">
        <v>1150</v>
      </c>
      <c r="I166" t="s">
        <v>1655</v>
      </c>
      <c r="J166" t="s">
        <v>1149</v>
      </c>
      <c r="K166" t="s">
        <v>151</v>
      </c>
      <c r="M166" t="s">
        <v>151</v>
      </c>
      <c r="N166" t="s">
        <v>154</v>
      </c>
      <c r="O166">
        <v>1</v>
      </c>
      <c r="P166">
        <v>670.46500000000003</v>
      </c>
      <c r="Q166">
        <v>2</v>
      </c>
      <c r="R166">
        <v>670.46500000000003</v>
      </c>
      <c r="S166">
        <v>2</v>
      </c>
      <c r="T166">
        <v>1340.93</v>
      </c>
    </row>
    <row r="167" spans="1:20" x14ac:dyDescent="0.35">
      <c r="A167" t="s">
        <v>1641</v>
      </c>
      <c r="B167">
        <v>149</v>
      </c>
      <c r="D167">
        <v>45897</v>
      </c>
      <c r="F167" t="s">
        <v>142</v>
      </c>
      <c r="G167" t="s">
        <v>1155</v>
      </c>
      <c r="H167" t="s">
        <v>1156</v>
      </c>
      <c r="I167" t="s">
        <v>1647</v>
      </c>
      <c r="J167" t="s">
        <v>1155</v>
      </c>
      <c r="K167" t="s">
        <v>1791</v>
      </c>
      <c r="M167" t="s">
        <v>151</v>
      </c>
      <c r="N167" t="s">
        <v>154</v>
      </c>
      <c r="O167">
        <v>1</v>
      </c>
      <c r="P167">
        <v>663.70280000000002</v>
      </c>
      <c r="Q167">
        <v>2</v>
      </c>
      <c r="R167">
        <v>663.70280000000002</v>
      </c>
      <c r="S167">
        <v>2</v>
      </c>
      <c r="T167">
        <v>1327.4056</v>
      </c>
    </row>
    <row r="168" spans="1:20" x14ac:dyDescent="0.35">
      <c r="A168" t="s">
        <v>1641</v>
      </c>
      <c r="B168">
        <v>188</v>
      </c>
      <c r="D168">
        <v>45898</v>
      </c>
      <c r="F168" t="s">
        <v>142</v>
      </c>
      <c r="G168" t="s">
        <v>1160</v>
      </c>
      <c r="H168" t="s">
        <v>1161</v>
      </c>
      <c r="I168" t="s">
        <v>1655</v>
      </c>
      <c r="J168" t="s">
        <v>1160</v>
      </c>
      <c r="K168" t="s">
        <v>1792</v>
      </c>
      <c r="M168" t="s">
        <v>151</v>
      </c>
      <c r="N168" t="s">
        <v>1666</v>
      </c>
      <c r="O168">
        <v>1</v>
      </c>
      <c r="P168">
        <v>52.659300000000002</v>
      </c>
      <c r="Q168">
        <v>25</v>
      </c>
      <c r="R168">
        <v>52.659300000000002</v>
      </c>
      <c r="S168">
        <v>25</v>
      </c>
      <c r="T168">
        <v>1316.4825000000001</v>
      </c>
    </row>
    <row r="169" spans="1:20" x14ac:dyDescent="0.35">
      <c r="A169" t="s">
        <v>1641</v>
      </c>
      <c r="B169">
        <v>272</v>
      </c>
      <c r="D169">
        <v>45924</v>
      </c>
      <c r="F169" t="s">
        <v>142</v>
      </c>
      <c r="G169" t="s">
        <v>1178</v>
      </c>
      <c r="H169" t="s">
        <v>1179</v>
      </c>
      <c r="I169" t="s">
        <v>1659</v>
      </c>
      <c r="J169" t="s">
        <v>1178</v>
      </c>
      <c r="K169" t="s">
        <v>1793</v>
      </c>
      <c r="M169" t="s">
        <v>151</v>
      </c>
      <c r="N169" t="s">
        <v>1794</v>
      </c>
      <c r="O169">
        <v>1</v>
      </c>
      <c r="P169">
        <v>16.295999999999999</v>
      </c>
      <c r="Q169">
        <v>80</v>
      </c>
      <c r="R169">
        <v>16.295999999999999</v>
      </c>
      <c r="S169">
        <v>80</v>
      </c>
      <c r="T169">
        <v>1303.6799999999998</v>
      </c>
    </row>
    <row r="170" spans="1:20" x14ac:dyDescent="0.35">
      <c r="A170" t="s">
        <v>1641</v>
      </c>
      <c r="B170">
        <v>512</v>
      </c>
      <c r="D170">
        <v>45845</v>
      </c>
      <c r="F170" t="s">
        <v>142</v>
      </c>
      <c r="G170" t="s">
        <v>1166</v>
      </c>
      <c r="H170" t="s">
        <v>1167</v>
      </c>
      <c r="I170" t="s">
        <v>164</v>
      </c>
      <c r="J170" t="s">
        <v>1166</v>
      </c>
      <c r="K170" t="s">
        <v>151</v>
      </c>
      <c r="M170" t="s">
        <v>151</v>
      </c>
      <c r="N170" t="s">
        <v>154</v>
      </c>
      <c r="O170">
        <v>1</v>
      </c>
      <c r="P170">
        <v>145.17349999999999</v>
      </c>
      <c r="Q170">
        <v>9</v>
      </c>
      <c r="R170">
        <v>145.17349999999999</v>
      </c>
      <c r="S170">
        <v>9</v>
      </c>
      <c r="T170">
        <v>1306.5614999999998</v>
      </c>
    </row>
    <row r="171" spans="1:20" x14ac:dyDescent="0.35">
      <c r="A171" t="s">
        <v>1641</v>
      </c>
      <c r="B171">
        <v>20</v>
      </c>
      <c r="D171">
        <v>45922</v>
      </c>
      <c r="F171" t="s">
        <v>142</v>
      </c>
      <c r="G171" t="s">
        <v>1172</v>
      </c>
      <c r="H171" t="s">
        <v>1173</v>
      </c>
      <c r="I171" t="s">
        <v>1647</v>
      </c>
      <c r="J171" t="s">
        <v>1172</v>
      </c>
      <c r="K171" t="s">
        <v>1795</v>
      </c>
      <c r="L171" t="s">
        <v>1175</v>
      </c>
      <c r="N171" t="s">
        <v>154</v>
      </c>
      <c r="O171">
        <v>1</v>
      </c>
      <c r="P171">
        <v>118.7072</v>
      </c>
      <c r="Q171">
        <v>11</v>
      </c>
      <c r="R171">
        <v>118.7072</v>
      </c>
      <c r="S171">
        <v>11</v>
      </c>
      <c r="T171">
        <v>1305.7791999999999</v>
      </c>
    </row>
    <row r="172" spans="1:20" x14ac:dyDescent="0.35">
      <c r="A172" t="s">
        <v>1641</v>
      </c>
      <c r="B172">
        <v>337</v>
      </c>
      <c r="D172">
        <v>45908</v>
      </c>
      <c r="F172" t="s">
        <v>142</v>
      </c>
      <c r="G172" t="s">
        <v>1183</v>
      </c>
      <c r="H172" t="s">
        <v>1184</v>
      </c>
      <c r="I172" t="s">
        <v>1645</v>
      </c>
      <c r="J172" t="s">
        <v>1183</v>
      </c>
      <c r="K172" t="s">
        <v>1796</v>
      </c>
      <c r="M172" t="s">
        <v>151</v>
      </c>
      <c r="N172" t="s">
        <v>154</v>
      </c>
      <c r="O172">
        <v>1</v>
      </c>
      <c r="P172">
        <v>89.848500000000001</v>
      </c>
      <c r="Q172">
        <v>14</v>
      </c>
      <c r="R172">
        <v>89.848500000000001</v>
      </c>
      <c r="S172">
        <v>14</v>
      </c>
      <c r="T172">
        <v>1257.8789999999999</v>
      </c>
    </row>
    <row r="173" spans="1:20" x14ac:dyDescent="0.35">
      <c r="A173" t="s">
        <v>1641</v>
      </c>
      <c r="B173">
        <v>285</v>
      </c>
      <c r="D173">
        <v>45826</v>
      </c>
      <c r="F173" t="s">
        <v>142</v>
      </c>
      <c r="G173" t="s">
        <v>1188</v>
      </c>
      <c r="H173" t="s">
        <v>1189</v>
      </c>
      <c r="I173" t="s">
        <v>1659</v>
      </c>
      <c r="J173" t="s">
        <v>1188</v>
      </c>
      <c r="K173" t="s">
        <v>1797</v>
      </c>
      <c r="M173" t="s">
        <v>151</v>
      </c>
      <c r="N173" t="s">
        <v>154</v>
      </c>
      <c r="O173">
        <v>1</v>
      </c>
      <c r="P173">
        <v>103.9059</v>
      </c>
      <c r="Q173">
        <v>12</v>
      </c>
      <c r="R173">
        <v>103.9059</v>
      </c>
      <c r="S173">
        <v>12</v>
      </c>
      <c r="T173">
        <v>1246.8708000000001</v>
      </c>
    </row>
    <row r="174" spans="1:20" x14ac:dyDescent="0.35">
      <c r="A174" t="s">
        <v>1641</v>
      </c>
      <c r="B174">
        <v>533</v>
      </c>
      <c r="D174">
        <v>45895</v>
      </c>
      <c r="F174" t="s">
        <v>142</v>
      </c>
      <c r="G174" t="s">
        <v>1193</v>
      </c>
      <c r="H174" t="s">
        <v>1194</v>
      </c>
      <c r="I174" t="s">
        <v>164</v>
      </c>
      <c r="J174" t="s">
        <v>1193</v>
      </c>
      <c r="K174" t="s">
        <v>151</v>
      </c>
      <c r="M174" t="s">
        <v>151</v>
      </c>
      <c r="N174" t="s">
        <v>154</v>
      </c>
      <c r="O174">
        <v>1</v>
      </c>
      <c r="P174">
        <v>135.3039</v>
      </c>
      <c r="Q174">
        <v>9</v>
      </c>
      <c r="R174">
        <v>135.3039</v>
      </c>
      <c r="S174">
        <v>9</v>
      </c>
      <c r="T174">
        <v>1217.7350999999999</v>
      </c>
    </row>
    <row r="175" spans="1:20" x14ac:dyDescent="0.35">
      <c r="A175" t="s">
        <v>1641</v>
      </c>
      <c r="B175">
        <v>429</v>
      </c>
      <c r="D175">
        <v>45922</v>
      </c>
      <c r="F175" t="s">
        <v>142</v>
      </c>
      <c r="G175" t="s">
        <v>1200</v>
      </c>
      <c r="H175" t="s">
        <v>1201</v>
      </c>
      <c r="I175" t="s">
        <v>1653</v>
      </c>
      <c r="J175" t="s">
        <v>1200</v>
      </c>
      <c r="K175" t="s">
        <v>1798</v>
      </c>
      <c r="M175" t="s">
        <v>151</v>
      </c>
      <c r="N175" t="s">
        <v>1666</v>
      </c>
      <c r="O175">
        <v>1</v>
      </c>
      <c r="P175">
        <v>4.2907999999999999</v>
      </c>
      <c r="Q175">
        <v>282</v>
      </c>
      <c r="R175">
        <v>4.2907999999999999</v>
      </c>
      <c r="S175">
        <v>282</v>
      </c>
      <c r="T175">
        <v>1210.0056</v>
      </c>
    </row>
    <row r="176" spans="1:20" x14ac:dyDescent="0.35">
      <c r="A176" t="s">
        <v>1641</v>
      </c>
      <c r="B176">
        <v>485</v>
      </c>
      <c r="D176">
        <v>45902</v>
      </c>
      <c r="F176" t="s">
        <v>142</v>
      </c>
      <c r="G176" t="s">
        <v>1205</v>
      </c>
      <c r="H176" t="s">
        <v>1206</v>
      </c>
      <c r="I176" t="s">
        <v>1696</v>
      </c>
      <c r="J176" t="s">
        <v>1205</v>
      </c>
      <c r="K176" t="s">
        <v>1799</v>
      </c>
      <c r="M176" t="s">
        <v>151</v>
      </c>
      <c r="N176" t="s">
        <v>154</v>
      </c>
      <c r="O176">
        <v>1</v>
      </c>
      <c r="P176">
        <v>8.3183000000000007</v>
      </c>
      <c r="Q176">
        <v>144</v>
      </c>
      <c r="R176">
        <v>8.3183000000000007</v>
      </c>
      <c r="S176">
        <v>144</v>
      </c>
      <c r="T176">
        <v>1197.8352</v>
      </c>
    </row>
    <row r="177" spans="1:20" x14ac:dyDescent="0.35">
      <c r="A177" t="s">
        <v>1641</v>
      </c>
      <c r="B177">
        <v>4</v>
      </c>
      <c r="D177">
        <v>45846</v>
      </c>
      <c r="F177" t="s">
        <v>142</v>
      </c>
      <c r="G177" t="s">
        <v>1212</v>
      </c>
      <c r="H177" t="s">
        <v>1213</v>
      </c>
      <c r="I177" t="s">
        <v>1647</v>
      </c>
      <c r="J177" t="s">
        <v>1212</v>
      </c>
      <c r="K177" t="s">
        <v>1800</v>
      </c>
      <c r="L177" t="s">
        <v>1801</v>
      </c>
      <c r="N177" t="s">
        <v>154</v>
      </c>
      <c r="O177">
        <v>1</v>
      </c>
      <c r="P177">
        <v>5.9679000000000002</v>
      </c>
      <c r="Q177">
        <v>200</v>
      </c>
      <c r="R177">
        <v>5.9679000000000002</v>
      </c>
      <c r="S177">
        <v>200</v>
      </c>
      <c r="T177">
        <v>1193.58</v>
      </c>
    </row>
    <row r="178" spans="1:20" x14ac:dyDescent="0.35">
      <c r="A178" t="s">
        <v>1641</v>
      </c>
      <c r="B178">
        <v>559</v>
      </c>
      <c r="D178">
        <v>45775</v>
      </c>
      <c r="F178" t="s">
        <v>142</v>
      </c>
      <c r="G178" t="s">
        <v>1217</v>
      </c>
      <c r="H178" t="s">
        <v>1218</v>
      </c>
      <c r="I178" t="s">
        <v>1651</v>
      </c>
      <c r="J178" t="s">
        <v>1217</v>
      </c>
      <c r="K178" t="s">
        <v>1802</v>
      </c>
      <c r="M178" t="s">
        <v>151</v>
      </c>
      <c r="N178" t="s">
        <v>154</v>
      </c>
      <c r="O178">
        <v>1</v>
      </c>
      <c r="P178">
        <v>118.9426</v>
      </c>
      <c r="Q178">
        <v>10</v>
      </c>
      <c r="R178">
        <v>118.9426</v>
      </c>
      <c r="S178">
        <v>10</v>
      </c>
      <c r="T178">
        <v>1189.4259999999999</v>
      </c>
    </row>
    <row r="179" spans="1:20" x14ac:dyDescent="0.35">
      <c r="A179" t="s">
        <v>1641</v>
      </c>
      <c r="B179">
        <v>103</v>
      </c>
      <c r="D179">
        <v>45915</v>
      </c>
      <c r="F179" t="s">
        <v>142</v>
      </c>
      <c r="G179" t="s">
        <v>1228</v>
      </c>
      <c r="H179" t="s">
        <v>1229</v>
      </c>
      <c r="I179" t="s">
        <v>1671</v>
      </c>
      <c r="J179" t="s">
        <v>1228</v>
      </c>
      <c r="K179" t="s">
        <v>1803</v>
      </c>
      <c r="M179" t="s">
        <v>151</v>
      </c>
      <c r="N179" t="s">
        <v>1666</v>
      </c>
      <c r="O179">
        <v>1</v>
      </c>
      <c r="P179">
        <v>9.6045999999999996</v>
      </c>
      <c r="Q179">
        <v>120</v>
      </c>
      <c r="R179">
        <v>9.6045999999999996</v>
      </c>
      <c r="S179">
        <v>120</v>
      </c>
      <c r="T179">
        <v>1152.5519999999999</v>
      </c>
    </row>
    <row r="180" spans="1:20" x14ac:dyDescent="0.35">
      <c r="A180" t="s">
        <v>1641</v>
      </c>
      <c r="B180">
        <v>121</v>
      </c>
      <c r="D180">
        <v>45903</v>
      </c>
      <c r="F180" t="s">
        <v>142</v>
      </c>
      <c r="G180" t="s">
        <v>1221</v>
      </c>
      <c r="H180" t="s">
        <v>1222</v>
      </c>
      <c r="I180" t="s">
        <v>1642</v>
      </c>
      <c r="J180" t="s">
        <v>1221</v>
      </c>
      <c r="K180" t="s">
        <v>1804</v>
      </c>
      <c r="M180" t="s">
        <v>151</v>
      </c>
      <c r="N180" t="s">
        <v>154</v>
      </c>
      <c r="O180">
        <v>1</v>
      </c>
      <c r="P180">
        <v>41.237400000000001</v>
      </c>
      <c r="Q180">
        <v>28</v>
      </c>
      <c r="R180">
        <v>41.237400000000001</v>
      </c>
      <c r="S180">
        <v>28</v>
      </c>
      <c r="T180">
        <v>1154.6472000000001</v>
      </c>
    </row>
    <row r="181" spans="1:20" x14ac:dyDescent="0.35">
      <c r="A181" t="s">
        <v>1641</v>
      </c>
      <c r="B181">
        <v>405</v>
      </c>
      <c r="D181">
        <v>45926</v>
      </c>
      <c r="F181" t="s">
        <v>142</v>
      </c>
      <c r="G181" t="s">
        <v>1233</v>
      </c>
      <c r="H181" t="s">
        <v>1234</v>
      </c>
      <c r="I181" t="s">
        <v>1678</v>
      </c>
      <c r="J181" t="s">
        <v>1233</v>
      </c>
      <c r="K181" t="s">
        <v>1805</v>
      </c>
      <c r="M181" t="s">
        <v>151</v>
      </c>
      <c r="N181" t="s">
        <v>213</v>
      </c>
      <c r="O181">
        <v>1</v>
      </c>
      <c r="P181">
        <v>11.8627</v>
      </c>
      <c r="Q181">
        <v>96</v>
      </c>
      <c r="R181">
        <v>11.8627</v>
      </c>
      <c r="S181">
        <v>96</v>
      </c>
      <c r="T181">
        <v>1138.8191999999999</v>
      </c>
    </row>
    <row r="182" spans="1:20" x14ac:dyDescent="0.35">
      <c r="A182" t="s">
        <v>1641</v>
      </c>
      <c r="B182">
        <v>342</v>
      </c>
      <c r="D182">
        <v>45929</v>
      </c>
      <c r="F182" t="s">
        <v>142</v>
      </c>
      <c r="G182" t="s">
        <v>1240</v>
      </c>
      <c r="H182" t="s">
        <v>1241</v>
      </c>
      <c r="I182" t="s">
        <v>1806</v>
      </c>
      <c r="J182" t="s">
        <v>1240</v>
      </c>
      <c r="K182" t="s">
        <v>1807</v>
      </c>
      <c r="M182" t="s">
        <v>151</v>
      </c>
      <c r="N182" t="s">
        <v>154</v>
      </c>
      <c r="O182">
        <v>1</v>
      </c>
      <c r="P182">
        <v>1.8344</v>
      </c>
      <c r="Q182">
        <v>618</v>
      </c>
      <c r="R182">
        <v>1.8344</v>
      </c>
      <c r="S182">
        <v>618</v>
      </c>
      <c r="T182">
        <v>1133.6592000000001</v>
      </c>
    </row>
    <row r="183" spans="1:20" x14ac:dyDescent="0.35">
      <c r="A183" t="s">
        <v>1641</v>
      </c>
      <c r="B183">
        <v>407</v>
      </c>
      <c r="D183">
        <v>45919</v>
      </c>
      <c r="F183" t="s">
        <v>142</v>
      </c>
      <c r="G183" t="s">
        <v>1247</v>
      </c>
      <c r="H183" t="s">
        <v>1248</v>
      </c>
      <c r="I183" t="s">
        <v>1678</v>
      </c>
      <c r="J183" t="s">
        <v>1247</v>
      </c>
      <c r="K183" t="s">
        <v>1808</v>
      </c>
      <c r="M183" t="s">
        <v>151</v>
      </c>
      <c r="N183" t="s">
        <v>213</v>
      </c>
      <c r="O183">
        <v>1</v>
      </c>
      <c r="P183">
        <v>2.8353000000000002</v>
      </c>
      <c r="Q183">
        <v>396</v>
      </c>
      <c r="R183">
        <v>2.8353000000000002</v>
      </c>
      <c r="S183">
        <v>396</v>
      </c>
      <c r="T183">
        <v>1122.7788</v>
      </c>
    </row>
    <row r="184" spans="1:20" x14ac:dyDescent="0.35">
      <c r="A184" t="s">
        <v>1641</v>
      </c>
      <c r="B184">
        <v>288</v>
      </c>
      <c r="D184">
        <v>45880</v>
      </c>
      <c r="F184" t="s">
        <v>142</v>
      </c>
      <c r="G184" t="s">
        <v>1254</v>
      </c>
      <c r="H184" t="s">
        <v>1255</v>
      </c>
      <c r="I184" t="s">
        <v>1645</v>
      </c>
      <c r="J184" t="s">
        <v>1254</v>
      </c>
      <c r="K184" t="s">
        <v>1809</v>
      </c>
      <c r="M184" t="s">
        <v>151</v>
      </c>
      <c r="N184" t="s">
        <v>154</v>
      </c>
      <c r="O184">
        <v>1</v>
      </c>
      <c r="P184">
        <v>372.48340000000002</v>
      </c>
      <c r="Q184">
        <v>3</v>
      </c>
      <c r="R184">
        <v>372.48340000000002</v>
      </c>
      <c r="S184">
        <v>3</v>
      </c>
      <c r="T184">
        <v>1117.4502</v>
      </c>
    </row>
    <row r="185" spans="1:20" x14ac:dyDescent="0.35">
      <c r="A185" t="s">
        <v>1641</v>
      </c>
      <c r="B185">
        <v>466</v>
      </c>
      <c r="D185">
        <v>45919</v>
      </c>
      <c r="F185" t="s">
        <v>142</v>
      </c>
      <c r="G185" t="s">
        <v>1259</v>
      </c>
      <c r="H185" t="s">
        <v>1260</v>
      </c>
      <c r="I185" t="s">
        <v>1653</v>
      </c>
      <c r="J185" t="s">
        <v>1259</v>
      </c>
      <c r="K185" t="s">
        <v>1810</v>
      </c>
      <c r="M185" t="s">
        <v>151</v>
      </c>
      <c r="N185" t="s">
        <v>213</v>
      </c>
      <c r="O185">
        <v>1</v>
      </c>
      <c r="P185">
        <v>12.101800000000001</v>
      </c>
      <c r="Q185">
        <v>92</v>
      </c>
      <c r="R185">
        <v>12.101800000000001</v>
      </c>
      <c r="S185">
        <v>92</v>
      </c>
      <c r="T185">
        <v>1113.3656000000001</v>
      </c>
    </row>
    <row r="186" spans="1:20" x14ac:dyDescent="0.35">
      <c r="A186" t="s">
        <v>1641</v>
      </c>
      <c r="B186">
        <v>29</v>
      </c>
      <c r="D186">
        <v>45922</v>
      </c>
      <c r="F186" t="s">
        <v>142</v>
      </c>
      <c r="G186" t="s">
        <v>1266</v>
      </c>
      <c r="H186" t="s">
        <v>1267</v>
      </c>
      <c r="I186" t="s">
        <v>1647</v>
      </c>
      <c r="J186" t="s">
        <v>1266</v>
      </c>
      <c r="K186" t="s">
        <v>1811</v>
      </c>
      <c r="M186" t="s">
        <v>151</v>
      </c>
      <c r="N186" t="s">
        <v>154</v>
      </c>
      <c r="O186">
        <v>1</v>
      </c>
      <c r="P186">
        <v>137.76650000000001</v>
      </c>
      <c r="Q186">
        <v>8</v>
      </c>
      <c r="R186">
        <v>137.76650000000001</v>
      </c>
      <c r="S186">
        <v>8</v>
      </c>
      <c r="T186">
        <v>1102.1320000000001</v>
      </c>
    </row>
    <row r="187" spans="1:20" x14ac:dyDescent="0.35">
      <c r="A187" t="s">
        <v>1641</v>
      </c>
      <c r="B187">
        <v>107</v>
      </c>
      <c r="D187">
        <v>45924</v>
      </c>
      <c r="F187" t="s">
        <v>142</v>
      </c>
      <c r="G187" t="s">
        <v>1272</v>
      </c>
      <c r="H187" t="s">
        <v>1273</v>
      </c>
      <c r="I187" t="s">
        <v>1655</v>
      </c>
      <c r="J187" t="s">
        <v>1272</v>
      </c>
      <c r="K187" t="s">
        <v>1812</v>
      </c>
      <c r="M187" t="s">
        <v>151</v>
      </c>
      <c r="N187" t="s">
        <v>154</v>
      </c>
      <c r="O187">
        <v>1</v>
      </c>
      <c r="P187">
        <v>91.62</v>
      </c>
      <c r="Q187">
        <v>12</v>
      </c>
      <c r="R187">
        <v>91.62</v>
      </c>
      <c r="S187">
        <v>12</v>
      </c>
      <c r="T187">
        <v>1099.44</v>
      </c>
    </row>
    <row r="188" spans="1:20" x14ac:dyDescent="0.35">
      <c r="A188" t="s">
        <v>1641</v>
      </c>
      <c r="B188">
        <v>324</v>
      </c>
      <c r="D188">
        <v>45884</v>
      </c>
      <c r="F188" t="s">
        <v>142</v>
      </c>
      <c r="G188" t="s">
        <v>1276</v>
      </c>
      <c r="H188" t="s">
        <v>1277</v>
      </c>
      <c r="I188" t="s">
        <v>1645</v>
      </c>
      <c r="J188" t="s">
        <v>1276</v>
      </c>
      <c r="K188" t="s">
        <v>1813</v>
      </c>
      <c r="M188" t="s">
        <v>151</v>
      </c>
      <c r="N188" t="s">
        <v>154</v>
      </c>
      <c r="O188">
        <v>1</v>
      </c>
      <c r="P188">
        <v>45.532499999999999</v>
      </c>
      <c r="Q188">
        <v>24</v>
      </c>
      <c r="R188">
        <v>45.532499999999999</v>
      </c>
      <c r="S188">
        <v>24</v>
      </c>
      <c r="T188">
        <v>1092.78</v>
      </c>
    </row>
    <row r="189" spans="1:20" x14ac:dyDescent="0.35">
      <c r="A189" t="s">
        <v>1641</v>
      </c>
      <c r="B189">
        <v>414</v>
      </c>
      <c r="D189">
        <v>45910</v>
      </c>
      <c r="F189" t="s">
        <v>142</v>
      </c>
      <c r="G189" t="s">
        <v>1281</v>
      </c>
      <c r="H189" t="s">
        <v>1282</v>
      </c>
      <c r="I189" t="s">
        <v>1678</v>
      </c>
      <c r="J189" t="s">
        <v>1281</v>
      </c>
      <c r="K189" t="s">
        <v>1814</v>
      </c>
      <c r="M189" t="s">
        <v>151</v>
      </c>
      <c r="N189" t="s">
        <v>213</v>
      </c>
      <c r="O189">
        <v>1</v>
      </c>
      <c r="P189">
        <v>4.9808000000000003</v>
      </c>
      <c r="Q189">
        <v>216</v>
      </c>
      <c r="R189">
        <v>4.9808000000000003</v>
      </c>
      <c r="S189">
        <v>216</v>
      </c>
      <c r="T189">
        <v>1075.8528000000001</v>
      </c>
    </row>
    <row r="190" spans="1:20" x14ac:dyDescent="0.35">
      <c r="A190" t="s">
        <v>1641</v>
      </c>
      <c r="B190">
        <v>416</v>
      </c>
      <c r="D190">
        <v>45910</v>
      </c>
      <c r="F190" t="s">
        <v>142</v>
      </c>
      <c r="G190" t="s">
        <v>1293</v>
      </c>
      <c r="H190" t="s">
        <v>1294</v>
      </c>
      <c r="I190" t="s">
        <v>1678</v>
      </c>
      <c r="J190" t="s">
        <v>1293</v>
      </c>
      <c r="K190" t="s">
        <v>1815</v>
      </c>
      <c r="M190" t="s">
        <v>151</v>
      </c>
      <c r="N190" t="s">
        <v>213</v>
      </c>
      <c r="O190">
        <v>1</v>
      </c>
      <c r="P190">
        <v>4.9534000000000002</v>
      </c>
      <c r="Q190">
        <v>216</v>
      </c>
      <c r="R190">
        <v>4.9534000000000002</v>
      </c>
      <c r="S190">
        <v>216</v>
      </c>
      <c r="T190">
        <v>1069.9344000000001</v>
      </c>
    </row>
    <row r="191" spans="1:20" x14ac:dyDescent="0.35">
      <c r="A191" t="s">
        <v>1641</v>
      </c>
      <c r="B191">
        <v>284</v>
      </c>
      <c r="D191">
        <v>45926</v>
      </c>
      <c r="F191" t="s">
        <v>142</v>
      </c>
      <c r="G191" t="s">
        <v>1287</v>
      </c>
      <c r="H191" t="s">
        <v>1288</v>
      </c>
      <c r="I191" t="s">
        <v>1659</v>
      </c>
      <c r="J191" t="s">
        <v>1287</v>
      </c>
      <c r="K191" t="s">
        <v>151</v>
      </c>
      <c r="M191" t="s">
        <v>151</v>
      </c>
      <c r="N191" t="s">
        <v>154</v>
      </c>
      <c r="O191">
        <v>1</v>
      </c>
      <c r="P191">
        <v>24.383199999999999</v>
      </c>
      <c r="Q191">
        <v>44</v>
      </c>
      <c r="R191">
        <v>24.383199999999999</v>
      </c>
      <c r="S191">
        <v>44</v>
      </c>
      <c r="T191">
        <v>1072.8607999999999</v>
      </c>
    </row>
    <row r="192" spans="1:20" x14ac:dyDescent="0.35">
      <c r="A192" t="s">
        <v>1641</v>
      </c>
      <c r="B192">
        <v>317</v>
      </c>
      <c r="D192">
        <v>45723</v>
      </c>
      <c r="F192" t="s">
        <v>142</v>
      </c>
      <c r="G192" t="s">
        <v>1299</v>
      </c>
      <c r="H192" t="s">
        <v>1300</v>
      </c>
      <c r="I192" t="s">
        <v>1645</v>
      </c>
      <c r="J192" t="s">
        <v>1299</v>
      </c>
      <c r="K192" t="s">
        <v>1744</v>
      </c>
      <c r="M192" t="s">
        <v>151</v>
      </c>
      <c r="N192" t="s">
        <v>154</v>
      </c>
      <c r="O192">
        <v>1</v>
      </c>
      <c r="P192">
        <v>96.157600000000002</v>
      </c>
      <c r="Q192">
        <v>11</v>
      </c>
      <c r="R192">
        <v>96.157600000000002</v>
      </c>
      <c r="S192">
        <v>11</v>
      </c>
      <c r="T192">
        <v>1057.7336</v>
      </c>
    </row>
    <row r="193" spans="1:20" x14ac:dyDescent="0.35">
      <c r="A193" t="s">
        <v>1641</v>
      </c>
      <c r="B193">
        <v>47</v>
      </c>
      <c r="D193">
        <v>45880</v>
      </c>
      <c r="F193" t="s">
        <v>142</v>
      </c>
      <c r="G193" t="s">
        <v>1304</v>
      </c>
      <c r="H193" t="s">
        <v>1305</v>
      </c>
      <c r="I193" t="s">
        <v>1647</v>
      </c>
      <c r="J193" t="s">
        <v>1304</v>
      </c>
      <c r="K193" t="s">
        <v>1816</v>
      </c>
      <c r="M193" t="s">
        <v>151</v>
      </c>
      <c r="N193" t="s">
        <v>154</v>
      </c>
      <c r="O193">
        <v>1</v>
      </c>
      <c r="P193">
        <v>26.229299999999999</v>
      </c>
      <c r="Q193">
        <v>40</v>
      </c>
      <c r="R193">
        <v>26.229299999999999</v>
      </c>
      <c r="S193">
        <v>40</v>
      </c>
      <c r="T193">
        <v>1049.172</v>
      </c>
    </row>
    <row r="194" spans="1:20" x14ac:dyDescent="0.35">
      <c r="A194" t="s">
        <v>1641</v>
      </c>
      <c r="B194">
        <v>567</v>
      </c>
      <c r="D194">
        <v>45889</v>
      </c>
      <c r="F194" t="s">
        <v>142</v>
      </c>
      <c r="G194" t="s">
        <v>1310</v>
      </c>
      <c r="H194" t="s">
        <v>1311</v>
      </c>
      <c r="I194" t="s">
        <v>1817</v>
      </c>
      <c r="J194" t="s">
        <v>1310</v>
      </c>
      <c r="K194" t="s">
        <v>151</v>
      </c>
      <c r="M194" t="s">
        <v>151</v>
      </c>
      <c r="N194" t="s">
        <v>154</v>
      </c>
      <c r="O194">
        <v>1</v>
      </c>
      <c r="P194">
        <v>12.1136</v>
      </c>
      <c r="Q194">
        <v>86</v>
      </c>
      <c r="R194">
        <v>12.1136</v>
      </c>
      <c r="S194">
        <v>86</v>
      </c>
      <c r="T194">
        <v>1041.7696000000001</v>
      </c>
    </row>
    <row r="195" spans="1:20" x14ac:dyDescent="0.35">
      <c r="A195" t="s">
        <v>1641</v>
      </c>
      <c r="B195">
        <v>234</v>
      </c>
      <c r="D195">
        <v>45915</v>
      </c>
      <c r="F195" t="s">
        <v>142</v>
      </c>
      <c r="G195" t="s">
        <v>1320</v>
      </c>
      <c r="H195" t="s">
        <v>1321</v>
      </c>
      <c r="I195" t="s">
        <v>1818</v>
      </c>
      <c r="J195" t="s">
        <v>1320</v>
      </c>
      <c r="K195" t="s">
        <v>1819</v>
      </c>
      <c r="M195" t="s">
        <v>151</v>
      </c>
      <c r="N195" t="s">
        <v>154</v>
      </c>
      <c r="O195">
        <v>1</v>
      </c>
      <c r="P195">
        <v>4.9142000000000001</v>
      </c>
      <c r="Q195">
        <v>210</v>
      </c>
      <c r="R195">
        <v>4.9142000000000001</v>
      </c>
      <c r="S195">
        <v>210</v>
      </c>
      <c r="T195">
        <v>1031.982</v>
      </c>
    </row>
    <row r="196" spans="1:20" x14ac:dyDescent="0.35">
      <c r="A196" t="s">
        <v>1641</v>
      </c>
      <c r="B196">
        <v>478</v>
      </c>
      <c r="D196">
        <v>45929</v>
      </c>
      <c r="F196" t="s">
        <v>142</v>
      </c>
      <c r="G196" t="s">
        <v>1314</v>
      </c>
      <c r="H196" t="s">
        <v>1315</v>
      </c>
      <c r="I196" t="s">
        <v>1696</v>
      </c>
      <c r="J196" t="s">
        <v>1314</v>
      </c>
      <c r="K196" t="s">
        <v>1820</v>
      </c>
      <c r="M196" t="s">
        <v>151</v>
      </c>
      <c r="N196" t="s">
        <v>213</v>
      </c>
      <c r="O196">
        <v>1</v>
      </c>
      <c r="P196">
        <v>12.3042</v>
      </c>
      <c r="Q196">
        <v>84</v>
      </c>
      <c r="R196">
        <v>12.3042</v>
      </c>
      <c r="S196">
        <v>84</v>
      </c>
      <c r="T196">
        <v>1033.5527999999999</v>
      </c>
    </row>
    <row r="197" spans="1:20" x14ac:dyDescent="0.35">
      <c r="A197" t="s">
        <v>1641</v>
      </c>
      <c r="B197">
        <v>91</v>
      </c>
      <c r="D197">
        <v>45919</v>
      </c>
      <c r="F197" t="s">
        <v>142</v>
      </c>
      <c r="G197" t="s">
        <v>1326</v>
      </c>
      <c r="H197" t="s">
        <v>1327</v>
      </c>
      <c r="I197" t="s">
        <v>677</v>
      </c>
      <c r="J197" t="s">
        <v>1326</v>
      </c>
      <c r="K197" t="s">
        <v>1821</v>
      </c>
      <c r="M197" t="s">
        <v>151</v>
      </c>
      <c r="N197" t="s">
        <v>213</v>
      </c>
      <c r="O197">
        <v>1</v>
      </c>
      <c r="P197">
        <v>8.1805000000000003</v>
      </c>
      <c r="Q197">
        <v>126</v>
      </c>
      <c r="R197">
        <v>8.1805000000000003</v>
      </c>
      <c r="S197">
        <v>126</v>
      </c>
      <c r="T197">
        <v>1030.7429999999999</v>
      </c>
    </row>
    <row r="198" spans="1:20" x14ac:dyDescent="0.35">
      <c r="A198" t="s">
        <v>1641</v>
      </c>
      <c r="B198">
        <v>408</v>
      </c>
      <c r="D198">
        <v>45797</v>
      </c>
      <c r="F198" t="s">
        <v>142</v>
      </c>
      <c r="G198" t="s">
        <v>1338</v>
      </c>
      <c r="H198" t="s">
        <v>1339</v>
      </c>
      <c r="I198" t="s">
        <v>1678</v>
      </c>
      <c r="J198" t="s">
        <v>1338</v>
      </c>
      <c r="K198" t="s">
        <v>1822</v>
      </c>
      <c r="M198" t="s">
        <v>151</v>
      </c>
      <c r="N198" t="s">
        <v>213</v>
      </c>
      <c r="O198">
        <v>1</v>
      </c>
      <c r="P198">
        <v>6.9978999999999996</v>
      </c>
      <c r="Q198">
        <v>144</v>
      </c>
      <c r="R198">
        <v>6.9978999999999996</v>
      </c>
      <c r="S198">
        <v>144</v>
      </c>
      <c r="T198">
        <v>1007.6976</v>
      </c>
    </row>
    <row r="199" spans="1:20" x14ac:dyDescent="0.35">
      <c r="A199" t="s">
        <v>1641</v>
      </c>
      <c r="B199">
        <v>186</v>
      </c>
      <c r="D199">
        <v>45922</v>
      </c>
      <c r="F199" t="s">
        <v>142</v>
      </c>
      <c r="G199" t="s">
        <v>1332</v>
      </c>
      <c r="H199" t="s">
        <v>1333</v>
      </c>
      <c r="I199" t="s">
        <v>1655</v>
      </c>
      <c r="J199" t="s">
        <v>1332</v>
      </c>
      <c r="K199" t="s">
        <v>1792</v>
      </c>
      <c r="M199" t="s">
        <v>151</v>
      </c>
      <c r="N199" t="s">
        <v>1666</v>
      </c>
      <c r="O199">
        <v>1</v>
      </c>
      <c r="P199">
        <v>21.950099999999999</v>
      </c>
      <c r="Q199">
        <v>46</v>
      </c>
      <c r="R199">
        <v>21.950099999999999</v>
      </c>
      <c r="S199">
        <v>46</v>
      </c>
      <c r="T199">
        <v>1009.7045999999999</v>
      </c>
    </row>
    <row r="200" spans="1:20" x14ac:dyDescent="0.35">
      <c r="A200" t="s">
        <v>1641</v>
      </c>
      <c r="B200">
        <v>575</v>
      </c>
      <c r="D200">
        <v>45926</v>
      </c>
      <c r="F200" t="s">
        <v>142</v>
      </c>
      <c r="G200" t="s">
        <v>1344</v>
      </c>
      <c r="H200" t="s">
        <v>1345</v>
      </c>
      <c r="I200" t="s">
        <v>1823</v>
      </c>
      <c r="J200" t="s">
        <v>1344</v>
      </c>
      <c r="K200" t="s">
        <v>1824</v>
      </c>
      <c r="M200" t="s">
        <v>151</v>
      </c>
      <c r="N200" t="s">
        <v>213</v>
      </c>
      <c r="O200">
        <v>1</v>
      </c>
      <c r="P200">
        <v>13.840400000000001</v>
      </c>
      <c r="Q200">
        <v>72</v>
      </c>
      <c r="R200">
        <v>13.840400000000001</v>
      </c>
      <c r="S200">
        <v>72</v>
      </c>
      <c r="T200">
        <v>996.50880000000006</v>
      </c>
    </row>
    <row r="201" spans="1:20" x14ac:dyDescent="0.35">
      <c r="A201" t="s">
        <v>1641</v>
      </c>
      <c r="B201">
        <v>404</v>
      </c>
      <c r="D201">
        <v>45917</v>
      </c>
      <c r="F201" t="s">
        <v>142</v>
      </c>
      <c r="G201" t="s">
        <v>1351</v>
      </c>
      <c r="H201" t="s">
        <v>1352</v>
      </c>
      <c r="I201" t="s">
        <v>1678</v>
      </c>
      <c r="J201" t="s">
        <v>1351</v>
      </c>
      <c r="K201" t="s">
        <v>1825</v>
      </c>
      <c r="M201" t="s">
        <v>151</v>
      </c>
      <c r="N201" t="s">
        <v>213</v>
      </c>
      <c r="O201">
        <v>1</v>
      </c>
      <c r="P201">
        <v>11.837199999999999</v>
      </c>
      <c r="Q201">
        <v>84</v>
      </c>
      <c r="R201">
        <v>11.837199999999999</v>
      </c>
      <c r="S201">
        <v>84</v>
      </c>
      <c r="T201">
        <v>994.32479999999998</v>
      </c>
    </row>
    <row r="202" spans="1:20" x14ac:dyDescent="0.35">
      <c r="A202" t="s">
        <v>1641</v>
      </c>
      <c r="B202">
        <v>588</v>
      </c>
      <c r="D202">
        <v>45923</v>
      </c>
      <c r="F202" t="s">
        <v>142</v>
      </c>
      <c r="G202" t="s">
        <v>1357</v>
      </c>
      <c r="H202" t="s">
        <v>1358</v>
      </c>
      <c r="I202" t="s">
        <v>1823</v>
      </c>
      <c r="J202" t="s">
        <v>1357</v>
      </c>
      <c r="K202" t="s">
        <v>1826</v>
      </c>
      <c r="M202" t="s">
        <v>151</v>
      </c>
      <c r="N202" t="s">
        <v>213</v>
      </c>
      <c r="O202">
        <v>1</v>
      </c>
      <c r="P202">
        <v>6.7670000000000003</v>
      </c>
      <c r="Q202">
        <v>145</v>
      </c>
      <c r="R202">
        <v>6.7670000000000003</v>
      </c>
      <c r="S202">
        <v>145</v>
      </c>
      <c r="T202">
        <v>981.21500000000003</v>
      </c>
    </row>
    <row r="203" spans="1:20" x14ac:dyDescent="0.35">
      <c r="A203" t="s">
        <v>1641</v>
      </c>
      <c r="B203">
        <v>430</v>
      </c>
      <c r="D203">
        <v>45909</v>
      </c>
      <c r="F203" t="s">
        <v>142</v>
      </c>
      <c r="G203" t="s">
        <v>1200</v>
      </c>
      <c r="H203" t="s">
        <v>1201</v>
      </c>
      <c r="I203" t="s">
        <v>1653</v>
      </c>
      <c r="J203" t="s">
        <v>1200</v>
      </c>
      <c r="K203" t="s">
        <v>1798</v>
      </c>
      <c r="M203" t="s">
        <v>151</v>
      </c>
      <c r="N203" t="s">
        <v>1650</v>
      </c>
      <c r="O203">
        <v>1</v>
      </c>
      <c r="P203">
        <v>49.039700000000003</v>
      </c>
      <c r="Q203">
        <v>20</v>
      </c>
      <c r="R203">
        <v>49.039700000000003</v>
      </c>
      <c r="S203">
        <v>20</v>
      </c>
      <c r="T203">
        <v>980.7940000000001</v>
      </c>
    </row>
    <row r="204" spans="1:20" x14ac:dyDescent="0.35">
      <c r="A204" t="s">
        <v>1641</v>
      </c>
      <c r="B204">
        <v>140</v>
      </c>
      <c r="D204">
        <v>45898</v>
      </c>
      <c r="F204" t="s">
        <v>142</v>
      </c>
      <c r="G204" t="s">
        <v>1366</v>
      </c>
      <c r="H204" t="s">
        <v>1367</v>
      </c>
      <c r="I204" t="s">
        <v>1647</v>
      </c>
      <c r="J204" t="s">
        <v>1366</v>
      </c>
      <c r="K204" t="s">
        <v>151</v>
      </c>
      <c r="M204" t="s">
        <v>151</v>
      </c>
      <c r="N204" t="s">
        <v>154</v>
      </c>
      <c r="O204">
        <v>1</v>
      </c>
      <c r="P204">
        <v>484.34550000000002</v>
      </c>
      <c r="Q204">
        <v>2</v>
      </c>
      <c r="R204">
        <v>484.34550000000002</v>
      </c>
      <c r="S204">
        <v>2</v>
      </c>
      <c r="T204">
        <v>968.69100000000003</v>
      </c>
    </row>
    <row r="205" spans="1:20" x14ac:dyDescent="0.35">
      <c r="A205" t="s">
        <v>1641</v>
      </c>
      <c r="B205">
        <v>338</v>
      </c>
      <c r="D205">
        <v>45882</v>
      </c>
      <c r="F205" t="s">
        <v>142</v>
      </c>
      <c r="G205" t="s">
        <v>1370</v>
      </c>
      <c r="H205" t="s">
        <v>1371</v>
      </c>
      <c r="I205" t="s">
        <v>1645</v>
      </c>
      <c r="J205" t="s">
        <v>1370</v>
      </c>
      <c r="K205" t="s">
        <v>1827</v>
      </c>
      <c r="M205" t="s">
        <v>151</v>
      </c>
      <c r="N205" t="s">
        <v>154</v>
      </c>
      <c r="O205">
        <v>1</v>
      </c>
      <c r="P205">
        <v>86.794399999999996</v>
      </c>
      <c r="Q205">
        <v>11</v>
      </c>
      <c r="R205">
        <v>86.794399999999996</v>
      </c>
      <c r="S205">
        <v>11</v>
      </c>
      <c r="T205">
        <v>954.73839999999996</v>
      </c>
    </row>
    <row r="206" spans="1:20" x14ac:dyDescent="0.35">
      <c r="A206" t="s">
        <v>1641</v>
      </c>
      <c r="B206">
        <v>166</v>
      </c>
      <c r="D206">
        <v>45890</v>
      </c>
      <c r="F206" t="s">
        <v>142</v>
      </c>
      <c r="G206" t="s">
        <v>1374</v>
      </c>
      <c r="H206" t="s">
        <v>1375</v>
      </c>
      <c r="I206" t="s">
        <v>1828</v>
      </c>
      <c r="J206" t="s">
        <v>1374</v>
      </c>
      <c r="K206" t="s">
        <v>151</v>
      </c>
      <c r="M206" t="s">
        <v>151</v>
      </c>
      <c r="N206" t="s">
        <v>154</v>
      </c>
      <c r="O206">
        <v>1</v>
      </c>
      <c r="P206">
        <v>476.43060000000003</v>
      </c>
      <c r="Q206">
        <v>2</v>
      </c>
      <c r="R206">
        <v>476.43060000000003</v>
      </c>
      <c r="S206">
        <v>2</v>
      </c>
      <c r="T206">
        <v>952.86120000000005</v>
      </c>
    </row>
    <row r="207" spans="1:20" x14ac:dyDescent="0.35">
      <c r="A207" t="s">
        <v>1641</v>
      </c>
      <c r="B207">
        <v>518</v>
      </c>
      <c r="D207">
        <v>45929</v>
      </c>
      <c r="F207" t="s">
        <v>142</v>
      </c>
      <c r="G207" t="s">
        <v>1391</v>
      </c>
      <c r="H207" t="s">
        <v>1392</v>
      </c>
      <c r="I207" t="s">
        <v>164</v>
      </c>
      <c r="J207" t="s">
        <v>1391</v>
      </c>
      <c r="K207" t="s">
        <v>151</v>
      </c>
      <c r="M207" t="s">
        <v>151</v>
      </c>
      <c r="N207" t="s">
        <v>154</v>
      </c>
      <c r="O207">
        <v>1</v>
      </c>
      <c r="P207">
        <v>47.171500000000002</v>
      </c>
      <c r="Q207">
        <v>20</v>
      </c>
      <c r="R207">
        <v>47.171500000000002</v>
      </c>
      <c r="S207">
        <v>20</v>
      </c>
      <c r="T207">
        <v>943.43000000000006</v>
      </c>
    </row>
    <row r="208" spans="1:20" x14ac:dyDescent="0.35">
      <c r="A208" t="s">
        <v>1641</v>
      </c>
      <c r="B208">
        <v>245</v>
      </c>
      <c r="D208">
        <v>45923</v>
      </c>
      <c r="F208" t="s">
        <v>142</v>
      </c>
      <c r="G208" t="s">
        <v>1378</v>
      </c>
      <c r="H208" t="s">
        <v>1379</v>
      </c>
      <c r="I208" t="s">
        <v>560</v>
      </c>
      <c r="J208" t="s">
        <v>1378</v>
      </c>
      <c r="K208" t="s">
        <v>1829</v>
      </c>
      <c r="M208" t="s">
        <v>151</v>
      </c>
      <c r="N208" t="s">
        <v>213</v>
      </c>
      <c r="O208">
        <v>1</v>
      </c>
      <c r="P208">
        <v>13.4076</v>
      </c>
      <c r="Q208">
        <v>71</v>
      </c>
      <c r="R208">
        <v>13.4076</v>
      </c>
      <c r="S208">
        <v>71</v>
      </c>
      <c r="T208">
        <v>951.93960000000004</v>
      </c>
    </row>
    <row r="209" spans="1:20" x14ac:dyDescent="0.35">
      <c r="A209" t="s">
        <v>1641</v>
      </c>
      <c r="B209">
        <v>17</v>
      </c>
      <c r="D209">
        <v>45912</v>
      </c>
      <c r="F209" t="s">
        <v>142</v>
      </c>
      <c r="G209" t="s">
        <v>1384</v>
      </c>
      <c r="H209" t="s">
        <v>1385</v>
      </c>
      <c r="I209" t="s">
        <v>1647</v>
      </c>
      <c r="J209" t="s">
        <v>1384</v>
      </c>
      <c r="K209" t="s">
        <v>1830</v>
      </c>
      <c r="L209" t="s">
        <v>1388</v>
      </c>
      <c r="N209" t="s">
        <v>154</v>
      </c>
      <c r="O209">
        <v>1</v>
      </c>
      <c r="P209">
        <v>85.8309</v>
      </c>
      <c r="Q209">
        <v>11</v>
      </c>
      <c r="R209">
        <v>85.8309</v>
      </c>
      <c r="S209">
        <v>11</v>
      </c>
      <c r="T209">
        <v>944.13990000000001</v>
      </c>
    </row>
    <row r="210" spans="1:20" x14ac:dyDescent="0.35">
      <c r="A210" t="s">
        <v>1641</v>
      </c>
      <c r="B210">
        <v>85</v>
      </c>
      <c r="D210">
        <v>45853</v>
      </c>
      <c r="F210" t="s">
        <v>142</v>
      </c>
      <c r="G210" t="s">
        <v>1398</v>
      </c>
      <c r="H210" t="s">
        <v>1399</v>
      </c>
      <c r="I210" t="s">
        <v>677</v>
      </c>
      <c r="J210" t="s">
        <v>1398</v>
      </c>
      <c r="K210" t="s">
        <v>1831</v>
      </c>
      <c r="M210" t="s">
        <v>151</v>
      </c>
      <c r="N210" t="s">
        <v>213</v>
      </c>
      <c r="O210">
        <v>1</v>
      </c>
      <c r="P210">
        <v>7.8064</v>
      </c>
      <c r="Q210">
        <v>120</v>
      </c>
      <c r="R210">
        <v>7.8064</v>
      </c>
      <c r="S210">
        <v>120</v>
      </c>
      <c r="T210">
        <v>936.76800000000003</v>
      </c>
    </row>
    <row r="211" spans="1:20" x14ac:dyDescent="0.35">
      <c r="A211" t="s">
        <v>1641</v>
      </c>
      <c r="B211">
        <v>303</v>
      </c>
      <c r="D211">
        <v>45714</v>
      </c>
      <c r="F211" t="s">
        <v>142</v>
      </c>
      <c r="G211" t="s">
        <v>1404</v>
      </c>
      <c r="H211" t="s">
        <v>1405</v>
      </c>
      <c r="I211" t="s">
        <v>1645</v>
      </c>
      <c r="J211" t="s">
        <v>1404</v>
      </c>
      <c r="K211" t="s">
        <v>151</v>
      </c>
      <c r="M211" t="s">
        <v>151</v>
      </c>
      <c r="N211" t="s">
        <v>154</v>
      </c>
      <c r="O211">
        <v>1</v>
      </c>
      <c r="P211">
        <v>311.85149999999999</v>
      </c>
      <c r="Q211">
        <v>3</v>
      </c>
      <c r="R211">
        <v>311.85149999999999</v>
      </c>
      <c r="S211">
        <v>3</v>
      </c>
      <c r="T211">
        <v>935.55449999999996</v>
      </c>
    </row>
    <row r="212" spans="1:20" x14ac:dyDescent="0.35">
      <c r="A212" t="s">
        <v>1641</v>
      </c>
      <c r="B212">
        <v>614</v>
      </c>
      <c r="D212">
        <v>45923</v>
      </c>
      <c r="F212" t="s">
        <v>142</v>
      </c>
      <c r="G212" t="s">
        <v>1410</v>
      </c>
      <c r="H212" t="s">
        <v>1411</v>
      </c>
      <c r="I212" t="s">
        <v>1675</v>
      </c>
      <c r="J212" t="s">
        <v>1410</v>
      </c>
      <c r="K212" t="s">
        <v>1832</v>
      </c>
      <c r="M212" t="s">
        <v>151</v>
      </c>
      <c r="N212" t="s">
        <v>154</v>
      </c>
      <c r="O212">
        <v>1</v>
      </c>
      <c r="P212">
        <v>27.209399999999999</v>
      </c>
      <c r="Q212">
        <v>32</v>
      </c>
      <c r="R212">
        <v>27.209399999999999</v>
      </c>
      <c r="S212">
        <v>32</v>
      </c>
      <c r="T212">
        <v>870.70079999999996</v>
      </c>
    </row>
    <row r="213" spans="1:20" x14ac:dyDescent="0.35">
      <c r="A213" t="s">
        <v>1641</v>
      </c>
      <c r="B213">
        <v>312</v>
      </c>
      <c r="D213">
        <v>45723</v>
      </c>
      <c r="F213" t="s">
        <v>142</v>
      </c>
      <c r="G213" t="s">
        <v>1417</v>
      </c>
      <c r="H213" t="s">
        <v>1418</v>
      </c>
      <c r="I213" t="s">
        <v>1645</v>
      </c>
      <c r="J213" t="s">
        <v>1417</v>
      </c>
      <c r="K213" t="s">
        <v>1833</v>
      </c>
      <c r="M213" t="s">
        <v>151</v>
      </c>
      <c r="N213" t="s">
        <v>154</v>
      </c>
      <c r="O213">
        <v>1</v>
      </c>
      <c r="P213">
        <v>96.466899999999995</v>
      </c>
      <c r="Q213">
        <v>9</v>
      </c>
      <c r="R213">
        <v>96.466899999999995</v>
      </c>
      <c r="S213">
        <v>9</v>
      </c>
      <c r="T213">
        <v>868.20209999999997</v>
      </c>
    </row>
    <row r="214" spans="1:20" x14ac:dyDescent="0.35">
      <c r="A214" t="s">
        <v>1641</v>
      </c>
      <c r="B214">
        <v>484</v>
      </c>
      <c r="D214">
        <v>45887</v>
      </c>
      <c r="F214" t="s">
        <v>142</v>
      </c>
      <c r="G214" t="s">
        <v>1426</v>
      </c>
      <c r="H214" t="s">
        <v>1427</v>
      </c>
      <c r="I214" t="s">
        <v>1696</v>
      </c>
      <c r="J214" t="s">
        <v>1426</v>
      </c>
      <c r="K214" t="s">
        <v>1834</v>
      </c>
      <c r="M214" t="s">
        <v>151</v>
      </c>
      <c r="N214" t="s">
        <v>213</v>
      </c>
      <c r="O214">
        <v>1</v>
      </c>
      <c r="P214">
        <v>17.734000000000002</v>
      </c>
      <c r="Q214">
        <v>48</v>
      </c>
      <c r="R214">
        <v>17.734000000000002</v>
      </c>
      <c r="S214">
        <v>48</v>
      </c>
      <c r="T214">
        <v>851.23200000000008</v>
      </c>
    </row>
    <row r="215" spans="1:20" x14ac:dyDescent="0.35">
      <c r="A215" t="s">
        <v>1641</v>
      </c>
      <c r="B215">
        <v>197</v>
      </c>
      <c r="D215">
        <v>45929</v>
      </c>
      <c r="F215" t="s">
        <v>142</v>
      </c>
      <c r="G215" t="s">
        <v>1420</v>
      </c>
      <c r="H215" t="s">
        <v>1421</v>
      </c>
      <c r="I215" t="s">
        <v>1655</v>
      </c>
      <c r="J215" t="s">
        <v>1420</v>
      </c>
      <c r="K215" t="s">
        <v>1835</v>
      </c>
      <c r="M215" t="s">
        <v>151</v>
      </c>
      <c r="N215" t="s">
        <v>154</v>
      </c>
      <c r="O215">
        <v>1</v>
      </c>
      <c r="P215">
        <v>9.3773999999999997</v>
      </c>
      <c r="Q215">
        <v>91</v>
      </c>
      <c r="R215">
        <v>9.3773999999999997</v>
      </c>
      <c r="S215">
        <v>91</v>
      </c>
      <c r="T215">
        <v>853.34339999999997</v>
      </c>
    </row>
    <row r="216" spans="1:20" x14ac:dyDescent="0.35">
      <c r="A216" t="s">
        <v>1641</v>
      </c>
      <c r="B216">
        <v>439</v>
      </c>
      <c r="D216">
        <v>45800</v>
      </c>
      <c r="F216" t="s">
        <v>142</v>
      </c>
      <c r="G216" t="s">
        <v>1432</v>
      </c>
      <c r="H216" t="s">
        <v>1433</v>
      </c>
      <c r="I216" t="s">
        <v>1653</v>
      </c>
      <c r="J216" t="s">
        <v>1432</v>
      </c>
      <c r="K216" t="s">
        <v>1836</v>
      </c>
      <c r="M216" t="s">
        <v>151</v>
      </c>
      <c r="N216" t="s">
        <v>154</v>
      </c>
      <c r="O216">
        <v>1</v>
      </c>
      <c r="P216">
        <v>3.7269999999999999</v>
      </c>
      <c r="Q216">
        <v>225</v>
      </c>
      <c r="R216">
        <v>3.7269999999999999</v>
      </c>
      <c r="S216">
        <v>225</v>
      </c>
      <c r="T216">
        <v>838.57499999999993</v>
      </c>
    </row>
    <row r="217" spans="1:20" x14ac:dyDescent="0.35">
      <c r="A217" t="s">
        <v>1641</v>
      </c>
      <c r="B217">
        <v>579</v>
      </c>
      <c r="D217">
        <v>45922</v>
      </c>
      <c r="F217" t="s">
        <v>142</v>
      </c>
      <c r="G217" t="s">
        <v>1438</v>
      </c>
      <c r="H217" t="s">
        <v>1439</v>
      </c>
      <c r="I217" t="s">
        <v>1823</v>
      </c>
      <c r="J217" t="s">
        <v>1438</v>
      </c>
      <c r="K217" t="s">
        <v>1837</v>
      </c>
      <c r="M217" t="s">
        <v>151</v>
      </c>
      <c r="N217" t="s">
        <v>213</v>
      </c>
      <c r="O217">
        <v>1</v>
      </c>
      <c r="P217">
        <v>13.8409</v>
      </c>
      <c r="Q217">
        <v>60</v>
      </c>
      <c r="R217">
        <v>13.8409</v>
      </c>
      <c r="S217">
        <v>60</v>
      </c>
      <c r="T217">
        <v>830.45399999999995</v>
      </c>
    </row>
    <row r="218" spans="1:20" x14ac:dyDescent="0.35">
      <c r="A218" t="s">
        <v>1641</v>
      </c>
      <c r="B218">
        <v>581</v>
      </c>
      <c r="D218">
        <v>45912</v>
      </c>
      <c r="F218" t="s">
        <v>142</v>
      </c>
      <c r="G218" t="s">
        <v>1443</v>
      </c>
      <c r="H218" t="s">
        <v>1444</v>
      </c>
      <c r="I218" t="s">
        <v>1823</v>
      </c>
      <c r="J218" t="s">
        <v>1443</v>
      </c>
      <c r="K218" t="s">
        <v>1838</v>
      </c>
      <c r="M218" t="s">
        <v>151</v>
      </c>
      <c r="N218" t="s">
        <v>213</v>
      </c>
      <c r="O218">
        <v>1</v>
      </c>
      <c r="P218">
        <v>13.7906</v>
      </c>
      <c r="Q218">
        <v>60</v>
      </c>
      <c r="R218">
        <v>13.7906</v>
      </c>
      <c r="S218">
        <v>60</v>
      </c>
      <c r="T218">
        <v>827.43599999999992</v>
      </c>
    </row>
    <row r="219" spans="1:20" x14ac:dyDescent="0.35">
      <c r="A219" t="s">
        <v>1641</v>
      </c>
      <c r="B219">
        <v>401</v>
      </c>
      <c r="D219">
        <v>45860</v>
      </c>
      <c r="F219" t="s">
        <v>142</v>
      </c>
      <c r="G219" t="s">
        <v>1454</v>
      </c>
      <c r="H219" t="s">
        <v>1455</v>
      </c>
      <c r="I219" t="s">
        <v>1678</v>
      </c>
      <c r="J219" t="s">
        <v>1454</v>
      </c>
      <c r="K219" t="s">
        <v>1839</v>
      </c>
      <c r="M219" t="s">
        <v>151</v>
      </c>
      <c r="N219" t="s">
        <v>1650</v>
      </c>
      <c r="O219">
        <v>1</v>
      </c>
      <c r="P219">
        <v>405.96179999999998</v>
      </c>
      <c r="Q219">
        <v>2</v>
      </c>
      <c r="R219">
        <v>405.96179999999998</v>
      </c>
      <c r="S219">
        <v>2</v>
      </c>
      <c r="T219">
        <v>811.92359999999996</v>
      </c>
    </row>
    <row r="220" spans="1:20" x14ac:dyDescent="0.35">
      <c r="A220" t="s">
        <v>1641</v>
      </c>
      <c r="B220">
        <v>335</v>
      </c>
      <c r="D220">
        <v>45875</v>
      </c>
      <c r="F220" t="s">
        <v>142</v>
      </c>
      <c r="G220" t="s">
        <v>1449</v>
      </c>
      <c r="H220" t="s">
        <v>1450</v>
      </c>
      <c r="I220" t="s">
        <v>1645</v>
      </c>
      <c r="J220" t="s">
        <v>1449</v>
      </c>
      <c r="K220" t="s">
        <v>151</v>
      </c>
      <c r="M220" t="s">
        <v>151</v>
      </c>
      <c r="N220" t="s">
        <v>154</v>
      </c>
      <c r="O220">
        <v>1</v>
      </c>
      <c r="P220">
        <v>90.4495</v>
      </c>
      <c r="Q220">
        <v>9</v>
      </c>
      <c r="R220">
        <v>90.4495</v>
      </c>
      <c r="S220">
        <v>9</v>
      </c>
      <c r="T220">
        <v>814.04549999999995</v>
      </c>
    </row>
    <row r="221" spans="1:20" x14ac:dyDescent="0.35">
      <c r="A221" t="s">
        <v>1641</v>
      </c>
      <c r="B221">
        <v>122</v>
      </c>
      <c r="D221">
        <v>45810</v>
      </c>
      <c r="F221" t="s">
        <v>142</v>
      </c>
      <c r="G221" t="s">
        <v>1460</v>
      </c>
      <c r="H221" t="s">
        <v>1461</v>
      </c>
      <c r="I221" t="s">
        <v>1642</v>
      </c>
      <c r="J221" t="s">
        <v>1460</v>
      </c>
      <c r="K221" t="s">
        <v>1840</v>
      </c>
      <c r="M221" t="s">
        <v>151</v>
      </c>
      <c r="N221" t="s">
        <v>154</v>
      </c>
      <c r="O221">
        <v>1</v>
      </c>
      <c r="P221">
        <v>133.3416</v>
      </c>
      <c r="Q221">
        <v>6</v>
      </c>
      <c r="R221">
        <v>133.3416</v>
      </c>
      <c r="S221">
        <v>6</v>
      </c>
      <c r="T221">
        <v>800.04960000000005</v>
      </c>
    </row>
    <row r="222" spans="1:20" x14ac:dyDescent="0.35">
      <c r="A222" t="s">
        <v>1641</v>
      </c>
      <c r="B222">
        <v>44</v>
      </c>
      <c r="D222">
        <v>45902</v>
      </c>
      <c r="F222" t="s">
        <v>142</v>
      </c>
      <c r="G222" t="s">
        <v>1466</v>
      </c>
      <c r="H222" t="s">
        <v>1467</v>
      </c>
      <c r="I222" t="s">
        <v>1647</v>
      </c>
      <c r="J222" t="s">
        <v>1466</v>
      </c>
      <c r="K222" t="s">
        <v>1841</v>
      </c>
      <c r="L222" t="s">
        <v>1470</v>
      </c>
      <c r="N222" t="s">
        <v>154</v>
      </c>
      <c r="O222">
        <v>1</v>
      </c>
      <c r="P222">
        <v>114.2187</v>
      </c>
      <c r="Q222">
        <v>7</v>
      </c>
      <c r="R222">
        <v>114.2187</v>
      </c>
      <c r="S222">
        <v>7</v>
      </c>
      <c r="T222">
        <v>799.53089999999997</v>
      </c>
    </row>
    <row r="223" spans="1:20" x14ac:dyDescent="0.35">
      <c r="A223" t="s">
        <v>1641</v>
      </c>
      <c r="B223">
        <v>594</v>
      </c>
      <c r="D223">
        <v>45929</v>
      </c>
      <c r="F223" t="s">
        <v>142</v>
      </c>
      <c r="G223" t="s">
        <v>1472</v>
      </c>
      <c r="H223" t="s">
        <v>1473</v>
      </c>
      <c r="I223" t="s">
        <v>1239</v>
      </c>
      <c r="J223" t="s">
        <v>1472</v>
      </c>
      <c r="K223" t="s">
        <v>151</v>
      </c>
      <c r="M223" t="s">
        <v>151</v>
      </c>
      <c r="N223" t="s">
        <v>154</v>
      </c>
      <c r="O223">
        <v>1</v>
      </c>
      <c r="P223">
        <v>2.2174</v>
      </c>
      <c r="Q223">
        <v>356</v>
      </c>
      <c r="R223">
        <v>2.2174</v>
      </c>
      <c r="S223">
        <v>356</v>
      </c>
      <c r="T223">
        <v>789.39440000000002</v>
      </c>
    </row>
    <row r="224" spans="1:20" x14ac:dyDescent="0.35">
      <c r="A224" t="s">
        <v>1641</v>
      </c>
      <c r="B224">
        <v>619</v>
      </c>
      <c r="D224">
        <v>45888</v>
      </c>
      <c r="F224" t="s">
        <v>142</v>
      </c>
      <c r="G224" t="s">
        <v>1480</v>
      </c>
      <c r="H224" t="s">
        <v>1481</v>
      </c>
      <c r="I224" t="s">
        <v>1655</v>
      </c>
      <c r="J224" t="s">
        <v>1480</v>
      </c>
      <c r="K224" t="s">
        <v>1842</v>
      </c>
      <c r="M224" t="s">
        <v>151</v>
      </c>
      <c r="N224" t="s">
        <v>154</v>
      </c>
      <c r="O224">
        <v>1</v>
      </c>
      <c r="P224">
        <v>787.76980000000003</v>
      </c>
      <c r="Q224">
        <v>1</v>
      </c>
      <c r="R224">
        <v>787.76980000000003</v>
      </c>
      <c r="S224">
        <v>1</v>
      </c>
      <c r="T224">
        <v>787.76980000000003</v>
      </c>
    </row>
    <row r="225" spans="1:20" x14ac:dyDescent="0.35">
      <c r="A225" t="s">
        <v>1641</v>
      </c>
      <c r="B225">
        <v>207</v>
      </c>
      <c r="D225">
        <v>45770</v>
      </c>
      <c r="F225" t="s">
        <v>142</v>
      </c>
      <c r="G225" t="s">
        <v>1486</v>
      </c>
      <c r="H225" t="s">
        <v>1487</v>
      </c>
      <c r="I225" t="s">
        <v>1643</v>
      </c>
      <c r="J225" t="s">
        <v>1486</v>
      </c>
      <c r="K225" t="s">
        <v>151</v>
      </c>
      <c r="M225" t="s">
        <v>151</v>
      </c>
      <c r="N225" t="s">
        <v>154</v>
      </c>
      <c r="O225">
        <v>1</v>
      </c>
      <c r="P225">
        <v>56.256700000000002</v>
      </c>
      <c r="Q225">
        <v>14</v>
      </c>
      <c r="R225">
        <v>56.256700000000002</v>
      </c>
      <c r="S225">
        <v>14</v>
      </c>
      <c r="T225">
        <v>787.59379999999999</v>
      </c>
    </row>
    <row r="226" spans="1:20" x14ac:dyDescent="0.35">
      <c r="A226" t="s">
        <v>1641</v>
      </c>
      <c r="B226">
        <v>171</v>
      </c>
      <c r="D226">
        <v>45684</v>
      </c>
      <c r="F226" t="s">
        <v>142</v>
      </c>
      <c r="G226" t="s">
        <v>1491</v>
      </c>
      <c r="H226" t="s">
        <v>1492</v>
      </c>
      <c r="I226" t="s">
        <v>1843</v>
      </c>
      <c r="J226" t="s">
        <v>1491</v>
      </c>
      <c r="K226" t="s">
        <v>151</v>
      </c>
      <c r="M226" t="s">
        <v>151</v>
      </c>
      <c r="N226" t="s">
        <v>154</v>
      </c>
      <c r="O226">
        <v>1</v>
      </c>
      <c r="P226">
        <v>259.60169999999999</v>
      </c>
      <c r="Q226">
        <v>3</v>
      </c>
      <c r="R226">
        <v>259.60169999999999</v>
      </c>
      <c r="S226">
        <v>3</v>
      </c>
      <c r="T226">
        <v>778.80510000000004</v>
      </c>
    </row>
    <row r="227" spans="1:20" x14ac:dyDescent="0.35">
      <c r="A227" t="s">
        <v>1641</v>
      </c>
      <c r="B227">
        <v>136</v>
      </c>
      <c r="D227">
        <v>45871</v>
      </c>
      <c r="F227" t="s">
        <v>142</v>
      </c>
      <c r="G227" t="s">
        <v>1503</v>
      </c>
      <c r="H227" t="s">
        <v>1504</v>
      </c>
      <c r="I227" t="s">
        <v>1647</v>
      </c>
      <c r="J227" t="s">
        <v>1503</v>
      </c>
      <c r="K227" t="s">
        <v>151</v>
      </c>
      <c r="M227" t="s">
        <v>151</v>
      </c>
      <c r="N227" t="s">
        <v>154</v>
      </c>
      <c r="O227">
        <v>1</v>
      </c>
      <c r="P227">
        <v>383.76069999999999</v>
      </c>
      <c r="Q227">
        <v>2</v>
      </c>
      <c r="R227">
        <v>383.76069999999999</v>
      </c>
      <c r="S227">
        <v>2</v>
      </c>
      <c r="T227">
        <v>767.52139999999997</v>
      </c>
    </row>
    <row r="228" spans="1:20" x14ac:dyDescent="0.35">
      <c r="A228" t="s">
        <v>1641</v>
      </c>
      <c r="B228">
        <v>133</v>
      </c>
      <c r="D228">
        <v>45717</v>
      </c>
      <c r="F228" t="s">
        <v>142</v>
      </c>
      <c r="G228" t="s">
        <v>1498</v>
      </c>
      <c r="H228" t="s">
        <v>1499</v>
      </c>
      <c r="I228" t="s">
        <v>1647</v>
      </c>
      <c r="J228" t="s">
        <v>1498</v>
      </c>
      <c r="K228" t="s">
        <v>1844</v>
      </c>
      <c r="M228" t="s">
        <v>151</v>
      </c>
      <c r="N228" t="s">
        <v>154</v>
      </c>
      <c r="O228">
        <v>1</v>
      </c>
      <c r="P228">
        <v>385.62209999999999</v>
      </c>
      <c r="Q228">
        <v>2</v>
      </c>
      <c r="R228">
        <v>385.62209999999999</v>
      </c>
      <c r="S228">
        <v>2</v>
      </c>
      <c r="T228">
        <v>771.24419999999998</v>
      </c>
    </row>
    <row r="229" spans="1:20" x14ac:dyDescent="0.35">
      <c r="A229" t="s">
        <v>1641</v>
      </c>
      <c r="B229">
        <v>570</v>
      </c>
      <c r="D229">
        <v>45854</v>
      </c>
      <c r="F229" t="s">
        <v>142</v>
      </c>
      <c r="G229" t="s">
        <v>1508</v>
      </c>
      <c r="H229" t="s">
        <v>1509</v>
      </c>
      <c r="I229" t="s">
        <v>1823</v>
      </c>
      <c r="J229" t="s">
        <v>1508</v>
      </c>
      <c r="K229" t="s">
        <v>1845</v>
      </c>
      <c r="M229" t="s">
        <v>151</v>
      </c>
      <c r="N229" t="s">
        <v>213</v>
      </c>
      <c r="O229">
        <v>1</v>
      </c>
      <c r="P229">
        <v>15.9429</v>
      </c>
      <c r="Q229">
        <v>48</v>
      </c>
      <c r="R229">
        <v>15.9429</v>
      </c>
      <c r="S229">
        <v>48</v>
      </c>
      <c r="T229">
        <v>765.25919999999996</v>
      </c>
    </row>
    <row r="230" spans="1:20" x14ac:dyDescent="0.35">
      <c r="A230" t="s">
        <v>1641</v>
      </c>
      <c r="B230">
        <v>93</v>
      </c>
      <c r="D230">
        <v>45819</v>
      </c>
      <c r="F230" t="s">
        <v>142</v>
      </c>
      <c r="G230" t="s">
        <v>1514</v>
      </c>
      <c r="H230" t="s">
        <v>1515</v>
      </c>
      <c r="I230" t="s">
        <v>677</v>
      </c>
      <c r="J230" t="s">
        <v>1514</v>
      </c>
      <c r="K230" t="s">
        <v>1846</v>
      </c>
      <c r="M230" t="s">
        <v>151</v>
      </c>
      <c r="N230" t="s">
        <v>213</v>
      </c>
      <c r="O230">
        <v>1</v>
      </c>
      <c r="P230">
        <v>6.9416000000000002</v>
      </c>
      <c r="Q230">
        <v>110</v>
      </c>
      <c r="R230">
        <v>6.9416000000000002</v>
      </c>
      <c r="S230">
        <v>110</v>
      </c>
      <c r="T230">
        <v>763.57600000000002</v>
      </c>
    </row>
    <row r="231" spans="1:20" x14ac:dyDescent="0.35">
      <c r="A231" t="s">
        <v>1641</v>
      </c>
      <c r="B231">
        <v>137</v>
      </c>
      <c r="D231">
        <v>45924</v>
      </c>
      <c r="F231" t="s">
        <v>142</v>
      </c>
      <c r="G231" t="s">
        <v>1521</v>
      </c>
      <c r="H231" t="s">
        <v>1522</v>
      </c>
      <c r="I231" t="s">
        <v>1647</v>
      </c>
      <c r="J231" t="s">
        <v>1521</v>
      </c>
      <c r="K231" t="s">
        <v>1847</v>
      </c>
      <c r="M231" t="s">
        <v>151</v>
      </c>
      <c r="N231" t="s">
        <v>154</v>
      </c>
      <c r="O231">
        <v>1</v>
      </c>
      <c r="P231">
        <v>63.395899999999997</v>
      </c>
      <c r="Q231">
        <v>12</v>
      </c>
      <c r="R231">
        <v>63.395899999999997</v>
      </c>
      <c r="S231">
        <v>12</v>
      </c>
      <c r="T231">
        <v>760.75080000000003</v>
      </c>
    </row>
    <row r="232" spans="1:20" x14ac:dyDescent="0.35">
      <c r="A232" t="s">
        <v>1641</v>
      </c>
      <c r="B232">
        <v>589</v>
      </c>
      <c r="D232">
        <v>45929</v>
      </c>
      <c r="F232" t="s">
        <v>142</v>
      </c>
      <c r="G232" t="s">
        <v>1526</v>
      </c>
      <c r="H232" t="s">
        <v>1527</v>
      </c>
      <c r="I232" t="s">
        <v>1823</v>
      </c>
      <c r="J232" t="s">
        <v>1526</v>
      </c>
      <c r="K232" t="s">
        <v>1848</v>
      </c>
      <c r="M232" t="s">
        <v>151</v>
      </c>
      <c r="N232" t="s">
        <v>213</v>
      </c>
      <c r="O232">
        <v>1</v>
      </c>
      <c r="P232">
        <v>6.7679</v>
      </c>
      <c r="Q232">
        <v>111</v>
      </c>
      <c r="R232">
        <v>6.7679</v>
      </c>
      <c r="S232">
        <v>111</v>
      </c>
      <c r="T232">
        <v>751.23689999999999</v>
      </c>
    </row>
    <row r="233" spans="1:20" x14ac:dyDescent="0.35">
      <c r="A233" t="s">
        <v>1641</v>
      </c>
      <c r="B233">
        <v>187</v>
      </c>
      <c r="D233">
        <v>45876</v>
      </c>
      <c r="F233" t="s">
        <v>142</v>
      </c>
      <c r="G233" t="s">
        <v>1531</v>
      </c>
      <c r="H233" t="s">
        <v>1333</v>
      </c>
      <c r="I233" t="s">
        <v>1655</v>
      </c>
      <c r="J233" t="s">
        <v>1531</v>
      </c>
      <c r="K233" t="s">
        <v>1792</v>
      </c>
      <c r="M233" t="s">
        <v>151</v>
      </c>
      <c r="N233" t="s">
        <v>1666</v>
      </c>
      <c r="O233">
        <v>1</v>
      </c>
      <c r="P233">
        <v>53.6068</v>
      </c>
      <c r="Q233">
        <v>14</v>
      </c>
      <c r="R233">
        <v>53.6068</v>
      </c>
      <c r="S233">
        <v>14</v>
      </c>
      <c r="T233">
        <v>750.49519999999995</v>
      </c>
    </row>
    <row r="234" spans="1:20" x14ac:dyDescent="0.35">
      <c r="A234" t="s">
        <v>1641</v>
      </c>
      <c r="B234">
        <v>37</v>
      </c>
      <c r="D234">
        <v>45925</v>
      </c>
      <c r="F234" t="s">
        <v>142</v>
      </c>
      <c r="G234" t="s">
        <v>1534</v>
      </c>
      <c r="H234" t="s">
        <v>1535</v>
      </c>
      <c r="I234" t="s">
        <v>1647</v>
      </c>
      <c r="J234" t="s">
        <v>1534</v>
      </c>
      <c r="K234" t="s">
        <v>1849</v>
      </c>
      <c r="M234" t="s">
        <v>151</v>
      </c>
      <c r="N234" t="s">
        <v>154</v>
      </c>
      <c r="O234">
        <v>1</v>
      </c>
      <c r="P234">
        <v>14.132</v>
      </c>
      <c r="Q234">
        <v>53</v>
      </c>
      <c r="R234">
        <v>14.132</v>
      </c>
      <c r="S234">
        <v>53</v>
      </c>
      <c r="T234">
        <v>748.99599999999998</v>
      </c>
    </row>
    <row r="235" spans="1:20" x14ac:dyDescent="0.35">
      <c r="A235" t="s">
        <v>1641</v>
      </c>
      <c r="B235">
        <v>194</v>
      </c>
      <c r="D235">
        <v>45910</v>
      </c>
      <c r="F235" t="s">
        <v>142</v>
      </c>
      <c r="G235" t="s">
        <v>1540</v>
      </c>
      <c r="H235" t="s">
        <v>1541</v>
      </c>
      <c r="I235" t="s">
        <v>1655</v>
      </c>
      <c r="J235" t="s">
        <v>1540</v>
      </c>
      <c r="K235" t="s">
        <v>1726</v>
      </c>
      <c r="M235" t="s">
        <v>151</v>
      </c>
      <c r="N235" t="s">
        <v>154</v>
      </c>
      <c r="O235">
        <v>1</v>
      </c>
      <c r="P235">
        <v>8.4847000000000001</v>
      </c>
      <c r="Q235">
        <v>88</v>
      </c>
      <c r="R235">
        <v>8.4847000000000001</v>
      </c>
      <c r="S235">
        <v>88</v>
      </c>
      <c r="T235">
        <v>746.65359999999998</v>
      </c>
    </row>
    <row r="236" spans="1:20" x14ac:dyDescent="0.35">
      <c r="A236" t="s">
        <v>1641</v>
      </c>
      <c r="B236">
        <v>547</v>
      </c>
      <c r="D236">
        <v>45929</v>
      </c>
      <c r="F236" t="s">
        <v>142</v>
      </c>
      <c r="G236" t="s">
        <v>1547</v>
      </c>
      <c r="H236" t="s">
        <v>1548</v>
      </c>
      <c r="I236" t="s">
        <v>164</v>
      </c>
      <c r="J236" t="s">
        <v>1547</v>
      </c>
      <c r="K236" t="s">
        <v>151</v>
      </c>
      <c r="M236" t="s">
        <v>151</v>
      </c>
      <c r="N236" t="s">
        <v>154</v>
      </c>
      <c r="O236">
        <v>1</v>
      </c>
      <c r="P236">
        <v>719.67370000000005</v>
      </c>
      <c r="Q236">
        <v>1</v>
      </c>
      <c r="R236">
        <v>719.67370000000005</v>
      </c>
      <c r="S236">
        <v>1</v>
      </c>
      <c r="T236">
        <v>719.67370000000005</v>
      </c>
    </row>
    <row r="237" spans="1:20" x14ac:dyDescent="0.35">
      <c r="A237" t="s">
        <v>1641</v>
      </c>
      <c r="B237">
        <v>189</v>
      </c>
      <c r="D237">
        <v>45713</v>
      </c>
      <c r="F237" t="s">
        <v>142</v>
      </c>
      <c r="G237" t="s">
        <v>1554</v>
      </c>
      <c r="H237" t="s">
        <v>1555</v>
      </c>
      <c r="I237" t="s">
        <v>1655</v>
      </c>
      <c r="J237" t="s">
        <v>1554</v>
      </c>
      <c r="K237" t="s">
        <v>1850</v>
      </c>
      <c r="M237" t="s">
        <v>151</v>
      </c>
      <c r="N237" t="s">
        <v>154</v>
      </c>
      <c r="O237">
        <v>1</v>
      </c>
      <c r="P237">
        <v>173.9144</v>
      </c>
      <c r="Q237">
        <v>4</v>
      </c>
      <c r="R237">
        <v>173.9144</v>
      </c>
      <c r="S237">
        <v>4</v>
      </c>
      <c r="T237">
        <v>695.6576</v>
      </c>
    </row>
    <row r="238" spans="1:20" x14ac:dyDescent="0.35">
      <c r="A238" t="s">
        <v>1641</v>
      </c>
      <c r="B238">
        <v>532</v>
      </c>
      <c r="D238">
        <v>45730</v>
      </c>
      <c r="F238" t="s">
        <v>142</v>
      </c>
      <c r="G238" t="s">
        <v>1561</v>
      </c>
      <c r="H238" t="s">
        <v>1562</v>
      </c>
      <c r="I238" t="s">
        <v>164</v>
      </c>
      <c r="J238" t="s">
        <v>1561</v>
      </c>
      <c r="K238" t="s">
        <v>151</v>
      </c>
      <c r="M238" t="s">
        <v>151</v>
      </c>
      <c r="N238" t="s">
        <v>154</v>
      </c>
      <c r="O238">
        <v>1</v>
      </c>
      <c r="P238">
        <v>169.566</v>
      </c>
      <c r="Q238">
        <v>4</v>
      </c>
      <c r="R238">
        <v>169.566</v>
      </c>
      <c r="S238">
        <v>4</v>
      </c>
      <c r="T238">
        <v>678.26400000000001</v>
      </c>
    </row>
    <row r="239" spans="1:20" x14ac:dyDescent="0.35">
      <c r="A239" t="s">
        <v>1641</v>
      </c>
      <c r="B239">
        <v>184</v>
      </c>
      <c r="D239">
        <v>45845</v>
      </c>
      <c r="F239" t="s">
        <v>142</v>
      </c>
      <c r="G239" t="s">
        <v>1565</v>
      </c>
      <c r="H239" t="s">
        <v>1566</v>
      </c>
      <c r="I239" t="s">
        <v>1655</v>
      </c>
      <c r="J239" t="s">
        <v>1565</v>
      </c>
      <c r="K239" t="s">
        <v>1851</v>
      </c>
      <c r="M239" t="s">
        <v>151</v>
      </c>
      <c r="N239" t="s">
        <v>1666</v>
      </c>
      <c r="O239">
        <v>1</v>
      </c>
      <c r="P239">
        <v>96.702500000000001</v>
      </c>
      <c r="Q239">
        <v>7</v>
      </c>
      <c r="R239">
        <v>96.702500000000001</v>
      </c>
      <c r="S239">
        <v>7</v>
      </c>
      <c r="T239">
        <v>676.91750000000002</v>
      </c>
    </row>
    <row r="240" spans="1:20" x14ac:dyDescent="0.35">
      <c r="A240" t="s">
        <v>1641</v>
      </c>
      <c r="B240">
        <v>491</v>
      </c>
      <c r="D240">
        <v>45814</v>
      </c>
      <c r="F240" t="s">
        <v>142</v>
      </c>
      <c r="G240" t="s">
        <v>1571</v>
      </c>
      <c r="H240" t="s">
        <v>1572</v>
      </c>
      <c r="I240" t="s">
        <v>1852</v>
      </c>
      <c r="J240" t="s">
        <v>1571</v>
      </c>
      <c r="K240" t="s">
        <v>1853</v>
      </c>
      <c r="M240" t="s">
        <v>151</v>
      </c>
      <c r="N240" t="s">
        <v>154</v>
      </c>
      <c r="O240">
        <v>1</v>
      </c>
      <c r="P240">
        <v>55.587699999999998</v>
      </c>
      <c r="Q240">
        <v>12</v>
      </c>
      <c r="R240">
        <v>55.587699999999998</v>
      </c>
      <c r="S240">
        <v>12</v>
      </c>
      <c r="T240">
        <v>667.05240000000003</v>
      </c>
    </row>
    <row r="241" spans="1:20" x14ac:dyDescent="0.35">
      <c r="A241" t="s">
        <v>1641</v>
      </c>
      <c r="B241">
        <v>45</v>
      </c>
      <c r="D241">
        <v>45761</v>
      </c>
      <c r="F241" t="s">
        <v>142</v>
      </c>
      <c r="G241" t="s">
        <v>1578</v>
      </c>
      <c r="H241" t="s">
        <v>1579</v>
      </c>
      <c r="I241" t="s">
        <v>1647</v>
      </c>
      <c r="J241" t="s">
        <v>1578</v>
      </c>
      <c r="K241" t="s">
        <v>1854</v>
      </c>
      <c r="M241" t="s">
        <v>151</v>
      </c>
      <c r="N241" t="s">
        <v>154</v>
      </c>
      <c r="O241">
        <v>1</v>
      </c>
      <c r="P241">
        <v>66.433800000000005</v>
      </c>
      <c r="Q241">
        <v>10</v>
      </c>
      <c r="R241">
        <v>66.433800000000005</v>
      </c>
      <c r="S241">
        <v>10</v>
      </c>
      <c r="T241">
        <v>664.33800000000008</v>
      </c>
    </row>
    <row r="242" spans="1:20" x14ac:dyDescent="0.35">
      <c r="A242" t="s">
        <v>1641</v>
      </c>
      <c r="B242">
        <v>520</v>
      </c>
      <c r="D242">
        <v>45832</v>
      </c>
      <c r="F242" t="s">
        <v>142</v>
      </c>
      <c r="G242" t="s">
        <v>1583</v>
      </c>
      <c r="H242" t="s">
        <v>1584</v>
      </c>
      <c r="I242" t="s">
        <v>164</v>
      </c>
      <c r="J242" t="s">
        <v>1583</v>
      </c>
      <c r="K242" t="s">
        <v>1855</v>
      </c>
      <c r="M242" t="s">
        <v>151</v>
      </c>
      <c r="N242" t="s">
        <v>154</v>
      </c>
      <c r="O242">
        <v>1</v>
      </c>
      <c r="P242">
        <v>66.412899999999993</v>
      </c>
      <c r="Q242">
        <v>10</v>
      </c>
      <c r="R242">
        <v>66.412899999999993</v>
      </c>
      <c r="S242">
        <v>10</v>
      </c>
      <c r="T242">
        <v>664.12899999999991</v>
      </c>
    </row>
    <row r="243" spans="1:20" x14ac:dyDescent="0.35">
      <c r="A243" t="s">
        <v>1641</v>
      </c>
      <c r="B243">
        <v>211</v>
      </c>
      <c r="D243">
        <v>45852</v>
      </c>
      <c r="F243" t="s">
        <v>142</v>
      </c>
      <c r="G243" t="s">
        <v>747</v>
      </c>
      <c r="H243" t="s">
        <v>748</v>
      </c>
      <c r="I243" t="s">
        <v>1643</v>
      </c>
      <c r="J243" t="s">
        <v>747</v>
      </c>
      <c r="K243" t="s">
        <v>151</v>
      </c>
      <c r="M243" t="s">
        <v>151</v>
      </c>
      <c r="N243" t="s">
        <v>1666</v>
      </c>
      <c r="O243">
        <v>1</v>
      </c>
      <c r="P243">
        <v>653.74850000000004</v>
      </c>
      <c r="Q243">
        <v>1</v>
      </c>
      <c r="R243">
        <v>653.74850000000004</v>
      </c>
      <c r="S243">
        <v>1</v>
      </c>
      <c r="T243">
        <v>653.74850000000004</v>
      </c>
    </row>
    <row r="244" spans="1:20" x14ac:dyDescent="0.35">
      <c r="A244" t="s">
        <v>1641</v>
      </c>
      <c r="B244">
        <v>281</v>
      </c>
      <c r="D244">
        <v>45877</v>
      </c>
      <c r="F244" t="s">
        <v>142</v>
      </c>
      <c r="G244" t="s">
        <v>1591</v>
      </c>
      <c r="H244" t="s">
        <v>1592</v>
      </c>
      <c r="I244" t="s">
        <v>1659</v>
      </c>
      <c r="J244" t="s">
        <v>1591</v>
      </c>
      <c r="K244" t="s">
        <v>1856</v>
      </c>
      <c r="M244" t="s">
        <v>151</v>
      </c>
      <c r="N244" t="s">
        <v>154</v>
      </c>
      <c r="O244">
        <v>1</v>
      </c>
      <c r="P244">
        <v>32.4758</v>
      </c>
      <c r="Q244">
        <v>20</v>
      </c>
      <c r="R244">
        <v>32.4758</v>
      </c>
      <c r="S244">
        <v>20</v>
      </c>
      <c r="T244">
        <v>649.51599999999996</v>
      </c>
    </row>
    <row r="245" spans="1:20" x14ac:dyDescent="0.35">
      <c r="A245" t="s">
        <v>1641</v>
      </c>
      <c r="B245">
        <v>493</v>
      </c>
      <c r="D245">
        <v>45719</v>
      </c>
      <c r="F245" t="s">
        <v>142</v>
      </c>
      <c r="G245" t="s">
        <v>1596</v>
      </c>
      <c r="H245" t="s">
        <v>1597</v>
      </c>
      <c r="I245" t="s">
        <v>1852</v>
      </c>
      <c r="J245" t="s">
        <v>1596</v>
      </c>
      <c r="K245" t="s">
        <v>1857</v>
      </c>
      <c r="M245" t="s">
        <v>151</v>
      </c>
      <c r="N245" t="s">
        <v>154</v>
      </c>
      <c r="O245">
        <v>1</v>
      </c>
      <c r="P245">
        <v>53.690199999999997</v>
      </c>
      <c r="Q245">
        <v>12</v>
      </c>
      <c r="R245">
        <v>53.690199999999997</v>
      </c>
      <c r="S245">
        <v>12</v>
      </c>
      <c r="T245">
        <v>644.28239999999994</v>
      </c>
    </row>
    <row r="246" spans="1:20" x14ac:dyDescent="0.35">
      <c r="A246" t="s">
        <v>1641</v>
      </c>
      <c r="B246">
        <v>494</v>
      </c>
      <c r="D246">
        <v>45716</v>
      </c>
      <c r="F246" t="s">
        <v>142</v>
      </c>
      <c r="G246" t="s">
        <v>1602</v>
      </c>
      <c r="H246" t="s">
        <v>1603</v>
      </c>
      <c r="I246" t="s">
        <v>1852</v>
      </c>
      <c r="J246" t="s">
        <v>1602</v>
      </c>
      <c r="K246" t="s">
        <v>1858</v>
      </c>
      <c r="M246" t="s">
        <v>151</v>
      </c>
      <c r="N246" t="s">
        <v>154</v>
      </c>
      <c r="O246">
        <v>1</v>
      </c>
      <c r="P246">
        <v>53.491100000000003</v>
      </c>
      <c r="Q246">
        <v>12</v>
      </c>
      <c r="R246">
        <v>53.491100000000003</v>
      </c>
      <c r="S246">
        <v>12</v>
      </c>
      <c r="T246">
        <v>641.89319999999998</v>
      </c>
    </row>
    <row r="247" spans="1:20" x14ac:dyDescent="0.35">
      <c r="A247" t="s">
        <v>1641</v>
      </c>
      <c r="B247">
        <v>480</v>
      </c>
      <c r="D247">
        <v>45762</v>
      </c>
      <c r="F247" t="s">
        <v>142</v>
      </c>
      <c r="G247" t="s">
        <v>1613</v>
      </c>
      <c r="H247" t="s">
        <v>1614</v>
      </c>
      <c r="I247" t="s">
        <v>1696</v>
      </c>
      <c r="J247" t="s">
        <v>1613</v>
      </c>
      <c r="K247" t="s">
        <v>1859</v>
      </c>
      <c r="M247" t="s">
        <v>151</v>
      </c>
      <c r="N247" t="s">
        <v>213</v>
      </c>
      <c r="O247">
        <v>1</v>
      </c>
      <c r="P247">
        <v>17.749600000000001</v>
      </c>
      <c r="Q247">
        <v>36</v>
      </c>
      <c r="R247">
        <v>17.749600000000001</v>
      </c>
      <c r="S247">
        <v>36</v>
      </c>
      <c r="T247">
        <v>638.98559999999998</v>
      </c>
    </row>
    <row r="248" spans="1:20" x14ac:dyDescent="0.35">
      <c r="A248" t="s">
        <v>1641</v>
      </c>
      <c r="B248">
        <v>615</v>
      </c>
      <c r="D248">
        <v>45905</v>
      </c>
      <c r="F248" t="s">
        <v>142</v>
      </c>
      <c r="G248" t="s">
        <v>1606</v>
      </c>
      <c r="H248" t="s">
        <v>1607</v>
      </c>
      <c r="I248" t="s">
        <v>1675</v>
      </c>
      <c r="J248" t="s">
        <v>1606</v>
      </c>
      <c r="K248" t="s">
        <v>1860</v>
      </c>
      <c r="M248" t="s">
        <v>151</v>
      </c>
      <c r="N248" t="s">
        <v>154</v>
      </c>
      <c r="O248">
        <v>1</v>
      </c>
      <c r="P248">
        <v>23.720300000000002</v>
      </c>
      <c r="Q248">
        <v>27</v>
      </c>
      <c r="R248">
        <v>23.720300000000002</v>
      </c>
      <c r="S248">
        <v>27</v>
      </c>
      <c r="T248">
        <v>640.44810000000007</v>
      </c>
    </row>
    <row r="249" spans="1:20" x14ac:dyDescent="0.35">
      <c r="A249" t="s">
        <v>1641</v>
      </c>
      <c r="B249">
        <v>411</v>
      </c>
      <c r="D249">
        <v>45854</v>
      </c>
      <c r="F249" t="s">
        <v>142</v>
      </c>
      <c r="G249" t="s">
        <v>1618</v>
      </c>
      <c r="H249" t="s">
        <v>1619</v>
      </c>
      <c r="I249" t="s">
        <v>1678</v>
      </c>
      <c r="J249" t="s">
        <v>1618</v>
      </c>
      <c r="K249" t="s">
        <v>1861</v>
      </c>
      <c r="M249" t="s">
        <v>151</v>
      </c>
      <c r="N249" t="s">
        <v>213</v>
      </c>
      <c r="O249">
        <v>1</v>
      </c>
      <c r="P249">
        <v>7.4969999999999999</v>
      </c>
      <c r="Q249">
        <v>84</v>
      </c>
      <c r="R249">
        <v>7.4969999999999999</v>
      </c>
      <c r="S249">
        <v>84</v>
      </c>
      <c r="T249">
        <v>629.74800000000005</v>
      </c>
    </row>
    <row r="250" spans="1:20" x14ac:dyDescent="0.35">
      <c r="A250" t="s">
        <v>1641</v>
      </c>
      <c r="B250">
        <v>82</v>
      </c>
      <c r="D250">
        <v>45868</v>
      </c>
      <c r="F250" t="s">
        <v>142</v>
      </c>
      <c r="G250" t="s">
        <v>1635</v>
      </c>
      <c r="H250" t="s">
        <v>1636</v>
      </c>
      <c r="I250" t="s">
        <v>677</v>
      </c>
      <c r="J250" t="s">
        <v>1635</v>
      </c>
      <c r="K250" t="s">
        <v>1862</v>
      </c>
      <c r="M250" t="s">
        <v>151</v>
      </c>
      <c r="N250" t="s">
        <v>213</v>
      </c>
      <c r="O250">
        <v>1</v>
      </c>
      <c r="P250">
        <v>8.5693000000000001</v>
      </c>
      <c r="Q250">
        <v>72</v>
      </c>
      <c r="R250">
        <v>8.5693000000000001</v>
      </c>
      <c r="S250">
        <v>72</v>
      </c>
      <c r="T250">
        <v>616.9896</v>
      </c>
    </row>
    <row r="251" spans="1:20" x14ac:dyDescent="0.35">
      <c r="A251" t="s">
        <v>1641</v>
      </c>
      <c r="B251">
        <v>87</v>
      </c>
      <c r="D251">
        <v>45854</v>
      </c>
      <c r="F251" t="s">
        <v>142</v>
      </c>
      <c r="G251" t="s">
        <v>1624</v>
      </c>
      <c r="H251" t="s">
        <v>1625</v>
      </c>
      <c r="I251" t="s">
        <v>677</v>
      </c>
      <c r="J251" t="s">
        <v>1624</v>
      </c>
      <c r="K251" t="s">
        <v>1863</v>
      </c>
      <c r="M251" t="s">
        <v>151</v>
      </c>
      <c r="N251" t="s">
        <v>213</v>
      </c>
      <c r="O251">
        <v>1</v>
      </c>
      <c r="P251">
        <v>8.6113</v>
      </c>
      <c r="Q251">
        <v>72</v>
      </c>
      <c r="R251">
        <v>8.6113</v>
      </c>
      <c r="S251">
        <v>72</v>
      </c>
      <c r="T251">
        <v>620.0136</v>
      </c>
    </row>
    <row r="252" spans="1:20" x14ac:dyDescent="0.35">
      <c r="A252" t="s">
        <v>1641</v>
      </c>
      <c r="B252">
        <v>192</v>
      </c>
      <c r="D252">
        <v>45903</v>
      </c>
      <c r="F252" t="s">
        <v>142</v>
      </c>
      <c r="G252" t="s">
        <v>1630</v>
      </c>
      <c r="H252" t="s">
        <v>1631</v>
      </c>
      <c r="I252" t="s">
        <v>1655</v>
      </c>
      <c r="J252" t="s">
        <v>1630</v>
      </c>
      <c r="K252" t="s">
        <v>1864</v>
      </c>
      <c r="M252" t="s">
        <v>151</v>
      </c>
      <c r="N252" t="s">
        <v>154</v>
      </c>
      <c r="O252">
        <v>1</v>
      </c>
      <c r="P252">
        <v>15.4443</v>
      </c>
      <c r="Q252">
        <v>40</v>
      </c>
      <c r="R252">
        <v>15.4443</v>
      </c>
      <c r="S252">
        <v>40</v>
      </c>
      <c r="T252">
        <v>617.77200000000005</v>
      </c>
    </row>
    <row r="253" spans="1:20" x14ac:dyDescent="0.35">
      <c r="A253" t="s">
        <v>1641</v>
      </c>
      <c r="B253">
        <v>134</v>
      </c>
      <c r="D253">
        <v>45791</v>
      </c>
      <c r="F253" t="s">
        <v>142</v>
      </c>
      <c r="G253" t="s">
        <v>1865</v>
      </c>
      <c r="H253" t="s">
        <v>1866</v>
      </c>
      <c r="I253" t="s">
        <v>1647</v>
      </c>
      <c r="J253" t="s">
        <v>1865</v>
      </c>
      <c r="K253" t="s">
        <v>1867</v>
      </c>
      <c r="M253" t="s">
        <v>151</v>
      </c>
      <c r="N253" t="s">
        <v>154</v>
      </c>
      <c r="O253">
        <v>1</v>
      </c>
      <c r="P253">
        <v>60.506399999999999</v>
      </c>
      <c r="Q253">
        <v>10</v>
      </c>
      <c r="R253">
        <v>60.506399999999999</v>
      </c>
      <c r="S253">
        <v>10</v>
      </c>
      <c r="T253">
        <v>605.06399999999996</v>
      </c>
    </row>
    <row r="254" spans="1:20" x14ac:dyDescent="0.35">
      <c r="A254" t="s">
        <v>1641</v>
      </c>
      <c r="B254">
        <v>529</v>
      </c>
      <c r="D254">
        <v>45929</v>
      </c>
      <c r="F254" t="s">
        <v>142</v>
      </c>
      <c r="G254" t="s">
        <v>1868</v>
      </c>
      <c r="H254" t="s">
        <v>1869</v>
      </c>
      <c r="I254" t="s">
        <v>164</v>
      </c>
      <c r="J254" t="s">
        <v>1868</v>
      </c>
      <c r="K254" t="s">
        <v>151</v>
      </c>
      <c r="M254" t="s">
        <v>151</v>
      </c>
      <c r="N254" t="s">
        <v>154</v>
      </c>
      <c r="O254">
        <v>1</v>
      </c>
      <c r="P254">
        <v>60.548900000000003</v>
      </c>
      <c r="Q254">
        <v>10</v>
      </c>
      <c r="R254">
        <v>60.548900000000003</v>
      </c>
      <c r="S254">
        <v>10</v>
      </c>
      <c r="T254">
        <v>605.48900000000003</v>
      </c>
    </row>
    <row r="255" spans="1:20" x14ac:dyDescent="0.35">
      <c r="A255" t="s">
        <v>1641</v>
      </c>
      <c r="B255">
        <v>127</v>
      </c>
      <c r="D255">
        <v>45882</v>
      </c>
      <c r="F255" t="s">
        <v>142</v>
      </c>
      <c r="G255" t="s">
        <v>1870</v>
      </c>
      <c r="H255" t="s">
        <v>1871</v>
      </c>
      <c r="I255" t="s">
        <v>1647</v>
      </c>
      <c r="J255" t="s">
        <v>1870</v>
      </c>
      <c r="K255" t="s">
        <v>1872</v>
      </c>
      <c r="M255" t="s">
        <v>151</v>
      </c>
      <c r="N255" t="s">
        <v>154</v>
      </c>
      <c r="O255">
        <v>1</v>
      </c>
      <c r="P255">
        <v>66.643699999999995</v>
      </c>
      <c r="Q255">
        <v>9</v>
      </c>
      <c r="R255">
        <v>66.643699999999995</v>
      </c>
      <c r="S255">
        <v>9</v>
      </c>
      <c r="T255">
        <v>599.79329999999993</v>
      </c>
    </row>
    <row r="256" spans="1:20" x14ac:dyDescent="0.35">
      <c r="A256" t="s">
        <v>1641</v>
      </c>
      <c r="B256">
        <v>217</v>
      </c>
      <c r="D256">
        <v>45897</v>
      </c>
      <c r="F256" t="s">
        <v>142</v>
      </c>
      <c r="G256" t="s">
        <v>1873</v>
      </c>
      <c r="H256" t="s">
        <v>1874</v>
      </c>
      <c r="I256" t="s">
        <v>1875</v>
      </c>
      <c r="J256" t="s">
        <v>1873</v>
      </c>
      <c r="K256" t="s">
        <v>1876</v>
      </c>
      <c r="M256" t="s">
        <v>151</v>
      </c>
      <c r="N256" t="s">
        <v>154</v>
      </c>
      <c r="O256">
        <v>1</v>
      </c>
      <c r="P256">
        <v>25.003900000000002</v>
      </c>
      <c r="Q256">
        <v>24</v>
      </c>
      <c r="R256">
        <v>25.003900000000002</v>
      </c>
      <c r="S256">
        <v>24</v>
      </c>
      <c r="T256">
        <v>600.09360000000004</v>
      </c>
    </row>
    <row r="257" spans="1:20" x14ac:dyDescent="0.35">
      <c r="A257" t="s">
        <v>1641</v>
      </c>
      <c r="B257">
        <v>590</v>
      </c>
      <c r="D257">
        <v>45929</v>
      </c>
      <c r="F257" t="s">
        <v>142</v>
      </c>
      <c r="G257" t="s">
        <v>1877</v>
      </c>
      <c r="H257" t="s">
        <v>1878</v>
      </c>
      <c r="I257" t="s">
        <v>1823</v>
      </c>
      <c r="J257" t="s">
        <v>1877</v>
      </c>
      <c r="K257" t="s">
        <v>1879</v>
      </c>
      <c r="M257" t="s">
        <v>151</v>
      </c>
      <c r="N257" t="s">
        <v>213</v>
      </c>
      <c r="O257">
        <v>1</v>
      </c>
      <c r="P257">
        <v>6.7586000000000004</v>
      </c>
      <c r="Q257">
        <v>88</v>
      </c>
      <c r="R257">
        <v>6.7586000000000004</v>
      </c>
      <c r="S257">
        <v>88</v>
      </c>
      <c r="T257">
        <v>594.7568</v>
      </c>
    </row>
    <row r="258" spans="1:20" x14ac:dyDescent="0.35">
      <c r="A258" t="s">
        <v>1641</v>
      </c>
      <c r="B258">
        <v>331</v>
      </c>
      <c r="D258">
        <v>45889</v>
      </c>
      <c r="F258" t="s">
        <v>142</v>
      </c>
      <c r="G258" t="s">
        <v>1880</v>
      </c>
      <c r="H258" t="s">
        <v>1881</v>
      </c>
      <c r="I258" t="s">
        <v>1645</v>
      </c>
      <c r="J258" t="s">
        <v>1880</v>
      </c>
      <c r="K258" t="s">
        <v>1882</v>
      </c>
      <c r="M258" t="s">
        <v>151</v>
      </c>
      <c r="N258" t="s">
        <v>154</v>
      </c>
      <c r="O258">
        <v>1</v>
      </c>
      <c r="P258">
        <v>99.390299999999996</v>
      </c>
      <c r="Q258">
        <v>6</v>
      </c>
      <c r="R258">
        <v>99.390299999999996</v>
      </c>
      <c r="S258">
        <v>6</v>
      </c>
      <c r="T258">
        <v>596.34179999999992</v>
      </c>
    </row>
    <row r="259" spans="1:20" x14ac:dyDescent="0.35">
      <c r="A259" t="s">
        <v>1641</v>
      </c>
      <c r="B259">
        <v>471</v>
      </c>
      <c r="D259">
        <v>45790</v>
      </c>
      <c r="F259" t="s">
        <v>142</v>
      </c>
      <c r="G259" t="s">
        <v>1883</v>
      </c>
      <c r="H259" t="s">
        <v>1884</v>
      </c>
      <c r="I259" t="s">
        <v>1885</v>
      </c>
      <c r="J259" t="s">
        <v>1883</v>
      </c>
      <c r="K259" t="s">
        <v>1886</v>
      </c>
      <c r="M259" t="s">
        <v>151</v>
      </c>
      <c r="N259" t="s">
        <v>213</v>
      </c>
      <c r="O259">
        <v>1</v>
      </c>
      <c r="P259">
        <v>119.1101</v>
      </c>
      <c r="Q259">
        <v>5</v>
      </c>
      <c r="R259">
        <v>119.1101</v>
      </c>
      <c r="S259">
        <v>5</v>
      </c>
      <c r="T259">
        <v>595.55050000000006</v>
      </c>
    </row>
    <row r="260" spans="1:20" x14ac:dyDescent="0.35">
      <c r="A260" t="s">
        <v>1641</v>
      </c>
      <c r="B260">
        <v>541</v>
      </c>
      <c r="D260">
        <v>45929</v>
      </c>
      <c r="F260" t="s">
        <v>142</v>
      </c>
      <c r="G260" t="s">
        <v>1887</v>
      </c>
      <c r="H260" t="s">
        <v>1888</v>
      </c>
      <c r="I260" t="s">
        <v>164</v>
      </c>
      <c r="J260" t="s">
        <v>1887</v>
      </c>
      <c r="K260" t="s">
        <v>151</v>
      </c>
      <c r="M260" t="s">
        <v>151</v>
      </c>
      <c r="N260" t="s">
        <v>154</v>
      </c>
      <c r="O260">
        <v>1</v>
      </c>
      <c r="P260">
        <v>1.9141999999999999</v>
      </c>
      <c r="Q260">
        <v>310</v>
      </c>
      <c r="R260">
        <v>1.9141999999999999</v>
      </c>
      <c r="S260">
        <v>310</v>
      </c>
      <c r="T260">
        <v>593.40199999999993</v>
      </c>
    </row>
    <row r="261" spans="1:20" x14ac:dyDescent="0.35">
      <c r="A261" t="s">
        <v>1641</v>
      </c>
      <c r="B261">
        <v>591</v>
      </c>
      <c r="D261">
        <v>45929</v>
      </c>
      <c r="F261" t="s">
        <v>142</v>
      </c>
      <c r="G261" t="s">
        <v>1889</v>
      </c>
      <c r="H261" t="s">
        <v>1890</v>
      </c>
      <c r="I261" t="s">
        <v>1823</v>
      </c>
      <c r="J261" t="s">
        <v>1889</v>
      </c>
      <c r="K261" t="s">
        <v>1891</v>
      </c>
      <c r="M261" t="s">
        <v>151</v>
      </c>
      <c r="N261" t="s">
        <v>213</v>
      </c>
      <c r="O261">
        <v>1</v>
      </c>
      <c r="P261">
        <v>6.7823000000000002</v>
      </c>
      <c r="Q261">
        <v>87</v>
      </c>
      <c r="R261">
        <v>6.7823000000000002</v>
      </c>
      <c r="S261">
        <v>87</v>
      </c>
      <c r="T261">
        <v>590.06010000000003</v>
      </c>
    </row>
    <row r="262" spans="1:20" x14ac:dyDescent="0.35">
      <c r="A262" t="s">
        <v>1641</v>
      </c>
      <c r="B262">
        <v>113</v>
      </c>
      <c r="D262">
        <v>45875</v>
      </c>
      <c r="F262" t="s">
        <v>142</v>
      </c>
      <c r="G262" t="s">
        <v>1892</v>
      </c>
      <c r="H262" t="s">
        <v>1893</v>
      </c>
      <c r="I262" t="s">
        <v>1894</v>
      </c>
      <c r="J262" t="s">
        <v>1892</v>
      </c>
      <c r="K262" t="s">
        <v>1895</v>
      </c>
      <c r="M262" t="s">
        <v>151</v>
      </c>
      <c r="N262" t="s">
        <v>172</v>
      </c>
      <c r="O262">
        <v>1</v>
      </c>
      <c r="P262">
        <v>64.030600000000007</v>
      </c>
      <c r="Q262">
        <v>9</v>
      </c>
      <c r="R262">
        <v>64.030600000000007</v>
      </c>
      <c r="S262">
        <v>9</v>
      </c>
      <c r="T262">
        <v>576.2754000000001</v>
      </c>
    </row>
    <row r="263" spans="1:20" x14ac:dyDescent="0.35">
      <c r="A263" t="s">
        <v>1641</v>
      </c>
      <c r="B263">
        <v>19</v>
      </c>
      <c r="D263">
        <v>45834</v>
      </c>
      <c r="F263" t="s">
        <v>142</v>
      </c>
      <c r="G263" t="s">
        <v>1896</v>
      </c>
      <c r="H263" t="s">
        <v>1897</v>
      </c>
      <c r="I263" t="s">
        <v>1647</v>
      </c>
      <c r="J263" t="s">
        <v>1896</v>
      </c>
      <c r="K263" t="s">
        <v>1898</v>
      </c>
      <c r="N263" t="s">
        <v>154</v>
      </c>
      <c r="O263">
        <v>1</v>
      </c>
      <c r="P263">
        <v>28.800999999999998</v>
      </c>
      <c r="Q263">
        <v>20</v>
      </c>
      <c r="R263">
        <v>28.800999999999998</v>
      </c>
      <c r="S263">
        <v>20</v>
      </c>
      <c r="T263">
        <v>576.02</v>
      </c>
    </row>
    <row r="264" spans="1:20" x14ac:dyDescent="0.35">
      <c r="A264" t="s">
        <v>1641</v>
      </c>
      <c r="B264">
        <v>528</v>
      </c>
      <c r="D264">
        <v>45895</v>
      </c>
      <c r="F264" t="s">
        <v>142</v>
      </c>
      <c r="G264" t="s">
        <v>1899</v>
      </c>
      <c r="H264" t="s">
        <v>1900</v>
      </c>
      <c r="I264" t="s">
        <v>164</v>
      </c>
      <c r="J264" t="s">
        <v>1899</v>
      </c>
      <c r="K264" t="s">
        <v>151</v>
      </c>
      <c r="M264" t="s">
        <v>151</v>
      </c>
      <c r="N264" t="s">
        <v>154</v>
      </c>
      <c r="O264">
        <v>1</v>
      </c>
      <c r="P264">
        <v>143.31899999999999</v>
      </c>
      <c r="Q264">
        <v>4</v>
      </c>
      <c r="R264">
        <v>143.31899999999999</v>
      </c>
      <c r="S264">
        <v>4</v>
      </c>
      <c r="T264">
        <v>573.27599999999995</v>
      </c>
    </row>
    <row r="265" spans="1:20" x14ac:dyDescent="0.35">
      <c r="A265" t="s">
        <v>1641</v>
      </c>
      <c r="B265">
        <v>516</v>
      </c>
      <c r="D265">
        <v>45889</v>
      </c>
      <c r="F265" t="s">
        <v>142</v>
      </c>
      <c r="G265" t="s">
        <v>1901</v>
      </c>
      <c r="H265" t="s">
        <v>1902</v>
      </c>
      <c r="I265" t="s">
        <v>164</v>
      </c>
      <c r="J265" t="s">
        <v>1901</v>
      </c>
      <c r="K265" t="s">
        <v>151</v>
      </c>
      <c r="N265" t="s">
        <v>154</v>
      </c>
      <c r="O265">
        <v>1</v>
      </c>
      <c r="P265">
        <v>63.2498</v>
      </c>
      <c r="Q265">
        <v>9</v>
      </c>
      <c r="R265">
        <v>63.2498</v>
      </c>
      <c r="S265">
        <v>9</v>
      </c>
      <c r="T265">
        <v>569.2482</v>
      </c>
    </row>
    <row r="266" spans="1:20" x14ac:dyDescent="0.35">
      <c r="A266" t="s">
        <v>1641</v>
      </c>
      <c r="B266">
        <v>301</v>
      </c>
      <c r="D266">
        <v>45716</v>
      </c>
      <c r="F266" t="s">
        <v>142</v>
      </c>
      <c r="G266" t="s">
        <v>1903</v>
      </c>
      <c r="H266" t="s">
        <v>1904</v>
      </c>
      <c r="I266" t="s">
        <v>1645</v>
      </c>
      <c r="J266" t="s">
        <v>1903</v>
      </c>
      <c r="K266" t="s">
        <v>1905</v>
      </c>
      <c r="M266" t="s">
        <v>151</v>
      </c>
      <c r="N266" t="s">
        <v>154</v>
      </c>
      <c r="O266">
        <v>1</v>
      </c>
      <c r="P266">
        <v>280.29320000000001</v>
      </c>
      <c r="Q266">
        <v>2</v>
      </c>
      <c r="R266">
        <v>280.29320000000001</v>
      </c>
      <c r="S266">
        <v>2</v>
      </c>
      <c r="T266">
        <v>560.58640000000003</v>
      </c>
    </row>
    <row r="267" spans="1:20" x14ac:dyDescent="0.35">
      <c r="A267" t="s">
        <v>1641</v>
      </c>
      <c r="B267">
        <v>447</v>
      </c>
      <c r="D267">
        <v>45887</v>
      </c>
      <c r="F267" t="s">
        <v>142</v>
      </c>
      <c r="G267" t="s">
        <v>1906</v>
      </c>
      <c r="H267" t="s">
        <v>1907</v>
      </c>
      <c r="I267" t="s">
        <v>1653</v>
      </c>
      <c r="J267" t="s">
        <v>1906</v>
      </c>
      <c r="K267" t="s">
        <v>1908</v>
      </c>
      <c r="M267" t="s">
        <v>151</v>
      </c>
      <c r="N267" t="s">
        <v>213</v>
      </c>
      <c r="O267">
        <v>1</v>
      </c>
      <c r="P267">
        <v>9.3454999999999995</v>
      </c>
      <c r="Q267">
        <v>60</v>
      </c>
      <c r="R267">
        <v>9.3454999999999995</v>
      </c>
      <c r="S267">
        <v>60</v>
      </c>
      <c r="T267">
        <v>560.73</v>
      </c>
    </row>
    <row r="268" spans="1:20" x14ac:dyDescent="0.35">
      <c r="A268" t="s">
        <v>1641</v>
      </c>
      <c r="B268">
        <v>200</v>
      </c>
      <c r="D268">
        <v>45891</v>
      </c>
      <c r="F268" t="s">
        <v>142</v>
      </c>
      <c r="G268" t="s">
        <v>1909</v>
      </c>
      <c r="H268" t="s">
        <v>1910</v>
      </c>
      <c r="I268" t="s">
        <v>1655</v>
      </c>
      <c r="J268" t="s">
        <v>1909</v>
      </c>
      <c r="K268" t="s">
        <v>1911</v>
      </c>
      <c r="M268" t="s">
        <v>151</v>
      </c>
      <c r="N268" t="s">
        <v>154</v>
      </c>
      <c r="O268">
        <v>1</v>
      </c>
      <c r="P268">
        <v>7.7304000000000004</v>
      </c>
      <c r="Q268">
        <v>70</v>
      </c>
      <c r="R268">
        <v>7.7304000000000004</v>
      </c>
      <c r="S268">
        <v>70</v>
      </c>
      <c r="T268">
        <v>541.12800000000004</v>
      </c>
    </row>
    <row r="269" spans="1:20" x14ac:dyDescent="0.35">
      <c r="A269" t="s">
        <v>1641</v>
      </c>
      <c r="B269">
        <v>611</v>
      </c>
      <c r="D269">
        <v>45923</v>
      </c>
      <c r="F269" t="s">
        <v>142</v>
      </c>
      <c r="G269" t="s">
        <v>1912</v>
      </c>
      <c r="H269" t="s">
        <v>1913</v>
      </c>
      <c r="I269" t="s">
        <v>1675</v>
      </c>
      <c r="J269" t="s">
        <v>1912</v>
      </c>
      <c r="K269" t="s">
        <v>1914</v>
      </c>
      <c r="M269" t="s">
        <v>151</v>
      </c>
      <c r="N269" t="s">
        <v>154</v>
      </c>
      <c r="O269">
        <v>1</v>
      </c>
      <c r="P269">
        <v>29.748799999999999</v>
      </c>
      <c r="Q269">
        <v>18</v>
      </c>
      <c r="R269">
        <v>29.748799999999999</v>
      </c>
      <c r="S269">
        <v>18</v>
      </c>
      <c r="T269">
        <v>535.47839999999997</v>
      </c>
    </row>
    <row r="270" spans="1:20" x14ac:dyDescent="0.35">
      <c r="A270" t="s">
        <v>1641</v>
      </c>
      <c r="B270">
        <v>233</v>
      </c>
      <c r="D270">
        <v>45912</v>
      </c>
      <c r="F270" t="s">
        <v>142</v>
      </c>
      <c r="G270" t="s">
        <v>1915</v>
      </c>
      <c r="H270" t="s">
        <v>1916</v>
      </c>
      <c r="I270" t="s">
        <v>1818</v>
      </c>
      <c r="J270" t="s">
        <v>1915</v>
      </c>
      <c r="K270" t="s">
        <v>1917</v>
      </c>
      <c r="M270" t="s">
        <v>151</v>
      </c>
      <c r="N270" t="s">
        <v>154</v>
      </c>
      <c r="O270">
        <v>1</v>
      </c>
      <c r="P270">
        <v>4.1516999999999999</v>
      </c>
      <c r="Q270">
        <v>126</v>
      </c>
      <c r="R270">
        <v>4.1516999999999999</v>
      </c>
      <c r="S270">
        <v>126</v>
      </c>
      <c r="T270">
        <v>523.11419999999998</v>
      </c>
    </row>
    <row r="271" spans="1:20" x14ac:dyDescent="0.35">
      <c r="A271" t="s">
        <v>1641</v>
      </c>
      <c r="B271">
        <v>539</v>
      </c>
      <c r="D271">
        <v>45832</v>
      </c>
      <c r="F271" t="s">
        <v>142</v>
      </c>
      <c r="G271" t="s">
        <v>1918</v>
      </c>
      <c r="H271" t="s">
        <v>1919</v>
      </c>
      <c r="I271" t="s">
        <v>164</v>
      </c>
      <c r="J271" t="s">
        <v>1918</v>
      </c>
      <c r="K271" t="s">
        <v>1920</v>
      </c>
      <c r="M271" t="s">
        <v>151</v>
      </c>
      <c r="N271" t="s">
        <v>154</v>
      </c>
      <c r="O271">
        <v>1</v>
      </c>
      <c r="P271">
        <v>521.17629999999997</v>
      </c>
      <c r="Q271">
        <v>1</v>
      </c>
      <c r="R271">
        <v>521.17629999999997</v>
      </c>
      <c r="S271">
        <v>1</v>
      </c>
      <c r="T271">
        <v>521.17629999999997</v>
      </c>
    </row>
    <row r="272" spans="1:20" x14ac:dyDescent="0.35">
      <c r="A272" t="s">
        <v>1641</v>
      </c>
      <c r="B272">
        <v>620</v>
      </c>
      <c r="D272">
        <v>45828</v>
      </c>
      <c r="F272" t="s">
        <v>142</v>
      </c>
      <c r="G272" t="s">
        <v>1921</v>
      </c>
      <c r="H272" t="s">
        <v>1922</v>
      </c>
      <c r="I272" t="s">
        <v>1655</v>
      </c>
      <c r="J272" t="s">
        <v>1921</v>
      </c>
      <c r="K272" t="s">
        <v>1923</v>
      </c>
      <c r="M272" t="s">
        <v>151</v>
      </c>
      <c r="N272" t="s">
        <v>1742</v>
      </c>
      <c r="O272">
        <v>1</v>
      </c>
      <c r="P272">
        <v>522.24419999999998</v>
      </c>
      <c r="Q272">
        <v>1</v>
      </c>
      <c r="R272">
        <v>522.24419999999998</v>
      </c>
      <c r="S272">
        <v>1</v>
      </c>
      <c r="T272">
        <v>522.24419999999998</v>
      </c>
    </row>
    <row r="273" spans="1:20" x14ac:dyDescent="0.35">
      <c r="A273" t="s">
        <v>1641</v>
      </c>
      <c r="B273">
        <v>112</v>
      </c>
      <c r="D273">
        <v>45845</v>
      </c>
      <c r="F273" t="s">
        <v>142</v>
      </c>
      <c r="G273" t="s">
        <v>1924</v>
      </c>
      <c r="H273" t="s">
        <v>1925</v>
      </c>
      <c r="I273" t="s">
        <v>1894</v>
      </c>
      <c r="J273" t="s">
        <v>1924</v>
      </c>
      <c r="K273" t="s">
        <v>151</v>
      </c>
      <c r="N273" t="s">
        <v>154</v>
      </c>
      <c r="O273">
        <v>1</v>
      </c>
      <c r="P273">
        <v>36.559800000000003</v>
      </c>
      <c r="Q273">
        <v>14</v>
      </c>
      <c r="R273">
        <v>36.559800000000003</v>
      </c>
      <c r="S273">
        <v>14</v>
      </c>
      <c r="T273">
        <v>511.83720000000005</v>
      </c>
    </row>
    <row r="274" spans="1:20" x14ac:dyDescent="0.35">
      <c r="A274" t="s">
        <v>1641</v>
      </c>
      <c r="B274">
        <v>27</v>
      </c>
      <c r="D274">
        <v>45909</v>
      </c>
      <c r="F274" t="s">
        <v>142</v>
      </c>
      <c r="G274" t="s">
        <v>1926</v>
      </c>
      <c r="H274" t="s">
        <v>1927</v>
      </c>
      <c r="I274" t="s">
        <v>1647</v>
      </c>
      <c r="J274" t="s">
        <v>1926</v>
      </c>
      <c r="K274" t="s">
        <v>151</v>
      </c>
      <c r="M274" t="s">
        <v>151</v>
      </c>
      <c r="N274" t="s">
        <v>1666</v>
      </c>
      <c r="O274">
        <v>1</v>
      </c>
      <c r="P274">
        <v>125.7833</v>
      </c>
      <c r="Q274">
        <v>4</v>
      </c>
      <c r="R274">
        <v>125.7833</v>
      </c>
      <c r="S274">
        <v>4</v>
      </c>
      <c r="T274">
        <v>503.13319999999999</v>
      </c>
    </row>
    <row r="275" spans="1:20" x14ac:dyDescent="0.35">
      <c r="A275" t="s">
        <v>1641</v>
      </c>
      <c r="B275">
        <v>66</v>
      </c>
      <c r="D275">
        <v>45670</v>
      </c>
      <c r="F275" t="s">
        <v>142</v>
      </c>
      <c r="G275" t="s">
        <v>1928</v>
      </c>
      <c r="H275" t="s">
        <v>1929</v>
      </c>
      <c r="I275" t="s">
        <v>1683</v>
      </c>
      <c r="J275" t="s">
        <v>1928</v>
      </c>
      <c r="K275" t="s">
        <v>1930</v>
      </c>
      <c r="M275" t="s">
        <v>151</v>
      </c>
      <c r="N275" t="s">
        <v>213</v>
      </c>
      <c r="O275">
        <v>1</v>
      </c>
      <c r="P275">
        <v>8.2384000000000004</v>
      </c>
      <c r="Q275">
        <v>60</v>
      </c>
      <c r="R275">
        <v>8.2384000000000004</v>
      </c>
      <c r="S275">
        <v>60</v>
      </c>
      <c r="T275">
        <v>494.30400000000003</v>
      </c>
    </row>
    <row r="276" spans="1:20" x14ac:dyDescent="0.35">
      <c r="A276" t="s">
        <v>1641</v>
      </c>
      <c r="B276">
        <v>88</v>
      </c>
      <c r="D276">
        <v>45925</v>
      </c>
      <c r="F276" t="s">
        <v>142</v>
      </c>
      <c r="G276" t="s">
        <v>1931</v>
      </c>
      <c r="H276" t="s">
        <v>1932</v>
      </c>
      <c r="I276" t="s">
        <v>677</v>
      </c>
      <c r="J276" t="s">
        <v>1931</v>
      </c>
      <c r="K276" t="s">
        <v>1846</v>
      </c>
      <c r="M276" t="s">
        <v>151</v>
      </c>
      <c r="N276" t="s">
        <v>213</v>
      </c>
      <c r="O276">
        <v>1</v>
      </c>
      <c r="P276">
        <v>8.2005999999999997</v>
      </c>
      <c r="Q276">
        <v>60</v>
      </c>
      <c r="R276">
        <v>8.2005999999999997</v>
      </c>
      <c r="S276">
        <v>60</v>
      </c>
      <c r="T276">
        <v>492.036</v>
      </c>
    </row>
    <row r="277" spans="1:20" x14ac:dyDescent="0.35">
      <c r="A277" t="s">
        <v>1641</v>
      </c>
      <c r="B277">
        <v>490</v>
      </c>
      <c r="D277">
        <v>45908</v>
      </c>
      <c r="F277" t="s">
        <v>142</v>
      </c>
      <c r="G277" t="s">
        <v>1933</v>
      </c>
      <c r="H277" t="s">
        <v>1934</v>
      </c>
      <c r="I277" t="s">
        <v>1852</v>
      </c>
      <c r="J277" t="s">
        <v>1933</v>
      </c>
      <c r="K277" t="s">
        <v>1864</v>
      </c>
      <c r="M277" t="s">
        <v>151</v>
      </c>
      <c r="N277" t="s">
        <v>213</v>
      </c>
      <c r="O277">
        <v>1</v>
      </c>
      <c r="P277">
        <v>8.1928000000000001</v>
      </c>
      <c r="Q277">
        <v>60</v>
      </c>
      <c r="R277">
        <v>8.1928000000000001</v>
      </c>
      <c r="S277">
        <v>60</v>
      </c>
      <c r="T277">
        <v>491.56799999999998</v>
      </c>
    </row>
    <row r="278" spans="1:20" x14ac:dyDescent="0.35">
      <c r="A278" t="s">
        <v>1641</v>
      </c>
      <c r="B278">
        <v>14</v>
      </c>
      <c r="D278">
        <v>45876</v>
      </c>
      <c r="F278" t="s">
        <v>142</v>
      </c>
      <c r="G278" t="s">
        <v>1935</v>
      </c>
      <c r="H278" t="s">
        <v>1936</v>
      </c>
      <c r="I278" t="s">
        <v>1647</v>
      </c>
      <c r="J278" t="s">
        <v>1935</v>
      </c>
      <c r="K278" t="s">
        <v>1937</v>
      </c>
      <c r="N278" t="s">
        <v>154</v>
      </c>
      <c r="O278">
        <v>1</v>
      </c>
      <c r="P278">
        <v>120.3634</v>
      </c>
      <c r="Q278">
        <v>4</v>
      </c>
      <c r="R278">
        <v>120.3634</v>
      </c>
      <c r="S278">
        <v>4</v>
      </c>
      <c r="T278">
        <v>481.45359999999999</v>
      </c>
    </row>
    <row r="279" spans="1:20" x14ac:dyDescent="0.35">
      <c r="A279" t="s">
        <v>1641</v>
      </c>
      <c r="B279">
        <v>333</v>
      </c>
      <c r="D279">
        <v>45769</v>
      </c>
      <c r="F279" t="s">
        <v>142</v>
      </c>
      <c r="G279" t="s">
        <v>1938</v>
      </c>
      <c r="H279" t="s">
        <v>1939</v>
      </c>
      <c r="I279" t="s">
        <v>1645</v>
      </c>
      <c r="J279" t="s">
        <v>1938</v>
      </c>
      <c r="K279" t="s">
        <v>1940</v>
      </c>
      <c r="M279" t="s">
        <v>151</v>
      </c>
      <c r="N279" t="s">
        <v>154</v>
      </c>
      <c r="O279">
        <v>1</v>
      </c>
      <c r="P279">
        <v>120.34820000000001</v>
      </c>
      <c r="Q279">
        <v>4</v>
      </c>
      <c r="R279">
        <v>120.34820000000001</v>
      </c>
      <c r="S279">
        <v>4</v>
      </c>
      <c r="T279">
        <v>481.39280000000002</v>
      </c>
    </row>
    <row r="280" spans="1:20" x14ac:dyDescent="0.35">
      <c r="A280" t="s">
        <v>1641</v>
      </c>
      <c r="B280">
        <v>566</v>
      </c>
      <c r="D280">
        <v>45855</v>
      </c>
      <c r="F280" t="s">
        <v>142</v>
      </c>
      <c r="G280" t="s">
        <v>1941</v>
      </c>
      <c r="H280" t="s">
        <v>1942</v>
      </c>
      <c r="I280" t="s">
        <v>1651</v>
      </c>
      <c r="J280" t="s">
        <v>1941</v>
      </c>
      <c r="K280" t="s">
        <v>1943</v>
      </c>
      <c r="M280" t="s">
        <v>151</v>
      </c>
      <c r="N280" t="s">
        <v>154</v>
      </c>
      <c r="O280">
        <v>1</v>
      </c>
      <c r="P280">
        <v>479.07839999999999</v>
      </c>
      <c r="Q280">
        <v>1</v>
      </c>
      <c r="R280">
        <v>479.07839999999999</v>
      </c>
      <c r="S280">
        <v>1</v>
      </c>
      <c r="T280">
        <v>479.07839999999999</v>
      </c>
    </row>
    <row r="281" spans="1:20" x14ac:dyDescent="0.35">
      <c r="A281" t="s">
        <v>1641</v>
      </c>
      <c r="B281">
        <v>271</v>
      </c>
      <c r="D281">
        <v>45924</v>
      </c>
      <c r="F281" t="s">
        <v>142</v>
      </c>
      <c r="G281" t="s">
        <v>1944</v>
      </c>
      <c r="H281" t="s">
        <v>1179</v>
      </c>
      <c r="I281" t="s">
        <v>1659</v>
      </c>
      <c r="J281" t="s">
        <v>1944</v>
      </c>
      <c r="K281" t="s">
        <v>1793</v>
      </c>
      <c r="M281" t="s">
        <v>151</v>
      </c>
      <c r="N281" t="s">
        <v>1794</v>
      </c>
      <c r="O281">
        <v>1</v>
      </c>
      <c r="P281">
        <v>13.556900000000001</v>
      </c>
      <c r="Q281">
        <v>35</v>
      </c>
      <c r="R281">
        <v>13.556900000000001</v>
      </c>
      <c r="S281">
        <v>35</v>
      </c>
      <c r="T281">
        <v>474.49150000000003</v>
      </c>
    </row>
    <row r="282" spans="1:20" x14ac:dyDescent="0.35">
      <c r="A282" t="s">
        <v>1641</v>
      </c>
      <c r="B282">
        <v>472</v>
      </c>
      <c r="D282">
        <v>45814</v>
      </c>
      <c r="F282" t="s">
        <v>142</v>
      </c>
      <c r="G282" t="s">
        <v>1945</v>
      </c>
      <c r="H282" t="s">
        <v>1946</v>
      </c>
      <c r="I282" t="s">
        <v>1885</v>
      </c>
      <c r="J282" t="s">
        <v>1945</v>
      </c>
      <c r="K282" t="s">
        <v>1947</v>
      </c>
      <c r="M282" t="s">
        <v>151</v>
      </c>
      <c r="N282" t="s">
        <v>213</v>
      </c>
      <c r="O282">
        <v>1</v>
      </c>
      <c r="P282">
        <v>118.64319999999999</v>
      </c>
      <c r="Q282">
        <v>4</v>
      </c>
      <c r="R282">
        <v>118.64319999999999</v>
      </c>
      <c r="S282">
        <v>4</v>
      </c>
      <c r="T282">
        <v>474.57279999999997</v>
      </c>
    </row>
    <row r="283" spans="1:20" x14ac:dyDescent="0.35">
      <c r="A283" t="s">
        <v>1641</v>
      </c>
      <c r="B283">
        <v>475</v>
      </c>
      <c r="D283">
        <v>45814</v>
      </c>
      <c r="F283" t="s">
        <v>142</v>
      </c>
      <c r="G283" t="s">
        <v>1948</v>
      </c>
      <c r="H283" t="s">
        <v>1949</v>
      </c>
      <c r="I283" t="s">
        <v>1885</v>
      </c>
      <c r="J283" t="s">
        <v>1948</v>
      </c>
      <c r="K283" t="s">
        <v>151</v>
      </c>
      <c r="N283" t="s">
        <v>213</v>
      </c>
      <c r="O283">
        <v>1</v>
      </c>
      <c r="P283">
        <v>119.0312</v>
      </c>
      <c r="Q283">
        <v>4</v>
      </c>
      <c r="R283">
        <v>119.0312</v>
      </c>
      <c r="S283">
        <v>4</v>
      </c>
      <c r="T283">
        <v>476.12479999999999</v>
      </c>
    </row>
    <row r="284" spans="1:20" x14ac:dyDescent="0.35">
      <c r="A284" t="s">
        <v>1641</v>
      </c>
      <c r="B284">
        <v>613</v>
      </c>
      <c r="D284">
        <v>45887</v>
      </c>
      <c r="F284" t="s">
        <v>142</v>
      </c>
      <c r="G284" t="s">
        <v>1950</v>
      </c>
      <c r="H284" t="s">
        <v>1951</v>
      </c>
      <c r="I284" t="s">
        <v>1675</v>
      </c>
      <c r="J284" t="s">
        <v>1950</v>
      </c>
      <c r="K284" t="s">
        <v>1952</v>
      </c>
      <c r="M284" t="s">
        <v>151</v>
      </c>
      <c r="N284" t="s">
        <v>154</v>
      </c>
      <c r="O284">
        <v>1</v>
      </c>
      <c r="P284">
        <v>23.651199999999999</v>
      </c>
      <c r="Q284">
        <v>20</v>
      </c>
      <c r="R284">
        <v>23.651199999999999</v>
      </c>
      <c r="S284">
        <v>20</v>
      </c>
      <c r="T284">
        <v>473.024</v>
      </c>
    </row>
    <row r="285" spans="1:20" x14ac:dyDescent="0.35">
      <c r="A285" t="s">
        <v>1641</v>
      </c>
      <c r="B285">
        <v>495</v>
      </c>
      <c r="D285">
        <v>45881</v>
      </c>
      <c r="F285" t="s">
        <v>142</v>
      </c>
      <c r="G285" t="s">
        <v>1953</v>
      </c>
      <c r="H285" t="s">
        <v>1954</v>
      </c>
      <c r="I285" t="s">
        <v>1852</v>
      </c>
      <c r="J285" t="s">
        <v>1953</v>
      </c>
      <c r="K285" t="s">
        <v>151</v>
      </c>
      <c r="M285" t="s">
        <v>151</v>
      </c>
      <c r="N285" t="s">
        <v>154</v>
      </c>
      <c r="O285">
        <v>1</v>
      </c>
      <c r="P285">
        <v>6.5026999999999999</v>
      </c>
      <c r="Q285">
        <v>72</v>
      </c>
      <c r="R285">
        <v>6.5026999999999999</v>
      </c>
      <c r="S285">
        <v>72</v>
      </c>
      <c r="T285">
        <v>468.19439999999997</v>
      </c>
    </row>
    <row r="286" spans="1:20" x14ac:dyDescent="0.35">
      <c r="A286" t="s">
        <v>1641</v>
      </c>
      <c r="B286">
        <v>561</v>
      </c>
      <c r="D286">
        <v>45923</v>
      </c>
      <c r="F286" t="s">
        <v>142</v>
      </c>
      <c r="G286" t="s">
        <v>1955</v>
      </c>
      <c r="H286" t="s">
        <v>1956</v>
      </c>
      <c r="I286" t="s">
        <v>1651</v>
      </c>
      <c r="J286" t="s">
        <v>1955</v>
      </c>
      <c r="K286" t="s">
        <v>1957</v>
      </c>
      <c r="M286" t="s">
        <v>151</v>
      </c>
      <c r="N286" t="s">
        <v>154</v>
      </c>
      <c r="O286">
        <v>1</v>
      </c>
      <c r="P286">
        <v>11.7461</v>
      </c>
      <c r="Q286">
        <v>40</v>
      </c>
      <c r="R286">
        <v>11.7461</v>
      </c>
      <c r="S286">
        <v>40</v>
      </c>
      <c r="T286">
        <v>469.84399999999999</v>
      </c>
    </row>
    <row r="287" spans="1:20" x14ac:dyDescent="0.35">
      <c r="A287" t="s">
        <v>1641</v>
      </c>
      <c r="B287">
        <v>587</v>
      </c>
      <c r="D287">
        <v>45925</v>
      </c>
      <c r="F287" t="s">
        <v>142</v>
      </c>
      <c r="G287" t="s">
        <v>1958</v>
      </c>
      <c r="H287" t="s">
        <v>1959</v>
      </c>
      <c r="I287" t="s">
        <v>1823</v>
      </c>
      <c r="J287" t="s">
        <v>1958</v>
      </c>
      <c r="K287" t="s">
        <v>1960</v>
      </c>
      <c r="M287" t="s">
        <v>151</v>
      </c>
      <c r="N287" t="s">
        <v>213</v>
      </c>
      <c r="O287">
        <v>1</v>
      </c>
      <c r="P287">
        <v>6.7451999999999996</v>
      </c>
      <c r="Q287">
        <v>69</v>
      </c>
      <c r="R287">
        <v>6.7451999999999996</v>
      </c>
      <c r="S287">
        <v>69</v>
      </c>
      <c r="T287">
        <v>465.41879999999998</v>
      </c>
    </row>
    <row r="288" spans="1:20" x14ac:dyDescent="0.35">
      <c r="A288" t="s">
        <v>1641</v>
      </c>
      <c r="B288">
        <v>525</v>
      </c>
      <c r="D288">
        <v>45723</v>
      </c>
      <c r="F288" t="s">
        <v>142</v>
      </c>
      <c r="G288" t="s">
        <v>1961</v>
      </c>
      <c r="H288" t="s">
        <v>1962</v>
      </c>
      <c r="I288" t="s">
        <v>164</v>
      </c>
      <c r="J288" t="s">
        <v>1961</v>
      </c>
      <c r="K288" t="s">
        <v>1963</v>
      </c>
      <c r="M288" t="s">
        <v>151</v>
      </c>
      <c r="N288" t="s">
        <v>154</v>
      </c>
      <c r="O288">
        <v>1</v>
      </c>
      <c r="P288">
        <v>466.29250000000002</v>
      </c>
      <c r="Q288">
        <v>1</v>
      </c>
      <c r="R288">
        <v>466.29250000000002</v>
      </c>
      <c r="S288">
        <v>1</v>
      </c>
      <c r="T288">
        <v>466.29250000000002</v>
      </c>
    </row>
    <row r="289" spans="1:20" x14ac:dyDescent="0.35">
      <c r="A289" t="s">
        <v>1641</v>
      </c>
      <c r="B289">
        <v>501</v>
      </c>
      <c r="D289">
        <v>45881</v>
      </c>
      <c r="F289" t="s">
        <v>142</v>
      </c>
      <c r="G289" t="s">
        <v>1964</v>
      </c>
      <c r="H289" t="s">
        <v>1965</v>
      </c>
      <c r="I289" t="s">
        <v>1852</v>
      </c>
      <c r="J289" t="s">
        <v>1964</v>
      </c>
      <c r="K289" t="s">
        <v>1855</v>
      </c>
      <c r="M289" t="s">
        <v>151</v>
      </c>
      <c r="N289" t="s">
        <v>154</v>
      </c>
      <c r="O289">
        <v>1</v>
      </c>
      <c r="P289">
        <v>10.4923</v>
      </c>
      <c r="Q289">
        <v>44</v>
      </c>
      <c r="R289">
        <v>10.4923</v>
      </c>
      <c r="S289">
        <v>44</v>
      </c>
      <c r="T289">
        <v>461.66120000000001</v>
      </c>
    </row>
    <row r="290" spans="1:20" x14ac:dyDescent="0.35">
      <c r="A290" t="s">
        <v>1641</v>
      </c>
      <c r="B290">
        <v>502</v>
      </c>
      <c r="D290">
        <v>45881</v>
      </c>
      <c r="F290" t="s">
        <v>142</v>
      </c>
      <c r="G290" t="s">
        <v>1966</v>
      </c>
      <c r="H290" t="s">
        <v>1967</v>
      </c>
      <c r="I290" t="s">
        <v>1852</v>
      </c>
      <c r="J290" t="s">
        <v>1966</v>
      </c>
      <c r="K290" t="s">
        <v>1968</v>
      </c>
      <c r="M290" t="s">
        <v>151</v>
      </c>
      <c r="N290" t="s">
        <v>154</v>
      </c>
      <c r="O290">
        <v>1</v>
      </c>
      <c r="P290">
        <v>10.500400000000001</v>
      </c>
      <c r="Q290">
        <v>44</v>
      </c>
      <c r="R290">
        <v>10.500400000000001</v>
      </c>
      <c r="S290">
        <v>44</v>
      </c>
      <c r="T290">
        <v>462.01760000000002</v>
      </c>
    </row>
    <row r="291" spans="1:20" x14ac:dyDescent="0.35">
      <c r="A291" t="s">
        <v>1641</v>
      </c>
      <c r="B291">
        <v>323</v>
      </c>
      <c r="D291">
        <v>45701</v>
      </c>
      <c r="F291" t="s">
        <v>142</v>
      </c>
      <c r="G291" t="s">
        <v>1969</v>
      </c>
      <c r="H291" t="s">
        <v>1970</v>
      </c>
      <c r="I291" t="s">
        <v>1645</v>
      </c>
      <c r="J291" t="s">
        <v>1969</v>
      </c>
      <c r="K291" t="s">
        <v>1971</v>
      </c>
      <c r="M291" t="s">
        <v>151</v>
      </c>
      <c r="N291" t="s">
        <v>154</v>
      </c>
      <c r="O291">
        <v>1</v>
      </c>
      <c r="P291">
        <v>14.8851</v>
      </c>
      <c r="Q291">
        <v>31</v>
      </c>
      <c r="R291">
        <v>14.8851</v>
      </c>
      <c r="S291">
        <v>31</v>
      </c>
      <c r="T291">
        <v>461.43809999999996</v>
      </c>
    </row>
    <row r="292" spans="1:20" x14ac:dyDescent="0.35">
      <c r="A292" t="s">
        <v>1641</v>
      </c>
      <c r="B292">
        <v>468</v>
      </c>
      <c r="D292">
        <v>45854</v>
      </c>
      <c r="F292" t="s">
        <v>142</v>
      </c>
      <c r="G292" t="s">
        <v>1972</v>
      </c>
      <c r="H292" t="s">
        <v>1973</v>
      </c>
      <c r="I292" t="s">
        <v>1653</v>
      </c>
      <c r="J292" t="s">
        <v>1972</v>
      </c>
      <c r="K292" t="s">
        <v>1974</v>
      </c>
      <c r="M292" t="s">
        <v>151</v>
      </c>
      <c r="N292" t="s">
        <v>213</v>
      </c>
      <c r="O292">
        <v>1</v>
      </c>
      <c r="P292">
        <v>7.6657999999999999</v>
      </c>
      <c r="Q292">
        <v>60</v>
      </c>
      <c r="R292">
        <v>7.6657999999999999</v>
      </c>
      <c r="S292">
        <v>60</v>
      </c>
      <c r="T292">
        <v>459.94799999999998</v>
      </c>
    </row>
    <row r="293" spans="1:20" x14ac:dyDescent="0.35">
      <c r="A293" t="s">
        <v>1641</v>
      </c>
      <c r="B293">
        <v>139</v>
      </c>
      <c r="D293">
        <v>45829</v>
      </c>
      <c r="F293" t="s">
        <v>142</v>
      </c>
      <c r="G293" t="s">
        <v>1975</v>
      </c>
      <c r="H293" t="s">
        <v>1976</v>
      </c>
      <c r="I293" t="s">
        <v>1647</v>
      </c>
      <c r="J293" t="s">
        <v>1975</v>
      </c>
      <c r="K293" t="s">
        <v>1977</v>
      </c>
      <c r="M293" t="s">
        <v>151</v>
      </c>
      <c r="N293" t="s">
        <v>154</v>
      </c>
      <c r="O293">
        <v>1</v>
      </c>
      <c r="P293">
        <v>229.6011</v>
      </c>
      <c r="Q293">
        <v>2</v>
      </c>
      <c r="R293">
        <v>229.6011</v>
      </c>
      <c r="S293">
        <v>2</v>
      </c>
      <c r="T293">
        <v>459.2022</v>
      </c>
    </row>
    <row r="294" spans="1:20" x14ac:dyDescent="0.35">
      <c r="A294" t="s">
        <v>1641</v>
      </c>
      <c r="B294">
        <v>327</v>
      </c>
      <c r="D294">
        <v>45786</v>
      </c>
      <c r="F294" t="s">
        <v>142</v>
      </c>
      <c r="G294" t="s">
        <v>1978</v>
      </c>
      <c r="H294" t="s">
        <v>1979</v>
      </c>
      <c r="I294" t="s">
        <v>1645</v>
      </c>
      <c r="J294" t="s">
        <v>1978</v>
      </c>
      <c r="K294" t="s">
        <v>1980</v>
      </c>
      <c r="M294" t="s">
        <v>151</v>
      </c>
      <c r="N294" t="s">
        <v>154</v>
      </c>
      <c r="O294">
        <v>1</v>
      </c>
      <c r="P294">
        <v>455.07830000000001</v>
      </c>
      <c r="Q294">
        <v>1</v>
      </c>
      <c r="R294">
        <v>455.07830000000001</v>
      </c>
      <c r="S294">
        <v>1</v>
      </c>
      <c r="T294">
        <v>455.07830000000001</v>
      </c>
    </row>
    <row r="295" spans="1:20" x14ac:dyDescent="0.35">
      <c r="A295" t="s">
        <v>1641</v>
      </c>
      <c r="B295">
        <v>357</v>
      </c>
      <c r="D295">
        <v>45917</v>
      </c>
      <c r="F295" t="s">
        <v>142</v>
      </c>
      <c r="G295" t="s">
        <v>1981</v>
      </c>
      <c r="H295" t="s">
        <v>1982</v>
      </c>
      <c r="I295" t="s">
        <v>1806</v>
      </c>
      <c r="J295" t="s">
        <v>1981</v>
      </c>
      <c r="K295" t="s">
        <v>1983</v>
      </c>
      <c r="M295" t="s">
        <v>151</v>
      </c>
      <c r="N295" t="s">
        <v>154</v>
      </c>
      <c r="O295">
        <v>1</v>
      </c>
      <c r="P295">
        <v>89.966999999999999</v>
      </c>
      <c r="Q295">
        <v>5</v>
      </c>
      <c r="R295">
        <v>89.966999999999999</v>
      </c>
      <c r="S295">
        <v>5</v>
      </c>
      <c r="T295">
        <v>449.83499999999998</v>
      </c>
    </row>
    <row r="296" spans="1:20" x14ac:dyDescent="0.35">
      <c r="A296" t="s">
        <v>1641</v>
      </c>
      <c r="B296">
        <v>334</v>
      </c>
      <c r="D296">
        <v>45890</v>
      </c>
      <c r="F296" t="s">
        <v>142</v>
      </c>
      <c r="G296" t="s">
        <v>1984</v>
      </c>
      <c r="H296" t="s">
        <v>1985</v>
      </c>
      <c r="I296" t="s">
        <v>1645</v>
      </c>
      <c r="J296" t="s">
        <v>1984</v>
      </c>
      <c r="K296" t="s">
        <v>151</v>
      </c>
      <c r="M296" t="s">
        <v>151</v>
      </c>
      <c r="N296" t="s">
        <v>154</v>
      </c>
      <c r="O296">
        <v>1</v>
      </c>
      <c r="P296">
        <v>89.928299999999993</v>
      </c>
      <c r="Q296">
        <v>5</v>
      </c>
      <c r="R296">
        <v>89.928299999999993</v>
      </c>
      <c r="S296">
        <v>5</v>
      </c>
      <c r="T296">
        <v>449.64149999999995</v>
      </c>
    </row>
    <row r="297" spans="1:20" x14ac:dyDescent="0.35">
      <c r="A297" t="s">
        <v>1641</v>
      </c>
      <c r="B297">
        <v>536</v>
      </c>
      <c r="D297">
        <v>45845</v>
      </c>
      <c r="F297" t="s">
        <v>142</v>
      </c>
      <c r="G297" t="s">
        <v>1986</v>
      </c>
      <c r="H297" t="s">
        <v>1987</v>
      </c>
      <c r="I297" t="s">
        <v>164</v>
      </c>
      <c r="J297" t="s">
        <v>1986</v>
      </c>
      <c r="K297" t="s">
        <v>151</v>
      </c>
      <c r="M297" t="s">
        <v>151</v>
      </c>
      <c r="N297" t="s">
        <v>154</v>
      </c>
      <c r="O297">
        <v>1</v>
      </c>
      <c r="P297">
        <v>110.79689999999999</v>
      </c>
      <c r="Q297">
        <v>4</v>
      </c>
      <c r="R297">
        <v>110.79689999999999</v>
      </c>
      <c r="S297">
        <v>4</v>
      </c>
      <c r="T297">
        <v>443.18759999999997</v>
      </c>
    </row>
    <row r="298" spans="1:20" x14ac:dyDescent="0.35">
      <c r="A298" t="s">
        <v>1641</v>
      </c>
      <c r="B298">
        <v>52</v>
      </c>
      <c r="D298">
        <v>45758</v>
      </c>
      <c r="F298" t="s">
        <v>142</v>
      </c>
      <c r="G298" t="s">
        <v>1988</v>
      </c>
      <c r="H298" t="s">
        <v>1989</v>
      </c>
      <c r="I298" t="s">
        <v>1647</v>
      </c>
      <c r="J298" t="s">
        <v>1988</v>
      </c>
      <c r="K298" t="s">
        <v>1990</v>
      </c>
      <c r="N298" t="s">
        <v>1650</v>
      </c>
      <c r="O298">
        <v>1</v>
      </c>
      <c r="P298">
        <v>71.006299999999996</v>
      </c>
      <c r="Q298">
        <v>6</v>
      </c>
      <c r="R298">
        <v>71.006299999999996</v>
      </c>
      <c r="S298">
        <v>6</v>
      </c>
      <c r="T298">
        <v>426.03779999999995</v>
      </c>
    </row>
    <row r="299" spans="1:20" x14ac:dyDescent="0.35">
      <c r="A299" t="s">
        <v>1641</v>
      </c>
      <c r="B299">
        <v>373</v>
      </c>
      <c r="D299">
        <v>45839</v>
      </c>
      <c r="F299" t="s">
        <v>142</v>
      </c>
      <c r="G299" t="s">
        <v>1991</v>
      </c>
      <c r="H299" t="s">
        <v>1992</v>
      </c>
      <c r="I299" t="s">
        <v>1788</v>
      </c>
      <c r="J299" t="s">
        <v>1991</v>
      </c>
      <c r="K299" t="s">
        <v>1993</v>
      </c>
      <c r="M299" t="s">
        <v>151</v>
      </c>
      <c r="N299" t="s">
        <v>154</v>
      </c>
      <c r="O299">
        <v>1</v>
      </c>
      <c r="P299">
        <v>28.613800000000001</v>
      </c>
      <c r="Q299">
        <v>15</v>
      </c>
      <c r="R299">
        <v>28.613800000000001</v>
      </c>
      <c r="S299">
        <v>15</v>
      </c>
      <c r="T299">
        <v>429.20699999999999</v>
      </c>
    </row>
    <row r="300" spans="1:20" x14ac:dyDescent="0.35">
      <c r="A300" t="s">
        <v>1641</v>
      </c>
      <c r="B300">
        <v>201</v>
      </c>
      <c r="D300">
        <v>45887</v>
      </c>
      <c r="F300" t="s">
        <v>142</v>
      </c>
      <c r="G300" t="s">
        <v>1994</v>
      </c>
      <c r="H300" t="s">
        <v>1995</v>
      </c>
      <c r="I300" t="s">
        <v>1655</v>
      </c>
      <c r="J300" t="s">
        <v>1994</v>
      </c>
      <c r="K300" t="s">
        <v>151</v>
      </c>
      <c r="M300" t="s">
        <v>151</v>
      </c>
      <c r="N300" t="s">
        <v>1666</v>
      </c>
      <c r="O300">
        <v>1</v>
      </c>
      <c r="P300">
        <v>10.1066</v>
      </c>
      <c r="Q300">
        <v>42</v>
      </c>
      <c r="R300">
        <v>10.1066</v>
      </c>
      <c r="S300">
        <v>42</v>
      </c>
      <c r="T300">
        <v>424.47720000000004</v>
      </c>
    </row>
    <row r="301" spans="1:20" x14ac:dyDescent="0.35">
      <c r="A301" t="s">
        <v>1641</v>
      </c>
      <c r="B301">
        <v>109</v>
      </c>
      <c r="D301">
        <v>45666</v>
      </c>
      <c r="F301" t="s">
        <v>142</v>
      </c>
      <c r="G301" t="s">
        <v>1996</v>
      </c>
      <c r="H301" t="s">
        <v>1997</v>
      </c>
      <c r="I301" t="s">
        <v>1655</v>
      </c>
      <c r="J301" t="s">
        <v>1996</v>
      </c>
      <c r="K301" t="s">
        <v>151</v>
      </c>
      <c r="M301" t="s">
        <v>151</v>
      </c>
      <c r="N301" t="s">
        <v>154</v>
      </c>
      <c r="O301">
        <v>1</v>
      </c>
      <c r="P301">
        <v>415.30180000000001</v>
      </c>
      <c r="Q301">
        <v>1</v>
      </c>
      <c r="R301">
        <v>415.30180000000001</v>
      </c>
      <c r="S301">
        <v>1</v>
      </c>
      <c r="T301">
        <v>415.30180000000001</v>
      </c>
    </row>
    <row r="302" spans="1:20" x14ac:dyDescent="0.35">
      <c r="A302" t="s">
        <v>1641</v>
      </c>
      <c r="B302">
        <v>210</v>
      </c>
      <c r="D302">
        <v>45740</v>
      </c>
      <c r="F302" t="s">
        <v>142</v>
      </c>
      <c r="G302" t="s">
        <v>1998</v>
      </c>
      <c r="H302" t="s">
        <v>1999</v>
      </c>
      <c r="I302" t="s">
        <v>1643</v>
      </c>
      <c r="J302" t="s">
        <v>1998</v>
      </c>
      <c r="K302" t="s">
        <v>151</v>
      </c>
      <c r="M302" t="s">
        <v>151</v>
      </c>
      <c r="N302" t="s">
        <v>154</v>
      </c>
      <c r="O302">
        <v>1</v>
      </c>
      <c r="P302">
        <v>204.4922</v>
      </c>
      <c r="Q302">
        <v>2</v>
      </c>
      <c r="R302">
        <v>204.4922</v>
      </c>
      <c r="S302">
        <v>2</v>
      </c>
      <c r="T302">
        <v>408.98439999999999</v>
      </c>
    </row>
    <row r="303" spans="1:20" x14ac:dyDescent="0.35">
      <c r="A303" t="s">
        <v>1641</v>
      </c>
      <c r="B303">
        <v>114</v>
      </c>
      <c r="D303">
        <v>45882</v>
      </c>
      <c r="F303" t="s">
        <v>142</v>
      </c>
      <c r="G303" t="s">
        <v>2000</v>
      </c>
      <c r="H303" t="s">
        <v>2001</v>
      </c>
      <c r="I303" t="s">
        <v>1894</v>
      </c>
      <c r="J303" t="s">
        <v>2000</v>
      </c>
      <c r="K303" t="s">
        <v>151</v>
      </c>
      <c r="N303" t="s">
        <v>154</v>
      </c>
      <c r="O303">
        <v>1</v>
      </c>
      <c r="P303">
        <v>25.540400000000002</v>
      </c>
      <c r="Q303">
        <v>16</v>
      </c>
      <c r="R303">
        <v>25.540400000000002</v>
      </c>
      <c r="S303">
        <v>16</v>
      </c>
      <c r="T303">
        <v>408.64640000000003</v>
      </c>
    </row>
    <row r="304" spans="1:20" x14ac:dyDescent="0.35">
      <c r="A304" t="s">
        <v>1641</v>
      </c>
      <c r="B304">
        <v>402</v>
      </c>
      <c r="D304">
        <v>45854</v>
      </c>
      <c r="F304" t="s">
        <v>142</v>
      </c>
      <c r="G304" t="s">
        <v>2002</v>
      </c>
      <c r="H304" t="s">
        <v>2003</v>
      </c>
      <c r="I304" t="s">
        <v>1678</v>
      </c>
      <c r="J304" t="s">
        <v>2002</v>
      </c>
      <c r="K304" t="s">
        <v>2004</v>
      </c>
      <c r="M304" t="s">
        <v>151</v>
      </c>
      <c r="N304" t="s">
        <v>1650</v>
      </c>
      <c r="O304">
        <v>1</v>
      </c>
      <c r="P304">
        <v>406.44839999999999</v>
      </c>
      <c r="Q304">
        <v>1</v>
      </c>
      <c r="R304">
        <v>406.44839999999999</v>
      </c>
      <c r="S304">
        <v>1</v>
      </c>
      <c r="T304">
        <v>406.44839999999999</v>
      </c>
    </row>
    <row r="305" spans="1:20" x14ac:dyDescent="0.35">
      <c r="A305" t="s">
        <v>1641</v>
      </c>
      <c r="B305">
        <v>78</v>
      </c>
      <c r="D305">
        <v>45778</v>
      </c>
      <c r="F305" t="s">
        <v>142</v>
      </c>
      <c r="G305" t="s">
        <v>2005</v>
      </c>
      <c r="H305" t="s">
        <v>2006</v>
      </c>
      <c r="I305" t="s">
        <v>1683</v>
      </c>
      <c r="J305" t="s">
        <v>2005</v>
      </c>
      <c r="K305" t="s">
        <v>2007</v>
      </c>
      <c r="M305" t="s">
        <v>151</v>
      </c>
      <c r="N305" t="s">
        <v>213</v>
      </c>
      <c r="O305">
        <v>1</v>
      </c>
      <c r="P305">
        <v>57.808799999999998</v>
      </c>
      <c r="Q305">
        <v>7</v>
      </c>
      <c r="R305">
        <v>57.808799999999998</v>
      </c>
      <c r="S305">
        <v>7</v>
      </c>
      <c r="T305">
        <v>404.66159999999996</v>
      </c>
    </row>
    <row r="306" spans="1:20" x14ac:dyDescent="0.35">
      <c r="A306" t="s">
        <v>1641</v>
      </c>
      <c r="B306">
        <v>2</v>
      </c>
      <c r="D306">
        <v>45915</v>
      </c>
      <c r="F306" t="s">
        <v>142</v>
      </c>
      <c r="G306" t="s">
        <v>2008</v>
      </c>
      <c r="H306" t="s">
        <v>2009</v>
      </c>
      <c r="I306" t="s">
        <v>1647</v>
      </c>
      <c r="J306" t="s">
        <v>2008</v>
      </c>
      <c r="K306" t="s">
        <v>151</v>
      </c>
      <c r="M306" t="s">
        <v>151</v>
      </c>
      <c r="N306" t="s">
        <v>154</v>
      </c>
      <c r="O306">
        <v>1</v>
      </c>
      <c r="P306">
        <v>2.5823999999999998</v>
      </c>
      <c r="Q306">
        <v>155</v>
      </c>
      <c r="R306">
        <v>2.5823999999999998</v>
      </c>
      <c r="S306">
        <v>155</v>
      </c>
      <c r="T306">
        <v>400.27199999999999</v>
      </c>
    </row>
    <row r="307" spans="1:20" x14ac:dyDescent="0.35">
      <c r="A307" t="s">
        <v>1641</v>
      </c>
      <c r="B307">
        <v>571</v>
      </c>
      <c r="D307">
        <v>45922</v>
      </c>
      <c r="F307" t="s">
        <v>142</v>
      </c>
      <c r="G307" t="s">
        <v>2010</v>
      </c>
      <c r="H307" t="s">
        <v>2011</v>
      </c>
      <c r="I307" t="s">
        <v>1823</v>
      </c>
      <c r="J307" t="s">
        <v>2010</v>
      </c>
      <c r="K307" t="s">
        <v>151</v>
      </c>
      <c r="M307" t="s">
        <v>151</v>
      </c>
      <c r="N307" t="s">
        <v>213</v>
      </c>
      <c r="O307">
        <v>1</v>
      </c>
      <c r="P307">
        <v>16.449200000000001</v>
      </c>
      <c r="Q307">
        <v>24</v>
      </c>
      <c r="R307">
        <v>16.449200000000001</v>
      </c>
      <c r="S307">
        <v>24</v>
      </c>
      <c r="T307">
        <v>394.7808</v>
      </c>
    </row>
    <row r="308" spans="1:20" x14ac:dyDescent="0.35">
      <c r="A308" t="s">
        <v>1641</v>
      </c>
      <c r="B308">
        <v>572</v>
      </c>
      <c r="D308">
        <v>45922</v>
      </c>
      <c r="F308" t="s">
        <v>142</v>
      </c>
      <c r="G308" t="s">
        <v>2012</v>
      </c>
      <c r="H308" t="s">
        <v>2013</v>
      </c>
      <c r="I308" t="s">
        <v>1823</v>
      </c>
      <c r="J308" t="s">
        <v>2012</v>
      </c>
      <c r="K308" t="s">
        <v>2014</v>
      </c>
      <c r="M308" t="s">
        <v>151</v>
      </c>
      <c r="N308" t="s">
        <v>213</v>
      </c>
      <c r="O308">
        <v>1</v>
      </c>
      <c r="P308">
        <v>16.402999999999999</v>
      </c>
      <c r="Q308">
        <v>24</v>
      </c>
      <c r="R308">
        <v>16.402999999999999</v>
      </c>
      <c r="S308">
        <v>24</v>
      </c>
      <c r="T308">
        <v>393.67199999999997</v>
      </c>
    </row>
    <row r="309" spans="1:20" x14ac:dyDescent="0.35">
      <c r="A309" t="s">
        <v>1641</v>
      </c>
      <c r="B309">
        <v>243</v>
      </c>
      <c r="D309">
        <v>45824</v>
      </c>
      <c r="F309" t="s">
        <v>142</v>
      </c>
      <c r="G309" t="s">
        <v>2015</v>
      </c>
      <c r="H309" t="s">
        <v>2016</v>
      </c>
      <c r="I309" t="s">
        <v>560</v>
      </c>
      <c r="J309" t="s">
        <v>2015</v>
      </c>
      <c r="K309" t="s">
        <v>2017</v>
      </c>
      <c r="M309" t="s">
        <v>151</v>
      </c>
      <c r="N309" t="s">
        <v>213</v>
      </c>
      <c r="O309">
        <v>1</v>
      </c>
      <c r="P309">
        <v>14.653499999999999</v>
      </c>
      <c r="Q309">
        <v>27</v>
      </c>
      <c r="R309">
        <v>14.653499999999999</v>
      </c>
      <c r="S309">
        <v>27</v>
      </c>
      <c r="T309">
        <v>395.64449999999999</v>
      </c>
    </row>
    <row r="310" spans="1:20" x14ac:dyDescent="0.35">
      <c r="A310" t="s">
        <v>1641</v>
      </c>
      <c r="B310">
        <v>65</v>
      </c>
      <c r="D310">
        <v>45674</v>
      </c>
      <c r="F310" t="s">
        <v>142</v>
      </c>
      <c r="G310" t="s">
        <v>2018</v>
      </c>
      <c r="H310" t="s">
        <v>2019</v>
      </c>
      <c r="I310" t="s">
        <v>1683</v>
      </c>
      <c r="J310" t="s">
        <v>2018</v>
      </c>
      <c r="K310" t="s">
        <v>2020</v>
      </c>
      <c r="M310" t="s">
        <v>151</v>
      </c>
      <c r="N310" t="s">
        <v>213</v>
      </c>
      <c r="O310">
        <v>1</v>
      </c>
      <c r="P310">
        <v>8.1925000000000008</v>
      </c>
      <c r="Q310">
        <v>48</v>
      </c>
      <c r="R310">
        <v>8.1925000000000008</v>
      </c>
      <c r="S310">
        <v>48</v>
      </c>
      <c r="T310">
        <v>393.24</v>
      </c>
    </row>
    <row r="311" spans="1:20" x14ac:dyDescent="0.35">
      <c r="A311" t="s">
        <v>1641</v>
      </c>
      <c r="B311">
        <v>53</v>
      </c>
      <c r="D311">
        <v>45785</v>
      </c>
      <c r="F311" t="s">
        <v>142</v>
      </c>
      <c r="G311" t="s">
        <v>2021</v>
      </c>
      <c r="H311" t="s">
        <v>2022</v>
      </c>
      <c r="I311" t="s">
        <v>1647</v>
      </c>
      <c r="J311" t="s">
        <v>2021</v>
      </c>
      <c r="K311" t="s">
        <v>151</v>
      </c>
      <c r="M311" t="s">
        <v>151</v>
      </c>
      <c r="N311" t="s">
        <v>154</v>
      </c>
      <c r="O311">
        <v>1</v>
      </c>
      <c r="P311">
        <v>98.030100000000004</v>
      </c>
      <c r="Q311">
        <v>4</v>
      </c>
      <c r="R311">
        <v>98.030100000000004</v>
      </c>
      <c r="S311">
        <v>4</v>
      </c>
      <c r="T311">
        <v>392.12040000000002</v>
      </c>
    </row>
    <row r="312" spans="1:20" x14ac:dyDescent="0.35">
      <c r="A312" t="s">
        <v>1641</v>
      </c>
      <c r="B312">
        <v>296</v>
      </c>
      <c r="D312">
        <v>45720</v>
      </c>
      <c r="F312" t="s">
        <v>142</v>
      </c>
      <c r="G312" t="s">
        <v>2023</v>
      </c>
      <c r="H312" t="s">
        <v>2024</v>
      </c>
      <c r="I312" t="s">
        <v>1645</v>
      </c>
      <c r="J312" t="s">
        <v>2023</v>
      </c>
      <c r="K312" t="s">
        <v>2025</v>
      </c>
      <c r="M312" t="s">
        <v>151</v>
      </c>
      <c r="N312" t="s">
        <v>154</v>
      </c>
      <c r="O312">
        <v>1</v>
      </c>
      <c r="P312">
        <v>389.09739999999999</v>
      </c>
      <c r="Q312">
        <v>1</v>
      </c>
      <c r="R312">
        <v>389.09739999999999</v>
      </c>
      <c r="S312">
        <v>1</v>
      </c>
      <c r="T312">
        <v>389.09739999999999</v>
      </c>
    </row>
    <row r="313" spans="1:20" x14ac:dyDescent="0.35">
      <c r="A313" t="s">
        <v>1641</v>
      </c>
      <c r="B313">
        <v>286</v>
      </c>
      <c r="D313">
        <v>45841</v>
      </c>
      <c r="F313" t="s">
        <v>142</v>
      </c>
      <c r="G313" t="s">
        <v>2026</v>
      </c>
      <c r="H313" t="s">
        <v>2027</v>
      </c>
      <c r="I313" t="s">
        <v>1645</v>
      </c>
      <c r="J313" t="s">
        <v>2026</v>
      </c>
      <c r="K313" t="s">
        <v>2028</v>
      </c>
      <c r="M313" t="s">
        <v>151</v>
      </c>
      <c r="N313" t="s">
        <v>154</v>
      </c>
      <c r="O313">
        <v>1</v>
      </c>
      <c r="P313">
        <v>194.76730000000001</v>
      </c>
      <c r="Q313">
        <v>2</v>
      </c>
      <c r="R313">
        <v>194.76730000000001</v>
      </c>
      <c r="S313">
        <v>2</v>
      </c>
      <c r="T313">
        <v>389.53460000000001</v>
      </c>
    </row>
    <row r="314" spans="1:20" x14ac:dyDescent="0.35">
      <c r="A314" t="s">
        <v>1641</v>
      </c>
      <c r="B314">
        <v>503</v>
      </c>
      <c r="D314">
        <v>45881</v>
      </c>
      <c r="F314" t="s">
        <v>142</v>
      </c>
      <c r="G314" t="s">
        <v>2029</v>
      </c>
      <c r="H314" t="s">
        <v>2030</v>
      </c>
      <c r="I314" t="s">
        <v>1852</v>
      </c>
      <c r="J314" t="s">
        <v>2029</v>
      </c>
      <c r="K314" t="s">
        <v>2031</v>
      </c>
      <c r="M314" t="s">
        <v>151</v>
      </c>
      <c r="N314" t="s">
        <v>154</v>
      </c>
      <c r="O314">
        <v>1</v>
      </c>
      <c r="P314">
        <v>10.5007</v>
      </c>
      <c r="Q314">
        <v>37</v>
      </c>
      <c r="R314">
        <v>10.5007</v>
      </c>
      <c r="S314">
        <v>37</v>
      </c>
      <c r="T314">
        <v>388.52589999999998</v>
      </c>
    </row>
    <row r="315" spans="1:20" x14ac:dyDescent="0.35">
      <c r="A315" t="s">
        <v>1641</v>
      </c>
      <c r="B315">
        <v>268</v>
      </c>
      <c r="D315">
        <v>45785</v>
      </c>
      <c r="F315" t="s">
        <v>142</v>
      </c>
      <c r="G315" t="s">
        <v>2032</v>
      </c>
      <c r="H315" t="s">
        <v>2033</v>
      </c>
      <c r="I315" t="s">
        <v>1659</v>
      </c>
      <c r="J315" t="s">
        <v>2032</v>
      </c>
      <c r="K315" t="s">
        <v>2034</v>
      </c>
      <c r="M315" t="s">
        <v>151</v>
      </c>
      <c r="N315" t="s">
        <v>154</v>
      </c>
      <c r="O315">
        <v>1</v>
      </c>
      <c r="P315">
        <v>19.276499999999999</v>
      </c>
      <c r="Q315">
        <v>20</v>
      </c>
      <c r="R315">
        <v>19.276499999999999</v>
      </c>
      <c r="S315">
        <v>20</v>
      </c>
      <c r="T315">
        <v>385.53</v>
      </c>
    </row>
    <row r="316" spans="1:20" x14ac:dyDescent="0.35">
      <c r="A316" t="s">
        <v>1641</v>
      </c>
      <c r="B316">
        <v>269</v>
      </c>
      <c r="D316">
        <v>45785</v>
      </c>
      <c r="F316" t="s">
        <v>142</v>
      </c>
      <c r="G316" t="s">
        <v>2035</v>
      </c>
      <c r="H316" t="s">
        <v>2036</v>
      </c>
      <c r="I316" t="s">
        <v>1659</v>
      </c>
      <c r="J316" t="s">
        <v>2035</v>
      </c>
      <c r="K316" t="s">
        <v>2037</v>
      </c>
      <c r="M316" t="s">
        <v>151</v>
      </c>
      <c r="N316" t="s">
        <v>154</v>
      </c>
      <c r="O316">
        <v>1</v>
      </c>
      <c r="P316">
        <v>19.310300000000002</v>
      </c>
      <c r="Q316">
        <v>20</v>
      </c>
      <c r="R316">
        <v>19.310300000000002</v>
      </c>
      <c r="S316">
        <v>20</v>
      </c>
      <c r="T316">
        <v>386.20600000000002</v>
      </c>
    </row>
    <row r="317" spans="1:20" x14ac:dyDescent="0.35">
      <c r="A317" t="s">
        <v>1641</v>
      </c>
      <c r="B317">
        <v>130</v>
      </c>
      <c r="D317">
        <v>45703</v>
      </c>
      <c r="F317" t="s">
        <v>142</v>
      </c>
      <c r="G317" t="s">
        <v>2038</v>
      </c>
      <c r="H317" t="s">
        <v>2039</v>
      </c>
      <c r="I317" t="s">
        <v>1647</v>
      </c>
      <c r="J317" t="s">
        <v>2038</v>
      </c>
      <c r="K317" t="s">
        <v>2040</v>
      </c>
      <c r="M317" t="s">
        <v>151</v>
      </c>
      <c r="N317" t="s">
        <v>154</v>
      </c>
      <c r="O317">
        <v>1</v>
      </c>
      <c r="P317">
        <v>383.72669999999999</v>
      </c>
      <c r="Q317">
        <v>1</v>
      </c>
      <c r="R317">
        <v>383.72669999999999</v>
      </c>
      <c r="S317">
        <v>1</v>
      </c>
      <c r="T317">
        <v>383.72669999999999</v>
      </c>
    </row>
    <row r="318" spans="1:20" x14ac:dyDescent="0.35">
      <c r="A318" t="s">
        <v>1641</v>
      </c>
      <c r="B318">
        <v>131</v>
      </c>
      <c r="D318">
        <v>45692</v>
      </c>
      <c r="F318" t="s">
        <v>142</v>
      </c>
      <c r="G318" t="s">
        <v>2041</v>
      </c>
      <c r="H318" t="s">
        <v>2042</v>
      </c>
      <c r="I318" t="s">
        <v>1647</v>
      </c>
      <c r="J318" t="s">
        <v>2041</v>
      </c>
      <c r="K318" t="s">
        <v>2043</v>
      </c>
      <c r="M318" t="s">
        <v>151</v>
      </c>
      <c r="N318" t="s">
        <v>154</v>
      </c>
      <c r="O318">
        <v>1</v>
      </c>
      <c r="P318">
        <v>382.63130000000001</v>
      </c>
      <c r="Q318">
        <v>1</v>
      </c>
      <c r="R318">
        <v>382.63130000000001</v>
      </c>
      <c r="S318">
        <v>1</v>
      </c>
      <c r="T318">
        <v>382.63130000000001</v>
      </c>
    </row>
    <row r="319" spans="1:20" x14ac:dyDescent="0.35">
      <c r="A319" t="s">
        <v>1641</v>
      </c>
      <c r="B319">
        <v>617</v>
      </c>
      <c r="D319">
        <v>45833</v>
      </c>
      <c r="F319" t="s">
        <v>142</v>
      </c>
      <c r="G319" t="s">
        <v>2044</v>
      </c>
      <c r="H319" t="s">
        <v>2045</v>
      </c>
      <c r="I319" t="s">
        <v>1655</v>
      </c>
      <c r="J319" t="s">
        <v>2044</v>
      </c>
      <c r="K319" t="s">
        <v>2046</v>
      </c>
      <c r="M319" t="s">
        <v>151</v>
      </c>
      <c r="N319" t="s">
        <v>154</v>
      </c>
      <c r="O319">
        <v>1</v>
      </c>
      <c r="P319">
        <v>189.9341</v>
      </c>
      <c r="Q319">
        <v>2</v>
      </c>
      <c r="R319">
        <v>189.9341</v>
      </c>
      <c r="S319">
        <v>2</v>
      </c>
      <c r="T319">
        <v>379.8682</v>
      </c>
    </row>
    <row r="320" spans="1:20" x14ac:dyDescent="0.35">
      <c r="A320" t="s">
        <v>1641</v>
      </c>
      <c r="B320">
        <v>550</v>
      </c>
      <c r="D320">
        <v>45925</v>
      </c>
      <c r="F320" t="s">
        <v>142</v>
      </c>
      <c r="G320" t="s">
        <v>2047</v>
      </c>
      <c r="H320" t="s">
        <v>2048</v>
      </c>
      <c r="I320" t="s">
        <v>164</v>
      </c>
      <c r="J320" t="s">
        <v>2047</v>
      </c>
      <c r="K320" t="s">
        <v>2049</v>
      </c>
      <c r="M320" t="s">
        <v>151</v>
      </c>
      <c r="N320" t="s">
        <v>154</v>
      </c>
      <c r="O320">
        <v>1</v>
      </c>
      <c r="P320">
        <v>376.6866</v>
      </c>
      <c r="Q320">
        <v>1</v>
      </c>
      <c r="R320">
        <v>376.6866</v>
      </c>
      <c r="S320">
        <v>1</v>
      </c>
      <c r="T320">
        <v>376.6866</v>
      </c>
    </row>
    <row r="321" spans="1:20" x14ac:dyDescent="0.35">
      <c r="A321" t="s">
        <v>1641</v>
      </c>
      <c r="B321">
        <v>388</v>
      </c>
      <c r="D321">
        <v>45757</v>
      </c>
      <c r="F321" t="s">
        <v>142</v>
      </c>
      <c r="G321" t="s">
        <v>2050</v>
      </c>
      <c r="H321" t="s">
        <v>2051</v>
      </c>
      <c r="I321" t="s">
        <v>1678</v>
      </c>
      <c r="J321" t="s">
        <v>2050</v>
      </c>
      <c r="K321" t="s">
        <v>2052</v>
      </c>
      <c r="M321" t="s">
        <v>151</v>
      </c>
      <c r="N321" t="s">
        <v>213</v>
      </c>
      <c r="O321">
        <v>1</v>
      </c>
      <c r="P321">
        <v>375.14800000000002</v>
      </c>
      <c r="Q321">
        <v>1</v>
      </c>
      <c r="R321">
        <v>375.14800000000002</v>
      </c>
      <c r="S321">
        <v>1</v>
      </c>
      <c r="T321">
        <v>375.14800000000002</v>
      </c>
    </row>
    <row r="322" spans="1:20" x14ac:dyDescent="0.35">
      <c r="A322" t="s">
        <v>1641</v>
      </c>
      <c r="B322">
        <v>289</v>
      </c>
      <c r="D322">
        <v>45924</v>
      </c>
      <c r="F322" t="s">
        <v>142</v>
      </c>
      <c r="G322" t="s">
        <v>2053</v>
      </c>
      <c r="H322" t="s">
        <v>2054</v>
      </c>
      <c r="I322" t="s">
        <v>1645</v>
      </c>
      <c r="J322" t="s">
        <v>2053</v>
      </c>
      <c r="K322" t="s">
        <v>2055</v>
      </c>
      <c r="M322" t="s">
        <v>151</v>
      </c>
      <c r="N322" t="s">
        <v>154</v>
      </c>
      <c r="O322">
        <v>1</v>
      </c>
      <c r="P322">
        <v>374.94760000000002</v>
      </c>
      <c r="Q322">
        <v>1</v>
      </c>
      <c r="R322">
        <v>374.94760000000002</v>
      </c>
      <c r="S322">
        <v>1</v>
      </c>
      <c r="T322">
        <v>374.94760000000002</v>
      </c>
    </row>
    <row r="323" spans="1:20" x14ac:dyDescent="0.35">
      <c r="A323" t="s">
        <v>1641</v>
      </c>
      <c r="B323">
        <v>403</v>
      </c>
      <c r="D323">
        <v>45910</v>
      </c>
      <c r="F323" t="s">
        <v>142</v>
      </c>
      <c r="G323" t="s">
        <v>2056</v>
      </c>
      <c r="H323" t="s">
        <v>2057</v>
      </c>
      <c r="I323" t="s">
        <v>1678</v>
      </c>
      <c r="J323" t="s">
        <v>2056</v>
      </c>
      <c r="K323" t="s">
        <v>2058</v>
      </c>
      <c r="M323" t="s">
        <v>151</v>
      </c>
      <c r="N323" t="s">
        <v>213</v>
      </c>
      <c r="O323">
        <v>1</v>
      </c>
      <c r="P323">
        <v>7.7881</v>
      </c>
      <c r="Q323">
        <v>48</v>
      </c>
      <c r="R323">
        <v>7.7881</v>
      </c>
      <c r="S323">
        <v>48</v>
      </c>
      <c r="T323">
        <v>373.8288</v>
      </c>
    </row>
    <row r="324" spans="1:20" x14ac:dyDescent="0.35">
      <c r="A324" t="s">
        <v>1641</v>
      </c>
      <c r="B324">
        <v>469</v>
      </c>
      <c r="D324">
        <v>45910</v>
      </c>
      <c r="F324" t="s">
        <v>142</v>
      </c>
      <c r="G324" t="s">
        <v>2059</v>
      </c>
      <c r="H324" t="s">
        <v>2060</v>
      </c>
      <c r="I324" t="s">
        <v>1653</v>
      </c>
      <c r="J324" t="s">
        <v>2059</v>
      </c>
      <c r="K324" t="s">
        <v>2061</v>
      </c>
      <c r="M324" t="s">
        <v>151</v>
      </c>
      <c r="N324" t="s">
        <v>213</v>
      </c>
      <c r="O324">
        <v>1</v>
      </c>
      <c r="P324">
        <v>7.7563000000000004</v>
      </c>
      <c r="Q324">
        <v>48</v>
      </c>
      <c r="R324">
        <v>7.7563000000000004</v>
      </c>
      <c r="S324">
        <v>48</v>
      </c>
      <c r="T324">
        <v>372.30240000000003</v>
      </c>
    </row>
    <row r="325" spans="1:20" x14ac:dyDescent="0.35">
      <c r="A325" t="s">
        <v>1641</v>
      </c>
      <c r="B325">
        <v>57</v>
      </c>
      <c r="D325">
        <v>45833</v>
      </c>
      <c r="F325" t="s">
        <v>142</v>
      </c>
      <c r="G325" t="s">
        <v>2062</v>
      </c>
      <c r="H325" t="s">
        <v>2063</v>
      </c>
      <c r="I325" t="s">
        <v>1781</v>
      </c>
      <c r="J325" t="s">
        <v>2062</v>
      </c>
      <c r="K325" t="s">
        <v>2064</v>
      </c>
      <c r="M325" t="s">
        <v>151</v>
      </c>
      <c r="N325" t="s">
        <v>154</v>
      </c>
      <c r="O325">
        <v>1</v>
      </c>
      <c r="P325">
        <v>372.73450000000003</v>
      </c>
      <c r="Q325">
        <v>1</v>
      </c>
      <c r="R325">
        <v>372.73450000000003</v>
      </c>
      <c r="S325">
        <v>1</v>
      </c>
      <c r="T325">
        <v>372.73450000000003</v>
      </c>
    </row>
    <row r="326" spans="1:20" x14ac:dyDescent="0.35">
      <c r="A326" t="s">
        <v>1641</v>
      </c>
      <c r="B326">
        <v>362</v>
      </c>
      <c r="D326">
        <v>45875</v>
      </c>
      <c r="F326" t="s">
        <v>142</v>
      </c>
      <c r="G326" t="s">
        <v>2065</v>
      </c>
      <c r="H326" t="s">
        <v>2066</v>
      </c>
      <c r="I326" t="s">
        <v>2067</v>
      </c>
      <c r="J326" t="s">
        <v>2065</v>
      </c>
      <c r="K326" t="s">
        <v>1726</v>
      </c>
      <c r="M326" t="s">
        <v>151</v>
      </c>
      <c r="N326" t="s">
        <v>154</v>
      </c>
      <c r="O326">
        <v>1</v>
      </c>
      <c r="P326">
        <v>7.641</v>
      </c>
      <c r="Q326">
        <v>48</v>
      </c>
      <c r="R326">
        <v>7.641</v>
      </c>
      <c r="S326">
        <v>48</v>
      </c>
      <c r="T326">
        <v>366.76800000000003</v>
      </c>
    </row>
    <row r="327" spans="1:20" x14ac:dyDescent="0.35">
      <c r="A327" t="s">
        <v>1641</v>
      </c>
      <c r="B327">
        <v>492</v>
      </c>
      <c r="D327">
        <v>45666</v>
      </c>
      <c r="F327" t="s">
        <v>142</v>
      </c>
      <c r="G327" t="s">
        <v>2068</v>
      </c>
      <c r="H327" t="s">
        <v>2069</v>
      </c>
      <c r="I327" t="s">
        <v>1852</v>
      </c>
      <c r="J327" t="s">
        <v>2068</v>
      </c>
      <c r="K327" t="s">
        <v>2070</v>
      </c>
      <c r="M327" t="s">
        <v>151</v>
      </c>
      <c r="N327" t="s">
        <v>154</v>
      </c>
      <c r="O327">
        <v>1</v>
      </c>
      <c r="P327">
        <v>60.469900000000003</v>
      </c>
      <c r="Q327">
        <v>6</v>
      </c>
      <c r="R327">
        <v>60.469900000000003</v>
      </c>
      <c r="S327">
        <v>6</v>
      </c>
      <c r="T327">
        <v>362.81940000000003</v>
      </c>
    </row>
    <row r="328" spans="1:20" x14ac:dyDescent="0.35">
      <c r="A328" t="s">
        <v>1641</v>
      </c>
      <c r="B328">
        <v>336</v>
      </c>
      <c r="D328">
        <v>45684</v>
      </c>
      <c r="F328" t="s">
        <v>142</v>
      </c>
      <c r="G328" t="s">
        <v>2071</v>
      </c>
      <c r="H328" t="s">
        <v>2072</v>
      </c>
      <c r="I328" t="s">
        <v>1645</v>
      </c>
      <c r="J328" t="s">
        <v>2071</v>
      </c>
      <c r="K328" t="s">
        <v>2073</v>
      </c>
      <c r="M328" t="s">
        <v>151</v>
      </c>
      <c r="N328" t="s">
        <v>154</v>
      </c>
      <c r="O328">
        <v>1</v>
      </c>
      <c r="P328">
        <v>89.541200000000003</v>
      </c>
      <c r="Q328">
        <v>4</v>
      </c>
      <c r="R328">
        <v>89.541200000000003</v>
      </c>
      <c r="S328">
        <v>4</v>
      </c>
      <c r="T328">
        <v>358.16480000000001</v>
      </c>
    </row>
    <row r="329" spans="1:20" x14ac:dyDescent="0.35">
      <c r="A329" t="s">
        <v>1641</v>
      </c>
      <c r="B329">
        <v>504</v>
      </c>
      <c r="D329">
        <v>45881</v>
      </c>
      <c r="F329" t="s">
        <v>142</v>
      </c>
      <c r="G329" t="s">
        <v>2074</v>
      </c>
      <c r="H329" t="s">
        <v>2075</v>
      </c>
      <c r="I329" t="s">
        <v>1852</v>
      </c>
      <c r="J329" t="s">
        <v>2074</v>
      </c>
      <c r="K329" t="s">
        <v>2076</v>
      </c>
      <c r="M329" t="s">
        <v>151</v>
      </c>
      <c r="N329" t="s">
        <v>154</v>
      </c>
      <c r="O329">
        <v>1</v>
      </c>
      <c r="P329">
        <v>10.4687</v>
      </c>
      <c r="Q329">
        <v>34</v>
      </c>
      <c r="R329">
        <v>10.4687</v>
      </c>
      <c r="S329">
        <v>34</v>
      </c>
      <c r="T329">
        <v>355.93580000000003</v>
      </c>
    </row>
    <row r="330" spans="1:20" x14ac:dyDescent="0.35">
      <c r="A330" t="s">
        <v>1641</v>
      </c>
      <c r="B330">
        <v>417</v>
      </c>
      <c r="D330">
        <v>45910</v>
      </c>
      <c r="F330" t="s">
        <v>142</v>
      </c>
      <c r="G330" t="s">
        <v>2077</v>
      </c>
      <c r="H330" t="s">
        <v>2078</v>
      </c>
      <c r="I330" t="s">
        <v>1678</v>
      </c>
      <c r="J330" t="s">
        <v>2077</v>
      </c>
      <c r="K330" t="s">
        <v>2079</v>
      </c>
      <c r="M330" t="s">
        <v>151</v>
      </c>
      <c r="N330" t="s">
        <v>213</v>
      </c>
      <c r="O330">
        <v>1</v>
      </c>
      <c r="P330">
        <v>4.9321000000000002</v>
      </c>
      <c r="Q330">
        <v>72</v>
      </c>
      <c r="R330">
        <v>4.9321000000000002</v>
      </c>
      <c r="S330">
        <v>72</v>
      </c>
      <c r="T330">
        <v>355.1112</v>
      </c>
    </row>
    <row r="331" spans="1:20" x14ac:dyDescent="0.35">
      <c r="A331" t="s">
        <v>1641</v>
      </c>
      <c r="B331">
        <v>521</v>
      </c>
      <c r="D331">
        <v>45929</v>
      </c>
      <c r="F331" t="s">
        <v>142</v>
      </c>
      <c r="G331" t="s">
        <v>2080</v>
      </c>
      <c r="H331" t="s">
        <v>2081</v>
      </c>
      <c r="I331" t="s">
        <v>164</v>
      </c>
      <c r="J331" t="s">
        <v>2080</v>
      </c>
      <c r="K331" t="s">
        <v>151</v>
      </c>
      <c r="N331" t="s">
        <v>154</v>
      </c>
      <c r="O331">
        <v>1</v>
      </c>
      <c r="P331">
        <v>353.51049999999998</v>
      </c>
      <c r="Q331">
        <v>1</v>
      </c>
      <c r="R331">
        <v>353.51049999999998</v>
      </c>
      <c r="S331">
        <v>1</v>
      </c>
      <c r="T331">
        <v>353.51049999999998</v>
      </c>
    </row>
    <row r="332" spans="1:20" x14ac:dyDescent="0.35">
      <c r="A332" t="s">
        <v>1641</v>
      </c>
      <c r="B332">
        <v>36</v>
      </c>
      <c r="D332">
        <v>45887</v>
      </c>
      <c r="F332" t="s">
        <v>142</v>
      </c>
      <c r="G332" t="s">
        <v>2082</v>
      </c>
      <c r="H332" t="s">
        <v>2083</v>
      </c>
      <c r="I332" t="s">
        <v>1647</v>
      </c>
      <c r="J332" t="s">
        <v>2082</v>
      </c>
      <c r="K332" t="s">
        <v>2084</v>
      </c>
      <c r="M332" t="s">
        <v>151</v>
      </c>
      <c r="N332" t="s">
        <v>154</v>
      </c>
      <c r="O332">
        <v>1</v>
      </c>
      <c r="P332">
        <v>14.1334</v>
      </c>
      <c r="Q332">
        <v>25</v>
      </c>
      <c r="R332">
        <v>14.1334</v>
      </c>
      <c r="S332">
        <v>25</v>
      </c>
      <c r="T332">
        <v>353.33499999999998</v>
      </c>
    </row>
    <row r="333" spans="1:20" x14ac:dyDescent="0.35">
      <c r="A333" t="s">
        <v>1641</v>
      </c>
      <c r="B333">
        <v>400</v>
      </c>
      <c r="D333">
        <v>45674</v>
      </c>
      <c r="F333" t="s">
        <v>142</v>
      </c>
      <c r="G333" t="s">
        <v>2085</v>
      </c>
      <c r="H333" t="s">
        <v>2086</v>
      </c>
      <c r="I333" t="s">
        <v>1678</v>
      </c>
      <c r="J333" t="s">
        <v>2085</v>
      </c>
      <c r="K333" t="s">
        <v>2087</v>
      </c>
      <c r="M333" t="s">
        <v>151</v>
      </c>
      <c r="N333" t="s">
        <v>154</v>
      </c>
      <c r="O333">
        <v>1</v>
      </c>
      <c r="P333">
        <v>7.0048000000000004</v>
      </c>
      <c r="Q333">
        <v>50</v>
      </c>
      <c r="R333">
        <v>7.0048000000000004</v>
      </c>
      <c r="S333">
        <v>50</v>
      </c>
      <c r="T333">
        <v>350.24</v>
      </c>
    </row>
    <row r="334" spans="1:20" x14ac:dyDescent="0.35">
      <c r="A334" t="s">
        <v>1641</v>
      </c>
      <c r="B334">
        <v>573</v>
      </c>
      <c r="D334">
        <v>45784</v>
      </c>
      <c r="F334" t="s">
        <v>142</v>
      </c>
      <c r="G334" t="s">
        <v>2088</v>
      </c>
      <c r="H334" t="s">
        <v>2089</v>
      </c>
      <c r="I334" t="s">
        <v>1823</v>
      </c>
      <c r="J334" t="s">
        <v>2088</v>
      </c>
      <c r="K334" t="s">
        <v>2090</v>
      </c>
      <c r="M334" t="s">
        <v>151</v>
      </c>
      <c r="N334" t="s">
        <v>213</v>
      </c>
      <c r="O334">
        <v>1</v>
      </c>
      <c r="P334">
        <v>14.525700000000001</v>
      </c>
      <c r="Q334">
        <v>24</v>
      </c>
      <c r="R334">
        <v>14.525700000000001</v>
      </c>
      <c r="S334">
        <v>24</v>
      </c>
      <c r="T334">
        <v>348.61680000000001</v>
      </c>
    </row>
    <row r="335" spans="1:20" x14ac:dyDescent="0.35">
      <c r="A335" t="s">
        <v>1641</v>
      </c>
      <c r="B335">
        <v>535</v>
      </c>
      <c r="D335">
        <v>45884</v>
      </c>
      <c r="F335" t="s">
        <v>142</v>
      </c>
      <c r="G335" t="s">
        <v>2091</v>
      </c>
      <c r="H335" t="s">
        <v>2092</v>
      </c>
      <c r="I335" t="s">
        <v>164</v>
      </c>
      <c r="J335" t="s">
        <v>2091</v>
      </c>
      <c r="K335" t="s">
        <v>2093</v>
      </c>
      <c r="M335" t="s">
        <v>151</v>
      </c>
      <c r="N335" t="s">
        <v>154</v>
      </c>
      <c r="O335">
        <v>1</v>
      </c>
      <c r="P335">
        <v>173.7902</v>
      </c>
      <c r="Q335">
        <v>2</v>
      </c>
      <c r="R335">
        <v>173.7902</v>
      </c>
      <c r="S335">
        <v>2</v>
      </c>
      <c r="T335">
        <v>347.5804</v>
      </c>
    </row>
    <row r="336" spans="1:20" x14ac:dyDescent="0.35">
      <c r="A336" t="s">
        <v>1641</v>
      </c>
      <c r="B336">
        <v>510</v>
      </c>
      <c r="D336">
        <v>45723</v>
      </c>
      <c r="F336" t="s">
        <v>142</v>
      </c>
      <c r="G336" t="s">
        <v>2094</v>
      </c>
      <c r="H336" t="s">
        <v>2095</v>
      </c>
      <c r="I336" t="s">
        <v>164</v>
      </c>
      <c r="J336" t="s">
        <v>2094</v>
      </c>
      <c r="K336" t="s">
        <v>151</v>
      </c>
      <c r="M336" t="s">
        <v>151</v>
      </c>
      <c r="N336" t="s">
        <v>154</v>
      </c>
      <c r="O336">
        <v>1</v>
      </c>
      <c r="P336">
        <v>339.09840000000003</v>
      </c>
      <c r="Q336">
        <v>1</v>
      </c>
      <c r="R336">
        <v>339.09840000000003</v>
      </c>
      <c r="S336">
        <v>1</v>
      </c>
      <c r="T336">
        <v>339.09840000000003</v>
      </c>
    </row>
    <row r="337" spans="1:20" x14ac:dyDescent="0.35">
      <c r="A337" t="s">
        <v>1641</v>
      </c>
      <c r="B337">
        <v>230</v>
      </c>
      <c r="D337">
        <v>45785</v>
      </c>
      <c r="F337" t="s">
        <v>142</v>
      </c>
      <c r="G337" t="s">
        <v>2096</v>
      </c>
      <c r="H337" t="s">
        <v>2097</v>
      </c>
      <c r="I337" t="s">
        <v>2098</v>
      </c>
      <c r="J337" t="s">
        <v>2096</v>
      </c>
      <c r="K337" t="s">
        <v>151</v>
      </c>
      <c r="M337" t="s">
        <v>151</v>
      </c>
      <c r="N337" t="s">
        <v>154</v>
      </c>
      <c r="O337">
        <v>1</v>
      </c>
      <c r="P337">
        <v>84.637799999999999</v>
      </c>
      <c r="Q337">
        <v>4</v>
      </c>
      <c r="R337">
        <v>84.637799999999999</v>
      </c>
      <c r="S337">
        <v>4</v>
      </c>
      <c r="T337">
        <v>338.55119999999999</v>
      </c>
    </row>
    <row r="338" spans="1:20" x14ac:dyDescent="0.35">
      <c r="A338" t="s">
        <v>1641</v>
      </c>
      <c r="B338">
        <v>369</v>
      </c>
      <c r="D338">
        <v>45835</v>
      </c>
      <c r="F338" t="s">
        <v>142</v>
      </c>
      <c r="G338" t="s">
        <v>2099</v>
      </c>
      <c r="H338" t="s">
        <v>2100</v>
      </c>
      <c r="I338" t="s">
        <v>1788</v>
      </c>
      <c r="J338" t="s">
        <v>2099</v>
      </c>
      <c r="K338" t="s">
        <v>2101</v>
      </c>
      <c r="M338" t="s">
        <v>151</v>
      </c>
      <c r="N338" t="s">
        <v>154</v>
      </c>
      <c r="O338">
        <v>1</v>
      </c>
      <c r="P338">
        <v>33.825099999999999</v>
      </c>
      <c r="Q338">
        <v>10</v>
      </c>
      <c r="R338">
        <v>33.825099999999999</v>
      </c>
      <c r="S338">
        <v>10</v>
      </c>
      <c r="T338">
        <v>338.25099999999998</v>
      </c>
    </row>
    <row r="339" spans="1:20" x14ac:dyDescent="0.35">
      <c r="A339" t="s">
        <v>1641</v>
      </c>
      <c r="B339">
        <v>267</v>
      </c>
      <c r="D339">
        <v>45785</v>
      </c>
      <c r="F339" t="s">
        <v>142</v>
      </c>
      <c r="G339" t="s">
        <v>2102</v>
      </c>
      <c r="H339" t="s">
        <v>2103</v>
      </c>
      <c r="I339" t="s">
        <v>1659</v>
      </c>
      <c r="J339" t="s">
        <v>2102</v>
      </c>
      <c r="K339" t="s">
        <v>2037</v>
      </c>
      <c r="M339" t="s">
        <v>151</v>
      </c>
      <c r="N339" t="s">
        <v>154</v>
      </c>
      <c r="O339">
        <v>1</v>
      </c>
      <c r="P339">
        <v>16.658899999999999</v>
      </c>
      <c r="Q339">
        <v>20</v>
      </c>
      <c r="R339">
        <v>16.658899999999999</v>
      </c>
      <c r="S339">
        <v>20</v>
      </c>
      <c r="T339">
        <v>333.178</v>
      </c>
    </row>
    <row r="340" spans="1:20" x14ac:dyDescent="0.35">
      <c r="A340" t="s">
        <v>1641</v>
      </c>
      <c r="B340">
        <v>576</v>
      </c>
      <c r="D340">
        <v>45905</v>
      </c>
      <c r="F340" t="s">
        <v>142</v>
      </c>
      <c r="G340" t="s">
        <v>2104</v>
      </c>
      <c r="H340" t="s">
        <v>2105</v>
      </c>
      <c r="I340" t="s">
        <v>1823</v>
      </c>
      <c r="J340" t="s">
        <v>2104</v>
      </c>
      <c r="K340" t="s">
        <v>2106</v>
      </c>
      <c r="M340" t="s">
        <v>151</v>
      </c>
      <c r="N340" t="s">
        <v>213</v>
      </c>
      <c r="O340">
        <v>1</v>
      </c>
      <c r="P340">
        <v>13.7669</v>
      </c>
      <c r="Q340">
        <v>24</v>
      </c>
      <c r="R340">
        <v>13.7669</v>
      </c>
      <c r="S340">
        <v>24</v>
      </c>
      <c r="T340">
        <v>330.40559999999999</v>
      </c>
    </row>
    <row r="341" spans="1:20" x14ac:dyDescent="0.35">
      <c r="A341" t="s">
        <v>1641</v>
      </c>
      <c r="B341">
        <v>577</v>
      </c>
      <c r="D341">
        <v>45898</v>
      </c>
      <c r="F341" t="s">
        <v>142</v>
      </c>
      <c r="G341" t="s">
        <v>2107</v>
      </c>
      <c r="H341" t="s">
        <v>2108</v>
      </c>
      <c r="I341" t="s">
        <v>1823</v>
      </c>
      <c r="J341" t="s">
        <v>2107</v>
      </c>
      <c r="K341" t="s">
        <v>2109</v>
      </c>
      <c r="M341" t="s">
        <v>151</v>
      </c>
      <c r="N341" t="s">
        <v>213</v>
      </c>
      <c r="O341">
        <v>1</v>
      </c>
      <c r="P341">
        <v>13.739100000000001</v>
      </c>
      <c r="Q341">
        <v>24</v>
      </c>
      <c r="R341">
        <v>13.739100000000001</v>
      </c>
      <c r="S341">
        <v>24</v>
      </c>
      <c r="T341">
        <v>329.73840000000001</v>
      </c>
    </row>
    <row r="342" spans="1:20" x14ac:dyDescent="0.35">
      <c r="A342" t="s">
        <v>1641</v>
      </c>
      <c r="B342">
        <v>12</v>
      </c>
      <c r="D342">
        <v>45903</v>
      </c>
      <c r="F342" t="s">
        <v>142</v>
      </c>
      <c r="G342" t="s">
        <v>2110</v>
      </c>
      <c r="H342" t="s">
        <v>2111</v>
      </c>
      <c r="I342" t="s">
        <v>1647</v>
      </c>
      <c r="J342" t="s">
        <v>2110</v>
      </c>
      <c r="K342" t="s">
        <v>2112</v>
      </c>
      <c r="M342" t="s">
        <v>151</v>
      </c>
      <c r="N342" t="s">
        <v>154</v>
      </c>
      <c r="O342">
        <v>1</v>
      </c>
      <c r="P342">
        <v>4.0824999999999996</v>
      </c>
      <c r="Q342">
        <v>80</v>
      </c>
      <c r="R342">
        <v>4.0824999999999996</v>
      </c>
      <c r="S342">
        <v>80</v>
      </c>
      <c r="T342">
        <v>326.59999999999997</v>
      </c>
    </row>
    <row r="343" spans="1:20" x14ac:dyDescent="0.35">
      <c r="A343" t="s">
        <v>1641</v>
      </c>
      <c r="B343">
        <v>32</v>
      </c>
      <c r="D343">
        <v>45922</v>
      </c>
      <c r="F343" t="s">
        <v>142</v>
      </c>
      <c r="G343" t="s">
        <v>2113</v>
      </c>
      <c r="H343" t="s">
        <v>2114</v>
      </c>
      <c r="I343" t="s">
        <v>1647</v>
      </c>
      <c r="J343" t="s">
        <v>2113</v>
      </c>
      <c r="K343" t="s">
        <v>151</v>
      </c>
      <c r="M343" t="s">
        <v>151</v>
      </c>
      <c r="N343" t="s">
        <v>1650</v>
      </c>
      <c r="O343">
        <v>1</v>
      </c>
      <c r="P343">
        <v>32.624899999999997</v>
      </c>
      <c r="Q343">
        <v>10</v>
      </c>
      <c r="R343">
        <v>32.624899999999997</v>
      </c>
      <c r="S343">
        <v>10</v>
      </c>
      <c r="T343">
        <v>326.24899999999997</v>
      </c>
    </row>
    <row r="344" spans="1:20" x14ac:dyDescent="0.35">
      <c r="A344" t="s">
        <v>1641</v>
      </c>
      <c r="B344">
        <v>330</v>
      </c>
      <c r="D344">
        <v>45678</v>
      </c>
      <c r="F344" t="s">
        <v>142</v>
      </c>
      <c r="G344" t="s">
        <v>2115</v>
      </c>
      <c r="H344" t="s">
        <v>2116</v>
      </c>
      <c r="I344" t="s">
        <v>1645</v>
      </c>
      <c r="J344" t="s">
        <v>2115</v>
      </c>
      <c r="K344" t="s">
        <v>2117</v>
      </c>
      <c r="M344" t="s">
        <v>151</v>
      </c>
      <c r="N344" t="s">
        <v>154</v>
      </c>
      <c r="O344">
        <v>1</v>
      </c>
      <c r="P344">
        <v>22.965499999999999</v>
      </c>
      <c r="Q344">
        <v>14</v>
      </c>
      <c r="R344">
        <v>22.965499999999999</v>
      </c>
      <c r="S344">
        <v>14</v>
      </c>
      <c r="T344">
        <v>321.517</v>
      </c>
    </row>
    <row r="345" spans="1:20" x14ac:dyDescent="0.35">
      <c r="A345" t="s">
        <v>1641</v>
      </c>
      <c r="B345">
        <v>378</v>
      </c>
      <c r="D345">
        <v>45693</v>
      </c>
      <c r="F345" t="s">
        <v>142</v>
      </c>
      <c r="G345" t="s">
        <v>2118</v>
      </c>
      <c r="H345" t="s">
        <v>2119</v>
      </c>
      <c r="I345" t="s">
        <v>1678</v>
      </c>
      <c r="J345" t="s">
        <v>2118</v>
      </c>
      <c r="K345" t="s">
        <v>2120</v>
      </c>
      <c r="M345" t="s">
        <v>151</v>
      </c>
      <c r="N345" t="s">
        <v>154</v>
      </c>
      <c r="O345">
        <v>1</v>
      </c>
      <c r="P345">
        <v>80.108599999999996</v>
      </c>
      <c r="Q345">
        <v>4</v>
      </c>
      <c r="R345">
        <v>80.108599999999996</v>
      </c>
      <c r="S345">
        <v>4</v>
      </c>
      <c r="T345">
        <v>320.43439999999998</v>
      </c>
    </row>
    <row r="346" spans="1:20" x14ac:dyDescent="0.35">
      <c r="A346" t="s">
        <v>1641</v>
      </c>
      <c r="B346">
        <v>382</v>
      </c>
      <c r="D346">
        <v>45693</v>
      </c>
      <c r="F346" t="s">
        <v>142</v>
      </c>
      <c r="G346" t="s">
        <v>2121</v>
      </c>
      <c r="H346" t="s">
        <v>2122</v>
      </c>
      <c r="I346" t="s">
        <v>1678</v>
      </c>
      <c r="J346" t="s">
        <v>2121</v>
      </c>
      <c r="K346" t="s">
        <v>2123</v>
      </c>
      <c r="M346" t="s">
        <v>151</v>
      </c>
      <c r="N346" t="s">
        <v>154</v>
      </c>
      <c r="O346">
        <v>1</v>
      </c>
      <c r="P346">
        <v>80.277600000000007</v>
      </c>
      <c r="Q346">
        <v>4</v>
      </c>
      <c r="R346">
        <v>80.277600000000007</v>
      </c>
      <c r="S346">
        <v>4</v>
      </c>
      <c r="T346">
        <v>321.11040000000003</v>
      </c>
    </row>
    <row r="347" spans="1:20" x14ac:dyDescent="0.35">
      <c r="A347" t="s">
        <v>1641</v>
      </c>
      <c r="B347">
        <v>383</v>
      </c>
      <c r="D347">
        <v>45693</v>
      </c>
      <c r="F347" t="s">
        <v>142</v>
      </c>
      <c r="G347" t="s">
        <v>2124</v>
      </c>
      <c r="H347" t="s">
        <v>2125</v>
      </c>
      <c r="I347" t="s">
        <v>1678</v>
      </c>
      <c r="J347" t="s">
        <v>2124</v>
      </c>
      <c r="K347" t="s">
        <v>2126</v>
      </c>
      <c r="M347" t="s">
        <v>151</v>
      </c>
      <c r="N347" t="s">
        <v>154</v>
      </c>
      <c r="O347">
        <v>1</v>
      </c>
      <c r="P347">
        <v>80.319999999999993</v>
      </c>
      <c r="Q347">
        <v>4</v>
      </c>
      <c r="R347">
        <v>80.319999999999993</v>
      </c>
      <c r="S347">
        <v>4</v>
      </c>
      <c r="T347">
        <v>321.27999999999997</v>
      </c>
    </row>
    <row r="348" spans="1:20" x14ac:dyDescent="0.35">
      <c r="A348" t="s">
        <v>1641</v>
      </c>
      <c r="B348">
        <v>174</v>
      </c>
      <c r="D348">
        <v>45924</v>
      </c>
      <c r="F348" t="s">
        <v>142</v>
      </c>
      <c r="G348" t="s">
        <v>2127</v>
      </c>
      <c r="H348" t="s">
        <v>2128</v>
      </c>
      <c r="I348" t="s">
        <v>1655</v>
      </c>
      <c r="J348" t="s">
        <v>2127</v>
      </c>
      <c r="K348" t="s">
        <v>151</v>
      </c>
      <c r="M348" t="s">
        <v>151</v>
      </c>
      <c r="N348" t="s">
        <v>154</v>
      </c>
      <c r="O348">
        <v>1</v>
      </c>
      <c r="P348">
        <v>19.932300000000001</v>
      </c>
      <c r="Q348">
        <v>16</v>
      </c>
      <c r="R348">
        <v>19.932300000000001</v>
      </c>
      <c r="S348">
        <v>16</v>
      </c>
      <c r="T348">
        <v>318.91680000000002</v>
      </c>
    </row>
    <row r="349" spans="1:20" x14ac:dyDescent="0.35">
      <c r="A349" t="s">
        <v>1641</v>
      </c>
      <c r="B349">
        <v>557</v>
      </c>
      <c r="D349">
        <v>45910</v>
      </c>
      <c r="F349" t="s">
        <v>142</v>
      </c>
      <c r="G349" t="s">
        <v>2129</v>
      </c>
      <c r="H349" t="s">
        <v>2130</v>
      </c>
      <c r="I349" t="s">
        <v>1651</v>
      </c>
      <c r="J349" t="s">
        <v>2129</v>
      </c>
      <c r="K349" t="s">
        <v>2131</v>
      </c>
      <c r="M349" t="s">
        <v>151</v>
      </c>
      <c r="N349" t="s">
        <v>154</v>
      </c>
      <c r="O349">
        <v>1</v>
      </c>
      <c r="P349">
        <v>21.259499999999999</v>
      </c>
      <c r="Q349">
        <v>15</v>
      </c>
      <c r="R349">
        <v>21.259499999999999</v>
      </c>
      <c r="S349">
        <v>15</v>
      </c>
      <c r="T349">
        <v>318.89249999999998</v>
      </c>
    </row>
    <row r="350" spans="1:20" x14ac:dyDescent="0.35">
      <c r="A350" t="s">
        <v>1641</v>
      </c>
      <c r="B350">
        <v>341</v>
      </c>
      <c r="D350">
        <v>45875</v>
      </c>
      <c r="F350" t="s">
        <v>142</v>
      </c>
      <c r="G350" t="s">
        <v>2132</v>
      </c>
      <c r="H350" t="s">
        <v>2133</v>
      </c>
      <c r="I350" t="s">
        <v>1645</v>
      </c>
      <c r="J350" t="s">
        <v>2132</v>
      </c>
      <c r="K350" t="s">
        <v>2134</v>
      </c>
      <c r="M350" t="s">
        <v>151</v>
      </c>
      <c r="N350" t="s">
        <v>154</v>
      </c>
      <c r="O350">
        <v>1</v>
      </c>
      <c r="P350">
        <v>79.341700000000003</v>
      </c>
      <c r="Q350">
        <v>4</v>
      </c>
      <c r="R350">
        <v>79.341700000000003</v>
      </c>
      <c r="S350">
        <v>4</v>
      </c>
      <c r="T350">
        <v>317.36680000000001</v>
      </c>
    </row>
    <row r="351" spans="1:20" x14ac:dyDescent="0.35">
      <c r="A351" t="s">
        <v>1641</v>
      </c>
      <c r="B351">
        <v>179</v>
      </c>
      <c r="D351">
        <v>45819</v>
      </c>
      <c r="F351" t="s">
        <v>142</v>
      </c>
      <c r="G351" t="s">
        <v>2135</v>
      </c>
      <c r="H351" t="s">
        <v>2136</v>
      </c>
      <c r="I351" t="s">
        <v>1655</v>
      </c>
      <c r="J351" t="s">
        <v>2135</v>
      </c>
      <c r="K351" t="s">
        <v>151</v>
      </c>
      <c r="N351" t="s">
        <v>154</v>
      </c>
      <c r="O351">
        <v>1</v>
      </c>
      <c r="P351">
        <v>18.491</v>
      </c>
      <c r="Q351">
        <v>17</v>
      </c>
      <c r="R351">
        <v>18.491</v>
      </c>
      <c r="S351">
        <v>17</v>
      </c>
      <c r="T351">
        <v>314.34699999999998</v>
      </c>
    </row>
    <row r="352" spans="1:20" x14ac:dyDescent="0.35">
      <c r="A352" t="s">
        <v>1641</v>
      </c>
      <c r="B352">
        <v>302</v>
      </c>
      <c r="D352">
        <v>45673</v>
      </c>
      <c r="F352" t="s">
        <v>142</v>
      </c>
      <c r="G352" t="s">
        <v>2137</v>
      </c>
      <c r="H352" t="s">
        <v>2138</v>
      </c>
      <c r="I352" t="s">
        <v>1645</v>
      </c>
      <c r="J352" t="s">
        <v>2137</v>
      </c>
      <c r="K352" t="s">
        <v>151</v>
      </c>
      <c r="M352" t="s">
        <v>151</v>
      </c>
      <c r="N352" t="s">
        <v>154</v>
      </c>
      <c r="O352">
        <v>1</v>
      </c>
      <c r="P352">
        <v>312.7878</v>
      </c>
      <c r="Q352">
        <v>1</v>
      </c>
      <c r="R352">
        <v>312.7878</v>
      </c>
      <c r="S352">
        <v>1</v>
      </c>
      <c r="T352">
        <v>312.7878</v>
      </c>
    </row>
    <row r="353" spans="1:20" x14ac:dyDescent="0.35">
      <c r="A353" t="s">
        <v>1641</v>
      </c>
      <c r="B353">
        <v>265</v>
      </c>
      <c r="D353">
        <v>45729</v>
      </c>
      <c r="F353" t="s">
        <v>142</v>
      </c>
      <c r="G353" t="s">
        <v>2139</v>
      </c>
      <c r="H353" t="s">
        <v>2140</v>
      </c>
      <c r="I353" t="s">
        <v>1657</v>
      </c>
      <c r="J353" t="s">
        <v>2139</v>
      </c>
      <c r="K353" t="s">
        <v>151</v>
      </c>
      <c r="M353" t="s">
        <v>151</v>
      </c>
      <c r="N353" t="s">
        <v>1666</v>
      </c>
      <c r="O353">
        <v>1</v>
      </c>
      <c r="P353">
        <v>28.276199999999999</v>
      </c>
      <c r="Q353">
        <v>11</v>
      </c>
      <c r="R353">
        <v>28.276199999999999</v>
      </c>
      <c r="S353">
        <v>11</v>
      </c>
      <c r="T353">
        <v>311.03820000000002</v>
      </c>
    </row>
    <row r="354" spans="1:20" x14ac:dyDescent="0.35">
      <c r="A354" t="s">
        <v>1641</v>
      </c>
      <c r="B354">
        <v>249</v>
      </c>
      <c r="D354">
        <v>45845</v>
      </c>
      <c r="F354" t="s">
        <v>142</v>
      </c>
      <c r="G354" t="s">
        <v>2141</v>
      </c>
      <c r="H354" t="s">
        <v>2142</v>
      </c>
      <c r="I354" t="s">
        <v>560</v>
      </c>
      <c r="J354" t="s">
        <v>2141</v>
      </c>
      <c r="K354" t="s">
        <v>2143</v>
      </c>
      <c r="M354" t="s">
        <v>151</v>
      </c>
      <c r="N354" t="s">
        <v>213</v>
      </c>
      <c r="O354">
        <v>1</v>
      </c>
      <c r="P354">
        <v>6.4196999999999997</v>
      </c>
      <c r="Q354">
        <v>48</v>
      </c>
      <c r="R354">
        <v>6.4196999999999997</v>
      </c>
      <c r="S354">
        <v>48</v>
      </c>
      <c r="T354">
        <v>308.1456</v>
      </c>
    </row>
    <row r="355" spans="1:20" x14ac:dyDescent="0.35">
      <c r="A355" t="s">
        <v>1641</v>
      </c>
      <c r="B355">
        <v>256</v>
      </c>
      <c r="D355">
        <v>45841</v>
      </c>
      <c r="F355" t="s">
        <v>142</v>
      </c>
      <c r="G355" t="s">
        <v>2144</v>
      </c>
      <c r="H355" t="s">
        <v>2145</v>
      </c>
      <c r="I355" t="s">
        <v>560</v>
      </c>
      <c r="J355" t="s">
        <v>2144</v>
      </c>
      <c r="K355" t="s">
        <v>2146</v>
      </c>
      <c r="M355" t="s">
        <v>151</v>
      </c>
      <c r="N355" t="s">
        <v>213</v>
      </c>
      <c r="O355">
        <v>1</v>
      </c>
      <c r="P355">
        <v>6.3982999999999999</v>
      </c>
      <c r="Q355">
        <v>48</v>
      </c>
      <c r="R355">
        <v>6.3982999999999999</v>
      </c>
      <c r="S355">
        <v>48</v>
      </c>
      <c r="T355">
        <v>307.11840000000001</v>
      </c>
    </row>
    <row r="356" spans="1:20" x14ac:dyDescent="0.35">
      <c r="A356" t="s">
        <v>1641</v>
      </c>
      <c r="B356">
        <v>64</v>
      </c>
      <c r="D356">
        <v>45910</v>
      </c>
      <c r="F356" t="s">
        <v>142</v>
      </c>
      <c r="G356" t="s">
        <v>2147</v>
      </c>
      <c r="H356" t="s">
        <v>2148</v>
      </c>
      <c r="I356" t="s">
        <v>1683</v>
      </c>
      <c r="J356" t="s">
        <v>2147</v>
      </c>
      <c r="K356" t="s">
        <v>2149</v>
      </c>
      <c r="M356" t="s">
        <v>151</v>
      </c>
      <c r="N356" t="s">
        <v>154</v>
      </c>
      <c r="O356">
        <v>1</v>
      </c>
      <c r="P356">
        <v>3.7444999999999999</v>
      </c>
      <c r="Q356">
        <v>81</v>
      </c>
      <c r="R356">
        <v>3.7444999999999999</v>
      </c>
      <c r="S356">
        <v>81</v>
      </c>
      <c r="T356">
        <v>303.30450000000002</v>
      </c>
    </row>
    <row r="357" spans="1:20" x14ac:dyDescent="0.35">
      <c r="A357" t="s">
        <v>1641</v>
      </c>
      <c r="B357">
        <v>465</v>
      </c>
      <c r="D357">
        <v>45799</v>
      </c>
      <c r="F357" t="s">
        <v>142</v>
      </c>
      <c r="G357" t="s">
        <v>2150</v>
      </c>
      <c r="H357" t="s">
        <v>2151</v>
      </c>
      <c r="I357" t="s">
        <v>1653</v>
      </c>
      <c r="J357" t="s">
        <v>2150</v>
      </c>
      <c r="K357" t="s">
        <v>2152</v>
      </c>
      <c r="M357" t="s">
        <v>151</v>
      </c>
      <c r="N357" t="s">
        <v>213</v>
      </c>
      <c r="O357">
        <v>1</v>
      </c>
      <c r="P357">
        <v>6.3030999999999997</v>
      </c>
      <c r="Q357">
        <v>48</v>
      </c>
      <c r="R357">
        <v>6.3030999999999997</v>
      </c>
      <c r="S357">
        <v>48</v>
      </c>
      <c r="T357">
        <v>302.54879999999997</v>
      </c>
    </row>
    <row r="358" spans="1:20" x14ac:dyDescent="0.35">
      <c r="A358" t="s">
        <v>1641</v>
      </c>
      <c r="B358">
        <v>449</v>
      </c>
      <c r="D358">
        <v>45820</v>
      </c>
      <c r="F358" t="s">
        <v>142</v>
      </c>
      <c r="G358" t="s">
        <v>2153</v>
      </c>
      <c r="H358" t="s">
        <v>2154</v>
      </c>
      <c r="I358" t="s">
        <v>1653</v>
      </c>
      <c r="J358" t="s">
        <v>2153</v>
      </c>
      <c r="K358" t="s">
        <v>2155</v>
      </c>
      <c r="M358" t="s">
        <v>151</v>
      </c>
      <c r="N358" t="s">
        <v>154</v>
      </c>
      <c r="O358">
        <v>1</v>
      </c>
      <c r="P358">
        <v>37.849400000000003</v>
      </c>
      <c r="Q358">
        <v>8</v>
      </c>
      <c r="R358">
        <v>37.849400000000003</v>
      </c>
      <c r="S358">
        <v>8</v>
      </c>
      <c r="T358">
        <v>302.79520000000002</v>
      </c>
    </row>
    <row r="359" spans="1:20" x14ac:dyDescent="0.35">
      <c r="A359" t="s">
        <v>1641</v>
      </c>
      <c r="B359">
        <v>556</v>
      </c>
      <c r="D359">
        <v>45897</v>
      </c>
      <c r="F359" t="s">
        <v>142</v>
      </c>
      <c r="G359" t="s">
        <v>2156</v>
      </c>
      <c r="H359" t="s">
        <v>2157</v>
      </c>
      <c r="I359" t="s">
        <v>1651</v>
      </c>
      <c r="J359" t="s">
        <v>2156</v>
      </c>
      <c r="K359" t="s">
        <v>2158</v>
      </c>
      <c r="M359" t="s">
        <v>151</v>
      </c>
      <c r="N359" t="s">
        <v>154</v>
      </c>
      <c r="O359">
        <v>1</v>
      </c>
      <c r="P359">
        <v>49.77</v>
      </c>
      <c r="Q359">
        <v>6</v>
      </c>
      <c r="R359">
        <v>49.77</v>
      </c>
      <c r="S359">
        <v>6</v>
      </c>
      <c r="T359">
        <v>298.62</v>
      </c>
    </row>
    <row r="360" spans="1:20" x14ac:dyDescent="0.35">
      <c r="A360" t="s">
        <v>1641</v>
      </c>
      <c r="B360">
        <v>328</v>
      </c>
      <c r="D360">
        <v>45723</v>
      </c>
      <c r="F360" t="s">
        <v>142</v>
      </c>
      <c r="G360" t="s">
        <v>2159</v>
      </c>
      <c r="H360" t="s">
        <v>2160</v>
      </c>
      <c r="I360" t="s">
        <v>1645</v>
      </c>
      <c r="J360" t="s">
        <v>2159</v>
      </c>
      <c r="K360" t="s">
        <v>1644</v>
      </c>
      <c r="M360" t="s">
        <v>151</v>
      </c>
      <c r="N360" t="s">
        <v>154</v>
      </c>
      <c r="O360">
        <v>1</v>
      </c>
      <c r="P360">
        <v>29.584</v>
      </c>
      <c r="Q360">
        <v>10</v>
      </c>
      <c r="R360">
        <v>29.584</v>
      </c>
      <c r="S360">
        <v>10</v>
      </c>
      <c r="T360">
        <v>295.83999999999997</v>
      </c>
    </row>
    <row r="361" spans="1:20" x14ac:dyDescent="0.35">
      <c r="A361" t="s">
        <v>1641</v>
      </c>
      <c r="B361">
        <v>443</v>
      </c>
      <c r="D361">
        <v>45695</v>
      </c>
      <c r="F361" t="s">
        <v>142</v>
      </c>
      <c r="G361" t="s">
        <v>2161</v>
      </c>
      <c r="H361" t="s">
        <v>2162</v>
      </c>
      <c r="I361" t="s">
        <v>1653</v>
      </c>
      <c r="J361" t="s">
        <v>2161</v>
      </c>
      <c r="K361" t="s">
        <v>2163</v>
      </c>
      <c r="M361" t="s">
        <v>151</v>
      </c>
      <c r="N361" t="s">
        <v>1650</v>
      </c>
      <c r="O361">
        <v>1</v>
      </c>
      <c r="P361">
        <v>72.476100000000002</v>
      </c>
      <c r="Q361">
        <v>4</v>
      </c>
      <c r="R361">
        <v>72.476100000000002</v>
      </c>
      <c r="S361">
        <v>4</v>
      </c>
      <c r="T361">
        <v>289.90440000000001</v>
      </c>
    </row>
    <row r="362" spans="1:20" x14ac:dyDescent="0.35">
      <c r="A362" t="s">
        <v>1641</v>
      </c>
      <c r="B362">
        <v>178</v>
      </c>
      <c r="D362">
        <v>45897</v>
      </c>
      <c r="F362" t="s">
        <v>142</v>
      </c>
      <c r="G362" t="s">
        <v>2164</v>
      </c>
      <c r="H362" t="s">
        <v>2165</v>
      </c>
      <c r="I362" t="s">
        <v>1655</v>
      </c>
      <c r="J362" t="s">
        <v>2164</v>
      </c>
      <c r="K362" t="s">
        <v>151</v>
      </c>
      <c r="N362" t="s">
        <v>154</v>
      </c>
      <c r="O362">
        <v>1</v>
      </c>
      <c r="P362">
        <v>6.3468</v>
      </c>
      <c r="Q362">
        <v>45</v>
      </c>
      <c r="R362">
        <v>6.3468</v>
      </c>
      <c r="S362">
        <v>45</v>
      </c>
      <c r="T362">
        <v>285.60599999999999</v>
      </c>
    </row>
    <row r="363" spans="1:20" x14ac:dyDescent="0.35">
      <c r="A363" t="s">
        <v>1641</v>
      </c>
      <c r="B363">
        <v>374</v>
      </c>
      <c r="D363">
        <v>45835</v>
      </c>
      <c r="F363" t="s">
        <v>142</v>
      </c>
      <c r="G363" t="s">
        <v>2166</v>
      </c>
      <c r="H363" t="s">
        <v>2167</v>
      </c>
      <c r="I363" t="s">
        <v>1788</v>
      </c>
      <c r="J363" t="s">
        <v>2166</v>
      </c>
      <c r="K363" t="s">
        <v>2168</v>
      </c>
      <c r="M363" t="s">
        <v>151</v>
      </c>
      <c r="N363" t="s">
        <v>154</v>
      </c>
      <c r="O363">
        <v>1</v>
      </c>
      <c r="P363">
        <v>28.162800000000001</v>
      </c>
      <c r="Q363">
        <v>10</v>
      </c>
      <c r="R363">
        <v>28.162800000000001</v>
      </c>
      <c r="S363">
        <v>10</v>
      </c>
      <c r="T363">
        <v>281.62799999999999</v>
      </c>
    </row>
    <row r="364" spans="1:20" x14ac:dyDescent="0.35">
      <c r="A364" t="s">
        <v>1641</v>
      </c>
      <c r="B364">
        <v>135</v>
      </c>
      <c r="D364">
        <v>45750</v>
      </c>
      <c r="F364" t="s">
        <v>142</v>
      </c>
      <c r="G364" t="s">
        <v>2169</v>
      </c>
      <c r="H364" t="s">
        <v>2170</v>
      </c>
      <c r="I364" t="s">
        <v>1647</v>
      </c>
      <c r="J364" t="s">
        <v>2169</v>
      </c>
      <c r="K364" t="s">
        <v>1699</v>
      </c>
      <c r="M364" t="s">
        <v>151</v>
      </c>
      <c r="N364" t="s">
        <v>154</v>
      </c>
      <c r="O364">
        <v>1</v>
      </c>
      <c r="P364">
        <v>281.52120000000002</v>
      </c>
      <c r="Q364">
        <v>1</v>
      </c>
      <c r="R364">
        <v>281.52120000000002</v>
      </c>
      <c r="S364">
        <v>1</v>
      </c>
      <c r="T364">
        <v>281.52120000000002</v>
      </c>
    </row>
    <row r="365" spans="1:20" x14ac:dyDescent="0.35">
      <c r="A365" t="s">
        <v>1641</v>
      </c>
      <c r="B365">
        <v>308</v>
      </c>
      <c r="D365">
        <v>45875</v>
      </c>
      <c r="F365" t="s">
        <v>142</v>
      </c>
      <c r="G365" t="s">
        <v>2171</v>
      </c>
      <c r="H365" t="s">
        <v>2172</v>
      </c>
      <c r="I365" t="s">
        <v>1645</v>
      </c>
      <c r="J365" t="s">
        <v>2171</v>
      </c>
      <c r="K365" t="s">
        <v>2173</v>
      </c>
      <c r="M365" t="s">
        <v>151</v>
      </c>
      <c r="N365" t="s">
        <v>154</v>
      </c>
      <c r="O365">
        <v>1</v>
      </c>
      <c r="P365">
        <v>68.171000000000006</v>
      </c>
      <c r="Q365">
        <v>4</v>
      </c>
      <c r="R365">
        <v>68.171000000000006</v>
      </c>
      <c r="S365">
        <v>4</v>
      </c>
      <c r="T365">
        <v>272.68400000000003</v>
      </c>
    </row>
    <row r="366" spans="1:20" x14ac:dyDescent="0.35">
      <c r="A366" t="s">
        <v>1641</v>
      </c>
      <c r="B366">
        <v>118</v>
      </c>
      <c r="D366">
        <v>45778</v>
      </c>
      <c r="F366" t="s">
        <v>142</v>
      </c>
      <c r="G366" t="s">
        <v>2174</v>
      </c>
      <c r="H366" t="s">
        <v>2175</v>
      </c>
      <c r="I366" t="s">
        <v>1894</v>
      </c>
      <c r="J366" t="s">
        <v>2174</v>
      </c>
      <c r="K366" t="s">
        <v>2176</v>
      </c>
      <c r="M366" t="s">
        <v>151</v>
      </c>
      <c r="N366" t="s">
        <v>2177</v>
      </c>
      <c r="O366">
        <v>1</v>
      </c>
      <c r="P366">
        <v>68.043999999999997</v>
      </c>
      <c r="Q366">
        <v>4</v>
      </c>
      <c r="R366">
        <v>68.043999999999997</v>
      </c>
      <c r="S366">
        <v>4</v>
      </c>
      <c r="T366">
        <v>272.17599999999999</v>
      </c>
    </row>
    <row r="367" spans="1:20" x14ac:dyDescent="0.35">
      <c r="A367" t="s">
        <v>1641</v>
      </c>
      <c r="B367">
        <v>46</v>
      </c>
      <c r="D367">
        <v>45800</v>
      </c>
      <c r="F367" t="s">
        <v>142</v>
      </c>
      <c r="G367" t="s">
        <v>2178</v>
      </c>
      <c r="H367" t="s">
        <v>2179</v>
      </c>
      <c r="I367" t="s">
        <v>1647</v>
      </c>
      <c r="J367" t="s">
        <v>2178</v>
      </c>
      <c r="K367" t="s">
        <v>151</v>
      </c>
      <c r="M367" t="s">
        <v>151</v>
      </c>
      <c r="N367" t="s">
        <v>1650</v>
      </c>
      <c r="O367">
        <v>1</v>
      </c>
      <c r="P367">
        <v>136.4436</v>
      </c>
      <c r="Q367">
        <v>2</v>
      </c>
      <c r="R367">
        <v>136.4436</v>
      </c>
      <c r="S367">
        <v>2</v>
      </c>
      <c r="T367">
        <v>272.88720000000001</v>
      </c>
    </row>
    <row r="368" spans="1:20" x14ac:dyDescent="0.35">
      <c r="A368" t="s">
        <v>1641</v>
      </c>
      <c r="B368">
        <v>375</v>
      </c>
      <c r="D368">
        <v>45835</v>
      </c>
      <c r="F368" t="s">
        <v>142</v>
      </c>
      <c r="G368" t="s">
        <v>2180</v>
      </c>
      <c r="H368" t="s">
        <v>2181</v>
      </c>
      <c r="I368" t="s">
        <v>1788</v>
      </c>
      <c r="J368" t="s">
        <v>2180</v>
      </c>
      <c r="K368" t="s">
        <v>2182</v>
      </c>
      <c r="M368" t="s">
        <v>151</v>
      </c>
      <c r="N368" t="s">
        <v>154</v>
      </c>
      <c r="O368">
        <v>1</v>
      </c>
      <c r="P368">
        <v>27.267199999999999</v>
      </c>
      <c r="Q368">
        <v>10</v>
      </c>
      <c r="R368">
        <v>27.267199999999999</v>
      </c>
      <c r="S368">
        <v>10</v>
      </c>
      <c r="T368">
        <v>272.67199999999997</v>
      </c>
    </row>
    <row r="369" spans="1:20" x14ac:dyDescent="0.35">
      <c r="A369" t="s">
        <v>1641</v>
      </c>
      <c r="B369">
        <v>534</v>
      </c>
      <c r="D369">
        <v>45723</v>
      </c>
      <c r="F369" t="s">
        <v>142</v>
      </c>
      <c r="G369" t="s">
        <v>2183</v>
      </c>
      <c r="H369" t="s">
        <v>2184</v>
      </c>
      <c r="I369" t="s">
        <v>164</v>
      </c>
      <c r="J369" t="s">
        <v>2183</v>
      </c>
      <c r="K369" t="s">
        <v>151</v>
      </c>
      <c r="M369" t="s">
        <v>151</v>
      </c>
      <c r="N369" t="s">
        <v>154</v>
      </c>
      <c r="O369">
        <v>1</v>
      </c>
      <c r="P369">
        <v>90.172300000000007</v>
      </c>
      <c r="Q369">
        <v>3</v>
      </c>
      <c r="R369">
        <v>90.172300000000007</v>
      </c>
      <c r="S369">
        <v>3</v>
      </c>
      <c r="T369">
        <v>270.51690000000002</v>
      </c>
    </row>
    <row r="370" spans="1:20" x14ac:dyDescent="0.35">
      <c r="A370" t="s">
        <v>1641</v>
      </c>
      <c r="B370">
        <v>5</v>
      </c>
      <c r="D370">
        <v>45918</v>
      </c>
      <c r="F370" t="s">
        <v>142</v>
      </c>
      <c r="G370" t="s">
        <v>2185</v>
      </c>
      <c r="H370" t="s">
        <v>2186</v>
      </c>
      <c r="I370" t="s">
        <v>1647</v>
      </c>
      <c r="J370" t="s">
        <v>2185</v>
      </c>
      <c r="K370" t="s">
        <v>151</v>
      </c>
      <c r="M370" t="s">
        <v>151</v>
      </c>
      <c r="N370" t="s">
        <v>154</v>
      </c>
      <c r="O370">
        <v>1</v>
      </c>
      <c r="P370">
        <v>5.3681000000000001</v>
      </c>
      <c r="Q370">
        <v>50</v>
      </c>
      <c r="R370">
        <v>5.3681000000000001</v>
      </c>
      <c r="S370">
        <v>50</v>
      </c>
      <c r="T370">
        <v>268.40500000000003</v>
      </c>
    </row>
    <row r="371" spans="1:20" x14ac:dyDescent="0.35">
      <c r="A371" t="s">
        <v>1641</v>
      </c>
      <c r="B371">
        <v>176</v>
      </c>
      <c r="D371">
        <v>45881</v>
      </c>
      <c r="F371" t="s">
        <v>142</v>
      </c>
      <c r="G371" t="s">
        <v>2187</v>
      </c>
      <c r="H371" t="s">
        <v>2188</v>
      </c>
      <c r="I371" t="s">
        <v>1655</v>
      </c>
      <c r="J371" t="s">
        <v>2187</v>
      </c>
      <c r="K371" t="s">
        <v>2189</v>
      </c>
      <c r="M371" t="s">
        <v>151</v>
      </c>
      <c r="N371" t="s">
        <v>154</v>
      </c>
      <c r="O371">
        <v>1</v>
      </c>
      <c r="P371">
        <v>89.785499999999999</v>
      </c>
      <c r="Q371">
        <v>3</v>
      </c>
      <c r="R371">
        <v>89.785499999999999</v>
      </c>
      <c r="S371">
        <v>3</v>
      </c>
      <c r="T371">
        <v>269.35649999999998</v>
      </c>
    </row>
    <row r="372" spans="1:20" x14ac:dyDescent="0.35">
      <c r="A372" t="s">
        <v>1641</v>
      </c>
      <c r="B372">
        <v>177</v>
      </c>
      <c r="D372">
        <v>45770</v>
      </c>
      <c r="F372" t="s">
        <v>142</v>
      </c>
      <c r="G372" t="s">
        <v>2190</v>
      </c>
      <c r="H372" t="s">
        <v>2191</v>
      </c>
      <c r="I372" t="s">
        <v>1655</v>
      </c>
      <c r="J372" t="s">
        <v>2190</v>
      </c>
      <c r="K372" t="s">
        <v>2192</v>
      </c>
      <c r="M372" t="s">
        <v>151</v>
      </c>
      <c r="N372" t="s">
        <v>154</v>
      </c>
      <c r="O372">
        <v>1</v>
      </c>
      <c r="P372">
        <v>89.414000000000001</v>
      </c>
      <c r="Q372">
        <v>3</v>
      </c>
      <c r="R372">
        <v>89.414000000000001</v>
      </c>
      <c r="S372">
        <v>3</v>
      </c>
      <c r="T372">
        <v>268.24200000000002</v>
      </c>
    </row>
    <row r="373" spans="1:20" x14ac:dyDescent="0.35">
      <c r="A373" t="s">
        <v>1641</v>
      </c>
      <c r="B373">
        <v>437</v>
      </c>
      <c r="D373">
        <v>45848</v>
      </c>
      <c r="F373" t="s">
        <v>142</v>
      </c>
      <c r="G373" t="s">
        <v>2193</v>
      </c>
      <c r="H373" t="s">
        <v>2194</v>
      </c>
      <c r="I373" t="s">
        <v>1653</v>
      </c>
      <c r="J373" t="s">
        <v>2193</v>
      </c>
      <c r="K373" t="s">
        <v>151</v>
      </c>
      <c r="M373" t="s">
        <v>151</v>
      </c>
      <c r="N373" t="s">
        <v>1666</v>
      </c>
      <c r="O373">
        <v>1</v>
      </c>
      <c r="P373">
        <v>24.144300000000001</v>
      </c>
      <c r="Q373">
        <v>11</v>
      </c>
      <c r="R373">
        <v>24.144300000000001</v>
      </c>
      <c r="S373">
        <v>11</v>
      </c>
      <c r="T373">
        <v>265.58730000000003</v>
      </c>
    </row>
    <row r="374" spans="1:20" x14ac:dyDescent="0.35">
      <c r="A374" t="s">
        <v>1641</v>
      </c>
      <c r="B374">
        <v>415</v>
      </c>
      <c r="D374">
        <v>45862</v>
      </c>
      <c r="F374" t="s">
        <v>142</v>
      </c>
      <c r="G374" t="s">
        <v>2195</v>
      </c>
      <c r="H374" t="s">
        <v>2196</v>
      </c>
      <c r="I374" t="s">
        <v>1678</v>
      </c>
      <c r="J374" t="s">
        <v>2195</v>
      </c>
      <c r="K374" t="s">
        <v>2197</v>
      </c>
      <c r="M374" t="s">
        <v>151</v>
      </c>
      <c r="N374" t="s">
        <v>213</v>
      </c>
      <c r="O374">
        <v>1</v>
      </c>
      <c r="P374">
        <v>5.4558</v>
      </c>
      <c r="Q374">
        <v>48</v>
      </c>
      <c r="R374">
        <v>5.4558</v>
      </c>
      <c r="S374">
        <v>48</v>
      </c>
      <c r="T374">
        <v>261.8784</v>
      </c>
    </row>
    <row r="375" spans="1:20" x14ac:dyDescent="0.35">
      <c r="A375" t="s">
        <v>1641</v>
      </c>
      <c r="B375">
        <v>101</v>
      </c>
      <c r="D375">
        <v>45924</v>
      </c>
      <c r="F375" t="s">
        <v>142</v>
      </c>
      <c r="G375" t="s">
        <v>2198</v>
      </c>
      <c r="H375" t="s">
        <v>2199</v>
      </c>
      <c r="I375" t="s">
        <v>1671</v>
      </c>
      <c r="J375" t="s">
        <v>2198</v>
      </c>
      <c r="K375" t="s">
        <v>2200</v>
      </c>
      <c r="M375" t="s">
        <v>151</v>
      </c>
      <c r="N375" t="s">
        <v>1666</v>
      </c>
      <c r="O375">
        <v>1</v>
      </c>
      <c r="P375">
        <v>9.6898999999999997</v>
      </c>
      <c r="Q375">
        <v>27</v>
      </c>
      <c r="R375">
        <v>9.6898999999999997</v>
      </c>
      <c r="S375">
        <v>27</v>
      </c>
      <c r="T375">
        <v>261.62729999999999</v>
      </c>
    </row>
    <row r="376" spans="1:20" x14ac:dyDescent="0.35">
      <c r="A376" t="s">
        <v>1641</v>
      </c>
      <c r="B376">
        <v>102</v>
      </c>
      <c r="D376">
        <v>45919</v>
      </c>
      <c r="F376" t="s">
        <v>142</v>
      </c>
      <c r="G376" t="s">
        <v>2201</v>
      </c>
      <c r="H376" t="s">
        <v>2202</v>
      </c>
      <c r="I376" t="s">
        <v>1671</v>
      </c>
      <c r="J376" t="s">
        <v>2201</v>
      </c>
      <c r="K376" t="s">
        <v>2203</v>
      </c>
      <c r="M376" t="s">
        <v>151</v>
      </c>
      <c r="N376" t="s">
        <v>1666</v>
      </c>
      <c r="O376">
        <v>1</v>
      </c>
      <c r="P376">
        <v>9.6897000000000002</v>
      </c>
      <c r="Q376">
        <v>27</v>
      </c>
      <c r="R376">
        <v>9.6897000000000002</v>
      </c>
      <c r="S376">
        <v>27</v>
      </c>
      <c r="T376">
        <v>261.62189999999998</v>
      </c>
    </row>
    <row r="377" spans="1:20" x14ac:dyDescent="0.35">
      <c r="A377" t="s">
        <v>1641</v>
      </c>
      <c r="B377">
        <v>458</v>
      </c>
      <c r="D377">
        <v>45915</v>
      </c>
      <c r="F377" t="s">
        <v>142</v>
      </c>
      <c r="G377" t="s">
        <v>2204</v>
      </c>
      <c r="H377" t="s">
        <v>2205</v>
      </c>
      <c r="I377" t="s">
        <v>1653</v>
      </c>
      <c r="J377" t="s">
        <v>2204</v>
      </c>
      <c r="K377" t="s">
        <v>2206</v>
      </c>
      <c r="M377" t="s">
        <v>151</v>
      </c>
      <c r="N377" t="s">
        <v>213</v>
      </c>
      <c r="O377">
        <v>1</v>
      </c>
      <c r="P377">
        <v>2.1678000000000002</v>
      </c>
      <c r="Q377">
        <v>120</v>
      </c>
      <c r="R377">
        <v>2.1678000000000002</v>
      </c>
      <c r="S377">
        <v>120</v>
      </c>
      <c r="T377">
        <v>260.13600000000002</v>
      </c>
    </row>
    <row r="378" spans="1:20" x14ac:dyDescent="0.35">
      <c r="A378" t="s">
        <v>1641</v>
      </c>
      <c r="B378">
        <v>182</v>
      </c>
      <c r="D378">
        <v>45730</v>
      </c>
      <c r="F378" t="s">
        <v>142</v>
      </c>
      <c r="G378" t="s">
        <v>2207</v>
      </c>
      <c r="H378" t="s">
        <v>2208</v>
      </c>
      <c r="I378" t="s">
        <v>1655</v>
      </c>
      <c r="J378" t="s">
        <v>2207</v>
      </c>
      <c r="K378" t="s">
        <v>151</v>
      </c>
      <c r="N378" t="s">
        <v>154</v>
      </c>
      <c r="O378">
        <v>1</v>
      </c>
      <c r="P378">
        <v>10.6502</v>
      </c>
      <c r="Q378">
        <v>24</v>
      </c>
      <c r="R378">
        <v>10.6502</v>
      </c>
      <c r="S378">
        <v>24</v>
      </c>
      <c r="T378">
        <v>255.60480000000001</v>
      </c>
    </row>
    <row r="379" spans="1:20" x14ac:dyDescent="0.35">
      <c r="A379" t="s">
        <v>1641</v>
      </c>
      <c r="B379">
        <v>517</v>
      </c>
      <c r="D379">
        <v>45723</v>
      </c>
      <c r="F379" t="s">
        <v>142</v>
      </c>
      <c r="G379" t="s">
        <v>2209</v>
      </c>
      <c r="H379" t="s">
        <v>2210</v>
      </c>
      <c r="I379" t="s">
        <v>164</v>
      </c>
      <c r="J379" t="s">
        <v>2209</v>
      </c>
      <c r="K379" t="s">
        <v>151</v>
      </c>
      <c r="M379" t="s">
        <v>151</v>
      </c>
      <c r="N379" t="s">
        <v>154</v>
      </c>
      <c r="O379">
        <v>1</v>
      </c>
      <c r="P379">
        <v>85.598100000000002</v>
      </c>
      <c r="Q379">
        <v>3</v>
      </c>
      <c r="R379">
        <v>85.598100000000002</v>
      </c>
      <c r="S379">
        <v>3</v>
      </c>
      <c r="T379">
        <v>256.79430000000002</v>
      </c>
    </row>
    <row r="380" spans="1:20" x14ac:dyDescent="0.35">
      <c r="A380" t="s">
        <v>1641</v>
      </c>
      <c r="B380">
        <v>173</v>
      </c>
      <c r="D380">
        <v>45909</v>
      </c>
      <c r="F380" t="s">
        <v>142</v>
      </c>
      <c r="G380" t="s">
        <v>2211</v>
      </c>
      <c r="H380" t="s">
        <v>2212</v>
      </c>
      <c r="I380" t="s">
        <v>1655</v>
      </c>
      <c r="J380" t="s">
        <v>2211</v>
      </c>
      <c r="K380" t="s">
        <v>151</v>
      </c>
      <c r="M380" t="s">
        <v>151</v>
      </c>
      <c r="N380" t="s">
        <v>154</v>
      </c>
      <c r="O380">
        <v>1</v>
      </c>
      <c r="P380">
        <v>23.263999999999999</v>
      </c>
      <c r="Q380">
        <v>11</v>
      </c>
      <c r="R380">
        <v>23.263999999999999</v>
      </c>
      <c r="S380">
        <v>11</v>
      </c>
      <c r="T380">
        <v>255.904</v>
      </c>
    </row>
    <row r="381" spans="1:20" x14ac:dyDescent="0.35">
      <c r="A381" t="s">
        <v>1641</v>
      </c>
      <c r="B381">
        <v>506</v>
      </c>
      <c r="D381">
        <v>45922</v>
      </c>
      <c r="F381" t="s">
        <v>142</v>
      </c>
      <c r="G381" t="s">
        <v>2213</v>
      </c>
      <c r="H381" t="s">
        <v>2214</v>
      </c>
      <c r="I381" t="s">
        <v>1852</v>
      </c>
      <c r="J381" t="s">
        <v>2213</v>
      </c>
      <c r="K381" t="s">
        <v>2215</v>
      </c>
      <c r="M381" t="s">
        <v>151</v>
      </c>
      <c r="N381" t="s">
        <v>154</v>
      </c>
      <c r="O381">
        <v>1</v>
      </c>
      <c r="P381">
        <v>10.434900000000001</v>
      </c>
      <c r="Q381">
        <v>24</v>
      </c>
      <c r="R381">
        <v>10.434900000000001</v>
      </c>
      <c r="S381">
        <v>24</v>
      </c>
      <c r="T381">
        <v>250.43760000000003</v>
      </c>
    </row>
    <row r="382" spans="1:20" x14ac:dyDescent="0.35">
      <c r="A382" t="s">
        <v>1641</v>
      </c>
      <c r="B382">
        <v>507</v>
      </c>
      <c r="D382">
        <v>45922</v>
      </c>
      <c r="F382" t="s">
        <v>142</v>
      </c>
      <c r="G382" t="s">
        <v>2216</v>
      </c>
      <c r="H382" t="s">
        <v>2217</v>
      </c>
      <c r="I382" t="s">
        <v>1852</v>
      </c>
      <c r="J382" t="s">
        <v>2216</v>
      </c>
      <c r="K382" t="s">
        <v>2218</v>
      </c>
      <c r="M382" t="s">
        <v>151</v>
      </c>
      <c r="N382" t="s">
        <v>154</v>
      </c>
      <c r="O382">
        <v>1</v>
      </c>
      <c r="P382">
        <v>10.5213</v>
      </c>
      <c r="Q382">
        <v>24</v>
      </c>
      <c r="R382">
        <v>10.5213</v>
      </c>
      <c r="S382">
        <v>24</v>
      </c>
      <c r="T382">
        <v>252.5112</v>
      </c>
    </row>
    <row r="383" spans="1:20" x14ac:dyDescent="0.35">
      <c r="A383" t="s">
        <v>1641</v>
      </c>
      <c r="B383">
        <v>274</v>
      </c>
      <c r="D383">
        <v>45919</v>
      </c>
      <c r="F383" t="s">
        <v>142</v>
      </c>
      <c r="G383" t="s">
        <v>2219</v>
      </c>
      <c r="H383" t="s">
        <v>2220</v>
      </c>
      <c r="I383" t="s">
        <v>1659</v>
      </c>
      <c r="J383" t="s">
        <v>2219</v>
      </c>
      <c r="K383" t="s">
        <v>2221</v>
      </c>
      <c r="M383" t="s">
        <v>151</v>
      </c>
      <c r="N383" t="s">
        <v>154</v>
      </c>
      <c r="O383">
        <v>1</v>
      </c>
      <c r="P383">
        <v>22.807200000000002</v>
      </c>
      <c r="Q383">
        <v>11</v>
      </c>
      <c r="R383">
        <v>22.807200000000002</v>
      </c>
      <c r="S383">
        <v>11</v>
      </c>
      <c r="T383">
        <v>250.87920000000003</v>
      </c>
    </row>
    <row r="384" spans="1:20" x14ac:dyDescent="0.35">
      <c r="A384" t="s">
        <v>1641</v>
      </c>
      <c r="B384">
        <v>554</v>
      </c>
      <c r="D384">
        <v>45869</v>
      </c>
      <c r="F384" t="s">
        <v>142</v>
      </c>
      <c r="G384" t="s">
        <v>2222</v>
      </c>
      <c r="H384" t="s">
        <v>2223</v>
      </c>
      <c r="I384" t="s">
        <v>2224</v>
      </c>
      <c r="J384" t="s">
        <v>2222</v>
      </c>
      <c r="K384" t="s">
        <v>151</v>
      </c>
      <c r="M384" t="s">
        <v>151</v>
      </c>
      <c r="N384" t="s">
        <v>154</v>
      </c>
      <c r="O384">
        <v>1</v>
      </c>
      <c r="P384">
        <v>35.823099999999997</v>
      </c>
      <c r="Q384">
        <v>7</v>
      </c>
      <c r="R384">
        <v>35.823099999999997</v>
      </c>
      <c r="S384">
        <v>7</v>
      </c>
      <c r="T384">
        <v>250.76169999999996</v>
      </c>
    </row>
    <row r="385" spans="1:20" x14ac:dyDescent="0.35">
      <c r="A385" t="s">
        <v>1641</v>
      </c>
      <c r="B385">
        <v>232</v>
      </c>
      <c r="D385">
        <v>45761</v>
      </c>
      <c r="F385" t="s">
        <v>142</v>
      </c>
      <c r="G385" t="s">
        <v>2225</v>
      </c>
      <c r="H385" t="s">
        <v>2226</v>
      </c>
      <c r="I385" t="s">
        <v>1818</v>
      </c>
      <c r="J385" t="s">
        <v>2225</v>
      </c>
      <c r="K385" t="s">
        <v>2227</v>
      </c>
      <c r="M385" t="s">
        <v>151</v>
      </c>
      <c r="N385" t="s">
        <v>172</v>
      </c>
      <c r="O385">
        <v>1</v>
      </c>
      <c r="P385">
        <v>61.429499999999997</v>
      </c>
      <c r="Q385">
        <v>4</v>
      </c>
      <c r="R385">
        <v>61.429499999999997</v>
      </c>
      <c r="S385">
        <v>4</v>
      </c>
      <c r="T385">
        <v>245.71799999999999</v>
      </c>
    </row>
    <row r="386" spans="1:20" x14ac:dyDescent="0.35">
      <c r="A386" t="s">
        <v>1641</v>
      </c>
      <c r="B386">
        <v>236</v>
      </c>
      <c r="D386">
        <v>45777</v>
      </c>
      <c r="F386" t="s">
        <v>142</v>
      </c>
      <c r="G386" t="s">
        <v>2228</v>
      </c>
      <c r="H386" t="s">
        <v>2229</v>
      </c>
      <c r="I386" t="s">
        <v>1818</v>
      </c>
      <c r="J386" t="s">
        <v>2228</v>
      </c>
      <c r="K386" t="s">
        <v>151</v>
      </c>
      <c r="M386" t="s">
        <v>151</v>
      </c>
      <c r="N386" t="s">
        <v>154</v>
      </c>
      <c r="O386">
        <v>1</v>
      </c>
      <c r="P386">
        <v>6.8124000000000002</v>
      </c>
      <c r="Q386">
        <v>36</v>
      </c>
      <c r="R386">
        <v>6.8124000000000002</v>
      </c>
      <c r="S386">
        <v>36</v>
      </c>
      <c r="T386">
        <v>245.24639999999999</v>
      </c>
    </row>
    <row r="387" spans="1:20" x14ac:dyDescent="0.35">
      <c r="A387" t="s">
        <v>1641</v>
      </c>
      <c r="B387">
        <v>372</v>
      </c>
      <c r="D387">
        <v>45929</v>
      </c>
      <c r="F387" t="s">
        <v>142</v>
      </c>
      <c r="G387" t="s">
        <v>2230</v>
      </c>
      <c r="H387" t="s">
        <v>2231</v>
      </c>
      <c r="I387" t="s">
        <v>1788</v>
      </c>
      <c r="J387" t="s">
        <v>2230</v>
      </c>
      <c r="K387" t="s">
        <v>2232</v>
      </c>
      <c r="M387" t="s">
        <v>151</v>
      </c>
      <c r="N387" t="s">
        <v>154</v>
      </c>
      <c r="O387">
        <v>1</v>
      </c>
      <c r="P387">
        <v>29.914300000000001</v>
      </c>
      <c r="Q387">
        <v>8</v>
      </c>
      <c r="R387">
        <v>29.914300000000001</v>
      </c>
      <c r="S387">
        <v>8</v>
      </c>
      <c r="T387">
        <v>239.31440000000001</v>
      </c>
    </row>
    <row r="388" spans="1:20" x14ac:dyDescent="0.35">
      <c r="A388" t="s">
        <v>1641</v>
      </c>
      <c r="B388">
        <v>470</v>
      </c>
      <c r="D388">
        <v>45730</v>
      </c>
      <c r="F388" t="s">
        <v>142</v>
      </c>
      <c r="G388" t="s">
        <v>2233</v>
      </c>
      <c r="H388" t="s">
        <v>2234</v>
      </c>
      <c r="I388" t="s">
        <v>1885</v>
      </c>
      <c r="J388" t="s">
        <v>2233</v>
      </c>
      <c r="K388" t="s">
        <v>2235</v>
      </c>
      <c r="M388" t="s">
        <v>151</v>
      </c>
      <c r="N388" t="s">
        <v>213</v>
      </c>
      <c r="O388">
        <v>1</v>
      </c>
      <c r="P388">
        <v>118.41840000000001</v>
      </c>
      <c r="Q388">
        <v>2</v>
      </c>
      <c r="R388">
        <v>118.41840000000001</v>
      </c>
      <c r="S388">
        <v>2</v>
      </c>
      <c r="T388">
        <v>236.83680000000001</v>
      </c>
    </row>
    <row r="389" spans="1:20" x14ac:dyDescent="0.35">
      <c r="A389" t="s">
        <v>1641</v>
      </c>
      <c r="B389">
        <v>203</v>
      </c>
      <c r="D389">
        <v>45845</v>
      </c>
      <c r="F389" t="s">
        <v>142</v>
      </c>
      <c r="G389" t="s">
        <v>2236</v>
      </c>
      <c r="H389" t="s">
        <v>2237</v>
      </c>
      <c r="I389" t="s">
        <v>1655</v>
      </c>
      <c r="J389" t="s">
        <v>2236</v>
      </c>
      <c r="K389" t="s">
        <v>151</v>
      </c>
      <c r="M389" t="s">
        <v>151</v>
      </c>
      <c r="N389" t="s">
        <v>1666</v>
      </c>
      <c r="O389">
        <v>1</v>
      </c>
      <c r="P389">
        <v>29.091799999999999</v>
      </c>
      <c r="Q389">
        <v>8</v>
      </c>
      <c r="R389">
        <v>29.091799999999999</v>
      </c>
      <c r="S389">
        <v>8</v>
      </c>
      <c r="T389">
        <v>232.73439999999999</v>
      </c>
    </row>
    <row r="390" spans="1:20" x14ac:dyDescent="0.35">
      <c r="A390" t="s">
        <v>1641</v>
      </c>
      <c r="B390">
        <v>361</v>
      </c>
      <c r="D390">
        <v>45924</v>
      </c>
      <c r="F390" t="s">
        <v>142</v>
      </c>
      <c r="G390" t="s">
        <v>2238</v>
      </c>
      <c r="H390" t="s">
        <v>2239</v>
      </c>
      <c r="I390" t="s">
        <v>2067</v>
      </c>
      <c r="J390" t="s">
        <v>2238</v>
      </c>
      <c r="K390" t="s">
        <v>1726</v>
      </c>
      <c r="M390" t="s">
        <v>151</v>
      </c>
      <c r="N390" t="s">
        <v>154</v>
      </c>
      <c r="O390">
        <v>1</v>
      </c>
      <c r="P390">
        <v>7.5949999999999998</v>
      </c>
      <c r="Q390">
        <v>30</v>
      </c>
      <c r="R390">
        <v>7.5949999999999998</v>
      </c>
      <c r="S390">
        <v>30</v>
      </c>
      <c r="T390">
        <v>227.85</v>
      </c>
    </row>
    <row r="391" spans="1:20" x14ac:dyDescent="0.35">
      <c r="A391" t="s">
        <v>1641</v>
      </c>
      <c r="B391">
        <v>259</v>
      </c>
      <c r="D391">
        <v>45909</v>
      </c>
      <c r="F391" t="s">
        <v>142</v>
      </c>
      <c r="G391" t="s">
        <v>2240</v>
      </c>
      <c r="H391" t="s">
        <v>2241</v>
      </c>
      <c r="I391" t="s">
        <v>2242</v>
      </c>
      <c r="J391" t="s">
        <v>2240</v>
      </c>
      <c r="K391" t="s">
        <v>151</v>
      </c>
      <c r="M391" t="s">
        <v>151</v>
      </c>
      <c r="N391" t="s">
        <v>154</v>
      </c>
      <c r="O391">
        <v>1</v>
      </c>
      <c r="P391">
        <v>3.2875999999999999</v>
      </c>
      <c r="Q391">
        <v>69</v>
      </c>
      <c r="R391">
        <v>3.2875999999999999</v>
      </c>
      <c r="S391">
        <v>69</v>
      </c>
      <c r="T391">
        <v>226.84439999999998</v>
      </c>
    </row>
    <row r="392" spans="1:20" x14ac:dyDescent="0.35">
      <c r="A392" t="s">
        <v>1641</v>
      </c>
      <c r="B392">
        <v>305</v>
      </c>
      <c r="D392">
        <v>45808</v>
      </c>
      <c r="F392" t="s">
        <v>142</v>
      </c>
      <c r="G392" t="s">
        <v>2243</v>
      </c>
      <c r="H392" t="s">
        <v>2244</v>
      </c>
      <c r="I392" t="s">
        <v>1645</v>
      </c>
      <c r="J392" t="s">
        <v>2243</v>
      </c>
      <c r="K392" t="s">
        <v>1777</v>
      </c>
      <c r="M392" t="s">
        <v>151</v>
      </c>
      <c r="N392" t="s">
        <v>154</v>
      </c>
      <c r="O392">
        <v>1</v>
      </c>
      <c r="P392">
        <v>74.934799999999996</v>
      </c>
      <c r="Q392">
        <v>3</v>
      </c>
      <c r="R392">
        <v>74.934799999999996</v>
      </c>
      <c r="S392">
        <v>3</v>
      </c>
      <c r="T392">
        <v>224.80439999999999</v>
      </c>
    </row>
    <row r="393" spans="1:20" x14ac:dyDescent="0.35">
      <c r="A393" t="s">
        <v>1641</v>
      </c>
      <c r="B393">
        <v>170</v>
      </c>
      <c r="D393">
        <v>45688</v>
      </c>
      <c r="F393" t="s">
        <v>142</v>
      </c>
      <c r="G393" t="s">
        <v>2245</v>
      </c>
      <c r="H393" t="s">
        <v>2246</v>
      </c>
      <c r="I393" t="s">
        <v>2247</v>
      </c>
      <c r="J393" t="s">
        <v>2245</v>
      </c>
      <c r="K393" t="s">
        <v>151</v>
      </c>
      <c r="M393" t="s">
        <v>151</v>
      </c>
      <c r="N393" t="s">
        <v>154</v>
      </c>
      <c r="O393">
        <v>1</v>
      </c>
      <c r="P393">
        <v>12.0002</v>
      </c>
      <c r="Q393">
        <v>18</v>
      </c>
      <c r="R393">
        <v>12.0002</v>
      </c>
      <c r="S393">
        <v>18</v>
      </c>
      <c r="T393">
        <v>216.00360000000001</v>
      </c>
    </row>
    <row r="394" spans="1:20" x14ac:dyDescent="0.35">
      <c r="A394" t="s">
        <v>1641</v>
      </c>
      <c r="B394">
        <v>251</v>
      </c>
      <c r="D394">
        <v>45792</v>
      </c>
      <c r="F394" t="s">
        <v>142</v>
      </c>
      <c r="G394" t="s">
        <v>2248</v>
      </c>
      <c r="H394" t="s">
        <v>2249</v>
      </c>
      <c r="I394" t="s">
        <v>560</v>
      </c>
      <c r="J394" t="s">
        <v>2248</v>
      </c>
      <c r="K394" t="s">
        <v>2250</v>
      </c>
      <c r="M394" t="s">
        <v>151</v>
      </c>
      <c r="N394" t="s">
        <v>213</v>
      </c>
      <c r="O394">
        <v>1</v>
      </c>
      <c r="P394">
        <v>5.9744000000000002</v>
      </c>
      <c r="Q394">
        <v>36</v>
      </c>
      <c r="R394">
        <v>5.9744000000000002</v>
      </c>
      <c r="S394">
        <v>36</v>
      </c>
      <c r="T394">
        <v>215.07840000000002</v>
      </c>
    </row>
    <row r="395" spans="1:20" x14ac:dyDescent="0.35">
      <c r="A395" t="s">
        <v>1641</v>
      </c>
      <c r="B395">
        <v>253</v>
      </c>
      <c r="D395">
        <v>45792</v>
      </c>
      <c r="F395" t="s">
        <v>142</v>
      </c>
      <c r="G395" t="s">
        <v>2251</v>
      </c>
      <c r="H395" t="s">
        <v>2252</v>
      </c>
      <c r="I395" t="s">
        <v>560</v>
      </c>
      <c r="J395" t="s">
        <v>2251</v>
      </c>
      <c r="K395" t="s">
        <v>2253</v>
      </c>
      <c r="M395" t="s">
        <v>151</v>
      </c>
      <c r="N395" t="s">
        <v>213</v>
      </c>
      <c r="O395">
        <v>1</v>
      </c>
      <c r="P395">
        <v>6.0114000000000001</v>
      </c>
      <c r="Q395">
        <v>36</v>
      </c>
      <c r="R395">
        <v>6.0114000000000001</v>
      </c>
      <c r="S395">
        <v>36</v>
      </c>
      <c r="T395">
        <v>216.41040000000001</v>
      </c>
    </row>
    <row r="396" spans="1:20" x14ac:dyDescent="0.35">
      <c r="A396" t="s">
        <v>1641</v>
      </c>
      <c r="B396">
        <v>255</v>
      </c>
      <c r="D396">
        <v>45792</v>
      </c>
      <c r="F396" t="s">
        <v>142</v>
      </c>
      <c r="G396" t="s">
        <v>2254</v>
      </c>
      <c r="H396" t="s">
        <v>2255</v>
      </c>
      <c r="I396" t="s">
        <v>560</v>
      </c>
      <c r="J396" t="s">
        <v>2254</v>
      </c>
      <c r="K396" t="s">
        <v>2256</v>
      </c>
      <c r="M396" t="s">
        <v>151</v>
      </c>
      <c r="N396" t="s">
        <v>213</v>
      </c>
      <c r="O396">
        <v>1</v>
      </c>
      <c r="P396">
        <v>5.9744999999999999</v>
      </c>
      <c r="Q396">
        <v>36</v>
      </c>
      <c r="R396">
        <v>5.9744999999999999</v>
      </c>
      <c r="S396">
        <v>36</v>
      </c>
      <c r="T396">
        <v>215.08199999999999</v>
      </c>
    </row>
    <row r="397" spans="1:20" x14ac:dyDescent="0.35">
      <c r="A397" t="s">
        <v>1641</v>
      </c>
      <c r="B397">
        <v>258</v>
      </c>
      <c r="D397">
        <v>45792</v>
      </c>
      <c r="F397" t="s">
        <v>142</v>
      </c>
      <c r="G397" t="s">
        <v>2257</v>
      </c>
      <c r="H397" t="s">
        <v>2258</v>
      </c>
      <c r="I397" t="s">
        <v>560</v>
      </c>
      <c r="J397" t="s">
        <v>2257</v>
      </c>
      <c r="K397" t="s">
        <v>2259</v>
      </c>
      <c r="M397" t="s">
        <v>151</v>
      </c>
      <c r="N397" t="s">
        <v>213</v>
      </c>
      <c r="O397">
        <v>1</v>
      </c>
      <c r="P397">
        <v>6.0312000000000001</v>
      </c>
      <c r="Q397">
        <v>36</v>
      </c>
      <c r="R397">
        <v>6.0312000000000001</v>
      </c>
      <c r="S397">
        <v>36</v>
      </c>
      <c r="T397">
        <v>217.1232</v>
      </c>
    </row>
    <row r="398" spans="1:20" x14ac:dyDescent="0.35">
      <c r="A398" t="s">
        <v>1641</v>
      </c>
      <c r="B398">
        <v>199</v>
      </c>
      <c r="D398">
        <v>45877</v>
      </c>
      <c r="F398" t="s">
        <v>142</v>
      </c>
      <c r="G398" t="s">
        <v>2260</v>
      </c>
      <c r="H398" t="s">
        <v>2261</v>
      </c>
      <c r="I398" t="s">
        <v>1655</v>
      </c>
      <c r="J398" t="s">
        <v>2260</v>
      </c>
      <c r="K398" t="s">
        <v>2262</v>
      </c>
      <c r="M398" t="s">
        <v>151</v>
      </c>
      <c r="N398" t="s">
        <v>154</v>
      </c>
      <c r="O398">
        <v>1</v>
      </c>
      <c r="P398">
        <v>11.868399999999999</v>
      </c>
      <c r="Q398">
        <v>18</v>
      </c>
      <c r="R398">
        <v>11.868399999999999</v>
      </c>
      <c r="S398">
        <v>18</v>
      </c>
      <c r="T398">
        <v>213.63119999999998</v>
      </c>
    </row>
    <row r="399" spans="1:20" x14ac:dyDescent="0.35">
      <c r="A399" t="s">
        <v>1641</v>
      </c>
      <c r="B399">
        <v>530</v>
      </c>
      <c r="D399">
        <v>45832</v>
      </c>
      <c r="F399" t="s">
        <v>142</v>
      </c>
      <c r="G399" t="s">
        <v>2263</v>
      </c>
      <c r="H399" t="s">
        <v>2264</v>
      </c>
      <c r="I399" t="s">
        <v>164</v>
      </c>
      <c r="J399" t="s">
        <v>2263</v>
      </c>
      <c r="K399" t="s">
        <v>151</v>
      </c>
      <c r="M399" t="s">
        <v>151</v>
      </c>
      <c r="N399" t="s">
        <v>154</v>
      </c>
      <c r="O399">
        <v>1</v>
      </c>
      <c r="P399">
        <v>51.540599999999998</v>
      </c>
      <c r="Q399">
        <v>4</v>
      </c>
      <c r="R399">
        <v>51.540599999999998</v>
      </c>
      <c r="S399">
        <v>4</v>
      </c>
      <c r="T399">
        <v>206.16239999999999</v>
      </c>
    </row>
    <row r="400" spans="1:20" x14ac:dyDescent="0.35">
      <c r="A400" t="s">
        <v>1641</v>
      </c>
      <c r="B400">
        <v>50</v>
      </c>
      <c r="D400">
        <v>45765</v>
      </c>
      <c r="F400" t="s">
        <v>142</v>
      </c>
      <c r="G400" t="s">
        <v>2265</v>
      </c>
      <c r="H400" t="s">
        <v>2266</v>
      </c>
      <c r="I400" t="s">
        <v>1647</v>
      </c>
      <c r="J400" t="s">
        <v>2265</v>
      </c>
      <c r="K400" t="s">
        <v>2267</v>
      </c>
      <c r="L400" t="s">
        <v>2268</v>
      </c>
      <c r="N400" t="s">
        <v>1650</v>
      </c>
      <c r="O400">
        <v>1</v>
      </c>
      <c r="P400">
        <v>51.186700000000002</v>
      </c>
      <c r="Q400">
        <v>4</v>
      </c>
      <c r="R400">
        <v>51.186700000000002</v>
      </c>
      <c r="S400">
        <v>4</v>
      </c>
      <c r="T400">
        <v>204.74680000000001</v>
      </c>
    </row>
    <row r="401" spans="1:20" x14ac:dyDescent="0.35">
      <c r="A401" t="s">
        <v>1641</v>
      </c>
      <c r="B401">
        <v>606</v>
      </c>
      <c r="D401">
        <v>45833</v>
      </c>
      <c r="F401" t="s">
        <v>142</v>
      </c>
      <c r="G401" t="s">
        <v>2269</v>
      </c>
      <c r="H401" t="s">
        <v>2270</v>
      </c>
      <c r="I401" t="s">
        <v>1675</v>
      </c>
      <c r="J401" t="s">
        <v>2269</v>
      </c>
      <c r="K401" t="s">
        <v>2271</v>
      </c>
      <c r="M401" t="s">
        <v>151</v>
      </c>
      <c r="N401" t="s">
        <v>213</v>
      </c>
      <c r="O401">
        <v>1</v>
      </c>
      <c r="P401">
        <v>22.662500000000001</v>
      </c>
      <c r="Q401">
        <v>9</v>
      </c>
      <c r="R401">
        <v>22.662500000000001</v>
      </c>
      <c r="S401">
        <v>9</v>
      </c>
      <c r="T401">
        <v>203.96250000000001</v>
      </c>
    </row>
    <row r="402" spans="1:20" x14ac:dyDescent="0.35">
      <c r="A402" t="s">
        <v>1641</v>
      </c>
      <c r="B402">
        <v>607</v>
      </c>
      <c r="D402">
        <v>45908</v>
      </c>
      <c r="F402" t="s">
        <v>142</v>
      </c>
      <c r="G402" t="s">
        <v>2272</v>
      </c>
      <c r="H402" t="s">
        <v>2273</v>
      </c>
      <c r="I402" t="s">
        <v>1675</v>
      </c>
      <c r="J402" t="s">
        <v>2272</v>
      </c>
      <c r="K402" t="s">
        <v>2274</v>
      </c>
      <c r="M402" t="s">
        <v>151</v>
      </c>
      <c r="N402" t="s">
        <v>213</v>
      </c>
      <c r="O402">
        <v>1</v>
      </c>
      <c r="P402">
        <v>22.626300000000001</v>
      </c>
      <c r="Q402">
        <v>9</v>
      </c>
      <c r="R402">
        <v>22.626300000000001</v>
      </c>
      <c r="S402">
        <v>9</v>
      </c>
      <c r="T402">
        <v>203.63670000000002</v>
      </c>
    </row>
    <row r="403" spans="1:20" x14ac:dyDescent="0.35">
      <c r="A403" t="s">
        <v>1641</v>
      </c>
      <c r="B403">
        <v>616</v>
      </c>
      <c r="D403">
        <v>45723</v>
      </c>
      <c r="F403" t="s">
        <v>142</v>
      </c>
      <c r="G403" t="s">
        <v>2275</v>
      </c>
      <c r="H403" t="s">
        <v>2276</v>
      </c>
      <c r="I403" t="s">
        <v>1655</v>
      </c>
      <c r="J403" t="s">
        <v>2275</v>
      </c>
      <c r="K403" t="s">
        <v>151</v>
      </c>
      <c r="M403" t="s">
        <v>151</v>
      </c>
      <c r="N403" t="s">
        <v>154</v>
      </c>
      <c r="O403">
        <v>1</v>
      </c>
      <c r="P403">
        <v>101.9693</v>
      </c>
      <c r="Q403">
        <v>2</v>
      </c>
      <c r="R403">
        <v>101.9693</v>
      </c>
      <c r="S403">
        <v>2</v>
      </c>
      <c r="T403">
        <v>203.93860000000001</v>
      </c>
    </row>
    <row r="404" spans="1:20" x14ac:dyDescent="0.35">
      <c r="A404" t="s">
        <v>1641</v>
      </c>
      <c r="B404">
        <v>584</v>
      </c>
      <c r="D404">
        <v>45667</v>
      </c>
      <c r="F404" t="s">
        <v>142</v>
      </c>
      <c r="G404" t="s">
        <v>2277</v>
      </c>
      <c r="H404" t="s">
        <v>2278</v>
      </c>
      <c r="I404" t="s">
        <v>1823</v>
      </c>
      <c r="J404" t="s">
        <v>2277</v>
      </c>
      <c r="K404" t="s">
        <v>2279</v>
      </c>
      <c r="M404" t="s">
        <v>151</v>
      </c>
      <c r="N404" t="s">
        <v>213</v>
      </c>
      <c r="O404">
        <v>1</v>
      </c>
      <c r="P404">
        <v>11.2555</v>
      </c>
      <c r="Q404">
        <v>18</v>
      </c>
      <c r="R404">
        <v>11.2555</v>
      </c>
      <c r="S404">
        <v>18</v>
      </c>
      <c r="T404">
        <v>202.59899999999999</v>
      </c>
    </row>
    <row r="405" spans="1:20" x14ac:dyDescent="0.35">
      <c r="A405" t="s">
        <v>1641</v>
      </c>
      <c r="B405">
        <v>552</v>
      </c>
      <c r="D405">
        <v>45925</v>
      </c>
      <c r="F405" t="s">
        <v>142</v>
      </c>
      <c r="G405" t="s">
        <v>2280</v>
      </c>
      <c r="H405" t="s">
        <v>2281</v>
      </c>
      <c r="I405" t="s">
        <v>164</v>
      </c>
      <c r="J405" t="s">
        <v>2280</v>
      </c>
      <c r="K405" t="s">
        <v>2282</v>
      </c>
      <c r="M405" t="s">
        <v>151</v>
      </c>
      <c r="N405" t="s">
        <v>154</v>
      </c>
      <c r="O405">
        <v>1</v>
      </c>
      <c r="P405">
        <v>199.67339999999999</v>
      </c>
      <c r="Q405">
        <v>1</v>
      </c>
      <c r="R405">
        <v>199.67339999999999</v>
      </c>
      <c r="S405">
        <v>1</v>
      </c>
      <c r="T405">
        <v>199.67339999999999</v>
      </c>
    </row>
    <row r="406" spans="1:20" x14ac:dyDescent="0.35">
      <c r="A406" t="s">
        <v>1641</v>
      </c>
      <c r="B406">
        <v>278</v>
      </c>
      <c r="D406">
        <v>45882</v>
      </c>
      <c r="F406" t="s">
        <v>142</v>
      </c>
      <c r="G406" t="s">
        <v>2283</v>
      </c>
      <c r="H406" t="s">
        <v>2284</v>
      </c>
      <c r="I406" t="s">
        <v>1659</v>
      </c>
      <c r="J406" t="s">
        <v>2283</v>
      </c>
      <c r="K406" t="s">
        <v>2037</v>
      </c>
      <c r="M406" t="s">
        <v>151</v>
      </c>
      <c r="N406" t="s">
        <v>154</v>
      </c>
      <c r="O406">
        <v>1</v>
      </c>
      <c r="P406">
        <v>19.973400000000002</v>
      </c>
      <c r="Q406">
        <v>10</v>
      </c>
      <c r="R406">
        <v>19.973400000000002</v>
      </c>
      <c r="S406">
        <v>10</v>
      </c>
      <c r="T406">
        <v>199.73400000000001</v>
      </c>
    </row>
    <row r="407" spans="1:20" x14ac:dyDescent="0.35">
      <c r="A407" t="s">
        <v>1641</v>
      </c>
      <c r="B407">
        <v>280</v>
      </c>
      <c r="D407">
        <v>45882</v>
      </c>
      <c r="F407" t="s">
        <v>142</v>
      </c>
      <c r="G407" t="s">
        <v>2285</v>
      </c>
      <c r="H407" t="s">
        <v>2286</v>
      </c>
      <c r="I407" t="s">
        <v>1659</v>
      </c>
      <c r="J407" t="s">
        <v>2285</v>
      </c>
      <c r="K407" t="s">
        <v>2287</v>
      </c>
      <c r="M407" t="s">
        <v>151</v>
      </c>
      <c r="N407" t="s">
        <v>154</v>
      </c>
      <c r="O407">
        <v>1</v>
      </c>
      <c r="P407">
        <v>19.839400000000001</v>
      </c>
      <c r="Q407">
        <v>10</v>
      </c>
      <c r="R407">
        <v>19.839400000000001</v>
      </c>
      <c r="S407">
        <v>10</v>
      </c>
      <c r="T407">
        <v>198.39400000000001</v>
      </c>
    </row>
    <row r="408" spans="1:20" x14ac:dyDescent="0.35">
      <c r="A408" t="s">
        <v>1641</v>
      </c>
      <c r="B408">
        <v>56</v>
      </c>
      <c r="D408">
        <v>45908</v>
      </c>
      <c r="F408" t="s">
        <v>142</v>
      </c>
      <c r="G408" t="s">
        <v>2288</v>
      </c>
      <c r="H408" t="s">
        <v>2289</v>
      </c>
      <c r="I408" t="s">
        <v>1781</v>
      </c>
      <c r="J408" t="s">
        <v>2288</v>
      </c>
      <c r="K408" t="s">
        <v>2290</v>
      </c>
      <c r="M408" t="s">
        <v>151</v>
      </c>
      <c r="N408" t="s">
        <v>213</v>
      </c>
      <c r="O408">
        <v>1</v>
      </c>
      <c r="P408">
        <v>18.007100000000001</v>
      </c>
      <c r="Q408">
        <v>11</v>
      </c>
      <c r="R408">
        <v>18.007100000000001</v>
      </c>
      <c r="S408">
        <v>11</v>
      </c>
      <c r="T408">
        <v>198.07810000000001</v>
      </c>
    </row>
    <row r="409" spans="1:20" x14ac:dyDescent="0.35">
      <c r="A409" t="s">
        <v>1641</v>
      </c>
      <c r="B409">
        <v>582</v>
      </c>
      <c r="D409">
        <v>45776</v>
      </c>
      <c r="F409" t="s">
        <v>142</v>
      </c>
      <c r="G409" t="s">
        <v>2291</v>
      </c>
      <c r="H409" t="s">
        <v>2292</v>
      </c>
      <c r="I409" t="s">
        <v>1823</v>
      </c>
      <c r="J409" t="s">
        <v>2291</v>
      </c>
      <c r="K409" t="s">
        <v>2293</v>
      </c>
      <c r="M409" t="s">
        <v>151</v>
      </c>
      <c r="N409" t="s">
        <v>213</v>
      </c>
      <c r="O409">
        <v>1</v>
      </c>
      <c r="P409">
        <v>16.4801</v>
      </c>
      <c r="Q409">
        <v>12</v>
      </c>
      <c r="R409">
        <v>16.4801</v>
      </c>
      <c r="S409">
        <v>12</v>
      </c>
      <c r="T409">
        <v>197.7612</v>
      </c>
    </row>
    <row r="410" spans="1:20" x14ac:dyDescent="0.35">
      <c r="A410" t="s">
        <v>1641</v>
      </c>
      <c r="B410">
        <v>332</v>
      </c>
      <c r="D410">
        <v>45860</v>
      </c>
      <c r="F410" t="s">
        <v>142</v>
      </c>
      <c r="G410" t="s">
        <v>2294</v>
      </c>
      <c r="H410" t="s">
        <v>2295</v>
      </c>
      <c r="I410" t="s">
        <v>1645</v>
      </c>
      <c r="J410" t="s">
        <v>2294</v>
      </c>
      <c r="K410" t="s">
        <v>2296</v>
      </c>
      <c r="M410" t="s">
        <v>151</v>
      </c>
      <c r="N410" t="s">
        <v>154</v>
      </c>
      <c r="O410">
        <v>1</v>
      </c>
      <c r="P410">
        <v>99.321299999999994</v>
      </c>
      <c r="Q410">
        <v>2</v>
      </c>
      <c r="R410">
        <v>99.321299999999994</v>
      </c>
      <c r="S410">
        <v>2</v>
      </c>
      <c r="T410">
        <v>198.64259999999999</v>
      </c>
    </row>
    <row r="411" spans="1:20" x14ac:dyDescent="0.35">
      <c r="A411" t="s">
        <v>1641</v>
      </c>
      <c r="B411">
        <v>432</v>
      </c>
      <c r="D411">
        <v>45876</v>
      </c>
      <c r="F411" t="s">
        <v>142</v>
      </c>
      <c r="G411" t="s">
        <v>2297</v>
      </c>
      <c r="H411" t="s">
        <v>2298</v>
      </c>
      <c r="I411" t="s">
        <v>1653</v>
      </c>
      <c r="J411" t="s">
        <v>2297</v>
      </c>
      <c r="K411" t="s">
        <v>1864</v>
      </c>
      <c r="M411" t="s">
        <v>151</v>
      </c>
      <c r="N411" t="s">
        <v>154</v>
      </c>
      <c r="O411">
        <v>1</v>
      </c>
      <c r="P411">
        <v>5.0057</v>
      </c>
      <c r="Q411">
        <v>39</v>
      </c>
      <c r="R411">
        <v>5.0057</v>
      </c>
      <c r="S411">
        <v>39</v>
      </c>
      <c r="T411">
        <v>195.22229999999999</v>
      </c>
    </row>
    <row r="412" spans="1:20" x14ac:dyDescent="0.35">
      <c r="A412" t="s">
        <v>1641</v>
      </c>
      <c r="B412">
        <v>287</v>
      </c>
      <c r="D412">
        <v>45841</v>
      </c>
      <c r="F412" t="s">
        <v>142</v>
      </c>
      <c r="G412" t="s">
        <v>2299</v>
      </c>
      <c r="H412" t="s">
        <v>2300</v>
      </c>
      <c r="I412" t="s">
        <v>1645</v>
      </c>
      <c r="J412" t="s">
        <v>2299</v>
      </c>
      <c r="K412" t="s">
        <v>2301</v>
      </c>
      <c r="M412" t="s">
        <v>151</v>
      </c>
      <c r="N412" t="s">
        <v>154</v>
      </c>
      <c r="O412">
        <v>1</v>
      </c>
      <c r="P412">
        <v>193.67</v>
      </c>
      <c r="Q412">
        <v>1</v>
      </c>
      <c r="R412">
        <v>193.67</v>
      </c>
      <c r="S412">
        <v>1</v>
      </c>
      <c r="T412">
        <v>193.67</v>
      </c>
    </row>
    <row r="413" spans="1:20" x14ac:dyDescent="0.35">
      <c r="A413" t="s">
        <v>1641</v>
      </c>
      <c r="B413">
        <v>40</v>
      </c>
      <c r="D413">
        <v>45891</v>
      </c>
      <c r="F413" t="s">
        <v>142</v>
      </c>
      <c r="G413" t="s">
        <v>2302</v>
      </c>
      <c r="H413" t="s">
        <v>2303</v>
      </c>
      <c r="I413" t="s">
        <v>1647</v>
      </c>
      <c r="J413" t="s">
        <v>2302</v>
      </c>
      <c r="K413" t="s">
        <v>2304</v>
      </c>
      <c r="M413" t="s">
        <v>151</v>
      </c>
      <c r="N413" t="s">
        <v>1666</v>
      </c>
      <c r="O413">
        <v>1</v>
      </c>
      <c r="P413">
        <v>14.869899999999999</v>
      </c>
      <c r="Q413">
        <v>13</v>
      </c>
      <c r="R413">
        <v>14.869899999999999</v>
      </c>
      <c r="S413">
        <v>13</v>
      </c>
      <c r="T413">
        <v>193.30869999999999</v>
      </c>
    </row>
    <row r="414" spans="1:20" x14ac:dyDescent="0.35">
      <c r="A414" t="s">
        <v>1641</v>
      </c>
      <c r="B414">
        <v>385</v>
      </c>
      <c r="D414">
        <v>45882</v>
      </c>
      <c r="F414" t="s">
        <v>142</v>
      </c>
      <c r="G414" t="s">
        <v>2305</v>
      </c>
      <c r="H414" t="s">
        <v>2306</v>
      </c>
      <c r="I414" t="s">
        <v>1678</v>
      </c>
      <c r="J414" t="s">
        <v>2305</v>
      </c>
      <c r="K414" t="s">
        <v>2307</v>
      </c>
      <c r="M414" t="s">
        <v>151</v>
      </c>
      <c r="N414" t="s">
        <v>154</v>
      </c>
      <c r="O414">
        <v>1</v>
      </c>
      <c r="P414">
        <v>95.252300000000005</v>
      </c>
      <c r="Q414">
        <v>2</v>
      </c>
      <c r="R414">
        <v>95.252300000000005</v>
      </c>
      <c r="S414">
        <v>2</v>
      </c>
      <c r="T414">
        <v>190.50460000000001</v>
      </c>
    </row>
    <row r="415" spans="1:20" x14ac:dyDescent="0.35">
      <c r="A415" t="s">
        <v>1641</v>
      </c>
      <c r="B415">
        <v>231</v>
      </c>
      <c r="D415">
        <v>45742</v>
      </c>
      <c r="F415" t="s">
        <v>142</v>
      </c>
      <c r="G415" t="s">
        <v>2308</v>
      </c>
      <c r="H415" t="s">
        <v>2309</v>
      </c>
      <c r="I415" t="s">
        <v>1818</v>
      </c>
      <c r="J415" t="s">
        <v>2308</v>
      </c>
      <c r="K415" t="s">
        <v>151</v>
      </c>
      <c r="M415" t="s">
        <v>151</v>
      </c>
      <c r="N415" t="s">
        <v>154</v>
      </c>
      <c r="O415">
        <v>1</v>
      </c>
      <c r="P415">
        <v>10.2713</v>
      </c>
      <c r="Q415">
        <v>18</v>
      </c>
      <c r="R415">
        <v>10.2713</v>
      </c>
      <c r="S415">
        <v>18</v>
      </c>
      <c r="T415">
        <v>184.88339999999999</v>
      </c>
    </row>
    <row r="416" spans="1:20" x14ac:dyDescent="0.35">
      <c r="A416" t="s">
        <v>1641</v>
      </c>
      <c r="B416">
        <v>150</v>
      </c>
      <c r="D416">
        <v>45910</v>
      </c>
      <c r="F416" t="s">
        <v>142</v>
      </c>
      <c r="G416" t="s">
        <v>2310</v>
      </c>
      <c r="H416" t="s">
        <v>2311</v>
      </c>
      <c r="I416" t="s">
        <v>1647</v>
      </c>
      <c r="J416" t="s">
        <v>2310</v>
      </c>
      <c r="K416" t="s">
        <v>151</v>
      </c>
      <c r="M416" t="s">
        <v>151</v>
      </c>
      <c r="N416" t="s">
        <v>172</v>
      </c>
      <c r="O416">
        <v>1</v>
      </c>
      <c r="P416">
        <v>36.910499999999999</v>
      </c>
      <c r="Q416">
        <v>5</v>
      </c>
      <c r="R416">
        <v>36.910499999999999</v>
      </c>
      <c r="S416">
        <v>5</v>
      </c>
      <c r="T416">
        <v>184.55250000000001</v>
      </c>
    </row>
    <row r="417" spans="1:20" x14ac:dyDescent="0.35">
      <c r="A417" t="s">
        <v>1641</v>
      </c>
      <c r="B417">
        <v>623</v>
      </c>
      <c r="D417">
        <v>45821</v>
      </c>
      <c r="F417" t="s">
        <v>142</v>
      </c>
      <c r="G417" t="s">
        <v>2312</v>
      </c>
      <c r="H417" t="s">
        <v>2313</v>
      </c>
      <c r="I417" t="s">
        <v>2314</v>
      </c>
      <c r="J417" t="s">
        <v>2312</v>
      </c>
      <c r="K417" t="s">
        <v>151</v>
      </c>
      <c r="M417" t="s">
        <v>151</v>
      </c>
      <c r="N417" t="s">
        <v>154</v>
      </c>
      <c r="O417">
        <v>1</v>
      </c>
      <c r="P417">
        <v>185.41249999999999</v>
      </c>
      <c r="Q417">
        <v>1</v>
      </c>
      <c r="R417">
        <v>185.41249999999999</v>
      </c>
      <c r="S417">
        <v>1</v>
      </c>
      <c r="T417">
        <v>185.41249999999999</v>
      </c>
    </row>
    <row r="418" spans="1:20" x14ac:dyDescent="0.35">
      <c r="A418" t="s">
        <v>1641</v>
      </c>
      <c r="B418">
        <v>610</v>
      </c>
      <c r="D418">
        <v>45775</v>
      </c>
      <c r="F418" t="s">
        <v>142</v>
      </c>
      <c r="G418" t="s">
        <v>2315</v>
      </c>
      <c r="H418" t="s">
        <v>2316</v>
      </c>
      <c r="I418" t="s">
        <v>1675</v>
      </c>
      <c r="J418" t="s">
        <v>2315</v>
      </c>
      <c r="K418" t="s">
        <v>2317</v>
      </c>
      <c r="M418" t="s">
        <v>151</v>
      </c>
      <c r="N418" t="s">
        <v>154</v>
      </c>
      <c r="O418">
        <v>1</v>
      </c>
      <c r="P418">
        <v>3.8003</v>
      </c>
      <c r="Q418">
        <v>48</v>
      </c>
      <c r="R418">
        <v>3.8003</v>
      </c>
      <c r="S418">
        <v>48</v>
      </c>
      <c r="T418">
        <v>182.4144</v>
      </c>
    </row>
    <row r="419" spans="1:20" x14ac:dyDescent="0.35">
      <c r="A419" t="s">
        <v>1641</v>
      </c>
      <c r="B419">
        <v>204</v>
      </c>
      <c r="D419">
        <v>45908</v>
      </c>
      <c r="F419" t="s">
        <v>142</v>
      </c>
      <c r="G419" t="s">
        <v>2236</v>
      </c>
      <c r="H419" t="s">
        <v>2237</v>
      </c>
      <c r="I419" t="s">
        <v>1655</v>
      </c>
      <c r="J419" t="s">
        <v>2236</v>
      </c>
      <c r="K419" t="s">
        <v>151</v>
      </c>
      <c r="M419" t="s">
        <v>151</v>
      </c>
      <c r="N419" t="s">
        <v>154</v>
      </c>
      <c r="O419">
        <v>1</v>
      </c>
      <c r="P419">
        <v>0.29770000000000002</v>
      </c>
      <c r="Q419">
        <v>600</v>
      </c>
      <c r="R419">
        <v>0.29770000000000002</v>
      </c>
      <c r="S419">
        <v>600</v>
      </c>
      <c r="T419">
        <v>178.62</v>
      </c>
    </row>
    <row r="420" spans="1:20" x14ac:dyDescent="0.35">
      <c r="A420" t="s">
        <v>1641</v>
      </c>
      <c r="B420">
        <v>190</v>
      </c>
      <c r="D420">
        <v>45922</v>
      </c>
      <c r="F420" t="s">
        <v>142</v>
      </c>
      <c r="G420" t="s">
        <v>2318</v>
      </c>
      <c r="H420" t="s">
        <v>2319</v>
      </c>
      <c r="I420" t="s">
        <v>1655</v>
      </c>
      <c r="J420" t="s">
        <v>2318</v>
      </c>
      <c r="K420" t="s">
        <v>2320</v>
      </c>
      <c r="N420" t="s">
        <v>1666</v>
      </c>
      <c r="O420">
        <v>1</v>
      </c>
      <c r="P420">
        <v>25.5259</v>
      </c>
      <c r="Q420">
        <v>7</v>
      </c>
      <c r="R420">
        <v>25.5259</v>
      </c>
      <c r="S420">
        <v>7</v>
      </c>
      <c r="T420">
        <v>178.68129999999999</v>
      </c>
    </row>
    <row r="421" spans="1:20" x14ac:dyDescent="0.35">
      <c r="A421" t="s">
        <v>1641</v>
      </c>
      <c r="B421">
        <v>448</v>
      </c>
      <c r="D421">
        <v>45845</v>
      </c>
      <c r="F421" t="s">
        <v>142</v>
      </c>
      <c r="G421" t="s">
        <v>2321</v>
      </c>
      <c r="H421" t="s">
        <v>2322</v>
      </c>
      <c r="I421" t="s">
        <v>1653</v>
      </c>
      <c r="J421" t="s">
        <v>2321</v>
      </c>
      <c r="K421" t="s">
        <v>2323</v>
      </c>
      <c r="M421" t="s">
        <v>151</v>
      </c>
      <c r="N421" t="s">
        <v>154</v>
      </c>
      <c r="O421">
        <v>1</v>
      </c>
      <c r="P421">
        <v>29.470700000000001</v>
      </c>
      <c r="Q421">
        <v>6</v>
      </c>
      <c r="R421">
        <v>29.470700000000001</v>
      </c>
      <c r="S421">
        <v>6</v>
      </c>
      <c r="T421">
        <v>176.82420000000002</v>
      </c>
    </row>
    <row r="422" spans="1:20" x14ac:dyDescent="0.35">
      <c r="A422" t="s">
        <v>1641</v>
      </c>
      <c r="B422">
        <v>151</v>
      </c>
      <c r="D422">
        <v>45919</v>
      </c>
      <c r="F422" t="s">
        <v>142</v>
      </c>
      <c r="G422" t="s">
        <v>2324</v>
      </c>
      <c r="H422" t="s">
        <v>2325</v>
      </c>
      <c r="I422" t="s">
        <v>2326</v>
      </c>
      <c r="J422" t="s">
        <v>2324</v>
      </c>
      <c r="K422" t="s">
        <v>2327</v>
      </c>
      <c r="M422" t="s">
        <v>151</v>
      </c>
      <c r="N422" t="s">
        <v>154</v>
      </c>
      <c r="O422">
        <v>1</v>
      </c>
      <c r="P422">
        <v>8.8018000000000001</v>
      </c>
      <c r="Q422">
        <v>20</v>
      </c>
      <c r="R422">
        <v>8.8018000000000001</v>
      </c>
      <c r="S422">
        <v>20</v>
      </c>
      <c r="T422">
        <v>176.036</v>
      </c>
    </row>
    <row r="423" spans="1:20" x14ac:dyDescent="0.35">
      <c r="A423" t="s">
        <v>1641</v>
      </c>
      <c r="B423">
        <v>72</v>
      </c>
      <c r="D423">
        <v>45835</v>
      </c>
      <c r="F423" t="s">
        <v>142</v>
      </c>
      <c r="G423" t="s">
        <v>2328</v>
      </c>
      <c r="H423" t="s">
        <v>2329</v>
      </c>
      <c r="I423" t="s">
        <v>1683</v>
      </c>
      <c r="J423" t="s">
        <v>2328</v>
      </c>
      <c r="K423" t="s">
        <v>2330</v>
      </c>
      <c r="M423" t="s">
        <v>151</v>
      </c>
      <c r="N423" t="s">
        <v>213</v>
      </c>
      <c r="O423">
        <v>1</v>
      </c>
      <c r="P423">
        <v>14.5884</v>
      </c>
      <c r="Q423">
        <v>12</v>
      </c>
      <c r="R423">
        <v>14.5884</v>
      </c>
      <c r="S423">
        <v>12</v>
      </c>
      <c r="T423">
        <v>175.0608</v>
      </c>
    </row>
    <row r="424" spans="1:20" x14ac:dyDescent="0.35">
      <c r="A424" t="s">
        <v>1641</v>
      </c>
      <c r="B424">
        <v>386</v>
      </c>
      <c r="D424">
        <v>45786</v>
      </c>
      <c r="F424" t="s">
        <v>142</v>
      </c>
      <c r="G424" t="s">
        <v>2331</v>
      </c>
      <c r="H424" t="s">
        <v>2332</v>
      </c>
      <c r="I424" t="s">
        <v>1678</v>
      </c>
      <c r="J424" t="s">
        <v>2331</v>
      </c>
      <c r="K424" t="s">
        <v>2333</v>
      </c>
      <c r="M424" t="s">
        <v>151</v>
      </c>
      <c r="N424" t="s">
        <v>154</v>
      </c>
      <c r="O424">
        <v>1</v>
      </c>
      <c r="P424">
        <v>87.133499999999998</v>
      </c>
      <c r="Q424">
        <v>2</v>
      </c>
      <c r="R424">
        <v>87.133499999999998</v>
      </c>
      <c r="S424">
        <v>2</v>
      </c>
      <c r="T424">
        <v>174.267</v>
      </c>
    </row>
    <row r="425" spans="1:20" x14ac:dyDescent="0.35">
      <c r="A425" t="s">
        <v>1641</v>
      </c>
      <c r="B425">
        <v>138</v>
      </c>
      <c r="D425">
        <v>45700</v>
      </c>
      <c r="F425" t="s">
        <v>142</v>
      </c>
      <c r="G425" t="s">
        <v>2334</v>
      </c>
      <c r="H425" t="s">
        <v>2335</v>
      </c>
      <c r="I425" t="s">
        <v>1647</v>
      </c>
      <c r="J425" t="s">
        <v>2334</v>
      </c>
      <c r="K425" t="s">
        <v>2336</v>
      </c>
      <c r="M425" t="s">
        <v>151</v>
      </c>
      <c r="N425" t="s">
        <v>154</v>
      </c>
      <c r="O425">
        <v>1</v>
      </c>
      <c r="P425">
        <v>43.421500000000002</v>
      </c>
      <c r="Q425">
        <v>4</v>
      </c>
      <c r="R425">
        <v>43.421500000000002</v>
      </c>
      <c r="S425">
        <v>4</v>
      </c>
      <c r="T425">
        <v>173.68600000000001</v>
      </c>
    </row>
    <row r="426" spans="1:20" x14ac:dyDescent="0.35">
      <c r="A426" t="s">
        <v>1641</v>
      </c>
      <c r="B426">
        <v>569</v>
      </c>
      <c r="D426">
        <v>45755</v>
      </c>
      <c r="F426" t="s">
        <v>142</v>
      </c>
      <c r="G426" t="s">
        <v>1508</v>
      </c>
      <c r="H426" t="s">
        <v>1509</v>
      </c>
      <c r="I426" t="s">
        <v>1823</v>
      </c>
      <c r="J426" t="s">
        <v>1508</v>
      </c>
      <c r="K426" t="s">
        <v>1845</v>
      </c>
      <c r="M426" t="s">
        <v>151</v>
      </c>
      <c r="N426" t="s">
        <v>2337</v>
      </c>
      <c r="O426">
        <v>1</v>
      </c>
      <c r="P426">
        <v>174.98089999999999</v>
      </c>
      <c r="Q426">
        <v>1</v>
      </c>
      <c r="R426">
        <v>174.98089999999999</v>
      </c>
      <c r="S426">
        <v>1</v>
      </c>
      <c r="T426">
        <v>174.98089999999999</v>
      </c>
    </row>
    <row r="427" spans="1:20" x14ac:dyDescent="0.35">
      <c r="A427" t="s">
        <v>1641</v>
      </c>
      <c r="B427">
        <v>546</v>
      </c>
      <c r="D427">
        <v>45895</v>
      </c>
      <c r="F427" t="s">
        <v>142</v>
      </c>
      <c r="G427" t="s">
        <v>2338</v>
      </c>
      <c r="H427" t="s">
        <v>2339</v>
      </c>
      <c r="I427" t="s">
        <v>164</v>
      </c>
      <c r="J427" t="s">
        <v>2338</v>
      </c>
      <c r="K427" t="s">
        <v>151</v>
      </c>
      <c r="M427" t="s">
        <v>151</v>
      </c>
      <c r="N427" t="s">
        <v>154</v>
      </c>
      <c r="O427">
        <v>1</v>
      </c>
      <c r="P427">
        <v>21.285</v>
      </c>
      <c r="Q427">
        <v>8</v>
      </c>
      <c r="R427">
        <v>21.285</v>
      </c>
      <c r="S427">
        <v>8</v>
      </c>
      <c r="T427">
        <v>170.28</v>
      </c>
    </row>
    <row r="428" spans="1:20" x14ac:dyDescent="0.35">
      <c r="A428" t="s">
        <v>1641</v>
      </c>
      <c r="B428">
        <v>49</v>
      </c>
      <c r="D428">
        <v>45701</v>
      </c>
      <c r="F428" t="s">
        <v>142</v>
      </c>
      <c r="G428" t="s">
        <v>2340</v>
      </c>
      <c r="H428" t="s">
        <v>2341</v>
      </c>
      <c r="I428" t="s">
        <v>1647</v>
      </c>
      <c r="J428" t="s">
        <v>2340</v>
      </c>
      <c r="K428" t="s">
        <v>151</v>
      </c>
      <c r="M428" t="s">
        <v>151</v>
      </c>
      <c r="N428" t="s">
        <v>1650</v>
      </c>
      <c r="O428">
        <v>1</v>
      </c>
      <c r="P428">
        <v>42.361199999999997</v>
      </c>
      <c r="Q428">
        <v>4</v>
      </c>
      <c r="R428">
        <v>42.361199999999997</v>
      </c>
      <c r="S428">
        <v>4</v>
      </c>
      <c r="T428">
        <v>169.44479999999999</v>
      </c>
    </row>
    <row r="429" spans="1:20" x14ac:dyDescent="0.35">
      <c r="A429" t="s">
        <v>1641</v>
      </c>
      <c r="B429">
        <v>152</v>
      </c>
      <c r="D429">
        <v>45887</v>
      </c>
      <c r="F429" t="s">
        <v>142</v>
      </c>
      <c r="G429" t="s">
        <v>2342</v>
      </c>
      <c r="H429" t="s">
        <v>2343</v>
      </c>
      <c r="I429" t="s">
        <v>2326</v>
      </c>
      <c r="J429" t="s">
        <v>2342</v>
      </c>
      <c r="K429" t="s">
        <v>151</v>
      </c>
      <c r="M429" t="s">
        <v>151</v>
      </c>
      <c r="N429" t="s">
        <v>154</v>
      </c>
      <c r="O429">
        <v>1</v>
      </c>
      <c r="P429">
        <v>4.6858000000000004</v>
      </c>
      <c r="Q429">
        <v>36</v>
      </c>
      <c r="R429">
        <v>4.6858000000000004</v>
      </c>
      <c r="S429">
        <v>36</v>
      </c>
      <c r="T429">
        <v>168.68880000000001</v>
      </c>
    </row>
    <row r="430" spans="1:20" x14ac:dyDescent="0.35">
      <c r="A430" t="s">
        <v>1641</v>
      </c>
      <c r="B430">
        <v>38</v>
      </c>
      <c r="D430">
        <v>45783</v>
      </c>
      <c r="F430" t="s">
        <v>142</v>
      </c>
      <c r="G430" t="s">
        <v>2344</v>
      </c>
      <c r="H430" t="s">
        <v>2345</v>
      </c>
      <c r="I430" t="s">
        <v>1647</v>
      </c>
      <c r="J430" t="s">
        <v>2344</v>
      </c>
      <c r="K430" t="s">
        <v>2346</v>
      </c>
      <c r="N430" t="s">
        <v>154</v>
      </c>
      <c r="O430">
        <v>1</v>
      </c>
      <c r="P430">
        <v>167.6294</v>
      </c>
      <c r="Q430">
        <v>1</v>
      </c>
      <c r="R430">
        <v>167.6294</v>
      </c>
      <c r="S430">
        <v>1</v>
      </c>
      <c r="T430">
        <v>167.6294</v>
      </c>
    </row>
    <row r="431" spans="1:20" x14ac:dyDescent="0.35">
      <c r="A431" t="s">
        <v>1641</v>
      </c>
      <c r="B431">
        <v>558</v>
      </c>
      <c r="D431">
        <v>45847</v>
      </c>
      <c r="F431" t="s">
        <v>142</v>
      </c>
      <c r="G431" t="s">
        <v>2347</v>
      </c>
      <c r="H431" t="s">
        <v>2348</v>
      </c>
      <c r="I431" t="s">
        <v>1651</v>
      </c>
      <c r="J431" t="s">
        <v>2347</v>
      </c>
      <c r="K431" t="s">
        <v>151</v>
      </c>
      <c r="M431" t="s">
        <v>151</v>
      </c>
      <c r="N431" t="s">
        <v>154</v>
      </c>
      <c r="O431">
        <v>1</v>
      </c>
      <c r="P431">
        <v>13.9598</v>
      </c>
      <c r="Q431">
        <v>12</v>
      </c>
      <c r="R431">
        <v>13.9598</v>
      </c>
      <c r="S431">
        <v>12</v>
      </c>
      <c r="T431">
        <v>167.51759999999999</v>
      </c>
    </row>
    <row r="432" spans="1:20" x14ac:dyDescent="0.35">
      <c r="A432" t="s">
        <v>1641</v>
      </c>
      <c r="B432">
        <v>73</v>
      </c>
      <c r="D432">
        <v>45665</v>
      </c>
      <c r="F432" t="s">
        <v>142</v>
      </c>
      <c r="G432" t="s">
        <v>2349</v>
      </c>
      <c r="H432" t="s">
        <v>2350</v>
      </c>
      <c r="I432" t="s">
        <v>1683</v>
      </c>
      <c r="J432" t="s">
        <v>2349</v>
      </c>
      <c r="K432" t="s">
        <v>2351</v>
      </c>
      <c r="M432" t="s">
        <v>151</v>
      </c>
      <c r="N432" t="s">
        <v>213</v>
      </c>
      <c r="O432">
        <v>1</v>
      </c>
      <c r="P432">
        <v>13.446300000000001</v>
      </c>
      <c r="Q432">
        <v>12</v>
      </c>
      <c r="R432">
        <v>13.446300000000001</v>
      </c>
      <c r="S432">
        <v>12</v>
      </c>
      <c r="T432">
        <v>161.35560000000001</v>
      </c>
    </row>
    <row r="433" spans="1:20" x14ac:dyDescent="0.35">
      <c r="A433" t="s">
        <v>1641</v>
      </c>
      <c r="B433">
        <v>522</v>
      </c>
      <c r="D433">
        <v>45679</v>
      </c>
      <c r="F433" t="s">
        <v>142</v>
      </c>
      <c r="G433" t="s">
        <v>2352</v>
      </c>
      <c r="H433" t="s">
        <v>2353</v>
      </c>
      <c r="I433" t="s">
        <v>164</v>
      </c>
      <c r="J433" t="s">
        <v>2352</v>
      </c>
      <c r="K433" t="s">
        <v>151</v>
      </c>
      <c r="N433" t="s">
        <v>154</v>
      </c>
      <c r="O433">
        <v>1</v>
      </c>
      <c r="P433">
        <v>160.87270000000001</v>
      </c>
      <c r="Q433">
        <v>1</v>
      </c>
      <c r="R433">
        <v>160.87270000000001</v>
      </c>
      <c r="S433">
        <v>1</v>
      </c>
      <c r="T433">
        <v>160.87270000000001</v>
      </c>
    </row>
    <row r="434" spans="1:20" x14ac:dyDescent="0.35">
      <c r="A434" t="s">
        <v>1641</v>
      </c>
      <c r="B434">
        <v>379</v>
      </c>
      <c r="D434">
        <v>45693</v>
      </c>
      <c r="F434" t="s">
        <v>142</v>
      </c>
      <c r="G434" t="s">
        <v>2354</v>
      </c>
      <c r="H434" t="s">
        <v>2355</v>
      </c>
      <c r="I434" t="s">
        <v>1678</v>
      </c>
      <c r="J434" t="s">
        <v>2354</v>
      </c>
      <c r="K434" t="s">
        <v>2356</v>
      </c>
      <c r="M434" t="s">
        <v>151</v>
      </c>
      <c r="N434" t="s">
        <v>154</v>
      </c>
      <c r="O434">
        <v>1</v>
      </c>
      <c r="P434">
        <v>79.926000000000002</v>
      </c>
      <c r="Q434">
        <v>2</v>
      </c>
      <c r="R434">
        <v>79.926000000000002</v>
      </c>
      <c r="S434">
        <v>2</v>
      </c>
      <c r="T434">
        <v>159.852</v>
      </c>
    </row>
    <row r="435" spans="1:20" x14ac:dyDescent="0.35">
      <c r="A435" t="s">
        <v>1641</v>
      </c>
      <c r="B435">
        <v>380</v>
      </c>
      <c r="D435">
        <v>45693</v>
      </c>
      <c r="F435" t="s">
        <v>142</v>
      </c>
      <c r="G435" t="s">
        <v>2357</v>
      </c>
      <c r="H435" t="s">
        <v>2358</v>
      </c>
      <c r="I435" t="s">
        <v>1678</v>
      </c>
      <c r="J435" t="s">
        <v>2357</v>
      </c>
      <c r="K435" t="s">
        <v>2359</v>
      </c>
      <c r="M435" t="s">
        <v>151</v>
      </c>
      <c r="N435" t="s">
        <v>154</v>
      </c>
      <c r="O435">
        <v>1</v>
      </c>
      <c r="P435">
        <v>80.229299999999995</v>
      </c>
      <c r="Q435">
        <v>2</v>
      </c>
      <c r="R435">
        <v>80.229299999999995</v>
      </c>
      <c r="S435">
        <v>2</v>
      </c>
      <c r="T435">
        <v>160.45859999999999</v>
      </c>
    </row>
    <row r="436" spans="1:20" x14ac:dyDescent="0.35">
      <c r="A436" t="s">
        <v>1641</v>
      </c>
      <c r="B436">
        <v>381</v>
      </c>
      <c r="D436">
        <v>45693</v>
      </c>
      <c r="F436" t="s">
        <v>142</v>
      </c>
      <c r="G436" t="s">
        <v>2360</v>
      </c>
      <c r="H436" t="s">
        <v>2361</v>
      </c>
      <c r="I436" t="s">
        <v>1678</v>
      </c>
      <c r="J436" t="s">
        <v>2360</v>
      </c>
      <c r="K436" t="s">
        <v>2362</v>
      </c>
      <c r="M436" t="s">
        <v>151</v>
      </c>
      <c r="N436" t="s">
        <v>154</v>
      </c>
      <c r="O436">
        <v>1</v>
      </c>
      <c r="P436">
        <v>79.679100000000005</v>
      </c>
      <c r="Q436">
        <v>2</v>
      </c>
      <c r="R436">
        <v>79.679100000000005</v>
      </c>
      <c r="S436">
        <v>2</v>
      </c>
      <c r="T436">
        <v>159.35820000000001</v>
      </c>
    </row>
    <row r="437" spans="1:20" x14ac:dyDescent="0.35">
      <c r="A437" t="s">
        <v>1641</v>
      </c>
      <c r="B437">
        <v>433</v>
      </c>
      <c r="D437">
        <v>45887</v>
      </c>
      <c r="F437" t="s">
        <v>142</v>
      </c>
      <c r="G437" t="s">
        <v>2363</v>
      </c>
      <c r="H437" t="s">
        <v>2364</v>
      </c>
      <c r="I437" t="s">
        <v>1653</v>
      </c>
      <c r="J437" t="s">
        <v>2363</v>
      </c>
      <c r="K437" t="s">
        <v>2365</v>
      </c>
      <c r="M437" t="s">
        <v>151</v>
      </c>
      <c r="N437" t="s">
        <v>154</v>
      </c>
      <c r="O437">
        <v>1</v>
      </c>
      <c r="P437">
        <v>4.2015000000000002</v>
      </c>
      <c r="Q437">
        <v>38</v>
      </c>
      <c r="R437">
        <v>4.2015000000000002</v>
      </c>
      <c r="S437">
        <v>38</v>
      </c>
      <c r="T437">
        <v>159.65700000000001</v>
      </c>
    </row>
    <row r="438" spans="1:20" x14ac:dyDescent="0.35">
      <c r="A438" t="s">
        <v>1641</v>
      </c>
      <c r="B438">
        <v>605</v>
      </c>
      <c r="D438">
        <v>45884</v>
      </c>
      <c r="F438" t="s">
        <v>142</v>
      </c>
      <c r="G438" t="s">
        <v>2269</v>
      </c>
      <c r="H438" t="s">
        <v>2270</v>
      </c>
      <c r="I438" t="s">
        <v>1675</v>
      </c>
      <c r="J438" t="s">
        <v>2269</v>
      </c>
      <c r="K438" t="s">
        <v>2271</v>
      </c>
      <c r="M438" t="s">
        <v>151</v>
      </c>
      <c r="N438" t="s">
        <v>172</v>
      </c>
      <c r="O438">
        <v>1</v>
      </c>
      <c r="P438">
        <v>155.19280000000001</v>
      </c>
      <c r="Q438">
        <v>1</v>
      </c>
      <c r="R438">
        <v>155.19280000000001</v>
      </c>
      <c r="S438">
        <v>1</v>
      </c>
      <c r="T438">
        <v>155.19280000000001</v>
      </c>
    </row>
    <row r="439" spans="1:20" x14ac:dyDescent="0.35">
      <c r="A439" t="s">
        <v>1641</v>
      </c>
      <c r="B439">
        <v>363</v>
      </c>
      <c r="D439">
        <v>45771</v>
      </c>
      <c r="F439" t="s">
        <v>142</v>
      </c>
      <c r="G439" t="s">
        <v>2366</v>
      </c>
      <c r="H439" t="s">
        <v>2367</v>
      </c>
      <c r="I439" t="s">
        <v>2067</v>
      </c>
      <c r="J439" t="s">
        <v>2366</v>
      </c>
      <c r="K439" t="s">
        <v>2368</v>
      </c>
      <c r="M439" t="s">
        <v>151</v>
      </c>
      <c r="N439" t="s">
        <v>1666</v>
      </c>
      <c r="O439">
        <v>1</v>
      </c>
      <c r="P439">
        <v>74.884699999999995</v>
      </c>
      <c r="Q439">
        <v>2</v>
      </c>
      <c r="R439">
        <v>74.884699999999995</v>
      </c>
      <c r="S439">
        <v>2</v>
      </c>
      <c r="T439">
        <v>149.76939999999999</v>
      </c>
    </row>
    <row r="440" spans="1:20" x14ac:dyDescent="0.35">
      <c r="A440" t="s">
        <v>1641</v>
      </c>
      <c r="B440">
        <v>364</v>
      </c>
      <c r="D440">
        <v>45882</v>
      </c>
      <c r="F440" t="s">
        <v>142</v>
      </c>
      <c r="G440" t="s">
        <v>2369</v>
      </c>
      <c r="H440" t="s">
        <v>2370</v>
      </c>
      <c r="I440" t="s">
        <v>2067</v>
      </c>
      <c r="J440" t="s">
        <v>2369</v>
      </c>
      <c r="K440" t="s">
        <v>2371</v>
      </c>
      <c r="M440" t="s">
        <v>151</v>
      </c>
      <c r="N440" t="s">
        <v>154</v>
      </c>
      <c r="O440">
        <v>1</v>
      </c>
      <c r="P440">
        <v>9.3653999999999993</v>
      </c>
      <c r="Q440">
        <v>16</v>
      </c>
      <c r="R440">
        <v>9.3653999999999993</v>
      </c>
      <c r="S440">
        <v>16</v>
      </c>
      <c r="T440">
        <v>149.84639999999999</v>
      </c>
    </row>
    <row r="441" spans="1:20" x14ac:dyDescent="0.35">
      <c r="A441" t="s">
        <v>1641</v>
      </c>
      <c r="B441">
        <v>365</v>
      </c>
      <c r="D441">
        <v>45882</v>
      </c>
      <c r="F441" t="s">
        <v>142</v>
      </c>
      <c r="G441" t="s">
        <v>2372</v>
      </c>
      <c r="H441" t="s">
        <v>2373</v>
      </c>
      <c r="I441" t="s">
        <v>2067</v>
      </c>
      <c r="J441" t="s">
        <v>2372</v>
      </c>
      <c r="K441" t="s">
        <v>2371</v>
      </c>
      <c r="M441" t="s">
        <v>151</v>
      </c>
      <c r="N441" t="s">
        <v>154</v>
      </c>
      <c r="O441">
        <v>1</v>
      </c>
      <c r="P441">
        <v>9.3796999999999997</v>
      </c>
      <c r="Q441">
        <v>16</v>
      </c>
      <c r="R441">
        <v>9.3796999999999997</v>
      </c>
      <c r="S441">
        <v>16</v>
      </c>
      <c r="T441">
        <v>150.0752</v>
      </c>
    </row>
    <row r="442" spans="1:20" x14ac:dyDescent="0.35">
      <c r="A442" t="s">
        <v>1641</v>
      </c>
      <c r="B442">
        <v>262</v>
      </c>
      <c r="D442">
        <v>45821</v>
      </c>
      <c r="F442" t="s">
        <v>142</v>
      </c>
      <c r="G442" t="s">
        <v>2374</v>
      </c>
      <c r="H442" t="s">
        <v>2375</v>
      </c>
      <c r="I442" t="s">
        <v>2242</v>
      </c>
      <c r="J442" t="s">
        <v>2374</v>
      </c>
      <c r="K442" t="s">
        <v>151</v>
      </c>
      <c r="M442" t="s">
        <v>151</v>
      </c>
      <c r="N442" t="s">
        <v>154</v>
      </c>
      <c r="O442">
        <v>1</v>
      </c>
      <c r="P442">
        <v>149.62270000000001</v>
      </c>
      <c r="Q442">
        <v>1</v>
      </c>
      <c r="R442">
        <v>149.62270000000001</v>
      </c>
      <c r="S442">
        <v>1</v>
      </c>
      <c r="T442">
        <v>149.62270000000001</v>
      </c>
    </row>
    <row r="443" spans="1:20" x14ac:dyDescent="0.35">
      <c r="A443" t="s">
        <v>1641</v>
      </c>
      <c r="B443">
        <v>263</v>
      </c>
      <c r="D443">
        <v>45821</v>
      </c>
      <c r="F443" t="s">
        <v>142</v>
      </c>
      <c r="G443" t="s">
        <v>2376</v>
      </c>
      <c r="H443" t="s">
        <v>2377</v>
      </c>
      <c r="I443" t="s">
        <v>2242</v>
      </c>
      <c r="J443" t="s">
        <v>2376</v>
      </c>
      <c r="K443" t="s">
        <v>151</v>
      </c>
      <c r="M443" t="s">
        <v>151</v>
      </c>
      <c r="N443" t="s">
        <v>154</v>
      </c>
      <c r="O443">
        <v>1</v>
      </c>
      <c r="P443">
        <v>149.83519999999999</v>
      </c>
      <c r="Q443">
        <v>1</v>
      </c>
      <c r="R443">
        <v>149.83519999999999</v>
      </c>
      <c r="S443">
        <v>1</v>
      </c>
      <c r="T443">
        <v>149.83519999999999</v>
      </c>
    </row>
    <row r="444" spans="1:20" x14ac:dyDescent="0.35">
      <c r="A444" t="s">
        <v>1641</v>
      </c>
      <c r="B444">
        <v>277</v>
      </c>
      <c r="D444">
        <v>45889</v>
      </c>
      <c r="F444" t="s">
        <v>142</v>
      </c>
      <c r="G444" t="s">
        <v>2378</v>
      </c>
      <c r="H444" t="s">
        <v>2379</v>
      </c>
      <c r="I444" t="s">
        <v>1659</v>
      </c>
      <c r="J444" t="s">
        <v>2378</v>
      </c>
      <c r="K444" t="s">
        <v>2380</v>
      </c>
      <c r="M444" t="s">
        <v>151</v>
      </c>
      <c r="N444" t="s">
        <v>154</v>
      </c>
      <c r="O444">
        <v>1</v>
      </c>
      <c r="P444">
        <v>14.8255</v>
      </c>
      <c r="Q444">
        <v>10</v>
      </c>
      <c r="R444">
        <v>14.8255</v>
      </c>
      <c r="S444">
        <v>10</v>
      </c>
      <c r="T444">
        <v>148.255</v>
      </c>
    </row>
    <row r="445" spans="1:20" x14ac:dyDescent="0.35">
      <c r="A445" t="s">
        <v>1641</v>
      </c>
      <c r="B445">
        <v>226</v>
      </c>
      <c r="D445">
        <v>45833</v>
      </c>
      <c r="F445" t="s">
        <v>142</v>
      </c>
      <c r="G445" t="s">
        <v>2381</v>
      </c>
      <c r="H445" t="s">
        <v>2382</v>
      </c>
      <c r="I445" t="s">
        <v>1714</v>
      </c>
      <c r="J445" t="s">
        <v>2381</v>
      </c>
      <c r="K445" t="s">
        <v>151</v>
      </c>
      <c r="M445" t="s">
        <v>151</v>
      </c>
      <c r="N445" t="s">
        <v>1650</v>
      </c>
      <c r="O445">
        <v>1</v>
      </c>
      <c r="P445">
        <v>73.4101</v>
      </c>
      <c r="Q445">
        <v>2</v>
      </c>
      <c r="R445">
        <v>73.4101</v>
      </c>
      <c r="S445">
        <v>2</v>
      </c>
      <c r="T445">
        <v>146.8202</v>
      </c>
    </row>
    <row r="446" spans="1:20" x14ac:dyDescent="0.35">
      <c r="A446" t="s">
        <v>1641</v>
      </c>
      <c r="B446">
        <v>237</v>
      </c>
      <c r="D446">
        <v>45895</v>
      </c>
      <c r="F446" t="s">
        <v>142</v>
      </c>
      <c r="G446" t="s">
        <v>2383</v>
      </c>
      <c r="H446" t="s">
        <v>2384</v>
      </c>
      <c r="I446" t="s">
        <v>1818</v>
      </c>
      <c r="J446" t="s">
        <v>2383</v>
      </c>
      <c r="K446" t="s">
        <v>151</v>
      </c>
      <c r="M446" t="s">
        <v>151</v>
      </c>
      <c r="N446" t="s">
        <v>154</v>
      </c>
      <c r="O446">
        <v>1</v>
      </c>
      <c r="P446">
        <v>146.5335</v>
      </c>
      <c r="Q446">
        <v>1</v>
      </c>
      <c r="R446">
        <v>146.5335</v>
      </c>
      <c r="S446">
        <v>1</v>
      </c>
      <c r="T446">
        <v>146.5335</v>
      </c>
    </row>
    <row r="447" spans="1:20" x14ac:dyDescent="0.35">
      <c r="A447" t="s">
        <v>1641</v>
      </c>
      <c r="B447">
        <v>344</v>
      </c>
      <c r="D447">
        <v>45917</v>
      </c>
      <c r="F447" t="s">
        <v>142</v>
      </c>
      <c r="G447" t="s">
        <v>2385</v>
      </c>
      <c r="H447" t="s">
        <v>2386</v>
      </c>
      <c r="I447" t="s">
        <v>1806</v>
      </c>
      <c r="J447" t="s">
        <v>2385</v>
      </c>
      <c r="K447" t="s">
        <v>2387</v>
      </c>
      <c r="M447" t="s">
        <v>151</v>
      </c>
      <c r="N447" t="s">
        <v>154</v>
      </c>
      <c r="O447">
        <v>1</v>
      </c>
      <c r="P447">
        <v>29.379300000000001</v>
      </c>
      <c r="Q447">
        <v>5</v>
      </c>
      <c r="R447">
        <v>29.379300000000001</v>
      </c>
      <c r="S447">
        <v>5</v>
      </c>
      <c r="T447">
        <v>146.8965</v>
      </c>
    </row>
    <row r="448" spans="1:20" x14ac:dyDescent="0.35">
      <c r="A448" t="s">
        <v>1641</v>
      </c>
      <c r="B448">
        <v>574</v>
      </c>
      <c r="D448">
        <v>45755</v>
      </c>
      <c r="F448" t="s">
        <v>142</v>
      </c>
      <c r="G448" t="s">
        <v>1344</v>
      </c>
      <c r="H448" t="s">
        <v>1345</v>
      </c>
      <c r="I448" t="s">
        <v>1823</v>
      </c>
      <c r="J448" t="s">
        <v>1344</v>
      </c>
      <c r="K448" t="s">
        <v>1824</v>
      </c>
      <c r="M448" t="s">
        <v>151</v>
      </c>
      <c r="N448" t="s">
        <v>2337</v>
      </c>
      <c r="O448">
        <v>1</v>
      </c>
      <c r="P448">
        <v>145.25649999999999</v>
      </c>
      <c r="Q448">
        <v>1</v>
      </c>
      <c r="R448">
        <v>145.25649999999999</v>
      </c>
      <c r="S448">
        <v>1</v>
      </c>
      <c r="T448">
        <v>145.25649999999999</v>
      </c>
    </row>
    <row r="449" spans="1:20" x14ac:dyDescent="0.35">
      <c r="A449" t="s">
        <v>1641</v>
      </c>
      <c r="B449">
        <v>578</v>
      </c>
      <c r="D449">
        <v>45755</v>
      </c>
      <c r="F449" t="s">
        <v>142</v>
      </c>
      <c r="G449" t="s">
        <v>1438</v>
      </c>
      <c r="H449" t="s">
        <v>1439</v>
      </c>
      <c r="I449" t="s">
        <v>1823</v>
      </c>
      <c r="J449" t="s">
        <v>1438</v>
      </c>
      <c r="K449" t="s">
        <v>1837</v>
      </c>
      <c r="M449" t="s">
        <v>151</v>
      </c>
      <c r="N449" t="s">
        <v>2337</v>
      </c>
      <c r="O449">
        <v>1</v>
      </c>
      <c r="P449">
        <v>146.13380000000001</v>
      </c>
      <c r="Q449">
        <v>1</v>
      </c>
      <c r="R449">
        <v>146.13380000000001</v>
      </c>
      <c r="S449">
        <v>1</v>
      </c>
      <c r="T449">
        <v>146.13380000000001</v>
      </c>
    </row>
    <row r="450" spans="1:20" x14ac:dyDescent="0.35">
      <c r="A450" t="s">
        <v>1641</v>
      </c>
      <c r="B450">
        <v>580</v>
      </c>
      <c r="D450">
        <v>45755</v>
      </c>
      <c r="F450" t="s">
        <v>142</v>
      </c>
      <c r="G450" t="s">
        <v>1443</v>
      </c>
      <c r="H450" t="s">
        <v>1444</v>
      </c>
      <c r="I450" t="s">
        <v>1823</v>
      </c>
      <c r="J450" t="s">
        <v>1443</v>
      </c>
      <c r="K450" t="s">
        <v>1838</v>
      </c>
      <c r="M450" t="s">
        <v>151</v>
      </c>
      <c r="N450" t="s">
        <v>2337</v>
      </c>
      <c r="O450">
        <v>1</v>
      </c>
      <c r="P450">
        <v>145.5179</v>
      </c>
      <c r="Q450">
        <v>1</v>
      </c>
      <c r="R450">
        <v>145.5179</v>
      </c>
      <c r="S450">
        <v>1</v>
      </c>
      <c r="T450">
        <v>145.5179</v>
      </c>
    </row>
    <row r="451" spans="1:20" x14ac:dyDescent="0.35">
      <c r="A451" t="s">
        <v>1641</v>
      </c>
      <c r="B451">
        <v>585</v>
      </c>
      <c r="D451">
        <v>45667</v>
      </c>
      <c r="F451" t="s">
        <v>142</v>
      </c>
      <c r="G451" t="s">
        <v>2388</v>
      </c>
      <c r="H451" t="s">
        <v>2389</v>
      </c>
      <c r="I451" t="s">
        <v>1823</v>
      </c>
      <c r="J451" t="s">
        <v>2388</v>
      </c>
      <c r="K451" t="s">
        <v>2279</v>
      </c>
      <c r="M451" t="s">
        <v>151</v>
      </c>
      <c r="N451" t="s">
        <v>213</v>
      </c>
      <c r="O451">
        <v>1</v>
      </c>
      <c r="P451">
        <v>11.1866</v>
      </c>
      <c r="Q451">
        <v>13</v>
      </c>
      <c r="R451">
        <v>11.1866</v>
      </c>
      <c r="S451">
        <v>13</v>
      </c>
      <c r="T451">
        <v>145.42580000000001</v>
      </c>
    </row>
    <row r="452" spans="1:20" x14ac:dyDescent="0.35">
      <c r="A452" t="s">
        <v>1641</v>
      </c>
      <c r="B452">
        <v>555</v>
      </c>
      <c r="D452">
        <v>45828</v>
      </c>
      <c r="F452" t="s">
        <v>142</v>
      </c>
      <c r="G452" t="s">
        <v>2390</v>
      </c>
      <c r="H452" t="s">
        <v>2391</v>
      </c>
      <c r="I452" t="s">
        <v>1651</v>
      </c>
      <c r="J452" t="s">
        <v>2390</v>
      </c>
      <c r="K452" t="s">
        <v>151</v>
      </c>
      <c r="N452" t="s">
        <v>154</v>
      </c>
      <c r="O452">
        <v>1</v>
      </c>
      <c r="P452">
        <v>14.5434</v>
      </c>
      <c r="Q452">
        <v>10</v>
      </c>
      <c r="R452">
        <v>14.5434</v>
      </c>
      <c r="S452">
        <v>10</v>
      </c>
      <c r="T452">
        <v>145.434</v>
      </c>
    </row>
    <row r="453" spans="1:20" x14ac:dyDescent="0.35">
      <c r="A453" t="s">
        <v>1641</v>
      </c>
      <c r="B453">
        <v>551</v>
      </c>
      <c r="D453">
        <v>45925</v>
      </c>
      <c r="F453" t="s">
        <v>142</v>
      </c>
      <c r="G453" t="s">
        <v>2392</v>
      </c>
      <c r="H453" t="s">
        <v>2393</v>
      </c>
      <c r="I453" t="s">
        <v>164</v>
      </c>
      <c r="J453" t="s">
        <v>2392</v>
      </c>
      <c r="K453" t="s">
        <v>2394</v>
      </c>
      <c r="M453" t="s">
        <v>151</v>
      </c>
      <c r="N453" t="s">
        <v>154</v>
      </c>
      <c r="O453">
        <v>1</v>
      </c>
      <c r="P453">
        <v>144.44159999999999</v>
      </c>
      <c r="Q453">
        <v>1</v>
      </c>
      <c r="R453">
        <v>144.44159999999999</v>
      </c>
      <c r="S453">
        <v>1</v>
      </c>
      <c r="T453">
        <v>144.44159999999999</v>
      </c>
    </row>
    <row r="454" spans="1:20" x14ac:dyDescent="0.35">
      <c r="A454" t="s">
        <v>1641</v>
      </c>
      <c r="B454">
        <v>487</v>
      </c>
      <c r="D454">
        <v>45889</v>
      </c>
      <c r="F454" t="s">
        <v>142</v>
      </c>
      <c r="G454" t="s">
        <v>2395</v>
      </c>
      <c r="H454" t="s">
        <v>2396</v>
      </c>
      <c r="I454" t="s">
        <v>1696</v>
      </c>
      <c r="J454" t="s">
        <v>2395</v>
      </c>
      <c r="K454" t="s">
        <v>1914</v>
      </c>
      <c r="M454" t="s">
        <v>151</v>
      </c>
      <c r="N454" t="s">
        <v>154</v>
      </c>
      <c r="O454">
        <v>1</v>
      </c>
      <c r="P454">
        <v>48.301400000000001</v>
      </c>
      <c r="Q454">
        <v>3</v>
      </c>
      <c r="R454">
        <v>48.301400000000001</v>
      </c>
      <c r="S454">
        <v>3</v>
      </c>
      <c r="T454">
        <v>144.9042</v>
      </c>
    </row>
    <row r="455" spans="1:20" x14ac:dyDescent="0.35">
      <c r="A455" t="s">
        <v>1641</v>
      </c>
      <c r="B455">
        <v>406</v>
      </c>
      <c r="D455">
        <v>45910</v>
      </c>
      <c r="F455" t="s">
        <v>142</v>
      </c>
      <c r="G455" t="s">
        <v>2397</v>
      </c>
      <c r="H455" t="s">
        <v>2398</v>
      </c>
      <c r="I455" t="s">
        <v>1678</v>
      </c>
      <c r="J455" t="s">
        <v>2397</v>
      </c>
      <c r="K455" t="s">
        <v>2399</v>
      </c>
      <c r="M455" t="s">
        <v>151</v>
      </c>
      <c r="N455" t="s">
        <v>213</v>
      </c>
      <c r="O455">
        <v>1</v>
      </c>
      <c r="P455">
        <v>11.840199999999999</v>
      </c>
      <c r="Q455">
        <v>12</v>
      </c>
      <c r="R455">
        <v>11.840199999999999</v>
      </c>
      <c r="S455">
        <v>12</v>
      </c>
      <c r="T455">
        <v>142.08240000000001</v>
      </c>
    </row>
    <row r="456" spans="1:20" x14ac:dyDescent="0.35">
      <c r="A456" t="s">
        <v>1641</v>
      </c>
      <c r="B456">
        <v>603</v>
      </c>
      <c r="D456">
        <v>45917</v>
      </c>
      <c r="F456" t="s">
        <v>142</v>
      </c>
      <c r="G456" t="s">
        <v>2400</v>
      </c>
      <c r="H456" t="s">
        <v>2401</v>
      </c>
      <c r="I456" t="s">
        <v>1675</v>
      </c>
      <c r="J456" t="s">
        <v>2400</v>
      </c>
      <c r="K456" t="s">
        <v>151</v>
      </c>
      <c r="M456" t="s">
        <v>151</v>
      </c>
      <c r="N456" t="s">
        <v>213</v>
      </c>
      <c r="O456">
        <v>1</v>
      </c>
      <c r="P456">
        <v>23.316199999999998</v>
      </c>
      <c r="Q456">
        <v>6</v>
      </c>
      <c r="R456">
        <v>23.316199999999998</v>
      </c>
      <c r="S456">
        <v>6</v>
      </c>
      <c r="T456">
        <v>139.8972</v>
      </c>
    </row>
    <row r="457" spans="1:20" x14ac:dyDescent="0.35">
      <c r="A457" t="s">
        <v>1641</v>
      </c>
      <c r="B457">
        <v>486</v>
      </c>
      <c r="D457">
        <v>45889</v>
      </c>
      <c r="F457" t="s">
        <v>142</v>
      </c>
      <c r="G457" t="s">
        <v>2402</v>
      </c>
      <c r="H457" t="s">
        <v>2403</v>
      </c>
      <c r="I457" t="s">
        <v>1696</v>
      </c>
      <c r="J457" t="s">
        <v>2402</v>
      </c>
      <c r="K457" t="s">
        <v>1914</v>
      </c>
      <c r="M457" t="s">
        <v>151</v>
      </c>
      <c r="N457" t="s">
        <v>154</v>
      </c>
      <c r="O457">
        <v>1</v>
      </c>
      <c r="P457">
        <v>45.649000000000001</v>
      </c>
      <c r="Q457">
        <v>3</v>
      </c>
      <c r="R457">
        <v>45.649000000000001</v>
      </c>
      <c r="S457">
        <v>3</v>
      </c>
      <c r="T457">
        <v>136.947</v>
      </c>
    </row>
    <row r="458" spans="1:20" x14ac:dyDescent="0.35">
      <c r="A458" t="s">
        <v>1641</v>
      </c>
      <c r="B458">
        <v>583</v>
      </c>
      <c r="D458">
        <v>45692</v>
      </c>
      <c r="F458" t="s">
        <v>142</v>
      </c>
      <c r="G458" t="s">
        <v>2404</v>
      </c>
      <c r="H458" t="s">
        <v>2405</v>
      </c>
      <c r="I458" t="s">
        <v>1823</v>
      </c>
      <c r="J458" t="s">
        <v>2404</v>
      </c>
      <c r="K458" t="s">
        <v>2279</v>
      </c>
      <c r="M458" t="s">
        <v>151</v>
      </c>
      <c r="N458" t="s">
        <v>213</v>
      </c>
      <c r="O458">
        <v>1</v>
      </c>
      <c r="P458">
        <v>11.1608</v>
      </c>
      <c r="Q458">
        <v>12</v>
      </c>
      <c r="R458">
        <v>11.1608</v>
      </c>
      <c r="S458">
        <v>12</v>
      </c>
      <c r="T458">
        <v>133.92959999999999</v>
      </c>
    </row>
    <row r="459" spans="1:20" x14ac:dyDescent="0.35">
      <c r="A459" t="s">
        <v>1641</v>
      </c>
      <c r="B459">
        <v>586</v>
      </c>
      <c r="D459">
        <v>45674</v>
      </c>
      <c r="F459" t="s">
        <v>142</v>
      </c>
      <c r="G459" t="s">
        <v>2406</v>
      </c>
      <c r="H459" t="s">
        <v>2407</v>
      </c>
      <c r="I459" t="s">
        <v>1823</v>
      </c>
      <c r="J459" t="s">
        <v>2406</v>
      </c>
      <c r="K459" t="s">
        <v>2408</v>
      </c>
      <c r="M459" t="s">
        <v>151</v>
      </c>
      <c r="N459" t="s">
        <v>213</v>
      </c>
      <c r="O459">
        <v>1</v>
      </c>
      <c r="P459">
        <v>11.1584</v>
      </c>
      <c r="Q459">
        <v>12</v>
      </c>
      <c r="R459">
        <v>11.1584</v>
      </c>
      <c r="S459">
        <v>12</v>
      </c>
      <c r="T459">
        <v>133.9008</v>
      </c>
    </row>
    <row r="460" spans="1:20" x14ac:dyDescent="0.35">
      <c r="A460" t="s">
        <v>1641</v>
      </c>
      <c r="B460">
        <v>609</v>
      </c>
      <c r="D460">
        <v>45873</v>
      </c>
      <c r="F460" t="s">
        <v>142</v>
      </c>
      <c r="G460" t="s">
        <v>2409</v>
      </c>
      <c r="H460" t="s">
        <v>2410</v>
      </c>
      <c r="I460" t="s">
        <v>1675</v>
      </c>
      <c r="J460" t="s">
        <v>2409</v>
      </c>
      <c r="K460" t="s">
        <v>2411</v>
      </c>
      <c r="M460" t="s">
        <v>151</v>
      </c>
      <c r="N460" t="s">
        <v>154</v>
      </c>
      <c r="O460">
        <v>1</v>
      </c>
      <c r="P460">
        <v>5.9981</v>
      </c>
      <c r="Q460">
        <v>22</v>
      </c>
      <c r="R460">
        <v>5.9981</v>
      </c>
      <c r="S460">
        <v>22</v>
      </c>
      <c r="T460">
        <v>131.95820000000001</v>
      </c>
    </row>
    <row r="461" spans="1:20" x14ac:dyDescent="0.35">
      <c r="A461" t="s">
        <v>1641</v>
      </c>
      <c r="B461">
        <v>595</v>
      </c>
      <c r="D461">
        <v>45855</v>
      </c>
      <c r="F461" t="s">
        <v>142</v>
      </c>
      <c r="G461" t="s">
        <v>2412</v>
      </c>
      <c r="H461" t="s">
        <v>2413</v>
      </c>
      <c r="I461" t="s">
        <v>2414</v>
      </c>
      <c r="J461" t="s">
        <v>2412</v>
      </c>
      <c r="K461" t="s">
        <v>2415</v>
      </c>
      <c r="M461" t="s">
        <v>151</v>
      </c>
      <c r="N461" t="s">
        <v>154</v>
      </c>
      <c r="O461">
        <v>1</v>
      </c>
      <c r="P461">
        <v>131.65969999999999</v>
      </c>
      <c r="Q461">
        <v>1</v>
      </c>
      <c r="R461">
        <v>131.65969999999999</v>
      </c>
      <c r="S461">
        <v>1</v>
      </c>
      <c r="T461">
        <v>131.65969999999999</v>
      </c>
    </row>
    <row r="462" spans="1:20" x14ac:dyDescent="0.35">
      <c r="A462" t="s">
        <v>1641</v>
      </c>
      <c r="B462">
        <v>488</v>
      </c>
      <c r="D462">
        <v>45890</v>
      </c>
      <c r="F462" t="s">
        <v>142</v>
      </c>
      <c r="G462" t="s">
        <v>2416</v>
      </c>
      <c r="H462" t="s">
        <v>2417</v>
      </c>
      <c r="I462" t="s">
        <v>1696</v>
      </c>
      <c r="J462" t="s">
        <v>2416</v>
      </c>
      <c r="K462" t="s">
        <v>1914</v>
      </c>
      <c r="M462" t="s">
        <v>151</v>
      </c>
      <c r="N462" t="s">
        <v>154</v>
      </c>
      <c r="O462">
        <v>1</v>
      </c>
      <c r="P462">
        <v>43.874600000000001</v>
      </c>
      <c r="Q462">
        <v>3</v>
      </c>
      <c r="R462">
        <v>43.874600000000001</v>
      </c>
      <c r="S462">
        <v>3</v>
      </c>
      <c r="T462">
        <v>131.62380000000002</v>
      </c>
    </row>
    <row r="463" spans="1:20" x14ac:dyDescent="0.35">
      <c r="A463" t="s">
        <v>1641</v>
      </c>
      <c r="B463">
        <v>489</v>
      </c>
      <c r="D463">
        <v>45889</v>
      </c>
      <c r="F463" t="s">
        <v>142</v>
      </c>
      <c r="G463" t="s">
        <v>2418</v>
      </c>
      <c r="H463" t="s">
        <v>2419</v>
      </c>
      <c r="I463" t="s">
        <v>1696</v>
      </c>
      <c r="J463" t="s">
        <v>2418</v>
      </c>
      <c r="K463" t="s">
        <v>1914</v>
      </c>
      <c r="M463" t="s">
        <v>151</v>
      </c>
      <c r="N463" t="s">
        <v>154</v>
      </c>
      <c r="O463">
        <v>1</v>
      </c>
      <c r="P463">
        <v>43.699599999999997</v>
      </c>
      <c r="Q463">
        <v>3</v>
      </c>
      <c r="R463">
        <v>43.699599999999997</v>
      </c>
      <c r="S463">
        <v>3</v>
      </c>
      <c r="T463">
        <v>131.09879999999998</v>
      </c>
    </row>
    <row r="464" spans="1:20" x14ac:dyDescent="0.35">
      <c r="A464" t="s">
        <v>1641</v>
      </c>
      <c r="B464">
        <v>500</v>
      </c>
      <c r="D464">
        <v>45874</v>
      </c>
      <c r="F464" t="s">
        <v>142</v>
      </c>
      <c r="G464" t="s">
        <v>2420</v>
      </c>
      <c r="H464" t="s">
        <v>2421</v>
      </c>
      <c r="I464" t="s">
        <v>1852</v>
      </c>
      <c r="J464" t="s">
        <v>2420</v>
      </c>
      <c r="K464" t="s">
        <v>2422</v>
      </c>
      <c r="M464" t="s">
        <v>151</v>
      </c>
      <c r="N464" t="s">
        <v>154</v>
      </c>
      <c r="O464">
        <v>1</v>
      </c>
      <c r="P464">
        <v>10.5143</v>
      </c>
      <c r="Q464">
        <v>12</v>
      </c>
      <c r="R464">
        <v>10.5143</v>
      </c>
      <c r="S464">
        <v>12</v>
      </c>
      <c r="T464">
        <v>126.17160000000001</v>
      </c>
    </row>
    <row r="465" spans="1:20" x14ac:dyDescent="0.35">
      <c r="A465" t="s">
        <v>1641</v>
      </c>
      <c r="B465">
        <v>505</v>
      </c>
      <c r="D465">
        <v>45884</v>
      </c>
      <c r="F465" t="s">
        <v>142</v>
      </c>
      <c r="G465" t="s">
        <v>2423</v>
      </c>
      <c r="H465" t="s">
        <v>2424</v>
      </c>
      <c r="I465" t="s">
        <v>1852</v>
      </c>
      <c r="J465" t="s">
        <v>2423</v>
      </c>
      <c r="K465" t="s">
        <v>2425</v>
      </c>
      <c r="M465" t="s">
        <v>151</v>
      </c>
      <c r="N465" t="s">
        <v>154</v>
      </c>
      <c r="O465">
        <v>1</v>
      </c>
      <c r="P465">
        <v>10.4358</v>
      </c>
      <c r="Q465">
        <v>12</v>
      </c>
      <c r="R465">
        <v>10.4358</v>
      </c>
      <c r="S465">
        <v>12</v>
      </c>
      <c r="T465">
        <v>125.2296</v>
      </c>
    </row>
    <row r="466" spans="1:20" x14ac:dyDescent="0.35">
      <c r="A466" t="s">
        <v>1641</v>
      </c>
      <c r="B466">
        <v>508</v>
      </c>
      <c r="D466">
        <v>45922</v>
      </c>
      <c r="F466" t="s">
        <v>142</v>
      </c>
      <c r="G466" t="s">
        <v>2426</v>
      </c>
      <c r="H466" t="s">
        <v>2427</v>
      </c>
      <c r="I466" t="s">
        <v>1852</v>
      </c>
      <c r="J466" t="s">
        <v>2426</v>
      </c>
      <c r="K466" t="s">
        <v>2218</v>
      </c>
      <c r="M466" t="s">
        <v>151</v>
      </c>
      <c r="N466" t="s">
        <v>154</v>
      </c>
      <c r="O466">
        <v>1</v>
      </c>
      <c r="P466">
        <v>10.4773</v>
      </c>
      <c r="Q466">
        <v>12</v>
      </c>
      <c r="R466">
        <v>10.4773</v>
      </c>
      <c r="S466">
        <v>12</v>
      </c>
      <c r="T466">
        <v>125.7276</v>
      </c>
    </row>
    <row r="467" spans="1:20" x14ac:dyDescent="0.35">
      <c r="A467" t="s">
        <v>1641</v>
      </c>
      <c r="B467">
        <v>509</v>
      </c>
      <c r="D467">
        <v>45912</v>
      </c>
      <c r="F467" t="s">
        <v>142</v>
      </c>
      <c r="G467" t="s">
        <v>2428</v>
      </c>
      <c r="H467" t="s">
        <v>2429</v>
      </c>
      <c r="I467" t="s">
        <v>1852</v>
      </c>
      <c r="J467" t="s">
        <v>2428</v>
      </c>
      <c r="K467" t="s">
        <v>2430</v>
      </c>
      <c r="M467" t="s">
        <v>151</v>
      </c>
      <c r="N467" t="s">
        <v>154</v>
      </c>
      <c r="O467">
        <v>1</v>
      </c>
      <c r="P467">
        <v>10.4259</v>
      </c>
      <c r="Q467">
        <v>12</v>
      </c>
      <c r="R467">
        <v>10.4259</v>
      </c>
      <c r="S467">
        <v>12</v>
      </c>
      <c r="T467">
        <v>125.11080000000001</v>
      </c>
    </row>
    <row r="468" spans="1:20" x14ac:dyDescent="0.35">
      <c r="A468" t="s">
        <v>1641</v>
      </c>
      <c r="B468">
        <v>141</v>
      </c>
      <c r="D468">
        <v>45779</v>
      </c>
      <c r="F468" t="s">
        <v>142</v>
      </c>
      <c r="G468" t="s">
        <v>2431</v>
      </c>
      <c r="H468" t="s">
        <v>2432</v>
      </c>
      <c r="I468" t="s">
        <v>1647</v>
      </c>
      <c r="J468" t="s">
        <v>2431</v>
      </c>
      <c r="K468" t="s">
        <v>151</v>
      </c>
      <c r="M468" t="s">
        <v>151</v>
      </c>
      <c r="N468" t="s">
        <v>154</v>
      </c>
      <c r="O468">
        <v>1</v>
      </c>
      <c r="P468">
        <v>62.467500000000001</v>
      </c>
      <c r="Q468">
        <v>2</v>
      </c>
      <c r="R468">
        <v>62.467500000000001</v>
      </c>
      <c r="S468">
        <v>2</v>
      </c>
      <c r="T468">
        <v>124.935</v>
      </c>
    </row>
    <row r="469" spans="1:20" x14ac:dyDescent="0.35">
      <c r="A469" t="s">
        <v>1641</v>
      </c>
      <c r="B469">
        <v>154</v>
      </c>
      <c r="D469">
        <v>45915</v>
      </c>
      <c r="F469" t="s">
        <v>142</v>
      </c>
      <c r="G469" t="s">
        <v>2433</v>
      </c>
      <c r="H469" t="s">
        <v>2434</v>
      </c>
      <c r="I469" t="s">
        <v>969</v>
      </c>
      <c r="J469" t="s">
        <v>2433</v>
      </c>
      <c r="K469" t="s">
        <v>2435</v>
      </c>
      <c r="M469" t="s">
        <v>151</v>
      </c>
      <c r="N469" t="s">
        <v>213</v>
      </c>
      <c r="O469">
        <v>1</v>
      </c>
      <c r="P469">
        <v>20.832000000000001</v>
      </c>
      <c r="Q469">
        <v>6</v>
      </c>
      <c r="R469">
        <v>20.832000000000001</v>
      </c>
      <c r="S469">
        <v>6</v>
      </c>
      <c r="T469">
        <v>124.992</v>
      </c>
    </row>
    <row r="470" spans="1:20" x14ac:dyDescent="0.35">
      <c r="A470" t="s">
        <v>1641</v>
      </c>
      <c r="B470">
        <v>260</v>
      </c>
      <c r="D470">
        <v>45890</v>
      </c>
      <c r="F470" t="s">
        <v>142</v>
      </c>
      <c r="G470" t="s">
        <v>2436</v>
      </c>
      <c r="H470" t="s">
        <v>2437</v>
      </c>
      <c r="I470" t="s">
        <v>2242</v>
      </c>
      <c r="J470" t="s">
        <v>2436</v>
      </c>
      <c r="K470" t="s">
        <v>151</v>
      </c>
      <c r="M470" t="s">
        <v>151</v>
      </c>
      <c r="N470" t="s">
        <v>154</v>
      </c>
      <c r="O470">
        <v>1</v>
      </c>
      <c r="P470">
        <v>2.7629999999999999</v>
      </c>
      <c r="Q470">
        <v>45</v>
      </c>
      <c r="R470">
        <v>2.7629999999999999</v>
      </c>
      <c r="S470">
        <v>45</v>
      </c>
      <c r="T470">
        <v>124.33499999999999</v>
      </c>
    </row>
    <row r="471" spans="1:20" x14ac:dyDescent="0.35">
      <c r="A471" t="s">
        <v>1641</v>
      </c>
      <c r="B471">
        <v>270</v>
      </c>
      <c r="D471">
        <v>45681</v>
      </c>
      <c r="F471" t="s">
        <v>142</v>
      </c>
      <c r="G471" t="s">
        <v>2438</v>
      </c>
      <c r="H471" t="s">
        <v>2439</v>
      </c>
      <c r="I471" t="s">
        <v>1659</v>
      </c>
      <c r="J471" t="s">
        <v>2438</v>
      </c>
      <c r="K471" t="s">
        <v>2440</v>
      </c>
      <c r="M471" t="s">
        <v>151</v>
      </c>
      <c r="N471" t="s">
        <v>154</v>
      </c>
      <c r="O471">
        <v>1</v>
      </c>
      <c r="P471">
        <v>10.128299999999999</v>
      </c>
      <c r="Q471">
        <v>12</v>
      </c>
      <c r="R471">
        <v>10.128299999999999</v>
      </c>
      <c r="S471">
        <v>12</v>
      </c>
      <c r="T471">
        <v>121.53959999999999</v>
      </c>
    </row>
    <row r="472" spans="1:20" x14ac:dyDescent="0.35">
      <c r="A472" t="s">
        <v>1641</v>
      </c>
      <c r="B472">
        <v>202</v>
      </c>
      <c r="D472">
        <v>45895</v>
      </c>
      <c r="F472" t="s">
        <v>142</v>
      </c>
      <c r="G472" t="s">
        <v>2441</v>
      </c>
      <c r="H472" t="s">
        <v>2442</v>
      </c>
      <c r="I472" t="s">
        <v>1655</v>
      </c>
      <c r="J472" t="s">
        <v>2441</v>
      </c>
      <c r="K472" t="s">
        <v>2443</v>
      </c>
      <c r="M472" t="s">
        <v>151</v>
      </c>
      <c r="N472" t="s">
        <v>154</v>
      </c>
      <c r="O472">
        <v>1</v>
      </c>
      <c r="P472">
        <v>6.0049000000000001</v>
      </c>
      <c r="Q472">
        <v>20</v>
      </c>
      <c r="R472">
        <v>6.0049000000000001</v>
      </c>
      <c r="S472">
        <v>20</v>
      </c>
      <c r="T472">
        <v>120.098</v>
      </c>
    </row>
    <row r="473" spans="1:20" x14ac:dyDescent="0.35">
      <c r="A473" t="s">
        <v>1641</v>
      </c>
      <c r="B473">
        <v>120</v>
      </c>
      <c r="D473">
        <v>45911</v>
      </c>
      <c r="F473" t="s">
        <v>142</v>
      </c>
      <c r="G473" t="s">
        <v>2444</v>
      </c>
      <c r="H473" t="s">
        <v>2445</v>
      </c>
      <c r="I473" t="s">
        <v>1642</v>
      </c>
      <c r="J473" t="s">
        <v>2444</v>
      </c>
      <c r="K473" t="s">
        <v>2446</v>
      </c>
      <c r="M473" t="s">
        <v>151</v>
      </c>
      <c r="N473" t="s">
        <v>213</v>
      </c>
      <c r="O473">
        <v>1</v>
      </c>
      <c r="P473">
        <v>29.898399999999999</v>
      </c>
      <c r="Q473">
        <v>4</v>
      </c>
      <c r="R473">
        <v>29.898399999999999</v>
      </c>
      <c r="S473">
        <v>4</v>
      </c>
      <c r="T473">
        <v>119.5936</v>
      </c>
    </row>
    <row r="474" spans="1:20" x14ac:dyDescent="0.35">
      <c r="A474" t="s">
        <v>1641</v>
      </c>
      <c r="B474">
        <v>351</v>
      </c>
      <c r="D474">
        <v>45882</v>
      </c>
      <c r="F474" t="s">
        <v>142</v>
      </c>
      <c r="G474" t="s">
        <v>2447</v>
      </c>
      <c r="H474" t="s">
        <v>2448</v>
      </c>
      <c r="I474" t="s">
        <v>1806</v>
      </c>
      <c r="J474" t="s">
        <v>2447</v>
      </c>
      <c r="K474" t="s">
        <v>2449</v>
      </c>
      <c r="M474" t="s">
        <v>151</v>
      </c>
      <c r="N474" t="s">
        <v>154</v>
      </c>
      <c r="O474">
        <v>1</v>
      </c>
      <c r="P474">
        <v>59.614800000000002</v>
      </c>
      <c r="Q474">
        <v>2</v>
      </c>
      <c r="R474">
        <v>59.614800000000002</v>
      </c>
      <c r="S474">
        <v>2</v>
      </c>
      <c r="T474">
        <v>119.2296</v>
      </c>
    </row>
    <row r="475" spans="1:20" x14ac:dyDescent="0.35">
      <c r="A475" t="s">
        <v>1641</v>
      </c>
      <c r="B475">
        <v>354</v>
      </c>
      <c r="D475">
        <v>45790</v>
      </c>
      <c r="F475" t="s">
        <v>142</v>
      </c>
      <c r="G475" t="s">
        <v>2450</v>
      </c>
      <c r="H475" t="s">
        <v>2451</v>
      </c>
      <c r="I475" t="s">
        <v>1806</v>
      </c>
      <c r="J475" t="s">
        <v>2450</v>
      </c>
      <c r="K475" t="s">
        <v>151</v>
      </c>
      <c r="M475" t="s">
        <v>151</v>
      </c>
      <c r="N475" t="s">
        <v>154</v>
      </c>
      <c r="O475">
        <v>1</v>
      </c>
      <c r="P475">
        <v>59.64</v>
      </c>
      <c r="Q475">
        <v>2</v>
      </c>
      <c r="R475">
        <v>59.64</v>
      </c>
      <c r="S475">
        <v>2</v>
      </c>
      <c r="T475">
        <v>119.28</v>
      </c>
    </row>
    <row r="476" spans="1:20" x14ac:dyDescent="0.35">
      <c r="A476" t="s">
        <v>1641</v>
      </c>
      <c r="B476">
        <v>473</v>
      </c>
      <c r="D476">
        <v>45749</v>
      </c>
      <c r="F476" t="s">
        <v>142</v>
      </c>
      <c r="G476" t="s">
        <v>2452</v>
      </c>
      <c r="H476" t="s">
        <v>2453</v>
      </c>
      <c r="I476" t="s">
        <v>1885</v>
      </c>
      <c r="J476" t="s">
        <v>2452</v>
      </c>
      <c r="K476" t="s">
        <v>2454</v>
      </c>
      <c r="M476" t="s">
        <v>151</v>
      </c>
      <c r="N476" t="s">
        <v>213</v>
      </c>
      <c r="O476">
        <v>1</v>
      </c>
      <c r="P476">
        <v>119.32299999999999</v>
      </c>
      <c r="Q476">
        <v>1</v>
      </c>
      <c r="R476">
        <v>119.32299999999999</v>
      </c>
      <c r="S476">
        <v>1</v>
      </c>
      <c r="T476">
        <v>119.32299999999999</v>
      </c>
    </row>
    <row r="477" spans="1:20" x14ac:dyDescent="0.35">
      <c r="A477" t="s">
        <v>1641</v>
      </c>
      <c r="B477">
        <v>474</v>
      </c>
      <c r="D477">
        <v>45709</v>
      </c>
      <c r="F477" t="s">
        <v>142</v>
      </c>
      <c r="G477" t="s">
        <v>2455</v>
      </c>
      <c r="H477" t="s">
        <v>2456</v>
      </c>
      <c r="I477" t="s">
        <v>1885</v>
      </c>
      <c r="J477" t="s">
        <v>2455</v>
      </c>
      <c r="K477" t="s">
        <v>2457</v>
      </c>
      <c r="M477" t="s">
        <v>151</v>
      </c>
      <c r="N477" t="s">
        <v>213</v>
      </c>
      <c r="O477">
        <v>1</v>
      </c>
      <c r="P477">
        <v>118.38639999999999</v>
      </c>
      <c r="Q477">
        <v>1</v>
      </c>
      <c r="R477">
        <v>118.38639999999999</v>
      </c>
      <c r="S477">
        <v>1</v>
      </c>
      <c r="T477">
        <v>118.38639999999999</v>
      </c>
    </row>
    <row r="478" spans="1:20" x14ac:dyDescent="0.35">
      <c r="A478" t="s">
        <v>1641</v>
      </c>
      <c r="B478">
        <v>77</v>
      </c>
      <c r="D478">
        <v>45778</v>
      </c>
      <c r="F478" t="s">
        <v>142</v>
      </c>
      <c r="G478" t="s">
        <v>2458</v>
      </c>
      <c r="H478" t="s">
        <v>2459</v>
      </c>
      <c r="I478" t="s">
        <v>1683</v>
      </c>
      <c r="J478" t="s">
        <v>2458</v>
      </c>
      <c r="K478" t="s">
        <v>2460</v>
      </c>
      <c r="M478" t="s">
        <v>151</v>
      </c>
      <c r="N478" t="s">
        <v>213</v>
      </c>
      <c r="O478">
        <v>1</v>
      </c>
      <c r="P478">
        <v>57.712899999999998</v>
      </c>
      <c r="Q478">
        <v>2</v>
      </c>
      <c r="R478">
        <v>57.712899999999998</v>
      </c>
      <c r="S478">
        <v>2</v>
      </c>
      <c r="T478">
        <v>115.4258</v>
      </c>
    </row>
    <row r="479" spans="1:20" x14ac:dyDescent="0.35">
      <c r="A479" t="s">
        <v>1641</v>
      </c>
      <c r="B479">
        <v>261</v>
      </c>
      <c r="D479">
        <v>45792</v>
      </c>
      <c r="F479" t="s">
        <v>142</v>
      </c>
      <c r="G479" t="s">
        <v>2461</v>
      </c>
      <c r="H479" t="s">
        <v>2462</v>
      </c>
      <c r="I479" t="s">
        <v>2242</v>
      </c>
      <c r="J479" t="s">
        <v>2461</v>
      </c>
      <c r="K479" t="s">
        <v>151</v>
      </c>
      <c r="M479" t="s">
        <v>151</v>
      </c>
      <c r="N479" t="s">
        <v>154</v>
      </c>
      <c r="O479">
        <v>1</v>
      </c>
      <c r="P479">
        <v>5.7988999999999997</v>
      </c>
      <c r="Q479">
        <v>20</v>
      </c>
      <c r="R479">
        <v>5.7988999999999997</v>
      </c>
      <c r="S479">
        <v>20</v>
      </c>
      <c r="T479">
        <v>115.97799999999999</v>
      </c>
    </row>
    <row r="480" spans="1:20" x14ac:dyDescent="0.35">
      <c r="A480" t="s">
        <v>1641</v>
      </c>
      <c r="B480">
        <v>597</v>
      </c>
      <c r="D480">
        <v>45873</v>
      </c>
      <c r="F480" t="s">
        <v>142</v>
      </c>
      <c r="G480" t="s">
        <v>2463</v>
      </c>
      <c r="H480" t="s">
        <v>2464</v>
      </c>
      <c r="I480" t="s">
        <v>2414</v>
      </c>
      <c r="J480" t="s">
        <v>2463</v>
      </c>
      <c r="K480" t="s">
        <v>2465</v>
      </c>
      <c r="M480" t="s">
        <v>151</v>
      </c>
      <c r="N480" t="s">
        <v>154</v>
      </c>
      <c r="O480">
        <v>1</v>
      </c>
      <c r="P480">
        <v>115.5654</v>
      </c>
      <c r="Q480">
        <v>1</v>
      </c>
      <c r="R480">
        <v>115.5654</v>
      </c>
      <c r="S480">
        <v>1</v>
      </c>
      <c r="T480">
        <v>115.5654</v>
      </c>
    </row>
    <row r="481" spans="1:20" x14ac:dyDescent="0.35">
      <c r="A481" t="s">
        <v>1641</v>
      </c>
      <c r="B481">
        <v>612</v>
      </c>
      <c r="D481">
        <v>45880</v>
      </c>
      <c r="F481" t="s">
        <v>142</v>
      </c>
      <c r="G481" t="s">
        <v>2466</v>
      </c>
      <c r="H481" t="s">
        <v>2467</v>
      </c>
      <c r="I481" t="s">
        <v>1675</v>
      </c>
      <c r="J481" t="s">
        <v>2466</v>
      </c>
      <c r="K481" t="s">
        <v>2468</v>
      </c>
      <c r="M481" t="s">
        <v>151</v>
      </c>
      <c r="N481" t="s">
        <v>154</v>
      </c>
      <c r="O481">
        <v>1</v>
      </c>
      <c r="P481">
        <v>28.322299999999998</v>
      </c>
      <c r="Q481">
        <v>4</v>
      </c>
      <c r="R481">
        <v>28.322299999999998</v>
      </c>
      <c r="S481">
        <v>4</v>
      </c>
      <c r="T481">
        <v>113.28919999999999</v>
      </c>
    </row>
    <row r="482" spans="1:20" x14ac:dyDescent="0.35">
      <c r="A482" t="s">
        <v>1641</v>
      </c>
      <c r="B482">
        <v>593</v>
      </c>
      <c r="D482">
        <v>45883</v>
      </c>
      <c r="F482" t="s">
        <v>142</v>
      </c>
      <c r="G482" t="s">
        <v>2469</v>
      </c>
      <c r="H482" t="s">
        <v>2470</v>
      </c>
      <c r="I482" t="s">
        <v>1823</v>
      </c>
      <c r="J482" t="s">
        <v>2469</v>
      </c>
      <c r="K482" t="s">
        <v>2471</v>
      </c>
      <c r="M482" t="s">
        <v>151</v>
      </c>
      <c r="N482" t="s">
        <v>213</v>
      </c>
      <c r="O482">
        <v>1</v>
      </c>
      <c r="P482">
        <v>22.414899999999999</v>
      </c>
      <c r="Q482">
        <v>5</v>
      </c>
      <c r="R482">
        <v>22.414899999999999</v>
      </c>
      <c r="S482">
        <v>5</v>
      </c>
      <c r="T482">
        <v>112.0745</v>
      </c>
    </row>
    <row r="483" spans="1:20" x14ac:dyDescent="0.35">
      <c r="A483" t="s">
        <v>1641</v>
      </c>
      <c r="B483">
        <v>155</v>
      </c>
      <c r="D483">
        <v>45922</v>
      </c>
      <c r="F483" t="s">
        <v>142</v>
      </c>
      <c r="G483" t="s">
        <v>2472</v>
      </c>
      <c r="H483" t="s">
        <v>2473</v>
      </c>
      <c r="I483" t="s">
        <v>969</v>
      </c>
      <c r="J483" t="s">
        <v>2472</v>
      </c>
      <c r="K483" t="s">
        <v>151</v>
      </c>
      <c r="M483" t="s">
        <v>151</v>
      </c>
      <c r="N483" t="s">
        <v>154</v>
      </c>
      <c r="O483">
        <v>1</v>
      </c>
      <c r="P483">
        <v>2.3570000000000002</v>
      </c>
      <c r="Q483">
        <v>47</v>
      </c>
      <c r="R483">
        <v>2.3570000000000002</v>
      </c>
      <c r="S483">
        <v>47</v>
      </c>
      <c r="T483">
        <v>110.77900000000001</v>
      </c>
    </row>
    <row r="484" spans="1:20" x14ac:dyDescent="0.35">
      <c r="A484" t="s">
        <v>1641</v>
      </c>
      <c r="B484">
        <v>196</v>
      </c>
      <c r="D484">
        <v>45786</v>
      </c>
      <c r="F484" t="s">
        <v>142</v>
      </c>
      <c r="G484" t="s">
        <v>2474</v>
      </c>
      <c r="H484" t="s">
        <v>2475</v>
      </c>
      <c r="I484" t="s">
        <v>1655</v>
      </c>
      <c r="J484" t="s">
        <v>2474</v>
      </c>
      <c r="K484" t="s">
        <v>2476</v>
      </c>
      <c r="M484" t="s">
        <v>151</v>
      </c>
      <c r="N484" t="s">
        <v>154</v>
      </c>
      <c r="O484">
        <v>1</v>
      </c>
      <c r="P484">
        <v>9.0375999999999994</v>
      </c>
      <c r="Q484">
        <v>12</v>
      </c>
      <c r="R484">
        <v>9.0375999999999994</v>
      </c>
      <c r="S484">
        <v>12</v>
      </c>
      <c r="T484">
        <v>108.4512</v>
      </c>
    </row>
    <row r="485" spans="1:20" x14ac:dyDescent="0.35">
      <c r="A485" t="s">
        <v>1641</v>
      </c>
      <c r="B485">
        <v>195</v>
      </c>
      <c r="D485">
        <v>45786</v>
      </c>
      <c r="F485" t="s">
        <v>142</v>
      </c>
      <c r="G485" t="s">
        <v>2477</v>
      </c>
      <c r="H485" t="s">
        <v>2478</v>
      </c>
      <c r="I485" t="s">
        <v>1655</v>
      </c>
      <c r="J485" t="s">
        <v>2477</v>
      </c>
      <c r="K485" t="s">
        <v>2476</v>
      </c>
      <c r="M485" t="s">
        <v>151</v>
      </c>
      <c r="N485" t="s">
        <v>154</v>
      </c>
      <c r="O485">
        <v>1</v>
      </c>
      <c r="P485">
        <v>9.0619999999999994</v>
      </c>
      <c r="Q485">
        <v>12</v>
      </c>
      <c r="R485">
        <v>9.0619999999999994</v>
      </c>
      <c r="S485">
        <v>12</v>
      </c>
      <c r="T485">
        <v>108.744</v>
      </c>
    </row>
    <row r="486" spans="1:20" x14ac:dyDescent="0.35">
      <c r="A486" t="s">
        <v>1641</v>
      </c>
      <c r="B486">
        <v>198</v>
      </c>
      <c r="D486">
        <v>45786</v>
      </c>
      <c r="F486" t="s">
        <v>142</v>
      </c>
      <c r="G486" t="s">
        <v>2479</v>
      </c>
      <c r="H486" t="s">
        <v>2480</v>
      </c>
      <c r="I486" t="s">
        <v>1655</v>
      </c>
      <c r="J486" t="s">
        <v>2479</v>
      </c>
      <c r="K486" t="s">
        <v>1835</v>
      </c>
      <c r="M486" t="s">
        <v>151</v>
      </c>
      <c r="N486" t="s">
        <v>154</v>
      </c>
      <c r="O486">
        <v>1</v>
      </c>
      <c r="P486">
        <v>9.0311000000000003</v>
      </c>
      <c r="Q486">
        <v>12</v>
      </c>
      <c r="R486">
        <v>9.0311000000000003</v>
      </c>
      <c r="S486">
        <v>12</v>
      </c>
      <c r="T486">
        <v>108.3732</v>
      </c>
    </row>
    <row r="487" spans="1:20" x14ac:dyDescent="0.35">
      <c r="A487" t="s">
        <v>1641</v>
      </c>
      <c r="B487">
        <v>413</v>
      </c>
      <c r="D487">
        <v>45755</v>
      </c>
      <c r="F487" t="s">
        <v>142</v>
      </c>
      <c r="G487" t="s">
        <v>2481</v>
      </c>
      <c r="H487" t="s">
        <v>2482</v>
      </c>
      <c r="I487" t="s">
        <v>1678</v>
      </c>
      <c r="J487" t="s">
        <v>2481</v>
      </c>
      <c r="K487" t="s">
        <v>151</v>
      </c>
      <c r="M487" t="s">
        <v>151</v>
      </c>
      <c r="N487" t="s">
        <v>154</v>
      </c>
      <c r="O487">
        <v>1</v>
      </c>
      <c r="P487">
        <v>4.1478999999999999</v>
      </c>
      <c r="Q487">
        <v>26</v>
      </c>
      <c r="R487">
        <v>4.1478999999999999</v>
      </c>
      <c r="S487">
        <v>26</v>
      </c>
      <c r="T487">
        <v>107.8454</v>
      </c>
    </row>
    <row r="488" spans="1:20" x14ac:dyDescent="0.35">
      <c r="A488" t="s">
        <v>1641</v>
      </c>
      <c r="B488">
        <v>523</v>
      </c>
      <c r="D488">
        <v>45895</v>
      </c>
      <c r="F488" t="s">
        <v>142</v>
      </c>
      <c r="G488" t="s">
        <v>2483</v>
      </c>
      <c r="H488" t="s">
        <v>2484</v>
      </c>
      <c r="I488" t="s">
        <v>164</v>
      </c>
      <c r="J488" t="s">
        <v>2483</v>
      </c>
      <c r="K488" t="s">
        <v>151</v>
      </c>
      <c r="M488" t="s">
        <v>151</v>
      </c>
      <c r="N488" t="s">
        <v>154</v>
      </c>
      <c r="O488">
        <v>1</v>
      </c>
      <c r="P488">
        <v>9.8423999999999996</v>
      </c>
      <c r="Q488">
        <v>11</v>
      </c>
      <c r="R488">
        <v>9.8423999999999996</v>
      </c>
      <c r="S488">
        <v>11</v>
      </c>
      <c r="T488">
        <v>108.26639999999999</v>
      </c>
    </row>
    <row r="489" spans="1:20" x14ac:dyDescent="0.35">
      <c r="A489" t="s">
        <v>1641</v>
      </c>
      <c r="B489">
        <v>175</v>
      </c>
      <c r="D489">
        <v>45810</v>
      </c>
      <c r="F489" t="s">
        <v>142</v>
      </c>
      <c r="G489" t="s">
        <v>2485</v>
      </c>
      <c r="H489" t="s">
        <v>2486</v>
      </c>
      <c r="I489" t="s">
        <v>1655</v>
      </c>
      <c r="J489" t="s">
        <v>2485</v>
      </c>
      <c r="K489" t="s">
        <v>2487</v>
      </c>
      <c r="M489" t="s">
        <v>151</v>
      </c>
      <c r="N489" t="s">
        <v>154</v>
      </c>
      <c r="O489">
        <v>1</v>
      </c>
      <c r="P489">
        <v>8.7463999999999995</v>
      </c>
      <c r="Q489">
        <v>12</v>
      </c>
      <c r="R489">
        <v>8.7463999999999995</v>
      </c>
      <c r="S489">
        <v>12</v>
      </c>
      <c r="T489">
        <v>104.95679999999999</v>
      </c>
    </row>
    <row r="490" spans="1:20" x14ac:dyDescent="0.35">
      <c r="A490" t="s">
        <v>1641</v>
      </c>
      <c r="B490">
        <v>596</v>
      </c>
      <c r="D490">
        <v>45684</v>
      </c>
      <c r="F490" t="s">
        <v>142</v>
      </c>
      <c r="G490" t="s">
        <v>2488</v>
      </c>
      <c r="H490" t="s">
        <v>2489</v>
      </c>
      <c r="I490" t="s">
        <v>2414</v>
      </c>
      <c r="J490" t="s">
        <v>2488</v>
      </c>
      <c r="K490" t="s">
        <v>2490</v>
      </c>
      <c r="M490" t="s">
        <v>151</v>
      </c>
      <c r="N490" t="s">
        <v>154</v>
      </c>
      <c r="O490">
        <v>1</v>
      </c>
      <c r="P490">
        <v>105.00620000000001</v>
      </c>
      <c r="Q490">
        <v>1</v>
      </c>
      <c r="R490">
        <v>105.00620000000001</v>
      </c>
      <c r="S490">
        <v>1</v>
      </c>
      <c r="T490">
        <v>105.00620000000001</v>
      </c>
    </row>
    <row r="491" spans="1:20" x14ac:dyDescent="0.35">
      <c r="A491" t="s">
        <v>1641</v>
      </c>
      <c r="B491">
        <v>598</v>
      </c>
      <c r="D491">
        <v>45750</v>
      </c>
      <c r="F491" t="s">
        <v>142</v>
      </c>
      <c r="G491" t="s">
        <v>2491</v>
      </c>
      <c r="H491" t="s">
        <v>2492</v>
      </c>
      <c r="I491" t="s">
        <v>2414</v>
      </c>
      <c r="J491" t="s">
        <v>2491</v>
      </c>
      <c r="K491" t="s">
        <v>2493</v>
      </c>
      <c r="M491" t="s">
        <v>151</v>
      </c>
      <c r="N491" t="s">
        <v>154</v>
      </c>
      <c r="O491">
        <v>1</v>
      </c>
      <c r="P491">
        <v>104.4611</v>
      </c>
      <c r="Q491">
        <v>1</v>
      </c>
      <c r="R491">
        <v>104.4611</v>
      </c>
      <c r="S491">
        <v>1</v>
      </c>
      <c r="T491">
        <v>104.4611</v>
      </c>
    </row>
    <row r="492" spans="1:20" x14ac:dyDescent="0.35">
      <c r="A492" t="s">
        <v>1641</v>
      </c>
      <c r="B492">
        <v>115</v>
      </c>
      <c r="D492">
        <v>45898</v>
      </c>
      <c r="F492" t="s">
        <v>142</v>
      </c>
      <c r="G492" t="s">
        <v>2494</v>
      </c>
      <c r="H492" t="s">
        <v>2495</v>
      </c>
      <c r="I492" t="s">
        <v>1894</v>
      </c>
      <c r="J492" t="s">
        <v>2494</v>
      </c>
      <c r="K492" t="s">
        <v>2496</v>
      </c>
      <c r="M492" t="s">
        <v>151</v>
      </c>
      <c r="N492" t="s">
        <v>154</v>
      </c>
      <c r="O492">
        <v>1</v>
      </c>
      <c r="P492">
        <v>25.844100000000001</v>
      </c>
      <c r="Q492">
        <v>4</v>
      </c>
      <c r="R492">
        <v>25.844100000000001</v>
      </c>
      <c r="S492">
        <v>4</v>
      </c>
      <c r="T492">
        <v>103.3764</v>
      </c>
    </row>
    <row r="493" spans="1:20" x14ac:dyDescent="0.35">
      <c r="A493" t="s">
        <v>1641</v>
      </c>
      <c r="B493">
        <v>602</v>
      </c>
      <c r="D493">
        <v>45877</v>
      </c>
      <c r="F493" t="s">
        <v>142</v>
      </c>
      <c r="G493" t="s">
        <v>2497</v>
      </c>
      <c r="H493" t="s">
        <v>2498</v>
      </c>
      <c r="I493" t="s">
        <v>1675</v>
      </c>
      <c r="J493" t="s">
        <v>2497</v>
      </c>
      <c r="K493" t="s">
        <v>2499</v>
      </c>
      <c r="M493" t="s">
        <v>151</v>
      </c>
      <c r="N493" t="s">
        <v>154</v>
      </c>
      <c r="O493">
        <v>1</v>
      </c>
      <c r="P493">
        <v>34.002899999999997</v>
      </c>
      <c r="Q493">
        <v>3</v>
      </c>
      <c r="R493">
        <v>34.002899999999997</v>
      </c>
      <c r="S493">
        <v>3</v>
      </c>
      <c r="T493">
        <v>102.00869999999999</v>
      </c>
    </row>
    <row r="494" spans="1:20" x14ac:dyDescent="0.35">
      <c r="A494" t="s">
        <v>1641</v>
      </c>
      <c r="B494">
        <v>172</v>
      </c>
      <c r="D494">
        <v>45673</v>
      </c>
      <c r="F494" t="s">
        <v>142</v>
      </c>
      <c r="G494" t="s">
        <v>2500</v>
      </c>
      <c r="H494" t="s">
        <v>2501</v>
      </c>
      <c r="I494" t="s">
        <v>1843</v>
      </c>
      <c r="J494" t="s">
        <v>2500</v>
      </c>
      <c r="K494" t="s">
        <v>2502</v>
      </c>
      <c r="M494" t="s">
        <v>151</v>
      </c>
      <c r="N494" t="s">
        <v>154</v>
      </c>
      <c r="O494">
        <v>1</v>
      </c>
      <c r="P494">
        <v>100.4126</v>
      </c>
      <c r="Q494">
        <v>1</v>
      </c>
      <c r="R494">
        <v>100.4126</v>
      </c>
      <c r="S494">
        <v>1</v>
      </c>
      <c r="T494">
        <v>100.4126</v>
      </c>
    </row>
    <row r="495" spans="1:20" x14ac:dyDescent="0.35">
      <c r="A495" t="s">
        <v>1641</v>
      </c>
      <c r="B495">
        <v>553</v>
      </c>
      <c r="D495">
        <v>45868</v>
      </c>
      <c r="F495" t="s">
        <v>142</v>
      </c>
      <c r="G495" t="s">
        <v>2503</v>
      </c>
      <c r="H495" t="s">
        <v>2504</v>
      </c>
      <c r="I495" t="s">
        <v>164</v>
      </c>
      <c r="J495" t="s">
        <v>2503</v>
      </c>
      <c r="K495" t="s">
        <v>2505</v>
      </c>
      <c r="M495" t="s">
        <v>151</v>
      </c>
      <c r="N495" t="s">
        <v>172</v>
      </c>
      <c r="O495">
        <v>1</v>
      </c>
      <c r="P495">
        <v>19.9284</v>
      </c>
      <c r="Q495">
        <v>5</v>
      </c>
      <c r="R495">
        <v>19.9284</v>
      </c>
      <c r="S495">
        <v>5</v>
      </c>
      <c r="T495">
        <v>99.641999999999996</v>
      </c>
    </row>
    <row r="496" spans="1:20" x14ac:dyDescent="0.35">
      <c r="A496" t="s">
        <v>1641</v>
      </c>
      <c r="B496">
        <v>497</v>
      </c>
      <c r="D496">
        <v>45716</v>
      </c>
      <c r="F496" t="s">
        <v>142</v>
      </c>
      <c r="G496" t="s">
        <v>2506</v>
      </c>
      <c r="H496" t="s">
        <v>2507</v>
      </c>
      <c r="I496" t="s">
        <v>1852</v>
      </c>
      <c r="J496" t="s">
        <v>2506</v>
      </c>
      <c r="K496" t="s">
        <v>2508</v>
      </c>
      <c r="M496" t="s">
        <v>151</v>
      </c>
      <c r="N496" t="s">
        <v>154</v>
      </c>
      <c r="O496">
        <v>1</v>
      </c>
      <c r="P496">
        <v>32.1218</v>
      </c>
      <c r="Q496">
        <v>3</v>
      </c>
      <c r="R496">
        <v>32.1218</v>
      </c>
      <c r="S496">
        <v>3</v>
      </c>
      <c r="T496">
        <v>96.365399999999994</v>
      </c>
    </row>
    <row r="497" spans="1:20" x14ac:dyDescent="0.35">
      <c r="A497" t="s">
        <v>1641</v>
      </c>
      <c r="B497">
        <v>25</v>
      </c>
      <c r="D497">
        <v>45866</v>
      </c>
      <c r="F497" t="s">
        <v>142</v>
      </c>
      <c r="G497" t="s">
        <v>2509</v>
      </c>
      <c r="H497" t="s">
        <v>2510</v>
      </c>
      <c r="I497" t="s">
        <v>1647</v>
      </c>
      <c r="J497" t="s">
        <v>2509</v>
      </c>
      <c r="K497" t="s">
        <v>2511</v>
      </c>
      <c r="L497" t="s">
        <v>2512</v>
      </c>
      <c r="N497" t="s">
        <v>154</v>
      </c>
      <c r="O497">
        <v>1</v>
      </c>
      <c r="P497">
        <v>9.4838000000000005</v>
      </c>
      <c r="Q497">
        <v>10</v>
      </c>
      <c r="R497">
        <v>9.4838000000000005</v>
      </c>
      <c r="S497">
        <v>10</v>
      </c>
      <c r="T497">
        <v>94.838000000000008</v>
      </c>
    </row>
    <row r="498" spans="1:20" x14ac:dyDescent="0.35">
      <c r="A498" t="s">
        <v>1641</v>
      </c>
      <c r="B498">
        <v>111</v>
      </c>
      <c r="D498">
        <v>45778</v>
      </c>
      <c r="F498" t="s">
        <v>142</v>
      </c>
      <c r="G498" t="s">
        <v>2513</v>
      </c>
      <c r="H498" t="s">
        <v>2514</v>
      </c>
      <c r="I498" t="s">
        <v>2515</v>
      </c>
      <c r="J498" t="s">
        <v>2513</v>
      </c>
      <c r="K498" t="s">
        <v>2516</v>
      </c>
      <c r="M498" t="s">
        <v>151</v>
      </c>
      <c r="N498" t="s">
        <v>154</v>
      </c>
      <c r="O498">
        <v>1</v>
      </c>
      <c r="P498">
        <v>9.4170999999999996</v>
      </c>
      <c r="Q498">
        <v>10</v>
      </c>
      <c r="R498">
        <v>9.4170999999999996</v>
      </c>
      <c r="S498">
        <v>10</v>
      </c>
      <c r="T498">
        <v>94.170999999999992</v>
      </c>
    </row>
    <row r="499" spans="1:20" x14ac:dyDescent="0.35">
      <c r="A499" t="s">
        <v>1641</v>
      </c>
      <c r="B499">
        <v>359</v>
      </c>
      <c r="D499">
        <v>45917</v>
      </c>
      <c r="F499" t="s">
        <v>142</v>
      </c>
      <c r="G499" t="s">
        <v>2517</v>
      </c>
      <c r="H499" t="s">
        <v>2518</v>
      </c>
      <c r="I499" t="s">
        <v>1806</v>
      </c>
      <c r="J499" t="s">
        <v>2517</v>
      </c>
      <c r="K499" t="s">
        <v>2519</v>
      </c>
      <c r="M499" t="s">
        <v>151</v>
      </c>
      <c r="N499" t="s">
        <v>154</v>
      </c>
      <c r="O499">
        <v>1</v>
      </c>
      <c r="P499">
        <v>45.180999999999997</v>
      </c>
      <c r="Q499">
        <v>2</v>
      </c>
      <c r="R499">
        <v>45.180999999999997</v>
      </c>
      <c r="S499">
        <v>2</v>
      </c>
      <c r="T499">
        <v>90.361999999999995</v>
      </c>
    </row>
    <row r="500" spans="1:20" x14ac:dyDescent="0.35">
      <c r="A500" t="s">
        <v>1641</v>
      </c>
      <c r="B500">
        <v>355</v>
      </c>
      <c r="D500">
        <v>45898</v>
      </c>
      <c r="F500" t="s">
        <v>142</v>
      </c>
      <c r="G500" t="s">
        <v>2520</v>
      </c>
      <c r="H500" t="s">
        <v>2521</v>
      </c>
      <c r="I500" t="s">
        <v>1806</v>
      </c>
      <c r="J500" t="s">
        <v>2520</v>
      </c>
      <c r="K500" t="s">
        <v>2522</v>
      </c>
      <c r="M500" t="s">
        <v>151</v>
      </c>
      <c r="N500" t="s">
        <v>154</v>
      </c>
      <c r="O500">
        <v>1</v>
      </c>
      <c r="P500">
        <v>90.058300000000003</v>
      </c>
      <c r="Q500">
        <v>1</v>
      </c>
      <c r="R500">
        <v>90.058300000000003</v>
      </c>
      <c r="S500">
        <v>1</v>
      </c>
      <c r="T500">
        <v>90.058300000000003</v>
      </c>
    </row>
    <row r="501" spans="1:20" x14ac:dyDescent="0.35">
      <c r="A501" t="s">
        <v>1641</v>
      </c>
      <c r="B501">
        <v>346</v>
      </c>
      <c r="D501">
        <v>45917</v>
      </c>
      <c r="F501" t="s">
        <v>142</v>
      </c>
      <c r="G501" t="s">
        <v>2523</v>
      </c>
      <c r="H501" t="s">
        <v>2524</v>
      </c>
      <c r="I501" t="s">
        <v>1806</v>
      </c>
      <c r="J501" t="s">
        <v>2523</v>
      </c>
      <c r="K501" t="s">
        <v>2215</v>
      </c>
      <c r="M501" t="s">
        <v>151</v>
      </c>
      <c r="N501" t="s">
        <v>154</v>
      </c>
      <c r="O501">
        <v>1</v>
      </c>
      <c r="P501">
        <v>44.629800000000003</v>
      </c>
      <c r="Q501">
        <v>2</v>
      </c>
      <c r="R501">
        <v>44.629800000000003</v>
      </c>
      <c r="S501">
        <v>2</v>
      </c>
      <c r="T501">
        <v>89.259600000000006</v>
      </c>
    </row>
    <row r="502" spans="1:20" x14ac:dyDescent="0.35">
      <c r="A502" t="s">
        <v>1641</v>
      </c>
      <c r="B502">
        <v>347</v>
      </c>
      <c r="D502">
        <v>45911</v>
      </c>
      <c r="F502" t="s">
        <v>142</v>
      </c>
      <c r="G502" t="s">
        <v>2525</v>
      </c>
      <c r="H502" t="s">
        <v>2526</v>
      </c>
      <c r="I502" t="s">
        <v>1806</v>
      </c>
      <c r="J502" t="s">
        <v>2525</v>
      </c>
      <c r="K502" t="s">
        <v>2527</v>
      </c>
      <c r="M502" t="s">
        <v>151</v>
      </c>
      <c r="N502" t="s">
        <v>154</v>
      </c>
      <c r="O502">
        <v>1</v>
      </c>
      <c r="P502">
        <v>44.574199999999998</v>
      </c>
      <c r="Q502">
        <v>2</v>
      </c>
      <c r="R502">
        <v>44.574199999999998</v>
      </c>
      <c r="S502">
        <v>2</v>
      </c>
      <c r="T502">
        <v>89.148399999999995</v>
      </c>
    </row>
    <row r="503" spans="1:20" x14ac:dyDescent="0.35">
      <c r="A503" t="s">
        <v>1641</v>
      </c>
      <c r="B503">
        <v>538</v>
      </c>
      <c r="D503">
        <v>45824</v>
      </c>
      <c r="F503" t="s">
        <v>142</v>
      </c>
      <c r="G503" t="s">
        <v>2528</v>
      </c>
      <c r="H503" t="s">
        <v>2529</v>
      </c>
      <c r="I503" t="s">
        <v>164</v>
      </c>
      <c r="J503" t="s">
        <v>2528</v>
      </c>
      <c r="K503" t="s">
        <v>2530</v>
      </c>
      <c r="M503" t="s">
        <v>151</v>
      </c>
      <c r="N503" t="s">
        <v>172</v>
      </c>
      <c r="O503">
        <v>1</v>
      </c>
      <c r="P503">
        <v>44.179400000000001</v>
      </c>
      <c r="Q503">
        <v>2</v>
      </c>
      <c r="R503">
        <v>44.179400000000001</v>
      </c>
      <c r="S503">
        <v>2</v>
      </c>
      <c r="T503">
        <v>88.358800000000002</v>
      </c>
    </row>
    <row r="504" spans="1:20" x14ac:dyDescent="0.35">
      <c r="A504" t="s">
        <v>1641</v>
      </c>
      <c r="B504">
        <v>156</v>
      </c>
      <c r="D504">
        <v>45735</v>
      </c>
      <c r="F504" t="s">
        <v>142</v>
      </c>
      <c r="G504" t="s">
        <v>2531</v>
      </c>
      <c r="H504" t="s">
        <v>2532</v>
      </c>
      <c r="I504" t="s">
        <v>969</v>
      </c>
      <c r="J504" t="s">
        <v>2531</v>
      </c>
      <c r="K504" t="s">
        <v>2533</v>
      </c>
      <c r="M504" t="s">
        <v>151</v>
      </c>
      <c r="N504" t="s">
        <v>154</v>
      </c>
      <c r="O504">
        <v>1</v>
      </c>
      <c r="P504">
        <v>14.7539</v>
      </c>
      <c r="Q504">
        <v>6</v>
      </c>
      <c r="R504">
        <v>14.7539</v>
      </c>
      <c r="S504">
        <v>6</v>
      </c>
      <c r="T504">
        <v>88.523399999999995</v>
      </c>
    </row>
    <row r="505" spans="1:20" x14ac:dyDescent="0.35">
      <c r="A505" t="s">
        <v>1641</v>
      </c>
      <c r="B505">
        <v>227</v>
      </c>
      <c r="D505">
        <v>45853</v>
      </c>
      <c r="F505" t="s">
        <v>142</v>
      </c>
      <c r="G505" t="s">
        <v>2534</v>
      </c>
      <c r="H505" t="s">
        <v>2535</v>
      </c>
      <c r="I505" t="s">
        <v>1714</v>
      </c>
      <c r="J505" t="s">
        <v>2534</v>
      </c>
      <c r="K505" t="s">
        <v>2536</v>
      </c>
      <c r="M505" t="s">
        <v>151</v>
      </c>
      <c r="N505" t="s">
        <v>1650</v>
      </c>
      <c r="O505">
        <v>1</v>
      </c>
      <c r="P505">
        <v>85.051100000000005</v>
      </c>
      <c r="Q505">
        <v>1</v>
      </c>
      <c r="R505">
        <v>85.051100000000005</v>
      </c>
      <c r="S505">
        <v>1</v>
      </c>
      <c r="T505">
        <v>85.051100000000005</v>
      </c>
    </row>
    <row r="506" spans="1:20" x14ac:dyDescent="0.35">
      <c r="A506" t="s">
        <v>1641</v>
      </c>
      <c r="B506">
        <v>228</v>
      </c>
      <c r="D506">
        <v>45853</v>
      </c>
      <c r="F506" t="s">
        <v>142</v>
      </c>
      <c r="G506" t="s">
        <v>2537</v>
      </c>
      <c r="H506" t="s">
        <v>2538</v>
      </c>
      <c r="I506" t="s">
        <v>1714</v>
      </c>
      <c r="J506" t="s">
        <v>2537</v>
      </c>
      <c r="K506" t="s">
        <v>151</v>
      </c>
      <c r="M506" t="s">
        <v>151</v>
      </c>
      <c r="N506" t="s">
        <v>1650</v>
      </c>
      <c r="O506">
        <v>1</v>
      </c>
      <c r="P506">
        <v>85.308199999999999</v>
      </c>
      <c r="Q506">
        <v>1</v>
      </c>
      <c r="R506">
        <v>85.308199999999999</v>
      </c>
      <c r="S506">
        <v>1</v>
      </c>
      <c r="T506">
        <v>85.308199999999999</v>
      </c>
    </row>
    <row r="507" spans="1:20" x14ac:dyDescent="0.35">
      <c r="A507" t="s">
        <v>1641</v>
      </c>
      <c r="B507">
        <v>193</v>
      </c>
      <c r="D507">
        <v>45728</v>
      </c>
      <c r="F507" t="s">
        <v>142</v>
      </c>
      <c r="G507" t="s">
        <v>2539</v>
      </c>
      <c r="H507" t="s">
        <v>2540</v>
      </c>
      <c r="I507" t="s">
        <v>1655</v>
      </c>
      <c r="J507" t="s">
        <v>2539</v>
      </c>
      <c r="K507" t="s">
        <v>1911</v>
      </c>
      <c r="M507" t="s">
        <v>151</v>
      </c>
      <c r="N507" t="s">
        <v>154</v>
      </c>
      <c r="O507">
        <v>1</v>
      </c>
      <c r="P507">
        <v>8.4657999999999998</v>
      </c>
      <c r="Q507">
        <v>10</v>
      </c>
      <c r="R507">
        <v>8.4657999999999998</v>
      </c>
      <c r="S507">
        <v>10</v>
      </c>
      <c r="T507">
        <v>84.658000000000001</v>
      </c>
    </row>
    <row r="508" spans="1:20" x14ac:dyDescent="0.35">
      <c r="A508" t="s">
        <v>1641</v>
      </c>
      <c r="B508">
        <v>356</v>
      </c>
      <c r="D508">
        <v>45708</v>
      </c>
      <c r="F508" t="s">
        <v>142</v>
      </c>
      <c r="G508" t="s">
        <v>2541</v>
      </c>
      <c r="H508" t="s">
        <v>2542</v>
      </c>
      <c r="I508" t="s">
        <v>1806</v>
      </c>
      <c r="J508" t="s">
        <v>2541</v>
      </c>
      <c r="K508" t="s">
        <v>2543</v>
      </c>
      <c r="M508" t="s">
        <v>151</v>
      </c>
      <c r="N508" t="s">
        <v>154</v>
      </c>
      <c r="O508">
        <v>1</v>
      </c>
      <c r="P508">
        <v>83.875699999999995</v>
      </c>
      <c r="Q508">
        <v>1</v>
      </c>
      <c r="R508">
        <v>83.875699999999995</v>
      </c>
      <c r="S508">
        <v>1</v>
      </c>
      <c r="T508">
        <v>83.875699999999995</v>
      </c>
    </row>
    <row r="509" spans="1:20" x14ac:dyDescent="0.35">
      <c r="A509" t="s">
        <v>1641</v>
      </c>
      <c r="B509">
        <v>435</v>
      </c>
      <c r="D509">
        <v>45877</v>
      </c>
      <c r="F509" t="s">
        <v>142</v>
      </c>
      <c r="G509" t="s">
        <v>2544</v>
      </c>
      <c r="H509" t="s">
        <v>2545</v>
      </c>
      <c r="I509" t="s">
        <v>1653</v>
      </c>
      <c r="J509" t="s">
        <v>2544</v>
      </c>
      <c r="K509" t="s">
        <v>2546</v>
      </c>
      <c r="M509" t="s">
        <v>151</v>
      </c>
      <c r="N509" t="s">
        <v>154</v>
      </c>
      <c r="O509">
        <v>1</v>
      </c>
      <c r="P509">
        <v>3.4258000000000002</v>
      </c>
      <c r="Q509">
        <v>24</v>
      </c>
      <c r="R509">
        <v>3.4258000000000002</v>
      </c>
      <c r="S509">
        <v>24</v>
      </c>
      <c r="T509">
        <v>82.219200000000001</v>
      </c>
    </row>
    <row r="510" spans="1:20" x14ac:dyDescent="0.35">
      <c r="A510" t="s">
        <v>1641</v>
      </c>
      <c r="B510">
        <v>548</v>
      </c>
      <c r="D510">
        <v>45908</v>
      </c>
      <c r="F510" t="s">
        <v>142</v>
      </c>
      <c r="G510" t="s">
        <v>2547</v>
      </c>
      <c r="H510" t="s">
        <v>2548</v>
      </c>
      <c r="I510" t="s">
        <v>164</v>
      </c>
      <c r="J510" t="s">
        <v>2547</v>
      </c>
      <c r="K510" t="s">
        <v>151</v>
      </c>
      <c r="M510" t="s">
        <v>151</v>
      </c>
      <c r="N510" t="s">
        <v>154</v>
      </c>
      <c r="O510">
        <v>1</v>
      </c>
      <c r="P510">
        <v>40.871699999999997</v>
      </c>
      <c r="Q510">
        <v>2</v>
      </c>
      <c r="R510">
        <v>40.871699999999997</v>
      </c>
      <c r="S510">
        <v>2</v>
      </c>
      <c r="T510">
        <v>81.743399999999994</v>
      </c>
    </row>
    <row r="511" spans="1:20" x14ac:dyDescent="0.35">
      <c r="A511" t="s">
        <v>1641</v>
      </c>
      <c r="B511">
        <v>247</v>
      </c>
      <c r="D511">
        <v>45890</v>
      </c>
      <c r="F511" t="s">
        <v>142</v>
      </c>
      <c r="G511" t="s">
        <v>2549</v>
      </c>
      <c r="H511" t="s">
        <v>2550</v>
      </c>
      <c r="I511" t="s">
        <v>560</v>
      </c>
      <c r="J511" t="s">
        <v>2549</v>
      </c>
      <c r="K511" t="s">
        <v>2551</v>
      </c>
      <c r="M511" t="s">
        <v>151</v>
      </c>
      <c r="N511" t="s">
        <v>213</v>
      </c>
      <c r="O511">
        <v>1</v>
      </c>
      <c r="P511">
        <v>2.1842000000000001</v>
      </c>
      <c r="Q511">
        <v>36</v>
      </c>
      <c r="R511">
        <v>2.1842000000000001</v>
      </c>
      <c r="S511">
        <v>36</v>
      </c>
      <c r="T511">
        <v>78.631200000000007</v>
      </c>
    </row>
    <row r="512" spans="1:20" x14ac:dyDescent="0.35">
      <c r="A512" t="s">
        <v>1641</v>
      </c>
      <c r="B512">
        <v>22</v>
      </c>
      <c r="D512">
        <v>45817</v>
      </c>
      <c r="F512" t="s">
        <v>142</v>
      </c>
      <c r="G512" t="s">
        <v>2552</v>
      </c>
      <c r="H512" t="s">
        <v>2553</v>
      </c>
      <c r="I512" t="s">
        <v>1647</v>
      </c>
      <c r="J512" t="s">
        <v>2552</v>
      </c>
      <c r="K512" t="s">
        <v>151</v>
      </c>
      <c r="M512" t="s">
        <v>151</v>
      </c>
      <c r="N512" t="s">
        <v>1666</v>
      </c>
      <c r="O512">
        <v>1</v>
      </c>
      <c r="P512">
        <v>38.607700000000001</v>
      </c>
      <c r="Q512">
        <v>2</v>
      </c>
      <c r="R512">
        <v>38.607700000000001</v>
      </c>
      <c r="S512">
        <v>2</v>
      </c>
      <c r="T512">
        <v>77.215400000000002</v>
      </c>
    </row>
    <row r="513" spans="1:20" x14ac:dyDescent="0.35">
      <c r="A513" t="s">
        <v>1641</v>
      </c>
      <c r="B513">
        <v>124</v>
      </c>
      <c r="D513">
        <v>45796</v>
      </c>
      <c r="F513" t="s">
        <v>142</v>
      </c>
      <c r="G513" t="s">
        <v>2554</v>
      </c>
      <c r="H513" t="s">
        <v>2555</v>
      </c>
      <c r="I513" t="s">
        <v>1642</v>
      </c>
      <c r="J513" t="s">
        <v>2554</v>
      </c>
      <c r="K513" t="s">
        <v>2556</v>
      </c>
      <c r="M513" t="s">
        <v>151</v>
      </c>
      <c r="N513" t="s">
        <v>154</v>
      </c>
      <c r="O513">
        <v>1</v>
      </c>
      <c r="P513">
        <v>15.300599999999999</v>
      </c>
      <c r="Q513">
        <v>5</v>
      </c>
      <c r="R513">
        <v>15.300599999999999</v>
      </c>
      <c r="S513">
        <v>5</v>
      </c>
      <c r="T513">
        <v>76.503</v>
      </c>
    </row>
    <row r="514" spans="1:20" x14ac:dyDescent="0.35">
      <c r="A514" t="s">
        <v>1641</v>
      </c>
      <c r="B514">
        <v>126</v>
      </c>
      <c r="D514">
        <v>45778</v>
      </c>
      <c r="F514" t="s">
        <v>142</v>
      </c>
      <c r="G514" t="s">
        <v>2557</v>
      </c>
      <c r="H514" t="s">
        <v>2558</v>
      </c>
      <c r="I514" t="s">
        <v>1647</v>
      </c>
      <c r="J514" t="s">
        <v>2557</v>
      </c>
      <c r="K514" t="s">
        <v>2559</v>
      </c>
      <c r="M514" t="s">
        <v>151</v>
      </c>
      <c r="N514" t="s">
        <v>154</v>
      </c>
      <c r="O514">
        <v>1</v>
      </c>
      <c r="P514">
        <v>75.960300000000004</v>
      </c>
      <c r="Q514">
        <v>1</v>
      </c>
      <c r="R514">
        <v>75.960300000000004</v>
      </c>
      <c r="S514">
        <v>1</v>
      </c>
      <c r="T514">
        <v>75.960300000000004</v>
      </c>
    </row>
    <row r="515" spans="1:20" x14ac:dyDescent="0.35">
      <c r="A515" t="s">
        <v>1641</v>
      </c>
      <c r="B515">
        <v>376</v>
      </c>
      <c r="D515">
        <v>45821</v>
      </c>
      <c r="F515" t="s">
        <v>142</v>
      </c>
      <c r="G515" t="s">
        <v>2560</v>
      </c>
      <c r="H515" t="s">
        <v>2561</v>
      </c>
      <c r="I515" t="s">
        <v>1678</v>
      </c>
      <c r="J515" t="s">
        <v>2560</v>
      </c>
      <c r="K515" t="s">
        <v>2562</v>
      </c>
      <c r="M515" t="s">
        <v>151</v>
      </c>
      <c r="N515" t="s">
        <v>213</v>
      </c>
      <c r="O515">
        <v>1</v>
      </c>
      <c r="P515">
        <v>14.947100000000001</v>
      </c>
      <c r="Q515">
        <v>5</v>
      </c>
      <c r="R515">
        <v>14.947100000000001</v>
      </c>
      <c r="S515">
        <v>5</v>
      </c>
      <c r="T515">
        <v>74.735500000000002</v>
      </c>
    </row>
    <row r="516" spans="1:20" x14ac:dyDescent="0.35">
      <c r="A516" t="s">
        <v>1641</v>
      </c>
      <c r="B516">
        <v>61</v>
      </c>
      <c r="D516">
        <v>45877</v>
      </c>
      <c r="F516" t="s">
        <v>142</v>
      </c>
      <c r="G516" t="s">
        <v>2563</v>
      </c>
      <c r="H516" t="s">
        <v>2564</v>
      </c>
      <c r="I516" t="s">
        <v>1683</v>
      </c>
      <c r="J516" t="s">
        <v>2563</v>
      </c>
      <c r="K516" t="s">
        <v>2565</v>
      </c>
      <c r="M516" t="s">
        <v>151</v>
      </c>
      <c r="N516" t="s">
        <v>213</v>
      </c>
      <c r="O516">
        <v>1</v>
      </c>
      <c r="P516">
        <v>6.1555999999999997</v>
      </c>
      <c r="Q516">
        <v>12</v>
      </c>
      <c r="R516">
        <v>6.1555999999999997</v>
      </c>
      <c r="S516">
        <v>12</v>
      </c>
      <c r="T516">
        <v>73.867199999999997</v>
      </c>
    </row>
    <row r="517" spans="1:20" x14ac:dyDescent="0.35">
      <c r="A517" t="s">
        <v>1641</v>
      </c>
      <c r="B517">
        <v>62</v>
      </c>
      <c r="D517">
        <v>45880</v>
      </c>
      <c r="F517" t="s">
        <v>142</v>
      </c>
      <c r="G517" t="s">
        <v>2566</v>
      </c>
      <c r="H517" t="s">
        <v>2567</v>
      </c>
      <c r="I517" t="s">
        <v>1683</v>
      </c>
      <c r="J517" t="s">
        <v>2566</v>
      </c>
      <c r="K517" t="s">
        <v>2568</v>
      </c>
      <c r="M517" t="s">
        <v>151</v>
      </c>
      <c r="N517" t="s">
        <v>213</v>
      </c>
      <c r="O517">
        <v>1</v>
      </c>
      <c r="P517">
        <v>6.1443000000000003</v>
      </c>
      <c r="Q517">
        <v>12</v>
      </c>
      <c r="R517">
        <v>6.1443000000000003</v>
      </c>
      <c r="S517">
        <v>12</v>
      </c>
      <c r="T517">
        <v>73.7316</v>
      </c>
    </row>
    <row r="518" spans="1:20" x14ac:dyDescent="0.35">
      <c r="A518" t="s">
        <v>1641</v>
      </c>
      <c r="B518">
        <v>63</v>
      </c>
      <c r="D518">
        <v>45877</v>
      </c>
      <c r="F518" t="s">
        <v>142</v>
      </c>
      <c r="G518" t="s">
        <v>2569</v>
      </c>
      <c r="H518" t="s">
        <v>2570</v>
      </c>
      <c r="I518" t="s">
        <v>1683</v>
      </c>
      <c r="J518" t="s">
        <v>2569</v>
      </c>
      <c r="K518" t="s">
        <v>2571</v>
      </c>
      <c r="M518" t="s">
        <v>151</v>
      </c>
      <c r="N518" t="s">
        <v>213</v>
      </c>
      <c r="O518">
        <v>1</v>
      </c>
      <c r="P518">
        <v>6.1768999999999998</v>
      </c>
      <c r="Q518">
        <v>12</v>
      </c>
      <c r="R518">
        <v>6.1768999999999998</v>
      </c>
      <c r="S518">
        <v>12</v>
      </c>
      <c r="T518">
        <v>74.122799999999998</v>
      </c>
    </row>
    <row r="519" spans="1:20" x14ac:dyDescent="0.35">
      <c r="A519" t="s">
        <v>1641</v>
      </c>
      <c r="B519">
        <v>360</v>
      </c>
      <c r="D519">
        <v>45782</v>
      </c>
      <c r="F519" t="s">
        <v>142</v>
      </c>
      <c r="G519" t="s">
        <v>2572</v>
      </c>
      <c r="H519" t="s">
        <v>2573</v>
      </c>
      <c r="I519" t="s">
        <v>2067</v>
      </c>
      <c r="J519" t="s">
        <v>2572</v>
      </c>
      <c r="K519" t="s">
        <v>151</v>
      </c>
      <c r="M519" t="s">
        <v>151</v>
      </c>
      <c r="N519" t="s">
        <v>154</v>
      </c>
      <c r="O519">
        <v>1</v>
      </c>
      <c r="P519">
        <v>6.1384999999999996</v>
      </c>
      <c r="Q519">
        <v>12</v>
      </c>
      <c r="R519">
        <v>6.1384999999999996</v>
      </c>
      <c r="S519">
        <v>12</v>
      </c>
      <c r="T519">
        <v>73.661999999999992</v>
      </c>
    </row>
    <row r="520" spans="1:20" x14ac:dyDescent="0.35">
      <c r="A520" t="s">
        <v>1641</v>
      </c>
      <c r="B520">
        <v>248</v>
      </c>
      <c r="D520">
        <v>45755</v>
      </c>
      <c r="F520" t="s">
        <v>142</v>
      </c>
      <c r="G520" t="s">
        <v>2141</v>
      </c>
      <c r="H520" t="s">
        <v>2142</v>
      </c>
      <c r="I520" t="s">
        <v>560</v>
      </c>
      <c r="J520" t="s">
        <v>2141</v>
      </c>
      <c r="K520" t="s">
        <v>2143</v>
      </c>
      <c r="M520" t="s">
        <v>151</v>
      </c>
      <c r="N520" t="s">
        <v>2337</v>
      </c>
      <c r="O520">
        <v>1</v>
      </c>
      <c r="P520">
        <v>72.381399999999999</v>
      </c>
      <c r="Q520">
        <v>1</v>
      </c>
      <c r="R520">
        <v>72.381399999999999</v>
      </c>
      <c r="S520">
        <v>1</v>
      </c>
      <c r="T520">
        <v>72.381399999999999</v>
      </c>
    </row>
    <row r="521" spans="1:20" x14ac:dyDescent="0.35">
      <c r="A521" t="s">
        <v>1641</v>
      </c>
      <c r="B521">
        <v>250</v>
      </c>
      <c r="D521">
        <v>45755</v>
      </c>
      <c r="F521" t="s">
        <v>142</v>
      </c>
      <c r="G521" t="s">
        <v>2248</v>
      </c>
      <c r="H521" t="s">
        <v>2249</v>
      </c>
      <c r="I521" t="s">
        <v>560</v>
      </c>
      <c r="J521" t="s">
        <v>2248</v>
      </c>
      <c r="K521" t="s">
        <v>2250</v>
      </c>
      <c r="M521" t="s">
        <v>151</v>
      </c>
      <c r="N521" t="s">
        <v>2337</v>
      </c>
      <c r="O521">
        <v>1</v>
      </c>
      <c r="P521">
        <v>72.186599999999999</v>
      </c>
      <c r="Q521">
        <v>1</v>
      </c>
      <c r="R521">
        <v>72.186599999999999</v>
      </c>
      <c r="S521">
        <v>1</v>
      </c>
      <c r="T521">
        <v>72.186599999999999</v>
      </c>
    </row>
    <row r="522" spans="1:20" x14ac:dyDescent="0.35">
      <c r="A522" t="s">
        <v>1641</v>
      </c>
      <c r="B522">
        <v>252</v>
      </c>
      <c r="D522">
        <v>45755</v>
      </c>
      <c r="F522" t="s">
        <v>142</v>
      </c>
      <c r="G522" t="s">
        <v>2251</v>
      </c>
      <c r="H522" t="s">
        <v>2252</v>
      </c>
      <c r="I522" t="s">
        <v>560</v>
      </c>
      <c r="J522" t="s">
        <v>2251</v>
      </c>
      <c r="K522" t="s">
        <v>2253</v>
      </c>
      <c r="M522" t="s">
        <v>151</v>
      </c>
      <c r="N522" t="s">
        <v>2337</v>
      </c>
      <c r="O522">
        <v>1</v>
      </c>
      <c r="P522">
        <v>71.920900000000003</v>
      </c>
      <c r="Q522">
        <v>1</v>
      </c>
      <c r="R522">
        <v>71.920900000000003</v>
      </c>
      <c r="S522">
        <v>1</v>
      </c>
      <c r="T522">
        <v>71.920900000000003</v>
      </c>
    </row>
    <row r="523" spans="1:20" x14ac:dyDescent="0.35">
      <c r="A523" t="s">
        <v>1641</v>
      </c>
      <c r="B523">
        <v>254</v>
      </c>
      <c r="D523">
        <v>45755</v>
      </c>
      <c r="F523" t="s">
        <v>142</v>
      </c>
      <c r="G523" t="s">
        <v>2254</v>
      </c>
      <c r="H523" t="s">
        <v>2255</v>
      </c>
      <c r="I523" t="s">
        <v>560</v>
      </c>
      <c r="J523" t="s">
        <v>2254</v>
      </c>
      <c r="K523" t="s">
        <v>2256</v>
      </c>
      <c r="M523" t="s">
        <v>151</v>
      </c>
      <c r="N523" t="s">
        <v>2337</v>
      </c>
      <c r="O523">
        <v>1</v>
      </c>
      <c r="P523">
        <v>72.331800000000001</v>
      </c>
      <c r="Q523">
        <v>1</v>
      </c>
      <c r="R523">
        <v>72.331800000000001</v>
      </c>
      <c r="S523">
        <v>1</v>
      </c>
      <c r="T523">
        <v>72.331800000000001</v>
      </c>
    </row>
    <row r="524" spans="1:20" x14ac:dyDescent="0.35">
      <c r="A524" t="s">
        <v>1641</v>
      </c>
      <c r="B524">
        <v>257</v>
      </c>
      <c r="D524">
        <v>45755</v>
      </c>
      <c r="F524" t="s">
        <v>142</v>
      </c>
      <c r="G524" t="s">
        <v>2257</v>
      </c>
      <c r="H524" t="s">
        <v>2258</v>
      </c>
      <c r="I524" t="s">
        <v>560</v>
      </c>
      <c r="J524" t="s">
        <v>2257</v>
      </c>
      <c r="K524" t="s">
        <v>2259</v>
      </c>
      <c r="M524" t="s">
        <v>151</v>
      </c>
      <c r="N524" t="s">
        <v>2337</v>
      </c>
      <c r="O524">
        <v>1</v>
      </c>
      <c r="P524">
        <v>72.062700000000007</v>
      </c>
      <c r="Q524">
        <v>1</v>
      </c>
      <c r="R524">
        <v>72.062700000000007</v>
      </c>
      <c r="S524">
        <v>1</v>
      </c>
      <c r="T524">
        <v>72.062700000000007</v>
      </c>
    </row>
    <row r="525" spans="1:20" x14ac:dyDescent="0.35">
      <c r="A525" t="s">
        <v>1641</v>
      </c>
      <c r="B525">
        <v>10</v>
      </c>
      <c r="D525">
        <v>45758</v>
      </c>
      <c r="F525" t="s">
        <v>142</v>
      </c>
      <c r="G525" t="s">
        <v>2574</v>
      </c>
      <c r="H525" t="s">
        <v>2575</v>
      </c>
      <c r="I525" t="s">
        <v>1647</v>
      </c>
      <c r="J525" t="s">
        <v>2574</v>
      </c>
      <c r="K525" t="s">
        <v>2576</v>
      </c>
      <c r="L525" t="s">
        <v>2577</v>
      </c>
      <c r="N525" t="s">
        <v>154</v>
      </c>
      <c r="O525">
        <v>1</v>
      </c>
      <c r="P525">
        <v>35.887700000000002</v>
      </c>
      <c r="Q525">
        <v>2</v>
      </c>
      <c r="R525">
        <v>35.887700000000002</v>
      </c>
      <c r="S525">
        <v>2</v>
      </c>
      <c r="T525">
        <v>71.775400000000005</v>
      </c>
    </row>
    <row r="526" spans="1:20" x14ac:dyDescent="0.35">
      <c r="A526" t="s">
        <v>1641</v>
      </c>
      <c r="B526">
        <v>425</v>
      </c>
      <c r="D526">
        <v>45929</v>
      </c>
      <c r="F526" t="s">
        <v>142</v>
      </c>
      <c r="G526" t="s">
        <v>2578</v>
      </c>
      <c r="H526" t="s">
        <v>2579</v>
      </c>
      <c r="I526" t="s">
        <v>1653</v>
      </c>
      <c r="J526" t="s">
        <v>2578</v>
      </c>
      <c r="K526" t="s">
        <v>2580</v>
      </c>
      <c r="M526" t="s">
        <v>151</v>
      </c>
      <c r="N526" t="s">
        <v>154</v>
      </c>
      <c r="O526">
        <v>1</v>
      </c>
      <c r="P526">
        <v>1.8374999999999999</v>
      </c>
      <c r="Q526">
        <v>38</v>
      </c>
      <c r="R526">
        <v>1.8374999999999999</v>
      </c>
      <c r="S526">
        <v>38</v>
      </c>
      <c r="T526">
        <v>69.825000000000003</v>
      </c>
    </row>
    <row r="527" spans="1:20" x14ac:dyDescent="0.35">
      <c r="A527" t="s">
        <v>1641</v>
      </c>
      <c r="B527">
        <v>599</v>
      </c>
      <c r="D527">
        <v>45873</v>
      </c>
      <c r="F527" t="s">
        <v>142</v>
      </c>
      <c r="G527" t="s">
        <v>2581</v>
      </c>
      <c r="H527" t="s">
        <v>2582</v>
      </c>
      <c r="I527" t="s">
        <v>2414</v>
      </c>
      <c r="J527" t="s">
        <v>2581</v>
      </c>
      <c r="K527" t="s">
        <v>2583</v>
      </c>
      <c r="M527" t="s">
        <v>151</v>
      </c>
      <c r="N527" t="s">
        <v>154</v>
      </c>
      <c r="O527">
        <v>1</v>
      </c>
      <c r="P527">
        <v>69.757000000000005</v>
      </c>
      <c r="Q527">
        <v>1</v>
      </c>
      <c r="R527">
        <v>69.757000000000005</v>
      </c>
      <c r="S527">
        <v>1</v>
      </c>
      <c r="T527">
        <v>69.757000000000005</v>
      </c>
    </row>
    <row r="528" spans="1:20" x14ac:dyDescent="0.35">
      <c r="A528" t="s">
        <v>1641</v>
      </c>
      <c r="B528">
        <v>34</v>
      </c>
      <c r="D528">
        <v>45742</v>
      </c>
      <c r="F528" t="s">
        <v>142</v>
      </c>
      <c r="G528" t="s">
        <v>592</v>
      </c>
      <c r="H528" t="s">
        <v>593</v>
      </c>
      <c r="I528" t="s">
        <v>1647</v>
      </c>
      <c r="J528" t="s">
        <v>592</v>
      </c>
      <c r="K528" t="s">
        <v>1716</v>
      </c>
      <c r="M528" t="s">
        <v>151</v>
      </c>
      <c r="N528" t="s">
        <v>154</v>
      </c>
      <c r="O528">
        <v>1</v>
      </c>
      <c r="P528">
        <v>6.8521999999999998</v>
      </c>
      <c r="Q528">
        <v>10</v>
      </c>
      <c r="R528">
        <v>6.8521999999999998</v>
      </c>
      <c r="S528">
        <v>10</v>
      </c>
      <c r="T528">
        <v>68.521999999999991</v>
      </c>
    </row>
    <row r="529" spans="1:20" x14ac:dyDescent="0.35">
      <c r="A529" t="s">
        <v>1641</v>
      </c>
      <c r="B529">
        <v>542</v>
      </c>
      <c r="D529">
        <v>45911</v>
      </c>
      <c r="F529" t="s">
        <v>142</v>
      </c>
      <c r="G529" t="s">
        <v>2584</v>
      </c>
      <c r="H529" t="s">
        <v>2585</v>
      </c>
      <c r="I529" t="s">
        <v>164</v>
      </c>
      <c r="J529" t="s">
        <v>2584</v>
      </c>
      <c r="K529" t="s">
        <v>151</v>
      </c>
      <c r="M529" t="s">
        <v>151</v>
      </c>
      <c r="N529" t="s">
        <v>154</v>
      </c>
      <c r="O529">
        <v>1</v>
      </c>
      <c r="P529">
        <v>22.6127</v>
      </c>
      <c r="Q529">
        <v>3</v>
      </c>
      <c r="R529">
        <v>22.6127</v>
      </c>
      <c r="S529">
        <v>3</v>
      </c>
      <c r="T529">
        <v>67.838099999999997</v>
      </c>
    </row>
    <row r="530" spans="1:20" x14ac:dyDescent="0.35">
      <c r="A530" t="s">
        <v>1641</v>
      </c>
      <c r="B530">
        <v>519</v>
      </c>
      <c r="D530">
        <v>45747</v>
      </c>
      <c r="F530" t="s">
        <v>142</v>
      </c>
      <c r="G530" t="s">
        <v>2586</v>
      </c>
      <c r="H530" t="s">
        <v>2587</v>
      </c>
      <c r="I530" t="s">
        <v>164</v>
      </c>
      <c r="J530" t="s">
        <v>2586</v>
      </c>
      <c r="K530" t="s">
        <v>2588</v>
      </c>
      <c r="M530" t="s">
        <v>151</v>
      </c>
      <c r="N530" t="s">
        <v>154</v>
      </c>
      <c r="O530">
        <v>1</v>
      </c>
      <c r="P530">
        <v>22.119399999999999</v>
      </c>
      <c r="Q530">
        <v>3</v>
      </c>
      <c r="R530">
        <v>22.119399999999999</v>
      </c>
      <c r="S530">
        <v>3</v>
      </c>
      <c r="T530">
        <v>66.358199999999997</v>
      </c>
    </row>
    <row r="531" spans="1:20" x14ac:dyDescent="0.35">
      <c r="A531" t="s">
        <v>1641</v>
      </c>
      <c r="B531">
        <v>273</v>
      </c>
      <c r="D531">
        <v>45828</v>
      </c>
      <c r="F531" t="s">
        <v>142</v>
      </c>
      <c r="G531" t="s">
        <v>2589</v>
      </c>
      <c r="H531" t="s">
        <v>2590</v>
      </c>
      <c r="I531" t="s">
        <v>1659</v>
      </c>
      <c r="J531" t="s">
        <v>2589</v>
      </c>
      <c r="K531" t="s">
        <v>2591</v>
      </c>
      <c r="M531" t="s">
        <v>151</v>
      </c>
      <c r="N531" t="s">
        <v>172</v>
      </c>
      <c r="O531">
        <v>1</v>
      </c>
      <c r="P531">
        <v>65.843000000000004</v>
      </c>
      <c r="Q531">
        <v>1</v>
      </c>
      <c r="R531">
        <v>65.843000000000004</v>
      </c>
      <c r="S531">
        <v>1</v>
      </c>
      <c r="T531">
        <v>65.843000000000004</v>
      </c>
    </row>
    <row r="532" spans="1:20" x14ac:dyDescent="0.35">
      <c r="A532" t="s">
        <v>1641</v>
      </c>
      <c r="B532">
        <v>235</v>
      </c>
      <c r="D532">
        <v>45925</v>
      </c>
      <c r="F532" t="s">
        <v>142</v>
      </c>
      <c r="G532" t="s">
        <v>2592</v>
      </c>
      <c r="H532" t="s">
        <v>2593</v>
      </c>
      <c r="I532" t="s">
        <v>1818</v>
      </c>
      <c r="J532" t="s">
        <v>2592</v>
      </c>
      <c r="K532" t="s">
        <v>2594</v>
      </c>
      <c r="M532" t="s">
        <v>151</v>
      </c>
      <c r="N532" t="s">
        <v>154</v>
      </c>
      <c r="O532">
        <v>1</v>
      </c>
      <c r="P532">
        <v>21.9209</v>
      </c>
      <c r="Q532">
        <v>3</v>
      </c>
      <c r="R532">
        <v>21.9209</v>
      </c>
      <c r="S532">
        <v>3</v>
      </c>
      <c r="T532">
        <v>65.762699999999995</v>
      </c>
    </row>
    <row r="533" spans="1:20" x14ac:dyDescent="0.35">
      <c r="A533" t="s">
        <v>1641</v>
      </c>
      <c r="B533">
        <v>544</v>
      </c>
      <c r="D533">
        <v>45884</v>
      </c>
      <c r="F533" t="s">
        <v>142</v>
      </c>
      <c r="G533" t="s">
        <v>2595</v>
      </c>
      <c r="H533" t="s">
        <v>2596</v>
      </c>
      <c r="I533" t="s">
        <v>164</v>
      </c>
      <c r="J533" t="s">
        <v>2595</v>
      </c>
      <c r="K533" t="s">
        <v>151</v>
      </c>
      <c r="M533" t="s">
        <v>151</v>
      </c>
      <c r="N533" t="s">
        <v>154</v>
      </c>
      <c r="O533">
        <v>1</v>
      </c>
      <c r="P533">
        <v>7.1712999999999996</v>
      </c>
      <c r="Q533">
        <v>9</v>
      </c>
      <c r="R533">
        <v>7.1712999999999996</v>
      </c>
      <c r="S533">
        <v>9</v>
      </c>
      <c r="T533">
        <v>64.541699999999992</v>
      </c>
    </row>
    <row r="534" spans="1:20" x14ac:dyDescent="0.35">
      <c r="A534" t="s">
        <v>1641</v>
      </c>
      <c r="B534">
        <v>498</v>
      </c>
      <c r="D534">
        <v>45716</v>
      </c>
      <c r="F534" t="s">
        <v>142</v>
      </c>
      <c r="G534" t="s">
        <v>2597</v>
      </c>
      <c r="H534" t="s">
        <v>2598</v>
      </c>
      <c r="I534" t="s">
        <v>1852</v>
      </c>
      <c r="J534" t="s">
        <v>2597</v>
      </c>
      <c r="K534" t="s">
        <v>2599</v>
      </c>
      <c r="M534" t="s">
        <v>151</v>
      </c>
      <c r="N534" t="s">
        <v>154</v>
      </c>
      <c r="O534">
        <v>1</v>
      </c>
      <c r="P534">
        <v>32.051699999999997</v>
      </c>
      <c r="Q534">
        <v>2</v>
      </c>
      <c r="R534">
        <v>32.051699999999997</v>
      </c>
      <c r="S534">
        <v>2</v>
      </c>
      <c r="T534">
        <v>64.103399999999993</v>
      </c>
    </row>
    <row r="535" spans="1:20" x14ac:dyDescent="0.35">
      <c r="A535" t="s">
        <v>1641</v>
      </c>
      <c r="B535">
        <v>499</v>
      </c>
      <c r="D535">
        <v>45730</v>
      </c>
      <c r="F535" t="s">
        <v>142</v>
      </c>
      <c r="G535" t="s">
        <v>2600</v>
      </c>
      <c r="H535" t="s">
        <v>2601</v>
      </c>
      <c r="I535" t="s">
        <v>1852</v>
      </c>
      <c r="J535" t="s">
        <v>2600</v>
      </c>
      <c r="K535" t="s">
        <v>2602</v>
      </c>
      <c r="M535" t="s">
        <v>151</v>
      </c>
      <c r="N535" t="s">
        <v>154</v>
      </c>
      <c r="O535">
        <v>1</v>
      </c>
      <c r="P535">
        <v>32.180999999999997</v>
      </c>
      <c r="Q535">
        <v>2</v>
      </c>
      <c r="R535">
        <v>32.180999999999997</v>
      </c>
      <c r="S535">
        <v>2</v>
      </c>
      <c r="T535">
        <v>64.361999999999995</v>
      </c>
    </row>
    <row r="536" spans="1:20" x14ac:dyDescent="0.35">
      <c r="A536" t="s">
        <v>1641</v>
      </c>
      <c r="B536">
        <v>421</v>
      </c>
      <c r="D536">
        <v>45919</v>
      </c>
      <c r="F536" t="s">
        <v>142</v>
      </c>
      <c r="G536" t="s">
        <v>2603</v>
      </c>
      <c r="H536" t="s">
        <v>2604</v>
      </c>
      <c r="I536" t="s">
        <v>1653</v>
      </c>
      <c r="J536" t="s">
        <v>2603</v>
      </c>
      <c r="K536" t="s">
        <v>2605</v>
      </c>
      <c r="M536" t="s">
        <v>151</v>
      </c>
      <c r="N536" t="s">
        <v>154</v>
      </c>
      <c r="O536">
        <v>1</v>
      </c>
      <c r="P536">
        <v>5.2209000000000003</v>
      </c>
      <c r="Q536">
        <v>12</v>
      </c>
      <c r="R536">
        <v>5.2209000000000003</v>
      </c>
      <c r="S536">
        <v>12</v>
      </c>
      <c r="T536">
        <v>62.650800000000004</v>
      </c>
    </row>
    <row r="537" spans="1:20" x14ac:dyDescent="0.35">
      <c r="A537" t="s">
        <v>1641</v>
      </c>
      <c r="B537">
        <v>349</v>
      </c>
      <c r="D537">
        <v>45717</v>
      </c>
      <c r="F537" t="s">
        <v>142</v>
      </c>
      <c r="G537" t="s">
        <v>2606</v>
      </c>
      <c r="H537" t="s">
        <v>2607</v>
      </c>
      <c r="I537" t="s">
        <v>1806</v>
      </c>
      <c r="J537" t="s">
        <v>2606</v>
      </c>
      <c r="K537" t="s">
        <v>151</v>
      </c>
      <c r="M537" t="s">
        <v>151</v>
      </c>
      <c r="N537" t="s">
        <v>154</v>
      </c>
      <c r="O537">
        <v>1</v>
      </c>
      <c r="P537">
        <v>61.868299999999998</v>
      </c>
      <c r="Q537">
        <v>1</v>
      </c>
      <c r="R537">
        <v>61.868299999999998</v>
      </c>
      <c r="S537">
        <v>1</v>
      </c>
      <c r="T537">
        <v>61.868299999999998</v>
      </c>
    </row>
    <row r="538" spans="1:20" x14ac:dyDescent="0.35">
      <c r="A538" t="s">
        <v>1641</v>
      </c>
      <c r="B538">
        <v>350</v>
      </c>
      <c r="D538">
        <v>45717</v>
      </c>
      <c r="F538" t="s">
        <v>142</v>
      </c>
      <c r="G538" t="s">
        <v>2608</v>
      </c>
      <c r="H538" t="s">
        <v>2609</v>
      </c>
      <c r="I538" t="s">
        <v>1806</v>
      </c>
      <c r="J538" t="s">
        <v>2608</v>
      </c>
      <c r="K538" t="s">
        <v>151</v>
      </c>
      <c r="M538" t="s">
        <v>151</v>
      </c>
      <c r="N538" t="s">
        <v>154</v>
      </c>
      <c r="O538">
        <v>1</v>
      </c>
      <c r="P538">
        <v>61.4373</v>
      </c>
      <c r="Q538">
        <v>1</v>
      </c>
      <c r="R538">
        <v>61.4373</v>
      </c>
      <c r="S538">
        <v>1</v>
      </c>
      <c r="T538">
        <v>61.4373</v>
      </c>
    </row>
    <row r="539" spans="1:20" x14ac:dyDescent="0.35">
      <c r="A539" t="s">
        <v>1641</v>
      </c>
      <c r="B539">
        <v>352</v>
      </c>
      <c r="D539">
        <v>45818</v>
      </c>
      <c r="F539" t="s">
        <v>142</v>
      </c>
      <c r="G539" t="s">
        <v>2610</v>
      </c>
      <c r="H539" t="s">
        <v>2611</v>
      </c>
      <c r="I539" t="s">
        <v>1806</v>
      </c>
      <c r="J539" t="s">
        <v>2610</v>
      </c>
      <c r="K539" t="s">
        <v>2612</v>
      </c>
      <c r="M539" t="s">
        <v>151</v>
      </c>
      <c r="N539" t="s">
        <v>154</v>
      </c>
      <c r="O539">
        <v>1</v>
      </c>
      <c r="P539">
        <v>59.335000000000001</v>
      </c>
      <c r="Q539">
        <v>1</v>
      </c>
      <c r="R539">
        <v>59.335000000000001</v>
      </c>
      <c r="S539">
        <v>1</v>
      </c>
      <c r="T539">
        <v>59.335000000000001</v>
      </c>
    </row>
    <row r="540" spans="1:20" x14ac:dyDescent="0.35">
      <c r="A540" t="s">
        <v>1641</v>
      </c>
      <c r="B540">
        <v>275</v>
      </c>
      <c r="D540">
        <v>45754</v>
      </c>
      <c r="F540" t="s">
        <v>142</v>
      </c>
      <c r="G540" t="s">
        <v>2613</v>
      </c>
      <c r="H540" t="s">
        <v>2614</v>
      </c>
      <c r="I540" t="s">
        <v>1659</v>
      </c>
      <c r="J540" t="s">
        <v>2613</v>
      </c>
      <c r="K540" t="s">
        <v>2615</v>
      </c>
      <c r="M540" t="s">
        <v>151</v>
      </c>
      <c r="N540" t="s">
        <v>154</v>
      </c>
      <c r="O540">
        <v>1</v>
      </c>
      <c r="P540">
        <v>9.7584999999999997</v>
      </c>
      <c r="Q540">
        <v>6</v>
      </c>
      <c r="R540">
        <v>9.7584999999999997</v>
      </c>
      <c r="S540">
        <v>6</v>
      </c>
      <c r="T540">
        <v>58.551000000000002</v>
      </c>
    </row>
    <row r="541" spans="1:20" x14ac:dyDescent="0.35">
      <c r="A541" t="s">
        <v>1641</v>
      </c>
      <c r="B541">
        <v>220</v>
      </c>
      <c r="D541">
        <v>45796</v>
      </c>
      <c r="F541" t="s">
        <v>142</v>
      </c>
      <c r="G541" t="s">
        <v>2616</v>
      </c>
      <c r="H541" t="s">
        <v>2617</v>
      </c>
      <c r="I541" t="s">
        <v>1714</v>
      </c>
      <c r="J541" t="s">
        <v>2616</v>
      </c>
      <c r="K541" t="s">
        <v>2618</v>
      </c>
      <c r="M541" t="s">
        <v>151</v>
      </c>
      <c r="N541" t="s">
        <v>1666</v>
      </c>
      <c r="O541">
        <v>1</v>
      </c>
      <c r="P541">
        <v>19.320499999999999</v>
      </c>
      <c r="Q541">
        <v>3</v>
      </c>
      <c r="R541">
        <v>19.320499999999999</v>
      </c>
      <c r="S541">
        <v>3</v>
      </c>
      <c r="T541">
        <v>57.961500000000001</v>
      </c>
    </row>
    <row r="542" spans="1:20" x14ac:dyDescent="0.35">
      <c r="A542" t="s">
        <v>1641</v>
      </c>
      <c r="B542">
        <v>58</v>
      </c>
      <c r="D542">
        <v>45778</v>
      </c>
      <c r="F542" t="s">
        <v>142</v>
      </c>
      <c r="G542" t="s">
        <v>2619</v>
      </c>
      <c r="H542" t="s">
        <v>2620</v>
      </c>
      <c r="I542" t="s">
        <v>1683</v>
      </c>
      <c r="J542" t="s">
        <v>2619</v>
      </c>
      <c r="K542" t="s">
        <v>2621</v>
      </c>
      <c r="M542" t="s">
        <v>151</v>
      </c>
      <c r="N542" t="s">
        <v>213</v>
      </c>
      <c r="O542">
        <v>1</v>
      </c>
      <c r="P542">
        <v>57.9801</v>
      </c>
      <c r="Q542">
        <v>1</v>
      </c>
      <c r="R542">
        <v>57.9801</v>
      </c>
      <c r="S542">
        <v>1</v>
      </c>
      <c r="T542">
        <v>57.9801</v>
      </c>
    </row>
    <row r="543" spans="1:20" x14ac:dyDescent="0.35">
      <c r="A543" t="s">
        <v>1641</v>
      </c>
      <c r="B543">
        <v>59</v>
      </c>
      <c r="D543">
        <v>45778</v>
      </c>
      <c r="F543" t="s">
        <v>142</v>
      </c>
      <c r="G543" t="s">
        <v>2622</v>
      </c>
      <c r="H543" t="s">
        <v>2623</v>
      </c>
      <c r="I543" t="s">
        <v>1683</v>
      </c>
      <c r="J543" t="s">
        <v>2622</v>
      </c>
      <c r="K543" t="s">
        <v>2624</v>
      </c>
      <c r="M543" t="s">
        <v>151</v>
      </c>
      <c r="N543" t="s">
        <v>213</v>
      </c>
      <c r="O543">
        <v>1</v>
      </c>
      <c r="P543">
        <v>57.871099999999998</v>
      </c>
      <c r="Q543">
        <v>1</v>
      </c>
      <c r="R543">
        <v>57.871099999999998</v>
      </c>
      <c r="S543">
        <v>1</v>
      </c>
      <c r="T543">
        <v>57.871099999999998</v>
      </c>
    </row>
    <row r="544" spans="1:20" x14ac:dyDescent="0.35">
      <c r="A544" t="s">
        <v>1641</v>
      </c>
      <c r="B544">
        <v>60</v>
      </c>
      <c r="D544">
        <v>45778</v>
      </c>
      <c r="F544" t="s">
        <v>142</v>
      </c>
      <c r="G544" t="s">
        <v>2625</v>
      </c>
      <c r="H544" t="s">
        <v>2626</v>
      </c>
      <c r="I544" t="s">
        <v>1683</v>
      </c>
      <c r="J544" t="s">
        <v>2625</v>
      </c>
      <c r="K544" t="s">
        <v>2627</v>
      </c>
      <c r="M544" t="s">
        <v>151</v>
      </c>
      <c r="N544" t="s">
        <v>1650</v>
      </c>
      <c r="O544">
        <v>1</v>
      </c>
      <c r="P544">
        <v>57.627099999999999</v>
      </c>
      <c r="Q544">
        <v>1</v>
      </c>
      <c r="R544">
        <v>57.627099999999999</v>
      </c>
      <c r="S544">
        <v>1</v>
      </c>
      <c r="T544">
        <v>57.627099999999999</v>
      </c>
    </row>
    <row r="545" spans="1:20" x14ac:dyDescent="0.35">
      <c r="A545" t="s">
        <v>1641</v>
      </c>
      <c r="B545">
        <v>76</v>
      </c>
      <c r="D545">
        <v>45770</v>
      </c>
      <c r="F545" t="s">
        <v>142</v>
      </c>
      <c r="G545" t="s">
        <v>2628</v>
      </c>
      <c r="H545" t="s">
        <v>2629</v>
      </c>
      <c r="I545" t="s">
        <v>1683</v>
      </c>
      <c r="J545" t="s">
        <v>2628</v>
      </c>
      <c r="K545" t="s">
        <v>151</v>
      </c>
      <c r="M545" t="s">
        <v>151</v>
      </c>
      <c r="N545" t="s">
        <v>154</v>
      </c>
      <c r="O545">
        <v>1</v>
      </c>
      <c r="P545">
        <v>57.905799999999999</v>
      </c>
      <c r="Q545">
        <v>1</v>
      </c>
      <c r="R545">
        <v>57.905799999999999</v>
      </c>
      <c r="S545">
        <v>1</v>
      </c>
      <c r="T545">
        <v>57.905799999999999</v>
      </c>
    </row>
    <row r="546" spans="1:20" x14ac:dyDescent="0.35">
      <c r="A546" t="s">
        <v>1641</v>
      </c>
      <c r="B546">
        <v>106</v>
      </c>
      <c r="D546">
        <v>45919</v>
      </c>
      <c r="F546" t="s">
        <v>142</v>
      </c>
      <c r="G546" t="s">
        <v>2630</v>
      </c>
      <c r="H546" t="s">
        <v>2631</v>
      </c>
      <c r="I546" t="s">
        <v>1671</v>
      </c>
      <c r="J546" t="s">
        <v>2630</v>
      </c>
      <c r="K546" t="s">
        <v>2632</v>
      </c>
      <c r="M546" t="s">
        <v>151</v>
      </c>
      <c r="N546" t="s">
        <v>213</v>
      </c>
      <c r="O546">
        <v>1</v>
      </c>
      <c r="P546">
        <v>1.5933999999999999</v>
      </c>
      <c r="Q546">
        <v>36</v>
      </c>
      <c r="R546">
        <v>1.5933999999999999</v>
      </c>
      <c r="S546">
        <v>36</v>
      </c>
      <c r="T546">
        <v>57.362399999999994</v>
      </c>
    </row>
    <row r="547" spans="1:20" x14ac:dyDescent="0.35">
      <c r="A547" t="s">
        <v>1641</v>
      </c>
      <c r="B547">
        <v>43</v>
      </c>
      <c r="D547">
        <v>45891</v>
      </c>
      <c r="F547" t="s">
        <v>142</v>
      </c>
      <c r="G547" t="s">
        <v>2633</v>
      </c>
      <c r="H547" t="s">
        <v>2634</v>
      </c>
      <c r="I547" t="s">
        <v>1647</v>
      </c>
      <c r="J547" t="s">
        <v>2633</v>
      </c>
      <c r="K547" t="s">
        <v>2635</v>
      </c>
      <c r="M547" t="s">
        <v>151</v>
      </c>
      <c r="N547" t="s">
        <v>154</v>
      </c>
      <c r="O547">
        <v>1</v>
      </c>
      <c r="P547">
        <v>2.778</v>
      </c>
      <c r="Q547">
        <v>20</v>
      </c>
      <c r="R547">
        <v>2.778</v>
      </c>
      <c r="S547">
        <v>20</v>
      </c>
      <c r="T547">
        <v>55.56</v>
      </c>
    </row>
    <row r="548" spans="1:20" x14ac:dyDescent="0.35">
      <c r="A548" t="s">
        <v>1641</v>
      </c>
      <c r="B548">
        <v>353</v>
      </c>
      <c r="D548">
        <v>45692</v>
      </c>
      <c r="F548" t="s">
        <v>142</v>
      </c>
      <c r="G548" t="s">
        <v>2636</v>
      </c>
      <c r="H548" t="s">
        <v>2637</v>
      </c>
      <c r="I548" t="s">
        <v>1806</v>
      </c>
      <c r="J548" t="s">
        <v>2636</v>
      </c>
      <c r="K548" t="s">
        <v>2638</v>
      </c>
      <c r="M548" t="s">
        <v>151</v>
      </c>
      <c r="N548" t="s">
        <v>154</v>
      </c>
      <c r="O548">
        <v>1</v>
      </c>
      <c r="P548">
        <v>55.361600000000003</v>
      </c>
      <c r="Q548">
        <v>1</v>
      </c>
      <c r="R548">
        <v>55.361600000000003</v>
      </c>
      <c r="S548">
        <v>1</v>
      </c>
      <c r="T548">
        <v>55.361600000000003</v>
      </c>
    </row>
    <row r="549" spans="1:20" x14ac:dyDescent="0.35">
      <c r="A549" t="s">
        <v>1641</v>
      </c>
      <c r="B549">
        <v>240</v>
      </c>
      <c r="D549">
        <v>45705</v>
      </c>
      <c r="F549" t="s">
        <v>142</v>
      </c>
      <c r="G549" t="s">
        <v>2639</v>
      </c>
      <c r="H549" t="s">
        <v>2640</v>
      </c>
      <c r="I549" t="s">
        <v>2641</v>
      </c>
      <c r="J549" t="s">
        <v>2639</v>
      </c>
      <c r="K549" t="s">
        <v>151</v>
      </c>
      <c r="N549" t="s">
        <v>213</v>
      </c>
      <c r="O549">
        <v>1</v>
      </c>
      <c r="P549">
        <v>4.2656999999999998</v>
      </c>
      <c r="Q549">
        <v>12</v>
      </c>
      <c r="R549">
        <v>4.2656999999999998</v>
      </c>
      <c r="S549">
        <v>12</v>
      </c>
      <c r="T549">
        <v>51.188400000000001</v>
      </c>
    </row>
    <row r="550" spans="1:20" x14ac:dyDescent="0.35">
      <c r="A550" t="s">
        <v>1641</v>
      </c>
      <c r="B550">
        <v>183</v>
      </c>
      <c r="D550">
        <v>45884</v>
      </c>
      <c r="F550" t="s">
        <v>142</v>
      </c>
      <c r="G550" t="s">
        <v>2642</v>
      </c>
      <c r="H550" t="s">
        <v>2643</v>
      </c>
      <c r="I550" t="s">
        <v>1655</v>
      </c>
      <c r="J550" t="s">
        <v>2642</v>
      </c>
      <c r="K550" t="s">
        <v>2644</v>
      </c>
      <c r="N550" t="s">
        <v>154</v>
      </c>
      <c r="O550">
        <v>1</v>
      </c>
      <c r="P550">
        <v>49.772599999999997</v>
      </c>
      <c r="Q550">
        <v>1</v>
      </c>
      <c r="R550">
        <v>49.772599999999997</v>
      </c>
      <c r="S550">
        <v>1</v>
      </c>
      <c r="T550">
        <v>49.772599999999997</v>
      </c>
    </row>
    <row r="551" spans="1:20" x14ac:dyDescent="0.35">
      <c r="A551" t="s">
        <v>1641</v>
      </c>
      <c r="B551">
        <v>377</v>
      </c>
      <c r="D551">
        <v>45757</v>
      </c>
      <c r="F551" t="s">
        <v>142</v>
      </c>
      <c r="G551" t="s">
        <v>2645</v>
      </c>
      <c r="H551" t="s">
        <v>2646</v>
      </c>
      <c r="I551" t="s">
        <v>1678</v>
      </c>
      <c r="J551" t="s">
        <v>2645</v>
      </c>
      <c r="K551" t="s">
        <v>2647</v>
      </c>
      <c r="M551" t="s">
        <v>151</v>
      </c>
      <c r="N551" t="s">
        <v>213</v>
      </c>
      <c r="O551">
        <v>1</v>
      </c>
      <c r="P551">
        <v>49.291499999999999</v>
      </c>
      <c r="Q551">
        <v>1</v>
      </c>
      <c r="R551">
        <v>49.291499999999999</v>
      </c>
      <c r="S551">
        <v>1</v>
      </c>
      <c r="T551">
        <v>49.291499999999999</v>
      </c>
    </row>
    <row r="552" spans="1:20" x14ac:dyDescent="0.35">
      <c r="A552" t="s">
        <v>1641</v>
      </c>
      <c r="B552">
        <v>39</v>
      </c>
      <c r="D552">
        <v>45806</v>
      </c>
      <c r="F552" t="s">
        <v>142</v>
      </c>
      <c r="G552" t="s">
        <v>2648</v>
      </c>
      <c r="H552" t="s">
        <v>2649</v>
      </c>
      <c r="I552" t="s">
        <v>1647</v>
      </c>
      <c r="J552" t="s">
        <v>2648</v>
      </c>
      <c r="K552" t="s">
        <v>151</v>
      </c>
      <c r="M552" t="s">
        <v>151</v>
      </c>
      <c r="N552" t="s">
        <v>1794</v>
      </c>
      <c r="O552">
        <v>1</v>
      </c>
      <c r="P552">
        <v>48.461399999999998</v>
      </c>
      <c r="Q552">
        <v>1</v>
      </c>
      <c r="R552">
        <v>48.461399999999998</v>
      </c>
      <c r="S552">
        <v>1</v>
      </c>
      <c r="T552">
        <v>48.461399999999998</v>
      </c>
    </row>
    <row r="553" spans="1:20" x14ac:dyDescent="0.35">
      <c r="A553" t="s">
        <v>1641</v>
      </c>
      <c r="B553">
        <v>428</v>
      </c>
      <c r="D553">
        <v>45810</v>
      </c>
      <c r="F553" t="s">
        <v>142</v>
      </c>
      <c r="G553" t="s">
        <v>2650</v>
      </c>
      <c r="H553" t="s">
        <v>2651</v>
      </c>
      <c r="I553" t="s">
        <v>1653</v>
      </c>
      <c r="J553" t="s">
        <v>2650</v>
      </c>
      <c r="K553" t="s">
        <v>2652</v>
      </c>
      <c r="M553" t="s">
        <v>151</v>
      </c>
      <c r="N553" t="s">
        <v>154</v>
      </c>
      <c r="O553">
        <v>1</v>
      </c>
      <c r="P553">
        <v>1.3149999999999999</v>
      </c>
      <c r="Q553">
        <v>36</v>
      </c>
      <c r="R553">
        <v>1.3149999999999999</v>
      </c>
      <c r="S553">
        <v>36</v>
      </c>
      <c r="T553">
        <v>47.339999999999996</v>
      </c>
    </row>
    <row r="554" spans="1:20" x14ac:dyDescent="0.35">
      <c r="A554" t="s">
        <v>1641</v>
      </c>
      <c r="B554">
        <v>117</v>
      </c>
      <c r="D554">
        <v>45775</v>
      </c>
      <c r="F554" t="s">
        <v>142</v>
      </c>
      <c r="G554" t="s">
        <v>2653</v>
      </c>
      <c r="H554" t="s">
        <v>2654</v>
      </c>
      <c r="I554" t="s">
        <v>1894</v>
      </c>
      <c r="J554" t="s">
        <v>2653</v>
      </c>
      <c r="K554" t="s">
        <v>2655</v>
      </c>
      <c r="M554" t="s">
        <v>151</v>
      </c>
      <c r="N554" t="s">
        <v>154</v>
      </c>
      <c r="O554">
        <v>1</v>
      </c>
      <c r="P554">
        <v>7.8379000000000003</v>
      </c>
      <c r="Q554">
        <v>6</v>
      </c>
      <c r="R554">
        <v>7.8379000000000003</v>
      </c>
      <c r="S554">
        <v>6</v>
      </c>
      <c r="T554">
        <v>47.0274</v>
      </c>
    </row>
    <row r="555" spans="1:20" x14ac:dyDescent="0.35">
      <c r="A555" t="s">
        <v>1641</v>
      </c>
      <c r="B555">
        <v>54</v>
      </c>
      <c r="D555">
        <v>45743</v>
      </c>
      <c r="F555" t="s">
        <v>142</v>
      </c>
      <c r="G555" t="s">
        <v>2656</v>
      </c>
      <c r="H555" t="s">
        <v>2657</v>
      </c>
      <c r="I555" t="s">
        <v>2658</v>
      </c>
      <c r="J555" t="s">
        <v>2656</v>
      </c>
      <c r="K555" t="s">
        <v>2659</v>
      </c>
      <c r="M555" t="s">
        <v>151</v>
      </c>
      <c r="N555" t="s">
        <v>172</v>
      </c>
      <c r="O555">
        <v>1</v>
      </c>
      <c r="P555">
        <v>46.952100000000002</v>
      </c>
      <c r="Q555">
        <v>1</v>
      </c>
      <c r="R555">
        <v>46.952100000000002</v>
      </c>
      <c r="S555">
        <v>1</v>
      </c>
      <c r="T555">
        <v>46.952100000000002</v>
      </c>
    </row>
    <row r="556" spans="1:20" x14ac:dyDescent="0.35">
      <c r="A556" t="s">
        <v>1641</v>
      </c>
      <c r="B556">
        <v>358</v>
      </c>
      <c r="D556">
        <v>45861</v>
      </c>
      <c r="F556" t="s">
        <v>142</v>
      </c>
      <c r="G556" t="s">
        <v>2660</v>
      </c>
      <c r="H556" t="s">
        <v>2661</v>
      </c>
      <c r="I556" t="s">
        <v>1806</v>
      </c>
      <c r="J556" t="s">
        <v>2660</v>
      </c>
      <c r="K556" t="s">
        <v>2662</v>
      </c>
      <c r="M556" t="s">
        <v>151</v>
      </c>
      <c r="N556" t="s">
        <v>154</v>
      </c>
      <c r="O556">
        <v>1</v>
      </c>
      <c r="P556">
        <v>45.447200000000002</v>
      </c>
      <c r="Q556">
        <v>1</v>
      </c>
      <c r="R556">
        <v>45.447200000000002</v>
      </c>
      <c r="S556">
        <v>1</v>
      </c>
      <c r="T556">
        <v>45.447200000000002</v>
      </c>
    </row>
    <row r="557" spans="1:20" x14ac:dyDescent="0.35">
      <c r="A557" t="s">
        <v>1641</v>
      </c>
      <c r="B557">
        <v>452</v>
      </c>
      <c r="D557">
        <v>45877</v>
      </c>
      <c r="F557" t="s">
        <v>142</v>
      </c>
      <c r="G557" t="s">
        <v>2663</v>
      </c>
      <c r="H557" t="s">
        <v>2664</v>
      </c>
      <c r="I557" t="s">
        <v>1653</v>
      </c>
      <c r="J557" t="s">
        <v>2663</v>
      </c>
      <c r="K557" t="s">
        <v>2665</v>
      </c>
      <c r="M557" t="s">
        <v>151</v>
      </c>
      <c r="N557" t="s">
        <v>154</v>
      </c>
      <c r="O557">
        <v>1</v>
      </c>
      <c r="P557">
        <v>7.5077999999999996</v>
      </c>
      <c r="Q557">
        <v>6</v>
      </c>
      <c r="R557">
        <v>7.5077999999999996</v>
      </c>
      <c r="S557">
        <v>6</v>
      </c>
      <c r="T557">
        <v>45.046799999999998</v>
      </c>
    </row>
    <row r="558" spans="1:20" x14ac:dyDescent="0.35">
      <c r="A558" t="s">
        <v>1641</v>
      </c>
      <c r="B558">
        <v>345</v>
      </c>
      <c r="D558">
        <v>45929</v>
      </c>
      <c r="F558" t="s">
        <v>142</v>
      </c>
      <c r="G558" t="s">
        <v>2666</v>
      </c>
      <c r="H558" t="s">
        <v>2667</v>
      </c>
      <c r="I558" t="s">
        <v>1806</v>
      </c>
      <c r="J558" t="s">
        <v>2666</v>
      </c>
      <c r="K558" t="s">
        <v>2668</v>
      </c>
      <c r="M558" t="s">
        <v>151</v>
      </c>
      <c r="N558" t="s">
        <v>154</v>
      </c>
      <c r="O558">
        <v>1</v>
      </c>
      <c r="P558">
        <v>44.672899999999998</v>
      </c>
      <c r="Q558">
        <v>1</v>
      </c>
      <c r="R558">
        <v>44.672899999999998</v>
      </c>
      <c r="S558">
        <v>1</v>
      </c>
      <c r="T558">
        <v>44.672899999999998</v>
      </c>
    </row>
    <row r="559" spans="1:20" x14ac:dyDescent="0.35">
      <c r="A559" t="s">
        <v>1641</v>
      </c>
      <c r="B559">
        <v>116</v>
      </c>
      <c r="D559">
        <v>45926</v>
      </c>
      <c r="F559" t="s">
        <v>142</v>
      </c>
      <c r="G559" t="s">
        <v>2669</v>
      </c>
      <c r="H559" t="s">
        <v>2670</v>
      </c>
      <c r="I559" t="s">
        <v>1894</v>
      </c>
      <c r="J559" t="s">
        <v>2669</v>
      </c>
      <c r="K559" t="s">
        <v>2671</v>
      </c>
      <c r="M559" t="s">
        <v>151</v>
      </c>
      <c r="N559" t="s">
        <v>154</v>
      </c>
      <c r="O559">
        <v>1</v>
      </c>
      <c r="P559">
        <v>3.6038999999999999</v>
      </c>
      <c r="Q559">
        <v>12</v>
      </c>
      <c r="R559">
        <v>3.6038999999999999</v>
      </c>
      <c r="S559">
        <v>12</v>
      </c>
      <c r="T559">
        <v>43.2468</v>
      </c>
    </row>
    <row r="560" spans="1:20" x14ac:dyDescent="0.35">
      <c r="A560" t="s">
        <v>1641</v>
      </c>
      <c r="B560">
        <v>169</v>
      </c>
      <c r="D560">
        <v>45905</v>
      </c>
      <c r="F560" t="s">
        <v>142</v>
      </c>
      <c r="G560" t="s">
        <v>2672</v>
      </c>
      <c r="H560" t="s">
        <v>2673</v>
      </c>
      <c r="I560" t="s">
        <v>2674</v>
      </c>
      <c r="J560" t="s">
        <v>2672</v>
      </c>
      <c r="K560" t="s">
        <v>2675</v>
      </c>
      <c r="N560" t="s">
        <v>154</v>
      </c>
      <c r="O560">
        <v>1</v>
      </c>
      <c r="P560">
        <v>4.2160000000000002</v>
      </c>
      <c r="Q560">
        <v>10</v>
      </c>
      <c r="R560">
        <v>4.2160000000000002</v>
      </c>
      <c r="S560">
        <v>10</v>
      </c>
      <c r="T560">
        <v>42.160000000000004</v>
      </c>
    </row>
    <row r="561" spans="1:20" x14ac:dyDescent="0.35">
      <c r="A561" t="s">
        <v>1641</v>
      </c>
      <c r="B561">
        <v>393</v>
      </c>
      <c r="D561">
        <v>45839</v>
      </c>
      <c r="F561" t="s">
        <v>142</v>
      </c>
      <c r="G561" t="s">
        <v>2676</v>
      </c>
      <c r="H561" t="s">
        <v>2677</v>
      </c>
      <c r="I561" t="s">
        <v>1678</v>
      </c>
      <c r="J561" t="s">
        <v>2676</v>
      </c>
      <c r="K561" t="s">
        <v>2678</v>
      </c>
      <c r="M561" t="s">
        <v>151</v>
      </c>
      <c r="N561" t="s">
        <v>213</v>
      </c>
      <c r="O561">
        <v>1</v>
      </c>
      <c r="P561">
        <v>3.4611000000000001</v>
      </c>
      <c r="Q561">
        <v>12</v>
      </c>
      <c r="R561">
        <v>3.4611000000000001</v>
      </c>
      <c r="S561">
        <v>12</v>
      </c>
      <c r="T561">
        <v>41.533200000000001</v>
      </c>
    </row>
    <row r="562" spans="1:20" x14ac:dyDescent="0.35">
      <c r="A562" t="s">
        <v>1641</v>
      </c>
      <c r="B562">
        <v>398</v>
      </c>
      <c r="D562">
        <v>45926</v>
      </c>
      <c r="F562" t="s">
        <v>142</v>
      </c>
      <c r="G562" t="s">
        <v>2679</v>
      </c>
      <c r="H562" t="s">
        <v>2680</v>
      </c>
      <c r="I562" t="s">
        <v>1678</v>
      </c>
      <c r="J562" t="s">
        <v>2679</v>
      </c>
      <c r="K562" t="s">
        <v>2681</v>
      </c>
      <c r="M562" t="s">
        <v>151</v>
      </c>
      <c r="N562" t="s">
        <v>1666</v>
      </c>
      <c r="O562">
        <v>1</v>
      </c>
      <c r="P562">
        <v>13.8247</v>
      </c>
      <c r="Q562">
        <v>3</v>
      </c>
      <c r="R562">
        <v>13.8247</v>
      </c>
      <c r="S562">
        <v>3</v>
      </c>
      <c r="T562">
        <v>41.4741</v>
      </c>
    </row>
    <row r="563" spans="1:20" x14ac:dyDescent="0.35">
      <c r="A563" t="s">
        <v>1641</v>
      </c>
      <c r="B563">
        <v>467</v>
      </c>
      <c r="D563">
        <v>45821</v>
      </c>
      <c r="F563" t="s">
        <v>142</v>
      </c>
      <c r="G563" t="s">
        <v>2682</v>
      </c>
      <c r="H563" t="s">
        <v>2683</v>
      </c>
      <c r="I563" t="s">
        <v>1653</v>
      </c>
      <c r="J563" t="s">
        <v>2682</v>
      </c>
      <c r="K563" t="s">
        <v>2684</v>
      </c>
      <c r="M563" t="s">
        <v>151</v>
      </c>
      <c r="N563" t="s">
        <v>213</v>
      </c>
      <c r="O563">
        <v>1</v>
      </c>
      <c r="P563">
        <v>20.571400000000001</v>
      </c>
      <c r="Q563">
        <v>2</v>
      </c>
      <c r="R563">
        <v>20.571400000000001</v>
      </c>
      <c r="S563">
        <v>2</v>
      </c>
      <c r="T563">
        <v>41.142800000000001</v>
      </c>
    </row>
    <row r="564" spans="1:20" x14ac:dyDescent="0.35">
      <c r="A564" t="s">
        <v>1641</v>
      </c>
      <c r="B564">
        <v>592</v>
      </c>
      <c r="D564">
        <v>45825</v>
      </c>
      <c r="F564" t="s">
        <v>142</v>
      </c>
      <c r="G564" t="s">
        <v>2685</v>
      </c>
      <c r="H564" t="s">
        <v>2686</v>
      </c>
      <c r="I564" t="s">
        <v>1823</v>
      </c>
      <c r="J564" t="s">
        <v>2685</v>
      </c>
      <c r="K564" t="s">
        <v>2687</v>
      </c>
      <c r="M564" t="s">
        <v>151</v>
      </c>
      <c r="N564" t="s">
        <v>213</v>
      </c>
      <c r="O564">
        <v>1</v>
      </c>
      <c r="P564">
        <v>20.3872</v>
      </c>
      <c r="Q564">
        <v>2</v>
      </c>
      <c r="R564">
        <v>20.3872</v>
      </c>
      <c r="S564">
        <v>2</v>
      </c>
      <c r="T564">
        <v>40.7744</v>
      </c>
    </row>
    <row r="565" spans="1:20" x14ac:dyDescent="0.35">
      <c r="A565" t="s">
        <v>1641</v>
      </c>
      <c r="B565">
        <v>453</v>
      </c>
      <c r="D565">
        <v>45877</v>
      </c>
      <c r="F565" t="s">
        <v>142</v>
      </c>
      <c r="G565" t="s">
        <v>2688</v>
      </c>
      <c r="H565" t="s">
        <v>2689</v>
      </c>
      <c r="I565" t="s">
        <v>1653</v>
      </c>
      <c r="J565" t="s">
        <v>2688</v>
      </c>
      <c r="K565" t="s">
        <v>2690</v>
      </c>
      <c r="M565" t="s">
        <v>151</v>
      </c>
      <c r="N565" t="s">
        <v>154</v>
      </c>
      <c r="O565">
        <v>1</v>
      </c>
      <c r="P565">
        <v>6.6501999999999999</v>
      </c>
      <c r="Q565">
        <v>6</v>
      </c>
      <c r="R565">
        <v>6.6501999999999999</v>
      </c>
      <c r="S565">
        <v>6</v>
      </c>
      <c r="T565">
        <v>39.901200000000003</v>
      </c>
    </row>
    <row r="566" spans="1:20" x14ac:dyDescent="0.35">
      <c r="A566" t="s">
        <v>1641</v>
      </c>
      <c r="B566">
        <v>454</v>
      </c>
      <c r="D566">
        <v>45877</v>
      </c>
      <c r="F566" t="s">
        <v>142</v>
      </c>
      <c r="G566" t="s">
        <v>2691</v>
      </c>
      <c r="H566" t="s">
        <v>2692</v>
      </c>
      <c r="I566" t="s">
        <v>1653</v>
      </c>
      <c r="J566" t="s">
        <v>2691</v>
      </c>
      <c r="K566" t="s">
        <v>2693</v>
      </c>
      <c r="M566" t="s">
        <v>151</v>
      </c>
      <c r="N566" t="s">
        <v>154</v>
      </c>
      <c r="O566">
        <v>1</v>
      </c>
      <c r="P566">
        <v>6.6180000000000003</v>
      </c>
      <c r="Q566">
        <v>6</v>
      </c>
      <c r="R566">
        <v>6.6180000000000003</v>
      </c>
      <c r="S566">
        <v>6</v>
      </c>
      <c r="T566">
        <v>39.707999999999998</v>
      </c>
    </row>
    <row r="567" spans="1:20" x14ac:dyDescent="0.35">
      <c r="A567" t="s">
        <v>1641</v>
      </c>
      <c r="B567">
        <v>455</v>
      </c>
      <c r="D567">
        <v>45877</v>
      </c>
      <c r="F567" t="s">
        <v>142</v>
      </c>
      <c r="G567" t="s">
        <v>2694</v>
      </c>
      <c r="H567" t="s">
        <v>2695</v>
      </c>
      <c r="I567" t="s">
        <v>1653</v>
      </c>
      <c r="J567" t="s">
        <v>2694</v>
      </c>
      <c r="K567" t="s">
        <v>2696</v>
      </c>
      <c r="M567" t="s">
        <v>151</v>
      </c>
      <c r="N567" t="s">
        <v>154</v>
      </c>
      <c r="O567">
        <v>1</v>
      </c>
      <c r="P567">
        <v>6.6578999999999997</v>
      </c>
      <c r="Q567">
        <v>6</v>
      </c>
      <c r="R567">
        <v>6.6578999999999997</v>
      </c>
      <c r="S567">
        <v>6</v>
      </c>
      <c r="T567">
        <v>39.947400000000002</v>
      </c>
    </row>
    <row r="568" spans="1:20" x14ac:dyDescent="0.35">
      <c r="A568" t="s">
        <v>1641</v>
      </c>
      <c r="B568">
        <v>456</v>
      </c>
      <c r="D568">
        <v>45877</v>
      </c>
      <c r="F568" t="s">
        <v>142</v>
      </c>
      <c r="G568" t="s">
        <v>2697</v>
      </c>
      <c r="H568" t="s">
        <v>2698</v>
      </c>
      <c r="I568" t="s">
        <v>1653</v>
      </c>
      <c r="J568" t="s">
        <v>2697</v>
      </c>
      <c r="K568" t="s">
        <v>2699</v>
      </c>
      <c r="M568" t="s">
        <v>151</v>
      </c>
      <c r="N568" t="s">
        <v>154</v>
      </c>
      <c r="O568">
        <v>1</v>
      </c>
      <c r="P568">
        <v>6.6227999999999998</v>
      </c>
      <c r="Q568">
        <v>6</v>
      </c>
      <c r="R568">
        <v>6.6227999999999998</v>
      </c>
      <c r="S568">
        <v>6</v>
      </c>
      <c r="T568">
        <v>39.736800000000002</v>
      </c>
    </row>
    <row r="569" spans="1:20" x14ac:dyDescent="0.35">
      <c r="A569" t="s">
        <v>1641</v>
      </c>
      <c r="B569">
        <v>279</v>
      </c>
      <c r="D569">
        <v>45882</v>
      </c>
      <c r="F569" t="s">
        <v>142</v>
      </c>
      <c r="G569" t="s">
        <v>2700</v>
      </c>
      <c r="H569" t="s">
        <v>2701</v>
      </c>
      <c r="I569" t="s">
        <v>1659</v>
      </c>
      <c r="J569" t="s">
        <v>2700</v>
      </c>
      <c r="K569" t="s">
        <v>2702</v>
      </c>
      <c r="M569" t="s">
        <v>151</v>
      </c>
      <c r="N569" t="s">
        <v>154</v>
      </c>
      <c r="O569">
        <v>1</v>
      </c>
      <c r="P569">
        <v>19.9254</v>
      </c>
      <c r="Q569">
        <v>2</v>
      </c>
      <c r="R569">
        <v>19.9254</v>
      </c>
      <c r="S569">
        <v>2</v>
      </c>
      <c r="T569">
        <v>39.8508</v>
      </c>
    </row>
    <row r="570" spans="1:20" x14ac:dyDescent="0.35">
      <c r="A570" t="s">
        <v>1641</v>
      </c>
      <c r="B570">
        <v>221</v>
      </c>
      <c r="D570">
        <v>45737</v>
      </c>
      <c r="F570" t="s">
        <v>142</v>
      </c>
      <c r="G570" t="s">
        <v>2703</v>
      </c>
      <c r="H570" t="s">
        <v>2704</v>
      </c>
      <c r="I570" t="s">
        <v>1714</v>
      </c>
      <c r="J570" t="s">
        <v>2703</v>
      </c>
      <c r="K570" t="s">
        <v>2618</v>
      </c>
      <c r="M570" t="s">
        <v>151</v>
      </c>
      <c r="N570" t="s">
        <v>1666</v>
      </c>
      <c r="O570">
        <v>1</v>
      </c>
      <c r="P570">
        <v>19.279800000000002</v>
      </c>
      <c r="Q570">
        <v>2</v>
      </c>
      <c r="R570">
        <v>19.279800000000002</v>
      </c>
      <c r="S570">
        <v>2</v>
      </c>
      <c r="T570">
        <v>38.559600000000003</v>
      </c>
    </row>
    <row r="571" spans="1:20" x14ac:dyDescent="0.35">
      <c r="A571" t="s">
        <v>1641</v>
      </c>
      <c r="B571">
        <v>110</v>
      </c>
      <c r="D571">
        <v>45772</v>
      </c>
      <c r="F571" t="s">
        <v>142</v>
      </c>
      <c r="G571" t="s">
        <v>2705</v>
      </c>
      <c r="H571" t="s">
        <v>2706</v>
      </c>
      <c r="I571" t="s">
        <v>2515</v>
      </c>
      <c r="J571" t="s">
        <v>2705</v>
      </c>
      <c r="K571" t="s">
        <v>2707</v>
      </c>
      <c r="M571" t="s">
        <v>151</v>
      </c>
      <c r="N571" t="s">
        <v>213</v>
      </c>
      <c r="O571">
        <v>1</v>
      </c>
      <c r="P571">
        <v>9.6159999999999997</v>
      </c>
      <c r="Q571">
        <v>4</v>
      </c>
      <c r="R571">
        <v>9.6159999999999997</v>
      </c>
      <c r="S571">
        <v>4</v>
      </c>
      <c r="T571">
        <v>38.463999999999999</v>
      </c>
    </row>
    <row r="572" spans="1:20" x14ac:dyDescent="0.35">
      <c r="A572" t="s">
        <v>1641</v>
      </c>
      <c r="B572">
        <v>283</v>
      </c>
      <c r="D572">
        <v>45870</v>
      </c>
      <c r="F572" t="s">
        <v>142</v>
      </c>
      <c r="G572" t="s">
        <v>2708</v>
      </c>
      <c r="H572" t="s">
        <v>2709</v>
      </c>
      <c r="I572" t="s">
        <v>1659</v>
      </c>
      <c r="J572" t="s">
        <v>2708</v>
      </c>
      <c r="K572" t="s">
        <v>151</v>
      </c>
      <c r="M572" t="s">
        <v>151</v>
      </c>
      <c r="N572" t="s">
        <v>154</v>
      </c>
      <c r="O572">
        <v>1</v>
      </c>
      <c r="P572">
        <v>19.206600000000002</v>
      </c>
      <c r="Q572">
        <v>2</v>
      </c>
      <c r="R572">
        <v>19.206600000000002</v>
      </c>
      <c r="S572">
        <v>2</v>
      </c>
      <c r="T572">
        <v>38.413200000000003</v>
      </c>
    </row>
    <row r="573" spans="1:20" x14ac:dyDescent="0.35">
      <c r="A573" t="s">
        <v>1641</v>
      </c>
      <c r="B573">
        <v>343</v>
      </c>
      <c r="D573">
        <v>45867</v>
      </c>
      <c r="F573" t="s">
        <v>142</v>
      </c>
      <c r="G573" t="s">
        <v>2710</v>
      </c>
      <c r="H573" t="s">
        <v>2711</v>
      </c>
      <c r="I573" t="s">
        <v>1806</v>
      </c>
      <c r="J573" t="s">
        <v>2710</v>
      </c>
      <c r="K573" t="s">
        <v>2712</v>
      </c>
      <c r="M573" t="s">
        <v>151</v>
      </c>
      <c r="N573" t="s">
        <v>154</v>
      </c>
      <c r="O573">
        <v>1</v>
      </c>
      <c r="P573">
        <v>1.5975999999999999</v>
      </c>
      <c r="Q573">
        <v>24</v>
      </c>
      <c r="R573">
        <v>1.5975999999999999</v>
      </c>
      <c r="S573">
        <v>24</v>
      </c>
      <c r="T573">
        <v>38.342399999999998</v>
      </c>
    </row>
    <row r="574" spans="1:20" x14ac:dyDescent="0.35">
      <c r="A574" t="s">
        <v>1641</v>
      </c>
      <c r="B574">
        <v>394</v>
      </c>
      <c r="D574">
        <v>45839</v>
      </c>
      <c r="F574" t="s">
        <v>142</v>
      </c>
      <c r="G574" t="s">
        <v>2713</v>
      </c>
      <c r="H574" t="s">
        <v>2714</v>
      </c>
      <c r="I574" t="s">
        <v>1678</v>
      </c>
      <c r="J574" t="s">
        <v>2713</v>
      </c>
      <c r="K574" t="s">
        <v>2715</v>
      </c>
      <c r="M574" t="s">
        <v>151</v>
      </c>
      <c r="N574" t="s">
        <v>213</v>
      </c>
      <c r="O574">
        <v>1</v>
      </c>
      <c r="P574">
        <v>3.1438999999999999</v>
      </c>
      <c r="Q574">
        <v>12</v>
      </c>
      <c r="R574">
        <v>3.1438999999999999</v>
      </c>
      <c r="S574">
        <v>12</v>
      </c>
      <c r="T574">
        <v>37.726799999999997</v>
      </c>
    </row>
    <row r="575" spans="1:20" x14ac:dyDescent="0.35">
      <c r="A575" t="s">
        <v>1641</v>
      </c>
      <c r="B575">
        <v>224</v>
      </c>
      <c r="D575">
        <v>45839</v>
      </c>
      <c r="F575" t="s">
        <v>142</v>
      </c>
      <c r="G575" t="s">
        <v>2716</v>
      </c>
      <c r="H575" t="s">
        <v>2717</v>
      </c>
      <c r="I575" t="s">
        <v>1714</v>
      </c>
      <c r="J575" t="s">
        <v>2716</v>
      </c>
      <c r="K575" t="s">
        <v>2718</v>
      </c>
      <c r="M575" t="s">
        <v>151</v>
      </c>
      <c r="N575" t="s">
        <v>172</v>
      </c>
      <c r="O575">
        <v>1</v>
      </c>
      <c r="P575">
        <v>3.6901999999999999</v>
      </c>
      <c r="Q575">
        <v>10</v>
      </c>
      <c r="R575">
        <v>3.6901999999999999</v>
      </c>
      <c r="S575">
        <v>10</v>
      </c>
      <c r="T575">
        <v>36.902000000000001</v>
      </c>
    </row>
    <row r="576" spans="1:20" x14ac:dyDescent="0.35">
      <c r="A576" t="s">
        <v>1641</v>
      </c>
      <c r="B576">
        <v>225</v>
      </c>
      <c r="D576">
        <v>45839</v>
      </c>
      <c r="F576" t="s">
        <v>142</v>
      </c>
      <c r="G576" t="s">
        <v>2719</v>
      </c>
      <c r="H576" t="s">
        <v>2720</v>
      </c>
      <c r="I576" t="s">
        <v>1714</v>
      </c>
      <c r="J576" t="s">
        <v>2719</v>
      </c>
      <c r="K576" t="s">
        <v>2721</v>
      </c>
      <c r="M576" t="s">
        <v>151</v>
      </c>
      <c r="N576" t="s">
        <v>172</v>
      </c>
      <c r="O576">
        <v>1</v>
      </c>
      <c r="P576">
        <v>3.6686000000000001</v>
      </c>
      <c r="Q576">
        <v>10</v>
      </c>
      <c r="R576">
        <v>3.6686000000000001</v>
      </c>
      <c r="S576">
        <v>10</v>
      </c>
      <c r="T576">
        <v>36.686</v>
      </c>
    </row>
    <row r="577" spans="1:20" x14ac:dyDescent="0.35">
      <c r="A577" t="s">
        <v>1641</v>
      </c>
      <c r="B577">
        <v>395</v>
      </c>
      <c r="D577">
        <v>45877</v>
      </c>
      <c r="F577" t="s">
        <v>142</v>
      </c>
      <c r="G577" t="s">
        <v>2722</v>
      </c>
      <c r="H577" t="s">
        <v>2723</v>
      </c>
      <c r="I577" t="s">
        <v>1678</v>
      </c>
      <c r="J577" t="s">
        <v>2722</v>
      </c>
      <c r="K577" t="s">
        <v>2724</v>
      </c>
      <c r="M577" t="s">
        <v>151</v>
      </c>
      <c r="N577" t="s">
        <v>154</v>
      </c>
      <c r="O577">
        <v>1</v>
      </c>
      <c r="P577">
        <v>3.0219999999999998</v>
      </c>
      <c r="Q577">
        <v>12</v>
      </c>
      <c r="R577">
        <v>3.0219999999999998</v>
      </c>
      <c r="S577">
        <v>12</v>
      </c>
      <c r="T577">
        <v>36.263999999999996</v>
      </c>
    </row>
    <row r="578" spans="1:20" x14ac:dyDescent="0.35">
      <c r="A578" t="s">
        <v>1641</v>
      </c>
      <c r="B578">
        <v>392</v>
      </c>
      <c r="D578">
        <v>45839</v>
      </c>
      <c r="F578" t="s">
        <v>142</v>
      </c>
      <c r="G578" t="s">
        <v>2725</v>
      </c>
      <c r="H578" t="s">
        <v>2726</v>
      </c>
      <c r="I578" t="s">
        <v>1678</v>
      </c>
      <c r="J578" t="s">
        <v>2725</v>
      </c>
      <c r="K578" t="s">
        <v>2678</v>
      </c>
      <c r="M578" t="s">
        <v>151</v>
      </c>
      <c r="N578" t="s">
        <v>213</v>
      </c>
      <c r="O578">
        <v>1</v>
      </c>
      <c r="P578">
        <v>2.9969000000000001</v>
      </c>
      <c r="Q578">
        <v>12</v>
      </c>
      <c r="R578">
        <v>2.9969000000000001</v>
      </c>
      <c r="S578">
        <v>12</v>
      </c>
      <c r="T578">
        <v>35.962800000000001</v>
      </c>
    </row>
    <row r="579" spans="1:20" x14ac:dyDescent="0.35">
      <c r="A579" t="s">
        <v>1641</v>
      </c>
      <c r="B579">
        <v>105</v>
      </c>
      <c r="D579">
        <v>45779</v>
      </c>
      <c r="F579" t="s">
        <v>142</v>
      </c>
      <c r="G579" t="s">
        <v>2727</v>
      </c>
      <c r="H579" t="s">
        <v>2728</v>
      </c>
      <c r="I579" t="s">
        <v>1671</v>
      </c>
      <c r="J579" t="s">
        <v>2727</v>
      </c>
      <c r="K579" t="s">
        <v>2729</v>
      </c>
      <c r="M579" t="s">
        <v>151</v>
      </c>
      <c r="N579" t="s">
        <v>213</v>
      </c>
      <c r="O579">
        <v>1</v>
      </c>
      <c r="P579">
        <v>1.4457</v>
      </c>
      <c r="Q579">
        <v>24</v>
      </c>
      <c r="R579">
        <v>1.4457</v>
      </c>
      <c r="S579">
        <v>24</v>
      </c>
      <c r="T579">
        <v>34.696799999999996</v>
      </c>
    </row>
    <row r="580" spans="1:20" x14ac:dyDescent="0.35">
      <c r="A580" t="s">
        <v>1641</v>
      </c>
      <c r="B580">
        <v>75</v>
      </c>
      <c r="D580">
        <v>45778</v>
      </c>
      <c r="F580" t="s">
        <v>142</v>
      </c>
      <c r="G580" t="s">
        <v>2730</v>
      </c>
      <c r="H580" t="s">
        <v>2731</v>
      </c>
      <c r="I580" t="s">
        <v>1683</v>
      </c>
      <c r="J580" t="s">
        <v>2730</v>
      </c>
      <c r="K580" t="s">
        <v>2732</v>
      </c>
      <c r="M580" t="s">
        <v>151</v>
      </c>
      <c r="N580" t="s">
        <v>213</v>
      </c>
      <c r="O580">
        <v>1</v>
      </c>
      <c r="P580">
        <v>17.438400000000001</v>
      </c>
      <c r="Q580">
        <v>2</v>
      </c>
      <c r="R580">
        <v>17.438400000000001</v>
      </c>
      <c r="S580">
        <v>2</v>
      </c>
      <c r="T580">
        <v>34.876800000000003</v>
      </c>
    </row>
    <row r="581" spans="1:20" x14ac:dyDescent="0.35">
      <c r="A581" t="s">
        <v>1641</v>
      </c>
      <c r="B581">
        <v>431</v>
      </c>
      <c r="D581">
        <v>45870</v>
      </c>
      <c r="F581" t="s">
        <v>142</v>
      </c>
      <c r="G581" t="s">
        <v>2733</v>
      </c>
      <c r="H581" t="s">
        <v>2734</v>
      </c>
      <c r="I581" t="s">
        <v>1653</v>
      </c>
      <c r="J581" t="s">
        <v>2733</v>
      </c>
      <c r="K581" t="s">
        <v>2735</v>
      </c>
      <c r="M581" t="s">
        <v>151</v>
      </c>
      <c r="N581" t="s">
        <v>154</v>
      </c>
      <c r="O581">
        <v>1</v>
      </c>
      <c r="P581">
        <v>2.7942</v>
      </c>
      <c r="Q581">
        <v>12</v>
      </c>
      <c r="R581">
        <v>2.7942</v>
      </c>
      <c r="S581">
        <v>12</v>
      </c>
      <c r="T581">
        <v>33.5304</v>
      </c>
    </row>
    <row r="582" spans="1:20" x14ac:dyDescent="0.35">
      <c r="A582" t="s">
        <v>1641</v>
      </c>
      <c r="B582">
        <v>223</v>
      </c>
      <c r="D582">
        <v>45839</v>
      </c>
      <c r="F582" t="s">
        <v>142</v>
      </c>
      <c r="G582" t="s">
        <v>2736</v>
      </c>
      <c r="H582" t="s">
        <v>2737</v>
      </c>
      <c r="I582" t="s">
        <v>1714</v>
      </c>
      <c r="J582" t="s">
        <v>2736</v>
      </c>
      <c r="K582" t="s">
        <v>2738</v>
      </c>
      <c r="M582" t="s">
        <v>151</v>
      </c>
      <c r="N582" t="s">
        <v>172</v>
      </c>
      <c r="O582">
        <v>1</v>
      </c>
      <c r="P582">
        <v>3.6987000000000001</v>
      </c>
      <c r="Q582">
        <v>9</v>
      </c>
      <c r="R582">
        <v>3.6987000000000001</v>
      </c>
      <c r="S582">
        <v>9</v>
      </c>
      <c r="T582">
        <v>33.2883</v>
      </c>
    </row>
    <row r="583" spans="1:20" x14ac:dyDescent="0.35">
      <c r="A583" t="s">
        <v>1641</v>
      </c>
      <c r="B583">
        <v>185</v>
      </c>
      <c r="D583">
        <v>45839</v>
      </c>
      <c r="F583" t="s">
        <v>142</v>
      </c>
      <c r="G583" t="s">
        <v>2739</v>
      </c>
      <c r="H583" t="s">
        <v>2740</v>
      </c>
      <c r="I583" t="s">
        <v>1655</v>
      </c>
      <c r="J583" t="s">
        <v>2739</v>
      </c>
      <c r="K583" t="s">
        <v>151</v>
      </c>
      <c r="M583" t="s">
        <v>151</v>
      </c>
      <c r="N583" t="s">
        <v>154</v>
      </c>
      <c r="O583">
        <v>1</v>
      </c>
      <c r="P583">
        <v>3.2844000000000002</v>
      </c>
      <c r="Q583">
        <v>10</v>
      </c>
      <c r="R583">
        <v>3.2844000000000002</v>
      </c>
      <c r="S583">
        <v>10</v>
      </c>
      <c r="T583">
        <v>32.844000000000001</v>
      </c>
    </row>
    <row r="584" spans="1:20" x14ac:dyDescent="0.35">
      <c r="A584" t="s">
        <v>1641</v>
      </c>
      <c r="B584">
        <v>396</v>
      </c>
      <c r="D584">
        <v>45855</v>
      </c>
      <c r="F584" t="s">
        <v>142</v>
      </c>
      <c r="G584" t="s">
        <v>2741</v>
      </c>
      <c r="H584" t="s">
        <v>2742</v>
      </c>
      <c r="I584" t="s">
        <v>1678</v>
      </c>
      <c r="J584" t="s">
        <v>2741</v>
      </c>
      <c r="K584" t="s">
        <v>2743</v>
      </c>
      <c r="M584" t="s">
        <v>151</v>
      </c>
      <c r="N584" t="s">
        <v>154</v>
      </c>
      <c r="O584">
        <v>1</v>
      </c>
      <c r="P584">
        <v>10.9537</v>
      </c>
      <c r="Q584">
        <v>3</v>
      </c>
      <c r="R584">
        <v>10.9537</v>
      </c>
      <c r="S584">
        <v>3</v>
      </c>
      <c r="T584">
        <v>32.8611</v>
      </c>
    </row>
    <row r="585" spans="1:20" x14ac:dyDescent="0.35">
      <c r="A585" t="s">
        <v>1641</v>
      </c>
      <c r="B585">
        <v>496</v>
      </c>
      <c r="D585">
        <v>45716</v>
      </c>
      <c r="F585" t="s">
        <v>142</v>
      </c>
      <c r="G585" t="s">
        <v>2744</v>
      </c>
      <c r="H585" t="s">
        <v>2745</v>
      </c>
      <c r="I585" t="s">
        <v>1852</v>
      </c>
      <c r="J585" t="s">
        <v>2744</v>
      </c>
      <c r="K585" t="s">
        <v>2746</v>
      </c>
      <c r="M585" t="s">
        <v>151</v>
      </c>
      <c r="N585" t="s">
        <v>154</v>
      </c>
      <c r="O585">
        <v>1</v>
      </c>
      <c r="P585">
        <v>32.0991</v>
      </c>
      <c r="Q585">
        <v>1</v>
      </c>
      <c r="R585">
        <v>32.0991</v>
      </c>
      <c r="S585">
        <v>1</v>
      </c>
      <c r="T585">
        <v>32.0991</v>
      </c>
    </row>
    <row r="586" spans="1:20" x14ac:dyDescent="0.35">
      <c r="A586" t="s">
        <v>1641</v>
      </c>
      <c r="B586">
        <v>563</v>
      </c>
      <c r="D586">
        <v>45856</v>
      </c>
      <c r="F586" t="s">
        <v>142</v>
      </c>
      <c r="G586" t="s">
        <v>2747</v>
      </c>
      <c r="H586" t="s">
        <v>2748</v>
      </c>
      <c r="I586" t="s">
        <v>1651</v>
      </c>
      <c r="J586" t="s">
        <v>2747</v>
      </c>
      <c r="K586" t="s">
        <v>2749</v>
      </c>
      <c r="M586" t="s">
        <v>151</v>
      </c>
      <c r="N586" t="s">
        <v>154</v>
      </c>
      <c r="O586">
        <v>1</v>
      </c>
      <c r="P586">
        <v>2.4672000000000001</v>
      </c>
      <c r="Q586">
        <v>12</v>
      </c>
      <c r="R586">
        <v>2.4672000000000001</v>
      </c>
      <c r="S586">
        <v>12</v>
      </c>
      <c r="T586">
        <v>29.606400000000001</v>
      </c>
    </row>
    <row r="587" spans="1:20" x14ac:dyDescent="0.35">
      <c r="A587" t="s">
        <v>1641</v>
      </c>
      <c r="B587">
        <v>222</v>
      </c>
      <c r="D587">
        <v>45839</v>
      </c>
      <c r="F587" t="s">
        <v>142</v>
      </c>
      <c r="G587" t="s">
        <v>2750</v>
      </c>
      <c r="H587" t="s">
        <v>2751</v>
      </c>
      <c r="I587" t="s">
        <v>1714</v>
      </c>
      <c r="J587" t="s">
        <v>2750</v>
      </c>
      <c r="K587" t="s">
        <v>2752</v>
      </c>
      <c r="M587" t="s">
        <v>151</v>
      </c>
      <c r="N587" t="s">
        <v>172</v>
      </c>
      <c r="O587">
        <v>1</v>
      </c>
      <c r="P587">
        <v>3.6821999999999999</v>
      </c>
      <c r="Q587">
        <v>8</v>
      </c>
      <c r="R587">
        <v>3.6821999999999999</v>
      </c>
      <c r="S587">
        <v>8</v>
      </c>
      <c r="T587">
        <v>29.457599999999999</v>
      </c>
    </row>
    <row r="588" spans="1:20" x14ac:dyDescent="0.35">
      <c r="A588" t="s">
        <v>1641</v>
      </c>
      <c r="B588">
        <v>457</v>
      </c>
      <c r="D588">
        <v>45772</v>
      </c>
      <c r="F588" t="s">
        <v>142</v>
      </c>
      <c r="G588" t="s">
        <v>2753</v>
      </c>
      <c r="H588" t="s">
        <v>2754</v>
      </c>
      <c r="I588" t="s">
        <v>1653</v>
      </c>
      <c r="J588" t="s">
        <v>2753</v>
      </c>
      <c r="K588" t="s">
        <v>151</v>
      </c>
      <c r="M588" t="s">
        <v>151</v>
      </c>
      <c r="N588" t="s">
        <v>172</v>
      </c>
      <c r="O588">
        <v>1</v>
      </c>
      <c r="P588">
        <v>5.81</v>
      </c>
      <c r="Q588">
        <v>5</v>
      </c>
      <c r="R588">
        <v>5.81</v>
      </c>
      <c r="S588">
        <v>5</v>
      </c>
      <c r="T588">
        <v>29.049999999999997</v>
      </c>
    </row>
    <row r="589" spans="1:20" x14ac:dyDescent="0.35">
      <c r="A589" t="s">
        <v>1641</v>
      </c>
      <c r="B589">
        <v>24</v>
      </c>
      <c r="D589">
        <v>45868</v>
      </c>
      <c r="F589" t="s">
        <v>142</v>
      </c>
      <c r="G589" t="s">
        <v>2755</v>
      </c>
      <c r="H589" t="s">
        <v>2756</v>
      </c>
      <c r="I589" t="s">
        <v>1647</v>
      </c>
      <c r="J589" t="s">
        <v>2755</v>
      </c>
      <c r="K589" t="s">
        <v>2757</v>
      </c>
      <c r="L589" t="s">
        <v>2758</v>
      </c>
      <c r="N589" t="s">
        <v>1666</v>
      </c>
      <c r="O589">
        <v>1</v>
      </c>
      <c r="P589">
        <v>28.8049</v>
      </c>
      <c r="Q589">
        <v>1</v>
      </c>
      <c r="R589">
        <v>28.8049</v>
      </c>
      <c r="S589">
        <v>1</v>
      </c>
      <c r="T589">
        <v>28.8049</v>
      </c>
    </row>
    <row r="590" spans="1:20" x14ac:dyDescent="0.35">
      <c r="A590" t="s">
        <v>1641</v>
      </c>
      <c r="B590">
        <v>158</v>
      </c>
      <c r="D590">
        <v>45910</v>
      </c>
      <c r="F590" t="s">
        <v>142</v>
      </c>
      <c r="G590" t="s">
        <v>2759</v>
      </c>
      <c r="H590" t="s">
        <v>2760</v>
      </c>
      <c r="I590" t="s">
        <v>969</v>
      </c>
      <c r="J590" t="s">
        <v>2759</v>
      </c>
      <c r="K590" t="s">
        <v>1644</v>
      </c>
      <c r="M590" t="s">
        <v>151</v>
      </c>
      <c r="N590" t="s">
        <v>154</v>
      </c>
      <c r="O590">
        <v>1</v>
      </c>
      <c r="P590">
        <v>14.3567</v>
      </c>
      <c r="Q590">
        <v>2</v>
      </c>
      <c r="R590">
        <v>14.3567</v>
      </c>
      <c r="S590">
        <v>2</v>
      </c>
      <c r="T590">
        <v>28.7134</v>
      </c>
    </row>
    <row r="591" spans="1:20" x14ac:dyDescent="0.35">
      <c r="A591" t="s">
        <v>1641</v>
      </c>
      <c r="B591">
        <v>159</v>
      </c>
      <c r="D591">
        <v>45909</v>
      </c>
      <c r="F591" t="s">
        <v>142</v>
      </c>
      <c r="G591" t="s">
        <v>2761</v>
      </c>
      <c r="H591" t="s">
        <v>2762</v>
      </c>
      <c r="I591" t="s">
        <v>969</v>
      </c>
      <c r="J591" t="s">
        <v>2761</v>
      </c>
      <c r="K591" t="s">
        <v>2763</v>
      </c>
      <c r="M591" t="s">
        <v>151</v>
      </c>
      <c r="N591" t="s">
        <v>154</v>
      </c>
      <c r="O591">
        <v>1</v>
      </c>
      <c r="P591">
        <v>14.443899999999999</v>
      </c>
      <c r="Q591">
        <v>2</v>
      </c>
      <c r="R591">
        <v>14.443899999999999</v>
      </c>
      <c r="S591">
        <v>2</v>
      </c>
      <c r="T591">
        <v>28.887799999999999</v>
      </c>
    </row>
    <row r="592" spans="1:20" x14ac:dyDescent="0.35">
      <c r="A592" t="s">
        <v>1641</v>
      </c>
      <c r="B592">
        <v>160</v>
      </c>
      <c r="D592">
        <v>45909</v>
      </c>
      <c r="F592" t="s">
        <v>142</v>
      </c>
      <c r="G592" t="s">
        <v>2764</v>
      </c>
      <c r="H592" t="s">
        <v>2765</v>
      </c>
      <c r="I592" t="s">
        <v>969</v>
      </c>
      <c r="J592" t="s">
        <v>2764</v>
      </c>
      <c r="K592" t="s">
        <v>2766</v>
      </c>
      <c r="M592" t="s">
        <v>151</v>
      </c>
      <c r="N592" t="s">
        <v>154</v>
      </c>
      <c r="O592">
        <v>1</v>
      </c>
      <c r="P592">
        <v>14.3095</v>
      </c>
      <c r="Q592">
        <v>2</v>
      </c>
      <c r="R592">
        <v>14.3095</v>
      </c>
      <c r="S592">
        <v>2</v>
      </c>
      <c r="T592">
        <v>28.619</v>
      </c>
    </row>
    <row r="593" spans="1:20" x14ac:dyDescent="0.35">
      <c r="A593" t="s">
        <v>1641</v>
      </c>
      <c r="B593">
        <v>161</v>
      </c>
      <c r="D593">
        <v>45910</v>
      </c>
      <c r="F593" t="s">
        <v>142</v>
      </c>
      <c r="G593" t="s">
        <v>2767</v>
      </c>
      <c r="H593" t="s">
        <v>2768</v>
      </c>
      <c r="I593" t="s">
        <v>969</v>
      </c>
      <c r="J593" t="s">
        <v>2767</v>
      </c>
      <c r="K593" t="s">
        <v>2769</v>
      </c>
      <c r="M593" t="s">
        <v>151</v>
      </c>
      <c r="N593" t="s">
        <v>154</v>
      </c>
      <c r="O593">
        <v>1</v>
      </c>
      <c r="P593">
        <v>14.3522</v>
      </c>
      <c r="Q593">
        <v>2</v>
      </c>
      <c r="R593">
        <v>14.3522</v>
      </c>
      <c r="S593">
        <v>2</v>
      </c>
      <c r="T593">
        <v>28.7044</v>
      </c>
    </row>
    <row r="594" spans="1:20" x14ac:dyDescent="0.35">
      <c r="A594" t="s">
        <v>1641</v>
      </c>
      <c r="B594">
        <v>162</v>
      </c>
      <c r="D594">
        <v>45910</v>
      </c>
      <c r="F594" t="s">
        <v>142</v>
      </c>
      <c r="G594" t="s">
        <v>2770</v>
      </c>
      <c r="H594" t="s">
        <v>2771</v>
      </c>
      <c r="I594" t="s">
        <v>969</v>
      </c>
      <c r="J594" t="s">
        <v>2770</v>
      </c>
      <c r="K594" t="s">
        <v>1644</v>
      </c>
      <c r="M594" t="s">
        <v>151</v>
      </c>
      <c r="N594" t="s">
        <v>154</v>
      </c>
      <c r="O594">
        <v>1</v>
      </c>
      <c r="P594">
        <v>14.390599999999999</v>
      </c>
      <c r="Q594">
        <v>2</v>
      </c>
      <c r="R594">
        <v>14.390599999999999</v>
      </c>
      <c r="S594">
        <v>2</v>
      </c>
      <c r="T594">
        <v>28.781199999999998</v>
      </c>
    </row>
    <row r="595" spans="1:20" x14ac:dyDescent="0.35">
      <c r="A595" t="s">
        <v>1641</v>
      </c>
      <c r="B595">
        <v>163</v>
      </c>
      <c r="D595">
        <v>45910</v>
      </c>
      <c r="F595" t="s">
        <v>142</v>
      </c>
      <c r="G595" t="s">
        <v>2772</v>
      </c>
      <c r="H595" t="s">
        <v>2773</v>
      </c>
      <c r="I595" t="s">
        <v>969</v>
      </c>
      <c r="J595" t="s">
        <v>2772</v>
      </c>
      <c r="K595" t="s">
        <v>2774</v>
      </c>
      <c r="M595" t="s">
        <v>151</v>
      </c>
      <c r="N595" t="s">
        <v>154</v>
      </c>
      <c r="O595">
        <v>1</v>
      </c>
      <c r="P595">
        <v>14.435499999999999</v>
      </c>
      <c r="Q595">
        <v>2</v>
      </c>
      <c r="R595">
        <v>14.435499999999999</v>
      </c>
      <c r="S595">
        <v>2</v>
      </c>
      <c r="T595">
        <v>28.870999999999999</v>
      </c>
    </row>
    <row r="596" spans="1:20" x14ac:dyDescent="0.35">
      <c r="A596" t="s">
        <v>1641</v>
      </c>
      <c r="B596">
        <v>164</v>
      </c>
      <c r="D596">
        <v>45910</v>
      </c>
      <c r="F596" t="s">
        <v>142</v>
      </c>
      <c r="G596" t="s">
        <v>2775</v>
      </c>
      <c r="H596" t="s">
        <v>2776</v>
      </c>
      <c r="I596" t="s">
        <v>969</v>
      </c>
      <c r="J596" t="s">
        <v>2775</v>
      </c>
      <c r="K596" t="s">
        <v>2777</v>
      </c>
      <c r="M596" t="s">
        <v>151</v>
      </c>
      <c r="N596" t="s">
        <v>154</v>
      </c>
      <c r="O596">
        <v>1</v>
      </c>
      <c r="P596">
        <v>14.3627</v>
      </c>
      <c r="Q596">
        <v>2</v>
      </c>
      <c r="R596">
        <v>14.3627</v>
      </c>
      <c r="S596">
        <v>2</v>
      </c>
      <c r="T596">
        <v>28.7254</v>
      </c>
    </row>
    <row r="597" spans="1:20" x14ac:dyDescent="0.35">
      <c r="A597" t="s">
        <v>1641</v>
      </c>
      <c r="B597">
        <v>165</v>
      </c>
      <c r="D597">
        <v>45910</v>
      </c>
      <c r="F597" t="s">
        <v>142</v>
      </c>
      <c r="G597" t="s">
        <v>2778</v>
      </c>
      <c r="H597" t="s">
        <v>2779</v>
      </c>
      <c r="I597" t="s">
        <v>969</v>
      </c>
      <c r="J597" t="s">
        <v>2778</v>
      </c>
      <c r="K597" t="s">
        <v>2769</v>
      </c>
      <c r="M597" t="s">
        <v>151</v>
      </c>
      <c r="N597" t="s">
        <v>154</v>
      </c>
      <c r="O597">
        <v>1</v>
      </c>
      <c r="P597">
        <v>14.307399999999999</v>
      </c>
      <c r="Q597">
        <v>2</v>
      </c>
      <c r="R597">
        <v>14.307399999999999</v>
      </c>
      <c r="S597">
        <v>2</v>
      </c>
      <c r="T597">
        <v>28.614799999999999</v>
      </c>
    </row>
    <row r="598" spans="1:20" x14ac:dyDescent="0.35">
      <c r="A598" t="s">
        <v>1641</v>
      </c>
      <c r="B598">
        <v>424</v>
      </c>
      <c r="D598">
        <v>45846</v>
      </c>
      <c r="F598" t="s">
        <v>142</v>
      </c>
      <c r="G598" t="s">
        <v>2780</v>
      </c>
      <c r="H598" t="s">
        <v>2781</v>
      </c>
      <c r="I598" t="s">
        <v>1653</v>
      </c>
      <c r="J598" t="s">
        <v>2780</v>
      </c>
      <c r="K598" t="s">
        <v>2782</v>
      </c>
      <c r="M598" t="s">
        <v>151</v>
      </c>
      <c r="N598" t="s">
        <v>154</v>
      </c>
      <c r="O598">
        <v>1</v>
      </c>
      <c r="P598">
        <v>0.70120000000000005</v>
      </c>
      <c r="Q598">
        <v>40</v>
      </c>
      <c r="R598">
        <v>0.70120000000000005</v>
      </c>
      <c r="S598">
        <v>40</v>
      </c>
      <c r="T598">
        <v>28.048000000000002</v>
      </c>
    </row>
    <row r="599" spans="1:20" x14ac:dyDescent="0.35">
      <c r="A599" t="s">
        <v>1641</v>
      </c>
      <c r="B599">
        <v>397</v>
      </c>
      <c r="D599">
        <v>45877</v>
      </c>
      <c r="F599" t="s">
        <v>142</v>
      </c>
      <c r="G599" t="s">
        <v>2783</v>
      </c>
      <c r="H599" t="s">
        <v>2784</v>
      </c>
      <c r="I599" t="s">
        <v>1678</v>
      </c>
      <c r="J599" t="s">
        <v>2783</v>
      </c>
      <c r="K599" t="s">
        <v>2785</v>
      </c>
      <c r="M599" t="s">
        <v>151</v>
      </c>
      <c r="N599" t="s">
        <v>1666</v>
      </c>
      <c r="O599">
        <v>1</v>
      </c>
      <c r="P599">
        <v>13.792299999999999</v>
      </c>
      <c r="Q599">
        <v>2</v>
      </c>
      <c r="R599">
        <v>13.792299999999999</v>
      </c>
      <c r="S599">
        <v>2</v>
      </c>
      <c r="T599">
        <v>27.584599999999998</v>
      </c>
    </row>
    <row r="600" spans="1:20" x14ac:dyDescent="0.35">
      <c r="A600" t="s">
        <v>1641</v>
      </c>
      <c r="B600">
        <v>399</v>
      </c>
      <c r="D600">
        <v>45877</v>
      </c>
      <c r="F600" t="s">
        <v>142</v>
      </c>
      <c r="G600" t="s">
        <v>2786</v>
      </c>
      <c r="H600" t="s">
        <v>2787</v>
      </c>
      <c r="I600" t="s">
        <v>1678</v>
      </c>
      <c r="J600" t="s">
        <v>2786</v>
      </c>
      <c r="K600" t="s">
        <v>2788</v>
      </c>
      <c r="M600" t="s">
        <v>151</v>
      </c>
      <c r="N600" t="s">
        <v>1666</v>
      </c>
      <c r="O600">
        <v>1</v>
      </c>
      <c r="P600">
        <v>13.836</v>
      </c>
      <c r="Q600">
        <v>2</v>
      </c>
      <c r="R600">
        <v>13.836</v>
      </c>
      <c r="S600">
        <v>2</v>
      </c>
      <c r="T600">
        <v>27.672000000000001</v>
      </c>
    </row>
    <row r="601" spans="1:20" x14ac:dyDescent="0.35">
      <c r="A601" t="s">
        <v>1641</v>
      </c>
      <c r="B601">
        <v>21</v>
      </c>
      <c r="D601">
        <v>45726</v>
      </c>
      <c r="F601" t="s">
        <v>142</v>
      </c>
      <c r="G601" t="s">
        <v>2789</v>
      </c>
      <c r="H601" t="s">
        <v>2790</v>
      </c>
      <c r="I601" t="s">
        <v>1647</v>
      </c>
      <c r="J601" t="s">
        <v>2789</v>
      </c>
      <c r="K601" t="s">
        <v>151</v>
      </c>
      <c r="M601" t="s">
        <v>151</v>
      </c>
      <c r="N601" t="s">
        <v>1666</v>
      </c>
      <c r="O601">
        <v>1</v>
      </c>
      <c r="P601">
        <v>27.107700000000001</v>
      </c>
      <c r="Q601">
        <v>1</v>
      </c>
      <c r="R601">
        <v>27.107700000000001</v>
      </c>
      <c r="S601">
        <v>1</v>
      </c>
      <c r="T601">
        <v>27.107700000000001</v>
      </c>
    </row>
    <row r="602" spans="1:20" x14ac:dyDescent="0.35">
      <c r="A602" t="s">
        <v>1641</v>
      </c>
      <c r="B602">
        <v>622</v>
      </c>
      <c r="D602">
        <v>45898</v>
      </c>
      <c r="F602" t="s">
        <v>142</v>
      </c>
      <c r="G602" t="s">
        <v>2791</v>
      </c>
      <c r="H602" t="s">
        <v>2792</v>
      </c>
      <c r="I602" t="s">
        <v>2793</v>
      </c>
      <c r="J602" t="s">
        <v>2791</v>
      </c>
      <c r="K602" t="s">
        <v>2794</v>
      </c>
      <c r="M602" t="s">
        <v>151</v>
      </c>
      <c r="N602" t="s">
        <v>154</v>
      </c>
      <c r="O602">
        <v>1</v>
      </c>
      <c r="P602">
        <v>1.3257000000000001</v>
      </c>
      <c r="Q602">
        <v>20</v>
      </c>
      <c r="R602">
        <v>1.3257000000000001</v>
      </c>
      <c r="S602">
        <v>20</v>
      </c>
      <c r="T602">
        <v>26.514000000000003</v>
      </c>
    </row>
    <row r="603" spans="1:20" x14ac:dyDescent="0.35">
      <c r="A603" t="s">
        <v>1641</v>
      </c>
      <c r="B603">
        <v>6</v>
      </c>
      <c r="D603">
        <v>45918</v>
      </c>
      <c r="F603" t="s">
        <v>142</v>
      </c>
      <c r="G603" t="s">
        <v>2795</v>
      </c>
      <c r="H603" t="s">
        <v>2796</v>
      </c>
      <c r="I603" t="s">
        <v>1647</v>
      </c>
      <c r="J603" t="s">
        <v>2795</v>
      </c>
      <c r="K603" t="s">
        <v>2797</v>
      </c>
      <c r="M603" t="s">
        <v>151</v>
      </c>
      <c r="N603" t="s">
        <v>154</v>
      </c>
      <c r="O603">
        <v>1</v>
      </c>
      <c r="P603">
        <v>12.744400000000001</v>
      </c>
      <c r="Q603">
        <v>2</v>
      </c>
      <c r="R603">
        <v>12.744400000000001</v>
      </c>
      <c r="S603">
        <v>2</v>
      </c>
      <c r="T603">
        <v>25.488800000000001</v>
      </c>
    </row>
    <row r="604" spans="1:20" x14ac:dyDescent="0.35">
      <c r="A604" t="s">
        <v>1641</v>
      </c>
      <c r="B604">
        <v>7</v>
      </c>
      <c r="D604">
        <v>45918</v>
      </c>
      <c r="F604" t="s">
        <v>142</v>
      </c>
      <c r="G604" t="s">
        <v>2798</v>
      </c>
      <c r="H604" t="s">
        <v>2799</v>
      </c>
      <c r="I604" t="s">
        <v>1647</v>
      </c>
      <c r="J604" t="s">
        <v>2798</v>
      </c>
      <c r="K604" t="s">
        <v>2800</v>
      </c>
      <c r="L604" t="s">
        <v>2801</v>
      </c>
      <c r="N604" t="s">
        <v>154</v>
      </c>
      <c r="O604">
        <v>1</v>
      </c>
      <c r="P604">
        <v>12.8005</v>
      </c>
      <c r="Q604">
        <v>2</v>
      </c>
      <c r="R604">
        <v>12.8005</v>
      </c>
      <c r="S604">
        <v>2</v>
      </c>
      <c r="T604">
        <v>25.600999999999999</v>
      </c>
    </row>
    <row r="605" spans="1:20" x14ac:dyDescent="0.35">
      <c r="A605" t="s">
        <v>1641</v>
      </c>
      <c r="B605">
        <v>8</v>
      </c>
      <c r="D605">
        <v>45918</v>
      </c>
      <c r="F605" t="s">
        <v>142</v>
      </c>
      <c r="G605" t="s">
        <v>2802</v>
      </c>
      <c r="H605" t="s">
        <v>2803</v>
      </c>
      <c r="I605" t="s">
        <v>1647</v>
      </c>
      <c r="J605" t="s">
        <v>2802</v>
      </c>
      <c r="K605" t="s">
        <v>2804</v>
      </c>
      <c r="L605" t="s">
        <v>2805</v>
      </c>
      <c r="N605" t="s">
        <v>154</v>
      </c>
      <c r="O605">
        <v>1</v>
      </c>
      <c r="P605">
        <v>12.7339</v>
      </c>
      <c r="Q605">
        <v>2</v>
      </c>
      <c r="R605">
        <v>12.7339</v>
      </c>
      <c r="S605">
        <v>2</v>
      </c>
      <c r="T605">
        <v>25.4678</v>
      </c>
    </row>
    <row r="606" spans="1:20" x14ac:dyDescent="0.35">
      <c r="A606" t="s">
        <v>1641</v>
      </c>
      <c r="B606">
        <v>9</v>
      </c>
      <c r="D606">
        <v>45918</v>
      </c>
      <c r="F606" t="s">
        <v>142</v>
      </c>
      <c r="G606" t="s">
        <v>2806</v>
      </c>
      <c r="H606" t="s">
        <v>2807</v>
      </c>
      <c r="I606" t="s">
        <v>1647</v>
      </c>
      <c r="J606" t="s">
        <v>2806</v>
      </c>
      <c r="K606" t="s">
        <v>2808</v>
      </c>
      <c r="L606" t="s">
        <v>2809</v>
      </c>
      <c r="N606" t="s">
        <v>154</v>
      </c>
      <c r="O606">
        <v>1</v>
      </c>
      <c r="P606">
        <v>12.7277</v>
      </c>
      <c r="Q606">
        <v>2</v>
      </c>
      <c r="R606">
        <v>12.7277</v>
      </c>
      <c r="S606">
        <v>2</v>
      </c>
      <c r="T606">
        <v>25.455400000000001</v>
      </c>
    </row>
    <row r="607" spans="1:20" x14ac:dyDescent="0.35">
      <c r="A607" t="s">
        <v>1641</v>
      </c>
      <c r="B607">
        <v>445</v>
      </c>
      <c r="D607">
        <v>45821</v>
      </c>
      <c r="F607" t="s">
        <v>142</v>
      </c>
      <c r="G607" t="s">
        <v>2810</v>
      </c>
      <c r="H607" t="s">
        <v>2811</v>
      </c>
      <c r="I607" t="s">
        <v>1653</v>
      </c>
      <c r="J607" t="s">
        <v>2810</v>
      </c>
      <c r="K607" t="s">
        <v>2812</v>
      </c>
      <c r="M607" t="s">
        <v>151</v>
      </c>
      <c r="N607" t="s">
        <v>213</v>
      </c>
      <c r="O607">
        <v>1</v>
      </c>
      <c r="P607">
        <v>24.619800000000001</v>
      </c>
      <c r="Q607">
        <v>1</v>
      </c>
      <c r="R607">
        <v>24.619800000000001</v>
      </c>
      <c r="S607">
        <v>1</v>
      </c>
      <c r="T607">
        <v>24.619800000000001</v>
      </c>
    </row>
    <row r="608" spans="1:20" x14ac:dyDescent="0.35">
      <c r="A608" t="s">
        <v>1641</v>
      </c>
      <c r="B608">
        <v>463</v>
      </c>
      <c r="D608">
        <v>45870</v>
      </c>
      <c r="F608" t="s">
        <v>142</v>
      </c>
      <c r="G608" t="s">
        <v>2813</v>
      </c>
      <c r="H608" t="s">
        <v>2814</v>
      </c>
      <c r="I608" t="s">
        <v>1653</v>
      </c>
      <c r="J608" t="s">
        <v>2813</v>
      </c>
      <c r="K608" t="s">
        <v>2815</v>
      </c>
      <c r="M608" t="s">
        <v>151</v>
      </c>
      <c r="N608" t="s">
        <v>2337</v>
      </c>
      <c r="O608">
        <v>1</v>
      </c>
      <c r="P608">
        <v>11.5229</v>
      </c>
      <c r="Q608">
        <v>2</v>
      </c>
      <c r="R608">
        <v>11.5229</v>
      </c>
      <c r="S608">
        <v>2</v>
      </c>
      <c r="T608">
        <v>23.0458</v>
      </c>
    </row>
    <row r="609" spans="1:20" x14ac:dyDescent="0.35">
      <c r="A609" t="s">
        <v>1641</v>
      </c>
      <c r="B609">
        <v>444</v>
      </c>
      <c r="D609">
        <v>45821</v>
      </c>
      <c r="F609" t="s">
        <v>142</v>
      </c>
      <c r="G609" t="s">
        <v>2816</v>
      </c>
      <c r="H609" t="s">
        <v>2817</v>
      </c>
      <c r="I609" t="s">
        <v>1653</v>
      </c>
      <c r="J609" t="s">
        <v>2816</v>
      </c>
      <c r="K609" t="s">
        <v>2818</v>
      </c>
      <c r="M609" t="s">
        <v>151</v>
      </c>
      <c r="N609" t="s">
        <v>213</v>
      </c>
      <c r="O609">
        <v>1</v>
      </c>
      <c r="P609">
        <v>23.0428</v>
      </c>
      <c r="Q609">
        <v>1</v>
      </c>
      <c r="R609">
        <v>23.0428</v>
      </c>
      <c r="S609">
        <v>1</v>
      </c>
      <c r="T609">
        <v>23.0428</v>
      </c>
    </row>
    <row r="610" spans="1:20" x14ac:dyDescent="0.35">
      <c r="A610" t="s">
        <v>1641</v>
      </c>
      <c r="B610">
        <v>549</v>
      </c>
      <c r="D610">
        <v>45868</v>
      </c>
      <c r="F610" t="s">
        <v>142</v>
      </c>
      <c r="G610" t="s">
        <v>2819</v>
      </c>
      <c r="H610" t="s">
        <v>2820</v>
      </c>
      <c r="I610" t="s">
        <v>164</v>
      </c>
      <c r="J610" t="s">
        <v>2819</v>
      </c>
      <c r="K610" t="s">
        <v>151</v>
      </c>
      <c r="M610" t="s">
        <v>151</v>
      </c>
      <c r="N610" t="s">
        <v>154</v>
      </c>
      <c r="O610">
        <v>1</v>
      </c>
      <c r="P610">
        <v>22.716899999999999</v>
      </c>
      <c r="Q610">
        <v>1</v>
      </c>
      <c r="R610">
        <v>22.716899999999999</v>
      </c>
      <c r="S610">
        <v>1</v>
      </c>
      <c r="T610">
        <v>22.716899999999999</v>
      </c>
    </row>
    <row r="611" spans="1:20" x14ac:dyDescent="0.35">
      <c r="A611" t="s">
        <v>1641</v>
      </c>
      <c r="B611">
        <v>422</v>
      </c>
      <c r="D611">
        <v>45775</v>
      </c>
      <c r="F611" t="s">
        <v>142</v>
      </c>
      <c r="G611" t="s">
        <v>2821</v>
      </c>
      <c r="H611" t="s">
        <v>2822</v>
      </c>
      <c r="I611" t="s">
        <v>1653</v>
      </c>
      <c r="J611" t="s">
        <v>2821</v>
      </c>
      <c r="K611" t="s">
        <v>2823</v>
      </c>
      <c r="M611" t="s">
        <v>151</v>
      </c>
      <c r="N611" t="s">
        <v>154</v>
      </c>
      <c r="O611">
        <v>1</v>
      </c>
      <c r="P611">
        <v>2.1804000000000001</v>
      </c>
      <c r="Q611">
        <v>10</v>
      </c>
      <c r="R611">
        <v>2.1804000000000001</v>
      </c>
      <c r="S611">
        <v>10</v>
      </c>
      <c r="T611">
        <v>21.804000000000002</v>
      </c>
    </row>
    <row r="612" spans="1:20" x14ac:dyDescent="0.35">
      <c r="A612" t="s">
        <v>1641</v>
      </c>
      <c r="B612">
        <v>600</v>
      </c>
      <c r="D612">
        <v>45855</v>
      </c>
      <c r="F612" t="s">
        <v>142</v>
      </c>
      <c r="G612" t="s">
        <v>2824</v>
      </c>
      <c r="H612" t="s">
        <v>2825</v>
      </c>
      <c r="I612" t="s">
        <v>2414</v>
      </c>
      <c r="J612" t="s">
        <v>2824</v>
      </c>
      <c r="K612" t="s">
        <v>151</v>
      </c>
      <c r="M612" t="s">
        <v>151</v>
      </c>
      <c r="N612" t="s">
        <v>154</v>
      </c>
      <c r="O612">
        <v>1</v>
      </c>
      <c r="P612">
        <v>21.269100000000002</v>
      </c>
      <c r="Q612">
        <v>1</v>
      </c>
      <c r="R612">
        <v>21.269100000000002</v>
      </c>
      <c r="S612">
        <v>1</v>
      </c>
      <c r="T612">
        <v>21.269100000000002</v>
      </c>
    </row>
    <row r="613" spans="1:20" x14ac:dyDescent="0.35">
      <c r="A613" t="s">
        <v>1641</v>
      </c>
      <c r="B613">
        <v>348</v>
      </c>
      <c r="D613">
        <v>45861</v>
      </c>
      <c r="F613" t="s">
        <v>142</v>
      </c>
      <c r="G613" t="s">
        <v>2826</v>
      </c>
      <c r="H613" t="s">
        <v>2827</v>
      </c>
      <c r="I613" t="s">
        <v>1806</v>
      </c>
      <c r="J613" t="s">
        <v>2826</v>
      </c>
      <c r="K613" t="s">
        <v>151</v>
      </c>
      <c r="M613" t="s">
        <v>151</v>
      </c>
      <c r="N613" t="s">
        <v>154</v>
      </c>
      <c r="O613">
        <v>1</v>
      </c>
      <c r="P613">
        <v>20.584499999999998</v>
      </c>
      <c r="Q613">
        <v>1</v>
      </c>
      <c r="R613">
        <v>20.584499999999998</v>
      </c>
      <c r="S613">
        <v>1</v>
      </c>
      <c r="T613">
        <v>20.584499999999998</v>
      </c>
    </row>
    <row r="614" spans="1:20" x14ac:dyDescent="0.35">
      <c r="A614" t="s">
        <v>1641</v>
      </c>
      <c r="B614">
        <v>104</v>
      </c>
      <c r="D614">
        <v>45848</v>
      </c>
      <c r="F614" t="s">
        <v>142</v>
      </c>
      <c r="G614" t="s">
        <v>2828</v>
      </c>
      <c r="H614" t="s">
        <v>2829</v>
      </c>
      <c r="I614" t="s">
        <v>1671</v>
      </c>
      <c r="J614" t="s">
        <v>2828</v>
      </c>
      <c r="K614" t="s">
        <v>2830</v>
      </c>
      <c r="M614" t="s">
        <v>151</v>
      </c>
      <c r="N614" t="s">
        <v>213</v>
      </c>
      <c r="O614">
        <v>1</v>
      </c>
      <c r="P614">
        <v>1.4464999999999999</v>
      </c>
      <c r="Q614">
        <v>12</v>
      </c>
      <c r="R614">
        <v>1.4464999999999999</v>
      </c>
      <c r="S614">
        <v>12</v>
      </c>
      <c r="T614">
        <v>17.357999999999997</v>
      </c>
    </row>
    <row r="615" spans="1:20" x14ac:dyDescent="0.35">
      <c r="A615" t="s">
        <v>1641</v>
      </c>
      <c r="B615">
        <v>434</v>
      </c>
      <c r="D615">
        <v>45870</v>
      </c>
      <c r="F615" t="s">
        <v>142</v>
      </c>
      <c r="G615" t="s">
        <v>2831</v>
      </c>
      <c r="H615" t="s">
        <v>2832</v>
      </c>
      <c r="I615" t="s">
        <v>1653</v>
      </c>
      <c r="J615" t="s">
        <v>2831</v>
      </c>
      <c r="K615" t="s">
        <v>2833</v>
      </c>
      <c r="M615" t="s">
        <v>151</v>
      </c>
      <c r="N615" t="s">
        <v>154</v>
      </c>
      <c r="O615">
        <v>1</v>
      </c>
      <c r="P615">
        <v>4.1772999999999998</v>
      </c>
      <c r="Q615">
        <v>4</v>
      </c>
      <c r="R615">
        <v>4.1772999999999998</v>
      </c>
      <c r="S615">
        <v>4</v>
      </c>
      <c r="T615">
        <v>16.709199999999999</v>
      </c>
    </row>
    <row r="616" spans="1:20" x14ac:dyDescent="0.35">
      <c r="A616" t="s">
        <v>1641</v>
      </c>
      <c r="B616">
        <v>423</v>
      </c>
      <c r="D616">
        <v>45772</v>
      </c>
      <c r="F616" t="s">
        <v>142</v>
      </c>
      <c r="G616" t="s">
        <v>2834</v>
      </c>
      <c r="H616" t="s">
        <v>2835</v>
      </c>
      <c r="I616" t="s">
        <v>1653</v>
      </c>
      <c r="J616" t="s">
        <v>2834</v>
      </c>
      <c r="K616" t="s">
        <v>2823</v>
      </c>
      <c r="M616" t="s">
        <v>151</v>
      </c>
      <c r="N616" t="s">
        <v>154</v>
      </c>
      <c r="O616">
        <v>1</v>
      </c>
      <c r="P616">
        <v>2.1888000000000001</v>
      </c>
      <c r="Q616">
        <v>5</v>
      </c>
      <c r="R616">
        <v>2.1888000000000001</v>
      </c>
      <c r="S616">
        <v>5</v>
      </c>
      <c r="T616">
        <v>10.944000000000001</v>
      </c>
    </row>
    <row r="617" spans="1:20" x14ac:dyDescent="0.35">
      <c r="A617" t="s">
        <v>1641</v>
      </c>
      <c r="B617">
        <v>545</v>
      </c>
      <c r="D617">
        <v>45884</v>
      </c>
      <c r="F617" t="s">
        <v>142</v>
      </c>
      <c r="G617" t="s">
        <v>2836</v>
      </c>
      <c r="H617" t="s">
        <v>2837</v>
      </c>
      <c r="I617" t="s">
        <v>164</v>
      </c>
      <c r="J617" t="s">
        <v>2836</v>
      </c>
      <c r="K617" t="s">
        <v>151</v>
      </c>
      <c r="M617" t="s">
        <v>151</v>
      </c>
      <c r="N617" t="s">
        <v>154</v>
      </c>
      <c r="O617">
        <v>1</v>
      </c>
      <c r="P617">
        <v>5.2622</v>
      </c>
      <c r="Q617">
        <v>2</v>
      </c>
      <c r="R617">
        <v>5.2622</v>
      </c>
      <c r="S617">
        <v>2</v>
      </c>
      <c r="T617">
        <v>10.5244</v>
      </c>
    </row>
    <row r="618" spans="1:20" x14ac:dyDescent="0.35">
      <c r="A618" t="s">
        <v>1641</v>
      </c>
      <c r="B618">
        <v>419</v>
      </c>
      <c r="D618">
        <v>45905</v>
      </c>
      <c r="F618" t="s">
        <v>142</v>
      </c>
      <c r="G618" t="s">
        <v>2838</v>
      </c>
      <c r="H618" t="s">
        <v>2839</v>
      </c>
      <c r="I618" t="s">
        <v>1653</v>
      </c>
      <c r="J618" t="s">
        <v>2838</v>
      </c>
      <c r="K618" t="s">
        <v>2840</v>
      </c>
      <c r="M618" t="s">
        <v>151</v>
      </c>
      <c r="N618" t="s">
        <v>154</v>
      </c>
      <c r="O618">
        <v>1</v>
      </c>
      <c r="P618">
        <v>0.67430000000000001</v>
      </c>
      <c r="Q618">
        <v>15</v>
      </c>
      <c r="R618">
        <v>0.67430000000000001</v>
      </c>
      <c r="S618">
        <v>15</v>
      </c>
      <c r="T618">
        <v>10.1145</v>
      </c>
    </row>
    <row r="619" spans="1:20" x14ac:dyDescent="0.35">
      <c r="A619" t="s">
        <v>1641</v>
      </c>
      <c r="B619">
        <v>420</v>
      </c>
      <c r="D619">
        <v>45919</v>
      </c>
      <c r="F619" t="s">
        <v>142</v>
      </c>
      <c r="G619" t="s">
        <v>2841</v>
      </c>
      <c r="H619" t="s">
        <v>2842</v>
      </c>
      <c r="I619" t="s">
        <v>1653</v>
      </c>
      <c r="J619" t="s">
        <v>2841</v>
      </c>
      <c r="K619" t="s">
        <v>151</v>
      </c>
      <c r="M619" t="s">
        <v>151</v>
      </c>
      <c r="N619" t="s">
        <v>154</v>
      </c>
      <c r="O619">
        <v>1</v>
      </c>
      <c r="P619">
        <v>5.2080000000000002</v>
      </c>
      <c r="Q619">
        <v>1</v>
      </c>
      <c r="R619">
        <v>5.2080000000000002</v>
      </c>
      <c r="S619">
        <v>1</v>
      </c>
      <c r="T619">
        <v>5.2080000000000002</v>
      </c>
    </row>
    <row r="620" spans="1:20" x14ac:dyDescent="0.35">
      <c r="A620" t="s">
        <v>1641</v>
      </c>
      <c r="B620">
        <v>426</v>
      </c>
      <c r="D620">
        <v>45793</v>
      </c>
      <c r="F620" t="s">
        <v>142</v>
      </c>
      <c r="G620" t="s">
        <v>2843</v>
      </c>
      <c r="H620" t="s">
        <v>2844</v>
      </c>
      <c r="I620" t="s">
        <v>1653</v>
      </c>
      <c r="J620" t="s">
        <v>2843</v>
      </c>
      <c r="K620" t="s">
        <v>2845</v>
      </c>
      <c r="M620" t="s">
        <v>151</v>
      </c>
      <c r="N620" t="s">
        <v>154</v>
      </c>
      <c r="O620">
        <v>1</v>
      </c>
      <c r="P620">
        <v>4.7270000000000003</v>
      </c>
      <c r="Q620">
        <v>1</v>
      </c>
      <c r="R620">
        <v>4.7270000000000003</v>
      </c>
      <c r="S620">
        <v>1</v>
      </c>
      <c r="T620">
        <v>4.7270000000000003</v>
      </c>
    </row>
    <row r="621" spans="1:20" x14ac:dyDescent="0.35">
      <c r="A621" t="s">
        <v>1641</v>
      </c>
      <c r="B621">
        <v>418</v>
      </c>
      <c r="D621">
        <v>45847</v>
      </c>
      <c r="F621" t="s">
        <v>142</v>
      </c>
      <c r="G621" t="s">
        <v>2846</v>
      </c>
      <c r="H621" t="s">
        <v>2847</v>
      </c>
      <c r="I621" t="s">
        <v>1653</v>
      </c>
      <c r="J621" t="s">
        <v>2846</v>
      </c>
      <c r="K621" t="s">
        <v>2823</v>
      </c>
      <c r="M621" t="s">
        <v>151</v>
      </c>
      <c r="N621" t="s">
        <v>154</v>
      </c>
      <c r="O621">
        <v>1</v>
      </c>
      <c r="P621">
        <v>0.84799999999999998</v>
      </c>
      <c r="Q621">
        <v>5</v>
      </c>
      <c r="R621">
        <v>0.84799999999999998</v>
      </c>
      <c r="S621">
        <v>5</v>
      </c>
      <c r="T621">
        <v>4.24</v>
      </c>
    </row>
    <row r="622" spans="1:20" x14ac:dyDescent="0.35">
      <c r="A622" t="s">
        <v>1641</v>
      </c>
      <c r="B622">
        <v>438</v>
      </c>
      <c r="D622">
        <v>45749</v>
      </c>
      <c r="F622" t="s">
        <v>142</v>
      </c>
      <c r="G622" t="s">
        <v>2848</v>
      </c>
      <c r="H622" t="s">
        <v>2849</v>
      </c>
      <c r="I622" t="s">
        <v>1653</v>
      </c>
      <c r="J622" t="s">
        <v>2848</v>
      </c>
      <c r="K622" t="s">
        <v>151</v>
      </c>
      <c r="M622" t="s">
        <v>151</v>
      </c>
      <c r="N622" t="s">
        <v>1663</v>
      </c>
      <c r="O622">
        <v>1</v>
      </c>
      <c r="P622">
        <v>1.9300000000000001E-2</v>
      </c>
      <c r="Q622">
        <v>3</v>
      </c>
      <c r="R622">
        <v>1.9300000000000001E-2</v>
      </c>
      <c r="S622">
        <v>3</v>
      </c>
      <c r="T622">
        <v>5.7900000000000007E-2</v>
      </c>
    </row>
  </sheetData>
  <pageMargins left="0.7" right="0.7" top="0.75" bottom="0.75" header="0.3" footer="0.3"/>
  <headerFooter>
    <oddFooter>&amp;C_x000D_&amp;1#&amp;"Calibri"&amp;10&amp;K000000 Low Sensitivity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F36"/>
  <sheetViews>
    <sheetView workbookViewId="0">
      <selection activeCell="I30" sqref="I30"/>
    </sheetView>
  </sheetViews>
  <sheetFormatPr defaultRowHeight="14.5" x14ac:dyDescent="0.35"/>
  <cols>
    <col min="1" max="1" width="36.1796875" bestFit="1" customWidth="1"/>
    <col min="2" max="2" width="10.1796875" bestFit="1" customWidth="1"/>
    <col min="3" max="3" width="16.81640625" style="91" bestFit="1" customWidth="1"/>
    <col min="4" max="4" width="12.453125" style="91" bestFit="1" customWidth="1"/>
    <col min="6" max="6" width="9" customWidth="1"/>
  </cols>
  <sheetData>
    <row r="2" spans="1:6" s="1" customFormat="1" x14ac:dyDescent="0.35">
      <c r="A2" s="1" t="s">
        <v>87</v>
      </c>
      <c r="B2" s="1" t="s">
        <v>88</v>
      </c>
      <c r="C2" s="90" t="s">
        <v>89</v>
      </c>
      <c r="D2" s="90" t="s">
        <v>90</v>
      </c>
      <c r="E2" s="1" t="s">
        <v>6</v>
      </c>
      <c r="F2" s="1" t="s">
        <v>27</v>
      </c>
    </row>
    <row r="3" spans="1:6" x14ac:dyDescent="0.35">
      <c r="A3" t="s">
        <v>91</v>
      </c>
      <c r="B3">
        <f>COUNTIF('Item Detail'!AF:AF,A3)</f>
        <v>0</v>
      </c>
      <c r="C3" s="91">
        <f>SUMIF('Item Detail'!AF:AF,A3,'Item Detail'!O:O)</f>
        <v>0</v>
      </c>
      <c r="D3" s="91">
        <f>SUMIF('Item Detail'!AF:AF,A3,'Item Detail'!S:S)</f>
        <v>0</v>
      </c>
      <c r="E3" s="92">
        <f t="shared" ref="E3:E34" si="0">C3-D3</f>
        <v>0</v>
      </c>
      <c r="F3" s="93">
        <f>IFERROR(E3/C3,0)</f>
        <v>0</v>
      </c>
    </row>
    <row r="4" spans="1:6" x14ac:dyDescent="0.35">
      <c r="A4" t="s">
        <v>92</v>
      </c>
      <c r="B4">
        <f>COUNTIF('Item Detail'!AF:AF,A4)</f>
        <v>0</v>
      </c>
      <c r="C4" s="91">
        <f>SUMIF('Item Detail'!AF:AF,A4,'Item Detail'!O:O)</f>
        <v>0</v>
      </c>
      <c r="D4" s="91">
        <f>SUMIF('Item Detail'!AF:AF,A4,'Item Detail'!S:S)</f>
        <v>0</v>
      </c>
      <c r="E4" s="92">
        <f t="shared" si="0"/>
        <v>0</v>
      </c>
      <c r="F4" s="93">
        <f t="shared" ref="F4:F34" si="1">IFERROR(E4/C4,0)</f>
        <v>0</v>
      </c>
    </row>
    <row r="5" spans="1:6" x14ac:dyDescent="0.35">
      <c r="A5" t="s">
        <v>93</v>
      </c>
      <c r="B5">
        <f>COUNTIF('Item Detail'!AF:AF,A5)</f>
        <v>0</v>
      </c>
      <c r="C5" s="91">
        <f>SUMIF('Item Detail'!AF:AF,A5,'Item Detail'!O:O)</f>
        <v>0</v>
      </c>
      <c r="D5" s="91">
        <f>SUMIF('Item Detail'!AF:AF,A5,'Item Detail'!S:S)</f>
        <v>0</v>
      </c>
      <c r="E5" s="92">
        <f t="shared" si="0"/>
        <v>0</v>
      </c>
      <c r="F5" s="93">
        <f t="shared" si="1"/>
        <v>0</v>
      </c>
    </row>
    <row r="6" spans="1:6" x14ac:dyDescent="0.35">
      <c r="A6" t="s">
        <v>94</v>
      </c>
      <c r="B6">
        <f>COUNTIF('Item Detail'!AF:AF,A6)</f>
        <v>0</v>
      </c>
      <c r="C6" s="91">
        <f>SUMIF('Item Detail'!AF:AF,A6,'Item Detail'!O:O)</f>
        <v>0</v>
      </c>
      <c r="D6" s="91">
        <f>SUMIF('Item Detail'!AF:AF,A6,'Item Detail'!S:S)</f>
        <v>0</v>
      </c>
      <c r="E6" s="92">
        <f t="shared" si="0"/>
        <v>0</v>
      </c>
      <c r="F6" s="93">
        <f t="shared" si="1"/>
        <v>0</v>
      </c>
    </row>
    <row r="7" spans="1:6" x14ac:dyDescent="0.35">
      <c r="A7" t="s">
        <v>95</v>
      </c>
      <c r="B7">
        <f>COUNTIF('Item Detail'!AF:AF,A7)</f>
        <v>0</v>
      </c>
      <c r="C7" s="91">
        <f>SUMIF('Item Detail'!AF:AF,A7,'Item Detail'!O:O)</f>
        <v>0</v>
      </c>
      <c r="D7" s="91">
        <f>SUMIF('Item Detail'!AF:AF,A7,'Item Detail'!S:S)</f>
        <v>0</v>
      </c>
      <c r="E7" s="92">
        <f t="shared" si="0"/>
        <v>0</v>
      </c>
      <c r="F7" s="93">
        <f t="shared" si="1"/>
        <v>0</v>
      </c>
    </row>
    <row r="8" spans="1:6" x14ac:dyDescent="0.35">
      <c r="A8" t="s">
        <v>96</v>
      </c>
      <c r="B8">
        <f>COUNTIF('Item Detail'!AF:AF,A8)</f>
        <v>0</v>
      </c>
      <c r="C8" s="91">
        <f>SUMIF('Item Detail'!AF:AF,A8,'Item Detail'!O:O)</f>
        <v>0</v>
      </c>
      <c r="D8" s="91">
        <f>SUMIF('Item Detail'!AF:AF,A8,'Item Detail'!S:S)</f>
        <v>0</v>
      </c>
      <c r="E8" s="92">
        <f t="shared" si="0"/>
        <v>0</v>
      </c>
      <c r="F8" s="93">
        <f t="shared" si="1"/>
        <v>0</v>
      </c>
    </row>
    <row r="9" spans="1:6" x14ac:dyDescent="0.35">
      <c r="A9" t="s">
        <v>97</v>
      </c>
      <c r="B9">
        <f>COUNTIF('Item Detail'!AF:AF,A9)</f>
        <v>0</v>
      </c>
      <c r="C9" s="91">
        <f>SUMIF('Item Detail'!AF:AF,A9,'Item Detail'!O:O)</f>
        <v>0</v>
      </c>
      <c r="D9" s="91">
        <f>SUMIF('Item Detail'!AF:AF,A9,'Item Detail'!S:S)</f>
        <v>0</v>
      </c>
      <c r="E9" s="92">
        <f t="shared" si="0"/>
        <v>0</v>
      </c>
      <c r="F9" s="93">
        <f t="shared" si="1"/>
        <v>0</v>
      </c>
    </row>
    <row r="10" spans="1:6" x14ac:dyDescent="0.35">
      <c r="A10" t="s">
        <v>98</v>
      </c>
      <c r="B10">
        <f>COUNTIF('Item Detail'!AF:AF,A10)</f>
        <v>0</v>
      </c>
      <c r="C10" s="91">
        <f>SUMIF('Item Detail'!AF:AF,A10,'Item Detail'!O:O)</f>
        <v>0</v>
      </c>
      <c r="D10" s="91">
        <f>SUMIF('Item Detail'!AF:AF,A10,'Item Detail'!S:S)</f>
        <v>0</v>
      </c>
      <c r="E10" s="92">
        <f t="shared" si="0"/>
        <v>0</v>
      </c>
      <c r="F10" s="93">
        <f t="shared" si="1"/>
        <v>0</v>
      </c>
    </row>
    <row r="11" spans="1:6" x14ac:dyDescent="0.35">
      <c r="A11" t="s">
        <v>99</v>
      </c>
      <c r="B11">
        <f>COUNTIF('Item Detail'!AF:AF,A11)</f>
        <v>0</v>
      </c>
      <c r="C11" s="91">
        <f>SUMIF('Item Detail'!AF:AF,A11,'Item Detail'!O:O)</f>
        <v>0</v>
      </c>
      <c r="D11" s="91">
        <f>SUMIF('Item Detail'!AF:AF,A11,'Item Detail'!S:S)</f>
        <v>0</v>
      </c>
      <c r="E11" s="92">
        <f t="shared" si="0"/>
        <v>0</v>
      </c>
      <c r="F11" s="93">
        <f t="shared" si="1"/>
        <v>0</v>
      </c>
    </row>
    <row r="12" spans="1:6" x14ac:dyDescent="0.35">
      <c r="A12" t="s">
        <v>100</v>
      </c>
      <c r="B12">
        <f>COUNTIF('Item Detail'!AF:AF,A12)</f>
        <v>0</v>
      </c>
      <c r="C12" s="91">
        <f>SUMIF('Item Detail'!AF:AF,A12,'Item Detail'!O:O)</f>
        <v>0</v>
      </c>
      <c r="D12" s="91">
        <f>SUMIF('Item Detail'!AF:AF,A12,'Item Detail'!S:S)</f>
        <v>0</v>
      </c>
      <c r="E12" s="92">
        <f t="shared" si="0"/>
        <v>0</v>
      </c>
      <c r="F12" s="93">
        <f t="shared" si="1"/>
        <v>0</v>
      </c>
    </row>
    <row r="13" spans="1:6" x14ac:dyDescent="0.35">
      <c r="A13" t="s">
        <v>101</v>
      </c>
      <c r="B13">
        <f>COUNTIF('Item Detail'!AF:AF,A13)</f>
        <v>0</v>
      </c>
      <c r="C13" s="91">
        <f>SUMIF('Item Detail'!AF:AF,A13,'Item Detail'!O:O)</f>
        <v>0</v>
      </c>
      <c r="D13" s="91">
        <f>SUMIF('Item Detail'!AF:AF,A13,'Item Detail'!S:S)</f>
        <v>0</v>
      </c>
      <c r="E13" s="92">
        <f t="shared" si="0"/>
        <v>0</v>
      </c>
      <c r="F13" s="93">
        <f t="shared" si="1"/>
        <v>0</v>
      </c>
    </row>
    <row r="14" spans="1:6" x14ac:dyDescent="0.35">
      <c r="A14" t="s">
        <v>102</v>
      </c>
      <c r="B14">
        <f>COUNTIF('Item Detail'!AF:AF,A14)</f>
        <v>0</v>
      </c>
      <c r="C14" s="91">
        <f>SUMIF('Item Detail'!AF:AF,A14,'Item Detail'!O:O)</f>
        <v>0</v>
      </c>
      <c r="D14" s="91">
        <f>SUMIF('Item Detail'!AF:AF,A14,'Item Detail'!S:S)</f>
        <v>0</v>
      </c>
      <c r="E14" s="92">
        <f t="shared" si="0"/>
        <v>0</v>
      </c>
      <c r="F14" s="93">
        <f t="shared" si="1"/>
        <v>0</v>
      </c>
    </row>
    <row r="15" spans="1:6" x14ac:dyDescent="0.35">
      <c r="A15" t="s">
        <v>103</v>
      </c>
      <c r="B15">
        <f>COUNTIF('Item Detail'!AF:AF,A15)</f>
        <v>0</v>
      </c>
      <c r="C15" s="91">
        <f>SUMIF('Item Detail'!AF:AF,A15,'Item Detail'!O:O)</f>
        <v>0</v>
      </c>
      <c r="D15" s="91">
        <f>SUMIF('Item Detail'!AF:AF,A15,'Item Detail'!S:S)</f>
        <v>0</v>
      </c>
      <c r="E15" s="92">
        <f t="shared" si="0"/>
        <v>0</v>
      </c>
      <c r="F15" s="93">
        <f t="shared" si="1"/>
        <v>0</v>
      </c>
    </row>
    <row r="16" spans="1:6" x14ac:dyDescent="0.35">
      <c r="A16" t="s">
        <v>104</v>
      </c>
      <c r="B16">
        <f>COUNTIF('Item Detail'!AF:AF,A16)</f>
        <v>1</v>
      </c>
      <c r="C16" s="91">
        <f>SUMIF('Item Detail'!AF:AF,A16,'Item Detail'!O:O)</f>
        <v>3371.1000000000004</v>
      </c>
      <c r="D16" s="91">
        <f>SUMIF('Item Detail'!AF:AF,A16,'Item Detail'!S:S)</f>
        <v>802.80000000000007</v>
      </c>
      <c r="E16" s="92">
        <f t="shared" si="0"/>
        <v>2568.3000000000002</v>
      </c>
      <c r="F16" s="93">
        <f t="shared" si="1"/>
        <v>0.76185814719231104</v>
      </c>
    </row>
    <row r="17" spans="1:6" x14ac:dyDescent="0.35">
      <c r="A17" t="s">
        <v>105</v>
      </c>
      <c r="B17">
        <f>COUNTIF('Item Detail'!AF:AF,A17)</f>
        <v>0</v>
      </c>
      <c r="C17" s="91">
        <f>SUMIF('Item Detail'!AF:AF,A17,'Item Detail'!O:O)</f>
        <v>0</v>
      </c>
      <c r="D17" s="91">
        <f>SUMIF('Item Detail'!AF:AF,A17,'Item Detail'!S:S)</f>
        <v>0</v>
      </c>
      <c r="E17" s="92">
        <f t="shared" si="0"/>
        <v>0</v>
      </c>
      <c r="F17" s="93">
        <f t="shared" si="1"/>
        <v>0</v>
      </c>
    </row>
    <row r="18" spans="1:6" x14ac:dyDescent="0.35">
      <c r="A18" t="s">
        <v>106</v>
      </c>
      <c r="B18">
        <f>COUNTIF('Item Detail'!AF:AF,A18)</f>
        <v>0</v>
      </c>
      <c r="C18" s="91">
        <f>SUMIF('Item Detail'!AF:AF,A18,'Item Detail'!O:O)</f>
        <v>0</v>
      </c>
      <c r="D18" s="91">
        <f>SUMIF('Item Detail'!AF:AF,A18,'Item Detail'!S:S)</f>
        <v>0</v>
      </c>
      <c r="E18" s="92">
        <f t="shared" si="0"/>
        <v>0</v>
      </c>
      <c r="F18" s="93">
        <f t="shared" si="1"/>
        <v>0</v>
      </c>
    </row>
    <row r="19" spans="1:6" x14ac:dyDescent="0.35">
      <c r="A19" t="s">
        <v>107</v>
      </c>
      <c r="B19">
        <f>COUNTIF('Item Detail'!AF:AF,A19)</f>
        <v>1</v>
      </c>
      <c r="C19" s="91">
        <f>SUMIF('Item Detail'!AF:AF,A19,'Item Detail'!O:O)</f>
        <v>2522.2399999999998</v>
      </c>
      <c r="D19" s="91">
        <f>SUMIF('Item Detail'!AF:AF,A19,'Item Detail'!S:S)</f>
        <v>1370.64</v>
      </c>
      <c r="E19" s="92">
        <f t="shared" si="0"/>
        <v>1151.5999999999997</v>
      </c>
      <c r="F19" s="93">
        <f t="shared" si="1"/>
        <v>0.45657827962446074</v>
      </c>
    </row>
    <row r="20" spans="1:6" x14ac:dyDescent="0.35">
      <c r="A20" t="s">
        <v>108</v>
      </c>
      <c r="B20">
        <f>COUNTIF('Item Detail'!AF:AF,A20)</f>
        <v>0</v>
      </c>
      <c r="C20" s="91">
        <f>SUMIF('Item Detail'!AF:AF,A20,'Item Detail'!O:O)</f>
        <v>0</v>
      </c>
      <c r="D20" s="91">
        <f>SUMIF('Item Detail'!AF:AF,A20,'Item Detail'!S:S)</f>
        <v>0</v>
      </c>
      <c r="E20" s="92">
        <f t="shared" si="0"/>
        <v>0</v>
      </c>
      <c r="F20" s="93">
        <f t="shared" si="1"/>
        <v>0</v>
      </c>
    </row>
    <row r="21" spans="1:6" x14ac:dyDescent="0.35">
      <c r="A21" t="s">
        <v>109</v>
      </c>
      <c r="B21">
        <f>COUNTIF('Item Detail'!AF:AF,A21)</f>
        <v>0</v>
      </c>
      <c r="C21" s="91">
        <f>SUMIF('Item Detail'!AF:AF,A21,'Item Detail'!O:O)</f>
        <v>0</v>
      </c>
      <c r="D21" s="91">
        <f>SUMIF('Item Detail'!AF:AF,A21,'Item Detail'!S:S)</f>
        <v>0</v>
      </c>
      <c r="E21" s="92">
        <f t="shared" si="0"/>
        <v>0</v>
      </c>
      <c r="F21" s="93">
        <f t="shared" si="1"/>
        <v>0</v>
      </c>
    </row>
    <row r="22" spans="1:6" x14ac:dyDescent="0.35">
      <c r="A22" t="s">
        <v>110</v>
      </c>
      <c r="B22">
        <f>COUNTIF('Item Detail'!AF:AF,A22)</f>
        <v>0</v>
      </c>
      <c r="C22" s="91">
        <f>SUMIF('Item Detail'!AF:AF,A22,'Item Detail'!O:O)</f>
        <v>0</v>
      </c>
      <c r="D22" s="91">
        <f>SUMIF('Item Detail'!AF:AF,A22,'Item Detail'!S:S)</f>
        <v>0</v>
      </c>
      <c r="E22" s="92">
        <f t="shared" si="0"/>
        <v>0</v>
      </c>
      <c r="F22" s="93">
        <f t="shared" si="1"/>
        <v>0</v>
      </c>
    </row>
    <row r="23" spans="1:6" x14ac:dyDescent="0.35">
      <c r="A23" t="s">
        <v>111</v>
      </c>
      <c r="B23">
        <f>COUNTIF('Item Detail'!AF:AF,A23)</f>
        <v>0</v>
      </c>
      <c r="C23" s="91">
        <f>SUMIF('Item Detail'!AF:AF,A23,'Item Detail'!O:O)</f>
        <v>0</v>
      </c>
      <c r="D23" s="91">
        <f>SUMIF('Item Detail'!AF:AF,A23,'Item Detail'!S:S)</f>
        <v>0</v>
      </c>
      <c r="E23" s="92">
        <f t="shared" si="0"/>
        <v>0</v>
      </c>
      <c r="F23" s="93">
        <f t="shared" si="1"/>
        <v>0</v>
      </c>
    </row>
    <row r="24" spans="1:6" x14ac:dyDescent="0.35">
      <c r="A24" t="s">
        <v>112</v>
      </c>
      <c r="B24">
        <f>COUNTIF('Item Detail'!AF:AF,A24)</f>
        <v>0</v>
      </c>
      <c r="C24" s="91">
        <f>SUMIF('Item Detail'!AF:AF,A24,'Item Detail'!O:O)</f>
        <v>0</v>
      </c>
      <c r="D24" s="91">
        <f>SUMIF('Item Detail'!AF:AF,A24,'Item Detail'!S:S)</f>
        <v>0</v>
      </c>
      <c r="E24" s="92">
        <f t="shared" si="0"/>
        <v>0</v>
      </c>
      <c r="F24" s="93">
        <f t="shared" si="1"/>
        <v>0</v>
      </c>
    </row>
    <row r="25" spans="1:6" x14ac:dyDescent="0.35">
      <c r="A25" t="s">
        <v>113</v>
      </c>
      <c r="B25">
        <f>COUNTIF('Item Detail'!AF:AF,A25)</f>
        <v>0</v>
      </c>
      <c r="C25" s="91">
        <f>SUMIF('Item Detail'!AF:AF,A25,'Item Detail'!O:O)</f>
        <v>0</v>
      </c>
      <c r="D25" s="91">
        <f>SUMIF('Item Detail'!AF:AF,A25,'Item Detail'!S:S)</f>
        <v>0</v>
      </c>
      <c r="E25" s="92">
        <f t="shared" si="0"/>
        <v>0</v>
      </c>
      <c r="F25" s="93">
        <f t="shared" si="1"/>
        <v>0</v>
      </c>
    </row>
    <row r="26" spans="1:6" x14ac:dyDescent="0.35">
      <c r="A26" t="s">
        <v>114</v>
      </c>
      <c r="B26">
        <f>COUNTIF('Item Detail'!AF:AF,A26)</f>
        <v>0</v>
      </c>
      <c r="C26" s="91">
        <f>SUMIF('Item Detail'!AF:AF,A26,'Item Detail'!O:O)</f>
        <v>0</v>
      </c>
      <c r="D26" s="91">
        <f>SUMIF('Item Detail'!AF:AF,A26,'Item Detail'!S:S)</f>
        <v>0</v>
      </c>
      <c r="E26" s="92">
        <f t="shared" si="0"/>
        <v>0</v>
      </c>
      <c r="F26" s="93">
        <f t="shared" si="1"/>
        <v>0</v>
      </c>
    </row>
    <row r="27" spans="1:6" x14ac:dyDescent="0.35">
      <c r="A27" t="s">
        <v>115</v>
      </c>
      <c r="B27">
        <f>COUNTIF('Item Detail'!AF:AF,A27)</f>
        <v>0</v>
      </c>
      <c r="C27" s="91">
        <f>SUMIF('Item Detail'!AF:AF,A27,'Item Detail'!O:O)</f>
        <v>0</v>
      </c>
      <c r="D27" s="91">
        <f>SUMIF('Item Detail'!AF:AF,A27,'Item Detail'!S:S)</f>
        <v>0</v>
      </c>
      <c r="E27" s="92">
        <f t="shared" si="0"/>
        <v>0</v>
      </c>
      <c r="F27" s="93">
        <f t="shared" si="1"/>
        <v>0</v>
      </c>
    </row>
    <row r="28" spans="1:6" x14ac:dyDescent="0.35">
      <c r="A28" t="s">
        <v>116</v>
      </c>
      <c r="B28">
        <f>COUNTIF('Item Detail'!AF:AF,A28)</f>
        <v>0</v>
      </c>
      <c r="C28" s="91">
        <f>SUMIF('Item Detail'!AF:AF,A28,'Item Detail'!O:O)</f>
        <v>0</v>
      </c>
      <c r="D28" s="91">
        <f>SUMIF('Item Detail'!AF:AF,A28,'Item Detail'!S:S)</f>
        <v>0</v>
      </c>
      <c r="E28" s="92">
        <f t="shared" si="0"/>
        <v>0</v>
      </c>
      <c r="F28" s="93">
        <f t="shared" si="1"/>
        <v>0</v>
      </c>
    </row>
    <row r="29" spans="1:6" x14ac:dyDescent="0.35">
      <c r="A29" t="s">
        <v>117</v>
      </c>
      <c r="B29">
        <f>COUNTIF('Item Detail'!AF:AF,A29)</f>
        <v>0</v>
      </c>
      <c r="C29" s="91">
        <f>SUMIF('Item Detail'!AF:AF,A29,'Item Detail'!O:O)</f>
        <v>0</v>
      </c>
      <c r="D29" s="91">
        <f>SUMIF('Item Detail'!AF:AF,A29,'Item Detail'!S:S)</f>
        <v>0</v>
      </c>
      <c r="E29" s="92">
        <f t="shared" si="0"/>
        <v>0</v>
      </c>
      <c r="F29" s="93">
        <f t="shared" si="1"/>
        <v>0</v>
      </c>
    </row>
    <row r="30" spans="1:6" x14ac:dyDescent="0.35">
      <c r="A30" t="s">
        <v>118</v>
      </c>
      <c r="B30">
        <f>COUNTIF('Item Detail'!AF:AF,A30)</f>
        <v>0</v>
      </c>
      <c r="C30" s="91">
        <f>SUMIF('Item Detail'!AF:AF,A30,'Item Detail'!O:O)</f>
        <v>0</v>
      </c>
      <c r="D30" s="91">
        <f>SUMIF('Item Detail'!AF:AF,A30,'Item Detail'!S:S)</f>
        <v>0</v>
      </c>
      <c r="E30" s="92">
        <f t="shared" si="0"/>
        <v>0</v>
      </c>
      <c r="F30" s="93">
        <f t="shared" si="1"/>
        <v>0</v>
      </c>
    </row>
    <row r="31" spans="1:6" x14ac:dyDescent="0.35">
      <c r="A31" t="s">
        <v>119</v>
      </c>
      <c r="B31">
        <f>COUNTIF('Item Detail'!AF:AF,A31)</f>
        <v>96</v>
      </c>
      <c r="C31" s="91">
        <f>SUMIF('Item Detail'!AF:AF,A31,'Item Detail'!O:O)</f>
        <v>309808.01999999979</v>
      </c>
      <c r="D31" s="91">
        <f>SUMIF('Item Detail'!AF:AF,A31,'Item Detail'!S:S)</f>
        <v>310637.68000000005</v>
      </c>
      <c r="E31" s="92">
        <f t="shared" si="0"/>
        <v>-829.66000000026543</v>
      </c>
      <c r="F31" s="93">
        <f t="shared" si="1"/>
        <v>-2.6779810283809502E-3</v>
      </c>
    </row>
    <row r="32" spans="1:6" x14ac:dyDescent="0.35">
      <c r="A32" t="s">
        <v>120</v>
      </c>
      <c r="B32">
        <f>COUNTIF('Item Detail'!AF:AF,A32)</f>
        <v>1</v>
      </c>
      <c r="C32" s="91">
        <f>SUMIF('Item Detail'!AF:AF,A32,'Item Detail'!O:O)</f>
        <v>2752.2000000000003</v>
      </c>
      <c r="D32" s="91">
        <f>SUMIF('Item Detail'!AF:AF,A32,'Item Detail'!S:S)</f>
        <v>2614.92</v>
      </c>
      <c r="E32" s="92">
        <f t="shared" si="0"/>
        <v>137.2800000000002</v>
      </c>
      <c r="F32" s="93">
        <f t="shared" si="1"/>
        <v>4.988009592326146E-2</v>
      </c>
    </row>
    <row r="33" spans="1:6" x14ac:dyDescent="0.35">
      <c r="A33" t="s">
        <v>121</v>
      </c>
      <c r="B33">
        <f>COUNTIF('Item Detail'!AF:AF,A33)</f>
        <v>0</v>
      </c>
      <c r="C33" s="91">
        <f>SUMIF('Item Detail'!AF:AF,A33,'Item Detail'!O:O)</f>
        <v>0</v>
      </c>
      <c r="D33" s="91">
        <f>SUMIF('Item Detail'!AF:AF,A33,'Item Detail'!S:S)</f>
        <v>0</v>
      </c>
      <c r="E33" s="92">
        <f t="shared" si="0"/>
        <v>0</v>
      </c>
      <c r="F33" s="93">
        <f t="shared" si="1"/>
        <v>0</v>
      </c>
    </row>
    <row r="34" spans="1:6" x14ac:dyDescent="0.35">
      <c r="A34" t="s">
        <v>122</v>
      </c>
      <c r="B34">
        <f>COUNTIF('Item Detail'!AF:AF,A34)</f>
        <v>3</v>
      </c>
      <c r="C34" s="91">
        <f>SUMIF('Item Detail'!AF:AF,A34,'Item Detail'!O:O)</f>
        <v>88923.54</v>
      </c>
      <c r="D34" s="91">
        <f>SUMIF('Item Detail'!AF:AF,A34,'Item Detail'!S:S)</f>
        <v>78429.48</v>
      </c>
      <c r="E34" s="92">
        <f t="shared" si="0"/>
        <v>10494.059999999998</v>
      </c>
      <c r="F34" s="93">
        <f t="shared" si="1"/>
        <v>0.11801217090547675</v>
      </c>
    </row>
    <row r="36" spans="1:6" x14ac:dyDescent="0.35">
      <c r="A36" t="s">
        <v>17</v>
      </c>
      <c r="B36">
        <f>SUM(B3:B35)</f>
        <v>102</v>
      </c>
      <c r="C36" s="91">
        <f t="shared" ref="C36:E36" si="2">SUM(C3:C35)</f>
        <v>407377.0999999998</v>
      </c>
      <c r="D36" s="91">
        <f t="shared" si="2"/>
        <v>393855.52</v>
      </c>
      <c r="E36" s="91">
        <f t="shared" si="2"/>
        <v>13521.579999999733</v>
      </c>
      <c r="F36" s="93">
        <f>IFERROR(E36/C36,0)</f>
        <v>3.3191801895589464E-2</v>
      </c>
    </row>
  </sheetData>
  <autoFilter ref="A2:F2" xr:uid="{00000000-0009-0000-0000-00000A000000}"/>
  <sortState xmlns:xlrd2="http://schemas.microsoft.com/office/spreadsheetml/2017/richdata2" ref="A3:F34">
    <sortCondition ref="A3"/>
  </sortState>
  <pageMargins left="0.7" right="0.7" top="0.75" bottom="0.75" header="0.3" footer="0.3"/>
  <headerFooter>
    <oddFooter>&amp;C_x000D_&amp;1#&amp;"Calibri"&amp;10&amp;K000000 Low Sensitivity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sOwner xmlns="fde0f997-f8cf-4c44-90af-5b78212f55b6">
      <UserInfo>
        <DisplayName>Mathews, Amy</DisplayName>
        <AccountId>69</AccountId>
        <AccountType/>
      </UserInfo>
    </ProcessOwner>
    <ProcessOwnerLeader xmlns="fde0f997-f8cf-4c44-90af-5b78212f55b6">
      <UserInfo>
        <DisplayName>Barb, Tricia</DisplayName>
        <AccountId>410</AccountId>
        <AccountType/>
      </UserInfo>
    </ProcessOwnerLeader>
    <LastUpdated xmlns="fde0f997-f8cf-4c44-90af-5b78212f55b6">2025-10-20T05:00:00+00:00</LastUpdated>
    <Notes xmlns="fde0f997-f8cf-4c44-90af-5b78212f55b6" xsi:nil="true"/>
    <Customer xmlns="fde0f997-f8cf-4c44-90af-5b78212f55b6">Procurement Analytics</Customer>
    <ReviewDate xmlns="fde0f997-f8cf-4c44-90af-5b78212f55b6">2026-01-20T06:00:00+00:00</ReviewDat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B68C2E9B528C468EBC8699614B6CAB" ma:contentTypeVersion="22" ma:contentTypeDescription="Create a new document." ma:contentTypeScope="" ma:versionID="41bc7f8c8f765de842e1abed8f0da068">
  <xsd:schema xmlns:xsd="http://www.w3.org/2001/XMLSchema" xmlns:xs="http://www.w3.org/2001/XMLSchema" xmlns:p="http://schemas.microsoft.com/office/2006/metadata/properties" xmlns:ns2="fde0f997-f8cf-4c44-90af-5b78212f55b6" xmlns:ns3="fe49263f-a828-4e43-bf62-23193c99a5e6" targetNamespace="http://schemas.microsoft.com/office/2006/metadata/properties" ma:root="true" ma:fieldsID="311dd11f572ccd39e422452feed8ccd5" ns2:_="" ns3:_="">
    <xsd:import namespace="fde0f997-f8cf-4c44-90af-5b78212f55b6"/>
    <xsd:import namespace="fe49263f-a828-4e43-bf62-23193c99a5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Customer" minOccurs="0"/>
                <xsd:element ref="ns2:LastUpdated" minOccurs="0"/>
                <xsd:element ref="ns2:ProcessOwner" minOccurs="0"/>
                <xsd:element ref="ns2:ReviewDate" minOccurs="0"/>
                <xsd:element ref="ns2:Notes" minOccurs="0"/>
                <xsd:element ref="ns2:ProcessOwnerLeader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0f997-f8cf-4c44-90af-5b78212f55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ustomer" ma:index="11" nillable="true" ma:displayName="Customer" ma:format="Dropdown" ma:internalName="Customer">
      <xsd:simpleType>
        <xsd:restriction base="dms:Text">
          <xsd:maxLength value="255"/>
        </xsd:restriction>
      </xsd:simpleType>
    </xsd:element>
    <xsd:element name="LastUpdated" ma:index="12" nillable="true" ma:displayName="Reviewed Date" ma:format="DateOnly" ma:internalName="LastUpdated">
      <xsd:simpleType>
        <xsd:restriction base="dms:DateTime"/>
      </xsd:simpleType>
    </xsd:element>
    <xsd:element name="ProcessOwner" ma:index="13" nillable="true" ma:displayName="Process Owner" ma:format="Dropdown" ma:list="UserInfo" ma:SharePointGroup="0" ma:internalName="Process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ewDate" ma:index="14" nillable="true" ma:displayName="Audit Date" ma:format="DateOnly" ma:internalName="ReviewDate">
      <xsd:simpleType>
        <xsd:restriction base="dms:DateTime"/>
      </xsd:simpleType>
    </xsd:element>
    <xsd:element name="Notes" ma:index="15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ProcessOwnerLeader" ma:index="17" nillable="true" ma:displayName="Leader" ma:format="Dropdown" ma:list="UserInfo" ma:SharePointGroup="0" ma:internalName="ProcessOwnerLead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9263f-a828-4e43-bf62-23193c99a5e6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6961B4-6BF5-433F-B2D4-8FD95EDF5A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697C03-FA66-4BEF-8031-4014267C0985}">
  <ds:schemaRefs>
    <ds:schemaRef ds:uri="http://schemas.microsoft.com/office/infopath/2007/PartnerControls"/>
    <ds:schemaRef ds:uri="http://purl.org/dc/dcmitype/"/>
    <ds:schemaRef ds:uri="http://purl.org/dc/elements/1.1/"/>
    <ds:schemaRef ds:uri="fe49263f-a828-4e43-bf62-23193c99a5e6"/>
    <ds:schemaRef ds:uri="http://schemas.microsoft.com/office/2006/documentManagement/types"/>
    <ds:schemaRef ds:uri="http://www.w3.org/XML/1998/namespace"/>
    <ds:schemaRef ds:uri="fde0f997-f8cf-4c44-90af-5b78212f55b6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90C85DF-DF34-49AE-89FC-8039A73811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e0f997-f8cf-4c44-90af-5b78212f55b6"/>
    <ds:schemaRef ds:uri="fe49263f-a828-4e43-bf62-23193c99a5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Item Detail</vt:lpstr>
      <vt:lpstr>Excluded</vt:lpstr>
      <vt:lpstr>Cust File</vt:lpstr>
      <vt:lpstr>Segment Summary</vt:lpstr>
    </vt:vector>
  </TitlesOfParts>
  <Manager/>
  <Company>W. W. Grainger,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Crawford, Ryan</dc:creator>
  <cp:keywords/>
  <dc:description/>
  <cp:lastModifiedBy>Mohammed Mithawala</cp:lastModifiedBy>
  <cp:revision/>
  <dcterms:created xsi:type="dcterms:W3CDTF">2014-04-24T16:23:59Z</dcterms:created>
  <dcterms:modified xsi:type="dcterms:W3CDTF">2025-12-19T16:11:39Z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0x01010057B68C2E9B528C468EBC8699614B6CAB</vt:lpwstr>
  </property>
  <property fmtid="{D5CDD505-2E9C-101B-9397-08002B2CF9AE}" pid="3" name="MSIP_Label_5c9fced2-f7b5-40ca-a8ff-8ca411eb0a6b_Enabled">
    <vt:lpwstr>true</vt:lpwstr>
  </property>
  <property fmtid="{D5CDD505-2E9C-101B-9397-08002B2CF9AE}" pid="4" name="MSIP_Label_5c9fced2-f7b5-40ca-a8ff-8ca411eb0a6b_SetDate">
    <vt:lpwstr>2023-12-06T17:24:01Z</vt:lpwstr>
  </property>
  <property fmtid="{D5CDD505-2E9C-101B-9397-08002B2CF9AE}" pid="5" name="MSIP_Label_5c9fced2-f7b5-40ca-a8ff-8ca411eb0a6b_Method">
    <vt:lpwstr>Standard</vt:lpwstr>
  </property>
  <property fmtid="{D5CDD505-2E9C-101B-9397-08002B2CF9AE}" pid="6" name="MSIP_Label_5c9fced2-f7b5-40ca-a8ff-8ca411eb0a6b_Name">
    <vt:lpwstr>Low Sensitivity</vt:lpwstr>
  </property>
  <property fmtid="{D5CDD505-2E9C-101B-9397-08002B2CF9AE}" pid="7" name="MSIP_Label_5c9fced2-f7b5-40ca-a8ff-8ca411eb0a6b_SiteId">
    <vt:lpwstr>48d1dcb6-bccc-4365-ac7f-b937a7f7fd71</vt:lpwstr>
  </property>
  <property fmtid="{D5CDD505-2E9C-101B-9397-08002B2CF9AE}" pid="8" name="MSIP_Label_5c9fced2-f7b5-40ca-a8ff-8ca411eb0a6b_ActionId">
    <vt:lpwstr>794eda7a-2823-4bf2-9d5e-a0a6407d6b2a</vt:lpwstr>
  </property>
  <property fmtid="{D5CDD505-2E9C-101B-9397-08002B2CF9AE}" pid="9" name="MSIP_Label_5c9fced2-f7b5-40ca-a8ff-8ca411eb0a6b_ContentBits">
    <vt:lpwstr>2</vt:lpwstr>
  </property>
</Properties>
</file>