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grainger-my.sharepoint.com/personal/kayla_beaumont_grainger_com/Documents/Desktop/Benchmark/Internal Benchmark/"/>
    </mc:Choice>
  </mc:AlternateContent>
  <xr:revisionPtr revIDLastSave="1802" documentId="8_{D42681F3-A23F-4DD3-8E2B-42215ECEFA26}" xr6:coauthVersionLast="46" xr6:coauthVersionMax="46" xr10:uidLastSave="{8D83C63A-BC13-441E-985E-8A4FA149544E}"/>
  <bookViews>
    <workbookView xWindow="28680" yWindow="-120" windowWidth="29040" windowHeight="15840" tabRatio="798" xr2:uid="{00000000-000D-0000-FFFF-FFFF00000000}"/>
  </bookViews>
  <sheets>
    <sheet name="Summary.Confidential" sheetId="4" r:id="rId1"/>
    <sheet name="Summary.Current" sheetId="33" r:id="rId2"/>
    <sheet name="Loc.Summ.Confidential" sheetId="16" r:id="rId3"/>
    <sheet name="Segment.Confidential" sheetId="13" r:id="rId4"/>
    <sheet name="Preferred MFR" sheetId="31" r:id="rId5"/>
    <sheet name="ItemDetail.Confidential" sheetId="5" r:id="rId6"/>
    <sheet name="Excluded.Confidential" sheetId="6" r:id="rId7"/>
    <sheet name="Location List.Confidential" sheetId="24" r:id="rId8"/>
  </sheets>
  <definedNames>
    <definedName name="_xlnm._FilterDatabase" localSheetId="5" hidden="1">ItemDetail.Confidential!$A$1:$Z$1</definedName>
    <definedName name="lookup21">'Location List.Confidential'!#REF!</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72" i="5" l="1"/>
  <c r="P185" i="5"/>
  <c r="P114" i="5"/>
  <c r="P120" i="5"/>
  <c r="P67" i="5"/>
  <c r="P83" i="5"/>
  <c r="P27" i="5"/>
  <c r="P122" i="5"/>
  <c r="P69" i="5"/>
  <c r="P37" i="5"/>
  <c r="P15" i="5"/>
  <c r="P41" i="5"/>
  <c r="P118" i="5"/>
  <c r="P116" i="5"/>
  <c r="P130" i="5"/>
  <c r="P98" i="5"/>
  <c r="P117" i="5"/>
  <c r="P73" i="5"/>
  <c r="P162" i="5"/>
  <c r="P86" i="5"/>
  <c r="P77" i="5"/>
  <c r="P138" i="5"/>
  <c r="P65" i="5"/>
  <c r="P42" i="5"/>
  <c r="P70" i="5"/>
  <c r="P32" i="5"/>
  <c r="P78" i="5"/>
  <c r="P104" i="5"/>
  <c r="P7" i="5"/>
  <c r="P165" i="5"/>
  <c r="P59" i="5"/>
  <c r="P99" i="5"/>
  <c r="P50" i="5"/>
  <c r="P39" i="5"/>
  <c r="P191" i="5"/>
  <c r="P141" i="5"/>
  <c r="P193" i="5"/>
  <c r="P85" i="5"/>
  <c r="P2" i="5"/>
  <c r="P187" i="5"/>
  <c r="P102" i="5"/>
  <c r="P105" i="5"/>
  <c r="P112" i="5"/>
  <c r="P71" i="5"/>
  <c r="P13" i="5"/>
  <c r="P124" i="5"/>
  <c r="P91" i="5"/>
  <c r="P154" i="5"/>
  <c r="P161" i="5"/>
  <c r="P97" i="5"/>
  <c r="P22" i="5"/>
  <c r="P146" i="5"/>
  <c r="P16" i="5"/>
  <c r="P43" i="5"/>
  <c r="P100" i="5"/>
  <c r="P81" i="5"/>
  <c r="P72" i="5"/>
  <c r="P190" i="5"/>
  <c r="P26" i="5"/>
  <c r="P101" i="5"/>
  <c r="P140" i="5"/>
  <c r="P12" i="5"/>
  <c r="P157" i="5"/>
  <c r="P88" i="5"/>
  <c r="P119" i="5"/>
  <c r="P79" i="5"/>
  <c r="P31" i="5"/>
  <c r="P20" i="5"/>
  <c r="P17" i="5"/>
  <c r="P49" i="5"/>
  <c r="P144" i="5"/>
  <c r="P164" i="5"/>
  <c r="P4" i="5"/>
  <c r="P48" i="5"/>
  <c r="P180" i="5"/>
  <c r="P82" i="5"/>
  <c r="P9" i="5"/>
  <c r="P169" i="5"/>
  <c r="P95" i="5"/>
  <c r="P107" i="5"/>
  <c r="P92" i="5"/>
  <c r="P149" i="5"/>
  <c r="P131" i="5"/>
  <c r="P121" i="5"/>
  <c r="P166" i="5"/>
  <c r="P142" i="5"/>
  <c r="P93" i="5"/>
  <c r="P159" i="5"/>
  <c r="P62" i="5"/>
  <c r="P137" i="5"/>
  <c r="P113" i="5"/>
  <c r="P106" i="5"/>
  <c r="P38" i="5"/>
  <c r="P18" i="5"/>
  <c r="P63" i="5"/>
  <c r="P171" i="5"/>
  <c r="P35" i="5"/>
  <c r="P110" i="5"/>
  <c r="P170" i="5"/>
  <c r="P126" i="5"/>
  <c r="P75" i="5"/>
  <c r="P52" i="5"/>
  <c r="P150" i="5"/>
  <c r="P147" i="5"/>
  <c r="P167" i="5"/>
  <c r="P34" i="5"/>
  <c r="P53" i="5"/>
  <c r="P74" i="5"/>
  <c r="P30" i="5"/>
  <c r="P89" i="5"/>
  <c r="P54" i="5"/>
  <c r="P176" i="5"/>
  <c r="P76" i="5"/>
  <c r="P29" i="5"/>
  <c r="P51" i="5"/>
  <c r="P24" i="5"/>
  <c r="P94" i="5"/>
  <c r="P125" i="5"/>
  <c r="P129" i="5"/>
  <c r="P21" i="5"/>
  <c r="P6" i="5"/>
  <c r="P155" i="5"/>
  <c r="P186" i="5"/>
  <c r="P40" i="5"/>
  <c r="P163" i="5"/>
  <c r="P128" i="5"/>
  <c r="P66" i="5"/>
  <c r="P179" i="5"/>
  <c r="P84" i="5"/>
  <c r="P33" i="5"/>
  <c r="P8" i="5"/>
  <c r="P61" i="5"/>
  <c r="P80" i="5"/>
  <c r="P136" i="5"/>
  <c r="P36" i="5"/>
  <c r="P44" i="5"/>
  <c r="P103" i="5"/>
  <c r="P156" i="5"/>
  <c r="P123" i="5"/>
  <c r="P153" i="5"/>
  <c r="P46" i="5"/>
  <c r="P132" i="5"/>
  <c r="P127" i="5"/>
  <c r="P173" i="5"/>
  <c r="P56" i="5"/>
  <c r="P108" i="5"/>
  <c r="P19" i="5"/>
  <c r="P64" i="5"/>
  <c r="P25" i="5"/>
  <c r="P189" i="5"/>
  <c r="P181" i="5"/>
  <c r="P139" i="5"/>
  <c r="P28" i="5"/>
  <c r="P10" i="5"/>
  <c r="P5" i="5"/>
  <c r="P14" i="5"/>
  <c r="P178" i="5"/>
  <c r="P188" i="5"/>
  <c r="P148" i="5"/>
  <c r="P134" i="5"/>
  <c r="P175" i="5"/>
  <c r="P11" i="5"/>
  <c r="P111" i="5"/>
  <c r="P45" i="5"/>
  <c r="P90" i="5"/>
  <c r="P133" i="5"/>
  <c r="P168" i="5"/>
  <c r="P58" i="5"/>
  <c r="P47" i="5"/>
  <c r="P57" i="5"/>
  <c r="P158" i="5"/>
  <c r="P115" i="5"/>
  <c r="P109" i="5"/>
  <c r="P183" i="5"/>
  <c r="P160" i="5"/>
  <c r="P60" i="5"/>
  <c r="P152" i="5"/>
  <c r="P23" i="5"/>
  <c r="P145" i="5"/>
  <c r="P87" i="5"/>
  <c r="P143" i="5"/>
  <c r="P192" i="5"/>
  <c r="P96" i="5"/>
  <c r="P174" i="5"/>
  <c r="P3" i="5"/>
  <c r="P177" i="5"/>
  <c r="P182" i="5"/>
  <c r="P184" i="5"/>
  <c r="P135" i="5"/>
  <c r="P151" i="5"/>
  <c r="P68" i="5"/>
  <c r="P55" i="5"/>
  <c r="N3" i="5" l="1"/>
  <c r="N48" i="5"/>
  <c r="R48" i="5" s="1"/>
  <c r="S48" i="5" s="1"/>
  <c r="T48" i="5" s="1"/>
  <c r="N22" i="5"/>
  <c r="N112" i="5"/>
  <c r="K112" i="5" s="1"/>
  <c r="L112" i="5" s="1"/>
  <c r="M112" i="5" s="1"/>
  <c r="N64" i="5"/>
  <c r="N181" i="5"/>
  <c r="N127" i="5"/>
  <c r="N132" i="5"/>
  <c r="N72" i="5"/>
  <c r="N31" i="5"/>
  <c r="N87" i="5"/>
  <c r="N179" i="5"/>
  <c r="N183" i="5"/>
  <c r="N153" i="5"/>
  <c r="N114" i="5"/>
  <c r="N85" i="5"/>
  <c r="N125" i="5"/>
  <c r="N160" i="5"/>
  <c r="K160" i="5" s="1"/>
  <c r="L160" i="5" s="1"/>
  <c r="M160" i="5" s="1"/>
  <c r="N120" i="5"/>
  <c r="N190" i="5"/>
  <c r="N161" i="5"/>
  <c r="N32" i="5"/>
  <c r="N101" i="5"/>
  <c r="N134" i="5"/>
  <c r="N113" i="5"/>
  <c r="N124" i="5"/>
  <c r="N56" i="5"/>
  <c r="N92" i="5"/>
  <c r="N99" i="5"/>
  <c r="N41" i="5"/>
  <c r="N60" i="5"/>
  <c r="N46" i="5"/>
  <c r="N176" i="5"/>
  <c r="N54" i="5"/>
  <c r="N30" i="5"/>
  <c r="N63" i="5"/>
  <c r="N18" i="5"/>
  <c r="N38" i="5"/>
  <c r="N106" i="5"/>
  <c r="N146" i="5"/>
  <c r="N86" i="5"/>
  <c r="N122" i="5"/>
  <c r="N68" i="5"/>
  <c r="N151" i="5"/>
  <c r="N180" i="5"/>
  <c r="N100" i="5"/>
  <c r="N16" i="5"/>
  <c r="N39" i="5"/>
  <c r="N138" i="5"/>
  <c r="N77" i="5"/>
  <c r="N170" i="5"/>
  <c r="N95" i="5"/>
  <c r="N193" i="5"/>
  <c r="N157" i="5"/>
  <c r="N130" i="5"/>
  <c r="N177" i="5"/>
  <c r="N158" i="5"/>
  <c r="N159" i="5"/>
  <c r="N105" i="5"/>
  <c r="N116" i="5"/>
  <c r="N184" i="5"/>
  <c r="N155" i="5"/>
  <c r="N20" i="5"/>
  <c r="N79" i="5"/>
  <c r="N154" i="5"/>
  <c r="N91" i="5"/>
  <c r="N117" i="5"/>
  <c r="N11" i="5"/>
  <c r="N182" i="5"/>
  <c r="N35" i="5"/>
  <c r="N12" i="5"/>
  <c r="N189" i="5"/>
  <c r="N40" i="5"/>
  <c r="N24" i="5"/>
  <c r="N102" i="5"/>
  <c r="N2" i="5"/>
  <c r="N94" i="5"/>
  <c r="N52" i="5"/>
  <c r="N75" i="5"/>
  <c r="N140" i="5"/>
  <c r="N118" i="5"/>
  <c r="N45" i="5"/>
  <c r="C4" i="16"/>
  <c r="D4" i="16"/>
  <c r="E4" i="16"/>
  <c r="A13" i="4"/>
  <c r="A12" i="4"/>
  <c r="N136" i="5" l="1"/>
  <c r="K48" i="5"/>
  <c r="L48" i="5" s="1"/>
  <c r="M48" i="5" s="1"/>
  <c r="R112" i="5"/>
  <c r="S112" i="5" s="1"/>
  <c r="T112" i="5" s="1"/>
  <c r="N17" i="5"/>
  <c r="K17" i="5" s="1"/>
  <c r="L17" i="5" s="1"/>
  <c r="M17" i="5" s="1"/>
  <c r="N49" i="5"/>
  <c r="K49" i="5" s="1"/>
  <c r="L49" i="5" s="1"/>
  <c r="M49" i="5" s="1"/>
  <c r="N143" i="5"/>
  <c r="N175" i="5"/>
  <c r="K175" i="5" s="1"/>
  <c r="L175" i="5" s="1"/>
  <c r="M175" i="5" s="1"/>
  <c r="N88" i="5"/>
  <c r="N191" i="5"/>
  <c r="K46" i="5"/>
  <c r="L46" i="5" s="1"/>
  <c r="M46" i="5" s="1"/>
  <c r="R46" i="5"/>
  <c r="S46" i="5" s="1"/>
  <c r="T46" i="5" s="1"/>
  <c r="K177" i="5"/>
  <c r="L177" i="5" s="1"/>
  <c r="M177" i="5" s="1"/>
  <c r="R177" i="5"/>
  <c r="S177" i="5" s="1"/>
  <c r="T177" i="5" s="1"/>
  <c r="R155" i="5"/>
  <c r="S155" i="5" s="1"/>
  <c r="T155" i="5" s="1"/>
  <c r="K155" i="5"/>
  <c r="L155" i="5" s="1"/>
  <c r="M155" i="5" s="1"/>
  <c r="K193" i="5"/>
  <c r="L193" i="5" s="1"/>
  <c r="M193" i="5" s="1"/>
  <c r="R193" i="5"/>
  <c r="S193" i="5" s="1"/>
  <c r="T193" i="5" s="1"/>
  <c r="K77" i="5"/>
  <c r="L77" i="5" s="1"/>
  <c r="M77" i="5" s="1"/>
  <c r="R77" i="5"/>
  <c r="S77" i="5" s="1"/>
  <c r="T77" i="5" s="1"/>
  <c r="K18" i="5"/>
  <c r="L18" i="5" s="1"/>
  <c r="M18" i="5" s="1"/>
  <c r="R18" i="5"/>
  <c r="S18" i="5" s="1"/>
  <c r="T18" i="5" s="1"/>
  <c r="K151" i="5"/>
  <c r="L151" i="5" s="1"/>
  <c r="M151" i="5" s="1"/>
  <c r="R151" i="5"/>
  <c r="S151" i="5" s="1"/>
  <c r="T151" i="5" s="1"/>
  <c r="K184" i="5"/>
  <c r="L184" i="5" s="1"/>
  <c r="M184" i="5" s="1"/>
  <c r="R184" i="5"/>
  <c r="S184" i="5" s="1"/>
  <c r="T184" i="5" s="1"/>
  <c r="K39" i="5"/>
  <c r="L39" i="5" s="1"/>
  <c r="M39" i="5" s="1"/>
  <c r="R39" i="5"/>
  <c r="S39" i="5" s="1"/>
  <c r="T39" i="5" s="1"/>
  <c r="K120" i="5"/>
  <c r="L120" i="5" s="1"/>
  <c r="M120" i="5" s="1"/>
  <c r="R120" i="5"/>
  <c r="S120" i="5" s="1"/>
  <c r="T120" i="5" s="1"/>
  <c r="K159" i="5"/>
  <c r="L159" i="5" s="1"/>
  <c r="M159" i="5" s="1"/>
  <c r="R159" i="5"/>
  <c r="S159" i="5" s="1"/>
  <c r="T159" i="5" s="1"/>
  <c r="K122" i="5"/>
  <c r="L122" i="5" s="1"/>
  <c r="M122" i="5" s="1"/>
  <c r="R122" i="5"/>
  <c r="S122" i="5" s="1"/>
  <c r="T122" i="5" s="1"/>
  <c r="K113" i="5"/>
  <c r="L113" i="5" s="1"/>
  <c r="M113" i="5" s="1"/>
  <c r="R113" i="5"/>
  <c r="S113" i="5" s="1"/>
  <c r="T113" i="5" s="1"/>
  <c r="K179" i="5"/>
  <c r="L179" i="5" s="1"/>
  <c r="M179" i="5" s="1"/>
  <c r="R179" i="5"/>
  <c r="S179" i="5" s="1"/>
  <c r="T179" i="5" s="1"/>
  <c r="K88" i="5"/>
  <c r="L88" i="5" s="1"/>
  <c r="M88" i="5" s="1"/>
  <c r="R88" i="5"/>
  <c r="S88" i="5" s="1"/>
  <c r="T88" i="5" s="1"/>
  <c r="K24" i="5"/>
  <c r="L24" i="5" s="1"/>
  <c r="M24" i="5" s="1"/>
  <c r="R24" i="5"/>
  <c r="S24" i="5" s="1"/>
  <c r="T24" i="5" s="1"/>
  <c r="K56" i="5"/>
  <c r="L56" i="5" s="1"/>
  <c r="M56" i="5" s="1"/>
  <c r="R56" i="5"/>
  <c r="S56" i="5" s="1"/>
  <c r="T56" i="5" s="1"/>
  <c r="K91" i="5"/>
  <c r="L91" i="5" s="1"/>
  <c r="M91" i="5" s="1"/>
  <c r="R91" i="5"/>
  <c r="S91" i="5" s="1"/>
  <c r="T91" i="5" s="1"/>
  <c r="K94" i="5"/>
  <c r="L94" i="5" s="1"/>
  <c r="M94" i="5" s="1"/>
  <c r="R94" i="5"/>
  <c r="S94" i="5" s="1"/>
  <c r="T94" i="5" s="1"/>
  <c r="N165" i="5"/>
  <c r="R189" i="5"/>
  <c r="S189" i="5" s="1"/>
  <c r="T189" i="5" s="1"/>
  <c r="K189" i="5"/>
  <c r="L189" i="5" s="1"/>
  <c r="M189" i="5" s="1"/>
  <c r="K54" i="5"/>
  <c r="L54" i="5" s="1"/>
  <c r="M54" i="5" s="1"/>
  <c r="R54" i="5"/>
  <c r="S54" i="5" s="1"/>
  <c r="T54" i="5" s="1"/>
  <c r="K11" i="5"/>
  <c r="L11" i="5" s="1"/>
  <c r="M11" i="5" s="1"/>
  <c r="R11" i="5"/>
  <c r="S11" i="5" s="1"/>
  <c r="T11" i="5" s="1"/>
  <c r="K3" i="5"/>
  <c r="L3" i="5" s="1"/>
  <c r="M3" i="5" s="1"/>
  <c r="R3" i="5"/>
  <c r="S3" i="5" s="1"/>
  <c r="T3" i="5" s="1"/>
  <c r="K116" i="5"/>
  <c r="L116" i="5" s="1"/>
  <c r="M116" i="5" s="1"/>
  <c r="R116" i="5"/>
  <c r="S116" i="5" s="1"/>
  <c r="T116" i="5" s="1"/>
  <c r="K136" i="5"/>
  <c r="L136" i="5" s="1"/>
  <c r="M136" i="5" s="1"/>
  <c r="R136" i="5"/>
  <c r="S136" i="5" s="1"/>
  <c r="T136" i="5" s="1"/>
  <c r="K32" i="5"/>
  <c r="L32" i="5" s="1"/>
  <c r="M32" i="5" s="1"/>
  <c r="R32" i="5"/>
  <c r="S32" i="5" s="1"/>
  <c r="T32" i="5" s="1"/>
  <c r="K16" i="5"/>
  <c r="L16" i="5" s="1"/>
  <c r="M16" i="5" s="1"/>
  <c r="R16" i="5"/>
  <c r="S16" i="5" s="1"/>
  <c r="T16" i="5" s="1"/>
  <c r="K86" i="5"/>
  <c r="L86" i="5" s="1"/>
  <c r="M86" i="5" s="1"/>
  <c r="R86" i="5"/>
  <c r="S86" i="5" s="1"/>
  <c r="T86" i="5" s="1"/>
  <c r="K64" i="5"/>
  <c r="L64" i="5" s="1"/>
  <c r="M64" i="5" s="1"/>
  <c r="R64" i="5"/>
  <c r="S64" i="5" s="1"/>
  <c r="T64" i="5" s="1"/>
  <c r="K154" i="5"/>
  <c r="L154" i="5" s="1"/>
  <c r="M154" i="5" s="1"/>
  <c r="R154" i="5"/>
  <c r="S154" i="5" s="1"/>
  <c r="T154" i="5" s="1"/>
  <c r="K118" i="5"/>
  <c r="L118" i="5" s="1"/>
  <c r="M118" i="5" s="1"/>
  <c r="R118" i="5"/>
  <c r="S118" i="5" s="1"/>
  <c r="T118" i="5" s="1"/>
  <c r="K92" i="5"/>
  <c r="L92" i="5" s="1"/>
  <c r="M92" i="5" s="1"/>
  <c r="R92" i="5"/>
  <c r="S92" i="5" s="1"/>
  <c r="T92" i="5" s="1"/>
  <c r="K190" i="5"/>
  <c r="L190" i="5" s="1"/>
  <c r="M190" i="5" s="1"/>
  <c r="R190" i="5"/>
  <c r="S190" i="5" s="1"/>
  <c r="T190" i="5" s="1"/>
  <c r="R40" i="5"/>
  <c r="S40" i="5" s="1"/>
  <c r="T40" i="5" s="1"/>
  <c r="K40" i="5"/>
  <c r="L40" i="5" s="1"/>
  <c r="M40" i="5" s="1"/>
  <c r="K72" i="5"/>
  <c r="L72" i="5" s="1"/>
  <c r="M72" i="5" s="1"/>
  <c r="R72" i="5"/>
  <c r="S72" i="5" s="1"/>
  <c r="T72" i="5" s="1"/>
  <c r="N148" i="5"/>
  <c r="K134" i="5"/>
  <c r="L134" i="5" s="1"/>
  <c r="M134" i="5" s="1"/>
  <c r="R134" i="5"/>
  <c r="S134" i="5" s="1"/>
  <c r="T134" i="5" s="1"/>
  <c r="K183" i="5"/>
  <c r="L183" i="5" s="1"/>
  <c r="M183" i="5" s="1"/>
  <c r="R183" i="5"/>
  <c r="S183" i="5" s="1"/>
  <c r="T183" i="5" s="1"/>
  <c r="K158" i="5"/>
  <c r="L158" i="5" s="1"/>
  <c r="M158" i="5" s="1"/>
  <c r="R158" i="5"/>
  <c r="S158" i="5" s="1"/>
  <c r="T158" i="5" s="1"/>
  <c r="K22" i="5"/>
  <c r="L22" i="5" s="1"/>
  <c r="M22" i="5" s="1"/>
  <c r="R22" i="5"/>
  <c r="S22" i="5" s="1"/>
  <c r="T22" i="5" s="1"/>
  <c r="K146" i="5"/>
  <c r="L146" i="5" s="1"/>
  <c r="M146" i="5" s="1"/>
  <c r="R146" i="5"/>
  <c r="S146" i="5" s="1"/>
  <c r="T146" i="5" s="1"/>
  <c r="K99" i="5"/>
  <c r="L99" i="5" s="1"/>
  <c r="M99" i="5" s="1"/>
  <c r="R99" i="5"/>
  <c r="S99" i="5" s="1"/>
  <c r="T99" i="5" s="1"/>
  <c r="R181" i="5"/>
  <c r="S181" i="5" s="1"/>
  <c r="T181" i="5" s="1"/>
  <c r="K181" i="5"/>
  <c r="L181" i="5" s="1"/>
  <c r="M181" i="5" s="1"/>
  <c r="K95" i="5"/>
  <c r="L95" i="5" s="1"/>
  <c r="M95" i="5" s="1"/>
  <c r="R95" i="5"/>
  <c r="S95" i="5" s="1"/>
  <c r="T95" i="5" s="1"/>
  <c r="K12" i="5"/>
  <c r="L12" i="5" s="1"/>
  <c r="M12" i="5" s="1"/>
  <c r="R12" i="5"/>
  <c r="S12" i="5" s="1"/>
  <c r="T12" i="5" s="1"/>
  <c r="K182" i="5"/>
  <c r="L182" i="5" s="1"/>
  <c r="M182" i="5" s="1"/>
  <c r="R182" i="5"/>
  <c r="S182" i="5" s="1"/>
  <c r="T182" i="5" s="1"/>
  <c r="K105" i="5"/>
  <c r="L105" i="5" s="1"/>
  <c r="M105" i="5" s="1"/>
  <c r="R105" i="5"/>
  <c r="S105" i="5" s="1"/>
  <c r="T105" i="5" s="1"/>
  <c r="K161" i="5"/>
  <c r="L161" i="5" s="1"/>
  <c r="M161" i="5" s="1"/>
  <c r="R161" i="5"/>
  <c r="S161" i="5" s="1"/>
  <c r="T161" i="5" s="1"/>
  <c r="K75" i="5"/>
  <c r="L75" i="5" s="1"/>
  <c r="M75" i="5" s="1"/>
  <c r="R75" i="5"/>
  <c r="S75" i="5" s="1"/>
  <c r="T75" i="5" s="1"/>
  <c r="K125" i="5"/>
  <c r="L125" i="5" s="1"/>
  <c r="M125" i="5" s="1"/>
  <c r="R125" i="5"/>
  <c r="S125" i="5" s="1"/>
  <c r="T125" i="5" s="1"/>
  <c r="K2" i="5"/>
  <c r="L2" i="5" s="1"/>
  <c r="M2" i="5" s="1"/>
  <c r="R2" i="5"/>
  <c r="S2" i="5" s="1"/>
  <c r="T2" i="5" s="1"/>
  <c r="K101" i="5"/>
  <c r="L101" i="5" s="1"/>
  <c r="M101" i="5" s="1"/>
  <c r="R101" i="5"/>
  <c r="S101" i="5" s="1"/>
  <c r="T101" i="5" s="1"/>
  <c r="K132" i="5"/>
  <c r="L132" i="5" s="1"/>
  <c r="M132" i="5" s="1"/>
  <c r="R132" i="5"/>
  <c r="S132" i="5" s="1"/>
  <c r="T132" i="5" s="1"/>
  <c r="K180" i="5"/>
  <c r="L180" i="5" s="1"/>
  <c r="M180" i="5" s="1"/>
  <c r="R180" i="5"/>
  <c r="S180" i="5" s="1"/>
  <c r="T180" i="5" s="1"/>
  <c r="R68" i="5"/>
  <c r="S68" i="5" s="1"/>
  <c r="T68" i="5" s="1"/>
  <c r="K68" i="5"/>
  <c r="L68" i="5" s="1"/>
  <c r="M68" i="5" s="1"/>
  <c r="K79" i="5"/>
  <c r="L79" i="5" s="1"/>
  <c r="M79" i="5" s="1"/>
  <c r="R79" i="5"/>
  <c r="S79" i="5" s="1"/>
  <c r="T79" i="5" s="1"/>
  <c r="K191" i="5"/>
  <c r="L191" i="5" s="1"/>
  <c r="M191" i="5" s="1"/>
  <c r="R191" i="5"/>
  <c r="S191" i="5" s="1"/>
  <c r="T191" i="5" s="1"/>
  <c r="K45" i="5"/>
  <c r="L45" i="5" s="1"/>
  <c r="M45" i="5" s="1"/>
  <c r="R45" i="5"/>
  <c r="S45" i="5" s="1"/>
  <c r="T45" i="5" s="1"/>
  <c r="K130" i="5"/>
  <c r="L130" i="5" s="1"/>
  <c r="M130" i="5" s="1"/>
  <c r="R130" i="5"/>
  <c r="S130" i="5" s="1"/>
  <c r="T130" i="5" s="1"/>
  <c r="R106" i="5"/>
  <c r="S106" i="5" s="1"/>
  <c r="T106" i="5" s="1"/>
  <c r="K106" i="5"/>
  <c r="L106" i="5" s="1"/>
  <c r="M106" i="5" s="1"/>
  <c r="R140" i="5"/>
  <c r="S140" i="5" s="1"/>
  <c r="T140" i="5" s="1"/>
  <c r="K140" i="5"/>
  <c r="L140" i="5" s="1"/>
  <c r="M140" i="5" s="1"/>
  <c r="K114" i="5"/>
  <c r="L114" i="5" s="1"/>
  <c r="M114" i="5" s="1"/>
  <c r="R114" i="5"/>
  <c r="S114" i="5" s="1"/>
  <c r="T114" i="5" s="1"/>
  <c r="K170" i="5"/>
  <c r="L170" i="5" s="1"/>
  <c r="M170" i="5" s="1"/>
  <c r="R170" i="5"/>
  <c r="S170" i="5" s="1"/>
  <c r="T170" i="5" s="1"/>
  <c r="K35" i="5"/>
  <c r="L35" i="5" s="1"/>
  <c r="M35" i="5" s="1"/>
  <c r="R35" i="5"/>
  <c r="S35" i="5" s="1"/>
  <c r="T35" i="5" s="1"/>
  <c r="K143" i="5"/>
  <c r="L143" i="5" s="1"/>
  <c r="M143" i="5" s="1"/>
  <c r="R143" i="5"/>
  <c r="S143" i="5" s="1"/>
  <c r="T143" i="5" s="1"/>
  <c r="K87" i="5"/>
  <c r="L87" i="5" s="1"/>
  <c r="M87" i="5" s="1"/>
  <c r="R87" i="5"/>
  <c r="S87" i="5" s="1"/>
  <c r="T87" i="5" s="1"/>
  <c r="K60" i="5"/>
  <c r="L60" i="5" s="1"/>
  <c r="M60" i="5" s="1"/>
  <c r="R60" i="5"/>
  <c r="S60" i="5" s="1"/>
  <c r="T60" i="5" s="1"/>
  <c r="N152" i="5"/>
  <c r="K20" i="5"/>
  <c r="L20" i="5" s="1"/>
  <c r="M20" i="5" s="1"/>
  <c r="R20" i="5"/>
  <c r="S20" i="5" s="1"/>
  <c r="T20" i="5" s="1"/>
  <c r="R153" i="5"/>
  <c r="S153" i="5" s="1"/>
  <c r="T153" i="5" s="1"/>
  <c r="K153" i="5"/>
  <c r="L153" i="5" s="1"/>
  <c r="M153" i="5" s="1"/>
  <c r="K157" i="5"/>
  <c r="L157" i="5" s="1"/>
  <c r="M157" i="5" s="1"/>
  <c r="R157" i="5"/>
  <c r="S157" i="5" s="1"/>
  <c r="T157" i="5" s="1"/>
  <c r="K41" i="5"/>
  <c r="L41" i="5" s="1"/>
  <c r="M41" i="5" s="1"/>
  <c r="R41" i="5"/>
  <c r="S41" i="5" s="1"/>
  <c r="T41" i="5" s="1"/>
  <c r="K102" i="5"/>
  <c r="L102" i="5" s="1"/>
  <c r="M102" i="5" s="1"/>
  <c r="R102" i="5"/>
  <c r="S102" i="5" s="1"/>
  <c r="T102" i="5" s="1"/>
  <c r="N126" i="5"/>
  <c r="K138" i="5"/>
  <c r="L138" i="5" s="1"/>
  <c r="M138" i="5" s="1"/>
  <c r="R138" i="5"/>
  <c r="S138" i="5" s="1"/>
  <c r="T138" i="5" s="1"/>
  <c r="K63" i="5"/>
  <c r="L63" i="5" s="1"/>
  <c r="M63" i="5" s="1"/>
  <c r="R63" i="5"/>
  <c r="S63" i="5" s="1"/>
  <c r="T63" i="5" s="1"/>
  <c r="K127" i="5"/>
  <c r="L127" i="5" s="1"/>
  <c r="M127" i="5" s="1"/>
  <c r="R127" i="5"/>
  <c r="S127" i="5" s="1"/>
  <c r="T127" i="5" s="1"/>
  <c r="K117" i="5"/>
  <c r="L117" i="5" s="1"/>
  <c r="M117" i="5" s="1"/>
  <c r="R117" i="5"/>
  <c r="S117" i="5" s="1"/>
  <c r="T117" i="5" s="1"/>
  <c r="K52" i="5"/>
  <c r="L52" i="5" s="1"/>
  <c r="M52" i="5" s="1"/>
  <c r="R52" i="5"/>
  <c r="S52" i="5" s="1"/>
  <c r="T52" i="5" s="1"/>
  <c r="K124" i="5"/>
  <c r="L124" i="5" s="1"/>
  <c r="M124" i="5" s="1"/>
  <c r="R124" i="5"/>
  <c r="S124" i="5" s="1"/>
  <c r="T124" i="5" s="1"/>
  <c r="K30" i="5"/>
  <c r="L30" i="5" s="1"/>
  <c r="M30" i="5" s="1"/>
  <c r="R30" i="5"/>
  <c r="S30" i="5" s="1"/>
  <c r="T30" i="5" s="1"/>
  <c r="K85" i="5"/>
  <c r="L85" i="5" s="1"/>
  <c r="M85" i="5" s="1"/>
  <c r="R85" i="5"/>
  <c r="S85" i="5" s="1"/>
  <c r="T85" i="5" s="1"/>
  <c r="K100" i="5"/>
  <c r="L100" i="5" s="1"/>
  <c r="M100" i="5" s="1"/>
  <c r="R100" i="5"/>
  <c r="S100" i="5" s="1"/>
  <c r="T100" i="5" s="1"/>
  <c r="K38" i="5"/>
  <c r="L38" i="5" s="1"/>
  <c r="M38" i="5" s="1"/>
  <c r="R38" i="5"/>
  <c r="S38" i="5" s="1"/>
  <c r="T38" i="5" s="1"/>
  <c r="K176" i="5"/>
  <c r="L176" i="5" s="1"/>
  <c r="M176" i="5" s="1"/>
  <c r="R176" i="5"/>
  <c r="S176" i="5" s="1"/>
  <c r="T176" i="5" s="1"/>
  <c r="K31" i="5"/>
  <c r="L31" i="5" s="1"/>
  <c r="M31" i="5" s="1"/>
  <c r="R31" i="5"/>
  <c r="S31" i="5" s="1"/>
  <c r="T31" i="5" s="1"/>
  <c r="R160" i="5"/>
  <c r="S160" i="5" s="1"/>
  <c r="T160" i="5" s="1"/>
  <c r="N119" i="5"/>
  <c r="N29" i="5"/>
  <c r="N131" i="5"/>
  <c r="N53" i="5"/>
  <c r="N28" i="5"/>
  <c r="N166" i="5"/>
  <c r="N36" i="5"/>
  <c r="N15" i="5"/>
  <c r="N81" i="5"/>
  <c r="N186" i="5"/>
  <c r="N96" i="5"/>
  <c r="N144" i="5"/>
  <c r="N139" i="5"/>
  <c r="N26" i="5"/>
  <c r="N163" i="5"/>
  <c r="N55" i="5"/>
  <c r="N103" i="5"/>
  <c r="N23" i="5"/>
  <c r="N69" i="5"/>
  <c r="N50" i="5"/>
  <c r="N174" i="5"/>
  <c r="N93" i="5"/>
  <c r="N58" i="5"/>
  <c r="N150" i="5"/>
  <c r="N107" i="5"/>
  <c r="N109" i="5"/>
  <c r="N59" i="5"/>
  <c r="N14" i="5"/>
  <c r="N164" i="5"/>
  <c r="N61" i="5"/>
  <c r="N78" i="5"/>
  <c r="N137" i="5"/>
  <c r="N145" i="5"/>
  <c r="N110" i="5"/>
  <c r="N111" i="5"/>
  <c r="N7" i="5"/>
  <c r="N37" i="5"/>
  <c r="N121" i="5"/>
  <c r="N98" i="5"/>
  <c r="N187" i="5"/>
  <c r="N66" i="5"/>
  <c r="N71" i="5"/>
  <c r="N192" i="5"/>
  <c r="N141" i="5"/>
  <c r="N90" i="5"/>
  <c r="N47" i="5"/>
  <c r="N149" i="5"/>
  <c r="N34" i="5"/>
  <c r="N142" i="5"/>
  <c r="N9" i="5"/>
  <c r="N84" i="5"/>
  <c r="N73" i="5"/>
  <c r="N167" i="5"/>
  <c r="N129" i="5"/>
  <c r="N83" i="5"/>
  <c r="N89" i="5"/>
  <c r="N168" i="5"/>
  <c r="N74" i="5"/>
  <c r="N70" i="5"/>
  <c r="N185" i="5"/>
  <c r="N43" i="5"/>
  <c r="N104" i="5"/>
  <c r="N147" i="5"/>
  <c r="N4" i="5"/>
  <c r="N97" i="5"/>
  <c r="N162" i="5"/>
  <c r="N62" i="5"/>
  <c r="N21" i="5"/>
  <c r="N82" i="5"/>
  <c r="N51" i="5"/>
  <c r="N27" i="5"/>
  <c r="N76" i="5"/>
  <c r="N65" i="5"/>
  <c r="N128" i="5"/>
  <c r="N13" i="5"/>
  <c r="N8" i="5"/>
  <c r="N123" i="5"/>
  <c r="N169" i="5"/>
  <c r="N19" i="5"/>
  <c r="N133" i="5"/>
  <c r="N42" i="5"/>
  <c r="N171" i="5"/>
  <c r="N188" i="5"/>
  <c r="N6" i="5"/>
  <c r="N67" i="5"/>
  <c r="N135" i="5"/>
  <c r="N5" i="5"/>
  <c r="N173" i="5"/>
  <c r="N33" i="5"/>
  <c r="N178" i="5"/>
  <c r="N108" i="5"/>
  <c r="N80" i="5"/>
  <c r="N115" i="5"/>
  <c r="N57" i="5"/>
  <c r="N10" i="5"/>
  <c r="N25" i="5"/>
  <c r="N44" i="5"/>
  <c r="N156" i="5"/>
  <c r="A22" i="4"/>
  <c r="R175" i="5" l="1"/>
  <c r="S175" i="5" s="1"/>
  <c r="T175" i="5" s="1"/>
  <c r="R49" i="5"/>
  <c r="S49" i="5" s="1"/>
  <c r="T49" i="5" s="1"/>
  <c r="R17" i="5"/>
  <c r="S17" i="5" s="1"/>
  <c r="T17" i="5" s="1"/>
  <c r="K25" i="5"/>
  <c r="L25" i="5" s="1"/>
  <c r="M25" i="5" s="1"/>
  <c r="R25" i="5"/>
  <c r="S25" i="5" s="1"/>
  <c r="T25" i="5" s="1"/>
  <c r="K27" i="5"/>
  <c r="L27" i="5" s="1"/>
  <c r="M27" i="5" s="1"/>
  <c r="R27" i="5"/>
  <c r="S27" i="5" s="1"/>
  <c r="T27" i="5" s="1"/>
  <c r="K21" i="5"/>
  <c r="L21" i="5" s="1"/>
  <c r="M21" i="5" s="1"/>
  <c r="R21" i="5"/>
  <c r="S21" i="5" s="1"/>
  <c r="T21" i="5" s="1"/>
  <c r="K185" i="5"/>
  <c r="L185" i="5" s="1"/>
  <c r="M185" i="5" s="1"/>
  <c r="R185" i="5"/>
  <c r="S185" i="5" s="1"/>
  <c r="T185" i="5" s="1"/>
  <c r="K178" i="5"/>
  <c r="L178" i="5" s="1"/>
  <c r="M178" i="5" s="1"/>
  <c r="R178" i="5"/>
  <c r="S178" i="5" s="1"/>
  <c r="T178" i="5" s="1"/>
  <c r="K162" i="5"/>
  <c r="L162" i="5" s="1"/>
  <c r="M162" i="5" s="1"/>
  <c r="R162" i="5"/>
  <c r="S162" i="5" s="1"/>
  <c r="T162" i="5" s="1"/>
  <c r="K188" i="5"/>
  <c r="L188" i="5" s="1"/>
  <c r="M188" i="5" s="1"/>
  <c r="R188" i="5"/>
  <c r="S188" i="5" s="1"/>
  <c r="T188" i="5" s="1"/>
  <c r="K80" i="5"/>
  <c r="L80" i="5" s="1"/>
  <c r="M80" i="5" s="1"/>
  <c r="R80" i="5"/>
  <c r="S80" i="5" s="1"/>
  <c r="T80" i="5" s="1"/>
  <c r="K33" i="5"/>
  <c r="L33" i="5" s="1"/>
  <c r="M33" i="5" s="1"/>
  <c r="R33" i="5"/>
  <c r="S33" i="5" s="1"/>
  <c r="T33" i="5" s="1"/>
  <c r="K62" i="5"/>
  <c r="L62" i="5" s="1"/>
  <c r="M62" i="5" s="1"/>
  <c r="R62" i="5"/>
  <c r="S62" i="5" s="1"/>
  <c r="T62" i="5" s="1"/>
  <c r="K108" i="5"/>
  <c r="L108" i="5" s="1"/>
  <c r="M108" i="5" s="1"/>
  <c r="R108" i="5"/>
  <c r="S108" i="5" s="1"/>
  <c r="T108" i="5" s="1"/>
  <c r="K173" i="5"/>
  <c r="L173" i="5" s="1"/>
  <c r="M173" i="5" s="1"/>
  <c r="R173" i="5"/>
  <c r="S173" i="5" s="1"/>
  <c r="T173" i="5" s="1"/>
  <c r="K89" i="5"/>
  <c r="L89" i="5" s="1"/>
  <c r="M89" i="5" s="1"/>
  <c r="R89" i="5"/>
  <c r="S89" i="5" s="1"/>
  <c r="T89" i="5" s="1"/>
  <c r="K141" i="5"/>
  <c r="L141" i="5" s="1"/>
  <c r="M141" i="5" s="1"/>
  <c r="R141" i="5"/>
  <c r="S141" i="5" s="1"/>
  <c r="T141" i="5" s="1"/>
  <c r="K107" i="5"/>
  <c r="L107" i="5" s="1"/>
  <c r="M107" i="5" s="1"/>
  <c r="R107" i="5"/>
  <c r="S107" i="5" s="1"/>
  <c r="T107" i="5" s="1"/>
  <c r="K26" i="5"/>
  <c r="L26" i="5" s="1"/>
  <c r="M26" i="5" s="1"/>
  <c r="R26" i="5"/>
  <c r="S26" i="5" s="1"/>
  <c r="T26" i="5" s="1"/>
  <c r="K81" i="5"/>
  <c r="L81" i="5" s="1"/>
  <c r="M81" i="5" s="1"/>
  <c r="R81" i="5"/>
  <c r="S81" i="5" s="1"/>
  <c r="T81" i="5" s="1"/>
  <c r="R156" i="5"/>
  <c r="S156" i="5" s="1"/>
  <c r="T156" i="5" s="1"/>
  <c r="K156" i="5"/>
  <c r="L156" i="5" s="1"/>
  <c r="M156" i="5" s="1"/>
  <c r="K67" i="5"/>
  <c r="L67" i="5" s="1"/>
  <c r="M67" i="5" s="1"/>
  <c r="R67" i="5"/>
  <c r="S67" i="5" s="1"/>
  <c r="T67" i="5" s="1"/>
  <c r="K97" i="5"/>
  <c r="L97" i="5" s="1"/>
  <c r="M97" i="5" s="1"/>
  <c r="R97" i="5"/>
  <c r="S97" i="5" s="1"/>
  <c r="T97" i="5" s="1"/>
  <c r="K70" i="5"/>
  <c r="L70" i="5" s="1"/>
  <c r="M70" i="5" s="1"/>
  <c r="R70" i="5"/>
  <c r="S70" i="5" s="1"/>
  <c r="T70" i="5" s="1"/>
  <c r="K83" i="5"/>
  <c r="L83" i="5" s="1"/>
  <c r="M83" i="5" s="1"/>
  <c r="R83" i="5"/>
  <c r="S83" i="5" s="1"/>
  <c r="T83" i="5" s="1"/>
  <c r="K78" i="5"/>
  <c r="L78" i="5" s="1"/>
  <c r="M78" i="5" s="1"/>
  <c r="R78" i="5"/>
  <c r="S78" i="5" s="1"/>
  <c r="T78" i="5" s="1"/>
  <c r="K93" i="5"/>
  <c r="L93" i="5" s="1"/>
  <c r="M93" i="5" s="1"/>
  <c r="R93" i="5"/>
  <c r="S93" i="5" s="1"/>
  <c r="T93" i="5" s="1"/>
  <c r="K144" i="5"/>
  <c r="L144" i="5" s="1"/>
  <c r="M144" i="5" s="1"/>
  <c r="R144" i="5"/>
  <c r="S144" i="5" s="1"/>
  <c r="T144" i="5" s="1"/>
  <c r="K119" i="5"/>
  <c r="L119" i="5" s="1"/>
  <c r="M119" i="5" s="1"/>
  <c r="R119" i="5"/>
  <c r="S119" i="5" s="1"/>
  <c r="T119" i="5" s="1"/>
  <c r="K152" i="5"/>
  <c r="L152" i="5" s="1"/>
  <c r="M152" i="5" s="1"/>
  <c r="R152" i="5"/>
  <c r="S152" i="5" s="1"/>
  <c r="T152" i="5" s="1"/>
  <c r="R148" i="5"/>
  <c r="S148" i="5" s="1"/>
  <c r="T148" i="5" s="1"/>
  <c r="K148" i="5"/>
  <c r="L148" i="5" s="1"/>
  <c r="M148" i="5" s="1"/>
  <c r="R19" i="5"/>
  <c r="S19" i="5" s="1"/>
  <c r="T19" i="5" s="1"/>
  <c r="K19" i="5"/>
  <c r="L19" i="5" s="1"/>
  <c r="M19" i="5" s="1"/>
  <c r="K169" i="5"/>
  <c r="L169" i="5" s="1"/>
  <c r="M169" i="5" s="1"/>
  <c r="R169" i="5"/>
  <c r="S169" i="5" s="1"/>
  <c r="T169" i="5" s="1"/>
  <c r="K44" i="5"/>
  <c r="L44" i="5" s="1"/>
  <c r="M44" i="5" s="1"/>
  <c r="R44" i="5"/>
  <c r="S44" i="5" s="1"/>
  <c r="T44" i="5" s="1"/>
  <c r="K123" i="5"/>
  <c r="L123" i="5" s="1"/>
  <c r="M123" i="5" s="1"/>
  <c r="R123" i="5"/>
  <c r="S123" i="5" s="1"/>
  <c r="T123" i="5" s="1"/>
  <c r="K65" i="5"/>
  <c r="L65" i="5" s="1"/>
  <c r="M65" i="5" s="1"/>
  <c r="R65" i="5"/>
  <c r="S65" i="5" s="1"/>
  <c r="T65" i="5" s="1"/>
  <c r="K111" i="5"/>
  <c r="L111" i="5" s="1"/>
  <c r="M111" i="5" s="1"/>
  <c r="R111" i="5"/>
  <c r="S111" i="5" s="1"/>
  <c r="T111" i="5" s="1"/>
  <c r="K14" i="5"/>
  <c r="L14" i="5" s="1"/>
  <c r="M14" i="5" s="1"/>
  <c r="R14" i="5"/>
  <c r="S14" i="5" s="1"/>
  <c r="T14" i="5" s="1"/>
  <c r="K163" i="5"/>
  <c r="L163" i="5" s="1"/>
  <c r="M163" i="5" s="1"/>
  <c r="R163" i="5"/>
  <c r="S163" i="5" s="1"/>
  <c r="T163" i="5" s="1"/>
  <c r="K53" i="5"/>
  <c r="L53" i="5" s="1"/>
  <c r="M53" i="5" s="1"/>
  <c r="R53" i="5"/>
  <c r="S53" i="5" s="1"/>
  <c r="T53" i="5" s="1"/>
  <c r="K13" i="5"/>
  <c r="L13" i="5" s="1"/>
  <c r="M13" i="5" s="1"/>
  <c r="R13" i="5"/>
  <c r="S13" i="5" s="1"/>
  <c r="T13" i="5" s="1"/>
  <c r="R10" i="5"/>
  <c r="S10" i="5" s="1"/>
  <c r="T10" i="5" s="1"/>
  <c r="K10" i="5"/>
  <c r="L10" i="5" s="1"/>
  <c r="M10" i="5" s="1"/>
  <c r="K171" i="5"/>
  <c r="L171" i="5" s="1"/>
  <c r="M171" i="5" s="1"/>
  <c r="R171" i="5"/>
  <c r="S171" i="5" s="1"/>
  <c r="T171" i="5" s="1"/>
  <c r="K57" i="5"/>
  <c r="L57" i="5" s="1"/>
  <c r="M57" i="5" s="1"/>
  <c r="R57" i="5"/>
  <c r="S57" i="5" s="1"/>
  <c r="T57" i="5" s="1"/>
  <c r="K42" i="5"/>
  <c r="L42" i="5" s="1"/>
  <c r="M42" i="5" s="1"/>
  <c r="R42" i="5"/>
  <c r="S42" i="5" s="1"/>
  <c r="T42" i="5" s="1"/>
  <c r="K51" i="5"/>
  <c r="L51" i="5" s="1"/>
  <c r="M51" i="5" s="1"/>
  <c r="R51" i="5"/>
  <c r="S51" i="5" s="1"/>
  <c r="T51" i="5" s="1"/>
  <c r="K149" i="5"/>
  <c r="L149" i="5" s="1"/>
  <c r="M149" i="5" s="1"/>
  <c r="R149" i="5"/>
  <c r="S149" i="5" s="1"/>
  <c r="T149" i="5" s="1"/>
  <c r="K71" i="5"/>
  <c r="L71" i="5" s="1"/>
  <c r="M71" i="5" s="1"/>
  <c r="R71" i="5"/>
  <c r="S71" i="5" s="1"/>
  <c r="T71" i="5" s="1"/>
  <c r="K5" i="5"/>
  <c r="L5" i="5" s="1"/>
  <c r="M5" i="5" s="1"/>
  <c r="R5" i="5"/>
  <c r="S5" i="5" s="1"/>
  <c r="T5" i="5" s="1"/>
  <c r="K4" i="5"/>
  <c r="L4" i="5" s="1"/>
  <c r="M4" i="5" s="1"/>
  <c r="R4" i="5"/>
  <c r="S4" i="5" s="1"/>
  <c r="T4" i="5" s="1"/>
  <c r="K104" i="5"/>
  <c r="L104" i="5" s="1"/>
  <c r="M104" i="5" s="1"/>
  <c r="R104" i="5"/>
  <c r="S104" i="5" s="1"/>
  <c r="T104" i="5" s="1"/>
  <c r="K121" i="5"/>
  <c r="L121" i="5" s="1"/>
  <c r="M121" i="5" s="1"/>
  <c r="R121" i="5"/>
  <c r="S121" i="5" s="1"/>
  <c r="T121" i="5" s="1"/>
  <c r="K115" i="5"/>
  <c r="L115" i="5" s="1"/>
  <c r="M115" i="5" s="1"/>
  <c r="R115" i="5"/>
  <c r="S115" i="5" s="1"/>
  <c r="T115" i="5" s="1"/>
  <c r="K135" i="5"/>
  <c r="L135" i="5" s="1"/>
  <c r="M135" i="5" s="1"/>
  <c r="R135" i="5"/>
  <c r="S135" i="5" s="1"/>
  <c r="T135" i="5" s="1"/>
  <c r="K6" i="5"/>
  <c r="L6" i="5" s="1"/>
  <c r="M6" i="5" s="1"/>
  <c r="R6" i="5"/>
  <c r="S6" i="5" s="1"/>
  <c r="T6" i="5" s="1"/>
  <c r="R133" i="5"/>
  <c r="S133" i="5" s="1"/>
  <c r="T133" i="5" s="1"/>
  <c r="K133" i="5"/>
  <c r="L133" i="5" s="1"/>
  <c r="M133" i="5" s="1"/>
  <c r="K128" i="5"/>
  <c r="L128" i="5" s="1"/>
  <c r="M128" i="5" s="1"/>
  <c r="R128" i="5"/>
  <c r="S128" i="5" s="1"/>
  <c r="T128" i="5" s="1"/>
  <c r="R82" i="5"/>
  <c r="S82" i="5" s="1"/>
  <c r="T82" i="5" s="1"/>
  <c r="K82" i="5"/>
  <c r="L82" i="5" s="1"/>
  <c r="M82" i="5" s="1"/>
  <c r="K9" i="5"/>
  <c r="L9" i="5" s="1"/>
  <c r="M9" i="5" s="1"/>
  <c r="R9" i="5"/>
  <c r="S9" i="5" s="1"/>
  <c r="T9" i="5" s="1"/>
  <c r="R34" i="5"/>
  <c r="S34" i="5" s="1"/>
  <c r="T34" i="5" s="1"/>
  <c r="K34" i="5"/>
  <c r="L34" i="5" s="1"/>
  <c r="M34" i="5" s="1"/>
  <c r="K66" i="5"/>
  <c r="L66" i="5" s="1"/>
  <c r="M66" i="5" s="1"/>
  <c r="R66" i="5"/>
  <c r="S66" i="5" s="1"/>
  <c r="T66" i="5" s="1"/>
  <c r="K37" i="5"/>
  <c r="L37" i="5" s="1"/>
  <c r="M37" i="5" s="1"/>
  <c r="R37" i="5"/>
  <c r="S37" i="5" s="1"/>
  <c r="T37" i="5" s="1"/>
  <c r="K150" i="5"/>
  <c r="L150" i="5" s="1"/>
  <c r="M150" i="5" s="1"/>
  <c r="R150" i="5"/>
  <c r="S150" i="5" s="1"/>
  <c r="T150" i="5" s="1"/>
  <c r="R174" i="5"/>
  <c r="S174" i="5" s="1"/>
  <c r="T174" i="5" s="1"/>
  <c r="K174" i="5"/>
  <c r="L174" i="5" s="1"/>
  <c r="M174" i="5" s="1"/>
  <c r="K15" i="5"/>
  <c r="L15" i="5" s="1"/>
  <c r="M15" i="5" s="1"/>
  <c r="R15" i="5"/>
  <c r="S15" i="5" s="1"/>
  <c r="T15" i="5" s="1"/>
  <c r="K129" i="5"/>
  <c r="L129" i="5" s="1"/>
  <c r="M129" i="5" s="1"/>
  <c r="R129" i="5"/>
  <c r="S129" i="5" s="1"/>
  <c r="T129" i="5" s="1"/>
  <c r="K187" i="5"/>
  <c r="L187" i="5" s="1"/>
  <c r="M187" i="5" s="1"/>
  <c r="R187" i="5"/>
  <c r="S187" i="5" s="1"/>
  <c r="T187" i="5" s="1"/>
  <c r="K61" i="5"/>
  <c r="L61" i="5" s="1"/>
  <c r="M61" i="5" s="1"/>
  <c r="R61" i="5"/>
  <c r="S61" i="5" s="1"/>
  <c r="T61" i="5" s="1"/>
  <c r="K50" i="5"/>
  <c r="L50" i="5" s="1"/>
  <c r="M50" i="5" s="1"/>
  <c r="R50" i="5"/>
  <c r="S50" i="5" s="1"/>
  <c r="T50" i="5" s="1"/>
  <c r="K23" i="5"/>
  <c r="L23" i="5" s="1"/>
  <c r="M23" i="5" s="1"/>
  <c r="R23" i="5"/>
  <c r="S23" i="5" s="1"/>
  <c r="T23" i="5" s="1"/>
  <c r="K55" i="5"/>
  <c r="L55" i="5" s="1"/>
  <c r="M55" i="5" s="1"/>
  <c r="R55" i="5"/>
  <c r="S55" i="5" s="1"/>
  <c r="T55" i="5" s="1"/>
  <c r="K139" i="5"/>
  <c r="L139" i="5" s="1"/>
  <c r="M139" i="5" s="1"/>
  <c r="R139" i="5"/>
  <c r="S139" i="5" s="1"/>
  <c r="T139" i="5" s="1"/>
  <c r="K96" i="5"/>
  <c r="L96" i="5" s="1"/>
  <c r="M96" i="5" s="1"/>
  <c r="R96" i="5"/>
  <c r="S96" i="5" s="1"/>
  <c r="T96" i="5" s="1"/>
  <c r="K166" i="5"/>
  <c r="L166" i="5" s="1"/>
  <c r="M166" i="5" s="1"/>
  <c r="R166" i="5"/>
  <c r="S166" i="5" s="1"/>
  <c r="T166" i="5" s="1"/>
  <c r="K8" i="5"/>
  <c r="L8" i="5" s="1"/>
  <c r="M8" i="5" s="1"/>
  <c r="R8" i="5"/>
  <c r="S8" i="5" s="1"/>
  <c r="T8" i="5" s="1"/>
  <c r="K43" i="5"/>
  <c r="L43" i="5" s="1"/>
  <c r="M43" i="5" s="1"/>
  <c r="R43" i="5"/>
  <c r="S43" i="5" s="1"/>
  <c r="T43" i="5" s="1"/>
  <c r="R168" i="5"/>
  <c r="S168" i="5" s="1"/>
  <c r="T168" i="5" s="1"/>
  <c r="K168" i="5"/>
  <c r="L168" i="5" s="1"/>
  <c r="M168" i="5" s="1"/>
  <c r="K167" i="5"/>
  <c r="L167" i="5" s="1"/>
  <c r="M167" i="5" s="1"/>
  <c r="R167" i="5"/>
  <c r="S167" i="5" s="1"/>
  <c r="T167" i="5" s="1"/>
  <c r="K90" i="5"/>
  <c r="L90" i="5" s="1"/>
  <c r="M90" i="5" s="1"/>
  <c r="R90" i="5"/>
  <c r="S90" i="5" s="1"/>
  <c r="T90" i="5" s="1"/>
  <c r="K192" i="5"/>
  <c r="L192" i="5" s="1"/>
  <c r="M192" i="5" s="1"/>
  <c r="R192" i="5"/>
  <c r="S192" i="5" s="1"/>
  <c r="T192" i="5" s="1"/>
  <c r="K7" i="5"/>
  <c r="L7" i="5" s="1"/>
  <c r="M7" i="5" s="1"/>
  <c r="R7" i="5"/>
  <c r="S7" i="5" s="1"/>
  <c r="T7" i="5" s="1"/>
  <c r="K110" i="5"/>
  <c r="L110" i="5" s="1"/>
  <c r="M110" i="5" s="1"/>
  <c r="R110" i="5"/>
  <c r="S110" i="5" s="1"/>
  <c r="T110" i="5" s="1"/>
  <c r="K59" i="5"/>
  <c r="L59" i="5" s="1"/>
  <c r="M59" i="5" s="1"/>
  <c r="R59" i="5"/>
  <c r="S59" i="5" s="1"/>
  <c r="T59" i="5" s="1"/>
  <c r="K109" i="5"/>
  <c r="L109" i="5" s="1"/>
  <c r="M109" i="5" s="1"/>
  <c r="R109" i="5"/>
  <c r="S109" i="5" s="1"/>
  <c r="T109" i="5" s="1"/>
  <c r="K126" i="5"/>
  <c r="L126" i="5" s="1"/>
  <c r="M126" i="5" s="1"/>
  <c r="R126" i="5"/>
  <c r="S126" i="5" s="1"/>
  <c r="T126" i="5" s="1"/>
  <c r="K73" i="5"/>
  <c r="L73" i="5" s="1"/>
  <c r="M73" i="5" s="1"/>
  <c r="R73" i="5"/>
  <c r="S73" i="5" s="1"/>
  <c r="T73" i="5" s="1"/>
  <c r="K142" i="5"/>
  <c r="L142" i="5" s="1"/>
  <c r="M142" i="5" s="1"/>
  <c r="R142" i="5"/>
  <c r="S142" i="5" s="1"/>
  <c r="T142" i="5" s="1"/>
  <c r="K98" i="5"/>
  <c r="L98" i="5" s="1"/>
  <c r="M98" i="5" s="1"/>
  <c r="R98" i="5"/>
  <c r="S98" i="5" s="1"/>
  <c r="T98" i="5" s="1"/>
  <c r="K137" i="5"/>
  <c r="L137" i="5" s="1"/>
  <c r="M137" i="5" s="1"/>
  <c r="R137" i="5"/>
  <c r="S137" i="5" s="1"/>
  <c r="T137" i="5" s="1"/>
  <c r="K58" i="5"/>
  <c r="L58" i="5" s="1"/>
  <c r="M58" i="5" s="1"/>
  <c r="R58" i="5"/>
  <c r="S58" i="5" s="1"/>
  <c r="T58" i="5" s="1"/>
  <c r="K36" i="5"/>
  <c r="L36" i="5" s="1"/>
  <c r="M36" i="5" s="1"/>
  <c r="R36" i="5"/>
  <c r="S36" i="5" s="1"/>
  <c r="T36" i="5" s="1"/>
  <c r="K29" i="5"/>
  <c r="L29" i="5" s="1"/>
  <c r="M29" i="5" s="1"/>
  <c r="R29" i="5"/>
  <c r="S29" i="5" s="1"/>
  <c r="T29" i="5" s="1"/>
  <c r="K76" i="5"/>
  <c r="L76" i="5" s="1"/>
  <c r="M76" i="5" s="1"/>
  <c r="R76" i="5"/>
  <c r="S76" i="5" s="1"/>
  <c r="T76" i="5" s="1"/>
  <c r="K147" i="5"/>
  <c r="L147" i="5" s="1"/>
  <c r="M147" i="5" s="1"/>
  <c r="R147" i="5"/>
  <c r="S147" i="5" s="1"/>
  <c r="T147" i="5" s="1"/>
  <c r="K74" i="5"/>
  <c r="L74" i="5" s="1"/>
  <c r="M74" i="5" s="1"/>
  <c r="R74" i="5"/>
  <c r="S74" i="5" s="1"/>
  <c r="T74" i="5" s="1"/>
  <c r="K84" i="5"/>
  <c r="L84" i="5" s="1"/>
  <c r="M84" i="5" s="1"/>
  <c r="R84" i="5"/>
  <c r="S84" i="5" s="1"/>
  <c r="T84" i="5" s="1"/>
  <c r="K47" i="5"/>
  <c r="L47" i="5" s="1"/>
  <c r="M47" i="5" s="1"/>
  <c r="R47" i="5"/>
  <c r="S47" i="5" s="1"/>
  <c r="T47" i="5" s="1"/>
  <c r="K145" i="5"/>
  <c r="L145" i="5" s="1"/>
  <c r="M145" i="5" s="1"/>
  <c r="R145" i="5"/>
  <c r="S145" i="5" s="1"/>
  <c r="T145" i="5" s="1"/>
  <c r="K164" i="5"/>
  <c r="L164" i="5" s="1"/>
  <c r="M164" i="5" s="1"/>
  <c r="R164" i="5"/>
  <c r="S164" i="5" s="1"/>
  <c r="T164" i="5" s="1"/>
  <c r="K69" i="5"/>
  <c r="L69" i="5" s="1"/>
  <c r="M69" i="5" s="1"/>
  <c r="R69" i="5"/>
  <c r="S69" i="5" s="1"/>
  <c r="T69" i="5" s="1"/>
  <c r="K103" i="5"/>
  <c r="L103" i="5" s="1"/>
  <c r="M103" i="5" s="1"/>
  <c r="R103" i="5"/>
  <c r="S103" i="5" s="1"/>
  <c r="T103" i="5" s="1"/>
  <c r="K186" i="5"/>
  <c r="L186" i="5" s="1"/>
  <c r="M186" i="5" s="1"/>
  <c r="R186" i="5"/>
  <c r="S186" i="5" s="1"/>
  <c r="T186" i="5" s="1"/>
  <c r="K28" i="5"/>
  <c r="L28" i="5" s="1"/>
  <c r="M28" i="5" s="1"/>
  <c r="R28" i="5"/>
  <c r="S28" i="5" s="1"/>
  <c r="T28" i="5" s="1"/>
  <c r="R131" i="5"/>
  <c r="S131" i="5" s="1"/>
  <c r="T131" i="5" s="1"/>
  <c r="K131" i="5"/>
  <c r="L131" i="5" s="1"/>
  <c r="M131" i="5" s="1"/>
  <c r="K165" i="5"/>
  <c r="L165" i="5" s="1"/>
  <c r="M165" i="5" s="1"/>
  <c r="R165" i="5"/>
  <c r="S165" i="5" s="1"/>
  <c r="T165" i="5" s="1"/>
  <c r="N172" i="5"/>
  <c r="B25" i="33"/>
  <c r="K172" i="5" l="1"/>
  <c r="L172" i="5" s="1"/>
  <c r="M172" i="5" s="1"/>
  <c r="R172" i="5"/>
  <c r="S172" i="5" s="1"/>
  <c r="T172" i="5" s="1"/>
  <c r="F4" i="16"/>
  <c r="G4" i="16" s="1"/>
  <c r="H4" i="16" s="1"/>
  <c r="B13" i="31"/>
  <c r="A13" i="33" l="1"/>
  <c r="A6" i="33"/>
  <c r="C3" i="33"/>
  <c r="C2" i="33"/>
  <c r="D18" i="33" l="1"/>
  <c r="D17" i="33"/>
  <c r="B27" i="33" l="1"/>
  <c r="E18" i="33"/>
  <c r="F18" i="33" s="1"/>
  <c r="B18" i="33"/>
  <c r="E17" i="33"/>
  <c r="G17" i="33" s="1"/>
  <c r="B17" i="33"/>
  <c r="D6" i="33"/>
  <c r="H2" i="33"/>
  <c r="E3" i="16"/>
  <c r="E22" i="16" s="1"/>
  <c r="D4" i="13"/>
  <c r="D5" i="13"/>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 i="13"/>
  <c r="B13" i="33" l="1"/>
  <c r="F13" i="33"/>
  <c r="E13" i="33"/>
  <c r="G13" i="33"/>
  <c r="F9" i="33"/>
  <c r="C9" i="33"/>
  <c r="B9" i="33"/>
  <c r="G12" i="33"/>
  <c r="E9" i="33"/>
  <c r="D9" i="33"/>
  <c r="E12" i="33"/>
  <c r="F12" i="33"/>
  <c r="D12" i="33"/>
  <c r="C12" i="33"/>
  <c r="B12" i="33"/>
  <c r="G9" i="33"/>
  <c r="C13" i="33"/>
  <c r="D13" i="33"/>
  <c r="D36" i="13"/>
  <c r="G18" i="33"/>
  <c r="G19" i="33" s="1"/>
  <c r="B19" i="33"/>
  <c r="F17" i="33"/>
  <c r="D19" i="33"/>
  <c r="C17" i="33" s="1"/>
  <c r="E19" i="33"/>
  <c r="E14" i="33" l="1"/>
  <c r="F14" i="33"/>
  <c r="B14" i="33"/>
  <c r="H13" i="33"/>
  <c r="H9" i="33"/>
  <c r="G14" i="33"/>
  <c r="C14" i="33"/>
  <c r="D14" i="33"/>
  <c r="H12" i="33"/>
  <c r="F19" i="33"/>
  <c r="C18" i="33"/>
  <c r="C19" i="33" s="1"/>
  <c r="H14" i="33" l="1"/>
  <c r="B17" i="31" l="1"/>
  <c r="B4" i="31" l="1"/>
  <c r="B5" i="31"/>
  <c r="B6" i="31"/>
  <c r="B7" i="31"/>
  <c r="B8" i="31"/>
  <c r="B9" i="31"/>
  <c r="B10" i="31"/>
  <c r="B11" i="31"/>
  <c r="B12" i="31"/>
  <c r="B14" i="31"/>
  <c r="B15" i="31"/>
  <c r="B16" i="31"/>
  <c r="B18" i="31"/>
  <c r="B19" i="31"/>
  <c r="B20" i="31"/>
  <c r="B21" i="31"/>
  <c r="B22" i="31"/>
  <c r="B23" i="31"/>
  <c r="B3" i="31"/>
  <c r="B29" i="4"/>
  <c r="D22" i="4"/>
  <c r="C22" i="4"/>
  <c r="C6" i="33" s="1"/>
  <c r="E18" i="4"/>
  <c r="D18" i="4"/>
  <c r="B18" i="4"/>
  <c r="E17" i="4"/>
  <c r="D17" i="4"/>
  <c r="B17" i="4"/>
  <c r="G13" i="4"/>
  <c r="F13" i="4"/>
  <c r="E13" i="4"/>
  <c r="D13" i="4"/>
  <c r="C13" i="4"/>
  <c r="B13" i="4"/>
  <c r="G12" i="4"/>
  <c r="F12" i="4"/>
  <c r="E12" i="4"/>
  <c r="D12" i="4"/>
  <c r="C12" i="4"/>
  <c r="B12" i="4"/>
  <c r="G9" i="4"/>
  <c r="F9" i="4"/>
  <c r="E9" i="4"/>
  <c r="D9" i="4"/>
  <c r="C9" i="4"/>
  <c r="B9" i="4"/>
  <c r="E6" i="4"/>
  <c r="C6" i="4"/>
  <c r="B22" i="4" s="1"/>
  <c r="B6" i="33" s="1"/>
  <c r="B28" i="33" s="1"/>
  <c r="B29" i="33" s="1"/>
  <c r="B6" i="4"/>
  <c r="B30" i="4" s="1"/>
  <c r="D3" i="16"/>
  <c r="D22" i="16" s="1"/>
  <c r="E3"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4"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 i="13"/>
  <c r="F3" i="16"/>
  <c r="F22" i="16" s="1"/>
  <c r="C3" i="16"/>
  <c r="C22" i="16" s="1"/>
  <c r="F6" i="33" l="1"/>
  <c r="I9" i="33" s="1"/>
  <c r="E6" i="33"/>
  <c r="B32" i="33"/>
  <c r="G6" i="13"/>
  <c r="H6" i="13" s="1"/>
  <c r="G5" i="13"/>
  <c r="H5" i="13" s="1"/>
  <c r="G11" i="13"/>
  <c r="H11" i="13" s="1"/>
  <c r="G20" i="13"/>
  <c r="H20" i="13" s="1"/>
  <c r="G18" i="13"/>
  <c r="H18" i="13" s="1"/>
  <c r="G10" i="13"/>
  <c r="H10" i="13" s="1"/>
  <c r="G19" i="13"/>
  <c r="H19" i="13" s="1"/>
  <c r="G17" i="13"/>
  <c r="H17" i="13" s="1"/>
  <c r="G9" i="13"/>
  <c r="H9" i="13" s="1"/>
  <c r="G14" i="13"/>
  <c r="H14" i="13" s="1"/>
  <c r="G13" i="13"/>
  <c r="H13" i="13" s="1"/>
  <c r="G16" i="13"/>
  <c r="H16" i="13" s="1"/>
  <c r="G32" i="13"/>
  <c r="H32" i="13" s="1"/>
  <c r="G22" i="13"/>
  <c r="H22" i="13" s="1"/>
  <c r="G24" i="13"/>
  <c r="H24" i="13" s="1"/>
  <c r="G25" i="13"/>
  <c r="H25" i="13" s="1"/>
  <c r="C14" i="4"/>
  <c r="E19" i="4"/>
  <c r="G33" i="13"/>
  <c r="H33" i="13" s="1"/>
  <c r="G29" i="13"/>
  <c r="H29" i="13" s="1"/>
  <c r="D14" i="4"/>
  <c r="G15" i="13"/>
  <c r="H15" i="13" s="1"/>
  <c r="G7" i="13"/>
  <c r="H7" i="13" s="1"/>
  <c r="G34" i="13"/>
  <c r="H34" i="13" s="1"/>
  <c r="G26" i="13"/>
  <c r="H26" i="13" s="1"/>
  <c r="G30" i="13"/>
  <c r="H30" i="13" s="1"/>
  <c r="G31" i="13"/>
  <c r="H31" i="13" s="1"/>
  <c r="G21" i="13"/>
  <c r="H21" i="13" s="1"/>
  <c r="G23" i="13"/>
  <c r="H23" i="13" s="1"/>
  <c r="G27" i="13"/>
  <c r="H27" i="13" s="1"/>
  <c r="E14" i="4"/>
  <c r="G14" i="4"/>
  <c r="G4" i="13"/>
  <c r="H4" i="13" s="1"/>
  <c r="E36" i="13"/>
  <c r="H9" i="4"/>
  <c r="E22" i="4"/>
  <c r="F22" i="4" s="1"/>
  <c r="G17" i="4"/>
  <c r="G3" i="16"/>
  <c r="H3" i="16" s="1"/>
  <c r="G22" i="16"/>
  <c r="H22" i="16" s="1"/>
  <c r="H12" i="4"/>
  <c r="F18" i="4"/>
  <c r="G28" i="13"/>
  <c r="H28" i="13" s="1"/>
  <c r="G8" i="13"/>
  <c r="H8" i="13" s="1"/>
  <c r="C36" i="13"/>
  <c r="F28" i="13" s="1"/>
  <c r="B14" i="4"/>
  <c r="F14" i="4"/>
  <c r="H13" i="4"/>
  <c r="B19" i="4"/>
  <c r="G18" i="4"/>
  <c r="B31" i="4"/>
  <c r="G6" i="4"/>
  <c r="I9" i="4" s="1"/>
  <c r="G3" i="13"/>
  <c r="G12" i="13"/>
  <c r="H12" i="13" s="1"/>
  <c r="D19" i="4"/>
  <c r="C17" i="4" s="1"/>
  <c r="F17" i="4"/>
  <c r="F6" i="4"/>
  <c r="B34" i="4"/>
  <c r="B35" i="4" s="1"/>
  <c r="D6" i="4"/>
  <c r="B34" i="33" l="1"/>
  <c r="B33" i="33"/>
  <c r="H14" i="4"/>
  <c r="F7" i="13"/>
  <c r="G19" i="4"/>
  <c r="F3" i="13"/>
  <c r="F26" i="13"/>
  <c r="F33" i="13"/>
  <c r="F24" i="13"/>
  <c r="F10" i="13"/>
  <c r="F16" i="13"/>
  <c r="F23" i="13"/>
  <c r="F19" i="13"/>
  <c r="F31" i="13"/>
  <c r="F21" i="13"/>
  <c r="F22" i="13"/>
  <c r="F6" i="13"/>
  <c r="F29" i="13"/>
  <c r="F25" i="13"/>
  <c r="F32" i="13"/>
  <c r="F4" i="13"/>
  <c r="F20" i="13"/>
  <c r="F14" i="13"/>
  <c r="F27" i="13"/>
  <c r="F17" i="13"/>
  <c r="F9" i="13"/>
  <c r="F34" i="13"/>
  <c r="F12" i="13"/>
  <c r="F18" i="13"/>
  <c r="F11" i="13"/>
  <c r="F15" i="13"/>
  <c r="F30" i="13"/>
  <c r="F5" i="13"/>
  <c r="F13" i="13"/>
  <c r="F8" i="13"/>
  <c r="G36" i="13"/>
  <c r="H36" i="13" s="1"/>
  <c r="H3" i="13"/>
  <c r="C18" i="4"/>
  <c r="C19" i="4" s="1"/>
  <c r="F19" i="4"/>
  <c r="B36" i="4"/>
</calcChain>
</file>

<file path=xl/sharedStrings.xml><?xml version="1.0" encoding="utf-8"?>
<sst xmlns="http://schemas.openxmlformats.org/spreadsheetml/2006/main" count="2520" uniqueCount="952">
  <si>
    <t>S.
No.</t>
  </si>
  <si>
    <t>Business Name</t>
  </si>
  <si>
    <t>Facility Type</t>
  </si>
  <si>
    <t>Ship To
Location Name</t>
  </si>
  <si>
    <t>Ship To
Location Address</t>
  </si>
  <si>
    <t xml:space="preserve"> Ship To
City</t>
  </si>
  <si>
    <t>Ship To
State</t>
  </si>
  <si>
    <t>Ship To
Zip Code</t>
  </si>
  <si>
    <t>Ship To
Phone Number</t>
  </si>
  <si>
    <t>Facility
Contact Name</t>
  </si>
  <si>
    <t>Facility
Contact Title</t>
  </si>
  <si>
    <t>Facility
Contact No.</t>
  </si>
  <si>
    <t>Facility
Contact Email</t>
  </si>
  <si>
    <t>Payment Terms
(for AIT*)</t>
  </si>
  <si>
    <t>(BP) Bill To
Company Name</t>
  </si>
  <si>
    <t>Bill To
Address</t>
  </si>
  <si>
    <t>Bill To
City</t>
  </si>
  <si>
    <t>Bill To
State</t>
  </si>
  <si>
    <t>Bill To
Zip Code</t>
  </si>
  <si>
    <t>Bill To
Phone Number</t>
  </si>
  <si>
    <t>Procurement Advisors</t>
  </si>
  <si>
    <t>Benchmarking Summary</t>
  </si>
  <si>
    <t>Savings vs. Historical</t>
  </si>
  <si>
    <t>Total Spend Provided</t>
  </si>
  <si>
    <t>Benchmarked Spend</t>
  </si>
  <si>
    <t>Benchmarked % of Total</t>
  </si>
  <si>
    <t>PA Pricing</t>
  </si>
  <si>
    <t>Savings $</t>
  </si>
  <si>
    <t>Savings</t>
  </si>
  <si>
    <t>Comments</t>
  </si>
  <si>
    <t>Exact SKU benchmarking</t>
  </si>
  <si>
    <t>No. of SKUs</t>
  </si>
  <si>
    <t>Negative</t>
  </si>
  <si>
    <t>Same</t>
  </si>
  <si>
    <t>0-10%</t>
  </si>
  <si>
    <t>10-20%</t>
  </si>
  <si>
    <t>20-30%</t>
  </si>
  <si>
    <t>30+%</t>
  </si>
  <si>
    <t>Total</t>
  </si>
  <si>
    <t>Wtd. Avg.</t>
  </si>
  <si>
    <t>Total SKUs</t>
  </si>
  <si>
    <t>$ Spend</t>
  </si>
  <si>
    <t>SKU Level Savings</t>
  </si>
  <si>
    <t>CSPL breakdown</t>
  </si>
  <si>
    <t>SKUs</t>
  </si>
  <si>
    <t>%</t>
  </si>
  <si>
    <t xml:space="preserve"> $</t>
  </si>
  <si>
    <t>PA $</t>
  </si>
  <si>
    <t>Savings %</t>
  </si>
  <si>
    <t>CSPL Skus</t>
  </si>
  <si>
    <t>Deeply discounted SKU List</t>
  </si>
  <si>
    <t>Non-CSPL Skus</t>
  </si>
  <si>
    <t>Category Discounts (15-50%) or Spot Discounts of atleast 10%</t>
  </si>
  <si>
    <t>Savings vs. Current</t>
  </si>
  <si>
    <t>Paid Price</t>
  </si>
  <si>
    <t>Current Price</t>
  </si>
  <si>
    <t>PA Price</t>
  </si>
  <si>
    <t>Other savings opportunities:</t>
  </si>
  <si>
    <t>Net 60 benefit</t>
  </si>
  <si>
    <t>Annual rate of return (estimated)</t>
  </si>
  <si>
    <t>Current payment terms (largest act, in days)</t>
  </si>
  <si>
    <t>PA payment terms (in days)</t>
  </si>
  <si>
    <t>Payment Term benefit adjustment</t>
  </si>
  <si>
    <t>R12 Spend</t>
  </si>
  <si>
    <t>Preferred terms estimate</t>
  </si>
  <si>
    <t>estimate</t>
  </si>
  <si>
    <t>Preferred MFR Benefit</t>
  </si>
  <si>
    <t>Total spend with Pref MFRs (see separate tab)</t>
  </si>
  <si>
    <t>Rebate Range (1-4%)</t>
  </si>
  <si>
    <t>MFR rebate estimate (2.5%)</t>
  </si>
  <si>
    <t>Note:</t>
  </si>
  <si>
    <t>(1) Total spend is data provided by WWG</t>
  </si>
  <si>
    <t>(2) Benchmarked all SKUs except discontinued items</t>
  </si>
  <si>
    <t>(3) Used company purchase history to compare against PA current price</t>
  </si>
  <si>
    <t>(4) Savings do not reflect (a) volume and manufacturer rebates, (b) CSPL alternatives and future CSPL adds</t>
  </si>
  <si>
    <t>(5) This benchmark is good faith estimate and is based on information at the timing of assessment, including locations identified, purchasing history and current price and is subject to change. Final SKU review and pricing will occur at time of affiliation under the terms of PA contract.</t>
  </si>
  <si>
    <t>(6) "Other Savings" numbers are projections based on historical spend and current agreements, actual numbers and percentages will change based of future spend patterns</t>
  </si>
  <si>
    <t>WWG-Customer Name</t>
  </si>
  <si>
    <t>(5) Benchmark files are a preliminary assessment and valid for 30 days. Final SKU review will occur at time of affiliation</t>
  </si>
  <si>
    <t>Location Summary</t>
  </si>
  <si>
    <t>#</t>
  </si>
  <si>
    <t>Location Name</t>
  </si>
  <si>
    <t># SKUs</t>
  </si>
  <si>
    <t>Total Paid</t>
  </si>
  <si>
    <t>Current</t>
  </si>
  <si>
    <t>PA Ext. Price</t>
  </si>
  <si>
    <t>Segment Breakdown</t>
  </si>
  <si>
    <t>Segment</t>
  </si>
  <si>
    <t>Total Spend</t>
  </si>
  <si>
    <t>PA Ext Price</t>
  </si>
  <si>
    <t>% of Total</t>
  </si>
  <si>
    <t>Saving %</t>
  </si>
  <si>
    <t>Abrasives</t>
  </si>
  <si>
    <t>Adhesives, Sealants and Tape</t>
  </si>
  <si>
    <t>Cleaning</t>
  </si>
  <si>
    <t>Electrical</t>
  </si>
  <si>
    <t>Electronics, Appliances, and Batteries</t>
  </si>
  <si>
    <t>Fasteners</t>
  </si>
  <si>
    <t>Fleet and Vehicle Maintenance</t>
  </si>
  <si>
    <t>Furniture, Hospitality and Food Service</t>
  </si>
  <si>
    <t>Hand Tools</t>
  </si>
  <si>
    <t>Hardware</t>
  </si>
  <si>
    <t>HVAC and Refrigeration</t>
  </si>
  <si>
    <t>Hydraulics</t>
  </si>
  <si>
    <t>Lab Supplies</t>
  </si>
  <si>
    <t>Lighting</t>
  </si>
  <si>
    <t>Lubrication</t>
  </si>
  <si>
    <t>Machining</t>
  </si>
  <si>
    <t>Material Handling</t>
  </si>
  <si>
    <t>Motors</t>
  </si>
  <si>
    <t>Office Supplies</t>
  </si>
  <si>
    <t>Outdoor Equipment</t>
  </si>
  <si>
    <t>Paint, Equipment and Supplies</t>
  </si>
  <si>
    <t>Plumbing</t>
  </si>
  <si>
    <t>Pneumatics</t>
  </si>
  <si>
    <t>Power Tools</t>
  </si>
  <si>
    <t>Power Transmission</t>
  </si>
  <si>
    <t>Pumps</t>
  </si>
  <si>
    <t>Raw Materials</t>
  </si>
  <si>
    <t>Reference and Learning Supplies</t>
  </si>
  <si>
    <t>Safety</t>
  </si>
  <si>
    <t>Security</t>
  </si>
  <si>
    <t>Test Instruments</t>
  </si>
  <si>
    <t>Welding</t>
  </si>
  <si>
    <t>Totals</t>
  </si>
  <si>
    <t>Preferred Manufacturers</t>
  </si>
  <si>
    <t>MFR</t>
  </si>
  <si>
    <t>Spend</t>
  </si>
  <si>
    <t>ANSELL</t>
  </si>
  <si>
    <t>BLACK  DECKER</t>
  </si>
  <si>
    <t>BLACKHAWK BY PROTO</t>
  </si>
  <si>
    <t>BOSTITCH</t>
  </si>
  <si>
    <t>DEWALT</t>
  </si>
  <si>
    <t>DURACELL</t>
  </si>
  <si>
    <t>DURACELL ULTRA</t>
  </si>
  <si>
    <t>GENERAL ELECTRIC</t>
  </si>
  <si>
    <t>GEORGIA-PACIFIC</t>
  </si>
  <si>
    <t>GOJO</t>
  </si>
  <si>
    <t>HYFLEX</t>
  </si>
  <si>
    <t>PORTER CABLE</t>
  </si>
  <si>
    <t>PROTO</t>
  </si>
  <si>
    <t>PURELL</t>
  </si>
  <si>
    <t>RUBBERMAID</t>
  </si>
  <si>
    <t>SQWINCHER</t>
  </si>
  <si>
    <t>STANLEY</t>
  </si>
  <si>
    <t>STANLEY BOSTITCH</t>
  </si>
  <si>
    <t>STANLEY SECURITY</t>
  </si>
  <si>
    <t>STANLEY SECURITY SOLUTIONS</t>
  </si>
  <si>
    <t>STANLEY VIDMAR</t>
  </si>
  <si>
    <t>CUSTOMER NAME</t>
  </si>
  <si>
    <t>ITEM NUMBER</t>
  </si>
  <si>
    <t>ITEM DESCRIPTION</t>
  </si>
  <si>
    <t>BRAND NAME</t>
  </si>
  <si>
    <t>PRODUCT SEGMENT</t>
  </si>
  <si>
    <t>PRODUCT FAMILY</t>
  </si>
  <si>
    <t>MATERIAL CATEGORY</t>
  </si>
  <si>
    <t>PURCHASE AMOUNT</t>
  </si>
  <si>
    <t>TRANSACTIONS</t>
  </si>
  <si>
    <t>QTY PURCHASED</t>
  </si>
  <si>
    <t>Savings Cat.</t>
  </si>
  <si>
    <t>PA Extended</t>
  </si>
  <si>
    <t>PA Cost</t>
  </si>
  <si>
    <t>Current Extended</t>
  </si>
  <si>
    <t>PA CSPL</t>
  </si>
  <si>
    <t>WWG CSPL</t>
  </si>
  <si>
    <t>Notes</t>
  </si>
  <si>
    <t>Notes2</t>
  </si>
  <si>
    <t>CSPL</t>
  </si>
  <si>
    <t>Alt. SKU</t>
  </si>
  <si>
    <t>Alt. SKU Price</t>
  </si>
  <si>
    <t>Notes1</t>
  </si>
  <si>
    <t>OIL FILTRATION SYSTEMS INCBOERNE - TX</t>
  </si>
  <si>
    <t xml:space="preserve">60XZ93                              </t>
  </si>
  <si>
    <t>Cut/Grind Wheel,PK10</t>
  </si>
  <si>
    <t>3M CUBITRON II</t>
  </si>
  <si>
    <t>Cut-Off and Grinding Wheels</t>
  </si>
  <si>
    <t>Abrasive Cut-Off and Chop Wheels</t>
  </si>
  <si>
    <t>2.00</t>
  </si>
  <si>
    <t>Discontinued</t>
  </si>
  <si>
    <t xml:space="preserve"> </t>
  </si>
  <si>
    <t/>
  </si>
  <si>
    <t xml:space="preserve">000000000047904089                  </t>
  </si>
  <si>
    <t>Sourcing Item</t>
  </si>
  <si>
    <t xml:space="preserve">20X162                              </t>
  </si>
  <si>
    <t>Red Pass Plus Annual Membership Fee</t>
  </si>
  <si>
    <t>UNCATEGORIZED</t>
  </si>
  <si>
    <t>DIEN Freight Programs</t>
  </si>
  <si>
    <t>1.00</t>
  </si>
  <si>
    <t xml:space="preserve">45C170                              </t>
  </si>
  <si>
    <t>Tie Down Strap,Ratchet,Poly,10 ft.,PK4</t>
  </si>
  <si>
    <t>HIGHLAND</t>
  </si>
  <si>
    <t>Cargo Control</t>
  </si>
  <si>
    <t>Cargo Tie Downs</t>
  </si>
  <si>
    <t xml:space="preserve">448D51                              </t>
  </si>
  <si>
    <t>Depressed Center Wheel,4-1/2" dia.</t>
  </si>
  <si>
    <t>Depressed Center Wheels</t>
  </si>
  <si>
    <t>35.00</t>
  </si>
  <si>
    <t xml:space="preserve">4LM08                               </t>
  </si>
  <si>
    <t>PSA Disc Roll,No Hole,5 In,P220G,AlO</t>
  </si>
  <si>
    <t>NORTON</t>
  </si>
  <si>
    <t>Sanding Discs and Kits</t>
  </si>
  <si>
    <t>Sanding Disc Rolls</t>
  </si>
  <si>
    <t>8.00</t>
  </si>
  <si>
    <t xml:space="preserve">2D711                               </t>
  </si>
  <si>
    <t>PSA Disc Roll,No Hole,5 In,P80G,AlO</t>
  </si>
  <si>
    <t>25.00</t>
  </si>
  <si>
    <t>CLARK RELIANCESTRONGSVILLE - OH</t>
  </si>
  <si>
    <t xml:space="preserve">2AJT4                               </t>
  </si>
  <si>
    <t>Reusable Paint Strainer Bag,Dia 13In,PK2</t>
  </si>
  <si>
    <t>GRAINGER APPROVED</t>
  </si>
  <si>
    <t>Paint and Wallpaper Tools</t>
  </si>
  <si>
    <t>Paint Strainers</t>
  </si>
  <si>
    <t>11V262</t>
  </si>
  <si>
    <t>PSA Sanding Disc Roll,5 In,P80GSC</t>
  </si>
  <si>
    <t>15.00</t>
  </si>
  <si>
    <t>No</t>
  </si>
  <si>
    <t>1ZLC4</t>
  </si>
  <si>
    <t>Spray Gun Fluid Nozzle,For 4YP07</t>
  </si>
  <si>
    <t>BINKS</t>
  </si>
  <si>
    <t>Replacement Parts</t>
  </si>
  <si>
    <t>Parts</t>
  </si>
  <si>
    <t>6.00</t>
  </si>
  <si>
    <t>3XTW3</t>
  </si>
  <si>
    <t>Triple Head Bender,3/16,1/4,5/16,3/8 In</t>
  </si>
  <si>
    <t>IMPERIAL</t>
  </si>
  <si>
    <t>Plumbing Tools</t>
  </si>
  <si>
    <t>Tubing Benders</t>
  </si>
  <si>
    <t>12T596</t>
  </si>
  <si>
    <t>Adhesive/PSA Disc Backup Pad, 5D</t>
  </si>
  <si>
    <t>INGERSOLL RAND</t>
  </si>
  <si>
    <t>Disc Backup Pads</t>
  </si>
  <si>
    <t>1GYJ4</t>
  </si>
  <si>
    <t>Air Hose,3/8" ID x 35 ft. L,Red</t>
  </si>
  <si>
    <t>REELCRAFT</t>
  </si>
  <si>
    <t>Pneumatic Hoses</t>
  </si>
  <si>
    <t>Air Hose Assemblies</t>
  </si>
  <si>
    <t>462D52</t>
  </si>
  <si>
    <t>Paint Marker,Broad Point,White,PK6</t>
  </si>
  <si>
    <t>SHARPIE</t>
  </si>
  <si>
    <t>Marking Tools</t>
  </si>
  <si>
    <t>Paint Markers</t>
  </si>
  <si>
    <t>2PA59</t>
  </si>
  <si>
    <t>Hose Clamp,1/2 to 1-1/16 In,SAE 10,PK10</t>
  </si>
  <si>
    <t>Hose Clamps</t>
  </si>
  <si>
    <t>Worm Gear Clamps</t>
  </si>
  <si>
    <t>1ATH7</t>
  </si>
  <si>
    <t>Tubing Cutter,Aluminum,3-1/8 In. L</t>
  </si>
  <si>
    <t>RIDGID</t>
  </si>
  <si>
    <t>Pipe and Tubing Cutters</t>
  </si>
  <si>
    <t>4.00</t>
  </si>
  <si>
    <t>Y</t>
  </si>
  <si>
    <t>39EN90</t>
  </si>
  <si>
    <t>Discharge Valve, 1/2" NPT, 250 PSI,4cfm</t>
  </si>
  <si>
    <t>CONRADER</t>
  </si>
  <si>
    <t>Air Compressor Accessories</t>
  </si>
  <si>
    <t>Compressor Discharge Valves</t>
  </si>
  <si>
    <t>32WR72</t>
  </si>
  <si>
    <t>Ground Kit,200A,7 Terminals</t>
  </si>
  <si>
    <t>GE</t>
  </si>
  <si>
    <t>Distribution</t>
  </si>
  <si>
    <t>Ground Bar Kits</t>
  </si>
  <si>
    <t>2X468</t>
  </si>
  <si>
    <t>Toggle Switch,DPDT,10A @ 250V,Screw</t>
  </si>
  <si>
    <t>CARLING TECHNOLOGIES</t>
  </si>
  <si>
    <t>Switches</t>
  </si>
  <si>
    <t>Toggle Switches</t>
  </si>
  <si>
    <t>23V802</t>
  </si>
  <si>
    <t>Hard Hat,Type 1, Class E,White</t>
  </si>
  <si>
    <t>HONEYWELL FIBRE-METAL</t>
  </si>
  <si>
    <t>Head Protection</t>
  </si>
  <si>
    <t>Hard Hats</t>
  </si>
  <si>
    <t>53YM06</t>
  </si>
  <si>
    <t>Sash, Unrated Orange/Red, Universal</t>
  </si>
  <si>
    <t>CONDOR</t>
  </si>
  <si>
    <t>Workwear</t>
  </si>
  <si>
    <t>High-Visibility Vests</t>
  </si>
  <si>
    <t>4ZK36</t>
  </si>
  <si>
    <t>Clamp,Speed</t>
  </si>
  <si>
    <t>SPEEDAIRE</t>
  </si>
  <si>
    <t>Compressed Air Treatment</t>
  </si>
  <si>
    <t>Pneumatic Modular FRL Accessories</t>
  </si>
  <si>
    <t>5.00</t>
  </si>
  <si>
    <t>2A551</t>
  </si>
  <si>
    <t>Lqd Lvl Swch,Vrtcl,1/4"NPT,392F Max.</t>
  </si>
  <si>
    <t>MADISON</t>
  </si>
  <si>
    <t>Vertical Mount Closed Tank Level Switch</t>
  </si>
  <si>
    <t>1H252</t>
  </si>
  <si>
    <t>Safety Switch,240VAC,3PST,30 Amps AC</t>
  </si>
  <si>
    <t>SQUARE D</t>
  </si>
  <si>
    <t>Safety Switches</t>
  </si>
  <si>
    <t>Safety and Disconnect Switches</t>
  </si>
  <si>
    <t>4T561</t>
  </si>
  <si>
    <t>Pipe Marking Tape,Yllw,1in W,90ft Roll L</t>
  </si>
  <si>
    <t>BRADY</t>
  </si>
  <si>
    <t>Identification Products</t>
  </si>
  <si>
    <t>Pipe Marking Arrows and Banding Tape</t>
  </si>
  <si>
    <t>3.00</t>
  </si>
  <si>
    <t>3A207</t>
  </si>
  <si>
    <t>Knot Wire Wheel Brush,Stem,3-1/4 In.</t>
  </si>
  <si>
    <t>WEILER</t>
  </si>
  <si>
    <t>Abrasive Brushes and Wheel Kits</t>
  </si>
  <si>
    <t>Wire Wheel Brushes</t>
  </si>
  <si>
    <t>2Z705</t>
  </si>
  <si>
    <t>Twin Line Welding Hose,1/4" ID x 25 ft.</t>
  </si>
  <si>
    <t>CONTINENTAL</t>
  </si>
  <si>
    <t>Welding Supplies</t>
  </si>
  <si>
    <t>Welding Hose Assemblies</t>
  </si>
  <si>
    <t>488F01</t>
  </si>
  <si>
    <t>Impact Wrench,Cordless,Compact,12VDC</t>
  </si>
  <si>
    <t>MILWAUKEE</t>
  </si>
  <si>
    <t>Fastening Tools and Accessories</t>
  </si>
  <si>
    <t>Cordless Impact Wrenches</t>
  </si>
  <si>
    <t>6WUW7</t>
  </si>
  <si>
    <t>Reduced Shank Drill,11/16",HSS</t>
  </si>
  <si>
    <t>WESTWARD</t>
  </si>
  <si>
    <t>Drilling and Holemaking</t>
  </si>
  <si>
    <t>Reduced Shank Drill Bits</t>
  </si>
  <si>
    <t>5MDA6</t>
  </si>
  <si>
    <t>Quick Connect,Set,1/4" Body,1/4"-18</t>
  </si>
  <si>
    <t>AMFLO</t>
  </si>
  <si>
    <t>Pneumatic Hose Fittings and Couplings</t>
  </si>
  <si>
    <t>Quick Connect Air Coupling Sets</t>
  </si>
  <si>
    <t>10.00</t>
  </si>
  <si>
    <t>49DC28</t>
  </si>
  <si>
    <t>Coated Gloves,Nylon,M,PR</t>
  </si>
  <si>
    <t>MCR SAFETY</t>
  </si>
  <si>
    <t>Gloves and Hand Protection</t>
  </si>
  <si>
    <t>Knit Gloves and Mitts</t>
  </si>
  <si>
    <t>56.00</t>
  </si>
  <si>
    <t>462D50</t>
  </si>
  <si>
    <t>Paint Marker,Medium Point,Blue,PK12</t>
  </si>
  <si>
    <t>3HDP8</t>
  </si>
  <si>
    <t>Lubricating Oil, 1 qt, Drip Can, 10 SAE</t>
  </si>
  <si>
    <t>GAST</t>
  </si>
  <si>
    <t>Air Compressor Oil</t>
  </si>
  <si>
    <t>6GNP2</t>
  </si>
  <si>
    <t>Magnetic Meter Hanger,Nylon,9" Strap</t>
  </si>
  <si>
    <t>FLUKE</t>
  </si>
  <si>
    <t>Electrical Power Testing</t>
  </si>
  <si>
    <t>Test Instrument Carrying Cases</t>
  </si>
  <si>
    <t>40PN81</t>
  </si>
  <si>
    <t>Pipe Insulation,6 ft.,1/2in. Wall Thick</t>
  </si>
  <si>
    <t>K-FLEX USA</t>
  </si>
  <si>
    <t>Insulation</t>
  </si>
  <si>
    <t>Pipe Insulation</t>
  </si>
  <si>
    <t>23NY61</t>
  </si>
  <si>
    <t>Occ/Vac Sensor,PIR,1200 sq ft,White</t>
  </si>
  <si>
    <t>HUBBELL WIRING DEVICE-KELLEMS</t>
  </si>
  <si>
    <t>Lighting Controls and Control Systems</t>
  </si>
  <si>
    <t>Motion Sensors</t>
  </si>
  <si>
    <t>6B951</t>
  </si>
  <si>
    <t>Pleated Air Filter,16x25x1,MERV 8</t>
  </si>
  <si>
    <t>AIR HANDLER</t>
  </si>
  <si>
    <t>Air Filters</t>
  </si>
  <si>
    <t>Pleated Air Filters</t>
  </si>
  <si>
    <t>12.00</t>
  </si>
  <si>
    <t>22UG57</t>
  </si>
  <si>
    <t>Washer,3/8" Bolt,316 SS,13/16" OD,PK50</t>
  </si>
  <si>
    <t>Washers</t>
  </si>
  <si>
    <t>Flat Washers</t>
  </si>
  <si>
    <t>20E892</t>
  </si>
  <si>
    <t>Digital Clamp Meter,400A,600V,TRMS</t>
  </si>
  <si>
    <t>Clamp Meters</t>
  </si>
  <si>
    <t>5LU68</t>
  </si>
  <si>
    <t>Knee Pads w/Tool Holder,Hard,Gel,Univ,PR</t>
  </si>
  <si>
    <t>CLC</t>
  </si>
  <si>
    <t>Ergonomics</t>
  </si>
  <si>
    <t>Protective Elbow and Knee Pads</t>
  </si>
  <si>
    <t>2W504</t>
  </si>
  <si>
    <t>Duct Tape,Gray,1 7/8 in x 60 yd,11 mil</t>
  </si>
  <si>
    <t>NASHUA</t>
  </si>
  <si>
    <t>Tapes</t>
  </si>
  <si>
    <t>Duct Tape</t>
  </si>
  <si>
    <t>5YK77</t>
  </si>
  <si>
    <t>Brake Parts Cleaner,20 oz. Aerosol</t>
  </si>
  <si>
    <t>CRC</t>
  </si>
  <si>
    <t>Automotive Chemicals</t>
  </si>
  <si>
    <t>Automotive Cleaners and Degreasers</t>
  </si>
  <si>
    <t>55EC97</t>
  </si>
  <si>
    <t>Battery,AA,Premium,1.5VDC,PK24</t>
  </si>
  <si>
    <t>DURACELL PROCELL</t>
  </si>
  <si>
    <t>Batteries</t>
  </si>
  <si>
    <t>Disposable Standard Batteries</t>
  </si>
  <si>
    <t>3MU89</t>
  </si>
  <si>
    <t>Process Calibrator Multimeter</t>
  </si>
  <si>
    <t>Process Monitoring</t>
  </si>
  <si>
    <t>23VM29</t>
  </si>
  <si>
    <t>Tank Liner,9.8 Gal,PK20</t>
  </si>
  <si>
    <t>1RK23</t>
  </si>
  <si>
    <t>Refrig Evacuation Pump,7.0 cfm,6 ft.</t>
  </si>
  <si>
    <t>JB INDUSTRIES</t>
  </si>
  <si>
    <t>Air Conditioners and Accessories</t>
  </si>
  <si>
    <t>Refrigerant Evacuation Pumps</t>
  </si>
  <si>
    <t>49DC29</t>
  </si>
  <si>
    <t>Coated Gloves,Nylon,S,PR</t>
  </si>
  <si>
    <t>20.00</t>
  </si>
  <si>
    <t>4CUL4</t>
  </si>
  <si>
    <t>Funnel Set,3/4 to 10 oz.,4 pcs.</t>
  </si>
  <si>
    <t>FUNNEL KING</t>
  </si>
  <si>
    <t>Automotive Maintenance Tools</t>
  </si>
  <si>
    <t>Vehicle Funnels</t>
  </si>
  <si>
    <t>38XK21</t>
  </si>
  <si>
    <t>Cut-Off Wheel,Type 27,4-1/2 in.,36 Grit</t>
  </si>
  <si>
    <t>3M</t>
  </si>
  <si>
    <t>75.00</t>
  </si>
  <si>
    <t>35Z115</t>
  </si>
  <si>
    <t>Combo Wrench St,Steel,Fll Plish,Flexible</t>
  </si>
  <si>
    <t>Wrenches</t>
  </si>
  <si>
    <t>Combination Wrench Sets</t>
  </si>
  <si>
    <t>4NY64</t>
  </si>
  <si>
    <t>Quick Connect Filter,1 micron,1.5 gpm</t>
  </si>
  <si>
    <t>3M WATER FILTRATION PRODUCTS</t>
  </si>
  <si>
    <t>Filtration</t>
  </si>
  <si>
    <t>Quick Connect Filters</t>
  </si>
  <si>
    <t>2CJA3</t>
  </si>
  <si>
    <t>Wall Clock,Analog,Battery</t>
  </si>
  <si>
    <t>Clocks and Time Clock Systems</t>
  </si>
  <si>
    <t>Clocks</t>
  </si>
  <si>
    <t>5LE23</t>
  </si>
  <si>
    <t>Battery,Alkaline,AA,Everyday,PK24</t>
  </si>
  <si>
    <t>4HA27</t>
  </si>
  <si>
    <t>Hand Drum Pump,Piston,5 gpm@120 strokes</t>
  </si>
  <si>
    <t>DAYTON</t>
  </si>
  <si>
    <t>Drum Pumps</t>
  </si>
  <si>
    <t>Hand Drum Pumps</t>
  </si>
  <si>
    <t>1M931</t>
  </si>
  <si>
    <t>Reduced Shank Drill,15/16",HSS</t>
  </si>
  <si>
    <t>CHICAGO-LATROBE</t>
  </si>
  <si>
    <t>4XK66</t>
  </si>
  <si>
    <t>Step Cone Drill,1/8in to 1/2in,HSS</t>
  </si>
  <si>
    <t>IRWIN</t>
  </si>
  <si>
    <t>Drilling Accessories</t>
  </si>
  <si>
    <t>Step Drill Bits</t>
  </si>
  <si>
    <t>53JT73</t>
  </si>
  <si>
    <t>Airless Spray Gun Tip,0.008" Tip Size</t>
  </si>
  <si>
    <t>GRACO</t>
  </si>
  <si>
    <t>Paint Sprayers and Accessories</t>
  </si>
  <si>
    <t>Airless Spray Tips and Tip Guards</t>
  </si>
  <si>
    <t>36VM87</t>
  </si>
  <si>
    <t>Single Gas Monitor,H2S,Yellow</t>
  </si>
  <si>
    <t>BW TECHNOLOGIES</t>
  </si>
  <si>
    <t>Gas Detection</t>
  </si>
  <si>
    <t>Single-Gas Detectors</t>
  </si>
  <si>
    <t>4HYN6</t>
  </si>
  <si>
    <t>Pipe Clamp,Pipe Sz 8 In,13 3/4 In L</t>
  </si>
  <si>
    <t>ANVIL</t>
  </si>
  <si>
    <t>Pipe and Tubing</t>
  </si>
  <si>
    <t>Pipe Hangers and Clamps</t>
  </si>
  <si>
    <t>38V313</t>
  </si>
  <si>
    <t>Web Sling,Type 3,Polyester,1inW,2 ft.L</t>
  </si>
  <si>
    <t>LIFT-ALL</t>
  </si>
  <si>
    <t>Rigging and Lifting Slings</t>
  </si>
  <si>
    <t>Web Slings</t>
  </si>
  <si>
    <t>4YVT4</t>
  </si>
  <si>
    <t>Adj Trq Scrdrvr, 1/4 in, 20-100 in-oz</t>
  </si>
  <si>
    <t>CDI</t>
  </si>
  <si>
    <t>Screwdrivers and Nut Drivers</t>
  </si>
  <si>
    <t>Adjustable Torque Screwdrivers</t>
  </si>
  <si>
    <t>30E703</t>
  </si>
  <si>
    <t>Quick Connect,Plug,1/4" Body,1/4"</t>
  </si>
  <si>
    <t>Quick Connect Air Couplings</t>
  </si>
  <si>
    <t>13C677</t>
  </si>
  <si>
    <t>Quick Connect,Plug,1/4" Body,1/4"-18</t>
  </si>
  <si>
    <t>DYNABRADE</t>
  </si>
  <si>
    <t>3VZZ5</t>
  </si>
  <si>
    <t>Double Sided Tape,16 11/16 yd L,1" W</t>
  </si>
  <si>
    <t>FAST CAP</t>
  </si>
  <si>
    <t>Bonding and Mounting Tape</t>
  </si>
  <si>
    <t>3NVL4</t>
  </si>
  <si>
    <t>Applicator,Dual Cartridge Manual,50mL</t>
  </si>
  <si>
    <t>LOCTITE</t>
  </si>
  <si>
    <t>Dispensing Guns</t>
  </si>
  <si>
    <t>Epoxy Applicators</t>
  </si>
  <si>
    <t>5LC41</t>
  </si>
  <si>
    <t>Snap-Off Utility Knife,5 1/4 In,Silver</t>
  </si>
  <si>
    <t>OLFA</t>
  </si>
  <si>
    <t>Knives, Hand Saws and Cutting Tools</t>
  </si>
  <si>
    <t>Snap-Off Utility Knives</t>
  </si>
  <si>
    <t>6URE1</t>
  </si>
  <si>
    <t>Tank Liner,2.8 Gal,PK60</t>
  </si>
  <si>
    <t>Spray Gun Cup Liner</t>
  </si>
  <si>
    <t>2KVC4</t>
  </si>
  <si>
    <t>Weatherstrip Adhesive,Tube,5.00 oz,Black</t>
  </si>
  <si>
    <t>Adhesives and Glues</t>
  </si>
  <si>
    <t>Construction Adhesives</t>
  </si>
  <si>
    <t>55JC16</t>
  </si>
  <si>
    <t>Mechanic Scissor Service Jack,1.5 tons</t>
  </si>
  <si>
    <t>Automotive Lifting Tools</t>
  </si>
  <si>
    <t>Air, Mechanic, and Hydraulic Floor Jacks</t>
  </si>
  <si>
    <t>19F649</t>
  </si>
  <si>
    <t>Qwik Pins, 5/8 to 1-5/8" Flange Holes,PR</t>
  </si>
  <si>
    <t>SUMNER</t>
  </si>
  <si>
    <t>Hydraulic Power Tools</t>
  </si>
  <si>
    <t>Flange Alignment Tools</t>
  </si>
  <si>
    <t>6X302</t>
  </si>
  <si>
    <t>HexKeySt, Folded, 2 in to 3 45/64 in</t>
  </si>
  <si>
    <t>EKLIND</t>
  </si>
  <si>
    <t>Hex Key Sets</t>
  </si>
  <si>
    <t>4UGG4</t>
  </si>
  <si>
    <t>Foil Roll,Alum,0.002 Th x 18 In W,500 Ft</t>
  </si>
  <si>
    <t>Aluminum</t>
  </si>
  <si>
    <t>Aluminum Foil Rolls</t>
  </si>
  <si>
    <t>2VFG2</t>
  </si>
  <si>
    <t>Instant Adhesive,20g Bottle,Clear</t>
  </si>
  <si>
    <t>Instant Adhesives</t>
  </si>
  <si>
    <t>33K443</t>
  </si>
  <si>
    <t>Filter Plastic 1/4 Npt Sp B300A</t>
  </si>
  <si>
    <t>1EDB6</t>
  </si>
  <si>
    <t>Quick Connect Filter,0.8 gpm,1,700 gal</t>
  </si>
  <si>
    <t>PENTAIR/PENTEK</t>
  </si>
  <si>
    <t>6HKW7</t>
  </si>
  <si>
    <t>Vacuum Breaker Repair Kit</t>
  </si>
  <si>
    <t>CHICAGO FAUCETS</t>
  </si>
  <si>
    <t>Faucets, Hose Bibs and Hydrants</t>
  </si>
  <si>
    <t>Faucet Cartridges, Stems, Valves and Valve Parts</t>
  </si>
  <si>
    <t>22N402</t>
  </si>
  <si>
    <t>Jobber Drill,#7,HSS</t>
  </si>
  <si>
    <t>CLE-LINE</t>
  </si>
  <si>
    <t>Jobber Length Drill Bits</t>
  </si>
  <si>
    <t>6A495</t>
  </si>
  <si>
    <t>Tape Measure,1/2 In x 12 ft,Chrome,In/Ft</t>
  </si>
  <si>
    <t>Measuring and Layout Tools</t>
  </si>
  <si>
    <t>Tape Measures</t>
  </si>
  <si>
    <t>5LC23</t>
  </si>
  <si>
    <t>Combination Square,6 In,Zinc</t>
  </si>
  <si>
    <t>JOHNSON</t>
  </si>
  <si>
    <t>Combination Square Sets and Components</t>
  </si>
  <si>
    <t>3AC17</t>
  </si>
  <si>
    <t>Twist Wire Wheel Brush,Threaded Arbor</t>
  </si>
  <si>
    <t>4FMC7</t>
  </si>
  <si>
    <t>Pressure Gauge,Test,2 In</t>
  </si>
  <si>
    <t>Pressure and Vacuum Measuring</t>
  </si>
  <si>
    <t>Commercial, Industrial and Process Dial Pressure Gauges</t>
  </si>
  <si>
    <t>30RV81</t>
  </si>
  <si>
    <t>Angle Grinder,7.5 A,Barrel Grip,3.9 lb</t>
  </si>
  <si>
    <t>Finishing Tools</t>
  </si>
  <si>
    <t>Corded Angle Grinders</t>
  </si>
  <si>
    <t>6X304</t>
  </si>
  <si>
    <t>HexKeySt,Folded, 1 51/64  to3 19/64 in</t>
  </si>
  <si>
    <t>2HYK2</t>
  </si>
  <si>
    <t>Coin Battery,Lithium,3VDC,2450</t>
  </si>
  <si>
    <t>Coin and Button Cell Batteries</t>
  </si>
  <si>
    <t>1BE68</t>
  </si>
  <si>
    <t>Battery Operated Megohmmeter,1000VDC</t>
  </si>
  <si>
    <t>Megohmmeters</t>
  </si>
  <si>
    <t>2A227</t>
  </si>
  <si>
    <t>Elec Tape,66 ft Lx3/4 in W,8.5 mil,Black</t>
  </si>
  <si>
    <t>Insulating Electrical Tape</t>
  </si>
  <si>
    <t>416M33</t>
  </si>
  <si>
    <t>Wire Wheel Brush,Shank Mount,1/4" L Trim</t>
  </si>
  <si>
    <t>3WAA1</t>
  </si>
  <si>
    <t>Double Sided Tape,16 11/16 yd L,2" W</t>
  </si>
  <si>
    <t>6WUX5</t>
  </si>
  <si>
    <t>Reduced Shank Drill,13/16",HSS</t>
  </si>
  <si>
    <t>3JT79</t>
  </si>
  <si>
    <t>Air Hose,3/4"I.D.,50 ft.</t>
  </si>
  <si>
    <t>3EA10</t>
  </si>
  <si>
    <t>Ovrload Rely,9 to 13A,3P,Class 10,690VAC</t>
  </si>
  <si>
    <t>SCHNEIDER ELECTRIC</t>
  </si>
  <si>
    <t>Starters and Contactors</t>
  </si>
  <si>
    <t>IEC Overload Relays</t>
  </si>
  <si>
    <t>19YY53</t>
  </si>
  <si>
    <t>Adhesive Remover,Aerosol Spray Can</t>
  </si>
  <si>
    <t>TECHSPRAY</t>
  </si>
  <si>
    <t>Cleaning Chemicals</t>
  </si>
  <si>
    <t>Adhesive Removers</t>
  </si>
  <si>
    <t>1PYA3</t>
  </si>
  <si>
    <t>Grinding Cone,2-3/4 Dia,3-1/2 L,24GR,AO</t>
  </si>
  <si>
    <t>Grinding Cones and Plugs</t>
  </si>
  <si>
    <t>36H242</t>
  </si>
  <si>
    <t>Sanding Disc Roll,5 In. Dia.,180 G</t>
  </si>
  <si>
    <t>ARC ABRASIVES</t>
  </si>
  <si>
    <t>488F03</t>
  </si>
  <si>
    <t>3DY52</t>
  </si>
  <si>
    <t>IEC Magnetic Contactr,120VAC,32A,1NC/1NO</t>
  </si>
  <si>
    <t>IEC Magnetic Contactors</t>
  </si>
  <si>
    <t>1P939</t>
  </si>
  <si>
    <t>Pump,4-1/4 In. L,4-1/4 In. W,4-1/4 In. H</t>
  </si>
  <si>
    <t>LITTLE GIANT</t>
  </si>
  <si>
    <t>Centrifugal Pumps</t>
  </si>
  <si>
    <t>Compact Submersible Centrifugal Pumps</t>
  </si>
  <si>
    <t>2ELP7</t>
  </si>
  <si>
    <t>Industrial Digital Multimeter,20A,1000V</t>
  </si>
  <si>
    <t>EXTECH</t>
  </si>
  <si>
    <t>Digital Multimeters</t>
  </si>
  <si>
    <t>5LE24</t>
  </si>
  <si>
    <t>Battery,Alkaline,9V,Everyday,PK12</t>
  </si>
  <si>
    <t>16.00</t>
  </si>
  <si>
    <t>60HL61</t>
  </si>
  <si>
    <t>Wire Rope Block,1-1/4" dia.,Flat,500 Lb.</t>
  </si>
  <si>
    <t>TUF-TUG</t>
  </si>
  <si>
    <t>Lifting Hardware</t>
  </si>
  <si>
    <t>Blocks and Sheaves</t>
  </si>
  <si>
    <t>19.00</t>
  </si>
  <si>
    <t>20JF36</t>
  </si>
  <si>
    <t>Leather Gloves,White,L,PR</t>
  </si>
  <si>
    <t>Leather Gloves and Mitts</t>
  </si>
  <si>
    <t>2WCX9</t>
  </si>
  <si>
    <t>Airless Tip Guard,7/8 In</t>
  </si>
  <si>
    <t>3CWP9</t>
  </si>
  <si>
    <t>Heavy Duty Anti-Seize,4 oz.,Can</t>
  </si>
  <si>
    <t>PERMATEX</t>
  </si>
  <si>
    <t>Lubricants and Penetrants</t>
  </si>
  <si>
    <t>Anti-Seize Compounds</t>
  </si>
  <si>
    <t>36RG77</t>
  </si>
  <si>
    <t>HxHdCpScrw,SStl,NL19,1.25in,Hex,10</t>
  </si>
  <si>
    <t>FOREVERBOLT</t>
  </si>
  <si>
    <t>Bolts</t>
  </si>
  <si>
    <t>Standard Hex Head Cap Screws and Bolts</t>
  </si>
  <si>
    <t>19F658</t>
  </si>
  <si>
    <t>Pocket Level,0, 90 Deg.</t>
  </si>
  <si>
    <t>Box, I-Beam, and Torpedo Levels</t>
  </si>
  <si>
    <t>2DKZ3</t>
  </si>
  <si>
    <t>PSA Sanding Disc,Paper,5 in.,P320G,PK500</t>
  </si>
  <si>
    <t>Adhesive (PSA) Sanding Discs</t>
  </si>
  <si>
    <t>5AX89</t>
  </si>
  <si>
    <t>Chemical Resistant Glove,29 mil,Sz 9,PR</t>
  </si>
  <si>
    <t>Chemical Resistant Gloves</t>
  </si>
  <si>
    <t>30E683</t>
  </si>
  <si>
    <t>Quick Connect,Socket,1/2" Body,1/2"-14</t>
  </si>
  <si>
    <t>19ZF48</t>
  </si>
  <si>
    <t>Conventional Spray Gun,Pressure,0.070 in</t>
  </si>
  <si>
    <t>Conventional Spray Guns</t>
  </si>
  <si>
    <t>19K977</t>
  </si>
  <si>
    <t>Coated Gloves,Nylon,L,PR</t>
  </si>
  <si>
    <t>36.00</t>
  </si>
  <si>
    <t>49C075</t>
  </si>
  <si>
    <t>Dfinit Prpose Contactr,24VAC,40A,2P,Open</t>
  </si>
  <si>
    <t>EATON</t>
  </si>
  <si>
    <t>Definite Purpose Magnetic Contactors</t>
  </si>
  <si>
    <t>4CR58</t>
  </si>
  <si>
    <t>HexKeySt, L, 2 27/32 in to 6 3/4 in</t>
  </si>
  <si>
    <t>19F650</t>
  </si>
  <si>
    <t>Flange Leveler,5/8-1 5/8 In holes</t>
  </si>
  <si>
    <t>49DC27</t>
  </si>
  <si>
    <t>68.00</t>
  </si>
  <si>
    <t>1DLJ3</t>
  </si>
  <si>
    <t>Winch Cable,GS,3/16 In. x 25 ft.</t>
  </si>
  <si>
    <t>Winches</t>
  </si>
  <si>
    <t>Winch Cables</t>
  </si>
  <si>
    <t>30E662</t>
  </si>
  <si>
    <t>Quick Connect,Plug,1/2" Body,1/2"-14</t>
  </si>
  <si>
    <t>6ZTN9</t>
  </si>
  <si>
    <t>Combination Square,12 In,Zinc Steel Head</t>
  </si>
  <si>
    <t>2FCA3</t>
  </si>
  <si>
    <t>Paint Mix and Measure Container,PK24</t>
  </si>
  <si>
    <t>ENCORE PLASTICS</t>
  </si>
  <si>
    <t>Brushes, Rollers, and Trays</t>
  </si>
  <si>
    <t>Paint Trays, Buckets and Liners</t>
  </si>
  <si>
    <t>12F684</t>
  </si>
  <si>
    <t>Knee Pads,Non-Skid,Gel,Univ,PR</t>
  </si>
  <si>
    <t>30C573</t>
  </si>
  <si>
    <t>Hooded Coverall,Elastic,White,3XL,PK6</t>
  </si>
  <si>
    <t>Chemical and Particulate Protective Clothing</t>
  </si>
  <si>
    <t>Chemical and Particulate Protective Coveralls</t>
  </si>
  <si>
    <t>4VRY2</t>
  </si>
  <si>
    <t>Hose Adapter,1/4",NPTF,1/4",ORB</t>
  </si>
  <si>
    <t>EATON AEROQUIP</t>
  </si>
  <si>
    <t>Hydraulic Hose Fittings and Couplings</t>
  </si>
  <si>
    <t>Hydraulic Hose Adapters</t>
  </si>
  <si>
    <t>13F640</t>
  </si>
  <si>
    <t>Air Random Orbital Sander,0.28HP,5 In.</t>
  </si>
  <si>
    <t>Pneumatic Tools</t>
  </si>
  <si>
    <t>Air Sanders</t>
  </si>
  <si>
    <t>2C928</t>
  </si>
  <si>
    <t>Layout Fluid,Blue,16 oz.,Aerosol Can</t>
  </si>
  <si>
    <t>DYKEM</t>
  </si>
  <si>
    <t>Cutting Fluids and Coolant Systems - Cutting Oils and Additives</t>
  </si>
  <si>
    <t>Machining Layout Fluids</t>
  </si>
  <si>
    <t>483P50</t>
  </si>
  <si>
    <t>Wire Wheel Brush,Crimped,Stainless Steel</t>
  </si>
  <si>
    <t>20PJ09</t>
  </si>
  <si>
    <t>Masking Tape,1" W,60 yd L,Tan</t>
  </si>
  <si>
    <t>Masking and Surface Protection Tape</t>
  </si>
  <si>
    <t>5A228</t>
  </si>
  <si>
    <t>Threadlocker 242,10mL Bottle,Blue</t>
  </si>
  <si>
    <t>Threadlockers and Gasket Sealants</t>
  </si>
  <si>
    <t>Threadlockers</t>
  </si>
  <si>
    <t>3EZV4</t>
  </si>
  <si>
    <t>FR Contractor Coverall,Navy,XL,HRC2</t>
  </si>
  <si>
    <t>VF IMAGEWEAR</t>
  </si>
  <si>
    <t>Flame Resistant and Arc Flash Clothing</t>
  </si>
  <si>
    <t>Flame Resistant and Arc Flash Coveralls</t>
  </si>
  <si>
    <t>38GU12</t>
  </si>
  <si>
    <t>Welding Plier,9" L,2-23/32" Jaw L</t>
  </si>
  <si>
    <t>CHANNELLOCK</t>
  </si>
  <si>
    <t>Pliers</t>
  </si>
  <si>
    <t>Welding Pliers</t>
  </si>
  <si>
    <t>5A230</t>
  </si>
  <si>
    <t>Threadlocker 271,10mL Bottle,Red</t>
  </si>
  <si>
    <t>2DEX7</t>
  </si>
  <si>
    <t>Diagonal Cutting Plier,5" L</t>
  </si>
  <si>
    <t>KLEIN TOOLS</t>
  </si>
  <si>
    <t>Diagonal Cutting Pliers</t>
  </si>
  <si>
    <t>2UV85</t>
  </si>
  <si>
    <t>Epoxy Adhesive,Fast Bond,2 x 1 oz.,Tube</t>
  </si>
  <si>
    <t>J-B WELD</t>
  </si>
  <si>
    <t>Epoxy and Structural Adhesives</t>
  </si>
  <si>
    <t>1PZB3</t>
  </si>
  <si>
    <t>Brass Ball Valve,FNPT x MNPT,1/4 in</t>
  </si>
  <si>
    <t>Shut-Off Valves</t>
  </si>
  <si>
    <t>Ball Valves</t>
  </si>
  <si>
    <t>30.00</t>
  </si>
  <si>
    <t>1ZLD8</t>
  </si>
  <si>
    <t>Spray Gun Air Nozzle,For Use With 5PB39</t>
  </si>
  <si>
    <t>4ZT86</t>
  </si>
  <si>
    <t>Web Sling,Type 3,Polyester,1inW,6 ft.L</t>
  </si>
  <si>
    <t>38EG14</t>
  </si>
  <si>
    <t>Mini Ball Valve,SS,FNPT X MNPT,1/4inPipe</t>
  </si>
  <si>
    <t>21RV47</t>
  </si>
  <si>
    <t>Battery,(1) 4.0 Ah,Li-Ion</t>
  </si>
  <si>
    <t>Combination Kits, Batteries and Chargers</t>
  </si>
  <si>
    <t>Cordless Tool Batteries</t>
  </si>
  <si>
    <t>4YFX3</t>
  </si>
  <si>
    <t>Reciprocating Saw Blade,TPI 18,PK5</t>
  </si>
  <si>
    <t>LENOX</t>
  </si>
  <si>
    <t>Power Saws and Accessories</t>
  </si>
  <si>
    <t>Corded and Cordless Reciprocating Saw Blades</t>
  </si>
  <si>
    <t>1VTT7</t>
  </si>
  <si>
    <t>Tube Bender,Geared Ratchet,3/4 In Tube</t>
  </si>
  <si>
    <t>2RV29</t>
  </si>
  <si>
    <t>Mobilux EP 1, EP Grease, NLGI 1, 13.7 oz</t>
  </si>
  <si>
    <t>MOBIL</t>
  </si>
  <si>
    <t>Greases</t>
  </si>
  <si>
    <t>Multipurpose Greases</t>
  </si>
  <si>
    <t>50HY44</t>
  </si>
  <si>
    <t>Pull Switch,Brass,SPDT</t>
  </si>
  <si>
    <t>GARDNER BENDER</t>
  </si>
  <si>
    <t>Pull Chain Switches</t>
  </si>
  <si>
    <t>569V41</t>
  </si>
  <si>
    <t>Trigger Assembly,2135-D93B</t>
  </si>
  <si>
    <t>Impact Wrench Accessories</t>
  </si>
  <si>
    <t>3CYU6</t>
  </si>
  <si>
    <t>Tubing Bender,1/4 In</t>
  </si>
  <si>
    <t>4UK11</t>
  </si>
  <si>
    <t>Adhesive,Epoxy,Hysol E-00NS,50 mL</t>
  </si>
  <si>
    <t>38A852</t>
  </si>
  <si>
    <t>Adj Trq Scrdrvr, 1/4 in, 6 to 32 in-oz</t>
  </si>
  <si>
    <t>Pre-Set Torque Screwdrivers</t>
  </si>
  <si>
    <t>55KE45</t>
  </si>
  <si>
    <t>Leak Sealer,2 oz,Rubber Base,Black</t>
  </si>
  <si>
    <t>FLEX SEAL</t>
  </si>
  <si>
    <t>Specialty Paints, Coatings, and Additives</t>
  </si>
  <si>
    <t>Rubber Coatings</t>
  </si>
  <si>
    <t>5C603</t>
  </si>
  <si>
    <t>Hand Ratchet, 5 in, Black Oxide, 1/4 in</t>
  </si>
  <si>
    <t>Sockets, Bits, and Socket Drive Tools</t>
  </si>
  <si>
    <t>Hand Ratchets</t>
  </si>
  <si>
    <t>49DC30</t>
  </si>
  <si>
    <t>Coated Gloves,Nylon,XS,PR</t>
  </si>
  <si>
    <t>24.00</t>
  </si>
  <si>
    <t>3K199</t>
  </si>
  <si>
    <t>Motor,1/2 HP,1725 rpm,56,115/230V</t>
  </si>
  <si>
    <t>HVAC Motors</t>
  </si>
  <si>
    <t>Belt Drive Motors</t>
  </si>
  <si>
    <t>400C55</t>
  </si>
  <si>
    <t>Microfiber Cloth,12" x 16",Assorted,PK12</t>
  </si>
  <si>
    <t>TOUGH GUY</t>
  </si>
  <si>
    <t>Rags and Wipes</t>
  </si>
  <si>
    <t>Microfiber Cloths</t>
  </si>
  <si>
    <t>3M505</t>
  </si>
  <si>
    <t>Motor,1/2 HP,Yoke</t>
  </si>
  <si>
    <t>Definite-Purpose Direct Drive HVAC Motors</t>
  </si>
  <si>
    <t>2XLC5</t>
  </si>
  <si>
    <t>Lock Box,Surface Mount,2 Keys</t>
  </si>
  <si>
    <t>KIDDE</t>
  </si>
  <si>
    <t>Key Control &amp; Identification</t>
  </si>
  <si>
    <t>Lock Boxes</t>
  </si>
  <si>
    <t>3HXP7</t>
  </si>
  <si>
    <t>Circuit Breaker,30A,Bolt On,120/240V,2P</t>
  </si>
  <si>
    <t>Miniature Circuit Breakers</t>
  </si>
  <si>
    <t>54TJ04</t>
  </si>
  <si>
    <t>Spray Primer,Light Gray</t>
  </si>
  <si>
    <t>KRYLON INDUSTRIAL</t>
  </si>
  <si>
    <t>Spray Paints and Primers</t>
  </si>
  <si>
    <t>Spray Primers</t>
  </si>
  <si>
    <t>18.00</t>
  </si>
  <si>
    <t>1ZLF2</t>
  </si>
  <si>
    <t>Spray Gun Needle,For Use With 4YP07</t>
  </si>
  <si>
    <t>407A60</t>
  </si>
  <si>
    <t>Straight Flute Tap,1/4"-20,HSS</t>
  </si>
  <si>
    <t>GREENFIELD THREADING</t>
  </si>
  <si>
    <t>Threading</t>
  </si>
  <si>
    <t>Straight Flute Taps</t>
  </si>
  <si>
    <t>55VM59</t>
  </si>
  <si>
    <t>Accessory</t>
  </si>
  <si>
    <t>INSIZE</t>
  </si>
  <si>
    <t>Precision Measuring - Calipers</t>
  </si>
  <si>
    <t>Caliper Accessories</t>
  </si>
  <si>
    <t>55VD63</t>
  </si>
  <si>
    <t>Spray Bottle,32 oz,9 3/4"H,White</t>
  </si>
  <si>
    <t>ABILITY ONE</t>
  </si>
  <si>
    <t>Janitorial Carts and Supply Holders</t>
  </si>
  <si>
    <t>Spray Bottles and Trigger Sprays</t>
  </si>
  <si>
    <t>462D49</t>
  </si>
  <si>
    <t>Paint Marker,Medium Point,Yellow,PK12</t>
  </si>
  <si>
    <t>4LZA6</t>
  </si>
  <si>
    <t>Impct Skt Adpt ,Steel,Blk Oxd,3/8 in</t>
  </si>
  <si>
    <t>Impact Socket Adapters</t>
  </si>
  <si>
    <t>2TEN2</t>
  </si>
  <si>
    <t>Disposable Gloves,Rubber Latex,XL,PK50</t>
  </si>
  <si>
    <t>Disposable Gloves</t>
  </si>
  <si>
    <t>32.00</t>
  </si>
  <si>
    <t>4JG16</t>
  </si>
  <si>
    <t>Combination Cartridge/Filter,Bayonet,PK2</t>
  </si>
  <si>
    <t>Respiratory</t>
  </si>
  <si>
    <t>Cartridges And Filters</t>
  </si>
  <si>
    <t>488D99</t>
  </si>
  <si>
    <t>6T362</t>
  </si>
  <si>
    <t>OTG Goggles,Antfg,Clr</t>
  </si>
  <si>
    <t>HONEYWELL UVEX</t>
  </si>
  <si>
    <t>Eye Protection and Accessories</t>
  </si>
  <si>
    <t>Safety Goggles</t>
  </si>
  <si>
    <t>1WB84</t>
  </si>
  <si>
    <t>Hex Nut,3/8-16,Gr 316,SS,Plain,PK50</t>
  </si>
  <si>
    <t>Nuts</t>
  </si>
  <si>
    <t>Hex Nuts</t>
  </si>
  <si>
    <t>22UG52</t>
  </si>
  <si>
    <t>Washer,1/4" Bolt,316 SS,3/4" OD,PK50</t>
  </si>
  <si>
    <t>30E594</t>
  </si>
  <si>
    <t>Swivel Connector,1/4</t>
  </si>
  <si>
    <t>Swivel Connectors</t>
  </si>
  <si>
    <t>4YJZ2</t>
  </si>
  <si>
    <t>Sanding Hand Pad Roll, Alum. Oxide,VF</t>
  </si>
  <si>
    <t>SCOTCH-BRITE</t>
  </si>
  <si>
    <t>Sanding Hand Pads and Sponges</t>
  </si>
  <si>
    <t>Sanding Hand Pad Rolls</t>
  </si>
  <si>
    <t>5DLZ2</t>
  </si>
  <si>
    <t>Adjustable Relief Valve,3/4 x 1/2 In</t>
  </si>
  <si>
    <t>WATTS</t>
  </si>
  <si>
    <t>Pressure and Temperature Control Valves</t>
  </si>
  <si>
    <t>Relief Valves</t>
  </si>
  <si>
    <t>49DC31</t>
  </si>
  <si>
    <t>Coated Gloves,Nylon,XL,PR</t>
  </si>
  <si>
    <t>46KJ38</t>
  </si>
  <si>
    <t>Creeper Seat,15 in L x 15 in W, 4 Wheels</t>
  </si>
  <si>
    <t>WHITESIDE</t>
  </si>
  <si>
    <t>Automotive Creeper Seats</t>
  </si>
  <si>
    <t>4EB17</t>
  </si>
  <si>
    <t>Digital Multimeter,10A,50 MOhms,1000V</t>
  </si>
  <si>
    <t>3EHP5</t>
  </si>
  <si>
    <t>Instant Adhesive,2g Tube,Clear,PK12</t>
  </si>
  <si>
    <t>SUPER GLUE</t>
  </si>
  <si>
    <t>4MRX9</t>
  </si>
  <si>
    <t>Magnetic Torpedo Level,6-1/4"L,1 Vials</t>
  </si>
  <si>
    <t>1WVF4</t>
  </si>
  <si>
    <t>Coiled Air Hose,1/4" ID x 8 ft.</t>
  </si>
  <si>
    <t>ATP</t>
  </si>
  <si>
    <t>Coiled Air Hose Assemblies</t>
  </si>
  <si>
    <t>21C061</t>
  </si>
  <si>
    <t>Pleated Air Filter,17x20x1,MERV 7</t>
  </si>
  <si>
    <t>3R510</t>
  </si>
  <si>
    <t>Dead Blow Hammer,32 oz.,12-11/16"L</t>
  </si>
  <si>
    <t>Hammers and Striking Tools</t>
  </si>
  <si>
    <t>Dead Blow Hammers</t>
  </si>
  <si>
    <t>24WJ88</t>
  </si>
  <si>
    <t>Hand Cleaning Towels,10" x 12" ,Citrus</t>
  </si>
  <si>
    <t>SCRUBS</t>
  </si>
  <si>
    <t>Personal Care Products</t>
  </si>
  <si>
    <t>Body and Hand Wipes</t>
  </si>
  <si>
    <t>23.00</t>
  </si>
  <si>
    <t>4ZK94</t>
  </si>
  <si>
    <t>Filt-Reg,3/8"NPT,163 cfm,40 micron</t>
  </si>
  <si>
    <t>Filter Regulators</t>
  </si>
  <si>
    <t>5TZE7</t>
  </si>
  <si>
    <t>Hand Ratchet, 15 in, Chrome, 1/2 in</t>
  </si>
  <si>
    <t>4RDL9</t>
  </si>
  <si>
    <t>Threaded Rod,316 SS,3/8-16x6 ft</t>
  </si>
  <si>
    <t>Rods and Studs</t>
  </si>
  <si>
    <t>Threaded Rods</t>
  </si>
  <si>
    <t>60HR41</t>
  </si>
  <si>
    <t>Leather Gloves,Brown,XL,PR</t>
  </si>
  <si>
    <t>1PZ48</t>
  </si>
  <si>
    <t>Tap/Die Set,22 Pieces</t>
  </si>
  <si>
    <t>Tap and Die Sets</t>
  </si>
  <si>
    <t>60NJ56</t>
  </si>
  <si>
    <t>Pro Size Clear Epoxy</t>
  </si>
  <si>
    <t>30JT34</t>
  </si>
  <si>
    <t>Sanding Disc,Dia. 5",Fine,Grit 180,Gold</t>
  </si>
  <si>
    <t>7D724</t>
  </si>
  <si>
    <t>FRL,2 pcs,3/8" NPT,5 micron,114 cfm</t>
  </si>
  <si>
    <t>Filter, Regulator, Lubricators (FRL)</t>
  </si>
  <si>
    <t>5YLY4</t>
  </si>
  <si>
    <t>Hooded Coverall w/Boots,Blue,2XL,PK25</t>
  </si>
  <si>
    <t>VIROGUARD</t>
  </si>
  <si>
    <t>2WMH2</t>
  </si>
  <si>
    <t>Paint Marker, Permanent, Orange</t>
  </si>
  <si>
    <t>MARKAL</t>
  </si>
  <si>
    <t>2FCA5</t>
  </si>
  <si>
    <t>Paint Mix and Measure Container,PK12</t>
  </si>
  <si>
    <t>11.00</t>
  </si>
  <si>
    <t>1KUB9</t>
  </si>
  <si>
    <t>Air Gun,Lever,Nylon</t>
  </si>
  <si>
    <t>Air-Powered Guns</t>
  </si>
  <si>
    <t>5MN49</t>
  </si>
  <si>
    <t>Cloth Rag,New,Size Varies</t>
  </si>
  <si>
    <t>Cloth Rags and Shop Towels</t>
  </si>
  <si>
    <t>9.00</t>
  </si>
  <si>
    <t>415H88</t>
  </si>
  <si>
    <t>Hex Shank Drill Set,10pc,HSS</t>
  </si>
  <si>
    <t>Hex Shank Drill Bit Sets</t>
  </si>
  <si>
    <t>423N89</t>
  </si>
  <si>
    <t>Elec. Torque Wrench,Standard,10-1/2"</t>
  </si>
  <si>
    <t>YELLOW JACKET</t>
  </si>
  <si>
    <t>Electronic Torque Wrenches</t>
  </si>
  <si>
    <t>5XFP5</t>
  </si>
  <si>
    <t>Extension Cord,100ft,12Ga,15A,SJTW,Blk</t>
  </si>
  <si>
    <t>Extension Cords and Outlet Strips</t>
  </si>
  <si>
    <t>Extension Cords</t>
  </si>
  <si>
    <t>6B957</t>
  </si>
  <si>
    <t>Pleated Air Filter,16x20x1,MERV 8</t>
  </si>
  <si>
    <t>2FVX4</t>
  </si>
  <si>
    <t>PSA Sanding Disc,Film,5in,P320G,PK4</t>
  </si>
  <si>
    <t>22UG51</t>
  </si>
  <si>
    <t>Washer,1/4" Bolt,316 SS,5/8" OD,PK50</t>
  </si>
  <si>
    <t>448D59</t>
  </si>
  <si>
    <t>Flap Disc,Type 27,4-1/2" dia.,60 Grit</t>
  </si>
  <si>
    <t>Flap Discs</t>
  </si>
  <si>
    <t>45.00</t>
  </si>
  <si>
    <t>4JG07</t>
  </si>
  <si>
    <t>Lens Covers,1 in H,8.5 in W,PK100</t>
  </si>
  <si>
    <t>Respirator Protective Lens Covers</t>
  </si>
  <si>
    <t>5EKK4</t>
  </si>
  <si>
    <t>Qk Change Disc,Cer,4-1/2in,36G,TN,PK25</t>
  </si>
  <si>
    <t>Fiber Discs</t>
  </si>
  <si>
    <t>4ZL90</t>
  </si>
  <si>
    <t>Air Line Lubricator,3/8In,120cfm,250 psi</t>
  </si>
  <si>
    <t>Compressed Air Lubricators</t>
  </si>
  <si>
    <t>1HUA8</t>
  </si>
  <si>
    <t>Absorb Pad,Oil-Based Liquids,White,PK100</t>
  </si>
  <si>
    <t>BRADY SPC ABSORBENTS</t>
  </si>
  <si>
    <t>Spill Control Supplies</t>
  </si>
  <si>
    <t>Sorbent Pads and Rolls</t>
  </si>
  <si>
    <t>4YKZ9</t>
  </si>
  <si>
    <t>Engine Enamel,Hi Ht,Flt Blk,12 oz,Spray</t>
  </si>
  <si>
    <t>RUST-OLEUM</t>
  </si>
  <si>
    <t>Automotive Paints and Coatings</t>
  </si>
  <si>
    <t>Engine Enamels</t>
  </si>
  <si>
    <t>5TG43</t>
  </si>
  <si>
    <t>Utility Knife,6-5/8",Silver with Black</t>
  </si>
  <si>
    <t>Utility Knives</t>
  </si>
  <si>
    <t>52AY46</t>
  </si>
  <si>
    <t>Wire Stripper,7-3/4" L,Strip/Cut,ASME</t>
  </si>
  <si>
    <t>Electrical Tools</t>
  </si>
  <si>
    <t>Wire and Cable Strippers</t>
  </si>
  <si>
    <t>Pandemic</t>
  </si>
  <si>
    <t>Promo</t>
  </si>
  <si>
    <t>Commodity items</t>
  </si>
  <si>
    <t>20/2000</t>
  </si>
  <si>
    <t>Returns/Samples</t>
  </si>
  <si>
    <t>Clark Reliance LLC</t>
  </si>
  <si>
    <t>2/2021 - 1/2022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</si>
</sst>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5" formatCode="&quot;$&quot;#,##0_);\(&quot;$&quot;#,##0\)"/>
    <numFmt numFmtId="6" formatCode="&quot;$&quot;#,##0_);[Red]\(&quot;$&quot;#,##0\)"/>
    <numFmt numFmtId="44" formatCode="_(&quot;$&quot;* #,##0.00_);_(&quot;$&quot;* \(#,##0.00\);_(&quot;$&quot;* &quot;-&quot;??_);_(@_)"/>
    <numFmt numFmtId="43" formatCode="_(* #,##0.00_);_(* \(#,##0.00\);_(* &quot;-&quot;??_);_(@_)"/>
    <numFmt numFmtId="164" formatCode="_(&quot;$&quot;* #,##0_);_(&quot;$&quot;* \(#,##0\);_(&quot;$&quot;* &quot;-&quot;??_);_(@_)"/>
    <numFmt numFmtId="165" formatCode="0.0%"/>
    <numFmt numFmtId="166" formatCode="_(* #,##0_);_(* \(#,##0\);_(* &quot;-&quot;??_);_(@_)"/>
    <numFmt numFmtId="167" formatCode="&quot;$&quot;#,##0"/>
  </numFmts>
  <fonts count="3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indexed="64"/>
      <name val="Arial"/>
      <family val="2"/>
    </font>
    <font>
      <sz val="10"/>
      <name val="Arial"/>
      <family val="2"/>
    </font>
    <font>
      <b/>
      <sz val="11"/>
      <name val="Arial"/>
      <family val="2"/>
    </font>
    <font>
      <sz val="11"/>
      <name val="Arial"/>
      <family val="2"/>
    </font>
    <font>
      <sz val="11"/>
      <color theme="1"/>
      <name val="Arial"/>
      <family val="2"/>
    </font>
    <font>
      <b/>
      <sz val="10"/>
      <name val="Arial"/>
      <family val="2"/>
    </font>
    <font>
      <b/>
      <sz val="10"/>
      <color theme="0"/>
      <name val="Arial"/>
      <family val="2"/>
    </font>
    <font>
      <sz val="18"/>
      <color theme="1"/>
      <name val="Calibri"/>
      <family val="2"/>
      <scheme val="minor"/>
    </font>
    <font>
      <sz val="18"/>
      <color rgb="FF000000"/>
      <name val="Calibri"/>
      <family val="2"/>
    </font>
    <font>
      <sz val="10"/>
      <color rgb="FF000000"/>
      <name val="Arial"/>
      <family val="2"/>
    </font>
    <font>
      <sz val="10"/>
      <name val="MS Sans Serif"/>
      <family val="2"/>
    </font>
    <font>
      <b/>
      <sz val="10"/>
      <color theme="0"/>
      <name val="Calibri"/>
      <family val="2"/>
      <scheme val="minor"/>
    </font>
    <font>
      <sz val="10"/>
      <color rgb="FF000000"/>
      <name val="Arial"/>
      <family val="2"/>
    </font>
    <font>
      <b/>
      <sz val="11"/>
      <color theme="0"/>
      <name val="Calibri"/>
      <family val="2"/>
    </font>
    <font>
      <b/>
      <sz val="12"/>
      <name val="Arial"/>
      <family val="2"/>
    </font>
    <font>
      <sz val="11"/>
      <color rgb="FF000000"/>
      <name val="Calibri"/>
      <family val="2"/>
    </font>
    <font>
      <sz val="11"/>
      <name val="Calibri"/>
      <family val="2"/>
      <scheme val="minor"/>
    </font>
    <font>
      <b/>
      <sz val="11"/>
      <color theme="0"/>
      <name val="Arial"/>
      <family val="2"/>
    </font>
    <font>
      <sz val="11"/>
      <color rgb="FF3E3E3C"/>
      <name val="Calibri"/>
      <family val="2"/>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00B050"/>
        <bgColor rgb="FF000000"/>
      </patternFill>
    </fill>
    <fill>
      <patternFill patternType="solid">
        <fgColor rgb="FFFFFF00"/>
        <bgColor rgb="FF000000"/>
      </patternFill>
    </fill>
    <fill>
      <patternFill patternType="solid">
        <fgColor theme="0"/>
        <bgColor indexed="64"/>
      </patternFill>
    </fill>
    <fill>
      <patternFill patternType="solid">
        <fgColor theme="9"/>
        <bgColor rgb="FF000000"/>
      </patternFill>
    </fill>
    <fill>
      <patternFill patternType="solid">
        <fgColor theme="3" tint="-0.249977111117893"/>
        <bgColor indexed="64"/>
      </patternFill>
    </fill>
    <fill>
      <patternFill patternType="solid">
        <fgColor rgb="FF92D050"/>
        <bgColor indexed="64"/>
      </patternFill>
    </fill>
    <fill>
      <patternFill patternType="solid">
        <fgColor theme="4"/>
        <bgColor indexed="64"/>
      </patternFill>
    </fill>
    <fill>
      <patternFill patternType="solid">
        <fgColor theme="8" tint="0.39997558519241921"/>
        <bgColor rgb="FF000000"/>
      </patternFill>
    </fill>
    <fill>
      <patternFill patternType="solid">
        <fgColor theme="4"/>
        <bgColor rgb="FF000000"/>
      </patternFill>
    </fill>
    <fill>
      <patternFill patternType="solid">
        <fgColor rgb="FF00B0F0"/>
        <bgColor rgb="FF000000"/>
      </patternFill>
    </fill>
    <fill>
      <patternFill patternType="solid">
        <fgColor rgb="FF00B0F0"/>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top/>
      <bottom style="medium">
        <color indexed="64"/>
      </bottom>
      <diagonal/>
    </border>
    <border>
      <left style="thin">
        <color auto="1"/>
      </left>
      <right style="thin">
        <color theme="0"/>
      </right>
      <top style="thin">
        <color auto="1"/>
      </top>
      <bottom style="thin">
        <color auto="1"/>
      </bottom>
      <diagonal/>
    </border>
    <border>
      <left style="thin">
        <color indexed="64"/>
      </left>
      <right style="thin">
        <color rgb="FF000000"/>
      </right>
      <top style="thin">
        <color indexed="64"/>
      </top>
      <bottom/>
      <diagonal/>
    </border>
    <border>
      <left style="thin">
        <color rgb="FF000000"/>
      </left>
      <right style="thin">
        <color indexed="64"/>
      </right>
      <top style="thin">
        <color indexed="64"/>
      </top>
      <bottom/>
      <diagonal/>
    </border>
    <border>
      <left style="thin">
        <color theme="0"/>
      </left>
      <right style="thin">
        <color theme="0"/>
      </right>
      <top style="thin">
        <color auto="1"/>
      </top>
      <bottom/>
      <diagonal/>
    </border>
    <border>
      <left style="thin">
        <color theme="0"/>
      </left>
      <right style="thin">
        <color auto="1"/>
      </right>
      <top style="thin">
        <color auto="1"/>
      </top>
      <bottom/>
      <diagonal/>
    </border>
  </borders>
  <cellStyleXfs count="57">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9" fillId="0" borderId="0"/>
    <xf numFmtId="0" fontId="1" fillId="0" borderId="0"/>
    <xf numFmtId="44" fontId="19" fillId="0" borderId="0" applyFont="0" applyFill="0" applyBorder="0" applyAlignment="0" applyProtection="0"/>
    <xf numFmtId="9" fontId="19" fillId="0" borderId="0" applyFont="0" applyFill="0" applyBorder="0" applyAlignment="0" applyProtection="0"/>
    <xf numFmtId="43" fontId="19" fillId="0" borderId="0" applyFont="0" applyFill="0" applyBorder="0" applyAlignment="0" applyProtection="0"/>
    <xf numFmtId="9" fontId="19"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28" fillId="0" borderId="0"/>
    <xf numFmtId="0" fontId="1" fillId="0" borderId="0"/>
    <xf numFmtId="0" fontId="30" fillId="0" borderId="0"/>
    <xf numFmtId="0" fontId="27" fillId="0" borderId="0"/>
    <xf numFmtId="0" fontId="27" fillId="0" borderId="0"/>
  </cellStyleXfs>
  <cellXfs count="139">
    <xf numFmtId="0" fontId="0" fillId="0" borderId="0" xfId="0"/>
    <xf numFmtId="3" fontId="23" fillId="34" borderId="23" xfId="42" applyNumberFormat="1" applyFont="1" applyFill="1" applyBorder="1" applyAlignment="1">
      <alignment horizontal="left" wrapText="1"/>
    </xf>
    <xf numFmtId="164" fontId="21" fillId="36" borderId="11" xfId="45" applyNumberFormat="1" applyFont="1" applyFill="1" applyBorder="1" applyAlignment="1">
      <alignment horizontal="center" vertical="center"/>
    </xf>
    <xf numFmtId="44" fontId="23" fillId="34" borderId="23" xfId="50" applyFont="1" applyFill="1" applyBorder="1" applyAlignment="1">
      <alignment horizontal="left" wrapText="1"/>
    </xf>
    <xf numFmtId="44" fontId="0" fillId="0" borderId="0" xfId="50" applyFont="1"/>
    <xf numFmtId="44" fontId="23" fillId="35" borderId="23" xfId="50" applyFont="1" applyFill="1" applyBorder="1" applyAlignment="1">
      <alignment horizontal="left" wrapText="1"/>
    </xf>
    <xf numFmtId="9" fontId="23" fillId="34" borderId="23" xfId="51" applyFont="1" applyFill="1" applyBorder="1" applyAlignment="1">
      <alignment horizontal="left" wrapText="1"/>
    </xf>
    <xf numFmtId="9" fontId="0" fillId="0" borderId="0" xfId="51" applyFont="1"/>
    <xf numFmtId="44" fontId="23" fillId="37" borderId="23" xfId="50" applyFont="1" applyFill="1" applyBorder="1" applyAlignment="1">
      <alignment horizontal="left" wrapText="1"/>
    </xf>
    <xf numFmtId="3" fontId="23" fillId="35" borderId="0" xfId="42" applyNumberFormat="1" applyFont="1" applyFill="1" applyAlignment="1">
      <alignment horizontal="left" wrapText="1"/>
    </xf>
    <xf numFmtId="0" fontId="16" fillId="33" borderId="0" xfId="0" applyFont="1" applyFill="1"/>
    <xf numFmtId="0" fontId="29" fillId="38" borderId="24" xfId="52" applyFont="1" applyFill="1" applyBorder="1" applyAlignment="1">
      <alignment horizontal="center" vertical="center" wrapText="1"/>
    </xf>
    <xf numFmtId="0" fontId="0" fillId="36" borderId="0" xfId="0" applyFill="1"/>
    <xf numFmtId="9" fontId="21" fillId="36" borderId="11" xfId="46" applyFont="1" applyFill="1" applyBorder="1" applyAlignment="1">
      <alignment horizontal="center" vertical="center"/>
    </xf>
    <xf numFmtId="164" fontId="21" fillId="36" borderId="11" xfId="43" applyNumberFormat="1" applyFont="1" applyFill="1" applyBorder="1" applyAlignment="1">
      <alignment horizontal="center" vertical="center"/>
    </xf>
    <xf numFmtId="165" fontId="21" fillId="36" borderId="12" xfId="46" applyNumberFormat="1" applyFont="1" applyFill="1" applyBorder="1" applyAlignment="1">
      <alignment horizontal="center" vertical="center"/>
    </xf>
    <xf numFmtId="0" fontId="22" fillId="36" borderId="13" xfId="43" applyFont="1" applyFill="1" applyBorder="1" applyAlignment="1">
      <alignment horizontal="center" vertical="center" wrapText="1"/>
    </xf>
    <xf numFmtId="0" fontId="22" fillId="36" borderId="10" xfId="43" applyFont="1" applyFill="1" applyBorder="1"/>
    <xf numFmtId="0" fontId="21" fillId="36" borderId="11" xfId="43" applyFont="1" applyFill="1" applyBorder="1" applyAlignment="1">
      <alignment horizontal="center"/>
    </xf>
    <xf numFmtId="3" fontId="21" fillId="36" borderId="11" xfId="43" applyNumberFormat="1" applyFont="1" applyFill="1" applyBorder="1" applyAlignment="1">
      <alignment horizontal="center"/>
    </xf>
    <xf numFmtId="166" fontId="21" fillId="36" borderId="13" xfId="47" applyNumberFormat="1" applyFont="1" applyFill="1" applyBorder="1" applyAlignment="1"/>
    <xf numFmtId="165" fontId="21" fillId="36" borderId="12" xfId="48" applyNumberFormat="1" applyFont="1" applyFill="1" applyBorder="1" applyAlignment="1">
      <alignment horizontal="center"/>
    </xf>
    <xf numFmtId="167" fontId="21" fillId="36" borderId="15" xfId="43" applyNumberFormat="1" applyFont="1" applyFill="1" applyBorder="1" applyAlignment="1">
      <alignment horizontal="center"/>
    </xf>
    <xf numFmtId="167" fontId="21" fillId="36" borderId="18" xfId="43" applyNumberFormat="1" applyFont="1" applyFill="1" applyBorder="1" applyAlignment="1">
      <alignment horizontal="center"/>
    </xf>
    <xf numFmtId="167" fontId="21" fillId="36" borderId="20" xfId="43" applyNumberFormat="1" applyFont="1" applyFill="1" applyBorder="1" applyAlignment="1">
      <alignment horizontal="center"/>
    </xf>
    <xf numFmtId="0" fontId="19" fillId="36" borderId="14" xfId="43" applyFill="1" applyBorder="1"/>
    <xf numFmtId="0" fontId="19" fillId="36" borderId="15" xfId="43" applyFill="1" applyBorder="1"/>
    <xf numFmtId="0" fontId="19" fillId="36" borderId="17" xfId="43" applyFill="1" applyBorder="1"/>
    <xf numFmtId="0" fontId="19" fillId="36" borderId="19" xfId="43" applyFill="1" applyBorder="1"/>
    <xf numFmtId="0" fontId="19" fillId="36" borderId="20" xfId="43" applyFill="1" applyBorder="1"/>
    <xf numFmtId="0" fontId="19" fillId="36" borderId="21" xfId="43" applyFill="1" applyBorder="1"/>
    <xf numFmtId="0" fontId="21" fillId="36" borderId="14" xfId="43" applyFont="1" applyFill="1" applyBorder="1"/>
    <xf numFmtId="0" fontId="21" fillId="36" borderId="15" xfId="43" applyFont="1" applyFill="1" applyBorder="1" applyAlignment="1">
      <alignment horizontal="center"/>
    </xf>
    <xf numFmtId="10" fontId="21" fillId="36" borderId="15" xfId="43" applyNumberFormat="1" applyFont="1" applyFill="1" applyBorder="1" applyAlignment="1">
      <alignment horizontal="center"/>
    </xf>
    <xf numFmtId="9" fontId="21" fillId="36" borderId="15" xfId="43" applyNumberFormat="1" applyFont="1" applyFill="1" applyBorder="1" applyAlignment="1">
      <alignment horizontal="center"/>
    </xf>
    <xf numFmtId="167" fontId="21" fillId="36" borderId="17" xfId="43" applyNumberFormat="1" applyFont="1" applyFill="1" applyBorder="1" applyAlignment="1">
      <alignment horizontal="center"/>
    </xf>
    <xf numFmtId="0" fontId="21" fillId="36" borderId="19" xfId="43" applyFont="1" applyFill="1" applyBorder="1"/>
    <xf numFmtId="0" fontId="21" fillId="36" borderId="20" xfId="43" applyFont="1" applyFill="1" applyBorder="1" applyAlignment="1">
      <alignment horizontal="center"/>
    </xf>
    <xf numFmtId="10" fontId="21" fillId="36" borderId="20" xfId="43" applyNumberFormat="1" applyFont="1" applyFill="1" applyBorder="1" applyAlignment="1">
      <alignment horizontal="center"/>
    </xf>
    <xf numFmtId="165" fontId="21" fillId="36" borderId="20" xfId="43" applyNumberFormat="1" applyFont="1" applyFill="1" applyBorder="1" applyAlignment="1">
      <alignment horizontal="center"/>
    </xf>
    <xf numFmtId="167" fontId="21" fillId="36" borderId="21" xfId="43" applyNumberFormat="1" applyFont="1" applyFill="1" applyBorder="1" applyAlignment="1">
      <alignment horizontal="center"/>
    </xf>
    <xf numFmtId="44" fontId="21" fillId="36" borderId="11" xfId="46" applyNumberFormat="1" applyFont="1" applyFill="1" applyBorder="1" applyAlignment="1">
      <alignment horizontal="center" vertical="center"/>
    </xf>
    <xf numFmtId="165" fontId="21" fillId="36" borderId="11" xfId="51" applyNumberFormat="1" applyFont="1" applyFill="1" applyBorder="1" applyAlignment="1">
      <alignment horizontal="center" vertical="center"/>
    </xf>
    <xf numFmtId="44" fontId="20" fillId="39" borderId="13" xfId="50" applyFont="1" applyFill="1" applyBorder="1"/>
    <xf numFmtId="3" fontId="23" fillId="35" borderId="23" xfId="42" applyNumberFormat="1" applyFont="1" applyFill="1" applyBorder="1" applyAlignment="1">
      <alignment horizontal="left" wrapText="1"/>
    </xf>
    <xf numFmtId="0" fontId="19" fillId="36" borderId="0" xfId="43" applyFill="1"/>
    <xf numFmtId="0" fontId="20" fillId="36" borderId="0" xfId="43" applyFont="1" applyFill="1"/>
    <xf numFmtId="0" fontId="21" fillId="36" borderId="0" xfId="43" applyFont="1" applyFill="1"/>
    <xf numFmtId="0" fontId="21" fillId="36" borderId="0" xfId="43" applyFont="1" applyFill="1" applyAlignment="1">
      <alignment vertical="top"/>
    </xf>
    <xf numFmtId="0" fontId="19" fillId="36" borderId="0" xfId="43" applyFill="1" applyAlignment="1">
      <alignment vertical="top"/>
    </xf>
    <xf numFmtId="0" fontId="20" fillId="36" borderId="0" xfId="43" applyFont="1" applyFill="1" applyAlignment="1">
      <alignment horizontal="center"/>
    </xf>
    <xf numFmtId="165" fontId="21" fillId="36" borderId="0" xfId="48" applyNumberFormat="1" applyFont="1" applyFill="1" applyBorder="1" applyAlignment="1">
      <alignment horizontal="center"/>
    </xf>
    <xf numFmtId="0" fontId="32" fillId="36" borderId="0" xfId="43" applyFont="1" applyFill="1"/>
    <xf numFmtId="0" fontId="20" fillId="36" borderId="13" xfId="43" applyFont="1" applyFill="1" applyBorder="1"/>
    <xf numFmtId="0" fontId="19" fillId="36" borderId="13" xfId="43" applyFill="1" applyBorder="1"/>
    <xf numFmtId="44" fontId="20" fillId="36" borderId="13" xfId="50" applyFont="1" applyFill="1" applyBorder="1"/>
    <xf numFmtId="9" fontId="19" fillId="36" borderId="13" xfId="51" applyFont="1" applyFill="1" applyBorder="1"/>
    <xf numFmtId="164" fontId="19" fillId="36" borderId="13" xfId="43" applyNumberFormat="1" applyFill="1" applyBorder="1"/>
    <xf numFmtId="44" fontId="19" fillId="36" borderId="13" xfId="51" applyNumberFormat="1" applyFont="1" applyFill="1" applyBorder="1"/>
    <xf numFmtId="0" fontId="19" fillId="36" borderId="13" xfId="43" applyFill="1" applyBorder="1" applyAlignment="1">
      <alignment horizontal="center"/>
    </xf>
    <xf numFmtId="0" fontId="20" fillId="36" borderId="0" xfId="44" applyFont="1" applyFill="1"/>
    <xf numFmtId="0" fontId="35" fillId="40" borderId="10" xfId="44" applyFont="1" applyFill="1" applyBorder="1" applyAlignment="1">
      <alignment horizontal="left" wrapText="1"/>
    </xf>
    <xf numFmtId="0" fontId="35" fillId="40" borderId="11" xfId="44" applyFont="1" applyFill="1" applyBorder="1" applyAlignment="1">
      <alignment horizontal="center" wrapText="1"/>
    </xf>
    <xf numFmtId="0" fontId="35" fillId="40" borderId="11" xfId="43" applyFont="1" applyFill="1" applyBorder="1"/>
    <xf numFmtId="0" fontId="35" fillId="40" borderId="12" xfId="44" applyFont="1" applyFill="1" applyBorder="1" applyAlignment="1">
      <alignment horizontal="center" wrapText="1"/>
    </xf>
    <xf numFmtId="0" fontId="35" fillId="40" borderId="13" xfId="43" applyFont="1" applyFill="1" applyBorder="1" applyAlignment="1">
      <alignment horizontal="center"/>
    </xf>
    <xf numFmtId="0" fontId="35" fillId="40" borderId="14" xfId="43" applyFont="1" applyFill="1" applyBorder="1"/>
    <xf numFmtId="0" fontId="35" fillId="40" borderId="15" xfId="43" applyFont="1" applyFill="1" applyBorder="1" applyAlignment="1">
      <alignment horizontal="center"/>
    </xf>
    <xf numFmtId="0" fontId="35" fillId="40" borderId="16" xfId="43" applyFont="1" applyFill="1" applyBorder="1" applyAlignment="1">
      <alignment horizontal="center"/>
    </xf>
    <xf numFmtId="0" fontId="35" fillId="40" borderId="17" xfId="43" applyFont="1" applyFill="1" applyBorder="1" applyAlignment="1">
      <alignment horizontal="center"/>
    </xf>
    <xf numFmtId="0" fontId="35" fillId="40" borderId="19" xfId="43" applyFont="1" applyFill="1" applyBorder="1"/>
    <xf numFmtId="6" fontId="35" fillId="40" borderId="20" xfId="43" applyNumberFormat="1" applyFont="1" applyFill="1" applyBorder="1" applyAlignment="1">
      <alignment horizontal="center"/>
    </xf>
    <xf numFmtId="167" fontId="35" fillId="40" borderId="20" xfId="43" applyNumberFormat="1" applyFont="1" applyFill="1" applyBorder="1" applyAlignment="1">
      <alignment horizontal="center"/>
    </xf>
    <xf numFmtId="167" fontId="35" fillId="40" borderId="13" xfId="43" applyNumberFormat="1" applyFont="1" applyFill="1" applyBorder="1" applyAlignment="1">
      <alignment horizontal="center"/>
    </xf>
    <xf numFmtId="37" fontId="35" fillId="40" borderId="20" xfId="43" applyNumberFormat="1" applyFont="1" applyFill="1" applyBorder="1" applyAlignment="1">
      <alignment horizontal="center"/>
    </xf>
    <xf numFmtId="9" fontId="35" fillId="40" borderId="20" xfId="49" applyFont="1" applyFill="1" applyBorder="1" applyAlignment="1">
      <alignment horizontal="center"/>
    </xf>
    <xf numFmtId="5" fontId="35" fillId="40" borderId="20" xfId="43" applyNumberFormat="1" applyFont="1" applyFill="1" applyBorder="1" applyAlignment="1">
      <alignment horizontal="center"/>
    </xf>
    <xf numFmtId="165" fontId="35" fillId="40" borderId="20" xfId="49" applyNumberFormat="1" applyFont="1" applyFill="1" applyBorder="1" applyAlignment="1">
      <alignment horizontal="center"/>
    </xf>
    <xf numFmtId="5" fontId="35" fillId="40" borderId="21" xfId="43" applyNumberFormat="1" applyFont="1" applyFill="1" applyBorder="1" applyAlignment="1">
      <alignment horizontal="center"/>
    </xf>
    <xf numFmtId="0" fontId="35" fillId="40" borderId="13" xfId="43" applyFont="1" applyFill="1" applyBorder="1"/>
    <xf numFmtId="0" fontId="26" fillId="36" borderId="0" xfId="0" applyFont="1" applyFill="1"/>
    <xf numFmtId="0" fontId="16" fillId="36" borderId="0" xfId="0" applyFont="1" applyFill="1"/>
    <xf numFmtId="0" fontId="0" fillId="36" borderId="13" xfId="0" applyFill="1" applyBorder="1"/>
    <xf numFmtId="44" fontId="0" fillId="36" borderId="13" xfId="50" applyFont="1" applyFill="1" applyBorder="1"/>
    <xf numFmtId="9" fontId="0" fillId="36" borderId="13" xfId="51" applyFont="1" applyFill="1" applyBorder="1"/>
    <xf numFmtId="44" fontId="16" fillId="36" borderId="0" xfId="50" applyFont="1" applyFill="1"/>
    <xf numFmtId="9" fontId="16" fillId="36" borderId="0" xfId="51" applyFont="1" applyFill="1"/>
    <xf numFmtId="0" fontId="13" fillId="40" borderId="13" xfId="0" applyFont="1" applyFill="1" applyBorder="1"/>
    <xf numFmtId="0" fontId="25" fillId="36" borderId="0" xfId="0" applyFont="1" applyFill="1"/>
    <xf numFmtId="9" fontId="16" fillId="36" borderId="0" xfId="51" applyFont="1" applyFill="1" applyBorder="1"/>
    <xf numFmtId="49" fontId="23" fillId="41" borderId="22" xfId="42" applyNumberFormat="1" applyFont="1" applyFill="1" applyBorder="1" applyAlignment="1">
      <alignment horizontal="left" wrapText="1"/>
    </xf>
    <xf numFmtId="0" fontId="23" fillId="41" borderId="22" xfId="42" applyFont="1" applyFill="1" applyBorder="1" applyAlignment="1">
      <alignment horizontal="left" wrapText="1"/>
    </xf>
    <xf numFmtId="44" fontId="23" fillId="41" borderId="22" xfId="50" applyFont="1" applyFill="1" applyBorder="1" applyAlignment="1">
      <alignment horizontal="left" wrapText="1"/>
    </xf>
    <xf numFmtId="3" fontId="23" fillId="41" borderId="22" xfId="42" applyNumberFormat="1" applyFont="1" applyFill="1" applyBorder="1" applyAlignment="1">
      <alignment horizontal="left" wrapText="1"/>
    </xf>
    <xf numFmtId="3" fontId="23" fillId="41" borderId="23" xfId="42" applyNumberFormat="1" applyFont="1" applyFill="1" applyBorder="1" applyAlignment="1">
      <alignment horizontal="left" wrapText="1"/>
    </xf>
    <xf numFmtId="0" fontId="33" fillId="36" borderId="0" xfId="0" applyFont="1" applyFill="1"/>
    <xf numFmtId="0" fontId="31" fillId="42" borderId="25" xfId="55" applyFont="1" applyFill="1" applyBorder="1" applyAlignment="1">
      <alignment horizontal="center"/>
    </xf>
    <xf numFmtId="44" fontId="31" fillId="42" borderId="26" xfId="50" applyFont="1" applyFill="1" applyBorder="1" applyAlignment="1">
      <alignment horizontal="center"/>
    </xf>
    <xf numFmtId="0" fontId="33" fillId="36" borderId="13" xfId="55" applyFont="1" applyFill="1" applyBorder="1" applyAlignment="1">
      <alignment wrapText="1"/>
    </xf>
    <xf numFmtId="44" fontId="33" fillId="36" borderId="13" xfId="50" applyFont="1" applyFill="1" applyBorder="1" applyAlignment="1">
      <alignment wrapText="1"/>
    </xf>
    <xf numFmtId="0" fontId="0" fillId="33" borderId="13" xfId="0" applyFill="1" applyBorder="1"/>
    <xf numFmtId="0" fontId="1" fillId="33" borderId="13" xfId="0" applyFont="1" applyFill="1" applyBorder="1" applyAlignment="1">
      <alignment horizontal="left"/>
    </xf>
    <xf numFmtId="0" fontId="36" fillId="33" borderId="13" xfId="0" applyFont="1" applyFill="1" applyBorder="1" applyAlignment="1">
      <alignment horizontal="left"/>
    </xf>
    <xf numFmtId="0" fontId="1" fillId="33" borderId="13" xfId="0" applyFont="1" applyFill="1" applyBorder="1" applyAlignment="1">
      <alignment horizontal="left" vertical="center"/>
    </xf>
    <xf numFmtId="0" fontId="1" fillId="33" borderId="13" xfId="53" applyFill="1" applyBorder="1"/>
    <xf numFmtId="0" fontId="29" fillId="38" borderId="27" xfId="52" applyFont="1" applyFill="1" applyBorder="1" applyAlignment="1">
      <alignment horizontal="center" vertical="center" wrapText="1"/>
    </xf>
    <xf numFmtId="0" fontId="29" fillId="38" borderId="27" xfId="53" applyFont="1" applyFill="1" applyBorder="1" applyAlignment="1">
      <alignment horizontal="center" vertical="center" wrapText="1"/>
    </xf>
    <xf numFmtId="0" fontId="29" fillId="38" borderId="28" xfId="53" applyFont="1" applyFill="1" applyBorder="1" applyAlignment="1">
      <alignment horizontal="center" vertical="center" wrapText="1"/>
    </xf>
    <xf numFmtId="44" fontId="23" fillId="43" borderId="23" xfId="50" applyFont="1" applyFill="1" applyBorder="1" applyAlignment="1">
      <alignment horizontal="left" wrapText="1"/>
    </xf>
    <xf numFmtId="14" fontId="19" fillId="0" borderId="0" xfId="43" applyNumberFormat="1"/>
    <xf numFmtId="0" fontId="19" fillId="0" borderId="0" xfId="43"/>
    <xf numFmtId="0" fontId="21" fillId="0" borderId="19" xfId="43" applyFont="1" applyBorder="1"/>
    <xf numFmtId="0" fontId="13" fillId="44" borderId="13" xfId="0" applyFont="1" applyFill="1" applyBorder="1"/>
    <xf numFmtId="9" fontId="23" fillId="43" borderId="23" xfId="51" applyFont="1" applyFill="1" applyBorder="1" applyAlignment="1">
      <alignment horizontal="left" wrapText="1"/>
    </xf>
    <xf numFmtId="0" fontId="22" fillId="36" borderId="14" xfId="43" applyFont="1" applyFill="1" applyBorder="1"/>
    <xf numFmtId="0" fontId="1" fillId="33" borderId="13" xfId="53" applyFill="1" applyBorder="1" applyAlignment="1">
      <alignment horizontal="left"/>
    </xf>
    <xf numFmtId="0" fontId="34" fillId="33" borderId="13" xfId="0" applyFont="1" applyFill="1" applyBorder="1" applyAlignment="1">
      <alignment horizontal="left"/>
    </xf>
    <xf numFmtId="0" fontId="0" fillId="33" borderId="13" xfId="53" applyFont="1" applyFill="1" applyBorder="1"/>
    <xf numFmtId="0" fontId="20" fillId="0" borderId="0" xfId="43" applyFont="1"/>
    <xf numFmtId="0" fontId="20" fillId="0" borderId="0" xfId="43" applyFont="1" applyAlignment="1">
      <alignment horizontal="center"/>
    </xf>
    <xf numFmtId="0" fontId="22" fillId="0" borderId="10" xfId="44" applyFont="1" applyBorder="1" applyAlignment="1">
      <alignment horizontal="left" vertical="center"/>
    </xf>
    <xf numFmtId="14" fontId="19" fillId="33" borderId="0" xfId="43" applyNumberFormat="1" applyFill="1"/>
    <xf numFmtId="0" fontId="22" fillId="0" borderId="10" xfId="44" applyFont="1" applyBorder="1" applyAlignment="1">
      <alignment horizontal="left" vertical="center" wrapText="1"/>
    </xf>
    <xf numFmtId="0" fontId="22" fillId="36" borderId="15" xfId="43" applyFont="1" applyFill="1" applyBorder="1"/>
    <xf numFmtId="0" fontId="22" fillId="36" borderId="20" xfId="43" applyFont="1" applyFill="1" applyBorder="1"/>
    <xf numFmtId="0" fontId="23" fillId="33" borderId="0" xfId="43" applyFont="1" applyFill="1" applyAlignment="1">
      <alignment horizontal="right"/>
    </xf>
    <xf numFmtId="0" fontId="20" fillId="36" borderId="0" xfId="43" applyFont="1" applyFill="1" applyAlignment="1">
      <alignment horizontal="left"/>
    </xf>
    <xf numFmtId="49" fontId="0" fillId="0" borderId="0" xfId="0" applyNumberFormat="1"/>
    <xf numFmtId="0" fontId="22" fillId="0" borderId="10" xfId="44" applyFont="1" applyFill="1" applyBorder="1" applyAlignment="1">
      <alignment horizontal="left" vertical="center"/>
    </xf>
    <xf numFmtId="0" fontId="20" fillId="33" borderId="0" xfId="43" applyFont="1" applyFill="1" applyAlignment="1">
      <alignment horizontal="center"/>
    </xf>
    <xf numFmtId="0" fontId="24" fillId="40" borderId="10" xfId="43" applyFont="1" applyFill="1" applyBorder="1" applyAlignment="1">
      <alignment horizontal="center"/>
    </xf>
    <xf numFmtId="0" fontId="24" fillId="40" borderId="11" xfId="43" applyFont="1" applyFill="1" applyBorder="1" applyAlignment="1">
      <alignment horizontal="center"/>
    </xf>
    <xf numFmtId="0" fontId="24" fillId="40" borderId="12" xfId="43" applyFont="1" applyFill="1" applyBorder="1" applyAlignment="1">
      <alignment horizontal="center"/>
    </xf>
    <xf numFmtId="0" fontId="0" fillId="0" borderId="0" xfId="0" applyFill="1"/>
    <xf numFmtId="49" fontId="0" fillId="0" borderId="0" xfId="0" applyNumberFormat="1" applyFill="1"/>
    <xf numFmtId="0" fontId="0" fillId="0" borderId="0" xfId="0" applyNumberFormat="1" applyFill="1"/>
    <xf numFmtId="2" fontId="0" fillId="0" borderId="0" xfId="0" applyNumberFormat="1" applyFill="1"/>
    <xf numFmtId="2" fontId="0" fillId="0" borderId="0" xfId="0" applyNumberFormat="1"/>
    <xf numFmtId="0" fontId="0" fillId="0" borderId="13" xfId="0" applyFill="1" applyBorder="1"/>
  </cellXfs>
  <cellStyles count="57">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2 2" xfId="47" xr:uid="{00000000-0005-0000-0000-00001B000000}"/>
    <cellStyle name="Currency" xfId="50" builtinId="4"/>
    <cellStyle name="Currency 3 2" xfId="45" xr:uid="{00000000-0005-0000-0000-00001D000000}"/>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9000000}"/>
    <cellStyle name="Normal 2 2 6" xfId="44" xr:uid="{00000000-0005-0000-0000-00002A000000}"/>
    <cellStyle name="Normal 23 4 32 2" xfId="53" xr:uid="{00000000-0005-0000-0000-00002B000000}"/>
    <cellStyle name="Normal 3" xfId="52" xr:uid="{00000000-0005-0000-0000-00002C000000}"/>
    <cellStyle name="Normal 3 2 6" xfId="43" xr:uid="{00000000-0005-0000-0000-00002D000000}"/>
    <cellStyle name="Normal 4" xfId="54" xr:uid="{00000000-0005-0000-0000-00002E000000}"/>
    <cellStyle name="Normal 4 2" xfId="56" xr:uid="{E785A000-336F-4C1E-98D9-E6C93DB2BC34}"/>
    <cellStyle name="Normal_Sheet1" xfId="55" xr:uid="{00000000-0005-0000-0000-00002F000000}"/>
    <cellStyle name="Note" xfId="15" builtinId="10" customBuiltin="1"/>
    <cellStyle name="Output" xfId="10" builtinId="21" customBuiltin="1"/>
    <cellStyle name="Percent" xfId="51" builtinId="5"/>
    <cellStyle name="Percent 14" xfId="49" xr:uid="{00000000-0005-0000-0000-000033000000}"/>
    <cellStyle name="Percent 3 5" xfId="48" xr:uid="{00000000-0005-0000-0000-000034000000}"/>
    <cellStyle name="Percent 4 2" xfId="46" xr:uid="{00000000-0005-0000-0000-000035000000}"/>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
  <dimension ref="A1:K44"/>
  <sheetViews>
    <sheetView tabSelected="1" workbookViewId="0">
      <selection activeCell="E34" sqref="E34"/>
    </sheetView>
  </sheetViews>
  <sheetFormatPr defaultColWidth="9.109375" defaultRowHeight="13.2" x14ac:dyDescent="0.25"/>
  <cols>
    <col min="1" max="1" width="33" style="45" customWidth="1"/>
    <col min="2" max="2" width="20.109375" style="45" customWidth="1"/>
    <col min="3" max="3" width="15.109375" style="45" customWidth="1"/>
    <col min="4" max="4" width="17.44140625" style="45" customWidth="1"/>
    <col min="5" max="5" width="15.6640625" style="45" customWidth="1"/>
    <col min="6" max="6" width="11.33203125" style="45" customWidth="1"/>
    <col min="7" max="7" width="14.33203125" style="45" customWidth="1"/>
    <col min="8" max="8" width="14.109375" style="45" bestFit="1" customWidth="1"/>
    <col min="9" max="9" width="11.33203125" style="45" customWidth="1"/>
    <col min="10" max="10" width="9.109375" style="45"/>
    <col min="11" max="11" width="18.88671875" style="45" customWidth="1"/>
    <col min="12" max="256" width="9.109375" style="45"/>
    <col min="257" max="257" width="29.88671875" style="45" customWidth="1"/>
    <col min="258" max="258" width="12.44140625" style="45" customWidth="1"/>
    <col min="259" max="259" width="15.109375" style="45" customWidth="1"/>
    <col min="260" max="260" width="14.33203125" style="45" customWidth="1"/>
    <col min="261" max="261" width="11.109375" style="45" customWidth="1"/>
    <col min="262" max="262" width="11.33203125" style="45" customWidth="1"/>
    <col min="263" max="263" width="13.44140625" style="45" customWidth="1"/>
    <col min="264" max="264" width="10.88671875" style="45" customWidth="1"/>
    <col min="265" max="265" width="11.33203125" style="45" customWidth="1"/>
    <col min="266" max="512" width="9.109375" style="45"/>
    <col min="513" max="513" width="29.88671875" style="45" customWidth="1"/>
    <col min="514" max="514" width="12.44140625" style="45" customWidth="1"/>
    <col min="515" max="515" width="15.109375" style="45" customWidth="1"/>
    <col min="516" max="516" width="14.33203125" style="45" customWidth="1"/>
    <col min="517" max="517" width="11.109375" style="45" customWidth="1"/>
    <col min="518" max="518" width="11.33203125" style="45" customWidth="1"/>
    <col min="519" max="519" width="13.44140625" style="45" customWidth="1"/>
    <col min="520" max="520" width="10.88671875" style="45" customWidth="1"/>
    <col min="521" max="521" width="11.33203125" style="45" customWidth="1"/>
    <col min="522" max="768" width="9.109375" style="45"/>
    <col min="769" max="769" width="29.88671875" style="45" customWidth="1"/>
    <col min="770" max="770" width="12.44140625" style="45" customWidth="1"/>
    <col min="771" max="771" width="15.109375" style="45" customWidth="1"/>
    <col min="772" max="772" width="14.33203125" style="45" customWidth="1"/>
    <col min="773" max="773" width="11.109375" style="45" customWidth="1"/>
    <col min="774" max="774" width="11.33203125" style="45" customWidth="1"/>
    <col min="775" max="775" width="13.44140625" style="45" customWidth="1"/>
    <col min="776" max="776" width="10.88671875" style="45" customWidth="1"/>
    <col min="777" max="777" width="11.33203125" style="45" customWidth="1"/>
    <col min="778" max="1024" width="9.109375" style="45"/>
    <col min="1025" max="1025" width="29.88671875" style="45" customWidth="1"/>
    <col min="1026" max="1026" width="12.44140625" style="45" customWidth="1"/>
    <col min="1027" max="1027" width="15.109375" style="45" customWidth="1"/>
    <col min="1028" max="1028" width="14.33203125" style="45" customWidth="1"/>
    <col min="1029" max="1029" width="11.109375" style="45" customWidth="1"/>
    <col min="1030" max="1030" width="11.33203125" style="45" customWidth="1"/>
    <col min="1031" max="1031" width="13.44140625" style="45" customWidth="1"/>
    <col min="1032" max="1032" width="10.88671875" style="45" customWidth="1"/>
    <col min="1033" max="1033" width="11.33203125" style="45" customWidth="1"/>
    <col min="1034" max="1280" width="9.109375" style="45"/>
    <col min="1281" max="1281" width="29.88671875" style="45" customWidth="1"/>
    <col min="1282" max="1282" width="12.44140625" style="45" customWidth="1"/>
    <col min="1283" max="1283" width="15.109375" style="45" customWidth="1"/>
    <col min="1284" max="1284" width="14.33203125" style="45" customWidth="1"/>
    <col min="1285" max="1285" width="11.109375" style="45" customWidth="1"/>
    <col min="1286" max="1286" width="11.33203125" style="45" customWidth="1"/>
    <col min="1287" max="1287" width="13.44140625" style="45" customWidth="1"/>
    <col min="1288" max="1288" width="10.88671875" style="45" customWidth="1"/>
    <col min="1289" max="1289" width="11.33203125" style="45" customWidth="1"/>
    <col min="1290" max="1536" width="9.109375" style="45"/>
    <col min="1537" max="1537" width="29.88671875" style="45" customWidth="1"/>
    <col min="1538" max="1538" width="12.44140625" style="45" customWidth="1"/>
    <col min="1539" max="1539" width="15.109375" style="45" customWidth="1"/>
    <col min="1540" max="1540" width="14.33203125" style="45" customWidth="1"/>
    <col min="1541" max="1541" width="11.109375" style="45" customWidth="1"/>
    <col min="1542" max="1542" width="11.33203125" style="45" customWidth="1"/>
    <col min="1543" max="1543" width="13.44140625" style="45" customWidth="1"/>
    <col min="1544" max="1544" width="10.88671875" style="45" customWidth="1"/>
    <col min="1545" max="1545" width="11.33203125" style="45" customWidth="1"/>
    <col min="1546" max="1792" width="9.109375" style="45"/>
    <col min="1793" max="1793" width="29.88671875" style="45" customWidth="1"/>
    <col min="1794" max="1794" width="12.44140625" style="45" customWidth="1"/>
    <col min="1795" max="1795" width="15.109375" style="45" customWidth="1"/>
    <col min="1796" max="1796" width="14.33203125" style="45" customWidth="1"/>
    <col min="1797" max="1797" width="11.109375" style="45" customWidth="1"/>
    <col min="1798" max="1798" width="11.33203125" style="45" customWidth="1"/>
    <col min="1799" max="1799" width="13.44140625" style="45" customWidth="1"/>
    <col min="1800" max="1800" width="10.88671875" style="45" customWidth="1"/>
    <col min="1801" max="1801" width="11.33203125" style="45" customWidth="1"/>
    <col min="1802" max="2048" width="9.109375" style="45"/>
    <col min="2049" max="2049" width="29.88671875" style="45" customWidth="1"/>
    <col min="2050" max="2050" width="12.44140625" style="45" customWidth="1"/>
    <col min="2051" max="2051" width="15.109375" style="45" customWidth="1"/>
    <col min="2052" max="2052" width="14.33203125" style="45" customWidth="1"/>
    <col min="2053" max="2053" width="11.109375" style="45" customWidth="1"/>
    <col min="2054" max="2054" width="11.33203125" style="45" customWidth="1"/>
    <col min="2055" max="2055" width="13.44140625" style="45" customWidth="1"/>
    <col min="2056" max="2056" width="10.88671875" style="45" customWidth="1"/>
    <col min="2057" max="2057" width="11.33203125" style="45" customWidth="1"/>
    <col min="2058" max="2304" width="9.109375" style="45"/>
    <col min="2305" max="2305" width="29.88671875" style="45" customWidth="1"/>
    <col min="2306" max="2306" width="12.44140625" style="45" customWidth="1"/>
    <col min="2307" max="2307" width="15.109375" style="45" customWidth="1"/>
    <col min="2308" max="2308" width="14.33203125" style="45" customWidth="1"/>
    <col min="2309" max="2309" width="11.109375" style="45" customWidth="1"/>
    <col min="2310" max="2310" width="11.33203125" style="45" customWidth="1"/>
    <col min="2311" max="2311" width="13.44140625" style="45" customWidth="1"/>
    <col min="2312" max="2312" width="10.88671875" style="45" customWidth="1"/>
    <col min="2313" max="2313" width="11.33203125" style="45" customWidth="1"/>
    <col min="2314" max="2560" width="9.109375" style="45"/>
    <col min="2561" max="2561" width="29.88671875" style="45" customWidth="1"/>
    <col min="2562" max="2562" width="12.44140625" style="45" customWidth="1"/>
    <col min="2563" max="2563" width="15.109375" style="45" customWidth="1"/>
    <col min="2564" max="2564" width="14.33203125" style="45" customWidth="1"/>
    <col min="2565" max="2565" width="11.109375" style="45" customWidth="1"/>
    <col min="2566" max="2566" width="11.33203125" style="45" customWidth="1"/>
    <col min="2567" max="2567" width="13.44140625" style="45" customWidth="1"/>
    <col min="2568" max="2568" width="10.88671875" style="45" customWidth="1"/>
    <col min="2569" max="2569" width="11.33203125" style="45" customWidth="1"/>
    <col min="2570" max="2816" width="9.109375" style="45"/>
    <col min="2817" max="2817" width="29.88671875" style="45" customWidth="1"/>
    <col min="2818" max="2818" width="12.44140625" style="45" customWidth="1"/>
    <col min="2819" max="2819" width="15.109375" style="45" customWidth="1"/>
    <col min="2820" max="2820" width="14.33203125" style="45" customWidth="1"/>
    <col min="2821" max="2821" width="11.109375" style="45" customWidth="1"/>
    <col min="2822" max="2822" width="11.33203125" style="45" customWidth="1"/>
    <col min="2823" max="2823" width="13.44140625" style="45" customWidth="1"/>
    <col min="2824" max="2824" width="10.88671875" style="45" customWidth="1"/>
    <col min="2825" max="2825" width="11.33203125" style="45" customWidth="1"/>
    <col min="2826" max="3072" width="9.109375" style="45"/>
    <col min="3073" max="3073" width="29.88671875" style="45" customWidth="1"/>
    <col min="3074" max="3074" width="12.44140625" style="45" customWidth="1"/>
    <col min="3075" max="3075" width="15.109375" style="45" customWidth="1"/>
    <col min="3076" max="3076" width="14.33203125" style="45" customWidth="1"/>
    <col min="3077" max="3077" width="11.109375" style="45" customWidth="1"/>
    <col min="3078" max="3078" width="11.33203125" style="45" customWidth="1"/>
    <col min="3079" max="3079" width="13.44140625" style="45" customWidth="1"/>
    <col min="3080" max="3080" width="10.88671875" style="45" customWidth="1"/>
    <col min="3081" max="3081" width="11.33203125" style="45" customWidth="1"/>
    <col min="3082" max="3328" width="9.109375" style="45"/>
    <col min="3329" max="3329" width="29.88671875" style="45" customWidth="1"/>
    <col min="3330" max="3330" width="12.44140625" style="45" customWidth="1"/>
    <col min="3331" max="3331" width="15.109375" style="45" customWidth="1"/>
    <col min="3332" max="3332" width="14.33203125" style="45" customWidth="1"/>
    <col min="3333" max="3333" width="11.109375" style="45" customWidth="1"/>
    <col min="3334" max="3334" width="11.33203125" style="45" customWidth="1"/>
    <col min="3335" max="3335" width="13.44140625" style="45" customWidth="1"/>
    <col min="3336" max="3336" width="10.88671875" style="45" customWidth="1"/>
    <col min="3337" max="3337" width="11.33203125" style="45" customWidth="1"/>
    <col min="3338" max="3584" width="9.109375" style="45"/>
    <col min="3585" max="3585" width="29.88671875" style="45" customWidth="1"/>
    <col min="3586" max="3586" width="12.44140625" style="45" customWidth="1"/>
    <col min="3587" max="3587" width="15.109375" style="45" customWidth="1"/>
    <col min="3588" max="3588" width="14.33203125" style="45" customWidth="1"/>
    <col min="3589" max="3589" width="11.109375" style="45" customWidth="1"/>
    <col min="3590" max="3590" width="11.33203125" style="45" customWidth="1"/>
    <col min="3591" max="3591" width="13.44140625" style="45" customWidth="1"/>
    <col min="3592" max="3592" width="10.88671875" style="45" customWidth="1"/>
    <col min="3593" max="3593" width="11.33203125" style="45" customWidth="1"/>
    <col min="3594" max="3840" width="9.109375" style="45"/>
    <col min="3841" max="3841" width="29.88671875" style="45" customWidth="1"/>
    <col min="3842" max="3842" width="12.44140625" style="45" customWidth="1"/>
    <col min="3843" max="3843" width="15.109375" style="45" customWidth="1"/>
    <col min="3844" max="3844" width="14.33203125" style="45" customWidth="1"/>
    <col min="3845" max="3845" width="11.109375" style="45" customWidth="1"/>
    <col min="3846" max="3846" width="11.33203125" style="45" customWidth="1"/>
    <col min="3847" max="3847" width="13.44140625" style="45" customWidth="1"/>
    <col min="3848" max="3848" width="10.88671875" style="45" customWidth="1"/>
    <col min="3849" max="3849" width="11.33203125" style="45" customWidth="1"/>
    <col min="3850" max="4096" width="9.109375" style="45"/>
    <col min="4097" max="4097" width="29.88671875" style="45" customWidth="1"/>
    <col min="4098" max="4098" width="12.44140625" style="45" customWidth="1"/>
    <col min="4099" max="4099" width="15.109375" style="45" customWidth="1"/>
    <col min="4100" max="4100" width="14.33203125" style="45" customWidth="1"/>
    <col min="4101" max="4101" width="11.109375" style="45" customWidth="1"/>
    <col min="4102" max="4102" width="11.33203125" style="45" customWidth="1"/>
    <col min="4103" max="4103" width="13.44140625" style="45" customWidth="1"/>
    <col min="4104" max="4104" width="10.88671875" style="45" customWidth="1"/>
    <col min="4105" max="4105" width="11.33203125" style="45" customWidth="1"/>
    <col min="4106" max="4352" width="9.109375" style="45"/>
    <col min="4353" max="4353" width="29.88671875" style="45" customWidth="1"/>
    <col min="4354" max="4354" width="12.44140625" style="45" customWidth="1"/>
    <col min="4355" max="4355" width="15.109375" style="45" customWidth="1"/>
    <col min="4356" max="4356" width="14.33203125" style="45" customWidth="1"/>
    <col min="4357" max="4357" width="11.109375" style="45" customWidth="1"/>
    <col min="4358" max="4358" width="11.33203125" style="45" customWidth="1"/>
    <col min="4359" max="4359" width="13.44140625" style="45" customWidth="1"/>
    <col min="4360" max="4360" width="10.88671875" style="45" customWidth="1"/>
    <col min="4361" max="4361" width="11.33203125" style="45" customWidth="1"/>
    <col min="4362" max="4608" width="9.109375" style="45"/>
    <col min="4609" max="4609" width="29.88671875" style="45" customWidth="1"/>
    <col min="4610" max="4610" width="12.44140625" style="45" customWidth="1"/>
    <col min="4611" max="4611" width="15.109375" style="45" customWidth="1"/>
    <col min="4612" max="4612" width="14.33203125" style="45" customWidth="1"/>
    <col min="4613" max="4613" width="11.109375" style="45" customWidth="1"/>
    <col min="4614" max="4614" width="11.33203125" style="45" customWidth="1"/>
    <col min="4615" max="4615" width="13.44140625" style="45" customWidth="1"/>
    <col min="4616" max="4616" width="10.88671875" style="45" customWidth="1"/>
    <col min="4617" max="4617" width="11.33203125" style="45" customWidth="1"/>
    <col min="4618" max="4864" width="9.109375" style="45"/>
    <col min="4865" max="4865" width="29.88671875" style="45" customWidth="1"/>
    <col min="4866" max="4866" width="12.44140625" style="45" customWidth="1"/>
    <col min="4867" max="4867" width="15.109375" style="45" customWidth="1"/>
    <col min="4868" max="4868" width="14.33203125" style="45" customWidth="1"/>
    <col min="4869" max="4869" width="11.109375" style="45" customWidth="1"/>
    <col min="4870" max="4870" width="11.33203125" style="45" customWidth="1"/>
    <col min="4871" max="4871" width="13.44140625" style="45" customWidth="1"/>
    <col min="4872" max="4872" width="10.88671875" style="45" customWidth="1"/>
    <col min="4873" max="4873" width="11.33203125" style="45" customWidth="1"/>
    <col min="4874" max="5120" width="9.109375" style="45"/>
    <col min="5121" max="5121" width="29.88671875" style="45" customWidth="1"/>
    <col min="5122" max="5122" width="12.44140625" style="45" customWidth="1"/>
    <col min="5123" max="5123" width="15.109375" style="45" customWidth="1"/>
    <col min="5124" max="5124" width="14.33203125" style="45" customWidth="1"/>
    <col min="5125" max="5125" width="11.109375" style="45" customWidth="1"/>
    <col min="5126" max="5126" width="11.33203125" style="45" customWidth="1"/>
    <col min="5127" max="5127" width="13.44140625" style="45" customWidth="1"/>
    <col min="5128" max="5128" width="10.88671875" style="45" customWidth="1"/>
    <col min="5129" max="5129" width="11.33203125" style="45" customWidth="1"/>
    <col min="5130" max="5376" width="9.109375" style="45"/>
    <col min="5377" max="5377" width="29.88671875" style="45" customWidth="1"/>
    <col min="5378" max="5378" width="12.44140625" style="45" customWidth="1"/>
    <col min="5379" max="5379" width="15.109375" style="45" customWidth="1"/>
    <col min="5380" max="5380" width="14.33203125" style="45" customWidth="1"/>
    <col min="5381" max="5381" width="11.109375" style="45" customWidth="1"/>
    <col min="5382" max="5382" width="11.33203125" style="45" customWidth="1"/>
    <col min="5383" max="5383" width="13.44140625" style="45" customWidth="1"/>
    <col min="5384" max="5384" width="10.88671875" style="45" customWidth="1"/>
    <col min="5385" max="5385" width="11.33203125" style="45" customWidth="1"/>
    <col min="5386" max="5632" width="9.109375" style="45"/>
    <col min="5633" max="5633" width="29.88671875" style="45" customWidth="1"/>
    <col min="5634" max="5634" width="12.44140625" style="45" customWidth="1"/>
    <col min="5635" max="5635" width="15.109375" style="45" customWidth="1"/>
    <col min="5636" max="5636" width="14.33203125" style="45" customWidth="1"/>
    <col min="5637" max="5637" width="11.109375" style="45" customWidth="1"/>
    <col min="5638" max="5638" width="11.33203125" style="45" customWidth="1"/>
    <col min="5639" max="5639" width="13.44140625" style="45" customWidth="1"/>
    <col min="5640" max="5640" width="10.88671875" style="45" customWidth="1"/>
    <col min="5641" max="5641" width="11.33203125" style="45" customWidth="1"/>
    <col min="5642" max="5888" width="9.109375" style="45"/>
    <col min="5889" max="5889" width="29.88671875" style="45" customWidth="1"/>
    <col min="5890" max="5890" width="12.44140625" style="45" customWidth="1"/>
    <col min="5891" max="5891" width="15.109375" style="45" customWidth="1"/>
    <col min="5892" max="5892" width="14.33203125" style="45" customWidth="1"/>
    <col min="5893" max="5893" width="11.109375" style="45" customWidth="1"/>
    <col min="5894" max="5894" width="11.33203125" style="45" customWidth="1"/>
    <col min="5895" max="5895" width="13.44140625" style="45" customWidth="1"/>
    <col min="5896" max="5896" width="10.88671875" style="45" customWidth="1"/>
    <col min="5897" max="5897" width="11.33203125" style="45" customWidth="1"/>
    <col min="5898" max="6144" width="9.109375" style="45"/>
    <col min="6145" max="6145" width="29.88671875" style="45" customWidth="1"/>
    <col min="6146" max="6146" width="12.44140625" style="45" customWidth="1"/>
    <col min="6147" max="6147" width="15.109375" style="45" customWidth="1"/>
    <col min="6148" max="6148" width="14.33203125" style="45" customWidth="1"/>
    <col min="6149" max="6149" width="11.109375" style="45" customWidth="1"/>
    <col min="6150" max="6150" width="11.33203125" style="45" customWidth="1"/>
    <col min="6151" max="6151" width="13.44140625" style="45" customWidth="1"/>
    <col min="6152" max="6152" width="10.88671875" style="45" customWidth="1"/>
    <col min="6153" max="6153" width="11.33203125" style="45" customWidth="1"/>
    <col min="6154" max="6400" width="9.109375" style="45"/>
    <col min="6401" max="6401" width="29.88671875" style="45" customWidth="1"/>
    <col min="6402" max="6402" width="12.44140625" style="45" customWidth="1"/>
    <col min="6403" max="6403" width="15.109375" style="45" customWidth="1"/>
    <col min="6404" max="6404" width="14.33203125" style="45" customWidth="1"/>
    <col min="6405" max="6405" width="11.109375" style="45" customWidth="1"/>
    <col min="6406" max="6406" width="11.33203125" style="45" customWidth="1"/>
    <col min="6407" max="6407" width="13.44140625" style="45" customWidth="1"/>
    <col min="6408" max="6408" width="10.88671875" style="45" customWidth="1"/>
    <col min="6409" max="6409" width="11.33203125" style="45" customWidth="1"/>
    <col min="6410" max="6656" width="9.109375" style="45"/>
    <col min="6657" max="6657" width="29.88671875" style="45" customWidth="1"/>
    <col min="6658" max="6658" width="12.44140625" style="45" customWidth="1"/>
    <col min="6659" max="6659" width="15.109375" style="45" customWidth="1"/>
    <col min="6660" max="6660" width="14.33203125" style="45" customWidth="1"/>
    <col min="6661" max="6661" width="11.109375" style="45" customWidth="1"/>
    <col min="6662" max="6662" width="11.33203125" style="45" customWidth="1"/>
    <col min="6663" max="6663" width="13.44140625" style="45" customWidth="1"/>
    <col min="6664" max="6664" width="10.88671875" style="45" customWidth="1"/>
    <col min="6665" max="6665" width="11.33203125" style="45" customWidth="1"/>
    <col min="6666" max="6912" width="9.109375" style="45"/>
    <col min="6913" max="6913" width="29.88671875" style="45" customWidth="1"/>
    <col min="6914" max="6914" width="12.44140625" style="45" customWidth="1"/>
    <col min="6915" max="6915" width="15.109375" style="45" customWidth="1"/>
    <col min="6916" max="6916" width="14.33203125" style="45" customWidth="1"/>
    <col min="6917" max="6917" width="11.109375" style="45" customWidth="1"/>
    <col min="6918" max="6918" width="11.33203125" style="45" customWidth="1"/>
    <col min="6919" max="6919" width="13.44140625" style="45" customWidth="1"/>
    <col min="6920" max="6920" width="10.88671875" style="45" customWidth="1"/>
    <col min="6921" max="6921" width="11.33203125" style="45" customWidth="1"/>
    <col min="6922" max="7168" width="9.109375" style="45"/>
    <col min="7169" max="7169" width="29.88671875" style="45" customWidth="1"/>
    <col min="7170" max="7170" width="12.44140625" style="45" customWidth="1"/>
    <col min="7171" max="7171" width="15.109375" style="45" customWidth="1"/>
    <col min="7172" max="7172" width="14.33203125" style="45" customWidth="1"/>
    <col min="7173" max="7173" width="11.109375" style="45" customWidth="1"/>
    <col min="7174" max="7174" width="11.33203125" style="45" customWidth="1"/>
    <col min="7175" max="7175" width="13.44140625" style="45" customWidth="1"/>
    <col min="7176" max="7176" width="10.88671875" style="45" customWidth="1"/>
    <col min="7177" max="7177" width="11.33203125" style="45" customWidth="1"/>
    <col min="7178" max="7424" width="9.109375" style="45"/>
    <col min="7425" max="7425" width="29.88671875" style="45" customWidth="1"/>
    <col min="7426" max="7426" width="12.44140625" style="45" customWidth="1"/>
    <col min="7427" max="7427" width="15.109375" style="45" customWidth="1"/>
    <col min="7428" max="7428" width="14.33203125" style="45" customWidth="1"/>
    <col min="7429" max="7429" width="11.109375" style="45" customWidth="1"/>
    <col min="7430" max="7430" width="11.33203125" style="45" customWidth="1"/>
    <col min="7431" max="7431" width="13.44140625" style="45" customWidth="1"/>
    <col min="7432" max="7432" width="10.88671875" style="45" customWidth="1"/>
    <col min="7433" max="7433" width="11.33203125" style="45" customWidth="1"/>
    <col min="7434" max="7680" width="9.109375" style="45"/>
    <col min="7681" max="7681" width="29.88671875" style="45" customWidth="1"/>
    <col min="7682" max="7682" width="12.44140625" style="45" customWidth="1"/>
    <col min="7683" max="7683" width="15.109375" style="45" customWidth="1"/>
    <col min="7684" max="7684" width="14.33203125" style="45" customWidth="1"/>
    <col min="7685" max="7685" width="11.109375" style="45" customWidth="1"/>
    <col min="7686" max="7686" width="11.33203125" style="45" customWidth="1"/>
    <col min="7687" max="7687" width="13.44140625" style="45" customWidth="1"/>
    <col min="7688" max="7688" width="10.88671875" style="45" customWidth="1"/>
    <col min="7689" max="7689" width="11.33203125" style="45" customWidth="1"/>
    <col min="7690" max="7936" width="9.109375" style="45"/>
    <col min="7937" max="7937" width="29.88671875" style="45" customWidth="1"/>
    <col min="7938" max="7938" width="12.44140625" style="45" customWidth="1"/>
    <col min="7939" max="7939" width="15.109375" style="45" customWidth="1"/>
    <col min="7940" max="7940" width="14.33203125" style="45" customWidth="1"/>
    <col min="7941" max="7941" width="11.109375" style="45" customWidth="1"/>
    <col min="7942" max="7942" width="11.33203125" style="45" customWidth="1"/>
    <col min="7943" max="7943" width="13.44140625" style="45" customWidth="1"/>
    <col min="7944" max="7944" width="10.88671875" style="45" customWidth="1"/>
    <col min="7945" max="7945" width="11.33203125" style="45" customWidth="1"/>
    <col min="7946" max="8192" width="9.109375" style="45"/>
    <col min="8193" max="8193" width="29.88671875" style="45" customWidth="1"/>
    <col min="8194" max="8194" width="12.44140625" style="45" customWidth="1"/>
    <col min="8195" max="8195" width="15.109375" style="45" customWidth="1"/>
    <col min="8196" max="8196" width="14.33203125" style="45" customWidth="1"/>
    <col min="8197" max="8197" width="11.109375" style="45" customWidth="1"/>
    <col min="8198" max="8198" width="11.33203125" style="45" customWidth="1"/>
    <col min="8199" max="8199" width="13.44140625" style="45" customWidth="1"/>
    <col min="8200" max="8200" width="10.88671875" style="45" customWidth="1"/>
    <col min="8201" max="8201" width="11.33203125" style="45" customWidth="1"/>
    <col min="8202" max="8448" width="9.109375" style="45"/>
    <col min="8449" max="8449" width="29.88671875" style="45" customWidth="1"/>
    <col min="8450" max="8450" width="12.44140625" style="45" customWidth="1"/>
    <col min="8451" max="8451" width="15.109375" style="45" customWidth="1"/>
    <col min="8452" max="8452" width="14.33203125" style="45" customWidth="1"/>
    <col min="8453" max="8453" width="11.109375" style="45" customWidth="1"/>
    <col min="8454" max="8454" width="11.33203125" style="45" customWidth="1"/>
    <col min="8455" max="8455" width="13.44140625" style="45" customWidth="1"/>
    <col min="8456" max="8456" width="10.88671875" style="45" customWidth="1"/>
    <col min="8457" max="8457" width="11.33203125" style="45" customWidth="1"/>
    <col min="8458" max="8704" width="9.109375" style="45"/>
    <col min="8705" max="8705" width="29.88671875" style="45" customWidth="1"/>
    <col min="8706" max="8706" width="12.44140625" style="45" customWidth="1"/>
    <col min="8707" max="8707" width="15.109375" style="45" customWidth="1"/>
    <col min="8708" max="8708" width="14.33203125" style="45" customWidth="1"/>
    <col min="8709" max="8709" width="11.109375" style="45" customWidth="1"/>
    <col min="8710" max="8710" width="11.33203125" style="45" customWidth="1"/>
    <col min="8711" max="8711" width="13.44140625" style="45" customWidth="1"/>
    <col min="8712" max="8712" width="10.88671875" style="45" customWidth="1"/>
    <col min="8713" max="8713" width="11.33203125" style="45" customWidth="1"/>
    <col min="8714" max="8960" width="9.109375" style="45"/>
    <col min="8961" max="8961" width="29.88671875" style="45" customWidth="1"/>
    <col min="8962" max="8962" width="12.44140625" style="45" customWidth="1"/>
    <col min="8963" max="8963" width="15.109375" style="45" customWidth="1"/>
    <col min="8964" max="8964" width="14.33203125" style="45" customWidth="1"/>
    <col min="8965" max="8965" width="11.109375" style="45" customWidth="1"/>
    <col min="8966" max="8966" width="11.33203125" style="45" customWidth="1"/>
    <col min="8967" max="8967" width="13.44140625" style="45" customWidth="1"/>
    <col min="8968" max="8968" width="10.88671875" style="45" customWidth="1"/>
    <col min="8969" max="8969" width="11.33203125" style="45" customWidth="1"/>
    <col min="8970" max="9216" width="9.109375" style="45"/>
    <col min="9217" max="9217" width="29.88671875" style="45" customWidth="1"/>
    <col min="9218" max="9218" width="12.44140625" style="45" customWidth="1"/>
    <col min="9219" max="9219" width="15.109375" style="45" customWidth="1"/>
    <col min="9220" max="9220" width="14.33203125" style="45" customWidth="1"/>
    <col min="9221" max="9221" width="11.109375" style="45" customWidth="1"/>
    <col min="9222" max="9222" width="11.33203125" style="45" customWidth="1"/>
    <col min="9223" max="9223" width="13.44140625" style="45" customWidth="1"/>
    <col min="9224" max="9224" width="10.88671875" style="45" customWidth="1"/>
    <col min="9225" max="9225" width="11.33203125" style="45" customWidth="1"/>
    <col min="9226" max="9472" width="9.109375" style="45"/>
    <col min="9473" max="9473" width="29.88671875" style="45" customWidth="1"/>
    <col min="9474" max="9474" width="12.44140625" style="45" customWidth="1"/>
    <col min="9475" max="9475" width="15.109375" style="45" customWidth="1"/>
    <col min="9476" max="9476" width="14.33203125" style="45" customWidth="1"/>
    <col min="9477" max="9477" width="11.109375" style="45" customWidth="1"/>
    <col min="9478" max="9478" width="11.33203125" style="45" customWidth="1"/>
    <col min="9479" max="9479" width="13.44140625" style="45" customWidth="1"/>
    <col min="9480" max="9480" width="10.88671875" style="45" customWidth="1"/>
    <col min="9481" max="9481" width="11.33203125" style="45" customWidth="1"/>
    <col min="9482" max="9728" width="9.109375" style="45"/>
    <col min="9729" max="9729" width="29.88671875" style="45" customWidth="1"/>
    <col min="9730" max="9730" width="12.44140625" style="45" customWidth="1"/>
    <col min="9731" max="9731" width="15.109375" style="45" customWidth="1"/>
    <col min="9732" max="9732" width="14.33203125" style="45" customWidth="1"/>
    <col min="9733" max="9733" width="11.109375" style="45" customWidth="1"/>
    <col min="9734" max="9734" width="11.33203125" style="45" customWidth="1"/>
    <col min="9735" max="9735" width="13.44140625" style="45" customWidth="1"/>
    <col min="9736" max="9736" width="10.88671875" style="45" customWidth="1"/>
    <col min="9737" max="9737" width="11.33203125" style="45" customWidth="1"/>
    <col min="9738" max="9984" width="9.109375" style="45"/>
    <col min="9985" max="9985" width="29.88671875" style="45" customWidth="1"/>
    <col min="9986" max="9986" width="12.44140625" style="45" customWidth="1"/>
    <col min="9987" max="9987" width="15.109375" style="45" customWidth="1"/>
    <col min="9988" max="9988" width="14.33203125" style="45" customWidth="1"/>
    <col min="9989" max="9989" width="11.109375" style="45" customWidth="1"/>
    <col min="9990" max="9990" width="11.33203125" style="45" customWidth="1"/>
    <col min="9991" max="9991" width="13.44140625" style="45" customWidth="1"/>
    <col min="9992" max="9992" width="10.88671875" style="45" customWidth="1"/>
    <col min="9993" max="9993" width="11.33203125" style="45" customWidth="1"/>
    <col min="9994" max="10240" width="9.109375" style="45"/>
    <col min="10241" max="10241" width="29.88671875" style="45" customWidth="1"/>
    <col min="10242" max="10242" width="12.44140625" style="45" customWidth="1"/>
    <col min="10243" max="10243" width="15.109375" style="45" customWidth="1"/>
    <col min="10244" max="10244" width="14.33203125" style="45" customWidth="1"/>
    <col min="10245" max="10245" width="11.109375" style="45" customWidth="1"/>
    <col min="10246" max="10246" width="11.33203125" style="45" customWidth="1"/>
    <col min="10247" max="10247" width="13.44140625" style="45" customWidth="1"/>
    <col min="10248" max="10248" width="10.88671875" style="45" customWidth="1"/>
    <col min="10249" max="10249" width="11.33203125" style="45" customWidth="1"/>
    <col min="10250" max="10496" width="9.109375" style="45"/>
    <col min="10497" max="10497" width="29.88671875" style="45" customWidth="1"/>
    <col min="10498" max="10498" width="12.44140625" style="45" customWidth="1"/>
    <col min="10499" max="10499" width="15.109375" style="45" customWidth="1"/>
    <col min="10500" max="10500" width="14.33203125" style="45" customWidth="1"/>
    <col min="10501" max="10501" width="11.109375" style="45" customWidth="1"/>
    <col min="10502" max="10502" width="11.33203125" style="45" customWidth="1"/>
    <col min="10503" max="10503" width="13.44140625" style="45" customWidth="1"/>
    <col min="10504" max="10504" width="10.88671875" style="45" customWidth="1"/>
    <col min="10505" max="10505" width="11.33203125" style="45" customWidth="1"/>
    <col min="10506" max="10752" width="9.109375" style="45"/>
    <col min="10753" max="10753" width="29.88671875" style="45" customWidth="1"/>
    <col min="10754" max="10754" width="12.44140625" style="45" customWidth="1"/>
    <col min="10755" max="10755" width="15.109375" style="45" customWidth="1"/>
    <col min="10756" max="10756" width="14.33203125" style="45" customWidth="1"/>
    <col min="10757" max="10757" width="11.109375" style="45" customWidth="1"/>
    <col min="10758" max="10758" width="11.33203125" style="45" customWidth="1"/>
    <col min="10759" max="10759" width="13.44140625" style="45" customWidth="1"/>
    <col min="10760" max="10760" width="10.88671875" style="45" customWidth="1"/>
    <col min="10761" max="10761" width="11.33203125" style="45" customWidth="1"/>
    <col min="10762" max="11008" width="9.109375" style="45"/>
    <col min="11009" max="11009" width="29.88671875" style="45" customWidth="1"/>
    <col min="11010" max="11010" width="12.44140625" style="45" customWidth="1"/>
    <col min="11011" max="11011" width="15.109375" style="45" customWidth="1"/>
    <col min="11012" max="11012" width="14.33203125" style="45" customWidth="1"/>
    <col min="11013" max="11013" width="11.109375" style="45" customWidth="1"/>
    <col min="11014" max="11014" width="11.33203125" style="45" customWidth="1"/>
    <col min="11015" max="11015" width="13.44140625" style="45" customWidth="1"/>
    <col min="11016" max="11016" width="10.88671875" style="45" customWidth="1"/>
    <col min="11017" max="11017" width="11.33203125" style="45" customWidth="1"/>
    <col min="11018" max="11264" width="9.109375" style="45"/>
    <col min="11265" max="11265" width="29.88671875" style="45" customWidth="1"/>
    <col min="11266" max="11266" width="12.44140625" style="45" customWidth="1"/>
    <col min="11267" max="11267" width="15.109375" style="45" customWidth="1"/>
    <col min="11268" max="11268" width="14.33203125" style="45" customWidth="1"/>
    <col min="11269" max="11269" width="11.109375" style="45" customWidth="1"/>
    <col min="11270" max="11270" width="11.33203125" style="45" customWidth="1"/>
    <col min="11271" max="11271" width="13.44140625" style="45" customWidth="1"/>
    <col min="11272" max="11272" width="10.88671875" style="45" customWidth="1"/>
    <col min="11273" max="11273" width="11.33203125" style="45" customWidth="1"/>
    <col min="11274" max="11520" width="9.109375" style="45"/>
    <col min="11521" max="11521" width="29.88671875" style="45" customWidth="1"/>
    <col min="11522" max="11522" width="12.44140625" style="45" customWidth="1"/>
    <col min="11523" max="11523" width="15.109375" style="45" customWidth="1"/>
    <col min="11524" max="11524" width="14.33203125" style="45" customWidth="1"/>
    <col min="11525" max="11525" width="11.109375" style="45" customWidth="1"/>
    <col min="11526" max="11526" width="11.33203125" style="45" customWidth="1"/>
    <col min="11527" max="11527" width="13.44140625" style="45" customWidth="1"/>
    <col min="11528" max="11528" width="10.88671875" style="45" customWidth="1"/>
    <col min="11529" max="11529" width="11.33203125" style="45" customWidth="1"/>
    <col min="11530" max="11776" width="9.109375" style="45"/>
    <col min="11777" max="11777" width="29.88671875" style="45" customWidth="1"/>
    <col min="11778" max="11778" width="12.44140625" style="45" customWidth="1"/>
    <col min="11779" max="11779" width="15.109375" style="45" customWidth="1"/>
    <col min="11780" max="11780" width="14.33203125" style="45" customWidth="1"/>
    <col min="11781" max="11781" width="11.109375" style="45" customWidth="1"/>
    <col min="11782" max="11782" width="11.33203125" style="45" customWidth="1"/>
    <col min="11783" max="11783" width="13.44140625" style="45" customWidth="1"/>
    <col min="11784" max="11784" width="10.88671875" style="45" customWidth="1"/>
    <col min="11785" max="11785" width="11.33203125" style="45" customWidth="1"/>
    <col min="11786" max="12032" width="9.109375" style="45"/>
    <col min="12033" max="12033" width="29.88671875" style="45" customWidth="1"/>
    <col min="12034" max="12034" width="12.44140625" style="45" customWidth="1"/>
    <col min="12035" max="12035" width="15.109375" style="45" customWidth="1"/>
    <col min="12036" max="12036" width="14.33203125" style="45" customWidth="1"/>
    <col min="12037" max="12037" width="11.109375" style="45" customWidth="1"/>
    <col min="12038" max="12038" width="11.33203125" style="45" customWidth="1"/>
    <col min="12039" max="12039" width="13.44140625" style="45" customWidth="1"/>
    <col min="12040" max="12040" width="10.88671875" style="45" customWidth="1"/>
    <col min="12041" max="12041" width="11.33203125" style="45" customWidth="1"/>
    <col min="12042" max="12288" width="9.109375" style="45"/>
    <col min="12289" max="12289" width="29.88671875" style="45" customWidth="1"/>
    <col min="12290" max="12290" width="12.44140625" style="45" customWidth="1"/>
    <col min="12291" max="12291" width="15.109375" style="45" customWidth="1"/>
    <col min="12292" max="12292" width="14.33203125" style="45" customWidth="1"/>
    <col min="12293" max="12293" width="11.109375" style="45" customWidth="1"/>
    <col min="12294" max="12294" width="11.33203125" style="45" customWidth="1"/>
    <col min="12295" max="12295" width="13.44140625" style="45" customWidth="1"/>
    <col min="12296" max="12296" width="10.88671875" style="45" customWidth="1"/>
    <col min="12297" max="12297" width="11.33203125" style="45" customWidth="1"/>
    <col min="12298" max="12544" width="9.109375" style="45"/>
    <col min="12545" max="12545" width="29.88671875" style="45" customWidth="1"/>
    <col min="12546" max="12546" width="12.44140625" style="45" customWidth="1"/>
    <col min="12547" max="12547" width="15.109375" style="45" customWidth="1"/>
    <col min="12548" max="12548" width="14.33203125" style="45" customWidth="1"/>
    <col min="12549" max="12549" width="11.109375" style="45" customWidth="1"/>
    <col min="12550" max="12550" width="11.33203125" style="45" customWidth="1"/>
    <col min="12551" max="12551" width="13.44140625" style="45" customWidth="1"/>
    <col min="12552" max="12552" width="10.88671875" style="45" customWidth="1"/>
    <col min="12553" max="12553" width="11.33203125" style="45" customWidth="1"/>
    <col min="12554" max="12800" width="9.109375" style="45"/>
    <col min="12801" max="12801" width="29.88671875" style="45" customWidth="1"/>
    <col min="12802" max="12802" width="12.44140625" style="45" customWidth="1"/>
    <col min="12803" max="12803" width="15.109375" style="45" customWidth="1"/>
    <col min="12804" max="12804" width="14.33203125" style="45" customWidth="1"/>
    <col min="12805" max="12805" width="11.109375" style="45" customWidth="1"/>
    <col min="12806" max="12806" width="11.33203125" style="45" customWidth="1"/>
    <col min="12807" max="12807" width="13.44140625" style="45" customWidth="1"/>
    <col min="12808" max="12808" width="10.88671875" style="45" customWidth="1"/>
    <col min="12809" max="12809" width="11.33203125" style="45" customWidth="1"/>
    <col min="12810" max="13056" width="9.109375" style="45"/>
    <col min="13057" max="13057" width="29.88671875" style="45" customWidth="1"/>
    <col min="13058" max="13058" width="12.44140625" style="45" customWidth="1"/>
    <col min="13059" max="13059" width="15.109375" style="45" customWidth="1"/>
    <col min="13060" max="13060" width="14.33203125" style="45" customWidth="1"/>
    <col min="13061" max="13061" width="11.109375" style="45" customWidth="1"/>
    <col min="13062" max="13062" width="11.33203125" style="45" customWidth="1"/>
    <col min="13063" max="13063" width="13.44140625" style="45" customWidth="1"/>
    <col min="13064" max="13064" width="10.88671875" style="45" customWidth="1"/>
    <col min="13065" max="13065" width="11.33203125" style="45" customWidth="1"/>
    <col min="13066" max="13312" width="9.109375" style="45"/>
    <col min="13313" max="13313" width="29.88671875" style="45" customWidth="1"/>
    <col min="13314" max="13314" width="12.44140625" style="45" customWidth="1"/>
    <col min="13315" max="13315" width="15.109375" style="45" customWidth="1"/>
    <col min="13316" max="13316" width="14.33203125" style="45" customWidth="1"/>
    <col min="13317" max="13317" width="11.109375" style="45" customWidth="1"/>
    <col min="13318" max="13318" width="11.33203125" style="45" customWidth="1"/>
    <col min="13319" max="13319" width="13.44140625" style="45" customWidth="1"/>
    <col min="13320" max="13320" width="10.88671875" style="45" customWidth="1"/>
    <col min="13321" max="13321" width="11.33203125" style="45" customWidth="1"/>
    <col min="13322" max="13568" width="9.109375" style="45"/>
    <col min="13569" max="13569" width="29.88671875" style="45" customWidth="1"/>
    <col min="13570" max="13570" width="12.44140625" style="45" customWidth="1"/>
    <col min="13571" max="13571" width="15.109375" style="45" customWidth="1"/>
    <col min="13572" max="13572" width="14.33203125" style="45" customWidth="1"/>
    <col min="13573" max="13573" width="11.109375" style="45" customWidth="1"/>
    <col min="13574" max="13574" width="11.33203125" style="45" customWidth="1"/>
    <col min="13575" max="13575" width="13.44140625" style="45" customWidth="1"/>
    <col min="13576" max="13576" width="10.88671875" style="45" customWidth="1"/>
    <col min="13577" max="13577" width="11.33203125" style="45" customWidth="1"/>
    <col min="13578" max="13824" width="9.109375" style="45"/>
    <col min="13825" max="13825" width="29.88671875" style="45" customWidth="1"/>
    <col min="13826" max="13826" width="12.44140625" style="45" customWidth="1"/>
    <col min="13827" max="13827" width="15.109375" style="45" customWidth="1"/>
    <col min="13828" max="13828" width="14.33203125" style="45" customWidth="1"/>
    <col min="13829" max="13829" width="11.109375" style="45" customWidth="1"/>
    <col min="13830" max="13830" width="11.33203125" style="45" customWidth="1"/>
    <col min="13831" max="13831" width="13.44140625" style="45" customWidth="1"/>
    <col min="13832" max="13832" width="10.88671875" style="45" customWidth="1"/>
    <col min="13833" max="13833" width="11.33203125" style="45" customWidth="1"/>
    <col min="13834" max="14080" width="9.109375" style="45"/>
    <col min="14081" max="14081" width="29.88671875" style="45" customWidth="1"/>
    <col min="14082" max="14082" width="12.44140625" style="45" customWidth="1"/>
    <col min="14083" max="14083" width="15.109375" style="45" customWidth="1"/>
    <col min="14084" max="14084" width="14.33203125" style="45" customWidth="1"/>
    <col min="14085" max="14085" width="11.109375" style="45" customWidth="1"/>
    <col min="14086" max="14086" width="11.33203125" style="45" customWidth="1"/>
    <col min="14087" max="14087" width="13.44140625" style="45" customWidth="1"/>
    <col min="14088" max="14088" width="10.88671875" style="45" customWidth="1"/>
    <col min="14089" max="14089" width="11.33203125" style="45" customWidth="1"/>
    <col min="14090" max="14336" width="9.109375" style="45"/>
    <col min="14337" max="14337" width="29.88671875" style="45" customWidth="1"/>
    <col min="14338" max="14338" width="12.44140625" style="45" customWidth="1"/>
    <col min="14339" max="14339" width="15.109375" style="45" customWidth="1"/>
    <col min="14340" max="14340" width="14.33203125" style="45" customWidth="1"/>
    <col min="14341" max="14341" width="11.109375" style="45" customWidth="1"/>
    <col min="14342" max="14342" width="11.33203125" style="45" customWidth="1"/>
    <col min="14343" max="14343" width="13.44140625" style="45" customWidth="1"/>
    <col min="14344" max="14344" width="10.88671875" style="45" customWidth="1"/>
    <col min="14345" max="14345" width="11.33203125" style="45" customWidth="1"/>
    <col min="14346" max="14592" width="9.109375" style="45"/>
    <col min="14593" max="14593" width="29.88671875" style="45" customWidth="1"/>
    <col min="14594" max="14594" width="12.44140625" style="45" customWidth="1"/>
    <col min="14595" max="14595" width="15.109375" style="45" customWidth="1"/>
    <col min="14596" max="14596" width="14.33203125" style="45" customWidth="1"/>
    <col min="14597" max="14597" width="11.109375" style="45" customWidth="1"/>
    <col min="14598" max="14598" width="11.33203125" style="45" customWidth="1"/>
    <col min="14599" max="14599" width="13.44140625" style="45" customWidth="1"/>
    <col min="14600" max="14600" width="10.88671875" style="45" customWidth="1"/>
    <col min="14601" max="14601" width="11.33203125" style="45" customWidth="1"/>
    <col min="14602" max="14848" width="9.109375" style="45"/>
    <col min="14849" max="14849" width="29.88671875" style="45" customWidth="1"/>
    <col min="14850" max="14850" width="12.44140625" style="45" customWidth="1"/>
    <col min="14851" max="14851" width="15.109375" style="45" customWidth="1"/>
    <col min="14852" max="14852" width="14.33203125" style="45" customWidth="1"/>
    <col min="14853" max="14853" width="11.109375" style="45" customWidth="1"/>
    <col min="14854" max="14854" width="11.33203125" style="45" customWidth="1"/>
    <col min="14855" max="14855" width="13.44140625" style="45" customWidth="1"/>
    <col min="14856" max="14856" width="10.88671875" style="45" customWidth="1"/>
    <col min="14857" max="14857" width="11.33203125" style="45" customWidth="1"/>
    <col min="14858" max="15104" width="9.109375" style="45"/>
    <col min="15105" max="15105" width="29.88671875" style="45" customWidth="1"/>
    <col min="15106" max="15106" width="12.44140625" style="45" customWidth="1"/>
    <col min="15107" max="15107" width="15.109375" style="45" customWidth="1"/>
    <col min="15108" max="15108" width="14.33203125" style="45" customWidth="1"/>
    <col min="15109" max="15109" width="11.109375" style="45" customWidth="1"/>
    <col min="15110" max="15110" width="11.33203125" style="45" customWidth="1"/>
    <col min="15111" max="15111" width="13.44140625" style="45" customWidth="1"/>
    <col min="15112" max="15112" width="10.88671875" style="45" customWidth="1"/>
    <col min="15113" max="15113" width="11.33203125" style="45" customWidth="1"/>
    <col min="15114" max="15360" width="9.109375" style="45"/>
    <col min="15361" max="15361" width="29.88671875" style="45" customWidth="1"/>
    <col min="15362" max="15362" width="12.44140625" style="45" customWidth="1"/>
    <col min="15363" max="15363" width="15.109375" style="45" customWidth="1"/>
    <col min="15364" max="15364" width="14.33203125" style="45" customWidth="1"/>
    <col min="15365" max="15365" width="11.109375" style="45" customWidth="1"/>
    <col min="15366" max="15366" width="11.33203125" style="45" customWidth="1"/>
    <col min="15367" max="15367" width="13.44140625" style="45" customWidth="1"/>
    <col min="15368" max="15368" width="10.88671875" style="45" customWidth="1"/>
    <col min="15369" max="15369" width="11.33203125" style="45" customWidth="1"/>
    <col min="15370" max="15616" width="9.109375" style="45"/>
    <col min="15617" max="15617" width="29.88671875" style="45" customWidth="1"/>
    <col min="15618" max="15618" width="12.44140625" style="45" customWidth="1"/>
    <col min="15619" max="15619" width="15.109375" style="45" customWidth="1"/>
    <col min="15620" max="15620" width="14.33203125" style="45" customWidth="1"/>
    <col min="15621" max="15621" width="11.109375" style="45" customWidth="1"/>
    <col min="15622" max="15622" width="11.33203125" style="45" customWidth="1"/>
    <col min="15623" max="15623" width="13.44140625" style="45" customWidth="1"/>
    <col min="15624" max="15624" width="10.88671875" style="45" customWidth="1"/>
    <col min="15625" max="15625" width="11.33203125" style="45" customWidth="1"/>
    <col min="15626" max="15872" width="9.109375" style="45"/>
    <col min="15873" max="15873" width="29.88671875" style="45" customWidth="1"/>
    <col min="15874" max="15874" width="12.44140625" style="45" customWidth="1"/>
    <col min="15875" max="15875" width="15.109375" style="45" customWidth="1"/>
    <col min="15876" max="15876" width="14.33203125" style="45" customWidth="1"/>
    <col min="15877" max="15877" width="11.109375" style="45" customWidth="1"/>
    <col min="15878" max="15878" width="11.33203125" style="45" customWidth="1"/>
    <col min="15879" max="15879" width="13.44140625" style="45" customWidth="1"/>
    <col min="15880" max="15880" width="10.88671875" style="45" customWidth="1"/>
    <col min="15881" max="15881" width="11.33203125" style="45" customWidth="1"/>
    <col min="15882" max="16128" width="9.109375" style="45"/>
    <col min="16129" max="16129" width="29.88671875" style="45" customWidth="1"/>
    <col min="16130" max="16130" width="12.44140625" style="45" customWidth="1"/>
    <col min="16131" max="16131" width="15.109375" style="45" customWidth="1"/>
    <col min="16132" max="16132" width="14.33203125" style="45" customWidth="1"/>
    <col min="16133" max="16133" width="11.109375" style="45" customWidth="1"/>
    <col min="16134" max="16134" width="11.33203125" style="45" customWidth="1"/>
    <col min="16135" max="16135" width="13.44140625" style="45" customWidth="1"/>
    <col min="16136" max="16136" width="10.88671875" style="45" customWidth="1"/>
    <col min="16137" max="16137" width="11.33203125" style="45" customWidth="1"/>
    <col min="16138" max="16384" width="9.109375" style="45"/>
  </cols>
  <sheetData>
    <row r="1" spans="1:11" ht="13.8" x14ac:dyDescent="0.25">
      <c r="B1" s="46"/>
      <c r="C1" s="50" t="s">
        <v>20</v>
      </c>
      <c r="D1" s="46"/>
      <c r="E1" s="46"/>
      <c r="F1" s="46"/>
    </row>
    <row r="2" spans="1:11" ht="13.8" x14ac:dyDescent="0.25">
      <c r="B2" s="126" t="s">
        <v>21</v>
      </c>
      <c r="D2" s="125" t="s">
        <v>950</v>
      </c>
      <c r="E2" s="46"/>
      <c r="F2" s="46"/>
      <c r="H2" s="121">
        <v>44603</v>
      </c>
    </row>
    <row r="3" spans="1:11" ht="13.8" x14ac:dyDescent="0.25">
      <c r="B3" s="46"/>
      <c r="C3" s="129" t="s">
        <v>951</v>
      </c>
      <c r="D3" s="46"/>
      <c r="E3" s="46"/>
      <c r="F3" s="46"/>
    </row>
    <row r="5" spans="1:11" ht="27.6" x14ac:dyDescent="0.25">
      <c r="A5" s="61" t="s">
        <v>22</v>
      </c>
      <c r="B5" s="62" t="s">
        <v>23</v>
      </c>
      <c r="C5" s="62" t="s">
        <v>24</v>
      </c>
      <c r="D5" s="62" t="s">
        <v>25</v>
      </c>
      <c r="E5" s="62" t="s">
        <v>26</v>
      </c>
      <c r="F5" s="63" t="s">
        <v>27</v>
      </c>
      <c r="G5" s="64" t="s">
        <v>28</v>
      </c>
      <c r="H5" s="65" t="s">
        <v>29</v>
      </c>
      <c r="I5" s="47"/>
    </row>
    <row r="6" spans="1:11" s="49" customFormat="1" ht="27.6" x14ac:dyDescent="0.3">
      <c r="A6" s="128" t="s">
        <v>56</v>
      </c>
      <c r="B6" s="2">
        <f>SUM(ItemDetail.Confidential!$H:$H)+SUM(Excluded.Confidential!$H:$H)</f>
        <v>40664.139999999992</v>
      </c>
      <c r="C6" s="2">
        <f>SUMIF(ItemDetail.Confidential!$O:$O,"&gt;-9e100",ItemDetail.Confidential!$H:$H)</f>
        <v>38390.399999999994</v>
      </c>
      <c r="D6" s="13">
        <f>C6/B6</f>
        <v>0.94408488658557643</v>
      </c>
      <c r="E6" s="2">
        <f>SUMIF(ItemDetail.Confidential!$O:$O,"&gt;-9e100",ItemDetail.Confidential!$N:$N)</f>
        <v>38457.249000000003</v>
      </c>
      <c r="F6" s="14">
        <f>C6-E6</f>
        <v>-66.849000000009255</v>
      </c>
      <c r="G6" s="15">
        <f>SUM(1-(E6/C6))</f>
        <v>-1.7412946986750111E-3</v>
      </c>
      <c r="H6" s="16" t="s">
        <v>30</v>
      </c>
      <c r="I6" s="48"/>
    </row>
    <row r="7" spans="1:11" ht="13.8" x14ac:dyDescent="0.25">
      <c r="A7" s="47"/>
      <c r="B7" s="47"/>
      <c r="C7" s="47"/>
      <c r="D7" s="47"/>
      <c r="E7" s="47"/>
      <c r="F7" s="47"/>
      <c r="G7" s="47"/>
      <c r="H7" s="47"/>
      <c r="I7" s="47"/>
    </row>
    <row r="8" spans="1:11" ht="13.8" x14ac:dyDescent="0.25">
      <c r="A8" s="66" t="s">
        <v>31</v>
      </c>
      <c r="B8" s="67" t="s">
        <v>32</v>
      </c>
      <c r="C8" s="67" t="s">
        <v>33</v>
      </c>
      <c r="D8" s="67" t="s">
        <v>34</v>
      </c>
      <c r="E8" s="67" t="s">
        <v>35</v>
      </c>
      <c r="F8" s="67" t="s">
        <v>36</v>
      </c>
      <c r="G8" s="67" t="s">
        <v>37</v>
      </c>
      <c r="H8" s="68" t="s">
        <v>38</v>
      </c>
      <c r="I8" s="69" t="s">
        <v>39</v>
      </c>
    </row>
    <row r="9" spans="1:11" ht="13.8" x14ac:dyDescent="0.25">
      <c r="A9" s="17" t="s">
        <v>40</v>
      </c>
      <c r="B9" s="18">
        <f>COUNTIF(ItemDetail.Confidential!$M:$M,"Negative")</f>
        <v>97</v>
      </c>
      <c r="C9" s="19">
        <f>COUNTIF(ItemDetail.Confidential!$M:$M,"Same")</f>
        <v>0</v>
      </c>
      <c r="D9" s="19">
        <f>COUNTIF(ItemDetail.Confidential!$M:$M,"0-10%")</f>
        <v>54</v>
      </c>
      <c r="E9" s="19">
        <f>COUNTIF(ItemDetail.Confidential!$M:$M,"10-20%")</f>
        <v>23</v>
      </c>
      <c r="F9" s="19">
        <f>COUNTIF(ItemDetail.Confidential!$M:$M,"20-30%")</f>
        <v>5</v>
      </c>
      <c r="G9" s="19">
        <f>COUNTIF(ItemDetail.Confidential!$M:$M,"30+%")</f>
        <v>13</v>
      </c>
      <c r="H9" s="20">
        <f>SUM(B9:G9)</f>
        <v>192</v>
      </c>
      <c r="I9" s="21">
        <f>G6</f>
        <v>-1.7412946986750111E-3</v>
      </c>
    </row>
    <row r="10" spans="1:11" ht="13.8" x14ac:dyDescent="0.25">
      <c r="A10" s="47"/>
      <c r="B10" s="47"/>
      <c r="C10" s="47"/>
      <c r="D10" s="47"/>
      <c r="E10" s="47"/>
      <c r="F10" s="47"/>
      <c r="G10" s="47"/>
      <c r="H10" s="47"/>
      <c r="I10" s="47"/>
    </row>
    <row r="11" spans="1:11" ht="13.8" x14ac:dyDescent="0.25">
      <c r="A11" s="67" t="s">
        <v>41</v>
      </c>
      <c r="B11" s="67" t="s">
        <v>32</v>
      </c>
      <c r="C11" s="67" t="s">
        <v>33</v>
      </c>
      <c r="D11" s="67" t="s">
        <v>34</v>
      </c>
      <c r="E11" s="67" t="s">
        <v>35</v>
      </c>
      <c r="F11" s="67" t="s">
        <v>36</v>
      </c>
      <c r="G11" s="67" t="s">
        <v>37</v>
      </c>
      <c r="H11" s="65" t="s">
        <v>38</v>
      </c>
      <c r="I11" s="50"/>
    </row>
    <row r="12" spans="1:11" ht="13.8" x14ac:dyDescent="0.25">
      <c r="A12" s="123" t="str">
        <f>"WWG"&amp;"-"&amp;D2</f>
        <v>WWG-Clark Reliance LLC</v>
      </c>
      <c r="B12" s="22">
        <f>SUMIF(ItemDetail.Confidential!$M:$M,"Negative",ItemDetail.Confidential!$H:$H)</f>
        <v>19244.690000000006</v>
      </c>
      <c r="C12" s="22">
        <f>SUMIF(ItemDetail.Confidential!$M:$M,"Same",ItemDetail.Confidential!$H:$H)</f>
        <v>0</v>
      </c>
      <c r="D12" s="22">
        <f>SUMIF(ItemDetail.Confidential!$M:$M,"0-10%",ItemDetail.Confidential!$H:$H)</f>
        <v>12621.419999999998</v>
      </c>
      <c r="E12" s="22">
        <f>SUMIF(ItemDetail.Confidential!$M:$M,"10-20%",ItemDetail.Confidential!$H:$H)</f>
        <v>3089.4700000000003</v>
      </c>
      <c r="F12" s="22">
        <f>SUMIF(ItemDetail.Confidential!$M:$M,"20-30%",ItemDetail.Confidential!$H:$H)</f>
        <v>446.72</v>
      </c>
      <c r="G12" s="22">
        <f>SUMIF(ItemDetail.Confidential!$M:$M,"30+%",ItemDetail.Confidential!$H:$H)</f>
        <v>2988.1</v>
      </c>
      <c r="H12" s="23">
        <f>SUM(B12:G12)</f>
        <v>38390.400000000001</v>
      </c>
      <c r="I12" s="51"/>
    </row>
    <row r="13" spans="1:11" ht="13.8" x14ac:dyDescent="0.25">
      <c r="A13" s="124" t="str">
        <f>"PA"&amp;"-"&amp;D2</f>
        <v>PA-Clark Reliance LLC</v>
      </c>
      <c r="B13" s="24">
        <f>SUMIF(ItemDetail.Confidential!$M:$M,"Negative",ItemDetail.Confidential!$N:$N)</f>
        <v>21523.86</v>
      </c>
      <c r="C13" s="24">
        <f>SUMIF(ItemDetail.Confidential!$M:$M,"Same",ItemDetail.Confidential!$N:$N)</f>
        <v>0</v>
      </c>
      <c r="D13" s="24">
        <f>SUMIF(ItemDetail.Confidential!$M:$M,"0-10%",ItemDetail.Confidential!$N:$N)</f>
        <v>12193.218999999999</v>
      </c>
      <c r="E13" s="24">
        <f>SUMIF(ItemDetail.Confidential!$M:$M,"10-20%",ItemDetail.Confidential!$N:$N)</f>
        <v>2702.55</v>
      </c>
      <c r="F13" s="24">
        <f>SUMIF(ItemDetail.Confidential!$M:$M,"20-30%",ItemDetail.Confidential!$N:$N)</f>
        <v>338.23</v>
      </c>
      <c r="G13" s="24">
        <f>SUMIF(ItemDetail.Confidential!$M:$M,"30+%",ItemDetail.Confidential!$N:$N)</f>
        <v>1699.3899999999999</v>
      </c>
      <c r="H13" s="23">
        <f>SUM(B13:G13)</f>
        <v>38457.249000000003</v>
      </c>
      <c r="I13" s="47"/>
    </row>
    <row r="14" spans="1:11" ht="13.8" x14ac:dyDescent="0.25">
      <c r="A14" s="70" t="s">
        <v>42</v>
      </c>
      <c r="B14" s="71">
        <f t="shared" ref="B14:G14" si="0">B12-B13</f>
        <v>-2279.1699999999946</v>
      </c>
      <c r="C14" s="72">
        <f t="shared" si="0"/>
        <v>0</v>
      </c>
      <c r="D14" s="72">
        <f t="shared" si="0"/>
        <v>428.20099999999911</v>
      </c>
      <c r="E14" s="72">
        <f t="shared" si="0"/>
        <v>386.92000000000007</v>
      </c>
      <c r="F14" s="72">
        <f t="shared" si="0"/>
        <v>108.49000000000001</v>
      </c>
      <c r="G14" s="72">
        <f t="shared" si="0"/>
        <v>1288.71</v>
      </c>
      <c r="H14" s="73">
        <f>H12-H13</f>
        <v>-66.849000000001979</v>
      </c>
      <c r="I14" s="47"/>
    </row>
    <row r="15" spans="1:11" ht="13.8" x14ac:dyDescent="0.25">
      <c r="A15" s="47"/>
      <c r="B15" s="47"/>
      <c r="C15" s="47"/>
      <c r="D15" s="47"/>
      <c r="E15" s="47"/>
      <c r="F15" s="47"/>
      <c r="G15" s="47"/>
      <c r="H15" s="47"/>
      <c r="I15" s="47"/>
    </row>
    <row r="16" spans="1:11" ht="13.8" x14ac:dyDescent="0.25">
      <c r="A16" s="66" t="s">
        <v>43</v>
      </c>
      <c r="B16" s="67" t="s">
        <v>44</v>
      </c>
      <c r="C16" s="67" t="s">
        <v>45</v>
      </c>
      <c r="D16" s="67" t="s">
        <v>46</v>
      </c>
      <c r="E16" s="67" t="s">
        <v>47</v>
      </c>
      <c r="F16" s="67" t="s">
        <v>48</v>
      </c>
      <c r="G16" s="69" t="s">
        <v>27</v>
      </c>
      <c r="H16" s="130" t="s">
        <v>29</v>
      </c>
      <c r="I16" s="131"/>
      <c r="J16" s="131"/>
      <c r="K16" s="132"/>
    </row>
    <row r="17" spans="1:11" ht="13.8" x14ac:dyDescent="0.25">
      <c r="A17" s="31" t="s">
        <v>49</v>
      </c>
      <c r="B17" s="32">
        <f>COUNTIF(ItemDetail.Confidential!$U:$U,"Y")</f>
        <v>30</v>
      </c>
      <c r="C17" s="33">
        <f>D17/D19</f>
        <v>0.11243201425356339</v>
      </c>
      <c r="D17" s="22">
        <f>SUMIF(ItemDetail.Confidential!$U:$U,"Y",ItemDetail.Confidential!$H:$H)</f>
        <v>4316.3099999999995</v>
      </c>
      <c r="E17" s="22">
        <f>SUMIF(ItemDetail.Confidential!$U:$U,"Y",ItemDetail.Confidential!$N:$N)</f>
        <v>3288.87</v>
      </c>
      <c r="F17" s="34">
        <f>1-E17/D17</f>
        <v>0.23803665631059856</v>
      </c>
      <c r="G17" s="35">
        <f>D17-E17</f>
        <v>1027.4399999999996</v>
      </c>
      <c r="H17" s="25" t="s">
        <v>50</v>
      </c>
      <c r="I17" s="26"/>
      <c r="J17" s="26"/>
      <c r="K17" s="27"/>
    </row>
    <row r="18" spans="1:11" ht="13.8" x14ac:dyDescent="0.25">
      <c r="A18" s="36" t="s">
        <v>51</v>
      </c>
      <c r="B18" s="37">
        <f>COUNTIF(ItemDetail.Confidential!$U:$U,"No")</f>
        <v>162</v>
      </c>
      <c r="C18" s="38">
        <f>D18/D19</f>
        <v>0.88756798574643669</v>
      </c>
      <c r="D18" s="24">
        <f>SUMIF(ItemDetail.Confidential!$U:$U,"No",ItemDetail.Confidential!$H:$H)</f>
        <v>34074.089999999997</v>
      </c>
      <c r="E18" s="24">
        <f>SUMIF(ItemDetail.Confidential!$U:$U,"No",ItemDetail.Confidential!$N:$N)</f>
        <v>35168.379000000008</v>
      </c>
      <c r="F18" s="39">
        <f>1-E18/D18</f>
        <v>-3.2114988250603771E-2</v>
      </c>
      <c r="G18" s="40">
        <f>D18-E18</f>
        <v>-1094.2890000000116</v>
      </c>
      <c r="H18" s="28" t="s">
        <v>52</v>
      </c>
      <c r="I18" s="29"/>
      <c r="J18" s="29"/>
      <c r="K18" s="30"/>
    </row>
    <row r="19" spans="1:11" ht="13.8" x14ac:dyDescent="0.25">
      <c r="A19" s="70" t="s">
        <v>38</v>
      </c>
      <c r="B19" s="74">
        <f>SUM(B17:B18)</f>
        <v>192</v>
      </c>
      <c r="C19" s="75">
        <f t="shared" ref="C19:G19" si="1">SUM(C17:C18)</f>
        <v>1</v>
      </c>
      <c r="D19" s="76">
        <f t="shared" si="1"/>
        <v>38390.399999999994</v>
      </c>
      <c r="E19" s="76">
        <f t="shared" si="1"/>
        <v>38457.249000000011</v>
      </c>
      <c r="F19" s="77">
        <f>1-E19/D19</f>
        <v>-1.7412946986750111E-3</v>
      </c>
      <c r="G19" s="78">
        <f t="shared" si="1"/>
        <v>-66.849000000011984</v>
      </c>
    </row>
    <row r="21" spans="1:11" ht="13.8" x14ac:dyDescent="0.25">
      <c r="A21" s="61" t="s">
        <v>53</v>
      </c>
      <c r="B21" s="62" t="s">
        <v>54</v>
      </c>
      <c r="C21" s="62" t="s">
        <v>55</v>
      </c>
      <c r="D21" s="62" t="s">
        <v>56</v>
      </c>
      <c r="E21" s="62" t="s">
        <v>27</v>
      </c>
      <c r="F21" s="63" t="s">
        <v>48</v>
      </c>
      <c r="G21" s="65" t="s">
        <v>29</v>
      </c>
      <c r="H21" s="47"/>
    </row>
    <row r="22" spans="1:11" s="49" customFormat="1" ht="27.6" x14ac:dyDescent="0.3">
      <c r="A22" s="122" t="str">
        <f>D2</f>
        <v>Clark Reliance LLC</v>
      </c>
      <c r="B22" s="2">
        <f>C6</f>
        <v>38390.399999999994</v>
      </c>
      <c r="C22" s="2">
        <f>SUM(ItemDetail.Confidential!$P:$P)</f>
        <v>44180.150000000009</v>
      </c>
      <c r="D22" s="41">
        <f>SUM(ItemDetail.Confidential!$N:$N)</f>
        <v>38457.249000000003</v>
      </c>
      <c r="E22" s="2">
        <f>C22-D22</f>
        <v>5722.9010000000053</v>
      </c>
      <c r="F22" s="42">
        <f>E22/C22</f>
        <v>0.12953557197067017</v>
      </c>
      <c r="G22" s="16" t="s">
        <v>30</v>
      </c>
      <c r="H22" s="48"/>
    </row>
    <row r="23" spans="1:11" x14ac:dyDescent="0.25">
      <c r="A23" s="110"/>
    </row>
    <row r="24" spans="1:11" ht="15.6" x14ac:dyDescent="0.3">
      <c r="A24" s="52" t="s">
        <v>57</v>
      </c>
    </row>
    <row r="25" spans="1:11" ht="13.8" x14ac:dyDescent="0.25">
      <c r="A25" s="66" t="s">
        <v>58</v>
      </c>
      <c r="B25" s="79"/>
    </row>
    <row r="26" spans="1:11" x14ac:dyDescent="0.25">
      <c r="A26" s="54" t="s">
        <v>59</v>
      </c>
      <c r="B26" s="56">
        <v>0.04</v>
      </c>
    </row>
    <row r="27" spans="1:11" x14ac:dyDescent="0.25">
      <c r="A27" s="54" t="s">
        <v>60</v>
      </c>
      <c r="B27" s="54">
        <v>30</v>
      </c>
    </row>
    <row r="28" spans="1:11" x14ac:dyDescent="0.25">
      <c r="A28" s="54" t="s">
        <v>61</v>
      </c>
      <c r="B28" s="54">
        <v>60</v>
      </c>
    </row>
    <row r="29" spans="1:11" x14ac:dyDescent="0.25">
      <c r="A29" s="54" t="s">
        <v>62</v>
      </c>
      <c r="B29" s="54">
        <f>B26/365*(B28-B27)</f>
        <v>3.2876712328767125E-3</v>
      </c>
    </row>
    <row r="30" spans="1:11" x14ac:dyDescent="0.25">
      <c r="A30" s="54" t="s">
        <v>63</v>
      </c>
      <c r="B30" s="57">
        <f>B6</f>
        <v>40664.139999999992</v>
      </c>
    </row>
    <row r="31" spans="1:11" ht="13.8" x14ac:dyDescent="0.25">
      <c r="A31" s="53" t="s">
        <v>64</v>
      </c>
      <c r="B31" s="43">
        <f>B30*B29</f>
        <v>133.69032328767122</v>
      </c>
      <c r="C31" s="45" t="s">
        <v>65</v>
      </c>
    </row>
    <row r="33" spans="1:3" ht="13.8" x14ac:dyDescent="0.25">
      <c r="A33" s="66" t="s">
        <v>66</v>
      </c>
      <c r="B33" s="79"/>
    </row>
    <row r="34" spans="1:3" x14ac:dyDescent="0.25">
      <c r="A34" s="54" t="s">
        <v>67</v>
      </c>
      <c r="B34" s="58">
        <f>SUM('Preferred MFR'!B:B)</f>
        <v>1367.16</v>
      </c>
    </row>
    <row r="35" spans="1:3" x14ac:dyDescent="0.25">
      <c r="A35" s="54" t="s">
        <v>68</v>
      </c>
      <c r="B35" s="59" t="str">
        <f>"$"&amp;ROUND(B34*0.01,2)&amp;" to "&amp;"$"&amp;ROUND(B34*0.04,2)</f>
        <v>$13.67 to $54.69</v>
      </c>
    </row>
    <row r="36" spans="1:3" ht="13.8" x14ac:dyDescent="0.25">
      <c r="A36" s="53" t="s">
        <v>69</v>
      </c>
      <c r="B36" s="55">
        <f>ROUND(B34*0.025,2)</f>
        <v>34.18</v>
      </c>
      <c r="C36" s="45" t="s">
        <v>65</v>
      </c>
    </row>
    <row r="38" spans="1:3" ht="13.8" x14ac:dyDescent="0.25">
      <c r="A38" s="60" t="s">
        <v>70</v>
      </c>
    </row>
    <row r="39" spans="1:3" ht="13.8" x14ac:dyDescent="0.25">
      <c r="A39" s="47" t="s">
        <v>71</v>
      </c>
    </row>
    <row r="40" spans="1:3" ht="13.8" x14ac:dyDescent="0.25">
      <c r="A40" s="47" t="s">
        <v>72</v>
      </c>
    </row>
    <row r="41" spans="1:3" ht="13.8" x14ac:dyDescent="0.25">
      <c r="A41" s="47" t="s">
        <v>73</v>
      </c>
    </row>
    <row r="42" spans="1:3" ht="13.8" x14ac:dyDescent="0.25">
      <c r="A42" s="47" t="s">
        <v>74</v>
      </c>
    </row>
    <row r="43" spans="1:3" ht="13.8" x14ac:dyDescent="0.25">
      <c r="A43" s="47" t="s">
        <v>75</v>
      </c>
    </row>
    <row r="44" spans="1:3" ht="13.8" x14ac:dyDescent="0.25">
      <c r="A44" s="47" t="s">
        <v>76</v>
      </c>
    </row>
  </sheetData>
  <mergeCells count="1">
    <mergeCell ref="H16:K16"/>
  </mergeCells>
  <pageMargins left="0.7" right="0.7" top="0.75" bottom="0.75" header="0.3" footer="0.3"/>
  <pageSetup orientation="portrait" horizontalDpi="4294967295" verticalDpi="4294967295"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24A11-32CE-4928-9A3D-36E9E88618CC}">
  <sheetPr>
    <tabColor rgb="FF00B0F0"/>
  </sheetPr>
  <dimension ref="A1:K42"/>
  <sheetViews>
    <sheetView workbookViewId="0">
      <selection activeCell="C3" sqref="C3"/>
    </sheetView>
  </sheetViews>
  <sheetFormatPr defaultColWidth="9.109375" defaultRowHeight="13.2" x14ac:dyDescent="0.25"/>
  <cols>
    <col min="1" max="1" width="33" style="45" customWidth="1"/>
    <col min="2" max="2" width="20.109375" style="45" customWidth="1"/>
    <col min="3" max="3" width="15.109375" style="45" customWidth="1"/>
    <col min="4" max="4" width="15.33203125" style="45" bestFit="1" customWidth="1"/>
    <col min="5" max="5" width="15.6640625" style="45" customWidth="1"/>
    <col min="6" max="6" width="11.33203125" style="45" customWidth="1"/>
    <col min="7" max="7" width="14.33203125" style="45" customWidth="1"/>
    <col min="8" max="8" width="14.109375" style="45" bestFit="1" customWidth="1"/>
    <col min="9" max="9" width="11.33203125" style="45" customWidth="1"/>
    <col min="10" max="10" width="9.109375" style="45"/>
    <col min="11" max="11" width="18.88671875" style="45" customWidth="1"/>
    <col min="12" max="256" width="9.109375" style="45"/>
    <col min="257" max="257" width="29.88671875" style="45" customWidth="1"/>
    <col min="258" max="258" width="12.44140625" style="45" customWidth="1"/>
    <col min="259" max="259" width="15.109375" style="45" customWidth="1"/>
    <col min="260" max="260" width="14.33203125" style="45" customWidth="1"/>
    <col min="261" max="261" width="11.109375" style="45" customWidth="1"/>
    <col min="262" max="262" width="11.33203125" style="45" customWidth="1"/>
    <col min="263" max="263" width="13.44140625" style="45" customWidth="1"/>
    <col min="264" max="264" width="10.88671875" style="45" customWidth="1"/>
    <col min="265" max="265" width="11.33203125" style="45" customWidth="1"/>
    <col min="266" max="512" width="9.109375" style="45"/>
    <col min="513" max="513" width="29.88671875" style="45" customWidth="1"/>
    <col min="514" max="514" width="12.44140625" style="45" customWidth="1"/>
    <col min="515" max="515" width="15.109375" style="45" customWidth="1"/>
    <col min="516" max="516" width="14.33203125" style="45" customWidth="1"/>
    <col min="517" max="517" width="11.109375" style="45" customWidth="1"/>
    <col min="518" max="518" width="11.33203125" style="45" customWidth="1"/>
    <col min="519" max="519" width="13.44140625" style="45" customWidth="1"/>
    <col min="520" max="520" width="10.88671875" style="45" customWidth="1"/>
    <col min="521" max="521" width="11.33203125" style="45" customWidth="1"/>
    <col min="522" max="768" width="9.109375" style="45"/>
    <col min="769" max="769" width="29.88671875" style="45" customWidth="1"/>
    <col min="770" max="770" width="12.44140625" style="45" customWidth="1"/>
    <col min="771" max="771" width="15.109375" style="45" customWidth="1"/>
    <col min="772" max="772" width="14.33203125" style="45" customWidth="1"/>
    <col min="773" max="773" width="11.109375" style="45" customWidth="1"/>
    <col min="774" max="774" width="11.33203125" style="45" customWidth="1"/>
    <col min="775" max="775" width="13.44140625" style="45" customWidth="1"/>
    <col min="776" max="776" width="10.88671875" style="45" customWidth="1"/>
    <col min="777" max="777" width="11.33203125" style="45" customWidth="1"/>
    <col min="778" max="1024" width="9.109375" style="45"/>
    <col min="1025" max="1025" width="29.88671875" style="45" customWidth="1"/>
    <col min="1026" max="1026" width="12.44140625" style="45" customWidth="1"/>
    <col min="1027" max="1027" width="15.109375" style="45" customWidth="1"/>
    <col min="1028" max="1028" width="14.33203125" style="45" customWidth="1"/>
    <col min="1029" max="1029" width="11.109375" style="45" customWidth="1"/>
    <col min="1030" max="1030" width="11.33203125" style="45" customWidth="1"/>
    <col min="1031" max="1031" width="13.44140625" style="45" customWidth="1"/>
    <col min="1032" max="1032" width="10.88671875" style="45" customWidth="1"/>
    <col min="1033" max="1033" width="11.33203125" style="45" customWidth="1"/>
    <col min="1034" max="1280" width="9.109375" style="45"/>
    <col min="1281" max="1281" width="29.88671875" style="45" customWidth="1"/>
    <col min="1282" max="1282" width="12.44140625" style="45" customWidth="1"/>
    <col min="1283" max="1283" width="15.109375" style="45" customWidth="1"/>
    <col min="1284" max="1284" width="14.33203125" style="45" customWidth="1"/>
    <col min="1285" max="1285" width="11.109375" style="45" customWidth="1"/>
    <col min="1286" max="1286" width="11.33203125" style="45" customWidth="1"/>
    <col min="1287" max="1287" width="13.44140625" style="45" customWidth="1"/>
    <col min="1288" max="1288" width="10.88671875" style="45" customWidth="1"/>
    <col min="1289" max="1289" width="11.33203125" style="45" customWidth="1"/>
    <col min="1290" max="1536" width="9.109375" style="45"/>
    <col min="1537" max="1537" width="29.88671875" style="45" customWidth="1"/>
    <col min="1538" max="1538" width="12.44140625" style="45" customWidth="1"/>
    <col min="1539" max="1539" width="15.109375" style="45" customWidth="1"/>
    <col min="1540" max="1540" width="14.33203125" style="45" customWidth="1"/>
    <col min="1541" max="1541" width="11.109375" style="45" customWidth="1"/>
    <col min="1542" max="1542" width="11.33203125" style="45" customWidth="1"/>
    <col min="1543" max="1543" width="13.44140625" style="45" customWidth="1"/>
    <col min="1544" max="1544" width="10.88671875" style="45" customWidth="1"/>
    <col min="1545" max="1545" width="11.33203125" style="45" customWidth="1"/>
    <col min="1546" max="1792" width="9.109375" style="45"/>
    <col min="1793" max="1793" width="29.88671875" style="45" customWidth="1"/>
    <col min="1794" max="1794" width="12.44140625" style="45" customWidth="1"/>
    <col min="1795" max="1795" width="15.109375" style="45" customWidth="1"/>
    <col min="1796" max="1796" width="14.33203125" style="45" customWidth="1"/>
    <col min="1797" max="1797" width="11.109375" style="45" customWidth="1"/>
    <col min="1798" max="1798" width="11.33203125" style="45" customWidth="1"/>
    <col min="1799" max="1799" width="13.44140625" style="45" customWidth="1"/>
    <col min="1800" max="1800" width="10.88671875" style="45" customWidth="1"/>
    <col min="1801" max="1801" width="11.33203125" style="45" customWidth="1"/>
    <col min="1802" max="2048" width="9.109375" style="45"/>
    <col min="2049" max="2049" width="29.88671875" style="45" customWidth="1"/>
    <col min="2050" max="2050" width="12.44140625" style="45" customWidth="1"/>
    <col min="2051" max="2051" width="15.109375" style="45" customWidth="1"/>
    <col min="2052" max="2052" width="14.33203125" style="45" customWidth="1"/>
    <col min="2053" max="2053" width="11.109375" style="45" customWidth="1"/>
    <col min="2054" max="2054" width="11.33203125" style="45" customWidth="1"/>
    <col min="2055" max="2055" width="13.44140625" style="45" customWidth="1"/>
    <col min="2056" max="2056" width="10.88671875" style="45" customWidth="1"/>
    <col min="2057" max="2057" width="11.33203125" style="45" customWidth="1"/>
    <col min="2058" max="2304" width="9.109375" style="45"/>
    <col min="2305" max="2305" width="29.88671875" style="45" customWidth="1"/>
    <col min="2306" max="2306" width="12.44140625" style="45" customWidth="1"/>
    <col min="2307" max="2307" width="15.109375" style="45" customWidth="1"/>
    <col min="2308" max="2308" width="14.33203125" style="45" customWidth="1"/>
    <col min="2309" max="2309" width="11.109375" style="45" customWidth="1"/>
    <col min="2310" max="2310" width="11.33203125" style="45" customWidth="1"/>
    <col min="2311" max="2311" width="13.44140625" style="45" customWidth="1"/>
    <col min="2312" max="2312" width="10.88671875" style="45" customWidth="1"/>
    <col min="2313" max="2313" width="11.33203125" style="45" customWidth="1"/>
    <col min="2314" max="2560" width="9.109375" style="45"/>
    <col min="2561" max="2561" width="29.88671875" style="45" customWidth="1"/>
    <col min="2562" max="2562" width="12.44140625" style="45" customWidth="1"/>
    <col min="2563" max="2563" width="15.109375" style="45" customWidth="1"/>
    <col min="2564" max="2564" width="14.33203125" style="45" customWidth="1"/>
    <col min="2565" max="2565" width="11.109375" style="45" customWidth="1"/>
    <col min="2566" max="2566" width="11.33203125" style="45" customWidth="1"/>
    <col min="2567" max="2567" width="13.44140625" style="45" customWidth="1"/>
    <col min="2568" max="2568" width="10.88671875" style="45" customWidth="1"/>
    <col min="2569" max="2569" width="11.33203125" style="45" customWidth="1"/>
    <col min="2570" max="2816" width="9.109375" style="45"/>
    <col min="2817" max="2817" width="29.88671875" style="45" customWidth="1"/>
    <col min="2818" max="2818" width="12.44140625" style="45" customWidth="1"/>
    <col min="2819" max="2819" width="15.109375" style="45" customWidth="1"/>
    <col min="2820" max="2820" width="14.33203125" style="45" customWidth="1"/>
    <col min="2821" max="2821" width="11.109375" style="45" customWidth="1"/>
    <col min="2822" max="2822" width="11.33203125" style="45" customWidth="1"/>
    <col min="2823" max="2823" width="13.44140625" style="45" customWidth="1"/>
    <col min="2824" max="2824" width="10.88671875" style="45" customWidth="1"/>
    <col min="2825" max="2825" width="11.33203125" style="45" customWidth="1"/>
    <col min="2826" max="3072" width="9.109375" style="45"/>
    <col min="3073" max="3073" width="29.88671875" style="45" customWidth="1"/>
    <col min="3074" max="3074" width="12.44140625" style="45" customWidth="1"/>
    <col min="3075" max="3075" width="15.109375" style="45" customWidth="1"/>
    <col min="3076" max="3076" width="14.33203125" style="45" customWidth="1"/>
    <col min="3077" max="3077" width="11.109375" style="45" customWidth="1"/>
    <col min="3078" max="3078" width="11.33203125" style="45" customWidth="1"/>
    <col min="3079" max="3079" width="13.44140625" style="45" customWidth="1"/>
    <col min="3080" max="3080" width="10.88671875" style="45" customWidth="1"/>
    <col min="3081" max="3081" width="11.33203125" style="45" customWidth="1"/>
    <col min="3082" max="3328" width="9.109375" style="45"/>
    <col min="3329" max="3329" width="29.88671875" style="45" customWidth="1"/>
    <col min="3330" max="3330" width="12.44140625" style="45" customWidth="1"/>
    <col min="3331" max="3331" width="15.109375" style="45" customWidth="1"/>
    <col min="3332" max="3332" width="14.33203125" style="45" customWidth="1"/>
    <col min="3333" max="3333" width="11.109375" style="45" customWidth="1"/>
    <col min="3334" max="3334" width="11.33203125" style="45" customWidth="1"/>
    <col min="3335" max="3335" width="13.44140625" style="45" customWidth="1"/>
    <col min="3336" max="3336" width="10.88671875" style="45" customWidth="1"/>
    <col min="3337" max="3337" width="11.33203125" style="45" customWidth="1"/>
    <col min="3338" max="3584" width="9.109375" style="45"/>
    <col min="3585" max="3585" width="29.88671875" style="45" customWidth="1"/>
    <col min="3586" max="3586" width="12.44140625" style="45" customWidth="1"/>
    <col min="3587" max="3587" width="15.109375" style="45" customWidth="1"/>
    <col min="3588" max="3588" width="14.33203125" style="45" customWidth="1"/>
    <col min="3589" max="3589" width="11.109375" style="45" customWidth="1"/>
    <col min="3590" max="3590" width="11.33203125" style="45" customWidth="1"/>
    <col min="3591" max="3591" width="13.44140625" style="45" customWidth="1"/>
    <col min="3592" max="3592" width="10.88671875" style="45" customWidth="1"/>
    <col min="3593" max="3593" width="11.33203125" style="45" customWidth="1"/>
    <col min="3594" max="3840" width="9.109375" style="45"/>
    <col min="3841" max="3841" width="29.88671875" style="45" customWidth="1"/>
    <col min="3842" max="3842" width="12.44140625" style="45" customWidth="1"/>
    <col min="3843" max="3843" width="15.109375" style="45" customWidth="1"/>
    <col min="3844" max="3844" width="14.33203125" style="45" customWidth="1"/>
    <col min="3845" max="3845" width="11.109375" style="45" customWidth="1"/>
    <col min="3846" max="3846" width="11.33203125" style="45" customWidth="1"/>
    <col min="3847" max="3847" width="13.44140625" style="45" customWidth="1"/>
    <col min="3848" max="3848" width="10.88671875" style="45" customWidth="1"/>
    <col min="3849" max="3849" width="11.33203125" style="45" customWidth="1"/>
    <col min="3850" max="4096" width="9.109375" style="45"/>
    <col min="4097" max="4097" width="29.88671875" style="45" customWidth="1"/>
    <col min="4098" max="4098" width="12.44140625" style="45" customWidth="1"/>
    <col min="4099" max="4099" width="15.109375" style="45" customWidth="1"/>
    <col min="4100" max="4100" width="14.33203125" style="45" customWidth="1"/>
    <col min="4101" max="4101" width="11.109375" style="45" customWidth="1"/>
    <col min="4102" max="4102" width="11.33203125" style="45" customWidth="1"/>
    <col min="4103" max="4103" width="13.44140625" style="45" customWidth="1"/>
    <col min="4104" max="4104" width="10.88671875" style="45" customWidth="1"/>
    <col min="4105" max="4105" width="11.33203125" style="45" customWidth="1"/>
    <col min="4106" max="4352" width="9.109375" style="45"/>
    <col min="4353" max="4353" width="29.88671875" style="45" customWidth="1"/>
    <col min="4354" max="4354" width="12.44140625" style="45" customWidth="1"/>
    <col min="4355" max="4355" width="15.109375" style="45" customWidth="1"/>
    <col min="4356" max="4356" width="14.33203125" style="45" customWidth="1"/>
    <col min="4357" max="4357" width="11.109375" style="45" customWidth="1"/>
    <col min="4358" max="4358" width="11.33203125" style="45" customWidth="1"/>
    <col min="4359" max="4359" width="13.44140625" style="45" customWidth="1"/>
    <col min="4360" max="4360" width="10.88671875" style="45" customWidth="1"/>
    <col min="4361" max="4361" width="11.33203125" style="45" customWidth="1"/>
    <col min="4362" max="4608" width="9.109375" style="45"/>
    <col min="4609" max="4609" width="29.88671875" style="45" customWidth="1"/>
    <col min="4610" max="4610" width="12.44140625" style="45" customWidth="1"/>
    <col min="4611" max="4611" width="15.109375" style="45" customWidth="1"/>
    <col min="4612" max="4612" width="14.33203125" style="45" customWidth="1"/>
    <col min="4613" max="4613" width="11.109375" style="45" customWidth="1"/>
    <col min="4614" max="4614" width="11.33203125" style="45" customWidth="1"/>
    <col min="4615" max="4615" width="13.44140625" style="45" customWidth="1"/>
    <col min="4616" max="4616" width="10.88671875" style="45" customWidth="1"/>
    <col min="4617" max="4617" width="11.33203125" style="45" customWidth="1"/>
    <col min="4618" max="4864" width="9.109375" style="45"/>
    <col min="4865" max="4865" width="29.88671875" style="45" customWidth="1"/>
    <col min="4866" max="4866" width="12.44140625" style="45" customWidth="1"/>
    <col min="4867" max="4867" width="15.109375" style="45" customWidth="1"/>
    <col min="4868" max="4868" width="14.33203125" style="45" customWidth="1"/>
    <col min="4869" max="4869" width="11.109375" style="45" customWidth="1"/>
    <col min="4870" max="4870" width="11.33203125" style="45" customWidth="1"/>
    <col min="4871" max="4871" width="13.44140625" style="45" customWidth="1"/>
    <col min="4872" max="4872" width="10.88671875" style="45" customWidth="1"/>
    <col min="4873" max="4873" width="11.33203125" style="45" customWidth="1"/>
    <col min="4874" max="5120" width="9.109375" style="45"/>
    <col min="5121" max="5121" width="29.88671875" style="45" customWidth="1"/>
    <col min="5122" max="5122" width="12.44140625" style="45" customWidth="1"/>
    <col min="5123" max="5123" width="15.109375" style="45" customWidth="1"/>
    <col min="5124" max="5124" width="14.33203125" style="45" customWidth="1"/>
    <col min="5125" max="5125" width="11.109375" style="45" customWidth="1"/>
    <col min="5126" max="5126" width="11.33203125" style="45" customWidth="1"/>
    <col min="5127" max="5127" width="13.44140625" style="45" customWidth="1"/>
    <col min="5128" max="5128" width="10.88671875" style="45" customWidth="1"/>
    <col min="5129" max="5129" width="11.33203125" style="45" customWidth="1"/>
    <col min="5130" max="5376" width="9.109375" style="45"/>
    <col min="5377" max="5377" width="29.88671875" style="45" customWidth="1"/>
    <col min="5378" max="5378" width="12.44140625" style="45" customWidth="1"/>
    <col min="5379" max="5379" width="15.109375" style="45" customWidth="1"/>
    <col min="5380" max="5380" width="14.33203125" style="45" customWidth="1"/>
    <col min="5381" max="5381" width="11.109375" style="45" customWidth="1"/>
    <col min="5382" max="5382" width="11.33203125" style="45" customWidth="1"/>
    <col min="5383" max="5383" width="13.44140625" style="45" customWidth="1"/>
    <col min="5384" max="5384" width="10.88671875" style="45" customWidth="1"/>
    <col min="5385" max="5385" width="11.33203125" style="45" customWidth="1"/>
    <col min="5386" max="5632" width="9.109375" style="45"/>
    <col min="5633" max="5633" width="29.88671875" style="45" customWidth="1"/>
    <col min="5634" max="5634" width="12.44140625" style="45" customWidth="1"/>
    <col min="5635" max="5635" width="15.109375" style="45" customWidth="1"/>
    <col min="5636" max="5636" width="14.33203125" style="45" customWidth="1"/>
    <col min="5637" max="5637" width="11.109375" style="45" customWidth="1"/>
    <col min="5638" max="5638" width="11.33203125" style="45" customWidth="1"/>
    <col min="5639" max="5639" width="13.44140625" style="45" customWidth="1"/>
    <col min="5640" max="5640" width="10.88671875" style="45" customWidth="1"/>
    <col min="5641" max="5641" width="11.33203125" style="45" customWidth="1"/>
    <col min="5642" max="5888" width="9.109375" style="45"/>
    <col min="5889" max="5889" width="29.88671875" style="45" customWidth="1"/>
    <col min="5890" max="5890" width="12.44140625" style="45" customWidth="1"/>
    <col min="5891" max="5891" width="15.109375" style="45" customWidth="1"/>
    <col min="5892" max="5892" width="14.33203125" style="45" customWidth="1"/>
    <col min="5893" max="5893" width="11.109375" style="45" customWidth="1"/>
    <col min="5894" max="5894" width="11.33203125" style="45" customWidth="1"/>
    <col min="5895" max="5895" width="13.44140625" style="45" customWidth="1"/>
    <col min="5896" max="5896" width="10.88671875" style="45" customWidth="1"/>
    <col min="5897" max="5897" width="11.33203125" style="45" customWidth="1"/>
    <col min="5898" max="6144" width="9.109375" style="45"/>
    <col min="6145" max="6145" width="29.88671875" style="45" customWidth="1"/>
    <col min="6146" max="6146" width="12.44140625" style="45" customWidth="1"/>
    <col min="6147" max="6147" width="15.109375" style="45" customWidth="1"/>
    <col min="6148" max="6148" width="14.33203125" style="45" customWidth="1"/>
    <col min="6149" max="6149" width="11.109375" style="45" customWidth="1"/>
    <col min="6150" max="6150" width="11.33203125" style="45" customWidth="1"/>
    <col min="6151" max="6151" width="13.44140625" style="45" customWidth="1"/>
    <col min="6152" max="6152" width="10.88671875" style="45" customWidth="1"/>
    <col min="6153" max="6153" width="11.33203125" style="45" customWidth="1"/>
    <col min="6154" max="6400" width="9.109375" style="45"/>
    <col min="6401" max="6401" width="29.88671875" style="45" customWidth="1"/>
    <col min="6402" max="6402" width="12.44140625" style="45" customWidth="1"/>
    <col min="6403" max="6403" width="15.109375" style="45" customWidth="1"/>
    <col min="6404" max="6404" width="14.33203125" style="45" customWidth="1"/>
    <col min="6405" max="6405" width="11.109375" style="45" customWidth="1"/>
    <col min="6406" max="6406" width="11.33203125" style="45" customWidth="1"/>
    <col min="6407" max="6407" width="13.44140625" style="45" customWidth="1"/>
    <col min="6408" max="6408" width="10.88671875" style="45" customWidth="1"/>
    <col min="6409" max="6409" width="11.33203125" style="45" customWidth="1"/>
    <col min="6410" max="6656" width="9.109375" style="45"/>
    <col min="6657" max="6657" width="29.88671875" style="45" customWidth="1"/>
    <col min="6658" max="6658" width="12.44140625" style="45" customWidth="1"/>
    <col min="6659" max="6659" width="15.109375" style="45" customWidth="1"/>
    <col min="6660" max="6660" width="14.33203125" style="45" customWidth="1"/>
    <col min="6661" max="6661" width="11.109375" style="45" customWidth="1"/>
    <col min="6662" max="6662" width="11.33203125" style="45" customWidth="1"/>
    <col min="6663" max="6663" width="13.44140625" style="45" customWidth="1"/>
    <col min="6664" max="6664" width="10.88671875" style="45" customWidth="1"/>
    <col min="6665" max="6665" width="11.33203125" style="45" customWidth="1"/>
    <col min="6666" max="6912" width="9.109375" style="45"/>
    <col min="6913" max="6913" width="29.88671875" style="45" customWidth="1"/>
    <col min="6914" max="6914" width="12.44140625" style="45" customWidth="1"/>
    <col min="6915" max="6915" width="15.109375" style="45" customWidth="1"/>
    <col min="6916" max="6916" width="14.33203125" style="45" customWidth="1"/>
    <col min="6917" max="6917" width="11.109375" style="45" customWidth="1"/>
    <col min="6918" max="6918" width="11.33203125" style="45" customWidth="1"/>
    <col min="6919" max="6919" width="13.44140625" style="45" customWidth="1"/>
    <col min="6920" max="6920" width="10.88671875" style="45" customWidth="1"/>
    <col min="6921" max="6921" width="11.33203125" style="45" customWidth="1"/>
    <col min="6922" max="7168" width="9.109375" style="45"/>
    <col min="7169" max="7169" width="29.88671875" style="45" customWidth="1"/>
    <col min="7170" max="7170" width="12.44140625" style="45" customWidth="1"/>
    <col min="7171" max="7171" width="15.109375" style="45" customWidth="1"/>
    <col min="7172" max="7172" width="14.33203125" style="45" customWidth="1"/>
    <col min="7173" max="7173" width="11.109375" style="45" customWidth="1"/>
    <col min="7174" max="7174" width="11.33203125" style="45" customWidth="1"/>
    <col min="7175" max="7175" width="13.44140625" style="45" customWidth="1"/>
    <col min="7176" max="7176" width="10.88671875" style="45" customWidth="1"/>
    <col min="7177" max="7177" width="11.33203125" style="45" customWidth="1"/>
    <col min="7178" max="7424" width="9.109375" style="45"/>
    <col min="7425" max="7425" width="29.88671875" style="45" customWidth="1"/>
    <col min="7426" max="7426" width="12.44140625" style="45" customWidth="1"/>
    <col min="7427" max="7427" width="15.109375" style="45" customWidth="1"/>
    <col min="7428" max="7428" width="14.33203125" style="45" customWidth="1"/>
    <col min="7429" max="7429" width="11.109375" style="45" customWidth="1"/>
    <col min="7430" max="7430" width="11.33203125" style="45" customWidth="1"/>
    <col min="7431" max="7431" width="13.44140625" style="45" customWidth="1"/>
    <col min="7432" max="7432" width="10.88671875" style="45" customWidth="1"/>
    <col min="7433" max="7433" width="11.33203125" style="45" customWidth="1"/>
    <col min="7434" max="7680" width="9.109375" style="45"/>
    <col min="7681" max="7681" width="29.88671875" style="45" customWidth="1"/>
    <col min="7682" max="7682" width="12.44140625" style="45" customWidth="1"/>
    <col min="7683" max="7683" width="15.109375" style="45" customWidth="1"/>
    <col min="7684" max="7684" width="14.33203125" style="45" customWidth="1"/>
    <col min="7685" max="7685" width="11.109375" style="45" customWidth="1"/>
    <col min="7686" max="7686" width="11.33203125" style="45" customWidth="1"/>
    <col min="7687" max="7687" width="13.44140625" style="45" customWidth="1"/>
    <col min="7688" max="7688" width="10.88671875" style="45" customWidth="1"/>
    <col min="7689" max="7689" width="11.33203125" style="45" customWidth="1"/>
    <col min="7690" max="7936" width="9.109375" style="45"/>
    <col min="7937" max="7937" width="29.88671875" style="45" customWidth="1"/>
    <col min="7938" max="7938" width="12.44140625" style="45" customWidth="1"/>
    <col min="7939" max="7939" width="15.109375" style="45" customWidth="1"/>
    <col min="7940" max="7940" width="14.33203125" style="45" customWidth="1"/>
    <col min="7941" max="7941" width="11.109375" style="45" customWidth="1"/>
    <col min="7942" max="7942" width="11.33203125" style="45" customWidth="1"/>
    <col min="7943" max="7943" width="13.44140625" style="45" customWidth="1"/>
    <col min="7944" max="7944" width="10.88671875" style="45" customWidth="1"/>
    <col min="7945" max="7945" width="11.33203125" style="45" customWidth="1"/>
    <col min="7946" max="8192" width="9.109375" style="45"/>
    <col min="8193" max="8193" width="29.88671875" style="45" customWidth="1"/>
    <col min="8194" max="8194" width="12.44140625" style="45" customWidth="1"/>
    <col min="8195" max="8195" width="15.109375" style="45" customWidth="1"/>
    <col min="8196" max="8196" width="14.33203125" style="45" customWidth="1"/>
    <col min="8197" max="8197" width="11.109375" style="45" customWidth="1"/>
    <col min="8198" max="8198" width="11.33203125" style="45" customWidth="1"/>
    <col min="8199" max="8199" width="13.44140625" style="45" customWidth="1"/>
    <col min="8200" max="8200" width="10.88671875" style="45" customWidth="1"/>
    <col min="8201" max="8201" width="11.33203125" style="45" customWidth="1"/>
    <col min="8202" max="8448" width="9.109375" style="45"/>
    <col min="8449" max="8449" width="29.88671875" style="45" customWidth="1"/>
    <col min="8450" max="8450" width="12.44140625" style="45" customWidth="1"/>
    <col min="8451" max="8451" width="15.109375" style="45" customWidth="1"/>
    <col min="8452" max="8452" width="14.33203125" style="45" customWidth="1"/>
    <col min="8453" max="8453" width="11.109375" style="45" customWidth="1"/>
    <col min="8454" max="8454" width="11.33203125" style="45" customWidth="1"/>
    <col min="8455" max="8455" width="13.44140625" style="45" customWidth="1"/>
    <col min="8456" max="8456" width="10.88671875" style="45" customWidth="1"/>
    <col min="8457" max="8457" width="11.33203125" style="45" customWidth="1"/>
    <col min="8458" max="8704" width="9.109375" style="45"/>
    <col min="8705" max="8705" width="29.88671875" style="45" customWidth="1"/>
    <col min="8706" max="8706" width="12.44140625" style="45" customWidth="1"/>
    <col min="8707" max="8707" width="15.109375" style="45" customWidth="1"/>
    <col min="8708" max="8708" width="14.33203125" style="45" customWidth="1"/>
    <col min="8709" max="8709" width="11.109375" style="45" customWidth="1"/>
    <col min="8710" max="8710" width="11.33203125" style="45" customWidth="1"/>
    <col min="8711" max="8711" width="13.44140625" style="45" customWidth="1"/>
    <col min="8712" max="8712" width="10.88671875" style="45" customWidth="1"/>
    <col min="8713" max="8713" width="11.33203125" style="45" customWidth="1"/>
    <col min="8714" max="8960" width="9.109375" style="45"/>
    <col min="8961" max="8961" width="29.88671875" style="45" customWidth="1"/>
    <col min="8962" max="8962" width="12.44140625" style="45" customWidth="1"/>
    <col min="8963" max="8963" width="15.109375" style="45" customWidth="1"/>
    <col min="8964" max="8964" width="14.33203125" style="45" customWidth="1"/>
    <col min="8965" max="8965" width="11.109375" style="45" customWidth="1"/>
    <col min="8966" max="8966" width="11.33203125" style="45" customWidth="1"/>
    <col min="8967" max="8967" width="13.44140625" style="45" customWidth="1"/>
    <col min="8968" max="8968" width="10.88671875" style="45" customWidth="1"/>
    <col min="8969" max="8969" width="11.33203125" style="45" customWidth="1"/>
    <col min="8970" max="9216" width="9.109375" style="45"/>
    <col min="9217" max="9217" width="29.88671875" style="45" customWidth="1"/>
    <col min="9218" max="9218" width="12.44140625" style="45" customWidth="1"/>
    <col min="9219" max="9219" width="15.109375" style="45" customWidth="1"/>
    <col min="9220" max="9220" width="14.33203125" style="45" customWidth="1"/>
    <col min="9221" max="9221" width="11.109375" style="45" customWidth="1"/>
    <col min="9222" max="9222" width="11.33203125" style="45" customWidth="1"/>
    <col min="9223" max="9223" width="13.44140625" style="45" customWidth="1"/>
    <col min="9224" max="9224" width="10.88671875" style="45" customWidth="1"/>
    <col min="9225" max="9225" width="11.33203125" style="45" customWidth="1"/>
    <col min="9226" max="9472" width="9.109375" style="45"/>
    <col min="9473" max="9473" width="29.88671875" style="45" customWidth="1"/>
    <col min="9474" max="9474" width="12.44140625" style="45" customWidth="1"/>
    <col min="9475" max="9475" width="15.109375" style="45" customWidth="1"/>
    <col min="9476" max="9476" width="14.33203125" style="45" customWidth="1"/>
    <col min="9477" max="9477" width="11.109375" style="45" customWidth="1"/>
    <col min="9478" max="9478" width="11.33203125" style="45" customWidth="1"/>
    <col min="9479" max="9479" width="13.44140625" style="45" customWidth="1"/>
    <col min="9480" max="9480" width="10.88671875" style="45" customWidth="1"/>
    <col min="9481" max="9481" width="11.33203125" style="45" customWidth="1"/>
    <col min="9482" max="9728" width="9.109375" style="45"/>
    <col min="9729" max="9729" width="29.88671875" style="45" customWidth="1"/>
    <col min="9730" max="9730" width="12.44140625" style="45" customWidth="1"/>
    <col min="9731" max="9731" width="15.109375" style="45" customWidth="1"/>
    <col min="9732" max="9732" width="14.33203125" style="45" customWidth="1"/>
    <col min="9733" max="9733" width="11.109375" style="45" customWidth="1"/>
    <col min="9734" max="9734" width="11.33203125" style="45" customWidth="1"/>
    <col min="9735" max="9735" width="13.44140625" style="45" customWidth="1"/>
    <col min="9736" max="9736" width="10.88671875" style="45" customWidth="1"/>
    <col min="9737" max="9737" width="11.33203125" style="45" customWidth="1"/>
    <col min="9738" max="9984" width="9.109375" style="45"/>
    <col min="9985" max="9985" width="29.88671875" style="45" customWidth="1"/>
    <col min="9986" max="9986" width="12.44140625" style="45" customWidth="1"/>
    <col min="9987" max="9987" width="15.109375" style="45" customWidth="1"/>
    <col min="9988" max="9988" width="14.33203125" style="45" customWidth="1"/>
    <col min="9989" max="9989" width="11.109375" style="45" customWidth="1"/>
    <col min="9990" max="9990" width="11.33203125" style="45" customWidth="1"/>
    <col min="9991" max="9991" width="13.44140625" style="45" customWidth="1"/>
    <col min="9992" max="9992" width="10.88671875" style="45" customWidth="1"/>
    <col min="9993" max="9993" width="11.33203125" style="45" customWidth="1"/>
    <col min="9994" max="10240" width="9.109375" style="45"/>
    <col min="10241" max="10241" width="29.88671875" style="45" customWidth="1"/>
    <col min="10242" max="10242" width="12.44140625" style="45" customWidth="1"/>
    <col min="10243" max="10243" width="15.109375" style="45" customWidth="1"/>
    <col min="10244" max="10244" width="14.33203125" style="45" customWidth="1"/>
    <col min="10245" max="10245" width="11.109375" style="45" customWidth="1"/>
    <col min="10246" max="10246" width="11.33203125" style="45" customWidth="1"/>
    <col min="10247" max="10247" width="13.44140625" style="45" customWidth="1"/>
    <col min="10248" max="10248" width="10.88671875" style="45" customWidth="1"/>
    <col min="10249" max="10249" width="11.33203125" style="45" customWidth="1"/>
    <col min="10250" max="10496" width="9.109375" style="45"/>
    <col min="10497" max="10497" width="29.88671875" style="45" customWidth="1"/>
    <col min="10498" max="10498" width="12.44140625" style="45" customWidth="1"/>
    <col min="10499" max="10499" width="15.109375" style="45" customWidth="1"/>
    <col min="10500" max="10500" width="14.33203125" style="45" customWidth="1"/>
    <col min="10501" max="10501" width="11.109375" style="45" customWidth="1"/>
    <col min="10502" max="10502" width="11.33203125" style="45" customWidth="1"/>
    <col min="10503" max="10503" width="13.44140625" style="45" customWidth="1"/>
    <col min="10504" max="10504" width="10.88671875" style="45" customWidth="1"/>
    <col min="10505" max="10505" width="11.33203125" style="45" customWidth="1"/>
    <col min="10506" max="10752" width="9.109375" style="45"/>
    <col min="10753" max="10753" width="29.88671875" style="45" customWidth="1"/>
    <col min="10754" max="10754" width="12.44140625" style="45" customWidth="1"/>
    <col min="10755" max="10755" width="15.109375" style="45" customWidth="1"/>
    <col min="10756" max="10756" width="14.33203125" style="45" customWidth="1"/>
    <col min="10757" max="10757" width="11.109375" style="45" customWidth="1"/>
    <col min="10758" max="10758" width="11.33203125" style="45" customWidth="1"/>
    <col min="10759" max="10759" width="13.44140625" style="45" customWidth="1"/>
    <col min="10760" max="10760" width="10.88671875" style="45" customWidth="1"/>
    <col min="10761" max="10761" width="11.33203125" style="45" customWidth="1"/>
    <col min="10762" max="11008" width="9.109375" style="45"/>
    <col min="11009" max="11009" width="29.88671875" style="45" customWidth="1"/>
    <col min="11010" max="11010" width="12.44140625" style="45" customWidth="1"/>
    <col min="11011" max="11011" width="15.109375" style="45" customWidth="1"/>
    <col min="11012" max="11012" width="14.33203125" style="45" customWidth="1"/>
    <col min="11013" max="11013" width="11.109375" style="45" customWidth="1"/>
    <col min="11014" max="11014" width="11.33203125" style="45" customWidth="1"/>
    <col min="11015" max="11015" width="13.44140625" style="45" customWidth="1"/>
    <col min="11016" max="11016" width="10.88671875" style="45" customWidth="1"/>
    <col min="11017" max="11017" width="11.33203125" style="45" customWidth="1"/>
    <col min="11018" max="11264" width="9.109375" style="45"/>
    <col min="11265" max="11265" width="29.88671875" style="45" customWidth="1"/>
    <col min="11266" max="11266" width="12.44140625" style="45" customWidth="1"/>
    <col min="11267" max="11267" width="15.109375" style="45" customWidth="1"/>
    <col min="11268" max="11268" width="14.33203125" style="45" customWidth="1"/>
    <col min="11269" max="11269" width="11.109375" style="45" customWidth="1"/>
    <col min="11270" max="11270" width="11.33203125" style="45" customWidth="1"/>
    <col min="11271" max="11271" width="13.44140625" style="45" customWidth="1"/>
    <col min="11272" max="11272" width="10.88671875" style="45" customWidth="1"/>
    <col min="11273" max="11273" width="11.33203125" style="45" customWidth="1"/>
    <col min="11274" max="11520" width="9.109375" style="45"/>
    <col min="11521" max="11521" width="29.88671875" style="45" customWidth="1"/>
    <col min="11522" max="11522" width="12.44140625" style="45" customWidth="1"/>
    <col min="11523" max="11523" width="15.109375" style="45" customWidth="1"/>
    <col min="11524" max="11524" width="14.33203125" style="45" customWidth="1"/>
    <col min="11525" max="11525" width="11.109375" style="45" customWidth="1"/>
    <col min="11526" max="11526" width="11.33203125" style="45" customWidth="1"/>
    <col min="11527" max="11527" width="13.44140625" style="45" customWidth="1"/>
    <col min="11528" max="11528" width="10.88671875" style="45" customWidth="1"/>
    <col min="11529" max="11529" width="11.33203125" style="45" customWidth="1"/>
    <col min="11530" max="11776" width="9.109375" style="45"/>
    <col min="11777" max="11777" width="29.88671875" style="45" customWidth="1"/>
    <col min="11778" max="11778" width="12.44140625" style="45" customWidth="1"/>
    <col min="11779" max="11779" width="15.109375" style="45" customWidth="1"/>
    <col min="11780" max="11780" width="14.33203125" style="45" customWidth="1"/>
    <col min="11781" max="11781" width="11.109375" style="45" customWidth="1"/>
    <col min="11782" max="11782" width="11.33203125" style="45" customWidth="1"/>
    <col min="11783" max="11783" width="13.44140625" style="45" customWidth="1"/>
    <col min="11784" max="11784" width="10.88671875" style="45" customWidth="1"/>
    <col min="11785" max="11785" width="11.33203125" style="45" customWidth="1"/>
    <col min="11786" max="12032" width="9.109375" style="45"/>
    <col min="12033" max="12033" width="29.88671875" style="45" customWidth="1"/>
    <col min="12034" max="12034" width="12.44140625" style="45" customWidth="1"/>
    <col min="12035" max="12035" width="15.109375" style="45" customWidth="1"/>
    <col min="12036" max="12036" width="14.33203125" style="45" customWidth="1"/>
    <col min="12037" max="12037" width="11.109375" style="45" customWidth="1"/>
    <col min="12038" max="12038" width="11.33203125" style="45" customWidth="1"/>
    <col min="12039" max="12039" width="13.44140625" style="45" customWidth="1"/>
    <col min="12040" max="12040" width="10.88671875" style="45" customWidth="1"/>
    <col min="12041" max="12041" width="11.33203125" style="45" customWidth="1"/>
    <col min="12042" max="12288" width="9.109375" style="45"/>
    <col min="12289" max="12289" width="29.88671875" style="45" customWidth="1"/>
    <col min="12290" max="12290" width="12.44140625" style="45" customWidth="1"/>
    <col min="12291" max="12291" width="15.109375" style="45" customWidth="1"/>
    <col min="12292" max="12292" width="14.33203125" style="45" customWidth="1"/>
    <col min="12293" max="12293" width="11.109375" style="45" customWidth="1"/>
    <col min="12294" max="12294" width="11.33203125" style="45" customWidth="1"/>
    <col min="12295" max="12295" width="13.44140625" style="45" customWidth="1"/>
    <col min="12296" max="12296" width="10.88671875" style="45" customWidth="1"/>
    <col min="12297" max="12297" width="11.33203125" style="45" customWidth="1"/>
    <col min="12298" max="12544" width="9.109375" style="45"/>
    <col min="12545" max="12545" width="29.88671875" style="45" customWidth="1"/>
    <col min="12546" max="12546" width="12.44140625" style="45" customWidth="1"/>
    <col min="12547" max="12547" width="15.109375" style="45" customWidth="1"/>
    <col min="12548" max="12548" width="14.33203125" style="45" customWidth="1"/>
    <col min="12549" max="12549" width="11.109375" style="45" customWidth="1"/>
    <col min="12550" max="12550" width="11.33203125" style="45" customWidth="1"/>
    <col min="12551" max="12551" width="13.44140625" style="45" customWidth="1"/>
    <col min="12552" max="12552" width="10.88671875" style="45" customWidth="1"/>
    <col min="12553" max="12553" width="11.33203125" style="45" customWidth="1"/>
    <col min="12554" max="12800" width="9.109375" style="45"/>
    <col min="12801" max="12801" width="29.88671875" style="45" customWidth="1"/>
    <col min="12802" max="12802" width="12.44140625" style="45" customWidth="1"/>
    <col min="12803" max="12803" width="15.109375" style="45" customWidth="1"/>
    <col min="12804" max="12804" width="14.33203125" style="45" customWidth="1"/>
    <col min="12805" max="12805" width="11.109375" style="45" customWidth="1"/>
    <col min="12806" max="12806" width="11.33203125" style="45" customWidth="1"/>
    <col min="12807" max="12807" width="13.44140625" style="45" customWidth="1"/>
    <col min="12808" max="12808" width="10.88671875" style="45" customWidth="1"/>
    <col min="12809" max="12809" width="11.33203125" style="45" customWidth="1"/>
    <col min="12810" max="13056" width="9.109375" style="45"/>
    <col min="13057" max="13057" width="29.88671875" style="45" customWidth="1"/>
    <col min="13058" max="13058" width="12.44140625" style="45" customWidth="1"/>
    <col min="13059" max="13059" width="15.109375" style="45" customWidth="1"/>
    <col min="13060" max="13060" width="14.33203125" style="45" customWidth="1"/>
    <col min="13061" max="13061" width="11.109375" style="45" customWidth="1"/>
    <col min="13062" max="13062" width="11.33203125" style="45" customWidth="1"/>
    <col min="13063" max="13063" width="13.44140625" style="45" customWidth="1"/>
    <col min="13064" max="13064" width="10.88671875" style="45" customWidth="1"/>
    <col min="13065" max="13065" width="11.33203125" style="45" customWidth="1"/>
    <col min="13066" max="13312" width="9.109375" style="45"/>
    <col min="13313" max="13313" width="29.88671875" style="45" customWidth="1"/>
    <col min="13314" max="13314" width="12.44140625" style="45" customWidth="1"/>
    <col min="13315" max="13315" width="15.109375" style="45" customWidth="1"/>
    <col min="13316" max="13316" width="14.33203125" style="45" customWidth="1"/>
    <col min="13317" max="13317" width="11.109375" style="45" customWidth="1"/>
    <col min="13318" max="13318" width="11.33203125" style="45" customWidth="1"/>
    <col min="13319" max="13319" width="13.44140625" style="45" customWidth="1"/>
    <col min="13320" max="13320" width="10.88671875" style="45" customWidth="1"/>
    <col min="13321" max="13321" width="11.33203125" style="45" customWidth="1"/>
    <col min="13322" max="13568" width="9.109375" style="45"/>
    <col min="13569" max="13569" width="29.88671875" style="45" customWidth="1"/>
    <col min="13570" max="13570" width="12.44140625" style="45" customWidth="1"/>
    <col min="13571" max="13571" width="15.109375" style="45" customWidth="1"/>
    <col min="13572" max="13572" width="14.33203125" style="45" customWidth="1"/>
    <col min="13573" max="13573" width="11.109375" style="45" customWidth="1"/>
    <col min="13574" max="13574" width="11.33203125" style="45" customWidth="1"/>
    <col min="13575" max="13575" width="13.44140625" style="45" customWidth="1"/>
    <col min="13576" max="13576" width="10.88671875" style="45" customWidth="1"/>
    <col min="13577" max="13577" width="11.33203125" style="45" customWidth="1"/>
    <col min="13578" max="13824" width="9.109375" style="45"/>
    <col min="13825" max="13825" width="29.88671875" style="45" customWidth="1"/>
    <col min="13826" max="13826" width="12.44140625" style="45" customWidth="1"/>
    <col min="13827" max="13827" width="15.109375" style="45" customWidth="1"/>
    <col min="13828" max="13828" width="14.33203125" style="45" customWidth="1"/>
    <col min="13829" max="13829" width="11.109375" style="45" customWidth="1"/>
    <col min="13830" max="13830" width="11.33203125" style="45" customWidth="1"/>
    <col min="13831" max="13831" width="13.44140625" style="45" customWidth="1"/>
    <col min="13832" max="13832" width="10.88671875" style="45" customWidth="1"/>
    <col min="13833" max="13833" width="11.33203125" style="45" customWidth="1"/>
    <col min="13834" max="14080" width="9.109375" style="45"/>
    <col min="14081" max="14081" width="29.88671875" style="45" customWidth="1"/>
    <col min="14082" max="14082" width="12.44140625" style="45" customWidth="1"/>
    <col min="14083" max="14083" width="15.109375" style="45" customWidth="1"/>
    <col min="14084" max="14084" width="14.33203125" style="45" customWidth="1"/>
    <col min="14085" max="14085" width="11.109375" style="45" customWidth="1"/>
    <col min="14086" max="14086" width="11.33203125" style="45" customWidth="1"/>
    <col min="14087" max="14087" width="13.44140625" style="45" customWidth="1"/>
    <col min="14088" max="14088" width="10.88671875" style="45" customWidth="1"/>
    <col min="14089" max="14089" width="11.33203125" style="45" customWidth="1"/>
    <col min="14090" max="14336" width="9.109375" style="45"/>
    <col min="14337" max="14337" width="29.88671875" style="45" customWidth="1"/>
    <col min="14338" max="14338" width="12.44140625" style="45" customWidth="1"/>
    <col min="14339" max="14339" width="15.109375" style="45" customWidth="1"/>
    <col min="14340" max="14340" width="14.33203125" style="45" customWidth="1"/>
    <col min="14341" max="14341" width="11.109375" style="45" customWidth="1"/>
    <col min="14342" max="14342" width="11.33203125" style="45" customWidth="1"/>
    <col min="14343" max="14343" width="13.44140625" style="45" customWidth="1"/>
    <col min="14344" max="14344" width="10.88671875" style="45" customWidth="1"/>
    <col min="14345" max="14345" width="11.33203125" style="45" customWidth="1"/>
    <col min="14346" max="14592" width="9.109375" style="45"/>
    <col min="14593" max="14593" width="29.88671875" style="45" customWidth="1"/>
    <col min="14594" max="14594" width="12.44140625" style="45" customWidth="1"/>
    <col min="14595" max="14595" width="15.109375" style="45" customWidth="1"/>
    <col min="14596" max="14596" width="14.33203125" style="45" customWidth="1"/>
    <col min="14597" max="14597" width="11.109375" style="45" customWidth="1"/>
    <col min="14598" max="14598" width="11.33203125" style="45" customWidth="1"/>
    <col min="14599" max="14599" width="13.44140625" style="45" customWidth="1"/>
    <col min="14600" max="14600" width="10.88671875" style="45" customWidth="1"/>
    <col min="14601" max="14601" width="11.33203125" style="45" customWidth="1"/>
    <col min="14602" max="14848" width="9.109375" style="45"/>
    <col min="14849" max="14849" width="29.88671875" style="45" customWidth="1"/>
    <col min="14850" max="14850" width="12.44140625" style="45" customWidth="1"/>
    <col min="14851" max="14851" width="15.109375" style="45" customWidth="1"/>
    <col min="14852" max="14852" width="14.33203125" style="45" customWidth="1"/>
    <col min="14853" max="14853" width="11.109375" style="45" customWidth="1"/>
    <col min="14854" max="14854" width="11.33203125" style="45" customWidth="1"/>
    <col min="14855" max="14855" width="13.44140625" style="45" customWidth="1"/>
    <col min="14856" max="14856" width="10.88671875" style="45" customWidth="1"/>
    <col min="14857" max="14857" width="11.33203125" style="45" customWidth="1"/>
    <col min="14858" max="15104" width="9.109375" style="45"/>
    <col min="15105" max="15105" width="29.88671875" style="45" customWidth="1"/>
    <col min="15106" max="15106" width="12.44140625" style="45" customWidth="1"/>
    <col min="15107" max="15107" width="15.109375" style="45" customWidth="1"/>
    <col min="15108" max="15108" width="14.33203125" style="45" customWidth="1"/>
    <col min="15109" max="15109" width="11.109375" style="45" customWidth="1"/>
    <col min="15110" max="15110" width="11.33203125" style="45" customWidth="1"/>
    <col min="15111" max="15111" width="13.44140625" style="45" customWidth="1"/>
    <col min="15112" max="15112" width="10.88671875" style="45" customWidth="1"/>
    <col min="15113" max="15113" width="11.33203125" style="45" customWidth="1"/>
    <col min="15114" max="15360" width="9.109375" style="45"/>
    <col min="15361" max="15361" width="29.88671875" style="45" customWidth="1"/>
    <col min="15362" max="15362" width="12.44140625" style="45" customWidth="1"/>
    <col min="15363" max="15363" width="15.109375" style="45" customWidth="1"/>
    <col min="15364" max="15364" width="14.33203125" style="45" customWidth="1"/>
    <col min="15365" max="15365" width="11.109375" style="45" customWidth="1"/>
    <col min="15366" max="15366" width="11.33203125" style="45" customWidth="1"/>
    <col min="15367" max="15367" width="13.44140625" style="45" customWidth="1"/>
    <col min="15368" max="15368" width="10.88671875" style="45" customWidth="1"/>
    <col min="15369" max="15369" width="11.33203125" style="45" customWidth="1"/>
    <col min="15370" max="15616" width="9.109375" style="45"/>
    <col min="15617" max="15617" width="29.88671875" style="45" customWidth="1"/>
    <col min="15618" max="15618" width="12.44140625" style="45" customWidth="1"/>
    <col min="15619" max="15619" width="15.109375" style="45" customWidth="1"/>
    <col min="15620" max="15620" width="14.33203125" style="45" customWidth="1"/>
    <col min="15621" max="15621" width="11.109375" style="45" customWidth="1"/>
    <col min="15622" max="15622" width="11.33203125" style="45" customWidth="1"/>
    <col min="15623" max="15623" width="13.44140625" style="45" customWidth="1"/>
    <col min="15624" max="15624" width="10.88671875" style="45" customWidth="1"/>
    <col min="15625" max="15625" width="11.33203125" style="45" customWidth="1"/>
    <col min="15626" max="15872" width="9.109375" style="45"/>
    <col min="15873" max="15873" width="29.88671875" style="45" customWidth="1"/>
    <col min="15874" max="15874" width="12.44140625" style="45" customWidth="1"/>
    <col min="15875" max="15875" width="15.109375" style="45" customWidth="1"/>
    <col min="15876" max="15876" width="14.33203125" style="45" customWidth="1"/>
    <col min="15877" max="15877" width="11.109375" style="45" customWidth="1"/>
    <col min="15878" max="15878" width="11.33203125" style="45" customWidth="1"/>
    <col min="15879" max="15879" width="13.44140625" style="45" customWidth="1"/>
    <col min="15880" max="15880" width="10.88671875" style="45" customWidth="1"/>
    <col min="15881" max="15881" width="11.33203125" style="45" customWidth="1"/>
    <col min="15882" max="16128" width="9.109375" style="45"/>
    <col min="16129" max="16129" width="29.88671875" style="45" customWidth="1"/>
    <col min="16130" max="16130" width="12.44140625" style="45" customWidth="1"/>
    <col min="16131" max="16131" width="15.109375" style="45" customWidth="1"/>
    <col min="16132" max="16132" width="14.33203125" style="45" customWidth="1"/>
    <col min="16133" max="16133" width="11.109375" style="45" customWidth="1"/>
    <col min="16134" max="16134" width="11.33203125" style="45" customWidth="1"/>
    <col min="16135" max="16135" width="13.44140625" style="45" customWidth="1"/>
    <col min="16136" max="16136" width="10.88671875" style="45" customWidth="1"/>
    <col min="16137" max="16137" width="11.33203125" style="45" customWidth="1"/>
    <col min="16138" max="16384" width="9.109375" style="45"/>
  </cols>
  <sheetData>
    <row r="1" spans="1:11" ht="13.8" x14ac:dyDescent="0.25">
      <c r="B1" s="118"/>
      <c r="C1" s="119" t="s">
        <v>20</v>
      </c>
      <c r="D1" s="118"/>
      <c r="E1" s="46"/>
      <c r="F1" s="46"/>
    </row>
    <row r="2" spans="1:11" ht="13.8" x14ac:dyDescent="0.25">
      <c r="B2" s="118"/>
      <c r="C2" s="119" t="str">
        <f>Summary.Confidential!B2</f>
        <v>Benchmarking Summary</v>
      </c>
      <c r="D2" s="118"/>
      <c r="E2" s="46"/>
      <c r="F2" s="46"/>
      <c r="H2" s="109">
        <f ca="1">TODAY()</f>
        <v>44603</v>
      </c>
    </row>
    <row r="3" spans="1:11" ht="13.8" x14ac:dyDescent="0.25">
      <c r="B3" s="118"/>
      <c r="C3" s="119" t="str">
        <f>Summary.Confidential!C3</f>
        <v>2/2021 - 1/2022</v>
      </c>
      <c r="D3" s="118"/>
      <c r="E3" s="46"/>
      <c r="F3" s="46"/>
    </row>
    <row r="5" spans="1:11" ht="13.8" x14ac:dyDescent="0.25">
      <c r="A5" s="61" t="s">
        <v>53</v>
      </c>
      <c r="B5" s="62" t="s">
        <v>54</v>
      </c>
      <c r="C5" s="62" t="s">
        <v>55</v>
      </c>
      <c r="D5" s="62" t="s">
        <v>26</v>
      </c>
      <c r="E5" s="63" t="s">
        <v>27</v>
      </c>
      <c r="F5" s="64" t="s">
        <v>28</v>
      </c>
      <c r="G5" s="65" t="s">
        <v>29</v>
      </c>
      <c r="H5" s="47"/>
    </row>
    <row r="6" spans="1:11" s="49" customFormat="1" ht="27.6" x14ac:dyDescent="0.3">
      <c r="A6" s="120" t="str">
        <f>Summary.Confidential!A22</f>
        <v>Clark Reliance LLC</v>
      </c>
      <c r="B6" s="2">
        <f>Summary.Confidential!B22</f>
        <v>38390.399999999994</v>
      </c>
      <c r="C6" s="2">
        <f>Summary.Confidential!C22</f>
        <v>44180.150000000009</v>
      </c>
      <c r="D6" s="2">
        <f>SUMIF(ItemDetail.Confidential!$O:$O,"&gt;-9e100",ItemDetail.Confidential!$N:$N)</f>
        <v>38457.249000000003</v>
      </c>
      <c r="E6" s="14">
        <f>C6-D6</f>
        <v>5722.9010000000053</v>
      </c>
      <c r="F6" s="15">
        <f>SUM(1-(D6/C6))</f>
        <v>0.12953557197067023</v>
      </c>
      <c r="G6" s="16" t="s">
        <v>30</v>
      </c>
      <c r="H6" s="48"/>
    </row>
    <row r="7" spans="1:11" ht="13.8" x14ac:dyDescent="0.25">
      <c r="A7" s="47"/>
      <c r="B7" s="47"/>
      <c r="C7" s="47"/>
      <c r="D7" s="47"/>
      <c r="E7" s="47"/>
      <c r="F7" s="47"/>
      <c r="G7" s="47"/>
      <c r="H7" s="47"/>
      <c r="I7" s="47"/>
    </row>
    <row r="8" spans="1:11" ht="13.8" x14ac:dyDescent="0.25">
      <c r="A8" s="66" t="s">
        <v>31</v>
      </c>
      <c r="B8" s="67" t="s">
        <v>32</v>
      </c>
      <c r="C8" s="67" t="s">
        <v>33</v>
      </c>
      <c r="D8" s="67" t="s">
        <v>34</v>
      </c>
      <c r="E8" s="67" t="s">
        <v>35</v>
      </c>
      <c r="F8" s="67" t="s">
        <v>36</v>
      </c>
      <c r="G8" s="67" t="s">
        <v>37</v>
      </c>
      <c r="H8" s="68" t="s">
        <v>38</v>
      </c>
      <c r="I8" s="69" t="s">
        <v>39</v>
      </c>
    </row>
    <row r="9" spans="1:11" ht="13.8" x14ac:dyDescent="0.25">
      <c r="A9" s="17" t="s">
        <v>40</v>
      </c>
      <c r="B9" s="18">
        <f>COUNTIF(ItemDetail.Confidential!$T:$T,"Negative")</f>
        <v>0</v>
      </c>
      <c r="C9" s="19">
        <f>COUNTIF(ItemDetail.Confidential!$T:$T,"Same")</f>
        <v>0</v>
      </c>
      <c r="D9" s="19">
        <f>COUNTIF(ItemDetail.Confidential!$T:$T,"0-10%")</f>
        <v>78</v>
      </c>
      <c r="E9" s="19">
        <f>COUNTIF(ItemDetail.Confidential!$T:$T,"10-20%")</f>
        <v>88</v>
      </c>
      <c r="F9" s="19">
        <f>COUNTIF(ItemDetail.Confidential!$T:$T,"20-30%")</f>
        <v>2</v>
      </c>
      <c r="G9" s="19">
        <f>COUNTIF(ItemDetail.Confidential!$T:$T,"30+%")</f>
        <v>24</v>
      </c>
      <c r="H9" s="20">
        <f>SUM(B9:G9)</f>
        <v>192</v>
      </c>
      <c r="I9" s="21">
        <f>F6</f>
        <v>0.12953557197067023</v>
      </c>
    </row>
    <row r="10" spans="1:11" ht="13.8" x14ac:dyDescent="0.25">
      <c r="A10" s="47"/>
      <c r="B10" s="47"/>
      <c r="C10" s="47"/>
      <c r="D10" s="47"/>
      <c r="E10" s="47"/>
      <c r="F10" s="47"/>
      <c r="G10" s="47"/>
      <c r="H10" s="47"/>
      <c r="I10" s="47"/>
    </row>
    <row r="11" spans="1:11" ht="13.8" x14ac:dyDescent="0.25">
      <c r="A11" s="66" t="s">
        <v>41</v>
      </c>
      <c r="B11" s="67" t="s">
        <v>32</v>
      </c>
      <c r="C11" s="67" t="s">
        <v>33</v>
      </c>
      <c r="D11" s="67" t="s">
        <v>34</v>
      </c>
      <c r="E11" s="67" t="s">
        <v>35</v>
      </c>
      <c r="F11" s="67" t="s">
        <v>36</v>
      </c>
      <c r="G11" s="67" t="s">
        <v>37</v>
      </c>
      <c r="H11" s="65" t="s">
        <v>38</v>
      </c>
      <c r="I11" s="50"/>
    </row>
    <row r="12" spans="1:11" ht="13.8" x14ac:dyDescent="0.25">
      <c r="A12" s="114" t="s">
        <v>77</v>
      </c>
      <c r="B12" s="22">
        <f>SUMIF(ItemDetail.Confidential!$T:$T,"Negative",ItemDetail.Confidential!$P:$P)</f>
        <v>0</v>
      </c>
      <c r="C12" s="22">
        <f>SUMIF(ItemDetail.Confidential!$T:$T,"Same",ItemDetail.Confidential!$P:$P)</f>
        <v>0</v>
      </c>
      <c r="D12" s="22">
        <f>SUMIF(ItemDetail.Confidential!$T:$T,"0-10%",ItemDetail.Confidential!$P:$P)</f>
        <v>15982.97</v>
      </c>
      <c r="E12" s="22">
        <f>SUMIF(ItemDetail.Confidential!$T:$T,"10-20%",ItemDetail.Confidential!$P:$P)</f>
        <v>22653.449999999997</v>
      </c>
      <c r="F12" s="22">
        <f>SUMIF(ItemDetail.Confidential!$T:$T,"20-30%",ItemDetail.Confidential!$P:$P)</f>
        <v>106.62</v>
      </c>
      <c r="G12" s="22">
        <f>SUMIF(ItemDetail.Confidential!$T:$T,"30+%",ItemDetail.Confidential!$P:$P)</f>
        <v>5437.1100000000006</v>
      </c>
      <c r="H12" s="23">
        <f>SUM(B12:G12)</f>
        <v>44180.15</v>
      </c>
      <c r="I12" s="51"/>
    </row>
    <row r="13" spans="1:11" ht="13.8" x14ac:dyDescent="0.25">
      <c r="A13" s="111" t="str">
        <f>Summary.Confidential!A13</f>
        <v>PA-Clark Reliance LLC</v>
      </c>
      <c r="B13" s="24">
        <f>SUMIF(ItemDetail.Confidential!$T:$T,"Negative",ItemDetail.Confidential!$N:$N)</f>
        <v>0</v>
      </c>
      <c r="C13" s="24">
        <f>SUMIF(ItemDetail.Confidential!$T:$T,"Same",ItemDetail.Confidential!$N:$N)</f>
        <v>0</v>
      </c>
      <c r="D13" s="24">
        <f>SUMIF(ItemDetail.Confidential!$T:$T,"0-10%",ItemDetail.Confidential!$N:$N)</f>
        <v>15337.878999999999</v>
      </c>
      <c r="E13" s="24">
        <f>SUMIF(ItemDetail.Confidential!$T:$T,"10-20%",ItemDetail.Confidential!$N:$N)</f>
        <v>20065.5</v>
      </c>
      <c r="F13" s="24">
        <f>SUMIF(ItemDetail.Confidential!$T:$T,"20-30%",ItemDetail.Confidential!$N:$N)</f>
        <v>81.47</v>
      </c>
      <c r="G13" s="24">
        <f>SUMIF(ItemDetail.Confidential!$T:$T,"30+%",ItemDetail.Confidential!$N:$N)</f>
        <v>2972.4</v>
      </c>
      <c r="H13" s="23">
        <f>SUM(B13:G13)</f>
        <v>38457.249000000003</v>
      </c>
      <c r="I13" s="47"/>
    </row>
    <row r="14" spans="1:11" ht="13.8" x14ac:dyDescent="0.25">
      <c r="A14" s="70" t="s">
        <v>42</v>
      </c>
      <c r="B14" s="71">
        <f t="shared" ref="B14:G14" si="0">B12-B13</f>
        <v>0</v>
      </c>
      <c r="C14" s="72">
        <f t="shared" si="0"/>
        <v>0</v>
      </c>
      <c r="D14" s="72">
        <f t="shared" si="0"/>
        <v>645.09100000000035</v>
      </c>
      <c r="E14" s="72">
        <f t="shared" si="0"/>
        <v>2587.9499999999971</v>
      </c>
      <c r="F14" s="72">
        <f t="shared" si="0"/>
        <v>25.150000000000006</v>
      </c>
      <c r="G14" s="72">
        <f t="shared" si="0"/>
        <v>2464.7100000000005</v>
      </c>
      <c r="H14" s="73">
        <f>H12-H13</f>
        <v>5722.900999999998</v>
      </c>
      <c r="I14" s="47"/>
    </row>
    <row r="15" spans="1:11" ht="13.8" x14ac:dyDescent="0.25">
      <c r="A15" s="47"/>
      <c r="B15" s="47"/>
      <c r="C15" s="47"/>
      <c r="D15" s="47"/>
      <c r="E15" s="47"/>
      <c r="F15" s="47"/>
      <c r="G15" s="47"/>
      <c r="H15" s="47"/>
      <c r="I15" s="47"/>
    </row>
    <row r="16" spans="1:11" ht="13.8" x14ac:dyDescent="0.25">
      <c r="A16" s="66" t="s">
        <v>43</v>
      </c>
      <c r="B16" s="67" t="s">
        <v>44</v>
      </c>
      <c r="C16" s="67" t="s">
        <v>45</v>
      </c>
      <c r="D16" s="67" t="s">
        <v>46</v>
      </c>
      <c r="E16" s="67" t="s">
        <v>47</v>
      </c>
      <c r="F16" s="67" t="s">
        <v>48</v>
      </c>
      <c r="G16" s="69" t="s">
        <v>27</v>
      </c>
      <c r="H16" s="130" t="s">
        <v>29</v>
      </c>
      <c r="I16" s="131"/>
      <c r="J16" s="131"/>
      <c r="K16" s="132"/>
    </row>
    <row r="17" spans="1:11" ht="13.8" x14ac:dyDescent="0.25">
      <c r="A17" s="31" t="s">
        <v>49</v>
      </c>
      <c r="B17" s="32">
        <f>COUNTIF(ItemDetail.Confidential!$U:$U,"Y")</f>
        <v>30</v>
      </c>
      <c r="C17" s="33">
        <f>D17/D19</f>
        <v>0.13122544853288182</v>
      </c>
      <c r="D17" s="22">
        <f>SUMIF(ItemDetail.Confidential!$U:$U,"Y",ItemDetail.Confidential!$P:$P)</f>
        <v>5797.5599999999995</v>
      </c>
      <c r="E17" s="22">
        <f>SUMIF(ItemDetail.Confidential!$U:$U,"Y",ItemDetail.Confidential!$N:$N)</f>
        <v>3288.87</v>
      </c>
      <c r="F17" s="34">
        <f>1-E17/D17</f>
        <v>0.43271479725953677</v>
      </c>
      <c r="G17" s="35">
        <f>D17-E17</f>
        <v>2508.6899999999996</v>
      </c>
      <c r="H17" s="25" t="s">
        <v>50</v>
      </c>
      <c r="I17" s="26"/>
      <c r="J17" s="26"/>
      <c r="K17" s="27"/>
    </row>
    <row r="18" spans="1:11" ht="13.8" x14ac:dyDescent="0.25">
      <c r="A18" s="36" t="s">
        <v>51</v>
      </c>
      <c r="B18" s="37">
        <f>COUNTIF(ItemDetail.Confidential!$U:$U,"No")</f>
        <v>162</v>
      </c>
      <c r="C18" s="38">
        <f>D18/D19</f>
        <v>0.86877455146711824</v>
      </c>
      <c r="D18" s="24">
        <f>SUMIF(ItemDetail.Confidential!$U:$U,"No",ItemDetail.Confidential!$P:$P)</f>
        <v>38382.590000000011</v>
      </c>
      <c r="E18" s="24">
        <f>SUMIF(ItemDetail.Confidential!$U:$U,"No",ItemDetail.Confidential!$N:$N)</f>
        <v>35168.379000000008</v>
      </c>
      <c r="F18" s="39">
        <f>1-E18/D18</f>
        <v>8.3741378578152337E-2</v>
      </c>
      <c r="G18" s="40">
        <f>D18-E18</f>
        <v>3214.211000000003</v>
      </c>
      <c r="H18" s="28" t="s">
        <v>52</v>
      </c>
      <c r="I18" s="29"/>
      <c r="J18" s="29"/>
      <c r="K18" s="30"/>
    </row>
    <row r="19" spans="1:11" ht="13.8" x14ac:dyDescent="0.25">
      <c r="A19" s="70" t="s">
        <v>38</v>
      </c>
      <c r="B19" s="74">
        <f>SUM(B17:B18)</f>
        <v>192</v>
      </c>
      <c r="C19" s="75">
        <f t="shared" ref="C19:G19" si="1">SUM(C17:C18)</f>
        <v>1</v>
      </c>
      <c r="D19" s="76">
        <f t="shared" si="1"/>
        <v>44180.150000000009</v>
      </c>
      <c r="E19" s="76">
        <f t="shared" si="1"/>
        <v>38457.249000000011</v>
      </c>
      <c r="F19" s="77">
        <f>1-E19/D19</f>
        <v>0.12953557197067</v>
      </c>
      <c r="G19" s="78">
        <f t="shared" si="1"/>
        <v>5722.9010000000026</v>
      </c>
    </row>
    <row r="21" spans="1:11" x14ac:dyDescent="0.25">
      <c r="A21" s="110"/>
    </row>
    <row r="22" spans="1:11" ht="15.6" x14ac:dyDescent="0.3">
      <c r="A22" s="52" t="s">
        <v>57</v>
      </c>
    </row>
    <row r="23" spans="1:11" ht="13.8" x14ac:dyDescent="0.25">
      <c r="A23" s="66" t="s">
        <v>58</v>
      </c>
      <c r="B23" s="79"/>
    </row>
    <row r="24" spans="1:11" x14ac:dyDescent="0.25">
      <c r="A24" s="54" t="s">
        <v>59</v>
      </c>
      <c r="B24" s="56">
        <v>0.04</v>
      </c>
    </row>
    <row r="25" spans="1:11" x14ac:dyDescent="0.25">
      <c r="A25" s="54" t="s">
        <v>60</v>
      </c>
      <c r="B25" s="54">
        <f>Summary.Confidential!B27</f>
        <v>30</v>
      </c>
    </row>
    <row r="26" spans="1:11" x14ac:dyDescent="0.25">
      <c r="A26" s="54" t="s">
        <v>61</v>
      </c>
      <c r="B26" s="54">
        <v>60</v>
      </c>
    </row>
    <row r="27" spans="1:11" x14ac:dyDescent="0.25">
      <c r="A27" s="54" t="s">
        <v>62</v>
      </c>
      <c r="B27" s="54">
        <f>B24/365*(B26-B25)</f>
        <v>3.2876712328767125E-3</v>
      </c>
    </row>
    <row r="28" spans="1:11" x14ac:dyDescent="0.25">
      <c r="A28" s="54" t="s">
        <v>63</v>
      </c>
      <c r="B28" s="57">
        <f>B6</f>
        <v>38390.399999999994</v>
      </c>
    </row>
    <row r="29" spans="1:11" ht="13.8" x14ac:dyDescent="0.25">
      <c r="A29" s="53" t="s">
        <v>64</v>
      </c>
      <c r="B29" s="43">
        <f>B28*B27</f>
        <v>126.21501369863013</v>
      </c>
      <c r="C29" s="45" t="s">
        <v>65</v>
      </c>
    </row>
    <row r="31" spans="1:11" ht="13.8" x14ac:dyDescent="0.25">
      <c r="A31" s="66" t="s">
        <v>66</v>
      </c>
      <c r="B31" s="79"/>
    </row>
    <row r="32" spans="1:11" x14ac:dyDescent="0.25">
      <c r="A32" s="54" t="s">
        <v>67</v>
      </c>
      <c r="B32" s="58">
        <f>SUM('Preferred MFR'!B:B)</f>
        <v>1367.16</v>
      </c>
    </row>
    <row r="33" spans="1:3" x14ac:dyDescent="0.25">
      <c r="A33" s="54" t="s">
        <v>68</v>
      </c>
      <c r="B33" s="59" t="str">
        <f>"$"&amp;ROUND(B32*0.01,2)&amp;" to "&amp;"$"&amp;ROUND(B32*0.04,2)</f>
        <v>$13.67 to $54.69</v>
      </c>
    </row>
    <row r="34" spans="1:3" ht="13.8" x14ac:dyDescent="0.25">
      <c r="A34" s="53" t="s">
        <v>69</v>
      </c>
      <c r="B34" s="55">
        <f>ROUND(B32*0.025,2)</f>
        <v>34.18</v>
      </c>
      <c r="C34" s="45" t="s">
        <v>65</v>
      </c>
    </row>
    <row r="36" spans="1:3" ht="13.8" x14ac:dyDescent="0.25">
      <c r="A36" s="60" t="s">
        <v>70</v>
      </c>
    </row>
    <row r="37" spans="1:3" ht="13.8" x14ac:dyDescent="0.25">
      <c r="A37" s="47" t="s">
        <v>71</v>
      </c>
    </row>
    <row r="38" spans="1:3" ht="13.8" x14ac:dyDescent="0.25">
      <c r="A38" s="47" t="s">
        <v>72</v>
      </c>
    </row>
    <row r="39" spans="1:3" ht="13.8" x14ac:dyDescent="0.25">
      <c r="A39" s="47" t="s">
        <v>73</v>
      </c>
    </row>
    <row r="40" spans="1:3" ht="13.8" x14ac:dyDescent="0.25">
      <c r="A40" s="47" t="s">
        <v>74</v>
      </c>
    </row>
    <row r="41" spans="1:3" ht="13.8" x14ac:dyDescent="0.25">
      <c r="A41" s="47" t="s">
        <v>78</v>
      </c>
    </row>
    <row r="42" spans="1:3" ht="13.8" x14ac:dyDescent="0.25">
      <c r="A42" s="47" t="s">
        <v>76</v>
      </c>
    </row>
  </sheetData>
  <mergeCells count="1">
    <mergeCell ref="H16:K16"/>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H22"/>
  <sheetViews>
    <sheetView workbookViewId="0">
      <selection activeCell="D15" sqref="D15"/>
    </sheetView>
  </sheetViews>
  <sheetFormatPr defaultColWidth="9.109375" defaultRowHeight="14.4" x14ac:dyDescent="0.3"/>
  <cols>
    <col min="1" max="1" width="7.6640625" style="12" customWidth="1"/>
    <col min="2" max="2" width="47.44140625" style="12" bestFit="1" customWidth="1"/>
    <col min="3" max="8" width="15.109375" style="12" customWidth="1"/>
    <col min="9" max="16384" width="9.109375" style="12"/>
  </cols>
  <sheetData>
    <row r="1" spans="1:8" ht="23.4" x14ac:dyDescent="0.45">
      <c r="A1" s="80" t="s">
        <v>79</v>
      </c>
    </row>
    <row r="2" spans="1:8" s="81" customFormat="1" x14ac:dyDescent="0.3">
      <c r="A2" s="87" t="s">
        <v>80</v>
      </c>
      <c r="B2" s="87" t="s">
        <v>81</v>
      </c>
      <c r="C2" s="87" t="s">
        <v>82</v>
      </c>
      <c r="D2" s="87" t="s">
        <v>83</v>
      </c>
      <c r="E2" s="112" t="s">
        <v>84</v>
      </c>
      <c r="F2" s="87" t="s">
        <v>85</v>
      </c>
      <c r="G2" s="87" t="s">
        <v>27</v>
      </c>
      <c r="H2" s="87" t="s">
        <v>48</v>
      </c>
    </row>
    <row r="3" spans="1:8" x14ac:dyDescent="0.3">
      <c r="A3" s="82">
        <v>1</v>
      </c>
      <c r="B3" s="138" t="s">
        <v>171</v>
      </c>
      <c r="C3" s="82">
        <f>COUNTIF(ItemDetail.Confidential!$A:$A,B3)</f>
        <v>135</v>
      </c>
      <c r="D3" s="83">
        <f>SUMIF(ItemDetail.Confidential!$A:$A,B3,ItemDetail.Confidential!$H:$H)</f>
        <v>28607.920000000002</v>
      </c>
      <c r="E3" s="83">
        <f>SUMIF(ItemDetail.Confidential!$A:$A,B3,ItemDetail.Confidential!$P:$P)</f>
        <v>33311.81</v>
      </c>
      <c r="F3" s="83">
        <f>SUMIF(ItemDetail.Confidential!$A:$A,B3,ItemDetail.Confidential!$N:$N)</f>
        <v>28292.159000000007</v>
      </c>
      <c r="G3" s="83">
        <f>D3-F3</f>
        <v>315.76099999999497</v>
      </c>
      <c r="H3" s="84">
        <f>G3/D3</f>
        <v>1.1037537856649311E-2</v>
      </c>
    </row>
    <row r="4" spans="1:8" x14ac:dyDescent="0.3">
      <c r="A4" s="82">
        <v>2</v>
      </c>
      <c r="B4" s="138" t="s">
        <v>206</v>
      </c>
      <c r="C4" s="82">
        <f>COUNTIF(ItemDetail.Confidential!$A:$A,B4)</f>
        <v>57</v>
      </c>
      <c r="D4" s="83">
        <f>SUMIF(ItemDetail.Confidential!$A:$A,B4,ItemDetail.Confidential!$H:$H)</f>
        <v>9782.48</v>
      </c>
      <c r="E4" s="83">
        <f>SUMIF(ItemDetail.Confidential!$A:$A,B4,ItemDetail.Confidential!$P:$P)</f>
        <v>10868.340000000002</v>
      </c>
      <c r="F4" s="83">
        <f>SUMIF(ItemDetail.Confidential!$A:$A,B4,ItemDetail.Confidential!$N:$N)</f>
        <v>10165.090000000002</v>
      </c>
      <c r="G4" s="83">
        <f t="shared" ref="G4" si="0">D4-F4</f>
        <v>-382.6100000000024</v>
      </c>
      <c r="H4" s="84">
        <f t="shared" ref="H4" si="1">G4/D4</f>
        <v>-3.9111758981362849E-2</v>
      </c>
    </row>
    <row r="12" spans="1:8" s="81" customFormat="1" x14ac:dyDescent="0.3">
      <c r="A12" s="12"/>
      <c r="B12" s="12"/>
      <c r="C12" s="12"/>
      <c r="D12" s="12"/>
      <c r="E12" s="12"/>
      <c r="F12" s="12"/>
      <c r="G12" s="12"/>
      <c r="H12" s="12"/>
    </row>
    <row r="22" spans="1:8" x14ac:dyDescent="0.3">
      <c r="A22" s="81"/>
      <c r="B22" s="81" t="s">
        <v>38</v>
      </c>
      <c r="C22" s="81">
        <f>SUM(C3:C21)</f>
        <v>192</v>
      </c>
      <c r="D22" s="85">
        <f>SUM(D3:D21)</f>
        <v>38390.400000000001</v>
      </c>
      <c r="E22" s="85">
        <f>SUM(E3:E21)</f>
        <v>44180.15</v>
      </c>
      <c r="F22" s="85">
        <f>SUM(F3:F21)</f>
        <v>38457.249000000011</v>
      </c>
      <c r="G22" s="85">
        <f>D22-F22</f>
        <v>-66.849000000009255</v>
      </c>
      <c r="H22" s="86">
        <f>G22/D22</f>
        <v>-1.7412946986749096E-3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1:H36"/>
  <sheetViews>
    <sheetView workbookViewId="0">
      <selection activeCell="H6" sqref="H6"/>
    </sheetView>
  </sheetViews>
  <sheetFormatPr defaultColWidth="9.109375" defaultRowHeight="14.4" x14ac:dyDescent="0.3"/>
  <cols>
    <col min="1" max="1" width="36.109375" style="12" bestFit="1" customWidth="1"/>
    <col min="2" max="2" width="9.109375" style="12"/>
    <col min="3" max="3" width="14.33203125" style="12" bestFit="1" customWidth="1"/>
    <col min="4" max="4" width="14.33203125" style="12" customWidth="1"/>
    <col min="5" max="5" width="14.33203125" style="12" bestFit="1" customWidth="1"/>
    <col min="6" max="6" width="9.6640625" style="12" bestFit="1" customWidth="1"/>
    <col min="7" max="7" width="12.5546875" style="12" bestFit="1" customWidth="1"/>
    <col min="8" max="16384" width="9.109375" style="12"/>
  </cols>
  <sheetData>
    <row r="1" spans="1:8" ht="23.4" x14ac:dyDescent="0.45">
      <c r="A1" s="88" t="s">
        <v>86</v>
      </c>
    </row>
    <row r="2" spans="1:8" x14ac:dyDescent="0.3">
      <c r="A2" s="87" t="s">
        <v>87</v>
      </c>
      <c r="B2" s="87" t="s">
        <v>82</v>
      </c>
      <c r="C2" s="87" t="s">
        <v>88</v>
      </c>
      <c r="D2" s="112" t="s">
        <v>84</v>
      </c>
      <c r="E2" s="87" t="s">
        <v>89</v>
      </c>
      <c r="F2" s="87" t="s">
        <v>90</v>
      </c>
      <c r="G2" s="87" t="s">
        <v>27</v>
      </c>
      <c r="H2" s="87" t="s">
        <v>91</v>
      </c>
    </row>
    <row r="3" spans="1:8" x14ac:dyDescent="0.3">
      <c r="A3" s="82" t="s">
        <v>92</v>
      </c>
      <c r="B3" s="82">
        <f>COUNTIF(ItemDetail.Confidential!$E:$E,A3)</f>
        <v>15</v>
      </c>
      <c r="C3" s="83">
        <f>SUMIF(ItemDetail.Confidential!$E:$E,A3,ItemDetail.Confidential!$H:$H)</f>
        <v>5159.3099999999995</v>
      </c>
      <c r="D3" s="83">
        <f>SUMIF(ItemDetail.Confidential!$E:$E,A3,ItemDetail.Confidential!$P:$P)</f>
        <v>6674.92</v>
      </c>
      <c r="E3" s="83">
        <f>SUMIF(ItemDetail.Confidential!$E:$E,A3,ItemDetail.Confidential!$N:$N)</f>
        <v>5972.54</v>
      </c>
      <c r="F3" s="84">
        <f t="shared" ref="F3:F34" si="0">C3/$C$36</f>
        <v>0.13439062890722675</v>
      </c>
      <c r="G3" s="83">
        <f>C3-E3</f>
        <v>-813.23000000000047</v>
      </c>
      <c r="H3" s="84">
        <f>IFERROR(G3/C3,0)</f>
        <v>-0.15762379077822433</v>
      </c>
    </row>
    <row r="4" spans="1:8" x14ac:dyDescent="0.3">
      <c r="A4" s="82" t="s">
        <v>93</v>
      </c>
      <c r="B4" s="82">
        <f>COUNTIF(ItemDetail.Confidential!$E:$E,A4)</f>
        <v>14</v>
      </c>
      <c r="C4" s="83">
        <f>SUMIF(ItemDetail.Confidential!$E:$E,A4,ItemDetail.Confidential!$H:$H)</f>
        <v>1170.05</v>
      </c>
      <c r="D4" s="83">
        <f>SUMIF(ItemDetail.Confidential!$E:$E,A4,ItemDetail.Confidential!$P:$P)</f>
        <v>1452.8899999999999</v>
      </c>
      <c r="E4" s="83">
        <f>SUMIF(ItemDetail.Confidential!$E:$E,A4,ItemDetail.Confidential!$N:$N)</f>
        <v>1158.5800000000002</v>
      </c>
      <c r="F4" s="84">
        <f t="shared" si="0"/>
        <v>3.0477671501208628E-2</v>
      </c>
      <c r="G4" s="83">
        <f t="shared" ref="G4:G34" si="1">C4-E4</f>
        <v>11.4699999999998</v>
      </c>
      <c r="H4" s="84">
        <f t="shared" ref="H4:H34" si="2">IFERROR(G4/C4,0)</f>
        <v>9.8029998718001804E-3</v>
      </c>
    </row>
    <row r="5" spans="1:8" x14ac:dyDescent="0.3">
      <c r="A5" s="82" t="s">
        <v>94</v>
      </c>
      <c r="B5" s="82">
        <f>COUNTIF(ItemDetail.Confidential!$E:$E,A5)</f>
        <v>5</v>
      </c>
      <c r="C5" s="83">
        <f>SUMIF(ItemDetail.Confidential!$E:$E,A5,ItemDetail.Confidential!$H:$H)</f>
        <v>993.31000000000006</v>
      </c>
      <c r="D5" s="83">
        <f>SUMIF(ItemDetail.Confidential!$E:$E,A5,ItemDetail.Confidential!$P:$P)</f>
        <v>1120.25</v>
      </c>
      <c r="E5" s="83">
        <f>SUMIF(ItemDetail.Confidential!$E:$E,A5,ItemDetail.Confidential!$N:$N)</f>
        <v>702.29</v>
      </c>
      <c r="F5" s="84">
        <f t="shared" si="0"/>
        <v>2.5873916395765605E-2</v>
      </c>
      <c r="G5" s="83">
        <f t="shared" si="1"/>
        <v>291.0200000000001</v>
      </c>
      <c r="H5" s="84">
        <f t="shared" si="2"/>
        <v>0.29298003644380916</v>
      </c>
    </row>
    <row r="6" spans="1:8" x14ac:dyDescent="0.3">
      <c r="A6" s="82" t="s">
        <v>95</v>
      </c>
      <c r="B6" s="82">
        <f>COUNTIF(ItemDetail.Confidential!$E:$E,A6)</f>
        <v>10</v>
      </c>
      <c r="C6" s="83">
        <f>SUMIF(ItemDetail.Confidential!$E:$E,A6,ItemDetail.Confidential!$H:$H)</f>
        <v>3192.5499999999997</v>
      </c>
      <c r="D6" s="83">
        <f>SUMIF(ItemDetail.Confidential!$E:$E,A6,ItemDetail.Confidential!$P:$P)</f>
        <v>3625.9700000000003</v>
      </c>
      <c r="E6" s="83">
        <f>SUMIF(ItemDetail.Confidential!$E:$E,A6,ItemDetail.Confidential!$N:$N)</f>
        <v>3244.2</v>
      </c>
      <c r="F6" s="84">
        <f t="shared" si="0"/>
        <v>8.3160112944902873E-2</v>
      </c>
      <c r="G6" s="83">
        <f t="shared" si="1"/>
        <v>-51.650000000000091</v>
      </c>
      <c r="H6" s="84">
        <f t="shared" si="2"/>
        <v>-1.6178290081596245E-2</v>
      </c>
    </row>
    <row r="7" spans="1:8" x14ac:dyDescent="0.3">
      <c r="A7" s="82" t="s">
        <v>96</v>
      </c>
      <c r="B7" s="82">
        <f>COUNTIF(ItemDetail.Confidential!$E:$E,A7)</f>
        <v>4</v>
      </c>
      <c r="C7" s="83">
        <f>SUMIF(ItemDetail.Confidential!$E:$E,A7,ItemDetail.Confidential!$H:$H)</f>
        <v>154.29000000000002</v>
      </c>
      <c r="D7" s="83">
        <f>SUMIF(ItemDetail.Confidential!$E:$E,A7,ItemDetail.Confidential!$P:$P)</f>
        <v>170.62</v>
      </c>
      <c r="E7" s="83">
        <f>SUMIF(ItemDetail.Confidential!$E:$E,A7,ItemDetail.Confidential!$N:$N)</f>
        <v>105.33000000000001</v>
      </c>
      <c r="F7" s="84">
        <f t="shared" si="0"/>
        <v>4.0189734933733434E-3</v>
      </c>
      <c r="G7" s="83">
        <f t="shared" si="1"/>
        <v>48.960000000000008</v>
      </c>
      <c r="H7" s="84">
        <f t="shared" si="2"/>
        <v>0.3173245187633677</v>
      </c>
    </row>
    <row r="8" spans="1:8" x14ac:dyDescent="0.3">
      <c r="A8" s="82" t="s">
        <v>97</v>
      </c>
      <c r="B8" s="82">
        <f>COUNTIF(ItemDetail.Confidential!$E:$E,A8)</f>
        <v>6</v>
      </c>
      <c r="C8" s="83">
        <f>SUMIF(ItemDetail.Confidential!$E:$E,A8,ItemDetail.Confidential!$H:$H)</f>
        <v>68.919999999999987</v>
      </c>
      <c r="D8" s="83">
        <f>SUMIF(ItemDetail.Confidential!$E:$E,A8,ItemDetail.Confidential!$P:$P)</f>
        <v>70.22</v>
      </c>
      <c r="E8" s="83">
        <f>SUMIF(ItemDetail.Confidential!$E:$E,A8,ItemDetail.Confidential!$N:$N)</f>
        <v>59.14</v>
      </c>
      <c r="F8" s="84">
        <f t="shared" si="0"/>
        <v>1.7952404767858623E-3</v>
      </c>
      <c r="G8" s="83">
        <f t="shared" si="1"/>
        <v>9.7799999999999869</v>
      </c>
      <c r="H8" s="84">
        <f t="shared" si="2"/>
        <v>0.14190365641323258</v>
      </c>
    </row>
    <row r="9" spans="1:8" x14ac:dyDescent="0.3">
      <c r="A9" s="82" t="s">
        <v>98</v>
      </c>
      <c r="B9" s="82">
        <f>COUNTIF(ItemDetail.Confidential!$E:$E,A9)</f>
        <v>4</v>
      </c>
      <c r="C9" s="83">
        <f>SUMIF(ItemDetail.Confidential!$E:$E,A9,ItemDetail.Confidential!$H:$H)</f>
        <v>286.12</v>
      </c>
      <c r="D9" s="83">
        <f>SUMIF(ItemDetail.Confidential!$E:$E,A9,ItemDetail.Confidential!$P:$P)</f>
        <v>322.14999999999998</v>
      </c>
      <c r="E9" s="83">
        <f>SUMIF(ItemDetail.Confidential!$E:$E,A9,ItemDetail.Confidential!$N:$N)</f>
        <v>286.69899999999996</v>
      </c>
      <c r="F9" s="84">
        <f t="shared" si="0"/>
        <v>7.4529048928898877E-3</v>
      </c>
      <c r="G9" s="83">
        <f t="shared" si="1"/>
        <v>-0.57899999999995089</v>
      </c>
      <c r="H9" s="84">
        <f t="shared" si="2"/>
        <v>-2.0236264504402031E-3</v>
      </c>
    </row>
    <row r="10" spans="1:8" x14ac:dyDescent="0.3">
      <c r="A10" s="82" t="s">
        <v>99</v>
      </c>
      <c r="B10" s="82">
        <f>COUNTIF(ItemDetail.Confidential!$E:$E,A10)</f>
        <v>0</v>
      </c>
      <c r="C10" s="83">
        <f>SUMIF(ItemDetail.Confidential!$E:$E,A10,ItemDetail.Confidential!$H:$H)</f>
        <v>0</v>
      </c>
      <c r="D10" s="83">
        <f>SUMIF(ItemDetail.Confidential!$E:$E,A10,ItemDetail.Confidential!$P:$P)</f>
        <v>0</v>
      </c>
      <c r="E10" s="83">
        <f>SUMIF(ItemDetail.Confidential!$E:$E,A10,ItemDetail.Confidential!$N:$N)</f>
        <v>0</v>
      </c>
      <c r="F10" s="84">
        <f t="shared" si="0"/>
        <v>0</v>
      </c>
      <c r="G10" s="83">
        <f t="shared" si="1"/>
        <v>0</v>
      </c>
      <c r="H10" s="84">
        <f t="shared" si="2"/>
        <v>0</v>
      </c>
    </row>
    <row r="11" spans="1:8" x14ac:dyDescent="0.3">
      <c r="A11" s="82" t="s">
        <v>100</v>
      </c>
      <c r="B11" s="82">
        <f>COUNTIF(ItemDetail.Confidential!$E:$E,A11)</f>
        <v>29</v>
      </c>
      <c r="C11" s="83">
        <f>SUMIF(ItemDetail.Confidential!$E:$E,A11,ItemDetail.Confidential!$H:$H)</f>
        <v>2580.66</v>
      </c>
      <c r="D11" s="83">
        <f>SUMIF(ItemDetail.Confidential!$E:$E,A11,ItemDetail.Confidential!$P:$P)</f>
        <v>2847.54</v>
      </c>
      <c r="E11" s="83">
        <f>SUMIF(ItemDetail.Confidential!$E:$E,A11,ItemDetail.Confidential!$N:$N)</f>
        <v>2397.2200000000003</v>
      </c>
      <c r="F11" s="84">
        <f t="shared" si="0"/>
        <v>6.7221492873218283E-2</v>
      </c>
      <c r="G11" s="83">
        <f t="shared" si="1"/>
        <v>183.4399999999996</v>
      </c>
      <c r="H11" s="84">
        <f t="shared" si="2"/>
        <v>7.1082591275100013E-2</v>
      </c>
    </row>
    <row r="12" spans="1:8" x14ac:dyDescent="0.3">
      <c r="A12" s="82" t="s">
        <v>101</v>
      </c>
      <c r="B12" s="82">
        <f>COUNTIF(ItemDetail.Confidential!$E:$E,A12)</f>
        <v>0</v>
      </c>
      <c r="C12" s="83">
        <f>SUMIF(ItemDetail.Confidential!$E:$E,A12,ItemDetail.Confidential!$H:$H)</f>
        <v>0</v>
      </c>
      <c r="D12" s="83">
        <f>SUMIF(ItemDetail.Confidential!$E:$E,A12,ItemDetail.Confidential!$P:$P)</f>
        <v>0</v>
      </c>
      <c r="E12" s="83">
        <f>SUMIF(ItemDetail.Confidential!$E:$E,A12,ItemDetail.Confidential!$N:$N)</f>
        <v>0</v>
      </c>
      <c r="F12" s="84">
        <f t="shared" si="0"/>
        <v>0</v>
      </c>
      <c r="G12" s="83">
        <f t="shared" si="1"/>
        <v>0</v>
      </c>
      <c r="H12" s="84">
        <f t="shared" si="2"/>
        <v>0</v>
      </c>
    </row>
    <row r="13" spans="1:8" x14ac:dyDescent="0.3">
      <c r="A13" s="82" t="s">
        <v>102</v>
      </c>
      <c r="B13" s="82">
        <f>COUNTIF(ItemDetail.Confidential!$E:$E,A13)</f>
        <v>4</v>
      </c>
      <c r="C13" s="83">
        <f>SUMIF(ItemDetail.Confidential!$E:$E,A13,ItemDetail.Confidential!$H:$H)</f>
        <v>3406.8799999999997</v>
      </c>
      <c r="D13" s="83">
        <f>SUMIF(ItemDetail.Confidential!$E:$E,A13,ItemDetail.Confidential!$P:$P)</f>
        <v>3694.1600000000003</v>
      </c>
      <c r="E13" s="83">
        <f>SUMIF(ItemDetail.Confidential!$E:$E,A13,ItemDetail.Confidential!$N:$N)</f>
        <v>3196.0499999999997</v>
      </c>
      <c r="F13" s="84">
        <f t="shared" si="0"/>
        <v>8.8743019088105335E-2</v>
      </c>
      <c r="G13" s="83">
        <f t="shared" si="1"/>
        <v>210.82999999999993</v>
      </c>
      <c r="H13" s="84">
        <f t="shared" si="2"/>
        <v>6.1883600244211696E-2</v>
      </c>
    </row>
    <row r="14" spans="1:8" x14ac:dyDescent="0.3">
      <c r="A14" s="82" t="s">
        <v>103</v>
      </c>
      <c r="B14" s="82">
        <f>COUNTIF(ItemDetail.Confidential!$E:$E,A14)</f>
        <v>3</v>
      </c>
      <c r="C14" s="83">
        <f>SUMIF(ItemDetail.Confidential!$E:$E,A14,ItemDetail.Confidential!$H:$H)</f>
        <v>475.18</v>
      </c>
      <c r="D14" s="83">
        <f>SUMIF(ItemDetail.Confidential!$E:$E,A14,ItemDetail.Confidential!$P:$P)</f>
        <v>480.18</v>
      </c>
      <c r="E14" s="83">
        <f>SUMIF(ItemDetail.Confidential!$E:$E,A14,ItemDetail.Confidential!$N:$N)</f>
        <v>467.54</v>
      </c>
      <c r="F14" s="84">
        <f t="shared" si="0"/>
        <v>1.2377573560056677E-2</v>
      </c>
      <c r="G14" s="83">
        <f t="shared" si="1"/>
        <v>7.6399999999999864</v>
      </c>
      <c r="H14" s="84">
        <f t="shared" si="2"/>
        <v>1.6078117765899208E-2</v>
      </c>
    </row>
    <row r="15" spans="1:8" x14ac:dyDescent="0.3">
      <c r="A15" s="82" t="s">
        <v>104</v>
      </c>
      <c r="B15" s="82">
        <f>COUNTIF(ItemDetail.Confidential!$E:$E,A15)</f>
        <v>0</v>
      </c>
      <c r="C15" s="83">
        <f>SUMIF(ItemDetail.Confidential!$E:$E,A15,ItemDetail.Confidential!$H:$H)</f>
        <v>0</v>
      </c>
      <c r="D15" s="83">
        <f>SUMIF(ItemDetail.Confidential!$E:$E,A15,ItemDetail.Confidential!$P:$P)</f>
        <v>0</v>
      </c>
      <c r="E15" s="83">
        <f>SUMIF(ItemDetail.Confidential!$E:$E,A15,ItemDetail.Confidential!$N:$N)</f>
        <v>0</v>
      </c>
      <c r="F15" s="84">
        <f t="shared" si="0"/>
        <v>0</v>
      </c>
      <c r="G15" s="83">
        <f t="shared" ref="G15" si="3">C15-E15</f>
        <v>0</v>
      </c>
      <c r="H15" s="84">
        <f t="shared" si="2"/>
        <v>0</v>
      </c>
    </row>
    <row r="16" spans="1:8" x14ac:dyDescent="0.3">
      <c r="A16" s="82" t="s">
        <v>105</v>
      </c>
      <c r="B16" s="82">
        <f>COUNTIF(ItemDetail.Confidential!$E:$E,A16)</f>
        <v>1</v>
      </c>
      <c r="C16" s="83">
        <f>SUMIF(ItemDetail.Confidential!$E:$E,A16,ItemDetail.Confidential!$H:$H)</f>
        <v>60.34</v>
      </c>
      <c r="D16" s="83">
        <f>SUMIF(ItemDetail.Confidential!$E:$E,A16,ItemDetail.Confidential!$P:$P)</f>
        <v>79.489999999999995</v>
      </c>
      <c r="E16" s="83">
        <f>SUMIF(ItemDetail.Confidential!$E:$E,A16,ItemDetail.Confidential!$N:$N)</f>
        <v>67.77</v>
      </c>
      <c r="F16" s="84">
        <f t="shared" si="0"/>
        <v>1.571747103442527E-3</v>
      </c>
      <c r="G16" s="83">
        <f t="shared" si="1"/>
        <v>-7.4299999999999926</v>
      </c>
      <c r="H16" s="84">
        <f t="shared" si="2"/>
        <v>-0.12313556513092463</v>
      </c>
    </row>
    <row r="17" spans="1:8" x14ac:dyDescent="0.3">
      <c r="A17" s="82" t="s">
        <v>106</v>
      </c>
      <c r="B17" s="82">
        <f>COUNTIF(ItemDetail.Confidential!$E:$E,A17)</f>
        <v>2</v>
      </c>
      <c r="C17" s="83">
        <f>SUMIF(ItemDetail.Confidential!$E:$E,A17,ItemDetail.Confidential!$H:$H)</f>
        <v>90.14</v>
      </c>
      <c r="D17" s="83">
        <f>SUMIF(ItemDetail.Confidential!$E:$E,A17,ItemDetail.Confidential!$P:$P)</f>
        <v>106.28</v>
      </c>
      <c r="E17" s="83">
        <f>SUMIF(ItemDetail.Confidential!$E:$E,A17,ItemDetail.Confidential!$N:$N)</f>
        <v>97.38</v>
      </c>
      <c r="F17" s="84">
        <f t="shared" si="0"/>
        <v>2.3479828290405929E-3</v>
      </c>
      <c r="G17" s="83">
        <f t="shared" si="1"/>
        <v>-7.2399999999999949</v>
      </c>
      <c r="H17" s="84">
        <f t="shared" si="2"/>
        <v>-8.0319502995340519E-2</v>
      </c>
    </row>
    <row r="18" spans="1:8" x14ac:dyDescent="0.3">
      <c r="A18" s="82" t="s">
        <v>107</v>
      </c>
      <c r="B18" s="82">
        <f>COUNTIF(ItemDetail.Confidential!$E:$E,A18)</f>
        <v>8</v>
      </c>
      <c r="C18" s="83">
        <f>SUMIF(ItemDetail.Confidential!$E:$E,A18,ItemDetail.Confidential!$H:$H)</f>
        <v>746.88</v>
      </c>
      <c r="D18" s="83">
        <f>SUMIF(ItemDetail.Confidential!$E:$E,A18,ItemDetail.Confidential!$P:$P)</f>
        <v>915.34000000000015</v>
      </c>
      <c r="E18" s="83">
        <f>SUMIF(ItemDetail.Confidential!$E:$E,A18,ItemDetail.Confidential!$N:$N)</f>
        <v>838.27</v>
      </c>
      <c r="F18" s="84">
        <f t="shared" si="0"/>
        <v>1.9454863715928979E-2</v>
      </c>
      <c r="G18" s="83">
        <f t="shared" si="1"/>
        <v>-91.389999999999986</v>
      </c>
      <c r="H18" s="84">
        <f t="shared" si="2"/>
        <v>-0.12236236075407025</v>
      </c>
    </row>
    <row r="19" spans="1:8" x14ac:dyDescent="0.3">
      <c r="A19" s="82" t="s">
        <v>108</v>
      </c>
      <c r="B19" s="82">
        <f>COUNTIF(ItemDetail.Confidential!$E:$E,A19)</f>
        <v>4</v>
      </c>
      <c r="C19" s="83">
        <f>SUMIF(ItemDetail.Confidential!$E:$E,A19,ItemDetail.Confidential!$H:$H)</f>
        <v>591.63</v>
      </c>
      <c r="D19" s="83">
        <f>SUMIF(ItemDetail.Confidential!$E:$E,A19,ItemDetail.Confidential!$P:$P)</f>
        <v>658.85</v>
      </c>
      <c r="E19" s="83">
        <f>SUMIF(ItemDetail.Confidential!$E:$E,A19,ItemDetail.Confidential!$N:$N)</f>
        <v>589.5</v>
      </c>
      <c r="F19" s="84">
        <f t="shared" si="0"/>
        <v>1.5410883970992745E-2</v>
      </c>
      <c r="G19" s="83">
        <f t="shared" si="1"/>
        <v>2.1299999999999955</v>
      </c>
      <c r="H19" s="84">
        <f t="shared" si="2"/>
        <v>3.6002231124182267E-3</v>
      </c>
    </row>
    <row r="20" spans="1:8" x14ac:dyDescent="0.3">
      <c r="A20" s="82" t="s">
        <v>109</v>
      </c>
      <c r="B20" s="82">
        <f>COUNTIF(ItemDetail.Confidential!$E:$E,A20)</f>
        <v>2</v>
      </c>
      <c r="C20" s="83">
        <f>SUMIF(ItemDetail.Confidential!$E:$E,A20,ItemDetail.Confidential!$H:$H)</f>
        <v>508.58</v>
      </c>
      <c r="D20" s="83">
        <f>SUMIF(ItemDetail.Confidential!$E:$E,A20,ItemDetail.Confidential!$P:$P)</f>
        <v>495.94</v>
      </c>
      <c r="E20" s="83">
        <f>SUMIF(ItemDetail.Confidential!$E:$E,A20,ItemDetail.Confidential!$N:$N)</f>
        <v>443.73</v>
      </c>
      <c r="F20" s="84">
        <f t="shared" si="0"/>
        <v>1.3247582729015583E-2</v>
      </c>
      <c r="G20" s="83">
        <f t="shared" si="1"/>
        <v>64.849999999999966</v>
      </c>
      <c r="H20" s="84">
        <f t="shared" si="2"/>
        <v>0.12751189586692352</v>
      </c>
    </row>
    <row r="21" spans="1:8" x14ac:dyDescent="0.3">
      <c r="A21" s="82" t="s">
        <v>110</v>
      </c>
      <c r="B21" s="82">
        <f>COUNTIF(ItemDetail.Confidential!$E:$E,A21)</f>
        <v>1</v>
      </c>
      <c r="C21" s="83">
        <f>SUMIF(ItemDetail.Confidential!$E:$E,A21,ItemDetail.Confidential!$H:$H)</f>
        <v>101.4</v>
      </c>
      <c r="D21" s="83">
        <f>SUMIF(ItemDetail.Confidential!$E:$E,A21,ItemDetail.Confidential!$P:$P)</f>
        <v>141.75</v>
      </c>
      <c r="E21" s="83">
        <f>SUMIF(ItemDetail.Confidential!$E:$E,A21,ItemDetail.Confidential!$N:$N)</f>
        <v>138.03</v>
      </c>
      <c r="F21" s="84">
        <f t="shared" si="0"/>
        <v>2.6412853213303323E-3</v>
      </c>
      <c r="G21" s="83">
        <f t="shared" si="1"/>
        <v>-36.629999999999995</v>
      </c>
      <c r="H21" s="84">
        <f t="shared" si="2"/>
        <v>-0.3612426035502958</v>
      </c>
    </row>
    <row r="22" spans="1:8" x14ac:dyDescent="0.3">
      <c r="A22" s="82" t="s">
        <v>111</v>
      </c>
      <c r="B22" s="82">
        <f>COUNTIF(ItemDetail.Confidential!$E:$E,A22)</f>
        <v>0</v>
      </c>
      <c r="C22" s="83">
        <f>SUMIF(ItemDetail.Confidential!$E:$E,A22,ItemDetail.Confidential!$H:$H)</f>
        <v>0</v>
      </c>
      <c r="D22" s="83">
        <f>SUMIF(ItemDetail.Confidential!$E:$E,A22,ItemDetail.Confidential!$P:$P)</f>
        <v>0</v>
      </c>
      <c r="E22" s="83">
        <f>SUMIF(ItemDetail.Confidential!$E:$E,A22,ItemDetail.Confidential!$N:$N)</f>
        <v>0</v>
      </c>
      <c r="F22" s="84">
        <f t="shared" si="0"/>
        <v>0</v>
      </c>
      <c r="G22" s="83">
        <f t="shared" si="1"/>
        <v>0</v>
      </c>
      <c r="H22" s="84">
        <f t="shared" si="2"/>
        <v>0</v>
      </c>
    </row>
    <row r="23" spans="1:8" x14ac:dyDescent="0.3">
      <c r="A23" s="82" t="s">
        <v>112</v>
      </c>
      <c r="B23" s="82">
        <f>COUNTIF(ItemDetail.Confidential!$E:$E,A23)</f>
        <v>13</v>
      </c>
      <c r="C23" s="83">
        <f>SUMIF(ItemDetail.Confidential!$E:$E,A23,ItemDetail.Confidential!$H:$H)</f>
        <v>5166.6499999999996</v>
      </c>
      <c r="D23" s="83">
        <f>SUMIF(ItemDetail.Confidential!$E:$E,A23,ItemDetail.Confidential!$P:$P)</f>
        <v>5892.24</v>
      </c>
      <c r="E23" s="83">
        <f>SUMIF(ItemDetail.Confidential!$E:$E,A23,ItemDetail.Confidential!$N:$N)</f>
        <v>5724.12</v>
      </c>
      <c r="F23" s="84">
        <f t="shared" si="0"/>
        <v>0.13458182253896803</v>
      </c>
      <c r="G23" s="83">
        <f t="shared" si="1"/>
        <v>-557.47000000000025</v>
      </c>
      <c r="H23" s="84">
        <f t="shared" si="2"/>
        <v>-0.107897767412153</v>
      </c>
    </row>
    <row r="24" spans="1:8" x14ac:dyDescent="0.3">
      <c r="A24" s="82" t="s">
        <v>113</v>
      </c>
      <c r="B24" s="82">
        <f>COUNTIF(ItemDetail.Confidential!$E:$E,A24)</f>
        <v>8</v>
      </c>
      <c r="C24" s="83">
        <f>SUMIF(ItemDetail.Confidential!$E:$E,A24,ItemDetail.Confidential!$H:$H)</f>
        <v>1807</v>
      </c>
      <c r="D24" s="83">
        <f>SUMIF(ItemDetail.Confidential!$E:$E,A24,ItemDetail.Confidential!$P:$P)</f>
        <v>1907.6799999999998</v>
      </c>
      <c r="E24" s="83">
        <f>SUMIF(ItemDetail.Confidential!$E:$E,A24,ItemDetail.Confidential!$N:$N)</f>
        <v>1718.9</v>
      </c>
      <c r="F24" s="84">
        <f t="shared" si="0"/>
        <v>4.7069058931399503E-2</v>
      </c>
      <c r="G24" s="83">
        <f t="shared" si="1"/>
        <v>88.099999999999909</v>
      </c>
      <c r="H24" s="84">
        <f t="shared" si="2"/>
        <v>4.8754842280022088E-2</v>
      </c>
    </row>
    <row r="25" spans="1:8" x14ac:dyDescent="0.3">
      <c r="A25" s="82" t="s">
        <v>114</v>
      </c>
      <c r="B25" s="82">
        <f>COUNTIF(ItemDetail.Confidential!$E:$E,A25)</f>
        <v>16</v>
      </c>
      <c r="C25" s="83">
        <f>SUMIF(ItemDetail.Confidential!$E:$E,A25,ItemDetail.Confidential!$H:$H)</f>
        <v>1983.6</v>
      </c>
      <c r="D25" s="83">
        <f>SUMIF(ItemDetail.Confidential!$E:$E,A25,ItemDetail.Confidential!$P:$P)</f>
        <v>1820.96</v>
      </c>
      <c r="E25" s="83">
        <f>SUMIF(ItemDetail.Confidential!$E:$E,A25,ItemDetail.Confidential!$N:$N)</f>
        <v>1686.83</v>
      </c>
      <c r="F25" s="84">
        <f t="shared" si="0"/>
        <v>5.1669167291822943E-2</v>
      </c>
      <c r="G25" s="83">
        <f t="shared" si="1"/>
        <v>296.77</v>
      </c>
      <c r="H25" s="84">
        <f t="shared" si="2"/>
        <v>0.14961181689856826</v>
      </c>
    </row>
    <row r="26" spans="1:8" x14ac:dyDescent="0.3">
      <c r="A26" s="82" t="s">
        <v>115</v>
      </c>
      <c r="B26" s="82">
        <f>COUNTIF(ItemDetail.Confidential!$E:$E,A26)</f>
        <v>9</v>
      </c>
      <c r="C26" s="83">
        <f>SUMIF(ItemDetail.Confidential!$E:$E,A26,ItemDetail.Confidential!$H:$H)</f>
        <v>1551.1100000000001</v>
      </c>
      <c r="D26" s="83">
        <f>SUMIF(ItemDetail.Confidential!$E:$E,A26,ItemDetail.Confidential!$P:$P)</f>
        <v>1707.82</v>
      </c>
      <c r="E26" s="83">
        <f>SUMIF(ItemDetail.Confidential!$E:$E,A26,ItemDetail.Confidential!$N:$N)</f>
        <v>1647.0700000000002</v>
      </c>
      <c r="F26" s="84">
        <f t="shared" si="0"/>
        <v>4.0403590480953565E-2</v>
      </c>
      <c r="G26" s="83">
        <f t="shared" si="1"/>
        <v>-95.960000000000036</v>
      </c>
      <c r="H26" s="84">
        <f t="shared" si="2"/>
        <v>-6.1865373829064367E-2</v>
      </c>
    </row>
    <row r="27" spans="1:8" x14ac:dyDescent="0.3">
      <c r="A27" s="82" t="s">
        <v>116</v>
      </c>
      <c r="B27" s="82">
        <f>COUNTIF(ItemDetail.Confidential!$E:$E,A27)</f>
        <v>0</v>
      </c>
      <c r="C27" s="83">
        <f>SUMIF(ItemDetail.Confidential!$E:$E,A27,ItemDetail.Confidential!$H:$H)</f>
        <v>0</v>
      </c>
      <c r="D27" s="83">
        <f>SUMIF(ItemDetail.Confidential!$E:$E,A27,ItemDetail.Confidential!$P:$P)</f>
        <v>0</v>
      </c>
      <c r="E27" s="83">
        <f>SUMIF(ItemDetail.Confidential!$E:$E,A27,ItemDetail.Confidential!$N:$N)</f>
        <v>0</v>
      </c>
      <c r="F27" s="84">
        <f t="shared" si="0"/>
        <v>0</v>
      </c>
      <c r="G27" s="83">
        <f t="shared" si="1"/>
        <v>0</v>
      </c>
      <c r="H27" s="84">
        <f t="shared" si="2"/>
        <v>0</v>
      </c>
    </row>
    <row r="28" spans="1:8" x14ac:dyDescent="0.3">
      <c r="A28" s="82" t="s">
        <v>117</v>
      </c>
      <c r="B28" s="82">
        <f>COUNTIF(ItemDetail.Confidential!$E:$E,A28)</f>
        <v>2</v>
      </c>
      <c r="C28" s="83">
        <f>SUMIF(ItemDetail.Confidential!$E:$E,A28,ItemDetail.Confidential!$H:$H)</f>
        <v>84.04</v>
      </c>
      <c r="D28" s="83">
        <f>SUMIF(ItemDetail.Confidential!$E:$E,A28,ItemDetail.Confidential!$P:$P)</f>
        <v>110.75</v>
      </c>
      <c r="E28" s="83">
        <f>SUMIF(ItemDetail.Confidential!$E:$E,A28,ItemDetail.Confidential!$N:$N)</f>
        <v>106.47</v>
      </c>
      <c r="F28" s="84">
        <f t="shared" si="0"/>
        <v>2.1890889389013916E-3</v>
      </c>
      <c r="G28" s="83">
        <f t="shared" si="1"/>
        <v>-22.429999999999993</v>
      </c>
      <c r="H28" s="84">
        <f t="shared" si="2"/>
        <v>-0.26689671584959535</v>
      </c>
    </row>
    <row r="29" spans="1:8" x14ac:dyDescent="0.3">
      <c r="A29" s="82" t="s">
        <v>118</v>
      </c>
      <c r="B29" s="82">
        <f>COUNTIF(ItemDetail.Confidential!$E:$E,A29)</f>
        <v>1</v>
      </c>
      <c r="C29" s="83">
        <f>SUMIF(ItemDetail.Confidential!$E:$E,A29,ItemDetail.Confidential!$H:$H)</f>
        <v>260.10000000000002</v>
      </c>
      <c r="D29" s="83">
        <f>SUMIF(ItemDetail.Confidential!$E:$E,A29,ItemDetail.Confidential!$P:$P)</f>
        <v>266.62</v>
      </c>
      <c r="E29" s="83">
        <f>SUMIF(ItemDetail.Confidential!$E:$E,A29,ItemDetail.Confidential!$N:$N)</f>
        <v>259.62</v>
      </c>
      <c r="F29" s="84">
        <f t="shared" si="0"/>
        <v>6.7751312828207046E-3</v>
      </c>
      <c r="G29" s="83">
        <f t="shared" si="1"/>
        <v>0.48000000000001819</v>
      </c>
      <c r="H29" s="84">
        <f t="shared" si="2"/>
        <v>1.8454440599770018E-3</v>
      </c>
    </row>
    <row r="30" spans="1:8" x14ac:dyDescent="0.3">
      <c r="A30" s="82" t="s">
        <v>119</v>
      </c>
      <c r="B30" s="82">
        <f>COUNTIF(ItemDetail.Confidential!$E:$E,A30)</f>
        <v>0</v>
      </c>
      <c r="C30" s="83">
        <f>SUMIF(ItemDetail.Confidential!$E:$E,A30,ItemDetail.Confidential!$H:$H)</f>
        <v>0</v>
      </c>
      <c r="D30" s="83">
        <f>SUMIF(ItemDetail.Confidential!$E:$E,A30,ItemDetail.Confidential!$P:$P)</f>
        <v>0</v>
      </c>
      <c r="E30" s="83">
        <f>SUMIF(ItemDetail.Confidential!$E:$E,A30,ItemDetail.Confidential!$N:$N)</f>
        <v>0</v>
      </c>
      <c r="F30" s="84">
        <f t="shared" si="0"/>
        <v>0</v>
      </c>
      <c r="G30" s="83">
        <f t="shared" si="1"/>
        <v>0</v>
      </c>
      <c r="H30" s="84">
        <f t="shared" si="2"/>
        <v>0</v>
      </c>
    </row>
    <row r="31" spans="1:8" x14ac:dyDescent="0.3">
      <c r="A31" s="82" t="s">
        <v>120</v>
      </c>
      <c r="B31" s="82">
        <f>COUNTIF(ItemDetail.Confidential!$E:$E,A31)</f>
        <v>23</v>
      </c>
      <c r="C31" s="83">
        <f>SUMIF(ItemDetail.Confidential!$E:$E,A31,ItemDetail.Confidential!$H:$H)</f>
        <v>4853.66</v>
      </c>
      <c r="D31" s="83">
        <f>SUMIF(ItemDetail.Confidential!$E:$E,A31,ItemDetail.Confidential!$P:$P)</f>
        <v>6436.0500000000011</v>
      </c>
      <c r="E31" s="83">
        <f>SUMIF(ItemDetail.Confidential!$E:$E,A31,ItemDetail.Confidential!$N:$N)</f>
        <v>4459.33</v>
      </c>
      <c r="F31" s="84">
        <f t="shared" si="0"/>
        <v>0.12642900308410432</v>
      </c>
      <c r="G31" s="83">
        <f t="shared" si="1"/>
        <v>394.32999999999993</v>
      </c>
      <c r="H31" s="84">
        <f t="shared" si="2"/>
        <v>8.1243844851102046E-2</v>
      </c>
    </row>
    <row r="32" spans="1:8" x14ac:dyDescent="0.3">
      <c r="A32" s="82" t="s">
        <v>121</v>
      </c>
      <c r="B32" s="82">
        <f>COUNTIF(ItemDetail.Confidential!$E:$E,A32)</f>
        <v>1</v>
      </c>
      <c r="C32" s="83">
        <f>SUMIF(ItemDetail.Confidential!$E:$E,A32,ItemDetail.Confidential!$H:$H)</f>
        <v>31.71</v>
      </c>
      <c r="D32" s="83">
        <f>SUMIF(ItemDetail.Confidential!$E:$E,A32,ItemDetail.Confidential!$P:$P)</f>
        <v>35.049999999999997</v>
      </c>
      <c r="E32" s="83">
        <f>SUMIF(ItemDetail.Confidential!$E:$E,A32,ItemDetail.Confidential!$N:$N)</f>
        <v>34.119999999999997</v>
      </c>
      <c r="F32" s="84">
        <f t="shared" si="0"/>
        <v>8.2598774693673407E-4</v>
      </c>
      <c r="G32" s="83">
        <f t="shared" si="1"/>
        <v>-2.4099999999999966</v>
      </c>
      <c r="H32" s="84">
        <f t="shared" si="2"/>
        <v>-7.6001261431724892E-2</v>
      </c>
    </row>
    <row r="33" spans="1:8" x14ac:dyDescent="0.3">
      <c r="A33" s="82" t="s">
        <v>122</v>
      </c>
      <c r="B33" s="82">
        <f>COUNTIF(ItemDetail.Confidential!$E:$E,A33)</f>
        <v>6</v>
      </c>
      <c r="C33" s="83">
        <f>SUMIF(ItemDetail.Confidential!$E:$E,A33,ItemDetail.Confidential!$H:$H)</f>
        <v>3011.18</v>
      </c>
      <c r="D33" s="83">
        <f>SUMIF(ItemDetail.Confidential!$E:$E,A33,ItemDetail.Confidential!$P:$P)</f>
        <v>3091.3199999999997</v>
      </c>
      <c r="E33" s="83">
        <f>SUMIF(ItemDetail.Confidential!$E:$E,A33,ItemDetail.Confidential!$N:$N)</f>
        <v>3006.0499999999997</v>
      </c>
      <c r="F33" s="84">
        <f t="shared" si="0"/>
        <v>7.8435754772026314E-2</v>
      </c>
      <c r="G33" s="83">
        <f t="shared" si="1"/>
        <v>5.1300000000001091</v>
      </c>
      <c r="H33" s="84">
        <f t="shared" si="2"/>
        <v>1.7036510603816808E-3</v>
      </c>
    </row>
    <row r="34" spans="1:8" x14ac:dyDescent="0.3">
      <c r="A34" s="82" t="s">
        <v>123</v>
      </c>
      <c r="B34" s="82">
        <f>COUNTIF(ItemDetail.Confidential!$E:$E,A34)</f>
        <v>1</v>
      </c>
      <c r="C34" s="83">
        <f>SUMIF(ItemDetail.Confidential!$E:$E,A34,ItemDetail.Confidential!$H:$H)</f>
        <v>55.11</v>
      </c>
      <c r="D34" s="83">
        <f>SUMIF(ItemDetail.Confidential!$E:$E,A34,ItemDetail.Confidential!$P:$P)</f>
        <v>55.11</v>
      </c>
      <c r="E34" s="83">
        <f>SUMIF(ItemDetail.Confidential!$E:$E,A34,ItemDetail.Confidential!$N:$N)</f>
        <v>50.47</v>
      </c>
      <c r="F34" s="84">
        <f t="shared" si="0"/>
        <v>1.4355151287821952E-3</v>
      </c>
      <c r="G34" s="83">
        <f t="shared" si="1"/>
        <v>4.6400000000000006</v>
      </c>
      <c r="H34" s="84">
        <f t="shared" si="2"/>
        <v>8.4195245871892588E-2</v>
      </c>
    </row>
    <row r="36" spans="1:8" x14ac:dyDescent="0.3">
      <c r="A36" s="81" t="s">
        <v>124</v>
      </c>
      <c r="B36" s="81"/>
      <c r="C36" s="85">
        <f>SUM(C3:C35)</f>
        <v>38390.400000000009</v>
      </c>
      <c r="D36" s="85">
        <f>SUM(D3:D35)</f>
        <v>44180.15</v>
      </c>
      <c r="E36" s="85">
        <f>SUM(E3:E35)</f>
        <v>38457.249000000003</v>
      </c>
      <c r="F36" s="81"/>
      <c r="G36" s="85">
        <f>SUM(G3:G35)</f>
        <v>-66.849000000001482</v>
      </c>
      <c r="H36" s="89">
        <f>G36/C36</f>
        <v>-1.7412946986747068E-3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23"/>
  <sheetViews>
    <sheetView workbookViewId="0">
      <selection activeCell="B9" sqref="B9"/>
    </sheetView>
  </sheetViews>
  <sheetFormatPr defaultColWidth="9.109375" defaultRowHeight="14.4" x14ac:dyDescent="0.3"/>
  <cols>
    <col min="1" max="1" width="44.88671875" style="95" customWidth="1"/>
    <col min="2" max="2" width="12.109375" style="95" customWidth="1"/>
    <col min="3" max="16384" width="9.109375" style="12"/>
  </cols>
  <sheetData>
    <row r="1" spans="1:2" ht="23.4" x14ac:dyDescent="0.45">
      <c r="A1" s="88" t="s">
        <v>125</v>
      </c>
      <c r="B1" s="12"/>
    </row>
    <row r="2" spans="1:2" x14ac:dyDescent="0.3">
      <c r="A2" s="96" t="s">
        <v>126</v>
      </c>
      <c r="B2" s="97" t="s">
        <v>127</v>
      </c>
    </row>
    <row r="3" spans="1:2" x14ac:dyDescent="0.3">
      <c r="A3" s="98" t="s">
        <v>128</v>
      </c>
      <c r="B3" s="99">
        <f>SUMIFS(ItemDetail.Confidential!N:N,ItemDetail.Confidential!D:D,A3)</f>
        <v>602.68000000000006</v>
      </c>
    </row>
    <row r="4" spans="1:2" x14ac:dyDescent="0.3">
      <c r="A4" s="98" t="s">
        <v>129</v>
      </c>
      <c r="B4" s="99">
        <f>SUMIFS(ItemDetail.Confidential!N:N,ItemDetail.Confidential!D:D,A4)</f>
        <v>0</v>
      </c>
    </row>
    <row r="5" spans="1:2" x14ac:dyDescent="0.3">
      <c r="A5" s="98" t="s">
        <v>130</v>
      </c>
      <c r="B5" s="99">
        <f>SUMIFS(ItemDetail.Confidential!N:N,ItemDetail.Confidential!D:D,A5)</f>
        <v>0</v>
      </c>
    </row>
    <row r="6" spans="1:2" x14ac:dyDescent="0.3">
      <c r="A6" s="98" t="s">
        <v>131</v>
      </c>
      <c r="B6" s="99">
        <f>SUMIFS(ItemDetail.Confidential!N:N,ItemDetail.Confidential!D:D,A6)</f>
        <v>0</v>
      </c>
    </row>
    <row r="7" spans="1:2" x14ac:dyDescent="0.3">
      <c r="A7" s="98" t="s">
        <v>132</v>
      </c>
      <c r="B7" s="99">
        <f>SUMIFS(ItemDetail.Confidential!N:N,ItemDetail.Confidential!D:D,A7)</f>
        <v>487.55</v>
      </c>
    </row>
    <row r="8" spans="1:2" x14ac:dyDescent="0.3">
      <c r="A8" s="98" t="s">
        <v>133</v>
      </c>
      <c r="B8" s="99">
        <f>SUMIFS(ItemDetail.Confidential!N:N,ItemDetail.Confidential!D:D,A8)</f>
        <v>20</v>
      </c>
    </row>
    <row r="9" spans="1:2" x14ac:dyDescent="0.3">
      <c r="A9" s="98" t="s">
        <v>134</v>
      </c>
      <c r="B9" s="99">
        <f>SUMIFS(ItemDetail.Confidential!N:N,ItemDetail.Confidential!D:D,A9)</f>
        <v>0</v>
      </c>
    </row>
    <row r="10" spans="1:2" x14ac:dyDescent="0.3">
      <c r="A10" s="98" t="s">
        <v>135</v>
      </c>
      <c r="B10" s="99">
        <f>SUMIFS(ItemDetail.Confidential!N:N,ItemDetail.Confidential!D:D,A10)</f>
        <v>0</v>
      </c>
    </row>
    <row r="11" spans="1:2" x14ac:dyDescent="0.3">
      <c r="A11" s="98" t="s">
        <v>136</v>
      </c>
      <c r="B11" s="99">
        <f>SUMIFS(ItemDetail.Confidential!N:N,ItemDetail.Confidential!D:D,A11)</f>
        <v>0</v>
      </c>
    </row>
    <row r="12" spans="1:2" x14ac:dyDescent="0.3">
      <c r="A12" s="98" t="s">
        <v>137</v>
      </c>
      <c r="B12" s="99">
        <f>SUMIFS(ItemDetail.Confidential!N:N,ItemDetail.Confidential!D:D,A12)</f>
        <v>0</v>
      </c>
    </row>
    <row r="13" spans="1:2" x14ac:dyDescent="0.3">
      <c r="A13" s="98" t="s">
        <v>138</v>
      </c>
      <c r="B13" s="99">
        <f>SUMIFS(ItemDetail.Confidential!N:N,ItemDetail.Confidential!D:D,A13)</f>
        <v>0</v>
      </c>
    </row>
    <row r="14" spans="1:2" x14ac:dyDescent="0.3">
      <c r="A14" s="98" t="s">
        <v>139</v>
      </c>
      <c r="B14" s="99">
        <f>SUMIFS(ItemDetail.Confidential!N:N,ItemDetail.Confidential!D:D,A14)</f>
        <v>0</v>
      </c>
    </row>
    <row r="15" spans="1:2" x14ac:dyDescent="0.3">
      <c r="A15" s="98" t="s">
        <v>140</v>
      </c>
      <c r="B15" s="99">
        <f>SUMIFS(ItemDetail.Confidential!N:N,ItemDetail.Confidential!D:D,A15)</f>
        <v>192.4</v>
      </c>
    </row>
    <row r="16" spans="1:2" x14ac:dyDescent="0.3">
      <c r="A16" s="98" t="s">
        <v>141</v>
      </c>
      <c r="B16" s="99">
        <f>SUMIFS(ItemDetail.Confidential!N:N,ItemDetail.Confidential!D:D,A16)</f>
        <v>0</v>
      </c>
    </row>
    <row r="17" spans="1:2" x14ac:dyDescent="0.3">
      <c r="A17" s="98" t="s">
        <v>142</v>
      </c>
      <c r="B17" s="99">
        <f>SUMIFS(ItemDetail.Confidential!N:N,ItemDetail.Confidential!D:D,A17)</f>
        <v>0</v>
      </c>
    </row>
    <row r="18" spans="1:2" x14ac:dyDescent="0.3">
      <c r="A18" s="98" t="s">
        <v>143</v>
      </c>
      <c r="B18" s="99">
        <f>SUMIFS(ItemDetail.Confidential!N:N,ItemDetail.Confidential!D:D,A18)</f>
        <v>0</v>
      </c>
    </row>
    <row r="19" spans="1:2" x14ac:dyDescent="0.3">
      <c r="A19" s="98" t="s">
        <v>144</v>
      </c>
      <c r="B19" s="99">
        <f>SUMIFS(ItemDetail.Confidential!N:N,ItemDetail.Confidential!D:D,A19)</f>
        <v>64.53</v>
      </c>
    </row>
    <row r="20" spans="1:2" x14ac:dyDescent="0.3">
      <c r="A20" s="98" t="s">
        <v>145</v>
      </c>
      <c r="B20" s="99">
        <f>SUMIFS(ItemDetail.Confidential!N:N,ItemDetail.Confidential!D:D,A20)</f>
        <v>0</v>
      </c>
    </row>
    <row r="21" spans="1:2" x14ac:dyDescent="0.3">
      <c r="A21" s="98" t="s">
        <v>146</v>
      </c>
      <c r="B21" s="99">
        <f>SUMIFS(ItemDetail.Confidential!N:N,ItemDetail.Confidential!D:D,A21)</f>
        <v>0</v>
      </c>
    </row>
    <row r="22" spans="1:2" x14ac:dyDescent="0.3">
      <c r="A22" s="98" t="s">
        <v>147</v>
      </c>
      <c r="B22" s="99">
        <f>SUMIFS(ItemDetail.Confidential!N:N,ItemDetail.Confidential!D:D,A22)</f>
        <v>0</v>
      </c>
    </row>
    <row r="23" spans="1:2" x14ac:dyDescent="0.3">
      <c r="A23" s="98" t="s">
        <v>148</v>
      </c>
      <c r="B23" s="99">
        <f>SUMIFS(ItemDetail.Confidential!N:N,ItemDetail.Confidential!D:D,A23)</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1:X201"/>
  <sheetViews>
    <sheetView workbookViewId="0">
      <pane ySplit="1" topLeftCell="A2" activePane="bottomLeft" state="frozen"/>
      <selection activeCell="K1" sqref="K1"/>
      <selection pane="bottomLeft" activeCell="A155" sqref="A155"/>
    </sheetView>
  </sheetViews>
  <sheetFormatPr defaultColWidth="27.109375" defaultRowHeight="14.4" x14ac:dyDescent="0.3"/>
  <cols>
    <col min="1" max="1" width="37.109375" bestFit="1" customWidth="1"/>
    <col min="2" max="2" width="16.109375" bestFit="1" customWidth="1"/>
    <col min="3" max="3" width="40" bestFit="1" customWidth="1"/>
    <col min="4" max="4" width="30.77734375" bestFit="1" customWidth="1"/>
    <col min="5" max="5" width="33.88671875" bestFit="1" customWidth="1"/>
    <col min="6" max="6" width="56.21875" bestFit="1" customWidth="1"/>
    <col min="7" max="7" width="50.6640625" bestFit="1" customWidth="1"/>
    <col min="8" max="8" width="22.6640625" style="4" bestFit="1" customWidth="1"/>
    <col min="9" max="9" width="17.6640625" bestFit="1" customWidth="1"/>
    <col min="10" max="10" width="19.109375" bestFit="1" customWidth="1"/>
    <col min="11" max="11" width="12.21875" style="4" bestFit="1" customWidth="1"/>
    <col min="12" max="12" width="12.44140625" bestFit="1" customWidth="1"/>
    <col min="13" max="13" width="14.21875" style="7" bestFit="1" customWidth="1"/>
    <col min="14" max="14" width="15.21875" style="4" bestFit="1" customWidth="1"/>
    <col min="15" max="15" width="11.33203125" style="4" bestFit="1" customWidth="1"/>
    <col min="16" max="16" width="19.5546875" style="4" bestFit="1" customWidth="1"/>
    <col min="17" max="17" width="15.77734375" style="4" bestFit="1" customWidth="1"/>
    <col min="18" max="18" width="12.21875" style="4" bestFit="1" customWidth="1"/>
    <col min="19" max="19" width="12.44140625" style="7" bestFit="1" customWidth="1"/>
    <col min="20" max="20" width="14.21875" style="4" bestFit="1" customWidth="1"/>
    <col min="21" max="21" width="11.109375" bestFit="1" customWidth="1"/>
    <col min="22" max="22" width="13.88671875" bestFit="1" customWidth="1"/>
    <col min="23" max="23" width="9.33203125" bestFit="1" customWidth="1"/>
    <col min="24" max="24" width="17.33203125" bestFit="1" customWidth="1"/>
  </cols>
  <sheetData>
    <row r="1" spans="1:24" ht="15" thickBot="1" x14ac:dyDescent="0.35">
      <c r="A1" s="90" t="s">
        <v>149</v>
      </c>
      <c r="B1" s="90" t="s">
        <v>150</v>
      </c>
      <c r="C1" s="91" t="s">
        <v>151</v>
      </c>
      <c r="D1" s="91" t="s">
        <v>152</v>
      </c>
      <c r="E1" s="91" t="s">
        <v>153</v>
      </c>
      <c r="F1" s="91" t="s">
        <v>154</v>
      </c>
      <c r="G1" s="91" t="s">
        <v>155</v>
      </c>
      <c r="H1" s="92" t="s">
        <v>156</v>
      </c>
      <c r="I1" s="93" t="s">
        <v>157</v>
      </c>
      <c r="J1" s="94" t="s">
        <v>158</v>
      </c>
      <c r="K1" s="3" t="s">
        <v>27</v>
      </c>
      <c r="L1" s="1" t="s">
        <v>48</v>
      </c>
      <c r="M1" s="6" t="s">
        <v>159</v>
      </c>
      <c r="N1" s="5" t="s">
        <v>160</v>
      </c>
      <c r="O1" s="5" t="s">
        <v>56</v>
      </c>
      <c r="P1" s="8" t="s">
        <v>162</v>
      </c>
      <c r="Q1" s="8" t="s">
        <v>55</v>
      </c>
      <c r="R1" s="108" t="s">
        <v>27</v>
      </c>
      <c r="S1" s="113" t="s">
        <v>48</v>
      </c>
      <c r="T1" s="113" t="s">
        <v>159</v>
      </c>
      <c r="U1" s="44" t="s">
        <v>163</v>
      </c>
      <c r="V1" s="9" t="s">
        <v>164</v>
      </c>
      <c r="W1" s="9" t="s">
        <v>170</v>
      </c>
      <c r="X1" s="9" t="s">
        <v>166</v>
      </c>
    </row>
    <row r="2" spans="1:24" s="133" customFormat="1" x14ac:dyDescent="0.3">
      <c r="A2" s="133" t="s">
        <v>171</v>
      </c>
      <c r="B2" s="134" t="s">
        <v>396</v>
      </c>
      <c r="C2" s="133" t="s">
        <v>397</v>
      </c>
      <c r="D2" s="133" t="s">
        <v>398</v>
      </c>
      <c r="E2" s="133" t="s">
        <v>98</v>
      </c>
      <c r="F2" s="133" t="s">
        <v>399</v>
      </c>
      <c r="G2" s="133" t="s">
        <v>400</v>
      </c>
      <c r="H2" s="136">
        <v>2.5099999999999998</v>
      </c>
      <c r="I2" s="133">
        <v>1</v>
      </c>
      <c r="J2" s="133" t="s">
        <v>187</v>
      </c>
      <c r="K2" s="4">
        <f>H2-N2</f>
        <v>-2.0710000000000006</v>
      </c>
      <c r="L2" s="7">
        <f>K2/H2</f>
        <v>-0.82509960159362583</v>
      </c>
      <c r="M2" s="7" t="str">
        <f>IF(L2&lt;0,"Negative",IF(L2=0,"Same",IF(L2&gt;0.3,"30+%",IF(L2&gt;0.2,"20-30%",IF(L2&gt;0.1,"10-20%",IF(L2&lt;=0.1,"0-10%"))))))</f>
        <v>Negative</v>
      </c>
      <c r="N2" s="4">
        <f>O2*J2</f>
        <v>4.5810000000000004</v>
      </c>
      <c r="O2" s="4">
        <v>4.5810000000000004</v>
      </c>
      <c r="P2" s="4">
        <f>Q2*J2</f>
        <v>4.84</v>
      </c>
      <c r="Q2" s="136">
        <v>4.84</v>
      </c>
      <c r="R2" s="4">
        <f>P2-N2</f>
        <v>0.25899999999999945</v>
      </c>
      <c r="S2" s="7">
        <f>R2/P2</f>
        <v>5.3512396694214766E-2</v>
      </c>
      <c r="T2" s="7" t="str">
        <f>IF(S2&lt;0,"Negative",IF(S2=0,"Same",IF(S2&gt;0.3,"30+%",IF(S2&gt;0.2,"20-30%",IF(S2&gt;0.1,"10-20%",IF(S2&lt;=0.1,"0-10%"))))))</f>
        <v>0-10%</v>
      </c>
      <c r="U2" t="s">
        <v>215</v>
      </c>
      <c r="V2" t="s">
        <v>215</v>
      </c>
      <c r="W2" t="s">
        <v>180</v>
      </c>
      <c r="X2" s="135"/>
    </row>
    <row r="3" spans="1:24" s="133" customFormat="1" x14ac:dyDescent="0.3">
      <c r="A3" s="133" t="s">
        <v>206</v>
      </c>
      <c r="B3" s="134" t="s">
        <v>913</v>
      </c>
      <c r="C3" s="133" t="s">
        <v>914</v>
      </c>
      <c r="D3" s="133" t="s">
        <v>209</v>
      </c>
      <c r="E3" s="133" t="s">
        <v>97</v>
      </c>
      <c r="F3" s="133" t="s">
        <v>358</v>
      </c>
      <c r="G3" s="133" t="s">
        <v>359</v>
      </c>
      <c r="H3" s="136">
        <v>4.63</v>
      </c>
      <c r="I3" s="133">
        <v>1</v>
      </c>
      <c r="J3" s="133" t="s">
        <v>187</v>
      </c>
      <c r="K3" s="4">
        <f>H3-N3</f>
        <v>0.64999999999999991</v>
      </c>
      <c r="L3" s="7">
        <f>K3/H3</f>
        <v>0.14038876889848811</v>
      </c>
      <c r="M3" s="7" t="str">
        <f>IF(L3&lt;0,"Negative",IF(L3=0,"Same",IF(L3&gt;0.3,"30+%",IF(L3&gt;0.2,"20-30%",IF(L3&gt;0.1,"10-20%",IF(L3&lt;=0.1,"0-10%"))))))</f>
        <v>10-20%</v>
      </c>
      <c r="N3" s="4">
        <f>O3*J3</f>
        <v>3.98</v>
      </c>
      <c r="O3" s="4">
        <v>3.98</v>
      </c>
      <c r="P3" s="4">
        <f>Q3*J3</f>
        <v>4.72</v>
      </c>
      <c r="Q3" s="136">
        <v>4.72</v>
      </c>
      <c r="R3" s="4">
        <f>P3-N3</f>
        <v>0.73999999999999977</v>
      </c>
      <c r="S3" s="7">
        <f>R3/P3</f>
        <v>0.15677966101694912</v>
      </c>
      <c r="T3" s="7" t="str">
        <f>IF(S3&lt;0,"Negative",IF(S3=0,"Same",IF(S3&gt;0.3,"30+%",IF(S3&gt;0.2,"20-30%",IF(S3&gt;0.1,"10-20%",IF(S3&lt;=0.1,"0-10%"))))))</f>
        <v>10-20%</v>
      </c>
      <c r="U3" t="s">
        <v>215</v>
      </c>
      <c r="V3" t="s">
        <v>215</v>
      </c>
      <c r="W3" t="s">
        <v>180</v>
      </c>
      <c r="X3" s="135"/>
    </row>
    <row r="4" spans="1:24" s="133" customFormat="1" x14ac:dyDescent="0.3">
      <c r="A4" s="133" t="s">
        <v>171</v>
      </c>
      <c r="B4" s="134" t="s">
        <v>537</v>
      </c>
      <c r="C4" s="133" t="s">
        <v>538</v>
      </c>
      <c r="D4" s="133" t="s">
        <v>496</v>
      </c>
      <c r="E4" s="133" t="s">
        <v>100</v>
      </c>
      <c r="F4" s="133" t="s">
        <v>456</v>
      </c>
      <c r="G4" s="133" t="s">
        <v>497</v>
      </c>
      <c r="H4" s="136">
        <v>5.37</v>
      </c>
      <c r="I4" s="133">
        <v>1</v>
      </c>
      <c r="J4" s="133" t="s">
        <v>187</v>
      </c>
      <c r="K4" s="4">
        <f>H4-N4</f>
        <v>-0.38999999999999968</v>
      </c>
      <c r="L4" s="7">
        <f>K4/H4</f>
        <v>-7.2625698324022284E-2</v>
      </c>
      <c r="M4" s="7" t="str">
        <f>IF(L4&lt;0,"Negative",IF(L4=0,"Same",IF(L4&gt;0.3,"30+%",IF(L4&gt;0.2,"20-30%",IF(L4&gt;0.1,"10-20%",IF(L4&lt;=0.1,"0-10%"))))))</f>
        <v>Negative</v>
      </c>
      <c r="N4" s="4">
        <f>O4*J4</f>
        <v>5.76</v>
      </c>
      <c r="O4" s="4">
        <v>5.76</v>
      </c>
      <c r="P4" s="4">
        <f>Q4*J4</f>
        <v>6.67</v>
      </c>
      <c r="Q4" s="136">
        <v>6.67</v>
      </c>
      <c r="R4" s="4">
        <f>P4-N4</f>
        <v>0.91000000000000014</v>
      </c>
      <c r="S4" s="7">
        <f>R4/P4</f>
        <v>0.13643178410794604</v>
      </c>
      <c r="T4" s="7" t="str">
        <f>IF(S4&lt;0,"Negative",IF(S4=0,"Same",IF(S4&gt;0.3,"30+%",IF(S4&gt;0.2,"20-30%",IF(S4&gt;0.1,"10-20%",IF(S4&lt;=0.1,"0-10%"))))))</f>
        <v>10-20%</v>
      </c>
      <c r="U4" t="s">
        <v>215</v>
      </c>
      <c r="V4" t="s">
        <v>215</v>
      </c>
      <c r="W4" t="s">
        <v>180</v>
      </c>
      <c r="X4" s="135"/>
    </row>
    <row r="5" spans="1:24" s="133" customFormat="1" x14ac:dyDescent="0.3">
      <c r="A5" s="133" t="s">
        <v>206</v>
      </c>
      <c r="B5" s="134" t="s">
        <v>817</v>
      </c>
      <c r="C5" s="133" t="s">
        <v>818</v>
      </c>
      <c r="D5" s="133" t="s">
        <v>209</v>
      </c>
      <c r="E5" s="133" t="s">
        <v>97</v>
      </c>
      <c r="F5" s="133" t="s">
        <v>358</v>
      </c>
      <c r="G5" s="133" t="s">
        <v>359</v>
      </c>
      <c r="H5" s="136">
        <v>5.5</v>
      </c>
      <c r="I5" s="133">
        <v>1</v>
      </c>
      <c r="J5" s="133" t="s">
        <v>187</v>
      </c>
      <c r="K5" s="4">
        <f>H5-N5</f>
        <v>0.76999999999999957</v>
      </c>
      <c r="L5" s="7">
        <f>K5/H5</f>
        <v>0.13999999999999993</v>
      </c>
      <c r="M5" s="7" t="str">
        <f>IF(L5&lt;0,"Negative",IF(L5=0,"Same",IF(L5&gt;0.3,"30+%",IF(L5&gt;0.2,"20-30%",IF(L5&gt;0.1,"10-20%",IF(L5&lt;=0.1,"0-10%"))))))</f>
        <v>10-20%</v>
      </c>
      <c r="N5" s="4">
        <f>O5*J5</f>
        <v>4.7300000000000004</v>
      </c>
      <c r="O5" s="4">
        <v>4.7300000000000004</v>
      </c>
      <c r="P5" s="4">
        <f>Q5*J5</f>
        <v>5.61</v>
      </c>
      <c r="Q5" s="136">
        <v>5.61</v>
      </c>
      <c r="R5" s="4">
        <f>P5-N5</f>
        <v>0.87999999999999989</v>
      </c>
      <c r="S5" s="7">
        <f>R5/P5</f>
        <v>0.15686274509803919</v>
      </c>
      <c r="T5" s="7" t="str">
        <f>IF(S5&lt;0,"Negative",IF(S5=0,"Same",IF(S5&gt;0.3,"30+%",IF(S5&gt;0.2,"20-30%",IF(S5&gt;0.1,"10-20%",IF(S5&lt;=0.1,"0-10%"))))))</f>
        <v>10-20%</v>
      </c>
      <c r="U5" t="s">
        <v>215</v>
      </c>
      <c r="V5" t="s">
        <v>215</v>
      </c>
      <c r="W5" t="s">
        <v>180</v>
      </c>
      <c r="X5" s="135"/>
    </row>
    <row r="6" spans="1:24" s="133" customFormat="1" x14ac:dyDescent="0.3">
      <c r="A6" s="133" t="s">
        <v>206</v>
      </c>
      <c r="B6" s="134" t="s">
        <v>694</v>
      </c>
      <c r="C6" s="133" t="s">
        <v>695</v>
      </c>
      <c r="D6" s="133" t="s">
        <v>696</v>
      </c>
      <c r="E6" s="133" t="s">
        <v>93</v>
      </c>
      <c r="F6" s="133" t="s">
        <v>483</v>
      </c>
      <c r="G6" s="133" t="s">
        <v>697</v>
      </c>
      <c r="H6" s="136">
        <v>6.25</v>
      </c>
      <c r="I6" s="133">
        <v>1</v>
      </c>
      <c r="J6" s="133" t="s">
        <v>187</v>
      </c>
      <c r="K6" s="4">
        <f>H6-N6</f>
        <v>-0.37999999999999989</v>
      </c>
      <c r="L6" s="7">
        <f>K6/H6</f>
        <v>-6.0799999999999986E-2</v>
      </c>
      <c r="M6" s="7" t="str">
        <f>IF(L6&lt;0,"Negative",IF(L6=0,"Same",IF(L6&gt;0.3,"30+%",IF(L6&gt;0.2,"20-30%",IF(L6&gt;0.1,"10-20%",IF(L6&lt;=0.1,"0-10%"))))))</f>
        <v>Negative</v>
      </c>
      <c r="N6" s="4">
        <f>O6*J6</f>
        <v>6.63</v>
      </c>
      <c r="O6" s="4">
        <v>6.63</v>
      </c>
      <c r="P6" s="4">
        <f>Q6*J6</f>
        <v>7.15</v>
      </c>
      <c r="Q6" s="136">
        <v>7.15</v>
      </c>
      <c r="R6" s="4">
        <f>P6-N6</f>
        <v>0.52000000000000046</v>
      </c>
      <c r="S6" s="7">
        <f>R6/P6</f>
        <v>7.2727272727272793E-2</v>
      </c>
      <c r="T6" s="7" t="str">
        <f>IF(S6&lt;0,"Negative",IF(S6=0,"Same",IF(S6&gt;0.3,"30+%",IF(S6&gt;0.2,"20-30%",IF(S6&gt;0.1,"10-20%",IF(S6&lt;=0.1,"0-10%"))))))</f>
        <v>0-10%</v>
      </c>
      <c r="U6" t="s">
        <v>215</v>
      </c>
      <c r="V6" t="s">
        <v>215</v>
      </c>
      <c r="W6" t="s">
        <v>180</v>
      </c>
      <c r="X6" s="135"/>
    </row>
    <row r="7" spans="1:24" s="133" customFormat="1" x14ac:dyDescent="0.3">
      <c r="A7" s="133" t="s">
        <v>171</v>
      </c>
      <c r="B7" s="134" t="s">
        <v>356</v>
      </c>
      <c r="C7" s="133" t="s">
        <v>357</v>
      </c>
      <c r="D7" s="133" t="s">
        <v>209</v>
      </c>
      <c r="E7" s="133" t="s">
        <v>97</v>
      </c>
      <c r="F7" s="133" t="s">
        <v>358</v>
      </c>
      <c r="G7" s="133" t="s">
        <v>359</v>
      </c>
      <c r="H7" s="136">
        <v>6.38</v>
      </c>
      <c r="I7" s="133">
        <v>1</v>
      </c>
      <c r="J7" s="133" t="s">
        <v>187</v>
      </c>
      <c r="K7" s="4">
        <f>H7-N7</f>
        <v>1</v>
      </c>
      <c r="L7" s="7">
        <f>K7/H7</f>
        <v>0.15673981191222572</v>
      </c>
      <c r="M7" s="7" t="str">
        <f>IF(L7&lt;0,"Negative",IF(L7=0,"Same",IF(L7&gt;0.3,"30+%",IF(L7&gt;0.2,"20-30%",IF(L7&gt;0.1,"10-20%",IF(L7&lt;=0.1,"0-10%"))))))</f>
        <v>10-20%</v>
      </c>
      <c r="N7" s="4">
        <f>O7*J7</f>
        <v>5.38</v>
      </c>
      <c r="O7" s="4">
        <v>5.38</v>
      </c>
      <c r="P7" s="4">
        <f>Q7*J7</f>
        <v>6.38</v>
      </c>
      <c r="Q7" s="136">
        <v>6.38</v>
      </c>
      <c r="R7" s="4">
        <f>P7-N7</f>
        <v>1</v>
      </c>
      <c r="S7" s="7">
        <f>R7/P7</f>
        <v>0.15673981191222572</v>
      </c>
      <c r="T7" s="7" t="str">
        <f>IF(S7&lt;0,"Negative",IF(S7=0,"Same",IF(S7&gt;0.3,"30+%",IF(S7&gt;0.2,"20-30%",IF(S7&gt;0.1,"10-20%",IF(S7&lt;=0.1,"0-10%"))))))</f>
        <v>10-20%</v>
      </c>
      <c r="U7" t="s">
        <v>215</v>
      </c>
      <c r="V7" t="s">
        <v>215</v>
      </c>
      <c r="W7" t="s">
        <v>180</v>
      </c>
      <c r="X7" s="135"/>
    </row>
    <row r="8" spans="1:24" s="133" customFormat="1" x14ac:dyDescent="0.3">
      <c r="A8" s="133" t="s">
        <v>206</v>
      </c>
      <c r="B8" s="134" t="s">
        <v>729</v>
      </c>
      <c r="C8" s="133" t="s">
        <v>730</v>
      </c>
      <c r="D8" s="133" t="s">
        <v>229</v>
      </c>
      <c r="E8" s="133" t="s">
        <v>115</v>
      </c>
      <c r="F8" s="133" t="s">
        <v>310</v>
      </c>
      <c r="G8" s="133" t="s">
        <v>731</v>
      </c>
      <c r="H8" s="136">
        <v>6.99</v>
      </c>
      <c r="I8" s="133">
        <v>1</v>
      </c>
      <c r="J8" s="133" t="s">
        <v>187</v>
      </c>
      <c r="K8" s="4">
        <f>H8-N8</f>
        <v>2.0000000000000462E-2</v>
      </c>
      <c r="L8" s="7">
        <f>K8/H8</f>
        <v>2.8612303290415537E-3</v>
      </c>
      <c r="M8" s="7" t="str">
        <f>IF(L8&lt;0,"Negative",IF(L8=0,"Same",IF(L8&gt;0.3,"30+%",IF(L8&gt;0.2,"20-30%",IF(L8&gt;0.1,"10-20%",IF(L8&lt;=0.1,"0-10%"))))))</f>
        <v>0-10%</v>
      </c>
      <c r="N8" s="4">
        <f>O8*J8</f>
        <v>6.97</v>
      </c>
      <c r="O8" s="4">
        <v>6.97</v>
      </c>
      <c r="P8" s="4">
        <f>Q8*J8</f>
        <v>7.16</v>
      </c>
      <c r="Q8" s="136">
        <v>7.16</v>
      </c>
      <c r="R8" s="4">
        <f>P8-N8</f>
        <v>0.19000000000000039</v>
      </c>
      <c r="S8" s="7">
        <f>R8/P8</f>
        <v>2.6536312849162066E-2</v>
      </c>
      <c r="T8" s="7" t="str">
        <f>IF(S8&lt;0,"Negative",IF(S8=0,"Same",IF(S8&gt;0.3,"30+%",IF(S8&gt;0.2,"20-30%",IF(S8&gt;0.1,"10-20%",IF(S8&lt;=0.1,"0-10%"))))))</f>
        <v>0-10%</v>
      </c>
      <c r="U8" t="s">
        <v>215</v>
      </c>
      <c r="V8" t="s">
        <v>215</v>
      </c>
      <c r="W8" t="s">
        <v>180</v>
      </c>
      <c r="X8" s="135"/>
    </row>
    <row r="9" spans="1:24" s="133" customFormat="1" x14ac:dyDescent="0.3">
      <c r="A9" s="133" t="s">
        <v>171</v>
      </c>
      <c r="B9" s="134" t="s">
        <v>548</v>
      </c>
      <c r="C9" s="133" t="s">
        <v>549</v>
      </c>
      <c r="D9" s="133" t="s">
        <v>199</v>
      </c>
      <c r="E9" s="133" t="s">
        <v>92</v>
      </c>
      <c r="F9" s="133" t="s">
        <v>300</v>
      </c>
      <c r="G9" s="133" t="s">
        <v>301</v>
      </c>
      <c r="H9" s="136">
        <v>7.15</v>
      </c>
      <c r="I9" s="133">
        <v>1</v>
      </c>
      <c r="J9" s="133" t="s">
        <v>281</v>
      </c>
      <c r="K9" s="4">
        <f>H9-N9</f>
        <v>-1.0499999999999989</v>
      </c>
      <c r="L9" s="7">
        <f>K9/H9</f>
        <v>-0.14685314685314671</v>
      </c>
      <c r="M9" s="7" t="str">
        <f>IF(L9&lt;0,"Negative",IF(L9=0,"Same",IF(L9&gt;0.3,"30+%",IF(L9&gt;0.2,"20-30%",IF(L9&gt;0.1,"10-20%",IF(L9&lt;=0.1,"0-10%"))))))</f>
        <v>Negative</v>
      </c>
      <c r="N9" s="4">
        <f>O9*J9</f>
        <v>8.1999999999999993</v>
      </c>
      <c r="O9" s="4">
        <v>1.64</v>
      </c>
      <c r="P9" s="4">
        <f>Q9*J9</f>
        <v>9.15</v>
      </c>
      <c r="Q9" s="136">
        <v>1.83</v>
      </c>
      <c r="R9" s="4">
        <f>P9-N9</f>
        <v>0.95000000000000107</v>
      </c>
      <c r="S9" s="7">
        <f>R9/P9</f>
        <v>0.10382513661202197</v>
      </c>
      <c r="T9" s="7" t="str">
        <f>IF(S9&lt;0,"Negative",IF(S9=0,"Same",IF(S9&gt;0.3,"30+%",IF(S9&gt;0.2,"20-30%",IF(S9&gt;0.1,"10-20%",IF(S9&lt;=0.1,"0-10%"))))))</f>
        <v>10-20%</v>
      </c>
      <c r="U9" t="s">
        <v>215</v>
      </c>
      <c r="V9" t="s">
        <v>215</v>
      </c>
      <c r="W9" t="s">
        <v>180</v>
      </c>
      <c r="X9" s="135"/>
    </row>
    <row r="10" spans="1:24" s="133" customFormat="1" x14ac:dyDescent="0.3">
      <c r="A10" s="133" t="s">
        <v>171</v>
      </c>
      <c r="B10" s="134" t="s">
        <v>813</v>
      </c>
      <c r="C10" s="133" t="s">
        <v>814</v>
      </c>
      <c r="D10" s="133" t="s">
        <v>209</v>
      </c>
      <c r="E10" s="133" t="s">
        <v>97</v>
      </c>
      <c r="F10" s="133" t="s">
        <v>815</v>
      </c>
      <c r="G10" s="133" t="s">
        <v>816</v>
      </c>
      <c r="H10" s="136">
        <v>7.36</v>
      </c>
      <c r="I10" s="133">
        <v>1</v>
      </c>
      <c r="J10" s="133" t="s">
        <v>187</v>
      </c>
      <c r="K10" s="4">
        <f>H10-N10</f>
        <v>0.61000000000000032</v>
      </c>
      <c r="L10" s="7">
        <f>K10/H10</f>
        <v>8.2880434782608731E-2</v>
      </c>
      <c r="M10" s="7" t="str">
        <f>IF(L10&lt;0,"Negative",IF(L10=0,"Same",IF(L10&gt;0.3,"30+%",IF(L10&gt;0.2,"20-30%",IF(L10&gt;0.1,"10-20%",IF(L10&lt;=0.1,"0-10%"))))))</f>
        <v>0-10%</v>
      </c>
      <c r="N10" s="4">
        <f>O10*J10</f>
        <v>6.75</v>
      </c>
      <c r="O10" s="4">
        <v>6.75</v>
      </c>
      <c r="P10" s="4">
        <f>Q10*J10</f>
        <v>8.02</v>
      </c>
      <c r="Q10" s="136">
        <v>8.02</v>
      </c>
      <c r="R10" s="4">
        <f>P10-N10</f>
        <v>1.2699999999999996</v>
      </c>
      <c r="S10" s="7">
        <f>R10/P10</f>
        <v>0.15835411471321692</v>
      </c>
      <c r="T10" s="7" t="str">
        <f>IF(S10&lt;0,"Negative",IF(S10=0,"Same",IF(S10&gt;0.3,"30+%",IF(S10&gt;0.2,"20-30%",IF(S10&gt;0.1,"10-20%",IF(S10&lt;=0.1,"0-10%"))))))</f>
        <v>10-20%</v>
      </c>
      <c r="U10" t="s">
        <v>215</v>
      </c>
      <c r="V10" t="s">
        <v>215</v>
      </c>
      <c r="W10" t="s">
        <v>180</v>
      </c>
      <c r="X10" s="135"/>
    </row>
    <row r="11" spans="1:24" s="133" customFormat="1" x14ac:dyDescent="0.3">
      <c r="A11" s="133" t="s">
        <v>171</v>
      </c>
      <c r="B11" s="134" t="s">
        <v>840</v>
      </c>
      <c r="C11" s="133" t="s">
        <v>841</v>
      </c>
      <c r="D11" s="133" t="s">
        <v>842</v>
      </c>
      <c r="E11" s="133" t="s">
        <v>93</v>
      </c>
      <c r="F11" s="133" t="s">
        <v>483</v>
      </c>
      <c r="G11" s="133" t="s">
        <v>504</v>
      </c>
      <c r="H11" s="136">
        <v>7.36</v>
      </c>
      <c r="I11" s="133">
        <v>1</v>
      </c>
      <c r="J11" s="133" t="s">
        <v>187</v>
      </c>
      <c r="K11" s="4">
        <f>H11-N11</f>
        <v>3.0000000000000249E-2</v>
      </c>
      <c r="L11" s="7">
        <f>K11/H11</f>
        <v>4.0760869565217728E-3</v>
      </c>
      <c r="M11" s="7" t="str">
        <f>IF(L11&lt;0,"Negative",IF(L11=0,"Same",IF(L11&gt;0.3,"30+%",IF(L11&gt;0.2,"20-30%",IF(L11&gt;0.1,"10-20%",IF(L11&lt;=0.1,"0-10%"))))))</f>
        <v>0-10%</v>
      </c>
      <c r="N11" s="4">
        <f>O11*J11</f>
        <v>7.33</v>
      </c>
      <c r="O11" s="4">
        <v>7.33</v>
      </c>
      <c r="P11" s="4">
        <f>Q11*J11</f>
        <v>7.91</v>
      </c>
      <c r="Q11" s="136">
        <v>7.91</v>
      </c>
      <c r="R11" s="4">
        <f>P11-N11</f>
        <v>0.58000000000000007</v>
      </c>
      <c r="S11" s="7">
        <f>R11/P11</f>
        <v>7.3324905183312264E-2</v>
      </c>
      <c r="T11" s="7" t="str">
        <f>IF(S11&lt;0,"Negative",IF(S11=0,"Same",IF(S11&gt;0.3,"30+%",IF(S11&gt;0.2,"20-30%",IF(S11&gt;0.1,"10-20%",IF(S11&lt;=0.1,"0-10%"))))))</f>
        <v>0-10%</v>
      </c>
      <c r="U11" t="s">
        <v>215</v>
      </c>
      <c r="V11" t="s">
        <v>215</v>
      </c>
      <c r="W11" t="s">
        <v>180</v>
      </c>
      <c r="X11" s="135"/>
    </row>
    <row r="12" spans="1:24" s="133" customFormat="1" x14ac:dyDescent="0.3">
      <c r="A12" s="133" t="s">
        <v>171</v>
      </c>
      <c r="B12" s="134" t="s">
        <v>494</v>
      </c>
      <c r="C12" s="133" t="s">
        <v>495</v>
      </c>
      <c r="D12" s="133" t="s">
        <v>496</v>
      </c>
      <c r="E12" s="133" t="s">
        <v>100</v>
      </c>
      <c r="F12" s="133" t="s">
        <v>456</v>
      </c>
      <c r="G12" s="133" t="s">
        <v>497</v>
      </c>
      <c r="H12" s="136">
        <v>7.48</v>
      </c>
      <c r="I12" s="133">
        <v>1</v>
      </c>
      <c r="J12" s="133" t="s">
        <v>187</v>
      </c>
      <c r="K12" s="4">
        <f>H12-N12</f>
        <v>4.0500000000000007</v>
      </c>
      <c r="L12" s="7">
        <f>K12/H12</f>
        <v>0.54144385026737973</v>
      </c>
      <c r="M12" s="7" t="str">
        <f>IF(L12&lt;0,"Negative",IF(L12=0,"Same",IF(L12&gt;0.3,"30+%",IF(L12&gt;0.2,"20-30%",IF(L12&gt;0.1,"10-20%",IF(L12&lt;=0.1,"0-10%"))))))</f>
        <v>30+%</v>
      </c>
      <c r="N12" s="4">
        <f>O12*J12</f>
        <v>3.43</v>
      </c>
      <c r="O12" s="4">
        <v>3.43</v>
      </c>
      <c r="P12" s="4">
        <f>Q12*J12</f>
        <v>8.4</v>
      </c>
      <c r="Q12" s="136">
        <v>8.4</v>
      </c>
      <c r="R12" s="4">
        <f>P12-N12</f>
        <v>4.9700000000000006</v>
      </c>
      <c r="S12" s="7">
        <f>R12/P12</f>
        <v>0.59166666666666667</v>
      </c>
      <c r="T12" s="7" t="str">
        <f>IF(S12&lt;0,"Negative",IF(S12=0,"Same",IF(S12&gt;0.3,"30+%",IF(S12&gt;0.2,"20-30%",IF(S12&gt;0.1,"10-20%",IF(S12&lt;=0.1,"0-10%"))))))</f>
        <v>30+%</v>
      </c>
      <c r="U12" t="s">
        <v>250</v>
      </c>
      <c r="V12" t="s">
        <v>215</v>
      </c>
      <c r="W12" t="s">
        <v>180</v>
      </c>
      <c r="X12" s="135"/>
    </row>
    <row r="13" spans="1:24" s="133" customFormat="1" x14ac:dyDescent="0.3">
      <c r="A13" s="133" t="s">
        <v>171</v>
      </c>
      <c r="B13" s="134" t="s">
        <v>420</v>
      </c>
      <c r="C13" s="133" t="s">
        <v>421</v>
      </c>
      <c r="D13" s="133" t="s">
        <v>422</v>
      </c>
      <c r="E13" s="133" t="s">
        <v>117</v>
      </c>
      <c r="F13" s="133" t="s">
        <v>423</v>
      </c>
      <c r="G13" s="133" t="s">
        <v>424</v>
      </c>
      <c r="H13" s="136">
        <v>8.14</v>
      </c>
      <c r="I13" s="133">
        <v>1</v>
      </c>
      <c r="J13" s="133" t="s">
        <v>187</v>
      </c>
      <c r="K13" s="4">
        <f>H13-N13</f>
        <v>-1.9100000000000001</v>
      </c>
      <c r="L13" s="7">
        <f>K13/H13</f>
        <v>-0.23464373464373464</v>
      </c>
      <c r="M13" s="7" t="str">
        <f>IF(L13&lt;0,"Negative",IF(L13=0,"Same",IF(L13&gt;0.3,"30+%",IF(L13&gt;0.2,"20-30%",IF(L13&gt;0.1,"10-20%",IF(L13&lt;=0.1,"0-10%"))))))</f>
        <v>Negative</v>
      </c>
      <c r="N13" s="4">
        <f>O13*J13</f>
        <v>10.050000000000001</v>
      </c>
      <c r="O13" s="4">
        <v>10.050000000000001</v>
      </c>
      <c r="P13" s="4">
        <f>Q13*J13</f>
        <v>11.72</v>
      </c>
      <c r="Q13" s="136">
        <v>11.72</v>
      </c>
      <c r="R13" s="4">
        <f>P13-N13</f>
        <v>1.67</v>
      </c>
      <c r="S13" s="7">
        <f>R13/P13</f>
        <v>0.14249146757679179</v>
      </c>
      <c r="T13" s="7" t="str">
        <f>IF(S13&lt;0,"Negative",IF(S13=0,"Same",IF(S13&gt;0.3,"30+%",IF(S13&gt;0.2,"20-30%",IF(S13&gt;0.1,"10-20%",IF(S13&lt;=0.1,"0-10%"))))))</f>
        <v>10-20%</v>
      </c>
      <c r="U13" t="s">
        <v>250</v>
      </c>
      <c r="V13" t="s">
        <v>215</v>
      </c>
      <c r="W13" t="s">
        <v>180</v>
      </c>
      <c r="X13" s="135"/>
    </row>
    <row r="14" spans="1:24" s="133" customFormat="1" x14ac:dyDescent="0.3">
      <c r="A14" s="133" t="s">
        <v>206</v>
      </c>
      <c r="B14" s="134" t="s">
        <v>819</v>
      </c>
      <c r="C14" s="133" t="s">
        <v>820</v>
      </c>
      <c r="D14" s="133" t="s">
        <v>278</v>
      </c>
      <c r="E14" s="133" t="s">
        <v>114</v>
      </c>
      <c r="F14" s="133" t="s">
        <v>662</v>
      </c>
      <c r="G14" s="133" t="s">
        <v>821</v>
      </c>
      <c r="H14" s="136">
        <v>9.5299999999999994</v>
      </c>
      <c r="I14" s="133">
        <v>1</v>
      </c>
      <c r="J14" s="133" t="s">
        <v>187</v>
      </c>
      <c r="K14" s="4">
        <f>H14-N14</f>
        <v>-2.4600000000000009</v>
      </c>
      <c r="L14" s="7">
        <f>K14/H14</f>
        <v>-0.25813221406086057</v>
      </c>
      <c r="M14" s="7" t="str">
        <f>IF(L14&lt;0,"Negative",IF(L14=0,"Same",IF(L14&gt;0.3,"30+%",IF(L14&gt;0.2,"20-30%",IF(L14&gt;0.1,"10-20%",IF(L14&lt;=0.1,"0-10%"))))))</f>
        <v>Negative</v>
      </c>
      <c r="N14" s="4">
        <f>O14*J14</f>
        <v>11.99</v>
      </c>
      <c r="O14" s="4">
        <v>11.99</v>
      </c>
      <c r="P14" s="4">
        <f>Q14*J14</f>
        <v>12.94</v>
      </c>
      <c r="Q14" s="136">
        <v>12.94</v>
      </c>
      <c r="R14" s="4">
        <f>P14-N14</f>
        <v>0.94999999999999929</v>
      </c>
      <c r="S14" s="7">
        <f>R14/P14</f>
        <v>7.3415765069551719E-2</v>
      </c>
      <c r="T14" s="7" t="str">
        <f>IF(S14&lt;0,"Negative",IF(S14=0,"Same",IF(S14&gt;0.3,"30+%",IF(S14&gt;0.2,"20-30%",IF(S14&gt;0.1,"10-20%",IF(S14&lt;=0.1,"0-10%"))))))</f>
        <v>0-10%</v>
      </c>
      <c r="U14" t="s">
        <v>215</v>
      </c>
      <c r="V14" t="s">
        <v>215</v>
      </c>
      <c r="W14" t="s">
        <v>180</v>
      </c>
      <c r="X14" s="135"/>
    </row>
    <row r="15" spans="1:24" s="133" customFormat="1" x14ac:dyDescent="0.3">
      <c r="A15" s="133" t="s">
        <v>206</v>
      </c>
      <c r="B15" s="134" t="s">
        <v>261</v>
      </c>
      <c r="C15" s="133" t="s">
        <v>262</v>
      </c>
      <c r="D15" s="133" t="s">
        <v>263</v>
      </c>
      <c r="E15" s="133" t="s">
        <v>95</v>
      </c>
      <c r="F15" s="133" t="s">
        <v>264</v>
      </c>
      <c r="G15" s="133" t="s">
        <v>265</v>
      </c>
      <c r="H15" s="136">
        <v>10.36</v>
      </c>
      <c r="I15" s="133">
        <v>1</v>
      </c>
      <c r="J15" s="133" t="s">
        <v>177</v>
      </c>
      <c r="K15" s="4">
        <f>H15-N15</f>
        <v>5.9999999999998721E-2</v>
      </c>
      <c r="L15" s="7">
        <f>K15/H15</f>
        <v>5.791505791505668E-3</v>
      </c>
      <c r="M15" s="7" t="str">
        <f>IF(L15&lt;0,"Negative",IF(L15=0,"Same",IF(L15&gt;0.3,"30+%",IF(L15&gt;0.2,"20-30%",IF(L15&gt;0.1,"10-20%",IF(L15&lt;=0.1,"0-10%"))))))</f>
        <v>0-10%</v>
      </c>
      <c r="N15" s="4">
        <f>O15*J15</f>
        <v>10.3</v>
      </c>
      <c r="O15" s="4">
        <v>5.15</v>
      </c>
      <c r="P15" s="4">
        <f>Q15*J15</f>
        <v>11.52</v>
      </c>
      <c r="Q15" s="136">
        <v>5.76</v>
      </c>
      <c r="R15" s="4">
        <f>P15-N15</f>
        <v>1.2199999999999989</v>
      </c>
      <c r="S15" s="7">
        <f>R15/P15</f>
        <v>0.10590277777777768</v>
      </c>
      <c r="T15" s="7" t="str">
        <f>IF(S15&lt;0,"Negative",IF(S15=0,"Same",IF(S15&gt;0.3,"30+%",IF(S15&gt;0.2,"20-30%",IF(S15&gt;0.1,"10-20%",IF(S15&lt;=0.1,"0-10%"))))))</f>
        <v>10-20%</v>
      </c>
      <c r="U15" t="s">
        <v>215</v>
      </c>
      <c r="V15" t="s">
        <v>215</v>
      </c>
      <c r="W15" t="s">
        <v>180</v>
      </c>
      <c r="X15" s="135"/>
    </row>
    <row r="16" spans="1:24" s="133" customFormat="1" x14ac:dyDescent="0.3">
      <c r="A16" s="133" t="s">
        <v>171</v>
      </c>
      <c r="B16" s="134" t="s">
        <v>458</v>
      </c>
      <c r="C16" s="133" t="s">
        <v>459</v>
      </c>
      <c r="D16" s="133" t="s">
        <v>278</v>
      </c>
      <c r="E16" s="133" t="s">
        <v>114</v>
      </c>
      <c r="F16" s="133" t="s">
        <v>320</v>
      </c>
      <c r="G16" s="133" t="s">
        <v>460</v>
      </c>
      <c r="H16" s="136">
        <v>11.64</v>
      </c>
      <c r="I16" s="133">
        <v>1</v>
      </c>
      <c r="J16" s="133" t="s">
        <v>221</v>
      </c>
      <c r="K16" s="4">
        <f>H16-N16</f>
        <v>0.41999999999999993</v>
      </c>
      <c r="L16" s="7">
        <f>K16/H16</f>
        <v>3.6082474226804113E-2</v>
      </c>
      <c r="M16" s="7" t="str">
        <f>IF(L16&lt;0,"Negative",IF(L16=0,"Same",IF(L16&gt;0.3,"30+%",IF(L16&gt;0.2,"20-30%",IF(L16&gt;0.1,"10-20%",IF(L16&lt;=0.1,"0-10%"))))))</f>
        <v>0-10%</v>
      </c>
      <c r="N16" s="4">
        <f>O16*J16</f>
        <v>11.22</v>
      </c>
      <c r="O16" s="4">
        <v>1.87</v>
      </c>
      <c r="P16" s="4">
        <f>Q16*J16</f>
        <v>12.059999999999999</v>
      </c>
      <c r="Q16" s="136">
        <v>2.0099999999999998</v>
      </c>
      <c r="R16" s="4">
        <f>P16-N16</f>
        <v>0.83999999999999808</v>
      </c>
      <c r="S16" s="7">
        <f>R16/P16</f>
        <v>6.9651741293532188E-2</v>
      </c>
      <c r="T16" s="7" t="str">
        <f>IF(S16&lt;0,"Negative",IF(S16=0,"Same",IF(S16&gt;0.3,"30+%",IF(S16&gt;0.2,"20-30%",IF(S16&gt;0.1,"10-20%",IF(S16&lt;=0.1,"0-10%"))))))</f>
        <v>0-10%</v>
      </c>
      <c r="U16" t="s">
        <v>215</v>
      </c>
      <c r="V16" t="s">
        <v>215</v>
      </c>
      <c r="W16" t="s">
        <v>180</v>
      </c>
      <c r="X16" s="135"/>
    </row>
    <row r="17" spans="1:24" s="133" customFormat="1" x14ac:dyDescent="0.3">
      <c r="A17" s="133" t="s">
        <v>171</v>
      </c>
      <c r="B17" s="134" t="s">
        <v>519</v>
      </c>
      <c r="C17" s="133" t="s">
        <v>520</v>
      </c>
      <c r="D17" s="133" t="s">
        <v>144</v>
      </c>
      <c r="E17" s="133" t="s">
        <v>100</v>
      </c>
      <c r="F17" s="133" t="s">
        <v>521</v>
      </c>
      <c r="G17" s="133" t="s">
        <v>522</v>
      </c>
      <c r="H17" s="136">
        <v>12.11</v>
      </c>
      <c r="I17" s="133">
        <v>1</v>
      </c>
      <c r="J17" s="133" t="s">
        <v>187</v>
      </c>
      <c r="K17" s="4">
        <f>H17-N17</f>
        <v>2.9799999999999986</v>
      </c>
      <c r="L17" s="7">
        <f>K17/H17</f>
        <v>0.24607762180016504</v>
      </c>
      <c r="M17" s="7" t="str">
        <f>IF(L17&lt;0,"Negative",IF(L17=0,"Same",IF(L17&gt;0.3,"30+%",IF(L17&gt;0.2,"20-30%",IF(L17&gt;0.1,"10-20%",IF(L17&lt;=0.1,"0-10%"))))))</f>
        <v>20-30%</v>
      </c>
      <c r="N17" s="4">
        <f>O17*J17</f>
        <v>9.1300000000000008</v>
      </c>
      <c r="O17" s="4">
        <v>9.1300000000000008</v>
      </c>
      <c r="P17" s="4">
        <f>Q17*J17</f>
        <v>16.7</v>
      </c>
      <c r="Q17" s="136">
        <v>16.7</v>
      </c>
      <c r="R17" s="4">
        <f>P17-N17</f>
        <v>7.5699999999999985</v>
      </c>
      <c r="S17" s="7">
        <f>R17/P17</f>
        <v>0.45329341317365263</v>
      </c>
      <c r="T17" s="7" t="str">
        <f>IF(S17&lt;0,"Negative",IF(S17=0,"Same",IF(S17&gt;0.3,"30+%",IF(S17&gt;0.2,"20-30%",IF(S17&gt;0.1,"10-20%",IF(S17&lt;=0.1,"0-10%"))))))</f>
        <v>30+%</v>
      </c>
      <c r="U17" t="s">
        <v>250</v>
      </c>
      <c r="V17" t="s">
        <v>215</v>
      </c>
      <c r="W17" t="s">
        <v>180</v>
      </c>
      <c r="X17" s="135"/>
    </row>
    <row r="18" spans="1:24" s="133" customFormat="1" x14ac:dyDescent="0.3">
      <c r="A18" s="133" t="s">
        <v>171</v>
      </c>
      <c r="B18" s="134" t="s">
        <v>604</v>
      </c>
      <c r="C18" s="133" t="s">
        <v>605</v>
      </c>
      <c r="D18" s="133" t="s">
        <v>606</v>
      </c>
      <c r="E18" s="133" t="s">
        <v>97</v>
      </c>
      <c r="F18" s="133" t="s">
        <v>607</v>
      </c>
      <c r="G18" s="133" t="s">
        <v>608</v>
      </c>
      <c r="H18" s="136">
        <v>12.89</v>
      </c>
      <c r="I18" s="133">
        <v>1</v>
      </c>
      <c r="J18" s="133" t="s">
        <v>187</v>
      </c>
      <c r="K18" s="4">
        <f>H18-N18</f>
        <v>1.67</v>
      </c>
      <c r="L18" s="7">
        <f>K18/H18</f>
        <v>0.12955779674166018</v>
      </c>
      <c r="M18" s="7" t="str">
        <f>IF(L18&lt;0,"Negative",IF(L18=0,"Same",IF(L18&gt;0.3,"30+%",IF(L18&gt;0.2,"20-30%",IF(L18&gt;0.1,"10-20%",IF(L18&lt;=0.1,"0-10%"))))))</f>
        <v>10-20%</v>
      </c>
      <c r="N18" s="4">
        <f>O18*J18</f>
        <v>11.22</v>
      </c>
      <c r="O18" s="4">
        <v>11.22</v>
      </c>
      <c r="P18" s="4">
        <f>Q18*J18</f>
        <v>13.33</v>
      </c>
      <c r="Q18" s="136">
        <v>13.33</v>
      </c>
      <c r="R18" s="4">
        <f>P18-N18</f>
        <v>2.1099999999999994</v>
      </c>
      <c r="S18" s="7">
        <f>R18/P18</f>
        <v>0.15828957239309824</v>
      </c>
      <c r="T18" s="7" t="str">
        <f>IF(S18&lt;0,"Negative",IF(S18=0,"Same",IF(S18&gt;0.3,"30+%",IF(S18&gt;0.2,"20-30%",IF(S18&gt;0.1,"10-20%",IF(S18&lt;=0.1,"0-10%"))))))</f>
        <v>10-20%</v>
      </c>
      <c r="U18" t="s">
        <v>215</v>
      </c>
      <c r="V18" t="s">
        <v>215</v>
      </c>
      <c r="W18" t="s">
        <v>180</v>
      </c>
      <c r="X18" s="135"/>
    </row>
    <row r="19" spans="1:24" s="133" customFormat="1" x14ac:dyDescent="0.3">
      <c r="A19" s="133" t="s">
        <v>171</v>
      </c>
      <c r="B19" s="134" t="s">
        <v>789</v>
      </c>
      <c r="C19" s="133" t="s">
        <v>790</v>
      </c>
      <c r="D19" s="133" t="s">
        <v>791</v>
      </c>
      <c r="E19" s="133" t="s">
        <v>94</v>
      </c>
      <c r="F19" s="133" t="s">
        <v>792</v>
      </c>
      <c r="G19" s="133" t="s">
        <v>793</v>
      </c>
      <c r="H19" s="136">
        <v>13.48</v>
      </c>
      <c r="I19" s="133">
        <v>1</v>
      </c>
      <c r="J19" s="133" t="s">
        <v>249</v>
      </c>
      <c r="K19" s="4">
        <f>H19-N19</f>
        <v>3.7200000000000006</v>
      </c>
      <c r="L19" s="7">
        <f>K19/H19</f>
        <v>0.27596439169139469</v>
      </c>
      <c r="M19" s="7" t="str">
        <f>IF(L19&lt;0,"Negative",IF(L19=0,"Same",IF(L19&gt;0.3,"30+%",IF(L19&gt;0.2,"20-30%",IF(L19&gt;0.1,"10-20%",IF(L19&lt;=0.1,"0-10%"))))))</f>
        <v>20-30%</v>
      </c>
      <c r="N19" s="4">
        <f>O19*J19</f>
        <v>9.76</v>
      </c>
      <c r="O19" s="4">
        <v>2.44</v>
      </c>
      <c r="P19" s="4">
        <f>Q19*J19</f>
        <v>15.24</v>
      </c>
      <c r="Q19" s="136">
        <v>3.81</v>
      </c>
      <c r="R19" s="4">
        <f>P19-N19</f>
        <v>5.48</v>
      </c>
      <c r="S19" s="7">
        <f>R19/P19</f>
        <v>0.35958005249343833</v>
      </c>
      <c r="T19" s="7" t="str">
        <f>IF(S19&lt;0,"Negative",IF(S19=0,"Same",IF(S19&gt;0.3,"30+%",IF(S19&gt;0.2,"20-30%",IF(S19&gt;0.1,"10-20%",IF(S19&lt;=0.1,"0-10%"))))))</f>
        <v>30+%</v>
      </c>
      <c r="U19" t="s">
        <v>250</v>
      </c>
      <c r="V19" t="s">
        <v>215</v>
      </c>
      <c r="W19" t="s">
        <v>180</v>
      </c>
      <c r="X19" s="135"/>
    </row>
    <row r="20" spans="1:24" s="133" customFormat="1" x14ac:dyDescent="0.3">
      <c r="A20" s="133" t="s">
        <v>171</v>
      </c>
      <c r="B20" s="134" t="s">
        <v>515</v>
      </c>
      <c r="C20" s="133" t="s">
        <v>516</v>
      </c>
      <c r="D20" s="133" t="s">
        <v>517</v>
      </c>
      <c r="E20" s="133" t="s">
        <v>107</v>
      </c>
      <c r="F20" s="133" t="s">
        <v>315</v>
      </c>
      <c r="G20" s="133" t="s">
        <v>518</v>
      </c>
      <c r="H20" s="136">
        <v>13.95</v>
      </c>
      <c r="I20" s="133">
        <v>1</v>
      </c>
      <c r="J20" s="133" t="s">
        <v>281</v>
      </c>
      <c r="K20" s="4">
        <f>H20-N20</f>
        <v>-0.10000000000000142</v>
      </c>
      <c r="L20" s="7">
        <f>K20/H20</f>
        <v>-7.1684587813621095E-3</v>
      </c>
      <c r="M20" s="7" t="str">
        <f>IF(L20&lt;0,"Negative",IF(L20=0,"Same",IF(L20&gt;0.3,"30+%",IF(L20&gt;0.2,"20-30%",IF(L20&gt;0.1,"10-20%",IF(L20&lt;=0.1,"0-10%"))))))</f>
        <v>Negative</v>
      </c>
      <c r="N20" s="4">
        <f>O20*J20</f>
        <v>14.05</v>
      </c>
      <c r="O20" s="4">
        <v>2.81</v>
      </c>
      <c r="P20" s="4">
        <f>Q20*J20</f>
        <v>15.35</v>
      </c>
      <c r="Q20" s="136">
        <v>3.07</v>
      </c>
      <c r="R20" s="4">
        <f>P20-N20</f>
        <v>1.2999999999999989</v>
      </c>
      <c r="S20" s="7">
        <f>R20/P20</f>
        <v>8.4690553745928265E-2</v>
      </c>
      <c r="T20" s="7" t="str">
        <f>IF(S20&lt;0,"Negative",IF(S20=0,"Same",IF(S20&gt;0.3,"30+%",IF(S20&gt;0.2,"20-30%",IF(S20&gt;0.1,"10-20%",IF(S20&lt;=0.1,"0-10%"))))))</f>
        <v>0-10%</v>
      </c>
      <c r="U20" t="s">
        <v>215</v>
      </c>
      <c r="V20" t="s">
        <v>215</v>
      </c>
      <c r="W20" t="s">
        <v>180</v>
      </c>
      <c r="X20" s="135"/>
    </row>
    <row r="21" spans="1:24" s="133" customFormat="1" x14ac:dyDescent="0.3">
      <c r="A21" s="133" t="s">
        <v>171</v>
      </c>
      <c r="B21" s="134" t="s">
        <v>690</v>
      </c>
      <c r="C21" s="133" t="s">
        <v>691</v>
      </c>
      <c r="D21" s="133" t="s">
        <v>692</v>
      </c>
      <c r="E21" s="133" t="s">
        <v>100</v>
      </c>
      <c r="F21" s="133" t="s">
        <v>686</v>
      </c>
      <c r="G21" s="133" t="s">
        <v>693</v>
      </c>
      <c r="H21" s="136">
        <v>14.31</v>
      </c>
      <c r="I21" s="133">
        <v>1</v>
      </c>
      <c r="J21" s="133" t="s">
        <v>187</v>
      </c>
      <c r="K21" s="4">
        <f>H21-N21</f>
        <v>1.3000000000000007</v>
      </c>
      <c r="L21" s="7">
        <f>K21/H21</f>
        <v>9.0845562543675804E-2</v>
      </c>
      <c r="M21" s="7" t="str">
        <f>IF(L21&lt;0,"Negative",IF(L21=0,"Same",IF(L21&gt;0.3,"30+%",IF(L21&gt;0.2,"20-30%",IF(L21&gt;0.1,"10-20%",IF(L21&lt;=0.1,"0-10%"))))))</f>
        <v>0-10%</v>
      </c>
      <c r="N21" s="4">
        <f>O21*J21</f>
        <v>13.01</v>
      </c>
      <c r="O21" s="4">
        <v>13.01</v>
      </c>
      <c r="P21" s="4">
        <f>Q21*J21</f>
        <v>15.07</v>
      </c>
      <c r="Q21" s="136">
        <v>15.07</v>
      </c>
      <c r="R21" s="4">
        <f>P21-N21</f>
        <v>2.0600000000000005</v>
      </c>
      <c r="S21" s="7">
        <f>R21/P21</f>
        <v>0.13669542136695426</v>
      </c>
      <c r="T21" s="7" t="str">
        <f>IF(S21&lt;0,"Negative",IF(S21=0,"Same",IF(S21&gt;0.3,"30+%",IF(S21&gt;0.2,"20-30%",IF(S21&gt;0.1,"10-20%",IF(S21&lt;=0.1,"0-10%"))))))</f>
        <v>10-20%</v>
      </c>
      <c r="U21" t="s">
        <v>215</v>
      </c>
      <c r="V21" t="s">
        <v>215</v>
      </c>
      <c r="W21" t="s">
        <v>180</v>
      </c>
      <c r="X21" s="135"/>
    </row>
    <row r="22" spans="1:24" s="133" customFormat="1" x14ac:dyDescent="0.3">
      <c r="A22" s="133" t="s">
        <v>171</v>
      </c>
      <c r="B22" s="134" t="s">
        <v>448</v>
      </c>
      <c r="C22" s="133" t="s">
        <v>449</v>
      </c>
      <c r="D22" s="133" t="s">
        <v>450</v>
      </c>
      <c r="E22" s="133" t="s">
        <v>108</v>
      </c>
      <c r="F22" s="133" t="s">
        <v>451</v>
      </c>
      <c r="G22" s="133" t="s">
        <v>452</v>
      </c>
      <c r="H22" s="136">
        <v>14.56</v>
      </c>
      <c r="I22" s="133">
        <v>1</v>
      </c>
      <c r="J22" s="133" t="s">
        <v>177</v>
      </c>
      <c r="K22" s="4">
        <f>H22-N22</f>
        <v>-0.66000000000000014</v>
      </c>
      <c r="L22" s="7">
        <f>K22/H22</f>
        <v>-4.5329670329670335E-2</v>
      </c>
      <c r="M22" s="7" t="str">
        <f>IF(L22&lt;0,"Negative",IF(L22=0,"Same",IF(L22&gt;0.3,"30+%",IF(L22&gt;0.2,"20-30%",IF(L22&gt;0.1,"10-20%",IF(L22&lt;=0.1,"0-10%"))))))</f>
        <v>Negative</v>
      </c>
      <c r="N22" s="4">
        <f>O22*J22</f>
        <v>15.22</v>
      </c>
      <c r="O22" s="4">
        <v>7.61</v>
      </c>
      <c r="P22" s="4">
        <f>Q22*J22</f>
        <v>17</v>
      </c>
      <c r="Q22" s="136">
        <v>8.5</v>
      </c>
      <c r="R22" s="4">
        <f>P22-N22</f>
        <v>1.7799999999999994</v>
      </c>
      <c r="S22" s="7">
        <f>R22/P22</f>
        <v>0.10470588235294113</v>
      </c>
      <c r="T22" s="7" t="str">
        <f>IF(S22&lt;0,"Negative",IF(S22=0,"Same",IF(S22&gt;0.3,"30+%",IF(S22&gt;0.2,"20-30%",IF(S22&gt;0.1,"10-20%",IF(S22&lt;=0.1,"0-10%"))))))</f>
        <v>10-20%</v>
      </c>
      <c r="U22" t="s">
        <v>215</v>
      </c>
      <c r="V22" t="s">
        <v>215</v>
      </c>
      <c r="W22" t="s">
        <v>180</v>
      </c>
      <c r="X22" s="135"/>
    </row>
    <row r="23" spans="1:24" s="133" customFormat="1" x14ac:dyDescent="0.3">
      <c r="A23" s="133" t="s">
        <v>171</v>
      </c>
      <c r="B23" s="134" t="s">
        <v>891</v>
      </c>
      <c r="C23" s="133" t="s">
        <v>892</v>
      </c>
      <c r="D23" s="133" t="s">
        <v>278</v>
      </c>
      <c r="E23" s="133" t="s">
        <v>114</v>
      </c>
      <c r="F23" s="133" t="s">
        <v>662</v>
      </c>
      <c r="G23" s="133" t="s">
        <v>893</v>
      </c>
      <c r="H23" s="136">
        <v>15.18</v>
      </c>
      <c r="I23" s="133">
        <v>1</v>
      </c>
      <c r="J23" s="133" t="s">
        <v>187</v>
      </c>
      <c r="K23" s="4">
        <f>H23-N23</f>
        <v>1.5499999999999989</v>
      </c>
      <c r="L23" s="7">
        <f>K23/H23</f>
        <v>0.10210803689064551</v>
      </c>
      <c r="M23" s="7" t="str">
        <f>IF(L23&lt;0,"Negative",IF(L23=0,"Same",IF(L23&gt;0.3,"30+%",IF(L23&gt;0.2,"20-30%",IF(L23&gt;0.1,"10-20%",IF(L23&lt;=0.1,"0-10%"))))))</f>
        <v>10-20%</v>
      </c>
      <c r="N23" s="4">
        <f>O23*J23</f>
        <v>13.63</v>
      </c>
      <c r="O23" s="4">
        <v>13.63</v>
      </c>
      <c r="P23" s="4">
        <f>Q23*J23</f>
        <v>14.72</v>
      </c>
      <c r="Q23" s="136">
        <v>14.72</v>
      </c>
      <c r="R23" s="4">
        <f>P23-N23</f>
        <v>1.0899999999999999</v>
      </c>
      <c r="S23" s="7">
        <f>R23/P23</f>
        <v>7.4048913043478243E-2</v>
      </c>
      <c r="T23" s="7" t="str">
        <f>IF(S23&lt;0,"Negative",IF(S23=0,"Same",IF(S23&gt;0.3,"30+%",IF(S23&gt;0.2,"20-30%",IF(S23&gt;0.1,"10-20%",IF(S23&lt;=0.1,"0-10%"))))))</f>
        <v>0-10%</v>
      </c>
      <c r="U23" t="s">
        <v>215</v>
      </c>
      <c r="V23" t="s">
        <v>215</v>
      </c>
      <c r="W23" t="s">
        <v>180</v>
      </c>
      <c r="X23" s="135"/>
    </row>
    <row r="24" spans="1:24" s="133" customFormat="1" x14ac:dyDescent="0.3">
      <c r="A24" s="133" t="s">
        <v>171</v>
      </c>
      <c r="B24" s="134" t="s">
        <v>674</v>
      </c>
      <c r="C24" s="133" t="s">
        <v>675</v>
      </c>
      <c r="D24" s="133" t="s">
        <v>470</v>
      </c>
      <c r="E24" s="133" t="s">
        <v>93</v>
      </c>
      <c r="F24" s="133" t="s">
        <v>676</v>
      </c>
      <c r="G24" s="133" t="s">
        <v>677</v>
      </c>
      <c r="H24" s="136">
        <v>15.19</v>
      </c>
      <c r="I24" s="133">
        <v>1</v>
      </c>
      <c r="J24" s="133" t="s">
        <v>187</v>
      </c>
      <c r="K24" s="4">
        <f>H24-N24</f>
        <v>0.69999999999999929</v>
      </c>
      <c r="L24" s="7">
        <f>K24/H24</f>
        <v>4.6082949308755713E-2</v>
      </c>
      <c r="M24" s="7" t="str">
        <f>IF(L24&lt;0,"Negative",IF(L24=0,"Same",IF(L24&gt;0.3,"30+%",IF(L24&gt;0.2,"20-30%",IF(L24&gt;0.1,"10-20%",IF(L24&lt;=0.1,"0-10%"))))))</f>
        <v>0-10%</v>
      </c>
      <c r="N24" s="4">
        <f>O24*J24</f>
        <v>14.49</v>
      </c>
      <c r="O24" s="4">
        <v>14.49</v>
      </c>
      <c r="P24" s="4">
        <f>Q24*J24</f>
        <v>22.8</v>
      </c>
      <c r="Q24" s="136">
        <v>22.8</v>
      </c>
      <c r="R24" s="4">
        <f>P24-N24</f>
        <v>8.31</v>
      </c>
      <c r="S24" s="7">
        <f>R24/P24</f>
        <v>0.36447368421052634</v>
      </c>
      <c r="T24" s="7" t="str">
        <f>IF(S24&lt;0,"Negative",IF(S24=0,"Same",IF(S24&gt;0.3,"30+%",IF(S24&gt;0.2,"20-30%",IF(S24&gt;0.1,"10-20%",IF(S24&lt;=0.1,"0-10%"))))))</f>
        <v>30+%</v>
      </c>
      <c r="U24" t="s">
        <v>250</v>
      </c>
      <c r="V24" t="s">
        <v>215</v>
      </c>
      <c r="W24" t="s">
        <v>180</v>
      </c>
      <c r="X24" s="135"/>
    </row>
    <row r="25" spans="1:24" s="133" customFormat="1" x14ac:dyDescent="0.3">
      <c r="A25" s="133" t="s">
        <v>171</v>
      </c>
      <c r="B25" s="134" t="s">
        <v>796</v>
      </c>
      <c r="C25" s="133" t="s">
        <v>797</v>
      </c>
      <c r="D25" s="133" t="s">
        <v>314</v>
      </c>
      <c r="E25" s="133" t="s">
        <v>100</v>
      </c>
      <c r="F25" s="133" t="s">
        <v>746</v>
      </c>
      <c r="G25" s="133" t="s">
        <v>798</v>
      </c>
      <c r="H25" s="136">
        <v>15.2</v>
      </c>
      <c r="I25" s="133">
        <v>1</v>
      </c>
      <c r="J25" s="133" t="s">
        <v>281</v>
      </c>
      <c r="K25" s="4">
        <f>H25-N25</f>
        <v>-0.85000000000000142</v>
      </c>
      <c r="L25" s="7">
        <f>K25/H25</f>
        <v>-5.5921052631579045E-2</v>
      </c>
      <c r="M25" s="7" t="str">
        <f>IF(L25&lt;0,"Negative",IF(L25=0,"Same",IF(L25&gt;0.3,"30+%",IF(L25&gt;0.2,"20-30%",IF(L25&gt;0.1,"10-20%",IF(L25&lt;=0.1,"0-10%"))))))</f>
        <v>Negative</v>
      </c>
      <c r="N25" s="4">
        <f>O25*J25</f>
        <v>16.05</v>
      </c>
      <c r="O25" s="4">
        <v>3.21</v>
      </c>
      <c r="P25" s="4">
        <f>Q25*J25</f>
        <v>18.600000000000001</v>
      </c>
      <c r="Q25" s="136">
        <v>3.72</v>
      </c>
      <c r="R25" s="4">
        <f>P25-N25</f>
        <v>2.5500000000000007</v>
      </c>
      <c r="S25" s="7">
        <f>R25/P25</f>
        <v>0.1370967741935484</v>
      </c>
      <c r="T25" s="7" t="str">
        <f>IF(S25&lt;0,"Negative",IF(S25=0,"Same",IF(S25&gt;0.3,"30+%",IF(S25&gt;0.2,"20-30%",IF(S25&gt;0.1,"10-20%",IF(S25&lt;=0.1,"0-10%"))))))</f>
        <v>10-20%</v>
      </c>
      <c r="U25" t="s">
        <v>215</v>
      </c>
      <c r="V25" t="s">
        <v>215</v>
      </c>
      <c r="W25" t="s">
        <v>180</v>
      </c>
      <c r="X25" s="135"/>
    </row>
    <row r="26" spans="1:24" s="133" customFormat="1" x14ac:dyDescent="0.3">
      <c r="A26" s="133" t="s">
        <v>206</v>
      </c>
      <c r="B26" s="134" t="s">
        <v>481</v>
      </c>
      <c r="C26" s="133" t="s">
        <v>482</v>
      </c>
      <c r="D26" s="133" t="s">
        <v>403</v>
      </c>
      <c r="E26" s="133" t="s">
        <v>93</v>
      </c>
      <c r="F26" s="133" t="s">
        <v>483</v>
      </c>
      <c r="G26" s="133" t="s">
        <v>484</v>
      </c>
      <c r="H26" s="136">
        <v>15.36</v>
      </c>
      <c r="I26" s="133">
        <v>1</v>
      </c>
      <c r="J26" s="133" t="s">
        <v>187</v>
      </c>
      <c r="K26" s="4">
        <f>H26-N26</f>
        <v>0.41999999999999993</v>
      </c>
      <c r="L26" s="7">
        <f>K26/H26</f>
        <v>2.7343749999999997E-2</v>
      </c>
      <c r="M26" s="7" t="str">
        <f>IF(L26&lt;0,"Negative",IF(L26=0,"Same",IF(L26&gt;0.3,"30+%",IF(L26&gt;0.2,"20-30%",IF(L26&gt;0.1,"10-20%",IF(L26&lt;=0.1,"0-10%"))))))</f>
        <v>0-10%</v>
      </c>
      <c r="N26" s="4">
        <f>O26*J26</f>
        <v>14.94</v>
      </c>
      <c r="O26" s="4">
        <v>14.94</v>
      </c>
      <c r="P26" s="4">
        <f>Q26*J26</f>
        <v>16.13</v>
      </c>
      <c r="Q26" s="136">
        <v>16.13</v>
      </c>
      <c r="R26" s="4">
        <f>P26-N26</f>
        <v>1.1899999999999995</v>
      </c>
      <c r="S26" s="7">
        <f>R26/P26</f>
        <v>7.3775573465592034E-2</v>
      </c>
      <c r="T26" s="7" t="str">
        <f>IF(S26&lt;0,"Negative",IF(S26=0,"Same",IF(S26&gt;0.3,"30+%",IF(S26&gt;0.2,"20-30%",IF(S26&gt;0.1,"10-20%",IF(S26&lt;=0.1,"0-10%"))))))</f>
        <v>0-10%</v>
      </c>
      <c r="U26" t="s">
        <v>215</v>
      </c>
      <c r="V26" t="s">
        <v>215</v>
      </c>
      <c r="W26" t="s">
        <v>180</v>
      </c>
      <c r="X26" s="135"/>
    </row>
    <row r="27" spans="1:24" s="133" customFormat="1" x14ac:dyDescent="0.3">
      <c r="A27" s="133" t="s">
        <v>171</v>
      </c>
      <c r="B27" s="134" t="s">
        <v>241</v>
      </c>
      <c r="C27" s="133" t="s">
        <v>242</v>
      </c>
      <c r="D27" s="133" t="s">
        <v>209</v>
      </c>
      <c r="E27" s="133" t="s">
        <v>114</v>
      </c>
      <c r="F27" s="133" t="s">
        <v>243</v>
      </c>
      <c r="G27" s="133" t="s">
        <v>244</v>
      </c>
      <c r="H27" s="136">
        <v>15.7</v>
      </c>
      <c r="I27" s="133">
        <v>1</v>
      </c>
      <c r="J27" s="133" t="s">
        <v>177</v>
      </c>
      <c r="K27" s="4">
        <f>H27-N27</f>
        <v>5.9999999999998721E-2</v>
      </c>
      <c r="L27" s="7">
        <f>K27/H27</f>
        <v>3.8216560509553329E-3</v>
      </c>
      <c r="M27" s="7" t="str">
        <f>IF(L27&lt;0,"Negative",IF(L27=0,"Same",IF(L27&gt;0.3,"30+%",IF(L27&gt;0.2,"20-30%",IF(L27&gt;0.1,"10-20%",IF(L27&lt;=0.1,"0-10%"))))))</f>
        <v>0-10%</v>
      </c>
      <c r="N27" s="4">
        <f>O27*J27</f>
        <v>15.64</v>
      </c>
      <c r="O27" s="4">
        <v>7.82</v>
      </c>
      <c r="P27" s="4">
        <f>Q27*J27</f>
        <v>16.899999999999999</v>
      </c>
      <c r="Q27" s="136">
        <v>8.4499999999999993</v>
      </c>
      <c r="R27" s="4">
        <f>P27-N27</f>
        <v>1.259999999999998</v>
      </c>
      <c r="S27" s="7">
        <f>R27/P27</f>
        <v>7.4556213017751366E-2</v>
      </c>
      <c r="T27" s="7" t="str">
        <f>IF(S27&lt;0,"Negative",IF(S27=0,"Same",IF(S27&gt;0.3,"30+%",IF(S27&gt;0.2,"20-30%",IF(S27&gt;0.1,"10-20%",IF(S27&lt;=0.1,"0-10%"))))))</f>
        <v>0-10%</v>
      </c>
      <c r="U27" t="s">
        <v>215</v>
      </c>
      <c r="V27" t="s">
        <v>215</v>
      </c>
      <c r="W27" t="s">
        <v>180</v>
      </c>
      <c r="X27" s="135"/>
    </row>
    <row r="28" spans="1:24" s="133" customFormat="1" x14ac:dyDescent="0.3">
      <c r="A28" s="133" t="s">
        <v>171</v>
      </c>
      <c r="B28" s="134" t="s">
        <v>808</v>
      </c>
      <c r="C28" s="133" t="s">
        <v>809</v>
      </c>
      <c r="D28" s="133" t="s">
        <v>810</v>
      </c>
      <c r="E28" s="133" t="s">
        <v>120</v>
      </c>
      <c r="F28" s="133" t="s">
        <v>811</v>
      </c>
      <c r="G28" s="133" t="s">
        <v>812</v>
      </c>
      <c r="H28" s="136">
        <v>18.559999999999999</v>
      </c>
      <c r="I28" s="133">
        <v>1</v>
      </c>
      <c r="J28" s="133" t="s">
        <v>177</v>
      </c>
      <c r="K28" s="4">
        <f>H28-N28</f>
        <v>-0.82000000000000028</v>
      </c>
      <c r="L28" s="7">
        <f>K28/H28</f>
        <v>-4.418103448275864E-2</v>
      </c>
      <c r="M28" s="7" t="str">
        <f>IF(L28&lt;0,"Negative",IF(L28=0,"Same",IF(L28&gt;0.3,"30+%",IF(L28&gt;0.2,"20-30%",IF(L28&gt;0.1,"10-20%",IF(L28&lt;=0.1,"0-10%"))))))</f>
        <v>Negative</v>
      </c>
      <c r="N28" s="4">
        <f>O28*J28</f>
        <v>19.38</v>
      </c>
      <c r="O28" s="4">
        <v>9.69</v>
      </c>
      <c r="P28" s="4">
        <f>Q28*J28</f>
        <v>22.46</v>
      </c>
      <c r="Q28" s="136">
        <v>11.23</v>
      </c>
      <c r="R28" s="4">
        <f>P28-N28</f>
        <v>3.0800000000000018</v>
      </c>
      <c r="S28" s="7">
        <f>R28/P28</f>
        <v>0.13713268032056997</v>
      </c>
      <c r="T28" s="7" t="str">
        <f>IF(S28&lt;0,"Negative",IF(S28=0,"Same",IF(S28&gt;0.3,"30+%",IF(S28&gt;0.2,"20-30%",IF(S28&gt;0.1,"10-20%",IF(S28&lt;=0.1,"0-10%"))))))</f>
        <v>10-20%</v>
      </c>
      <c r="U28" t="s">
        <v>215</v>
      </c>
      <c r="V28" t="s">
        <v>215</v>
      </c>
      <c r="W28" t="s">
        <v>180</v>
      </c>
      <c r="X28" s="135" t="s">
        <v>945</v>
      </c>
    </row>
    <row r="29" spans="1:24" s="133" customFormat="1" x14ac:dyDescent="0.3">
      <c r="A29" s="133" t="s">
        <v>171</v>
      </c>
      <c r="B29" s="134" t="s">
        <v>669</v>
      </c>
      <c r="C29" s="133" t="s">
        <v>670</v>
      </c>
      <c r="D29" s="133" t="s">
        <v>199</v>
      </c>
      <c r="E29" s="133" t="s">
        <v>92</v>
      </c>
      <c r="F29" s="133" t="s">
        <v>300</v>
      </c>
      <c r="G29" s="133" t="s">
        <v>301</v>
      </c>
      <c r="H29" s="136">
        <v>20</v>
      </c>
      <c r="I29" s="133">
        <v>1</v>
      </c>
      <c r="J29" s="133" t="s">
        <v>281</v>
      </c>
      <c r="K29" s="4">
        <f>H29-N29</f>
        <v>-3.5999999999999979</v>
      </c>
      <c r="L29" s="7">
        <f>K29/H29</f>
        <v>-0.17999999999999988</v>
      </c>
      <c r="M29" s="7" t="str">
        <f>IF(L29&lt;0,"Negative",IF(L29=0,"Same",IF(L29&gt;0.3,"30+%",IF(L29&gt;0.2,"20-30%",IF(L29&gt;0.1,"10-20%",IF(L29&lt;=0.1,"0-10%"))))))</f>
        <v>Negative</v>
      </c>
      <c r="N29" s="4">
        <f>O29*J29</f>
        <v>23.599999999999998</v>
      </c>
      <c r="O29" s="4">
        <v>4.72</v>
      </c>
      <c r="P29" s="4">
        <f>Q29*J29</f>
        <v>26.349999999999998</v>
      </c>
      <c r="Q29" s="136">
        <v>5.27</v>
      </c>
      <c r="R29" s="4">
        <f>P29-N29</f>
        <v>2.75</v>
      </c>
      <c r="S29" s="7">
        <f>R29/P29</f>
        <v>0.10436432637571158</v>
      </c>
      <c r="T29" s="7" t="str">
        <f>IF(S29&lt;0,"Negative",IF(S29=0,"Same",IF(S29&gt;0.3,"30+%",IF(S29&gt;0.2,"20-30%",IF(S29&gt;0.1,"10-20%",IF(S29&lt;=0.1,"0-10%"))))))</f>
        <v>10-20%</v>
      </c>
      <c r="U29" t="s">
        <v>215</v>
      </c>
      <c r="V29" t="s">
        <v>215</v>
      </c>
      <c r="W29" t="s">
        <v>180</v>
      </c>
      <c r="X29" s="135"/>
    </row>
    <row r="30" spans="1:24" s="133" customFormat="1" x14ac:dyDescent="0.3">
      <c r="A30" s="133" t="s">
        <v>171</v>
      </c>
      <c r="B30" s="134" t="s">
        <v>649</v>
      </c>
      <c r="C30" s="133" t="s">
        <v>650</v>
      </c>
      <c r="D30" s="133" t="s">
        <v>314</v>
      </c>
      <c r="E30" s="133" t="s">
        <v>120</v>
      </c>
      <c r="F30" s="133" t="s">
        <v>366</v>
      </c>
      <c r="G30" s="133" t="s">
        <v>367</v>
      </c>
      <c r="H30" s="136">
        <v>20.47</v>
      </c>
      <c r="I30" s="133">
        <v>1</v>
      </c>
      <c r="J30" s="133" t="s">
        <v>187</v>
      </c>
      <c r="K30" s="4">
        <f>H30-N30</f>
        <v>-1.1500000000000021</v>
      </c>
      <c r="L30" s="7">
        <f>K30/H30</f>
        <v>-5.6179775280898986E-2</v>
      </c>
      <c r="M30" s="7" t="str">
        <f>IF(L30&lt;0,"Negative",IF(L30=0,"Same",IF(L30&gt;0.3,"30+%",IF(L30&gt;0.2,"20-30%",IF(L30&gt;0.1,"10-20%",IF(L30&lt;=0.1,"0-10%"))))))</f>
        <v>Negative</v>
      </c>
      <c r="N30" s="4">
        <f>O30*J30</f>
        <v>21.62</v>
      </c>
      <c r="O30" s="4">
        <v>21.62</v>
      </c>
      <c r="P30" s="4">
        <f>Q30*J30</f>
        <v>25.04</v>
      </c>
      <c r="Q30" s="136">
        <v>25.04</v>
      </c>
      <c r="R30" s="4">
        <f>P30-N30</f>
        <v>3.4199999999999982</v>
      </c>
      <c r="S30" s="7">
        <f>R30/P30</f>
        <v>0.13658146964856224</v>
      </c>
      <c r="T30" s="7" t="str">
        <f>IF(S30&lt;0,"Negative",IF(S30=0,"Same",IF(S30&gt;0.3,"30+%",IF(S30&gt;0.2,"20-30%",IF(S30&gt;0.1,"10-20%",IF(S30&lt;=0.1,"0-10%"))))))</f>
        <v>10-20%</v>
      </c>
      <c r="U30" t="s">
        <v>215</v>
      </c>
      <c r="V30" t="s">
        <v>215</v>
      </c>
      <c r="W30" t="s">
        <v>180</v>
      </c>
      <c r="X30" s="135"/>
    </row>
    <row r="31" spans="1:24" s="133" customFormat="1" x14ac:dyDescent="0.3">
      <c r="A31" s="133" t="s">
        <v>206</v>
      </c>
      <c r="B31" s="134" t="s">
        <v>510</v>
      </c>
      <c r="C31" s="133" t="s">
        <v>511</v>
      </c>
      <c r="D31" s="133" t="s">
        <v>512</v>
      </c>
      <c r="E31" s="133" t="s">
        <v>113</v>
      </c>
      <c r="F31" s="133" t="s">
        <v>513</v>
      </c>
      <c r="G31" s="133" t="s">
        <v>514</v>
      </c>
      <c r="H31" s="136">
        <v>22.1</v>
      </c>
      <c r="I31" s="133">
        <v>1</v>
      </c>
      <c r="J31" s="133" t="s">
        <v>187</v>
      </c>
      <c r="K31" s="4">
        <f>H31-N31</f>
        <v>-2.3599999999999994</v>
      </c>
      <c r="L31" s="7">
        <f>K31/H31</f>
        <v>-0.10678733031674205</v>
      </c>
      <c r="M31" s="7" t="str">
        <f>IF(L31&lt;0,"Negative",IF(L31=0,"Same",IF(L31&gt;0.3,"30+%",IF(L31&gt;0.2,"20-30%",IF(L31&gt;0.1,"10-20%",IF(L31&lt;=0.1,"0-10%"))))))</f>
        <v>Negative</v>
      </c>
      <c r="N31" s="4">
        <f>O31*J31</f>
        <v>24.46</v>
      </c>
      <c r="O31" s="4">
        <v>24.46</v>
      </c>
      <c r="P31" s="4">
        <f>Q31*J31</f>
        <v>25.82</v>
      </c>
      <c r="Q31" s="136">
        <v>25.82</v>
      </c>
      <c r="R31" s="4">
        <f>P31-N31</f>
        <v>1.3599999999999994</v>
      </c>
      <c r="S31" s="7">
        <f>R31/P31</f>
        <v>5.2672347017815625E-2</v>
      </c>
      <c r="T31" s="7" t="str">
        <f>IF(S31&lt;0,"Negative",IF(S31=0,"Same",IF(S31&gt;0.3,"30+%",IF(S31&gt;0.2,"20-30%",IF(S31&gt;0.1,"10-20%",IF(S31&lt;=0.1,"0-10%"))))))</f>
        <v>0-10%</v>
      </c>
      <c r="U31" t="s">
        <v>215</v>
      </c>
      <c r="V31" t="s">
        <v>215</v>
      </c>
      <c r="W31" t="s">
        <v>180</v>
      </c>
      <c r="X31" s="135"/>
    </row>
    <row r="32" spans="1:24" s="133" customFormat="1" x14ac:dyDescent="0.3">
      <c r="A32" s="133" t="s">
        <v>171</v>
      </c>
      <c r="B32" s="134" t="s">
        <v>340</v>
      </c>
      <c r="C32" s="133" t="s">
        <v>341</v>
      </c>
      <c r="D32" s="133" t="s">
        <v>342</v>
      </c>
      <c r="E32" s="133" t="s">
        <v>113</v>
      </c>
      <c r="F32" s="133" t="s">
        <v>343</v>
      </c>
      <c r="G32" s="133" t="s">
        <v>344</v>
      </c>
      <c r="H32" s="136">
        <v>22.78</v>
      </c>
      <c r="I32" s="133">
        <v>1</v>
      </c>
      <c r="J32" s="133" t="s">
        <v>177</v>
      </c>
      <c r="K32" s="4">
        <f>H32-N32</f>
        <v>-1.6999999999999993</v>
      </c>
      <c r="L32" s="7">
        <f>K32/H32</f>
        <v>-7.4626865671641757E-2</v>
      </c>
      <c r="M32" s="7" t="str">
        <f>IF(L32&lt;0,"Negative",IF(L32=0,"Same",IF(L32&gt;0.3,"30+%",IF(L32&gt;0.2,"20-30%",IF(L32&gt;0.1,"10-20%",IF(L32&lt;=0.1,"0-10%"))))))</f>
        <v>Negative</v>
      </c>
      <c r="N32" s="4">
        <f>O32*J32</f>
        <v>24.48</v>
      </c>
      <c r="O32" s="4">
        <v>12.24</v>
      </c>
      <c r="P32" s="4">
        <f>Q32*J32</f>
        <v>25.84</v>
      </c>
      <c r="Q32" s="136">
        <v>12.92</v>
      </c>
      <c r="R32" s="4">
        <f>P32-N32</f>
        <v>1.3599999999999994</v>
      </c>
      <c r="S32" s="7">
        <f>R32/P32</f>
        <v>5.2631578947368397E-2</v>
      </c>
      <c r="T32" s="7" t="str">
        <f>IF(S32&lt;0,"Negative",IF(S32=0,"Same",IF(S32&gt;0.3,"30+%",IF(S32&gt;0.2,"20-30%",IF(S32&gt;0.1,"10-20%",IF(S32&lt;=0.1,"0-10%"))))))</f>
        <v>0-10%</v>
      </c>
      <c r="U32" t="s">
        <v>215</v>
      </c>
      <c r="V32" t="s">
        <v>215</v>
      </c>
      <c r="W32" t="s">
        <v>180</v>
      </c>
      <c r="X32" s="135"/>
    </row>
    <row r="33" spans="1:24" s="133" customFormat="1" x14ac:dyDescent="0.3">
      <c r="A33" s="133" t="s">
        <v>206</v>
      </c>
      <c r="B33" s="134" t="s">
        <v>725</v>
      </c>
      <c r="C33" s="133" t="s">
        <v>726</v>
      </c>
      <c r="D33" s="133" t="s">
        <v>727</v>
      </c>
      <c r="E33" s="133" t="s">
        <v>95</v>
      </c>
      <c r="F33" s="133" t="s">
        <v>264</v>
      </c>
      <c r="G33" s="133" t="s">
        <v>728</v>
      </c>
      <c r="H33" s="136">
        <v>23.04</v>
      </c>
      <c r="I33" s="133">
        <v>1</v>
      </c>
      <c r="J33" s="133" t="s">
        <v>177</v>
      </c>
      <c r="K33" s="4">
        <f>H33-N33</f>
        <v>1.0199999999999996</v>
      </c>
      <c r="L33" s="7">
        <f>K33/H33</f>
        <v>4.4270833333333315E-2</v>
      </c>
      <c r="M33" s="7" t="str">
        <f>IF(L33&lt;0,"Negative",IF(L33=0,"Same",IF(L33&gt;0.3,"30+%",IF(L33&gt;0.2,"20-30%",IF(L33&gt;0.1,"10-20%",IF(L33&lt;=0.1,"0-10%"))))))</f>
        <v>0-10%</v>
      </c>
      <c r="N33" s="4">
        <f>O33*J33</f>
        <v>22.02</v>
      </c>
      <c r="O33" s="4">
        <v>11.01</v>
      </c>
      <c r="P33" s="4">
        <f>Q33*J33</f>
        <v>24.6</v>
      </c>
      <c r="Q33" s="136">
        <v>12.3</v>
      </c>
      <c r="R33" s="4">
        <f>P33-N33</f>
        <v>2.5800000000000018</v>
      </c>
      <c r="S33" s="7">
        <f>R33/P33</f>
        <v>0.10487804878048787</v>
      </c>
      <c r="T33" s="7" t="str">
        <f>IF(S33&lt;0,"Negative",IF(S33=0,"Same",IF(S33&gt;0.3,"30+%",IF(S33&gt;0.2,"20-30%",IF(S33&gt;0.1,"10-20%",IF(S33&lt;=0.1,"0-10%"))))))</f>
        <v>10-20%</v>
      </c>
      <c r="U33" t="s">
        <v>215</v>
      </c>
      <c r="V33" t="s">
        <v>215</v>
      </c>
      <c r="W33" t="s">
        <v>180</v>
      </c>
      <c r="X33" s="135"/>
    </row>
    <row r="34" spans="1:24" s="133" customFormat="1" x14ac:dyDescent="0.3">
      <c r="A34" s="133" t="s">
        <v>171</v>
      </c>
      <c r="B34" s="134" t="s">
        <v>640</v>
      </c>
      <c r="C34" s="133" t="s">
        <v>641</v>
      </c>
      <c r="D34" s="133" t="s">
        <v>278</v>
      </c>
      <c r="E34" s="133" t="s">
        <v>114</v>
      </c>
      <c r="F34" s="133" t="s">
        <v>320</v>
      </c>
      <c r="G34" s="133" t="s">
        <v>460</v>
      </c>
      <c r="H34" s="136">
        <v>23.75</v>
      </c>
      <c r="I34" s="133">
        <v>1</v>
      </c>
      <c r="J34" s="133" t="s">
        <v>281</v>
      </c>
      <c r="K34" s="4">
        <f>H34-N34</f>
        <v>-1.1500000000000021</v>
      </c>
      <c r="L34" s="7">
        <f>K34/H34</f>
        <v>-4.8421052631579038E-2</v>
      </c>
      <c r="M34" s="7" t="str">
        <f>IF(L34&lt;0,"Negative",IF(L34=0,"Same",IF(L34&gt;0.3,"30+%",IF(L34&gt;0.2,"20-30%",IF(L34&gt;0.1,"10-20%",IF(L34&lt;=0.1,"0-10%"))))))</f>
        <v>Negative</v>
      </c>
      <c r="N34" s="4">
        <f>O34*J34</f>
        <v>24.900000000000002</v>
      </c>
      <c r="O34" s="4">
        <v>4.9800000000000004</v>
      </c>
      <c r="P34" s="4">
        <f>Q34*J34</f>
        <v>26.9</v>
      </c>
      <c r="Q34" s="136">
        <v>5.38</v>
      </c>
      <c r="R34" s="4">
        <f>P34-N34</f>
        <v>1.9999999999999964</v>
      </c>
      <c r="S34" s="7">
        <f>R34/P34</f>
        <v>7.4349442379182035E-2</v>
      </c>
      <c r="T34" s="7" t="str">
        <f>IF(S34&lt;0,"Negative",IF(S34=0,"Same",IF(S34&gt;0.3,"30+%",IF(S34&gt;0.2,"20-30%",IF(S34&gt;0.1,"10-20%",IF(S34&lt;=0.1,"0-10%"))))))</f>
        <v>0-10%</v>
      </c>
      <c r="U34" t="s">
        <v>215</v>
      </c>
      <c r="V34" t="s">
        <v>215</v>
      </c>
      <c r="W34" t="s">
        <v>180</v>
      </c>
      <c r="X34" s="135"/>
    </row>
    <row r="35" spans="1:24" s="133" customFormat="1" x14ac:dyDescent="0.3">
      <c r="A35" s="133" t="s">
        <v>206</v>
      </c>
      <c r="B35" s="134" t="s">
        <v>615</v>
      </c>
      <c r="C35" s="133" t="s">
        <v>616</v>
      </c>
      <c r="D35" s="133" t="s">
        <v>128</v>
      </c>
      <c r="E35" s="133" t="s">
        <v>120</v>
      </c>
      <c r="F35" s="133" t="s">
        <v>326</v>
      </c>
      <c r="G35" s="133" t="s">
        <v>617</v>
      </c>
      <c r="H35" s="136">
        <v>24.72</v>
      </c>
      <c r="I35" s="133">
        <v>1</v>
      </c>
      <c r="J35" s="133" t="s">
        <v>355</v>
      </c>
      <c r="K35" s="4">
        <f>H35-N35</f>
        <v>-9</v>
      </c>
      <c r="L35" s="7">
        <f>K35/H35</f>
        <v>-0.36407766990291263</v>
      </c>
      <c r="M35" s="7" t="str">
        <f>IF(L35&lt;0,"Negative",IF(L35=0,"Same",IF(L35&gt;0.3,"30+%",IF(L35&gt;0.2,"20-30%",IF(L35&gt;0.1,"10-20%",IF(L35&lt;=0.1,"0-10%"))))))</f>
        <v>Negative</v>
      </c>
      <c r="N35" s="4">
        <f>O35*J35</f>
        <v>33.72</v>
      </c>
      <c r="O35" s="4">
        <v>2.81</v>
      </c>
      <c r="P35" s="4">
        <f>Q35*J35</f>
        <v>39.119999999999997</v>
      </c>
      <c r="Q35" s="136">
        <v>3.26</v>
      </c>
      <c r="R35" s="4">
        <f>P35-N35</f>
        <v>5.3999999999999986</v>
      </c>
      <c r="S35" s="7">
        <f>R35/P35</f>
        <v>0.1380368098159509</v>
      </c>
      <c r="T35" s="7" t="str">
        <f>IF(S35&lt;0,"Negative",IF(S35=0,"Same",IF(S35&gt;0.3,"30+%",IF(S35&gt;0.2,"20-30%",IF(S35&gt;0.1,"10-20%",IF(S35&lt;=0.1,"0-10%"))))))</f>
        <v>10-20%</v>
      </c>
      <c r="U35" t="s">
        <v>215</v>
      </c>
      <c r="V35" t="s">
        <v>215</v>
      </c>
      <c r="W35" t="s">
        <v>180</v>
      </c>
      <c r="X35" s="135"/>
    </row>
    <row r="36" spans="1:24" s="133" customFormat="1" x14ac:dyDescent="0.3">
      <c r="A36" s="133" t="s">
        <v>206</v>
      </c>
      <c r="B36" s="134" t="s">
        <v>739</v>
      </c>
      <c r="C36" s="133" t="s">
        <v>740</v>
      </c>
      <c r="D36" s="133" t="s">
        <v>741</v>
      </c>
      <c r="E36" s="133" t="s">
        <v>112</v>
      </c>
      <c r="F36" s="133" t="s">
        <v>742</v>
      </c>
      <c r="G36" s="133" t="s">
        <v>743</v>
      </c>
      <c r="H36" s="136">
        <v>24.88</v>
      </c>
      <c r="I36" s="133">
        <v>1</v>
      </c>
      <c r="J36" s="133" t="s">
        <v>177</v>
      </c>
      <c r="K36" s="4">
        <f>H36-N36</f>
        <v>0.16000000000000014</v>
      </c>
      <c r="L36" s="7">
        <f>K36/H36</f>
        <v>6.4308681672025783E-3</v>
      </c>
      <c r="M36" s="7" t="str">
        <f>IF(L36&lt;0,"Negative",IF(L36=0,"Same",IF(L36&gt;0.3,"30+%",IF(L36&gt;0.2,"20-30%",IF(L36&gt;0.1,"10-20%",IF(L36&lt;=0.1,"0-10%"))))))</f>
        <v>0-10%</v>
      </c>
      <c r="N36" s="4">
        <f>O36*J36</f>
        <v>24.72</v>
      </c>
      <c r="O36" s="4">
        <v>12.36</v>
      </c>
      <c r="P36" s="4">
        <f>Q36*J36</f>
        <v>25.38</v>
      </c>
      <c r="Q36" s="136">
        <v>12.69</v>
      </c>
      <c r="R36" s="4">
        <f>P36-N36</f>
        <v>0.66000000000000014</v>
      </c>
      <c r="S36" s="7">
        <f>R36/P36</f>
        <v>2.6004728132387713E-2</v>
      </c>
      <c r="T36" s="7" t="str">
        <f>IF(S36&lt;0,"Negative",IF(S36=0,"Same",IF(S36&gt;0.3,"30+%",IF(S36&gt;0.2,"20-30%",IF(S36&gt;0.1,"10-20%",IF(S36&lt;=0.1,"0-10%"))))))</f>
        <v>0-10%</v>
      </c>
      <c r="U36" t="s">
        <v>215</v>
      </c>
      <c r="V36" t="s">
        <v>215</v>
      </c>
      <c r="W36" t="s">
        <v>180</v>
      </c>
      <c r="X36" s="135"/>
    </row>
    <row r="37" spans="1:24" s="133" customFormat="1" x14ac:dyDescent="0.3">
      <c r="A37" s="133" t="s">
        <v>206</v>
      </c>
      <c r="B37" s="134" t="s">
        <v>256</v>
      </c>
      <c r="C37" s="133" t="s">
        <v>257</v>
      </c>
      <c r="D37" s="133" t="s">
        <v>258</v>
      </c>
      <c r="E37" s="133" t="s">
        <v>95</v>
      </c>
      <c r="F37" s="133" t="s">
        <v>259</v>
      </c>
      <c r="G37" s="133" t="s">
        <v>260</v>
      </c>
      <c r="H37" s="136">
        <v>25.24</v>
      </c>
      <c r="I37" s="133">
        <v>1</v>
      </c>
      <c r="J37" s="133" t="s">
        <v>177</v>
      </c>
      <c r="K37" s="4">
        <f>H37-N37</f>
        <v>-1.5800000000000018</v>
      </c>
      <c r="L37" s="7">
        <f>K37/H37</f>
        <v>-6.2599049128367751E-2</v>
      </c>
      <c r="M37" s="7" t="str">
        <f>IF(L37&lt;0,"Negative",IF(L37=0,"Same",IF(L37&gt;0.3,"30+%",IF(L37&gt;0.2,"20-30%",IF(L37&gt;0.1,"10-20%",IF(L37&lt;=0.1,"0-10%"))))))</f>
        <v>Negative</v>
      </c>
      <c r="N37" s="4">
        <f>O37*J37</f>
        <v>26.82</v>
      </c>
      <c r="O37" s="4">
        <v>13.41</v>
      </c>
      <c r="P37" s="4">
        <f>Q37*J37</f>
        <v>29.98</v>
      </c>
      <c r="Q37" s="136">
        <v>14.99</v>
      </c>
      <c r="R37" s="4">
        <f>P37-N37</f>
        <v>3.16</v>
      </c>
      <c r="S37" s="7">
        <f>R37/P37</f>
        <v>0.10540360240160107</v>
      </c>
      <c r="T37" s="7" t="str">
        <f>IF(S37&lt;0,"Negative",IF(S37=0,"Same",IF(S37&gt;0.3,"30+%",IF(S37&gt;0.2,"20-30%",IF(S37&gt;0.1,"10-20%",IF(S37&lt;=0.1,"0-10%"))))))</f>
        <v>10-20%</v>
      </c>
      <c r="U37" t="s">
        <v>215</v>
      </c>
      <c r="V37" t="s">
        <v>215</v>
      </c>
      <c r="W37" t="s">
        <v>180</v>
      </c>
      <c r="X37" s="135"/>
    </row>
    <row r="38" spans="1:24" s="133" customFormat="1" x14ac:dyDescent="0.3">
      <c r="A38" s="133" t="s">
        <v>171</v>
      </c>
      <c r="B38" s="134" t="s">
        <v>599</v>
      </c>
      <c r="C38" s="133" t="s">
        <v>600</v>
      </c>
      <c r="D38" s="133" t="s">
        <v>601</v>
      </c>
      <c r="E38" s="133" t="s">
        <v>106</v>
      </c>
      <c r="F38" s="133" t="s">
        <v>602</v>
      </c>
      <c r="G38" s="133" t="s">
        <v>603</v>
      </c>
      <c r="H38" s="136">
        <v>25.44</v>
      </c>
      <c r="I38" s="133">
        <v>1</v>
      </c>
      <c r="J38" s="133" t="s">
        <v>177</v>
      </c>
      <c r="K38" s="4">
        <f>H38-N38</f>
        <v>-0.63999999999999702</v>
      </c>
      <c r="L38" s="7">
        <f>K38/H38</f>
        <v>-2.5157232704402396E-2</v>
      </c>
      <c r="M38" s="7" t="str">
        <f>IF(L38&lt;0,"Negative",IF(L38=0,"Same",IF(L38&gt;0.3,"30+%",IF(L38&gt;0.2,"20-30%",IF(L38&gt;0.1,"10-20%",IF(L38&lt;=0.1,"0-10%"))))))</f>
        <v>Negative</v>
      </c>
      <c r="N38" s="4">
        <f>O38*J38</f>
        <v>26.08</v>
      </c>
      <c r="O38" s="4">
        <v>13.04</v>
      </c>
      <c r="P38" s="4">
        <f>Q38*J38</f>
        <v>28.48</v>
      </c>
      <c r="Q38" s="136">
        <v>14.24</v>
      </c>
      <c r="R38" s="4">
        <f>P38-N38</f>
        <v>2.4000000000000021</v>
      </c>
      <c r="S38" s="7">
        <f>R38/P38</f>
        <v>8.4269662921348382E-2</v>
      </c>
      <c r="T38" s="7" t="str">
        <f>IF(S38&lt;0,"Negative",IF(S38=0,"Same",IF(S38&gt;0.3,"30+%",IF(S38&gt;0.2,"20-30%",IF(S38&gt;0.1,"10-20%",IF(S38&lt;=0.1,"0-10%"))))))</f>
        <v>0-10%</v>
      </c>
      <c r="U38" t="s">
        <v>215</v>
      </c>
      <c r="V38" t="s">
        <v>215</v>
      </c>
      <c r="W38" t="s">
        <v>180</v>
      </c>
      <c r="X38" s="135"/>
    </row>
    <row r="39" spans="1:24" s="133" customFormat="1" x14ac:dyDescent="0.3">
      <c r="A39" s="133" t="s">
        <v>206</v>
      </c>
      <c r="B39" s="134" t="s">
        <v>378</v>
      </c>
      <c r="C39" s="133" t="s">
        <v>379</v>
      </c>
      <c r="D39" s="133" t="s">
        <v>380</v>
      </c>
      <c r="E39" s="133" t="s">
        <v>96</v>
      </c>
      <c r="F39" s="133" t="s">
        <v>381</v>
      </c>
      <c r="G39" s="133" t="s">
        <v>382</v>
      </c>
      <c r="H39" s="136">
        <v>25.75</v>
      </c>
      <c r="I39" s="133">
        <v>1</v>
      </c>
      <c r="J39" s="133" t="s">
        <v>187</v>
      </c>
      <c r="K39" s="4">
        <f>H39-N39</f>
        <v>1.5399999999999991</v>
      </c>
      <c r="L39" s="7">
        <f>K39/H39</f>
        <v>5.9805825242718415E-2</v>
      </c>
      <c r="M39" s="7" t="str">
        <f>IF(L39&lt;0,"Negative",IF(L39=0,"Same",IF(L39&gt;0.3,"30+%",IF(L39&gt;0.2,"20-30%",IF(L39&gt;0.1,"10-20%",IF(L39&lt;=0.1,"0-10%"))))))</f>
        <v>0-10%</v>
      </c>
      <c r="N39" s="4">
        <f>O39*J39</f>
        <v>24.21</v>
      </c>
      <c r="O39" s="4">
        <v>24.21</v>
      </c>
      <c r="P39" s="4">
        <f>Q39*J39</f>
        <v>25.2</v>
      </c>
      <c r="Q39" s="136">
        <v>25.2</v>
      </c>
      <c r="R39" s="4">
        <f>P39-N39</f>
        <v>0.98999999999999844</v>
      </c>
      <c r="S39" s="7">
        <f>R39/P39</f>
        <v>3.9285714285714222E-2</v>
      </c>
      <c r="T39" s="7" t="str">
        <f>IF(S39&lt;0,"Negative",IF(S39=0,"Same",IF(S39&gt;0.3,"30+%",IF(S39&gt;0.2,"20-30%",IF(S39&gt;0.1,"10-20%",IF(S39&lt;=0.1,"0-10%"))))))</f>
        <v>0-10%</v>
      </c>
      <c r="U39" t="s">
        <v>250</v>
      </c>
      <c r="V39" t="s">
        <v>215</v>
      </c>
      <c r="W39" t="s">
        <v>180</v>
      </c>
      <c r="X39" s="135"/>
    </row>
    <row r="40" spans="1:24" s="133" customFormat="1" x14ac:dyDescent="0.3">
      <c r="A40" s="133" t="s">
        <v>171</v>
      </c>
      <c r="B40" s="134" t="s">
        <v>705</v>
      </c>
      <c r="C40" s="133" t="s">
        <v>706</v>
      </c>
      <c r="D40" s="133" t="s">
        <v>450</v>
      </c>
      <c r="E40" s="133" t="s">
        <v>108</v>
      </c>
      <c r="F40" s="133" t="s">
        <v>451</v>
      </c>
      <c r="G40" s="133" t="s">
        <v>452</v>
      </c>
      <c r="H40" s="136">
        <v>26.06</v>
      </c>
      <c r="I40" s="133">
        <v>1</v>
      </c>
      <c r="J40" s="133" t="s">
        <v>177</v>
      </c>
      <c r="K40" s="4">
        <f>H40-N40</f>
        <v>-0.38000000000000256</v>
      </c>
      <c r="L40" s="7">
        <f>K40/H40</f>
        <v>-1.4581734458941004E-2</v>
      </c>
      <c r="M40" s="7" t="str">
        <f>IF(L40&lt;0,"Negative",IF(L40=0,"Same",IF(L40&gt;0.3,"30+%",IF(L40&gt;0.2,"20-30%",IF(L40&gt;0.1,"10-20%",IF(L40&lt;=0.1,"0-10%"))))))</f>
        <v>Negative</v>
      </c>
      <c r="N40" s="4">
        <f>O40*J40</f>
        <v>26.44</v>
      </c>
      <c r="O40" s="4">
        <v>13.22</v>
      </c>
      <c r="P40" s="4">
        <f>Q40*J40</f>
        <v>29.54</v>
      </c>
      <c r="Q40" s="136">
        <v>14.77</v>
      </c>
      <c r="R40" s="4">
        <f>P40-N40</f>
        <v>3.0999999999999979</v>
      </c>
      <c r="S40" s="7">
        <f>R40/P40</f>
        <v>0.10494245091401483</v>
      </c>
      <c r="T40" s="7" t="str">
        <f>IF(S40&lt;0,"Negative",IF(S40=0,"Same",IF(S40&gt;0.3,"30+%",IF(S40&gt;0.2,"20-30%",IF(S40&gt;0.1,"10-20%",IF(S40&lt;=0.1,"0-10%"))))))</f>
        <v>10-20%</v>
      </c>
      <c r="U40" t="s">
        <v>215</v>
      </c>
      <c r="V40" t="s">
        <v>215</v>
      </c>
      <c r="W40" t="s">
        <v>180</v>
      </c>
      <c r="X40" s="135"/>
    </row>
    <row r="41" spans="1:24" s="133" customFormat="1" x14ac:dyDescent="0.3">
      <c r="A41" s="133" t="s">
        <v>171</v>
      </c>
      <c r="B41" s="134" t="s">
        <v>266</v>
      </c>
      <c r="C41" s="133" t="s">
        <v>267</v>
      </c>
      <c r="D41" s="133" t="s">
        <v>268</v>
      </c>
      <c r="E41" s="133" t="s">
        <v>120</v>
      </c>
      <c r="F41" s="133" t="s">
        <v>269</v>
      </c>
      <c r="G41" s="133" t="s">
        <v>270</v>
      </c>
      <c r="H41" s="136">
        <v>26.24</v>
      </c>
      <c r="I41" s="133">
        <v>1</v>
      </c>
      <c r="J41" s="133" t="s">
        <v>187</v>
      </c>
      <c r="K41" s="4">
        <f>H41-N41</f>
        <v>-0.27000000000000313</v>
      </c>
      <c r="L41" s="7">
        <f>K41/H41</f>
        <v>-1.0289634146341584E-2</v>
      </c>
      <c r="M41" s="7" t="str">
        <f>IF(L41&lt;0,"Negative",IF(L41=0,"Same",IF(L41&gt;0.3,"30+%",IF(L41&gt;0.2,"20-30%",IF(L41&gt;0.1,"10-20%",IF(L41&lt;=0.1,"0-10%"))))))</f>
        <v>Negative</v>
      </c>
      <c r="N41" s="4">
        <f>O41*J41</f>
        <v>26.51</v>
      </c>
      <c r="O41" s="4">
        <v>26.51</v>
      </c>
      <c r="P41" s="4">
        <f>Q41*J41</f>
        <v>30.71</v>
      </c>
      <c r="Q41" s="136">
        <v>30.71</v>
      </c>
      <c r="R41" s="4">
        <f>P41-N41</f>
        <v>4.1999999999999993</v>
      </c>
      <c r="S41" s="7">
        <f>R41/P41</f>
        <v>0.13676326929338975</v>
      </c>
      <c r="T41" s="7" t="str">
        <f>IF(S41&lt;0,"Negative",IF(S41=0,"Same",IF(S41&gt;0.3,"30+%",IF(S41&gt;0.2,"20-30%",IF(S41&gt;0.1,"10-20%",IF(S41&lt;=0.1,"0-10%"))))))</f>
        <v>10-20%</v>
      </c>
      <c r="U41" t="s">
        <v>215</v>
      </c>
      <c r="V41" t="s">
        <v>215</v>
      </c>
      <c r="W41" t="s">
        <v>180</v>
      </c>
      <c r="X41" s="135"/>
    </row>
    <row r="42" spans="1:24" s="133" customFormat="1" x14ac:dyDescent="0.3">
      <c r="A42" s="133" t="s">
        <v>171</v>
      </c>
      <c r="B42" s="134" t="s">
        <v>331</v>
      </c>
      <c r="C42" s="133" t="s">
        <v>332</v>
      </c>
      <c r="D42" s="133" t="s">
        <v>333</v>
      </c>
      <c r="E42" s="133" t="s">
        <v>114</v>
      </c>
      <c r="F42" s="133" t="s">
        <v>254</v>
      </c>
      <c r="G42" s="133" t="s">
        <v>334</v>
      </c>
      <c r="H42" s="136">
        <v>27.31</v>
      </c>
      <c r="I42" s="133">
        <v>1</v>
      </c>
      <c r="J42" s="133" t="s">
        <v>187</v>
      </c>
      <c r="K42" s="4">
        <f>H42-N42</f>
        <v>1.5</v>
      </c>
      <c r="L42" s="7">
        <f>K42/H42</f>
        <v>5.4924935920908094E-2</v>
      </c>
      <c r="M42" s="7" t="str">
        <f>IF(L42&lt;0,"Negative",IF(L42=0,"Same",IF(L42&gt;0.3,"30+%",IF(L42&gt;0.2,"20-30%",IF(L42&gt;0.1,"10-20%",IF(L42&lt;=0.1,"0-10%"))))))</f>
        <v>0-10%</v>
      </c>
      <c r="N42" s="4">
        <f>O42*J42</f>
        <v>25.81</v>
      </c>
      <c r="O42" s="4">
        <v>25.81</v>
      </c>
      <c r="P42" s="4">
        <f>Q42*J42</f>
        <v>27.86</v>
      </c>
      <c r="Q42" s="136">
        <v>27.86</v>
      </c>
      <c r="R42" s="4">
        <f>P42-N42</f>
        <v>2.0500000000000007</v>
      </c>
      <c r="S42" s="7">
        <f>R42/P42</f>
        <v>7.3582196697774618E-2</v>
      </c>
      <c r="T42" s="7" t="str">
        <f>IF(S42&lt;0,"Negative",IF(S42=0,"Same",IF(S42&gt;0.3,"30+%",IF(S42&gt;0.2,"20-30%",IF(S42&gt;0.1,"10-20%",IF(S42&lt;=0.1,"0-10%"))))))</f>
        <v>0-10%</v>
      </c>
      <c r="U42" t="s">
        <v>215</v>
      </c>
      <c r="V42" t="s">
        <v>215</v>
      </c>
      <c r="W42" t="s">
        <v>180</v>
      </c>
      <c r="X42" s="135"/>
    </row>
    <row r="43" spans="1:24" s="133" customFormat="1" x14ac:dyDescent="0.3">
      <c r="A43" s="133" t="s">
        <v>171</v>
      </c>
      <c r="B43" s="134" t="s">
        <v>461</v>
      </c>
      <c r="C43" s="133" t="s">
        <v>462</v>
      </c>
      <c r="D43" s="133" t="s">
        <v>463</v>
      </c>
      <c r="E43" s="133" t="s">
        <v>114</v>
      </c>
      <c r="F43" s="133" t="s">
        <v>320</v>
      </c>
      <c r="G43" s="133" t="s">
        <v>460</v>
      </c>
      <c r="H43" s="136">
        <v>28.14</v>
      </c>
      <c r="I43" s="133">
        <v>1</v>
      </c>
      <c r="J43" s="133" t="s">
        <v>221</v>
      </c>
      <c r="K43" s="4">
        <f>H43-N43</f>
        <v>-3.3000000000000007</v>
      </c>
      <c r="L43" s="7">
        <f>K43/H43</f>
        <v>-0.11727078891257998</v>
      </c>
      <c r="M43" s="7" t="str">
        <f>IF(L43&lt;0,"Negative",IF(L43=0,"Same",IF(L43&gt;0.3,"30+%",IF(L43&gt;0.2,"20-30%",IF(L43&gt;0.1,"10-20%",IF(L43&lt;=0.1,"0-10%"))))))</f>
        <v>Negative</v>
      </c>
      <c r="N43" s="4">
        <f>O43*J43</f>
        <v>31.44</v>
      </c>
      <c r="O43" s="4">
        <v>5.24</v>
      </c>
      <c r="P43" s="4">
        <f>Q43*J43</f>
        <v>33.96</v>
      </c>
      <c r="Q43" s="136">
        <v>5.66</v>
      </c>
      <c r="R43" s="4">
        <f>P43-N43</f>
        <v>2.5199999999999996</v>
      </c>
      <c r="S43" s="7">
        <f>R43/P43</f>
        <v>7.4204946996466417E-2</v>
      </c>
      <c r="T43" s="7" t="str">
        <f>IF(S43&lt;0,"Negative",IF(S43=0,"Same",IF(S43&gt;0.3,"30+%",IF(S43&gt;0.2,"20-30%",IF(S43&gt;0.1,"10-20%",IF(S43&lt;=0.1,"0-10%"))))))</f>
        <v>0-10%</v>
      </c>
      <c r="U43" t="s">
        <v>215</v>
      </c>
      <c r="V43" t="s">
        <v>215</v>
      </c>
      <c r="W43" t="s">
        <v>180</v>
      </c>
      <c r="X43" s="135"/>
    </row>
    <row r="44" spans="1:24" s="133" customFormat="1" x14ac:dyDescent="0.3">
      <c r="A44" s="133" t="s">
        <v>171</v>
      </c>
      <c r="B44" s="134" t="s">
        <v>744</v>
      </c>
      <c r="C44" s="133" t="s">
        <v>745</v>
      </c>
      <c r="D44" s="133" t="s">
        <v>140</v>
      </c>
      <c r="E44" s="133" t="s">
        <v>100</v>
      </c>
      <c r="F44" s="133" t="s">
        <v>746</v>
      </c>
      <c r="G44" s="133" t="s">
        <v>747</v>
      </c>
      <c r="H44" s="136">
        <v>30.19</v>
      </c>
      <c r="I44" s="133">
        <v>1</v>
      </c>
      <c r="J44" s="133" t="s">
        <v>187</v>
      </c>
      <c r="K44" s="4">
        <f>H44-N44</f>
        <v>2.1900000000000013</v>
      </c>
      <c r="L44" s="7">
        <f>K44/H44</f>
        <v>7.2540576349784738E-2</v>
      </c>
      <c r="M44" s="7" t="str">
        <f>IF(L44&lt;0,"Negative",IF(L44=0,"Same",IF(L44&gt;0.3,"30+%",IF(L44&gt;0.2,"20-30%",IF(L44&gt;0.1,"10-20%",IF(L44&lt;=0.1,"0-10%"))))))</f>
        <v>0-10%</v>
      </c>
      <c r="N44" s="4">
        <f>O44*J44</f>
        <v>28</v>
      </c>
      <c r="O44" s="4">
        <v>28</v>
      </c>
      <c r="P44" s="4">
        <f>Q44*J44</f>
        <v>32.44</v>
      </c>
      <c r="Q44" s="136">
        <v>32.44</v>
      </c>
      <c r="R44" s="4">
        <f>P44-N44</f>
        <v>4.4399999999999977</v>
      </c>
      <c r="S44" s="7">
        <f>R44/P44</f>
        <v>0.13686806411837232</v>
      </c>
      <c r="T44" s="7" t="str">
        <f>IF(S44&lt;0,"Negative",IF(S44=0,"Same",IF(S44&gt;0.3,"30+%",IF(S44&gt;0.2,"20-30%",IF(S44&gt;0.1,"10-20%",IF(S44&lt;=0.1,"0-10%"))))))</f>
        <v>10-20%</v>
      </c>
      <c r="U44" t="s">
        <v>215</v>
      </c>
      <c r="V44" t="s">
        <v>215</v>
      </c>
      <c r="W44" t="s">
        <v>180</v>
      </c>
      <c r="X44" s="135"/>
    </row>
    <row r="45" spans="1:24" s="133" customFormat="1" x14ac:dyDescent="0.3">
      <c r="A45" s="133" t="s">
        <v>171</v>
      </c>
      <c r="B45" s="134" t="s">
        <v>845</v>
      </c>
      <c r="C45" s="133" t="s">
        <v>846</v>
      </c>
      <c r="D45" s="133" t="s">
        <v>847</v>
      </c>
      <c r="E45" s="133" t="s">
        <v>114</v>
      </c>
      <c r="F45" s="133" t="s">
        <v>234</v>
      </c>
      <c r="G45" s="133" t="s">
        <v>848</v>
      </c>
      <c r="H45" s="136">
        <v>30.92</v>
      </c>
      <c r="I45" s="133">
        <v>1</v>
      </c>
      <c r="J45" s="133" t="s">
        <v>187</v>
      </c>
      <c r="K45" s="4">
        <f>H45-N45</f>
        <v>-2.6499999999999986</v>
      </c>
      <c r="L45" s="7">
        <f>K45/H45</f>
        <v>-8.5705045278137076E-2</v>
      </c>
      <c r="M45" s="7" t="str">
        <f>IF(L45&lt;0,"Negative",IF(L45=0,"Same",IF(L45&gt;0.3,"30+%",IF(L45&gt;0.2,"20-30%",IF(L45&gt;0.1,"10-20%",IF(L45&lt;=0.1,"0-10%"))))))</f>
        <v>Negative</v>
      </c>
      <c r="N45" s="4">
        <f>O45*J45</f>
        <v>33.57</v>
      </c>
      <c r="O45" s="4">
        <v>33.57</v>
      </c>
      <c r="P45" s="4">
        <f>Q45*J45</f>
        <v>36.24</v>
      </c>
      <c r="Q45" s="136">
        <v>36.24</v>
      </c>
      <c r="R45" s="4">
        <f>P45-N45</f>
        <v>2.6700000000000017</v>
      </c>
      <c r="S45" s="7">
        <f>R45/P45</f>
        <v>7.3675496688741765E-2</v>
      </c>
      <c r="T45" s="7" t="str">
        <f>IF(S45&lt;0,"Negative",IF(S45=0,"Same",IF(S45&gt;0.3,"30+%",IF(S45&gt;0.2,"20-30%",IF(S45&gt;0.1,"10-20%",IF(S45&lt;=0.1,"0-10%"))))))</f>
        <v>0-10%</v>
      </c>
      <c r="U45" t="s">
        <v>215</v>
      </c>
      <c r="V45" t="s">
        <v>215</v>
      </c>
      <c r="W45" t="s">
        <v>180</v>
      </c>
      <c r="X45" s="135"/>
    </row>
    <row r="46" spans="1:24" s="133" customFormat="1" x14ac:dyDescent="0.3">
      <c r="A46" s="133" t="s">
        <v>171</v>
      </c>
      <c r="B46" s="134" t="s">
        <v>763</v>
      </c>
      <c r="C46" s="133" t="s">
        <v>764</v>
      </c>
      <c r="D46" s="133" t="s">
        <v>765</v>
      </c>
      <c r="E46" s="133" t="s">
        <v>121</v>
      </c>
      <c r="F46" s="133" t="s">
        <v>766</v>
      </c>
      <c r="G46" s="133" t="s">
        <v>767</v>
      </c>
      <c r="H46" s="136">
        <v>31.71</v>
      </c>
      <c r="I46" s="133">
        <v>1</v>
      </c>
      <c r="J46" s="133" t="s">
        <v>187</v>
      </c>
      <c r="K46" s="4">
        <f>H46-N46</f>
        <v>-2.4099999999999966</v>
      </c>
      <c r="L46" s="7">
        <f>K46/H46</f>
        <v>-7.6001261431724892E-2</v>
      </c>
      <c r="M46" s="7" t="str">
        <f>IF(L46&lt;0,"Negative",IF(L46=0,"Same",IF(L46&gt;0.3,"30+%",IF(L46&gt;0.2,"20-30%",IF(L46&gt;0.1,"10-20%",IF(L46&lt;=0.1,"0-10%"))))))</f>
        <v>Negative</v>
      </c>
      <c r="N46" s="4">
        <f>O46*J46</f>
        <v>34.119999999999997</v>
      </c>
      <c r="O46" s="4">
        <v>34.119999999999997</v>
      </c>
      <c r="P46" s="4">
        <f>Q46*J46</f>
        <v>35.049999999999997</v>
      </c>
      <c r="Q46" s="136">
        <v>35.049999999999997</v>
      </c>
      <c r="R46" s="4">
        <f>P46-N46</f>
        <v>0.92999999999999972</v>
      </c>
      <c r="S46" s="7">
        <f>R46/P46</f>
        <v>2.6533523537803132E-2</v>
      </c>
      <c r="T46" s="7" t="str">
        <f>IF(S46&lt;0,"Negative",IF(S46=0,"Same",IF(S46&gt;0.3,"30+%",IF(S46&gt;0.2,"20-30%",IF(S46&gt;0.1,"10-20%",IF(S46&lt;=0.1,"0-10%"))))))</f>
        <v>0-10%</v>
      </c>
      <c r="U46" t="s">
        <v>215</v>
      </c>
      <c r="V46" t="s">
        <v>215</v>
      </c>
      <c r="W46" t="s">
        <v>180</v>
      </c>
      <c r="X46" s="135"/>
    </row>
    <row r="47" spans="1:24" s="133" customFormat="1" x14ac:dyDescent="0.3">
      <c r="A47" s="133" t="s">
        <v>171</v>
      </c>
      <c r="B47" s="134" t="s">
        <v>866</v>
      </c>
      <c r="C47" s="133" t="s">
        <v>867</v>
      </c>
      <c r="D47" s="133" t="s">
        <v>209</v>
      </c>
      <c r="E47" s="133" t="s">
        <v>97</v>
      </c>
      <c r="F47" s="133" t="s">
        <v>868</v>
      </c>
      <c r="G47" s="133" t="s">
        <v>869</v>
      </c>
      <c r="H47" s="136">
        <v>32.159999999999997</v>
      </c>
      <c r="I47" s="133">
        <v>1</v>
      </c>
      <c r="J47" s="133" t="s">
        <v>177</v>
      </c>
      <c r="K47" s="4">
        <f>H47-N47</f>
        <v>5.0799999999999983</v>
      </c>
      <c r="L47" s="7">
        <f>K47/H47</f>
        <v>0.1579601990049751</v>
      </c>
      <c r="M47" s="7" t="str">
        <f>IF(L47&lt;0,"Negative",IF(L47=0,"Same",IF(L47&gt;0.3,"30+%",IF(L47&gt;0.2,"20-30%",IF(L47&gt;0.1,"10-20%",IF(L47&lt;=0.1,"0-10%"))))))</f>
        <v>10-20%</v>
      </c>
      <c r="N47" s="4">
        <f>O47*J47</f>
        <v>27.08</v>
      </c>
      <c r="O47" s="4">
        <v>13.54</v>
      </c>
      <c r="P47" s="4">
        <f>Q47*J47</f>
        <v>32.159999999999997</v>
      </c>
      <c r="Q47" s="136">
        <v>16.079999999999998</v>
      </c>
      <c r="R47" s="4">
        <f>P47-N47</f>
        <v>5.0799999999999983</v>
      </c>
      <c r="S47" s="7">
        <f>R47/P47</f>
        <v>0.1579601990049751</v>
      </c>
      <c r="T47" s="7" t="str">
        <f>IF(S47&lt;0,"Negative",IF(S47=0,"Same",IF(S47&gt;0.3,"30+%",IF(S47&gt;0.2,"20-30%",IF(S47&gt;0.1,"10-20%",IF(S47&lt;=0.1,"0-10%"))))))</f>
        <v>10-20%</v>
      </c>
      <c r="U47" t="s">
        <v>215</v>
      </c>
      <c r="V47" t="s">
        <v>215</v>
      </c>
      <c r="W47" t="s">
        <v>180</v>
      </c>
      <c r="X47" s="135"/>
    </row>
    <row r="48" spans="1:24" s="133" customFormat="1" x14ac:dyDescent="0.3">
      <c r="A48" s="133" t="s">
        <v>171</v>
      </c>
      <c r="B48" s="134" t="s">
        <v>539</v>
      </c>
      <c r="C48" s="133" t="s">
        <v>540</v>
      </c>
      <c r="D48" s="133" t="s">
        <v>133</v>
      </c>
      <c r="E48" s="133" t="s">
        <v>96</v>
      </c>
      <c r="F48" s="133" t="s">
        <v>381</v>
      </c>
      <c r="G48" s="133" t="s">
        <v>541</v>
      </c>
      <c r="H48" s="136">
        <v>32.6</v>
      </c>
      <c r="I48" s="133">
        <v>1</v>
      </c>
      <c r="J48" s="133" t="s">
        <v>322</v>
      </c>
      <c r="K48" s="4">
        <f>H48-N48</f>
        <v>12.600000000000001</v>
      </c>
      <c r="L48" s="7">
        <f>K48/H48</f>
        <v>0.38650306748466262</v>
      </c>
      <c r="M48" s="7" t="str">
        <f>IF(L48&lt;0,"Negative",IF(L48=0,"Same",IF(L48&gt;0.3,"30+%",IF(L48&gt;0.2,"20-30%",IF(L48&gt;0.1,"10-20%",IF(L48&lt;=0.1,"0-10%"))))))</f>
        <v>30+%</v>
      </c>
      <c r="N48" s="4">
        <f>O48*J48</f>
        <v>20</v>
      </c>
      <c r="O48" s="4">
        <v>2</v>
      </c>
      <c r="P48" s="4">
        <f>Q48*J48</f>
        <v>35.5</v>
      </c>
      <c r="Q48" s="136">
        <v>3.55</v>
      </c>
      <c r="R48" s="4">
        <f>P48-N48</f>
        <v>15.5</v>
      </c>
      <c r="S48" s="7">
        <f>R48/P48</f>
        <v>0.43661971830985913</v>
      </c>
      <c r="T48" s="7" t="str">
        <f>IF(S48&lt;0,"Negative",IF(S48=0,"Same",IF(S48&gt;0.3,"30+%",IF(S48&gt;0.2,"20-30%",IF(S48&gt;0.1,"10-20%",IF(S48&lt;=0.1,"0-10%"))))))</f>
        <v>30+%</v>
      </c>
      <c r="U48" t="s">
        <v>250</v>
      </c>
      <c r="V48" t="s">
        <v>215</v>
      </c>
      <c r="W48" t="s">
        <v>180</v>
      </c>
      <c r="X48" s="135"/>
    </row>
    <row r="49" spans="1:24" s="133" customFormat="1" x14ac:dyDescent="0.3">
      <c r="A49" s="133" t="s">
        <v>171</v>
      </c>
      <c r="B49" s="134" t="s">
        <v>523</v>
      </c>
      <c r="C49" s="133" t="s">
        <v>524</v>
      </c>
      <c r="D49" s="133" t="s">
        <v>525</v>
      </c>
      <c r="E49" s="133" t="s">
        <v>100</v>
      </c>
      <c r="F49" s="133" t="s">
        <v>521</v>
      </c>
      <c r="G49" s="133" t="s">
        <v>526</v>
      </c>
      <c r="H49" s="136">
        <v>32.76</v>
      </c>
      <c r="I49" s="133">
        <v>1</v>
      </c>
      <c r="J49" s="133" t="s">
        <v>296</v>
      </c>
      <c r="K49" s="4">
        <f>H49-N49</f>
        <v>1.1700000000000017</v>
      </c>
      <c r="L49" s="7">
        <f>K49/H49</f>
        <v>3.5714285714285768E-2</v>
      </c>
      <c r="M49" s="7" t="str">
        <f>IF(L49&lt;0,"Negative",IF(L49=0,"Same",IF(L49&gt;0.3,"30+%",IF(L49&gt;0.2,"20-30%",IF(L49&gt;0.1,"10-20%",IF(L49&lt;=0.1,"0-10%"))))))</f>
        <v>0-10%</v>
      </c>
      <c r="N49" s="4">
        <f>O49*J49</f>
        <v>31.589999999999996</v>
      </c>
      <c r="O49" s="4">
        <v>10.53</v>
      </c>
      <c r="P49" s="4">
        <f>Q49*J49</f>
        <v>36.599999999999994</v>
      </c>
      <c r="Q49" s="136">
        <v>12.2</v>
      </c>
      <c r="R49" s="4">
        <f>P49-N49</f>
        <v>5.009999999999998</v>
      </c>
      <c r="S49" s="7">
        <f>R49/P49</f>
        <v>0.13688524590163931</v>
      </c>
      <c r="T49" s="7" t="str">
        <f>IF(S49&lt;0,"Negative",IF(S49=0,"Same",IF(S49&gt;0.3,"30+%",IF(S49&gt;0.2,"20-30%",IF(S49&gt;0.1,"10-20%",IF(S49&lt;=0.1,"0-10%"))))))</f>
        <v>10-20%</v>
      </c>
      <c r="U49" t="s">
        <v>215</v>
      </c>
      <c r="V49" t="s">
        <v>215</v>
      </c>
      <c r="W49" t="s">
        <v>180</v>
      </c>
      <c r="X49" s="135"/>
    </row>
    <row r="50" spans="1:24" s="133" customFormat="1" x14ac:dyDescent="0.3">
      <c r="A50" s="133" t="s">
        <v>171</v>
      </c>
      <c r="B50" s="134" t="s">
        <v>373</v>
      </c>
      <c r="C50" s="133" t="s">
        <v>374</v>
      </c>
      <c r="D50" s="133" t="s">
        <v>375</v>
      </c>
      <c r="E50" s="133" t="s">
        <v>98</v>
      </c>
      <c r="F50" s="133" t="s">
        <v>376</v>
      </c>
      <c r="G50" s="133" t="s">
        <v>377</v>
      </c>
      <c r="H50" s="136">
        <v>32.799999999999997</v>
      </c>
      <c r="I50" s="133">
        <v>1</v>
      </c>
      <c r="J50" s="133" t="s">
        <v>281</v>
      </c>
      <c r="K50" s="4">
        <f>H50-N50</f>
        <v>12.599999999999998</v>
      </c>
      <c r="L50" s="7">
        <f>K50/H50</f>
        <v>0.38414634146341459</v>
      </c>
      <c r="M50" s="7" t="str">
        <f>IF(L50&lt;0,"Negative",IF(L50=0,"Same",IF(L50&gt;0.3,"30+%",IF(L50&gt;0.2,"20-30%",IF(L50&gt;0.1,"10-20%",IF(L50&lt;=0.1,"0-10%"))))))</f>
        <v>30+%</v>
      </c>
      <c r="N50" s="4">
        <f>O50*J50</f>
        <v>20.2</v>
      </c>
      <c r="O50" s="4">
        <v>4.04</v>
      </c>
      <c r="P50" s="4">
        <f>Q50*J50</f>
        <v>40.85</v>
      </c>
      <c r="Q50" s="136">
        <v>8.17</v>
      </c>
      <c r="R50" s="4">
        <f>P50-N50</f>
        <v>20.650000000000002</v>
      </c>
      <c r="S50" s="7">
        <f>R50/P50</f>
        <v>0.50550795593635256</v>
      </c>
      <c r="T50" s="7" t="str">
        <f>IF(S50&lt;0,"Negative",IF(S50=0,"Same",IF(S50&gt;0.3,"30+%",IF(S50&gt;0.2,"20-30%",IF(S50&gt;0.1,"10-20%",IF(S50&lt;=0.1,"0-10%"))))))</f>
        <v>30+%</v>
      </c>
      <c r="U50" t="s">
        <v>250</v>
      </c>
      <c r="V50" t="s">
        <v>215</v>
      </c>
      <c r="W50" t="s">
        <v>180</v>
      </c>
      <c r="X50" s="135"/>
    </row>
    <row r="51" spans="1:24" s="133" customFormat="1" x14ac:dyDescent="0.3">
      <c r="A51" s="133" t="s">
        <v>206</v>
      </c>
      <c r="B51" s="134" t="s">
        <v>671</v>
      </c>
      <c r="C51" s="133" t="s">
        <v>672</v>
      </c>
      <c r="D51" s="133" t="s">
        <v>209</v>
      </c>
      <c r="E51" s="133" t="s">
        <v>93</v>
      </c>
      <c r="F51" s="133" t="s">
        <v>371</v>
      </c>
      <c r="G51" s="133" t="s">
        <v>673</v>
      </c>
      <c r="H51" s="136">
        <v>33.700000000000003</v>
      </c>
      <c r="I51" s="133">
        <v>1</v>
      </c>
      <c r="J51" s="133" t="s">
        <v>322</v>
      </c>
      <c r="K51" s="4">
        <f>H51-N51</f>
        <v>-8.7000000000000028</v>
      </c>
      <c r="L51" s="7">
        <f>K51/H51</f>
        <v>-0.25816023738872412</v>
      </c>
      <c r="M51" s="7" t="str">
        <f>IF(L51&lt;0,"Negative",IF(L51=0,"Same",IF(L51&gt;0.3,"30+%",IF(L51&gt;0.2,"20-30%",IF(L51&gt;0.1,"10-20%",IF(L51&lt;=0.1,"0-10%"))))))</f>
        <v>Negative</v>
      </c>
      <c r="N51" s="4">
        <f>O51*J51</f>
        <v>42.400000000000006</v>
      </c>
      <c r="O51" s="4">
        <v>4.24</v>
      </c>
      <c r="P51" s="4">
        <f>Q51*J51</f>
        <v>45.8</v>
      </c>
      <c r="Q51" s="136">
        <v>4.58</v>
      </c>
      <c r="R51" s="4">
        <f>P51-N51</f>
        <v>3.3999999999999915</v>
      </c>
      <c r="S51" s="7">
        <f>R51/P51</f>
        <v>7.4235807860261821E-2</v>
      </c>
      <c r="T51" s="7" t="str">
        <f>IF(S51&lt;0,"Negative",IF(S51=0,"Same",IF(S51&gt;0.3,"30+%",IF(S51&gt;0.2,"20-30%",IF(S51&gt;0.1,"10-20%",IF(S51&lt;=0.1,"0-10%"))))))</f>
        <v>0-10%</v>
      </c>
      <c r="U51" t="s">
        <v>215</v>
      </c>
      <c r="V51" t="s">
        <v>215</v>
      </c>
      <c r="W51" t="s">
        <v>180</v>
      </c>
      <c r="X51" s="135"/>
    </row>
    <row r="52" spans="1:24" s="133" customFormat="1" x14ac:dyDescent="0.3">
      <c r="A52" s="133" t="s">
        <v>206</v>
      </c>
      <c r="B52" s="134" t="s">
        <v>630</v>
      </c>
      <c r="C52" s="133" t="s">
        <v>631</v>
      </c>
      <c r="D52" s="133" t="s">
        <v>496</v>
      </c>
      <c r="E52" s="133" t="s">
        <v>100</v>
      </c>
      <c r="F52" s="133" t="s">
        <v>456</v>
      </c>
      <c r="G52" s="133" t="s">
        <v>497</v>
      </c>
      <c r="H52" s="136">
        <v>35.1</v>
      </c>
      <c r="I52" s="133">
        <v>1</v>
      </c>
      <c r="J52" s="133" t="s">
        <v>187</v>
      </c>
      <c r="K52" s="4">
        <f>H52-N52</f>
        <v>19.47</v>
      </c>
      <c r="L52" s="7">
        <f>K52/H52</f>
        <v>0.55470085470085462</v>
      </c>
      <c r="M52" s="7" t="str">
        <f>IF(L52&lt;0,"Negative",IF(L52=0,"Same",IF(L52&gt;0.3,"30+%",IF(L52&gt;0.2,"20-30%",IF(L52&gt;0.1,"10-20%",IF(L52&lt;=0.1,"0-10%"))))))</f>
        <v>30+%</v>
      </c>
      <c r="N52" s="4">
        <f>O52*J52</f>
        <v>15.63</v>
      </c>
      <c r="O52" s="4">
        <v>15.63</v>
      </c>
      <c r="P52" s="4">
        <f>Q52*J52</f>
        <v>36.93</v>
      </c>
      <c r="Q52" s="136">
        <v>36.93</v>
      </c>
      <c r="R52" s="4">
        <f>P52-N52</f>
        <v>21.299999999999997</v>
      </c>
      <c r="S52" s="7">
        <f>R52/P52</f>
        <v>0.57676685621445967</v>
      </c>
      <c r="T52" s="7" t="str">
        <f>IF(S52&lt;0,"Negative",IF(S52=0,"Same",IF(S52&gt;0.3,"30+%",IF(S52&gt;0.2,"20-30%",IF(S52&gt;0.1,"10-20%",IF(S52&lt;=0.1,"0-10%"))))))</f>
        <v>30+%</v>
      </c>
      <c r="U52" t="s">
        <v>250</v>
      </c>
      <c r="V52" t="s">
        <v>215</v>
      </c>
      <c r="W52" t="s">
        <v>180</v>
      </c>
      <c r="X52" s="135"/>
    </row>
    <row r="53" spans="1:24" s="133" customFormat="1" x14ac:dyDescent="0.3">
      <c r="A53" s="133" t="s">
        <v>171</v>
      </c>
      <c r="B53" s="134" t="s">
        <v>642</v>
      </c>
      <c r="C53" s="133" t="s">
        <v>643</v>
      </c>
      <c r="D53" s="133" t="s">
        <v>525</v>
      </c>
      <c r="E53" s="133" t="s">
        <v>100</v>
      </c>
      <c r="F53" s="133" t="s">
        <v>521</v>
      </c>
      <c r="G53" s="133" t="s">
        <v>526</v>
      </c>
      <c r="H53" s="136">
        <v>35.43</v>
      </c>
      <c r="I53" s="133">
        <v>1</v>
      </c>
      <c r="J53" s="133" t="s">
        <v>296</v>
      </c>
      <c r="K53" s="4">
        <f>H53-N53</f>
        <v>2.0700000000000003</v>
      </c>
      <c r="L53" s="7">
        <f>K53/H53</f>
        <v>5.8425063505503819E-2</v>
      </c>
      <c r="M53" s="7" t="str">
        <f>IF(L53&lt;0,"Negative",IF(L53=0,"Same",IF(L53&gt;0.3,"30+%",IF(L53&gt;0.2,"20-30%",IF(L53&gt;0.1,"10-20%",IF(L53&lt;=0.1,"0-10%"))))))</f>
        <v>0-10%</v>
      </c>
      <c r="N53" s="4">
        <f>O53*J53</f>
        <v>33.36</v>
      </c>
      <c r="O53" s="4">
        <v>11.12</v>
      </c>
      <c r="P53" s="4">
        <f>Q53*J53</f>
        <v>38.64</v>
      </c>
      <c r="Q53" s="136">
        <v>12.88</v>
      </c>
      <c r="R53" s="4">
        <f>P53-N53</f>
        <v>5.2800000000000011</v>
      </c>
      <c r="S53" s="7">
        <f>R53/P53</f>
        <v>0.13664596273291929</v>
      </c>
      <c r="T53" s="7" t="str">
        <f>IF(S53&lt;0,"Negative",IF(S53=0,"Same",IF(S53&gt;0.3,"30+%",IF(S53&gt;0.2,"20-30%",IF(S53&gt;0.1,"10-20%",IF(S53&lt;=0.1,"0-10%"))))))</f>
        <v>10-20%</v>
      </c>
      <c r="U53" t="s">
        <v>215</v>
      </c>
      <c r="V53" t="s">
        <v>215</v>
      </c>
      <c r="W53" t="s">
        <v>180</v>
      </c>
      <c r="X53" s="135"/>
    </row>
    <row r="54" spans="1:24" s="133" customFormat="1" x14ac:dyDescent="0.3">
      <c r="A54" s="133" t="s">
        <v>171</v>
      </c>
      <c r="B54" s="134" t="s">
        <v>655</v>
      </c>
      <c r="C54" s="133" t="s">
        <v>656</v>
      </c>
      <c r="D54" s="133" t="s">
        <v>657</v>
      </c>
      <c r="E54" s="133" t="s">
        <v>103</v>
      </c>
      <c r="F54" s="133" t="s">
        <v>658</v>
      </c>
      <c r="G54" s="133" t="s">
        <v>659</v>
      </c>
      <c r="H54" s="136">
        <v>36.4</v>
      </c>
      <c r="I54" s="133">
        <v>1</v>
      </c>
      <c r="J54" s="133" t="s">
        <v>322</v>
      </c>
      <c r="K54" s="4">
        <f>H54-N54</f>
        <v>-3.9000000000000057</v>
      </c>
      <c r="L54" s="7">
        <f>K54/H54</f>
        <v>-0.1071428571428573</v>
      </c>
      <c r="M54" s="7" t="str">
        <f>IF(L54&lt;0,"Negative",IF(L54=0,"Same",IF(L54&gt;0.3,"30+%",IF(L54&gt;0.2,"20-30%",IF(L54&gt;0.1,"10-20%",IF(L54&lt;=0.1,"0-10%"))))))</f>
        <v>Negative</v>
      </c>
      <c r="N54" s="4">
        <f>O54*J54</f>
        <v>40.300000000000004</v>
      </c>
      <c r="O54" s="4">
        <v>4.03</v>
      </c>
      <c r="P54" s="4">
        <f>Q54*J54</f>
        <v>41.4</v>
      </c>
      <c r="Q54" s="136">
        <v>4.1399999999999997</v>
      </c>
      <c r="R54" s="4">
        <f>P54-N54</f>
        <v>1.0999999999999943</v>
      </c>
      <c r="S54" s="7">
        <f>R54/P54</f>
        <v>2.6570048309178609E-2</v>
      </c>
      <c r="T54" s="7" t="str">
        <f>IF(S54&lt;0,"Negative",IF(S54=0,"Same",IF(S54&gt;0.3,"30+%",IF(S54&gt;0.2,"20-30%",IF(S54&gt;0.1,"10-20%",IF(S54&lt;=0.1,"0-10%"))))))</f>
        <v>0-10%</v>
      </c>
      <c r="U54" t="s">
        <v>215</v>
      </c>
      <c r="V54" t="s">
        <v>215</v>
      </c>
      <c r="W54" t="s">
        <v>180</v>
      </c>
      <c r="X54" s="135"/>
    </row>
    <row r="55" spans="1:24" s="133" customFormat="1" x14ac:dyDescent="0.3">
      <c r="A55" s="133" t="s">
        <v>171</v>
      </c>
      <c r="B55" s="134" t="s">
        <v>941</v>
      </c>
      <c r="C55" s="133" t="s">
        <v>942</v>
      </c>
      <c r="D55" s="133" t="s">
        <v>309</v>
      </c>
      <c r="E55" s="133" t="s">
        <v>100</v>
      </c>
      <c r="F55" s="133" t="s">
        <v>943</v>
      </c>
      <c r="G55" s="133" t="s">
        <v>944</v>
      </c>
      <c r="H55" s="136">
        <v>36.5</v>
      </c>
      <c r="I55" s="133">
        <v>1</v>
      </c>
      <c r="J55" s="133" t="s">
        <v>187</v>
      </c>
      <c r="K55" s="4">
        <f>H55-N55</f>
        <v>6.2399999999999984</v>
      </c>
      <c r="L55" s="7">
        <f>K55/H55</f>
        <v>0.170958904109589</v>
      </c>
      <c r="M55" s="7" t="str">
        <f>IF(L55&lt;0,"Negative",IF(L55=0,"Same",IF(L55&gt;0.3,"30+%",IF(L55&gt;0.2,"20-30%",IF(L55&gt;0.1,"10-20%",IF(L55&lt;=0.1,"0-10%"))))))</f>
        <v>10-20%</v>
      </c>
      <c r="N55" s="4">
        <f>O55*J55</f>
        <v>30.26</v>
      </c>
      <c r="O55" s="4">
        <v>30.26</v>
      </c>
      <c r="P55" s="4">
        <f>Q55*J55</f>
        <v>40.26</v>
      </c>
      <c r="Q55" s="136">
        <v>40.26</v>
      </c>
      <c r="R55" s="4">
        <f>P55-N55</f>
        <v>9.9999999999999964</v>
      </c>
      <c r="S55" s="7">
        <f>R55/P55</f>
        <v>0.24838549428713355</v>
      </c>
      <c r="T55" s="7" t="str">
        <f>IF(S55&lt;0,"Negative",IF(S55=0,"Same",IF(S55&gt;0.3,"30+%",IF(S55&gt;0.2,"20-30%",IF(S55&gt;0.1,"10-20%",IF(S55&lt;=0.1,"0-10%"))))))</f>
        <v>20-30%</v>
      </c>
      <c r="U55" t="s">
        <v>250</v>
      </c>
      <c r="V55" t="s">
        <v>215</v>
      </c>
      <c r="W55" t="s">
        <v>180</v>
      </c>
      <c r="X55" s="135"/>
    </row>
    <row r="56" spans="1:24" s="133" customFormat="1" x14ac:dyDescent="0.3">
      <c r="A56" s="133" t="s">
        <v>171</v>
      </c>
      <c r="B56" s="134" t="s">
        <v>779</v>
      </c>
      <c r="C56" s="133" t="s">
        <v>780</v>
      </c>
      <c r="D56" s="133" t="s">
        <v>781</v>
      </c>
      <c r="E56" s="133" t="s">
        <v>107</v>
      </c>
      <c r="F56" s="133" t="s">
        <v>782</v>
      </c>
      <c r="G56" s="133" t="s">
        <v>783</v>
      </c>
      <c r="H56" s="136">
        <v>39.25</v>
      </c>
      <c r="I56" s="133">
        <v>1</v>
      </c>
      <c r="J56" s="133" t="s">
        <v>281</v>
      </c>
      <c r="K56" s="4">
        <f>H56-N56</f>
        <v>-5.25</v>
      </c>
      <c r="L56" s="7">
        <f>K56/H56</f>
        <v>-0.13375796178343949</v>
      </c>
      <c r="M56" s="7" t="str">
        <f>IF(L56&lt;0,"Negative",IF(L56=0,"Same",IF(L56&gt;0.3,"30+%",IF(L56&gt;0.2,"20-30%",IF(L56&gt;0.1,"10-20%",IF(L56&lt;=0.1,"0-10%"))))))</f>
        <v>Negative</v>
      </c>
      <c r="N56" s="4">
        <f>O56*J56</f>
        <v>44.5</v>
      </c>
      <c r="O56" s="4">
        <v>8.9</v>
      </c>
      <c r="P56" s="4">
        <f>Q56*J56</f>
        <v>48.6</v>
      </c>
      <c r="Q56" s="136">
        <v>9.7200000000000006</v>
      </c>
      <c r="R56" s="4">
        <f>P56-N56</f>
        <v>4.1000000000000014</v>
      </c>
      <c r="S56" s="7">
        <f>R56/P56</f>
        <v>8.4362139917695506E-2</v>
      </c>
      <c r="T56" s="7" t="str">
        <f>IF(S56&lt;0,"Negative",IF(S56=0,"Same",IF(S56&gt;0.3,"30+%",IF(S56&gt;0.2,"20-30%",IF(S56&gt;0.1,"10-20%",IF(S56&lt;=0.1,"0-10%"))))))</f>
        <v>0-10%</v>
      </c>
      <c r="U56" t="s">
        <v>215</v>
      </c>
      <c r="V56" t="s">
        <v>215</v>
      </c>
      <c r="W56" t="s">
        <v>180</v>
      </c>
      <c r="X56" s="135"/>
    </row>
    <row r="57" spans="1:24" s="133" customFormat="1" x14ac:dyDescent="0.3">
      <c r="A57" s="133" t="s">
        <v>206</v>
      </c>
      <c r="B57" s="134" t="s">
        <v>870</v>
      </c>
      <c r="C57" s="133" t="s">
        <v>871</v>
      </c>
      <c r="D57" s="133" t="s">
        <v>325</v>
      </c>
      <c r="E57" s="133" t="s">
        <v>120</v>
      </c>
      <c r="F57" s="133" t="s">
        <v>326</v>
      </c>
      <c r="G57" s="133" t="s">
        <v>596</v>
      </c>
      <c r="H57" s="136">
        <v>39.83</v>
      </c>
      <c r="I57" s="133">
        <v>1</v>
      </c>
      <c r="J57" s="133" t="s">
        <v>187</v>
      </c>
      <c r="K57" s="4">
        <f>H57-N57</f>
        <v>5.4499999999999957</v>
      </c>
      <c r="L57" s="7">
        <f>K57/H57</f>
        <v>0.13683153401958312</v>
      </c>
      <c r="M57" s="7" t="str">
        <f>IF(L57&lt;0,"Negative",IF(L57=0,"Same",IF(L57&gt;0.3,"30+%",IF(L57&gt;0.2,"20-30%",IF(L57&gt;0.1,"10-20%",IF(L57&lt;=0.1,"0-10%"))))))</f>
        <v>10-20%</v>
      </c>
      <c r="N57" s="4">
        <f>O57*J57</f>
        <v>34.380000000000003</v>
      </c>
      <c r="O57" s="4">
        <v>34.380000000000003</v>
      </c>
      <c r="P57" s="4">
        <f>Q57*J57</f>
        <v>39.83</v>
      </c>
      <c r="Q57" s="136">
        <v>39.83</v>
      </c>
      <c r="R57" s="4">
        <f>P57-N57</f>
        <v>5.4499999999999957</v>
      </c>
      <c r="S57" s="7">
        <f>R57/P57</f>
        <v>0.13683153401958312</v>
      </c>
      <c r="T57" s="7" t="str">
        <f>IF(S57&lt;0,"Negative",IF(S57=0,"Same",IF(S57&gt;0.3,"30+%",IF(S57&gt;0.2,"20-30%",IF(S57&gt;0.1,"10-20%",IF(S57&lt;=0.1,"0-10%"))))))</f>
        <v>10-20%</v>
      </c>
      <c r="U57" t="s">
        <v>215</v>
      </c>
      <c r="V57" t="s">
        <v>215</v>
      </c>
      <c r="W57" t="s">
        <v>180</v>
      </c>
      <c r="X57" s="135"/>
    </row>
    <row r="58" spans="1:24" s="133" customFormat="1" x14ac:dyDescent="0.3">
      <c r="A58" s="133" t="s">
        <v>171</v>
      </c>
      <c r="B58" s="134" t="s">
        <v>864</v>
      </c>
      <c r="C58" s="133" t="s">
        <v>865</v>
      </c>
      <c r="D58" s="133" t="s">
        <v>314</v>
      </c>
      <c r="E58" s="133" t="s">
        <v>100</v>
      </c>
      <c r="F58" s="133" t="s">
        <v>746</v>
      </c>
      <c r="G58" s="133" t="s">
        <v>747</v>
      </c>
      <c r="H58" s="136">
        <v>39.97</v>
      </c>
      <c r="I58" s="133">
        <v>1</v>
      </c>
      <c r="J58" s="133" t="s">
        <v>187</v>
      </c>
      <c r="K58" s="4">
        <f>H58-N58</f>
        <v>-5.7899999999999991</v>
      </c>
      <c r="L58" s="7">
        <f>K58/H58</f>
        <v>-0.14485864398298723</v>
      </c>
      <c r="M58" s="7" t="str">
        <f>IF(L58&lt;0,"Negative",IF(L58=0,"Same",IF(L58&gt;0.3,"30+%",IF(L58&gt;0.2,"20-30%",IF(L58&gt;0.1,"10-20%",IF(L58&lt;=0.1,"0-10%"))))))</f>
        <v>Negative</v>
      </c>
      <c r="N58" s="4">
        <f>O58*J58</f>
        <v>45.76</v>
      </c>
      <c r="O58" s="4">
        <v>45.76</v>
      </c>
      <c r="P58" s="4">
        <f>Q58*J58</f>
        <v>53.02</v>
      </c>
      <c r="Q58" s="136">
        <v>53.02</v>
      </c>
      <c r="R58" s="4">
        <f>P58-N58</f>
        <v>7.2600000000000051</v>
      </c>
      <c r="S58" s="7">
        <f>R58/P58</f>
        <v>0.13692946058091296</v>
      </c>
      <c r="T58" s="7" t="str">
        <f>IF(S58&lt;0,"Negative",IF(S58=0,"Same",IF(S58&gt;0.3,"30+%",IF(S58&gt;0.2,"20-30%",IF(S58&gt;0.1,"10-20%",IF(S58&lt;=0.1,"0-10%"))))))</f>
        <v>10-20%</v>
      </c>
      <c r="U58" t="s">
        <v>215</v>
      </c>
      <c r="V58" t="s">
        <v>215</v>
      </c>
      <c r="W58" t="s">
        <v>180</v>
      </c>
      <c r="X58" s="135"/>
    </row>
    <row r="59" spans="1:24" s="133" customFormat="1" x14ac:dyDescent="0.3">
      <c r="A59" s="133" t="s">
        <v>171</v>
      </c>
      <c r="B59" s="134" t="s">
        <v>363</v>
      </c>
      <c r="C59" s="133" t="s">
        <v>364</v>
      </c>
      <c r="D59" s="133" t="s">
        <v>365</v>
      </c>
      <c r="E59" s="133" t="s">
        <v>120</v>
      </c>
      <c r="F59" s="133" t="s">
        <v>366</v>
      </c>
      <c r="G59" s="133" t="s">
        <v>367</v>
      </c>
      <c r="H59" s="136">
        <v>40.74</v>
      </c>
      <c r="I59" s="133">
        <v>1</v>
      </c>
      <c r="J59" s="133" t="s">
        <v>187</v>
      </c>
      <c r="K59" s="4">
        <f>H59-N59</f>
        <v>-0.92999999999999972</v>
      </c>
      <c r="L59" s="7">
        <f>K59/H59</f>
        <v>-2.2827687776141376E-2</v>
      </c>
      <c r="M59" s="7" t="str">
        <f>IF(L59&lt;0,"Negative",IF(L59=0,"Same",IF(L59&gt;0.3,"30+%",IF(L59&gt;0.2,"20-30%",IF(L59&gt;0.1,"10-20%",IF(L59&lt;=0.1,"0-10%"))))))</f>
        <v>Negative</v>
      </c>
      <c r="N59" s="4">
        <f>O59*J59</f>
        <v>41.67</v>
      </c>
      <c r="O59" s="4">
        <v>41.67</v>
      </c>
      <c r="P59" s="4">
        <f>Q59*J59</f>
        <v>48.28</v>
      </c>
      <c r="Q59" s="136">
        <v>48.28</v>
      </c>
      <c r="R59" s="4">
        <f>P59-N59</f>
        <v>6.6099999999999994</v>
      </c>
      <c r="S59" s="7">
        <f>R59/P59</f>
        <v>0.13690969345484671</v>
      </c>
      <c r="T59" s="7" t="str">
        <f>IF(S59&lt;0,"Negative",IF(S59=0,"Same",IF(S59&gt;0.3,"30+%",IF(S59&gt;0.2,"20-30%",IF(S59&gt;0.1,"10-20%",IF(S59&lt;=0.1,"0-10%"))))))</f>
        <v>10-20%</v>
      </c>
      <c r="U59" t="s">
        <v>215</v>
      </c>
      <c r="V59" t="s">
        <v>215</v>
      </c>
      <c r="W59" t="s">
        <v>180</v>
      </c>
      <c r="X59" s="135"/>
    </row>
    <row r="60" spans="1:24" s="133" customFormat="1" x14ac:dyDescent="0.3">
      <c r="A60" s="133" t="s">
        <v>206</v>
      </c>
      <c r="B60" s="134" t="s">
        <v>885</v>
      </c>
      <c r="C60" s="133" t="s">
        <v>886</v>
      </c>
      <c r="D60" s="133" t="s">
        <v>887</v>
      </c>
      <c r="E60" s="133" t="s">
        <v>100</v>
      </c>
      <c r="F60" s="133" t="s">
        <v>239</v>
      </c>
      <c r="G60" s="133" t="s">
        <v>240</v>
      </c>
      <c r="H60" s="136">
        <v>41.04</v>
      </c>
      <c r="I60" s="133">
        <v>1</v>
      </c>
      <c r="J60" s="133" t="s">
        <v>355</v>
      </c>
      <c r="K60" s="4">
        <f>H60-N60</f>
        <v>-1.2000000000000028</v>
      </c>
      <c r="L60" s="7">
        <f>K60/H60</f>
        <v>-2.9239766081871416E-2</v>
      </c>
      <c r="M60" s="7" t="str">
        <f>IF(L60&lt;0,"Negative",IF(L60=0,"Same",IF(L60&gt;0.3,"30+%",IF(L60&gt;0.2,"20-30%",IF(L60&gt;0.1,"10-20%",IF(L60&lt;=0.1,"0-10%"))))))</f>
        <v>Negative</v>
      </c>
      <c r="N60" s="4">
        <f>O60*J60</f>
        <v>42.24</v>
      </c>
      <c r="O60" s="4">
        <v>3.52</v>
      </c>
      <c r="P60" s="4">
        <f>Q60*J60</f>
        <v>48.96</v>
      </c>
      <c r="Q60" s="136">
        <v>4.08</v>
      </c>
      <c r="R60" s="4">
        <f>P60-N60</f>
        <v>6.7199999999999989</v>
      </c>
      <c r="S60" s="7">
        <f>R60/P60</f>
        <v>0.1372549019607843</v>
      </c>
      <c r="T60" s="7" t="str">
        <f>IF(S60&lt;0,"Negative",IF(S60=0,"Same",IF(S60&gt;0.3,"30+%",IF(S60&gt;0.2,"20-30%",IF(S60&gt;0.1,"10-20%",IF(S60&lt;=0.1,"0-10%"))))))</f>
        <v>10-20%</v>
      </c>
      <c r="U60" t="s">
        <v>215</v>
      </c>
      <c r="V60" t="s">
        <v>215</v>
      </c>
      <c r="W60" t="s">
        <v>180</v>
      </c>
      <c r="X60" s="135"/>
    </row>
    <row r="61" spans="1:24" s="133" customFormat="1" x14ac:dyDescent="0.3">
      <c r="A61" s="133" t="s">
        <v>171</v>
      </c>
      <c r="B61" s="134" t="s">
        <v>732</v>
      </c>
      <c r="C61" s="133" t="s">
        <v>733</v>
      </c>
      <c r="D61" s="133" t="s">
        <v>314</v>
      </c>
      <c r="E61" s="133" t="s">
        <v>100</v>
      </c>
      <c r="F61" s="133" t="s">
        <v>225</v>
      </c>
      <c r="G61" s="133" t="s">
        <v>226</v>
      </c>
      <c r="H61" s="136">
        <v>43.31</v>
      </c>
      <c r="I61" s="133">
        <v>1</v>
      </c>
      <c r="J61" s="133" t="s">
        <v>187</v>
      </c>
      <c r="K61" s="4">
        <f>H61-N61</f>
        <v>3</v>
      </c>
      <c r="L61" s="7">
        <f>K61/H61</f>
        <v>6.9268067420918955E-2</v>
      </c>
      <c r="M61" s="7" t="str">
        <f>IF(L61&lt;0,"Negative",IF(L61=0,"Same",IF(L61&gt;0.3,"30+%",IF(L61&gt;0.2,"20-30%",IF(L61&gt;0.1,"10-20%",IF(L61&lt;=0.1,"0-10%"))))))</f>
        <v>0-10%</v>
      </c>
      <c r="N61" s="4">
        <f>O61*J61</f>
        <v>40.31</v>
      </c>
      <c r="O61" s="4">
        <v>40.31</v>
      </c>
      <c r="P61" s="4">
        <f>Q61*J61</f>
        <v>46.7</v>
      </c>
      <c r="Q61" s="136">
        <v>46.7</v>
      </c>
      <c r="R61" s="4">
        <f>P61-N61</f>
        <v>6.3900000000000006</v>
      </c>
      <c r="S61" s="7">
        <f>R61/P61</f>
        <v>0.13683083511777303</v>
      </c>
      <c r="T61" s="7" t="str">
        <f>IF(S61&lt;0,"Negative",IF(S61=0,"Same",IF(S61&gt;0.3,"30+%",IF(S61&gt;0.2,"20-30%",IF(S61&gt;0.1,"10-20%",IF(S61&lt;=0.1,"0-10%"))))))</f>
        <v>10-20%</v>
      </c>
      <c r="U61" t="s">
        <v>215</v>
      </c>
      <c r="V61" t="s">
        <v>215</v>
      </c>
      <c r="W61" t="s">
        <v>180</v>
      </c>
      <c r="X61" s="135"/>
    </row>
    <row r="62" spans="1:24" s="133" customFormat="1" x14ac:dyDescent="0.3">
      <c r="A62" s="133" t="s">
        <v>206</v>
      </c>
      <c r="B62" s="134" t="s">
        <v>585</v>
      </c>
      <c r="C62" s="133" t="s">
        <v>586</v>
      </c>
      <c r="D62" s="133" t="s">
        <v>380</v>
      </c>
      <c r="E62" s="133" t="s">
        <v>96</v>
      </c>
      <c r="F62" s="133" t="s">
        <v>381</v>
      </c>
      <c r="G62" s="133" t="s">
        <v>382</v>
      </c>
      <c r="H62" s="136">
        <v>43.7</v>
      </c>
      <c r="I62" s="133">
        <v>1</v>
      </c>
      <c r="J62" s="133" t="s">
        <v>177</v>
      </c>
      <c r="K62" s="4">
        <f>H62-N62</f>
        <v>11.700000000000003</v>
      </c>
      <c r="L62" s="7">
        <f>K62/H62</f>
        <v>0.26773455377574373</v>
      </c>
      <c r="M62" s="7" t="str">
        <f>IF(L62&lt;0,"Negative",IF(L62=0,"Same",IF(L62&gt;0.3,"30+%",IF(L62&gt;0.2,"20-30%",IF(L62&gt;0.1,"10-20%",IF(L62&lt;=0.1,"0-10%"))))))</f>
        <v>20-30%</v>
      </c>
      <c r="N62" s="4">
        <f>O62*J62</f>
        <v>32</v>
      </c>
      <c r="O62" s="4">
        <v>16</v>
      </c>
      <c r="P62" s="4">
        <f>Q62*J62</f>
        <v>52.32</v>
      </c>
      <c r="Q62" s="136">
        <v>26.16</v>
      </c>
      <c r="R62" s="4">
        <f>P62-N62</f>
        <v>20.32</v>
      </c>
      <c r="S62" s="7">
        <f>R62/P62</f>
        <v>0.38837920489296635</v>
      </c>
      <c r="T62" s="7" t="str">
        <f>IF(S62&lt;0,"Negative",IF(S62=0,"Same",IF(S62&gt;0.3,"30+%",IF(S62&gt;0.2,"20-30%",IF(S62&gt;0.1,"10-20%",IF(S62&lt;=0.1,"0-10%"))))))</f>
        <v>30+%</v>
      </c>
      <c r="U62" t="s">
        <v>250</v>
      </c>
      <c r="V62" t="s">
        <v>215</v>
      </c>
      <c r="W62" t="s">
        <v>180</v>
      </c>
      <c r="X62" s="135"/>
    </row>
    <row r="63" spans="1:24" s="133" customFormat="1" x14ac:dyDescent="0.3">
      <c r="A63" s="133" t="s">
        <v>171</v>
      </c>
      <c r="B63" s="134" t="s">
        <v>609</v>
      </c>
      <c r="C63" s="133" t="s">
        <v>610</v>
      </c>
      <c r="D63" s="133" t="s">
        <v>491</v>
      </c>
      <c r="E63" s="133" t="s">
        <v>100</v>
      </c>
      <c r="F63" s="133" t="s">
        <v>521</v>
      </c>
      <c r="G63" s="133" t="s">
        <v>611</v>
      </c>
      <c r="H63" s="136">
        <v>44.76</v>
      </c>
      <c r="I63" s="133">
        <v>1</v>
      </c>
      <c r="J63" s="133" t="s">
        <v>221</v>
      </c>
      <c r="K63" s="4">
        <f>H63-N63</f>
        <v>4.68</v>
      </c>
      <c r="L63" s="7">
        <f>K63/H63</f>
        <v>0.10455764075067024</v>
      </c>
      <c r="M63" s="7" t="str">
        <f>IF(L63&lt;0,"Negative",IF(L63=0,"Same",IF(L63&gt;0.3,"30+%",IF(L63&gt;0.2,"20-30%",IF(L63&gt;0.1,"10-20%",IF(L63&lt;=0.1,"0-10%"))))))</f>
        <v>10-20%</v>
      </c>
      <c r="N63" s="4">
        <f>O63*J63</f>
        <v>40.08</v>
      </c>
      <c r="O63" s="4">
        <v>6.68</v>
      </c>
      <c r="P63" s="4">
        <f>Q63*J63</f>
        <v>46.44</v>
      </c>
      <c r="Q63" s="136">
        <v>7.74</v>
      </c>
      <c r="R63" s="4">
        <f>P63-N63</f>
        <v>6.3599999999999994</v>
      </c>
      <c r="S63" s="7">
        <f>R63/P63</f>
        <v>0.13695090439276486</v>
      </c>
      <c r="T63" s="7" t="str">
        <f>IF(S63&lt;0,"Negative",IF(S63=0,"Same",IF(S63&gt;0.3,"30+%",IF(S63&gt;0.2,"20-30%",IF(S63&gt;0.1,"10-20%",IF(S63&lt;=0.1,"0-10%"))))))</f>
        <v>10-20%</v>
      </c>
      <c r="U63" t="s">
        <v>215</v>
      </c>
      <c r="V63" t="s">
        <v>215</v>
      </c>
      <c r="W63" t="s">
        <v>180</v>
      </c>
      <c r="X63" s="135"/>
    </row>
    <row r="64" spans="1:24" s="133" customFormat="1" x14ac:dyDescent="0.3">
      <c r="A64" s="133" t="s">
        <v>206</v>
      </c>
      <c r="B64" s="134" t="s">
        <v>794</v>
      </c>
      <c r="C64" s="133" t="s">
        <v>795</v>
      </c>
      <c r="D64" s="133" t="s">
        <v>238</v>
      </c>
      <c r="E64" s="133" t="s">
        <v>100</v>
      </c>
      <c r="F64" s="133" t="s">
        <v>239</v>
      </c>
      <c r="G64" s="133" t="s">
        <v>240</v>
      </c>
      <c r="H64" s="136">
        <v>46.02</v>
      </c>
      <c r="I64" s="133">
        <v>1</v>
      </c>
      <c r="J64" s="133" t="s">
        <v>187</v>
      </c>
      <c r="K64" s="4">
        <f>H64-N64</f>
        <v>5.5</v>
      </c>
      <c r="L64" s="7">
        <f>K64/H64</f>
        <v>0.11951325510647544</v>
      </c>
      <c r="M64" s="7" t="str">
        <f>IF(L64&lt;0,"Negative",IF(L64=0,"Same",IF(L64&gt;0.3,"30+%",IF(L64&gt;0.2,"20-30%",IF(L64&gt;0.1,"10-20%",IF(L64&lt;=0.1,"0-10%"))))))</f>
        <v>10-20%</v>
      </c>
      <c r="N64" s="4">
        <f>O64*J64</f>
        <v>40.520000000000003</v>
      </c>
      <c r="O64" s="4">
        <v>40.520000000000003</v>
      </c>
      <c r="P64" s="4">
        <f>Q64*J64</f>
        <v>46.94</v>
      </c>
      <c r="Q64" s="136">
        <v>46.94</v>
      </c>
      <c r="R64" s="4">
        <f>P64-N64</f>
        <v>6.4199999999999946</v>
      </c>
      <c r="S64" s="7">
        <f>R64/P64</f>
        <v>0.13677034512143152</v>
      </c>
      <c r="T64" s="7" t="str">
        <f>IF(S64&lt;0,"Negative",IF(S64=0,"Same",IF(S64&gt;0.3,"30+%",IF(S64&gt;0.2,"20-30%",IF(S64&gt;0.1,"10-20%",IF(S64&lt;=0.1,"0-10%"))))))</f>
        <v>10-20%</v>
      </c>
      <c r="U64" t="s">
        <v>215</v>
      </c>
      <c r="V64" t="s">
        <v>215</v>
      </c>
      <c r="W64" t="s">
        <v>180</v>
      </c>
      <c r="X64" s="135"/>
    </row>
    <row r="65" spans="1:24" s="133" customFormat="1" x14ac:dyDescent="0.3">
      <c r="A65" s="133" t="s">
        <v>206</v>
      </c>
      <c r="B65" s="134" t="s">
        <v>329</v>
      </c>
      <c r="C65" s="133" t="s">
        <v>330</v>
      </c>
      <c r="D65" s="133" t="s">
        <v>238</v>
      </c>
      <c r="E65" s="133" t="s">
        <v>100</v>
      </c>
      <c r="F65" s="133" t="s">
        <v>239</v>
      </c>
      <c r="G65" s="133" t="s">
        <v>240</v>
      </c>
      <c r="H65" s="136">
        <v>47.07</v>
      </c>
      <c r="I65" s="133">
        <v>1</v>
      </c>
      <c r="J65" s="133" t="s">
        <v>187</v>
      </c>
      <c r="K65" s="4">
        <f>H65-N65</f>
        <v>5.6300000000000026</v>
      </c>
      <c r="L65" s="7">
        <f>K65/H65</f>
        <v>0.11960909284045045</v>
      </c>
      <c r="M65" s="7" t="str">
        <f>IF(L65&lt;0,"Negative",IF(L65=0,"Same",IF(L65&gt;0.3,"30+%",IF(L65&gt;0.2,"20-30%",IF(L65&gt;0.1,"10-20%",IF(L65&lt;=0.1,"0-10%"))))))</f>
        <v>10-20%</v>
      </c>
      <c r="N65" s="4">
        <f>O65*J65</f>
        <v>41.44</v>
      </c>
      <c r="O65" s="4">
        <v>41.44</v>
      </c>
      <c r="P65" s="4">
        <f>Q65*J65</f>
        <v>48.01</v>
      </c>
      <c r="Q65" s="136">
        <v>48.01</v>
      </c>
      <c r="R65" s="4">
        <f>P65-N65</f>
        <v>6.57</v>
      </c>
      <c r="S65" s="7">
        <f>R65/P65</f>
        <v>0.13684649031451782</v>
      </c>
      <c r="T65" s="7" t="str">
        <f>IF(S65&lt;0,"Negative",IF(S65=0,"Same",IF(S65&gt;0.3,"30+%",IF(S65&gt;0.2,"20-30%",IF(S65&gt;0.1,"10-20%",IF(S65&lt;=0.1,"0-10%"))))))</f>
        <v>10-20%</v>
      </c>
      <c r="U65" t="s">
        <v>215</v>
      </c>
      <c r="V65" t="s">
        <v>215</v>
      </c>
      <c r="W65" t="s">
        <v>180</v>
      </c>
      <c r="X65" s="135"/>
    </row>
    <row r="66" spans="1:24" s="133" customFormat="1" x14ac:dyDescent="0.3">
      <c r="A66" s="133" t="s">
        <v>171</v>
      </c>
      <c r="B66" s="134" t="s">
        <v>713</v>
      </c>
      <c r="C66" s="133" t="s">
        <v>714</v>
      </c>
      <c r="D66" s="133" t="s">
        <v>715</v>
      </c>
      <c r="E66" s="133" t="s">
        <v>115</v>
      </c>
      <c r="F66" s="133" t="s">
        <v>716</v>
      </c>
      <c r="G66" s="133" t="s">
        <v>717</v>
      </c>
      <c r="H66" s="136">
        <v>47.26</v>
      </c>
      <c r="I66" s="133">
        <v>1</v>
      </c>
      <c r="J66" s="133" t="s">
        <v>177</v>
      </c>
      <c r="K66" s="4">
        <f>H66-N66</f>
        <v>-21.96</v>
      </c>
      <c r="L66" s="7">
        <f>K66/H66</f>
        <v>-0.46466356326703345</v>
      </c>
      <c r="M66" s="7" t="str">
        <f>IF(L66&lt;0,"Negative",IF(L66=0,"Same",IF(L66&gt;0.3,"30+%",IF(L66&gt;0.2,"20-30%",IF(L66&gt;0.1,"10-20%",IF(L66&lt;=0.1,"0-10%"))))))</f>
        <v>Negative</v>
      </c>
      <c r="N66" s="4">
        <f>O66*J66</f>
        <v>69.22</v>
      </c>
      <c r="O66" s="4">
        <v>34.61</v>
      </c>
      <c r="P66" s="4">
        <f>Q66*J66</f>
        <v>71.099999999999994</v>
      </c>
      <c r="Q66" s="136">
        <v>35.549999999999997</v>
      </c>
      <c r="R66" s="4">
        <f>P66-N66</f>
        <v>1.8799999999999955</v>
      </c>
      <c r="S66" s="7">
        <f>R66/P66</f>
        <v>2.6441631504922583E-2</v>
      </c>
      <c r="T66" s="7" t="str">
        <f>IF(S66&lt;0,"Negative",IF(S66=0,"Same",IF(S66&gt;0.3,"30+%",IF(S66&gt;0.2,"20-30%",IF(S66&gt;0.1,"10-20%",IF(S66&lt;=0.1,"0-10%"))))))</f>
        <v>0-10%</v>
      </c>
      <c r="U66" t="s">
        <v>215</v>
      </c>
      <c r="V66" t="s">
        <v>215</v>
      </c>
      <c r="W66" t="s">
        <v>180</v>
      </c>
      <c r="X66" s="135"/>
    </row>
    <row r="67" spans="1:24" s="133" customFormat="1" x14ac:dyDescent="0.3">
      <c r="A67" s="133" t="s">
        <v>206</v>
      </c>
      <c r="B67" s="134" t="s">
        <v>231</v>
      </c>
      <c r="C67" s="133" t="s">
        <v>232</v>
      </c>
      <c r="D67" s="133" t="s">
        <v>233</v>
      </c>
      <c r="E67" s="133" t="s">
        <v>114</v>
      </c>
      <c r="F67" s="133" t="s">
        <v>234</v>
      </c>
      <c r="G67" s="133" t="s">
        <v>235</v>
      </c>
      <c r="H67" s="136">
        <v>48.48</v>
      </c>
      <c r="I67" s="133">
        <v>1</v>
      </c>
      <c r="J67" s="133" t="s">
        <v>187</v>
      </c>
      <c r="K67" s="4">
        <f>H67-N67</f>
        <v>-5.5900000000000034</v>
      </c>
      <c r="L67" s="7">
        <f>K67/H67</f>
        <v>-0.11530528052805289</v>
      </c>
      <c r="M67" s="7" t="str">
        <f>IF(L67&lt;0,"Negative",IF(L67=0,"Same",IF(L67&gt;0.3,"30+%",IF(L67&gt;0.2,"20-30%",IF(L67&gt;0.1,"10-20%",IF(L67&lt;=0.1,"0-10%"))))))</f>
        <v>Negative</v>
      </c>
      <c r="N67" s="4">
        <f>O67*J67</f>
        <v>54.07</v>
      </c>
      <c r="O67" s="4">
        <v>54.07</v>
      </c>
      <c r="P67" s="4">
        <f>Q67*J67</f>
        <v>58.37</v>
      </c>
      <c r="Q67" s="136">
        <v>58.37</v>
      </c>
      <c r="R67" s="4">
        <f>P67-N67</f>
        <v>4.2999999999999972</v>
      </c>
      <c r="S67" s="7">
        <f>R67/P67</f>
        <v>7.3667980126777402E-2</v>
      </c>
      <c r="T67" s="7" t="str">
        <f>IF(S67&lt;0,"Negative",IF(S67=0,"Same",IF(S67&gt;0.3,"30+%",IF(S67&gt;0.2,"20-30%",IF(S67&gt;0.1,"10-20%",IF(S67&lt;=0.1,"0-10%"))))))</f>
        <v>0-10%</v>
      </c>
      <c r="U67" t="s">
        <v>215</v>
      </c>
      <c r="V67" t="s">
        <v>215</v>
      </c>
      <c r="W67" t="s">
        <v>180</v>
      </c>
      <c r="X67" s="135"/>
    </row>
    <row r="68" spans="1:24" s="133" customFormat="1" x14ac:dyDescent="0.3">
      <c r="A68" s="133" t="s">
        <v>171</v>
      </c>
      <c r="B68" s="134" t="s">
        <v>938</v>
      </c>
      <c r="C68" s="133" t="s">
        <v>939</v>
      </c>
      <c r="D68" s="133" t="s">
        <v>144</v>
      </c>
      <c r="E68" s="133" t="s">
        <v>100</v>
      </c>
      <c r="F68" s="133" t="s">
        <v>476</v>
      </c>
      <c r="G68" s="133" t="s">
        <v>940</v>
      </c>
      <c r="H68" s="136">
        <v>50.35</v>
      </c>
      <c r="I68" s="133">
        <v>1</v>
      </c>
      <c r="J68" s="133" t="s">
        <v>281</v>
      </c>
      <c r="K68" s="4">
        <f>H68-N68</f>
        <v>-5.0499999999999972</v>
      </c>
      <c r="L68" s="7">
        <f>K68/H68</f>
        <v>-0.10029791459781523</v>
      </c>
      <c r="M68" s="7" t="str">
        <f>IF(L68&lt;0,"Negative",IF(L68=0,"Same",IF(L68&gt;0.3,"30+%",IF(L68&gt;0.2,"20-30%",IF(L68&gt;0.1,"10-20%",IF(L68&lt;=0.1,"0-10%"))))))</f>
        <v>Negative</v>
      </c>
      <c r="N68" s="4">
        <f>O68*J68</f>
        <v>55.4</v>
      </c>
      <c r="O68" s="4">
        <v>11.08</v>
      </c>
      <c r="P68" s="4">
        <f>Q68*J68</f>
        <v>64.150000000000006</v>
      </c>
      <c r="Q68" s="136">
        <v>12.83</v>
      </c>
      <c r="R68" s="4">
        <f>P68-N68</f>
        <v>8.7500000000000071</v>
      </c>
      <c r="S68" s="7">
        <f>R68/P68</f>
        <v>0.13639906469212792</v>
      </c>
      <c r="T68" s="7" t="str">
        <f>IF(S68&lt;0,"Negative",IF(S68=0,"Same",IF(S68&gt;0.3,"30+%",IF(S68&gt;0.2,"20-30%",IF(S68&gt;0.1,"10-20%",IF(S68&lt;=0.1,"0-10%"))))))</f>
        <v>10-20%</v>
      </c>
      <c r="U68" t="s">
        <v>215</v>
      </c>
      <c r="V68" t="s">
        <v>215</v>
      </c>
      <c r="W68" t="s">
        <v>180</v>
      </c>
      <c r="X68" s="135"/>
    </row>
    <row r="69" spans="1:24" s="133" customFormat="1" x14ac:dyDescent="0.3">
      <c r="A69" s="133" t="s">
        <v>206</v>
      </c>
      <c r="B69" s="134" t="s">
        <v>251</v>
      </c>
      <c r="C69" s="133" t="s">
        <v>252</v>
      </c>
      <c r="D69" s="133" t="s">
        <v>253</v>
      </c>
      <c r="E69" s="133" t="s">
        <v>114</v>
      </c>
      <c r="F69" s="133" t="s">
        <v>254</v>
      </c>
      <c r="G69" s="133" t="s">
        <v>255</v>
      </c>
      <c r="H69" s="136">
        <v>51.51</v>
      </c>
      <c r="I69" s="133">
        <v>1</v>
      </c>
      <c r="J69" s="133" t="s">
        <v>187</v>
      </c>
      <c r="K69" s="4">
        <f>H69-N69</f>
        <v>1.1400000000000006</v>
      </c>
      <c r="L69" s="7">
        <f>K69/H69</f>
        <v>2.2131624927198616E-2</v>
      </c>
      <c r="M69" s="7" t="str">
        <f>IF(L69&lt;0,"Negative",IF(L69=0,"Same",IF(L69&gt;0.3,"30+%",IF(L69&gt;0.2,"20-30%",IF(L69&gt;0.1,"10-20%",IF(L69&lt;=0.1,"0-10%"))))))</f>
        <v>0-10%</v>
      </c>
      <c r="N69" s="4">
        <f>O69*J69</f>
        <v>50.37</v>
      </c>
      <c r="O69" s="4">
        <v>50.37</v>
      </c>
      <c r="P69" s="4">
        <f>Q69*J69</f>
        <v>54.38</v>
      </c>
      <c r="Q69" s="136">
        <v>54.38</v>
      </c>
      <c r="R69" s="4">
        <f>P69-N69</f>
        <v>4.0100000000000051</v>
      </c>
      <c r="S69" s="7">
        <f>R69/P69</f>
        <v>7.3740345715336608E-2</v>
      </c>
      <c r="T69" s="7" t="str">
        <f>IF(S69&lt;0,"Negative",IF(S69=0,"Same",IF(S69&gt;0.3,"30+%",IF(S69&gt;0.2,"20-30%",IF(S69&gt;0.1,"10-20%",IF(S69&lt;=0.1,"0-10%"))))))</f>
        <v>0-10%</v>
      </c>
      <c r="U69" t="s">
        <v>215</v>
      </c>
      <c r="V69" t="s">
        <v>215</v>
      </c>
      <c r="W69" t="s">
        <v>180</v>
      </c>
      <c r="X69" s="135"/>
    </row>
    <row r="70" spans="1:24" s="133" customFormat="1" x14ac:dyDescent="0.3">
      <c r="A70" s="133" t="s">
        <v>171</v>
      </c>
      <c r="B70" s="134" t="s">
        <v>335</v>
      </c>
      <c r="C70" s="133" t="s">
        <v>336</v>
      </c>
      <c r="D70" s="133" t="s">
        <v>337</v>
      </c>
      <c r="E70" s="133" t="s">
        <v>122</v>
      </c>
      <c r="F70" s="133" t="s">
        <v>338</v>
      </c>
      <c r="G70" s="133" t="s">
        <v>339</v>
      </c>
      <c r="H70" s="136">
        <v>51.77</v>
      </c>
      <c r="I70" s="133">
        <v>1</v>
      </c>
      <c r="J70" s="133" t="s">
        <v>187</v>
      </c>
      <c r="K70" s="4">
        <f>H70-N70</f>
        <v>1.220000000000006</v>
      </c>
      <c r="L70" s="7">
        <f>K70/H70</f>
        <v>2.3565771682441682E-2</v>
      </c>
      <c r="M70" s="7" t="str">
        <f>IF(L70&lt;0,"Negative",IF(L70=0,"Same",IF(L70&gt;0.3,"30+%",IF(L70&gt;0.2,"20-30%",IF(L70&gt;0.1,"10-20%",IF(L70&lt;=0.1,"0-10%"))))))</f>
        <v>0-10%</v>
      </c>
      <c r="N70" s="4">
        <f>O70*J70</f>
        <v>50.55</v>
      </c>
      <c r="O70" s="4">
        <v>50.55</v>
      </c>
      <c r="P70" s="4">
        <f>Q70*J70</f>
        <v>55.96</v>
      </c>
      <c r="Q70" s="136">
        <v>55.96</v>
      </c>
      <c r="R70" s="4">
        <f>P70-N70</f>
        <v>5.4100000000000037</v>
      </c>
      <c r="S70" s="7">
        <f>R70/P70</f>
        <v>9.667619728377419E-2</v>
      </c>
      <c r="T70" s="7" t="str">
        <f>IF(S70&lt;0,"Negative",IF(S70=0,"Same",IF(S70&gt;0.3,"30+%",IF(S70&gt;0.2,"20-30%",IF(S70&gt;0.1,"10-20%",IF(S70&lt;=0.1,"0-10%"))))))</f>
        <v>0-10%</v>
      </c>
      <c r="U70" t="s">
        <v>250</v>
      </c>
      <c r="V70" t="s">
        <v>215</v>
      </c>
      <c r="W70" t="s">
        <v>180</v>
      </c>
      <c r="X70" s="135"/>
    </row>
    <row r="71" spans="1:24" s="133" customFormat="1" x14ac:dyDescent="0.3">
      <c r="A71" s="133" t="s">
        <v>206</v>
      </c>
      <c r="B71" s="134" t="s">
        <v>418</v>
      </c>
      <c r="C71" s="133" t="s">
        <v>419</v>
      </c>
      <c r="D71" s="133" t="s">
        <v>380</v>
      </c>
      <c r="E71" s="133" t="s">
        <v>96</v>
      </c>
      <c r="F71" s="133" t="s">
        <v>381</v>
      </c>
      <c r="G71" s="133" t="s">
        <v>382</v>
      </c>
      <c r="H71" s="136">
        <v>52.24</v>
      </c>
      <c r="I71" s="133">
        <v>1</v>
      </c>
      <c r="J71" s="133" t="s">
        <v>249</v>
      </c>
      <c r="K71" s="4">
        <f>H71-N71</f>
        <v>23.12</v>
      </c>
      <c r="L71" s="7">
        <f>K71/H71</f>
        <v>0.44257274119448697</v>
      </c>
      <c r="M71" s="7" t="str">
        <f>IF(L71&lt;0,"Negative",IF(L71=0,"Same",IF(L71&gt;0.3,"30+%",IF(L71&gt;0.2,"20-30%",IF(L71&gt;0.1,"10-20%",IF(L71&lt;=0.1,"0-10%"))))))</f>
        <v>30+%</v>
      </c>
      <c r="N71" s="4">
        <f>O71*J71</f>
        <v>29.12</v>
      </c>
      <c r="O71" s="4">
        <v>7.28</v>
      </c>
      <c r="P71" s="4">
        <f>Q71*J71</f>
        <v>57.6</v>
      </c>
      <c r="Q71" s="136">
        <v>14.4</v>
      </c>
      <c r="R71" s="4">
        <f>P71-N71</f>
        <v>28.48</v>
      </c>
      <c r="S71" s="7">
        <f>R71/P71</f>
        <v>0.49444444444444446</v>
      </c>
      <c r="T71" s="7" t="str">
        <f>IF(S71&lt;0,"Negative",IF(S71=0,"Same",IF(S71&gt;0.3,"30+%",IF(S71&gt;0.2,"20-30%",IF(S71&gt;0.1,"10-20%",IF(S71&lt;=0.1,"0-10%"))))))</f>
        <v>30+%</v>
      </c>
      <c r="U71" t="s">
        <v>250</v>
      </c>
      <c r="V71" t="s">
        <v>215</v>
      </c>
      <c r="W71" t="s">
        <v>180</v>
      </c>
      <c r="X71" s="135"/>
    </row>
    <row r="72" spans="1:24" s="133" customFormat="1" x14ac:dyDescent="0.3">
      <c r="A72" s="133" t="s">
        <v>171</v>
      </c>
      <c r="B72" s="134" t="s">
        <v>473</v>
      </c>
      <c r="C72" s="133" t="s">
        <v>474</v>
      </c>
      <c r="D72" s="133" t="s">
        <v>475</v>
      </c>
      <c r="E72" s="133" t="s">
        <v>100</v>
      </c>
      <c r="F72" s="133" t="s">
        <v>476</v>
      </c>
      <c r="G72" s="133" t="s">
        <v>477</v>
      </c>
      <c r="H72" s="136">
        <v>52.92</v>
      </c>
      <c r="I72" s="133">
        <v>1</v>
      </c>
      <c r="J72" s="133" t="s">
        <v>221</v>
      </c>
      <c r="K72" s="4">
        <f>H72-N72</f>
        <v>-2.9399999999999977</v>
      </c>
      <c r="L72" s="7">
        <f>K72/H72</f>
        <v>-5.5555555555555511E-2</v>
      </c>
      <c r="M72" s="7" t="str">
        <f>IF(L72&lt;0,"Negative",IF(L72=0,"Same",IF(L72&gt;0.3,"30+%",IF(L72&gt;0.2,"20-30%",IF(L72&gt;0.1,"10-20%",IF(L72&lt;=0.1,"0-10%"))))))</f>
        <v>Negative</v>
      </c>
      <c r="N72" s="4">
        <f>O72*J72</f>
        <v>55.86</v>
      </c>
      <c r="O72" s="4">
        <v>9.31</v>
      </c>
      <c r="P72" s="4">
        <f>Q72*J72</f>
        <v>64.679999999999993</v>
      </c>
      <c r="Q72" s="136">
        <v>10.78</v>
      </c>
      <c r="R72" s="4">
        <f>P72-N72</f>
        <v>8.8199999999999932</v>
      </c>
      <c r="S72" s="7">
        <f>R72/P72</f>
        <v>0.13636363636363627</v>
      </c>
      <c r="T72" s="7" t="str">
        <f>IF(S72&lt;0,"Negative",IF(S72=0,"Same",IF(S72&gt;0.3,"30+%",IF(S72&gt;0.2,"20-30%",IF(S72&gt;0.1,"10-20%",IF(S72&lt;=0.1,"0-10%"))))))</f>
        <v>10-20%</v>
      </c>
      <c r="U72" t="s">
        <v>215</v>
      </c>
      <c r="V72" t="s">
        <v>215</v>
      </c>
      <c r="W72" t="s">
        <v>180</v>
      </c>
      <c r="X72" s="135"/>
    </row>
    <row r="73" spans="1:24" s="133" customFormat="1" x14ac:dyDescent="0.3">
      <c r="A73" s="133" t="s">
        <v>171</v>
      </c>
      <c r="B73" s="134" t="s">
        <v>302</v>
      </c>
      <c r="C73" s="133" t="s">
        <v>303</v>
      </c>
      <c r="D73" s="133" t="s">
        <v>304</v>
      </c>
      <c r="E73" s="133" t="s">
        <v>123</v>
      </c>
      <c r="F73" s="133" t="s">
        <v>305</v>
      </c>
      <c r="G73" s="133" t="s">
        <v>306</v>
      </c>
      <c r="H73" s="136">
        <v>55.11</v>
      </c>
      <c r="I73" s="133">
        <v>1</v>
      </c>
      <c r="J73" s="133" t="s">
        <v>187</v>
      </c>
      <c r="K73" s="4">
        <f>H73-N73</f>
        <v>4.6400000000000006</v>
      </c>
      <c r="L73" s="7">
        <f>K73/H73</f>
        <v>8.4195245871892588E-2</v>
      </c>
      <c r="M73" s="7" t="str">
        <f>IF(L73&lt;0,"Negative",IF(L73=0,"Same",IF(L73&gt;0.3,"30+%",IF(L73&gt;0.2,"20-30%",IF(L73&gt;0.1,"10-20%",IF(L73&lt;=0.1,"0-10%"))))))</f>
        <v>0-10%</v>
      </c>
      <c r="N73" s="4">
        <f>O73*J73</f>
        <v>50.47</v>
      </c>
      <c r="O73" s="4">
        <v>50.47</v>
      </c>
      <c r="P73" s="4">
        <f>Q73*J73</f>
        <v>55.11</v>
      </c>
      <c r="Q73" s="136">
        <v>55.11</v>
      </c>
      <c r="R73" s="4">
        <f>P73-N73</f>
        <v>4.6400000000000006</v>
      </c>
      <c r="S73" s="7">
        <f>R73/P73</f>
        <v>8.4195245871892588E-2</v>
      </c>
      <c r="T73" s="7" t="str">
        <f>IF(S73&lt;0,"Negative",IF(S73=0,"Same",IF(S73&gt;0.3,"30+%",IF(S73&gt;0.2,"20-30%",IF(S73&gt;0.1,"10-20%",IF(S73&lt;=0.1,"0-10%"))))))</f>
        <v>0-10%</v>
      </c>
      <c r="U73" t="s">
        <v>215</v>
      </c>
      <c r="V73" t="s">
        <v>215</v>
      </c>
      <c r="W73" t="s">
        <v>180</v>
      </c>
      <c r="X73" s="135"/>
    </row>
    <row r="74" spans="1:24" s="133" customFormat="1" x14ac:dyDescent="0.3">
      <c r="A74" s="133" t="s">
        <v>206</v>
      </c>
      <c r="B74" s="134" t="s">
        <v>644</v>
      </c>
      <c r="C74" s="133" t="s">
        <v>645</v>
      </c>
      <c r="D74" s="133" t="s">
        <v>646</v>
      </c>
      <c r="E74" s="133" t="s">
        <v>112</v>
      </c>
      <c r="F74" s="133" t="s">
        <v>647</v>
      </c>
      <c r="G74" s="133" t="s">
        <v>648</v>
      </c>
      <c r="H74" s="136">
        <v>55.79</v>
      </c>
      <c r="I74" s="133">
        <v>3</v>
      </c>
      <c r="J74" s="133" t="s">
        <v>296</v>
      </c>
      <c r="K74" s="4">
        <f>H74-N74</f>
        <v>4.5799999999999983</v>
      </c>
      <c r="L74" s="7">
        <f>K74/H74</f>
        <v>8.2093565155045678E-2</v>
      </c>
      <c r="M74" s="7" t="str">
        <f>IF(L74&lt;0,"Negative",IF(L74=0,"Same",IF(L74&gt;0.3,"30+%",IF(L74&gt;0.2,"20-30%",IF(L74&gt;0.1,"10-20%",IF(L74&lt;=0.1,"0-10%"))))))</f>
        <v>0-10%</v>
      </c>
      <c r="N74" s="4">
        <f>O74*J74</f>
        <v>51.21</v>
      </c>
      <c r="O74" s="4">
        <v>17.07</v>
      </c>
      <c r="P74" s="4">
        <f>Q74*J74</f>
        <v>66.36</v>
      </c>
      <c r="Q74" s="136">
        <v>22.12</v>
      </c>
      <c r="R74" s="4">
        <f>P74-N74</f>
        <v>15.149999999999999</v>
      </c>
      <c r="S74" s="7">
        <f>R74/P74</f>
        <v>0.22830018083182638</v>
      </c>
      <c r="T74" s="7" t="str">
        <f>IF(S74&lt;0,"Negative",IF(S74=0,"Same",IF(S74&gt;0.3,"30+%",IF(S74&gt;0.2,"20-30%",IF(S74&gt;0.1,"10-20%",IF(S74&lt;=0.1,"0-10%"))))))</f>
        <v>20-30%</v>
      </c>
      <c r="U74" t="s">
        <v>250</v>
      </c>
      <c r="V74" t="s">
        <v>215</v>
      </c>
      <c r="W74" t="s">
        <v>180</v>
      </c>
      <c r="X74" s="135"/>
    </row>
    <row r="75" spans="1:24" s="133" customFormat="1" x14ac:dyDescent="0.3">
      <c r="A75" s="133" t="s">
        <v>206</v>
      </c>
      <c r="B75" s="134" t="s">
        <v>626</v>
      </c>
      <c r="C75" s="133" t="s">
        <v>627</v>
      </c>
      <c r="D75" s="133" t="s">
        <v>628</v>
      </c>
      <c r="E75" s="133" t="s">
        <v>95</v>
      </c>
      <c r="F75" s="133" t="s">
        <v>559</v>
      </c>
      <c r="G75" s="133" t="s">
        <v>629</v>
      </c>
      <c r="H75" s="136">
        <v>56</v>
      </c>
      <c r="I75" s="133">
        <v>1</v>
      </c>
      <c r="J75" s="133" t="s">
        <v>187</v>
      </c>
      <c r="K75" s="4">
        <f>H75-N75</f>
        <v>4.9200000000000017</v>
      </c>
      <c r="L75" s="7">
        <f>K75/H75</f>
        <v>8.7857142857142884E-2</v>
      </c>
      <c r="M75" s="7" t="str">
        <f>IF(L75&lt;0,"Negative",IF(L75=0,"Same",IF(L75&gt;0.3,"30+%",IF(L75&gt;0.2,"20-30%",IF(L75&gt;0.1,"10-20%",IF(L75&lt;=0.1,"0-10%"))))))</f>
        <v>0-10%</v>
      </c>
      <c r="N75" s="4">
        <f>O75*J75</f>
        <v>51.08</v>
      </c>
      <c r="O75" s="4">
        <v>51.08</v>
      </c>
      <c r="P75" s="4">
        <f>Q75*J75</f>
        <v>57.09</v>
      </c>
      <c r="Q75" s="136">
        <v>57.09</v>
      </c>
      <c r="R75" s="4">
        <f>P75-N75</f>
        <v>6.0100000000000051</v>
      </c>
      <c r="S75" s="7">
        <f>R75/P75</f>
        <v>0.10527237694867761</v>
      </c>
      <c r="T75" s="7" t="str">
        <f>IF(S75&lt;0,"Negative",IF(S75=0,"Same",IF(S75&gt;0.3,"30+%",IF(S75&gt;0.2,"20-30%",IF(S75&gt;0.1,"10-20%",IF(S75&lt;=0.1,"0-10%"))))))</f>
        <v>10-20%</v>
      </c>
      <c r="U75" t="s">
        <v>215</v>
      </c>
      <c r="V75" t="s">
        <v>215</v>
      </c>
      <c r="W75" t="s">
        <v>180</v>
      </c>
      <c r="X75" s="135"/>
    </row>
    <row r="76" spans="1:24" s="133" customFormat="1" x14ac:dyDescent="0.3">
      <c r="A76" s="133" t="s">
        <v>171</v>
      </c>
      <c r="B76" s="134" t="s">
        <v>664</v>
      </c>
      <c r="C76" s="133" t="s">
        <v>665</v>
      </c>
      <c r="D76" s="133" t="s">
        <v>666</v>
      </c>
      <c r="E76" s="133" t="s">
        <v>107</v>
      </c>
      <c r="F76" s="133" t="s">
        <v>667</v>
      </c>
      <c r="G76" s="133" t="s">
        <v>668</v>
      </c>
      <c r="H76" s="136">
        <v>57.4</v>
      </c>
      <c r="I76" s="133">
        <v>1</v>
      </c>
      <c r="J76" s="133" t="s">
        <v>281</v>
      </c>
      <c r="K76" s="4">
        <f>H76-N76</f>
        <v>-24.04999999999999</v>
      </c>
      <c r="L76" s="7">
        <f>K76/H76</f>
        <v>-0.41898954703832736</v>
      </c>
      <c r="M76" s="7" t="str">
        <f>IF(L76&lt;0,"Negative",IF(L76=0,"Same",IF(L76&gt;0.3,"30+%",IF(L76&gt;0.2,"20-30%",IF(L76&gt;0.1,"10-20%",IF(L76&lt;=0.1,"0-10%"))))))</f>
        <v>Negative</v>
      </c>
      <c r="N76" s="4">
        <f>O76*J76</f>
        <v>81.449999999999989</v>
      </c>
      <c r="O76" s="4">
        <v>16.29</v>
      </c>
      <c r="P76" s="4">
        <f>Q76*J76</f>
        <v>88.9</v>
      </c>
      <c r="Q76" s="136">
        <v>17.78</v>
      </c>
      <c r="R76" s="4">
        <f>P76-N76</f>
        <v>7.4500000000000171</v>
      </c>
      <c r="S76" s="7">
        <f>R76/P76</f>
        <v>8.3802024746906817E-2</v>
      </c>
      <c r="T76" s="7" t="str">
        <f>IF(S76&lt;0,"Negative",IF(S76=0,"Same",IF(S76&gt;0.3,"30+%",IF(S76&gt;0.2,"20-30%",IF(S76&gt;0.1,"10-20%",IF(S76&lt;=0.1,"0-10%"))))))</f>
        <v>0-10%</v>
      </c>
      <c r="U76" t="s">
        <v>215</v>
      </c>
      <c r="V76" t="s">
        <v>215</v>
      </c>
      <c r="W76" t="s">
        <v>180</v>
      </c>
      <c r="X76" s="135"/>
    </row>
    <row r="77" spans="1:24" s="133" customFormat="1" x14ac:dyDescent="0.3">
      <c r="A77" s="133" t="s">
        <v>171</v>
      </c>
      <c r="B77" s="134" t="s">
        <v>317</v>
      </c>
      <c r="C77" s="133" t="s">
        <v>318</v>
      </c>
      <c r="D77" s="133" t="s">
        <v>319</v>
      </c>
      <c r="E77" s="133" t="s">
        <v>114</v>
      </c>
      <c r="F77" s="133" t="s">
        <v>320</v>
      </c>
      <c r="G77" s="133" t="s">
        <v>321</v>
      </c>
      <c r="H77" s="136">
        <v>60</v>
      </c>
      <c r="I77" s="133">
        <v>1</v>
      </c>
      <c r="J77" s="133" t="s">
        <v>322</v>
      </c>
      <c r="K77" s="4">
        <f>H77-N77</f>
        <v>-6.2999999999999972</v>
      </c>
      <c r="L77" s="7">
        <f>K77/H77</f>
        <v>-0.10499999999999995</v>
      </c>
      <c r="M77" s="7" t="str">
        <f>IF(L77&lt;0,"Negative",IF(L77=0,"Same",IF(L77&gt;0.3,"30+%",IF(L77&gt;0.2,"20-30%",IF(L77&gt;0.1,"10-20%",IF(L77&lt;=0.1,"0-10%"))))))</f>
        <v>Negative</v>
      </c>
      <c r="N77" s="4">
        <f>O77*J77</f>
        <v>66.3</v>
      </c>
      <c r="O77" s="4">
        <v>6.63</v>
      </c>
      <c r="P77" s="4">
        <f>Q77*J77</f>
        <v>71.5</v>
      </c>
      <c r="Q77" s="136">
        <v>7.15</v>
      </c>
      <c r="R77" s="4">
        <f>P77-N77</f>
        <v>5.2000000000000028</v>
      </c>
      <c r="S77" s="7">
        <f>R77/P77</f>
        <v>7.2727272727272765E-2</v>
      </c>
      <c r="T77" s="7" t="str">
        <f>IF(S77&lt;0,"Negative",IF(S77=0,"Same",IF(S77&gt;0.3,"30+%",IF(S77&gt;0.2,"20-30%",IF(S77&gt;0.1,"10-20%",IF(S77&lt;=0.1,"0-10%"))))))</f>
        <v>0-10%</v>
      </c>
      <c r="U77" t="s">
        <v>215</v>
      </c>
      <c r="V77" t="s">
        <v>215</v>
      </c>
      <c r="W77" t="s">
        <v>180</v>
      </c>
      <c r="X77" s="135"/>
    </row>
    <row r="78" spans="1:24" s="133" customFormat="1" x14ac:dyDescent="0.3">
      <c r="A78" s="133" t="s">
        <v>206</v>
      </c>
      <c r="B78" s="134" t="s">
        <v>345</v>
      </c>
      <c r="C78" s="133" t="s">
        <v>346</v>
      </c>
      <c r="D78" s="133" t="s">
        <v>347</v>
      </c>
      <c r="E78" s="133" t="s">
        <v>105</v>
      </c>
      <c r="F78" s="133" t="s">
        <v>348</v>
      </c>
      <c r="G78" s="133" t="s">
        <v>349</v>
      </c>
      <c r="H78" s="136">
        <v>60.34</v>
      </c>
      <c r="I78" s="133">
        <v>1</v>
      </c>
      <c r="J78" s="133" t="s">
        <v>187</v>
      </c>
      <c r="K78" s="4">
        <f>H78-N78</f>
        <v>-7.4299999999999926</v>
      </c>
      <c r="L78" s="7">
        <f>K78/H78</f>
        <v>-0.12313556513092463</v>
      </c>
      <c r="M78" s="7" t="str">
        <f>IF(L78&lt;0,"Negative",IF(L78=0,"Same",IF(L78&gt;0.3,"30+%",IF(L78&gt;0.2,"20-30%",IF(L78&gt;0.1,"10-20%",IF(L78&lt;=0.1,"0-10%"))))))</f>
        <v>Negative</v>
      </c>
      <c r="N78" s="4">
        <f>O78*J78</f>
        <v>67.77</v>
      </c>
      <c r="O78" s="4">
        <v>67.77</v>
      </c>
      <c r="P78" s="4">
        <f>Q78*J78</f>
        <v>79.489999999999995</v>
      </c>
      <c r="Q78" s="136">
        <v>79.489999999999995</v>
      </c>
      <c r="R78" s="4">
        <f>P78-N78</f>
        <v>11.719999999999999</v>
      </c>
      <c r="S78" s="7">
        <f>R78/P78</f>
        <v>0.14743992955088689</v>
      </c>
      <c r="T78" s="7" t="str">
        <f>IF(S78&lt;0,"Negative",IF(S78=0,"Same",IF(S78&gt;0.3,"30+%",IF(S78&gt;0.2,"20-30%",IF(S78&gt;0.1,"10-20%",IF(S78&lt;=0.1,"0-10%"))))))</f>
        <v>10-20%</v>
      </c>
      <c r="U78" t="s">
        <v>215</v>
      </c>
      <c r="V78" t="s">
        <v>215</v>
      </c>
      <c r="W78" t="s">
        <v>180</v>
      </c>
      <c r="X78" s="135"/>
    </row>
    <row r="79" spans="1:24" s="133" customFormat="1" x14ac:dyDescent="0.3">
      <c r="A79" s="133" t="s">
        <v>206</v>
      </c>
      <c r="B79" s="134" t="s">
        <v>507</v>
      </c>
      <c r="C79" s="133" t="s">
        <v>508</v>
      </c>
      <c r="D79" s="133" t="s">
        <v>509</v>
      </c>
      <c r="E79" s="133" t="s">
        <v>113</v>
      </c>
      <c r="F79" s="133" t="s">
        <v>412</v>
      </c>
      <c r="G79" s="133" t="s">
        <v>413</v>
      </c>
      <c r="H79" s="136">
        <v>61.59</v>
      </c>
      <c r="I79" s="133">
        <v>1</v>
      </c>
      <c r="J79" s="133" t="s">
        <v>296</v>
      </c>
      <c r="K79" s="4">
        <f>H79-N79</f>
        <v>2.5799999999999983</v>
      </c>
      <c r="L79" s="7">
        <f>K79/H79</f>
        <v>4.1889917194349702E-2</v>
      </c>
      <c r="M79" s="7" t="str">
        <f>IF(L79&lt;0,"Negative",IF(L79=0,"Same",IF(L79&gt;0.3,"30+%",IF(L79&gt;0.2,"20-30%",IF(L79&gt;0.1,"10-20%",IF(L79&lt;=0.1,"0-10%"))))))</f>
        <v>0-10%</v>
      </c>
      <c r="N79" s="4">
        <f>O79*J79</f>
        <v>59.010000000000005</v>
      </c>
      <c r="O79" s="4">
        <v>19.670000000000002</v>
      </c>
      <c r="P79" s="4">
        <f>Q79*J79</f>
        <v>62.31</v>
      </c>
      <c r="Q79" s="136">
        <v>20.77</v>
      </c>
      <c r="R79" s="4">
        <f>P79-N79</f>
        <v>3.2999999999999972</v>
      </c>
      <c r="S79" s="7">
        <f>R79/P79</f>
        <v>5.29610014443909E-2</v>
      </c>
      <c r="T79" s="7" t="str">
        <f>IF(S79&lt;0,"Negative",IF(S79=0,"Same",IF(S79&gt;0.3,"30+%",IF(S79&gt;0.2,"20-30%",IF(S79&gt;0.1,"10-20%",IF(S79&lt;=0.1,"0-10%"))))))</f>
        <v>0-10%</v>
      </c>
      <c r="U79" t="s">
        <v>215</v>
      </c>
      <c r="V79" t="s">
        <v>215</v>
      </c>
      <c r="W79" t="s">
        <v>180</v>
      </c>
      <c r="X79" s="135"/>
    </row>
    <row r="80" spans="1:24" s="133" customFormat="1" x14ac:dyDescent="0.3">
      <c r="A80" s="133" t="s">
        <v>206</v>
      </c>
      <c r="B80" s="134" t="s">
        <v>734</v>
      </c>
      <c r="C80" s="133" t="s">
        <v>735</v>
      </c>
      <c r="D80" s="133" t="s">
        <v>470</v>
      </c>
      <c r="E80" s="133" t="s">
        <v>93</v>
      </c>
      <c r="F80" s="133" t="s">
        <v>483</v>
      </c>
      <c r="G80" s="133" t="s">
        <v>697</v>
      </c>
      <c r="H80" s="136">
        <v>62.22</v>
      </c>
      <c r="I80" s="133">
        <v>1</v>
      </c>
      <c r="J80" s="133" t="s">
        <v>296</v>
      </c>
      <c r="K80" s="4">
        <f>H80-N80</f>
        <v>-8.4300000000000068</v>
      </c>
      <c r="L80" s="7">
        <f>K80/H80</f>
        <v>-0.13548698167791717</v>
      </c>
      <c r="M80" s="7" t="str">
        <f>IF(L80&lt;0,"Negative",IF(L80=0,"Same",IF(L80&gt;0.3,"30+%",IF(L80&gt;0.2,"20-30%",IF(L80&gt;0.1,"10-20%",IF(L80&lt;=0.1,"0-10%"))))))</f>
        <v>Negative</v>
      </c>
      <c r="N80" s="4">
        <f>O80*J80</f>
        <v>70.650000000000006</v>
      </c>
      <c r="O80" s="4">
        <v>23.55</v>
      </c>
      <c r="P80" s="4">
        <f>Q80*J80</f>
        <v>76.260000000000005</v>
      </c>
      <c r="Q80" s="136">
        <v>25.42</v>
      </c>
      <c r="R80" s="4">
        <f>P80-N80</f>
        <v>5.6099999999999994</v>
      </c>
      <c r="S80" s="7">
        <f>R80/P80</f>
        <v>7.3564122738001558E-2</v>
      </c>
      <c r="T80" s="7" t="str">
        <f>IF(S80&lt;0,"Negative",IF(S80=0,"Same",IF(S80&gt;0.3,"30+%",IF(S80&gt;0.2,"20-30%",IF(S80&gt;0.1,"10-20%",IF(S80&lt;=0.1,"0-10%"))))))</f>
        <v>0-10%</v>
      </c>
      <c r="U80" t="s">
        <v>215</v>
      </c>
      <c r="V80" t="s">
        <v>215</v>
      </c>
      <c r="W80" t="s">
        <v>180</v>
      </c>
      <c r="X80" s="135"/>
    </row>
    <row r="81" spans="1:24" s="133" customFormat="1" x14ac:dyDescent="0.3">
      <c r="A81" s="133" t="s">
        <v>206</v>
      </c>
      <c r="B81" s="134" t="s">
        <v>468</v>
      </c>
      <c r="C81" s="133" t="s">
        <v>469</v>
      </c>
      <c r="D81" s="133" t="s">
        <v>470</v>
      </c>
      <c r="E81" s="133" t="s">
        <v>93</v>
      </c>
      <c r="F81" s="133" t="s">
        <v>471</v>
      </c>
      <c r="G81" s="133" t="s">
        <v>472</v>
      </c>
      <c r="H81" s="136">
        <v>64.16</v>
      </c>
      <c r="I81" s="133">
        <v>1</v>
      </c>
      <c r="J81" s="133" t="s">
        <v>187</v>
      </c>
      <c r="K81" s="4">
        <f>H81-N81</f>
        <v>-1.3700000000000045</v>
      </c>
      <c r="L81" s="7">
        <f>K81/H81</f>
        <v>-2.1352867830424012E-2</v>
      </c>
      <c r="M81" s="7" t="str">
        <f>IF(L81&lt;0,"Negative",IF(L81=0,"Same",IF(L81&gt;0.3,"30+%",IF(L81&gt;0.2,"20-30%",IF(L81&gt;0.1,"10-20%",IF(L81&lt;=0.1,"0-10%"))))))</f>
        <v>Negative</v>
      </c>
      <c r="N81" s="4">
        <f>O81*J81</f>
        <v>65.53</v>
      </c>
      <c r="O81" s="4">
        <v>65.53</v>
      </c>
      <c r="P81" s="4">
        <f>Q81*J81</f>
        <v>70.75</v>
      </c>
      <c r="Q81" s="136">
        <v>70.75</v>
      </c>
      <c r="R81" s="4">
        <f>P81-N81</f>
        <v>5.2199999999999989</v>
      </c>
      <c r="S81" s="7">
        <f>R81/P81</f>
        <v>7.3780918727915173E-2</v>
      </c>
      <c r="T81" s="7" t="str">
        <f>IF(S81&lt;0,"Negative",IF(S81=0,"Same",IF(S81&gt;0.3,"30+%",IF(S81&gt;0.2,"20-30%",IF(S81&gt;0.1,"10-20%",IF(S81&lt;=0.1,"0-10%"))))))</f>
        <v>0-10%</v>
      </c>
      <c r="U81" t="s">
        <v>215</v>
      </c>
      <c r="V81" t="s">
        <v>215</v>
      </c>
      <c r="W81" t="s">
        <v>180</v>
      </c>
      <c r="X81" s="135"/>
    </row>
    <row r="82" spans="1:24" s="133" customFormat="1" x14ac:dyDescent="0.3">
      <c r="A82" s="133" t="s">
        <v>171</v>
      </c>
      <c r="B82" s="134" t="s">
        <v>545</v>
      </c>
      <c r="C82" s="133" t="s">
        <v>546</v>
      </c>
      <c r="D82" s="133" t="s">
        <v>403</v>
      </c>
      <c r="E82" s="133" t="s">
        <v>93</v>
      </c>
      <c r="F82" s="133" t="s">
        <v>371</v>
      </c>
      <c r="G82" s="133" t="s">
        <v>547</v>
      </c>
      <c r="H82" s="136">
        <v>64.2</v>
      </c>
      <c r="I82" s="133">
        <v>1</v>
      </c>
      <c r="J82" s="133" t="s">
        <v>322</v>
      </c>
      <c r="K82" s="4">
        <f>H82-N82</f>
        <v>-1.7999999999999972</v>
      </c>
      <c r="L82" s="7">
        <f>K82/H82</f>
        <v>-2.8037383177570048E-2</v>
      </c>
      <c r="M82" s="7" t="str">
        <f>IF(L82&lt;0,"Negative",IF(L82=0,"Same",IF(L82&gt;0.3,"30+%",IF(L82&gt;0.2,"20-30%",IF(L82&gt;0.1,"10-20%",IF(L82&lt;=0.1,"0-10%"))))))</f>
        <v>Negative</v>
      </c>
      <c r="N82" s="4">
        <f>O82*J82</f>
        <v>66</v>
      </c>
      <c r="O82" s="4">
        <v>6.6</v>
      </c>
      <c r="P82" s="4">
        <f>Q82*J82</f>
        <v>98.2</v>
      </c>
      <c r="Q82" s="136">
        <v>9.82</v>
      </c>
      <c r="R82" s="4">
        <f>P82-N82</f>
        <v>32.200000000000003</v>
      </c>
      <c r="S82" s="7">
        <f>R82/P82</f>
        <v>0.32790224032586562</v>
      </c>
      <c r="T82" s="7" t="str">
        <f>IF(S82&lt;0,"Negative",IF(S82=0,"Same",IF(S82&gt;0.3,"30+%",IF(S82&gt;0.2,"20-30%",IF(S82&gt;0.1,"10-20%",IF(S82&lt;=0.1,"0-10%"))))))</f>
        <v>30+%</v>
      </c>
      <c r="U82" t="s">
        <v>250</v>
      </c>
      <c r="V82" t="s">
        <v>215</v>
      </c>
      <c r="W82" t="s">
        <v>180</v>
      </c>
      <c r="X82" s="135"/>
    </row>
    <row r="83" spans="1:24" s="133" customFormat="1" x14ac:dyDescent="0.3">
      <c r="A83" s="133" t="s">
        <v>206</v>
      </c>
      <c r="B83" s="134" t="s">
        <v>236</v>
      </c>
      <c r="C83" s="133" t="s">
        <v>237</v>
      </c>
      <c r="D83" s="133" t="s">
        <v>238</v>
      </c>
      <c r="E83" s="133" t="s">
        <v>100</v>
      </c>
      <c r="F83" s="133" t="s">
        <v>239</v>
      </c>
      <c r="G83" s="133" t="s">
        <v>240</v>
      </c>
      <c r="H83" s="136">
        <v>64.44</v>
      </c>
      <c r="I83" s="133">
        <v>1</v>
      </c>
      <c r="J83" s="133" t="s">
        <v>177</v>
      </c>
      <c r="K83" s="4">
        <f>H83-N83</f>
        <v>5.3399999999999963</v>
      </c>
      <c r="L83" s="7">
        <f>K83/H83</f>
        <v>8.2867783985102361E-2</v>
      </c>
      <c r="M83" s="7" t="str">
        <f>IF(L83&lt;0,"Negative",IF(L83=0,"Same",IF(L83&gt;0.3,"30+%",IF(L83&gt;0.2,"20-30%",IF(L83&gt;0.1,"10-20%",IF(L83&lt;=0.1,"0-10%"))))))</f>
        <v>0-10%</v>
      </c>
      <c r="N83" s="4">
        <f>O83*J83</f>
        <v>59.1</v>
      </c>
      <c r="O83" s="4">
        <v>29.55</v>
      </c>
      <c r="P83" s="4">
        <f>Q83*J83</f>
        <v>68.48</v>
      </c>
      <c r="Q83" s="136">
        <v>34.24</v>
      </c>
      <c r="R83" s="4">
        <f>P83-N83</f>
        <v>9.3800000000000026</v>
      </c>
      <c r="S83" s="7">
        <f>R83/P83</f>
        <v>0.13697429906542058</v>
      </c>
      <c r="T83" s="7" t="str">
        <f>IF(S83&lt;0,"Negative",IF(S83=0,"Same",IF(S83&gt;0.3,"30+%",IF(S83&gt;0.2,"20-30%",IF(S83&gt;0.1,"10-20%",IF(S83&lt;=0.1,"0-10%"))))))</f>
        <v>10-20%</v>
      </c>
      <c r="U83" t="s">
        <v>215</v>
      </c>
      <c r="V83" t="s">
        <v>215</v>
      </c>
      <c r="W83" t="s">
        <v>180</v>
      </c>
      <c r="X83" s="135"/>
    </row>
    <row r="84" spans="1:24" s="133" customFormat="1" x14ac:dyDescent="0.3">
      <c r="A84" s="133" t="s">
        <v>206</v>
      </c>
      <c r="B84" s="134" t="s">
        <v>720</v>
      </c>
      <c r="C84" s="133" t="s">
        <v>721</v>
      </c>
      <c r="D84" s="133" t="s">
        <v>722</v>
      </c>
      <c r="E84" s="133" t="s">
        <v>106</v>
      </c>
      <c r="F84" s="133" t="s">
        <v>723</v>
      </c>
      <c r="G84" s="133" t="s">
        <v>724</v>
      </c>
      <c r="H84" s="136">
        <v>64.7</v>
      </c>
      <c r="I84" s="133">
        <v>1</v>
      </c>
      <c r="J84" s="133" t="s">
        <v>322</v>
      </c>
      <c r="K84" s="4">
        <f>H84-N84</f>
        <v>-6.5999999999999943</v>
      </c>
      <c r="L84" s="7">
        <f>K84/H84</f>
        <v>-0.10200927357032448</v>
      </c>
      <c r="M84" s="7" t="str">
        <f>IF(L84&lt;0,"Negative",IF(L84=0,"Same",IF(L84&gt;0.3,"30+%",IF(L84&gt;0.2,"20-30%",IF(L84&gt;0.1,"10-20%",IF(L84&lt;=0.1,"0-10%"))))))</f>
        <v>Negative</v>
      </c>
      <c r="N84" s="4">
        <f>O84*J84</f>
        <v>71.3</v>
      </c>
      <c r="O84" s="4">
        <v>7.13</v>
      </c>
      <c r="P84" s="4">
        <f>Q84*J84</f>
        <v>77.8</v>
      </c>
      <c r="Q84" s="136">
        <v>7.78</v>
      </c>
      <c r="R84" s="4">
        <f>P84-N84</f>
        <v>6.5</v>
      </c>
      <c r="S84" s="7">
        <f>R84/P84</f>
        <v>8.3547557840616973E-2</v>
      </c>
      <c r="T84" s="7" t="str">
        <f>IF(S84&lt;0,"Negative",IF(S84=0,"Same",IF(S84&gt;0.3,"30+%",IF(S84&gt;0.2,"20-30%",IF(S84&gt;0.1,"10-20%",IF(S84&lt;=0.1,"0-10%"))))))</f>
        <v>0-10%</v>
      </c>
      <c r="U84" t="s">
        <v>215</v>
      </c>
      <c r="V84" t="s">
        <v>215</v>
      </c>
      <c r="W84" t="s">
        <v>180</v>
      </c>
      <c r="X84" s="135"/>
    </row>
    <row r="85" spans="1:24" s="133" customFormat="1" x14ac:dyDescent="0.3">
      <c r="A85" s="133" t="s">
        <v>171</v>
      </c>
      <c r="B85" s="134" t="s">
        <v>393</v>
      </c>
      <c r="C85" s="133" t="s">
        <v>394</v>
      </c>
      <c r="D85" s="133" t="s">
        <v>325</v>
      </c>
      <c r="E85" s="133" t="s">
        <v>120</v>
      </c>
      <c r="F85" s="133" t="s">
        <v>326</v>
      </c>
      <c r="G85" s="133" t="s">
        <v>327</v>
      </c>
      <c r="H85" s="136">
        <v>64.8</v>
      </c>
      <c r="I85" s="133">
        <v>1</v>
      </c>
      <c r="J85" s="133" t="s">
        <v>395</v>
      </c>
      <c r="K85" s="4">
        <f>H85-N85</f>
        <v>1.3999999999999986</v>
      </c>
      <c r="L85" s="7">
        <f>K85/H85</f>
        <v>2.1604938271604916E-2</v>
      </c>
      <c r="M85" s="7" t="str">
        <f>IF(L85&lt;0,"Negative",IF(L85=0,"Same",IF(L85&gt;0.3,"30+%",IF(L85&gt;0.2,"20-30%",IF(L85&gt;0.1,"10-20%",IF(L85&lt;=0.1,"0-10%"))))))</f>
        <v>0-10%</v>
      </c>
      <c r="N85" s="4">
        <f>O85*J85</f>
        <v>63.4</v>
      </c>
      <c r="O85" s="4">
        <v>3.17</v>
      </c>
      <c r="P85" s="4">
        <f>Q85*J85</f>
        <v>73.400000000000006</v>
      </c>
      <c r="Q85" s="136">
        <v>3.67</v>
      </c>
      <c r="R85" s="4">
        <f>P85-N85</f>
        <v>10.000000000000007</v>
      </c>
      <c r="S85" s="7">
        <f>R85/P85</f>
        <v>0.13623978201634887</v>
      </c>
      <c r="T85" s="7" t="str">
        <f>IF(S85&lt;0,"Negative",IF(S85=0,"Same",IF(S85&gt;0.3,"30+%",IF(S85&gt;0.2,"20-30%",IF(S85&gt;0.1,"10-20%",IF(S85&lt;=0.1,"0-10%"))))))</f>
        <v>10-20%</v>
      </c>
      <c r="U85" t="s">
        <v>215</v>
      </c>
      <c r="V85" t="s">
        <v>215</v>
      </c>
      <c r="W85" t="s">
        <v>180</v>
      </c>
      <c r="X85" s="135"/>
    </row>
    <row r="86" spans="1:24" s="133" customFormat="1" x14ac:dyDescent="0.3">
      <c r="A86" s="133" t="s">
        <v>171</v>
      </c>
      <c r="B86" s="134" t="s">
        <v>312</v>
      </c>
      <c r="C86" s="133" t="s">
        <v>313</v>
      </c>
      <c r="D86" s="133" t="s">
        <v>314</v>
      </c>
      <c r="E86" s="133" t="s">
        <v>107</v>
      </c>
      <c r="F86" s="133" t="s">
        <v>315</v>
      </c>
      <c r="G86" s="133" t="s">
        <v>316</v>
      </c>
      <c r="H86" s="136">
        <v>65.64</v>
      </c>
      <c r="I86" s="133">
        <v>1</v>
      </c>
      <c r="J86" s="133" t="s">
        <v>296</v>
      </c>
      <c r="K86" s="4">
        <f>H86-N86</f>
        <v>-11.070000000000007</v>
      </c>
      <c r="L86" s="7">
        <f>K86/H86</f>
        <v>-0.16864716636197452</v>
      </c>
      <c r="M86" s="7" t="str">
        <f>IF(L86&lt;0,"Negative",IF(L86=0,"Same",IF(L86&gt;0.3,"30+%",IF(L86&gt;0.2,"20-30%",IF(L86&gt;0.1,"10-20%",IF(L86&lt;=0.1,"0-10%"))))))</f>
        <v>Negative</v>
      </c>
      <c r="N86" s="4">
        <f>O86*J86</f>
        <v>76.710000000000008</v>
      </c>
      <c r="O86" s="4">
        <v>25.57</v>
      </c>
      <c r="P86" s="4">
        <f>Q86*J86</f>
        <v>83.76</v>
      </c>
      <c r="Q86" s="136">
        <v>27.92</v>
      </c>
      <c r="R86" s="4">
        <f>P86-N86</f>
        <v>7.0499999999999972</v>
      </c>
      <c r="S86" s="7">
        <f>R86/P86</f>
        <v>8.4169054441260702E-2</v>
      </c>
      <c r="T86" s="7" t="str">
        <f>IF(S86&lt;0,"Negative",IF(S86=0,"Same",IF(S86&gt;0.3,"30+%",IF(S86&gt;0.2,"20-30%",IF(S86&gt;0.1,"10-20%",IF(S86&lt;=0.1,"0-10%"))))))</f>
        <v>0-10%</v>
      </c>
      <c r="U86" t="s">
        <v>215</v>
      </c>
      <c r="V86" t="s">
        <v>215</v>
      </c>
      <c r="W86" t="s">
        <v>180</v>
      </c>
      <c r="X86" s="135"/>
    </row>
    <row r="87" spans="1:24" s="133" customFormat="1" x14ac:dyDescent="0.3">
      <c r="A87" s="133" t="s">
        <v>171</v>
      </c>
      <c r="B87" s="134" t="s">
        <v>898</v>
      </c>
      <c r="C87" s="133" t="s">
        <v>899</v>
      </c>
      <c r="D87" s="133" t="s">
        <v>309</v>
      </c>
      <c r="E87" s="133" t="s">
        <v>115</v>
      </c>
      <c r="F87" s="133" t="s">
        <v>431</v>
      </c>
      <c r="G87" s="133" t="s">
        <v>900</v>
      </c>
      <c r="H87" s="136">
        <v>65.91</v>
      </c>
      <c r="I87" s="133">
        <v>1</v>
      </c>
      <c r="J87" s="133" t="s">
        <v>296</v>
      </c>
      <c r="K87" s="4">
        <f>H87-N87</f>
        <v>-37.17</v>
      </c>
      <c r="L87" s="7">
        <f>K87/H87</f>
        <v>-0.56395084205735102</v>
      </c>
      <c r="M87" s="7" t="str">
        <f>IF(L87&lt;0,"Negative",IF(L87=0,"Same",IF(L87&gt;0.3,"30+%",IF(L87&gt;0.2,"20-30%",IF(L87&gt;0.1,"10-20%",IF(L87&lt;=0.1,"0-10%"))))))</f>
        <v>Negative</v>
      </c>
      <c r="N87" s="4">
        <f>O87*J87</f>
        <v>103.08</v>
      </c>
      <c r="O87" s="4">
        <v>34.36</v>
      </c>
      <c r="P87" s="4">
        <f>Q87*J87</f>
        <v>105.87</v>
      </c>
      <c r="Q87" s="136">
        <v>35.29</v>
      </c>
      <c r="R87" s="4">
        <f>P87-N87</f>
        <v>2.7900000000000063</v>
      </c>
      <c r="S87" s="7">
        <f>R87/P87</f>
        <v>2.6353074525361349E-2</v>
      </c>
      <c r="T87" s="7" t="str">
        <f>IF(S87&lt;0,"Negative",IF(S87=0,"Same",IF(S87&gt;0.3,"30+%",IF(S87&gt;0.2,"20-30%",IF(S87&gt;0.1,"10-20%",IF(S87&lt;=0.1,"0-10%"))))))</f>
        <v>0-10%</v>
      </c>
      <c r="U87" t="s">
        <v>215</v>
      </c>
      <c r="V87" t="s">
        <v>215</v>
      </c>
      <c r="W87" t="s">
        <v>180</v>
      </c>
      <c r="X87" s="135"/>
    </row>
    <row r="88" spans="1:24" s="133" customFormat="1" x14ac:dyDescent="0.3">
      <c r="A88" s="133" t="s">
        <v>171</v>
      </c>
      <c r="B88" s="134" t="s">
        <v>502</v>
      </c>
      <c r="C88" s="133" t="s">
        <v>503</v>
      </c>
      <c r="D88" s="133" t="s">
        <v>470</v>
      </c>
      <c r="E88" s="133" t="s">
        <v>93</v>
      </c>
      <c r="F88" s="133" t="s">
        <v>483</v>
      </c>
      <c r="G88" s="133" t="s">
        <v>504</v>
      </c>
      <c r="H88" s="136">
        <v>68.94</v>
      </c>
      <c r="I88" s="133">
        <v>1</v>
      </c>
      <c r="J88" s="133" t="s">
        <v>296</v>
      </c>
      <c r="K88" s="4">
        <f>H88-N88</f>
        <v>6.6899999999999977</v>
      </c>
      <c r="L88" s="7">
        <f>K88/H88</f>
        <v>9.704090513489988E-2</v>
      </c>
      <c r="M88" s="7" t="str">
        <f>IF(L88&lt;0,"Negative",IF(L88=0,"Same",IF(L88&gt;0.3,"30+%",IF(L88&gt;0.2,"20-30%",IF(L88&gt;0.1,"10-20%",IF(L88&lt;=0.1,"0-10%"))))))</f>
        <v>0-10%</v>
      </c>
      <c r="N88" s="4">
        <f>O88*J88</f>
        <v>62.25</v>
      </c>
      <c r="O88" s="4">
        <v>20.75</v>
      </c>
      <c r="P88" s="4">
        <f>Q88*J88</f>
        <v>98.399999999999991</v>
      </c>
      <c r="Q88" s="136">
        <v>32.799999999999997</v>
      </c>
      <c r="R88" s="4">
        <f>P88-N88</f>
        <v>36.149999999999991</v>
      </c>
      <c r="S88" s="7">
        <f>R88/P88</f>
        <v>0.36737804878048774</v>
      </c>
      <c r="T88" s="7" t="str">
        <f>IF(S88&lt;0,"Negative",IF(S88=0,"Same",IF(S88&gt;0.3,"30+%",IF(S88&gt;0.2,"20-30%",IF(S88&gt;0.1,"10-20%",IF(S88&lt;=0.1,"0-10%"))))))</f>
        <v>30+%</v>
      </c>
      <c r="U88" t="s">
        <v>250</v>
      </c>
      <c r="V88" t="s">
        <v>215</v>
      </c>
      <c r="W88" t="s">
        <v>180</v>
      </c>
      <c r="X88" s="135"/>
    </row>
    <row r="89" spans="1:24" s="133" customFormat="1" x14ac:dyDescent="0.3">
      <c r="A89" s="133" t="s">
        <v>171</v>
      </c>
      <c r="B89" s="134" t="s">
        <v>651</v>
      </c>
      <c r="C89" s="133" t="s">
        <v>652</v>
      </c>
      <c r="D89" s="133" t="s">
        <v>273</v>
      </c>
      <c r="E89" s="133" t="s">
        <v>120</v>
      </c>
      <c r="F89" s="133" t="s">
        <v>653</v>
      </c>
      <c r="G89" s="133" t="s">
        <v>654</v>
      </c>
      <c r="H89" s="136">
        <v>69.84</v>
      </c>
      <c r="I89" s="133">
        <v>1</v>
      </c>
      <c r="J89" s="133" t="s">
        <v>177</v>
      </c>
      <c r="K89" s="4">
        <f>H89-N89</f>
        <v>-24.14</v>
      </c>
      <c r="L89" s="7">
        <f>K89/H89</f>
        <v>-0.34564719358533791</v>
      </c>
      <c r="M89" s="7" t="str">
        <f>IF(L89&lt;0,"Negative",IF(L89=0,"Same",IF(L89&gt;0.3,"30+%",IF(L89&gt;0.2,"20-30%",IF(L89&gt;0.1,"10-20%",IF(L89&lt;=0.1,"0-10%"))))))</f>
        <v>Negative</v>
      </c>
      <c r="N89" s="4">
        <f>O89*J89</f>
        <v>93.98</v>
      </c>
      <c r="O89" s="4">
        <v>46.99</v>
      </c>
      <c r="P89" s="4">
        <f>Q89*J89</f>
        <v>108.88</v>
      </c>
      <c r="Q89" s="136">
        <v>54.44</v>
      </c>
      <c r="R89" s="4">
        <f>P89-N89</f>
        <v>14.899999999999991</v>
      </c>
      <c r="S89" s="7">
        <f>R89/P89</f>
        <v>0.13684790595150617</v>
      </c>
      <c r="T89" s="7" t="str">
        <f>IF(S89&lt;0,"Negative",IF(S89=0,"Same",IF(S89&gt;0.3,"30+%",IF(S89&gt;0.2,"20-30%",IF(S89&gt;0.1,"10-20%",IF(S89&lt;=0.1,"0-10%"))))))</f>
        <v>10-20%</v>
      </c>
      <c r="U89" t="s">
        <v>215</v>
      </c>
      <c r="V89" t="s">
        <v>215</v>
      </c>
      <c r="W89" t="s">
        <v>180</v>
      </c>
      <c r="X89" s="135" t="s">
        <v>945</v>
      </c>
    </row>
    <row r="90" spans="1:24" s="133" customFormat="1" x14ac:dyDescent="0.3">
      <c r="A90" s="133" t="s">
        <v>206</v>
      </c>
      <c r="B90" s="134" t="s">
        <v>849</v>
      </c>
      <c r="C90" s="133" t="s">
        <v>850</v>
      </c>
      <c r="D90" s="133" t="s">
        <v>352</v>
      </c>
      <c r="E90" s="133" t="s">
        <v>102</v>
      </c>
      <c r="F90" s="133" t="s">
        <v>353</v>
      </c>
      <c r="G90" s="133" t="s">
        <v>354</v>
      </c>
      <c r="H90" s="136">
        <v>70.08</v>
      </c>
      <c r="I90" s="133">
        <v>1</v>
      </c>
      <c r="J90" s="133" t="s">
        <v>355</v>
      </c>
      <c r="K90" s="4">
        <f>H90-N90</f>
        <v>7.0799999999999983</v>
      </c>
      <c r="L90" s="7">
        <f>K90/H90</f>
        <v>0.10102739726027395</v>
      </c>
      <c r="M90" s="7" t="str">
        <f>IF(L90&lt;0,"Negative",IF(L90=0,"Same",IF(L90&gt;0.3,"30+%",IF(L90&gt;0.2,"20-30%",IF(L90&gt;0.1,"10-20%",IF(L90&lt;=0.1,"0-10%"))))))</f>
        <v>10-20%</v>
      </c>
      <c r="N90" s="4">
        <f>O90*J90</f>
        <v>63</v>
      </c>
      <c r="O90" s="4">
        <v>5.25</v>
      </c>
      <c r="P90" s="4">
        <f>Q90*J90</f>
        <v>74.760000000000005</v>
      </c>
      <c r="Q90" s="136">
        <v>6.23</v>
      </c>
      <c r="R90" s="4">
        <f>P90-N90</f>
        <v>11.760000000000005</v>
      </c>
      <c r="S90" s="7">
        <f>R90/P90</f>
        <v>0.15730337078651691</v>
      </c>
      <c r="T90" s="7" t="str">
        <f>IF(S90&lt;0,"Negative",IF(S90=0,"Same",IF(S90&gt;0.3,"30+%",IF(S90&gt;0.2,"20-30%",IF(S90&gt;0.1,"10-20%",IF(S90&lt;=0.1,"0-10%"))))))</f>
        <v>10-20%</v>
      </c>
      <c r="U90" t="s">
        <v>215</v>
      </c>
      <c r="V90" t="s">
        <v>215</v>
      </c>
      <c r="W90" t="s">
        <v>180</v>
      </c>
      <c r="X90" s="135"/>
    </row>
    <row r="91" spans="1:24" s="133" customFormat="1" x14ac:dyDescent="0.3">
      <c r="A91" s="133" t="s">
        <v>171</v>
      </c>
      <c r="B91" s="134" t="s">
        <v>428</v>
      </c>
      <c r="C91" s="133" t="s">
        <v>429</v>
      </c>
      <c r="D91" s="133" t="s">
        <v>430</v>
      </c>
      <c r="E91" s="133" t="s">
        <v>115</v>
      </c>
      <c r="F91" s="133" t="s">
        <v>431</v>
      </c>
      <c r="G91" s="133" t="s">
        <v>432</v>
      </c>
      <c r="H91" s="136">
        <v>72.5</v>
      </c>
      <c r="I91" s="133">
        <v>1</v>
      </c>
      <c r="J91" s="133" t="s">
        <v>177</v>
      </c>
      <c r="K91" s="4">
        <f>H91-N91</f>
        <v>1.9000000000000057</v>
      </c>
      <c r="L91" s="7">
        <f>K91/H91</f>
        <v>2.6206896551724215E-2</v>
      </c>
      <c r="M91" s="7" t="str">
        <f>IF(L91&lt;0,"Negative",IF(L91=0,"Same",IF(L91&gt;0.3,"30+%",IF(L91&gt;0.2,"20-30%",IF(L91&gt;0.1,"10-20%",IF(L91&lt;=0.1,"0-10%"))))))</f>
        <v>0-10%</v>
      </c>
      <c r="N91" s="4">
        <f>O91*J91</f>
        <v>70.599999999999994</v>
      </c>
      <c r="O91" s="4">
        <v>35.299999999999997</v>
      </c>
      <c r="P91" s="4">
        <f>Q91*J91</f>
        <v>72.5</v>
      </c>
      <c r="Q91" s="136">
        <v>36.25</v>
      </c>
      <c r="R91" s="4">
        <f>P91-N91</f>
        <v>1.9000000000000057</v>
      </c>
      <c r="S91" s="7">
        <f>R91/P91</f>
        <v>2.6206896551724215E-2</v>
      </c>
      <c r="T91" s="7" t="str">
        <f>IF(S91&lt;0,"Negative",IF(S91=0,"Same",IF(S91&gt;0.3,"30+%",IF(S91&gt;0.2,"20-30%",IF(S91&gt;0.1,"10-20%",IF(S91&lt;=0.1,"0-10%"))))))</f>
        <v>0-10%</v>
      </c>
      <c r="U91" t="s">
        <v>215</v>
      </c>
      <c r="V91" t="s">
        <v>215</v>
      </c>
      <c r="W91" t="s">
        <v>180</v>
      </c>
      <c r="X91" s="135"/>
    </row>
    <row r="92" spans="1:24" s="133" customFormat="1" x14ac:dyDescent="0.3">
      <c r="A92" s="133" t="s">
        <v>206</v>
      </c>
      <c r="B92" s="134" t="s">
        <v>556</v>
      </c>
      <c r="C92" s="133" t="s">
        <v>557</v>
      </c>
      <c r="D92" s="133" t="s">
        <v>558</v>
      </c>
      <c r="E92" s="133" t="s">
        <v>95</v>
      </c>
      <c r="F92" s="133" t="s">
        <v>559</v>
      </c>
      <c r="G92" s="133" t="s">
        <v>560</v>
      </c>
      <c r="H92" s="136">
        <v>74.459999999999994</v>
      </c>
      <c r="I92" s="133">
        <v>1</v>
      </c>
      <c r="J92" s="133" t="s">
        <v>187</v>
      </c>
      <c r="K92" s="4">
        <f>H92-N92</f>
        <v>-5.960000000000008</v>
      </c>
      <c r="L92" s="7">
        <f>K92/H92</f>
        <v>-8.0042976094547524E-2</v>
      </c>
      <c r="M92" s="7" t="str">
        <f>IF(L92&lt;0,"Negative",IF(L92=0,"Same",IF(L92&gt;0.3,"30+%",IF(L92&gt;0.2,"20-30%",IF(L92&gt;0.1,"10-20%",IF(L92&lt;=0.1,"0-10%"))))))</f>
        <v>Negative</v>
      </c>
      <c r="N92" s="4">
        <f>O92*J92</f>
        <v>80.42</v>
      </c>
      <c r="O92" s="4">
        <v>80.42</v>
      </c>
      <c r="P92" s="4">
        <f>Q92*J92</f>
        <v>89.88</v>
      </c>
      <c r="Q92" s="136">
        <v>89.88</v>
      </c>
      <c r="R92" s="4">
        <f>P92-N92</f>
        <v>9.4599999999999937</v>
      </c>
      <c r="S92" s="7">
        <f>R92/P92</f>
        <v>0.10525144637294163</v>
      </c>
      <c r="T92" s="7" t="str">
        <f>IF(S92&lt;0,"Negative",IF(S92=0,"Same",IF(S92&gt;0.3,"30+%",IF(S92&gt;0.2,"20-30%",IF(S92&gt;0.1,"10-20%",IF(S92&lt;=0.1,"0-10%"))))))</f>
        <v>10-20%</v>
      </c>
      <c r="U92" t="s">
        <v>215</v>
      </c>
      <c r="V92" t="s">
        <v>215</v>
      </c>
      <c r="W92" t="s">
        <v>180</v>
      </c>
      <c r="X92" s="135"/>
    </row>
    <row r="93" spans="1:24" s="133" customFormat="1" x14ac:dyDescent="0.3">
      <c r="A93" s="133" t="s">
        <v>206</v>
      </c>
      <c r="B93" s="134" t="s">
        <v>576</v>
      </c>
      <c r="C93" s="133" t="s">
        <v>577</v>
      </c>
      <c r="D93" s="133" t="s">
        <v>578</v>
      </c>
      <c r="E93" s="133" t="s">
        <v>117</v>
      </c>
      <c r="F93" s="133" t="s">
        <v>579</v>
      </c>
      <c r="G93" s="133" t="s">
        <v>580</v>
      </c>
      <c r="H93" s="136">
        <v>75.900000000000006</v>
      </c>
      <c r="I93" s="133">
        <v>1</v>
      </c>
      <c r="J93" s="133" t="s">
        <v>187</v>
      </c>
      <c r="K93" s="4">
        <f>H93-N93</f>
        <v>-20.519999999999996</v>
      </c>
      <c r="L93" s="7">
        <f>K93/H93</f>
        <v>-0.27035573122529638</v>
      </c>
      <c r="M93" s="7" t="str">
        <f>IF(L93&lt;0,"Negative",IF(L93=0,"Same",IF(L93&gt;0.3,"30+%",IF(L93&gt;0.2,"20-30%",IF(L93&gt;0.1,"10-20%",IF(L93&lt;=0.1,"0-10%"))))))</f>
        <v>Negative</v>
      </c>
      <c r="N93" s="4">
        <f>O93*J93</f>
        <v>96.42</v>
      </c>
      <c r="O93" s="4">
        <v>96.42</v>
      </c>
      <c r="P93" s="4">
        <f>Q93*J93</f>
        <v>99.03</v>
      </c>
      <c r="Q93" s="136">
        <v>99.03</v>
      </c>
      <c r="R93" s="4">
        <f>P93-N93</f>
        <v>2.6099999999999994</v>
      </c>
      <c r="S93" s="7">
        <f>R93/P93</f>
        <v>2.6355649803089968E-2</v>
      </c>
      <c r="T93" s="7" t="str">
        <f>IF(S93&lt;0,"Negative",IF(S93=0,"Same",IF(S93&gt;0.3,"30+%",IF(S93&gt;0.2,"20-30%",IF(S93&gt;0.1,"10-20%",IF(S93&lt;=0.1,"0-10%"))))))</f>
        <v>0-10%</v>
      </c>
      <c r="U93" t="s">
        <v>215</v>
      </c>
      <c r="V93" t="s">
        <v>215</v>
      </c>
      <c r="W93" t="s">
        <v>180</v>
      </c>
      <c r="X93" s="135"/>
    </row>
    <row r="94" spans="1:24" s="133" customFormat="1" x14ac:dyDescent="0.3">
      <c r="A94" s="133" t="s">
        <v>171</v>
      </c>
      <c r="B94" s="134" t="s">
        <v>678</v>
      </c>
      <c r="C94" s="133" t="s">
        <v>679</v>
      </c>
      <c r="D94" s="133" t="s">
        <v>680</v>
      </c>
      <c r="E94" s="133" t="s">
        <v>120</v>
      </c>
      <c r="F94" s="133" t="s">
        <v>681</v>
      </c>
      <c r="G94" s="133" t="s">
        <v>682</v>
      </c>
      <c r="H94" s="136">
        <v>78.59</v>
      </c>
      <c r="I94" s="133">
        <v>1</v>
      </c>
      <c r="J94" s="133" t="s">
        <v>187</v>
      </c>
      <c r="K94" s="4">
        <f>H94-N94</f>
        <v>-4.8699999999999903</v>
      </c>
      <c r="L94" s="7">
        <f>K94/H94</f>
        <v>-6.1967171395851763E-2</v>
      </c>
      <c r="M94" s="7" t="str">
        <f>IF(L94&lt;0,"Negative",IF(L94=0,"Same",IF(L94&gt;0.3,"30+%",IF(L94&gt;0.2,"20-30%",IF(L94&gt;0.1,"10-20%",IF(L94&lt;=0.1,"0-10%"))))))</f>
        <v>Negative</v>
      </c>
      <c r="N94" s="4">
        <f>O94*J94</f>
        <v>83.46</v>
      </c>
      <c r="O94" s="4">
        <v>83.46</v>
      </c>
      <c r="P94" s="4">
        <f>Q94*J94</f>
        <v>96.69</v>
      </c>
      <c r="Q94" s="136">
        <v>96.69</v>
      </c>
      <c r="R94" s="4">
        <f>P94-N94</f>
        <v>13.230000000000004</v>
      </c>
      <c r="S94" s="7">
        <f>R94/P94</f>
        <v>0.13682904126590137</v>
      </c>
      <c r="T94" s="7" t="str">
        <f>IF(S94&lt;0,"Negative",IF(S94=0,"Same",IF(S94&gt;0.3,"30+%",IF(S94&gt;0.2,"20-30%",IF(S94&gt;0.1,"10-20%",IF(S94&lt;=0.1,"0-10%"))))))</f>
        <v>10-20%</v>
      </c>
      <c r="U94" t="s">
        <v>215</v>
      </c>
      <c r="V94" t="s">
        <v>215</v>
      </c>
      <c r="W94" t="s">
        <v>180</v>
      </c>
      <c r="X94" s="135"/>
    </row>
    <row r="95" spans="1:24" s="133" customFormat="1" x14ac:dyDescent="0.3">
      <c r="A95" s="133" t="s">
        <v>171</v>
      </c>
      <c r="B95" s="134" t="s">
        <v>552</v>
      </c>
      <c r="C95" s="133" t="s">
        <v>553</v>
      </c>
      <c r="D95" s="133" t="s">
        <v>314</v>
      </c>
      <c r="E95" s="133" t="s">
        <v>107</v>
      </c>
      <c r="F95" s="133" t="s">
        <v>315</v>
      </c>
      <c r="G95" s="133" t="s">
        <v>316</v>
      </c>
      <c r="H95" s="136">
        <v>78.63</v>
      </c>
      <c r="I95" s="133">
        <v>1</v>
      </c>
      <c r="J95" s="133" t="s">
        <v>296</v>
      </c>
      <c r="K95" s="4">
        <f>H95-N95</f>
        <v>-13.740000000000009</v>
      </c>
      <c r="L95" s="7">
        <f>K95/H95</f>
        <v>-0.17474246470812679</v>
      </c>
      <c r="M95" s="7" t="str">
        <f>IF(L95&lt;0,"Negative",IF(L95=0,"Same",IF(L95&gt;0.3,"30+%",IF(L95&gt;0.2,"20-30%",IF(L95&gt;0.1,"10-20%",IF(L95&lt;=0.1,"0-10%"))))))</f>
        <v>Negative</v>
      </c>
      <c r="N95" s="4">
        <f>O95*J95</f>
        <v>92.37</v>
      </c>
      <c r="O95" s="4">
        <v>30.79</v>
      </c>
      <c r="P95" s="4">
        <f>Q95*J95</f>
        <v>100.85999999999999</v>
      </c>
      <c r="Q95" s="136">
        <v>33.619999999999997</v>
      </c>
      <c r="R95" s="4">
        <f>P95-N95</f>
        <v>8.4899999999999807</v>
      </c>
      <c r="S95" s="7">
        <f>R95/P95</f>
        <v>8.4176085663295472E-2</v>
      </c>
      <c r="T95" s="7" t="str">
        <f>IF(S95&lt;0,"Negative",IF(S95=0,"Same",IF(S95&gt;0.3,"30+%",IF(S95&gt;0.2,"20-30%",IF(S95&gt;0.1,"10-20%",IF(S95&lt;=0.1,"0-10%"))))))</f>
        <v>0-10%</v>
      </c>
      <c r="U95" t="s">
        <v>215</v>
      </c>
      <c r="V95" t="s">
        <v>215</v>
      </c>
      <c r="W95" t="s">
        <v>180</v>
      </c>
      <c r="X95" s="135"/>
    </row>
    <row r="96" spans="1:24" s="133" customFormat="1" x14ac:dyDescent="0.3">
      <c r="A96" s="133" t="s">
        <v>206</v>
      </c>
      <c r="B96" s="134" t="s">
        <v>909</v>
      </c>
      <c r="C96" s="133" t="s">
        <v>910</v>
      </c>
      <c r="D96" s="133" t="s">
        <v>352</v>
      </c>
      <c r="E96" s="133" t="s">
        <v>102</v>
      </c>
      <c r="F96" s="133" t="s">
        <v>353</v>
      </c>
      <c r="G96" s="133" t="s">
        <v>354</v>
      </c>
      <c r="H96" s="136">
        <v>78.72</v>
      </c>
      <c r="I96" s="133">
        <v>1</v>
      </c>
      <c r="J96" s="133" t="s">
        <v>355</v>
      </c>
      <c r="K96" s="4">
        <f>H96-N96</f>
        <v>45.48</v>
      </c>
      <c r="L96" s="7">
        <f>K96/H96</f>
        <v>0.5777439024390244</v>
      </c>
      <c r="M96" s="7" t="str">
        <f>IF(L96&lt;0,"Negative",IF(L96=0,"Same",IF(L96&gt;0.3,"30+%",IF(L96&gt;0.2,"20-30%",IF(L96&gt;0.1,"10-20%",IF(L96&lt;=0.1,"0-10%"))))))</f>
        <v>30+%</v>
      </c>
      <c r="N96" s="4">
        <f>O96*J96</f>
        <v>33.24</v>
      </c>
      <c r="O96" s="4">
        <v>2.77</v>
      </c>
      <c r="P96" s="4">
        <f>Q96*J96</f>
        <v>99.960000000000008</v>
      </c>
      <c r="Q96" s="136">
        <v>8.33</v>
      </c>
      <c r="R96" s="4">
        <f>P96-N96</f>
        <v>66.72</v>
      </c>
      <c r="S96" s="7">
        <f>R96/P96</f>
        <v>0.66746698679471783</v>
      </c>
      <c r="T96" s="7" t="str">
        <f>IF(S96&lt;0,"Negative",IF(S96=0,"Same",IF(S96&gt;0.3,"30+%",IF(S96&gt;0.2,"20-30%",IF(S96&gt;0.1,"10-20%",IF(S96&lt;=0.1,"0-10%"))))))</f>
        <v>30+%</v>
      </c>
      <c r="U96" t="s">
        <v>250</v>
      </c>
      <c r="V96" t="s">
        <v>215</v>
      </c>
      <c r="W96" t="s">
        <v>180</v>
      </c>
      <c r="X96" s="135"/>
    </row>
    <row r="97" spans="1:24" s="133" customFormat="1" x14ac:dyDescent="0.3">
      <c r="A97" s="133" t="s">
        <v>171</v>
      </c>
      <c r="B97" s="134" t="s">
        <v>443</v>
      </c>
      <c r="C97" s="133" t="s">
        <v>444</v>
      </c>
      <c r="D97" s="133" t="s">
        <v>445</v>
      </c>
      <c r="E97" s="133" t="s">
        <v>113</v>
      </c>
      <c r="F97" s="133" t="s">
        <v>446</v>
      </c>
      <c r="G97" s="133" t="s">
        <v>447</v>
      </c>
      <c r="H97" s="136">
        <v>80.19</v>
      </c>
      <c r="I97" s="133">
        <v>1</v>
      </c>
      <c r="J97" s="133" t="s">
        <v>296</v>
      </c>
      <c r="K97" s="4">
        <f>H97-N97</f>
        <v>-14.610000000000014</v>
      </c>
      <c r="L97" s="7">
        <f>K97/H97</f>
        <v>-0.18219229330340458</v>
      </c>
      <c r="M97" s="7" t="str">
        <f>IF(L97&lt;0,"Negative",IF(L97=0,"Same",IF(L97&gt;0.3,"30+%",IF(L97&gt;0.2,"20-30%",IF(L97&gt;0.1,"10-20%",IF(L97&lt;=0.1,"0-10%"))))))</f>
        <v>Negative</v>
      </c>
      <c r="N97" s="4">
        <f>O97*J97</f>
        <v>94.800000000000011</v>
      </c>
      <c r="O97" s="4">
        <v>31.6</v>
      </c>
      <c r="P97" s="4">
        <f>Q97*J97</f>
        <v>105.96000000000001</v>
      </c>
      <c r="Q97" s="136">
        <v>35.32</v>
      </c>
      <c r="R97" s="4">
        <f>P97-N97</f>
        <v>11.159999999999997</v>
      </c>
      <c r="S97" s="7">
        <f>R97/P97</f>
        <v>0.10532276330690822</v>
      </c>
      <c r="T97" s="7" t="str">
        <f>IF(S97&lt;0,"Negative",IF(S97=0,"Same",IF(S97&gt;0.3,"30+%",IF(S97&gt;0.2,"20-30%",IF(S97&gt;0.1,"10-20%",IF(S97&lt;=0.1,"0-10%"))))))</f>
        <v>10-20%</v>
      </c>
      <c r="U97" t="s">
        <v>215</v>
      </c>
      <c r="V97" t="s">
        <v>215</v>
      </c>
      <c r="W97" t="s">
        <v>180</v>
      </c>
      <c r="X97" s="135"/>
    </row>
    <row r="98" spans="1:24" s="133" customFormat="1" x14ac:dyDescent="0.3">
      <c r="A98" s="133" t="s">
        <v>171</v>
      </c>
      <c r="B98" s="134" t="s">
        <v>291</v>
      </c>
      <c r="C98" s="133" t="s">
        <v>292</v>
      </c>
      <c r="D98" s="133" t="s">
        <v>293</v>
      </c>
      <c r="E98" s="133" t="s">
        <v>120</v>
      </c>
      <c r="F98" s="133" t="s">
        <v>294</v>
      </c>
      <c r="G98" s="133" t="s">
        <v>295</v>
      </c>
      <c r="H98" s="136">
        <v>82.08</v>
      </c>
      <c r="I98" s="133">
        <v>1</v>
      </c>
      <c r="J98" s="133" t="s">
        <v>296</v>
      </c>
      <c r="K98" s="4">
        <f>H98-N98</f>
        <v>4.230000000000004</v>
      </c>
      <c r="L98" s="7">
        <f>K98/H98</f>
        <v>5.1535087719298295E-2</v>
      </c>
      <c r="M98" s="7" t="str">
        <f>IF(L98&lt;0,"Negative",IF(L98=0,"Same",IF(L98&gt;0.3,"30+%",IF(L98&gt;0.2,"20-30%",IF(L98&gt;0.1,"10-20%",IF(L98&lt;=0.1,"0-10%"))))))</f>
        <v>0-10%</v>
      </c>
      <c r="N98" s="4">
        <f>O98*J98</f>
        <v>77.849999999999994</v>
      </c>
      <c r="O98" s="4">
        <v>25.95</v>
      </c>
      <c r="P98" s="4">
        <f>Q98*J98</f>
        <v>90.210000000000008</v>
      </c>
      <c r="Q98" s="136">
        <v>30.07</v>
      </c>
      <c r="R98" s="4">
        <f>P98-N98</f>
        <v>12.360000000000014</v>
      </c>
      <c r="S98" s="7">
        <f>R98/P98</f>
        <v>0.13701363485201212</v>
      </c>
      <c r="T98" s="7" t="str">
        <f>IF(S98&lt;0,"Negative",IF(S98=0,"Same",IF(S98&gt;0.3,"30+%",IF(S98&gt;0.2,"20-30%",IF(S98&gt;0.1,"10-20%",IF(S98&lt;=0.1,"0-10%"))))))</f>
        <v>10-20%</v>
      </c>
      <c r="U98" t="s">
        <v>215</v>
      </c>
      <c r="V98" t="s">
        <v>215</v>
      </c>
      <c r="W98" t="s">
        <v>180</v>
      </c>
      <c r="X98" s="135"/>
    </row>
    <row r="99" spans="1:24" s="133" customFormat="1" x14ac:dyDescent="0.3">
      <c r="A99" s="133" t="s">
        <v>171</v>
      </c>
      <c r="B99" s="134" t="s">
        <v>368</v>
      </c>
      <c r="C99" s="133" t="s">
        <v>369</v>
      </c>
      <c r="D99" s="133" t="s">
        <v>370</v>
      </c>
      <c r="E99" s="133" t="s">
        <v>93</v>
      </c>
      <c r="F99" s="133" t="s">
        <v>371</v>
      </c>
      <c r="G99" s="133" t="s">
        <v>372</v>
      </c>
      <c r="H99" s="136">
        <v>83</v>
      </c>
      <c r="I99" s="133">
        <v>1</v>
      </c>
      <c r="J99" s="133" t="s">
        <v>322</v>
      </c>
      <c r="K99" s="4">
        <f>H99-N99</f>
        <v>33</v>
      </c>
      <c r="L99" s="7">
        <f>K99/H99</f>
        <v>0.39759036144578314</v>
      </c>
      <c r="M99" s="7" t="str">
        <f>IF(L99&lt;0,"Negative",IF(L99=0,"Same",IF(L99&gt;0.3,"30+%",IF(L99&gt;0.2,"20-30%",IF(L99&gt;0.1,"10-20%",IF(L99&lt;=0.1,"0-10%"))))))</f>
        <v>30+%</v>
      </c>
      <c r="N99" s="4">
        <f>O99*J99</f>
        <v>50</v>
      </c>
      <c r="O99" s="4">
        <v>5</v>
      </c>
      <c r="P99" s="4">
        <f>Q99*J99</f>
        <v>112.5</v>
      </c>
      <c r="Q99" s="136">
        <v>11.25</v>
      </c>
      <c r="R99" s="4">
        <f>P99-N99</f>
        <v>62.5</v>
      </c>
      <c r="S99" s="7">
        <f>R99/P99</f>
        <v>0.55555555555555558</v>
      </c>
      <c r="T99" s="7" t="str">
        <f>IF(S99&lt;0,"Negative",IF(S99=0,"Same",IF(S99&gt;0.3,"30+%",IF(S99&gt;0.2,"20-30%",IF(S99&gt;0.1,"10-20%",IF(S99&lt;=0.1,"0-10%"))))))</f>
        <v>30+%</v>
      </c>
      <c r="U99" t="s">
        <v>250</v>
      </c>
      <c r="V99" t="s">
        <v>215</v>
      </c>
      <c r="W99" t="s">
        <v>180</v>
      </c>
      <c r="X99" s="135"/>
    </row>
    <row r="100" spans="1:24" s="133" customFormat="1" x14ac:dyDescent="0.3">
      <c r="A100" s="133" t="s">
        <v>171</v>
      </c>
      <c r="B100" s="134" t="s">
        <v>464</v>
      </c>
      <c r="C100" s="133" t="s">
        <v>465</v>
      </c>
      <c r="D100" s="133" t="s">
        <v>466</v>
      </c>
      <c r="E100" s="133" t="s">
        <v>93</v>
      </c>
      <c r="F100" s="133" t="s">
        <v>371</v>
      </c>
      <c r="G100" s="133" t="s">
        <v>467</v>
      </c>
      <c r="H100" s="136">
        <v>84.53</v>
      </c>
      <c r="I100" s="133">
        <v>2</v>
      </c>
      <c r="J100" s="133" t="s">
        <v>281</v>
      </c>
      <c r="K100" s="4">
        <f>H100-N100</f>
        <v>-18.069999999999993</v>
      </c>
      <c r="L100" s="7">
        <f>K100/H100</f>
        <v>-0.21377025907961661</v>
      </c>
      <c r="M100" s="7" t="str">
        <f>IF(L100&lt;0,"Negative",IF(L100=0,"Same",IF(L100&gt;0.3,"30+%",IF(L100&gt;0.2,"20-30%",IF(L100&gt;0.1,"10-20%",IF(L100&lt;=0.1,"0-10%"))))))</f>
        <v>Negative</v>
      </c>
      <c r="N100" s="4">
        <f>O100*J100</f>
        <v>102.6</v>
      </c>
      <c r="O100" s="4">
        <v>20.52</v>
      </c>
      <c r="P100" s="4">
        <f>Q100*J100</f>
        <v>110.75</v>
      </c>
      <c r="Q100" s="136">
        <v>22.15</v>
      </c>
      <c r="R100" s="4">
        <f>P100-N100</f>
        <v>8.1500000000000057</v>
      </c>
      <c r="S100" s="7">
        <f>R100/P100</f>
        <v>7.3589164785553093E-2</v>
      </c>
      <c r="T100" s="7" t="str">
        <f>IF(S100&lt;0,"Negative",IF(S100=0,"Same",IF(S100&gt;0.3,"30+%",IF(S100&gt;0.2,"20-30%",IF(S100&gt;0.1,"10-20%",IF(S100&lt;=0.1,"0-10%"))))))</f>
        <v>0-10%</v>
      </c>
      <c r="U100" t="s">
        <v>215</v>
      </c>
      <c r="V100" t="s">
        <v>215</v>
      </c>
      <c r="W100" t="s">
        <v>180</v>
      </c>
      <c r="X100" s="135"/>
    </row>
    <row r="101" spans="1:24" s="133" customFormat="1" x14ac:dyDescent="0.3">
      <c r="A101" s="133" t="s">
        <v>171</v>
      </c>
      <c r="B101" s="134" t="s">
        <v>485</v>
      </c>
      <c r="C101" s="133" t="s">
        <v>486</v>
      </c>
      <c r="D101" s="133" t="s">
        <v>314</v>
      </c>
      <c r="E101" s="133" t="s">
        <v>98</v>
      </c>
      <c r="F101" s="133" t="s">
        <v>487</v>
      </c>
      <c r="G101" s="133" t="s">
        <v>488</v>
      </c>
      <c r="H101" s="136">
        <v>87.69</v>
      </c>
      <c r="I101" s="133">
        <v>1</v>
      </c>
      <c r="J101" s="133" t="s">
        <v>296</v>
      </c>
      <c r="K101" s="4">
        <f>H101-N101</f>
        <v>-19.688999999999993</v>
      </c>
      <c r="L101" s="7">
        <f>K101/H101</f>
        <v>-0.22452959288402319</v>
      </c>
      <c r="M101" s="7" t="str">
        <f>IF(L101&lt;0,"Negative",IF(L101=0,"Same",IF(L101&gt;0.3,"30+%",IF(L101&gt;0.2,"20-30%",IF(L101&gt;0.1,"10-20%",IF(L101&lt;=0.1,"0-10%"))))))</f>
        <v>Negative</v>
      </c>
      <c r="N101" s="4">
        <f>O101*J101</f>
        <v>107.37899999999999</v>
      </c>
      <c r="O101" s="4">
        <v>35.792999999999999</v>
      </c>
      <c r="P101" s="4">
        <f>Q101*J101</f>
        <v>113.34</v>
      </c>
      <c r="Q101" s="136">
        <v>37.78</v>
      </c>
      <c r="R101" s="4">
        <f>P101-N101</f>
        <v>5.9610000000000127</v>
      </c>
      <c r="S101" s="7">
        <f>R101/P101</f>
        <v>5.2593965060878885E-2</v>
      </c>
      <c r="T101" s="7" t="str">
        <f>IF(S101&lt;0,"Negative",IF(S101=0,"Same",IF(S101&gt;0.3,"30+%",IF(S101&gt;0.2,"20-30%",IF(S101&gt;0.1,"10-20%",IF(S101&lt;=0.1,"0-10%"))))))</f>
        <v>0-10%</v>
      </c>
      <c r="U101" t="s">
        <v>215</v>
      </c>
      <c r="V101" t="s">
        <v>215</v>
      </c>
      <c r="W101" t="s">
        <v>180</v>
      </c>
      <c r="X101" s="135"/>
    </row>
    <row r="102" spans="1:24" s="133" customFormat="1" x14ac:dyDescent="0.3">
      <c r="A102" s="133" t="s">
        <v>171</v>
      </c>
      <c r="B102" s="134" t="s">
        <v>405</v>
      </c>
      <c r="C102" s="133" t="s">
        <v>406</v>
      </c>
      <c r="D102" s="133" t="s">
        <v>314</v>
      </c>
      <c r="E102" s="133" t="s">
        <v>100</v>
      </c>
      <c r="F102" s="133" t="s">
        <v>407</v>
      </c>
      <c r="G102" s="133" t="s">
        <v>408</v>
      </c>
      <c r="H102" s="136">
        <v>88.08</v>
      </c>
      <c r="I102" s="133">
        <v>1</v>
      </c>
      <c r="J102" s="133" t="s">
        <v>187</v>
      </c>
      <c r="K102" s="4">
        <f>H102-N102</f>
        <v>3.9500000000000028</v>
      </c>
      <c r="L102" s="7">
        <f>K102/H102</f>
        <v>4.4845594913714835E-2</v>
      </c>
      <c r="M102" s="7" t="str">
        <f>IF(L102&lt;0,"Negative",IF(L102=0,"Same",IF(L102&gt;0.3,"30+%",IF(L102&gt;0.2,"20-30%",IF(L102&gt;0.1,"10-20%",IF(L102&lt;=0.1,"0-10%"))))))</f>
        <v>0-10%</v>
      </c>
      <c r="N102" s="4">
        <f>O102*J102</f>
        <v>84.13</v>
      </c>
      <c r="O102" s="4">
        <v>84.13</v>
      </c>
      <c r="P102" s="4">
        <f>Q102*J102</f>
        <v>97.47</v>
      </c>
      <c r="Q102" s="136">
        <v>97.47</v>
      </c>
      <c r="R102" s="4">
        <f>P102-N102</f>
        <v>13.340000000000003</v>
      </c>
      <c r="S102" s="7">
        <f>R102/P102</f>
        <v>0.13686262439725047</v>
      </c>
      <c r="T102" s="7" t="str">
        <f>IF(S102&lt;0,"Negative",IF(S102=0,"Same",IF(S102&gt;0.3,"30+%",IF(S102&gt;0.2,"20-30%",IF(S102&gt;0.1,"10-20%",IF(S102&lt;=0.1,"0-10%"))))))</f>
        <v>10-20%</v>
      </c>
      <c r="U102" t="s">
        <v>215</v>
      </c>
      <c r="V102" t="s">
        <v>215</v>
      </c>
      <c r="W102" t="s">
        <v>180</v>
      </c>
      <c r="X102" s="135"/>
    </row>
    <row r="103" spans="1:24" s="133" customFormat="1" x14ac:dyDescent="0.3">
      <c r="A103" s="133" t="s">
        <v>171</v>
      </c>
      <c r="B103" s="134" t="s">
        <v>748</v>
      </c>
      <c r="C103" s="133" t="s">
        <v>749</v>
      </c>
      <c r="D103" s="133" t="s">
        <v>325</v>
      </c>
      <c r="E103" s="133" t="s">
        <v>120</v>
      </c>
      <c r="F103" s="133" t="s">
        <v>326</v>
      </c>
      <c r="G103" s="133" t="s">
        <v>327</v>
      </c>
      <c r="H103" s="136">
        <v>88.08</v>
      </c>
      <c r="I103" s="133">
        <v>1</v>
      </c>
      <c r="J103" s="133" t="s">
        <v>750</v>
      </c>
      <c r="K103" s="4">
        <f>H103-N103</f>
        <v>12</v>
      </c>
      <c r="L103" s="7">
        <f>K103/H103</f>
        <v>0.13623978201634879</v>
      </c>
      <c r="M103" s="7" t="str">
        <f>IF(L103&lt;0,"Negative",IF(L103=0,"Same",IF(L103&gt;0.3,"30+%",IF(L103&gt;0.2,"20-30%",IF(L103&gt;0.1,"10-20%",IF(L103&lt;=0.1,"0-10%"))))))</f>
        <v>10-20%</v>
      </c>
      <c r="N103" s="4">
        <f>O103*J103</f>
        <v>76.08</v>
      </c>
      <c r="O103" s="4">
        <v>3.17</v>
      </c>
      <c r="P103" s="4">
        <f>Q103*J103</f>
        <v>88.08</v>
      </c>
      <c r="Q103" s="136">
        <v>3.67</v>
      </c>
      <c r="R103" s="4">
        <f>P103-N103</f>
        <v>12</v>
      </c>
      <c r="S103" s="7">
        <f>R103/P103</f>
        <v>0.13623978201634879</v>
      </c>
      <c r="T103" s="7" t="str">
        <f>IF(S103&lt;0,"Negative",IF(S103=0,"Same",IF(S103&gt;0.3,"30+%",IF(S103&gt;0.2,"20-30%",IF(S103&gt;0.1,"10-20%",IF(S103&lt;=0.1,"0-10%"))))))</f>
        <v>10-20%</v>
      </c>
      <c r="U103" t="s">
        <v>215</v>
      </c>
      <c r="V103" t="s">
        <v>215</v>
      </c>
      <c r="W103" t="s">
        <v>180</v>
      </c>
      <c r="X103" s="135"/>
    </row>
    <row r="104" spans="1:24" s="133" customFormat="1" x14ac:dyDescent="0.3">
      <c r="A104" s="133" t="s">
        <v>206</v>
      </c>
      <c r="B104" s="134" t="s">
        <v>350</v>
      </c>
      <c r="C104" s="133" t="s">
        <v>351</v>
      </c>
      <c r="D104" s="133" t="s">
        <v>352</v>
      </c>
      <c r="E104" s="133" t="s">
        <v>102</v>
      </c>
      <c r="F104" s="133" t="s">
        <v>353</v>
      </c>
      <c r="G104" s="133" t="s">
        <v>354</v>
      </c>
      <c r="H104" s="136">
        <v>89.88</v>
      </c>
      <c r="I104" s="133">
        <v>1</v>
      </c>
      <c r="J104" s="133" t="s">
        <v>355</v>
      </c>
      <c r="K104" s="4">
        <f>H104-N104</f>
        <v>42.719999999999992</v>
      </c>
      <c r="L104" s="7">
        <f>K104/H104</f>
        <v>0.47530040053404532</v>
      </c>
      <c r="M104" s="7" t="str">
        <f>IF(L104&lt;0,"Negative",IF(L104=0,"Same",IF(L104&gt;0.3,"30+%",IF(L104&gt;0.2,"20-30%",IF(L104&gt;0.1,"10-20%",IF(L104&lt;=0.1,"0-10%"))))))</f>
        <v>30+%</v>
      </c>
      <c r="N104" s="4">
        <f>O104*J104</f>
        <v>47.160000000000004</v>
      </c>
      <c r="O104" s="4">
        <v>3.93</v>
      </c>
      <c r="P104" s="4">
        <f>Q104*J104</f>
        <v>107.64000000000001</v>
      </c>
      <c r="Q104" s="136">
        <v>8.9700000000000006</v>
      </c>
      <c r="R104" s="4">
        <f>P104-N104</f>
        <v>60.480000000000011</v>
      </c>
      <c r="S104" s="7">
        <f>R104/P104</f>
        <v>0.56187290969899673</v>
      </c>
      <c r="T104" s="7" t="str">
        <f>IF(S104&lt;0,"Negative",IF(S104=0,"Same",IF(S104&gt;0.3,"30+%",IF(S104&gt;0.2,"20-30%",IF(S104&gt;0.1,"10-20%",IF(S104&lt;=0.1,"0-10%"))))))</f>
        <v>30+%</v>
      </c>
      <c r="U104" t="s">
        <v>250</v>
      </c>
      <c r="V104" t="s">
        <v>215</v>
      </c>
      <c r="W104" t="s">
        <v>180</v>
      </c>
      <c r="X104" s="135"/>
    </row>
    <row r="105" spans="1:24" s="133" customFormat="1" x14ac:dyDescent="0.3">
      <c r="A105" s="133" t="s">
        <v>206</v>
      </c>
      <c r="B105" s="134" t="s">
        <v>409</v>
      </c>
      <c r="C105" s="133" t="s">
        <v>410</v>
      </c>
      <c r="D105" s="133" t="s">
        <v>411</v>
      </c>
      <c r="E105" s="133" t="s">
        <v>113</v>
      </c>
      <c r="F105" s="133" t="s">
        <v>412</v>
      </c>
      <c r="G105" s="133" t="s">
        <v>413</v>
      </c>
      <c r="H105" s="136">
        <v>90.92</v>
      </c>
      <c r="I105" s="133">
        <v>1</v>
      </c>
      <c r="J105" s="133" t="s">
        <v>187</v>
      </c>
      <c r="K105" s="4">
        <f>H105-N105</f>
        <v>-15.25</v>
      </c>
      <c r="L105" s="7">
        <f>K105/H105</f>
        <v>-0.16772987241531015</v>
      </c>
      <c r="M105" s="7" t="str">
        <f>IF(L105&lt;0,"Negative",IF(L105=0,"Same",IF(L105&gt;0.3,"30+%",IF(L105&gt;0.2,"20-30%",IF(L105&gt;0.1,"10-20%",IF(L105&lt;=0.1,"0-10%"))))))</f>
        <v>Negative</v>
      </c>
      <c r="N105" s="4">
        <f>O105*J105</f>
        <v>106.17</v>
      </c>
      <c r="O105" s="4">
        <v>106.17</v>
      </c>
      <c r="P105" s="4">
        <f>Q105*J105</f>
        <v>112.07</v>
      </c>
      <c r="Q105" s="136">
        <v>112.07</v>
      </c>
      <c r="R105" s="4">
        <f>P105-N105</f>
        <v>5.8999999999999915</v>
      </c>
      <c r="S105" s="7">
        <f>R105/P105</f>
        <v>5.2645667886142514E-2</v>
      </c>
      <c r="T105" s="7" t="str">
        <f>IF(S105&lt;0,"Negative",IF(S105=0,"Same",IF(S105&gt;0.3,"30+%",IF(S105&gt;0.2,"20-30%",IF(S105&gt;0.1,"10-20%",IF(S105&lt;=0.1,"0-10%"))))))</f>
        <v>0-10%</v>
      </c>
      <c r="U105" t="s">
        <v>215</v>
      </c>
      <c r="V105" t="s">
        <v>215</v>
      </c>
      <c r="W105" t="s">
        <v>180</v>
      </c>
      <c r="X105" s="135"/>
    </row>
    <row r="106" spans="1:24" s="133" customFormat="1" x14ac:dyDescent="0.3">
      <c r="A106" s="133" t="s">
        <v>206</v>
      </c>
      <c r="B106" s="134" t="s">
        <v>597</v>
      </c>
      <c r="C106" s="133" t="s">
        <v>598</v>
      </c>
      <c r="D106" s="133" t="s">
        <v>435</v>
      </c>
      <c r="E106" s="133" t="s">
        <v>112</v>
      </c>
      <c r="F106" s="133" t="s">
        <v>436</v>
      </c>
      <c r="G106" s="133" t="s">
        <v>437</v>
      </c>
      <c r="H106" s="136">
        <v>93.7</v>
      </c>
      <c r="I106" s="133">
        <v>2</v>
      </c>
      <c r="J106" s="133" t="s">
        <v>296</v>
      </c>
      <c r="K106" s="4">
        <f>H106-N106</f>
        <v>-8.7199999999999989</v>
      </c>
      <c r="L106" s="7">
        <f>K106/H106</f>
        <v>-9.3062966915688355E-2</v>
      </c>
      <c r="M106" s="7" t="str">
        <f>IF(L106&lt;0,"Negative",IF(L106=0,"Same",IF(L106&gt;0.3,"30+%",IF(L106&gt;0.2,"20-30%",IF(L106&gt;0.1,"10-20%",IF(L106&lt;=0.1,"0-10%"))))))</f>
        <v>Negative</v>
      </c>
      <c r="N106" s="4">
        <f>O106*J106</f>
        <v>102.42</v>
      </c>
      <c r="O106" s="4">
        <v>34.14</v>
      </c>
      <c r="P106" s="4">
        <f>Q106*J106</f>
        <v>105.18</v>
      </c>
      <c r="Q106" s="136">
        <v>35.06</v>
      </c>
      <c r="R106" s="4">
        <f>P106-N106</f>
        <v>2.7600000000000051</v>
      </c>
      <c r="S106" s="7">
        <f>R106/P106</f>
        <v>2.6240730176839751E-2</v>
      </c>
      <c r="T106" s="7" t="str">
        <f>IF(S106&lt;0,"Negative",IF(S106=0,"Same",IF(S106&gt;0.3,"30+%",IF(S106&gt;0.2,"20-30%",IF(S106&gt;0.1,"10-20%",IF(S106&lt;=0.1,"0-10%"))))))</f>
        <v>0-10%</v>
      </c>
      <c r="U106" t="s">
        <v>215</v>
      </c>
      <c r="V106" t="s">
        <v>215</v>
      </c>
      <c r="W106" t="s">
        <v>180</v>
      </c>
      <c r="X106" s="135"/>
    </row>
    <row r="107" spans="1:24" s="133" customFormat="1" x14ac:dyDescent="0.3">
      <c r="A107" s="133" t="s">
        <v>171</v>
      </c>
      <c r="B107" s="134" t="s">
        <v>554</v>
      </c>
      <c r="C107" s="133" t="s">
        <v>555</v>
      </c>
      <c r="D107" s="133" t="s">
        <v>304</v>
      </c>
      <c r="E107" s="133" t="s">
        <v>114</v>
      </c>
      <c r="F107" s="133" t="s">
        <v>234</v>
      </c>
      <c r="G107" s="133" t="s">
        <v>235</v>
      </c>
      <c r="H107" s="136">
        <v>94.78</v>
      </c>
      <c r="I107" s="133">
        <v>1</v>
      </c>
      <c r="J107" s="133" t="s">
        <v>187</v>
      </c>
      <c r="K107" s="4">
        <f>H107-N107</f>
        <v>4.1500000000000057</v>
      </c>
      <c r="L107" s="7">
        <f>K107/H107</f>
        <v>4.3785608778223316E-2</v>
      </c>
      <c r="M107" s="7" t="str">
        <f>IF(L107&lt;0,"Negative",IF(L107=0,"Same",IF(L107&gt;0.3,"30+%",IF(L107&gt;0.2,"20-30%",IF(L107&gt;0.1,"10-20%",IF(L107&lt;=0.1,"0-10%"))))))</f>
        <v>0-10%</v>
      </c>
      <c r="N107" s="4">
        <f>O107*J107</f>
        <v>90.63</v>
      </c>
      <c r="O107" s="4">
        <v>90.63</v>
      </c>
      <c r="P107" s="4">
        <f>Q107*J107</f>
        <v>97.84</v>
      </c>
      <c r="Q107" s="136">
        <v>97.84</v>
      </c>
      <c r="R107" s="4">
        <f>P107-N107</f>
        <v>7.210000000000008</v>
      </c>
      <c r="S107" s="7">
        <f>R107/P107</f>
        <v>7.3691741618969825E-2</v>
      </c>
      <c r="T107" s="7" t="str">
        <f>IF(S107&lt;0,"Negative",IF(S107=0,"Same",IF(S107&gt;0.3,"30+%",IF(S107&gt;0.2,"20-30%",IF(S107&gt;0.1,"10-20%",IF(S107&lt;=0.1,"0-10%"))))))</f>
        <v>0-10%</v>
      </c>
      <c r="U107" t="s">
        <v>215</v>
      </c>
      <c r="V107" t="s">
        <v>215</v>
      </c>
      <c r="W107" t="s">
        <v>180</v>
      </c>
      <c r="X107" s="135"/>
    </row>
    <row r="108" spans="1:24" s="133" customFormat="1" x14ac:dyDescent="0.3">
      <c r="A108" s="133" t="s">
        <v>206</v>
      </c>
      <c r="B108" s="134" t="s">
        <v>784</v>
      </c>
      <c r="C108" s="133" t="s">
        <v>785</v>
      </c>
      <c r="D108" s="133" t="s">
        <v>786</v>
      </c>
      <c r="E108" s="133" t="s">
        <v>107</v>
      </c>
      <c r="F108" s="133" t="s">
        <v>787</v>
      </c>
      <c r="G108" s="133" t="s">
        <v>788</v>
      </c>
      <c r="H108" s="136">
        <v>96.85</v>
      </c>
      <c r="I108" s="133">
        <v>1</v>
      </c>
      <c r="J108" s="133" t="s">
        <v>187</v>
      </c>
      <c r="K108" s="4">
        <f>H108-N108</f>
        <v>8.1499999999999915</v>
      </c>
      <c r="L108" s="7">
        <f>K108/H108</f>
        <v>8.4150748580278698E-2</v>
      </c>
      <c r="M108" s="7" t="str">
        <f>IF(L108&lt;0,"Negative",IF(L108=0,"Same",IF(L108&gt;0.3,"30+%",IF(L108&gt;0.2,"20-30%",IF(L108&gt;0.1,"10-20%",IF(L108&lt;=0.1,"0-10%"))))))</f>
        <v>0-10%</v>
      </c>
      <c r="N108" s="4">
        <f>O108*J108</f>
        <v>88.7</v>
      </c>
      <c r="O108" s="4">
        <v>88.7</v>
      </c>
      <c r="P108" s="4">
        <f>Q108*J108</f>
        <v>96.85</v>
      </c>
      <c r="Q108" s="136">
        <v>96.85</v>
      </c>
      <c r="R108" s="4">
        <f>P108-N108</f>
        <v>8.1499999999999915</v>
      </c>
      <c r="S108" s="7">
        <f>R108/P108</f>
        <v>8.4150748580278698E-2</v>
      </c>
      <c r="T108" s="7" t="str">
        <f>IF(S108&lt;0,"Negative",IF(S108=0,"Same",IF(S108&gt;0.3,"30+%",IF(S108&gt;0.2,"20-30%",IF(S108&gt;0.1,"10-20%",IF(S108&lt;=0.1,"0-10%"))))))</f>
        <v>0-10%</v>
      </c>
      <c r="U108" t="s">
        <v>215</v>
      </c>
      <c r="V108" t="s">
        <v>215</v>
      </c>
      <c r="W108" t="s">
        <v>180</v>
      </c>
      <c r="X108" s="135"/>
    </row>
    <row r="109" spans="1:24" s="133" customFormat="1" x14ac:dyDescent="0.3">
      <c r="A109" s="133" t="s">
        <v>171</v>
      </c>
      <c r="B109" s="134" t="s">
        <v>877</v>
      </c>
      <c r="C109" s="133" t="s">
        <v>878</v>
      </c>
      <c r="D109" s="133" t="s">
        <v>571</v>
      </c>
      <c r="E109" s="133" t="s">
        <v>92</v>
      </c>
      <c r="F109" s="133" t="s">
        <v>200</v>
      </c>
      <c r="G109" s="133" t="s">
        <v>201</v>
      </c>
      <c r="H109" s="136">
        <v>98.2</v>
      </c>
      <c r="I109" s="133">
        <v>1</v>
      </c>
      <c r="J109" s="133" t="s">
        <v>249</v>
      </c>
      <c r="K109" s="4">
        <f>H109-N109</f>
        <v>-22.840000000000003</v>
      </c>
      <c r="L109" s="7">
        <f>K109/H109</f>
        <v>-0.23258655804480655</v>
      </c>
      <c r="M109" s="7" t="str">
        <f>IF(L109&lt;0,"Negative",IF(L109=0,"Same",IF(L109&gt;0.3,"30+%",IF(L109&gt;0.2,"20-30%",IF(L109&gt;0.1,"10-20%",IF(L109&lt;=0.1,"0-10%"))))))</f>
        <v>Negative</v>
      </c>
      <c r="N109" s="4">
        <f>O109*J109</f>
        <v>121.04</v>
      </c>
      <c r="O109" s="4">
        <v>30.26</v>
      </c>
      <c r="P109" s="4">
        <f>Q109*J109</f>
        <v>135.28</v>
      </c>
      <c r="Q109" s="136">
        <v>33.82</v>
      </c>
      <c r="R109" s="4">
        <f>P109-N109</f>
        <v>14.239999999999995</v>
      </c>
      <c r="S109" s="7">
        <f>R109/P109</f>
        <v>0.10526315789473681</v>
      </c>
      <c r="T109" s="7" t="str">
        <f>IF(S109&lt;0,"Negative",IF(S109=0,"Same",IF(S109&gt;0.3,"30+%",IF(S109&gt;0.2,"20-30%",IF(S109&gt;0.1,"10-20%",IF(S109&lt;=0.1,"0-10%"))))))</f>
        <v>10-20%</v>
      </c>
      <c r="U109" t="s">
        <v>215</v>
      </c>
      <c r="V109" t="s">
        <v>215</v>
      </c>
      <c r="W109" t="s">
        <v>180</v>
      </c>
      <c r="X109" s="135"/>
    </row>
    <row r="110" spans="1:24" s="133" customFormat="1" x14ac:dyDescent="0.3">
      <c r="A110" s="133" t="s">
        <v>171</v>
      </c>
      <c r="B110" s="134" t="s">
        <v>618</v>
      </c>
      <c r="C110" s="133" t="s">
        <v>619</v>
      </c>
      <c r="D110" s="133" t="s">
        <v>278</v>
      </c>
      <c r="E110" s="133" t="s">
        <v>114</v>
      </c>
      <c r="F110" s="133" t="s">
        <v>320</v>
      </c>
      <c r="G110" s="133" t="s">
        <v>460</v>
      </c>
      <c r="H110" s="136">
        <v>98.8</v>
      </c>
      <c r="I110" s="133">
        <v>1</v>
      </c>
      <c r="J110" s="133" t="s">
        <v>281</v>
      </c>
      <c r="K110" s="4">
        <f>H110-N110</f>
        <v>7.2999999999999972</v>
      </c>
      <c r="L110" s="7">
        <f>K110/H110</f>
        <v>7.3886639676113336E-2</v>
      </c>
      <c r="M110" s="7" t="str">
        <f>IF(L110&lt;0,"Negative",IF(L110=0,"Same",IF(L110&gt;0.3,"30+%",IF(L110&gt;0.2,"20-30%",IF(L110&gt;0.1,"10-20%",IF(L110&lt;=0.1,"0-10%"))))))</f>
        <v>0-10%</v>
      </c>
      <c r="N110" s="4">
        <f>O110*J110</f>
        <v>91.5</v>
      </c>
      <c r="O110" s="4">
        <v>18.3</v>
      </c>
      <c r="P110" s="4">
        <f>Q110*J110</f>
        <v>98.800000000000011</v>
      </c>
      <c r="Q110" s="136">
        <v>19.760000000000002</v>
      </c>
      <c r="R110" s="4">
        <f>P110-N110</f>
        <v>7.3000000000000114</v>
      </c>
      <c r="S110" s="7">
        <f>R110/P110</f>
        <v>7.3886639676113461E-2</v>
      </c>
      <c r="T110" s="7" t="str">
        <f>IF(S110&lt;0,"Negative",IF(S110=0,"Same",IF(S110&gt;0.3,"30+%",IF(S110&gt;0.2,"20-30%",IF(S110&gt;0.1,"10-20%",IF(S110&lt;=0.1,"0-10%"))))))</f>
        <v>0-10%</v>
      </c>
      <c r="U110" t="s">
        <v>215</v>
      </c>
      <c r="V110" t="s">
        <v>215</v>
      </c>
      <c r="W110" t="s">
        <v>180</v>
      </c>
      <c r="X110" s="135"/>
    </row>
    <row r="111" spans="1:24" s="133" customFormat="1" x14ac:dyDescent="0.3">
      <c r="A111" s="133" t="s">
        <v>171</v>
      </c>
      <c r="B111" s="134" t="s">
        <v>843</v>
      </c>
      <c r="C111" s="133" t="s">
        <v>844</v>
      </c>
      <c r="D111" s="133" t="s">
        <v>314</v>
      </c>
      <c r="E111" s="133" t="s">
        <v>100</v>
      </c>
      <c r="F111" s="133" t="s">
        <v>521</v>
      </c>
      <c r="G111" s="133" t="s">
        <v>611</v>
      </c>
      <c r="H111" s="136">
        <v>101.35</v>
      </c>
      <c r="I111" s="133">
        <v>1</v>
      </c>
      <c r="J111" s="133" t="s">
        <v>281</v>
      </c>
      <c r="K111" s="4">
        <f>H111-N111</f>
        <v>-3.3500000000000085</v>
      </c>
      <c r="L111" s="7">
        <f>K111/H111</f>
        <v>-3.3053774050320756E-2</v>
      </c>
      <c r="M111" s="7" t="str">
        <f>IF(L111&lt;0,"Negative",IF(L111=0,"Same",IF(L111&gt;0.3,"30+%",IF(L111&gt;0.2,"20-30%",IF(L111&gt;0.1,"10-20%",IF(L111&lt;=0.1,"0-10%"))))))</f>
        <v>Negative</v>
      </c>
      <c r="N111" s="4">
        <f>O111*J111</f>
        <v>104.7</v>
      </c>
      <c r="O111" s="4">
        <v>20.94</v>
      </c>
      <c r="P111" s="4">
        <f>Q111*J111</f>
        <v>121.30000000000001</v>
      </c>
      <c r="Q111" s="136">
        <v>24.26</v>
      </c>
      <c r="R111" s="4">
        <f>P111-N111</f>
        <v>16.600000000000009</v>
      </c>
      <c r="S111" s="7">
        <f>R111/P111</f>
        <v>0.13685078318219296</v>
      </c>
      <c r="T111" s="7" t="str">
        <f>IF(S111&lt;0,"Negative",IF(S111=0,"Same",IF(S111&gt;0.3,"30+%",IF(S111&gt;0.2,"20-30%",IF(S111&gt;0.1,"10-20%",IF(S111&lt;=0.1,"0-10%"))))))</f>
        <v>10-20%</v>
      </c>
      <c r="U111" t="s">
        <v>215</v>
      </c>
      <c r="V111" t="s">
        <v>215</v>
      </c>
      <c r="W111" t="s">
        <v>180</v>
      </c>
      <c r="X111" s="135"/>
    </row>
    <row r="112" spans="1:24" s="133" customFormat="1" x14ac:dyDescent="0.3">
      <c r="A112" s="133" t="s">
        <v>171</v>
      </c>
      <c r="B112" s="134" t="s">
        <v>414</v>
      </c>
      <c r="C112" s="133" t="s">
        <v>415</v>
      </c>
      <c r="D112" s="133" t="s">
        <v>209</v>
      </c>
      <c r="E112" s="133" t="s">
        <v>110</v>
      </c>
      <c r="F112" s="133" t="s">
        <v>416</v>
      </c>
      <c r="G112" s="133" t="s">
        <v>417</v>
      </c>
      <c r="H112" s="136">
        <v>101.4</v>
      </c>
      <c r="I112" s="133">
        <v>1</v>
      </c>
      <c r="J112" s="133" t="s">
        <v>296</v>
      </c>
      <c r="K112" s="4">
        <f>H112-N112</f>
        <v>-36.629999999999995</v>
      </c>
      <c r="L112" s="7">
        <f>K112/H112</f>
        <v>-0.3612426035502958</v>
      </c>
      <c r="M112" s="7" t="str">
        <f>IF(L112&lt;0,"Negative",IF(L112=0,"Same",IF(L112&gt;0.3,"30+%",IF(L112&gt;0.2,"20-30%",IF(L112&gt;0.1,"10-20%",IF(L112&lt;=0.1,"0-10%"))))))</f>
        <v>Negative</v>
      </c>
      <c r="N112" s="4">
        <f>O112*J112</f>
        <v>138.03</v>
      </c>
      <c r="O112" s="4">
        <v>46.01</v>
      </c>
      <c r="P112" s="4">
        <f>Q112*J112</f>
        <v>141.75</v>
      </c>
      <c r="Q112" s="136">
        <v>47.25</v>
      </c>
      <c r="R112" s="4">
        <f>P112-N112</f>
        <v>3.7199999999999989</v>
      </c>
      <c r="S112" s="7">
        <f>R112/P112</f>
        <v>2.6243386243386235E-2</v>
      </c>
      <c r="T112" s="7" t="str">
        <f>IF(S112&lt;0,"Negative",IF(S112=0,"Same",IF(S112&gt;0.3,"30+%",IF(S112&gt;0.2,"20-30%",IF(S112&gt;0.1,"10-20%",IF(S112&lt;=0.1,"0-10%"))))))</f>
        <v>0-10%</v>
      </c>
      <c r="U112" t="s">
        <v>215</v>
      </c>
      <c r="V112" t="s">
        <v>215</v>
      </c>
      <c r="W112" t="s">
        <v>180</v>
      </c>
      <c r="X112" s="135"/>
    </row>
    <row r="113" spans="1:24" s="133" customFormat="1" x14ac:dyDescent="0.3">
      <c r="A113" s="133" t="s">
        <v>171</v>
      </c>
      <c r="B113" s="134" t="s">
        <v>594</v>
      </c>
      <c r="C113" s="133" t="s">
        <v>595</v>
      </c>
      <c r="D113" s="133" t="s">
        <v>325</v>
      </c>
      <c r="E113" s="133" t="s">
        <v>120</v>
      </c>
      <c r="F113" s="133" t="s">
        <v>326</v>
      </c>
      <c r="G113" s="133" t="s">
        <v>596</v>
      </c>
      <c r="H113" s="136">
        <v>101.7</v>
      </c>
      <c r="I113" s="133">
        <v>2</v>
      </c>
      <c r="J113" s="133" t="s">
        <v>214</v>
      </c>
      <c r="K113" s="4">
        <f>H113-N113</f>
        <v>-12.599999999999994</v>
      </c>
      <c r="L113" s="7">
        <f>K113/H113</f>
        <v>-0.12389380530973446</v>
      </c>
      <c r="M113" s="7" t="str">
        <f>IF(L113&lt;0,"Negative",IF(L113=0,"Same",IF(L113&gt;0.3,"30+%",IF(L113&gt;0.2,"20-30%",IF(L113&gt;0.1,"10-20%",IF(L113&lt;=0.1,"0-10%"))))))</f>
        <v>Negative</v>
      </c>
      <c r="N113" s="4">
        <f>O113*J113</f>
        <v>114.3</v>
      </c>
      <c r="O113" s="4">
        <v>7.62</v>
      </c>
      <c r="P113" s="4">
        <f>Q113*J113</f>
        <v>132.44999999999999</v>
      </c>
      <c r="Q113" s="136">
        <v>8.83</v>
      </c>
      <c r="R113" s="4">
        <f>P113-N113</f>
        <v>18.149999999999991</v>
      </c>
      <c r="S113" s="7">
        <f>R113/P113</f>
        <v>0.13703284258210641</v>
      </c>
      <c r="T113" s="7" t="str">
        <f>IF(S113&lt;0,"Negative",IF(S113=0,"Same",IF(S113&gt;0.3,"30+%",IF(S113&gt;0.2,"20-30%",IF(S113&gt;0.1,"10-20%",IF(S113&lt;=0.1,"0-10%"))))))</f>
        <v>10-20%</v>
      </c>
      <c r="U113" t="s">
        <v>215</v>
      </c>
      <c r="V113" t="s">
        <v>215</v>
      </c>
      <c r="W113" t="s">
        <v>180</v>
      </c>
      <c r="X113" s="135"/>
    </row>
    <row r="114" spans="1:24" s="133" customFormat="1" x14ac:dyDescent="0.3">
      <c r="A114" s="133" t="s">
        <v>171</v>
      </c>
      <c r="B114" s="134" t="s">
        <v>222</v>
      </c>
      <c r="C114" s="133" t="s">
        <v>223</v>
      </c>
      <c r="D114" s="133" t="s">
        <v>224</v>
      </c>
      <c r="E114" s="133" t="s">
        <v>100</v>
      </c>
      <c r="F114" s="133" t="s">
        <v>225</v>
      </c>
      <c r="G114" s="133" t="s">
        <v>226</v>
      </c>
      <c r="H114" s="136">
        <v>106.22</v>
      </c>
      <c r="I114" s="133">
        <v>1</v>
      </c>
      <c r="J114" s="133" t="s">
        <v>177</v>
      </c>
      <c r="K114" s="4">
        <f>H114-N114</f>
        <v>14.519999999999996</v>
      </c>
      <c r="L114" s="7">
        <f>K114/H114</f>
        <v>0.13669742044812649</v>
      </c>
      <c r="M114" s="7" t="str">
        <f>IF(L114&lt;0,"Negative",IF(L114=0,"Same",IF(L114&gt;0.3,"30+%",IF(L114&gt;0.2,"20-30%",IF(L114&gt;0.1,"10-20%",IF(L114&lt;=0.1,"0-10%"))))))</f>
        <v>10-20%</v>
      </c>
      <c r="N114" s="4">
        <f>O114*J114</f>
        <v>91.7</v>
      </c>
      <c r="O114" s="4">
        <v>45.85</v>
      </c>
      <c r="P114" s="4">
        <f>Q114*J114</f>
        <v>106.22</v>
      </c>
      <c r="Q114" s="136">
        <v>53.11</v>
      </c>
      <c r="R114" s="4">
        <f>P114-N114</f>
        <v>14.519999999999996</v>
      </c>
      <c r="S114" s="7">
        <f>R114/P114</f>
        <v>0.13669742044812649</v>
      </c>
      <c r="T114" s="7" t="str">
        <f>IF(S114&lt;0,"Negative",IF(S114=0,"Same",IF(S114&gt;0.3,"30+%",IF(S114&gt;0.2,"20-30%",IF(S114&gt;0.1,"10-20%",IF(S114&lt;=0.1,"0-10%"))))))</f>
        <v>10-20%</v>
      </c>
      <c r="U114" t="s">
        <v>215</v>
      </c>
      <c r="V114" t="s">
        <v>215</v>
      </c>
      <c r="W114" t="s">
        <v>180</v>
      </c>
      <c r="X114" s="135"/>
    </row>
    <row r="115" spans="1:24" s="133" customFormat="1" x14ac:dyDescent="0.3">
      <c r="A115" s="133" t="s">
        <v>171</v>
      </c>
      <c r="B115" s="134" t="s">
        <v>875</v>
      </c>
      <c r="C115" s="133" t="s">
        <v>876</v>
      </c>
      <c r="D115" s="133" t="s">
        <v>696</v>
      </c>
      <c r="E115" s="133" t="s">
        <v>93</v>
      </c>
      <c r="F115" s="133" t="s">
        <v>483</v>
      </c>
      <c r="G115" s="133" t="s">
        <v>697</v>
      </c>
      <c r="H115" s="136">
        <v>106.68</v>
      </c>
      <c r="I115" s="133">
        <v>1</v>
      </c>
      <c r="J115" s="133" t="s">
        <v>221</v>
      </c>
      <c r="K115" s="4">
        <f>H115-N115</f>
        <v>-12.780000000000001</v>
      </c>
      <c r="L115" s="7">
        <f>K115/H115</f>
        <v>-0.11979752530933634</v>
      </c>
      <c r="M115" s="7" t="str">
        <f>IF(L115&lt;0,"Negative",IF(L115=0,"Same",IF(L115&gt;0.3,"30+%",IF(L115&gt;0.2,"20-30%",IF(L115&gt;0.1,"10-20%",IF(L115&lt;=0.1,"0-10%"))))))</f>
        <v>Negative</v>
      </c>
      <c r="N115" s="4">
        <f>O115*J115</f>
        <v>119.46000000000001</v>
      </c>
      <c r="O115" s="4">
        <v>19.91</v>
      </c>
      <c r="P115" s="4">
        <f>Q115*J115</f>
        <v>128.94</v>
      </c>
      <c r="Q115" s="136">
        <v>21.49</v>
      </c>
      <c r="R115" s="4">
        <f>P115-N115</f>
        <v>9.4799999999999898</v>
      </c>
      <c r="S115" s="7">
        <f>R115/P115</f>
        <v>7.3522568636575067E-2</v>
      </c>
      <c r="T115" s="7" t="str">
        <f>IF(S115&lt;0,"Negative",IF(S115=0,"Same",IF(S115&gt;0.3,"30+%",IF(S115&gt;0.2,"20-30%",IF(S115&gt;0.1,"10-20%",IF(S115&lt;=0.1,"0-10%"))))))</f>
        <v>0-10%</v>
      </c>
      <c r="U115" t="s">
        <v>215</v>
      </c>
      <c r="V115" t="s">
        <v>215</v>
      </c>
      <c r="W115" t="s">
        <v>180</v>
      </c>
      <c r="X115" s="135"/>
    </row>
    <row r="116" spans="1:24" s="133" customFormat="1" x14ac:dyDescent="0.3">
      <c r="A116" s="133" t="s">
        <v>171</v>
      </c>
      <c r="B116" s="134" t="s">
        <v>282</v>
      </c>
      <c r="C116" s="133" t="s">
        <v>283</v>
      </c>
      <c r="D116" s="133" t="s">
        <v>284</v>
      </c>
      <c r="E116" s="133" t="s">
        <v>95</v>
      </c>
      <c r="F116" s="133" t="s">
        <v>264</v>
      </c>
      <c r="G116" s="133" t="s">
        <v>285</v>
      </c>
      <c r="H116" s="136">
        <v>109.68</v>
      </c>
      <c r="I116" s="133">
        <v>1</v>
      </c>
      <c r="J116" s="133" t="s">
        <v>177</v>
      </c>
      <c r="K116" s="4">
        <f>H116-N116</f>
        <v>-12.059999999999988</v>
      </c>
      <c r="L116" s="7">
        <f>K116/H116</f>
        <v>-0.10995623632385108</v>
      </c>
      <c r="M116" s="7" t="str">
        <f>IF(L116&lt;0,"Negative",IF(L116=0,"Same",IF(L116&gt;0.3,"30+%",IF(L116&gt;0.2,"20-30%",IF(L116&gt;0.1,"10-20%",IF(L116&lt;=0.1,"0-10%"))))))</f>
        <v>Negative</v>
      </c>
      <c r="N116" s="4">
        <f>O116*J116</f>
        <v>121.74</v>
      </c>
      <c r="O116" s="4">
        <v>60.87</v>
      </c>
      <c r="P116" s="4">
        <f>Q116*J116</f>
        <v>136.06</v>
      </c>
      <c r="Q116" s="136">
        <v>68.03</v>
      </c>
      <c r="R116" s="4">
        <f>P116-N116</f>
        <v>14.320000000000007</v>
      </c>
      <c r="S116" s="7">
        <f>R116/P116</f>
        <v>0.1052476848449214</v>
      </c>
      <c r="T116" s="7" t="str">
        <f>IF(S116&lt;0,"Negative",IF(S116=0,"Same",IF(S116&gt;0.3,"30+%",IF(S116&gt;0.2,"20-30%",IF(S116&gt;0.1,"10-20%",IF(S116&lt;=0.1,"0-10%"))))))</f>
        <v>10-20%</v>
      </c>
      <c r="U116" t="s">
        <v>215</v>
      </c>
      <c r="V116" t="s">
        <v>215</v>
      </c>
      <c r="W116" t="s">
        <v>180</v>
      </c>
      <c r="X116" s="135"/>
    </row>
    <row r="117" spans="1:24" s="133" customFormat="1" x14ac:dyDescent="0.3">
      <c r="A117" s="133" t="s">
        <v>171</v>
      </c>
      <c r="B117" s="134" t="s">
        <v>297</v>
      </c>
      <c r="C117" s="133" t="s">
        <v>298</v>
      </c>
      <c r="D117" s="133" t="s">
        <v>299</v>
      </c>
      <c r="E117" s="133" t="s">
        <v>92</v>
      </c>
      <c r="F117" s="133" t="s">
        <v>300</v>
      </c>
      <c r="G117" s="133" t="s">
        <v>301</v>
      </c>
      <c r="H117" s="136">
        <v>114.05</v>
      </c>
      <c r="I117" s="133">
        <v>1</v>
      </c>
      <c r="J117" s="133" t="s">
        <v>281</v>
      </c>
      <c r="K117" s="4">
        <f>H117-N117</f>
        <v>-21.500000000000014</v>
      </c>
      <c r="L117" s="7">
        <f>K117/H117</f>
        <v>-0.18851380973257356</v>
      </c>
      <c r="M117" s="7" t="str">
        <f>IF(L117&lt;0,"Negative",IF(L117=0,"Same",IF(L117&gt;0.3,"30+%",IF(L117&gt;0.2,"20-30%",IF(L117&gt;0.1,"10-20%",IF(L117&lt;=0.1,"0-10%"))))))</f>
        <v>Negative</v>
      </c>
      <c r="N117" s="4">
        <f>O117*J117</f>
        <v>135.55000000000001</v>
      </c>
      <c r="O117" s="4">
        <v>27.11</v>
      </c>
      <c r="P117" s="4">
        <f>Q117*J117</f>
        <v>151.5</v>
      </c>
      <c r="Q117" s="136">
        <v>30.3</v>
      </c>
      <c r="R117" s="4">
        <f>P117-N117</f>
        <v>15.949999999999989</v>
      </c>
      <c r="S117" s="7">
        <f>R117/P117</f>
        <v>0.1052805280528052</v>
      </c>
      <c r="T117" s="7" t="str">
        <f>IF(S117&lt;0,"Negative",IF(S117=0,"Same",IF(S117&gt;0.3,"30+%",IF(S117&gt;0.2,"20-30%",IF(S117&gt;0.1,"10-20%",IF(S117&lt;=0.1,"0-10%"))))))</f>
        <v>10-20%</v>
      </c>
      <c r="U117" t="s">
        <v>215</v>
      </c>
      <c r="V117" t="s">
        <v>215</v>
      </c>
      <c r="W117" t="s">
        <v>180</v>
      </c>
      <c r="X117" s="135"/>
    </row>
    <row r="118" spans="1:24" s="133" customFormat="1" x14ac:dyDescent="0.3">
      <c r="A118" s="133" t="s">
        <v>171</v>
      </c>
      <c r="B118" s="134" t="s">
        <v>271</v>
      </c>
      <c r="C118" s="133" t="s">
        <v>272</v>
      </c>
      <c r="D118" s="133" t="s">
        <v>273</v>
      </c>
      <c r="E118" s="133" t="s">
        <v>120</v>
      </c>
      <c r="F118" s="133" t="s">
        <v>274</v>
      </c>
      <c r="G118" s="133" t="s">
        <v>275</v>
      </c>
      <c r="H118" s="136">
        <v>118.4</v>
      </c>
      <c r="I118" s="133">
        <v>1</v>
      </c>
      <c r="J118" s="133" t="s">
        <v>202</v>
      </c>
      <c r="K118" s="4">
        <f>H118-N118</f>
        <v>19.200000000000003</v>
      </c>
      <c r="L118" s="7">
        <f>K118/H118</f>
        <v>0.16216216216216217</v>
      </c>
      <c r="M118" s="7" t="str">
        <f>IF(L118&lt;0,"Negative",IF(L118=0,"Same",IF(L118&gt;0.3,"30+%",IF(L118&gt;0.2,"20-30%",IF(L118&gt;0.1,"10-20%",IF(L118&lt;=0.1,"0-10%"))))))</f>
        <v>10-20%</v>
      </c>
      <c r="N118" s="4">
        <f>O118*J118</f>
        <v>99.2</v>
      </c>
      <c r="O118" s="4">
        <v>12.4</v>
      </c>
      <c r="P118" s="4">
        <f>Q118*J118</f>
        <v>114.88</v>
      </c>
      <c r="Q118" s="136">
        <v>14.36</v>
      </c>
      <c r="R118" s="4">
        <f>P118-N118</f>
        <v>15.679999999999993</v>
      </c>
      <c r="S118" s="7">
        <f>R118/P118</f>
        <v>0.13649025069637877</v>
      </c>
      <c r="T118" s="7" t="str">
        <f>IF(S118&lt;0,"Negative",IF(S118=0,"Same",IF(S118&gt;0.3,"30+%",IF(S118&gt;0.2,"20-30%",IF(S118&gt;0.1,"10-20%",IF(S118&lt;=0.1,"0-10%"))))))</f>
        <v>10-20%</v>
      </c>
      <c r="U118" t="s">
        <v>215</v>
      </c>
      <c r="V118" t="s">
        <v>215</v>
      </c>
      <c r="W118" t="s">
        <v>180</v>
      </c>
      <c r="X118" s="135"/>
    </row>
    <row r="119" spans="1:24" s="133" customFormat="1" x14ac:dyDescent="0.3">
      <c r="A119" s="133" t="s">
        <v>171</v>
      </c>
      <c r="B119" s="134" t="s">
        <v>505</v>
      </c>
      <c r="C119" s="133" t="s">
        <v>506</v>
      </c>
      <c r="D119" s="133" t="s">
        <v>333</v>
      </c>
      <c r="E119" s="133" t="s">
        <v>114</v>
      </c>
      <c r="F119" s="133" t="s">
        <v>219</v>
      </c>
      <c r="G119" s="133" t="s">
        <v>220</v>
      </c>
      <c r="H119" s="136">
        <v>123.16</v>
      </c>
      <c r="I119" s="133">
        <v>1</v>
      </c>
      <c r="J119" s="133" t="s">
        <v>177</v>
      </c>
      <c r="K119" s="4">
        <f>H119-N119</f>
        <v>9.0799999999999983</v>
      </c>
      <c r="L119" s="7">
        <f>K119/H119</f>
        <v>7.3725235466060399E-2</v>
      </c>
      <c r="M119" s="7" t="str">
        <f>IF(L119&lt;0,"Negative",IF(L119=0,"Same",IF(L119&gt;0.3,"30+%",IF(L119&gt;0.2,"20-30%",IF(L119&gt;0.1,"10-20%",IF(L119&lt;=0.1,"0-10%"))))))</f>
        <v>0-10%</v>
      </c>
      <c r="N119" s="4">
        <f>O119*J119</f>
        <v>114.08</v>
      </c>
      <c r="O119" s="4">
        <v>57.04</v>
      </c>
      <c r="P119" s="4">
        <f>Q119*J119</f>
        <v>123.16</v>
      </c>
      <c r="Q119" s="136">
        <v>61.58</v>
      </c>
      <c r="R119" s="4">
        <f>P119-N119</f>
        <v>9.0799999999999983</v>
      </c>
      <c r="S119" s="7">
        <f>R119/P119</f>
        <v>7.3725235466060399E-2</v>
      </c>
      <c r="T119" s="7" t="str">
        <f>IF(S119&lt;0,"Negative",IF(S119=0,"Same",IF(S119&gt;0.3,"30+%",IF(S119&gt;0.2,"20-30%",IF(S119&gt;0.1,"10-20%",IF(S119&lt;=0.1,"0-10%"))))))</f>
        <v>0-10%</v>
      </c>
      <c r="U119" t="s">
        <v>215</v>
      </c>
      <c r="V119" t="s">
        <v>215</v>
      </c>
      <c r="W119" t="s">
        <v>180</v>
      </c>
      <c r="X119" s="135"/>
    </row>
    <row r="120" spans="1:24" s="133" customFormat="1" x14ac:dyDescent="0.3">
      <c r="A120" s="133" t="s">
        <v>171</v>
      </c>
      <c r="B120" s="134" t="s">
        <v>227</v>
      </c>
      <c r="C120" s="133" t="s">
        <v>228</v>
      </c>
      <c r="D120" s="133" t="s">
        <v>229</v>
      </c>
      <c r="E120" s="133" t="s">
        <v>92</v>
      </c>
      <c r="F120" s="133" t="s">
        <v>200</v>
      </c>
      <c r="G120" s="133" t="s">
        <v>230</v>
      </c>
      <c r="H120" s="136">
        <v>123.24</v>
      </c>
      <c r="I120" s="133">
        <v>1</v>
      </c>
      <c r="J120" s="133" t="s">
        <v>221</v>
      </c>
      <c r="K120" s="4">
        <f>H120-N120</f>
        <v>5.0999999999999801</v>
      </c>
      <c r="L120" s="7">
        <f>K120/H120</f>
        <v>4.1382667964946288E-2</v>
      </c>
      <c r="M120" s="7" t="str">
        <f>IF(L120&lt;0,"Negative",IF(L120=0,"Same",IF(L120&gt;0.3,"30+%",IF(L120&gt;0.2,"20-30%",IF(L120&gt;0.1,"10-20%",IF(L120&lt;=0.1,"0-10%"))))))</f>
        <v>0-10%</v>
      </c>
      <c r="N120" s="4">
        <f>O120*J120</f>
        <v>118.14000000000001</v>
      </c>
      <c r="O120" s="4">
        <v>19.690000000000001</v>
      </c>
      <c r="P120" s="4">
        <f>Q120*J120</f>
        <v>132.06</v>
      </c>
      <c r="Q120" s="136">
        <v>22.01</v>
      </c>
      <c r="R120" s="4">
        <f>P120-N120</f>
        <v>13.919999999999987</v>
      </c>
      <c r="S120" s="7">
        <f>R120/P120</f>
        <v>0.10540663334847787</v>
      </c>
      <c r="T120" s="7" t="str">
        <f>IF(S120&lt;0,"Negative",IF(S120=0,"Same",IF(S120&gt;0.3,"30+%",IF(S120&gt;0.2,"20-30%",IF(S120&gt;0.1,"10-20%",IF(S120&lt;=0.1,"0-10%"))))))</f>
        <v>10-20%</v>
      </c>
      <c r="U120" t="s">
        <v>215</v>
      </c>
      <c r="V120" t="s">
        <v>215</v>
      </c>
      <c r="W120" t="s">
        <v>180</v>
      </c>
      <c r="X120" s="135"/>
    </row>
    <row r="121" spans="1:24" s="133" customFormat="1" x14ac:dyDescent="0.3">
      <c r="A121" s="133" t="s">
        <v>171</v>
      </c>
      <c r="B121" s="134" t="s">
        <v>569</v>
      </c>
      <c r="C121" s="133" t="s">
        <v>570</v>
      </c>
      <c r="D121" s="133" t="s">
        <v>571</v>
      </c>
      <c r="E121" s="133" t="s">
        <v>92</v>
      </c>
      <c r="F121" s="133" t="s">
        <v>200</v>
      </c>
      <c r="G121" s="133" t="s">
        <v>201</v>
      </c>
      <c r="H121" s="136">
        <v>123.92</v>
      </c>
      <c r="I121" s="133">
        <v>2</v>
      </c>
      <c r="J121" s="133" t="s">
        <v>249</v>
      </c>
      <c r="K121" s="4">
        <f>H121-N121</f>
        <v>-5.1600000000000108</v>
      </c>
      <c r="L121" s="7">
        <f>K121/H121</f>
        <v>-4.163976759199492E-2</v>
      </c>
      <c r="M121" s="7" t="str">
        <f>IF(L121&lt;0,"Negative",IF(L121=0,"Same",IF(L121&gt;0.3,"30+%",IF(L121&gt;0.2,"20-30%",IF(L121&gt;0.1,"10-20%",IF(L121&lt;=0.1,"0-10%"))))))</f>
        <v>Negative</v>
      </c>
      <c r="N121" s="4">
        <f>O121*J121</f>
        <v>129.08000000000001</v>
      </c>
      <c r="O121" s="4">
        <v>32.270000000000003</v>
      </c>
      <c r="P121" s="4">
        <f>Q121*J121</f>
        <v>144.24</v>
      </c>
      <c r="Q121" s="136">
        <v>36.06</v>
      </c>
      <c r="R121" s="4">
        <f>P121-N121</f>
        <v>15.159999999999997</v>
      </c>
      <c r="S121" s="7">
        <f>R121/P121</f>
        <v>0.10510260676650025</v>
      </c>
      <c r="T121" s="7" t="str">
        <f>IF(S121&lt;0,"Negative",IF(S121=0,"Same",IF(S121&gt;0.3,"30+%",IF(S121&gt;0.2,"20-30%",IF(S121&gt;0.1,"10-20%",IF(S121&lt;=0.1,"0-10%"))))))</f>
        <v>10-20%</v>
      </c>
      <c r="U121" t="s">
        <v>215</v>
      </c>
      <c r="V121" t="s">
        <v>215</v>
      </c>
      <c r="W121" t="s">
        <v>180</v>
      </c>
      <c r="X121" s="135"/>
    </row>
    <row r="122" spans="1:24" s="133" customFormat="1" x14ac:dyDescent="0.3">
      <c r="A122" s="133" t="s">
        <v>171</v>
      </c>
      <c r="B122" s="134" t="s">
        <v>245</v>
      </c>
      <c r="C122" s="133" t="s">
        <v>246</v>
      </c>
      <c r="D122" s="133" t="s">
        <v>247</v>
      </c>
      <c r="E122" s="133" t="s">
        <v>100</v>
      </c>
      <c r="F122" s="133" t="s">
        <v>225</v>
      </c>
      <c r="G122" s="133" t="s">
        <v>248</v>
      </c>
      <c r="H122" s="136">
        <v>126.12</v>
      </c>
      <c r="I122" s="133">
        <v>1</v>
      </c>
      <c r="J122" s="133" t="s">
        <v>249</v>
      </c>
      <c r="K122" s="4">
        <f>H122-N122</f>
        <v>34.28</v>
      </c>
      <c r="L122" s="7">
        <f>K122/H122</f>
        <v>0.27180463051062481</v>
      </c>
      <c r="M122" s="7" t="str">
        <f>IF(L122&lt;0,"Negative",IF(L122=0,"Same",IF(L122&gt;0.3,"30+%",IF(L122&gt;0.2,"20-30%",IF(L122&gt;0.1,"10-20%",IF(L122&lt;=0.1,"0-10%"))))))</f>
        <v>20-30%</v>
      </c>
      <c r="N122" s="4">
        <f>O122*J122</f>
        <v>91.84</v>
      </c>
      <c r="O122" s="4">
        <v>22.96</v>
      </c>
      <c r="P122" s="4">
        <f>Q122*J122</f>
        <v>142.16</v>
      </c>
      <c r="Q122" s="136">
        <v>35.54</v>
      </c>
      <c r="R122" s="4">
        <f>P122-N122</f>
        <v>50.319999999999993</v>
      </c>
      <c r="S122" s="7">
        <f>R122/P122</f>
        <v>0.35396736072031509</v>
      </c>
      <c r="T122" s="7" t="str">
        <f>IF(S122&lt;0,"Negative",IF(S122=0,"Same",IF(S122&gt;0.3,"30+%",IF(S122&gt;0.2,"20-30%",IF(S122&gt;0.1,"10-20%",IF(S122&lt;=0.1,"0-10%"))))))</f>
        <v>30+%</v>
      </c>
      <c r="U122" t="s">
        <v>250</v>
      </c>
      <c r="V122" t="s">
        <v>215</v>
      </c>
      <c r="W122" t="s">
        <v>180</v>
      </c>
      <c r="X122" s="135"/>
    </row>
    <row r="123" spans="1:24" s="133" customFormat="1" x14ac:dyDescent="0.3">
      <c r="A123" s="133" t="s">
        <v>171</v>
      </c>
      <c r="B123" s="134" t="s">
        <v>755</v>
      </c>
      <c r="C123" s="133" t="s">
        <v>756</v>
      </c>
      <c r="D123" s="133" t="s">
        <v>757</v>
      </c>
      <c r="E123" s="133" t="s">
        <v>94</v>
      </c>
      <c r="F123" s="133" t="s">
        <v>758</v>
      </c>
      <c r="G123" s="133" t="s">
        <v>759</v>
      </c>
      <c r="H123" s="136">
        <v>131.24</v>
      </c>
      <c r="I123" s="133">
        <v>4</v>
      </c>
      <c r="J123" s="133" t="s">
        <v>202</v>
      </c>
      <c r="K123" s="4">
        <f>H123-N123</f>
        <v>49.400000000000006</v>
      </c>
      <c r="L123" s="7">
        <f>K123/H123</f>
        <v>0.37640963120999699</v>
      </c>
      <c r="M123" s="7" t="str">
        <f>IF(L123&lt;0,"Negative",IF(L123=0,"Same",IF(L123&gt;0.3,"30+%",IF(L123&gt;0.2,"20-30%",IF(L123&gt;0.1,"10-20%",IF(L123&lt;=0.1,"0-10%"))))))</f>
        <v>30+%</v>
      </c>
      <c r="N123" s="4">
        <f>O123*J123</f>
        <v>81.84</v>
      </c>
      <c r="O123" s="4">
        <v>10.23</v>
      </c>
      <c r="P123" s="4">
        <f>Q123*J123</f>
        <v>139.36000000000001</v>
      </c>
      <c r="Q123" s="136">
        <v>17.420000000000002</v>
      </c>
      <c r="R123" s="4">
        <f>P123-N123</f>
        <v>57.52000000000001</v>
      </c>
      <c r="S123" s="7">
        <f>R123/P123</f>
        <v>0.41274397244546501</v>
      </c>
      <c r="T123" s="7" t="str">
        <f>IF(S123&lt;0,"Negative",IF(S123=0,"Same",IF(S123&gt;0.3,"30+%",IF(S123&gt;0.2,"20-30%",IF(S123&gt;0.1,"10-20%",IF(S123&lt;=0.1,"0-10%"))))))</f>
        <v>30+%</v>
      </c>
      <c r="U123" t="s">
        <v>250</v>
      </c>
      <c r="V123" t="s">
        <v>215</v>
      </c>
      <c r="W123" t="s">
        <v>180</v>
      </c>
      <c r="X123" s="135"/>
    </row>
    <row r="124" spans="1:24" s="133" customFormat="1" x14ac:dyDescent="0.3">
      <c r="A124" s="133" t="s">
        <v>171</v>
      </c>
      <c r="B124" s="134" t="s">
        <v>425</v>
      </c>
      <c r="C124" s="133" t="s">
        <v>426</v>
      </c>
      <c r="D124" s="133" t="s">
        <v>427</v>
      </c>
      <c r="E124" s="133" t="s">
        <v>107</v>
      </c>
      <c r="F124" s="133" t="s">
        <v>315</v>
      </c>
      <c r="G124" s="133" t="s">
        <v>316</v>
      </c>
      <c r="H124" s="136">
        <v>132.03</v>
      </c>
      <c r="I124" s="133">
        <v>1</v>
      </c>
      <c r="J124" s="133" t="s">
        <v>296</v>
      </c>
      <c r="K124" s="4">
        <f>H124-N124</f>
        <v>-33.69</v>
      </c>
      <c r="L124" s="7">
        <f>K124/H124</f>
        <v>-0.25516927970915698</v>
      </c>
      <c r="M124" s="7" t="str">
        <f>IF(L124&lt;0,"Negative",IF(L124=0,"Same",IF(L124&gt;0.3,"30+%",IF(L124&gt;0.2,"20-30%",IF(L124&gt;0.1,"10-20%",IF(L124&lt;=0.1,"0-10%"))))))</f>
        <v>Negative</v>
      </c>
      <c r="N124" s="4">
        <f>O124*J124</f>
        <v>165.72</v>
      </c>
      <c r="O124" s="4">
        <v>55.24</v>
      </c>
      <c r="P124" s="4">
        <f>Q124*J124</f>
        <v>180.96</v>
      </c>
      <c r="Q124" s="136">
        <v>60.32</v>
      </c>
      <c r="R124" s="4">
        <f>P124-N124</f>
        <v>15.240000000000009</v>
      </c>
      <c r="S124" s="7">
        <f>R124/P124</f>
        <v>8.4217506631299788E-2</v>
      </c>
      <c r="T124" s="7" t="str">
        <f>IF(S124&lt;0,"Negative",IF(S124=0,"Same",IF(S124&gt;0.3,"30+%",IF(S124&gt;0.2,"20-30%",IF(S124&gt;0.1,"10-20%",IF(S124&lt;=0.1,"0-10%"))))))</f>
        <v>0-10%</v>
      </c>
      <c r="U124" t="s">
        <v>215</v>
      </c>
      <c r="V124" t="s">
        <v>215</v>
      </c>
      <c r="W124" t="s">
        <v>180</v>
      </c>
      <c r="X124" s="135"/>
    </row>
    <row r="125" spans="1:24" s="133" customFormat="1" x14ac:dyDescent="0.3">
      <c r="A125" s="133" t="s">
        <v>171</v>
      </c>
      <c r="B125" s="134" t="s">
        <v>683</v>
      </c>
      <c r="C125" s="133" t="s">
        <v>684</v>
      </c>
      <c r="D125" s="133" t="s">
        <v>685</v>
      </c>
      <c r="E125" s="133" t="s">
        <v>100</v>
      </c>
      <c r="F125" s="133" t="s">
        <v>686</v>
      </c>
      <c r="G125" s="133" t="s">
        <v>687</v>
      </c>
      <c r="H125" s="136">
        <v>134.63999999999999</v>
      </c>
      <c r="I125" s="133">
        <v>1</v>
      </c>
      <c r="J125" s="133" t="s">
        <v>296</v>
      </c>
      <c r="K125" s="4">
        <f>H125-N125</f>
        <v>8.8199999999999932</v>
      </c>
      <c r="L125" s="7">
        <f>K125/H125</f>
        <v>6.5508021390374288E-2</v>
      </c>
      <c r="M125" s="7" t="str">
        <f>IF(L125&lt;0,"Negative",IF(L125=0,"Same",IF(L125&gt;0.3,"30+%",IF(L125&gt;0.2,"20-30%",IF(L125&gt;0.1,"10-20%",IF(L125&lt;=0.1,"0-10%"))))))</f>
        <v>0-10%</v>
      </c>
      <c r="N125" s="4">
        <f>O125*J125</f>
        <v>125.82</v>
      </c>
      <c r="O125" s="4">
        <v>41.94</v>
      </c>
      <c r="P125" s="4">
        <f>Q125*J125</f>
        <v>145.77000000000001</v>
      </c>
      <c r="Q125" s="136">
        <v>48.59</v>
      </c>
      <c r="R125" s="4">
        <f>P125-N125</f>
        <v>19.950000000000017</v>
      </c>
      <c r="S125" s="7">
        <f>R125/P125</f>
        <v>0.13685943609796264</v>
      </c>
      <c r="T125" s="7" t="str">
        <f>IF(S125&lt;0,"Negative",IF(S125=0,"Same",IF(S125&gt;0.3,"30+%",IF(S125&gt;0.2,"20-30%",IF(S125&gt;0.1,"10-20%",IF(S125&lt;=0.1,"0-10%"))))))</f>
        <v>10-20%</v>
      </c>
      <c r="U125" t="s">
        <v>215</v>
      </c>
      <c r="V125" t="s">
        <v>215</v>
      </c>
      <c r="W125" t="s">
        <v>180</v>
      </c>
      <c r="X125" s="135"/>
    </row>
    <row r="126" spans="1:24" s="133" customFormat="1" x14ac:dyDescent="0.3">
      <c r="A126" s="133" t="s">
        <v>171</v>
      </c>
      <c r="B126" s="134" t="s">
        <v>623</v>
      </c>
      <c r="C126" s="133" t="s">
        <v>624</v>
      </c>
      <c r="D126" s="133" t="s">
        <v>273</v>
      </c>
      <c r="E126" s="133" t="s">
        <v>120</v>
      </c>
      <c r="F126" s="133" t="s">
        <v>326</v>
      </c>
      <c r="G126" s="133" t="s">
        <v>327</v>
      </c>
      <c r="H126" s="136">
        <v>137.88</v>
      </c>
      <c r="I126" s="133">
        <v>3</v>
      </c>
      <c r="J126" s="133" t="s">
        <v>625</v>
      </c>
      <c r="K126" s="4">
        <f>H126-N126</f>
        <v>54.36</v>
      </c>
      <c r="L126" s="7">
        <f>K126/H126</f>
        <v>0.39425587467362927</v>
      </c>
      <c r="M126" s="7" t="str">
        <f>IF(L126&lt;0,"Negative",IF(L126=0,"Same",IF(L126&gt;0.3,"30+%",IF(L126&gt;0.2,"20-30%",IF(L126&gt;0.1,"10-20%",IF(L126&lt;=0.1,"0-10%"))))))</f>
        <v>30+%</v>
      </c>
      <c r="N126" s="4">
        <f>O126*J126</f>
        <v>83.52</v>
      </c>
      <c r="O126" s="4">
        <v>2.3199999999999998</v>
      </c>
      <c r="P126" s="4">
        <f>Q126*J126</f>
        <v>152.28000000000003</v>
      </c>
      <c r="Q126" s="136">
        <v>4.2300000000000004</v>
      </c>
      <c r="R126" s="4">
        <f>P126-N126</f>
        <v>68.760000000000034</v>
      </c>
      <c r="S126" s="7">
        <f>R126/P126</f>
        <v>0.45153664302600488</v>
      </c>
      <c r="T126" s="7" t="str">
        <f>IF(S126&lt;0,"Negative",IF(S126=0,"Same",IF(S126&gt;0.3,"30+%",IF(S126&gt;0.2,"20-30%",IF(S126&gt;0.1,"10-20%",IF(S126&lt;=0.1,"0-10%"))))))</f>
        <v>30+%</v>
      </c>
      <c r="U126" t="s">
        <v>250</v>
      </c>
      <c r="V126" t="s">
        <v>215</v>
      </c>
      <c r="W126" t="s">
        <v>180</v>
      </c>
      <c r="X126" s="135"/>
    </row>
    <row r="127" spans="1:24" s="133" customFormat="1" x14ac:dyDescent="0.3">
      <c r="A127" s="133" t="s">
        <v>171</v>
      </c>
      <c r="B127" s="134" t="s">
        <v>771</v>
      </c>
      <c r="C127" s="133" t="s">
        <v>772</v>
      </c>
      <c r="D127" s="133" t="s">
        <v>773</v>
      </c>
      <c r="E127" s="133" t="s">
        <v>112</v>
      </c>
      <c r="F127" s="133" t="s">
        <v>774</v>
      </c>
      <c r="G127" s="133" t="s">
        <v>775</v>
      </c>
      <c r="H127" s="136">
        <v>140.78</v>
      </c>
      <c r="I127" s="133">
        <v>2</v>
      </c>
      <c r="J127" s="133" t="s">
        <v>776</v>
      </c>
      <c r="K127" s="4">
        <f>H127-N127</f>
        <v>-24.28</v>
      </c>
      <c r="L127" s="7">
        <f>K127/H127</f>
        <v>-0.17246768006819152</v>
      </c>
      <c r="M127" s="7" t="str">
        <f>IF(L127&lt;0,"Negative",IF(L127=0,"Same",IF(L127&gt;0.3,"30+%",IF(L127&gt;0.2,"20-30%",IF(L127&gt;0.1,"10-20%",IF(L127&lt;=0.1,"0-10%"))))))</f>
        <v>Negative</v>
      </c>
      <c r="N127" s="4">
        <f>O127*J127</f>
        <v>165.06</v>
      </c>
      <c r="O127" s="4">
        <v>9.17</v>
      </c>
      <c r="P127" s="4">
        <f>Q127*J127</f>
        <v>169.38</v>
      </c>
      <c r="Q127" s="136">
        <v>9.41</v>
      </c>
      <c r="R127" s="4">
        <f>P127-N127</f>
        <v>4.3199999999999932</v>
      </c>
      <c r="S127" s="7">
        <f>R127/P127</f>
        <v>2.5504782146652458E-2</v>
      </c>
      <c r="T127" s="7" t="str">
        <f>IF(S127&lt;0,"Negative",IF(S127=0,"Same",IF(S127&gt;0.3,"30+%",IF(S127&gt;0.2,"20-30%",IF(S127&gt;0.1,"10-20%",IF(S127&lt;=0.1,"0-10%"))))))</f>
        <v>0-10%</v>
      </c>
      <c r="U127" t="s">
        <v>215</v>
      </c>
      <c r="V127" t="s">
        <v>215</v>
      </c>
      <c r="W127" t="s">
        <v>180</v>
      </c>
      <c r="X127" s="135"/>
    </row>
    <row r="128" spans="1:24" s="133" customFormat="1" x14ac:dyDescent="0.3">
      <c r="A128" s="133" t="s">
        <v>171</v>
      </c>
      <c r="B128" s="134" t="s">
        <v>709</v>
      </c>
      <c r="C128" s="133" t="s">
        <v>710</v>
      </c>
      <c r="D128" s="133" t="s">
        <v>132</v>
      </c>
      <c r="E128" s="133" t="s">
        <v>115</v>
      </c>
      <c r="F128" s="133" t="s">
        <v>711</v>
      </c>
      <c r="G128" s="133" t="s">
        <v>712</v>
      </c>
      <c r="H128" s="136">
        <v>142.12</v>
      </c>
      <c r="I128" s="133">
        <v>1</v>
      </c>
      <c r="J128" s="133" t="s">
        <v>187</v>
      </c>
      <c r="K128" s="4">
        <f>H128-N128</f>
        <v>-8.0699999999999932</v>
      </c>
      <c r="L128" s="7">
        <f>K128/H128</f>
        <v>-5.6783000281452244E-2</v>
      </c>
      <c r="M128" s="7" t="str">
        <f>IF(L128&lt;0,"Negative",IF(L128=0,"Same",IF(L128&gt;0.3,"30+%",IF(L128&gt;0.2,"20-30%",IF(L128&gt;0.1,"10-20%",IF(L128&lt;=0.1,"0-10%"))))))</f>
        <v>Negative</v>
      </c>
      <c r="N128" s="4">
        <f>O128*J128</f>
        <v>150.19</v>
      </c>
      <c r="O128" s="4">
        <v>150.19</v>
      </c>
      <c r="P128" s="4">
        <f>Q128*J128</f>
        <v>160.94999999999999</v>
      </c>
      <c r="Q128" s="136">
        <v>160.94999999999999</v>
      </c>
      <c r="R128" s="4">
        <f>P128-N128</f>
        <v>10.759999999999991</v>
      </c>
      <c r="S128" s="7">
        <f>R128/P128</f>
        <v>6.6853059956508185E-2</v>
      </c>
      <c r="T128" s="7" t="str">
        <f>IF(S128&lt;0,"Negative",IF(S128=0,"Same",IF(S128&gt;0.3,"30+%",IF(S128&gt;0.2,"20-30%",IF(S128&gt;0.1,"10-20%",IF(S128&lt;=0.1,"0-10%"))))))</f>
        <v>0-10%</v>
      </c>
      <c r="U128" t="s">
        <v>250</v>
      </c>
      <c r="V128" t="s">
        <v>215</v>
      </c>
      <c r="W128" t="s">
        <v>180</v>
      </c>
      <c r="X128" s="135"/>
    </row>
    <row r="129" spans="1:24" s="133" customFormat="1" x14ac:dyDescent="0.3">
      <c r="A129" s="133" t="s">
        <v>171</v>
      </c>
      <c r="B129" s="134" t="s">
        <v>688</v>
      </c>
      <c r="C129" s="133" t="s">
        <v>689</v>
      </c>
      <c r="D129" s="133" t="s">
        <v>470</v>
      </c>
      <c r="E129" s="133" t="s">
        <v>93</v>
      </c>
      <c r="F129" s="133" t="s">
        <v>676</v>
      </c>
      <c r="G129" s="133" t="s">
        <v>677</v>
      </c>
      <c r="H129" s="136">
        <v>145.80000000000001</v>
      </c>
      <c r="I129" s="133">
        <v>1</v>
      </c>
      <c r="J129" s="133" t="s">
        <v>322</v>
      </c>
      <c r="K129" s="4">
        <f>H129-N129</f>
        <v>18.300000000000011</v>
      </c>
      <c r="L129" s="7">
        <f>K129/H129</f>
        <v>0.12551440329218114</v>
      </c>
      <c r="M129" s="7" t="str">
        <f>IF(L129&lt;0,"Negative",IF(L129=0,"Same",IF(L129&gt;0.3,"30+%",IF(L129&gt;0.2,"20-30%",IF(L129&gt;0.1,"10-20%",IF(L129&lt;=0.1,"0-10%"))))))</f>
        <v>10-20%</v>
      </c>
      <c r="N129" s="4">
        <f>O129*J129</f>
        <v>127.5</v>
      </c>
      <c r="O129" s="4">
        <v>12.75</v>
      </c>
      <c r="P129" s="4">
        <f>Q129*J129</f>
        <v>215.9</v>
      </c>
      <c r="Q129" s="136">
        <v>21.59</v>
      </c>
      <c r="R129" s="4">
        <f>P129-N129</f>
        <v>88.4</v>
      </c>
      <c r="S129" s="7">
        <f>R129/P129</f>
        <v>0.40944881889763779</v>
      </c>
      <c r="T129" s="7" t="str">
        <f>IF(S129&lt;0,"Negative",IF(S129=0,"Same",IF(S129&gt;0.3,"30+%",IF(S129&gt;0.2,"20-30%",IF(S129&gt;0.1,"10-20%",IF(S129&lt;=0.1,"0-10%"))))))</f>
        <v>30+%</v>
      </c>
      <c r="U129" t="s">
        <v>250</v>
      </c>
      <c r="V129" t="s">
        <v>215</v>
      </c>
      <c r="W129" t="s">
        <v>180</v>
      </c>
      <c r="X129" s="135"/>
    </row>
    <row r="130" spans="1:24" s="133" customFormat="1" x14ac:dyDescent="0.3">
      <c r="A130" s="133" t="s">
        <v>206</v>
      </c>
      <c r="B130" s="134" t="s">
        <v>286</v>
      </c>
      <c r="C130" s="133" t="s">
        <v>287</v>
      </c>
      <c r="D130" s="133" t="s">
        <v>288</v>
      </c>
      <c r="E130" s="133" t="s">
        <v>95</v>
      </c>
      <c r="F130" s="133" t="s">
        <v>289</v>
      </c>
      <c r="G130" s="133" t="s">
        <v>290</v>
      </c>
      <c r="H130" s="136">
        <v>151.03</v>
      </c>
      <c r="I130" s="133">
        <v>1</v>
      </c>
      <c r="J130" s="133" t="s">
        <v>187</v>
      </c>
      <c r="K130" s="4">
        <f>H130-N130</f>
        <v>-16.759999999999991</v>
      </c>
      <c r="L130" s="7">
        <f>K130/H130</f>
        <v>-0.11097133019929808</v>
      </c>
      <c r="M130" s="7" t="str">
        <f>IF(L130&lt;0,"Negative",IF(L130=0,"Same",IF(L130&gt;0.3,"30+%",IF(L130&gt;0.2,"20-30%",IF(L130&gt;0.1,"10-20%",IF(L130&lt;=0.1,"0-10%"))))))</f>
        <v>Negative</v>
      </c>
      <c r="N130" s="4">
        <f>O130*J130</f>
        <v>167.79</v>
      </c>
      <c r="O130" s="4">
        <v>167.79</v>
      </c>
      <c r="P130" s="4">
        <f>Q130*J130</f>
        <v>187.53</v>
      </c>
      <c r="Q130" s="136">
        <v>187.53</v>
      </c>
      <c r="R130" s="4">
        <f>P130-N130</f>
        <v>19.740000000000009</v>
      </c>
      <c r="S130" s="7">
        <f>R130/P130</f>
        <v>0.10526315789473689</v>
      </c>
      <c r="T130" s="7" t="str">
        <f>IF(S130&lt;0,"Negative",IF(S130=0,"Same",IF(S130&gt;0.3,"30+%",IF(S130&gt;0.2,"20-30%",IF(S130&gt;0.1,"10-20%",IF(S130&lt;=0.1,"0-10%"))))))</f>
        <v>10-20%</v>
      </c>
      <c r="U130" t="s">
        <v>215</v>
      </c>
      <c r="V130" t="s">
        <v>215</v>
      </c>
      <c r="W130" t="s">
        <v>180</v>
      </c>
      <c r="X130" s="135"/>
    </row>
    <row r="131" spans="1:24" s="133" customFormat="1" x14ac:dyDescent="0.3">
      <c r="A131" s="133" t="s">
        <v>171</v>
      </c>
      <c r="B131" s="134" t="s">
        <v>566</v>
      </c>
      <c r="C131" s="133" t="s">
        <v>567</v>
      </c>
      <c r="D131" s="133" t="s">
        <v>199</v>
      </c>
      <c r="E131" s="133" t="s">
        <v>92</v>
      </c>
      <c r="F131" s="133" t="s">
        <v>175</v>
      </c>
      <c r="G131" s="133" t="s">
        <v>568</v>
      </c>
      <c r="H131" s="136">
        <v>156.1</v>
      </c>
      <c r="I131" s="133">
        <v>1</v>
      </c>
      <c r="J131" s="133" t="s">
        <v>322</v>
      </c>
      <c r="K131" s="4">
        <f>H131-N131</f>
        <v>-15.900000000000006</v>
      </c>
      <c r="L131" s="7">
        <f>K131/H131</f>
        <v>-0.10185778347213328</v>
      </c>
      <c r="M131" s="7" t="str">
        <f>IF(L131&lt;0,"Negative",IF(L131=0,"Same",IF(L131&gt;0.3,"30+%",IF(L131&gt;0.2,"20-30%",IF(L131&gt;0.1,"10-20%",IF(L131&lt;=0.1,"0-10%"))))))</f>
        <v>Negative</v>
      </c>
      <c r="N131" s="4">
        <f>O131*J131</f>
        <v>172</v>
      </c>
      <c r="O131" s="4">
        <v>17.2</v>
      </c>
      <c r="P131" s="4">
        <f>Q131*J131</f>
        <v>192.2</v>
      </c>
      <c r="Q131" s="136">
        <v>19.22</v>
      </c>
      <c r="R131" s="4">
        <f>P131-N131</f>
        <v>20.199999999999989</v>
      </c>
      <c r="S131" s="7">
        <f>R131/P131</f>
        <v>0.10509885535900099</v>
      </c>
      <c r="T131" s="7" t="str">
        <f>IF(S131&lt;0,"Negative",IF(S131=0,"Same",IF(S131&gt;0.3,"30+%",IF(S131&gt;0.2,"20-30%",IF(S131&gt;0.1,"10-20%",IF(S131&lt;=0.1,"0-10%"))))))</f>
        <v>10-20%</v>
      </c>
      <c r="U131" t="s">
        <v>215</v>
      </c>
      <c r="V131" t="s">
        <v>215</v>
      </c>
      <c r="W131" t="s">
        <v>180</v>
      </c>
      <c r="X131" s="135"/>
    </row>
    <row r="132" spans="1:24" s="133" customFormat="1" x14ac:dyDescent="0.3">
      <c r="A132" s="133" t="s">
        <v>206</v>
      </c>
      <c r="B132" s="134" t="s">
        <v>768</v>
      </c>
      <c r="C132" s="133" t="s">
        <v>769</v>
      </c>
      <c r="D132" s="133" t="s">
        <v>258</v>
      </c>
      <c r="E132" s="133" t="s">
        <v>95</v>
      </c>
      <c r="F132" s="133" t="s">
        <v>259</v>
      </c>
      <c r="G132" s="133" t="s">
        <v>770</v>
      </c>
      <c r="H132" s="136">
        <v>157.61000000000001</v>
      </c>
      <c r="I132" s="133">
        <v>1</v>
      </c>
      <c r="J132" s="133" t="s">
        <v>187</v>
      </c>
      <c r="K132" s="4">
        <f>H132-N132</f>
        <v>-20.949999999999989</v>
      </c>
      <c r="L132" s="7">
        <f>K132/H132</f>
        <v>-0.13292303787830714</v>
      </c>
      <c r="M132" s="7" t="str">
        <f>IF(L132&lt;0,"Negative",IF(L132=0,"Same",IF(L132&gt;0.3,"30+%",IF(L132&gt;0.2,"20-30%",IF(L132&gt;0.1,"10-20%",IF(L132&lt;=0.1,"0-10%"))))))</f>
        <v>Negative</v>
      </c>
      <c r="N132" s="4">
        <f>O132*J132</f>
        <v>178.56</v>
      </c>
      <c r="O132" s="4">
        <v>178.56</v>
      </c>
      <c r="P132" s="4">
        <f>Q132*J132</f>
        <v>199.57</v>
      </c>
      <c r="Q132" s="136">
        <v>199.57</v>
      </c>
      <c r="R132" s="4">
        <f>P132-N132</f>
        <v>21.009999999999991</v>
      </c>
      <c r="S132" s="7">
        <f>R132/P132</f>
        <v>0.10527634413990075</v>
      </c>
      <c r="T132" s="7" t="str">
        <f>IF(S132&lt;0,"Negative",IF(S132=0,"Same",IF(S132&gt;0.3,"30+%",IF(S132&gt;0.2,"20-30%",IF(S132&gt;0.1,"10-20%",IF(S132&lt;=0.1,"0-10%"))))))</f>
        <v>10-20%</v>
      </c>
      <c r="U132" t="s">
        <v>215</v>
      </c>
      <c r="V132" t="s">
        <v>215</v>
      </c>
      <c r="W132" t="s">
        <v>180</v>
      </c>
      <c r="X132" s="135"/>
    </row>
    <row r="133" spans="1:24" s="133" customFormat="1" x14ac:dyDescent="0.3">
      <c r="A133" s="133" t="s">
        <v>171</v>
      </c>
      <c r="B133" s="134" t="s">
        <v>851</v>
      </c>
      <c r="C133" s="133" t="s">
        <v>852</v>
      </c>
      <c r="D133" s="133" t="s">
        <v>140</v>
      </c>
      <c r="E133" s="133" t="s">
        <v>100</v>
      </c>
      <c r="F133" s="133" t="s">
        <v>853</v>
      </c>
      <c r="G133" s="133" t="s">
        <v>854</v>
      </c>
      <c r="H133" s="136">
        <v>162.4</v>
      </c>
      <c r="I133" s="133">
        <v>1</v>
      </c>
      <c r="J133" s="133" t="s">
        <v>249</v>
      </c>
      <c r="K133" s="4">
        <f>H133-N133</f>
        <v>-2</v>
      </c>
      <c r="L133" s="7">
        <f>K133/H133</f>
        <v>-1.231527093596059E-2</v>
      </c>
      <c r="M133" s="7" t="str">
        <f>IF(L133&lt;0,"Negative",IF(L133=0,"Same",IF(L133&gt;0.3,"30+%",IF(L133&gt;0.2,"20-30%",IF(L133&gt;0.1,"10-20%",IF(L133&lt;=0.1,"0-10%"))))))</f>
        <v>Negative</v>
      </c>
      <c r="N133" s="4">
        <f>O133*J133</f>
        <v>164.4</v>
      </c>
      <c r="O133" s="4">
        <v>41.1</v>
      </c>
      <c r="P133" s="4">
        <f>Q133*J133</f>
        <v>190.44</v>
      </c>
      <c r="Q133" s="136">
        <v>47.61</v>
      </c>
      <c r="R133" s="4">
        <f>P133-N133</f>
        <v>26.039999999999992</v>
      </c>
      <c r="S133" s="7">
        <f>R133/P133</f>
        <v>0.13673597983616884</v>
      </c>
      <c r="T133" s="7" t="str">
        <f>IF(S133&lt;0,"Negative",IF(S133=0,"Same",IF(S133&gt;0.3,"30+%",IF(S133&gt;0.2,"20-30%",IF(S133&gt;0.1,"10-20%",IF(S133&lt;=0.1,"0-10%"))))))</f>
        <v>10-20%</v>
      </c>
      <c r="U133" t="s">
        <v>215</v>
      </c>
      <c r="V133" t="s">
        <v>215</v>
      </c>
      <c r="W133" t="s">
        <v>180</v>
      </c>
      <c r="X133" s="135"/>
    </row>
    <row r="134" spans="1:24" s="133" customFormat="1" x14ac:dyDescent="0.3">
      <c r="A134" s="133" t="s">
        <v>171</v>
      </c>
      <c r="B134" s="134" t="s">
        <v>834</v>
      </c>
      <c r="C134" s="133" t="s">
        <v>835</v>
      </c>
      <c r="D134" s="133" t="s">
        <v>836</v>
      </c>
      <c r="E134" s="133" t="s">
        <v>98</v>
      </c>
      <c r="F134" s="133" t="s">
        <v>399</v>
      </c>
      <c r="G134" s="133" t="s">
        <v>837</v>
      </c>
      <c r="H134" s="136">
        <v>163.12</v>
      </c>
      <c r="I134" s="133">
        <v>1</v>
      </c>
      <c r="J134" s="133" t="s">
        <v>187</v>
      </c>
      <c r="K134" s="4">
        <f>H134-N134</f>
        <v>8.5810000000000173</v>
      </c>
      <c r="L134" s="7">
        <f>K134/H134</f>
        <v>5.2605443845022172E-2</v>
      </c>
      <c r="M134" s="7" t="str">
        <f>IF(L134&lt;0,"Negative",IF(L134=0,"Same",IF(L134&gt;0.3,"30+%",IF(L134&gt;0.2,"20-30%",IF(L134&gt;0.1,"10-20%",IF(L134&lt;=0.1,"0-10%"))))))</f>
        <v>0-10%</v>
      </c>
      <c r="N134" s="4">
        <f>O134*J134</f>
        <v>154.53899999999999</v>
      </c>
      <c r="O134" s="4">
        <v>154.53899999999999</v>
      </c>
      <c r="P134" s="4">
        <f>Q134*J134</f>
        <v>163.12</v>
      </c>
      <c r="Q134" s="136">
        <v>163.12</v>
      </c>
      <c r="R134" s="4">
        <f>P134-N134</f>
        <v>8.5810000000000173</v>
      </c>
      <c r="S134" s="7">
        <f>R134/P134</f>
        <v>5.2605443845022172E-2</v>
      </c>
      <c r="T134" s="7" t="str">
        <f>IF(S134&lt;0,"Negative",IF(S134=0,"Same",IF(S134&gt;0.3,"30+%",IF(S134&gt;0.2,"20-30%",IF(S134&gt;0.1,"10-20%",IF(S134&lt;=0.1,"0-10%"))))))</f>
        <v>0-10%</v>
      </c>
      <c r="U134" t="s">
        <v>215</v>
      </c>
      <c r="V134" t="s">
        <v>215</v>
      </c>
      <c r="W134" t="s">
        <v>180</v>
      </c>
      <c r="X134" s="135"/>
    </row>
    <row r="135" spans="1:24" s="133" customFormat="1" x14ac:dyDescent="0.3">
      <c r="A135" s="133" t="s">
        <v>171</v>
      </c>
      <c r="B135" s="134" t="s">
        <v>928</v>
      </c>
      <c r="C135" s="133" t="s">
        <v>929</v>
      </c>
      <c r="D135" s="133" t="s">
        <v>930</v>
      </c>
      <c r="E135" s="133" t="s">
        <v>120</v>
      </c>
      <c r="F135" s="133" t="s">
        <v>931</v>
      </c>
      <c r="G135" s="133" t="s">
        <v>932</v>
      </c>
      <c r="H135" s="136">
        <v>182.2</v>
      </c>
      <c r="I135" s="133">
        <v>2</v>
      </c>
      <c r="J135" s="133" t="s">
        <v>249</v>
      </c>
      <c r="K135" s="4">
        <f>H135-N135</f>
        <v>22.159999999999997</v>
      </c>
      <c r="L135" s="7">
        <f>K135/H135</f>
        <v>0.12162458836443468</v>
      </c>
      <c r="M135" s="7" t="str">
        <f>IF(L135&lt;0,"Negative",IF(L135=0,"Same",IF(L135&gt;0.3,"30+%",IF(L135&gt;0.2,"20-30%",IF(L135&gt;0.1,"10-20%",IF(L135&lt;=0.1,"0-10%"))))))</f>
        <v>10-20%</v>
      </c>
      <c r="N135" s="4">
        <f>O135*J135</f>
        <v>160.04</v>
      </c>
      <c r="O135" s="4">
        <v>40.01</v>
      </c>
      <c r="P135" s="4">
        <f>Q135*J135</f>
        <v>331.68</v>
      </c>
      <c r="Q135" s="136">
        <v>82.92</v>
      </c>
      <c r="R135" s="4">
        <f>P135-N135</f>
        <v>171.64000000000001</v>
      </c>
      <c r="S135" s="7">
        <f>R135/P135</f>
        <v>0.51748673420164015</v>
      </c>
      <c r="T135" s="7" t="str">
        <f>IF(S135&lt;0,"Negative",IF(S135=0,"Same",IF(S135&gt;0.3,"30+%",IF(S135&gt;0.2,"20-30%",IF(S135&gt;0.1,"10-20%",IF(S135&lt;=0.1,"0-10%"))))))</f>
        <v>30+%</v>
      </c>
      <c r="U135" t="s">
        <v>250</v>
      </c>
      <c r="V135" t="s">
        <v>215</v>
      </c>
      <c r="W135" t="s">
        <v>180</v>
      </c>
      <c r="X135" s="135"/>
    </row>
    <row r="136" spans="1:24" s="133" customFormat="1" x14ac:dyDescent="0.3">
      <c r="A136" s="133" t="s">
        <v>206</v>
      </c>
      <c r="B136" s="134" t="s">
        <v>736</v>
      </c>
      <c r="C136" s="133" t="s">
        <v>737</v>
      </c>
      <c r="D136" s="133" t="s">
        <v>455</v>
      </c>
      <c r="E136" s="133" t="s">
        <v>100</v>
      </c>
      <c r="F136" s="133" t="s">
        <v>456</v>
      </c>
      <c r="G136" s="133" t="s">
        <v>738</v>
      </c>
      <c r="H136" s="136">
        <v>185.85</v>
      </c>
      <c r="I136" s="133">
        <v>1</v>
      </c>
      <c r="J136" s="133" t="s">
        <v>187</v>
      </c>
      <c r="K136" s="4">
        <f>H136-N136</f>
        <v>18.680000000000007</v>
      </c>
      <c r="L136" s="7">
        <f>K136/H136</f>
        <v>0.10051116491794462</v>
      </c>
      <c r="M136" s="7" t="str">
        <f>IF(L136&lt;0,"Negative",IF(L136=0,"Same",IF(L136&gt;0.3,"30+%",IF(L136&gt;0.2,"20-30%",IF(L136&gt;0.1,"10-20%",IF(L136&lt;=0.1,"0-10%"))))))</f>
        <v>10-20%</v>
      </c>
      <c r="N136" s="4">
        <f>O136*J136</f>
        <v>167.17</v>
      </c>
      <c r="O136" s="4">
        <v>167.17</v>
      </c>
      <c r="P136" s="4">
        <f>Q136*J136</f>
        <v>193.67</v>
      </c>
      <c r="Q136" s="136">
        <v>193.67</v>
      </c>
      <c r="R136" s="4">
        <f>P136-N136</f>
        <v>26.5</v>
      </c>
      <c r="S136" s="7">
        <f>R136/P136</f>
        <v>0.13683069138224815</v>
      </c>
      <c r="T136" s="7" t="str">
        <f>IF(S136&lt;0,"Negative",IF(S136=0,"Same",IF(S136&gt;0.3,"30+%",IF(S136&gt;0.2,"20-30%",IF(S136&gt;0.1,"10-20%",IF(S136&lt;=0.1,"0-10%"))))))</f>
        <v>10-20%</v>
      </c>
      <c r="U136" t="s">
        <v>215</v>
      </c>
      <c r="V136" t="s">
        <v>215</v>
      </c>
      <c r="W136" t="s">
        <v>180</v>
      </c>
      <c r="X136" s="135"/>
    </row>
    <row r="137" spans="1:24" s="133" customFormat="1" x14ac:dyDescent="0.3">
      <c r="A137" s="133" t="s">
        <v>171</v>
      </c>
      <c r="B137" s="134" t="s">
        <v>588</v>
      </c>
      <c r="C137" s="133" t="s">
        <v>589</v>
      </c>
      <c r="D137" s="133" t="s">
        <v>590</v>
      </c>
      <c r="E137" s="133" t="s">
        <v>108</v>
      </c>
      <c r="F137" s="133" t="s">
        <v>591</v>
      </c>
      <c r="G137" s="133" t="s">
        <v>592</v>
      </c>
      <c r="H137" s="136">
        <v>186.01</v>
      </c>
      <c r="I137" s="133">
        <v>3</v>
      </c>
      <c r="J137" s="133" t="s">
        <v>593</v>
      </c>
      <c r="K137" s="4">
        <f>H137-N137</f>
        <v>19.569999999999993</v>
      </c>
      <c r="L137" s="7">
        <f>K137/H137</f>
        <v>0.10520939734422877</v>
      </c>
      <c r="M137" s="7" t="str">
        <f>IF(L137&lt;0,"Negative",IF(L137=0,"Same",IF(L137&gt;0.3,"30+%",IF(L137&gt;0.2,"20-30%",IF(L137&gt;0.1,"10-20%",IF(L137&lt;=0.1,"0-10%"))))))</f>
        <v>10-20%</v>
      </c>
      <c r="N137" s="4">
        <f>O137*J137</f>
        <v>166.44</v>
      </c>
      <c r="O137" s="4">
        <v>8.76</v>
      </c>
      <c r="P137" s="4">
        <f>Q137*J137</f>
        <v>186.01</v>
      </c>
      <c r="Q137" s="136">
        <v>9.7899999999999991</v>
      </c>
      <c r="R137" s="4">
        <f>P137-N137</f>
        <v>19.569999999999993</v>
      </c>
      <c r="S137" s="7">
        <f>R137/P137</f>
        <v>0.10520939734422877</v>
      </c>
      <c r="T137" s="7" t="str">
        <f>IF(S137&lt;0,"Negative",IF(S137=0,"Same",IF(S137&gt;0.3,"30+%",IF(S137&gt;0.2,"20-30%",IF(S137&gt;0.1,"10-20%",IF(S137&lt;=0.1,"0-10%"))))))</f>
        <v>10-20%</v>
      </c>
      <c r="U137" t="s">
        <v>215</v>
      </c>
      <c r="V137" t="s">
        <v>215</v>
      </c>
      <c r="W137" t="s">
        <v>180</v>
      </c>
      <c r="X137" s="135"/>
    </row>
    <row r="138" spans="1:24" s="133" customFormat="1" x14ac:dyDescent="0.3">
      <c r="A138" s="133" t="s">
        <v>171</v>
      </c>
      <c r="B138" s="134" t="s">
        <v>323</v>
      </c>
      <c r="C138" s="133" t="s">
        <v>324</v>
      </c>
      <c r="D138" s="133" t="s">
        <v>325</v>
      </c>
      <c r="E138" s="133" t="s">
        <v>120</v>
      </c>
      <c r="F138" s="133" t="s">
        <v>326</v>
      </c>
      <c r="G138" s="133" t="s">
        <v>327</v>
      </c>
      <c r="H138" s="136">
        <v>186.6</v>
      </c>
      <c r="I138" s="133">
        <v>3</v>
      </c>
      <c r="J138" s="133" t="s">
        <v>328</v>
      </c>
      <c r="K138" s="4">
        <f>H138-N138</f>
        <v>9.0800000000000125</v>
      </c>
      <c r="L138" s="7">
        <f>K138/H138</f>
        <v>4.8660235798499533E-2</v>
      </c>
      <c r="M138" s="7" t="str">
        <f>IF(L138&lt;0,"Negative",IF(L138=0,"Same",IF(L138&gt;0.3,"30+%",IF(L138&gt;0.2,"20-30%",IF(L138&gt;0.1,"10-20%",IF(L138&lt;=0.1,"0-10%"))))))</f>
        <v>0-10%</v>
      </c>
      <c r="N138" s="4">
        <f>O138*J138</f>
        <v>177.51999999999998</v>
      </c>
      <c r="O138" s="4">
        <v>3.17</v>
      </c>
      <c r="P138" s="4">
        <f>Q138*J138</f>
        <v>205.51999999999998</v>
      </c>
      <c r="Q138" s="136">
        <v>3.67</v>
      </c>
      <c r="R138" s="4">
        <f>P138-N138</f>
        <v>28</v>
      </c>
      <c r="S138" s="7">
        <f>R138/P138</f>
        <v>0.13623978201634879</v>
      </c>
      <c r="T138" s="7" t="str">
        <f>IF(S138&lt;0,"Negative",IF(S138=0,"Same",IF(S138&gt;0.3,"30+%",IF(S138&gt;0.2,"20-30%",IF(S138&gt;0.1,"10-20%",IF(S138&lt;=0.1,"0-10%"))))))</f>
        <v>10-20%</v>
      </c>
      <c r="U138" t="s">
        <v>215</v>
      </c>
      <c r="V138" t="s">
        <v>215</v>
      </c>
      <c r="W138" t="s">
        <v>180</v>
      </c>
      <c r="X138" s="135"/>
    </row>
    <row r="139" spans="1:24" s="133" customFormat="1" x14ac:dyDescent="0.3">
      <c r="A139" s="133" t="s">
        <v>171</v>
      </c>
      <c r="B139" s="134" t="s">
        <v>807</v>
      </c>
      <c r="C139" s="133" t="s">
        <v>308</v>
      </c>
      <c r="D139" s="133" t="s">
        <v>309</v>
      </c>
      <c r="E139" s="133" t="s">
        <v>115</v>
      </c>
      <c r="F139" s="133" t="s">
        <v>310</v>
      </c>
      <c r="G139" s="133" t="s">
        <v>311</v>
      </c>
      <c r="H139" s="136">
        <v>189.59</v>
      </c>
      <c r="I139" s="133">
        <v>1</v>
      </c>
      <c r="J139" s="133" t="s">
        <v>187</v>
      </c>
      <c r="K139" s="4">
        <f>H139-N139</f>
        <v>-11.219999999999999</v>
      </c>
      <c r="L139" s="7">
        <f>K139/H139</f>
        <v>-5.9180336515639004E-2</v>
      </c>
      <c r="M139" s="7" t="str">
        <f>IF(L139&lt;0,"Negative",IF(L139=0,"Same",IF(L139&gt;0.3,"30+%",IF(L139&gt;0.2,"20-30%",IF(L139&gt;0.1,"10-20%",IF(L139&lt;=0.1,"0-10%"))))))</f>
        <v>Negative</v>
      </c>
      <c r="N139" s="4">
        <f>O139*J139</f>
        <v>200.81</v>
      </c>
      <c r="O139" s="4">
        <v>200.81</v>
      </c>
      <c r="P139" s="4">
        <f>Q139*J139</f>
        <v>206.24</v>
      </c>
      <c r="Q139" s="136">
        <v>206.24</v>
      </c>
      <c r="R139" s="4">
        <f>P139-N139</f>
        <v>5.4300000000000068</v>
      </c>
      <c r="S139" s="7">
        <f>R139/P139</f>
        <v>2.6328549262994601E-2</v>
      </c>
      <c r="T139" s="7" t="str">
        <f>IF(S139&lt;0,"Negative",IF(S139=0,"Same",IF(S139&gt;0.3,"30+%",IF(S139&gt;0.2,"20-30%",IF(S139&gt;0.1,"10-20%",IF(S139&lt;=0.1,"0-10%"))))))</f>
        <v>0-10%</v>
      </c>
      <c r="U139" t="s">
        <v>215</v>
      </c>
      <c r="V139" t="s">
        <v>215</v>
      </c>
      <c r="W139" t="s">
        <v>180</v>
      </c>
      <c r="X139" s="135"/>
    </row>
    <row r="140" spans="1:24" s="133" customFormat="1" x14ac:dyDescent="0.3">
      <c r="A140" s="133" t="s">
        <v>171</v>
      </c>
      <c r="B140" s="134" t="s">
        <v>489</v>
      </c>
      <c r="C140" s="133" t="s">
        <v>490</v>
      </c>
      <c r="D140" s="133" t="s">
        <v>491</v>
      </c>
      <c r="E140" s="133" t="s">
        <v>103</v>
      </c>
      <c r="F140" s="133" t="s">
        <v>492</v>
      </c>
      <c r="G140" s="133" t="s">
        <v>493</v>
      </c>
      <c r="H140" s="136">
        <v>194.78</v>
      </c>
      <c r="I140" s="133">
        <v>1</v>
      </c>
      <c r="J140" s="133" t="s">
        <v>177</v>
      </c>
      <c r="K140" s="4">
        <f>H140-N140</f>
        <v>5.1200000000000045</v>
      </c>
      <c r="L140" s="7">
        <f>K140/H140</f>
        <v>2.6286066331245531E-2</v>
      </c>
      <c r="M140" s="7" t="str">
        <f>IF(L140&lt;0,"Negative",IF(L140=0,"Same",IF(L140&gt;0.3,"30+%",IF(L140&gt;0.2,"20-30%",IF(L140&gt;0.1,"10-20%",IF(L140&lt;=0.1,"0-10%"))))))</f>
        <v>0-10%</v>
      </c>
      <c r="N140" s="4">
        <f>O140*J140</f>
        <v>189.66</v>
      </c>
      <c r="O140" s="4">
        <v>94.83</v>
      </c>
      <c r="P140" s="4">
        <f>Q140*J140</f>
        <v>194.78</v>
      </c>
      <c r="Q140" s="136">
        <v>97.39</v>
      </c>
      <c r="R140" s="4">
        <f>P140-N140</f>
        <v>5.1200000000000045</v>
      </c>
      <c r="S140" s="7">
        <f>R140/P140</f>
        <v>2.6286066331245531E-2</v>
      </c>
      <c r="T140" s="7" t="str">
        <f>IF(S140&lt;0,"Negative",IF(S140=0,"Same",IF(S140&gt;0.3,"30+%",IF(S140&gt;0.2,"20-30%",IF(S140&gt;0.1,"10-20%",IF(S140&lt;=0.1,"0-10%"))))))</f>
        <v>0-10%</v>
      </c>
      <c r="U140" t="s">
        <v>215</v>
      </c>
      <c r="V140" t="s">
        <v>215</v>
      </c>
      <c r="W140" t="s">
        <v>180</v>
      </c>
      <c r="X140" s="135"/>
    </row>
    <row r="141" spans="1:24" s="133" customFormat="1" x14ac:dyDescent="0.3">
      <c r="A141" s="133" t="s">
        <v>206</v>
      </c>
      <c r="B141" s="134" t="s">
        <v>386</v>
      </c>
      <c r="C141" s="133" t="s">
        <v>387</v>
      </c>
      <c r="D141" s="133" t="s">
        <v>218</v>
      </c>
      <c r="E141" s="133" t="s">
        <v>112</v>
      </c>
      <c r="F141" s="133" t="s">
        <v>219</v>
      </c>
      <c r="G141" s="133" t="s">
        <v>220</v>
      </c>
      <c r="H141" s="136">
        <v>195.21</v>
      </c>
      <c r="I141" s="133">
        <v>1</v>
      </c>
      <c r="J141" s="133" t="s">
        <v>187</v>
      </c>
      <c r="K141" s="4">
        <f>H141-N141</f>
        <v>-2.1299999999999955</v>
      </c>
      <c r="L141" s="7">
        <f>K141/H141</f>
        <v>-1.0911326264023335E-2</v>
      </c>
      <c r="M141" s="7" t="str">
        <f>IF(L141&lt;0,"Negative",IF(L141=0,"Same",IF(L141&gt;0.3,"30+%",IF(L141&gt;0.2,"20-30%",IF(L141&gt;0.1,"10-20%",IF(L141&lt;=0.1,"0-10%"))))))</f>
        <v>Negative</v>
      </c>
      <c r="N141" s="4">
        <f>O141*J141</f>
        <v>197.34</v>
      </c>
      <c r="O141" s="4">
        <v>197.34</v>
      </c>
      <c r="P141" s="4">
        <f>Q141*J141</f>
        <v>202.67</v>
      </c>
      <c r="Q141" s="136">
        <v>202.67</v>
      </c>
      <c r="R141" s="4">
        <f>P141-N141</f>
        <v>5.3299999999999841</v>
      </c>
      <c r="S141" s="7">
        <f>R141/P141</f>
        <v>2.6298909557408517E-2</v>
      </c>
      <c r="T141" s="7" t="str">
        <f>IF(S141&lt;0,"Negative",IF(S141=0,"Same",IF(S141&gt;0.3,"30+%",IF(S141&gt;0.2,"20-30%",IF(S141&gt;0.1,"10-20%",IF(S141&lt;=0.1,"0-10%"))))))</f>
        <v>0-10%</v>
      </c>
      <c r="U141" t="s">
        <v>215</v>
      </c>
      <c r="V141" t="s">
        <v>215</v>
      </c>
      <c r="W141" t="s">
        <v>180</v>
      </c>
      <c r="X141" s="135"/>
    </row>
    <row r="142" spans="1:24" s="133" customFormat="1" x14ac:dyDescent="0.3">
      <c r="A142" s="133" t="s">
        <v>206</v>
      </c>
      <c r="B142" s="134" t="s">
        <v>573</v>
      </c>
      <c r="C142" s="133" t="s">
        <v>574</v>
      </c>
      <c r="D142" s="133" t="s">
        <v>558</v>
      </c>
      <c r="E142" s="133" t="s">
        <v>95</v>
      </c>
      <c r="F142" s="133" t="s">
        <v>559</v>
      </c>
      <c r="G142" s="133" t="s">
        <v>575</v>
      </c>
      <c r="H142" s="136">
        <v>196.53</v>
      </c>
      <c r="I142" s="133">
        <v>1</v>
      </c>
      <c r="J142" s="133" t="s">
        <v>187</v>
      </c>
      <c r="K142" s="4">
        <f>H142-N142</f>
        <v>-14.439999999999998</v>
      </c>
      <c r="L142" s="7">
        <f>K142/H142</f>
        <v>-7.3474787564239544E-2</v>
      </c>
      <c r="M142" s="7" t="str">
        <f>IF(L142&lt;0,"Negative",IF(L142=0,"Same",IF(L142&gt;0.3,"30+%",IF(L142&gt;0.2,"20-30%",IF(L142&gt;0.1,"10-20%",IF(L142&lt;=0.1,"0-10%"))))))</f>
        <v>Negative</v>
      </c>
      <c r="N142" s="4">
        <f>O142*J142</f>
        <v>210.97</v>
      </c>
      <c r="O142" s="4">
        <v>210.97</v>
      </c>
      <c r="P142" s="4">
        <f>Q142*J142</f>
        <v>235.79</v>
      </c>
      <c r="Q142" s="136">
        <v>235.79</v>
      </c>
      <c r="R142" s="4">
        <f>P142-N142</f>
        <v>24.819999999999993</v>
      </c>
      <c r="S142" s="7">
        <f>R142/P142</f>
        <v>0.10526315789473682</v>
      </c>
      <c r="T142" s="7" t="str">
        <f>IF(S142&lt;0,"Negative",IF(S142=0,"Same",IF(S142&gt;0.3,"30+%",IF(S142&gt;0.2,"20-30%",IF(S142&gt;0.1,"10-20%",IF(S142&lt;=0.1,"0-10%"))))))</f>
        <v>10-20%</v>
      </c>
      <c r="U142" t="s">
        <v>215</v>
      </c>
      <c r="V142" t="s">
        <v>215</v>
      </c>
      <c r="W142" t="s">
        <v>180</v>
      </c>
      <c r="X142" s="135"/>
    </row>
    <row r="143" spans="1:24" s="133" customFormat="1" x14ac:dyDescent="0.3">
      <c r="A143" s="133" t="s">
        <v>171</v>
      </c>
      <c r="B143" s="134" t="s">
        <v>901</v>
      </c>
      <c r="C143" s="133" t="s">
        <v>902</v>
      </c>
      <c r="D143" s="133" t="s">
        <v>903</v>
      </c>
      <c r="E143" s="133" t="s">
        <v>100</v>
      </c>
      <c r="F143" s="133" t="s">
        <v>407</v>
      </c>
      <c r="G143" s="133" t="s">
        <v>904</v>
      </c>
      <c r="H143" s="136">
        <v>198.45</v>
      </c>
      <c r="I143" s="133">
        <v>1</v>
      </c>
      <c r="J143" s="133" t="s">
        <v>187</v>
      </c>
      <c r="K143" s="4">
        <f>H143-N143</f>
        <v>1.1299999999999955</v>
      </c>
      <c r="L143" s="7">
        <f>K143/H143</f>
        <v>5.694129503653291E-3</v>
      </c>
      <c r="M143" s="7" t="str">
        <f>IF(L143&lt;0,"Negative",IF(L143=0,"Same",IF(L143&gt;0.3,"30+%",IF(L143&gt;0.2,"20-30%",IF(L143&gt;0.1,"10-20%",IF(L143&lt;=0.1,"0-10%"))))))</f>
        <v>0-10%</v>
      </c>
      <c r="N143" s="4">
        <f>O143*J143</f>
        <v>197.32</v>
      </c>
      <c r="O143" s="4">
        <v>197.32</v>
      </c>
      <c r="P143" s="4">
        <f>Q143*J143</f>
        <v>228.61</v>
      </c>
      <c r="Q143" s="136">
        <v>228.61</v>
      </c>
      <c r="R143" s="4">
        <f>P143-N143</f>
        <v>31.29000000000002</v>
      </c>
      <c r="S143" s="7">
        <f>R143/P143</f>
        <v>0.13687065307729329</v>
      </c>
      <c r="T143" s="7" t="str">
        <f>IF(S143&lt;0,"Negative",IF(S143=0,"Same",IF(S143&gt;0.3,"30+%",IF(S143&gt;0.2,"20-30%",IF(S143&gt;0.1,"10-20%",IF(S143&lt;=0.1,"0-10%"))))))</f>
        <v>10-20%</v>
      </c>
      <c r="U143" t="s">
        <v>215</v>
      </c>
      <c r="V143" t="s">
        <v>215</v>
      </c>
      <c r="W143" t="s">
        <v>180</v>
      </c>
      <c r="X143" s="135"/>
    </row>
    <row r="144" spans="1:24" s="133" customFormat="1" x14ac:dyDescent="0.3">
      <c r="A144" s="133" t="s">
        <v>171</v>
      </c>
      <c r="B144" s="134" t="s">
        <v>527</v>
      </c>
      <c r="C144" s="133" t="s">
        <v>528</v>
      </c>
      <c r="D144" s="133" t="s">
        <v>299</v>
      </c>
      <c r="E144" s="133" t="s">
        <v>92</v>
      </c>
      <c r="F144" s="133" t="s">
        <v>300</v>
      </c>
      <c r="G144" s="133" t="s">
        <v>301</v>
      </c>
      <c r="H144" s="136">
        <v>204.1</v>
      </c>
      <c r="I144" s="133">
        <v>1</v>
      </c>
      <c r="J144" s="133" t="s">
        <v>322</v>
      </c>
      <c r="K144" s="4">
        <f>H144-N144</f>
        <v>-51.5</v>
      </c>
      <c r="L144" s="7">
        <f>K144/H144</f>
        <v>-0.25232729054385106</v>
      </c>
      <c r="M144" s="7" t="str">
        <f>IF(L144&lt;0,"Negative",IF(L144=0,"Same",IF(L144&gt;0.3,"30+%",IF(L144&gt;0.2,"20-30%",IF(L144&gt;0.1,"10-20%",IF(L144&lt;=0.1,"0-10%"))))))</f>
        <v>Negative</v>
      </c>
      <c r="N144" s="4">
        <f>O144*J144</f>
        <v>255.6</v>
      </c>
      <c r="O144" s="4">
        <v>25.56</v>
      </c>
      <c r="P144" s="4">
        <f>Q144*J144</f>
        <v>285.7</v>
      </c>
      <c r="Q144" s="136">
        <v>28.57</v>
      </c>
      <c r="R144" s="4">
        <f>P144-N144</f>
        <v>30.099999999999994</v>
      </c>
      <c r="S144" s="7">
        <f>R144/P144</f>
        <v>0.10535526776338815</v>
      </c>
      <c r="T144" s="7" t="str">
        <f>IF(S144&lt;0,"Negative",IF(S144=0,"Same",IF(S144&gt;0.3,"30+%",IF(S144&gt;0.2,"20-30%",IF(S144&gt;0.1,"10-20%",IF(S144&lt;=0.1,"0-10%"))))))</f>
        <v>10-20%</v>
      </c>
      <c r="U144" t="s">
        <v>215</v>
      </c>
      <c r="V144" t="s">
        <v>215</v>
      </c>
      <c r="W144" t="s">
        <v>180</v>
      </c>
      <c r="X144" s="135"/>
    </row>
    <row r="145" spans="1:24" s="133" customFormat="1" x14ac:dyDescent="0.3">
      <c r="A145" s="133" t="s">
        <v>171</v>
      </c>
      <c r="B145" s="134" t="s">
        <v>894</v>
      </c>
      <c r="C145" s="133" t="s">
        <v>895</v>
      </c>
      <c r="D145" s="133" t="s">
        <v>791</v>
      </c>
      <c r="E145" s="133" t="s">
        <v>94</v>
      </c>
      <c r="F145" s="133" t="s">
        <v>758</v>
      </c>
      <c r="G145" s="133" t="s">
        <v>896</v>
      </c>
      <c r="H145" s="136">
        <v>207.09</v>
      </c>
      <c r="I145" s="133">
        <v>3</v>
      </c>
      <c r="J145" s="133" t="s">
        <v>897</v>
      </c>
      <c r="K145" s="4">
        <f>H145-N145</f>
        <v>38.25</v>
      </c>
      <c r="L145" s="7">
        <f>K145/H145</f>
        <v>0.18470230334637114</v>
      </c>
      <c r="M145" s="7" t="str">
        <f>IF(L145&lt;0,"Negative",IF(L145=0,"Same",IF(L145&gt;0.3,"30+%",IF(L145&gt;0.2,"20-30%",IF(L145&gt;0.1,"10-20%",IF(L145&lt;=0.1,"0-10%"))))))</f>
        <v>10-20%</v>
      </c>
      <c r="N145" s="4">
        <f>O145*J145</f>
        <v>168.84</v>
      </c>
      <c r="O145" s="4">
        <v>18.760000000000002</v>
      </c>
      <c r="P145" s="4">
        <f>Q145*J145</f>
        <v>265.23</v>
      </c>
      <c r="Q145" s="136">
        <v>29.47</v>
      </c>
      <c r="R145" s="4">
        <f>P145-N145</f>
        <v>96.390000000000015</v>
      </c>
      <c r="S145" s="7">
        <f>R145/P145</f>
        <v>0.36342042755344423</v>
      </c>
      <c r="T145" s="7" t="str">
        <f>IF(S145&lt;0,"Negative",IF(S145=0,"Same",IF(S145&gt;0.3,"30+%",IF(S145&gt;0.2,"20-30%",IF(S145&gt;0.1,"10-20%",IF(S145&lt;=0.1,"0-10%"))))))</f>
        <v>30+%</v>
      </c>
      <c r="U145" t="s">
        <v>250</v>
      </c>
      <c r="V145" t="s">
        <v>215</v>
      </c>
      <c r="W145" t="s">
        <v>180</v>
      </c>
      <c r="X145" s="135"/>
    </row>
    <row r="146" spans="1:24" s="133" customFormat="1" x14ac:dyDescent="0.3">
      <c r="A146" s="133" t="s">
        <v>206</v>
      </c>
      <c r="B146" s="134" t="s">
        <v>453</v>
      </c>
      <c r="C146" s="133" t="s">
        <v>454</v>
      </c>
      <c r="D146" s="133" t="s">
        <v>455</v>
      </c>
      <c r="E146" s="133" t="s">
        <v>100</v>
      </c>
      <c r="F146" s="133" t="s">
        <v>456</v>
      </c>
      <c r="G146" s="133" t="s">
        <v>457</v>
      </c>
      <c r="H146" s="136">
        <v>228.9</v>
      </c>
      <c r="I146" s="133">
        <v>1</v>
      </c>
      <c r="J146" s="133" t="s">
        <v>187</v>
      </c>
      <c r="K146" s="4">
        <f>H146-N146</f>
        <v>22.02000000000001</v>
      </c>
      <c r="L146" s="7">
        <f>K146/H146</f>
        <v>9.619921363040633E-2</v>
      </c>
      <c r="M146" s="7" t="str">
        <f>IF(L146&lt;0,"Negative",IF(L146=0,"Same",IF(L146&gt;0.3,"30+%",IF(L146&gt;0.2,"20-30%",IF(L146&gt;0.1,"10-20%",IF(L146&lt;=0.1,"0-10%"))))))</f>
        <v>0-10%</v>
      </c>
      <c r="N146" s="4">
        <f>O146*J146</f>
        <v>206.88</v>
      </c>
      <c r="O146" s="4">
        <v>206.88</v>
      </c>
      <c r="P146" s="4">
        <f>Q146*J146</f>
        <v>239.68</v>
      </c>
      <c r="Q146" s="136">
        <v>239.68</v>
      </c>
      <c r="R146" s="4">
        <f>P146-N146</f>
        <v>32.800000000000011</v>
      </c>
      <c r="S146" s="7">
        <f>R146/P146</f>
        <v>0.13684913217623501</v>
      </c>
      <c r="T146" s="7" t="str">
        <f>IF(S146&lt;0,"Negative",IF(S146=0,"Same",IF(S146&gt;0.3,"30+%",IF(S146&gt;0.2,"20-30%",IF(S146&gt;0.1,"10-20%",IF(S146&lt;=0.1,"0-10%"))))))</f>
        <v>10-20%</v>
      </c>
      <c r="U146" t="s">
        <v>215</v>
      </c>
      <c r="V146" t="s">
        <v>215</v>
      </c>
      <c r="W146" t="s">
        <v>180</v>
      </c>
      <c r="X146" s="135"/>
    </row>
    <row r="147" spans="1:24" s="133" customFormat="1" x14ac:dyDescent="0.3">
      <c r="A147" s="133" t="s">
        <v>171</v>
      </c>
      <c r="B147" s="134" t="s">
        <v>634</v>
      </c>
      <c r="C147" s="133" t="s">
        <v>624</v>
      </c>
      <c r="D147" s="133" t="s">
        <v>325</v>
      </c>
      <c r="E147" s="133" t="s">
        <v>120</v>
      </c>
      <c r="F147" s="133" t="s">
        <v>326</v>
      </c>
      <c r="G147" s="133" t="s">
        <v>327</v>
      </c>
      <c r="H147" s="136">
        <v>230.64</v>
      </c>
      <c r="I147" s="133">
        <v>3</v>
      </c>
      <c r="J147" s="133" t="s">
        <v>635</v>
      </c>
      <c r="K147" s="4">
        <f>H147-N147</f>
        <v>15.079999999999984</v>
      </c>
      <c r="L147" s="7">
        <f>K147/H147</f>
        <v>6.5383281304196947E-2</v>
      </c>
      <c r="M147" s="7" t="str">
        <f>IF(L147&lt;0,"Negative",IF(L147=0,"Same",IF(L147&gt;0.3,"30+%",IF(L147&gt;0.2,"20-30%",IF(L147&gt;0.1,"10-20%",IF(L147&lt;=0.1,"0-10%"))))))</f>
        <v>0-10%</v>
      </c>
      <c r="N147" s="4">
        <f>O147*J147</f>
        <v>215.56</v>
      </c>
      <c r="O147" s="4">
        <v>3.17</v>
      </c>
      <c r="P147" s="4">
        <f>Q147*J147</f>
        <v>249.56</v>
      </c>
      <c r="Q147" s="136">
        <v>3.67</v>
      </c>
      <c r="R147" s="4">
        <f>P147-N147</f>
        <v>34</v>
      </c>
      <c r="S147" s="7">
        <f>R147/P147</f>
        <v>0.13623978201634876</v>
      </c>
      <c r="T147" s="7" t="str">
        <f>IF(S147&lt;0,"Negative",IF(S147=0,"Same",IF(S147&gt;0.3,"30+%",IF(S147&gt;0.2,"20-30%",IF(S147&gt;0.1,"10-20%",IF(S147&lt;=0.1,"0-10%"))))))</f>
        <v>10-20%</v>
      </c>
      <c r="U147" t="s">
        <v>215</v>
      </c>
      <c r="V147" t="s">
        <v>215</v>
      </c>
      <c r="W147" t="s">
        <v>180</v>
      </c>
      <c r="X147" s="135" t="s">
        <v>945</v>
      </c>
    </row>
    <row r="148" spans="1:24" s="133" customFormat="1" x14ac:dyDescent="0.3">
      <c r="A148" s="133" t="s">
        <v>171</v>
      </c>
      <c r="B148" s="134" t="s">
        <v>832</v>
      </c>
      <c r="C148" s="133" t="s">
        <v>833</v>
      </c>
      <c r="D148" s="133" t="s">
        <v>325</v>
      </c>
      <c r="E148" s="133" t="s">
        <v>120</v>
      </c>
      <c r="F148" s="133" t="s">
        <v>326</v>
      </c>
      <c r="G148" s="133" t="s">
        <v>327</v>
      </c>
      <c r="H148" s="136">
        <v>230.64</v>
      </c>
      <c r="I148" s="133">
        <v>3</v>
      </c>
      <c r="J148" s="133" t="s">
        <v>635</v>
      </c>
      <c r="K148" s="4">
        <f>H148-N148</f>
        <v>15.079999999999984</v>
      </c>
      <c r="L148" s="7">
        <f>K148/H148</f>
        <v>6.5383281304196947E-2</v>
      </c>
      <c r="M148" s="7" t="str">
        <f>IF(L148&lt;0,"Negative",IF(L148=0,"Same",IF(L148&gt;0.3,"30+%",IF(L148&gt;0.2,"20-30%",IF(L148&gt;0.1,"10-20%",IF(L148&lt;=0.1,"0-10%"))))))</f>
        <v>0-10%</v>
      </c>
      <c r="N148" s="4">
        <f>O148*J148</f>
        <v>215.56</v>
      </c>
      <c r="O148" s="4">
        <v>3.17</v>
      </c>
      <c r="P148" s="4">
        <f>Q148*J148</f>
        <v>249.56</v>
      </c>
      <c r="Q148" s="136">
        <v>3.67</v>
      </c>
      <c r="R148" s="4">
        <f>P148-N148</f>
        <v>34</v>
      </c>
      <c r="S148" s="7">
        <f>R148/P148</f>
        <v>0.13623978201634876</v>
      </c>
      <c r="T148" s="7" t="str">
        <f>IF(S148&lt;0,"Negative",IF(S148=0,"Same",IF(S148&gt;0.3,"30+%",IF(S148&gt;0.2,"20-30%",IF(S148&gt;0.1,"10-20%",IF(S148&lt;=0.1,"0-10%"))))))</f>
        <v>10-20%</v>
      </c>
      <c r="U148" t="s">
        <v>215</v>
      </c>
      <c r="V148" t="s">
        <v>215</v>
      </c>
      <c r="W148" t="s">
        <v>180</v>
      </c>
      <c r="X148" s="135"/>
    </row>
    <row r="149" spans="1:24" s="133" customFormat="1" x14ac:dyDescent="0.3">
      <c r="A149" s="133" t="s">
        <v>171</v>
      </c>
      <c r="B149" s="134" t="s">
        <v>561</v>
      </c>
      <c r="C149" s="133" t="s">
        <v>562</v>
      </c>
      <c r="D149" s="133" t="s">
        <v>563</v>
      </c>
      <c r="E149" s="133" t="s">
        <v>94</v>
      </c>
      <c r="F149" s="133" t="s">
        <v>564</v>
      </c>
      <c r="G149" s="133" t="s">
        <v>565</v>
      </c>
      <c r="H149" s="136">
        <v>234.4</v>
      </c>
      <c r="I149" s="133">
        <v>2</v>
      </c>
      <c r="J149" s="133" t="s">
        <v>322</v>
      </c>
      <c r="K149" s="4">
        <f>H149-N149</f>
        <v>35.199999999999989</v>
      </c>
      <c r="L149" s="7">
        <f>K149/H149</f>
        <v>0.15017064846416378</v>
      </c>
      <c r="M149" s="7" t="str">
        <f>IF(L149&lt;0,"Negative",IF(L149=0,"Same",IF(L149&gt;0.3,"30+%",IF(L149&gt;0.2,"20-30%",IF(L149&gt;0.1,"10-20%",IF(L149&lt;=0.1,"0-10%"))))))</f>
        <v>10-20%</v>
      </c>
      <c r="N149" s="4">
        <f>O149*J149</f>
        <v>199.20000000000002</v>
      </c>
      <c r="O149" s="4">
        <v>19.920000000000002</v>
      </c>
      <c r="P149" s="4">
        <f>Q149*J149</f>
        <v>239.5</v>
      </c>
      <c r="Q149" s="136">
        <v>23.95</v>
      </c>
      <c r="R149" s="4">
        <f>P149-N149</f>
        <v>40.299999999999983</v>
      </c>
      <c r="S149" s="7">
        <f>R149/P149</f>
        <v>0.16826722338204586</v>
      </c>
      <c r="T149" s="7" t="str">
        <f>IF(S149&lt;0,"Negative",IF(S149=0,"Same",IF(S149&gt;0.3,"30+%",IF(S149&gt;0.2,"20-30%",IF(S149&gt;0.1,"10-20%",IF(S149&lt;=0.1,"0-10%"))))))</f>
        <v>10-20%</v>
      </c>
      <c r="U149" t="s">
        <v>215</v>
      </c>
      <c r="V149" t="s">
        <v>215</v>
      </c>
      <c r="W149" t="s">
        <v>180</v>
      </c>
      <c r="X149" s="135"/>
    </row>
    <row r="150" spans="1:24" s="133" customFormat="1" x14ac:dyDescent="0.3">
      <c r="A150" s="133" t="s">
        <v>171</v>
      </c>
      <c r="B150" s="134" t="s">
        <v>632</v>
      </c>
      <c r="C150" s="133" t="s">
        <v>633</v>
      </c>
      <c r="D150" s="133" t="s">
        <v>491</v>
      </c>
      <c r="E150" s="133" t="s">
        <v>103</v>
      </c>
      <c r="F150" s="133" t="s">
        <v>492</v>
      </c>
      <c r="G150" s="133" t="s">
        <v>493</v>
      </c>
      <c r="H150" s="136">
        <v>244</v>
      </c>
      <c r="I150" s="133">
        <v>1</v>
      </c>
      <c r="J150" s="133" t="s">
        <v>177</v>
      </c>
      <c r="K150" s="4">
        <f>H150-N150</f>
        <v>6.4199999999999875</v>
      </c>
      <c r="L150" s="7">
        <f>K150/H150</f>
        <v>2.6311475409836013E-2</v>
      </c>
      <c r="M150" s="7" t="str">
        <f>IF(L150&lt;0,"Negative",IF(L150=0,"Same",IF(L150&gt;0.3,"30+%",IF(L150&gt;0.2,"20-30%",IF(L150&gt;0.1,"10-20%",IF(L150&lt;=0.1,"0-10%"))))))</f>
        <v>0-10%</v>
      </c>
      <c r="N150" s="4">
        <f>O150*J150</f>
        <v>237.58</v>
      </c>
      <c r="O150" s="4">
        <v>118.79</v>
      </c>
      <c r="P150" s="4">
        <f>Q150*J150</f>
        <v>244</v>
      </c>
      <c r="Q150" s="136">
        <v>122</v>
      </c>
      <c r="R150" s="4">
        <f>P150-N150</f>
        <v>6.4199999999999875</v>
      </c>
      <c r="S150" s="7">
        <f>R150/P150</f>
        <v>2.6311475409836013E-2</v>
      </c>
      <c r="T150" s="7" t="str">
        <f>IF(S150&lt;0,"Negative",IF(S150=0,"Same",IF(S150&gt;0.3,"30+%",IF(S150&gt;0.2,"20-30%",IF(S150&gt;0.1,"10-20%",IF(S150&lt;=0.1,"0-10%"))))))</f>
        <v>0-10%</v>
      </c>
      <c r="U150" t="s">
        <v>215</v>
      </c>
      <c r="V150" t="s">
        <v>215</v>
      </c>
      <c r="W150" t="s">
        <v>180</v>
      </c>
      <c r="X150" s="135"/>
    </row>
    <row r="151" spans="1:24" s="133" customFormat="1" x14ac:dyDescent="0.3">
      <c r="A151" s="133" t="s">
        <v>206</v>
      </c>
      <c r="B151" s="134" t="s">
        <v>933</v>
      </c>
      <c r="C151" s="133" t="s">
        <v>934</v>
      </c>
      <c r="D151" s="133" t="s">
        <v>935</v>
      </c>
      <c r="E151" s="133" t="s">
        <v>112</v>
      </c>
      <c r="F151" s="133" t="s">
        <v>936</v>
      </c>
      <c r="G151" s="133" t="s">
        <v>937</v>
      </c>
      <c r="H151" s="136">
        <v>245.28</v>
      </c>
      <c r="I151" s="133">
        <v>2</v>
      </c>
      <c r="J151" s="133" t="s">
        <v>750</v>
      </c>
      <c r="K151" s="4">
        <f>H151-N151</f>
        <v>-7.1999999999999886</v>
      </c>
      <c r="L151" s="7">
        <f>K151/H151</f>
        <v>-2.935420743639917E-2</v>
      </c>
      <c r="M151" s="7" t="str">
        <f>IF(L151&lt;0,"Negative",IF(L151=0,"Same",IF(L151&gt;0.3,"30+%",IF(L151&gt;0.2,"20-30%",IF(L151&gt;0.1,"10-20%",IF(L151&lt;=0.1,"0-10%"))))))</f>
        <v>Negative</v>
      </c>
      <c r="N151" s="4">
        <f>O151*J151</f>
        <v>252.48</v>
      </c>
      <c r="O151" s="4">
        <v>10.52</v>
      </c>
      <c r="P151" s="4">
        <f>Q151*J151</f>
        <v>259.20000000000005</v>
      </c>
      <c r="Q151" s="136">
        <v>10.8</v>
      </c>
      <c r="R151" s="4">
        <f>P151-N151</f>
        <v>6.7200000000000557</v>
      </c>
      <c r="S151" s="7">
        <f>R151/P151</f>
        <v>2.5925925925926137E-2</v>
      </c>
      <c r="T151" s="7" t="str">
        <f>IF(S151&lt;0,"Negative",IF(S151=0,"Same",IF(S151&gt;0.3,"30+%",IF(S151&gt;0.2,"20-30%",IF(S151&gt;0.1,"10-20%",IF(S151&lt;=0.1,"0-10%"))))))</f>
        <v>0-10%</v>
      </c>
      <c r="U151" t="s">
        <v>215</v>
      </c>
      <c r="V151" t="s">
        <v>215</v>
      </c>
      <c r="W151" t="s">
        <v>180</v>
      </c>
      <c r="X151" s="135"/>
    </row>
    <row r="152" spans="1:24" s="133" customFormat="1" x14ac:dyDescent="0.3">
      <c r="A152" s="133" t="s">
        <v>206</v>
      </c>
      <c r="B152" s="134" t="s">
        <v>888</v>
      </c>
      <c r="C152" s="133" t="s">
        <v>889</v>
      </c>
      <c r="D152" s="133" t="s">
        <v>646</v>
      </c>
      <c r="E152" s="133" t="s">
        <v>112</v>
      </c>
      <c r="F152" s="133" t="s">
        <v>647</v>
      </c>
      <c r="G152" s="133" t="s">
        <v>648</v>
      </c>
      <c r="H152" s="136">
        <v>251.14</v>
      </c>
      <c r="I152" s="133">
        <v>6</v>
      </c>
      <c r="J152" s="133" t="s">
        <v>890</v>
      </c>
      <c r="K152" s="4">
        <f>H152-N152</f>
        <v>-20.670000000000016</v>
      </c>
      <c r="L152" s="7">
        <f>K152/H152</f>
        <v>-8.230469061081476E-2</v>
      </c>
      <c r="M152" s="7" t="str">
        <f>IF(L152&lt;0,"Negative",IF(L152=0,"Same",IF(L152&gt;0.3,"30+%",IF(L152&gt;0.2,"20-30%",IF(L152&gt;0.1,"10-20%",IF(L152&lt;=0.1,"0-10%"))))))</f>
        <v>Negative</v>
      </c>
      <c r="N152" s="4">
        <f>O152*J152</f>
        <v>271.81</v>
      </c>
      <c r="O152" s="4">
        <v>24.71</v>
      </c>
      <c r="P152" s="4">
        <f>Q152*J152</f>
        <v>279.07</v>
      </c>
      <c r="Q152" s="136">
        <v>25.37</v>
      </c>
      <c r="R152" s="4">
        <f>P152-N152</f>
        <v>7.2599999999999909</v>
      </c>
      <c r="S152" s="7">
        <f>R152/P152</f>
        <v>2.6014978320851367E-2</v>
      </c>
      <c r="T152" s="7" t="str">
        <f>IF(S152&lt;0,"Negative",IF(S152=0,"Same",IF(S152&gt;0.3,"30+%",IF(S152&gt;0.2,"20-30%",IF(S152&gt;0.1,"10-20%",IF(S152&lt;=0.1,"0-10%"))))))</f>
        <v>0-10%</v>
      </c>
      <c r="U152" t="s">
        <v>215</v>
      </c>
      <c r="V152" t="s">
        <v>215</v>
      </c>
      <c r="W152" t="s">
        <v>180</v>
      </c>
      <c r="X152" s="135"/>
    </row>
    <row r="153" spans="1:24" s="133" customFormat="1" x14ac:dyDescent="0.3">
      <c r="A153" s="133" t="s">
        <v>206</v>
      </c>
      <c r="B153" s="134" t="s">
        <v>760</v>
      </c>
      <c r="C153" s="133" t="s">
        <v>761</v>
      </c>
      <c r="D153" s="133" t="s">
        <v>422</v>
      </c>
      <c r="E153" s="133" t="s">
        <v>109</v>
      </c>
      <c r="F153" s="133" t="s">
        <v>753</v>
      </c>
      <c r="G153" s="133" t="s">
        <v>762</v>
      </c>
      <c r="H153" s="136">
        <v>251.31</v>
      </c>
      <c r="I153" s="133">
        <v>1</v>
      </c>
      <c r="J153" s="133" t="s">
        <v>187</v>
      </c>
      <c r="K153" s="4">
        <f>H153-N153</f>
        <v>55.81</v>
      </c>
      <c r="L153" s="7">
        <f>K153/H153</f>
        <v>0.22207632008276632</v>
      </c>
      <c r="M153" s="7" t="str">
        <f>IF(L153&lt;0,"Negative",IF(L153=0,"Same",IF(L153&gt;0.3,"30+%",IF(L153&gt;0.2,"20-30%",IF(L153&gt;0.1,"10-20%",IF(L153&lt;=0.1,"0-10%"))))))</f>
        <v>20-30%</v>
      </c>
      <c r="N153" s="4">
        <f>O153*J153</f>
        <v>195.5</v>
      </c>
      <c r="O153" s="4">
        <v>195.5</v>
      </c>
      <c r="P153" s="4">
        <f>Q153*J153</f>
        <v>218.5</v>
      </c>
      <c r="Q153" s="136">
        <v>218.5</v>
      </c>
      <c r="R153" s="4">
        <f>P153-N153</f>
        <v>23</v>
      </c>
      <c r="S153" s="7">
        <f>R153/P153</f>
        <v>0.10526315789473684</v>
      </c>
      <c r="T153" s="7" t="str">
        <f>IF(S153&lt;0,"Negative",IF(S153=0,"Same",IF(S153&gt;0.3,"30+%",IF(S153&gt;0.2,"20-30%",IF(S153&gt;0.1,"10-20%",IF(S153&lt;=0.1,"0-10%"))))))</f>
        <v>10-20%</v>
      </c>
      <c r="U153" t="s">
        <v>215</v>
      </c>
      <c r="V153" t="s">
        <v>215</v>
      </c>
      <c r="W153" t="s">
        <v>180</v>
      </c>
      <c r="X153" s="135"/>
    </row>
    <row r="154" spans="1:24" s="133" customFormat="1" x14ac:dyDescent="0.3">
      <c r="A154" s="133" t="s">
        <v>206</v>
      </c>
      <c r="B154" s="134" t="s">
        <v>433</v>
      </c>
      <c r="C154" s="133" t="s">
        <v>434</v>
      </c>
      <c r="D154" s="133" t="s">
        <v>435</v>
      </c>
      <c r="E154" s="133" t="s">
        <v>112</v>
      </c>
      <c r="F154" s="133" t="s">
        <v>436</v>
      </c>
      <c r="G154" s="133" t="s">
        <v>437</v>
      </c>
      <c r="H154" s="136">
        <v>254.16</v>
      </c>
      <c r="I154" s="133">
        <v>3</v>
      </c>
      <c r="J154" s="133" t="s">
        <v>281</v>
      </c>
      <c r="K154" s="4">
        <f>H154-N154</f>
        <v>-9.3400000000000034</v>
      </c>
      <c r="L154" s="7">
        <f>K154/H154</f>
        <v>-3.6748504878816507E-2</v>
      </c>
      <c r="M154" s="7" t="str">
        <f>IF(L154&lt;0,"Negative",IF(L154=0,"Same",IF(L154&gt;0.3,"30+%",IF(L154&gt;0.2,"20-30%",IF(L154&gt;0.1,"10-20%",IF(L154&lt;=0.1,"0-10%"))))))</f>
        <v>Negative</v>
      </c>
      <c r="N154" s="4">
        <f>O154*J154</f>
        <v>263.5</v>
      </c>
      <c r="O154" s="4">
        <v>52.7</v>
      </c>
      <c r="P154" s="4">
        <f>Q154*J154</f>
        <v>270.59999999999997</v>
      </c>
      <c r="Q154" s="136">
        <v>54.12</v>
      </c>
      <c r="R154" s="4">
        <f>P154-N154</f>
        <v>7.0999999999999659</v>
      </c>
      <c r="S154" s="7">
        <f>R154/P154</f>
        <v>2.6237989652623677E-2</v>
      </c>
      <c r="T154" s="7" t="str">
        <f>IF(S154&lt;0,"Negative",IF(S154=0,"Same",IF(S154&gt;0.3,"30+%",IF(S154&gt;0.2,"20-30%",IF(S154&gt;0.1,"10-20%",IF(S154&lt;=0.1,"0-10%"))))))</f>
        <v>0-10%</v>
      </c>
      <c r="U154" t="s">
        <v>215</v>
      </c>
      <c r="V154" t="s">
        <v>215</v>
      </c>
      <c r="W154" t="s">
        <v>180</v>
      </c>
      <c r="X154" s="135"/>
    </row>
    <row r="155" spans="1:24" s="133" customFormat="1" x14ac:dyDescent="0.3">
      <c r="A155" s="133" t="s">
        <v>171</v>
      </c>
      <c r="B155" s="134" t="s">
        <v>698</v>
      </c>
      <c r="C155" s="133" t="s">
        <v>699</v>
      </c>
      <c r="D155" s="133" t="s">
        <v>209</v>
      </c>
      <c r="E155" s="133" t="s">
        <v>113</v>
      </c>
      <c r="F155" s="133" t="s">
        <v>700</v>
      </c>
      <c r="G155" s="133" t="s">
        <v>701</v>
      </c>
      <c r="H155" s="136">
        <v>255</v>
      </c>
      <c r="I155" s="133">
        <v>1</v>
      </c>
      <c r="J155" s="133" t="s">
        <v>702</v>
      </c>
      <c r="K155" s="4">
        <f>H155-N155</f>
        <v>-24.300000000000011</v>
      </c>
      <c r="L155" s="7">
        <f>K155/H155</f>
        <v>-9.5294117647058862E-2</v>
      </c>
      <c r="M155" s="7" t="str">
        <f>IF(L155&lt;0,"Negative",IF(L155=0,"Same",IF(L155&gt;0.3,"30+%",IF(L155&gt;0.2,"20-30%",IF(L155&gt;0.1,"10-20%",IF(L155&lt;=0.1,"0-10%"))))))</f>
        <v>Negative</v>
      </c>
      <c r="N155" s="4">
        <f>O155*J155</f>
        <v>279.3</v>
      </c>
      <c r="O155" s="4">
        <v>9.31</v>
      </c>
      <c r="P155" s="4">
        <f>Q155*J155</f>
        <v>312</v>
      </c>
      <c r="Q155" s="136">
        <v>10.4</v>
      </c>
      <c r="R155" s="4">
        <f>P155-N155</f>
        <v>32.699999999999989</v>
      </c>
      <c r="S155" s="7">
        <f>R155/P155</f>
        <v>0.10480769230769227</v>
      </c>
      <c r="T155" s="7" t="str">
        <f>IF(S155&lt;0,"Negative",IF(S155=0,"Same",IF(S155&gt;0.3,"30+%",IF(S155&gt;0.2,"20-30%",IF(S155&gt;0.1,"10-20%",IF(S155&lt;=0.1,"0-10%"))))))</f>
        <v>10-20%</v>
      </c>
      <c r="U155" t="s">
        <v>215</v>
      </c>
      <c r="V155" t="s">
        <v>215</v>
      </c>
      <c r="W155" t="s">
        <v>180</v>
      </c>
      <c r="X155" s="135"/>
    </row>
    <row r="156" spans="1:24" s="133" customFormat="1" x14ac:dyDescent="0.3">
      <c r="A156" s="133" t="s">
        <v>171</v>
      </c>
      <c r="B156" s="134" t="s">
        <v>751</v>
      </c>
      <c r="C156" s="133" t="s">
        <v>752</v>
      </c>
      <c r="D156" s="133" t="s">
        <v>422</v>
      </c>
      <c r="E156" s="133" t="s">
        <v>109</v>
      </c>
      <c r="F156" s="133" t="s">
        <v>753</v>
      </c>
      <c r="G156" s="133" t="s">
        <v>754</v>
      </c>
      <c r="H156" s="136">
        <v>257.27</v>
      </c>
      <c r="I156" s="133">
        <v>1</v>
      </c>
      <c r="J156" s="133" t="s">
        <v>187</v>
      </c>
      <c r="K156" s="4">
        <f>H156-N156</f>
        <v>9.039999999999992</v>
      </c>
      <c r="L156" s="7">
        <f>K156/H156</f>
        <v>3.5138181676837535E-2</v>
      </c>
      <c r="M156" s="7" t="str">
        <f>IF(L156&lt;0,"Negative",IF(L156=0,"Same",IF(L156&gt;0.3,"30+%",IF(L156&gt;0.2,"20-30%",IF(L156&gt;0.1,"10-20%",IF(L156&lt;=0.1,"0-10%"))))))</f>
        <v>0-10%</v>
      </c>
      <c r="N156" s="4">
        <f>O156*J156</f>
        <v>248.23</v>
      </c>
      <c r="O156" s="4">
        <v>248.23</v>
      </c>
      <c r="P156" s="4">
        <f>Q156*J156</f>
        <v>277.44</v>
      </c>
      <c r="Q156" s="136">
        <v>277.44</v>
      </c>
      <c r="R156" s="4">
        <f>P156-N156</f>
        <v>29.210000000000008</v>
      </c>
      <c r="S156" s="7">
        <f>R156/P156</f>
        <v>0.10528402537485586</v>
      </c>
      <c r="T156" s="7" t="str">
        <f>IF(S156&lt;0,"Negative",IF(S156=0,"Same",IF(S156&gt;0.3,"30+%",IF(S156&gt;0.2,"20-30%",IF(S156&gt;0.1,"10-20%",IF(S156&lt;=0.1,"0-10%"))))))</f>
        <v>10-20%</v>
      </c>
      <c r="U156" t="s">
        <v>215</v>
      </c>
      <c r="V156" t="s">
        <v>215</v>
      </c>
      <c r="W156" t="s">
        <v>180</v>
      </c>
      <c r="X156" s="135"/>
    </row>
    <row r="157" spans="1:24" s="133" customFormat="1" x14ac:dyDescent="0.3">
      <c r="A157" s="133" t="s">
        <v>171</v>
      </c>
      <c r="B157" s="134" t="s">
        <v>498</v>
      </c>
      <c r="C157" s="133" t="s">
        <v>499</v>
      </c>
      <c r="D157" s="133" t="s">
        <v>209</v>
      </c>
      <c r="E157" s="133" t="s">
        <v>118</v>
      </c>
      <c r="F157" s="133" t="s">
        <v>500</v>
      </c>
      <c r="G157" s="133" t="s">
        <v>501</v>
      </c>
      <c r="H157" s="136">
        <v>260.10000000000002</v>
      </c>
      <c r="I157" s="133">
        <v>2</v>
      </c>
      <c r="J157" s="133" t="s">
        <v>177</v>
      </c>
      <c r="K157" s="4">
        <f>H157-N157</f>
        <v>0.48000000000001819</v>
      </c>
      <c r="L157" s="7">
        <f>K157/H157</f>
        <v>1.8454440599770018E-3</v>
      </c>
      <c r="M157" s="7" t="str">
        <f>IF(L157&lt;0,"Negative",IF(L157=0,"Same",IF(L157&gt;0.3,"30+%",IF(L157&gt;0.2,"20-30%",IF(L157&gt;0.1,"10-20%",IF(L157&lt;=0.1,"0-10%"))))))</f>
        <v>0-10%</v>
      </c>
      <c r="N157" s="4">
        <f>O157*J157</f>
        <v>259.62</v>
      </c>
      <c r="O157" s="4">
        <v>129.81</v>
      </c>
      <c r="P157" s="4">
        <f>Q157*J157</f>
        <v>266.62</v>
      </c>
      <c r="Q157" s="136">
        <v>133.31</v>
      </c>
      <c r="R157" s="4">
        <f>P157-N157</f>
        <v>7</v>
      </c>
      <c r="S157" s="7">
        <f>R157/P157</f>
        <v>2.6254594554046957E-2</v>
      </c>
      <c r="T157" s="7" t="str">
        <f>IF(S157&lt;0,"Negative",IF(S157=0,"Same",IF(S157&gt;0.3,"30+%",IF(S157&gt;0.2,"20-30%",IF(S157&gt;0.1,"10-20%",IF(S157&lt;=0.1,"0-10%"))))))</f>
        <v>0-10%</v>
      </c>
      <c r="U157" t="s">
        <v>215</v>
      </c>
      <c r="V157" t="s">
        <v>215</v>
      </c>
      <c r="W157" t="s">
        <v>180</v>
      </c>
      <c r="X157" s="135"/>
    </row>
    <row r="158" spans="1:24" s="133" customFormat="1" x14ac:dyDescent="0.3">
      <c r="A158" s="133" t="s">
        <v>171</v>
      </c>
      <c r="B158" s="134" t="s">
        <v>872</v>
      </c>
      <c r="C158" s="133" t="s">
        <v>873</v>
      </c>
      <c r="D158" s="133" t="s">
        <v>314</v>
      </c>
      <c r="E158" s="133" t="s">
        <v>107</v>
      </c>
      <c r="F158" s="133" t="s">
        <v>782</v>
      </c>
      <c r="G158" s="133" t="s">
        <v>874</v>
      </c>
      <c r="H158" s="136">
        <v>263.13</v>
      </c>
      <c r="I158" s="133">
        <v>1</v>
      </c>
      <c r="J158" s="133" t="s">
        <v>296</v>
      </c>
      <c r="K158" s="4">
        <f>H158-N158</f>
        <v>-11.639999999999986</v>
      </c>
      <c r="L158" s="7">
        <f>K158/H158</f>
        <v>-4.4236689089043386E-2</v>
      </c>
      <c r="M158" s="7" t="str">
        <f>IF(L158&lt;0,"Negative",IF(L158=0,"Same",IF(L158&gt;0.3,"30+%",IF(L158&gt;0.2,"20-30%",IF(L158&gt;0.1,"10-20%",IF(L158&lt;=0.1,"0-10%"))))))</f>
        <v>Negative</v>
      </c>
      <c r="N158" s="4">
        <f>O158*J158</f>
        <v>274.77</v>
      </c>
      <c r="O158" s="4">
        <v>91.59</v>
      </c>
      <c r="P158" s="4">
        <f>Q158*J158</f>
        <v>300.06</v>
      </c>
      <c r="Q158" s="136">
        <v>100.02</v>
      </c>
      <c r="R158" s="4">
        <f>P158-N158</f>
        <v>25.29000000000002</v>
      </c>
      <c r="S158" s="7">
        <f>R158/P158</f>
        <v>8.4283143371325808E-2</v>
      </c>
      <c r="T158" s="7" t="str">
        <f>IF(S158&lt;0,"Negative",IF(S158=0,"Same",IF(S158&gt;0.3,"30+%",IF(S158&gt;0.2,"20-30%",IF(S158&gt;0.1,"10-20%",IF(S158&lt;=0.1,"0-10%"))))))</f>
        <v>0-10%</v>
      </c>
      <c r="U158" t="s">
        <v>215</v>
      </c>
      <c r="V158" t="s">
        <v>215</v>
      </c>
      <c r="W158" t="s">
        <v>180</v>
      </c>
      <c r="X158" s="135"/>
    </row>
    <row r="159" spans="1:24" s="133" customFormat="1" x14ac:dyDescent="0.3">
      <c r="A159" s="133" t="s">
        <v>206</v>
      </c>
      <c r="B159" s="134" t="s">
        <v>581</v>
      </c>
      <c r="C159" s="133" t="s">
        <v>582</v>
      </c>
      <c r="D159" s="133" t="s">
        <v>583</v>
      </c>
      <c r="E159" s="133" t="s">
        <v>122</v>
      </c>
      <c r="F159" s="133" t="s">
        <v>338</v>
      </c>
      <c r="G159" s="133" t="s">
        <v>584</v>
      </c>
      <c r="H159" s="136">
        <v>268.88</v>
      </c>
      <c r="I159" s="133">
        <v>1</v>
      </c>
      <c r="J159" s="133" t="s">
        <v>187</v>
      </c>
      <c r="K159" s="4">
        <f>H159-N159</f>
        <v>7.0799999999999841</v>
      </c>
      <c r="L159" s="7">
        <f>K159/H159</f>
        <v>2.6331448973519727E-2</v>
      </c>
      <c r="M159" s="7" t="str">
        <f>IF(L159&lt;0,"Negative",IF(L159=0,"Same",IF(L159&gt;0.3,"30+%",IF(L159&gt;0.2,"20-30%",IF(L159&gt;0.1,"10-20%",IF(L159&lt;=0.1,"0-10%"))))))</f>
        <v>0-10%</v>
      </c>
      <c r="N159" s="4">
        <f>O159*J159</f>
        <v>261.8</v>
      </c>
      <c r="O159" s="4">
        <v>261.8</v>
      </c>
      <c r="P159" s="4">
        <f>Q159*J159</f>
        <v>268.88</v>
      </c>
      <c r="Q159" s="136">
        <v>268.88</v>
      </c>
      <c r="R159" s="4">
        <f>P159-N159</f>
        <v>7.0799999999999841</v>
      </c>
      <c r="S159" s="7">
        <f>R159/P159</f>
        <v>2.6331448973519727E-2</v>
      </c>
      <c r="T159" s="7" t="str">
        <f>IF(S159&lt;0,"Negative",IF(S159=0,"Same",IF(S159&gt;0.3,"30+%",IF(S159&gt;0.2,"20-30%",IF(S159&gt;0.1,"10-20%",IF(S159&lt;=0.1,"0-10%"))))))</f>
        <v>0-10%</v>
      </c>
      <c r="U159" t="s">
        <v>215</v>
      </c>
      <c r="V159" t="s">
        <v>215</v>
      </c>
      <c r="W159" t="s">
        <v>180</v>
      </c>
      <c r="X159" s="135"/>
    </row>
    <row r="160" spans="1:24" s="133" customFormat="1" x14ac:dyDescent="0.3">
      <c r="A160" s="133" t="s">
        <v>171</v>
      </c>
      <c r="B160" s="134" t="s">
        <v>882</v>
      </c>
      <c r="C160" s="133" t="s">
        <v>883</v>
      </c>
      <c r="D160" s="133" t="s">
        <v>884</v>
      </c>
      <c r="E160" s="133" t="s">
        <v>120</v>
      </c>
      <c r="F160" s="133" t="s">
        <v>653</v>
      </c>
      <c r="G160" s="133" t="s">
        <v>654</v>
      </c>
      <c r="H160" s="136">
        <v>277</v>
      </c>
      <c r="I160" s="133">
        <v>1</v>
      </c>
      <c r="J160" s="133" t="s">
        <v>187</v>
      </c>
      <c r="K160" s="4">
        <f>H160-N160</f>
        <v>15.980000000000018</v>
      </c>
      <c r="L160" s="7">
        <f>K160/H160</f>
        <v>5.7689530685920642E-2</v>
      </c>
      <c r="M160" s="7" t="str">
        <f>IF(L160&lt;0,"Negative",IF(L160=0,"Same",IF(L160&gt;0.3,"30+%",IF(L160&gt;0.2,"20-30%",IF(L160&gt;0.1,"10-20%",IF(L160&lt;=0.1,"0-10%"))))))</f>
        <v>0-10%</v>
      </c>
      <c r="N160" s="4">
        <f>O160*J160</f>
        <v>261.02</v>
      </c>
      <c r="O160" s="4">
        <v>261.02</v>
      </c>
      <c r="P160" s="4">
        <f>Q160*J160</f>
        <v>302.39999999999998</v>
      </c>
      <c r="Q160" s="136">
        <v>302.39999999999998</v>
      </c>
      <c r="R160" s="4">
        <f>P160-N160</f>
        <v>41.379999999999995</v>
      </c>
      <c r="S160" s="7">
        <f>R160/P160</f>
        <v>0.13683862433862434</v>
      </c>
      <c r="T160" s="7" t="str">
        <f>IF(S160&lt;0,"Negative",IF(S160=0,"Same",IF(S160&gt;0.3,"30+%",IF(S160&gt;0.2,"20-30%",IF(S160&gt;0.1,"10-20%",IF(S160&lt;=0.1,"0-10%"))))))</f>
        <v>10-20%</v>
      </c>
      <c r="U160" t="s">
        <v>215</v>
      </c>
      <c r="V160" t="s">
        <v>215</v>
      </c>
      <c r="W160" t="s">
        <v>180</v>
      </c>
      <c r="X160" s="135" t="s">
        <v>945</v>
      </c>
    </row>
    <row r="161" spans="1:24" s="133" customFormat="1" x14ac:dyDescent="0.3">
      <c r="A161" s="133" t="s">
        <v>171</v>
      </c>
      <c r="B161" s="134" t="s">
        <v>438</v>
      </c>
      <c r="C161" s="133" t="s">
        <v>439</v>
      </c>
      <c r="D161" s="133" t="s">
        <v>440</v>
      </c>
      <c r="E161" s="133" t="s">
        <v>120</v>
      </c>
      <c r="F161" s="133" t="s">
        <v>441</v>
      </c>
      <c r="G161" s="133" t="s">
        <v>442</v>
      </c>
      <c r="H161" s="136">
        <v>295.64999999999998</v>
      </c>
      <c r="I161" s="133">
        <v>2</v>
      </c>
      <c r="J161" s="133" t="s">
        <v>296</v>
      </c>
      <c r="K161" s="4">
        <f>H161-N161</f>
        <v>-76.649999999999977</v>
      </c>
      <c r="L161" s="7">
        <f>K161/H161</f>
        <v>-0.25925925925925919</v>
      </c>
      <c r="M161" s="7" t="str">
        <f>IF(L161&lt;0,"Negative",IF(L161=0,"Same",IF(L161&gt;0.3,"30+%",IF(L161&gt;0.2,"20-30%",IF(L161&gt;0.1,"10-20%",IF(L161&lt;=0.1,"0-10%"))))))</f>
        <v>Negative</v>
      </c>
      <c r="N161" s="4">
        <f>O161*J161</f>
        <v>372.29999999999995</v>
      </c>
      <c r="O161" s="4">
        <v>124.1</v>
      </c>
      <c r="P161" s="4">
        <f>Q161*J161</f>
        <v>621.68999999999994</v>
      </c>
      <c r="Q161" s="136">
        <v>207.23</v>
      </c>
      <c r="R161" s="4">
        <f>P161-N161</f>
        <v>249.39</v>
      </c>
      <c r="S161" s="7">
        <f>R161/P161</f>
        <v>0.40114848236259232</v>
      </c>
      <c r="T161" s="7" t="str">
        <f>IF(S161&lt;0,"Negative",IF(S161=0,"Same",IF(S161&gt;0.3,"30+%",IF(S161&gt;0.2,"20-30%",IF(S161&gt;0.1,"10-20%",IF(S161&lt;=0.1,"0-10%"))))))</f>
        <v>30+%</v>
      </c>
      <c r="U161" t="s">
        <v>250</v>
      </c>
      <c r="V161" t="s">
        <v>215</v>
      </c>
      <c r="W161" t="s">
        <v>180</v>
      </c>
      <c r="X161" s="135"/>
    </row>
    <row r="162" spans="1:24" s="133" customFormat="1" x14ac:dyDescent="0.3">
      <c r="A162" s="133" t="s">
        <v>171</v>
      </c>
      <c r="B162" s="134" t="s">
        <v>307</v>
      </c>
      <c r="C162" s="133" t="s">
        <v>308</v>
      </c>
      <c r="D162" s="133" t="s">
        <v>309</v>
      </c>
      <c r="E162" s="133" t="s">
        <v>115</v>
      </c>
      <c r="F162" s="133" t="s">
        <v>310</v>
      </c>
      <c r="G162" s="133" t="s">
        <v>311</v>
      </c>
      <c r="H162" s="136">
        <v>325.54000000000002</v>
      </c>
      <c r="I162" s="133">
        <v>1</v>
      </c>
      <c r="J162" s="133" t="s">
        <v>187</v>
      </c>
      <c r="K162" s="4">
        <f>H162-N162</f>
        <v>-28.879999999999995</v>
      </c>
      <c r="L162" s="7">
        <f>K162/H162</f>
        <v>-8.8714136511642172E-2</v>
      </c>
      <c r="M162" s="7" t="str">
        <f>IF(L162&lt;0,"Negative",IF(L162=0,"Same",IF(L162&gt;0.3,"30+%",IF(L162&gt;0.2,"20-30%",IF(L162&gt;0.1,"10-20%",IF(L162&lt;=0.1,"0-10%"))))))</f>
        <v>Negative</v>
      </c>
      <c r="N162" s="4">
        <f>O162*J162</f>
        <v>354.42</v>
      </c>
      <c r="O162" s="4">
        <v>354.42</v>
      </c>
      <c r="P162" s="4">
        <f>Q162*J162</f>
        <v>364</v>
      </c>
      <c r="Q162" s="136">
        <v>364</v>
      </c>
      <c r="R162" s="4">
        <f>P162-N162</f>
        <v>9.5799999999999841</v>
      </c>
      <c r="S162" s="7">
        <f>R162/P162</f>
        <v>2.6318681318681276E-2</v>
      </c>
      <c r="T162" s="7" t="str">
        <f>IF(S162&lt;0,"Negative",IF(S162=0,"Same",IF(S162&gt;0.3,"30+%",IF(S162&gt;0.2,"20-30%",IF(S162&gt;0.1,"10-20%",IF(S162&lt;=0.1,"0-10%"))))))</f>
        <v>0-10%</v>
      </c>
      <c r="U162" t="s">
        <v>215</v>
      </c>
      <c r="V162" t="s">
        <v>215</v>
      </c>
      <c r="W162" t="s">
        <v>180</v>
      </c>
      <c r="X162" s="135"/>
    </row>
    <row r="163" spans="1:24" s="133" customFormat="1" x14ac:dyDescent="0.3">
      <c r="A163" s="133" t="s">
        <v>171</v>
      </c>
      <c r="B163" s="134" t="s">
        <v>707</v>
      </c>
      <c r="C163" s="133" t="s">
        <v>708</v>
      </c>
      <c r="D163" s="133" t="s">
        <v>209</v>
      </c>
      <c r="E163" s="133" t="s">
        <v>113</v>
      </c>
      <c r="F163" s="133" t="s">
        <v>700</v>
      </c>
      <c r="G163" s="133" t="s">
        <v>701</v>
      </c>
      <c r="H163" s="136">
        <v>336</v>
      </c>
      <c r="I163" s="133">
        <v>1</v>
      </c>
      <c r="J163" s="133" t="s">
        <v>322</v>
      </c>
      <c r="K163" s="4">
        <f>H163-N163</f>
        <v>35.400000000000034</v>
      </c>
      <c r="L163" s="7">
        <f>K163/H163</f>
        <v>0.10535714285714295</v>
      </c>
      <c r="M163" s="7" t="str">
        <f>IF(L163&lt;0,"Negative",IF(L163=0,"Same",IF(L163&gt;0.3,"30+%",IF(L163&gt;0.2,"20-30%",IF(L163&gt;0.1,"10-20%",IF(L163&lt;=0.1,"0-10%"))))))</f>
        <v>10-20%</v>
      </c>
      <c r="N163" s="4">
        <f>O163*J163</f>
        <v>300.59999999999997</v>
      </c>
      <c r="O163" s="4">
        <v>30.06</v>
      </c>
      <c r="P163" s="4">
        <f>Q163*J163</f>
        <v>336</v>
      </c>
      <c r="Q163" s="136">
        <v>33.6</v>
      </c>
      <c r="R163" s="4">
        <f>P163-N163</f>
        <v>35.400000000000034</v>
      </c>
      <c r="S163" s="7">
        <f>R163/P163</f>
        <v>0.10535714285714295</v>
      </c>
      <c r="T163" s="7" t="str">
        <f>IF(S163&lt;0,"Negative",IF(S163=0,"Same",IF(S163&gt;0.3,"30+%",IF(S163&gt;0.2,"20-30%",IF(S163&gt;0.1,"10-20%",IF(S163&lt;=0.1,"0-10%"))))))</f>
        <v>10-20%</v>
      </c>
      <c r="U163" t="s">
        <v>215</v>
      </c>
      <c r="V163" t="s">
        <v>215</v>
      </c>
      <c r="W163" t="s">
        <v>180</v>
      </c>
      <c r="X163" s="135"/>
    </row>
    <row r="164" spans="1:24" s="133" customFormat="1" x14ac:dyDescent="0.3">
      <c r="A164" s="133" t="s">
        <v>171</v>
      </c>
      <c r="B164" s="134" t="s">
        <v>533</v>
      </c>
      <c r="C164" s="133" t="s">
        <v>534</v>
      </c>
      <c r="D164" s="133" t="s">
        <v>132</v>
      </c>
      <c r="E164" s="133" t="s">
        <v>115</v>
      </c>
      <c r="F164" s="133" t="s">
        <v>535</v>
      </c>
      <c r="G164" s="133" t="s">
        <v>536</v>
      </c>
      <c r="H164" s="136">
        <v>337.2</v>
      </c>
      <c r="I164" s="133">
        <v>1</v>
      </c>
      <c r="J164" s="133" t="s">
        <v>249</v>
      </c>
      <c r="K164" s="4">
        <f>H164-N164</f>
        <v>-0.16000000000002501</v>
      </c>
      <c r="L164" s="7">
        <f>K164/H164</f>
        <v>-4.7449584816140278E-4</v>
      </c>
      <c r="M164" s="7" t="str">
        <f>IF(L164&lt;0,"Negative",IF(L164=0,"Same",IF(L164&gt;0.3,"30+%",IF(L164&gt;0.2,"20-30%",IF(L164&gt;0.1,"10-20%",IF(L164&lt;=0.1,"0-10%"))))))</f>
        <v>Negative</v>
      </c>
      <c r="N164" s="4">
        <f>O164*J164</f>
        <v>337.36</v>
      </c>
      <c r="O164" s="4">
        <v>84.34</v>
      </c>
      <c r="P164" s="4">
        <f>Q164*J164</f>
        <v>356</v>
      </c>
      <c r="Q164" s="136">
        <v>89</v>
      </c>
      <c r="R164" s="4">
        <f>P164-N164</f>
        <v>18.639999999999986</v>
      </c>
      <c r="S164" s="7">
        <f>R164/P164</f>
        <v>5.2359550561797717E-2</v>
      </c>
      <c r="T164" s="7" t="str">
        <f>IF(S164&lt;0,"Negative",IF(S164=0,"Same",IF(S164&gt;0.3,"30+%",IF(S164&gt;0.2,"20-30%",IF(S164&gt;0.1,"10-20%",IF(S164&lt;=0.1,"0-10%"))))))</f>
        <v>0-10%</v>
      </c>
      <c r="U164" t="s">
        <v>215</v>
      </c>
      <c r="V164" t="s">
        <v>215</v>
      </c>
      <c r="W164" t="s">
        <v>180</v>
      </c>
      <c r="X164" s="135"/>
    </row>
    <row r="165" spans="1:24" s="133" customFormat="1" x14ac:dyDescent="0.3">
      <c r="A165" s="133" t="s">
        <v>171</v>
      </c>
      <c r="B165" s="134" t="s">
        <v>360</v>
      </c>
      <c r="C165" s="133" t="s">
        <v>361</v>
      </c>
      <c r="D165" s="133" t="s">
        <v>337</v>
      </c>
      <c r="E165" s="133" t="s">
        <v>122</v>
      </c>
      <c r="F165" s="133" t="s">
        <v>338</v>
      </c>
      <c r="G165" s="133" t="s">
        <v>362</v>
      </c>
      <c r="H165" s="136">
        <v>355.02</v>
      </c>
      <c r="I165" s="133">
        <v>1</v>
      </c>
      <c r="J165" s="133" t="s">
        <v>187</v>
      </c>
      <c r="K165" s="4">
        <f>H165-N165</f>
        <v>-23.410000000000025</v>
      </c>
      <c r="L165" s="7">
        <f>K165/H165</f>
        <v>-6.5939947045236966E-2</v>
      </c>
      <c r="M165" s="7" t="str">
        <f>IF(L165&lt;0,"Negative",IF(L165=0,"Same",IF(L165&gt;0.3,"30+%",IF(L165&gt;0.2,"20-30%",IF(L165&gt;0.1,"10-20%",IF(L165&lt;=0.1,"0-10%"))))))</f>
        <v>Negative</v>
      </c>
      <c r="N165" s="4">
        <f>O165*J165</f>
        <v>378.43</v>
      </c>
      <c r="O165" s="4">
        <v>378.43</v>
      </c>
      <c r="P165" s="4">
        <f>Q165*J165</f>
        <v>388.65</v>
      </c>
      <c r="Q165" s="136">
        <v>388.65</v>
      </c>
      <c r="R165" s="4">
        <f>P165-N165</f>
        <v>10.21999999999997</v>
      </c>
      <c r="S165" s="7">
        <f>R165/P165</f>
        <v>2.6296153351344324E-2</v>
      </c>
      <c r="T165" s="7" t="str">
        <f>IF(S165&lt;0,"Negative",IF(S165=0,"Same",IF(S165&gt;0.3,"30+%",IF(S165&gt;0.2,"20-30%",IF(S165&gt;0.1,"10-20%",IF(S165&lt;=0.1,"0-10%"))))))</f>
        <v>0-10%</v>
      </c>
      <c r="U165" t="s">
        <v>215</v>
      </c>
      <c r="V165" t="s">
        <v>215</v>
      </c>
      <c r="W165" t="s">
        <v>180</v>
      </c>
      <c r="X165" s="135"/>
    </row>
    <row r="166" spans="1:24" s="133" customFormat="1" x14ac:dyDescent="0.3">
      <c r="A166" s="133" t="s">
        <v>171</v>
      </c>
      <c r="B166" s="134" t="s">
        <v>572</v>
      </c>
      <c r="C166" s="133" t="s">
        <v>308</v>
      </c>
      <c r="D166" s="133" t="s">
        <v>309</v>
      </c>
      <c r="E166" s="133" t="s">
        <v>115</v>
      </c>
      <c r="F166" s="133" t="s">
        <v>310</v>
      </c>
      <c r="G166" s="133" t="s">
        <v>311</v>
      </c>
      <c r="H166" s="136">
        <v>364</v>
      </c>
      <c r="I166" s="133">
        <v>1</v>
      </c>
      <c r="J166" s="133" t="s">
        <v>187</v>
      </c>
      <c r="K166" s="4">
        <f>H166-N166</f>
        <v>9.5799999999999841</v>
      </c>
      <c r="L166" s="7">
        <f>K166/H166</f>
        <v>2.6318681318681276E-2</v>
      </c>
      <c r="M166" s="7" t="str">
        <f>IF(L166&lt;0,"Negative",IF(L166=0,"Same",IF(L166&gt;0.3,"30+%",IF(L166&gt;0.2,"20-30%",IF(L166&gt;0.1,"10-20%",IF(L166&lt;=0.1,"0-10%"))))))</f>
        <v>0-10%</v>
      </c>
      <c r="N166" s="4">
        <f>O166*J166</f>
        <v>354.42</v>
      </c>
      <c r="O166" s="4">
        <v>354.42</v>
      </c>
      <c r="P166" s="4">
        <f>Q166*J166</f>
        <v>364</v>
      </c>
      <c r="Q166" s="136">
        <v>364</v>
      </c>
      <c r="R166" s="4">
        <f>P166-N166</f>
        <v>9.5799999999999841</v>
      </c>
      <c r="S166" s="7">
        <f>R166/P166</f>
        <v>2.6318681318681276E-2</v>
      </c>
      <c r="T166" s="7" t="str">
        <f>IF(S166&lt;0,"Negative",IF(S166=0,"Same",IF(S166&gt;0.3,"30+%",IF(S166&gt;0.2,"20-30%",IF(S166&gt;0.1,"10-20%",IF(S166&lt;=0.1,"0-10%"))))))</f>
        <v>0-10%</v>
      </c>
      <c r="U166" t="s">
        <v>215</v>
      </c>
      <c r="V166" t="s">
        <v>215</v>
      </c>
      <c r="W166" t="s">
        <v>180</v>
      </c>
      <c r="X166" s="135"/>
    </row>
    <row r="167" spans="1:24" s="133" customFormat="1" x14ac:dyDescent="0.3">
      <c r="A167" s="133" t="s">
        <v>171</v>
      </c>
      <c r="B167" s="134" t="s">
        <v>636</v>
      </c>
      <c r="C167" s="133" t="s">
        <v>637</v>
      </c>
      <c r="D167" s="133" t="s">
        <v>422</v>
      </c>
      <c r="E167" s="133" t="s">
        <v>108</v>
      </c>
      <c r="F167" s="133" t="s">
        <v>638</v>
      </c>
      <c r="G167" s="133" t="s">
        <v>639</v>
      </c>
      <c r="H167" s="136">
        <v>365</v>
      </c>
      <c r="I167" s="133">
        <v>3</v>
      </c>
      <c r="J167" s="133" t="s">
        <v>322</v>
      </c>
      <c r="K167" s="4">
        <f>H167-N167</f>
        <v>-16.399999999999977</v>
      </c>
      <c r="L167" s="7">
        <f>K167/H167</f>
        <v>-4.4931506849315003E-2</v>
      </c>
      <c r="M167" s="7" t="str">
        <f>IF(L167&lt;0,"Negative",IF(L167=0,"Same",IF(L167&gt;0.3,"30+%",IF(L167&gt;0.2,"20-30%",IF(L167&gt;0.1,"10-20%",IF(L167&lt;=0.1,"0-10%"))))))</f>
        <v>Negative</v>
      </c>
      <c r="N167" s="4">
        <f>O167*J167</f>
        <v>381.4</v>
      </c>
      <c r="O167" s="4">
        <v>38.14</v>
      </c>
      <c r="P167" s="4">
        <f>Q167*J167</f>
        <v>426.3</v>
      </c>
      <c r="Q167" s="136">
        <v>42.63</v>
      </c>
      <c r="R167" s="4">
        <f>P167-N167</f>
        <v>44.900000000000034</v>
      </c>
      <c r="S167" s="7">
        <f>R167/P167</f>
        <v>0.10532488857612018</v>
      </c>
      <c r="T167" s="7" t="str">
        <f>IF(S167&lt;0,"Negative",IF(S167=0,"Same",IF(S167&gt;0.3,"30+%",IF(S167&gt;0.2,"20-30%",IF(S167&gt;0.1,"10-20%",IF(S167&lt;=0.1,"0-10%"))))))</f>
        <v>10-20%</v>
      </c>
      <c r="U167" t="s">
        <v>215</v>
      </c>
      <c r="V167" t="s">
        <v>215</v>
      </c>
      <c r="W167" t="s">
        <v>180</v>
      </c>
      <c r="X167" s="135"/>
    </row>
    <row r="168" spans="1:24" s="133" customFormat="1" x14ac:dyDescent="0.3">
      <c r="A168" s="133" t="s">
        <v>171</v>
      </c>
      <c r="B168" s="134" t="s">
        <v>855</v>
      </c>
      <c r="C168" s="133" t="s">
        <v>856</v>
      </c>
      <c r="D168" s="133" t="s">
        <v>857</v>
      </c>
      <c r="E168" s="133" t="s">
        <v>94</v>
      </c>
      <c r="F168" s="133" t="s">
        <v>858</v>
      </c>
      <c r="G168" s="133" t="s">
        <v>859</v>
      </c>
      <c r="H168" s="136">
        <v>407.1</v>
      </c>
      <c r="I168" s="133">
        <v>3</v>
      </c>
      <c r="J168" s="133" t="s">
        <v>860</v>
      </c>
      <c r="K168" s="4">
        <f>H168-N168</f>
        <v>164.45000000000002</v>
      </c>
      <c r="L168" s="7">
        <f>K168/H168</f>
        <v>0.403954802259887</v>
      </c>
      <c r="M168" s="7" t="str">
        <f>IF(L168&lt;0,"Negative",IF(L168=0,"Same",IF(L168&gt;0.3,"30+%",IF(L168&gt;0.2,"20-30%",IF(L168&gt;0.1,"10-20%",IF(L168&lt;=0.1,"0-10%"))))))</f>
        <v>30+%</v>
      </c>
      <c r="N168" s="4">
        <f>O168*J168</f>
        <v>242.65</v>
      </c>
      <c r="O168" s="4">
        <v>10.55</v>
      </c>
      <c r="P168" s="4">
        <f>Q168*J168</f>
        <v>460.91999999999996</v>
      </c>
      <c r="Q168" s="136">
        <v>20.04</v>
      </c>
      <c r="R168" s="4">
        <f>P168-N168</f>
        <v>218.26999999999995</v>
      </c>
      <c r="S168" s="7">
        <f>R168/P168</f>
        <v>0.47355289421157681</v>
      </c>
      <c r="T168" s="7" t="str">
        <f>IF(S168&lt;0,"Negative",IF(S168=0,"Same",IF(S168&gt;0.3,"30+%",IF(S168&gt;0.2,"20-30%",IF(S168&gt;0.1,"10-20%",IF(S168&lt;=0.1,"0-10%"))))))</f>
        <v>30+%</v>
      </c>
      <c r="U168" t="s">
        <v>250</v>
      </c>
      <c r="V168" t="s">
        <v>215</v>
      </c>
      <c r="W168" t="s">
        <v>180</v>
      </c>
      <c r="X168" s="135" t="s">
        <v>945</v>
      </c>
    </row>
    <row r="169" spans="1:24" s="133" customFormat="1" x14ac:dyDescent="0.3">
      <c r="A169" s="133" t="s">
        <v>171</v>
      </c>
      <c r="B169" s="134" t="s">
        <v>550</v>
      </c>
      <c r="C169" s="133" t="s">
        <v>551</v>
      </c>
      <c r="D169" s="133" t="s">
        <v>466</v>
      </c>
      <c r="E169" s="133" t="s">
        <v>93</v>
      </c>
      <c r="F169" s="133" t="s">
        <v>371</v>
      </c>
      <c r="G169" s="133" t="s">
        <v>467</v>
      </c>
      <c r="H169" s="136">
        <v>412.66</v>
      </c>
      <c r="I169" s="133">
        <v>3</v>
      </c>
      <c r="J169" s="133" t="s">
        <v>322</v>
      </c>
      <c r="K169" s="4">
        <f>H169-N169</f>
        <v>3.8600000000000136</v>
      </c>
      <c r="L169" s="7">
        <f>K169/H169</f>
        <v>9.353947559734439E-3</v>
      </c>
      <c r="M169" s="7" t="str">
        <f>IF(L169&lt;0,"Negative",IF(L169=0,"Same",IF(L169&gt;0.3,"30+%",IF(L169&gt;0.2,"20-30%",IF(L169&gt;0.1,"10-20%",IF(L169&lt;=0.1,"0-10%"))))))</f>
        <v>0-10%</v>
      </c>
      <c r="N169" s="4">
        <f>O169*J169</f>
        <v>408.8</v>
      </c>
      <c r="O169" s="4">
        <v>40.880000000000003</v>
      </c>
      <c r="P169" s="4">
        <f>Q169*J169</f>
        <v>441.4</v>
      </c>
      <c r="Q169" s="136">
        <v>44.14</v>
      </c>
      <c r="R169" s="4">
        <f>P169-N169</f>
        <v>32.599999999999966</v>
      </c>
      <c r="S169" s="7">
        <f>R169/P169</f>
        <v>7.3855913004077858E-2</v>
      </c>
      <c r="T169" s="7" t="str">
        <f>IF(S169&lt;0,"Negative",IF(S169=0,"Same",IF(S169&gt;0.3,"30+%",IF(S169&gt;0.2,"20-30%",IF(S169&gt;0.1,"10-20%",IF(S169&lt;=0.1,"0-10%"))))))</f>
        <v>0-10%</v>
      </c>
      <c r="U169" t="s">
        <v>215</v>
      </c>
      <c r="V169" t="s">
        <v>215</v>
      </c>
      <c r="W169" t="s">
        <v>180</v>
      </c>
      <c r="X169" s="135"/>
    </row>
    <row r="170" spans="1:24" s="133" customFormat="1" x14ac:dyDescent="0.3">
      <c r="A170" s="133" t="s">
        <v>206</v>
      </c>
      <c r="B170" s="134" t="s">
        <v>620</v>
      </c>
      <c r="C170" s="133" t="s">
        <v>621</v>
      </c>
      <c r="D170" s="133" t="s">
        <v>218</v>
      </c>
      <c r="E170" s="133" t="s">
        <v>112</v>
      </c>
      <c r="F170" s="133" t="s">
        <v>436</v>
      </c>
      <c r="G170" s="133" t="s">
        <v>622</v>
      </c>
      <c r="H170" s="136">
        <v>428.53</v>
      </c>
      <c r="I170" s="133">
        <v>1</v>
      </c>
      <c r="J170" s="133" t="s">
        <v>187</v>
      </c>
      <c r="K170" s="4">
        <f>H170-N170</f>
        <v>-91.63</v>
      </c>
      <c r="L170" s="7">
        <f>K170/H170</f>
        <v>-0.21382400298695542</v>
      </c>
      <c r="M170" s="7" t="str">
        <f>IF(L170&lt;0,"Negative",IF(L170=0,"Same",IF(L170&gt;0.3,"30+%",IF(L170&gt;0.2,"20-30%",IF(L170&gt;0.1,"10-20%",IF(L170&lt;=0.1,"0-10%"))))))</f>
        <v>Negative</v>
      </c>
      <c r="N170" s="4">
        <f>O170*J170</f>
        <v>520.16</v>
      </c>
      <c r="O170" s="4">
        <v>520.16</v>
      </c>
      <c r="P170" s="4">
        <f>Q170*J170</f>
        <v>534.21</v>
      </c>
      <c r="Q170" s="136">
        <v>534.21</v>
      </c>
      <c r="R170" s="4">
        <f>P170-N170</f>
        <v>14.050000000000068</v>
      </c>
      <c r="S170" s="7">
        <f>R170/P170</f>
        <v>2.6300518522678472E-2</v>
      </c>
      <c r="T170" s="7" t="str">
        <f>IF(S170&lt;0,"Negative",IF(S170=0,"Same",IF(S170&gt;0.3,"30+%",IF(S170&gt;0.2,"20-30%",IF(S170&gt;0.1,"10-20%",IF(S170&lt;=0.1,"0-10%"))))))</f>
        <v>0-10%</v>
      </c>
      <c r="U170" t="s">
        <v>215</v>
      </c>
      <c r="V170" t="s">
        <v>215</v>
      </c>
      <c r="W170" t="s">
        <v>180</v>
      </c>
      <c r="X170" s="135"/>
    </row>
    <row r="171" spans="1:24" s="133" customFormat="1" x14ac:dyDescent="0.3">
      <c r="A171" s="133" t="s">
        <v>171</v>
      </c>
      <c r="B171" s="134" t="s">
        <v>612</v>
      </c>
      <c r="C171" s="133" t="s">
        <v>613</v>
      </c>
      <c r="D171" s="133" t="s">
        <v>403</v>
      </c>
      <c r="E171" s="133" t="s">
        <v>92</v>
      </c>
      <c r="F171" s="133" t="s">
        <v>200</v>
      </c>
      <c r="G171" s="133" t="s">
        <v>614</v>
      </c>
      <c r="H171" s="136">
        <v>443.1</v>
      </c>
      <c r="I171" s="133">
        <v>1</v>
      </c>
      <c r="J171" s="133" t="s">
        <v>187</v>
      </c>
      <c r="K171" s="4">
        <f>H171-N171</f>
        <v>-12.92999999999995</v>
      </c>
      <c r="L171" s="7">
        <f>K171/H171</f>
        <v>-2.9180771834800157E-2</v>
      </c>
      <c r="M171" s="7" t="str">
        <f>IF(L171&lt;0,"Negative",IF(L171=0,"Same",IF(L171&gt;0.3,"30+%",IF(L171&gt;0.2,"20-30%",IF(L171&gt;0.1,"10-20%",IF(L171&lt;=0.1,"0-10%"))))))</f>
        <v>Negative</v>
      </c>
      <c r="N171" s="4">
        <f>O171*J171</f>
        <v>456.03</v>
      </c>
      <c r="O171" s="4">
        <v>456.03</v>
      </c>
      <c r="P171" s="4">
        <f>Q171*J171</f>
        <v>509.68</v>
      </c>
      <c r="Q171" s="136">
        <v>509.68</v>
      </c>
      <c r="R171" s="4">
        <f>P171-N171</f>
        <v>53.650000000000034</v>
      </c>
      <c r="S171" s="7">
        <f>R171/P171</f>
        <v>0.10526212525506207</v>
      </c>
      <c r="T171" s="7" t="str">
        <f>IF(S171&lt;0,"Negative",IF(S171=0,"Same",IF(S171&gt;0.3,"30+%",IF(S171&gt;0.2,"20-30%",IF(S171&gt;0.1,"10-20%",IF(S171&lt;=0.1,"0-10%"))))))</f>
        <v>10-20%</v>
      </c>
      <c r="U171" t="s">
        <v>215</v>
      </c>
      <c r="V171" t="s">
        <v>215</v>
      </c>
      <c r="W171" t="s">
        <v>180</v>
      </c>
      <c r="X171" s="135"/>
    </row>
    <row r="172" spans="1:24" s="133" customFormat="1" x14ac:dyDescent="0.3">
      <c r="A172" s="133" t="s">
        <v>171</v>
      </c>
      <c r="B172" s="134" t="s">
        <v>212</v>
      </c>
      <c r="C172" s="133" t="s">
        <v>213</v>
      </c>
      <c r="D172" s="133" t="s">
        <v>199</v>
      </c>
      <c r="E172" s="133" t="s">
        <v>92</v>
      </c>
      <c r="F172" s="133" t="s">
        <v>200</v>
      </c>
      <c r="G172" s="133" t="s">
        <v>201</v>
      </c>
      <c r="H172" s="136">
        <v>444.45</v>
      </c>
      <c r="I172" s="133">
        <v>1</v>
      </c>
      <c r="J172" s="133" t="s">
        <v>214</v>
      </c>
      <c r="K172" s="4">
        <f>H172-N172</f>
        <v>-80.550000000000011</v>
      </c>
      <c r="L172" s="7">
        <f>K172/H172</f>
        <v>-0.18123523455956803</v>
      </c>
      <c r="M172" s="7" t="str">
        <f>IF(L172&lt;0,"Negative",IF(L172=0,"Same",IF(L172&gt;0.3,"30+%",IF(L172&gt;0.2,"20-30%",IF(L172&gt;0.1,"10-20%",IF(L172&lt;=0.1,"0-10%"))))))</f>
        <v>Negative</v>
      </c>
      <c r="N172" s="4">
        <f>O172*J172</f>
        <v>525</v>
      </c>
      <c r="O172" s="4">
        <v>35</v>
      </c>
      <c r="P172" s="4">
        <f>Q172*J172</f>
        <v>586.79999999999995</v>
      </c>
      <c r="Q172" s="136">
        <v>39.119999999999997</v>
      </c>
      <c r="R172" s="4">
        <f>P172-N172</f>
        <v>61.799999999999955</v>
      </c>
      <c r="S172" s="7">
        <f>R172/P172</f>
        <v>0.10531697341513285</v>
      </c>
      <c r="T172" s="7" t="str">
        <f>IF(S172&lt;0,"Negative",IF(S172=0,"Same",IF(S172&gt;0.3,"30+%",IF(S172&gt;0.2,"20-30%",IF(S172&gt;0.1,"10-20%",IF(S172&lt;=0.1,"0-10%"))))))</f>
        <v>10-20%</v>
      </c>
      <c r="U172" t="s">
        <v>215</v>
      </c>
      <c r="V172" t="s">
        <v>215</v>
      </c>
      <c r="W172" t="s">
        <v>180</v>
      </c>
      <c r="X172" s="135"/>
    </row>
    <row r="173" spans="1:24" s="133" customFormat="1" x14ac:dyDescent="0.3">
      <c r="A173" s="133" t="s">
        <v>206</v>
      </c>
      <c r="B173" s="134" t="s">
        <v>777</v>
      </c>
      <c r="C173" s="133" t="s">
        <v>778</v>
      </c>
      <c r="D173" s="133" t="s">
        <v>218</v>
      </c>
      <c r="E173" s="133" t="s">
        <v>112</v>
      </c>
      <c r="F173" s="133" t="s">
        <v>219</v>
      </c>
      <c r="G173" s="133" t="s">
        <v>220</v>
      </c>
      <c r="H173" s="136">
        <v>498.61</v>
      </c>
      <c r="I173" s="133">
        <v>4</v>
      </c>
      <c r="J173" s="133" t="s">
        <v>202</v>
      </c>
      <c r="K173" s="4">
        <f>H173-N173</f>
        <v>-58.909999999999968</v>
      </c>
      <c r="L173" s="7">
        <f>K173/H173</f>
        <v>-0.11814845269850177</v>
      </c>
      <c r="M173" s="7" t="str">
        <f>IF(L173&lt;0,"Negative",IF(L173=0,"Same",IF(L173&gt;0.3,"30+%",IF(L173&gt;0.2,"20-30%",IF(L173&gt;0.1,"10-20%",IF(L173&lt;=0.1,"0-10%"))))))</f>
        <v>Negative</v>
      </c>
      <c r="N173" s="4">
        <f>O173*J173</f>
        <v>557.52</v>
      </c>
      <c r="O173" s="4">
        <v>69.69</v>
      </c>
      <c r="P173" s="4">
        <f>Q173*J173</f>
        <v>572.55999999999995</v>
      </c>
      <c r="Q173" s="136">
        <v>71.569999999999993</v>
      </c>
      <c r="R173" s="4">
        <f>P173-N173</f>
        <v>15.039999999999964</v>
      </c>
      <c r="S173" s="7">
        <f>R173/P173</f>
        <v>2.6267989381025508E-2</v>
      </c>
      <c r="T173" s="7" t="str">
        <f>IF(S173&lt;0,"Negative",IF(S173=0,"Same",IF(S173&gt;0.3,"30+%",IF(S173&gt;0.2,"20-30%",IF(S173&gt;0.1,"10-20%",IF(S173&lt;=0.1,"0-10%"))))))</f>
        <v>0-10%</v>
      </c>
      <c r="U173" t="s">
        <v>215</v>
      </c>
      <c r="V173" t="s">
        <v>215</v>
      </c>
      <c r="W173" t="s">
        <v>180</v>
      </c>
      <c r="X173" s="135"/>
    </row>
    <row r="174" spans="1:24" s="133" customFormat="1" x14ac:dyDescent="0.3">
      <c r="A174" s="133" t="s">
        <v>171</v>
      </c>
      <c r="B174" s="134" t="s">
        <v>911</v>
      </c>
      <c r="C174" s="133" t="s">
        <v>912</v>
      </c>
      <c r="D174" s="133" t="s">
        <v>403</v>
      </c>
      <c r="E174" s="133" t="s">
        <v>92</v>
      </c>
      <c r="F174" s="133" t="s">
        <v>200</v>
      </c>
      <c r="G174" s="133" t="s">
        <v>614</v>
      </c>
      <c r="H174" s="136">
        <v>506.94</v>
      </c>
      <c r="I174" s="133">
        <v>1</v>
      </c>
      <c r="J174" s="133" t="s">
        <v>177</v>
      </c>
      <c r="K174" s="4">
        <f>H174-N174</f>
        <v>-76.640000000000043</v>
      </c>
      <c r="L174" s="7">
        <f>K174/H174</f>
        <v>-0.15118159940032361</v>
      </c>
      <c r="M174" s="7" t="str">
        <f>IF(L174&lt;0,"Negative",IF(L174=0,"Same",IF(L174&gt;0.3,"30+%",IF(L174&gt;0.2,"20-30%",IF(L174&gt;0.1,"10-20%",IF(L174&lt;=0.1,"0-10%"))))))</f>
        <v>Negative</v>
      </c>
      <c r="N174" s="4">
        <f>O174*J174</f>
        <v>583.58000000000004</v>
      </c>
      <c r="O174" s="4">
        <v>291.79000000000002</v>
      </c>
      <c r="P174" s="4">
        <f>Q174*J174</f>
        <v>652.24</v>
      </c>
      <c r="Q174" s="136">
        <v>326.12</v>
      </c>
      <c r="R174" s="4">
        <f>P174-N174</f>
        <v>68.659999999999968</v>
      </c>
      <c r="S174" s="7">
        <f>R174/P174</f>
        <v>0.105267999509383</v>
      </c>
      <c r="T174" s="7" t="str">
        <f>IF(S174&lt;0,"Negative",IF(S174=0,"Same",IF(S174&gt;0.3,"30+%",IF(S174&gt;0.2,"20-30%",IF(S174&gt;0.1,"10-20%",IF(S174&lt;=0.1,"0-10%"))))))</f>
        <v>10-20%</v>
      </c>
      <c r="U174" t="s">
        <v>215</v>
      </c>
      <c r="V174" t="s">
        <v>215</v>
      </c>
      <c r="W174" t="s">
        <v>180</v>
      </c>
      <c r="X174" s="135"/>
    </row>
    <row r="175" spans="1:24" s="133" customFormat="1" x14ac:dyDescent="0.3">
      <c r="A175" s="133" t="s">
        <v>206</v>
      </c>
      <c r="B175" s="134" t="s">
        <v>838</v>
      </c>
      <c r="C175" s="133" t="s">
        <v>839</v>
      </c>
      <c r="D175" s="133" t="s">
        <v>337</v>
      </c>
      <c r="E175" s="133" t="s">
        <v>122</v>
      </c>
      <c r="F175" s="133" t="s">
        <v>338</v>
      </c>
      <c r="G175" s="133" t="s">
        <v>584</v>
      </c>
      <c r="H175" s="136">
        <v>514.80999999999995</v>
      </c>
      <c r="I175" s="133">
        <v>1</v>
      </c>
      <c r="J175" s="133" t="s">
        <v>187</v>
      </c>
      <c r="K175" s="4">
        <f>H175-N175</f>
        <v>13.539999999999964</v>
      </c>
      <c r="L175" s="7">
        <f>K175/H175</f>
        <v>2.630096540471235E-2</v>
      </c>
      <c r="M175" s="7" t="str">
        <f>IF(L175&lt;0,"Negative",IF(L175=0,"Same",IF(L175&gt;0.3,"30+%",IF(L175&gt;0.2,"20-30%",IF(L175&gt;0.1,"10-20%",IF(L175&lt;=0.1,"0-10%"))))))</f>
        <v>0-10%</v>
      </c>
      <c r="N175" s="4">
        <f>O175*J175</f>
        <v>501.27</v>
      </c>
      <c r="O175" s="4">
        <v>501.27</v>
      </c>
      <c r="P175" s="4">
        <f>Q175*J175</f>
        <v>514.80999999999995</v>
      </c>
      <c r="Q175" s="136">
        <v>514.80999999999995</v>
      </c>
      <c r="R175" s="4">
        <f>P175-N175</f>
        <v>13.539999999999964</v>
      </c>
      <c r="S175" s="7">
        <f>R175/P175</f>
        <v>2.630096540471235E-2</v>
      </c>
      <c r="T175" s="7" t="str">
        <f>IF(S175&lt;0,"Negative",IF(S175=0,"Same",IF(S175&gt;0.3,"30+%",IF(S175&gt;0.2,"20-30%",IF(S175&gt;0.1,"10-20%",IF(S175&lt;=0.1,"0-10%"))))))</f>
        <v>0-10%</v>
      </c>
      <c r="U175" t="s">
        <v>215</v>
      </c>
      <c r="V175" t="s">
        <v>215</v>
      </c>
      <c r="W175" t="s">
        <v>180</v>
      </c>
      <c r="X175" s="135"/>
    </row>
    <row r="176" spans="1:24" s="133" customFormat="1" x14ac:dyDescent="0.3">
      <c r="A176" s="133" t="s">
        <v>171</v>
      </c>
      <c r="B176" s="134" t="s">
        <v>660</v>
      </c>
      <c r="C176" s="133" t="s">
        <v>661</v>
      </c>
      <c r="D176" s="133" t="s">
        <v>463</v>
      </c>
      <c r="E176" s="133" t="s">
        <v>114</v>
      </c>
      <c r="F176" s="133" t="s">
        <v>662</v>
      </c>
      <c r="G176" s="133" t="s">
        <v>663</v>
      </c>
      <c r="H176" s="136">
        <v>529.20000000000005</v>
      </c>
      <c r="I176" s="133">
        <v>1</v>
      </c>
      <c r="J176" s="133" t="s">
        <v>177</v>
      </c>
      <c r="K176" s="4">
        <f>H176-N176</f>
        <v>-18.839999999999918</v>
      </c>
      <c r="L176" s="7">
        <f>K176/H176</f>
        <v>-3.5600907029478303E-2</v>
      </c>
      <c r="M176" s="7" t="str">
        <f>IF(L176&lt;0,"Negative",IF(L176=0,"Same",IF(L176&gt;0.3,"30+%",IF(L176&gt;0.2,"20-30%",IF(L176&gt;0.1,"10-20%",IF(L176&lt;=0.1,"0-10%"))))))</f>
        <v>Negative</v>
      </c>
      <c r="N176" s="4">
        <f>O176*J176</f>
        <v>548.04</v>
      </c>
      <c r="O176" s="4">
        <v>274.02</v>
      </c>
      <c r="P176" s="4">
        <f>Q176*J176</f>
        <v>591.64</v>
      </c>
      <c r="Q176" s="136">
        <v>295.82</v>
      </c>
      <c r="R176" s="4">
        <f>P176-N176</f>
        <v>43.600000000000023</v>
      </c>
      <c r="S176" s="7">
        <f>R176/P176</f>
        <v>7.3693462240551733E-2</v>
      </c>
      <c r="T176" s="7" t="str">
        <f>IF(S176&lt;0,"Negative",IF(S176=0,"Same",IF(S176&gt;0.3,"30+%",IF(S176&gt;0.2,"20-30%",IF(S176&gt;0.1,"10-20%",IF(S176&lt;=0.1,"0-10%"))))))</f>
        <v>0-10%</v>
      </c>
      <c r="U176" t="s">
        <v>215</v>
      </c>
      <c r="V176" t="s">
        <v>215</v>
      </c>
      <c r="W176" t="s">
        <v>180</v>
      </c>
      <c r="X176" s="135"/>
    </row>
    <row r="177" spans="1:24" s="133" customFormat="1" x14ac:dyDescent="0.3">
      <c r="A177" s="133" t="s">
        <v>171</v>
      </c>
      <c r="B177" s="134" t="s">
        <v>915</v>
      </c>
      <c r="C177" s="133" t="s">
        <v>916</v>
      </c>
      <c r="D177" s="133" t="s">
        <v>174</v>
      </c>
      <c r="E177" s="133" t="s">
        <v>92</v>
      </c>
      <c r="F177" s="133" t="s">
        <v>200</v>
      </c>
      <c r="G177" s="133" t="s">
        <v>917</v>
      </c>
      <c r="H177" s="136">
        <v>567.4</v>
      </c>
      <c r="I177" s="133">
        <v>2</v>
      </c>
      <c r="J177" s="133" t="s">
        <v>918</v>
      </c>
      <c r="K177" s="4">
        <f>H177-N177</f>
        <v>-80.600000000000023</v>
      </c>
      <c r="L177" s="7">
        <f>K177/H177</f>
        <v>-0.14205146281283049</v>
      </c>
      <c r="M177" s="7" t="str">
        <f>IF(L177&lt;0,"Negative",IF(L177=0,"Same",IF(L177&gt;0.3,"30+%",IF(L177&gt;0.2,"20-30%",IF(L177&gt;0.1,"10-20%",IF(L177&lt;=0.1,"0-10%"))))))</f>
        <v>Negative</v>
      </c>
      <c r="N177" s="4">
        <f>O177*J177</f>
        <v>648</v>
      </c>
      <c r="O177" s="4">
        <v>14.4</v>
      </c>
      <c r="P177" s="4">
        <f>Q177*J177</f>
        <v>724.05</v>
      </c>
      <c r="Q177" s="136">
        <v>16.09</v>
      </c>
      <c r="R177" s="4">
        <f>P177-N177</f>
        <v>76.049999999999955</v>
      </c>
      <c r="S177" s="7">
        <f>R177/P177</f>
        <v>0.10503418272218763</v>
      </c>
      <c r="T177" s="7" t="str">
        <f>IF(S177&lt;0,"Negative",IF(S177=0,"Same",IF(S177&gt;0.3,"30+%",IF(S177&gt;0.2,"20-30%",IF(S177&gt;0.1,"10-20%",IF(S177&lt;=0.1,"0-10%"))))))</f>
        <v>10-20%</v>
      </c>
      <c r="U177" t="s">
        <v>215</v>
      </c>
      <c r="V177" t="s">
        <v>215</v>
      </c>
      <c r="W177" t="s">
        <v>180</v>
      </c>
      <c r="X177" s="135"/>
    </row>
    <row r="178" spans="1:24" s="133" customFormat="1" x14ac:dyDescent="0.3">
      <c r="A178" s="133" t="s">
        <v>171</v>
      </c>
      <c r="B178" s="134" t="s">
        <v>822</v>
      </c>
      <c r="C178" s="133" t="s">
        <v>823</v>
      </c>
      <c r="D178" s="133" t="s">
        <v>824</v>
      </c>
      <c r="E178" s="133" t="s">
        <v>92</v>
      </c>
      <c r="F178" s="133" t="s">
        <v>825</v>
      </c>
      <c r="G178" s="133" t="s">
        <v>826</v>
      </c>
      <c r="H178" s="136">
        <v>567.6</v>
      </c>
      <c r="I178" s="133">
        <v>2</v>
      </c>
      <c r="J178" s="133" t="s">
        <v>355</v>
      </c>
      <c r="K178" s="4">
        <f>H178-N178</f>
        <v>-109.19999999999993</v>
      </c>
      <c r="L178" s="7">
        <f>K178/H178</f>
        <v>-0.19238900634249459</v>
      </c>
      <c r="M178" s="7" t="str">
        <f>IF(L178&lt;0,"Negative",IF(L178=0,"Same",IF(L178&gt;0.3,"30+%",IF(L178&gt;0.2,"20-30%",IF(L178&gt;0.1,"10-20%",IF(L178&lt;=0.1,"0-10%"))))))</f>
        <v>Negative</v>
      </c>
      <c r="N178" s="4">
        <f>O178*J178</f>
        <v>676.8</v>
      </c>
      <c r="O178" s="4">
        <v>56.4</v>
      </c>
      <c r="P178" s="4">
        <f>Q178*J178</f>
        <v>756.36</v>
      </c>
      <c r="Q178" s="136">
        <v>63.03</v>
      </c>
      <c r="R178" s="4">
        <f>P178-N178</f>
        <v>79.560000000000059</v>
      </c>
      <c r="S178" s="7">
        <f>R178/P178</f>
        <v>0.105188005711566</v>
      </c>
      <c r="T178" s="7" t="str">
        <f>IF(S178&lt;0,"Negative",IF(S178=0,"Same",IF(S178&gt;0.3,"30+%",IF(S178&gt;0.2,"20-30%",IF(S178&gt;0.1,"10-20%",IF(S178&lt;=0.1,"0-10%"))))))</f>
        <v>10-20%</v>
      </c>
      <c r="U178" t="s">
        <v>215</v>
      </c>
      <c r="V178" t="s">
        <v>215</v>
      </c>
      <c r="W178" t="s">
        <v>180</v>
      </c>
      <c r="X178" s="135"/>
    </row>
    <row r="179" spans="1:24" s="133" customFormat="1" x14ac:dyDescent="0.3">
      <c r="A179" s="133" t="s">
        <v>171</v>
      </c>
      <c r="B179" s="134" t="s">
        <v>718</v>
      </c>
      <c r="C179" s="133" t="s">
        <v>719</v>
      </c>
      <c r="D179" s="133" t="s">
        <v>247</v>
      </c>
      <c r="E179" s="133" t="s">
        <v>100</v>
      </c>
      <c r="F179" s="133" t="s">
        <v>225</v>
      </c>
      <c r="G179" s="133" t="s">
        <v>226</v>
      </c>
      <c r="H179" s="136">
        <v>594.32000000000005</v>
      </c>
      <c r="I179" s="133">
        <v>1</v>
      </c>
      <c r="J179" s="133" t="s">
        <v>187</v>
      </c>
      <c r="K179" s="4">
        <f>H179-N179</f>
        <v>37.990000000000009</v>
      </c>
      <c r="L179" s="7">
        <f>K179/H179</f>
        <v>6.3921792973482314E-2</v>
      </c>
      <c r="M179" s="7" t="str">
        <f>IF(L179&lt;0,"Negative",IF(L179=0,"Same",IF(L179&gt;0.3,"30+%",IF(L179&gt;0.2,"20-30%",IF(L179&gt;0.1,"10-20%",IF(L179&lt;=0.1,"0-10%"))))))</f>
        <v>0-10%</v>
      </c>
      <c r="N179" s="4">
        <f>O179*J179</f>
        <v>556.33000000000004</v>
      </c>
      <c r="O179" s="4">
        <v>556.33000000000004</v>
      </c>
      <c r="P179" s="4">
        <f>Q179*J179</f>
        <v>644.53</v>
      </c>
      <c r="Q179" s="136">
        <v>644.53</v>
      </c>
      <c r="R179" s="4">
        <f>P179-N179</f>
        <v>88.199999999999932</v>
      </c>
      <c r="S179" s="7">
        <f>R179/P179</f>
        <v>0.13684390175786998</v>
      </c>
      <c r="T179" s="7" t="str">
        <f>IF(S179&lt;0,"Negative",IF(S179=0,"Same",IF(S179&gt;0.3,"30+%",IF(S179&gt;0.2,"20-30%",IF(S179&gt;0.1,"10-20%",IF(S179&lt;=0.1,"0-10%"))))))</f>
        <v>10-20%</v>
      </c>
      <c r="U179" t="s">
        <v>215</v>
      </c>
      <c r="V179" t="s">
        <v>215</v>
      </c>
      <c r="W179" t="s">
        <v>180</v>
      </c>
      <c r="X179" s="135"/>
    </row>
    <row r="180" spans="1:24" s="133" customFormat="1" x14ac:dyDescent="0.3">
      <c r="A180" s="133" t="s">
        <v>171</v>
      </c>
      <c r="B180" s="134" t="s">
        <v>542</v>
      </c>
      <c r="C180" s="133" t="s">
        <v>543</v>
      </c>
      <c r="D180" s="133" t="s">
        <v>337</v>
      </c>
      <c r="E180" s="133" t="s">
        <v>122</v>
      </c>
      <c r="F180" s="133" t="s">
        <v>338</v>
      </c>
      <c r="G180" s="133" t="s">
        <v>544</v>
      </c>
      <c r="H180" s="136">
        <v>647.42999999999995</v>
      </c>
      <c r="I180" s="133">
        <v>1</v>
      </c>
      <c r="J180" s="133" t="s">
        <v>187</v>
      </c>
      <c r="K180" s="4">
        <f>H180-N180</f>
        <v>17.029999999999973</v>
      </c>
      <c r="L180" s="7">
        <f>K180/H180</f>
        <v>2.6304001977047672E-2</v>
      </c>
      <c r="M180" s="7" t="str">
        <f>IF(L180&lt;0,"Negative",IF(L180=0,"Same",IF(L180&gt;0.3,"30+%",IF(L180&gt;0.2,"20-30%",IF(L180&gt;0.1,"10-20%",IF(L180&lt;=0.1,"0-10%"))))))</f>
        <v>0-10%</v>
      </c>
      <c r="N180" s="4">
        <f>O180*J180</f>
        <v>630.4</v>
      </c>
      <c r="O180" s="4">
        <v>630.4</v>
      </c>
      <c r="P180" s="4">
        <f>Q180*J180</f>
        <v>647.42999999999995</v>
      </c>
      <c r="Q180" s="136">
        <v>647.42999999999995</v>
      </c>
      <c r="R180" s="4">
        <f>P180-N180</f>
        <v>17.029999999999973</v>
      </c>
      <c r="S180" s="7">
        <f>R180/P180</f>
        <v>2.6304001977047672E-2</v>
      </c>
      <c r="T180" s="7" t="str">
        <f>IF(S180&lt;0,"Negative",IF(S180=0,"Same",IF(S180&gt;0.3,"30+%",IF(S180&gt;0.2,"20-30%",IF(S180&gt;0.1,"10-20%",IF(S180&lt;=0.1,"0-10%"))))))</f>
        <v>0-10%</v>
      </c>
      <c r="U180" t="s">
        <v>215</v>
      </c>
      <c r="V180" t="s">
        <v>215</v>
      </c>
      <c r="W180" t="s">
        <v>180</v>
      </c>
      <c r="X180" s="135"/>
    </row>
    <row r="181" spans="1:24" s="133" customFormat="1" x14ac:dyDescent="0.3">
      <c r="A181" s="133" t="s">
        <v>171</v>
      </c>
      <c r="B181" s="134" t="s">
        <v>803</v>
      </c>
      <c r="C181" s="133" t="s">
        <v>804</v>
      </c>
      <c r="D181" s="133" t="s">
        <v>403</v>
      </c>
      <c r="E181" s="133" t="s">
        <v>120</v>
      </c>
      <c r="F181" s="133" t="s">
        <v>805</v>
      </c>
      <c r="G181" s="133" t="s">
        <v>806</v>
      </c>
      <c r="H181" s="136">
        <v>649.16</v>
      </c>
      <c r="I181" s="133">
        <v>3</v>
      </c>
      <c r="J181" s="133" t="s">
        <v>205</v>
      </c>
      <c r="K181" s="4">
        <f>H181-N181</f>
        <v>-13.340000000000032</v>
      </c>
      <c r="L181" s="7">
        <f>K181/H181</f>
        <v>-2.0549633372358173E-2</v>
      </c>
      <c r="M181" s="7" t="str">
        <f>IF(L181&lt;0,"Negative",IF(L181=0,"Same",IF(L181&gt;0.3,"30+%",IF(L181&gt;0.2,"20-30%",IF(L181&gt;0.1,"10-20%",IF(L181&lt;=0.1,"0-10%"))))))</f>
        <v>Negative</v>
      </c>
      <c r="N181" s="4">
        <f>O181*J181</f>
        <v>662.5</v>
      </c>
      <c r="O181" s="4">
        <v>26.5</v>
      </c>
      <c r="P181" s="4">
        <f>Q181*J181</f>
        <v>1143.25</v>
      </c>
      <c r="Q181" s="136">
        <v>45.73</v>
      </c>
      <c r="R181" s="4">
        <f>P181-N181</f>
        <v>480.75</v>
      </c>
      <c r="S181" s="7">
        <f>R181/P181</f>
        <v>0.42051169910343317</v>
      </c>
      <c r="T181" s="7" t="str">
        <f>IF(S181&lt;0,"Negative",IF(S181=0,"Same",IF(S181&gt;0.3,"30+%",IF(S181&gt;0.2,"20-30%",IF(S181&gt;0.1,"10-20%",IF(S181&lt;=0.1,"0-10%"))))))</f>
        <v>30+%</v>
      </c>
      <c r="U181" t="s">
        <v>250</v>
      </c>
      <c r="V181" t="s">
        <v>215</v>
      </c>
      <c r="W181" t="s">
        <v>180</v>
      </c>
      <c r="X181" s="135" t="s">
        <v>945</v>
      </c>
    </row>
    <row r="182" spans="1:24" s="133" customFormat="1" x14ac:dyDescent="0.3">
      <c r="A182" s="133" t="s">
        <v>171</v>
      </c>
      <c r="B182" s="134" t="s">
        <v>919</v>
      </c>
      <c r="C182" s="133" t="s">
        <v>920</v>
      </c>
      <c r="D182" s="133" t="s">
        <v>403</v>
      </c>
      <c r="E182" s="133" t="s">
        <v>120</v>
      </c>
      <c r="F182" s="133" t="s">
        <v>805</v>
      </c>
      <c r="G182" s="133" t="s">
        <v>921</v>
      </c>
      <c r="H182" s="136">
        <v>805.28</v>
      </c>
      <c r="I182" s="133">
        <v>1</v>
      </c>
      <c r="J182" s="133" t="s">
        <v>249</v>
      </c>
      <c r="K182" s="4">
        <f>H182-N182</f>
        <v>-151.51999999999998</v>
      </c>
      <c r="L182" s="7">
        <f>K182/H182</f>
        <v>-0.18815815616928272</v>
      </c>
      <c r="M182" s="7" t="str">
        <f>IF(L182&lt;0,"Negative",IF(L182=0,"Same",IF(L182&gt;0.3,"30+%",IF(L182&gt;0.2,"20-30%",IF(L182&gt;0.1,"10-20%",IF(L182&lt;=0.1,"0-10%"))))))</f>
        <v>Negative</v>
      </c>
      <c r="N182" s="4">
        <f>O182*J182</f>
        <v>956.8</v>
      </c>
      <c r="O182" s="4">
        <v>239.2</v>
      </c>
      <c r="P182" s="4">
        <f>Q182*J182</f>
        <v>1108.48</v>
      </c>
      <c r="Q182" s="136">
        <v>277.12</v>
      </c>
      <c r="R182" s="4">
        <f>P182-N182</f>
        <v>151.68000000000006</v>
      </c>
      <c r="S182" s="7">
        <f>R182/P182</f>
        <v>0.13683602771362594</v>
      </c>
      <c r="T182" s="7" t="str">
        <f>IF(S182&lt;0,"Negative",IF(S182=0,"Same",IF(S182&gt;0.3,"30+%",IF(S182&gt;0.2,"20-30%",IF(S182&gt;0.1,"10-20%",IF(S182&lt;=0.1,"0-10%"))))))</f>
        <v>10-20%</v>
      </c>
      <c r="U182" t="s">
        <v>215</v>
      </c>
      <c r="V182" t="s">
        <v>215</v>
      </c>
      <c r="W182" t="s">
        <v>180</v>
      </c>
      <c r="X182" s="135"/>
    </row>
    <row r="183" spans="1:24" s="133" customFormat="1" x14ac:dyDescent="0.3">
      <c r="A183" s="133" t="s">
        <v>171</v>
      </c>
      <c r="B183" s="134" t="s">
        <v>879</v>
      </c>
      <c r="C183" s="133" t="s">
        <v>880</v>
      </c>
      <c r="D183" s="133" t="s">
        <v>278</v>
      </c>
      <c r="E183" s="133" t="s">
        <v>114</v>
      </c>
      <c r="F183" s="133" t="s">
        <v>279</v>
      </c>
      <c r="G183" s="133" t="s">
        <v>881</v>
      </c>
      <c r="H183" s="136">
        <v>815.5</v>
      </c>
      <c r="I183" s="133">
        <v>3</v>
      </c>
      <c r="J183" s="133" t="s">
        <v>296</v>
      </c>
      <c r="K183" s="4">
        <f>H183-N183</f>
        <v>311.86</v>
      </c>
      <c r="L183" s="7">
        <f>K183/H183</f>
        <v>0.38241569589209073</v>
      </c>
      <c r="M183" s="7" t="str">
        <f>IF(L183&lt;0,"Negative",IF(L183=0,"Same",IF(L183&gt;0.3,"30+%",IF(L183&gt;0.2,"20-30%",IF(L183&gt;0.1,"10-20%",IF(L183&lt;=0.1,"0-10%"))))))</f>
        <v>30+%</v>
      </c>
      <c r="N183" s="4">
        <f>O183*J183</f>
        <v>503.64</v>
      </c>
      <c r="O183" s="4">
        <v>167.88</v>
      </c>
      <c r="P183" s="4">
        <f>Q183*J183</f>
        <v>543.68999999999994</v>
      </c>
      <c r="Q183" s="136">
        <v>181.23</v>
      </c>
      <c r="R183" s="4">
        <f>P183-N183</f>
        <v>40.049999999999955</v>
      </c>
      <c r="S183" s="7">
        <f>R183/P183</f>
        <v>7.3663300778016805E-2</v>
      </c>
      <c r="T183" s="7" t="str">
        <f>IF(S183&lt;0,"Negative",IF(S183=0,"Same",IF(S183&gt;0.3,"30+%",IF(S183&gt;0.2,"20-30%",IF(S183&gt;0.1,"10-20%",IF(S183&lt;=0.1,"0-10%"))))))</f>
        <v>0-10%</v>
      </c>
      <c r="U183" t="s">
        <v>215</v>
      </c>
      <c r="V183" t="s">
        <v>215</v>
      </c>
      <c r="W183" t="s">
        <v>180</v>
      </c>
      <c r="X183" s="135" t="s">
        <v>946</v>
      </c>
    </row>
    <row r="184" spans="1:24" s="133" customFormat="1" x14ac:dyDescent="0.3">
      <c r="A184" s="133" t="s">
        <v>171</v>
      </c>
      <c r="B184" s="134" t="s">
        <v>922</v>
      </c>
      <c r="C184" s="133" t="s">
        <v>923</v>
      </c>
      <c r="D184" s="133" t="s">
        <v>174</v>
      </c>
      <c r="E184" s="133" t="s">
        <v>92</v>
      </c>
      <c r="F184" s="133" t="s">
        <v>200</v>
      </c>
      <c r="G184" s="133" t="s">
        <v>924</v>
      </c>
      <c r="H184" s="136">
        <v>855.31</v>
      </c>
      <c r="I184" s="133">
        <v>5</v>
      </c>
      <c r="J184" s="133" t="s">
        <v>221</v>
      </c>
      <c r="K184" s="4">
        <f>H184-N184</f>
        <v>-174.11000000000013</v>
      </c>
      <c r="L184" s="7">
        <f>K184/H184</f>
        <v>-0.20356362020787802</v>
      </c>
      <c r="M184" s="7" t="str">
        <f>IF(L184&lt;0,"Negative",IF(L184=0,"Same",IF(L184&gt;0.3,"30+%",IF(L184&gt;0.2,"20-30%",IF(L184&gt;0.1,"10-20%",IF(L184&lt;=0.1,"0-10%"))))))</f>
        <v>Negative</v>
      </c>
      <c r="N184" s="4">
        <f>O184*J184</f>
        <v>1029.42</v>
      </c>
      <c r="O184" s="4">
        <v>171.57</v>
      </c>
      <c r="P184" s="4">
        <f>Q184*J184</f>
        <v>1150.56</v>
      </c>
      <c r="Q184" s="136">
        <v>191.76</v>
      </c>
      <c r="R184" s="4">
        <f>P184-N184</f>
        <v>121.13999999999987</v>
      </c>
      <c r="S184" s="7">
        <f>R184/P184</f>
        <v>0.10528785982478087</v>
      </c>
      <c r="T184" s="7" t="str">
        <f>IF(S184&lt;0,"Negative",IF(S184=0,"Same",IF(S184&gt;0.3,"30+%",IF(S184&gt;0.2,"20-30%",IF(S184&gt;0.1,"10-20%",IF(S184&lt;=0.1,"0-10%"))))))</f>
        <v>10-20%</v>
      </c>
      <c r="U184" t="s">
        <v>215</v>
      </c>
      <c r="V184" t="s">
        <v>215</v>
      </c>
      <c r="W184" t="s">
        <v>180</v>
      </c>
      <c r="X184" s="135"/>
    </row>
    <row r="185" spans="1:24" s="133" customFormat="1" x14ac:dyDescent="0.3">
      <c r="A185" s="133" t="s">
        <v>206</v>
      </c>
      <c r="B185" s="134" t="s">
        <v>216</v>
      </c>
      <c r="C185" s="133" t="s">
        <v>217</v>
      </c>
      <c r="D185" s="133" t="s">
        <v>218</v>
      </c>
      <c r="E185" s="133" t="s">
        <v>112</v>
      </c>
      <c r="F185" s="133" t="s">
        <v>219</v>
      </c>
      <c r="G185" s="133" t="s">
        <v>220</v>
      </c>
      <c r="H185" s="136">
        <v>895.49</v>
      </c>
      <c r="I185" s="133">
        <v>3</v>
      </c>
      <c r="J185" s="133" t="s">
        <v>221</v>
      </c>
      <c r="K185" s="4">
        <f>H185-N185</f>
        <v>-97.209999999999923</v>
      </c>
      <c r="L185" s="7">
        <f>K185/H185</f>
        <v>-0.10855509274252077</v>
      </c>
      <c r="M185" s="7" t="str">
        <f>IF(L185&lt;0,"Negative",IF(L185=0,"Same",IF(L185&gt;0.3,"30+%",IF(L185&gt;0.2,"20-30%",IF(L185&gt;0.1,"10-20%",IF(L185&lt;=0.1,"0-10%"))))))</f>
        <v>Negative</v>
      </c>
      <c r="N185" s="4">
        <f>O185*J185</f>
        <v>992.69999999999993</v>
      </c>
      <c r="O185" s="4">
        <v>165.45</v>
      </c>
      <c r="P185" s="4">
        <f>Q185*J185</f>
        <v>1019.58</v>
      </c>
      <c r="Q185" s="136">
        <v>169.93</v>
      </c>
      <c r="R185" s="4">
        <f>P185-N185</f>
        <v>26.880000000000109</v>
      </c>
      <c r="S185" s="7">
        <f>R185/P185</f>
        <v>2.6363796857529678E-2</v>
      </c>
      <c r="T185" s="7" t="str">
        <f>IF(S185&lt;0,"Negative",IF(S185=0,"Same",IF(S185&gt;0.3,"30+%",IF(S185&gt;0.2,"20-30%",IF(S185&gt;0.1,"10-20%",IF(S185&lt;=0.1,"0-10%"))))))</f>
        <v>0-10%</v>
      </c>
      <c r="U185" t="s">
        <v>215</v>
      </c>
      <c r="V185" t="s">
        <v>215</v>
      </c>
      <c r="W185" t="s">
        <v>180</v>
      </c>
      <c r="X185" s="135"/>
    </row>
    <row r="186" spans="1:24" s="133" customFormat="1" x14ac:dyDescent="0.3">
      <c r="A186" s="133" t="s">
        <v>206</v>
      </c>
      <c r="B186" s="134" t="s">
        <v>703</v>
      </c>
      <c r="C186" s="133" t="s">
        <v>704</v>
      </c>
      <c r="D186" s="133" t="s">
        <v>218</v>
      </c>
      <c r="E186" s="133" t="s">
        <v>112</v>
      </c>
      <c r="F186" s="133" t="s">
        <v>219</v>
      </c>
      <c r="G186" s="133" t="s">
        <v>220</v>
      </c>
      <c r="H186" s="136">
        <v>920.76</v>
      </c>
      <c r="I186" s="133">
        <v>2</v>
      </c>
      <c r="J186" s="133" t="s">
        <v>281</v>
      </c>
      <c r="K186" s="4">
        <f>H186-N186</f>
        <v>-48.639999999999986</v>
      </c>
      <c r="L186" s="7">
        <f>K186/H186</f>
        <v>-5.2825926408618953E-2</v>
      </c>
      <c r="M186" s="7" t="str">
        <f>IF(L186&lt;0,"Negative",IF(L186=0,"Same",IF(L186&gt;0.3,"30+%",IF(L186&gt;0.2,"20-30%",IF(L186&gt;0.1,"10-20%",IF(L186&lt;=0.1,"0-10%"))))))</f>
        <v>Negative</v>
      </c>
      <c r="N186" s="4">
        <f>O186*J186</f>
        <v>969.4</v>
      </c>
      <c r="O186" s="4">
        <v>193.88</v>
      </c>
      <c r="P186" s="4">
        <f>Q186*J186</f>
        <v>995.6</v>
      </c>
      <c r="Q186" s="136">
        <v>199.12</v>
      </c>
      <c r="R186" s="4">
        <f>P186-N186</f>
        <v>26.200000000000045</v>
      </c>
      <c r="S186" s="7">
        <f>R186/P186</f>
        <v>2.6315789473684254E-2</v>
      </c>
      <c r="T186" s="7" t="str">
        <f>IF(S186&lt;0,"Negative",IF(S186=0,"Same",IF(S186&gt;0.3,"30+%",IF(S186&gt;0.2,"20-30%",IF(S186&gt;0.1,"10-20%",IF(S186&lt;=0.1,"0-10%"))))))</f>
        <v>0-10%</v>
      </c>
      <c r="U186" t="s">
        <v>215</v>
      </c>
      <c r="V186" t="s">
        <v>215</v>
      </c>
      <c r="W186" t="s">
        <v>180</v>
      </c>
      <c r="X186" s="135"/>
    </row>
    <row r="187" spans="1:24" s="133" customFormat="1" x14ac:dyDescent="0.3">
      <c r="A187" s="133" t="s">
        <v>171</v>
      </c>
      <c r="B187" s="134" t="s">
        <v>401</v>
      </c>
      <c r="C187" s="133" t="s">
        <v>402</v>
      </c>
      <c r="D187" s="133" t="s">
        <v>403</v>
      </c>
      <c r="E187" s="133" t="s">
        <v>92</v>
      </c>
      <c r="F187" s="133" t="s">
        <v>175</v>
      </c>
      <c r="G187" s="133" t="s">
        <v>195</v>
      </c>
      <c r="H187" s="136">
        <v>927.75</v>
      </c>
      <c r="I187" s="133">
        <v>3</v>
      </c>
      <c r="J187" s="133" t="s">
        <v>404</v>
      </c>
      <c r="K187" s="4">
        <f>H187-N187</f>
        <v>-162.75</v>
      </c>
      <c r="L187" s="7">
        <f>K187/H187</f>
        <v>-0.17542441390460792</v>
      </c>
      <c r="M187" s="7" t="str">
        <f>IF(L187&lt;0,"Negative",IF(L187=0,"Same",IF(L187&gt;0.3,"30+%",IF(L187&gt;0.2,"20-30%",IF(L187&gt;0.1,"10-20%",IF(L187&lt;=0.1,"0-10%"))))))</f>
        <v>Negative</v>
      </c>
      <c r="N187" s="4">
        <f>O187*J187</f>
        <v>1090.5</v>
      </c>
      <c r="O187" s="4">
        <v>14.54</v>
      </c>
      <c r="P187" s="4">
        <f>Q187*J187</f>
        <v>1218.75</v>
      </c>
      <c r="Q187" s="136">
        <v>16.25</v>
      </c>
      <c r="R187" s="4">
        <f>P187-N187</f>
        <v>128.25</v>
      </c>
      <c r="S187" s="7">
        <f>R187/P187</f>
        <v>0.10523076923076922</v>
      </c>
      <c r="T187" s="7" t="str">
        <f>IF(S187&lt;0,"Negative",IF(S187=0,"Same",IF(S187&gt;0.3,"30+%",IF(S187&gt;0.2,"20-30%",IF(S187&gt;0.1,"10-20%",IF(S187&lt;=0.1,"0-10%"))))))</f>
        <v>10-20%</v>
      </c>
      <c r="U187" t="s">
        <v>215</v>
      </c>
      <c r="V187" t="s">
        <v>215</v>
      </c>
      <c r="W187" t="s">
        <v>180</v>
      </c>
      <c r="X187" s="135"/>
    </row>
    <row r="188" spans="1:24" s="133" customFormat="1" x14ac:dyDescent="0.3">
      <c r="A188" s="133" t="s">
        <v>171</v>
      </c>
      <c r="B188" s="134" t="s">
        <v>827</v>
      </c>
      <c r="C188" s="133" t="s">
        <v>828</v>
      </c>
      <c r="D188" s="133" t="s">
        <v>829</v>
      </c>
      <c r="E188" s="133" t="s">
        <v>113</v>
      </c>
      <c r="F188" s="133" t="s">
        <v>830</v>
      </c>
      <c r="G188" s="133" t="s">
        <v>831</v>
      </c>
      <c r="H188" s="136">
        <v>938.42</v>
      </c>
      <c r="I188" s="133">
        <v>2</v>
      </c>
      <c r="J188" s="133" t="s">
        <v>587</v>
      </c>
      <c r="K188" s="4">
        <f>H188-N188</f>
        <v>108.33999999999992</v>
      </c>
      <c r="L188" s="7">
        <f>K188/H188</f>
        <v>0.11544937234926783</v>
      </c>
      <c r="M188" s="7" t="str">
        <f>IF(L188&lt;0,"Negative",IF(L188=0,"Same",IF(L188&gt;0.3,"30+%",IF(L188&gt;0.2,"20-30%",IF(L188&gt;0.1,"10-20%",IF(L188&lt;=0.1,"0-10%"))))))</f>
        <v>10-20%</v>
      </c>
      <c r="N188" s="4">
        <f>O188*J188</f>
        <v>830.08</v>
      </c>
      <c r="O188" s="4">
        <v>51.88</v>
      </c>
      <c r="P188" s="4">
        <f>Q188*J188</f>
        <v>927.68</v>
      </c>
      <c r="Q188" s="136">
        <v>57.98</v>
      </c>
      <c r="R188" s="4">
        <f>P188-N188</f>
        <v>97.599999999999909</v>
      </c>
      <c r="S188" s="7">
        <f>R188/P188</f>
        <v>0.10520869265263876</v>
      </c>
      <c r="T188" s="7" t="str">
        <f>IF(S188&lt;0,"Negative",IF(S188=0,"Same",IF(S188&gt;0.3,"30+%",IF(S188&gt;0.2,"20-30%",IF(S188&gt;0.1,"10-20%",IF(S188&lt;=0.1,"0-10%"))))))</f>
        <v>10-20%</v>
      </c>
      <c r="U188" t="s">
        <v>215</v>
      </c>
      <c r="V188" t="s">
        <v>215</v>
      </c>
      <c r="W188" t="s">
        <v>180</v>
      </c>
      <c r="X188" s="135"/>
    </row>
    <row r="189" spans="1:24" s="133" customFormat="1" x14ac:dyDescent="0.3">
      <c r="A189" s="133" t="s">
        <v>171</v>
      </c>
      <c r="B189" s="134" t="s">
        <v>799</v>
      </c>
      <c r="C189" s="133" t="s">
        <v>800</v>
      </c>
      <c r="D189" s="133" t="s">
        <v>128</v>
      </c>
      <c r="E189" s="133" t="s">
        <v>120</v>
      </c>
      <c r="F189" s="133" t="s">
        <v>326</v>
      </c>
      <c r="G189" s="133" t="s">
        <v>801</v>
      </c>
      <c r="H189" s="136">
        <v>1084.56</v>
      </c>
      <c r="I189" s="133">
        <v>5</v>
      </c>
      <c r="J189" s="133" t="s">
        <v>802</v>
      </c>
      <c r="K189" s="4">
        <f>H189-N189</f>
        <v>515.59999999999991</v>
      </c>
      <c r="L189" s="7">
        <f>K189/H189</f>
        <v>0.47540016227779003</v>
      </c>
      <c r="M189" s="7" t="str">
        <f>IF(L189&lt;0,"Negative",IF(L189=0,"Same",IF(L189&gt;0.3,"30+%",IF(L189&gt;0.2,"20-30%",IF(L189&gt;0.1,"10-20%",IF(L189&lt;=0.1,"0-10%"))))))</f>
        <v>30+%</v>
      </c>
      <c r="N189" s="4">
        <f>O189*J189</f>
        <v>568.96</v>
      </c>
      <c r="O189" s="4">
        <v>17.78</v>
      </c>
      <c r="P189" s="4">
        <f>Q189*J189</f>
        <v>1161.5999999999999</v>
      </c>
      <c r="Q189" s="136">
        <v>36.299999999999997</v>
      </c>
      <c r="R189" s="4">
        <f>P189-N189</f>
        <v>592.63999999999987</v>
      </c>
      <c r="S189" s="7">
        <f>R189/P189</f>
        <v>0.51019283746556465</v>
      </c>
      <c r="T189" s="7" t="str">
        <f>IF(S189&lt;0,"Negative",IF(S189=0,"Same",IF(S189&gt;0.3,"30+%",IF(S189&gt;0.2,"20-30%",IF(S189&gt;0.1,"10-20%",IF(S189&lt;=0.1,"0-10%"))))))</f>
        <v>30+%</v>
      </c>
      <c r="U189" t="s">
        <v>250</v>
      </c>
      <c r="V189" t="s">
        <v>215</v>
      </c>
      <c r="W189" t="s">
        <v>180</v>
      </c>
      <c r="X189" s="135" t="s">
        <v>945</v>
      </c>
    </row>
    <row r="190" spans="1:24" s="133" customFormat="1" x14ac:dyDescent="0.3">
      <c r="A190" s="133" t="s">
        <v>206</v>
      </c>
      <c r="B190" s="134" t="s">
        <v>478</v>
      </c>
      <c r="C190" s="133" t="s">
        <v>479</v>
      </c>
      <c r="D190" s="133" t="s">
        <v>218</v>
      </c>
      <c r="E190" s="133" t="s">
        <v>112</v>
      </c>
      <c r="F190" s="133" t="s">
        <v>436</v>
      </c>
      <c r="G190" s="133" t="s">
        <v>480</v>
      </c>
      <c r="H190" s="136">
        <v>1162.32</v>
      </c>
      <c r="I190" s="133">
        <v>5</v>
      </c>
      <c r="J190" s="133" t="s">
        <v>281</v>
      </c>
      <c r="K190" s="4">
        <f>H190-N190</f>
        <v>-193.48000000000025</v>
      </c>
      <c r="L190" s="7">
        <f>K190/H190</f>
        <v>-0.16646018308211186</v>
      </c>
      <c r="M190" s="7" t="str">
        <f>IF(L190&lt;0,"Negative",IF(L190=0,"Same",IF(L190&gt;0.3,"30+%",IF(L190&gt;0.2,"20-30%",IF(L190&gt;0.1,"10-20%",IF(L190&lt;=0.1,"0-10%"))))))</f>
        <v>Negative</v>
      </c>
      <c r="N190" s="4">
        <f>O190*J190</f>
        <v>1355.8000000000002</v>
      </c>
      <c r="O190" s="4">
        <v>271.16000000000003</v>
      </c>
      <c r="P190" s="4">
        <f>Q190*J190</f>
        <v>1392.45</v>
      </c>
      <c r="Q190" s="136">
        <v>278.49</v>
      </c>
      <c r="R190" s="4">
        <f>P190-N190</f>
        <v>36.649999999999864</v>
      </c>
      <c r="S190" s="7">
        <f>R190/P190</f>
        <v>2.6320514201587032E-2</v>
      </c>
      <c r="T190" s="7" t="str">
        <f>IF(S190&lt;0,"Negative",IF(S190=0,"Same",IF(S190&gt;0.3,"30+%",IF(S190&gt;0.2,"20-30%",IF(S190&gt;0.1,"10-20%",IF(S190&lt;=0.1,"0-10%"))))))</f>
        <v>0-10%</v>
      </c>
      <c r="U190" t="s">
        <v>215</v>
      </c>
      <c r="V190" t="s">
        <v>215</v>
      </c>
      <c r="W190" t="s">
        <v>180</v>
      </c>
      <c r="X190" s="135"/>
    </row>
    <row r="191" spans="1:24" s="133" customFormat="1" x14ac:dyDescent="0.3">
      <c r="A191" s="133" t="s">
        <v>206</v>
      </c>
      <c r="B191" s="134" t="s">
        <v>383</v>
      </c>
      <c r="C191" s="133" t="s">
        <v>384</v>
      </c>
      <c r="D191" s="133" t="s">
        <v>337</v>
      </c>
      <c r="E191" s="133" t="s">
        <v>122</v>
      </c>
      <c r="F191" s="133" t="s">
        <v>385</v>
      </c>
      <c r="G191" s="133" t="s">
        <v>384</v>
      </c>
      <c r="H191" s="136">
        <v>1173.27</v>
      </c>
      <c r="I191" s="133">
        <v>1</v>
      </c>
      <c r="J191" s="133" t="s">
        <v>187</v>
      </c>
      <c r="K191" s="4">
        <f>H191-N191</f>
        <v>-10.329999999999927</v>
      </c>
      <c r="L191" s="7">
        <f>K191/H191</f>
        <v>-8.8044525130617224E-3</v>
      </c>
      <c r="M191" s="7" t="str">
        <f>IF(L191&lt;0,"Negative",IF(L191=0,"Same",IF(L191&gt;0.3,"30+%",IF(L191&gt;0.2,"20-30%",IF(L191&gt;0.1,"10-20%",IF(L191&lt;=0.1,"0-10%"))))))</f>
        <v>Negative</v>
      </c>
      <c r="N191" s="4">
        <f>O191*J191</f>
        <v>1183.5999999999999</v>
      </c>
      <c r="O191" s="4">
        <v>1183.5999999999999</v>
      </c>
      <c r="P191" s="4">
        <f>Q191*J191</f>
        <v>1215.5899999999999</v>
      </c>
      <c r="Q191" s="136">
        <v>1215.5899999999999</v>
      </c>
      <c r="R191" s="4">
        <f>P191-N191</f>
        <v>31.990000000000009</v>
      </c>
      <c r="S191" s="7">
        <f>R191/P191</f>
        <v>2.6316438930889537E-2</v>
      </c>
      <c r="T191" s="7" t="str">
        <f>IF(S191&lt;0,"Negative",IF(S191=0,"Same",IF(S191&gt;0.3,"30+%",IF(S191&gt;0.2,"20-30%",IF(S191&gt;0.1,"10-20%",IF(S191&lt;=0.1,"0-10%"))))))</f>
        <v>0-10%</v>
      </c>
      <c r="U191" t="s">
        <v>215</v>
      </c>
      <c r="V191" t="s">
        <v>215</v>
      </c>
      <c r="W191" t="s">
        <v>180</v>
      </c>
      <c r="X191" s="135"/>
    </row>
    <row r="192" spans="1:24" s="133" customFormat="1" x14ac:dyDescent="0.3">
      <c r="A192" s="133" t="s">
        <v>171</v>
      </c>
      <c r="B192" s="134" t="s">
        <v>905</v>
      </c>
      <c r="C192" s="133" t="s">
        <v>906</v>
      </c>
      <c r="D192" s="133" t="s">
        <v>209</v>
      </c>
      <c r="E192" s="133" t="s">
        <v>95</v>
      </c>
      <c r="F192" s="133" t="s">
        <v>907</v>
      </c>
      <c r="G192" s="133" t="s">
        <v>908</v>
      </c>
      <c r="H192" s="136">
        <v>2388.6</v>
      </c>
      <c r="I192" s="133">
        <v>1</v>
      </c>
      <c r="J192" s="133" t="s">
        <v>214</v>
      </c>
      <c r="K192" s="4">
        <f>H192-N192</f>
        <v>14.099999999999909</v>
      </c>
      <c r="L192" s="7">
        <f>K192/H192</f>
        <v>5.903039437327267E-3</v>
      </c>
      <c r="M192" s="7" t="str">
        <f>IF(L192&lt;0,"Negative",IF(L192=0,"Same",IF(L192&gt;0.3,"30+%",IF(L192&gt;0.2,"20-30%",IF(L192&gt;0.1,"10-20%",IF(L192&lt;=0.1,"0-10%"))))))</f>
        <v>0-10%</v>
      </c>
      <c r="N192" s="4">
        <f>O192*J192</f>
        <v>2374.5</v>
      </c>
      <c r="O192" s="4">
        <v>158.30000000000001</v>
      </c>
      <c r="P192" s="4">
        <f>Q192*J192</f>
        <v>2653.9500000000003</v>
      </c>
      <c r="Q192" s="136">
        <v>176.93</v>
      </c>
      <c r="R192" s="4">
        <f>P192-N192</f>
        <v>279.45000000000027</v>
      </c>
      <c r="S192" s="7">
        <f>R192/P192</f>
        <v>0.10529587972644558</v>
      </c>
      <c r="T192" s="7" t="str">
        <f>IF(S192&lt;0,"Negative",IF(S192=0,"Same",IF(S192&gt;0.3,"30+%",IF(S192&gt;0.2,"20-30%",IF(S192&gt;0.1,"10-20%",IF(S192&lt;=0.1,"0-10%"))))))</f>
        <v>10-20%</v>
      </c>
      <c r="U192" t="s">
        <v>215</v>
      </c>
      <c r="V192" t="s">
        <v>215</v>
      </c>
      <c r="W192" t="s">
        <v>180</v>
      </c>
      <c r="X192" s="135" t="s">
        <v>947</v>
      </c>
    </row>
    <row r="193" spans="1:24" s="133" customFormat="1" x14ac:dyDescent="0.3">
      <c r="A193" s="133" t="s">
        <v>171</v>
      </c>
      <c r="B193" s="134" t="s">
        <v>388</v>
      </c>
      <c r="C193" s="133" t="s">
        <v>389</v>
      </c>
      <c r="D193" s="133" t="s">
        <v>390</v>
      </c>
      <c r="E193" s="133" t="s">
        <v>102</v>
      </c>
      <c r="F193" s="133" t="s">
        <v>391</v>
      </c>
      <c r="G193" s="133" t="s">
        <v>392</v>
      </c>
      <c r="H193" s="136">
        <v>3168.2</v>
      </c>
      <c r="I193" s="133">
        <v>1</v>
      </c>
      <c r="J193" s="133" t="s">
        <v>281</v>
      </c>
      <c r="K193" s="4">
        <f>H193-N193</f>
        <v>115.55000000000018</v>
      </c>
      <c r="L193" s="7">
        <f>K193/H193</f>
        <v>3.6471813648128334E-2</v>
      </c>
      <c r="M193" s="7" t="str">
        <f>IF(L193&lt;0,"Negative",IF(L193=0,"Same",IF(L193&gt;0.3,"30+%",IF(L193&gt;0.2,"20-30%",IF(L193&gt;0.1,"10-20%",IF(L193&lt;=0.1,"0-10%"))))))</f>
        <v>0-10%</v>
      </c>
      <c r="N193" s="4">
        <f>O193*J193</f>
        <v>3052.6499999999996</v>
      </c>
      <c r="O193" s="4">
        <v>610.53</v>
      </c>
      <c r="P193" s="4">
        <f>Q193*J193</f>
        <v>3411.8</v>
      </c>
      <c r="Q193" s="136">
        <v>682.36</v>
      </c>
      <c r="R193" s="4">
        <f>P193-N193</f>
        <v>359.15000000000055</v>
      </c>
      <c r="S193" s="7">
        <f>R193/P193</f>
        <v>0.10526701447916072</v>
      </c>
      <c r="T193" s="7" t="str">
        <f>IF(S193&lt;0,"Negative",IF(S193=0,"Same",IF(S193&gt;0.3,"30+%",IF(S193&gt;0.2,"20-30%",IF(S193&gt;0.1,"10-20%",IF(S193&lt;=0.1,"0-10%"))))))</f>
        <v>10-20%</v>
      </c>
      <c r="U193" t="s">
        <v>215</v>
      </c>
      <c r="V193" t="s">
        <v>250</v>
      </c>
      <c r="W193" t="s">
        <v>948</v>
      </c>
      <c r="X193" s="135"/>
    </row>
    <row r="194" spans="1:24" x14ac:dyDescent="0.3">
      <c r="B194" s="127"/>
      <c r="H194"/>
      <c r="L194" s="7"/>
      <c r="Q194"/>
      <c r="T194" s="7"/>
    </row>
    <row r="195" spans="1:24" x14ac:dyDescent="0.3">
      <c r="B195" s="127"/>
      <c r="H195"/>
      <c r="L195" s="7"/>
      <c r="Q195"/>
      <c r="T195" s="7"/>
    </row>
    <row r="196" spans="1:24" x14ac:dyDescent="0.3">
      <c r="B196" s="127"/>
      <c r="H196"/>
      <c r="L196" s="7"/>
      <c r="Q196"/>
      <c r="T196" s="7"/>
    </row>
    <row r="197" spans="1:24" x14ac:dyDescent="0.3">
      <c r="B197" s="127"/>
      <c r="H197"/>
      <c r="L197" s="7"/>
      <c r="Q197"/>
      <c r="T197" s="7"/>
    </row>
    <row r="198" spans="1:24" x14ac:dyDescent="0.3">
      <c r="B198" s="127"/>
      <c r="H198"/>
      <c r="L198" s="7"/>
      <c r="Q198"/>
      <c r="T198" s="7"/>
    </row>
    <row r="199" spans="1:24" x14ac:dyDescent="0.3">
      <c r="B199" s="127"/>
      <c r="H199"/>
      <c r="L199" s="7"/>
      <c r="Q199"/>
      <c r="T199" s="7"/>
    </row>
    <row r="200" spans="1:24" x14ac:dyDescent="0.3">
      <c r="B200" s="127"/>
      <c r="H200"/>
      <c r="L200" s="7"/>
      <c r="Q200"/>
      <c r="T200" s="7"/>
    </row>
    <row r="201" spans="1:24" x14ac:dyDescent="0.3">
      <c r="B201" s="127"/>
      <c r="H201"/>
      <c r="L201" s="7"/>
      <c r="Q201"/>
      <c r="T201" s="7"/>
    </row>
  </sheetData>
  <autoFilter ref="A1:Z1" xr:uid="{A55C8A20-D34B-445A-AE80-C7D910D9CEF5}">
    <sortState xmlns:xlrd2="http://schemas.microsoft.com/office/spreadsheetml/2017/richdata2" ref="A2:X197">
      <sortCondition ref="H1"/>
    </sortState>
  </autoFilter>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dimension ref="A1:X13"/>
  <sheetViews>
    <sheetView workbookViewId="0">
      <pane ySplit="1" topLeftCell="A2" activePane="bottomLeft" state="frozen"/>
      <selection pane="bottomLeft" activeCell="B14" sqref="B14"/>
    </sheetView>
  </sheetViews>
  <sheetFormatPr defaultColWidth="43.109375" defaultRowHeight="14.4" x14ac:dyDescent="0.3"/>
  <cols>
    <col min="1" max="1" width="37.109375" bestFit="1" customWidth="1"/>
    <col min="2" max="2" width="27.44140625" bestFit="1" customWidth="1"/>
    <col min="3" max="3" width="36.33203125" bestFit="1" customWidth="1"/>
    <col min="4" max="4" width="20" bestFit="1" customWidth="1"/>
    <col min="5" max="5" width="27.77734375" bestFit="1" customWidth="1"/>
    <col min="6" max="6" width="26.21875" bestFit="1" customWidth="1"/>
    <col min="7" max="7" width="31.33203125" bestFit="1" customWidth="1"/>
    <col min="8" max="8" width="20.44140625" bestFit="1" customWidth="1"/>
    <col min="9" max="9" width="15.44140625" bestFit="1" customWidth="1"/>
    <col min="10" max="10" width="16.88671875" bestFit="1" customWidth="1"/>
    <col min="11" max="11" width="17.33203125" bestFit="1" customWidth="1"/>
    <col min="12" max="13" width="12.88671875" bestFit="1" customWidth="1"/>
    <col min="14" max="14" width="13" bestFit="1" customWidth="1"/>
    <col min="15" max="15" width="8.6640625" bestFit="1" customWidth="1"/>
    <col min="16" max="16" width="17.33203125" bestFit="1" customWidth="1"/>
    <col min="17" max="17" width="13.44140625" bestFit="1" customWidth="1"/>
    <col min="18" max="18" width="5.88671875" bestFit="1" customWidth="1"/>
    <col min="19" max="19" width="6.109375" bestFit="1" customWidth="1"/>
    <col min="20" max="20" width="7.88671875" bestFit="1" customWidth="1"/>
    <col min="21" max="21" width="12.77734375" bestFit="1" customWidth="1"/>
  </cols>
  <sheetData>
    <row r="1" spans="1:24" ht="15" thickBot="1" x14ac:dyDescent="0.35">
      <c r="A1" s="90" t="s">
        <v>149</v>
      </c>
      <c r="B1" s="90" t="s">
        <v>150</v>
      </c>
      <c r="C1" s="91" t="s">
        <v>151</v>
      </c>
      <c r="D1" s="91" t="s">
        <v>152</v>
      </c>
      <c r="E1" s="91" t="s">
        <v>153</v>
      </c>
      <c r="F1" s="91" t="s">
        <v>154</v>
      </c>
      <c r="G1" s="91" t="s">
        <v>155</v>
      </c>
      <c r="H1" s="92" t="s">
        <v>156</v>
      </c>
      <c r="I1" s="93" t="s">
        <v>157</v>
      </c>
      <c r="J1" s="94" t="s">
        <v>158</v>
      </c>
      <c r="K1" s="3" t="s">
        <v>27</v>
      </c>
      <c r="L1" s="1" t="s">
        <v>48</v>
      </c>
      <c r="M1" s="6" t="s">
        <v>159</v>
      </c>
      <c r="N1" s="5" t="s">
        <v>160</v>
      </c>
      <c r="O1" s="5" t="s">
        <v>161</v>
      </c>
      <c r="P1" s="8" t="s">
        <v>162</v>
      </c>
      <c r="Q1" s="8" t="s">
        <v>55</v>
      </c>
      <c r="R1" s="44" t="s">
        <v>167</v>
      </c>
      <c r="S1" s="9" t="s">
        <v>165</v>
      </c>
      <c r="T1" s="10" t="s">
        <v>168</v>
      </c>
      <c r="U1" s="10" t="s">
        <v>169</v>
      </c>
    </row>
    <row r="2" spans="1:24" x14ac:dyDescent="0.3">
      <c r="A2" t="s">
        <v>171</v>
      </c>
      <c r="B2" t="s">
        <v>172</v>
      </c>
      <c r="C2" t="s">
        <v>173</v>
      </c>
      <c r="D2" t="s">
        <v>174</v>
      </c>
      <c r="E2" t="s">
        <v>92</v>
      </c>
      <c r="F2" t="s">
        <v>175</v>
      </c>
      <c r="G2" t="s">
        <v>176</v>
      </c>
      <c r="H2" s="137">
        <v>125.68</v>
      </c>
      <c r="I2">
        <v>1</v>
      </c>
      <c r="J2" t="s">
        <v>177</v>
      </c>
      <c r="K2" t="s">
        <v>178</v>
      </c>
      <c r="L2" t="s">
        <v>179</v>
      </c>
      <c r="M2" t="s">
        <v>180</v>
      </c>
    </row>
    <row r="3" spans="1:24" x14ac:dyDescent="0.3">
      <c r="A3" t="s">
        <v>171</v>
      </c>
      <c r="B3" t="s">
        <v>181</v>
      </c>
      <c r="H3" s="137">
        <v>597.62</v>
      </c>
      <c r="I3">
        <v>1</v>
      </c>
      <c r="J3" t="s">
        <v>177</v>
      </c>
      <c r="K3" t="s">
        <v>178</v>
      </c>
      <c r="L3" t="s">
        <v>182</v>
      </c>
      <c r="M3" t="s">
        <v>182</v>
      </c>
    </row>
    <row r="4" spans="1:24" x14ac:dyDescent="0.3">
      <c r="A4" t="s">
        <v>171</v>
      </c>
      <c r="B4" t="s">
        <v>183</v>
      </c>
      <c r="C4" t="s">
        <v>184</v>
      </c>
      <c r="E4" t="s">
        <v>185</v>
      </c>
      <c r="F4" t="s">
        <v>185</v>
      </c>
      <c r="G4" t="s">
        <v>186</v>
      </c>
      <c r="H4" s="137">
        <v>129</v>
      </c>
      <c r="I4">
        <v>1</v>
      </c>
      <c r="J4" t="s">
        <v>187</v>
      </c>
      <c r="K4" t="s">
        <v>178</v>
      </c>
      <c r="L4" t="s">
        <v>179</v>
      </c>
      <c r="M4" t="s">
        <v>180</v>
      </c>
    </row>
    <row r="5" spans="1:24" x14ac:dyDescent="0.3">
      <c r="A5" t="s">
        <v>171</v>
      </c>
      <c r="B5" t="s">
        <v>188</v>
      </c>
      <c r="C5" t="s">
        <v>189</v>
      </c>
      <c r="D5" t="s">
        <v>190</v>
      </c>
      <c r="E5" t="s">
        <v>108</v>
      </c>
      <c r="F5" t="s">
        <v>191</v>
      </c>
      <c r="G5" t="s">
        <v>192</v>
      </c>
      <c r="H5" s="137">
        <v>16.97</v>
      </c>
      <c r="I5">
        <v>1</v>
      </c>
      <c r="J5" t="s">
        <v>187</v>
      </c>
      <c r="K5" t="s">
        <v>178</v>
      </c>
      <c r="L5" t="s">
        <v>179</v>
      </c>
      <c r="M5" t="s">
        <v>180</v>
      </c>
    </row>
    <row r="6" spans="1:24" x14ac:dyDescent="0.3">
      <c r="A6" t="s">
        <v>171</v>
      </c>
      <c r="B6" t="s">
        <v>193</v>
      </c>
      <c r="C6" t="s">
        <v>194</v>
      </c>
      <c r="D6" t="s">
        <v>174</v>
      </c>
      <c r="E6" t="s">
        <v>92</v>
      </c>
      <c r="F6" t="s">
        <v>175</v>
      </c>
      <c r="G6" t="s">
        <v>195</v>
      </c>
      <c r="H6" s="137">
        <v>473.55</v>
      </c>
      <c r="I6">
        <v>2</v>
      </c>
      <c r="J6" t="s">
        <v>196</v>
      </c>
      <c r="K6" t="s">
        <v>178</v>
      </c>
      <c r="L6" t="s">
        <v>179</v>
      </c>
      <c r="M6" t="s">
        <v>180</v>
      </c>
    </row>
    <row r="7" spans="1:24" x14ac:dyDescent="0.3">
      <c r="A7" t="s">
        <v>171</v>
      </c>
      <c r="B7" t="s">
        <v>197</v>
      </c>
      <c r="C7" t="s">
        <v>198</v>
      </c>
      <c r="D7" t="s">
        <v>199</v>
      </c>
      <c r="E7" t="s">
        <v>92</v>
      </c>
      <c r="F7" t="s">
        <v>200</v>
      </c>
      <c r="G7" t="s">
        <v>201</v>
      </c>
      <c r="H7" s="137">
        <v>234.2</v>
      </c>
      <c r="I7">
        <v>2</v>
      </c>
      <c r="J7" t="s">
        <v>202</v>
      </c>
      <c r="K7" t="s">
        <v>178</v>
      </c>
      <c r="L7" t="s">
        <v>179</v>
      </c>
      <c r="M7" t="s">
        <v>180</v>
      </c>
    </row>
    <row r="8" spans="1:24" x14ac:dyDescent="0.3">
      <c r="A8" t="s">
        <v>171</v>
      </c>
      <c r="B8" t="s">
        <v>203</v>
      </c>
      <c r="C8" t="s">
        <v>204</v>
      </c>
      <c r="D8" t="s">
        <v>199</v>
      </c>
      <c r="E8" t="s">
        <v>92</v>
      </c>
      <c r="F8" t="s">
        <v>200</v>
      </c>
      <c r="G8" t="s">
        <v>201</v>
      </c>
      <c r="H8" s="137">
        <v>684.02</v>
      </c>
      <c r="I8">
        <v>3</v>
      </c>
      <c r="J8" t="s">
        <v>205</v>
      </c>
      <c r="K8" t="s">
        <v>178</v>
      </c>
      <c r="L8" t="s">
        <v>179</v>
      </c>
      <c r="M8" t="s">
        <v>180</v>
      </c>
    </row>
    <row r="9" spans="1:24" x14ac:dyDescent="0.3">
      <c r="A9" t="s">
        <v>206</v>
      </c>
      <c r="B9" t="s">
        <v>207</v>
      </c>
      <c r="C9" t="s">
        <v>208</v>
      </c>
      <c r="D9" t="s">
        <v>209</v>
      </c>
      <c r="E9" t="s">
        <v>112</v>
      </c>
      <c r="F9" t="s">
        <v>210</v>
      </c>
      <c r="G9" t="s">
        <v>211</v>
      </c>
      <c r="H9" s="137">
        <v>12.7</v>
      </c>
      <c r="I9">
        <v>1</v>
      </c>
      <c r="J9" t="s">
        <v>177</v>
      </c>
      <c r="K9" t="s">
        <v>178</v>
      </c>
      <c r="L9" t="s">
        <v>179</v>
      </c>
      <c r="M9" t="s">
        <v>180</v>
      </c>
    </row>
    <row r="10" spans="1:24" s="133" customFormat="1" x14ac:dyDescent="0.3">
      <c r="A10" s="133" t="s">
        <v>171</v>
      </c>
      <c r="B10" s="134" t="s">
        <v>276</v>
      </c>
      <c r="C10" s="133" t="s">
        <v>277</v>
      </c>
      <c r="D10" s="133" t="s">
        <v>278</v>
      </c>
      <c r="E10" s="133" t="s">
        <v>114</v>
      </c>
      <c r="F10" s="133" t="s">
        <v>279</v>
      </c>
      <c r="G10" s="133" t="s">
        <v>280</v>
      </c>
      <c r="H10" s="136">
        <v>0</v>
      </c>
      <c r="I10" s="133">
        <v>3</v>
      </c>
      <c r="J10" s="133" t="s">
        <v>281</v>
      </c>
      <c r="K10" s="4" t="s">
        <v>949</v>
      </c>
      <c r="L10" s="7"/>
      <c r="M10" s="7"/>
      <c r="N10" s="4"/>
      <c r="O10" s="4"/>
      <c r="P10" s="4"/>
      <c r="Q10" s="136"/>
      <c r="R10" s="4"/>
      <c r="S10" s="7"/>
      <c r="T10" s="7"/>
      <c r="U10"/>
      <c r="V10"/>
      <c r="W10"/>
      <c r="X10" s="135"/>
    </row>
    <row r="11" spans="1:24" s="133" customFormat="1" x14ac:dyDescent="0.3">
      <c r="A11" s="133" t="s">
        <v>171</v>
      </c>
      <c r="B11" s="134" t="s">
        <v>529</v>
      </c>
      <c r="C11" s="133" t="s">
        <v>530</v>
      </c>
      <c r="D11" s="133" t="s">
        <v>209</v>
      </c>
      <c r="E11" s="133" t="s">
        <v>122</v>
      </c>
      <c r="F11" s="133" t="s">
        <v>531</v>
      </c>
      <c r="G11" s="133" t="s">
        <v>532</v>
      </c>
      <c r="H11" s="136">
        <v>0</v>
      </c>
      <c r="I11" s="133">
        <v>3</v>
      </c>
      <c r="J11" s="133" t="s">
        <v>281</v>
      </c>
      <c r="K11" s="4" t="s">
        <v>949</v>
      </c>
      <c r="L11" s="7"/>
      <c r="M11" s="7"/>
      <c r="N11" s="4"/>
      <c r="O11" s="4"/>
      <c r="P11" s="4"/>
      <c r="Q11" s="136"/>
      <c r="R11" s="4"/>
      <c r="S11" s="7"/>
      <c r="T11" s="7"/>
      <c r="U11"/>
      <c r="V11"/>
      <c r="W11"/>
      <c r="X11" s="135"/>
    </row>
    <row r="12" spans="1:24" s="133" customFormat="1" x14ac:dyDescent="0.3">
      <c r="A12" s="133" t="s">
        <v>171</v>
      </c>
      <c r="B12" s="134" t="s">
        <v>861</v>
      </c>
      <c r="C12" s="133" t="s">
        <v>862</v>
      </c>
      <c r="D12" s="133" t="s">
        <v>278</v>
      </c>
      <c r="E12" s="133" t="s">
        <v>114</v>
      </c>
      <c r="F12" s="133" t="s">
        <v>279</v>
      </c>
      <c r="G12" s="133" t="s">
        <v>863</v>
      </c>
      <c r="H12" s="136">
        <v>0</v>
      </c>
      <c r="I12" s="133">
        <v>3</v>
      </c>
      <c r="J12" s="133" t="s">
        <v>281</v>
      </c>
      <c r="K12" s="4" t="s">
        <v>949</v>
      </c>
      <c r="L12" s="7"/>
      <c r="M12" s="7"/>
      <c r="N12" s="4"/>
      <c r="O12" s="4"/>
      <c r="P12" s="4"/>
      <c r="Q12" s="136"/>
      <c r="R12" s="4"/>
      <c r="S12" s="7"/>
      <c r="T12" s="7"/>
      <c r="U12"/>
      <c r="V12"/>
      <c r="W12"/>
      <c r="X12" s="135"/>
    </row>
    <row r="13" spans="1:24" s="133" customFormat="1" x14ac:dyDescent="0.3">
      <c r="A13" s="133" t="s">
        <v>171</v>
      </c>
      <c r="B13" s="134" t="s">
        <v>925</v>
      </c>
      <c r="C13" s="133" t="s">
        <v>926</v>
      </c>
      <c r="D13" s="133" t="s">
        <v>278</v>
      </c>
      <c r="E13" s="133" t="s">
        <v>114</v>
      </c>
      <c r="F13" s="133" t="s">
        <v>279</v>
      </c>
      <c r="G13" s="133" t="s">
        <v>927</v>
      </c>
      <c r="H13" s="136">
        <v>0</v>
      </c>
      <c r="I13" s="133">
        <v>3</v>
      </c>
      <c r="J13" s="133" t="s">
        <v>281</v>
      </c>
      <c r="K13" s="4" t="s">
        <v>949</v>
      </c>
      <c r="L13" s="7"/>
      <c r="M13" s="7"/>
      <c r="N13" s="4"/>
      <c r="O13" s="4"/>
      <c r="P13" s="4"/>
      <c r="Q13" s="136"/>
      <c r="R13" s="4"/>
      <c r="S13" s="7"/>
      <c r="T13" s="7"/>
      <c r="U13"/>
      <c r="V13"/>
      <c r="W13"/>
      <c r="X13" s="135"/>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T25"/>
  <sheetViews>
    <sheetView workbookViewId="0">
      <selection activeCell="N20" sqref="N20"/>
    </sheetView>
  </sheetViews>
  <sheetFormatPr defaultRowHeight="14.4" x14ac:dyDescent="0.3"/>
  <cols>
    <col min="1" max="1" width="3.6640625" bestFit="1" customWidth="1"/>
    <col min="2" max="2" width="17" bestFit="1" customWidth="1"/>
    <col min="3" max="3" width="15.109375" customWidth="1"/>
    <col min="4" max="4" width="22.33203125" bestFit="1" customWidth="1"/>
    <col min="5" max="5" width="16.6640625" bestFit="1" customWidth="1"/>
    <col min="6" max="6" width="7" bestFit="1" customWidth="1"/>
    <col min="7" max="7" width="6.5546875" bestFit="1" customWidth="1"/>
    <col min="8" max="8" width="10.5546875" bestFit="1" customWidth="1"/>
    <col min="9" max="9" width="13.33203125" bestFit="1" customWidth="1"/>
    <col min="10" max="10" width="12.109375" bestFit="1" customWidth="1"/>
    <col min="11" max="11" width="10.88671875" bestFit="1" customWidth="1"/>
    <col min="12" max="12" width="10.109375" bestFit="1" customWidth="1"/>
    <col min="13" max="13" width="11.5546875" bestFit="1" customWidth="1"/>
    <col min="14" max="14" width="13.44140625" bestFit="1" customWidth="1"/>
    <col min="15" max="15" width="13.5546875" bestFit="1" customWidth="1"/>
    <col min="16" max="16" width="7.33203125" bestFit="1" customWidth="1"/>
    <col min="17" max="18" width="5.5546875" bestFit="1" customWidth="1"/>
    <col min="19" max="19" width="7.6640625" bestFit="1" customWidth="1"/>
    <col min="20" max="20" width="13.109375" bestFit="1" customWidth="1"/>
  </cols>
  <sheetData>
    <row r="1" spans="1:20" ht="41.4" x14ac:dyDescent="0.3">
      <c r="A1" s="11" t="s">
        <v>0</v>
      </c>
      <c r="B1" s="105" t="s">
        <v>1</v>
      </c>
      <c r="C1" s="105" t="s">
        <v>2</v>
      </c>
      <c r="D1" s="105" t="s">
        <v>3</v>
      </c>
      <c r="E1" s="105" t="s">
        <v>4</v>
      </c>
      <c r="F1" s="106" t="s">
        <v>5</v>
      </c>
      <c r="G1" s="106" t="s">
        <v>6</v>
      </c>
      <c r="H1" s="106" t="s">
        <v>7</v>
      </c>
      <c r="I1" s="105" t="s">
        <v>8</v>
      </c>
      <c r="J1" s="105" t="s">
        <v>9</v>
      </c>
      <c r="K1" s="105" t="s">
        <v>10</v>
      </c>
      <c r="L1" s="105" t="s">
        <v>11</v>
      </c>
      <c r="M1" s="105" t="s">
        <v>12</v>
      </c>
      <c r="N1" s="106" t="s">
        <v>13</v>
      </c>
      <c r="O1" s="106" t="s">
        <v>14</v>
      </c>
      <c r="P1" s="106" t="s">
        <v>15</v>
      </c>
      <c r="Q1" s="106" t="s">
        <v>16</v>
      </c>
      <c r="R1" s="106" t="s">
        <v>17</v>
      </c>
      <c r="S1" s="106" t="s">
        <v>18</v>
      </c>
      <c r="T1" s="107" t="s">
        <v>19</v>
      </c>
    </row>
    <row r="2" spans="1:20" x14ac:dyDescent="0.3">
      <c r="A2" s="100"/>
      <c r="B2" s="100"/>
      <c r="C2" s="104"/>
      <c r="D2" s="104"/>
      <c r="E2" s="104"/>
      <c r="F2" s="104"/>
      <c r="G2" s="117"/>
      <c r="H2" s="104"/>
      <c r="I2" s="100"/>
      <c r="J2" s="100"/>
      <c r="K2" s="100"/>
      <c r="L2" s="100"/>
      <c r="M2" s="100"/>
      <c r="N2" s="100"/>
      <c r="O2" s="100"/>
      <c r="P2" s="100"/>
      <c r="Q2" s="100"/>
      <c r="R2" s="100"/>
      <c r="S2" s="100"/>
      <c r="T2" s="100"/>
    </row>
    <row r="3" spans="1:20" x14ac:dyDescent="0.3">
      <c r="A3" s="100"/>
      <c r="B3" s="100"/>
      <c r="C3" s="104"/>
      <c r="D3" s="104"/>
      <c r="E3" s="104"/>
      <c r="F3" s="104"/>
      <c r="G3" s="117"/>
      <c r="H3" s="104"/>
      <c r="I3" s="100"/>
      <c r="J3" s="100"/>
      <c r="K3" s="100"/>
      <c r="L3" s="100"/>
      <c r="M3" s="100"/>
      <c r="N3" s="100"/>
      <c r="O3" s="100"/>
      <c r="P3" s="100"/>
      <c r="Q3" s="100"/>
      <c r="R3" s="100"/>
      <c r="S3" s="100"/>
      <c r="T3" s="100"/>
    </row>
    <row r="4" spans="1:20" x14ac:dyDescent="0.3">
      <c r="A4" s="100"/>
      <c r="B4" s="100"/>
      <c r="C4" s="104"/>
      <c r="D4" s="104"/>
      <c r="E4" s="104"/>
      <c r="F4" s="104"/>
      <c r="G4" s="117"/>
      <c r="H4" s="104"/>
      <c r="I4" s="100"/>
      <c r="J4" s="100"/>
      <c r="K4" s="100"/>
      <c r="L4" s="100"/>
      <c r="M4" s="100"/>
      <c r="N4" s="100"/>
      <c r="O4" s="100"/>
      <c r="P4" s="100"/>
      <c r="Q4" s="100"/>
      <c r="R4" s="100"/>
      <c r="S4" s="100"/>
      <c r="T4" s="100"/>
    </row>
    <row r="5" spans="1:20" x14ac:dyDescent="0.3">
      <c r="A5" s="100"/>
      <c r="B5" s="100"/>
      <c r="C5" s="104"/>
      <c r="D5" s="104"/>
      <c r="E5" s="104"/>
      <c r="F5" s="104"/>
      <c r="G5" s="117"/>
      <c r="H5" s="104"/>
      <c r="I5" s="100"/>
      <c r="J5" s="100"/>
      <c r="K5" s="100"/>
      <c r="L5" s="100"/>
      <c r="M5" s="100"/>
      <c r="N5" s="100"/>
      <c r="O5" s="100"/>
      <c r="P5" s="100"/>
      <c r="Q5" s="100"/>
      <c r="R5" s="100"/>
      <c r="S5" s="100"/>
      <c r="T5" s="100"/>
    </row>
    <row r="6" spans="1:20" x14ac:dyDescent="0.3">
      <c r="A6" s="100"/>
      <c r="B6" s="100"/>
      <c r="C6" s="104"/>
      <c r="D6" s="104"/>
      <c r="E6" s="104"/>
      <c r="F6" s="104"/>
      <c r="G6" s="117"/>
      <c r="H6" s="104"/>
      <c r="I6" s="100"/>
      <c r="J6" s="100"/>
      <c r="K6" s="100"/>
      <c r="L6" s="100"/>
      <c r="M6" s="100"/>
      <c r="N6" s="100"/>
      <c r="O6" s="100"/>
      <c r="P6" s="100"/>
      <c r="Q6" s="100"/>
      <c r="R6" s="100"/>
      <c r="S6" s="100"/>
      <c r="T6" s="100"/>
    </row>
    <row r="7" spans="1:20" x14ac:dyDescent="0.3">
      <c r="A7" s="100"/>
      <c r="B7" s="100"/>
      <c r="C7" s="101"/>
      <c r="D7" s="101"/>
      <c r="E7" s="101"/>
      <c r="F7" s="115"/>
      <c r="G7" s="115"/>
      <c r="H7" s="115"/>
      <c r="I7" s="100"/>
      <c r="J7" s="100"/>
      <c r="K7" s="100"/>
      <c r="L7" s="100"/>
      <c r="M7" s="100"/>
      <c r="N7" s="100"/>
      <c r="O7" s="100"/>
      <c r="P7" s="100"/>
      <c r="Q7" s="100"/>
      <c r="R7" s="100"/>
      <c r="S7" s="100"/>
      <c r="T7" s="100"/>
    </row>
    <row r="8" spans="1:20" x14ac:dyDescent="0.3">
      <c r="A8" s="100"/>
      <c r="B8" s="100"/>
      <c r="C8" s="101"/>
      <c r="D8" s="101"/>
      <c r="E8" s="101"/>
      <c r="F8" s="115"/>
      <c r="G8" s="115"/>
      <c r="H8" s="115"/>
      <c r="I8" s="100"/>
      <c r="J8" s="100"/>
      <c r="K8" s="100"/>
      <c r="L8" s="100"/>
      <c r="M8" s="100"/>
      <c r="N8" s="100"/>
      <c r="O8" s="100"/>
      <c r="P8" s="100"/>
      <c r="Q8" s="100"/>
      <c r="R8" s="100"/>
      <c r="S8" s="100"/>
      <c r="T8" s="100"/>
    </row>
    <row r="9" spans="1:20" x14ac:dyDescent="0.3">
      <c r="A9" s="100"/>
      <c r="B9" s="100"/>
      <c r="C9" s="101"/>
      <c r="D9" s="101"/>
      <c r="E9" s="101"/>
      <c r="F9" s="101"/>
      <c r="G9" s="101"/>
      <c r="H9" s="101"/>
      <c r="I9" s="100"/>
      <c r="J9" s="100"/>
      <c r="K9" s="100"/>
      <c r="L9" s="100"/>
      <c r="M9" s="100"/>
      <c r="N9" s="100"/>
      <c r="O9" s="100"/>
      <c r="P9" s="100"/>
      <c r="Q9" s="100"/>
      <c r="R9" s="100"/>
      <c r="S9" s="100"/>
      <c r="T9" s="100"/>
    </row>
    <row r="10" spans="1:20" x14ac:dyDescent="0.3">
      <c r="A10" s="100"/>
      <c r="B10" s="100"/>
      <c r="C10" s="102"/>
      <c r="D10" s="101"/>
      <c r="E10" s="116"/>
      <c r="F10" s="115"/>
      <c r="G10" s="115"/>
      <c r="H10" s="115"/>
      <c r="I10" s="100"/>
      <c r="J10" s="100"/>
      <c r="K10" s="100"/>
      <c r="L10" s="100"/>
      <c r="M10" s="100"/>
      <c r="N10" s="100"/>
      <c r="O10" s="100"/>
      <c r="P10" s="100"/>
      <c r="Q10" s="100"/>
      <c r="R10" s="100"/>
      <c r="S10" s="100"/>
      <c r="T10" s="100"/>
    </row>
    <row r="11" spans="1:20" x14ac:dyDescent="0.3">
      <c r="A11" s="100"/>
      <c r="B11" s="100"/>
      <c r="C11" s="102"/>
      <c r="D11" s="101"/>
      <c r="E11" s="101"/>
      <c r="F11" s="101"/>
      <c r="G11" s="115"/>
      <c r="H11" s="115"/>
      <c r="I11" s="100"/>
      <c r="J11" s="100"/>
      <c r="K11" s="100"/>
      <c r="L11" s="100"/>
      <c r="M11" s="100"/>
      <c r="N11" s="100"/>
      <c r="O11" s="100"/>
      <c r="P11" s="100"/>
      <c r="Q11" s="100"/>
      <c r="R11" s="100"/>
      <c r="S11" s="100"/>
      <c r="T11" s="100"/>
    </row>
    <row r="12" spans="1:20" x14ac:dyDescent="0.3">
      <c r="A12" s="100"/>
      <c r="B12" s="100"/>
      <c r="C12" s="101"/>
      <c r="D12" s="101"/>
      <c r="E12" s="101"/>
      <c r="F12" s="101"/>
      <c r="G12" s="101"/>
      <c r="H12" s="101"/>
      <c r="I12" s="100"/>
      <c r="J12" s="100"/>
      <c r="K12" s="100"/>
      <c r="L12" s="100"/>
      <c r="M12" s="100"/>
      <c r="N12" s="100"/>
      <c r="O12" s="100"/>
      <c r="P12" s="100"/>
      <c r="Q12" s="100"/>
      <c r="R12" s="100"/>
      <c r="S12" s="100"/>
      <c r="T12" s="100"/>
    </row>
    <row r="13" spans="1:20" x14ac:dyDescent="0.3">
      <c r="A13" s="100"/>
      <c r="B13" s="100"/>
      <c r="C13" s="101"/>
      <c r="D13" s="101"/>
      <c r="E13" s="101"/>
      <c r="F13" s="101"/>
      <c r="G13" s="101"/>
      <c r="H13" s="101"/>
      <c r="I13" s="100"/>
      <c r="J13" s="100"/>
      <c r="K13" s="100"/>
      <c r="L13" s="100"/>
      <c r="M13" s="100"/>
      <c r="N13" s="100"/>
      <c r="O13" s="100"/>
      <c r="P13" s="100"/>
      <c r="Q13" s="100"/>
      <c r="R13" s="100"/>
      <c r="S13" s="100"/>
      <c r="T13" s="100"/>
    </row>
    <row r="14" spans="1:20" x14ac:dyDescent="0.3">
      <c r="A14" s="100"/>
      <c r="B14" s="100"/>
      <c r="C14" s="103"/>
      <c r="D14" s="103"/>
      <c r="E14" s="103"/>
      <c r="F14" s="103"/>
      <c r="G14" s="103"/>
      <c r="H14" s="101"/>
      <c r="I14" s="100"/>
      <c r="J14" s="100"/>
      <c r="K14" s="100"/>
      <c r="L14" s="100"/>
      <c r="M14" s="100"/>
      <c r="N14" s="100"/>
      <c r="O14" s="100"/>
      <c r="P14" s="100"/>
      <c r="Q14" s="100"/>
      <c r="R14" s="100"/>
      <c r="S14" s="100"/>
      <c r="T14" s="100"/>
    </row>
    <row r="15" spans="1:20" x14ac:dyDescent="0.3">
      <c r="A15" s="100"/>
      <c r="B15" s="100"/>
      <c r="C15" s="103"/>
      <c r="D15" s="103"/>
      <c r="E15" s="103"/>
      <c r="F15" s="103"/>
      <c r="G15" s="103"/>
      <c r="H15" s="103"/>
      <c r="I15" s="100"/>
      <c r="J15" s="100"/>
      <c r="K15" s="100"/>
      <c r="L15" s="100"/>
      <c r="M15" s="100"/>
      <c r="N15" s="100"/>
      <c r="O15" s="100"/>
      <c r="P15" s="100"/>
      <c r="Q15" s="100"/>
      <c r="R15" s="100"/>
      <c r="S15" s="100"/>
      <c r="T15" s="100"/>
    </row>
    <row r="16" spans="1:20" x14ac:dyDescent="0.3">
      <c r="A16" s="100"/>
      <c r="B16" s="100"/>
      <c r="C16" s="103"/>
      <c r="D16" s="103"/>
      <c r="E16" s="103"/>
      <c r="F16" s="103"/>
      <c r="G16" s="103"/>
      <c r="H16" s="103"/>
      <c r="I16" s="100"/>
      <c r="J16" s="100"/>
      <c r="K16" s="100"/>
      <c r="L16" s="100"/>
      <c r="M16" s="100"/>
      <c r="N16" s="100"/>
      <c r="O16" s="100"/>
      <c r="P16" s="100"/>
      <c r="Q16" s="100"/>
      <c r="R16" s="100"/>
      <c r="S16" s="100"/>
      <c r="T16" s="100"/>
    </row>
    <row r="17" spans="1:20" x14ac:dyDescent="0.3">
      <c r="A17" s="100"/>
      <c r="B17" s="100"/>
      <c r="C17" s="103"/>
      <c r="D17" s="103"/>
      <c r="E17" s="103"/>
      <c r="F17" s="103"/>
      <c r="G17" s="103"/>
      <c r="H17" s="103"/>
      <c r="I17" s="100"/>
      <c r="J17" s="100"/>
      <c r="K17" s="100"/>
      <c r="L17" s="100"/>
      <c r="M17" s="100"/>
      <c r="N17" s="100"/>
      <c r="O17" s="100"/>
      <c r="P17" s="100"/>
      <c r="Q17" s="100"/>
      <c r="R17" s="100"/>
      <c r="S17" s="100"/>
      <c r="T17" s="100"/>
    </row>
    <row r="18" spans="1:20" x14ac:dyDescent="0.3">
      <c r="A18" s="100"/>
      <c r="B18" s="100"/>
      <c r="C18" s="103"/>
      <c r="D18" s="103"/>
      <c r="E18" s="103"/>
      <c r="F18" s="103"/>
      <c r="G18" s="103"/>
      <c r="H18" s="103"/>
      <c r="I18" s="100"/>
      <c r="J18" s="100"/>
      <c r="K18" s="100"/>
      <c r="L18" s="100"/>
      <c r="M18" s="100"/>
      <c r="N18" s="100"/>
      <c r="O18" s="100"/>
      <c r="P18" s="100"/>
      <c r="Q18" s="100"/>
      <c r="R18" s="100"/>
      <c r="S18" s="100"/>
      <c r="T18" s="100"/>
    </row>
    <row r="19" spans="1:20" x14ac:dyDescent="0.3">
      <c r="A19" s="100"/>
      <c r="B19" s="100"/>
      <c r="C19" s="103"/>
      <c r="D19" s="103"/>
      <c r="E19" s="103"/>
      <c r="F19" s="103"/>
      <c r="G19" s="103"/>
      <c r="H19" s="103"/>
      <c r="I19" s="100"/>
      <c r="J19" s="100"/>
      <c r="K19" s="100"/>
      <c r="L19" s="100"/>
      <c r="M19" s="100"/>
      <c r="N19" s="100"/>
      <c r="O19" s="100"/>
      <c r="P19" s="100"/>
      <c r="Q19" s="100"/>
      <c r="R19" s="100"/>
      <c r="S19" s="100"/>
      <c r="T19" s="100"/>
    </row>
    <row r="20" spans="1:20" x14ac:dyDescent="0.3">
      <c r="A20" s="100"/>
      <c r="B20" s="100"/>
      <c r="C20" s="103"/>
      <c r="D20" s="103"/>
      <c r="E20" s="103"/>
      <c r="F20" s="103"/>
      <c r="G20" s="103"/>
      <c r="H20" s="103"/>
      <c r="I20" s="100"/>
      <c r="J20" s="100"/>
      <c r="K20" s="100"/>
      <c r="L20" s="100"/>
      <c r="M20" s="100"/>
      <c r="N20" s="100"/>
      <c r="O20" s="100"/>
      <c r="P20" s="100"/>
      <c r="Q20" s="100"/>
      <c r="R20" s="100"/>
      <c r="S20" s="100"/>
      <c r="T20" s="100"/>
    </row>
    <row r="21" spans="1:20" x14ac:dyDescent="0.3">
      <c r="A21" s="100"/>
      <c r="B21" s="100"/>
      <c r="C21" s="103"/>
      <c r="D21" s="103"/>
      <c r="E21" s="103"/>
      <c r="F21" s="103"/>
      <c r="G21" s="103"/>
      <c r="H21" s="103"/>
      <c r="I21" s="100"/>
      <c r="J21" s="100"/>
      <c r="K21" s="100"/>
      <c r="L21" s="100"/>
      <c r="M21" s="100"/>
      <c r="N21" s="100"/>
      <c r="O21" s="100"/>
      <c r="P21" s="100"/>
      <c r="Q21" s="100"/>
      <c r="R21" s="100"/>
      <c r="S21" s="100"/>
      <c r="T21" s="100"/>
    </row>
    <row r="22" spans="1:20" x14ac:dyDescent="0.3">
      <c r="A22" s="100"/>
      <c r="B22" s="100"/>
      <c r="C22" s="103"/>
      <c r="D22" s="103"/>
      <c r="E22" s="103"/>
      <c r="F22" s="103"/>
      <c r="G22" s="103"/>
      <c r="H22" s="103"/>
      <c r="I22" s="100"/>
      <c r="J22" s="100"/>
      <c r="K22" s="100"/>
      <c r="L22" s="100"/>
      <c r="M22" s="100"/>
      <c r="N22" s="100"/>
      <c r="O22" s="100"/>
      <c r="P22" s="100"/>
      <c r="Q22" s="100"/>
      <c r="R22" s="100"/>
      <c r="S22" s="100"/>
      <c r="T22" s="100"/>
    </row>
    <row r="23" spans="1:20" x14ac:dyDescent="0.3">
      <c r="A23" s="100"/>
      <c r="B23" s="100"/>
      <c r="C23" s="103"/>
      <c r="D23" s="103"/>
      <c r="E23" s="103"/>
      <c r="F23" s="103"/>
      <c r="G23" s="103"/>
      <c r="H23" s="103"/>
      <c r="I23" s="100"/>
      <c r="J23" s="100"/>
      <c r="K23" s="100"/>
      <c r="L23" s="100"/>
      <c r="M23" s="100"/>
      <c r="N23" s="100"/>
      <c r="O23" s="100"/>
      <c r="P23" s="100"/>
      <c r="Q23" s="100"/>
      <c r="R23" s="100"/>
      <c r="S23" s="100"/>
      <c r="T23" s="100"/>
    </row>
    <row r="24" spans="1:20" x14ac:dyDescent="0.3">
      <c r="A24" s="100"/>
      <c r="B24" s="100"/>
      <c r="C24" s="103"/>
      <c r="D24" s="103"/>
      <c r="E24" s="103"/>
      <c r="F24" s="103"/>
      <c r="G24" s="103"/>
      <c r="H24" s="103"/>
      <c r="I24" s="100"/>
      <c r="J24" s="100"/>
      <c r="K24" s="100"/>
      <c r="L24" s="100"/>
      <c r="M24" s="100"/>
      <c r="N24" s="100"/>
      <c r="O24" s="100"/>
      <c r="P24" s="100"/>
      <c r="Q24" s="100"/>
      <c r="R24" s="100"/>
      <c r="S24" s="100"/>
      <c r="T24" s="100"/>
    </row>
    <row r="25" spans="1:20" x14ac:dyDescent="0.3">
      <c r="A25" s="100"/>
      <c r="B25" s="100"/>
      <c r="C25" s="103"/>
      <c r="D25" s="103"/>
      <c r="E25" s="103"/>
      <c r="F25" s="103"/>
      <c r="G25" s="103"/>
      <c r="H25" s="103"/>
      <c r="I25" s="100"/>
      <c r="J25" s="100"/>
      <c r="K25" s="100"/>
      <c r="L25" s="100"/>
      <c r="M25" s="100"/>
      <c r="N25" s="100"/>
      <c r="O25" s="100"/>
      <c r="P25" s="100"/>
      <c r="Q25" s="100"/>
      <c r="R25" s="100"/>
      <c r="S25" s="100"/>
      <c r="T25" s="100"/>
    </row>
  </sheetData>
  <conditionalFormatting sqref="I2:T11 A2:B11">
    <cfRule type="cellIs" dxfId="0" priority="2" operator="equal">
      <formula>""</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769FF41BC8779445B8BED6D77BDFD0BF" ma:contentTypeVersion="4" ma:contentTypeDescription="Create a new document." ma:contentTypeScope="" ma:versionID="411e213af8f4df260b9c179d644aa974">
  <xsd:schema xmlns:xsd="http://www.w3.org/2001/XMLSchema" xmlns:xs="http://www.w3.org/2001/XMLSchema" xmlns:p="http://schemas.microsoft.com/office/2006/metadata/properties" xmlns:ns2="2db11f1a-a6b6-4210-842b-ac5ed3abb301" targetNamespace="http://schemas.microsoft.com/office/2006/metadata/properties" ma:root="true" ma:fieldsID="82a3f6ff887e1cc64c1b499f032b4e49" ns2:_="">
    <xsd:import namespace="2db11f1a-a6b6-4210-842b-ac5ed3abb301"/>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db11f1a-a6b6-4210-842b-ac5ed3abb30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C5D5D41-43C3-4A0F-8D03-30E2E5661CF8}">
  <ds:schemaRefs>
    <ds:schemaRef ds:uri="http://schemas.microsoft.com/sharepoint/v3/contenttype/forms"/>
  </ds:schemaRefs>
</ds:datastoreItem>
</file>

<file path=customXml/itemProps2.xml><?xml version="1.0" encoding="utf-8"?>
<ds:datastoreItem xmlns:ds="http://schemas.openxmlformats.org/officeDocument/2006/customXml" ds:itemID="{61BEC2DA-3CC0-4FBD-9622-AE94D528EA12}">
  <ds:schemaRefs>
    <ds:schemaRef ds:uri="http://schemas.microsoft.com/office/2006/metadata/properties"/>
    <ds:schemaRef ds:uri="http://schemas.openxmlformats.org/package/2006/metadata/core-properties"/>
    <ds:schemaRef ds:uri="http://purl.org/dc/terms/"/>
    <ds:schemaRef ds:uri="http://schemas.microsoft.com/office/2006/documentManagement/types"/>
    <ds:schemaRef ds:uri="http://purl.org/dc/elements/1.1/"/>
    <ds:schemaRef ds:uri="http://schemas.microsoft.com/office/infopath/2007/PartnerControls"/>
    <ds:schemaRef ds:uri="2db11f1a-a6b6-4210-842b-ac5ed3abb301"/>
    <ds:schemaRef ds:uri="http://www.w3.org/XML/1998/namespace"/>
    <ds:schemaRef ds:uri="http://purl.org/dc/dcmitype/"/>
  </ds:schemaRefs>
</ds:datastoreItem>
</file>

<file path=customXml/itemProps3.xml><?xml version="1.0" encoding="utf-8"?>
<ds:datastoreItem xmlns:ds="http://schemas.openxmlformats.org/officeDocument/2006/customXml" ds:itemID="{27E942D7-6253-41A1-8C48-0BC2A1F3F7A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db11f1a-a6b6-4210-842b-ac5ed3abb30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Summary.Confidential</vt:lpstr>
      <vt:lpstr>Summary.Current</vt:lpstr>
      <vt:lpstr>Loc.Summ.Confidential</vt:lpstr>
      <vt:lpstr>Segment.Confidential</vt:lpstr>
      <vt:lpstr>Preferred MFR</vt:lpstr>
      <vt:lpstr>ItemDetail.Confidential</vt:lpstr>
      <vt:lpstr>Excluded.Confidential</vt:lpstr>
      <vt:lpstr>Location List.Confidential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Crawford, Ryan</dc:creator>
  <cp:keywords/>
  <dc:description/>
  <cp:lastModifiedBy>Beaumont, Kayla</cp:lastModifiedBy>
  <cp:revision/>
  <dcterms:created xsi:type="dcterms:W3CDTF">2014-05-05T02:16:50Z</dcterms:created>
  <dcterms:modified xsi:type="dcterms:W3CDTF">2022-02-11T18:06:41Z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0x010100769FF41BC8779445B8BED6D77BDFD0BF</vt:lpwstr>
  </property>
</Properties>
</file>