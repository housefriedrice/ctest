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defaultThemeVersion="124226"/>
  <mc:AlternateContent xmlns:mc="http://schemas.openxmlformats.org/markup-compatibility/2006">
    <mc:Choice Requires="x15">
      <x15ac:absPath xmlns:x15ac="http://schemas.microsoft.com/office/spreadsheetml/2010/11/ac" url="C:\Users\salmoln\Desktop\PA - MISC\Benchmarks\"/>
    </mc:Choice>
  </mc:AlternateContent>
  <xr:revisionPtr revIDLastSave="0" documentId="8_{92D2DED0-4D4E-4BCA-864A-DAC64820F5A4}" xr6:coauthVersionLast="47" xr6:coauthVersionMax="47" xr10:uidLastSave="{00000000-0000-0000-0000-000000000000}"/>
  <bookViews>
    <workbookView xWindow="1560" yWindow="1560" windowWidth="21600" windowHeight="11505" xr2:uid="{00000000-000D-0000-FFFF-FFFF00000000}"/>
  </bookViews>
  <sheets>
    <sheet name="Summary" sheetId="4" r:id="rId1"/>
    <sheet name="Item Detail" sheetId="23" r:id="rId2"/>
    <sheet name="Excluded" sheetId="22" r:id="rId3"/>
    <sheet name="SegmentSummary" sheetId="21" r:id="rId4"/>
    <sheet name="Cust File" sheetId="18" r:id="rId5"/>
    <sheet name="Pricing Validity " sheetId="24" r:id="rId6"/>
  </sheets>
  <definedNames>
    <definedName name="_xlnm._FilterDatabase" localSheetId="4" hidden="1">'Cust File'!$A$2:$U$2</definedName>
    <definedName name="_xlnm._FilterDatabase" localSheetId="2" hidden="1">Excluded!$A$1:$W$1</definedName>
    <definedName name="_xlnm._FilterDatabase" localSheetId="1" hidden="1">'Item Detail'!$A$1:$AR$67</definedName>
    <definedName name="_xlnm._FilterDatabase" localSheetId="3" hidden="1">SegmentSummary!$A$2:$F$2</definedName>
    <definedName name="ExternalData_1" localSheetId="4">'Cust File'!#REF!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9" i="23" l="1"/>
  <c r="AD58" i="23"/>
  <c r="P14" i="23"/>
  <c r="P66" i="23"/>
  <c r="P55" i="23"/>
  <c r="P38" i="23"/>
  <c r="P43" i="23"/>
  <c r="P48" i="23"/>
  <c r="P26" i="23"/>
  <c r="P12" i="23"/>
  <c r="AD2" i="23" l="1"/>
  <c r="AD3" i="23"/>
  <c r="AD4" i="23"/>
  <c r="AD5" i="23"/>
  <c r="AD6" i="23"/>
  <c r="AD7" i="23"/>
  <c r="AD8" i="23"/>
  <c r="AD9" i="23"/>
  <c r="AD10" i="23"/>
  <c r="AD11" i="23"/>
  <c r="AD12" i="23"/>
  <c r="AD13" i="23"/>
  <c r="AD14" i="23"/>
  <c r="AD15" i="23"/>
  <c r="AD16" i="23"/>
  <c r="AD17" i="23"/>
  <c r="AD18" i="23"/>
  <c r="AD19" i="23"/>
  <c r="AD20" i="23"/>
  <c r="AD21" i="23"/>
  <c r="AD22" i="23"/>
  <c r="AD23" i="23"/>
  <c r="AD24" i="23"/>
  <c r="AD25" i="23"/>
  <c r="AD26" i="23"/>
  <c r="AD27" i="23"/>
  <c r="AD28" i="23"/>
  <c r="AD29" i="23"/>
  <c r="AD30" i="23"/>
  <c r="AD31" i="23"/>
  <c r="AD32" i="23"/>
  <c r="AD33" i="23"/>
  <c r="AD34" i="23"/>
  <c r="AD35" i="23"/>
  <c r="AD36" i="23"/>
  <c r="AD37" i="23"/>
  <c r="AD38" i="23"/>
  <c r="AD39" i="23"/>
  <c r="AD40" i="23"/>
  <c r="AD41" i="23"/>
  <c r="AD42" i="23"/>
  <c r="AD43" i="23"/>
  <c r="AD44" i="23"/>
  <c r="AD45" i="23"/>
  <c r="AD46" i="23"/>
  <c r="AD47" i="23"/>
  <c r="AD48" i="23"/>
  <c r="AD49" i="23"/>
  <c r="AD50" i="23"/>
  <c r="AD51" i="23"/>
  <c r="AD52" i="23"/>
  <c r="AD53" i="23"/>
  <c r="AD54" i="23"/>
  <c r="AD55" i="23"/>
  <c r="AD56" i="23"/>
  <c r="AD57" i="23"/>
  <c r="AD59" i="23"/>
  <c r="AD60" i="23"/>
  <c r="AD61" i="23"/>
  <c r="AD62" i="23"/>
  <c r="AD63" i="23"/>
  <c r="AD64" i="23"/>
  <c r="AD65" i="23"/>
  <c r="AD66" i="23"/>
  <c r="AD67" i="23"/>
  <c r="S2" i="23"/>
  <c r="T2" i="23"/>
  <c r="AC2" i="23" s="1"/>
  <c r="X2" i="23" s="1"/>
  <c r="Y2" i="23" s="1"/>
  <c r="Z2" i="23" s="1"/>
  <c r="S3" i="23"/>
  <c r="T3" i="23"/>
  <c r="S4" i="23"/>
  <c r="T4" i="23"/>
  <c r="AC4" i="23" s="1"/>
  <c r="X4" i="23" s="1"/>
  <c r="Y4" i="23" s="1"/>
  <c r="Z4" i="23" s="1"/>
  <c r="S5" i="23"/>
  <c r="T5" i="23"/>
  <c r="AC5" i="23" s="1"/>
  <c r="X5" i="23" s="1"/>
  <c r="Y5" i="23" s="1"/>
  <c r="Z5" i="23" s="1"/>
  <c r="S6" i="23"/>
  <c r="T6" i="23"/>
  <c r="AC6" i="23" s="1"/>
  <c r="X6" i="23" s="1"/>
  <c r="Y6" i="23" s="1"/>
  <c r="Z6" i="23" s="1"/>
  <c r="S7" i="23"/>
  <c r="T7" i="23"/>
  <c r="AC7" i="23" s="1"/>
  <c r="X7" i="23" s="1"/>
  <c r="Y7" i="23" s="1"/>
  <c r="Z7" i="23" s="1"/>
  <c r="S8" i="23"/>
  <c r="T8" i="23"/>
  <c r="AC8" i="23" s="1"/>
  <c r="X8" i="23" s="1"/>
  <c r="Y8" i="23" s="1"/>
  <c r="Z8" i="23" s="1"/>
  <c r="S9" i="23"/>
  <c r="T9" i="23"/>
  <c r="S10" i="23"/>
  <c r="T10" i="23"/>
  <c r="AC10" i="23" s="1"/>
  <c r="X10" i="23" s="1"/>
  <c r="Y10" i="23" s="1"/>
  <c r="Z10" i="23" s="1"/>
  <c r="S11" i="23"/>
  <c r="T11" i="23"/>
  <c r="S12" i="23"/>
  <c r="T12" i="23"/>
  <c r="AC12" i="23" s="1"/>
  <c r="X12" i="23" s="1"/>
  <c r="Y12" i="23" s="1"/>
  <c r="Z12" i="23" s="1"/>
  <c r="S13" i="23"/>
  <c r="T13" i="23"/>
  <c r="AC13" i="23" s="1"/>
  <c r="X13" i="23" s="1"/>
  <c r="Y13" i="23" s="1"/>
  <c r="Z13" i="23" s="1"/>
  <c r="S14" i="23"/>
  <c r="T14" i="23"/>
  <c r="AC14" i="23" s="1"/>
  <c r="X14" i="23" s="1"/>
  <c r="Y14" i="23" s="1"/>
  <c r="Z14" i="23" s="1"/>
  <c r="S15" i="23"/>
  <c r="T15" i="23"/>
  <c r="S16" i="23"/>
  <c r="T16" i="23"/>
  <c r="AC16" i="23" s="1"/>
  <c r="X16" i="23" s="1"/>
  <c r="Y16" i="23" s="1"/>
  <c r="Z16" i="23" s="1"/>
  <c r="S17" i="23"/>
  <c r="T17" i="23"/>
  <c r="S18" i="23"/>
  <c r="T18" i="23"/>
  <c r="AC18" i="23" s="1"/>
  <c r="X18" i="23" s="1"/>
  <c r="Y18" i="23" s="1"/>
  <c r="Z18" i="23" s="1"/>
  <c r="S19" i="23"/>
  <c r="T19" i="23"/>
  <c r="S20" i="23"/>
  <c r="T20" i="23"/>
  <c r="AC20" i="23" s="1"/>
  <c r="X20" i="23" s="1"/>
  <c r="Y20" i="23" s="1"/>
  <c r="Z20" i="23" s="1"/>
  <c r="S21" i="23"/>
  <c r="T21" i="23"/>
  <c r="AC21" i="23" s="1"/>
  <c r="X21" i="23" s="1"/>
  <c r="Y21" i="23" s="1"/>
  <c r="Z21" i="23" s="1"/>
  <c r="S22" i="23"/>
  <c r="T22" i="23"/>
  <c r="AC22" i="23" s="1"/>
  <c r="X22" i="23" s="1"/>
  <c r="Y22" i="23" s="1"/>
  <c r="Z22" i="23" s="1"/>
  <c r="S23" i="23"/>
  <c r="T23" i="23"/>
  <c r="S24" i="23"/>
  <c r="T24" i="23"/>
  <c r="S25" i="23"/>
  <c r="T25" i="23"/>
  <c r="AC25" i="23" s="1"/>
  <c r="X25" i="23" s="1"/>
  <c r="Y25" i="23" s="1"/>
  <c r="Z25" i="23" s="1"/>
  <c r="S26" i="23"/>
  <c r="T26" i="23"/>
  <c r="AC26" i="23" s="1"/>
  <c r="X26" i="23" s="1"/>
  <c r="Y26" i="23" s="1"/>
  <c r="Z26" i="23" s="1"/>
  <c r="S27" i="23"/>
  <c r="T27" i="23"/>
  <c r="S28" i="23"/>
  <c r="T28" i="23"/>
  <c r="S29" i="23"/>
  <c r="T29" i="23"/>
  <c r="AC29" i="23" s="1"/>
  <c r="X29" i="23" s="1"/>
  <c r="Y29" i="23" s="1"/>
  <c r="Z29" i="23" s="1"/>
  <c r="S30" i="23"/>
  <c r="T30" i="23"/>
  <c r="AC30" i="23" s="1"/>
  <c r="X30" i="23" s="1"/>
  <c r="Y30" i="23" s="1"/>
  <c r="Z30" i="23" s="1"/>
  <c r="S31" i="23"/>
  <c r="T31" i="23"/>
  <c r="S32" i="23"/>
  <c r="T32" i="23"/>
  <c r="AC32" i="23" s="1"/>
  <c r="X32" i="23" s="1"/>
  <c r="Y32" i="23" s="1"/>
  <c r="Z32" i="23" s="1"/>
  <c r="S33" i="23"/>
  <c r="T33" i="23"/>
  <c r="S34" i="23"/>
  <c r="T34" i="23"/>
  <c r="AC34" i="23" s="1"/>
  <c r="X34" i="23" s="1"/>
  <c r="Y34" i="23" s="1"/>
  <c r="Z34" i="23" s="1"/>
  <c r="S35" i="23"/>
  <c r="T35" i="23"/>
  <c r="S36" i="23"/>
  <c r="T36" i="23"/>
  <c r="S37" i="23"/>
  <c r="T37" i="23"/>
  <c r="AC37" i="23" s="1"/>
  <c r="X37" i="23" s="1"/>
  <c r="Y37" i="23" s="1"/>
  <c r="Z37" i="23" s="1"/>
  <c r="S38" i="23"/>
  <c r="T38" i="23"/>
  <c r="AC38" i="23" s="1"/>
  <c r="X38" i="23" s="1"/>
  <c r="Y38" i="23" s="1"/>
  <c r="Z38" i="23" s="1"/>
  <c r="S39" i="23"/>
  <c r="T39" i="23"/>
  <c r="S40" i="23"/>
  <c r="T40" i="23"/>
  <c r="S41" i="23"/>
  <c r="T41" i="23"/>
  <c r="AC41" i="23" s="1"/>
  <c r="X41" i="23" s="1"/>
  <c r="Y41" i="23" s="1"/>
  <c r="Z41" i="23" s="1"/>
  <c r="S42" i="23"/>
  <c r="T42" i="23"/>
  <c r="AC42" i="23" s="1"/>
  <c r="X42" i="23" s="1"/>
  <c r="Y42" i="23" s="1"/>
  <c r="Z42" i="23" s="1"/>
  <c r="S43" i="23"/>
  <c r="T43" i="23"/>
  <c r="S44" i="23"/>
  <c r="T44" i="23"/>
  <c r="S45" i="23"/>
  <c r="T45" i="23"/>
  <c r="AC45" i="23" s="1"/>
  <c r="X45" i="23" s="1"/>
  <c r="Y45" i="23" s="1"/>
  <c r="Z45" i="23" s="1"/>
  <c r="S46" i="23"/>
  <c r="T46" i="23"/>
  <c r="AC46" i="23" s="1"/>
  <c r="X46" i="23" s="1"/>
  <c r="Y46" i="23" s="1"/>
  <c r="Z46" i="23" s="1"/>
  <c r="S47" i="23"/>
  <c r="T47" i="23"/>
  <c r="S48" i="23"/>
  <c r="T48" i="23"/>
  <c r="AC48" i="23" s="1"/>
  <c r="X48" i="23" s="1"/>
  <c r="Y48" i="23" s="1"/>
  <c r="Z48" i="23" s="1"/>
  <c r="S49" i="23"/>
  <c r="T49" i="23"/>
  <c r="S50" i="23"/>
  <c r="T50" i="23"/>
  <c r="AC50" i="23" s="1"/>
  <c r="X50" i="23" s="1"/>
  <c r="Y50" i="23" s="1"/>
  <c r="Z50" i="23" s="1"/>
  <c r="S51" i="23"/>
  <c r="T51" i="23"/>
  <c r="S52" i="23"/>
  <c r="T52" i="23"/>
  <c r="S53" i="23"/>
  <c r="T53" i="23"/>
  <c r="AC53" i="23" s="1"/>
  <c r="X53" i="23" s="1"/>
  <c r="Y53" i="23" s="1"/>
  <c r="Z53" i="23" s="1"/>
  <c r="S54" i="23"/>
  <c r="T54" i="23"/>
  <c r="AC54" i="23" s="1"/>
  <c r="X54" i="23" s="1"/>
  <c r="Y54" i="23" s="1"/>
  <c r="Z54" i="23" s="1"/>
  <c r="S55" i="23"/>
  <c r="T55" i="23"/>
  <c r="AC55" i="23" s="1"/>
  <c r="X55" i="23" s="1"/>
  <c r="Y55" i="23" s="1"/>
  <c r="Z55" i="23" s="1"/>
  <c r="S56" i="23"/>
  <c r="T56" i="23"/>
  <c r="U56" i="23" s="1"/>
  <c r="W56" i="23" s="1"/>
  <c r="S57" i="23"/>
  <c r="T57" i="23"/>
  <c r="AC57" i="23" s="1"/>
  <c r="X57" i="23" s="1"/>
  <c r="Y57" i="23" s="1"/>
  <c r="Z57" i="23" s="1"/>
  <c r="S58" i="23"/>
  <c r="T58" i="23"/>
  <c r="S59" i="23"/>
  <c r="T59" i="23"/>
  <c r="S60" i="23"/>
  <c r="T60" i="23"/>
  <c r="S61" i="23"/>
  <c r="T61" i="23"/>
  <c r="AC61" i="23" s="1"/>
  <c r="X61" i="23" s="1"/>
  <c r="Y61" i="23" s="1"/>
  <c r="Z61" i="23" s="1"/>
  <c r="S62" i="23"/>
  <c r="T62" i="23"/>
  <c r="AC62" i="23" s="1"/>
  <c r="X62" i="23" s="1"/>
  <c r="Y62" i="23" s="1"/>
  <c r="Z62" i="23" s="1"/>
  <c r="S63" i="23"/>
  <c r="T63" i="23"/>
  <c r="AC63" i="23" s="1"/>
  <c r="X63" i="23" s="1"/>
  <c r="Y63" i="23" s="1"/>
  <c r="Z63" i="23" s="1"/>
  <c r="S64" i="23"/>
  <c r="T64" i="23"/>
  <c r="U64" i="23" s="1"/>
  <c r="W64" i="23" s="1"/>
  <c r="S65" i="23"/>
  <c r="T65" i="23"/>
  <c r="AC65" i="23" s="1"/>
  <c r="X65" i="23" s="1"/>
  <c r="Y65" i="23" s="1"/>
  <c r="Z65" i="23" s="1"/>
  <c r="S66" i="23"/>
  <c r="T66" i="23"/>
  <c r="AC66" i="23" s="1"/>
  <c r="X66" i="23" s="1"/>
  <c r="Y66" i="23" s="1"/>
  <c r="Z66" i="23" s="1"/>
  <c r="S67" i="23"/>
  <c r="T67" i="23"/>
  <c r="AC58" i="23" l="1"/>
  <c r="X58" i="23" s="1"/>
  <c r="Y58" i="23" s="1"/>
  <c r="Z58" i="23" s="1"/>
  <c r="U52" i="23"/>
  <c r="W52" i="23" s="1"/>
  <c r="U31" i="23"/>
  <c r="W31" i="23" s="1"/>
  <c r="U11" i="23"/>
  <c r="W11" i="23" s="1"/>
  <c r="U37" i="23"/>
  <c r="W37" i="23" s="1"/>
  <c r="U26" i="23"/>
  <c r="W26" i="23" s="1"/>
  <c r="U65" i="23"/>
  <c r="W65" i="23" s="1"/>
  <c r="U14" i="23"/>
  <c r="W14" i="23" s="1"/>
  <c r="U5" i="23"/>
  <c r="W5" i="23" s="1"/>
  <c r="U24" i="23"/>
  <c r="W24" i="23" s="1"/>
  <c r="U42" i="23"/>
  <c r="W42" i="23" s="1"/>
  <c r="U41" i="23"/>
  <c r="W41" i="23" s="1"/>
  <c r="U57" i="23"/>
  <c r="W57" i="23" s="1"/>
  <c r="U62" i="23"/>
  <c r="W62" i="23" s="1"/>
  <c r="U25" i="23"/>
  <c r="W25" i="23" s="1"/>
  <c r="U53" i="23"/>
  <c r="W53" i="23" s="1"/>
  <c r="U47" i="23"/>
  <c r="W47" i="23" s="1"/>
  <c r="U40" i="23"/>
  <c r="W40" i="23" s="1"/>
  <c r="U36" i="23"/>
  <c r="W36" i="23" s="1"/>
  <c r="U17" i="23"/>
  <c r="W17" i="23" s="1"/>
  <c r="U13" i="23"/>
  <c r="W13" i="23" s="1"/>
  <c r="U21" i="23"/>
  <c r="W21" i="23" s="1"/>
  <c r="U61" i="23"/>
  <c r="W61" i="23" s="1"/>
  <c r="U46" i="23"/>
  <c r="W46" i="23" s="1"/>
  <c r="U67" i="23"/>
  <c r="W67" i="23" s="1"/>
  <c r="U49" i="23"/>
  <c r="W49" i="23" s="1"/>
  <c r="U30" i="23"/>
  <c r="W30" i="23" s="1"/>
  <c r="U58" i="23"/>
  <c r="W58" i="23" s="1"/>
  <c r="U33" i="23"/>
  <c r="W33" i="23" s="1"/>
  <c r="U3" i="23"/>
  <c r="W3" i="23" s="1"/>
  <c r="U45" i="23"/>
  <c r="W45" i="23" s="1"/>
  <c r="U39" i="23"/>
  <c r="W39" i="23" s="1"/>
  <c r="U29" i="23"/>
  <c r="W29" i="23" s="1"/>
  <c r="U23" i="23"/>
  <c r="W23" i="23" s="1"/>
  <c r="U20" i="23"/>
  <c r="W20" i="23" s="1"/>
  <c r="U16" i="23"/>
  <c r="W16" i="23" s="1"/>
  <c r="U55" i="23"/>
  <c r="W55" i="23" s="1"/>
  <c r="U51" i="23"/>
  <c r="W51" i="23" s="1"/>
  <c r="U48" i="23"/>
  <c r="W48" i="23" s="1"/>
  <c r="U35" i="23"/>
  <c r="W35" i="23" s="1"/>
  <c r="U32" i="23"/>
  <c r="W32" i="23" s="1"/>
  <c r="U19" i="23"/>
  <c r="W19" i="23" s="1"/>
  <c r="U9" i="23"/>
  <c r="W9" i="23" s="1"/>
  <c r="U6" i="23"/>
  <c r="W6" i="23" s="1"/>
  <c r="U2" i="23"/>
  <c r="W2" i="23" s="1"/>
  <c r="AC49" i="23"/>
  <c r="X49" i="23" s="1"/>
  <c r="Y49" i="23" s="1"/>
  <c r="Z49" i="23" s="1"/>
  <c r="AC33" i="23"/>
  <c r="X33" i="23" s="1"/>
  <c r="Y33" i="23" s="1"/>
  <c r="Z33" i="23" s="1"/>
  <c r="AC17" i="23"/>
  <c r="X17" i="23" s="1"/>
  <c r="Y17" i="23" s="1"/>
  <c r="Z17" i="23" s="1"/>
  <c r="AC9" i="23"/>
  <c r="X9" i="23" s="1"/>
  <c r="Y9" i="23" s="1"/>
  <c r="Z9" i="23" s="1"/>
  <c r="U60" i="23"/>
  <c r="W60" i="23" s="1"/>
  <c r="U54" i="23"/>
  <c r="W54" i="23" s="1"/>
  <c r="U50" i="23"/>
  <c r="W50" i="23" s="1"/>
  <c r="U44" i="23"/>
  <c r="W44" i="23" s="1"/>
  <c r="U38" i="23"/>
  <c r="W38" i="23" s="1"/>
  <c r="U34" i="23"/>
  <c r="W34" i="23" s="1"/>
  <c r="U28" i="23"/>
  <c r="W28" i="23" s="1"/>
  <c r="U22" i="23"/>
  <c r="W22" i="23" s="1"/>
  <c r="U18" i="23"/>
  <c r="W18" i="23" s="1"/>
  <c r="U15" i="23"/>
  <c r="W15" i="23" s="1"/>
  <c r="U12" i="23"/>
  <c r="W12" i="23" s="1"/>
  <c r="U8" i="23"/>
  <c r="W8" i="23" s="1"/>
  <c r="AC64" i="23"/>
  <c r="X64" i="23" s="1"/>
  <c r="Y64" i="23" s="1"/>
  <c r="Z64" i="23" s="1"/>
  <c r="AC60" i="23"/>
  <c r="X60" i="23" s="1"/>
  <c r="Y60" i="23" s="1"/>
  <c r="Z60" i="23" s="1"/>
  <c r="AC56" i="23"/>
  <c r="X56" i="23" s="1"/>
  <c r="Y56" i="23" s="1"/>
  <c r="Z56" i="23" s="1"/>
  <c r="AC52" i="23"/>
  <c r="X52" i="23" s="1"/>
  <c r="Y52" i="23" s="1"/>
  <c r="Z52" i="23" s="1"/>
  <c r="AC44" i="23"/>
  <c r="X44" i="23" s="1"/>
  <c r="Y44" i="23" s="1"/>
  <c r="Z44" i="23" s="1"/>
  <c r="AC40" i="23"/>
  <c r="X40" i="23" s="1"/>
  <c r="Y40" i="23" s="1"/>
  <c r="Z40" i="23" s="1"/>
  <c r="AC36" i="23"/>
  <c r="X36" i="23" s="1"/>
  <c r="Y36" i="23" s="1"/>
  <c r="Z36" i="23" s="1"/>
  <c r="AC28" i="23"/>
  <c r="X28" i="23" s="1"/>
  <c r="Y28" i="23" s="1"/>
  <c r="Z28" i="23" s="1"/>
  <c r="AC24" i="23"/>
  <c r="X24" i="23" s="1"/>
  <c r="Y24" i="23" s="1"/>
  <c r="Z24" i="23" s="1"/>
  <c r="U66" i="23"/>
  <c r="W66" i="23" s="1"/>
  <c r="U63" i="23"/>
  <c r="W63" i="23" s="1"/>
  <c r="U59" i="23"/>
  <c r="W59" i="23" s="1"/>
  <c r="U43" i="23"/>
  <c r="W43" i="23" s="1"/>
  <c r="U27" i="23"/>
  <c r="W27" i="23" s="1"/>
  <c r="AC67" i="23"/>
  <c r="X67" i="23" s="1"/>
  <c r="Y67" i="23" s="1"/>
  <c r="Z67" i="23" s="1"/>
  <c r="AC59" i="23"/>
  <c r="X59" i="23" s="1"/>
  <c r="Y59" i="23" s="1"/>
  <c r="Z59" i="23" s="1"/>
  <c r="AC51" i="23"/>
  <c r="X51" i="23" s="1"/>
  <c r="Y51" i="23" s="1"/>
  <c r="Z51" i="23" s="1"/>
  <c r="AC47" i="23"/>
  <c r="X47" i="23" s="1"/>
  <c r="Y47" i="23" s="1"/>
  <c r="Z47" i="23" s="1"/>
  <c r="AC43" i="23"/>
  <c r="X43" i="23" s="1"/>
  <c r="Y43" i="23" s="1"/>
  <c r="Z43" i="23" s="1"/>
  <c r="AC39" i="23"/>
  <c r="X39" i="23" s="1"/>
  <c r="Y39" i="23" s="1"/>
  <c r="Z39" i="23" s="1"/>
  <c r="AC35" i="23"/>
  <c r="X35" i="23" s="1"/>
  <c r="Y35" i="23" s="1"/>
  <c r="Z35" i="23" s="1"/>
  <c r="AC31" i="23"/>
  <c r="X31" i="23" s="1"/>
  <c r="Y31" i="23" s="1"/>
  <c r="Z31" i="23" s="1"/>
  <c r="AC27" i="23"/>
  <c r="X27" i="23" s="1"/>
  <c r="Y27" i="23" s="1"/>
  <c r="Z27" i="23" s="1"/>
  <c r="AC23" i="23"/>
  <c r="X23" i="23" s="1"/>
  <c r="Y23" i="23" s="1"/>
  <c r="Z23" i="23" s="1"/>
  <c r="AC19" i="23"/>
  <c r="X19" i="23" s="1"/>
  <c r="Y19" i="23" s="1"/>
  <c r="Z19" i="23" s="1"/>
  <c r="AC15" i="23"/>
  <c r="X15" i="23" s="1"/>
  <c r="Y15" i="23" s="1"/>
  <c r="Z15" i="23" s="1"/>
  <c r="AC11" i="23"/>
  <c r="X11" i="23" s="1"/>
  <c r="Y11" i="23" s="1"/>
  <c r="Z11" i="23" s="1"/>
  <c r="AC3" i="23"/>
  <c r="X3" i="23" s="1"/>
  <c r="Y3" i="23" s="1"/>
  <c r="Z3" i="23" s="1"/>
  <c r="U10" i="23"/>
  <c r="W10" i="23" s="1"/>
  <c r="U7" i="23"/>
  <c r="W7" i="23" s="1"/>
  <c r="U4" i="23"/>
  <c r="W4" i="23" s="1"/>
  <c r="U1" i="18"/>
  <c r="D5" i="21" l="1"/>
  <c r="D7" i="21"/>
  <c r="D12" i="21"/>
  <c r="C4" i="21"/>
  <c r="C5" i="21"/>
  <c r="C6" i="21"/>
  <c r="C7" i="21"/>
  <c r="C8" i="21"/>
  <c r="C9" i="21"/>
  <c r="C10" i="21"/>
  <c r="C11" i="21"/>
  <c r="C12" i="21"/>
  <c r="C13" i="21"/>
  <c r="C3" i="21"/>
  <c r="B4" i="21"/>
  <c r="B5" i="21"/>
  <c r="B6" i="21"/>
  <c r="B7" i="21"/>
  <c r="B8" i="21"/>
  <c r="B9" i="21"/>
  <c r="B10" i="21"/>
  <c r="B11" i="21"/>
  <c r="B12" i="21"/>
  <c r="B13" i="21"/>
  <c r="B3" i="21"/>
  <c r="D6" i="21" l="1"/>
  <c r="D8" i="21"/>
  <c r="D3" i="21"/>
  <c r="D11" i="21"/>
  <c r="D10" i="21"/>
  <c r="D13" i="21"/>
  <c r="D4" i="21"/>
  <c r="D9" i="21"/>
  <c r="C33" i="4"/>
  <c r="B33" i="4"/>
  <c r="E18" i="4"/>
  <c r="D18" i="4"/>
  <c r="E17" i="4"/>
  <c r="D17" i="4"/>
  <c r="B17" i="4"/>
  <c r="G13" i="4"/>
  <c r="F13" i="4"/>
  <c r="E13" i="4"/>
  <c r="D13" i="4"/>
  <c r="C13" i="4"/>
  <c r="B13" i="4"/>
  <c r="G12" i="4"/>
  <c r="F12" i="4"/>
  <c r="E12" i="4"/>
  <c r="D12" i="4"/>
  <c r="C12" i="4"/>
  <c r="B12" i="4"/>
  <c r="G9" i="4"/>
  <c r="F9" i="4"/>
  <c r="E9" i="4"/>
  <c r="D9" i="4"/>
  <c r="C9" i="4"/>
  <c r="B9" i="4"/>
  <c r="E6" i="4"/>
  <c r="C6" i="4"/>
  <c r="C47" i="4" l="1"/>
  <c r="B47" i="4"/>
  <c r="C46" i="4"/>
  <c r="B46" i="4"/>
  <c r="C45" i="4"/>
  <c r="B45" i="4"/>
  <c r="C44" i="4"/>
  <c r="B44" i="4"/>
  <c r="C43" i="4"/>
  <c r="B43" i="4"/>
  <c r="C42" i="4"/>
  <c r="B42" i="4"/>
  <c r="C41" i="4"/>
  <c r="B41" i="4"/>
  <c r="C40" i="4"/>
  <c r="B40" i="4"/>
  <c r="C39" i="4"/>
  <c r="B39" i="4"/>
  <c r="C38" i="4"/>
  <c r="B38" i="4"/>
  <c r="C37" i="4"/>
  <c r="B37" i="4"/>
  <c r="C36" i="4"/>
  <c r="B36" i="4"/>
  <c r="C35" i="4"/>
  <c r="B35" i="4"/>
  <c r="B30" i="4" l="1"/>
  <c r="A12" i="4"/>
  <c r="G6" i="4" l="1"/>
  <c r="I9" i="4" s="1"/>
  <c r="B6" i="4"/>
  <c r="F18" i="4"/>
  <c r="E8" i="21"/>
  <c r="F8" i="21" s="1"/>
  <c r="E19" i="4"/>
  <c r="B14" i="21"/>
  <c r="E5" i="21"/>
  <c r="F5" i="21" s="1"/>
  <c r="E10" i="21"/>
  <c r="F10" i="21" s="1"/>
  <c r="E4" i="21"/>
  <c r="F4" i="21" s="1"/>
  <c r="E9" i="21"/>
  <c r="F9" i="21" s="1"/>
  <c r="E3" i="21"/>
  <c r="F3" i="21" s="1"/>
  <c r="E13" i="21"/>
  <c r="F13" i="21" s="1"/>
  <c r="E6" i="21"/>
  <c r="F6" i="21" s="1"/>
  <c r="G17" i="4"/>
  <c r="E7" i="21"/>
  <c r="F7" i="21" s="1"/>
  <c r="E12" i="21"/>
  <c r="F12" i="21" s="1"/>
  <c r="C14" i="21"/>
  <c r="D14" i="21"/>
  <c r="E11" i="21"/>
  <c r="F11" i="21" s="1"/>
  <c r="F17" i="4"/>
  <c r="B48" i="4"/>
  <c r="B50" i="4" s="1"/>
  <c r="C48" i="4"/>
  <c r="D6" i="4" l="1"/>
  <c r="F14" i="4"/>
  <c r="F6" i="4"/>
  <c r="G18" i="4"/>
  <c r="G19" i="4" s="1"/>
  <c r="C50" i="4"/>
  <c r="D19" i="4"/>
  <c r="F19" i="4" s="1"/>
  <c r="E14" i="21"/>
  <c r="F14" i="21" s="1"/>
  <c r="G14" i="4" l="1"/>
  <c r="E14" i="4"/>
  <c r="H13" i="4"/>
  <c r="D14" i="4"/>
  <c r="C14" i="4"/>
  <c r="B14" i="4"/>
  <c r="H9" i="4"/>
  <c r="C17" i="4" s="1"/>
  <c r="H12" i="4"/>
  <c r="H14" i="4" l="1"/>
  <c r="B18" i="4"/>
  <c r="B19" i="4" s="1"/>
  <c r="C18" i="4" l="1"/>
  <c r="C19" i="4" s="1"/>
  <c r="C30" i="4" l="1"/>
</calcChain>
</file>

<file path=xl/sharedStrings.xml><?xml version="1.0" encoding="utf-8"?>
<sst xmlns="http://schemas.openxmlformats.org/spreadsheetml/2006/main" count="5377" uniqueCount="1150">
  <si>
    <t>Total</t>
  </si>
  <si>
    <t>Incumbent</t>
  </si>
  <si>
    <t>Benchmarked Spend</t>
  </si>
  <si>
    <t>Benchmarked % of Total</t>
  </si>
  <si>
    <t>PA Pricing</t>
  </si>
  <si>
    <t>Savings $</t>
  </si>
  <si>
    <t>Savings</t>
  </si>
  <si>
    <t>Comments</t>
  </si>
  <si>
    <t>Like-to-like SKU benchmarking</t>
  </si>
  <si>
    <t>No. of SKUs</t>
  </si>
  <si>
    <t>Negative</t>
  </si>
  <si>
    <t>Same</t>
  </si>
  <si>
    <t>0-10%</t>
  </si>
  <si>
    <t>10-20%</t>
  </si>
  <si>
    <t>20-30%</t>
  </si>
  <si>
    <t>30+%</t>
  </si>
  <si>
    <t>Wtd. Avg.</t>
  </si>
  <si>
    <t>Total SKUs</t>
  </si>
  <si>
    <t>$ Spend</t>
  </si>
  <si>
    <t>SKU Level Savings</t>
  </si>
  <si>
    <t>SKUs</t>
  </si>
  <si>
    <t>%</t>
  </si>
  <si>
    <t xml:space="preserve"> $</t>
  </si>
  <si>
    <t>PA $</t>
  </si>
  <si>
    <t>Savings %</t>
  </si>
  <si>
    <t>Manufacturer name</t>
  </si>
  <si>
    <t>Manufacturer number</t>
  </si>
  <si>
    <t>Unit price</t>
  </si>
  <si>
    <t>Total baseline units</t>
  </si>
  <si>
    <t>Savings cat.</t>
  </si>
  <si>
    <t>Code</t>
  </si>
  <si>
    <t>Act price</t>
  </si>
  <si>
    <t>Description1</t>
  </si>
  <si>
    <t>Product segment</t>
  </si>
  <si>
    <t>Product family</t>
  </si>
  <si>
    <t>Xref Notes</t>
  </si>
  <si>
    <t>Total Eligible Spend</t>
  </si>
  <si>
    <t>Total Provided</t>
  </si>
  <si>
    <t>SKU's meeting threshold</t>
  </si>
  <si>
    <t># SKU</t>
  </si>
  <si>
    <t>Spend $</t>
  </si>
  <si>
    <t>File Summary</t>
  </si>
  <si>
    <t>Total Excluded (Excluded Tab)</t>
  </si>
  <si>
    <t>Items Benchmarked (Item Detail)</t>
  </si>
  <si>
    <t>Items with zero spend (ZERO)</t>
  </si>
  <si>
    <t>Excluded from benchmark analysis (code):</t>
  </si>
  <si>
    <t>UOM issues (UOM)</t>
  </si>
  <si>
    <t>Incumbent Spend</t>
  </si>
  <si>
    <t>Segment</t>
  </si>
  <si>
    <t>SKU Count</t>
  </si>
  <si>
    <t>NOTE</t>
  </si>
  <si>
    <t>(1) Total eligible spend is the full data provided by the customer</t>
  </si>
  <si>
    <t>(2) Benchmarked active Redbook SKUs</t>
  </si>
  <si>
    <t>(3) Savings do not reflect A) volume and manufacturer rebates, B) future CSPL adds, C) freight savings</t>
  </si>
  <si>
    <t>(4) Benchmark pricing valid for 60 days</t>
  </si>
  <si>
    <t>SKUs Submitted for Conditional CSP</t>
  </si>
  <si>
    <t>As per customer file</t>
  </si>
  <si>
    <t>Segment Summary</t>
  </si>
  <si>
    <t>Graybar extended price</t>
  </si>
  <si>
    <t>Graybar unit price</t>
  </si>
  <si>
    <t>Graybar item #</t>
  </si>
  <si>
    <t>Graybar unit of measure</t>
  </si>
  <si>
    <t>Graybar unit/pack</t>
  </si>
  <si>
    <t>Graybar-PA</t>
  </si>
  <si>
    <t>Obsolete (OBS)</t>
  </si>
  <si>
    <t>Capital Expenditure (CAPX)</t>
  </si>
  <si>
    <t>No Bid - Allen Bradley (ANB)</t>
  </si>
  <si>
    <t>No Material (NM)</t>
  </si>
  <si>
    <t>AUTOMATION CONTROL</t>
  </si>
  <si>
    <t>BOXES, ENCLOSURES, F</t>
  </si>
  <si>
    <t>CD CABLING</t>
  </si>
  <si>
    <t>CD CONNECTIVITY</t>
  </si>
  <si>
    <t>CD VOICE, ACTIVE COM</t>
  </si>
  <si>
    <t>CONDUIT &amp; CHANNEL</t>
  </si>
  <si>
    <t>LIGHTING</t>
  </si>
  <si>
    <t>MRO</t>
  </si>
  <si>
    <t>POWER DISTRIBUTION</t>
  </si>
  <si>
    <t>Undefined</t>
  </si>
  <si>
    <t>WIRE &amp; CABLE</t>
  </si>
  <si>
    <t>Need more information (CID)</t>
  </si>
  <si>
    <t>Graybar potential sourcing (SOU)</t>
  </si>
  <si>
    <t>Graybar active sourcing (FIND)</t>
  </si>
  <si>
    <t>Act price per</t>
  </si>
  <si>
    <t>GLINE</t>
  </si>
  <si>
    <t xml:space="preserve">true / false calculated to provided </t>
  </si>
  <si>
    <t>Graybar Spend</t>
  </si>
  <si>
    <t>OEM Material (OEM)</t>
  </si>
  <si>
    <t>CODE</t>
  </si>
  <si>
    <t>Mfr Prefix</t>
  </si>
  <si>
    <t>Outliers (OUT)</t>
  </si>
  <si>
    <t>Note 1:  It is the customer’s responsibility to confirm form, fit and function prior to ordering.  Graybar makes no guarantee the material will fit the customer’s application.</t>
  </si>
  <si>
    <t>Spend Not Associated with Graybar (NOT)</t>
  </si>
  <si>
    <t>Tail Spend (TAIL)</t>
  </si>
  <si>
    <t>EA</t>
  </si>
  <si>
    <t>Pricing Structure</t>
  </si>
  <si>
    <t>Core Item</t>
  </si>
  <si>
    <t>Core Skus</t>
  </si>
  <si>
    <t>Non-Core Skus</t>
  </si>
  <si>
    <t>Core Item Breakdown</t>
  </si>
  <si>
    <t>Various</t>
  </si>
  <si>
    <t>Procure Analytics</t>
  </si>
  <si>
    <t>UOM</t>
  </si>
  <si>
    <t>Qty</t>
  </si>
  <si>
    <t>UOM Qty</t>
  </si>
  <si>
    <t>Pack Price</t>
  </si>
  <si>
    <t>Unit Price</t>
  </si>
  <si>
    <t>Total Baseline Units</t>
  </si>
  <si>
    <t>Extended Price</t>
  </si>
  <si>
    <t xml:space="preserve">Extended Price Provided </t>
  </si>
  <si>
    <t xml:space="preserve">Extended Price Calculated </t>
  </si>
  <si>
    <t>Sequence Number</t>
  </si>
  <si>
    <t>Pricing provided as a component in this price request file is for quotations purposes only and is valid for 90 days from the date of submittal except for items impacted by changes in our costs due to volatile market fluctuations, which include but are not limited to copper and aluminum wire, metallic conduit, strut systems, channels and fittings, steel and zinc fittings and boxes, and all products containing polyvinyl chloride (PVC). Such products will be subject to escalation/de-escalation at time of shipment. All efforts will be made to hold our original price submittal.</t>
  </si>
  <si>
    <t xml:space="preserve"> Benchmarking Summary - Pactiv</t>
  </si>
  <si>
    <t>Project Name</t>
  </si>
  <si>
    <t>Location</t>
  </si>
  <si>
    <t>Customer Internal Part Number</t>
  </si>
  <si>
    <t>Transaction Date</t>
  </si>
  <si>
    <t>Distributor Name</t>
  </si>
  <si>
    <t>Distributor Part Number</t>
  </si>
  <si>
    <t>Item Description</t>
  </si>
  <si>
    <t>Manufacturer</t>
  </si>
  <si>
    <t>Manufacturer Part Number</t>
  </si>
  <si>
    <t>Other Notes 1</t>
  </si>
  <si>
    <t>Other Notes 2</t>
  </si>
  <si>
    <t>Other Notes 3</t>
  </si>
  <si>
    <t>Pactiv_Multiple Suppliers Specialty PA</t>
  </si>
  <si>
    <t>D REYNOLDS CO LLC</t>
  </si>
  <si>
    <t>KIT,AB,ALBRSKH1DCFANRETROFITF10,PF 700H/</t>
  </si>
  <si>
    <t>AB</t>
  </si>
  <si>
    <t>ALBRSKH1DCFANRETROFITF10</t>
  </si>
  <si>
    <t>Hardware - 550440990</t>
  </si>
  <si>
    <t>MCNAUGHTON MCKAY SOUTHEAST INC</t>
  </si>
  <si>
    <t>MISC,PRO-FACE,PROPFXGP4303TAD,GP-4000 OP</t>
  </si>
  <si>
    <t>PRO-FACE</t>
  </si>
  <si>
    <t>PROPFXGP4303TAD</t>
  </si>
  <si>
    <t>Other Repair Parts - 550990999</t>
  </si>
  <si>
    <t>BORDER STATES INDUSTRIES INC</t>
  </si>
  <si>
    <t>MISC,BORDER STA,DM220KK 480D-480Y/277,IS</t>
  </si>
  <si>
    <t>BORDER STATES</t>
  </si>
  <si>
    <t>DM220KK 480D-480Y/277</t>
  </si>
  <si>
    <t>EXTRUSION CONTROL &amp; SUPPLY INC</t>
  </si>
  <si>
    <t>THERMOCOUPLE,NANMAC,#C8A3J, 4-1/4",TIP E</t>
  </si>
  <si>
    <t>NANMAC CORP</t>
  </si>
  <si>
    <t>C8A3J</t>
  </si>
  <si>
    <t>Instrumentation - 550480990</t>
  </si>
  <si>
    <t>WESCO DISTRIBUTION INC</t>
  </si>
  <si>
    <t>CABLE,SNAP,#HD-CBF6,SNAP WIRE HARNESS</t>
  </si>
  <si>
    <t>SNAP</t>
  </si>
  <si>
    <t>#HD-CBF6</t>
  </si>
  <si>
    <t>ATLANTIC CORP OF WILMINGTON INC</t>
  </si>
  <si>
    <t>WIRE,ATLANTIC P,6050006,18'X12GA</t>
  </si>
  <si>
    <t>ATLANTIC PKG</t>
  </si>
  <si>
    <t>6050006</t>
  </si>
  <si>
    <t>AWC INC</t>
  </si>
  <si>
    <t>MISC,SIEMENS,6ES78221AE070YAS,1951251945</t>
  </si>
  <si>
    <t>SIEMENS</t>
  </si>
  <si>
    <t>6ES78221AE070YAS</t>
  </si>
  <si>
    <t>YUSHIN AMERICA INC</t>
  </si>
  <si>
    <t>CABLE,YUSHIN,20693580,CABLE TRAVERSE C-F</t>
  </si>
  <si>
    <t>YUSHIN</t>
  </si>
  <si>
    <t>20693580</t>
  </si>
  <si>
    <t>MISC,BORDER STA,SFI-700-3/4,SIGHT FLOW I</t>
  </si>
  <si>
    <t>SFI-700-3/4</t>
  </si>
  <si>
    <t>RADWELL INTL INC</t>
  </si>
  <si>
    <t>CARD,EUROTHERM,#PC3000/AI/VERSION3/V4/99</t>
  </si>
  <si>
    <t>EUROTHERM</t>
  </si>
  <si>
    <t>PC3000AIVERSION3V499103</t>
  </si>
  <si>
    <t>FRAME,WESTINGHOUSE,KD3400F,400A,BREAKER</t>
  </si>
  <si>
    <t>WESTINGHOUSE</t>
  </si>
  <si>
    <t>LA3400F</t>
  </si>
  <si>
    <t>ENCODER,BEI,#H25W-F67-SS-8GCC-7272-SM16/</t>
  </si>
  <si>
    <t>BEI INDUSTRIAL ENCODER DIVISIO</t>
  </si>
  <si>
    <t>H25WF67SS8GCC7272SM1626S</t>
  </si>
  <si>
    <t>INDUSTRIAL COMMUNICATIONS SALES INC</t>
  </si>
  <si>
    <t>RADIO,INDUSTRIAL,XPR3300,TWO WAY RADIO</t>
  </si>
  <si>
    <t>INDUSTRIAL COMMUNICATIONS</t>
  </si>
  <si>
    <t>XPR3300</t>
  </si>
  <si>
    <t>ATLAS INDUSTRIAL SERVICES INC</t>
  </si>
  <si>
    <t>CARD,IRWIN,ELE-330,DRIVE W/INTRFCE TRBO</t>
  </si>
  <si>
    <t>IRWIN RESEARCH</t>
  </si>
  <si>
    <t>ELE330</t>
  </si>
  <si>
    <t>AUTOMATIONDIRECT.COM INC</t>
  </si>
  <si>
    <t>AC DRIVE,DURA PULSE#GS3-4010,10 HP GS3</t>
  </si>
  <si>
    <t>DURA PULSE</t>
  </si>
  <si>
    <t>GS34010</t>
  </si>
  <si>
    <t>ELLIOTT ELECTRIC SUPPLY</t>
  </si>
  <si>
    <t>CONNECTOR,ELLIOTTELE,AH5369,CONN 20A 125</t>
  </si>
  <si>
    <t>ELLIOTTELECTICAL</t>
  </si>
  <si>
    <t>AH5369</t>
  </si>
  <si>
    <t>PATRIOT WORLDWIDE</t>
  </si>
  <si>
    <t>THERMOCOUPLE,NANMAC,#C8A-1-J-3,BOLT</t>
  </si>
  <si>
    <t>NANMAC</t>
  </si>
  <si>
    <t>C8A1J3</t>
  </si>
  <si>
    <t>IRWIN RESEARCH &amp; DEVELOPMENT</t>
  </si>
  <si>
    <t>CABLE,IRWIN,POWER CABLE 5132,8M</t>
  </si>
  <si>
    <t>IRWIN</t>
  </si>
  <si>
    <t>POWERCABLE5132</t>
  </si>
  <si>
    <t>CABLE,IRWIN,POWER CABLE 5108,8M</t>
  </si>
  <si>
    <t>POWERCABLE5108</t>
  </si>
  <si>
    <t>MISC,SIEMENS,SC 6AV21020AA070AH5,SIMATIC</t>
  </si>
  <si>
    <t>SC 6AV21020AA070AH5</t>
  </si>
  <si>
    <t>RELEVANT TECHNOLOGIES CORP</t>
  </si>
  <si>
    <t>BLOCK,DANAHER,#M.1017.3095,OUTPUT 24 VDC</t>
  </si>
  <si>
    <t>DANAHER</t>
  </si>
  <si>
    <t>M10173095</t>
  </si>
  <si>
    <t>BROWN MACHINE LLC</t>
  </si>
  <si>
    <t>BOARD,KB ELECTRO,SI-4X,BIPOLAR SIGNAL IS</t>
  </si>
  <si>
    <t>KB ELECTRONICS</t>
  </si>
  <si>
    <t>SI-4X</t>
  </si>
  <si>
    <t>LOWE ELECTRIC SUPPLY CO</t>
  </si>
  <si>
    <t>AMPLIFIER,HONEYWELL,#R7861A1026,</t>
  </si>
  <si>
    <t>HONEYWELL</t>
  </si>
  <si>
    <t>R7861A1026</t>
  </si>
  <si>
    <t>HYTECH THERMAL SUPPLY INC</t>
  </si>
  <si>
    <t>THERMOCOUPLE,NANMAC,#C8A-3-J,MODIFIED,3"</t>
  </si>
  <si>
    <t>MISC,ELLIOTTELE,LT114,1 1-4METL/TNONUL50</t>
  </si>
  <si>
    <t>LT114</t>
  </si>
  <si>
    <t>THERMO,IRWIN,#E42-THERMOCOUPLE-S0L2</t>
  </si>
  <si>
    <t>E42378X2978</t>
  </si>
  <si>
    <t>EASTERN CRANE &amp; HOIST INC</t>
  </si>
  <si>
    <t>CABLE,EASTERN CRANE,#LC516,5/16",LOAD</t>
  </si>
  <si>
    <t>EASTERN CRANE &amp; HOIST</t>
  </si>
  <si>
    <t>LC516</t>
  </si>
  <si>
    <t>CONTROLLER,BLOCK USA,PVUA 24/24-10,CHARG</t>
  </si>
  <si>
    <t>BLOCK USA</t>
  </si>
  <si>
    <t>PVUA 24/24-10</t>
  </si>
  <si>
    <t>TRANSMITTER,HW,STG73P-F1100B,PRESSURE</t>
  </si>
  <si>
    <t>HW</t>
  </si>
  <si>
    <t>STG73P-F1100B</t>
  </si>
  <si>
    <t>QUICKPANEL,REPAIR,#QPJ2D100S2P,QUICKPANE</t>
  </si>
  <si>
    <t>GENERAL ELECTRIC</t>
  </si>
  <si>
    <t>QPJ2D100L2P</t>
  </si>
  <si>
    <t>MISC,ELLIOTTELE,CR20W,RECEP DUP 20 A 125</t>
  </si>
  <si>
    <t>CR20W</t>
  </si>
  <si>
    <t>KEYENCE CORP OF AMERICA</t>
  </si>
  <si>
    <t>CABLE,KEYENCE,CA-CH10,VISION SYSTEM CAME</t>
  </si>
  <si>
    <t>KEYENCE</t>
  </si>
  <si>
    <t>CA-CH10</t>
  </si>
  <si>
    <t>CONTROL,AUTOMATION,#SL4824-RR,100-240V,</t>
  </si>
  <si>
    <t>AUTOMATION</t>
  </si>
  <si>
    <t>SL4824-RR</t>
  </si>
  <si>
    <t>MISC,BAUMER,BHF16.05A4096-E2-9,INCREMENT</t>
  </si>
  <si>
    <t>BAUMER</t>
  </si>
  <si>
    <t>BHF16.05A4096-E2-9</t>
  </si>
  <si>
    <t>TRANSFORMER,DONGAN,#80-1050 SINGLE PHASE</t>
  </si>
  <si>
    <t>DONGAN</t>
  </si>
  <si>
    <t>801050SINGLEPHASE</t>
  </si>
  <si>
    <t>WILLE ELECTRIC SUPPLY CO INC</t>
  </si>
  <si>
    <t>INTERLOCK,SCHMERSAL#AZM170-02ZRKA 24VAC</t>
  </si>
  <si>
    <t>SCHMERSAL</t>
  </si>
  <si>
    <t>AZM17002ZRK</t>
  </si>
  <si>
    <t>SIMCO TECHNOLOGIES INC</t>
  </si>
  <si>
    <t>KIT,SIMCO,#5050392,TRANSFORMER</t>
  </si>
  <si>
    <t>SIMCO</t>
  </si>
  <si>
    <t>5050392</t>
  </si>
  <si>
    <t>KRAUSS-MAFFEI CORP</t>
  </si>
  <si>
    <t>CABLE,KRAUSSMAFF,0614774,CABLEOILFLEX</t>
  </si>
  <si>
    <t>KRAUSSMAFFEI</t>
  </si>
  <si>
    <t>0614774</t>
  </si>
  <si>
    <t>ALLIED ELECTRONICS INC</t>
  </si>
  <si>
    <t>MISC,HARTING,09200161541,HAN 16A HOOD (S</t>
  </si>
  <si>
    <t>HARTING</t>
  </si>
  <si>
    <t>09200161541</t>
  </si>
  <si>
    <t>MOTION INDUSTRIES INC</t>
  </si>
  <si>
    <t>EXCHANGER,THERMAL TRANS,B701A4F,HEAT</t>
  </si>
  <si>
    <t>THERMAL PRODUCT</t>
  </si>
  <si>
    <t>B701A4F</t>
  </si>
  <si>
    <t>Electrical-Misc Oth - 550250990</t>
  </si>
  <si>
    <t>THERMOCOUPLE,NANMAC,#C8A-3-J-5DPX.,5"BOl</t>
  </si>
  <si>
    <t>C8A3J5DPX</t>
  </si>
  <si>
    <t>PROCESS EQUIPMENT CO INC</t>
  </si>
  <si>
    <t>THERMOCOUPLE ,PROHEAT,#2128.02,THERMOCOU</t>
  </si>
  <si>
    <t>PROHEAT</t>
  </si>
  <si>
    <t>212802</t>
  </si>
  <si>
    <t>THERMOCOUPLE ,PROHEAT,#3739.01,THERMOCOU</t>
  </si>
  <si>
    <t>373901</t>
  </si>
  <si>
    <t>THERMOCOUPLE,PROHEAT,#2128.01,THERMOCOUP</t>
  </si>
  <si>
    <t>212801</t>
  </si>
  <si>
    <t>PROBE,NANMAC,#C8A-Q7116-2,MELT</t>
  </si>
  <si>
    <t>C8AQ71162</t>
  </si>
  <si>
    <t>CARLIN AUTOMATION INC</t>
  </si>
  <si>
    <t>THERMOCOUPLE,NANMAC,# C8A-3-J-5 BOLT</t>
  </si>
  <si>
    <t>CABLE,IRWIN,FEEDBACK CABLE 5132,8M</t>
  </si>
  <si>
    <t>FEEDBACKCABLE5132</t>
  </si>
  <si>
    <t>SENSOR,KEYENCE,#GV-H130,DIGITAL CMOS LAS</t>
  </si>
  <si>
    <t>GVH130</t>
  </si>
  <si>
    <t>THERMOCOUPLE,PROHEAT,#3739.02,THERMOCOUP</t>
  </si>
  <si>
    <t>373902</t>
  </si>
  <si>
    <t>SHOCK,ACE,#MA 4575M,ACE SHOCK (LINE 32)</t>
  </si>
  <si>
    <t>ACE</t>
  </si>
  <si>
    <t>MA4575M</t>
  </si>
  <si>
    <t>SAFETY,LYLE,#50902740,STI T4012 031TM</t>
  </si>
  <si>
    <t>LYLE</t>
  </si>
  <si>
    <t>50902740</t>
  </si>
  <si>
    <t>MISC,BORDER STA,158215,SQD-9001KA1 N/O N</t>
  </si>
  <si>
    <t>158215</t>
  </si>
  <si>
    <t>MISC,RADWELL,ASB2 4/3-632/5M,SPLITTER CO</t>
  </si>
  <si>
    <t>RADWELL</t>
  </si>
  <si>
    <t>ASB2 4/3-632/5M</t>
  </si>
  <si>
    <t>VAN DAM MACHINE CORPORATION</t>
  </si>
  <si>
    <t>SUPPLY,VAN DAM,#145614,DC 24 POWER SITOP</t>
  </si>
  <si>
    <t>VAN DAM</t>
  </si>
  <si>
    <t>145614</t>
  </si>
  <si>
    <t>METER,RED LION,#IMI04163</t>
  </si>
  <si>
    <t>RED LION</t>
  </si>
  <si>
    <t>IMI04103</t>
  </si>
  <si>
    <t>Hardware,REVERE ELECTRIC,#TESZ/S/30,SAFE</t>
  </si>
  <si>
    <t>REVERE ELECTRIC</t>
  </si>
  <si>
    <t>TESZS30</t>
  </si>
  <si>
    <t>THERMOCOUPLE,BARBER COLEMAN,#144-13009-1</t>
  </si>
  <si>
    <t>PRIME IND</t>
  </si>
  <si>
    <t>1441300914403</t>
  </si>
  <si>
    <t>Power Cable,Lyle,#52008085,</t>
  </si>
  <si>
    <t>546-23274</t>
  </si>
  <si>
    <t>GEORGIA AUTOMATION INC</t>
  </si>
  <si>
    <t>GUIDE,TRI-TRONICS,#FA120RS,FIBER OPTIC</t>
  </si>
  <si>
    <t>FA120RS</t>
  </si>
  <si>
    <t>UNIVERSAL DYNAMICS INC</t>
  </si>
  <si>
    <t>UNIVERSAL DYN,#11277,THERMOCOUPLES</t>
  </si>
  <si>
    <t>UNIVERSALDYN</t>
  </si>
  <si>
    <t>11277</t>
  </si>
  <si>
    <t>MISC,EESCO,2TLA020051R6000,ABB EDEN/ ADA</t>
  </si>
  <si>
    <t>EESCO</t>
  </si>
  <si>
    <t>2TLA020051R6000</t>
  </si>
  <si>
    <t>INDUSTRIAL THERMO PRODUCTS INC</t>
  </si>
  <si>
    <t>Thermocouple,INDU,#JP3302(1/2)5F3A2524,T</t>
  </si>
  <si>
    <t>INDUSTRIAL TRERMO PRODUCTS</t>
  </si>
  <si>
    <t>JP33025F3A25</t>
  </si>
  <si>
    <t>FUTURA MOBILITY LLC</t>
  </si>
  <si>
    <t>CABLE,INTERMEC,VE012-8019-A3,CONVERTOR C</t>
  </si>
  <si>
    <t>INTERMEC</t>
  </si>
  <si>
    <t>VE012-8019-A3</t>
  </si>
  <si>
    <t>FAN,EBM,R2E220-AA44-98</t>
  </si>
  <si>
    <t>EBM</t>
  </si>
  <si>
    <t>R2E220AA4498</t>
  </si>
  <si>
    <t>Thermocouple,INDUSTRIAL,#JAA3-F3A180-4,T</t>
  </si>
  <si>
    <t>JAA3F3A1804</t>
  </si>
  <si>
    <t>PROCESS CONTROL CORPORATION</t>
  </si>
  <si>
    <t>LOAD CELL;PROCESS CONTROL,C-1525,75 KG</t>
  </si>
  <si>
    <t>PROCESS CONTROL</t>
  </si>
  <si>
    <t>C-1525</t>
  </si>
  <si>
    <t>SENSOR,P &amp; F,#NBB5-18GM60-WO,PROXI. N/C</t>
  </si>
  <si>
    <t>973AA3XMB7TL</t>
  </si>
  <si>
    <t>MISC,AUTOMATION,PCDSOFT6,DIRECTSOFT</t>
  </si>
  <si>
    <t>PCDSOFT6</t>
  </si>
  <si>
    <t>CABLE,IRWIN,FEEDBACK CABLE 5108,8M</t>
  </si>
  <si>
    <t>FEEDBACKCABLE5108</t>
  </si>
  <si>
    <t>NORTH AMERICAN CORPORATION OF IL</t>
  </si>
  <si>
    <t>Sensor,LANTECH,#21-30034903,SENSOR FOR L</t>
  </si>
  <si>
    <t>LANTECH</t>
  </si>
  <si>
    <t>2130034903</t>
  </si>
  <si>
    <t>WESTERN THERMAL SALES</t>
  </si>
  <si>
    <t>THERMOCOUPLE,BARBER,#P011-35300-054-6-00</t>
  </si>
  <si>
    <t>BARBER-COLMAN</t>
  </si>
  <si>
    <t>P01135300054600</t>
  </si>
  <si>
    <t>SWITCH,SIEMENS,#3SF1114-1QV10-1BA1</t>
  </si>
  <si>
    <t>3SF11141QV101BA1</t>
  </si>
  <si>
    <t>THERMOCOUPLE,IRWIN,#1K248GT2013040S120MC</t>
  </si>
  <si>
    <t>1K248GT2013040S120MC</t>
  </si>
  <si>
    <t>MISC,BORDER STA,CABLE,RAC-10 10 FT CABLE</t>
  </si>
  <si>
    <t>CABLE</t>
  </si>
  <si>
    <t>RECEPTACLE,HUBBELL,#HBL45105,F/ IRWIN BL</t>
  </si>
  <si>
    <t>HUBBELL</t>
  </si>
  <si>
    <t>HBL45105</t>
  </si>
  <si>
    <t>SENSOR,BALLUFF,#BES 515-207-S21E,INDUCTI</t>
  </si>
  <si>
    <t>BALLUFF INC</t>
  </si>
  <si>
    <t>BES515449S21L</t>
  </si>
  <si>
    <t>JDB MANUFACTURING CO</t>
  </si>
  <si>
    <t>Connector,JDB MACHINING,#PPALHAND,ALUMIN</t>
  </si>
  <si>
    <t>JDB MACHINING</t>
  </si>
  <si>
    <t>PPALHAND</t>
  </si>
  <si>
    <t>MISC,LUMBERG AU,ASBSM 8/LED 3,70050967 M</t>
  </si>
  <si>
    <t>LUMBERG AUTOMATION</t>
  </si>
  <si>
    <t>ASBSM 8/LED 3</t>
  </si>
  <si>
    <t>FAN,EBM,R2E225-BE51-09</t>
  </si>
  <si>
    <t>R2E225BE5109</t>
  </si>
  <si>
    <t>EDL MASSMAN LLC</t>
  </si>
  <si>
    <t>CABLE,EDL,#HL745431,DANCER CABLE ASSY</t>
  </si>
  <si>
    <t>EDL</t>
  </si>
  <si>
    <t>HL745431</t>
  </si>
  <si>
    <t>THERMOCOUPLE,IRWIN,#1J24GT201340S80M</t>
  </si>
  <si>
    <t>1J248GT2013040S</t>
  </si>
  <si>
    <t>FRAME;WESTINGHOUSE,JD3250F,BRKR</t>
  </si>
  <si>
    <t>JD3250F</t>
  </si>
  <si>
    <t>ABB INC</t>
  </si>
  <si>
    <t>SPRING,ABB,3HAC028530-003,SPRING FOR ARM</t>
  </si>
  <si>
    <t>ABB</t>
  </si>
  <si>
    <t>3HAC028530-003</t>
  </si>
  <si>
    <t>REXEL USA INC</t>
  </si>
  <si>
    <t>PUSHBUTTON,A/B,#800TFX6A1,PUSHBUTTON, E-</t>
  </si>
  <si>
    <t>A/B</t>
  </si>
  <si>
    <t>800TFX6A1</t>
  </si>
  <si>
    <t>THERMOCOUPLE;BARBER ENGINEERING</t>
  </si>
  <si>
    <t>BARBER ENGINEERING</t>
  </si>
  <si>
    <t>MLT-FJNGBA48NNNGO55</t>
  </si>
  <si>
    <t>PACKAGING AIDS CORPORATION</t>
  </si>
  <si>
    <t>BLOCK,VERTROD,#8VH531-8209,TERMINAL W/PI</t>
  </si>
  <si>
    <t>VERTROD</t>
  </si>
  <si>
    <t>8VH5318209</t>
  </si>
  <si>
    <t>NORTHEAST INDUSTRIAL TECHNOLOGIES</t>
  </si>
  <si>
    <t>FORK,COLSON,#4.8198,8" RIGID FORK FOR EN</t>
  </si>
  <si>
    <t>COLSON</t>
  </si>
  <si>
    <t>48198</t>
  </si>
  <si>
    <t>MISC,BORDER STA,115262,50-UNPRINTED-2X 1</t>
  </si>
  <si>
    <t>115262</t>
  </si>
  <si>
    <t>THERMAL INDUSTRIAL COMPONENTS INC</t>
  </si>
  <si>
    <t>THERMOCOUPLE;TSL,E6MFK51G240211PX</t>
  </si>
  <si>
    <t>TSL</t>
  </si>
  <si>
    <t>E6MFK51G240211PX</t>
  </si>
  <si>
    <t>SENSOR,KEYENCE,#GV-21,DIGITAL CMOS LASER</t>
  </si>
  <si>
    <t>GV21</t>
  </si>
  <si>
    <t>LOCKOUT,HOFFMAN,#ASL6C,SAFETY W/CHA</t>
  </si>
  <si>
    <t>HOFFMAN</t>
  </si>
  <si>
    <t>ASL6C</t>
  </si>
  <si>
    <t>THERMOCOUPLE,THERMAL,#213J120,BAYONET</t>
  </si>
  <si>
    <t>THERMAL CORP</t>
  </si>
  <si>
    <t>213J120</t>
  </si>
  <si>
    <t>CRANE 1 SERVICES INC</t>
  </si>
  <si>
    <t>CORD,PUSHBUTTON,16FT#51402</t>
  </si>
  <si>
    <t>COLUMBUS MCKINN</t>
  </si>
  <si>
    <t>51402</t>
  </si>
  <si>
    <t>HARDWARE,AUTOMATION DIRECTCOM,#D0-06DR,K</t>
  </si>
  <si>
    <t>AUTOMATION DIRECTCOM</t>
  </si>
  <si>
    <t>D006DR</t>
  </si>
  <si>
    <t>ADCON ENGINEERING COMPANY</t>
  </si>
  <si>
    <t>SSR IDEC part #RSSDN50A</t>
  </si>
  <si>
    <t>IDEC IZUMI CORP</t>
  </si>
  <si>
    <t>RSSDN50A</t>
  </si>
  <si>
    <t>MCMASTER CARR SUPPLY CO</t>
  </si>
  <si>
    <t>WIRE,MCMASTER,#8912T130 ,VINYL COATE RED</t>
  </si>
  <si>
    <t>MCMASTER</t>
  </si>
  <si>
    <t>8912T130</t>
  </si>
  <si>
    <t>FT</t>
  </si>
  <si>
    <t>MCNAUGHTON-MCKAY ELECTRIC CO</t>
  </si>
  <si>
    <t>CABLE,BALDOR,#MS#CBL061ZD-2</t>
  </si>
  <si>
    <t>BALDOR ELEC</t>
  </si>
  <si>
    <t>MS#CBL061ZD2</t>
  </si>
  <si>
    <t>MISC,MICROPHASE,ELE-169,BYPASS CABLE KIT</t>
  </si>
  <si>
    <t>MICROPHASER</t>
  </si>
  <si>
    <t>ELE-169</t>
  </si>
  <si>
    <t>MISC,BORDER STA,158158,SQD-9001KR1U UNIV</t>
  </si>
  <si>
    <t>158158</t>
  </si>
  <si>
    <t>NORMAN EQUIPMENT CO INC</t>
  </si>
  <si>
    <t>Sensor,BALLUFF,#BGL80A-002-S49,BALLUF SE</t>
  </si>
  <si>
    <t>BALLUFF</t>
  </si>
  <si>
    <t>BGL80A002S49</t>
  </si>
  <si>
    <t>CED INC</t>
  </si>
  <si>
    <t>LIGHT,A B ,#855T-B10TL4, LT TOWER MODUL</t>
  </si>
  <si>
    <t>A B</t>
  </si>
  <si>
    <t>855TB10TL4</t>
  </si>
  <si>
    <t>LIGHT,A B ,#855T-B10TL5, LT TOWER MODUL</t>
  </si>
  <si>
    <t>855TB10TL5</t>
  </si>
  <si>
    <t>THERMOCOUPLE;SW,P011-33300-144-6,J,GRNDD</t>
  </si>
  <si>
    <t>SW</t>
  </si>
  <si>
    <t>P011-33300-144-6</t>
  </si>
  <si>
    <t>EXAIR CORPORATION</t>
  </si>
  <si>
    <t>ELECTRONIC CABLE,INDUSTRIAL,#CO8WLS,25FT</t>
  </si>
  <si>
    <t>CO8WLS</t>
  </si>
  <si>
    <t>THERMOCOUPLE ,PROHEAT,#7573.03,THERMOCOU</t>
  </si>
  <si>
    <t>757303</t>
  </si>
  <si>
    <t>MISC,ELLIOTTELE,LT1,1 MET L/T NO  UL 100</t>
  </si>
  <si>
    <t>LT1</t>
  </si>
  <si>
    <t>THERMOCOUPLE,IRWIN,#1J2447GT2013040S55MC</t>
  </si>
  <si>
    <t>1J2447GT2013040S55MC</t>
  </si>
  <si>
    <t>CARRIER,MCMASTER,#3127T31,INTERMEDIATE</t>
  </si>
  <si>
    <t>MCMASTER CARR</t>
  </si>
  <si>
    <t>3127T31</t>
  </si>
  <si>
    <t>CABLE,NEW YORK LTD,MECA100,100',TRANSDUC</t>
  </si>
  <si>
    <t>GP50</t>
  </si>
  <si>
    <t>MECA100</t>
  </si>
  <si>
    <t>Cortina KEYENCE #GL-T11R</t>
  </si>
  <si>
    <t>GLT11R</t>
  </si>
  <si>
    <t>THERMOCOUPLE,WATLOW,#ACDA00A050GK000,TYP</t>
  </si>
  <si>
    <t>PRIME INDUSTRIES</t>
  </si>
  <si>
    <t>PC31M2K040G5092H</t>
  </si>
  <si>
    <t>ADDISON ELECTRIC  INC</t>
  </si>
  <si>
    <t>Fuse,LITTLE FUSE,#JLS 45, JKS-45, A4J45</t>
  </si>
  <si>
    <t>LITTLE FUSE</t>
  </si>
  <si>
    <t>JLS45JKS45A4J45</t>
  </si>
  <si>
    <t>CABLE,KEYENCE,FU-67TG(2000),GUARDED HEX</t>
  </si>
  <si>
    <t>FU-67TG(2000)</t>
  </si>
  <si>
    <t>MISC,BORDER STA,786135,THM -T17 COND BDY</t>
  </si>
  <si>
    <t>786135</t>
  </si>
  <si>
    <t>MISC,EESCO,440F-T1828,A B TRIM KIT</t>
  </si>
  <si>
    <t>440F-T1828</t>
  </si>
  <si>
    <t>KNOX &amp; SCHNEIDER INC</t>
  </si>
  <si>
    <t>MISC,3M,78-8114-4912-9,STRAP WIRE</t>
  </si>
  <si>
    <t>3M</t>
  </si>
  <si>
    <t>78-8114-4912-9</t>
  </si>
  <si>
    <t>PUSHBUTTON,AUTOMATION,#GCX1226-24L,22mm</t>
  </si>
  <si>
    <t>GCX1226-24L</t>
  </si>
  <si>
    <t>HEAD,ITT BARTON,#PHZH1001,RECORDING HEAD</t>
  </si>
  <si>
    <t>ITT BARTON</t>
  </si>
  <si>
    <t>PHZH1001</t>
  </si>
  <si>
    <t>THERMOCOUPLE, PYROMATION, JBA3UF3B1204</t>
  </si>
  <si>
    <t>PYROMATION</t>
  </si>
  <si>
    <t>JBA3UF3B1204</t>
  </si>
  <si>
    <t>MIDCO ELECTRIC SUPPLY</t>
  </si>
  <si>
    <t>HARDWARE,HAMMOND IND,#1414PHE ,NEMA 12 H</t>
  </si>
  <si>
    <t>HAMMOND IND</t>
  </si>
  <si>
    <t>1414PHE</t>
  </si>
  <si>
    <t>MISC,BORDER STA,KANO AEROKRIOL,16.5 OZ K</t>
  </si>
  <si>
    <t>KANO AEROKRIOL</t>
  </si>
  <si>
    <t>Thermocouple,INDUSTRIAL,#JBA3-F3B120-3,T</t>
  </si>
  <si>
    <t>JBA3F3B1203</t>
  </si>
  <si>
    <t>BLOCK,BANNER,#SBRX1,MULTIBEAM SCANNER</t>
  </si>
  <si>
    <t>BANNER ENGR</t>
  </si>
  <si>
    <t>SBRX1</t>
  </si>
  <si>
    <t>SENSOR MAGNET,HONEYWELL,#41FR2,PROX</t>
  </si>
  <si>
    <t>41FR2</t>
  </si>
  <si>
    <t>RENNCO LLC</t>
  </si>
  <si>
    <t>CORD,RENNCO,#R32611AA,RUBBER BACK UP FOA</t>
  </si>
  <si>
    <t>RENNCO</t>
  </si>
  <si>
    <t>R32611AA</t>
  </si>
  <si>
    <t>VALLEN DISTRIBUTION INC</t>
  </si>
  <si>
    <t>POTENTIOMETER,MINARIK,#2020031,10K-OHM</t>
  </si>
  <si>
    <t>MINARIK</t>
  </si>
  <si>
    <t>2020031</t>
  </si>
  <si>
    <t>STUART C IRBY CO</t>
  </si>
  <si>
    <t>FAN,DIGI-KEY,#603-1461-ND,200 HP</t>
  </si>
  <si>
    <t>DIGI-KEY</t>
  </si>
  <si>
    <t>6031461ND</t>
  </si>
  <si>
    <t>MISC,MCMASTER-C,3147T4,CURVED STRUT CHAN</t>
  </si>
  <si>
    <t>MCMASTER-CARR</t>
  </si>
  <si>
    <t>3147T4</t>
  </si>
  <si>
    <t>SLECTOR HANDLE,ABB,OHBS2RJ</t>
  </si>
  <si>
    <t>OHBS2RJ</t>
  </si>
  <si>
    <t>BODY,HUBBELL,#HBL25414B,600VAC,30A,5-WIR</t>
  </si>
  <si>
    <t>25414B</t>
  </si>
  <si>
    <t>NEWARK CORP</t>
  </si>
  <si>
    <t>METER;SIMPSON ELECTRIC,55F5277,PNL</t>
  </si>
  <si>
    <t>SIMPSON ELECTRIC</t>
  </si>
  <si>
    <t>55F5277</t>
  </si>
  <si>
    <t>GEA OF TEXAS INC</t>
  </si>
  <si>
    <t>REFLECTOR,BANNER,49808,BRT-92X92C</t>
  </si>
  <si>
    <t>BANNER</t>
  </si>
  <si>
    <t>49808</t>
  </si>
  <si>
    <t>THERMOFORMING SYSTEMS LLC</t>
  </si>
  <si>
    <t>OPTO22 SNAPIDC5 4 CHANNEL DC INPUT</t>
  </si>
  <si>
    <t>E3SNAPIDC5</t>
  </si>
  <si>
    <t>HORN,FEDERAL SIGNAL,#350,VIBRATION HORN</t>
  </si>
  <si>
    <t>FEDERAL SIGNAL</t>
  </si>
  <si>
    <t>350</t>
  </si>
  <si>
    <t>TAPE,3M,#2520 ,VARNISHED CAMBRIC TAPE W/</t>
  </si>
  <si>
    <t>2520</t>
  </si>
  <si>
    <t>BELL,FARADAY INC,#3434S,120 VOLT,4".</t>
  </si>
  <si>
    <t>FARADAY INC</t>
  </si>
  <si>
    <t>340-4N5</t>
  </si>
  <si>
    <t>GRIP,KELLEMS,#074-01-021,1",CORD GRIP</t>
  </si>
  <si>
    <t>KELLEMS DIV</t>
  </si>
  <si>
    <t>07401021</t>
  </si>
  <si>
    <t>HORN, ALARM  FEDERAL SIGNAL 350-120-30</t>
  </si>
  <si>
    <t>GRAINGER PARTS OPERATIONS</t>
  </si>
  <si>
    <t>4A967</t>
  </si>
  <si>
    <t>THERMOCOUPLE,BARBER,#A-07182-100-0-96,TH</t>
  </si>
  <si>
    <t>ADVANCED DYNAM</t>
  </si>
  <si>
    <t>EJHL102B</t>
  </si>
  <si>
    <t>CONNECTOR,EGS,#ST-50 ,1/2" SEALTITE CONN</t>
  </si>
  <si>
    <t>EGS</t>
  </si>
  <si>
    <t>ST50</t>
  </si>
  <si>
    <t>PAPER MACHINERY CORP</t>
  </si>
  <si>
    <t>COVER,PMC,311103,COVER PLACED</t>
  </si>
  <si>
    <t>PMC</t>
  </si>
  <si>
    <t>311103</t>
  </si>
  <si>
    <t>Fuse, BUSS #FNQ-R-30</t>
  </si>
  <si>
    <t>LITTLEFUSE</t>
  </si>
  <si>
    <t>KLDR30FNQR30ATQR30</t>
  </si>
  <si>
    <t>THERMOCOUPLE;KRAUSS MAFFEI,6526077</t>
  </si>
  <si>
    <t>KRAUSS MAFFEI</t>
  </si>
  <si>
    <t>6526077</t>
  </si>
  <si>
    <t>THERMOCOUPLE,PRIME,#PRT-GJ0GC06NG300A00N</t>
  </si>
  <si>
    <t>PRTGJ0GC06NG300A00N</t>
  </si>
  <si>
    <t>SH606MV B6 SINGLE LOCK SYS 1XPG1</t>
  </si>
  <si>
    <t>THOMAS &amp; BETTS</t>
  </si>
  <si>
    <t>SH606</t>
  </si>
  <si>
    <t>ACI CONTROLS INC</t>
  </si>
  <si>
    <t>THERMOCOUPLE,ACI,#K28G-012-00-19-F3B120-</t>
  </si>
  <si>
    <t>ACI</t>
  </si>
  <si>
    <t>K28G0120019F3B1204</t>
  </si>
  <si>
    <t>PHOTOSWITCH,RADWELL ,#Q45VR2LPQSUB,PHOTO</t>
  </si>
  <si>
    <t>Q45VR2LPQSUB</t>
  </si>
  <si>
    <t>THERMOCOUPLE,PYROMATION,#M114-13009-076-</t>
  </si>
  <si>
    <t>M11413009076003</t>
  </si>
  <si>
    <t>ALLIED ELECTRIC MOTOR SERVICE INC</t>
  </si>
  <si>
    <t>BLOCK,A B,#800T-XA,CONTACT,N/O OR N/C</t>
  </si>
  <si>
    <t>ALLEN BRADLEY</t>
  </si>
  <si>
    <t>800TXA</t>
  </si>
  <si>
    <t>FAN,SUNON FANS,SF11580A-1083HSL.GN, AXIA</t>
  </si>
  <si>
    <t>SUNON FANS</t>
  </si>
  <si>
    <t>SF11580A-1083HSL.GN</t>
  </si>
  <si>
    <t>PLUG, ELECT.,HUBBLE,HBL27710,30A 3 PHASE</t>
  </si>
  <si>
    <t>HUBBLE</t>
  </si>
  <si>
    <t>HBL27710</t>
  </si>
  <si>
    <t>CLAMP,TE CONNECT,208945-8,CONNECTOR CLAM</t>
  </si>
  <si>
    <t>TE CONNECTIVITY</t>
  </si>
  <si>
    <t>208945-8</t>
  </si>
  <si>
    <t>THERMOCOUPLE,BARBER,#P011-33300-120-6-00</t>
  </si>
  <si>
    <t>P01133300120600</t>
  </si>
  <si>
    <t>ELECTRICAL,MCMASTER CARR,#33145T31,UNIST</t>
  </si>
  <si>
    <t>33145T31</t>
  </si>
  <si>
    <t>THERMOCOUPLE,IRWIN,#E42-1K248GT2013040S-</t>
  </si>
  <si>
    <t>E421K248GT20130</t>
  </si>
  <si>
    <t>STEINER ELECTRIC COMPANY</t>
  </si>
  <si>
    <t>MISC,SQD,9001BWRY,PENDANT CONTROL STATIO</t>
  </si>
  <si>
    <t>SQD</t>
  </si>
  <si>
    <t>9001BWRY</t>
  </si>
  <si>
    <t>REFLECTOR,BANNER,#71791,BRT-51X51BM FOR</t>
  </si>
  <si>
    <t>71791</t>
  </si>
  <si>
    <t>BLOCK,VERTROD,#8VH531-8209,TERMINAL</t>
  </si>
  <si>
    <t>VERTROD CORP</t>
  </si>
  <si>
    <t>H5318209</t>
  </si>
  <si>
    <t>LOCK,RITTAL,RIT2420000,DOUBLE BIT INSERT</t>
  </si>
  <si>
    <t>RITTAL</t>
  </si>
  <si>
    <t>RIT2420000</t>
  </si>
  <si>
    <t>DJS SYSTEMS INC</t>
  </si>
  <si>
    <t>CABLE,DJS,889PF3AB5,CABLE 30PIN A-B DC P</t>
  </si>
  <si>
    <t>DJS</t>
  </si>
  <si>
    <t>889PF3AB5</t>
  </si>
  <si>
    <t>HORAUF AMERICA LLC</t>
  </si>
  <si>
    <t>CABLE,BECKHOFF,ZK1090-3132-0030,ETHERCAT</t>
  </si>
  <si>
    <t>BECKHOFF</t>
  </si>
  <si>
    <t>ZK1090-3132-0030</t>
  </si>
  <si>
    <t>KNOB,SQUARE D,#9001-K-17R,RED MUSHROOM</t>
  </si>
  <si>
    <t>SQUARE D</t>
  </si>
  <si>
    <t>9001K17R</t>
  </si>
  <si>
    <t>THERMOCOUPLE,THERMAL,#213-J-72,BAYONET,J</t>
  </si>
  <si>
    <t>213J72</t>
  </si>
  <si>
    <t>GRIP,KELLEMS,#074-01-017,3/4",CORD GRIP</t>
  </si>
  <si>
    <t>07401017</t>
  </si>
  <si>
    <t>PADDLE,MONITOR MFG,#1-4193,INSERT,SGL VN</t>
  </si>
  <si>
    <t>MONITOR MFG</t>
  </si>
  <si>
    <t>14193</t>
  </si>
  <si>
    <t>SWITCH,SCHMERSAL,#AZ17B6,SAFETY</t>
  </si>
  <si>
    <t>AZ17B6</t>
  </si>
  <si>
    <t>MISC,ELLIOTTELE,LT125,1 1-4LT STR STEEL</t>
  </si>
  <si>
    <t>LT125</t>
  </si>
  <si>
    <t>METER,ADDISON EL,24-261,0-30AMP ACH</t>
  </si>
  <si>
    <t>ADDISON ELECTRIC</t>
  </si>
  <si>
    <t>24-261</t>
  </si>
  <si>
    <t>HARDWARE,ALLIED ELECTRONICS INC,#3683S-1</t>
  </si>
  <si>
    <t>3683S1502</t>
  </si>
  <si>
    <t>CENTRO INC</t>
  </si>
  <si>
    <t>THERMOCOUPLE,BARBER,#PO11-33300-072-6-00</t>
  </si>
  <si>
    <t>BARBER-COLEMAN</t>
  </si>
  <si>
    <t>PO1133300072600</t>
  </si>
  <si>
    <t>CABLE,BECKHOFF,ZK1090-3131-0020,ETHERCAT</t>
  </si>
  <si>
    <t>ZK1090-3131-0020</t>
  </si>
  <si>
    <t>GRIP,RAIN,6-1/2"L,NON-INSULATED</t>
  </si>
  <si>
    <t>073031203</t>
  </si>
  <si>
    <t>Fuse,LITTLE FUSE,#FLSR20, FLSR20ID,CLASS</t>
  </si>
  <si>
    <t>FLSR20FLSR20ID</t>
  </si>
  <si>
    <t>REFLECTOR,AB,#92-109,2X2, BANNER #BRT-51</t>
  </si>
  <si>
    <t>92109</t>
  </si>
  <si>
    <t>Switch,IDEC,#HW1B-Y2F01R ,PUSH PULL EMER</t>
  </si>
  <si>
    <t>IDEC</t>
  </si>
  <si>
    <t>HW1BY2F01R</t>
  </si>
  <si>
    <t>DISCONNECT,ABB,OT40F3</t>
  </si>
  <si>
    <t>OT40F3</t>
  </si>
  <si>
    <t>THERMOCOUPLE,THERMAL,#255-J-240,J EXTENS</t>
  </si>
  <si>
    <t>255J240</t>
  </si>
  <si>
    <t>GUN;GOLDENROD,AG-R,AIR,SPDL</t>
  </si>
  <si>
    <t>GOLDENROD</t>
  </si>
  <si>
    <t>AG-R</t>
  </si>
  <si>
    <t>CABLE,BECKHOFF,ZK1090-313-0005,SORT ETHE</t>
  </si>
  <si>
    <t>ZK1090-313-0005</t>
  </si>
  <si>
    <t>MISC,BORDER STA,158217,SQD-9001KA3 N/C C</t>
  </si>
  <si>
    <t>158217</t>
  </si>
  <si>
    <t>PUSHBUTTON,Rexel,#800FP-MT44,PUSHBUTTON,</t>
  </si>
  <si>
    <t>REXEL</t>
  </si>
  <si>
    <t>800FPMT44</t>
  </si>
  <si>
    <t>CLAMP,TE CONNECT,208945-7,CONNECTOR CLAM</t>
  </si>
  <si>
    <t>208945-7</t>
  </si>
  <si>
    <t>INLET,MELTRIC,#63-18075,DSN1 INLET.</t>
  </si>
  <si>
    <t>MELTRIC</t>
  </si>
  <si>
    <t>6318093</t>
  </si>
  <si>
    <t>MISC,RADWELL,120591470,OVERLAY FRO A/B Q</t>
  </si>
  <si>
    <t>120591470</t>
  </si>
  <si>
    <t>INSULATOR,THOMAS + BETTS,#MSC 250</t>
  </si>
  <si>
    <t>THOMAS + BETTS</t>
  </si>
  <si>
    <t>MSC250</t>
  </si>
  <si>
    <t>MISC,PEPPERL+FU,V31-WM-5MPVC,M8 FEMALE R</t>
  </si>
  <si>
    <t>PEPPERL+FUCHS AUTOMATION</t>
  </si>
  <si>
    <t>V31-WM-5MPVC</t>
  </si>
  <si>
    <t>REPAIR PARTS, ENGLEWOOD,889DM4AC10,889D</t>
  </si>
  <si>
    <t>ENGLEWOOD ELECTRIC</t>
  </si>
  <si>
    <t>889DM4AC10</t>
  </si>
  <si>
    <t>MARKER,BRADLY,#PWM-PK-2,WIRE MARKER PORT</t>
  </si>
  <si>
    <t>BRADLY</t>
  </si>
  <si>
    <t>PWMPK2</t>
  </si>
  <si>
    <t>BLOCK,BANNER,#PBA,POWER</t>
  </si>
  <si>
    <t>PBA</t>
  </si>
  <si>
    <t>BRACKET,Allied #71305634, Omron SB40-M10</t>
  </si>
  <si>
    <t>BODINE ELECTRIC COMPANY</t>
  </si>
  <si>
    <t>SB40M10</t>
  </si>
  <si>
    <t>ENCLOSURE,STEINER ELECTRIC CO,#A404CH  ,</t>
  </si>
  <si>
    <t>STEINER ELECTRIC CO</t>
  </si>
  <si>
    <t>A404CH</t>
  </si>
  <si>
    <t>THERMOCOUPLE,PRIME,#PIGU102618860B0,6"</t>
  </si>
  <si>
    <t>PIGU102618860B0</t>
  </si>
  <si>
    <t>REFLECTOR,AB part# is 92-39</t>
  </si>
  <si>
    <t>GENERAL ELEC CO</t>
  </si>
  <si>
    <t>44A216277P002</t>
  </si>
  <si>
    <t>FAN,PAPST,#4606X,115V,50/60 HZ</t>
  </si>
  <si>
    <t>PAPST MECHATRON</t>
  </si>
  <si>
    <t>4606X</t>
  </si>
  <si>
    <t>Insert,MIDCO ELECTRIC SUPPLY,#CDF-25,INS</t>
  </si>
  <si>
    <t>CDF25</t>
  </si>
  <si>
    <t>KIT,LINCOLN,#247951,INJECTOR REPAIR KIT</t>
  </si>
  <si>
    <t>LINCOLN</t>
  </si>
  <si>
    <t>247951</t>
  </si>
  <si>
    <t>DAVIS STANDARD LLC</t>
  </si>
  <si>
    <t>THERMOCOUPLE;DAVIS STANDARD,5862007</t>
  </si>
  <si>
    <t>DAVIS STANDARD</t>
  </si>
  <si>
    <t>5862007</t>
  </si>
  <si>
    <t>MISC,ATLANTIC P,CTM DISPLAY CABLE,</t>
  </si>
  <si>
    <t>ATLANTIC PACKAGING</t>
  </si>
  <si>
    <t>CTM DISPLAY CABLE</t>
  </si>
  <si>
    <t>SWITCH,SIEMENS,#3SE5000-0AV05</t>
  </si>
  <si>
    <t>3SE50000AV05</t>
  </si>
  <si>
    <t>THERMOCOUPLE,DAVIS STD,#5861669,TYPE J S</t>
  </si>
  <si>
    <t>DAVIS STANDARD DIV</t>
  </si>
  <si>
    <t>5861669</t>
  </si>
  <si>
    <t>PHOTOCELL,PEPPERL+FUCHS,#MHP-D2AL</t>
  </si>
  <si>
    <t>FE7CDT2M</t>
  </si>
  <si>
    <t>MEGA,KEYENCE,#FS-V31 POWER FIBEROPTICAMP</t>
  </si>
  <si>
    <t>KEYENCE CORPORATION OF AMER</t>
  </si>
  <si>
    <t>FSV31</t>
  </si>
  <si>
    <t>FAN,PAPST,#4600X,IMC</t>
  </si>
  <si>
    <t>4600X</t>
  </si>
  <si>
    <t>CABLE,HYTROL,032.562,032561 EXTENSION CA</t>
  </si>
  <si>
    <t>HYTROL</t>
  </si>
  <si>
    <t>032.562</t>
  </si>
  <si>
    <t>MISC,EESCO,2TLA020051R8000,ABB EDEN/ ADA</t>
  </si>
  <si>
    <t>2TLA020051R8000</t>
  </si>
  <si>
    <t>SENSOR,BANNER,#QS18VP6LPQ8,VIS-RED,4-PIN</t>
  </si>
  <si>
    <t>QS18VP6LPQ8</t>
  </si>
  <si>
    <t>BODY,HUBBELL,#HBL4729-C,125VAC/DC,15A,CO</t>
  </si>
  <si>
    <t>HBL4760</t>
  </si>
  <si>
    <t>CABLE,HORAUF,000.020.373,PLUG WITH CABLE</t>
  </si>
  <si>
    <t>HORAUF</t>
  </si>
  <si>
    <t>000.020.373</t>
  </si>
  <si>
    <t>Fuse,LITTLE FUSE,#JLS 30, JKS-30, A4J30</t>
  </si>
  <si>
    <t>JLS30JKS30A4J30</t>
  </si>
  <si>
    <t>Cable,Keyence,#OP-73865,M8 Connector Cab</t>
  </si>
  <si>
    <t>OP73865</t>
  </si>
  <si>
    <t>CABLE,WESCO (ANI,09000005068,HAN CABLEEN</t>
  </si>
  <si>
    <t>WESCO (ANIXER)</t>
  </si>
  <si>
    <t>09000005068</t>
  </si>
  <si>
    <t>ROLLER ARM ,EUCHNER,#NHSC1834,ROLLER ARM</t>
  </si>
  <si>
    <t>EUCHNER</t>
  </si>
  <si>
    <t>NHSC1834</t>
  </si>
  <si>
    <t>Assembly,IDEC,#AVD301N-R ,E-STOP ASSEMBL</t>
  </si>
  <si>
    <t>AVD301NR</t>
  </si>
  <si>
    <t>TAPE,3M,#05400741750,SCOTCHFIL PUTTY TAP</t>
  </si>
  <si>
    <t>05400741750</t>
  </si>
  <si>
    <t>MISC,3M,ADP300M156JN,CAPACITOR 300 VAC 5</t>
  </si>
  <si>
    <t>ADP300M156JN</t>
  </si>
  <si>
    <t>MISC,ALLIED,SS720,BLANK WALL PLATE</t>
  </si>
  <si>
    <t>ALLIED</t>
  </si>
  <si>
    <t>SS720</t>
  </si>
  <si>
    <t>THERMOCOUPLE,BARBER,#P013-33100-144-4-03</t>
  </si>
  <si>
    <t>P01333100144403</t>
  </si>
  <si>
    <t>MASTER MACHINE &amp; TOOL LLC</t>
  </si>
  <si>
    <t>CONNECTOR,MASTER MAC,#1-022,INSPTR LOWER</t>
  </si>
  <si>
    <t>MASTER MACH</t>
  </si>
  <si>
    <t>1022</t>
  </si>
  <si>
    <t>ELECTRIC SUPPLY &amp; EQUIPMENT</t>
  </si>
  <si>
    <t>CONTACTOR,A B,#100-SAL11,AUX,1L/1L,S/MT</t>
  </si>
  <si>
    <t>100SAL11</t>
  </si>
  <si>
    <t>THERMCPL,PYROMATION,#JRB2U-F3B180-4,</t>
  </si>
  <si>
    <t>JRB2UF3B1804</t>
  </si>
  <si>
    <t>MISC,ELLIOTTELE,LT10090,1 LT 90D STL CON</t>
  </si>
  <si>
    <t>LT10090</t>
  </si>
  <si>
    <t>INSULATOR,THOMAS + BETTS,#MSC 20,WIRE</t>
  </si>
  <si>
    <t>MSC20</t>
  </si>
  <si>
    <t>PLUG,HUBBELL,#HBL5256VY  ,2 POLE 3 WIRE</t>
  </si>
  <si>
    <t>HBL5256VY</t>
  </si>
  <si>
    <t>REFLEXFOLIE,WESCO,#50038060,#4 50X1000</t>
  </si>
  <si>
    <t>WESCO</t>
  </si>
  <si>
    <t>50038060</t>
  </si>
  <si>
    <t>Gaskets, O-Rings - 550420990</t>
  </si>
  <si>
    <t>THERMOCOUPLE,EDL,#P09108,J TYPE 3/16 ENC</t>
  </si>
  <si>
    <t>P09108</t>
  </si>
  <si>
    <t>NORDSON BKG SUPERIOR HOLDINGS INC</t>
  </si>
  <si>
    <t>MISC,NORDSON,1-308-247,INSULATED CVR PLT</t>
  </si>
  <si>
    <t>NORDSON</t>
  </si>
  <si>
    <t>1-308-247</t>
  </si>
  <si>
    <t>FAN,ORION,#0A109AP/11/1TB,FAN, AC COOL</t>
  </si>
  <si>
    <t>ORION</t>
  </si>
  <si>
    <t>0A109AP111TB</t>
  </si>
  <si>
    <t>TRIAD AUTOMATION INC</t>
  </si>
  <si>
    <t>CABLE,BANNER,#MQDC430,30'CABLE</t>
  </si>
  <si>
    <t>MQDC430</t>
  </si>
  <si>
    <t>METCO ENGINEERING INC</t>
  </si>
  <si>
    <t>MISC,METCO,550-36979-9,LOW LEVEL CIRCUIT</t>
  </si>
  <si>
    <t>METCO</t>
  </si>
  <si>
    <t>550-36979-9</t>
  </si>
  <si>
    <t>PLUG,LEVITON,#L1630P,PLUG PASS &amp; SEYMOUR</t>
  </si>
  <si>
    <t>LEVITON</t>
  </si>
  <si>
    <t>L1630P</t>
  </si>
  <si>
    <t>THERMOCOUPLE,NRM,#M-11193-01.</t>
  </si>
  <si>
    <t>NRM CORP</t>
  </si>
  <si>
    <t>M1119301</t>
  </si>
  <si>
    <t>D M E COMPANY LLC</t>
  </si>
  <si>
    <t>PLUG,JIFFY TITE,#JP352 ,MALE CONNECTOR P</t>
  </si>
  <si>
    <t>JIFFY TITE</t>
  </si>
  <si>
    <t>JP352</t>
  </si>
  <si>
    <t>THERMOCOUPLE,BARBER,#PO213330007</t>
  </si>
  <si>
    <t>BARBER COLEMAN</t>
  </si>
  <si>
    <t>PO2133300072600</t>
  </si>
  <si>
    <t>ADAPTER,THOMAS + BETTS,#5272,1/2"</t>
  </si>
  <si>
    <t>5272</t>
  </si>
  <si>
    <t>INLET,MELTRIC,#63-18043,DSN1 INLET.</t>
  </si>
  <si>
    <t>6318043</t>
  </si>
  <si>
    <t>MISC,OMEGA,PS4G,1/4" PRESSURE SNUBBER 10</t>
  </si>
  <si>
    <t>OMEGA</t>
  </si>
  <si>
    <t>PS4G</t>
  </si>
  <si>
    <t>MOTION CONTROL ACQUISITION CORP</t>
  </si>
  <si>
    <t>Connector,RITTER TECHNOLOGY LLC,#H6EP ,</t>
  </si>
  <si>
    <t>RITTER TECHNOLOGY LLC</t>
  </si>
  <si>
    <t>H6EP</t>
  </si>
  <si>
    <t>LUG,MCMASTER CARR,#6926K81,COMPRESSION L</t>
  </si>
  <si>
    <t>6926K81</t>
  </si>
  <si>
    <t>H CHANNEL,RENNCO,#RS101-11055B</t>
  </si>
  <si>
    <t>RENNCO INC</t>
  </si>
  <si>
    <t>RS10111055B</t>
  </si>
  <si>
    <t>PLUG,LEVITON,#2761,PLUG LEVITON 2761 30A</t>
  </si>
  <si>
    <t>2761</t>
  </si>
  <si>
    <t>MISC,RADWELL,112828629,TOUCH GLASS FOR Q</t>
  </si>
  <si>
    <t>112828629</t>
  </si>
  <si>
    <t>INLET,HUBBELL,#5278-C,2-POLE,3WIRE,15AMP</t>
  </si>
  <si>
    <t>5278C</t>
  </si>
  <si>
    <t>PLUG,AMPHENOL,#97-3106A-32-8S</t>
  </si>
  <si>
    <t>AMPHENOL</t>
  </si>
  <si>
    <t>973106A328S</t>
  </si>
  <si>
    <t>PALMETTO INDUSTRIAL PRODUCTS LLC</t>
  </si>
  <si>
    <t>CHECKER,SIMCO,4000004,STATIC BAR CHECKE</t>
  </si>
  <si>
    <t>SIMCO CO INC</t>
  </si>
  <si>
    <t>4000004</t>
  </si>
  <si>
    <t>THERMOCOUPLE,PRIME,#PU10224188144</t>
  </si>
  <si>
    <t>PU10224188144</t>
  </si>
  <si>
    <t>CAP KIT,PARKER,#PS508,DOME FILL</t>
  </si>
  <si>
    <t>PARKER HANNIFIN</t>
  </si>
  <si>
    <t>PS508</t>
  </si>
  <si>
    <t>REDUCER,CROUSE-HINDS,#RE32,CPLG,1"X3/4"</t>
  </si>
  <si>
    <t>CROUSE-HINDS</t>
  </si>
  <si>
    <t>RE32</t>
  </si>
  <si>
    <t>DIAL,K B ELECTRONICS,#9832 ,KNOB DIAL</t>
  </si>
  <si>
    <t>K B ELECTRONICS</t>
  </si>
  <si>
    <t>9832</t>
  </si>
  <si>
    <t>MISC,EESCO,889D-F4ACDM-4,A B DC MICRO</t>
  </si>
  <si>
    <t>889D-F4ACDM-4</t>
  </si>
  <si>
    <t>SOCKET,ORMON,#PTF14A-E,14 PIN</t>
  </si>
  <si>
    <t>OMRON</t>
  </si>
  <si>
    <t>PTF14AE</t>
  </si>
  <si>
    <t>MISC,BORDER STA,786266,THM-170S COND BDY</t>
  </si>
  <si>
    <t>786266</t>
  </si>
  <si>
    <t>HUSKY INJECTION MOLDING SYSTEM INC</t>
  </si>
  <si>
    <t>THERMOCOUPLE;HUSKY,2666594,DL LEAD</t>
  </si>
  <si>
    <t>HUSKY</t>
  </si>
  <si>
    <t>2666594</t>
  </si>
  <si>
    <t>Hardware,AUTOMATION DIRECTCOM,#HT8ABR,EX</t>
  </si>
  <si>
    <t>HT8ABR</t>
  </si>
  <si>
    <t>HOODTOP,HARTING,#9200031440,ENTRY,METAL,</t>
  </si>
  <si>
    <t>9200031440</t>
  </si>
  <si>
    <t>VIDEO CABLE,TURCK,#PKG 4M-9,APM EQUIP</t>
  </si>
  <si>
    <t>TURCK</t>
  </si>
  <si>
    <t>PKG4M9</t>
  </si>
  <si>
    <t>RELAY;IDEC,RY4S,MINTR,GENRLPRPS,120 VAC</t>
  </si>
  <si>
    <t>RY4S</t>
  </si>
  <si>
    <t>Relays - 550250140</t>
  </si>
  <si>
    <t>MISC,ELLIOTTELE,1/2"STEELLOCKNUT,LOCKNUT</t>
  </si>
  <si>
    <t>1/2"STEELLOCKNUT</t>
  </si>
  <si>
    <t>ARM,SQUARE D,#CA-18,LEVER</t>
  </si>
  <si>
    <t>CA18</t>
  </si>
  <si>
    <t>GRIP,DELUX CORD,1/2" RANGE</t>
  </si>
  <si>
    <t>07401008</t>
  </si>
  <si>
    <t>RUMSEY ELECTRIC CO</t>
  </si>
  <si>
    <t>BUTTON,SQUARE D,#9001KR20,PUSH BUTTON W/</t>
  </si>
  <si>
    <t>9001KR20</t>
  </si>
  <si>
    <t>MISC,ELLIOTTELE,LT1000,1" STR LT STEEL C</t>
  </si>
  <si>
    <t>LT1000</t>
  </si>
  <si>
    <t>INDUSTRIAL &amp; SHIPPERS SUPPLY</t>
  </si>
  <si>
    <t>CABLE,DIGITAL DESIGN,#210083,COMMS CABLE</t>
  </si>
  <si>
    <t>DIGITAL DESIGN</t>
  </si>
  <si>
    <t>210083</t>
  </si>
  <si>
    <t>SWITCH,SIEMENS,#3SE5000-0AV03</t>
  </si>
  <si>
    <t>3SE50000AV03</t>
  </si>
  <si>
    <t>LEVER,HONEYWELL,#LSZ52D,ADJ,ROTARY</t>
  </si>
  <si>
    <t>LSZ52D</t>
  </si>
  <si>
    <t>MISC,ELLIOTTELE,LT12590,1 1/4 90D LT STL</t>
  </si>
  <si>
    <t>LT12590</t>
  </si>
  <si>
    <t>COVER,STEEL CITY,#RS-8,RECEPTACLE</t>
  </si>
  <si>
    <t>STEEL CITY</t>
  </si>
  <si>
    <t>RS8</t>
  </si>
  <si>
    <t>CONNECTOR,AMPHENOL,15PINMDCONCPS,15 PIN</t>
  </si>
  <si>
    <t>L60-15PINMDCONCPS</t>
  </si>
  <si>
    <t>CABLE,MIDCO,MDC-3FP-5M-R,90 DEGREE ELBOW</t>
  </si>
  <si>
    <t>MIDCO</t>
  </si>
  <si>
    <t>MDC-3FP-5M-R</t>
  </si>
  <si>
    <t>OUTLET,HUBBELL,#5262-I,15AMP/125V,2 POLE</t>
  </si>
  <si>
    <t>5252I</t>
  </si>
  <si>
    <t>COUPLING,THOMAS + BETTS,PT.#676,3/4"</t>
  </si>
  <si>
    <t>676</t>
  </si>
  <si>
    <t>TUBING,ALPHA,#SW-4 N008</t>
  </si>
  <si>
    <t>ALPHA</t>
  </si>
  <si>
    <t>SW4</t>
  </si>
  <si>
    <t>MISC,NEWARK,74AC7761,CABLE</t>
  </si>
  <si>
    <t>NEWARK</t>
  </si>
  <si>
    <t>74AC7761</t>
  </si>
  <si>
    <t>SPRING,BALDOR,#57400008,BRUSH</t>
  </si>
  <si>
    <t>BALDOR</t>
  </si>
  <si>
    <t>57400008</t>
  </si>
  <si>
    <t>Fuse,STEINER ELECTRIC CO,#KLK15, KTK-15,</t>
  </si>
  <si>
    <t>KLK15KTK15ATM15MCL15</t>
  </si>
  <si>
    <t>BLANK,OZ/GEDNEY,#KO-75S,3/4'' KNOCKOUT</t>
  </si>
  <si>
    <t>OZ/GEDNEY</t>
  </si>
  <si>
    <t>KO75S</t>
  </si>
  <si>
    <t>COVER,MCMASTER,71695K124,BLANK COVER</t>
  </si>
  <si>
    <t>71695K124</t>
  </si>
  <si>
    <t>MISC,BORDER STA,161360,THM-HA-401 1/2 BU</t>
  </si>
  <si>
    <t>161360</t>
  </si>
  <si>
    <t>REDUCER,CROUSE-HINDS,#RE21,STEEL</t>
  </si>
  <si>
    <t>RE21</t>
  </si>
  <si>
    <t>CONTROLS FOR MOTION AUTOMATION INC</t>
  </si>
  <si>
    <t>Sensor,BALLUFF,#C04AEL00VY050M,BALLUFF S</t>
  </si>
  <si>
    <t>C04AEL00VY050M</t>
  </si>
  <si>
    <t>CONNECTOR,HORAUF,#000.019.255,90 DEG</t>
  </si>
  <si>
    <t>000019255</t>
  </si>
  <si>
    <t>ANTECH SALES INC</t>
  </si>
  <si>
    <t>PLUG,EAST COAST,#TP-1S,QUICK DISCONNECT,</t>
  </si>
  <si>
    <t>EAST COAST SENSORS</t>
  </si>
  <si>
    <t>TP1S</t>
  </si>
  <si>
    <t>HOOD,FCT,#FCT 152-FKH3E,HOOD FOR D-SUP C</t>
  </si>
  <si>
    <t>FCT</t>
  </si>
  <si>
    <t>FCT152FKH3E</t>
  </si>
  <si>
    <t>CLAMP,TE CONNECT,206070-8,CABLE CLAMP KI</t>
  </si>
  <si>
    <t>206070-8</t>
  </si>
  <si>
    <t>battery, Newark,# 23C2691, lithium batte</t>
  </si>
  <si>
    <t>23C2691</t>
  </si>
  <si>
    <t>LEVER,HONEYWELL,LSZ51C,LIMIT SWITCH ROLL</t>
  </si>
  <si>
    <t>LSZ51C</t>
  </si>
  <si>
    <t>CLAMP,TE CONNECT,206138-8,SIZE 23 CABLE</t>
  </si>
  <si>
    <t>206138-8</t>
  </si>
  <si>
    <t>MISC,AUTOMATION,D0-MC-BAT,BATTERY REPLAC</t>
  </si>
  <si>
    <t>AUTOMATIONDIRECT</t>
  </si>
  <si>
    <t>D0-MC-BAT</t>
  </si>
  <si>
    <t>BUTTON,SQUARE D,#9001-R21,2 1/4"RED MUSH</t>
  </si>
  <si>
    <t>9001R21</t>
  </si>
  <si>
    <t>ADAPTER,DAVIS STAN,#5100212,THERMOCOUPLE</t>
  </si>
  <si>
    <t>5100212</t>
  </si>
  <si>
    <t>THERMOCOUPLE,DAVIS STANDARD,#5861643,E-6</t>
  </si>
  <si>
    <t>5861643</t>
  </si>
  <si>
    <t>Hardware,STEINER ELECTRIC CO,#312001, AG</t>
  </si>
  <si>
    <t>312001AGC1GGC1</t>
  </si>
  <si>
    <t>COVER,THOMAS &amp; BETTS,#SCRS12,SQUARE</t>
  </si>
  <si>
    <t>SCRS12</t>
  </si>
  <si>
    <t>BLANK,OZ/GEDNEY,#KO-50S,1/2" KNOCKOUT</t>
  </si>
  <si>
    <t>KO50S</t>
  </si>
  <si>
    <t>SID TOOL CO INC</t>
  </si>
  <si>
    <t>CABLE,MSC,#67677385,1/8"7X19 STEEL CABLE</t>
  </si>
  <si>
    <t>MSC</t>
  </si>
  <si>
    <t>67677385</t>
  </si>
  <si>
    <t>CABLE,KEYENCE,OP-99021,STANDARD AC CABLE</t>
  </si>
  <si>
    <t>OP-99021</t>
  </si>
  <si>
    <t>ANB</t>
  </si>
  <si>
    <t>NOT</t>
  </si>
  <si>
    <t>CID</t>
  </si>
  <si>
    <t>NOTES</t>
  </si>
  <si>
    <t>Allen Bradley item that we have no access to, and cannot cross.</t>
  </si>
  <si>
    <t xml:space="preserve">Automation item we have no access to and cannot cross. </t>
  </si>
  <si>
    <t xml:space="preserve">Electronic item we have no access to and cannot cross. </t>
  </si>
  <si>
    <t>Item does not have a full part number provided or a full description that would allow a part number to be determined.</t>
  </si>
  <si>
    <t xml:space="preserve">Hydraulic item we have no access to and cannot cross. </t>
  </si>
  <si>
    <t>FIND</t>
  </si>
  <si>
    <t>This item can be sourced from an approved Graybar supplier, but is not actively stocked and would have to be secured directly from the manufacturer.</t>
  </si>
  <si>
    <t xml:space="preserve">Hardware item we have no access to and cannot cross. </t>
  </si>
  <si>
    <t>NM</t>
  </si>
  <si>
    <t>This is a line that is for a service, and not actual material.</t>
  </si>
  <si>
    <t>Motor item we have no access to and cannot cross.</t>
  </si>
  <si>
    <t>OBS</t>
  </si>
  <si>
    <t>Item is obsolete with no replacment.</t>
  </si>
  <si>
    <t>F</t>
  </si>
  <si>
    <t>E</t>
  </si>
  <si>
    <t>DM</t>
  </si>
  <si>
    <t>CORE</t>
  </si>
  <si>
    <t>HUBBELL WIRING DEVICES</t>
  </si>
  <si>
    <t>HBLPE</t>
  </si>
  <si>
    <t>HBL5369C</t>
  </si>
  <si>
    <t>CONN 20A 125V 5-20R B/W</t>
  </si>
  <si>
    <t>STRAIGHT BLADE PLUGS AND CONNECTORS</t>
  </si>
  <si>
    <t>SCHEDULE OF DISCOUNTS</t>
  </si>
  <si>
    <t>GENERIC VENDOR-TUBPA</t>
  </si>
  <si>
    <t>TUBPA</t>
  </si>
  <si>
    <t>LT 1-1/4 GRY CUT REEL</t>
  </si>
  <si>
    <t>NON-UL LIQUID TIGHT CONDUIT</t>
  </si>
  <si>
    <t>METALLIC LIQUID TIGHT RACEWAY</t>
  </si>
  <si>
    <t>COMMODITY</t>
  </si>
  <si>
    <t>LEVITON MANUFACTURING COMPANY, INC</t>
  </si>
  <si>
    <t>LEVPE</t>
  </si>
  <si>
    <t>CR20-W</t>
  </si>
  <si>
    <t>WHT DPLX RCPT-NEMA5-20R</t>
  </si>
  <si>
    <t>ELECTRICAL RECEPTACLES - INCLUDES USB</t>
  </si>
  <si>
    <t>SCHNEIDER ELECTRIC USA INC</t>
  </si>
  <si>
    <t>SQDPA</t>
  </si>
  <si>
    <t>9001KA1</t>
  </si>
  <si>
    <t>30MM CONTACT BLOCK 1N/O 1N/C</t>
  </si>
  <si>
    <t>PUSH BUTTONS, PILOT LIGHTS &amp; SELECTOR SWITCHES</t>
  </si>
  <si>
    <t>NOF</t>
  </si>
  <si>
    <t>PEPPREL &amp; FUCHS</t>
  </si>
  <si>
    <t>PPFPE</t>
  </si>
  <si>
    <t>NBB5-18GM60-WO</t>
  </si>
  <si>
    <t>LKG RCPT VARILOAD 4P5W 30A 600V</t>
  </si>
  <si>
    <t>ALL TURN LOCKING DEVICES</t>
  </si>
  <si>
    <t>3M CO. - ELECTRICAL MARKETS DIV.</t>
  </si>
  <si>
    <t>MMMPE</t>
  </si>
  <si>
    <t>50-UNPRINTED-2X100FT</t>
  </si>
  <si>
    <t>CORROSION PROTECTION TAPE</t>
  </si>
  <si>
    <t>INSULATING MATERIAL, FIRE-STOP, TAPE &amp; HEAT SHRINK</t>
  </si>
  <si>
    <t>HOFFMAN ENCLOSURES, INC</t>
  </si>
  <si>
    <t>HOFPA</t>
  </si>
  <si>
    <t>SAFETY LOCKOUT CHAIN</t>
  </si>
  <si>
    <t>ENCLOSURE ACCESSORIES</t>
  </si>
  <si>
    <t>9001KR1U</t>
  </si>
  <si>
    <t>30MM PUSH BUTTON FULL GUARD</t>
  </si>
  <si>
    <t>NET</t>
  </si>
  <si>
    <t>LT 1 GRY CUT REEL</t>
  </si>
  <si>
    <t>COOPER BUSSMANN INC</t>
  </si>
  <si>
    <t>BUSPA</t>
  </si>
  <si>
    <t>JKS-450</t>
  </si>
  <si>
    <t>LIMITRON FAST ACTING FUSE CLASS J</t>
  </si>
  <si>
    <t>LOW VOLTAGE, BRANCH CIRCUIT RATED FUSES</t>
  </si>
  <si>
    <t>COOPER CROUSE-HINDS DIVISION</t>
  </si>
  <si>
    <t>CRHPE</t>
  </si>
  <si>
    <t>T17</t>
  </si>
  <si>
    <t>1/2 T FORM 7 CNDT OUTLETBODY THRD RIGID</t>
  </si>
  <si>
    <t>CONDUIT BODIES</t>
  </si>
  <si>
    <t>XB4BW34B5</t>
  </si>
  <si>
    <t>PUSHBUTTON LED 24V 22MM XB4 +OPTIONS</t>
  </si>
  <si>
    <t>A606CH</t>
  </si>
  <si>
    <t>J BOX TYPE 12 HINGED COVER</t>
  </si>
  <si>
    <t>COOPER B-LINE SYSTEMS</t>
  </si>
  <si>
    <t>BLNPA</t>
  </si>
  <si>
    <t>B22SH-120GLV</t>
  </si>
  <si>
    <t>CHNL 1-5/8X1-5/8 9/16X1-1/8 SL HL 12GA</t>
  </si>
  <si>
    <t>CHANNEL/STRUT</t>
  </si>
  <si>
    <t>HBL25414B</t>
  </si>
  <si>
    <t>H/LOCK CONN 4P5W 30A 600V</t>
  </si>
  <si>
    <t>FEDERAL SIGNAL CORP</t>
  </si>
  <si>
    <t>FEDPA</t>
  </si>
  <si>
    <t>350-120-30</t>
  </si>
  <si>
    <t>HORN 120VAC</t>
  </si>
  <si>
    <t>SIGNAL EQUIP SECURITY &amp; EMERGENCY LIGHTS</t>
  </si>
  <si>
    <t>2520-3/4X60FT</t>
  </si>
  <si>
    <t>VARNISHED CAMBRIC TAPE 3/4 X 60</t>
  </si>
  <si>
    <t>STR MALE DCG .62-.751 W/MESH</t>
  </si>
  <si>
    <t>SUPPORT GRIPS</t>
  </si>
  <si>
    <t>LT50</t>
  </si>
  <si>
    <t>1/2 STR L/T CONN</t>
  </si>
  <si>
    <t>LIQUIDTIGHT FITTINGS</t>
  </si>
  <si>
    <t>FNQ-R-30</t>
  </si>
  <si>
    <t>CLASS CC TIME DELAY REJECTION FUSE</t>
  </si>
  <si>
    <t>ABB INSTALLATION PRODUCTS INC</t>
  </si>
  <si>
    <t>TBCPE</t>
  </si>
  <si>
    <t>SH606MV</t>
  </si>
  <si>
    <t>B6 SINGLE LOCK SYS 1XPG13 5-1/2</t>
  </si>
  <si>
    <t>MECHNAICAL/COMPRESSION LUGS/CONNECTORS</t>
  </si>
  <si>
    <t>HBL2771</t>
  </si>
  <si>
    <t>LKG PLUG 30A 3PH 347/600V L20-30P B/W</t>
  </si>
  <si>
    <t>CAL-BRITE</t>
  </si>
  <si>
    <t>CBDPA</t>
  </si>
  <si>
    <t>S45800PB00</t>
  </si>
  <si>
    <t>SS304 POST BASE FOR 1-5/8 CHANNEL</t>
  </si>
  <si>
    <t>CHANNEL/STRUT FITTINGS</t>
  </si>
  <si>
    <t>CONTROL STATION COVER+BOX T-BF+BW</t>
  </si>
  <si>
    <t>PUSHBUTTON MUSHROOM KNOB30MM TYPE K</t>
  </si>
  <si>
    <t>STR MALE DCG .50-.623/4 W/MESH</t>
  </si>
  <si>
    <t>1-1/4 STR L/T CONN</t>
  </si>
  <si>
    <t>073031203A</t>
  </si>
  <si>
    <t>D/T STRAIN RELF .54-.73 3/4 MOD</t>
  </si>
  <si>
    <t>FRS-R-20ID</t>
  </si>
  <si>
    <t>FUSETRON DUAL-ELEMENT CLASS RK5 INDICATI</t>
  </si>
  <si>
    <t>9001KA3</t>
  </si>
  <si>
    <t>30MM CONTACT BLOCK 1N/C</t>
  </si>
  <si>
    <t>MTR STUB SPLICE INSULTR</t>
  </si>
  <si>
    <t>LINE SPLICES, GUY GRIPS, DEAD-ENDS, ETC.</t>
  </si>
  <si>
    <t>ENCLOSURES</t>
  </si>
  <si>
    <t>HBL4729C</t>
  </si>
  <si>
    <t>LKG CONN 15A 125V L5-15R B/W</t>
  </si>
  <si>
    <t>JKS-300</t>
  </si>
  <si>
    <t>SCOTCHFIL</t>
  </si>
  <si>
    <t>INSULATION PUTTY 1 1/2 X60</t>
  </si>
  <si>
    <t>WALLPLATE 1-G 1.60 SS</t>
  </si>
  <si>
    <t>RECEPTACLE WALL PLATES/COVERS</t>
  </si>
  <si>
    <t>1-IN 90D L/T CONN</t>
  </si>
  <si>
    <t>MTR STUB SPLICE INSULATOR</t>
  </si>
  <si>
    <t>HBL5256</t>
  </si>
  <si>
    <t>FLGD RCPT 15A 125V NEMA 5-15R</t>
  </si>
  <si>
    <t>LKG PLUG L16-30</t>
  </si>
  <si>
    <t>TC 5272 LIQUID-TIGHT CONNECTOR</t>
  </si>
  <si>
    <t>MELTRIC CORPORATION</t>
  </si>
  <si>
    <t>MLTPA</t>
  </si>
  <si>
    <t>63-18043</t>
  </si>
  <si>
    <t>MALE INLET</t>
  </si>
  <si>
    <t>ALL PIN &amp; SLEEVE INCLUDING DISCONNECTS</t>
  </si>
  <si>
    <t>BURNDY LLC</t>
  </si>
  <si>
    <t>BUNPA</t>
  </si>
  <si>
    <t>YA26L6BOX</t>
  </si>
  <si>
    <t>2/0 CU 1-HOLE SHORT 1/2</t>
  </si>
  <si>
    <t>LKG PLUG L19-30</t>
  </si>
  <si>
    <t>HBL5278C</t>
  </si>
  <si>
    <t>FLANGED INLET 15A 125V5-15P WH</t>
  </si>
  <si>
    <t>1 TO 3/4 REDUCING BUSH</t>
  </si>
  <si>
    <t>PLUGS &amp; REDUCERS, BUSHINGS, CONN.</t>
  </si>
  <si>
    <t>170</t>
  </si>
  <si>
    <t>1/2 WDGNUT SHT STEEL FORM 7 CVR</t>
  </si>
  <si>
    <t>CONDUIT BODIES ACCESSORIES</t>
  </si>
  <si>
    <t>9007CA18</t>
  </si>
  <si>
    <t>LIMIT SWITCH LEVER ARM 2IN C</t>
  </si>
  <si>
    <t>AUTOMATION AND CONTROL</t>
  </si>
  <si>
    <t>STR MALE DCG .37-.501/2 W/MESH</t>
  </si>
  <si>
    <t>PUSHBUTTON OPERATOR 30MMTYPE K +OPTIONS</t>
  </si>
  <si>
    <t>LT100</t>
  </si>
  <si>
    <t>1-IN STR L/T CONN</t>
  </si>
  <si>
    <t>1-1/4 90D L/T CONN</t>
  </si>
  <si>
    <t>RS 8</t>
  </si>
  <si>
    <t>SC RS8 STEEL COVER</t>
  </si>
  <si>
    <t>4 SQ BOXES, RINGS, AND COVERS</t>
  </si>
  <si>
    <t>5262I</t>
  </si>
  <si>
    <t>RECP 15A 125V SEL SPEC IV 5-15R</t>
  </si>
  <si>
    <t>TC 676 3/4IN ERICKSON COUPLING</t>
  </si>
  <si>
    <t>COUPLINGS, ELBOWS, UNIONS, ADAPTERS</t>
  </si>
  <si>
    <t>3/4 SNAP-IN KO BLANK</t>
  </si>
  <si>
    <t>3 GCB</t>
  </si>
  <si>
    <t>SC 3GCB STEEL COVER</t>
  </si>
  <si>
    <t>MISC BOXES AND COVERS</t>
  </si>
  <si>
    <t>50</t>
  </si>
  <si>
    <t>1/2 STL BUSHED NIPPLE</t>
  </si>
  <si>
    <t>3/4 TO 1/2 REDUCING BUSH</t>
  </si>
  <si>
    <t>RAYOVAC CORPORATION</t>
  </si>
  <si>
    <t>RAYPA</t>
  </si>
  <si>
    <t>KECR2032-2G</t>
  </si>
  <si>
    <t>CR2032 3V LITHIUM COIN CELL BATTERY 2PK</t>
  </si>
  <si>
    <t>FLASHLIGHTS, BATTERIES, &amp; ACCESSORIES</t>
  </si>
  <si>
    <t>30MM MUSHROOM FOR ILLUM PB RED 57MM</t>
  </si>
  <si>
    <t>1/2 SNAP-IN KO BLANK</t>
  </si>
  <si>
    <t>COOPER CROUSE HINDS</t>
  </si>
  <si>
    <t>TP516</t>
  </si>
  <si>
    <t>4SQ 1/2D CVR F/1-DPLXRCP</t>
  </si>
  <si>
    <t>ERROR IN UOM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</si>
</sst>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s>
  <fonts count="38"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name val="MS Sans Serif"/>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64"/>
      <name val="Arial"/>
      <family val="2"/>
    </font>
    <font>
      <sz val="12"/>
      <color indexed="8"/>
      <name val="Calibri"/>
      <family val="2"/>
    </font>
    <font>
      <sz val="11"/>
      <name val="Arial"/>
      <family val="1"/>
    </font>
    <font>
      <sz val="9"/>
      <color theme="1"/>
      <name val="Verdana"/>
      <family val="2"/>
    </font>
    <font>
      <sz val="18"/>
      <color theme="1"/>
      <name val="Calibri"/>
      <family val="2"/>
      <scheme val="minor"/>
    </font>
    <font>
      <sz val="9"/>
      <name val="Calibri"/>
      <family val="2"/>
      <scheme val="minor"/>
    </font>
    <font>
      <b/>
      <sz val="9"/>
      <name val="Calibri"/>
      <family val="2"/>
      <scheme val="minor"/>
    </font>
    <font>
      <b/>
      <sz val="9"/>
      <color theme="0"/>
      <name val="Calibri"/>
      <family val="2"/>
      <scheme val="minor"/>
    </font>
    <font>
      <sz val="9"/>
      <color theme="1"/>
      <name val="Calibri"/>
      <family val="2"/>
      <scheme val="minor"/>
    </font>
    <font>
      <sz val="9"/>
      <color theme="0"/>
      <name val="Calibri"/>
      <family val="2"/>
      <scheme val="minor"/>
    </font>
    <font>
      <i/>
      <sz val="9"/>
      <name val="Calibri"/>
      <family val="2"/>
      <scheme val="minor"/>
    </font>
    <font>
      <b/>
      <sz val="9"/>
      <color theme="1"/>
      <name val="Calibri"/>
      <family val="2"/>
      <scheme val="minor"/>
    </font>
    <font>
      <sz val="9"/>
      <color rgb="FF000000"/>
      <name val="Calibri"/>
      <family val="2"/>
      <scheme val="minor"/>
    </font>
    <font>
      <b/>
      <sz val="9"/>
      <color rgb="FF000000"/>
      <name val="Calibri"/>
      <family val="2"/>
      <scheme val="minor"/>
    </font>
    <font>
      <sz val="9"/>
      <color rgb="FF333333"/>
      <name val="Calibri"/>
      <family val="2"/>
      <scheme val="minor"/>
    </font>
    <font>
      <b/>
      <sz val="9"/>
      <color rgb="FFFA7D00"/>
      <name val="Calibri"/>
      <family val="2"/>
    </font>
    <font>
      <sz val="11"/>
      <name val="Calibri"/>
      <family val="2"/>
      <scheme val="minor"/>
    </font>
  </fonts>
  <fills count="44">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theme="8" tint="0.39997558519241921"/>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3" tint="0.39997558519241921"/>
        <bgColor indexed="64"/>
      </patternFill>
    </fill>
    <fill>
      <patternFill patternType="solid">
        <fgColor rgb="FFF8FBFC"/>
        <bgColor rgb="FFFFFFFF"/>
      </patternFill>
    </fill>
    <fill>
      <patternFill patternType="solid">
        <fgColor rgb="FFFFFFFF"/>
        <bgColor rgb="FFFFFFFF"/>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s>
  <cellStyleXfs count="62">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alignment vertical="top"/>
    </xf>
    <xf numFmtId="0" fontId="5" fillId="0" borderId="0"/>
    <xf numFmtId="0" fontId="1" fillId="0" borderId="0"/>
    <xf numFmtId="44"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0" fontId="3" fillId="0" borderId="0">
      <alignment vertical="top"/>
    </xf>
    <xf numFmtId="0" fontId="6" fillId="0" borderId="0" applyNumberFormat="0" applyFill="0" applyBorder="0" applyAlignment="0" applyProtection="0"/>
    <xf numFmtId="0" fontId="7" fillId="0" borderId="13" applyNumberFormat="0" applyFill="0" applyAlignment="0" applyProtection="0"/>
    <xf numFmtId="0" fontId="8" fillId="0" borderId="14" applyNumberFormat="0" applyFill="0" applyAlignment="0" applyProtection="0"/>
    <xf numFmtId="0" fontId="9" fillId="0" borderId="15" applyNumberFormat="0" applyFill="0" applyAlignment="0" applyProtection="0"/>
    <xf numFmtId="0" fontId="9" fillId="0" borderId="0" applyNumberFormat="0" applyFill="0" applyBorder="0" applyAlignment="0" applyProtection="0"/>
    <xf numFmtId="0" fontId="10" fillId="9" borderId="0" applyNumberFormat="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16" applyNumberFormat="0" applyAlignment="0" applyProtection="0"/>
    <xf numFmtId="0" fontId="14" fillId="13" borderId="17" applyNumberFormat="0" applyAlignment="0" applyProtection="0"/>
    <xf numFmtId="0" fontId="15" fillId="13" borderId="16" applyNumberFormat="0" applyAlignment="0" applyProtection="0"/>
    <xf numFmtId="0" fontId="16" fillId="0" borderId="18" applyNumberFormat="0" applyFill="0" applyAlignment="0" applyProtection="0"/>
    <xf numFmtId="0" fontId="17" fillId="14" borderId="19" applyNumberFormat="0" applyAlignment="0" applyProtection="0"/>
    <xf numFmtId="0" fontId="18" fillId="0" borderId="0" applyNumberFormat="0" applyFill="0" applyBorder="0" applyAlignment="0" applyProtection="0"/>
    <xf numFmtId="0" fontId="1" fillId="15" borderId="20" applyNumberFormat="0" applyFont="0" applyAlignment="0" applyProtection="0"/>
    <xf numFmtId="0" fontId="19" fillId="0" borderId="0" applyNumberFormat="0" applyFill="0" applyBorder="0" applyAlignment="0" applyProtection="0"/>
    <xf numFmtId="0" fontId="2" fillId="0" borderId="21" applyNumberFormat="0" applyFill="0" applyAlignment="0" applyProtection="0"/>
    <xf numFmtId="0" fontId="20"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20" fillId="39" borderId="0" applyNumberFormat="0" applyBorder="0" applyAlignment="0" applyProtection="0"/>
    <xf numFmtId="0" fontId="21" fillId="0" borderId="0"/>
    <xf numFmtId="0" fontId="22" fillId="0" borderId="0" applyNumberFormat="0" applyFill="0" applyBorder="0" applyProtection="0"/>
    <xf numFmtId="0" fontId="1" fillId="0" borderId="0"/>
    <xf numFmtId="0" fontId="22" fillId="0" borderId="0" applyNumberFormat="0" applyFill="0" applyBorder="0" applyProtection="0"/>
    <xf numFmtId="44" fontId="23" fillId="0" borderId="0" applyFont="0" applyFill="0" applyBorder="0" applyAlignment="0" applyProtection="0"/>
    <xf numFmtId="0" fontId="3" fillId="0" borderId="0"/>
    <xf numFmtId="0" fontId="24" fillId="0" borderId="0"/>
    <xf numFmtId="0" fontId="1" fillId="0" borderId="0"/>
    <xf numFmtId="0" fontId="36" fillId="13" borderId="16" applyNumberFormat="0" applyAlignment="0" applyProtection="0"/>
  </cellStyleXfs>
  <cellXfs count="154">
    <xf numFmtId="0" fontId="0" fillId="0" borderId="0" xfId="0"/>
    <xf numFmtId="0" fontId="2" fillId="0" borderId="0" xfId="0" applyFont="1"/>
    <xf numFmtId="165" fontId="2" fillId="0" borderId="0" xfId="2" applyNumberFormat="1" applyFont="1"/>
    <xf numFmtId="165" fontId="0" fillId="0" borderId="0" xfId="2" applyNumberFormat="1" applyFont="1"/>
    <xf numFmtId="0" fontId="25" fillId="0" borderId="0" xfId="0" applyFont="1"/>
    <xf numFmtId="0" fontId="17" fillId="41" borderId="1" xfId="0" applyFont="1" applyFill="1" applyBorder="1"/>
    <xf numFmtId="0" fontId="26" fillId="0" borderId="0" xfId="4" applyFont="1"/>
    <xf numFmtId="0" fontId="27" fillId="0" borderId="0" xfId="4" applyFont="1" applyAlignment="1"/>
    <xf numFmtId="0" fontId="27" fillId="0" borderId="0" xfId="4" applyFont="1" applyAlignment="1">
      <alignment horizontal="center"/>
    </xf>
    <xf numFmtId="0" fontId="27" fillId="0" borderId="0" xfId="4" applyFont="1" applyFill="1" applyAlignment="1">
      <alignment horizontal="center"/>
    </xf>
    <xf numFmtId="14" fontId="27" fillId="0" borderId="0" xfId="4" applyNumberFormat="1" applyFont="1" applyFill="1"/>
    <xf numFmtId="14" fontId="26" fillId="0" borderId="0" xfId="4" applyNumberFormat="1" applyFont="1" applyFill="1"/>
    <xf numFmtId="0" fontId="28" fillId="41" borderId="2" xfId="5" applyFont="1" applyFill="1" applyBorder="1" applyAlignment="1">
      <alignment horizontal="left" wrapText="1"/>
    </xf>
    <xf numFmtId="0" fontId="28" fillId="41" borderId="3" xfId="5" applyFont="1" applyFill="1" applyBorder="1" applyAlignment="1">
      <alignment horizontal="center" wrapText="1"/>
    </xf>
    <xf numFmtId="0" fontId="28" fillId="41" borderId="3" xfId="4" applyFont="1" applyFill="1" applyBorder="1"/>
    <xf numFmtId="0" fontId="28" fillId="41" borderId="4" xfId="5" applyFont="1" applyFill="1" applyBorder="1" applyAlignment="1">
      <alignment horizontal="center" wrapText="1"/>
    </xf>
    <xf numFmtId="0" fontId="28" fillId="41" borderId="1" xfId="4" applyFont="1" applyFill="1" applyBorder="1" applyAlignment="1">
      <alignment horizontal="center"/>
    </xf>
    <xf numFmtId="0" fontId="29" fillId="0" borderId="2" xfId="4" applyFont="1" applyFill="1" applyBorder="1" applyAlignment="1">
      <alignment horizontal="left" vertical="center"/>
    </xf>
    <xf numFmtId="164" fontId="26" fillId="0" borderId="3" xfId="6" applyNumberFormat="1" applyFont="1" applyFill="1" applyBorder="1" applyAlignment="1">
      <alignment horizontal="center" vertical="center"/>
    </xf>
    <xf numFmtId="164" fontId="26" fillId="0" borderId="3" xfId="6" applyNumberFormat="1" applyFont="1" applyBorder="1" applyAlignment="1">
      <alignment horizontal="center" vertical="center"/>
    </xf>
    <xf numFmtId="9" fontId="26" fillId="0" borderId="3" xfId="7" applyNumberFormat="1" applyFont="1" applyBorder="1" applyAlignment="1">
      <alignment horizontal="center" vertical="center"/>
    </xf>
    <xf numFmtId="164" fontId="26" fillId="0" borderId="3" xfId="4" applyNumberFormat="1" applyFont="1" applyBorder="1" applyAlignment="1">
      <alignment horizontal="center" vertical="center"/>
    </xf>
    <xf numFmtId="165" fontId="26" fillId="0" borderId="4" xfId="7" applyNumberFormat="1" applyFont="1" applyBorder="1" applyAlignment="1">
      <alignment horizontal="center" vertical="center"/>
    </xf>
    <xf numFmtId="0" fontId="29" fillId="0" borderId="1" xfId="4" applyFont="1" applyBorder="1" applyAlignment="1">
      <alignment horizontal="center" vertical="center" wrapText="1"/>
    </xf>
    <xf numFmtId="0" fontId="26" fillId="0" borderId="0" xfId="4" applyFont="1" applyAlignment="1">
      <alignment vertical="top"/>
    </xf>
    <xf numFmtId="0" fontId="27" fillId="0" borderId="0" xfId="5" applyFont="1" applyBorder="1"/>
    <xf numFmtId="0" fontId="28" fillId="41" borderId="5" xfId="4" applyFont="1" applyFill="1" applyBorder="1" applyAlignment="1"/>
    <xf numFmtId="0" fontId="28" fillId="41" borderId="6" xfId="4" applyFont="1" applyFill="1" applyBorder="1" applyAlignment="1">
      <alignment horizontal="center"/>
    </xf>
    <xf numFmtId="0" fontId="28" fillId="41" borderId="7" xfId="4" applyFont="1" applyFill="1" applyBorder="1" applyAlignment="1">
      <alignment horizontal="center"/>
    </xf>
    <xf numFmtId="0" fontId="28" fillId="41" borderId="8" xfId="4" applyFont="1" applyFill="1" applyBorder="1" applyAlignment="1">
      <alignment horizontal="center"/>
    </xf>
    <xf numFmtId="0" fontId="29" fillId="0" borderId="2" xfId="4" applyFont="1" applyBorder="1"/>
    <xf numFmtId="0" fontId="26" fillId="0" borderId="3" xfId="4" applyFont="1" applyBorder="1" applyAlignment="1">
      <alignment horizontal="center"/>
    </xf>
    <xf numFmtId="165" fontId="26" fillId="0" borderId="4" xfId="9" applyNumberFormat="1" applyFont="1" applyBorder="1" applyAlignment="1">
      <alignment horizontal="center"/>
    </xf>
    <xf numFmtId="0" fontId="27" fillId="0" borderId="0" xfId="4" applyFont="1" applyBorder="1" applyAlignment="1">
      <alignment horizontal="center"/>
    </xf>
    <xf numFmtId="0" fontId="29" fillId="0" borderId="5" xfId="4" applyFont="1" applyFill="1" applyBorder="1"/>
    <xf numFmtId="166" fontId="26" fillId="0" borderId="6" xfId="4" applyNumberFormat="1" applyFont="1" applyBorder="1" applyAlignment="1">
      <alignment horizontal="center"/>
    </xf>
    <xf numFmtId="166" fontId="26" fillId="0" borderId="9" xfId="4" applyNumberFormat="1" applyFont="1" applyBorder="1" applyAlignment="1">
      <alignment horizontal="center"/>
    </xf>
    <xf numFmtId="165" fontId="26" fillId="0" borderId="0" xfId="9" applyNumberFormat="1" applyFont="1" applyBorder="1" applyAlignment="1">
      <alignment horizontal="center"/>
    </xf>
    <xf numFmtId="0" fontId="26" fillId="0" borderId="10" xfId="4" applyFont="1" applyBorder="1"/>
    <xf numFmtId="166" fontId="26" fillId="0" borderId="11" xfId="4" applyNumberFormat="1" applyFont="1" applyBorder="1" applyAlignment="1">
      <alignment horizontal="center"/>
    </xf>
    <xf numFmtId="0" fontId="26" fillId="0" borderId="0" xfId="4" applyFont="1" applyBorder="1"/>
    <xf numFmtId="0" fontId="28" fillId="41" borderId="10" xfId="4" applyFont="1" applyFill="1" applyBorder="1"/>
    <xf numFmtId="6" fontId="28" fillId="41" borderId="11" xfId="4" applyNumberFormat="1" applyFont="1" applyFill="1" applyBorder="1" applyAlignment="1">
      <alignment horizontal="center"/>
    </xf>
    <xf numFmtId="166" fontId="28" fillId="41" borderId="11" xfId="4" applyNumberFormat="1" applyFont="1" applyFill="1" applyBorder="1" applyAlignment="1">
      <alignment horizontal="center"/>
    </xf>
    <xf numFmtId="166" fontId="28" fillId="41" borderId="1" xfId="4" applyNumberFormat="1" applyFont="1" applyFill="1" applyBorder="1" applyAlignment="1">
      <alignment horizontal="center"/>
    </xf>
    <xf numFmtId="0" fontId="28" fillId="41" borderId="5" xfId="4" applyFont="1" applyFill="1" applyBorder="1"/>
    <xf numFmtId="0" fontId="26" fillId="0" borderId="5" xfId="4" applyFont="1" applyBorder="1"/>
    <xf numFmtId="0" fontId="26" fillId="0" borderId="6" xfId="4" applyFont="1" applyBorder="1" applyAlignment="1">
      <alignment horizontal="center"/>
    </xf>
    <xf numFmtId="10" fontId="26" fillId="0" borderId="6" xfId="4" applyNumberFormat="1" applyFont="1" applyBorder="1" applyAlignment="1">
      <alignment horizontal="center"/>
    </xf>
    <xf numFmtId="166" fontId="26" fillId="0" borderId="6" xfId="4" applyNumberFormat="1" applyFont="1" applyFill="1" applyBorder="1" applyAlignment="1">
      <alignment horizontal="center"/>
    </xf>
    <xf numFmtId="9" fontId="26" fillId="0" borderId="6" xfId="4" applyNumberFormat="1" applyFont="1" applyBorder="1" applyAlignment="1">
      <alignment horizontal="center"/>
    </xf>
    <xf numFmtId="166" fontId="26" fillId="0" borderId="8" xfId="4" applyNumberFormat="1" applyFont="1" applyBorder="1" applyAlignment="1">
      <alignment horizontal="center"/>
    </xf>
    <xf numFmtId="0" fontId="26" fillId="0" borderId="22" xfId="4" applyFont="1" applyBorder="1"/>
    <xf numFmtId="10" fontId="26" fillId="0" borderId="0" xfId="4" applyNumberFormat="1" applyFont="1" applyBorder="1" applyAlignment="1">
      <alignment horizontal="center"/>
    </xf>
    <xf numFmtId="166" fontId="26" fillId="0" borderId="0" xfId="4" applyNumberFormat="1" applyFont="1" applyBorder="1" applyAlignment="1">
      <alignment horizontal="center"/>
    </xf>
    <xf numFmtId="165" fontId="26" fillId="0" borderId="0" xfId="4" applyNumberFormat="1" applyFont="1" applyBorder="1" applyAlignment="1">
      <alignment horizontal="center"/>
    </xf>
    <xf numFmtId="166" fontId="26" fillId="0" borderId="23" xfId="4" applyNumberFormat="1" applyFont="1" applyBorder="1" applyAlignment="1">
      <alignment horizontal="center"/>
    </xf>
    <xf numFmtId="37" fontId="28" fillId="41" borderId="11" xfId="4" applyNumberFormat="1" applyFont="1" applyFill="1" applyBorder="1" applyAlignment="1">
      <alignment horizontal="center"/>
    </xf>
    <xf numFmtId="9" fontId="28" fillId="41" borderId="11" xfId="10" applyFont="1" applyFill="1" applyBorder="1" applyAlignment="1">
      <alignment horizontal="center"/>
    </xf>
    <xf numFmtId="5" fontId="28" fillId="41" borderId="11" xfId="4" applyNumberFormat="1" applyFont="1" applyFill="1" applyBorder="1" applyAlignment="1">
      <alignment horizontal="center"/>
    </xf>
    <xf numFmtId="165" fontId="28" fillId="41" borderId="11" xfId="10" applyNumberFormat="1" applyFont="1" applyFill="1" applyBorder="1" applyAlignment="1">
      <alignment horizontal="center"/>
    </xf>
    <xf numFmtId="5" fontId="28" fillId="41" borderId="12" xfId="4" applyNumberFormat="1" applyFont="1" applyFill="1" applyBorder="1" applyAlignment="1">
      <alignment horizontal="center"/>
    </xf>
    <xf numFmtId="0" fontId="27" fillId="0" borderId="10" xfId="4" applyFont="1" applyFill="1" applyBorder="1"/>
    <xf numFmtId="37" fontId="27" fillId="0" borderId="11" xfId="4" applyNumberFormat="1" applyFont="1" applyFill="1" applyBorder="1" applyAlignment="1">
      <alignment horizontal="center"/>
    </xf>
    <xf numFmtId="9" fontId="27" fillId="0" borderId="0" xfId="10" applyFont="1" applyFill="1" applyBorder="1" applyAlignment="1">
      <alignment horizontal="center"/>
    </xf>
    <xf numFmtId="5" fontId="27" fillId="0" borderId="0" xfId="4" applyNumberFormat="1" applyFont="1" applyFill="1" applyBorder="1" applyAlignment="1">
      <alignment horizontal="center"/>
    </xf>
    <xf numFmtId="165" fontId="27" fillId="0" borderId="0" xfId="10" applyNumberFormat="1" applyFont="1" applyFill="1" applyBorder="1" applyAlignment="1">
      <alignment horizontal="center"/>
    </xf>
    <xf numFmtId="0" fontId="30" fillId="41" borderId="11" xfId="4" applyFont="1" applyFill="1" applyBorder="1" applyAlignment="1">
      <alignment horizontal="center"/>
    </xf>
    <xf numFmtId="0" fontId="26" fillId="0" borderId="22" xfId="4" applyNumberFormat="1" applyFont="1" applyBorder="1" applyAlignment="1">
      <alignment horizontal="center"/>
    </xf>
    <xf numFmtId="0" fontId="28" fillId="41" borderId="0" xfId="0" applyFont="1" applyFill="1"/>
    <xf numFmtId="0" fontId="28" fillId="41" borderId="0" xfId="4" applyFont="1" applyFill="1" applyAlignment="1">
      <alignment horizontal="center"/>
    </xf>
    <xf numFmtId="0" fontId="28" fillId="41" borderId="0" xfId="4" applyFont="1" applyFill="1"/>
    <xf numFmtId="164" fontId="28" fillId="41" borderId="0" xfId="1" applyNumberFormat="1" applyFont="1" applyFill="1" applyAlignment="1">
      <alignment horizontal="center"/>
    </xf>
    <xf numFmtId="44" fontId="26" fillId="0" borderId="0" xfId="4" applyNumberFormat="1" applyFont="1"/>
    <xf numFmtId="0" fontId="29" fillId="0" borderId="0" xfId="0" applyFont="1"/>
    <xf numFmtId="164" fontId="26" fillId="0" borderId="0" xfId="1" applyNumberFormat="1" applyFont="1"/>
    <xf numFmtId="0" fontId="29" fillId="0" borderId="0" xfId="0" applyFont="1" applyFill="1"/>
    <xf numFmtId="0" fontId="27" fillId="0" borderId="0" xfId="4" applyFont="1" applyFill="1"/>
    <xf numFmtId="164" fontId="27" fillId="0" borderId="0" xfId="1" applyNumberFormat="1" applyFont="1" applyFill="1"/>
    <xf numFmtId="0" fontId="28" fillId="41" borderId="0" xfId="0" applyFont="1" applyFill="1" applyAlignment="1">
      <alignment horizontal="center"/>
    </xf>
    <xf numFmtId="0" fontId="31" fillId="0" borderId="0" xfId="4" applyFont="1" applyAlignment="1">
      <alignment horizontal="right"/>
    </xf>
    <xf numFmtId="0" fontId="28" fillId="41" borderId="0" xfId="4" applyFont="1" applyFill="1" applyAlignment="1">
      <alignment horizontal="left"/>
    </xf>
    <xf numFmtId="0" fontId="28" fillId="41" borderId="0" xfId="4" applyFont="1" applyFill="1" applyBorder="1"/>
    <xf numFmtId="164" fontId="28" fillId="41" borderId="0" xfId="1" applyNumberFormat="1" applyFont="1" applyFill="1" applyBorder="1"/>
    <xf numFmtId="0" fontId="27" fillId="0" borderId="0" xfId="4" applyFont="1" applyAlignment="1">
      <alignment horizontal="left"/>
    </xf>
    <xf numFmtId="164" fontId="26" fillId="0" borderId="0" xfId="1" applyNumberFormat="1" applyFont="1" applyBorder="1"/>
    <xf numFmtId="164" fontId="28" fillId="41" borderId="0" xfId="1" applyNumberFormat="1" applyFont="1" applyFill="1"/>
    <xf numFmtId="0" fontId="27" fillId="0" borderId="0" xfId="0" applyFont="1" applyBorder="1" applyAlignment="1">
      <alignment horizontal="center" vertical="center" wrapText="1"/>
    </xf>
    <xf numFmtId="44" fontId="0" fillId="0" borderId="0" xfId="1" applyFont="1" applyAlignment="1">
      <alignment horizontal="center"/>
    </xf>
    <xf numFmtId="0" fontId="17" fillId="41" borderId="1" xfId="0" applyFont="1" applyFill="1" applyBorder="1" applyAlignment="1">
      <alignment horizontal="center"/>
    </xf>
    <xf numFmtId="44" fontId="17" fillId="41" borderId="1" xfId="1" applyFont="1" applyFill="1" applyBorder="1" applyAlignment="1">
      <alignment horizontal="center"/>
    </xf>
    <xf numFmtId="164" fontId="0" fillId="0" borderId="1" xfId="1" applyNumberFormat="1" applyFont="1" applyBorder="1" applyAlignment="1">
      <alignment horizontal="center"/>
    </xf>
    <xf numFmtId="9" fontId="0" fillId="0" borderId="1" xfId="2" applyFont="1" applyBorder="1" applyAlignment="1">
      <alignment horizontal="center"/>
    </xf>
    <xf numFmtId="164" fontId="17" fillId="41" borderId="1" xfId="1" applyNumberFormat="1" applyFont="1" applyFill="1" applyBorder="1" applyAlignment="1">
      <alignment horizontal="center"/>
    </xf>
    <xf numFmtId="9" fontId="17" fillId="41" borderId="1" xfId="2" applyFont="1" applyFill="1" applyBorder="1" applyAlignment="1">
      <alignment horizontal="center"/>
    </xf>
    <xf numFmtId="0" fontId="0" fillId="0" borderId="0" xfId="0" applyFont="1" applyAlignment="1">
      <alignment horizontal="center"/>
    </xf>
    <xf numFmtId="0" fontId="0" fillId="0" borderId="0" xfId="0" applyFont="1"/>
    <xf numFmtId="49" fontId="35" fillId="42" borderId="1" xfId="0" applyNumberFormat="1" applyFont="1" applyFill="1" applyBorder="1" applyAlignment="1">
      <alignment horizontal="left"/>
    </xf>
    <xf numFmtId="0" fontId="0" fillId="0" borderId="1" xfId="0" applyFont="1" applyBorder="1" applyAlignment="1">
      <alignment horizontal="center"/>
    </xf>
    <xf numFmtId="164" fontId="0" fillId="0" borderId="1" xfId="0" applyNumberFormat="1" applyFont="1" applyBorder="1" applyAlignment="1">
      <alignment horizontal="center"/>
    </xf>
    <xf numFmtId="49" fontId="35" fillId="43" borderId="1" xfId="0" applyNumberFormat="1" applyFont="1" applyFill="1" applyBorder="1" applyAlignment="1">
      <alignment horizontal="left"/>
    </xf>
    <xf numFmtId="0" fontId="26" fillId="0" borderId="0" xfId="4" applyFont="1" applyBorder="1" applyAlignment="1">
      <alignment horizontal="center"/>
    </xf>
    <xf numFmtId="0" fontId="26" fillId="0" borderId="1" xfId="4" applyFont="1" applyBorder="1" applyAlignment="1">
      <alignment horizontal="center"/>
    </xf>
    <xf numFmtId="14" fontId="27" fillId="0" borderId="0" xfId="4" applyNumberFormat="1" applyFont="1" applyFill="1" applyAlignment="1">
      <alignment horizontal="center"/>
    </xf>
    <xf numFmtId="0" fontId="29" fillId="0" borderId="0" xfId="0" applyFont="1" applyBorder="1" applyAlignment="1">
      <alignment horizontal="center" wrapText="1"/>
    </xf>
    <xf numFmtId="0" fontId="29" fillId="0" borderId="0" xfId="0" applyFont="1" applyBorder="1" applyAlignment="1">
      <alignment horizontal="center" vertical="center" wrapText="1"/>
    </xf>
    <xf numFmtId="44" fontId="34" fillId="0" borderId="0" xfId="1" applyFont="1" applyBorder="1" applyAlignment="1">
      <alignment horizontal="center" wrapText="1"/>
    </xf>
    <xf numFmtId="44" fontId="29" fillId="0" borderId="0" xfId="1" applyFont="1" applyBorder="1" applyAlignment="1">
      <alignment horizontal="center" wrapText="1"/>
    </xf>
    <xf numFmtId="44" fontId="34" fillId="40" borderId="1" xfId="1" applyFont="1" applyFill="1" applyBorder="1" applyAlignment="1">
      <alignment horizontal="center" vertical="center" wrapText="1"/>
    </xf>
    <xf numFmtId="0" fontId="29" fillId="0" borderId="1" xfId="0" applyFont="1" applyBorder="1" applyAlignment="1">
      <alignment horizontal="center"/>
    </xf>
    <xf numFmtId="0" fontId="32" fillId="3" borderId="1" xfId="0" applyFont="1" applyFill="1" applyBorder="1" applyAlignment="1">
      <alignment horizontal="center" vertical="center" wrapText="1"/>
    </xf>
    <xf numFmtId="0" fontId="32" fillId="4" borderId="1" xfId="0" applyFont="1" applyFill="1" applyBorder="1" applyAlignment="1">
      <alignment horizontal="center" vertical="center" wrapText="1"/>
    </xf>
    <xf numFmtId="44" fontId="32" fillId="4" borderId="1" xfId="1" applyFont="1" applyFill="1" applyBorder="1" applyAlignment="1">
      <alignment horizontal="center" vertical="center" wrapText="1"/>
    </xf>
    <xf numFmtId="0" fontId="32" fillId="2"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44" fontId="27" fillId="4" borderId="1" xfId="1" applyFont="1" applyFill="1" applyBorder="1" applyAlignment="1">
      <alignment horizontal="center" vertical="center" wrapText="1"/>
    </xf>
    <xf numFmtId="44" fontId="27" fillId="5" borderId="1" xfId="1" applyFont="1" applyFill="1" applyBorder="1" applyAlignment="1">
      <alignment horizontal="center" vertical="center" wrapText="1"/>
    </xf>
    <xf numFmtId="9" fontId="27" fillId="5" borderId="1" xfId="2" applyFont="1" applyFill="1" applyBorder="1" applyAlignment="1">
      <alignment horizontal="center" vertical="center" wrapText="1"/>
    </xf>
    <xf numFmtId="0" fontId="27" fillId="5" borderId="1" xfId="0" applyFont="1" applyFill="1" applyBorder="1" applyAlignment="1">
      <alignment horizontal="center" vertical="center" wrapText="1"/>
    </xf>
    <xf numFmtId="44" fontId="27" fillId="2" borderId="1" xfId="1" applyFont="1" applyFill="1" applyBorder="1" applyAlignment="1">
      <alignment horizontal="center" vertical="center" wrapText="1"/>
    </xf>
    <xf numFmtId="0" fontId="27" fillId="2" borderId="1"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8" borderId="1" xfId="0" applyFont="1" applyFill="1" applyBorder="1" applyAlignment="1">
      <alignment horizontal="center" vertical="center" wrapText="1"/>
    </xf>
    <xf numFmtId="44" fontId="26" fillId="0" borderId="1" xfId="1" applyFont="1" applyBorder="1" applyAlignment="1">
      <alignment horizontal="center"/>
    </xf>
    <xf numFmtId="0" fontId="26" fillId="0" borderId="1" xfId="0" applyFont="1" applyBorder="1" applyAlignment="1">
      <alignment horizontal="center"/>
    </xf>
    <xf numFmtId="9" fontId="26" fillId="0" borderId="1" xfId="2" applyFont="1" applyBorder="1" applyAlignment="1">
      <alignment horizontal="center"/>
    </xf>
    <xf numFmtId="0" fontId="26" fillId="0" borderId="1" xfId="0" applyFont="1" applyFill="1" applyBorder="1" applyAlignment="1">
      <alignment horizontal="center"/>
    </xf>
    <xf numFmtId="0" fontId="29" fillId="0" borderId="0" xfId="0" applyFont="1" applyAlignment="1">
      <alignment wrapText="1"/>
    </xf>
    <xf numFmtId="0" fontId="29" fillId="0" borderId="0" xfId="0" applyFont="1" applyBorder="1" applyAlignment="1">
      <alignment horizontal="center"/>
    </xf>
    <xf numFmtId="44" fontId="29" fillId="0" borderId="0" xfId="1" applyFont="1" applyBorder="1" applyAlignment="1">
      <alignment horizontal="center"/>
    </xf>
    <xf numFmtId="0" fontId="29" fillId="0" borderId="0" xfId="0" applyFont="1" applyBorder="1" applyAlignment="1">
      <alignment horizontal="left" wrapText="1"/>
    </xf>
    <xf numFmtId="0" fontId="33" fillId="0" borderId="0" xfId="58" applyFont="1" applyBorder="1" applyAlignment="1">
      <alignment horizontal="left" wrapText="1"/>
    </xf>
    <xf numFmtId="0" fontId="33" fillId="0" borderId="0" xfId="58" applyFont="1" applyBorder="1" applyAlignment="1">
      <alignment horizontal="center" wrapText="1"/>
    </xf>
    <xf numFmtId="44" fontId="33" fillId="0" borderId="0" xfId="1" applyFont="1" applyBorder="1" applyAlignment="1">
      <alignment horizontal="center" wrapText="1"/>
    </xf>
    <xf numFmtId="44" fontId="29" fillId="0" borderId="1" xfId="1" applyFont="1" applyBorder="1" applyAlignment="1">
      <alignment horizontal="center"/>
    </xf>
    <xf numFmtId="0" fontId="0" fillId="0" borderId="0" xfId="0" applyAlignment="1">
      <alignment horizontal="center" vertical="center" wrapText="1"/>
    </xf>
    <xf numFmtId="0" fontId="29" fillId="8" borderId="2" xfId="0" applyFont="1" applyFill="1" applyBorder="1" applyAlignment="1">
      <alignment horizontal="center" vertical="center" wrapText="1"/>
    </xf>
    <xf numFmtId="0" fontId="29" fillId="0" borderId="1" xfId="0" applyFont="1" applyBorder="1" applyAlignment="1">
      <alignment horizontal="left"/>
    </xf>
    <xf numFmtId="0" fontId="0" fillId="0" borderId="1" xfId="0" applyBorder="1" applyAlignment="1">
      <alignment horizontal="left"/>
    </xf>
    <xf numFmtId="0" fontId="37" fillId="0" borderId="1" xfId="0" applyFont="1" applyBorder="1" applyAlignment="1">
      <alignment horizontal="left"/>
    </xf>
    <xf numFmtId="14" fontId="37" fillId="0" borderId="1" xfId="3" applyNumberFormat="1" applyFont="1" applyBorder="1" applyAlignment="1">
      <alignment horizontal="left"/>
    </xf>
    <xf numFmtId="0" fontId="37" fillId="0" borderId="1" xfId="3" applyFont="1" applyBorder="1" applyAlignment="1">
      <alignment horizontal="left"/>
    </xf>
    <xf numFmtId="0" fontId="37" fillId="0" borderId="1" xfId="3" applyFont="1" applyBorder="1" applyAlignment="1">
      <alignment horizontal="center"/>
    </xf>
    <xf numFmtId="3" fontId="37" fillId="0" borderId="1" xfId="3" applyNumberFormat="1" applyFont="1" applyBorder="1" applyAlignment="1">
      <alignment horizontal="left"/>
    </xf>
    <xf numFmtId="44" fontId="37" fillId="0" borderId="1" xfId="1" applyFont="1" applyBorder="1" applyAlignment="1">
      <alignment horizontal="left"/>
    </xf>
    <xf numFmtId="0" fontId="29" fillId="0" borderId="0" xfId="0" applyFont="1" applyFill="1" applyBorder="1" applyAlignment="1">
      <alignment wrapText="1"/>
    </xf>
    <xf numFmtId="0" fontId="29" fillId="0" borderId="0" xfId="0" applyFont="1" applyFill="1" applyBorder="1" applyAlignment="1">
      <alignment horizontal="left"/>
    </xf>
    <xf numFmtId="0" fontId="29" fillId="0" borderId="0" xfId="0" applyFont="1" applyFill="1" applyBorder="1"/>
    <xf numFmtId="44" fontId="29" fillId="0" borderId="0" xfId="1" applyFont="1" applyFill="1" applyBorder="1"/>
    <xf numFmtId="0" fontId="29" fillId="0" borderId="1" xfId="0" applyFont="1" applyFill="1" applyBorder="1" applyAlignment="1">
      <alignment wrapText="1"/>
    </xf>
    <xf numFmtId="0" fontId="29" fillId="0" borderId="1" xfId="0" applyFont="1" applyFill="1" applyBorder="1" applyAlignment="1">
      <alignment horizontal="left"/>
    </xf>
    <xf numFmtId="0" fontId="29" fillId="6" borderId="1" xfId="0" applyFont="1" applyFill="1" applyBorder="1" applyAlignment="1">
      <alignment horizontal="left"/>
    </xf>
  </cellXfs>
  <cellStyles count="62">
    <cellStyle name="20% - Accent1" xfId="30" builtinId="30" customBuiltin="1"/>
    <cellStyle name="20% - Accent2" xfId="34" builtinId="34" customBuiltin="1"/>
    <cellStyle name="20% - Accent3" xfId="38" builtinId="38" customBuiltin="1"/>
    <cellStyle name="20% - Accent4" xfId="42" builtinId="42" customBuiltin="1"/>
    <cellStyle name="20% - Accent5" xfId="46" builtinId="46" customBuiltin="1"/>
    <cellStyle name="20% - Accent6" xfId="50" builtinId="50" customBuiltin="1"/>
    <cellStyle name="40% - Accent1" xfId="31" builtinId="31" customBuiltin="1"/>
    <cellStyle name="40% - Accent2" xfId="35" builtinId="35" customBuiltin="1"/>
    <cellStyle name="40% - Accent3" xfId="39" builtinId="39" customBuiltin="1"/>
    <cellStyle name="40% - Accent4" xfId="43" builtinId="43" customBuiltin="1"/>
    <cellStyle name="40% - Accent5" xfId="47" builtinId="47" customBuiltin="1"/>
    <cellStyle name="40% - Accent6" xfId="51" builtinId="51" customBuiltin="1"/>
    <cellStyle name="60% - Accent1" xfId="32" builtinId="32" customBuiltin="1"/>
    <cellStyle name="60% - Accent2" xfId="36" builtinId="36" customBuiltin="1"/>
    <cellStyle name="60% - Accent3" xfId="40" builtinId="40" customBuiltin="1"/>
    <cellStyle name="60% - Accent4" xfId="44" builtinId="44" customBuiltin="1"/>
    <cellStyle name="60% - Accent5" xfId="48" builtinId="48" customBuiltin="1"/>
    <cellStyle name="60% - Accent6" xfId="52" builtinId="52" customBuiltin="1"/>
    <cellStyle name="Accent1" xfId="29" builtinId="29" customBuiltin="1"/>
    <cellStyle name="Accent2" xfId="33" builtinId="33" customBuiltin="1"/>
    <cellStyle name="Accent3" xfId="37" builtinId="37" customBuiltin="1"/>
    <cellStyle name="Accent4" xfId="41" builtinId="41" customBuiltin="1"/>
    <cellStyle name="Accent5" xfId="45" builtinId="45" customBuiltin="1"/>
    <cellStyle name="Accent6" xfId="49" builtinId="49" customBuiltin="1"/>
    <cellStyle name="Bad" xfId="18" builtinId="27" customBuiltin="1"/>
    <cellStyle name="Calculation" xfId="22" builtinId="22" customBuiltin="1"/>
    <cellStyle name="Calculation 2" xfId="61" xr:uid="{00000000-0005-0000-0000-00001A000000}"/>
    <cellStyle name="Check Cell" xfId="24" builtinId="23" customBuiltin="1"/>
    <cellStyle name="Comma 2 2" xfId="8" xr:uid="{00000000-0005-0000-0000-00001C000000}"/>
    <cellStyle name="Currency" xfId="1" builtinId="4"/>
    <cellStyle name="Currency 2" xfId="57" xr:uid="{00000000-0005-0000-0000-00001E000000}"/>
    <cellStyle name="Currency 3 2" xfId="6" xr:uid="{00000000-0005-0000-0000-00001F000000}"/>
    <cellStyle name="Explanatory Text" xfId="27"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Input" xfId="20" builtinId="20" customBuiltin="1"/>
    <cellStyle name="Linked Cell" xfId="23" builtinId="24" customBuiltin="1"/>
    <cellStyle name="Neutral" xfId="19" builtinId="28" customBuiltin="1"/>
    <cellStyle name="Normal" xfId="0" builtinId="0"/>
    <cellStyle name="Normal 2" xfId="3" xr:uid="{00000000-0005-0000-0000-00002A000000}"/>
    <cellStyle name="Normal 2 2" xfId="53" xr:uid="{00000000-0005-0000-0000-00002B000000}"/>
    <cellStyle name="Normal 2 2 6" xfId="5" xr:uid="{00000000-0005-0000-0000-00002C000000}"/>
    <cellStyle name="Normal 2 3" xfId="56" xr:uid="{00000000-0005-0000-0000-00002D000000}"/>
    <cellStyle name="Normal 2 4" xfId="59" xr:uid="{00000000-0005-0000-0000-00002E000000}"/>
    <cellStyle name="Normal 3" xfId="11" xr:uid="{00000000-0005-0000-0000-00002F000000}"/>
    <cellStyle name="Normal 3 2" xfId="55" xr:uid="{00000000-0005-0000-0000-000030000000}"/>
    <cellStyle name="Normal 3 2 6" xfId="4" xr:uid="{00000000-0005-0000-0000-000031000000}"/>
    <cellStyle name="Normal 4" xfId="54" xr:uid="{00000000-0005-0000-0000-000032000000}"/>
    <cellStyle name="Normal 5" xfId="58" xr:uid="{00000000-0005-0000-0000-000033000000}"/>
    <cellStyle name="Normal 7" xfId="60" xr:uid="{00000000-0005-0000-0000-000034000000}"/>
    <cellStyle name="Note" xfId="26" builtinId="10" customBuiltin="1"/>
    <cellStyle name="Output" xfId="21" builtinId="21" customBuiltin="1"/>
    <cellStyle name="Percent" xfId="2" builtinId="5"/>
    <cellStyle name="Percent 14" xfId="10" xr:uid="{00000000-0005-0000-0000-000038000000}"/>
    <cellStyle name="Percent 3 5" xfId="9" xr:uid="{00000000-0005-0000-0000-000039000000}"/>
    <cellStyle name="Percent 4 2" xfId="7" xr:uid="{00000000-0005-0000-0000-00003A000000}"/>
    <cellStyle name="Title" xfId="12" builtinId="15" customBuiltin="1"/>
    <cellStyle name="Total" xfId="28" builtinId="25" customBuiltin="1"/>
    <cellStyle name="Warning Text" xfId="25" builtinId="11" customBuiltin="1"/>
  </cellStyles>
  <dxfs count="8">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showGridLines="0" tabSelected="1" workbookViewId="0">
      <selection activeCell="C3" sqref="C3"/>
    </sheetView>
  </sheetViews>
  <sheetFormatPr defaultColWidth="9.140625" defaultRowHeight="12" x14ac:dyDescent="0.2"/>
  <cols>
    <col min="1" max="1" width="38.42578125" style="6" customWidth="1"/>
    <col min="2" max="2" width="10.28515625" style="6" customWidth="1"/>
    <col min="3" max="3" width="11.28515625" style="6" customWidth="1"/>
    <col min="4" max="4" width="10.140625" style="6" customWidth="1"/>
    <col min="5" max="5" width="10.42578125" style="6" customWidth="1"/>
    <col min="6" max="6" width="10.28515625" style="6" customWidth="1"/>
    <col min="7" max="7" width="10.7109375" style="6" customWidth="1"/>
    <col min="8" max="8" width="14.140625" style="6" bestFit="1" customWidth="1"/>
    <col min="9" max="9" width="8.85546875" style="6" customWidth="1"/>
    <col min="10" max="256" width="9.140625" style="6"/>
    <col min="257" max="257" width="29.85546875" style="6" customWidth="1"/>
    <col min="258" max="258" width="12.42578125" style="6" customWidth="1"/>
    <col min="259" max="259" width="15.140625" style="6" customWidth="1"/>
    <col min="260" max="260" width="14.28515625" style="6" customWidth="1"/>
    <col min="261" max="261" width="11.140625" style="6" customWidth="1"/>
    <col min="262" max="262" width="11.28515625" style="6" customWidth="1"/>
    <col min="263" max="263" width="13.42578125" style="6" customWidth="1"/>
    <col min="264" max="264" width="10.85546875" style="6" customWidth="1"/>
    <col min="265" max="265" width="11.28515625" style="6" customWidth="1"/>
    <col min="266" max="512" width="9.140625" style="6"/>
    <col min="513" max="513" width="29.85546875" style="6" customWidth="1"/>
    <col min="514" max="514" width="12.42578125" style="6" customWidth="1"/>
    <col min="515" max="515" width="15.140625" style="6" customWidth="1"/>
    <col min="516" max="516" width="14.28515625" style="6" customWidth="1"/>
    <col min="517" max="517" width="11.140625" style="6" customWidth="1"/>
    <col min="518" max="518" width="11.28515625" style="6" customWidth="1"/>
    <col min="519" max="519" width="13.42578125" style="6" customWidth="1"/>
    <col min="520" max="520" width="10.85546875" style="6" customWidth="1"/>
    <col min="521" max="521" width="11.28515625" style="6" customWidth="1"/>
    <col min="522" max="768" width="9.140625" style="6"/>
    <col min="769" max="769" width="29.85546875" style="6" customWidth="1"/>
    <col min="770" max="770" width="12.42578125" style="6" customWidth="1"/>
    <col min="771" max="771" width="15.140625" style="6" customWidth="1"/>
    <col min="772" max="772" width="14.28515625" style="6" customWidth="1"/>
    <col min="773" max="773" width="11.140625" style="6" customWidth="1"/>
    <col min="774" max="774" width="11.28515625" style="6" customWidth="1"/>
    <col min="775" max="775" width="13.42578125" style="6" customWidth="1"/>
    <col min="776" max="776" width="10.85546875" style="6" customWidth="1"/>
    <col min="777" max="777" width="11.28515625" style="6" customWidth="1"/>
    <col min="778" max="1024" width="9.140625" style="6"/>
    <col min="1025" max="1025" width="29.85546875" style="6" customWidth="1"/>
    <col min="1026" max="1026" width="12.42578125" style="6" customWidth="1"/>
    <col min="1027" max="1027" width="15.140625" style="6" customWidth="1"/>
    <col min="1028" max="1028" width="14.28515625" style="6" customWidth="1"/>
    <col min="1029" max="1029" width="11.140625" style="6" customWidth="1"/>
    <col min="1030" max="1030" width="11.28515625" style="6" customWidth="1"/>
    <col min="1031" max="1031" width="13.42578125" style="6" customWidth="1"/>
    <col min="1032" max="1032" width="10.85546875" style="6" customWidth="1"/>
    <col min="1033" max="1033" width="11.28515625" style="6" customWidth="1"/>
    <col min="1034" max="1280" width="9.140625" style="6"/>
    <col min="1281" max="1281" width="29.85546875" style="6" customWidth="1"/>
    <col min="1282" max="1282" width="12.42578125" style="6" customWidth="1"/>
    <col min="1283" max="1283" width="15.140625" style="6" customWidth="1"/>
    <col min="1284" max="1284" width="14.28515625" style="6" customWidth="1"/>
    <col min="1285" max="1285" width="11.140625" style="6" customWidth="1"/>
    <col min="1286" max="1286" width="11.28515625" style="6" customWidth="1"/>
    <col min="1287" max="1287" width="13.42578125" style="6" customWidth="1"/>
    <col min="1288" max="1288" width="10.85546875" style="6" customWidth="1"/>
    <col min="1289" max="1289" width="11.28515625" style="6" customWidth="1"/>
    <col min="1290" max="1536" width="9.140625" style="6"/>
    <col min="1537" max="1537" width="29.85546875" style="6" customWidth="1"/>
    <col min="1538" max="1538" width="12.42578125" style="6" customWidth="1"/>
    <col min="1539" max="1539" width="15.140625" style="6" customWidth="1"/>
    <col min="1540" max="1540" width="14.28515625" style="6" customWidth="1"/>
    <col min="1541" max="1541" width="11.140625" style="6" customWidth="1"/>
    <col min="1542" max="1542" width="11.28515625" style="6" customWidth="1"/>
    <col min="1543" max="1543" width="13.42578125" style="6" customWidth="1"/>
    <col min="1544" max="1544" width="10.85546875" style="6" customWidth="1"/>
    <col min="1545" max="1545" width="11.28515625" style="6" customWidth="1"/>
    <col min="1546" max="1792" width="9.140625" style="6"/>
    <col min="1793" max="1793" width="29.85546875" style="6" customWidth="1"/>
    <col min="1794" max="1794" width="12.42578125" style="6" customWidth="1"/>
    <col min="1795" max="1795" width="15.140625" style="6" customWidth="1"/>
    <col min="1796" max="1796" width="14.28515625" style="6" customWidth="1"/>
    <col min="1797" max="1797" width="11.140625" style="6" customWidth="1"/>
    <col min="1798" max="1798" width="11.28515625" style="6" customWidth="1"/>
    <col min="1799" max="1799" width="13.42578125" style="6" customWidth="1"/>
    <col min="1800" max="1800" width="10.85546875" style="6" customWidth="1"/>
    <col min="1801" max="1801" width="11.28515625" style="6" customWidth="1"/>
    <col min="1802" max="2048" width="9.140625" style="6"/>
    <col min="2049" max="2049" width="29.85546875" style="6" customWidth="1"/>
    <col min="2050" max="2050" width="12.42578125" style="6" customWidth="1"/>
    <col min="2051" max="2051" width="15.140625" style="6" customWidth="1"/>
    <col min="2052" max="2052" width="14.28515625" style="6" customWidth="1"/>
    <col min="2053" max="2053" width="11.140625" style="6" customWidth="1"/>
    <col min="2054" max="2054" width="11.28515625" style="6" customWidth="1"/>
    <col min="2055" max="2055" width="13.42578125" style="6" customWidth="1"/>
    <col min="2056" max="2056" width="10.85546875" style="6" customWidth="1"/>
    <col min="2057" max="2057" width="11.28515625" style="6" customWidth="1"/>
    <col min="2058" max="2304" width="9.140625" style="6"/>
    <col min="2305" max="2305" width="29.85546875" style="6" customWidth="1"/>
    <col min="2306" max="2306" width="12.42578125" style="6" customWidth="1"/>
    <col min="2307" max="2307" width="15.140625" style="6" customWidth="1"/>
    <col min="2308" max="2308" width="14.28515625" style="6" customWidth="1"/>
    <col min="2309" max="2309" width="11.140625" style="6" customWidth="1"/>
    <col min="2310" max="2310" width="11.28515625" style="6" customWidth="1"/>
    <col min="2311" max="2311" width="13.42578125" style="6" customWidth="1"/>
    <col min="2312" max="2312" width="10.85546875" style="6" customWidth="1"/>
    <col min="2313" max="2313" width="11.28515625" style="6" customWidth="1"/>
    <col min="2314" max="2560" width="9.140625" style="6"/>
    <col min="2561" max="2561" width="29.85546875" style="6" customWidth="1"/>
    <col min="2562" max="2562" width="12.42578125" style="6" customWidth="1"/>
    <col min="2563" max="2563" width="15.140625" style="6" customWidth="1"/>
    <col min="2564" max="2564" width="14.28515625" style="6" customWidth="1"/>
    <col min="2565" max="2565" width="11.140625" style="6" customWidth="1"/>
    <col min="2566" max="2566" width="11.28515625" style="6" customWidth="1"/>
    <col min="2567" max="2567" width="13.42578125" style="6" customWidth="1"/>
    <col min="2568" max="2568" width="10.85546875" style="6" customWidth="1"/>
    <col min="2569" max="2569" width="11.28515625" style="6" customWidth="1"/>
    <col min="2570" max="2816" width="9.140625" style="6"/>
    <col min="2817" max="2817" width="29.85546875" style="6" customWidth="1"/>
    <col min="2818" max="2818" width="12.42578125" style="6" customWidth="1"/>
    <col min="2819" max="2819" width="15.140625" style="6" customWidth="1"/>
    <col min="2820" max="2820" width="14.28515625" style="6" customWidth="1"/>
    <col min="2821" max="2821" width="11.140625" style="6" customWidth="1"/>
    <col min="2822" max="2822" width="11.28515625" style="6" customWidth="1"/>
    <col min="2823" max="2823" width="13.42578125" style="6" customWidth="1"/>
    <col min="2824" max="2824" width="10.85546875" style="6" customWidth="1"/>
    <col min="2825" max="2825" width="11.28515625" style="6" customWidth="1"/>
    <col min="2826" max="3072" width="9.140625" style="6"/>
    <col min="3073" max="3073" width="29.85546875" style="6" customWidth="1"/>
    <col min="3074" max="3074" width="12.42578125" style="6" customWidth="1"/>
    <col min="3075" max="3075" width="15.140625" style="6" customWidth="1"/>
    <col min="3076" max="3076" width="14.28515625" style="6" customWidth="1"/>
    <col min="3077" max="3077" width="11.140625" style="6" customWidth="1"/>
    <col min="3078" max="3078" width="11.28515625" style="6" customWidth="1"/>
    <col min="3079" max="3079" width="13.42578125" style="6" customWidth="1"/>
    <col min="3080" max="3080" width="10.85546875" style="6" customWidth="1"/>
    <col min="3081" max="3081" width="11.28515625" style="6" customWidth="1"/>
    <col min="3082" max="3328" width="9.140625" style="6"/>
    <col min="3329" max="3329" width="29.85546875" style="6" customWidth="1"/>
    <col min="3330" max="3330" width="12.42578125" style="6" customWidth="1"/>
    <col min="3331" max="3331" width="15.140625" style="6" customWidth="1"/>
    <col min="3332" max="3332" width="14.28515625" style="6" customWidth="1"/>
    <col min="3333" max="3333" width="11.140625" style="6" customWidth="1"/>
    <col min="3334" max="3334" width="11.28515625" style="6" customWidth="1"/>
    <col min="3335" max="3335" width="13.42578125" style="6" customWidth="1"/>
    <col min="3336" max="3336" width="10.85546875" style="6" customWidth="1"/>
    <col min="3337" max="3337" width="11.28515625" style="6" customWidth="1"/>
    <col min="3338" max="3584" width="9.140625" style="6"/>
    <col min="3585" max="3585" width="29.85546875" style="6" customWidth="1"/>
    <col min="3586" max="3586" width="12.42578125" style="6" customWidth="1"/>
    <col min="3587" max="3587" width="15.140625" style="6" customWidth="1"/>
    <col min="3588" max="3588" width="14.28515625" style="6" customWidth="1"/>
    <col min="3589" max="3589" width="11.140625" style="6" customWidth="1"/>
    <col min="3590" max="3590" width="11.28515625" style="6" customWidth="1"/>
    <col min="3591" max="3591" width="13.42578125" style="6" customWidth="1"/>
    <col min="3592" max="3592" width="10.85546875" style="6" customWidth="1"/>
    <col min="3593" max="3593" width="11.28515625" style="6" customWidth="1"/>
    <col min="3594" max="3840" width="9.140625" style="6"/>
    <col min="3841" max="3841" width="29.85546875" style="6" customWidth="1"/>
    <col min="3842" max="3842" width="12.42578125" style="6" customWidth="1"/>
    <col min="3843" max="3843" width="15.140625" style="6" customWidth="1"/>
    <col min="3844" max="3844" width="14.28515625" style="6" customWidth="1"/>
    <col min="3845" max="3845" width="11.140625" style="6" customWidth="1"/>
    <col min="3846" max="3846" width="11.28515625" style="6" customWidth="1"/>
    <col min="3847" max="3847" width="13.42578125" style="6" customWidth="1"/>
    <col min="3848" max="3848" width="10.85546875" style="6" customWidth="1"/>
    <col min="3849" max="3849" width="11.28515625" style="6" customWidth="1"/>
    <col min="3850" max="4096" width="9.140625" style="6"/>
    <col min="4097" max="4097" width="29.85546875" style="6" customWidth="1"/>
    <col min="4098" max="4098" width="12.42578125" style="6" customWidth="1"/>
    <col min="4099" max="4099" width="15.140625" style="6" customWidth="1"/>
    <col min="4100" max="4100" width="14.28515625" style="6" customWidth="1"/>
    <col min="4101" max="4101" width="11.140625" style="6" customWidth="1"/>
    <col min="4102" max="4102" width="11.28515625" style="6" customWidth="1"/>
    <col min="4103" max="4103" width="13.42578125" style="6" customWidth="1"/>
    <col min="4104" max="4104" width="10.85546875" style="6" customWidth="1"/>
    <col min="4105" max="4105" width="11.28515625" style="6" customWidth="1"/>
    <col min="4106" max="4352" width="9.140625" style="6"/>
    <col min="4353" max="4353" width="29.85546875" style="6" customWidth="1"/>
    <col min="4354" max="4354" width="12.42578125" style="6" customWidth="1"/>
    <col min="4355" max="4355" width="15.140625" style="6" customWidth="1"/>
    <col min="4356" max="4356" width="14.28515625" style="6" customWidth="1"/>
    <col min="4357" max="4357" width="11.140625" style="6" customWidth="1"/>
    <col min="4358" max="4358" width="11.28515625" style="6" customWidth="1"/>
    <col min="4359" max="4359" width="13.42578125" style="6" customWidth="1"/>
    <col min="4360" max="4360" width="10.85546875" style="6" customWidth="1"/>
    <col min="4361" max="4361" width="11.28515625" style="6" customWidth="1"/>
    <col min="4362" max="4608" width="9.140625" style="6"/>
    <col min="4609" max="4609" width="29.85546875" style="6" customWidth="1"/>
    <col min="4610" max="4610" width="12.42578125" style="6" customWidth="1"/>
    <col min="4611" max="4611" width="15.140625" style="6" customWidth="1"/>
    <col min="4612" max="4612" width="14.28515625" style="6" customWidth="1"/>
    <col min="4613" max="4613" width="11.140625" style="6" customWidth="1"/>
    <col min="4614" max="4614" width="11.28515625" style="6" customWidth="1"/>
    <col min="4615" max="4615" width="13.42578125" style="6" customWidth="1"/>
    <col min="4616" max="4616" width="10.85546875" style="6" customWidth="1"/>
    <col min="4617" max="4617" width="11.28515625" style="6" customWidth="1"/>
    <col min="4618" max="4864" width="9.140625" style="6"/>
    <col min="4865" max="4865" width="29.85546875" style="6" customWidth="1"/>
    <col min="4866" max="4866" width="12.42578125" style="6" customWidth="1"/>
    <col min="4867" max="4867" width="15.140625" style="6" customWidth="1"/>
    <col min="4868" max="4868" width="14.28515625" style="6" customWidth="1"/>
    <col min="4869" max="4869" width="11.140625" style="6" customWidth="1"/>
    <col min="4870" max="4870" width="11.28515625" style="6" customWidth="1"/>
    <col min="4871" max="4871" width="13.42578125" style="6" customWidth="1"/>
    <col min="4872" max="4872" width="10.85546875" style="6" customWidth="1"/>
    <col min="4873" max="4873" width="11.28515625" style="6" customWidth="1"/>
    <col min="4874" max="5120" width="9.140625" style="6"/>
    <col min="5121" max="5121" width="29.85546875" style="6" customWidth="1"/>
    <col min="5122" max="5122" width="12.42578125" style="6" customWidth="1"/>
    <col min="5123" max="5123" width="15.140625" style="6" customWidth="1"/>
    <col min="5124" max="5124" width="14.28515625" style="6" customWidth="1"/>
    <col min="5125" max="5125" width="11.140625" style="6" customWidth="1"/>
    <col min="5126" max="5126" width="11.28515625" style="6" customWidth="1"/>
    <col min="5127" max="5127" width="13.42578125" style="6" customWidth="1"/>
    <col min="5128" max="5128" width="10.85546875" style="6" customWidth="1"/>
    <col min="5129" max="5129" width="11.28515625" style="6" customWidth="1"/>
    <col min="5130" max="5376" width="9.140625" style="6"/>
    <col min="5377" max="5377" width="29.85546875" style="6" customWidth="1"/>
    <col min="5378" max="5378" width="12.42578125" style="6" customWidth="1"/>
    <col min="5379" max="5379" width="15.140625" style="6" customWidth="1"/>
    <col min="5380" max="5380" width="14.28515625" style="6" customWidth="1"/>
    <col min="5381" max="5381" width="11.140625" style="6" customWidth="1"/>
    <col min="5382" max="5382" width="11.28515625" style="6" customWidth="1"/>
    <col min="5383" max="5383" width="13.42578125" style="6" customWidth="1"/>
    <col min="5384" max="5384" width="10.85546875" style="6" customWidth="1"/>
    <col min="5385" max="5385" width="11.28515625" style="6" customWidth="1"/>
    <col min="5386" max="5632" width="9.140625" style="6"/>
    <col min="5633" max="5633" width="29.85546875" style="6" customWidth="1"/>
    <col min="5634" max="5634" width="12.42578125" style="6" customWidth="1"/>
    <col min="5635" max="5635" width="15.140625" style="6" customWidth="1"/>
    <col min="5636" max="5636" width="14.28515625" style="6" customWidth="1"/>
    <col min="5637" max="5637" width="11.140625" style="6" customWidth="1"/>
    <col min="5638" max="5638" width="11.28515625" style="6" customWidth="1"/>
    <col min="5639" max="5639" width="13.42578125" style="6" customWidth="1"/>
    <col min="5640" max="5640" width="10.85546875" style="6" customWidth="1"/>
    <col min="5641" max="5641" width="11.28515625" style="6" customWidth="1"/>
    <col min="5642" max="5888" width="9.140625" style="6"/>
    <col min="5889" max="5889" width="29.85546875" style="6" customWidth="1"/>
    <col min="5890" max="5890" width="12.42578125" style="6" customWidth="1"/>
    <col min="5891" max="5891" width="15.140625" style="6" customWidth="1"/>
    <col min="5892" max="5892" width="14.28515625" style="6" customWidth="1"/>
    <col min="5893" max="5893" width="11.140625" style="6" customWidth="1"/>
    <col min="5894" max="5894" width="11.28515625" style="6" customWidth="1"/>
    <col min="5895" max="5895" width="13.42578125" style="6" customWidth="1"/>
    <col min="5896" max="5896" width="10.85546875" style="6" customWidth="1"/>
    <col min="5897" max="5897" width="11.28515625" style="6" customWidth="1"/>
    <col min="5898" max="6144" width="9.140625" style="6"/>
    <col min="6145" max="6145" width="29.85546875" style="6" customWidth="1"/>
    <col min="6146" max="6146" width="12.42578125" style="6" customWidth="1"/>
    <col min="6147" max="6147" width="15.140625" style="6" customWidth="1"/>
    <col min="6148" max="6148" width="14.28515625" style="6" customWidth="1"/>
    <col min="6149" max="6149" width="11.140625" style="6" customWidth="1"/>
    <col min="6150" max="6150" width="11.28515625" style="6" customWidth="1"/>
    <col min="6151" max="6151" width="13.42578125" style="6" customWidth="1"/>
    <col min="6152" max="6152" width="10.85546875" style="6" customWidth="1"/>
    <col min="6153" max="6153" width="11.28515625" style="6" customWidth="1"/>
    <col min="6154" max="6400" width="9.140625" style="6"/>
    <col min="6401" max="6401" width="29.85546875" style="6" customWidth="1"/>
    <col min="6402" max="6402" width="12.42578125" style="6" customWidth="1"/>
    <col min="6403" max="6403" width="15.140625" style="6" customWidth="1"/>
    <col min="6404" max="6404" width="14.28515625" style="6" customWidth="1"/>
    <col min="6405" max="6405" width="11.140625" style="6" customWidth="1"/>
    <col min="6406" max="6406" width="11.28515625" style="6" customWidth="1"/>
    <col min="6407" max="6407" width="13.42578125" style="6" customWidth="1"/>
    <col min="6408" max="6408" width="10.85546875" style="6" customWidth="1"/>
    <col min="6409" max="6409" width="11.28515625" style="6" customWidth="1"/>
    <col min="6410" max="6656" width="9.140625" style="6"/>
    <col min="6657" max="6657" width="29.85546875" style="6" customWidth="1"/>
    <col min="6658" max="6658" width="12.42578125" style="6" customWidth="1"/>
    <col min="6659" max="6659" width="15.140625" style="6" customWidth="1"/>
    <col min="6660" max="6660" width="14.28515625" style="6" customWidth="1"/>
    <col min="6661" max="6661" width="11.140625" style="6" customWidth="1"/>
    <col min="6662" max="6662" width="11.28515625" style="6" customWidth="1"/>
    <col min="6663" max="6663" width="13.42578125" style="6" customWidth="1"/>
    <col min="6664" max="6664" width="10.85546875" style="6" customWidth="1"/>
    <col min="6665" max="6665" width="11.28515625" style="6" customWidth="1"/>
    <col min="6666" max="6912" width="9.140625" style="6"/>
    <col min="6913" max="6913" width="29.85546875" style="6" customWidth="1"/>
    <col min="6914" max="6914" width="12.42578125" style="6" customWidth="1"/>
    <col min="6915" max="6915" width="15.140625" style="6" customWidth="1"/>
    <col min="6916" max="6916" width="14.28515625" style="6" customWidth="1"/>
    <col min="6917" max="6917" width="11.140625" style="6" customWidth="1"/>
    <col min="6918" max="6918" width="11.28515625" style="6" customWidth="1"/>
    <col min="6919" max="6919" width="13.42578125" style="6" customWidth="1"/>
    <col min="6920" max="6920" width="10.85546875" style="6" customWidth="1"/>
    <col min="6921" max="6921" width="11.28515625" style="6" customWidth="1"/>
    <col min="6922" max="7168" width="9.140625" style="6"/>
    <col min="7169" max="7169" width="29.85546875" style="6" customWidth="1"/>
    <col min="7170" max="7170" width="12.42578125" style="6" customWidth="1"/>
    <col min="7171" max="7171" width="15.140625" style="6" customWidth="1"/>
    <col min="7172" max="7172" width="14.28515625" style="6" customWidth="1"/>
    <col min="7173" max="7173" width="11.140625" style="6" customWidth="1"/>
    <col min="7174" max="7174" width="11.28515625" style="6" customWidth="1"/>
    <col min="7175" max="7175" width="13.42578125" style="6" customWidth="1"/>
    <col min="7176" max="7176" width="10.85546875" style="6" customWidth="1"/>
    <col min="7177" max="7177" width="11.28515625" style="6" customWidth="1"/>
    <col min="7178" max="7424" width="9.140625" style="6"/>
    <col min="7425" max="7425" width="29.85546875" style="6" customWidth="1"/>
    <col min="7426" max="7426" width="12.42578125" style="6" customWidth="1"/>
    <col min="7427" max="7427" width="15.140625" style="6" customWidth="1"/>
    <col min="7428" max="7428" width="14.28515625" style="6" customWidth="1"/>
    <col min="7429" max="7429" width="11.140625" style="6" customWidth="1"/>
    <col min="7430" max="7430" width="11.28515625" style="6" customWidth="1"/>
    <col min="7431" max="7431" width="13.42578125" style="6" customWidth="1"/>
    <col min="7432" max="7432" width="10.85546875" style="6" customWidth="1"/>
    <col min="7433" max="7433" width="11.28515625" style="6" customWidth="1"/>
    <col min="7434" max="7680" width="9.140625" style="6"/>
    <col min="7681" max="7681" width="29.85546875" style="6" customWidth="1"/>
    <col min="7682" max="7682" width="12.42578125" style="6" customWidth="1"/>
    <col min="7683" max="7683" width="15.140625" style="6" customWidth="1"/>
    <col min="7684" max="7684" width="14.28515625" style="6" customWidth="1"/>
    <col min="7685" max="7685" width="11.140625" style="6" customWidth="1"/>
    <col min="7686" max="7686" width="11.28515625" style="6" customWidth="1"/>
    <col min="7687" max="7687" width="13.42578125" style="6" customWidth="1"/>
    <col min="7688" max="7688" width="10.85546875" style="6" customWidth="1"/>
    <col min="7689" max="7689" width="11.28515625" style="6" customWidth="1"/>
    <col min="7690" max="7936" width="9.140625" style="6"/>
    <col min="7937" max="7937" width="29.85546875" style="6" customWidth="1"/>
    <col min="7938" max="7938" width="12.42578125" style="6" customWidth="1"/>
    <col min="7939" max="7939" width="15.140625" style="6" customWidth="1"/>
    <col min="7940" max="7940" width="14.28515625" style="6" customWidth="1"/>
    <col min="7941" max="7941" width="11.140625" style="6" customWidth="1"/>
    <col min="7942" max="7942" width="11.28515625" style="6" customWidth="1"/>
    <col min="7943" max="7943" width="13.42578125" style="6" customWidth="1"/>
    <col min="7944" max="7944" width="10.85546875" style="6" customWidth="1"/>
    <col min="7945" max="7945" width="11.28515625" style="6" customWidth="1"/>
    <col min="7946" max="8192" width="9.140625" style="6"/>
    <col min="8193" max="8193" width="29.85546875" style="6" customWidth="1"/>
    <col min="8194" max="8194" width="12.42578125" style="6" customWidth="1"/>
    <col min="8195" max="8195" width="15.140625" style="6" customWidth="1"/>
    <col min="8196" max="8196" width="14.28515625" style="6" customWidth="1"/>
    <col min="8197" max="8197" width="11.140625" style="6" customWidth="1"/>
    <col min="8198" max="8198" width="11.28515625" style="6" customWidth="1"/>
    <col min="8199" max="8199" width="13.42578125" style="6" customWidth="1"/>
    <col min="8200" max="8200" width="10.85546875" style="6" customWidth="1"/>
    <col min="8201" max="8201" width="11.28515625" style="6" customWidth="1"/>
    <col min="8202" max="8448" width="9.140625" style="6"/>
    <col min="8449" max="8449" width="29.85546875" style="6" customWidth="1"/>
    <col min="8450" max="8450" width="12.42578125" style="6" customWidth="1"/>
    <col min="8451" max="8451" width="15.140625" style="6" customWidth="1"/>
    <col min="8452" max="8452" width="14.28515625" style="6" customWidth="1"/>
    <col min="8453" max="8453" width="11.140625" style="6" customWidth="1"/>
    <col min="8454" max="8454" width="11.28515625" style="6" customWidth="1"/>
    <col min="8455" max="8455" width="13.42578125" style="6" customWidth="1"/>
    <col min="8456" max="8456" width="10.85546875" style="6" customWidth="1"/>
    <col min="8457" max="8457" width="11.28515625" style="6" customWidth="1"/>
    <col min="8458" max="8704" width="9.140625" style="6"/>
    <col min="8705" max="8705" width="29.85546875" style="6" customWidth="1"/>
    <col min="8706" max="8706" width="12.42578125" style="6" customWidth="1"/>
    <col min="8707" max="8707" width="15.140625" style="6" customWidth="1"/>
    <col min="8708" max="8708" width="14.28515625" style="6" customWidth="1"/>
    <col min="8709" max="8709" width="11.140625" style="6" customWidth="1"/>
    <col min="8710" max="8710" width="11.28515625" style="6" customWidth="1"/>
    <col min="8711" max="8711" width="13.42578125" style="6" customWidth="1"/>
    <col min="8712" max="8712" width="10.85546875" style="6" customWidth="1"/>
    <col min="8713" max="8713" width="11.28515625" style="6" customWidth="1"/>
    <col min="8714" max="8960" width="9.140625" style="6"/>
    <col min="8961" max="8961" width="29.85546875" style="6" customWidth="1"/>
    <col min="8962" max="8962" width="12.42578125" style="6" customWidth="1"/>
    <col min="8963" max="8963" width="15.140625" style="6" customWidth="1"/>
    <col min="8964" max="8964" width="14.28515625" style="6" customWidth="1"/>
    <col min="8965" max="8965" width="11.140625" style="6" customWidth="1"/>
    <col min="8966" max="8966" width="11.28515625" style="6" customWidth="1"/>
    <col min="8967" max="8967" width="13.42578125" style="6" customWidth="1"/>
    <col min="8968" max="8968" width="10.85546875" style="6" customWidth="1"/>
    <col min="8969" max="8969" width="11.28515625" style="6" customWidth="1"/>
    <col min="8970" max="9216" width="9.140625" style="6"/>
    <col min="9217" max="9217" width="29.85546875" style="6" customWidth="1"/>
    <col min="9218" max="9218" width="12.42578125" style="6" customWidth="1"/>
    <col min="9219" max="9219" width="15.140625" style="6" customWidth="1"/>
    <col min="9220" max="9220" width="14.28515625" style="6" customWidth="1"/>
    <col min="9221" max="9221" width="11.140625" style="6" customWidth="1"/>
    <col min="9222" max="9222" width="11.28515625" style="6" customWidth="1"/>
    <col min="9223" max="9223" width="13.42578125" style="6" customWidth="1"/>
    <col min="9224" max="9224" width="10.85546875" style="6" customWidth="1"/>
    <col min="9225" max="9225" width="11.28515625" style="6" customWidth="1"/>
    <col min="9226" max="9472" width="9.140625" style="6"/>
    <col min="9473" max="9473" width="29.85546875" style="6" customWidth="1"/>
    <col min="9474" max="9474" width="12.42578125" style="6" customWidth="1"/>
    <col min="9475" max="9475" width="15.140625" style="6" customWidth="1"/>
    <col min="9476" max="9476" width="14.28515625" style="6" customWidth="1"/>
    <col min="9477" max="9477" width="11.140625" style="6" customWidth="1"/>
    <col min="9478" max="9478" width="11.28515625" style="6" customWidth="1"/>
    <col min="9479" max="9479" width="13.42578125" style="6" customWidth="1"/>
    <col min="9480" max="9480" width="10.85546875" style="6" customWidth="1"/>
    <col min="9481" max="9481" width="11.28515625" style="6" customWidth="1"/>
    <col min="9482" max="9728" width="9.140625" style="6"/>
    <col min="9729" max="9729" width="29.85546875" style="6" customWidth="1"/>
    <col min="9730" max="9730" width="12.42578125" style="6" customWidth="1"/>
    <col min="9731" max="9731" width="15.140625" style="6" customWidth="1"/>
    <col min="9732" max="9732" width="14.28515625" style="6" customWidth="1"/>
    <col min="9733" max="9733" width="11.140625" style="6" customWidth="1"/>
    <col min="9734" max="9734" width="11.28515625" style="6" customWidth="1"/>
    <col min="9735" max="9735" width="13.42578125" style="6" customWidth="1"/>
    <col min="9736" max="9736" width="10.85546875" style="6" customWidth="1"/>
    <col min="9737" max="9737" width="11.28515625" style="6" customWidth="1"/>
    <col min="9738" max="9984" width="9.140625" style="6"/>
    <col min="9985" max="9985" width="29.85546875" style="6" customWidth="1"/>
    <col min="9986" max="9986" width="12.42578125" style="6" customWidth="1"/>
    <col min="9987" max="9987" width="15.140625" style="6" customWidth="1"/>
    <col min="9988" max="9988" width="14.28515625" style="6" customWidth="1"/>
    <col min="9989" max="9989" width="11.140625" style="6" customWidth="1"/>
    <col min="9990" max="9990" width="11.28515625" style="6" customWidth="1"/>
    <col min="9991" max="9991" width="13.42578125" style="6" customWidth="1"/>
    <col min="9992" max="9992" width="10.85546875" style="6" customWidth="1"/>
    <col min="9993" max="9993" width="11.28515625" style="6" customWidth="1"/>
    <col min="9994" max="10240" width="9.140625" style="6"/>
    <col min="10241" max="10241" width="29.85546875" style="6" customWidth="1"/>
    <col min="10242" max="10242" width="12.42578125" style="6" customWidth="1"/>
    <col min="10243" max="10243" width="15.140625" style="6" customWidth="1"/>
    <col min="10244" max="10244" width="14.28515625" style="6" customWidth="1"/>
    <col min="10245" max="10245" width="11.140625" style="6" customWidth="1"/>
    <col min="10246" max="10246" width="11.28515625" style="6" customWidth="1"/>
    <col min="10247" max="10247" width="13.42578125" style="6" customWidth="1"/>
    <col min="10248" max="10248" width="10.85546875" style="6" customWidth="1"/>
    <col min="10249" max="10249" width="11.28515625" style="6" customWidth="1"/>
    <col min="10250" max="10496" width="9.140625" style="6"/>
    <col min="10497" max="10497" width="29.85546875" style="6" customWidth="1"/>
    <col min="10498" max="10498" width="12.42578125" style="6" customWidth="1"/>
    <col min="10499" max="10499" width="15.140625" style="6" customWidth="1"/>
    <col min="10500" max="10500" width="14.28515625" style="6" customWidth="1"/>
    <col min="10501" max="10501" width="11.140625" style="6" customWidth="1"/>
    <col min="10502" max="10502" width="11.28515625" style="6" customWidth="1"/>
    <col min="10503" max="10503" width="13.42578125" style="6" customWidth="1"/>
    <col min="10504" max="10504" width="10.85546875" style="6" customWidth="1"/>
    <col min="10505" max="10505" width="11.28515625" style="6" customWidth="1"/>
    <col min="10506" max="10752" width="9.140625" style="6"/>
    <col min="10753" max="10753" width="29.85546875" style="6" customWidth="1"/>
    <col min="10754" max="10754" width="12.42578125" style="6" customWidth="1"/>
    <col min="10755" max="10755" width="15.140625" style="6" customWidth="1"/>
    <col min="10756" max="10756" width="14.28515625" style="6" customWidth="1"/>
    <col min="10757" max="10757" width="11.140625" style="6" customWidth="1"/>
    <col min="10758" max="10758" width="11.28515625" style="6" customWidth="1"/>
    <col min="10759" max="10759" width="13.42578125" style="6" customWidth="1"/>
    <col min="10760" max="10760" width="10.85546875" style="6" customWidth="1"/>
    <col min="10761" max="10761" width="11.28515625" style="6" customWidth="1"/>
    <col min="10762" max="11008" width="9.140625" style="6"/>
    <col min="11009" max="11009" width="29.85546875" style="6" customWidth="1"/>
    <col min="11010" max="11010" width="12.42578125" style="6" customWidth="1"/>
    <col min="11011" max="11011" width="15.140625" style="6" customWidth="1"/>
    <col min="11012" max="11012" width="14.28515625" style="6" customWidth="1"/>
    <col min="11013" max="11013" width="11.140625" style="6" customWidth="1"/>
    <col min="11014" max="11014" width="11.28515625" style="6" customWidth="1"/>
    <col min="11015" max="11015" width="13.42578125" style="6" customWidth="1"/>
    <col min="11016" max="11016" width="10.85546875" style="6" customWidth="1"/>
    <col min="11017" max="11017" width="11.28515625" style="6" customWidth="1"/>
    <col min="11018" max="11264" width="9.140625" style="6"/>
    <col min="11265" max="11265" width="29.85546875" style="6" customWidth="1"/>
    <col min="11266" max="11266" width="12.42578125" style="6" customWidth="1"/>
    <col min="11267" max="11267" width="15.140625" style="6" customWidth="1"/>
    <col min="11268" max="11268" width="14.28515625" style="6" customWidth="1"/>
    <col min="11269" max="11269" width="11.140625" style="6" customWidth="1"/>
    <col min="11270" max="11270" width="11.28515625" style="6" customWidth="1"/>
    <col min="11271" max="11271" width="13.42578125" style="6" customWidth="1"/>
    <col min="11272" max="11272" width="10.85546875" style="6" customWidth="1"/>
    <col min="11273" max="11273" width="11.28515625" style="6" customWidth="1"/>
    <col min="11274" max="11520" width="9.140625" style="6"/>
    <col min="11521" max="11521" width="29.85546875" style="6" customWidth="1"/>
    <col min="11522" max="11522" width="12.42578125" style="6" customWidth="1"/>
    <col min="11523" max="11523" width="15.140625" style="6" customWidth="1"/>
    <col min="11524" max="11524" width="14.28515625" style="6" customWidth="1"/>
    <col min="11525" max="11525" width="11.140625" style="6" customWidth="1"/>
    <col min="11526" max="11526" width="11.28515625" style="6" customWidth="1"/>
    <col min="11527" max="11527" width="13.42578125" style="6" customWidth="1"/>
    <col min="11528" max="11528" width="10.85546875" style="6" customWidth="1"/>
    <col min="11529" max="11529" width="11.28515625" style="6" customWidth="1"/>
    <col min="11530" max="11776" width="9.140625" style="6"/>
    <col min="11777" max="11777" width="29.85546875" style="6" customWidth="1"/>
    <col min="11778" max="11778" width="12.42578125" style="6" customWidth="1"/>
    <col min="11779" max="11779" width="15.140625" style="6" customWidth="1"/>
    <col min="11780" max="11780" width="14.28515625" style="6" customWidth="1"/>
    <col min="11781" max="11781" width="11.140625" style="6" customWidth="1"/>
    <col min="11782" max="11782" width="11.28515625" style="6" customWidth="1"/>
    <col min="11783" max="11783" width="13.42578125" style="6" customWidth="1"/>
    <col min="11784" max="11784" width="10.85546875" style="6" customWidth="1"/>
    <col min="11785" max="11785" width="11.28515625" style="6" customWidth="1"/>
    <col min="11786" max="12032" width="9.140625" style="6"/>
    <col min="12033" max="12033" width="29.85546875" style="6" customWidth="1"/>
    <col min="12034" max="12034" width="12.42578125" style="6" customWidth="1"/>
    <col min="12035" max="12035" width="15.140625" style="6" customWidth="1"/>
    <col min="12036" max="12036" width="14.28515625" style="6" customWidth="1"/>
    <col min="12037" max="12037" width="11.140625" style="6" customWidth="1"/>
    <col min="12038" max="12038" width="11.28515625" style="6" customWidth="1"/>
    <col min="12039" max="12039" width="13.42578125" style="6" customWidth="1"/>
    <col min="12040" max="12040" width="10.85546875" style="6" customWidth="1"/>
    <col min="12041" max="12041" width="11.28515625" style="6" customWidth="1"/>
    <col min="12042" max="12288" width="9.140625" style="6"/>
    <col min="12289" max="12289" width="29.85546875" style="6" customWidth="1"/>
    <col min="12290" max="12290" width="12.42578125" style="6" customWidth="1"/>
    <col min="12291" max="12291" width="15.140625" style="6" customWidth="1"/>
    <col min="12292" max="12292" width="14.28515625" style="6" customWidth="1"/>
    <col min="12293" max="12293" width="11.140625" style="6" customWidth="1"/>
    <col min="12294" max="12294" width="11.28515625" style="6" customWidth="1"/>
    <col min="12295" max="12295" width="13.42578125" style="6" customWidth="1"/>
    <col min="12296" max="12296" width="10.85546875" style="6" customWidth="1"/>
    <col min="12297" max="12297" width="11.28515625" style="6" customWidth="1"/>
    <col min="12298" max="12544" width="9.140625" style="6"/>
    <col min="12545" max="12545" width="29.85546875" style="6" customWidth="1"/>
    <col min="12546" max="12546" width="12.42578125" style="6" customWidth="1"/>
    <col min="12547" max="12547" width="15.140625" style="6" customWidth="1"/>
    <col min="12548" max="12548" width="14.28515625" style="6" customWidth="1"/>
    <col min="12549" max="12549" width="11.140625" style="6" customWidth="1"/>
    <col min="12550" max="12550" width="11.28515625" style="6" customWidth="1"/>
    <col min="12551" max="12551" width="13.42578125" style="6" customWidth="1"/>
    <col min="12552" max="12552" width="10.85546875" style="6" customWidth="1"/>
    <col min="12553" max="12553" width="11.28515625" style="6" customWidth="1"/>
    <col min="12554" max="12800" width="9.140625" style="6"/>
    <col min="12801" max="12801" width="29.85546875" style="6" customWidth="1"/>
    <col min="12802" max="12802" width="12.42578125" style="6" customWidth="1"/>
    <col min="12803" max="12803" width="15.140625" style="6" customWidth="1"/>
    <col min="12804" max="12804" width="14.28515625" style="6" customWidth="1"/>
    <col min="12805" max="12805" width="11.140625" style="6" customWidth="1"/>
    <col min="12806" max="12806" width="11.28515625" style="6" customWidth="1"/>
    <col min="12807" max="12807" width="13.42578125" style="6" customWidth="1"/>
    <col min="12808" max="12808" width="10.85546875" style="6" customWidth="1"/>
    <col min="12809" max="12809" width="11.28515625" style="6" customWidth="1"/>
    <col min="12810" max="13056" width="9.140625" style="6"/>
    <col min="13057" max="13057" width="29.85546875" style="6" customWidth="1"/>
    <col min="13058" max="13058" width="12.42578125" style="6" customWidth="1"/>
    <col min="13059" max="13059" width="15.140625" style="6" customWidth="1"/>
    <col min="13060" max="13060" width="14.28515625" style="6" customWidth="1"/>
    <col min="13061" max="13061" width="11.140625" style="6" customWidth="1"/>
    <col min="13062" max="13062" width="11.28515625" style="6" customWidth="1"/>
    <col min="13063" max="13063" width="13.42578125" style="6" customWidth="1"/>
    <col min="13064" max="13064" width="10.85546875" style="6" customWidth="1"/>
    <col min="13065" max="13065" width="11.28515625" style="6" customWidth="1"/>
    <col min="13066" max="13312" width="9.140625" style="6"/>
    <col min="13313" max="13313" width="29.85546875" style="6" customWidth="1"/>
    <col min="13314" max="13314" width="12.42578125" style="6" customWidth="1"/>
    <col min="13315" max="13315" width="15.140625" style="6" customWidth="1"/>
    <col min="13316" max="13316" width="14.28515625" style="6" customWidth="1"/>
    <col min="13317" max="13317" width="11.140625" style="6" customWidth="1"/>
    <col min="13318" max="13318" width="11.28515625" style="6" customWidth="1"/>
    <col min="13319" max="13319" width="13.42578125" style="6" customWidth="1"/>
    <col min="13320" max="13320" width="10.85546875" style="6" customWidth="1"/>
    <col min="13321" max="13321" width="11.28515625" style="6" customWidth="1"/>
    <col min="13322" max="13568" width="9.140625" style="6"/>
    <col min="13569" max="13569" width="29.85546875" style="6" customWidth="1"/>
    <col min="13570" max="13570" width="12.42578125" style="6" customWidth="1"/>
    <col min="13571" max="13571" width="15.140625" style="6" customWidth="1"/>
    <col min="13572" max="13572" width="14.28515625" style="6" customWidth="1"/>
    <col min="13573" max="13573" width="11.140625" style="6" customWidth="1"/>
    <col min="13574" max="13574" width="11.28515625" style="6" customWidth="1"/>
    <col min="13575" max="13575" width="13.42578125" style="6" customWidth="1"/>
    <col min="13576" max="13576" width="10.85546875" style="6" customWidth="1"/>
    <col min="13577" max="13577" width="11.28515625" style="6" customWidth="1"/>
    <col min="13578" max="13824" width="9.140625" style="6"/>
    <col min="13825" max="13825" width="29.85546875" style="6" customWidth="1"/>
    <col min="13826" max="13826" width="12.42578125" style="6" customWidth="1"/>
    <col min="13827" max="13827" width="15.140625" style="6" customWidth="1"/>
    <col min="13828" max="13828" width="14.28515625" style="6" customWidth="1"/>
    <col min="13829" max="13829" width="11.140625" style="6" customWidth="1"/>
    <col min="13830" max="13830" width="11.28515625" style="6" customWidth="1"/>
    <col min="13831" max="13831" width="13.42578125" style="6" customWidth="1"/>
    <col min="13832" max="13832" width="10.85546875" style="6" customWidth="1"/>
    <col min="13833" max="13833" width="11.28515625" style="6" customWidth="1"/>
    <col min="13834" max="14080" width="9.140625" style="6"/>
    <col min="14081" max="14081" width="29.85546875" style="6" customWidth="1"/>
    <col min="14082" max="14082" width="12.42578125" style="6" customWidth="1"/>
    <col min="14083" max="14083" width="15.140625" style="6" customWidth="1"/>
    <col min="14084" max="14084" width="14.28515625" style="6" customWidth="1"/>
    <col min="14085" max="14085" width="11.140625" style="6" customWidth="1"/>
    <col min="14086" max="14086" width="11.28515625" style="6" customWidth="1"/>
    <col min="14087" max="14087" width="13.42578125" style="6" customWidth="1"/>
    <col min="14088" max="14088" width="10.85546875" style="6" customWidth="1"/>
    <col min="14089" max="14089" width="11.28515625" style="6" customWidth="1"/>
    <col min="14090" max="14336" width="9.140625" style="6"/>
    <col min="14337" max="14337" width="29.85546875" style="6" customWidth="1"/>
    <col min="14338" max="14338" width="12.42578125" style="6" customWidth="1"/>
    <col min="14339" max="14339" width="15.140625" style="6" customWidth="1"/>
    <col min="14340" max="14340" width="14.28515625" style="6" customWidth="1"/>
    <col min="14341" max="14341" width="11.140625" style="6" customWidth="1"/>
    <col min="14342" max="14342" width="11.28515625" style="6" customWidth="1"/>
    <col min="14343" max="14343" width="13.42578125" style="6" customWidth="1"/>
    <col min="14344" max="14344" width="10.85546875" style="6" customWidth="1"/>
    <col min="14345" max="14345" width="11.28515625" style="6" customWidth="1"/>
    <col min="14346" max="14592" width="9.140625" style="6"/>
    <col min="14593" max="14593" width="29.85546875" style="6" customWidth="1"/>
    <col min="14594" max="14594" width="12.42578125" style="6" customWidth="1"/>
    <col min="14595" max="14595" width="15.140625" style="6" customWidth="1"/>
    <col min="14596" max="14596" width="14.28515625" style="6" customWidth="1"/>
    <col min="14597" max="14597" width="11.140625" style="6" customWidth="1"/>
    <col min="14598" max="14598" width="11.28515625" style="6" customWidth="1"/>
    <col min="14599" max="14599" width="13.42578125" style="6" customWidth="1"/>
    <col min="14600" max="14600" width="10.85546875" style="6" customWidth="1"/>
    <col min="14601" max="14601" width="11.28515625" style="6" customWidth="1"/>
    <col min="14602" max="14848" width="9.140625" style="6"/>
    <col min="14849" max="14849" width="29.85546875" style="6" customWidth="1"/>
    <col min="14850" max="14850" width="12.42578125" style="6" customWidth="1"/>
    <col min="14851" max="14851" width="15.140625" style="6" customWidth="1"/>
    <col min="14852" max="14852" width="14.28515625" style="6" customWidth="1"/>
    <col min="14853" max="14853" width="11.140625" style="6" customWidth="1"/>
    <col min="14854" max="14854" width="11.28515625" style="6" customWidth="1"/>
    <col min="14855" max="14855" width="13.42578125" style="6" customWidth="1"/>
    <col min="14856" max="14856" width="10.85546875" style="6" customWidth="1"/>
    <col min="14857" max="14857" width="11.28515625" style="6" customWidth="1"/>
    <col min="14858" max="15104" width="9.140625" style="6"/>
    <col min="15105" max="15105" width="29.85546875" style="6" customWidth="1"/>
    <col min="15106" max="15106" width="12.42578125" style="6" customWidth="1"/>
    <col min="15107" max="15107" width="15.140625" style="6" customWidth="1"/>
    <col min="15108" max="15108" width="14.28515625" style="6" customWidth="1"/>
    <col min="15109" max="15109" width="11.140625" style="6" customWidth="1"/>
    <col min="15110" max="15110" width="11.28515625" style="6" customWidth="1"/>
    <col min="15111" max="15111" width="13.42578125" style="6" customWidth="1"/>
    <col min="15112" max="15112" width="10.85546875" style="6" customWidth="1"/>
    <col min="15113" max="15113" width="11.28515625" style="6" customWidth="1"/>
    <col min="15114" max="15360" width="9.140625" style="6"/>
    <col min="15361" max="15361" width="29.85546875" style="6" customWidth="1"/>
    <col min="15362" max="15362" width="12.42578125" style="6" customWidth="1"/>
    <col min="15363" max="15363" width="15.140625" style="6" customWidth="1"/>
    <col min="15364" max="15364" width="14.28515625" style="6" customWidth="1"/>
    <col min="15365" max="15365" width="11.140625" style="6" customWidth="1"/>
    <col min="15366" max="15366" width="11.28515625" style="6" customWidth="1"/>
    <col min="15367" max="15367" width="13.42578125" style="6" customWidth="1"/>
    <col min="15368" max="15368" width="10.85546875" style="6" customWidth="1"/>
    <col min="15369" max="15369" width="11.28515625" style="6" customWidth="1"/>
    <col min="15370" max="15616" width="9.140625" style="6"/>
    <col min="15617" max="15617" width="29.85546875" style="6" customWidth="1"/>
    <col min="15618" max="15618" width="12.42578125" style="6" customWidth="1"/>
    <col min="15619" max="15619" width="15.140625" style="6" customWidth="1"/>
    <col min="15620" max="15620" width="14.28515625" style="6" customWidth="1"/>
    <col min="15621" max="15621" width="11.140625" style="6" customWidth="1"/>
    <col min="15622" max="15622" width="11.28515625" style="6" customWidth="1"/>
    <col min="15623" max="15623" width="13.42578125" style="6" customWidth="1"/>
    <col min="15624" max="15624" width="10.85546875" style="6" customWidth="1"/>
    <col min="15625" max="15625" width="11.28515625" style="6" customWidth="1"/>
    <col min="15626" max="15872" width="9.140625" style="6"/>
    <col min="15873" max="15873" width="29.85546875" style="6" customWidth="1"/>
    <col min="15874" max="15874" width="12.42578125" style="6" customWidth="1"/>
    <col min="15875" max="15875" width="15.140625" style="6" customWidth="1"/>
    <col min="15876" max="15876" width="14.28515625" style="6" customWidth="1"/>
    <col min="15877" max="15877" width="11.140625" style="6" customWidth="1"/>
    <col min="15878" max="15878" width="11.28515625" style="6" customWidth="1"/>
    <col min="15879" max="15879" width="13.42578125" style="6" customWidth="1"/>
    <col min="15880" max="15880" width="10.85546875" style="6" customWidth="1"/>
    <col min="15881" max="15881" width="11.28515625" style="6" customWidth="1"/>
    <col min="15882" max="16128" width="9.140625" style="6"/>
    <col min="16129" max="16129" width="29.85546875" style="6" customWidth="1"/>
    <col min="16130" max="16130" width="12.42578125" style="6" customWidth="1"/>
    <col min="16131" max="16131" width="15.140625" style="6" customWidth="1"/>
    <col min="16132" max="16132" width="14.28515625" style="6" customWidth="1"/>
    <col min="16133" max="16133" width="11.140625" style="6" customWidth="1"/>
    <col min="16134" max="16134" width="11.28515625" style="6" customWidth="1"/>
    <col min="16135" max="16135" width="13.42578125" style="6" customWidth="1"/>
    <col min="16136" max="16136" width="10.85546875" style="6" customWidth="1"/>
    <col min="16137" max="16137" width="11.28515625" style="6" customWidth="1"/>
    <col min="16138" max="16384" width="9.140625" style="6"/>
  </cols>
  <sheetData>
    <row r="1" spans="1:9" x14ac:dyDescent="0.2">
      <c r="B1" s="7"/>
      <c r="C1" s="8" t="s">
        <v>100</v>
      </c>
      <c r="D1" s="7"/>
      <c r="E1" s="7"/>
      <c r="F1" s="7"/>
    </row>
    <row r="2" spans="1:9" x14ac:dyDescent="0.2">
      <c r="B2" s="7"/>
      <c r="C2" s="9" t="s">
        <v>112</v>
      </c>
      <c r="D2" s="7"/>
      <c r="E2" s="7"/>
      <c r="F2" s="7"/>
      <c r="H2" s="10"/>
    </row>
    <row r="3" spans="1:9" x14ac:dyDescent="0.2">
      <c r="B3" s="7"/>
      <c r="C3" s="103">
        <v>44641</v>
      </c>
      <c r="D3" s="7"/>
      <c r="E3" s="7"/>
      <c r="F3" s="7"/>
      <c r="H3" s="11"/>
    </row>
    <row r="5" spans="1:9" ht="24" x14ac:dyDescent="0.2">
      <c r="A5" s="12" t="s">
        <v>1</v>
      </c>
      <c r="B5" s="13" t="s">
        <v>36</v>
      </c>
      <c r="C5" s="13" t="s">
        <v>2</v>
      </c>
      <c r="D5" s="13" t="s">
        <v>3</v>
      </c>
      <c r="E5" s="13" t="s">
        <v>4</v>
      </c>
      <c r="F5" s="14" t="s">
        <v>5</v>
      </c>
      <c r="G5" s="15" t="s">
        <v>6</v>
      </c>
      <c r="H5" s="16" t="s">
        <v>7</v>
      </c>
    </row>
    <row r="6" spans="1:9" s="24" customFormat="1" ht="24" x14ac:dyDescent="0.25">
      <c r="A6" s="17" t="s">
        <v>99</v>
      </c>
      <c r="B6" s="18">
        <f>C33-C35-C36-C43-C45-C47</f>
        <v>16604.960000000025</v>
      </c>
      <c r="C6" s="19">
        <f>SUM('Item Detail'!V:V)</f>
        <v>11142.599999999991</v>
      </c>
      <c r="D6" s="20">
        <f>C6/B6</f>
        <v>0.67104046019984243</v>
      </c>
      <c r="E6" s="19">
        <f>SUM('Item Detail'!AC:AC)</f>
        <v>8329.532227485086</v>
      </c>
      <c r="F6" s="21">
        <f>C6-E6</f>
        <v>2813.0677725149053</v>
      </c>
      <c r="G6" s="22">
        <f>SUM(1-(E6/C6))</f>
        <v>0.25246062611194042</v>
      </c>
      <c r="H6" s="23" t="s">
        <v>8</v>
      </c>
    </row>
    <row r="8" spans="1:9" x14ac:dyDescent="0.2">
      <c r="A8" s="26" t="s">
        <v>9</v>
      </c>
      <c r="B8" s="27" t="s">
        <v>10</v>
      </c>
      <c r="C8" s="27" t="s">
        <v>11</v>
      </c>
      <c r="D8" s="27" t="s">
        <v>12</v>
      </c>
      <c r="E8" s="27" t="s">
        <v>13</v>
      </c>
      <c r="F8" s="27" t="s">
        <v>14</v>
      </c>
      <c r="G8" s="27" t="s">
        <v>15</v>
      </c>
      <c r="H8" s="28" t="s">
        <v>0</v>
      </c>
      <c r="I8" s="29" t="s">
        <v>16</v>
      </c>
    </row>
    <row r="9" spans="1:9" x14ac:dyDescent="0.2">
      <c r="A9" s="30" t="s">
        <v>17</v>
      </c>
      <c r="B9" s="31">
        <f>COUNTIF('Item Detail'!$Z:$Z,"Negative")</f>
        <v>28</v>
      </c>
      <c r="C9" s="31">
        <f>COUNTIF('Item Detail'!$Z:$Z,"Same")</f>
        <v>0</v>
      </c>
      <c r="D9" s="31">
        <f>COUNTIF('Item Detail'!$Z:$Z,"0-10%")</f>
        <v>3</v>
      </c>
      <c r="E9" s="31">
        <f>COUNTIF('Item Detail'!$Z:$Z,"10-20%")</f>
        <v>3</v>
      </c>
      <c r="F9" s="31">
        <f>COUNTIF('Item Detail'!$Z:$Z,"20-30%")</f>
        <v>4</v>
      </c>
      <c r="G9" s="31">
        <f>COUNTIF('Item Detail'!$Z:$Z,"30+%")</f>
        <v>28</v>
      </c>
      <c r="H9" s="102">
        <f>SUM(B9:G9)</f>
        <v>66</v>
      </c>
      <c r="I9" s="32">
        <f>G6</f>
        <v>0.25246062611194042</v>
      </c>
    </row>
    <row r="11" spans="1:9" x14ac:dyDescent="0.2">
      <c r="A11" s="26" t="s">
        <v>18</v>
      </c>
      <c r="B11" s="27" t="s">
        <v>10</v>
      </c>
      <c r="C11" s="27" t="s">
        <v>11</v>
      </c>
      <c r="D11" s="27" t="s">
        <v>12</v>
      </c>
      <c r="E11" s="27" t="s">
        <v>13</v>
      </c>
      <c r="F11" s="27" t="s">
        <v>14</v>
      </c>
      <c r="G11" s="27" t="s">
        <v>15</v>
      </c>
      <c r="H11" s="16" t="s">
        <v>0</v>
      </c>
      <c r="I11" s="33"/>
    </row>
    <row r="12" spans="1:9" x14ac:dyDescent="0.2">
      <c r="A12" s="34" t="str">
        <f>A6</f>
        <v>Various</v>
      </c>
      <c r="B12" s="35">
        <f>SUMIF('Item Detail'!$Z:$Z,"Negative",'Item Detail'!$V:$V)</f>
        <v>3945.0599999999995</v>
      </c>
      <c r="C12" s="35">
        <f>SUMIF('Item Detail'!$Z:$Z,"Same",'Item Detail'!$V:$V)</f>
        <v>0</v>
      </c>
      <c r="D12" s="35">
        <f>SUMIF('Item Detail'!$Z:$Z,"0-10%",'Item Detail'!$V:$V)</f>
        <v>115.47</v>
      </c>
      <c r="E12" s="35">
        <f>SUMIF('Item Detail'!$Z:$Z,"10-20%",'Item Detail'!$V:$V)</f>
        <v>1408.8899999999999</v>
      </c>
      <c r="F12" s="35">
        <f>SUMIF('Item Detail'!$Z:$Z,"20-30%",'Item Detail'!$V:$V)</f>
        <v>213.88000000000002</v>
      </c>
      <c r="G12" s="35">
        <f>SUMIF('Item Detail'!$Z:$Z,"30+%",'Item Detail'!$V:$V)</f>
        <v>5459.3000000000011</v>
      </c>
      <c r="H12" s="36">
        <f>SUM(B12:G12)</f>
        <v>11142.6</v>
      </c>
      <c r="I12" s="37"/>
    </row>
    <row r="13" spans="1:9" x14ac:dyDescent="0.2">
      <c r="A13" s="38" t="s">
        <v>63</v>
      </c>
      <c r="B13" s="39">
        <f>SUMIF('Item Detail'!$Z:$Z,"Negative",'Item Detail'!$AC:$AC)</f>
        <v>5156.2988326530622</v>
      </c>
      <c r="C13" s="39">
        <f>SUMIF('Item Detail'!$Z:$Z,"Same",'Item Detail'!$AC:$AC)</f>
        <v>0</v>
      </c>
      <c r="D13" s="39">
        <f>SUMIF('Item Detail'!$Z:$Z,"0-10%",'Item Detail'!$AC:$AC)</f>
        <v>105.0106</v>
      </c>
      <c r="E13" s="39">
        <f>SUMIF('Item Detail'!$Z:$Z,"10-20%",'Item Detail'!$AC:$AC)</f>
        <v>1255.4048979591837</v>
      </c>
      <c r="F13" s="39">
        <f>SUMIF('Item Detail'!$Z:$Z,"20-30%",'Item Detail'!$AC:$AC)</f>
        <v>165.90889795918366</v>
      </c>
      <c r="G13" s="39">
        <f>SUMIF('Item Detail'!$Z:$Z,"30+%",'Item Detail'!$AC:$AC)</f>
        <v>1646.9089989136578</v>
      </c>
      <c r="H13" s="36">
        <f>SUM(B13:G13)</f>
        <v>8329.532227485086</v>
      </c>
      <c r="I13" s="40"/>
    </row>
    <row r="14" spans="1:9" x14ac:dyDescent="0.2">
      <c r="A14" s="41" t="s">
        <v>19</v>
      </c>
      <c r="B14" s="42">
        <f t="shared" ref="B14:G14" si="0">B12-B13</f>
        <v>-1211.2388326530627</v>
      </c>
      <c r="C14" s="43">
        <f t="shared" si="0"/>
        <v>0</v>
      </c>
      <c r="D14" s="43">
        <f t="shared" si="0"/>
        <v>10.459400000000002</v>
      </c>
      <c r="E14" s="43">
        <f t="shared" si="0"/>
        <v>153.48510204081617</v>
      </c>
      <c r="F14" s="43">
        <f t="shared" si="0"/>
        <v>47.971102040816362</v>
      </c>
      <c r="G14" s="43">
        <f t="shared" si="0"/>
        <v>3812.3910010863433</v>
      </c>
      <c r="H14" s="44">
        <f>H12-H13</f>
        <v>2813.0677725149144</v>
      </c>
      <c r="I14" s="40"/>
    </row>
    <row r="16" spans="1:9" x14ac:dyDescent="0.2">
      <c r="A16" s="45" t="s">
        <v>98</v>
      </c>
      <c r="B16" s="27" t="s">
        <v>20</v>
      </c>
      <c r="C16" s="27" t="s">
        <v>21</v>
      </c>
      <c r="D16" s="27" t="s">
        <v>22</v>
      </c>
      <c r="E16" s="27" t="s">
        <v>23</v>
      </c>
      <c r="F16" s="27" t="s">
        <v>24</v>
      </c>
      <c r="G16" s="29" t="s">
        <v>5</v>
      </c>
    </row>
    <row r="17" spans="1:7" x14ac:dyDescent="0.2">
      <c r="A17" s="46" t="s">
        <v>96</v>
      </c>
      <c r="B17" s="47">
        <f>COUNTIF('Item Detail'!AR:AR,"core")</f>
        <v>15</v>
      </c>
      <c r="C17" s="48">
        <f>B17/H9</f>
        <v>0.22727272727272727</v>
      </c>
      <c r="D17" s="49">
        <f>SUMIF('Item Detail'!$AR:$AR,"core",'Item Detail'!$V:$V)</f>
        <v>1562.75</v>
      </c>
      <c r="E17" s="49">
        <f>SUMIF('Item Detail'!$AR:$AR,"core",'Item Detail'!$AC:$AC)</f>
        <v>1396.9421632653064</v>
      </c>
      <c r="F17" s="50">
        <f>1-E17/D17</f>
        <v>0.10610003950388336</v>
      </c>
      <c r="G17" s="51">
        <f>D17-E17</f>
        <v>165.80783673469364</v>
      </c>
    </row>
    <row r="18" spans="1:7" x14ac:dyDescent="0.2">
      <c r="A18" s="52" t="s">
        <v>97</v>
      </c>
      <c r="B18" s="101">
        <f>H9-B17</f>
        <v>51</v>
      </c>
      <c r="C18" s="53">
        <f>B18/H9</f>
        <v>0.77272727272727271</v>
      </c>
      <c r="D18" s="54">
        <f>SUMIF('Item Detail'!$AR:$AR,"",'Item Detail'!$V:$V)</f>
        <v>9579.8499999999931</v>
      </c>
      <c r="E18" s="54">
        <f>SUMIF('Item Detail'!$AR:$AR,"",'Item Detail'!$AC:$AC)</f>
        <v>6932.5900642197812</v>
      </c>
      <c r="F18" s="55">
        <f>1-E18/D18</f>
        <v>0.2763362616095465</v>
      </c>
      <c r="G18" s="56">
        <f>D18-E18</f>
        <v>2647.2599357802119</v>
      </c>
    </row>
    <row r="19" spans="1:7" x14ac:dyDescent="0.2">
      <c r="A19" s="41" t="s">
        <v>0</v>
      </c>
      <c r="B19" s="57">
        <f>SUM(B17:B18)</f>
        <v>66</v>
      </c>
      <c r="C19" s="58">
        <f>SUM(C17:C18)</f>
        <v>1</v>
      </c>
      <c r="D19" s="59">
        <f>SUM(D17:D18)</f>
        <v>11142.599999999993</v>
      </c>
      <c r="E19" s="59">
        <f>SUM(E17:E18)</f>
        <v>8329.5322274850878</v>
      </c>
      <c r="F19" s="60">
        <f>1-E19/D19</f>
        <v>0.25246062611194042</v>
      </c>
      <c r="G19" s="61">
        <f>SUM(G17:G18)</f>
        <v>2813.0677725149053</v>
      </c>
    </row>
    <row r="20" spans="1:7" x14ac:dyDescent="0.2">
      <c r="A20" s="62"/>
      <c r="B20" s="63"/>
      <c r="C20" s="64"/>
      <c r="D20" s="65"/>
      <c r="E20" s="65"/>
      <c r="F20" s="66"/>
      <c r="G20" s="65"/>
    </row>
    <row r="21" spans="1:7" x14ac:dyDescent="0.2">
      <c r="A21" s="41" t="s">
        <v>55</v>
      </c>
      <c r="B21" s="67">
        <v>0</v>
      </c>
      <c r="C21" s="68"/>
    </row>
    <row r="22" spans="1:7" x14ac:dyDescent="0.2">
      <c r="A22" s="25"/>
    </row>
    <row r="23" spans="1:7" x14ac:dyDescent="0.2">
      <c r="A23" s="6" t="s">
        <v>51</v>
      </c>
    </row>
    <row r="24" spans="1:7" x14ac:dyDescent="0.2">
      <c r="A24" s="6" t="s">
        <v>52</v>
      </c>
    </row>
    <row r="25" spans="1:7" x14ac:dyDescent="0.2">
      <c r="A25" s="6" t="s">
        <v>53</v>
      </c>
    </row>
    <row r="26" spans="1:7" x14ac:dyDescent="0.2">
      <c r="A26" s="6" t="s">
        <v>54</v>
      </c>
    </row>
    <row r="28" spans="1:7" x14ac:dyDescent="0.2">
      <c r="A28" s="6" t="s">
        <v>41</v>
      </c>
    </row>
    <row r="29" spans="1:7" x14ac:dyDescent="0.2">
      <c r="A29" s="69"/>
      <c r="B29" s="70" t="s">
        <v>39</v>
      </c>
      <c r="C29" s="70" t="s">
        <v>40</v>
      </c>
    </row>
    <row r="30" spans="1:7" x14ac:dyDescent="0.2">
      <c r="A30" s="71" t="s">
        <v>37</v>
      </c>
      <c r="B30" s="70">
        <f>COUNT('Cust File'!$A:$A)</f>
        <v>295</v>
      </c>
      <c r="C30" s="72">
        <f>'Cust File'!U1</f>
        <v>117597.22999999991</v>
      </c>
      <c r="D30" s="73"/>
    </row>
    <row r="31" spans="1:7" x14ac:dyDescent="0.2">
      <c r="A31" s="74"/>
      <c r="B31" s="74"/>
      <c r="C31" s="75"/>
    </row>
    <row r="32" spans="1:7" x14ac:dyDescent="0.2">
      <c r="A32" s="76" t="s">
        <v>56</v>
      </c>
      <c r="B32" s="77"/>
      <c r="C32" s="78"/>
    </row>
    <row r="33" spans="1:3" x14ac:dyDescent="0.2">
      <c r="A33" s="69" t="s">
        <v>38</v>
      </c>
      <c r="B33" s="79">
        <f>COUNTA('Item Detail'!$A:$A)-1+COUNTA(Excluded!$A:$A)-1</f>
        <v>295</v>
      </c>
      <c r="C33" s="72">
        <f>SUM('Item Detail'!V:V)+SUM(Excluded!U:U)</f>
        <v>117597.22999999994</v>
      </c>
    </row>
    <row r="34" spans="1:3" x14ac:dyDescent="0.2">
      <c r="A34" s="6" t="s">
        <v>45</v>
      </c>
      <c r="B34" s="74"/>
      <c r="C34" s="75"/>
    </row>
    <row r="35" spans="1:3" x14ac:dyDescent="0.2">
      <c r="A35" s="80" t="s">
        <v>91</v>
      </c>
      <c r="B35" s="74">
        <f>COUNTIF(Excluded!$V:$V,"NOT")</f>
        <v>197</v>
      </c>
      <c r="C35" s="75">
        <f>SUMIF(Excluded!$V:$V,"NOT",Excluded!$U:$U)</f>
        <v>91456.719999999914</v>
      </c>
    </row>
    <row r="36" spans="1:3" x14ac:dyDescent="0.2">
      <c r="A36" s="80" t="s">
        <v>86</v>
      </c>
      <c r="B36" s="74">
        <f>COUNTIF(Excluded!$V:$V,"OEM")</f>
        <v>0</v>
      </c>
      <c r="C36" s="75">
        <f>SUMIF(Excluded!$V:$V,"OEM",Excluded!$U:$U)</f>
        <v>0</v>
      </c>
    </row>
    <row r="37" spans="1:3" x14ac:dyDescent="0.2">
      <c r="A37" s="80" t="s">
        <v>79</v>
      </c>
      <c r="B37" s="74">
        <f>COUNTIF(Excluded!$V:$V,"CID")</f>
        <v>7</v>
      </c>
      <c r="C37" s="75">
        <f>SUMIF(Excluded!$V:$V,"CID",Excluded!$U:$U)</f>
        <v>4037.71</v>
      </c>
    </row>
    <row r="38" spans="1:3" x14ac:dyDescent="0.2">
      <c r="A38" s="80" t="s">
        <v>44</v>
      </c>
      <c r="B38" s="74">
        <f>COUNTIF(Excluded!$V:$V,"ZERO")</f>
        <v>0</v>
      </c>
      <c r="C38" s="75">
        <f>SUMIF(Excluded!$V:$V,"ZERO",Excluded!$U:$U)</f>
        <v>0</v>
      </c>
    </row>
    <row r="39" spans="1:3" x14ac:dyDescent="0.2">
      <c r="A39" s="80" t="s">
        <v>46</v>
      </c>
      <c r="B39" s="74">
        <f>COUNTIF(Excluded!$V:$V,"UOM")</f>
        <v>0</v>
      </c>
      <c r="C39" s="75">
        <f>SUMIF(Excluded!$V:$V,"UOM",Excluded!$U:$U)</f>
        <v>0</v>
      </c>
    </row>
    <row r="40" spans="1:3" x14ac:dyDescent="0.2">
      <c r="A40" s="80" t="s">
        <v>80</v>
      </c>
      <c r="B40" s="74">
        <f>COUNTIF(Excluded!$V:$V,"SOU")</f>
        <v>0</v>
      </c>
      <c r="C40" s="75">
        <f>SUMIF(Excluded!$V:$V,"SOU",Excluded!$U:$U)</f>
        <v>0</v>
      </c>
    </row>
    <row r="41" spans="1:3" x14ac:dyDescent="0.2">
      <c r="A41" s="80" t="s">
        <v>81</v>
      </c>
      <c r="B41" s="74">
        <f>COUNTIF(Excluded!$V:$V,"FIND")</f>
        <v>9</v>
      </c>
      <c r="C41" s="75">
        <f>SUMIF(Excluded!$V:$V,"FIND",Excluded!$U:$U)</f>
        <v>1348.32</v>
      </c>
    </row>
    <row r="42" spans="1:3" x14ac:dyDescent="0.2">
      <c r="A42" s="80" t="s">
        <v>64</v>
      </c>
      <c r="B42" s="74">
        <f>COUNTIF(Excluded!$V:$V,"OBS")</f>
        <v>1</v>
      </c>
      <c r="C42" s="75">
        <f>SUMIF(Excluded!$V:$V,"OBS",Excluded!$U:$U)</f>
        <v>76.33</v>
      </c>
    </row>
    <row r="43" spans="1:3" x14ac:dyDescent="0.2">
      <c r="A43" s="80" t="s">
        <v>65</v>
      </c>
      <c r="B43" s="74">
        <f>COUNTIF(Excluded!$V:$V,"CAPX")</f>
        <v>0</v>
      </c>
      <c r="C43" s="75">
        <f>SUMIF(Excluded!$V:$V,"CAPX",Excluded!$U:$U)</f>
        <v>0</v>
      </c>
    </row>
    <row r="44" spans="1:3" x14ac:dyDescent="0.2">
      <c r="A44" s="80" t="s">
        <v>89</v>
      </c>
      <c r="B44" s="74">
        <f>COUNTIF(Excluded!$V:$V,"OUT")</f>
        <v>0</v>
      </c>
      <c r="C44" s="75">
        <f>SUMIF(Excluded!$V:$V,"OUT",Excluded!$U:$U)</f>
        <v>0</v>
      </c>
    </row>
    <row r="45" spans="1:3" x14ac:dyDescent="0.2">
      <c r="A45" s="80" t="s">
        <v>66</v>
      </c>
      <c r="B45" s="74">
        <f>COUNTIF(Excluded!$V:$V,"ANB")</f>
        <v>13</v>
      </c>
      <c r="C45" s="75">
        <f>SUMIF(Excluded!$V:$V,"ANB",Excluded!$U:$U)</f>
        <v>8768.48</v>
      </c>
    </row>
    <row r="46" spans="1:3" x14ac:dyDescent="0.2">
      <c r="A46" s="80" t="s">
        <v>92</v>
      </c>
      <c r="B46" s="74">
        <f>COUNTIF(Excluded!$V:$V,"TAIL")</f>
        <v>0</v>
      </c>
      <c r="C46" s="75">
        <f>SUMIF(Excluded!$V:$V,"TAIL",Excluded!$U:$U)</f>
        <v>0</v>
      </c>
    </row>
    <row r="47" spans="1:3" x14ac:dyDescent="0.2">
      <c r="A47" s="80" t="s">
        <v>67</v>
      </c>
      <c r="B47" s="74">
        <f>COUNTIF(Excluded!$V:$V,"NM")</f>
        <v>2</v>
      </c>
      <c r="C47" s="75">
        <f>SUMIF(Excluded!$V:$V,"NM",Excluded!$U:$U)</f>
        <v>767.06999999999994</v>
      </c>
    </row>
    <row r="48" spans="1:3" x14ac:dyDescent="0.2">
      <c r="A48" s="81" t="s">
        <v>42</v>
      </c>
      <c r="B48" s="82">
        <f>SUM(B35:B47)</f>
        <v>229</v>
      </c>
      <c r="C48" s="83">
        <f>SUM(C35:C47)</f>
        <v>106454.62999999993</v>
      </c>
    </row>
    <row r="49" spans="1:3" x14ac:dyDescent="0.2">
      <c r="A49" s="84"/>
      <c r="B49" s="40"/>
      <c r="C49" s="85"/>
    </row>
    <row r="50" spans="1:3" x14ac:dyDescent="0.2">
      <c r="A50" s="71" t="s">
        <v>43</v>
      </c>
      <c r="B50" s="71">
        <f>B33-B48</f>
        <v>66</v>
      </c>
      <c r="C50" s="86">
        <f>C33-C48</f>
        <v>11142.600000000006</v>
      </c>
    </row>
    <row r="51" spans="1:3" x14ac:dyDescent="0.2">
      <c r="A51" s="80"/>
      <c r="C51" s="75"/>
    </row>
    <row r="52" spans="1:3" x14ac:dyDescent="0.2">
      <c r="A52" s="80"/>
      <c r="C52" s="7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67"/>
  <sheetViews>
    <sheetView zoomScale="90" zoomScaleNormal="90" workbookViewId="0">
      <pane ySplit="1" topLeftCell="A2" activePane="bottomLeft" state="frozen"/>
      <selection pane="bottomLeft"/>
    </sheetView>
  </sheetViews>
  <sheetFormatPr defaultColWidth="9.140625" defaultRowHeight="12" x14ac:dyDescent="0.2"/>
  <cols>
    <col min="1" max="1" width="9.28515625" style="149" bestFit="1" customWidth="1"/>
    <col min="2" max="2" width="32" style="149" bestFit="1" customWidth="1"/>
    <col min="3" max="3" width="12" style="149" bestFit="1" customWidth="1"/>
    <col min="4" max="4" width="11" style="149" bestFit="1" customWidth="1"/>
    <col min="5" max="5" width="20.85546875" style="149" bestFit="1" customWidth="1"/>
    <col min="6" max="6" width="16.7109375" style="149" bestFit="1" customWidth="1"/>
    <col min="7" max="7" width="31.85546875" style="149" bestFit="1" customWidth="1"/>
    <col min="8" max="8" width="22" style="149" bestFit="1" customWidth="1"/>
    <col min="9" max="9" width="43.85546875" style="149" bestFit="1" customWidth="1"/>
    <col min="10" max="10" width="27.140625" style="149" bestFit="1" customWidth="1"/>
    <col min="11" max="11" width="24" style="149" bestFit="1" customWidth="1"/>
    <col min="12" max="12" width="26.85546875" style="149" bestFit="1" customWidth="1"/>
    <col min="13" max="13" width="14.7109375" style="149" bestFit="1" customWidth="1"/>
    <col min="14" max="14" width="10.42578125" style="149" bestFit="1" customWidth="1"/>
    <col min="15" max="16" width="8.85546875" style="149" bestFit="1" customWidth="1"/>
    <col min="17" max="17" width="7.7109375" style="149" bestFit="1" customWidth="1"/>
    <col min="18" max="18" width="13" style="149" bestFit="1" customWidth="1"/>
    <col min="19" max="19" width="8.7109375" style="150" bestFit="1" customWidth="1"/>
    <col min="20" max="20" width="11.140625" style="149" bestFit="1" customWidth="1"/>
    <col min="21" max="21" width="12.42578125" style="149" bestFit="1" customWidth="1"/>
    <col min="22" max="22" width="12.140625" style="149" bestFit="1" customWidth="1"/>
    <col min="23" max="23" width="13.28515625" style="149" bestFit="1" customWidth="1"/>
    <col min="24" max="24" width="11.7109375" style="149" bestFit="1" customWidth="1"/>
    <col min="25" max="26" width="10.28515625" style="149" bestFit="1" customWidth="1"/>
    <col min="27" max="27" width="11.5703125" style="150" bestFit="1" customWidth="1"/>
    <col min="28" max="28" width="8.7109375" style="149" bestFit="1" customWidth="1"/>
    <col min="29" max="29" width="11.85546875" style="149" bestFit="1" customWidth="1"/>
    <col min="30" max="30" width="11.7109375" style="149" bestFit="1" customWidth="1"/>
    <col min="31" max="31" width="8.7109375" style="149" bestFit="1" customWidth="1"/>
    <col min="32" max="32" width="7.7109375" style="147" customWidth="1"/>
    <col min="33" max="33" width="14" style="148" bestFit="1" customWidth="1"/>
    <col min="34" max="34" width="11.28515625" style="149" bestFit="1" customWidth="1"/>
    <col min="35" max="35" width="11.7109375" style="149" bestFit="1" customWidth="1"/>
    <col min="36" max="36" width="10.7109375" style="149" bestFit="1" customWidth="1"/>
    <col min="37" max="37" width="30.5703125" style="149" bestFit="1" customWidth="1"/>
    <col min="38" max="38" width="9.28515625" style="149" bestFit="1" customWidth="1"/>
    <col min="39" max="39" width="20.5703125" style="147" bestFit="1" customWidth="1"/>
    <col min="40" max="40" width="34.85546875" style="148" bestFit="1" customWidth="1"/>
    <col min="41" max="41" width="17.5703125" style="149" bestFit="1" customWidth="1"/>
    <col min="42" max="42" width="39.85546875" style="149" bestFit="1" customWidth="1"/>
    <col min="43" max="43" width="18.28515625" style="147" bestFit="1" customWidth="1"/>
    <col min="44" max="44" width="12" style="149" bestFit="1" customWidth="1"/>
    <col min="45" max="45" width="42" style="149" bestFit="1" customWidth="1"/>
    <col min="46" max="16384" width="9.140625" style="149"/>
  </cols>
  <sheetData>
    <row r="1" spans="1:45" s="87" customFormat="1" ht="48" x14ac:dyDescent="0.2">
      <c r="A1" s="114" t="s">
        <v>83</v>
      </c>
      <c r="B1" s="115" t="s">
        <v>113</v>
      </c>
      <c r="C1" s="114" t="s">
        <v>110</v>
      </c>
      <c r="D1" s="115" t="s">
        <v>114</v>
      </c>
      <c r="E1" s="115" t="s">
        <v>115</v>
      </c>
      <c r="F1" s="115" t="s">
        <v>116</v>
      </c>
      <c r="G1" s="115" t="s">
        <v>117</v>
      </c>
      <c r="H1" s="115" t="s">
        <v>118</v>
      </c>
      <c r="I1" s="115" t="s">
        <v>119</v>
      </c>
      <c r="J1" s="115" t="s">
        <v>120</v>
      </c>
      <c r="K1" s="115" t="s">
        <v>121</v>
      </c>
      <c r="L1" s="115" t="s">
        <v>122</v>
      </c>
      <c r="M1" s="115" t="s">
        <v>123</v>
      </c>
      <c r="N1" s="115" t="s">
        <v>124</v>
      </c>
      <c r="O1" s="115" t="s">
        <v>101</v>
      </c>
      <c r="P1" s="115" t="s">
        <v>103</v>
      </c>
      <c r="Q1" s="115" t="s">
        <v>102</v>
      </c>
      <c r="R1" s="115" t="s">
        <v>104</v>
      </c>
      <c r="S1" s="116" t="s">
        <v>27</v>
      </c>
      <c r="T1" s="115" t="s">
        <v>28</v>
      </c>
      <c r="U1" s="116" t="s">
        <v>109</v>
      </c>
      <c r="V1" s="116" t="s">
        <v>108</v>
      </c>
      <c r="W1" s="115" t="s">
        <v>84</v>
      </c>
      <c r="X1" s="117" t="s">
        <v>5</v>
      </c>
      <c r="Y1" s="118" t="s">
        <v>24</v>
      </c>
      <c r="Z1" s="119" t="s">
        <v>29</v>
      </c>
      <c r="AA1" s="120" t="s">
        <v>31</v>
      </c>
      <c r="AB1" s="120" t="s">
        <v>82</v>
      </c>
      <c r="AC1" s="120" t="s">
        <v>58</v>
      </c>
      <c r="AD1" s="120" t="s">
        <v>59</v>
      </c>
      <c r="AE1" s="121" t="s">
        <v>30</v>
      </c>
      <c r="AF1" s="121" t="s">
        <v>35</v>
      </c>
      <c r="AG1" s="122" t="s">
        <v>50</v>
      </c>
      <c r="AH1" s="123" t="s">
        <v>61</v>
      </c>
      <c r="AI1" s="123" t="s">
        <v>62</v>
      </c>
      <c r="AJ1" s="123" t="s">
        <v>60</v>
      </c>
      <c r="AK1" s="123" t="s">
        <v>25</v>
      </c>
      <c r="AL1" s="123" t="s">
        <v>88</v>
      </c>
      <c r="AM1" s="123" t="s">
        <v>26</v>
      </c>
      <c r="AN1" s="123" t="s">
        <v>32</v>
      </c>
      <c r="AO1" s="123" t="s">
        <v>33</v>
      </c>
      <c r="AP1" s="123" t="s">
        <v>34</v>
      </c>
      <c r="AQ1" s="123" t="s">
        <v>94</v>
      </c>
      <c r="AR1" s="124" t="s">
        <v>95</v>
      </c>
      <c r="AS1" s="129" t="s">
        <v>90</v>
      </c>
    </row>
    <row r="2" spans="1:45" ht="15" x14ac:dyDescent="0.25">
      <c r="A2" s="140">
        <v>16</v>
      </c>
      <c r="B2" s="141" t="s">
        <v>125</v>
      </c>
      <c r="C2" s="141">
        <v>278</v>
      </c>
      <c r="D2" s="141"/>
      <c r="E2" s="141"/>
      <c r="F2" s="142">
        <v>44560</v>
      </c>
      <c r="G2" s="143" t="s">
        <v>185</v>
      </c>
      <c r="H2" s="141"/>
      <c r="I2" s="143" t="s">
        <v>186</v>
      </c>
      <c r="J2" s="144" t="s">
        <v>187</v>
      </c>
      <c r="K2" s="143" t="s">
        <v>188</v>
      </c>
      <c r="L2" s="143" t="s">
        <v>130</v>
      </c>
      <c r="M2" s="141"/>
      <c r="N2" s="141"/>
      <c r="O2" s="143" t="s">
        <v>93</v>
      </c>
      <c r="P2" s="145">
        <v>1</v>
      </c>
      <c r="Q2" s="145">
        <v>10</v>
      </c>
      <c r="R2" s="146">
        <v>158.04</v>
      </c>
      <c r="S2" s="125">
        <f t="shared" ref="S2:S64" si="0">R2/P2</f>
        <v>158.04</v>
      </c>
      <c r="T2" s="126">
        <f t="shared" ref="T2:T64" si="1">Q2*P2</f>
        <v>10</v>
      </c>
      <c r="U2" s="125">
        <f t="shared" ref="U2:U64" si="2">T2*S2</f>
        <v>1580.3999999999999</v>
      </c>
      <c r="V2" s="146">
        <v>1580.3999999999999</v>
      </c>
      <c r="W2" s="126" t="b">
        <f t="shared" ref="W2:W64" si="3">V2=U2</f>
        <v>1</v>
      </c>
      <c r="X2" s="125">
        <f t="shared" ref="X2:X64" si="4">V2-AC2</f>
        <v>1396.9387755102039</v>
      </c>
      <c r="Y2" s="127">
        <f t="shared" ref="Y2:Y64" si="5">X2/V2</f>
        <v>0.88391468964199194</v>
      </c>
      <c r="Z2" s="128" t="str">
        <f t="shared" ref="Z2:Z64" si="6">IF(Y2&lt;0,"Negative",IF(Y2=0,"Same",IF(Y2&gt;0.3,"30+%",IF(Y2&gt;0.2,"20-30%",IF(Y2&gt;0.1,"10-20%",IF(Y2&lt;=0.1,"0-10%"))))))</f>
        <v>30+%</v>
      </c>
      <c r="AA2" s="136">
        <v>18.346122448979592</v>
      </c>
      <c r="AB2" s="109">
        <v>1</v>
      </c>
      <c r="AC2" s="125">
        <f t="shared" ref="AC2:AC64" si="7">AA2/AB2*T2</f>
        <v>183.46122448979594</v>
      </c>
      <c r="AD2" s="125">
        <f t="shared" ref="AD2:AD64" si="8">AA2/AB2</f>
        <v>18.346122448979592</v>
      </c>
      <c r="AE2" s="140" t="s">
        <v>982</v>
      </c>
      <c r="AF2" s="151"/>
      <c r="AG2" s="152"/>
      <c r="AH2" s="126" t="s">
        <v>93</v>
      </c>
      <c r="AI2" s="126">
        <v>1</v>
      </c>
      <c r="AJ2" s="139">
        <v>95005496</v>
      </c>
      <c r="AK2" s="139" t="s">
        <v>986</v>
      </c>
      <c r="AL2" s="139" t="s">
        <v>987</v>
      </c>
      <c r="AM2" s="139" t="s">
        <v>988</v>
      </c>
      <c r="AN2" s="139" t="s">
        <v>989</v>
      </c>
      <c r="AO2" s="109" t="s">
        <v>69</v>
      </c>
      <c r="AP2" s="109" t="s">
        <v>990</v>
      </c>
      <c r="AQ2" s="109" t="s">
        <v>991</v>
      </c>
      <c r="AR2" s="109"/>
    </row>
    <row r="3" spans="1:45" ht="15" x14ac:dyDescent="0.25">
      <c r="A3" s="140">
        <v>25</v>
      </c>
      <c r="B3" s="141" t="s">
        <v>125</v>
      </c>
      <c r="C3" s="141">
        <v>387</v>
      </c>
      <c r="D3" s="141"/>
      <c r="E3" s="141"/>
      <c r="F3" s="142">
        <v>44539</v>
      </c>
      <c r="G3" s="143" t="s">
        <v>185</v>
      </c>
      <c r="H3" s="141"/>
      <c r="I3" s="143" t="s">
        <v>215</v>
      </c>
      <c r="J3" s="144" t="s">
        <v>187</v>
      </c>
      <c r="K3" s="143" t="s">
        <v>216</v>
      </c>
      <c r="L3" s="143" t="s">
        <v>130</v>
      </c>
      <c r="M3" s="141"/>
      <c r="N3" s="141"/>
      <c r="O3" s="143" t="s">
        <v>93</v>
      </c>
      <c r="P3" s="145">
        <v>20</v>
      </c>
      <c r="Q3" s="145">
        <v>20</v>
      </c>
      <c r="R3" s="146">
        <v>60.93</v>
      </c>
      <c r="S3" s="125">
        <f t="shared" si="0"/>
        <v>3.0465</v>
      </c>
      <c r="T3" s="126">
        <f t="shared" si="1"/>
        <v>400</v>
      </c>
      <c r="U3" s="125">
        <f t="shared" si="2"/>
        <v>1218.5999999999999</v>
      </c>
      <c r="V3" s="146">
        <v>1218.5999999999999</v>
      </c>
      <c r="W3" s="126" t="b">
        <f t="shared" si="3"/>
        <v>1</v>
      </c>
      <c r="X3" s="125">
        <f t="shared" si="4"/>
        <v>127.19999999999982</v>
      </c>
      <c r="Y3" s="127">
        <f t="shared" si="5"/>
        <v>0.10438207779418991</v>
      </c>
      <c r="Z3" s="128" t="str">
        <f t="shared" si="6"/>
        <v>10-20%</v>
      </c>
      <c r="AA3" s="136">
        <v>272.85000000000002</v>
      </c>
      <c r="AB3" s="109">
        <v>100</v>
      </c>
      <c r="AC3" s="125">
        <f t="shared" si="7"/>
        <v>1091.4000000000001</v>
      </c>
      <c r="AD3" s="125">
        <f t="shared" si="8"/>
        <v>2.7285000000000004</v>
      </c>
      <c r="AE3" s="140" t="s">
        <v>983</v>
      </c>
      <c r="AF3" s="151"/>
      <c r="AG3" s="153" t="s">
        <v>1149</v>
      </c>
      <c r="AH3" s="126" t="s">
        <v>93</v>
      </c>
      <c r="AI3" s="126">
        <v>1</v>
      </c>
      <c r="AJ3" s="139">
        <v>25183386</v>
      </c>
      <c r="AK3" s="139" t="s">
        <v>992</v>
      </c>
      <c r="AL3" s="139" t="s">
        <v>993</v>
      </c>
      <c r="AM3" s="139" t="s">
        <v>994</v>
      </c>
      <c r="AN3" s="139" t="s">
        <v>995</v>
      </c>
      <c r="AO3" s="109" t="s">
        <v>73</v>
      </c>
      <c r="AP3" s="109" t="s">
        <v>996</v>
      </c>
      <c r="AQ3" s="109" t="s">
        <v>997</v>
      </c>
      <c r="AR3" s="109"/>
    </row>
    <row r="4" spans="1:45" ht="15" x14ac:dyDescent="0.25">
      <c r="A4" s="140">
        <v>31</v>
      </c>
      <c r="B4" s="141" t="s">
        <v>125</v>
      </c>
      <c r="C4" s="141">
        <v>485</v>
      </c>
      <c r="D4" s="141"/>
      <c r="E4" s="141"/>
      <c r="F4" s="142">
        <v>44560</v>
      </c>
      <c r="G4" s="143" t="s">
        <v>185</v>
      </c>
      <c r="H4" s="141"/>
      <c r="I4" s="143" t="s">
        <v>232</v>
      </c>
      <c r="J4" s="144" t="s">
        <v>187</v>
      </c>
      <c r="K4" s="143" t="s">
        <v>233</v>
      </c>
      <c r="L4" s="143" t="s">
        <v>130</v>
      </c>
      <c r="M4" s="141"/>
      <c r="N4" s="141"/>
      <c r="O4" s="143" t="s">
        <v>93</v>
      </c>
      <c r="P4" s="145">
        <v>1</v>
      </c>
      <c r="Q4" s="145">
        <v>20</v>
      </c>
      <c r="R4" s="146">
        <v>49.46</v>
      </c>
      <c r="S4" s="125">
        <f t="shared" si="0"/>
        <v>49.46</v>
      </c>
      <c r="T4" s="126">
        <f t="shared" si="1"/>
        <v>20</v>
      </c>
      <c r="U4" s="125">
        <f t="shared" si="2"/>
        <v>989.2</v>
      </c>
      <c r="V4" s="146">
        <v>989.2</v>
      </c>
      <c r="W4" s="126" t="b">
        <f t="shared" si="3"/>
        <v>1</v>
      </c>
      <c r="X4" s="125">
        <f t="shared" si="4"/>
        <v>964.22040816326535</v>
      </c>
      <c r="Y4" s="127">
        <f t="shared" si="5"/>
        <v>0.9747476831411902</v>
      </c>
      <c r="Z4" s="128" t="str">
        <f t="shared" si="6"/>
        <v>30+%</v>
      </c>
      <c r="AA4" s="136">
        <v>1.2489795918367348</v>
      </c>
      <c r="AB4" s="109">
        <v>1</v>
      </c>
      <c r="AC4" s="125">
        <f t="shared" si="7"/>
        <v>24.979591836734695</v>
      </c>
      <c r="AD4" s="125">
        <f t="shared" si="8"/>
        <v>1.2489795918367348</v>
      </c>
      <c r="AE4" s="140" t="s">
        <v>983</v>
      </c>
      <c r="AF4" s="151"/>
      <c r="AG4" s="152"/>
      <c r="AH4" s="126" t="s">
        <v>93</v>
      </c>
      <c r="AI4" s="126">
        <v>1</v>
      </c>
      <c r="AJ4" s="139">
        <v>90004681</v>
      </c>
      <c r="AK4" s="139" t="s">
        <v>998</v>
      </c>
      <c r="AL4" s="139" t="s">
        <v>999</v>
      </c>
      <c r="AM4" s="139" t="s">
        <v>1000</v>
      </c>
      <c r="AN4" s="139" t="s">
        <v>1001</v>
      </c>
      <c r="AO4" s="109" t="s">
        <v>69</v>
      </c>
      <c r="AP4" s="109" t="s">
        <v>1002</v>
      </c>
      <c r="AQ4" s="109" t="s">
        <v>991</v>
      </c>
      <c r="AR4" s="109"/>
    </row>
    <row r="5" spans="1:45" ht="15" x14ac:dyDescent="0.25">
      <c r="A5" s="140">
        <v>52</v>
      </c>
      <c r="B5" s="141" t="s">
        <v>125</v>
      </c>
      <c r="C5" s="141">
        <v>825</v>
      </c>
      <c r="D5" s="141"/>
      <c r="E5" s="141"/>
      <c r="F5" s="142">
        <v>44431</v>
      </c>
      <c r="G5" s="143" t="s">
        <v>136</v>
      </c>
      <c r="H5" s="141"/>
      <c r="I5" s="143" t="s">
        <v>294</v>
      </c>
      <c r="J5" s="144" t="s">
        <v>138</v>
      </c>
      <c r="K5" s="143" t="s">
        <v>295</v>
      </c>
      <c r="L5" s="143" t="s">
        <v>135</v>
      </c>
      <c r="M5" s="141"/>
      <c r="N5" s="141"/>
      <c r="O5" s="143" t="s">
        <v>93</v>
      </c>
      <c r="P5" s="145">
        <v>1</v>
      </c>
      <c r="Q5" s="145">
        <v>12</v>
      </c>
      <c r="R5" s="146">
        <v>45.32</v>
      </c>
      <c r="S5" s="125">
        <f t="shared" si="0"/>
        <v>45.32</v>
      </c>
      <c r="T5" s="126">
        <f t="shared" si="1"/>
        <v>12</v>
      </c>
      <c r="U5" s="125">
        <f t="shared" si="2"/>
        <v>543.84</v>
      </c>
      <c r="V5" s="146">
        <v>543.84</v>
      </c>
      <c r="W5" s="126" t="b">
        <f t="shared" si="3"/>
        <v>1</v>
      </c>
      <c r="X5" s="125">
        <f t="shared" si="4"/>
        <v>195.95755102040818</v>
      </c>
      <c r="Y5" s="127">
        <f t="shared" si="5"/>
        <v>0.36032206351207741</v>
      </c>
      <c r="Z5" s="128" t="str">
        <f t="shared" si="6"/>
        <v>30+%</v>
      </c>
      <c r="AA5" s="136">
        <v>28.990204081632655</v>
      </c>
      <c r="AB5" s="109">
        <v>1</v>
      </c>
      <c r="AC5" s="125">
        <f t="shared" si="7"/>
        <v>347.88244897959186</v>
      </c>
      <c r="AD5" s="125">
        <f t="shared" si="8"/>
        <v>28.990204081632655</v>
      </c>
      <c r="AE5" s="140" t="s">
        <v>983</v>
      </c>
      <c r="AF5" s="151"/>
      <c r="AG5" s="152"/>
      <c r="AH5" s="126" t="s">
        <v>93</v>
      </c>
      <c r="AI5" s="126">
        <v>1</v>
      </c>
      <c r="AJ5" s="139">
        <v>88247319</v>
      </c>
      <c r="AK5" s="139" t="s">
        <v>1003</v>
      </c>
      <c r="AL5" s="139" t="s">
        <v>1004</v>
      </c>
      <c r="AM5" s="139" t="s">
        <v>1005</v>
      </c>
      <c r="AN5" s="139" t="s">
        <v>1006</v>
      </c>
      <c r="AO5" s="109" t="s">
        <v>68</v>
      </c>
      <c r="AP5" s="109" t="s">
        <v>1007</v>
      </c>
      <c r="AQ5" s="109" t="s">
        <v>991</v>
      </c>
      <c r="AR5" s="109"/>
    </row>
    <row r="6" spans="1:45" ht="15" x14ac:dyDescent="0.25">
      <c r="A6" s="140">
        <v>67</v>
      </c>
      <c r="B6" s="141" t="s">
        <v>125</v>
      </c>
      <c r="C6" s="141">
        <v>1010</v>
      </c>
      <c r="D6" s="141"/>
      <c r="E6" s="141"/>
      <c r="F6" s="142">
        <v>44530</v>
      </c>
      <c r="G6" s="143" t="s">
        <v>259</v>
      </c>
      <c r="H6" s="141"/>
      <c r="I6" s="143" t="s">
        <v>341</v>
      </c>
      <c r="J6" s="144" t="s">
        <v>211</v>
      </c>
      <c r="K6" s="143" t="s">
        <v>342</v>
      </c>
      <c r="L6" s="143" t="s">
        <v>144</v>
      </c>
      <c r="M6" s="141"/>
      <c r="N6" s="141"/>
      <c r="O6" s="143" t="s">
        <v>93</v>
      </c>
      <c r="P6" s="145">
        <v>1</v>
      </c>
      <c r="Q6" s="145">
        <v>3</v>
      </c>
      <c r="R6" s="146">
        <v>137.97999999999999</v>
      </c>
      <c r="S6" s="125">
        <f t="shared" si="0"/>
        <v>137.97999999999999</v>
      </c>
      <c r="T6" s="126">
        <f t="shared" si="1"/>
        <v>3</v>
      </c>
      <c r="U6" s="125">
        <f t="shared" si="2"/>
        <v>413.93999999999994</v>
      </c>
      <c r="V6" s="146">
        <v>413.93999999999994</v>
      </c>
      <c r="W6" s="126" t="b">
        <f t="shared" si="3"/>
        <v>1</v>
      </c>
      <c r="X6" s="125">
        <f t="shared" si="4"/>
        <v>-59.006938775510321</v>
      </c>
      <c r="Y6" s="127">
        <f t="shared" si="5"/>
        <v>-0.14254949696939248</v>
      </c>
      <c r="Z6" s="128" t="str">
        <f t="shared" si="6"/>
        <v>Negative</v>
      </c>
      <c r="AA6" s="136">
        <v>157.64897959183676</v>
      </c>
      <c r="AB6" s="109">
        <v>1</v>
      </c>
      <c r="AC6" s="125">
        <f t="shared" si="7"/>
        <v>472.94693877551026</v>
      </c>
      <c r="AD6" s="125">
        <f t="shared" si="8"/>
        <v>157.64897959183676</v>
      </c>
      <c r="AE6" s="140" t="s">
        <v>982</v>
      </c>
      <c r="AF6" s="151"/>
      <c r="AG6" s="152"/>
      <c r="AH6" s="126" t="s">
        <v>93</v>
      </c>
      <c r="AI6" s="126">
        <v>1</v>
      </c>
      <c r="AJ6" s="139" t="s">
        <v>1008</v>
      </c>
      <c r="AK6" s="139" t="s">
        <v>1009</v>
      </c>
      <c r="AL6" s="139" t="s">
        <v>1010</v>
      </c>
      <c r="AM6" s="139" t="s">
        <v>1011</v>
      </c>
      <c r="AN6" s="139"/>
      <c r="AO6" s="109" t="s">
        <v>68</v>
      </c>
      <c r="AP6" s="109"/>
      <c r="AQ6" s="109" t="s">
        <v>997</v>
      </c>
      <c r="AR6" s="109"/>
    </row>
    <row r="7" spans="1:45" ht="15" x14ac:dyDescent="0.25">
      <c r="A7" s="140">
        <v>75</v>
      </c>
      <c r="B7" s="141" t="s">
        <v>125</v>
      </c>
      <c r="C7" s="141">
        <v>1143</v>
      </c>
      <c r="D7" s="141"/>
      <c r="E7" s="141"/>
      <c r="F7" s="142">
        <v>44298</v>
      </c>
      <c r="G7" s="143" t="s">
        <v>145</v>
      </c>
      <c r="H7" s="141"/>
      <c r="I7" s="143" t="s">
        <v>361</v>
      </c>
      <c r="J7" s="144" t="s">
        <v>362</v>
      </c>
      <c r="K7" s="143" t="s">
        <v>363</v>
      </c>
      <c r="L7" s="143" t="s">
        <v>135</v>
      </c>
      <c r="M7" s="141"/>
      <c r="N7" s="141"/>
      <c r="O7" s="143" t="s">
        <v>93</v>
      </c>
      <c r="P7" s="145">
        <v>1</v>
      </c>
      <c r="Q7" s="145">
        <v>4</v>
      </c>
      <c r="R7" s="146">
        <v>89.96</v>
      </c>
      <c r="S7" s="125">
        <f t="shared" si="0"/>
        <v>89.96</v>
      </c>
      <c r="T7" s="126">
        <f t="shared" si="1"/>
        <v>4</v>
      </c>
      <c r="U7" s="125">
        <f t="shared" si="2"/>
        <v>359.84</v>
      </c>
      <c r="V7" s="146">
        <v>359.84</v>
      </c>
      <c r="W7" s="126" t="b">
        <f t="shared" si="3"/>
        <v>1</v>
      </c>
      <c r="X7" s="125">
        <f t="shared" si="4"/>
        <v>-245.22122448979604</v>
      </c>
      <c r="Y7" s="127">
        <f t="shared" si="5"/>
        <v>-0.68147294489160759</v>
      </c>
      <c r="Z7" s="128" t="str">
        <f t="shared" si="6"/>
        <v>Negative</v>
      </c>
      <c r="AA7" s="136">
        <v>151.265306122449</v>
      </c>
      <c r="AB7" s="109">
        <v>1</v>
      </c>
      <c r="AC7" s="125">
        <f t="shared" si="7"/>
        <v>605.06122448979602</v>
      </c>
      <c r="AD7" s="125">
        <f t="shared" si="8"/>
        <v>151.265306122449</v>
      </c>
      <c r="AE7" s="140" t="s">
        <v>983</v>
      </c>
      <c r="AF7" s="151"/>
      <c r="AG7" s="152"/>
      <c r="AH7" s="126" t="s">
        <v>93</v>
      </c>
      <c r="AI7" s="126">
        <v>1</v>
      </c>
      <c r="AJ7" s="139">
        <v>88126853</v>
      </c>
      <c r="AK7" s="139" t="s">
        <v>986</v>
      </c>
      <c r="AL7" s="139" t="s">
        <v>987</v>
      </c>
      <c r="AM7" s="139" t="s">
        <v>363</v>
      </c>
      <c r="AN7" s="139" t="s">
        <v>1012</v>
      </c>
      <c r="AO7" s="109" t="s">
        <v>69</v>
      </c>
      <c r="AP7" s="109" t="s">
        <v>1013</v>
      </c>
      <c r="AQ7" s="109" t="s">
        <v>991</v>
      </c>
      <c r="AR7" s="109"/>
    </row>
    <row r="8" spans="1:45" ht="15" x14ac:dyDescent="0.25">
      <c r="A8" s="140">
        <v>88</v>
      </c>
      <c r="B8" s="141" t="s">
        <v>125</v>
      </c>
      <c r="C8" s="141">
        <v>1280</v>
      </c>
      <c r="D8" s="141"/>
      <c r="E8" s="141"/>
      <c r="F8" s="142">
        <v>44419</v>
      </c>
      <c r="G8" s="143" t="s">
        <v>136</v>
      </c>
      <c r="H8" s="141"/>
      <c r="I8" s="143" t="s">
        <v>403</v>
      </c>
      <c r="J8" s="144" t="s">
        <v>138</v>
      </c>
      <c r="K8" s="143" t="s">
        <v>404</v>
      </c>
      <c r="L8" s="143" t="s">
        <v>135</v>
      </c>
      <c r="M8" s="141"/>
      <c r="N8" s="141"/>
      <c r="O8" s="143" t="s">
        <v>93</v>
      </c>
      <c r="P8" s="145">
        <v>1</v>
      </c>
      <c r="Q8" s="145">
        <v>10</v>
      </c>
      <c r="R8" s="146">
        <v>30.85</v>
      </c>
      <c r="S8" s="125">
        <f t="shared" si="0"/>
        <v>30.85</v>
      </c>
      <c r="T8" s="126">
        <f t="shared" si="1"/>
        <v>10</v>
      </c>
      <c r="U8" s="125">
        <f t="shared" si="2"/>
        <v>308.5</v>
      </c>
      <c r="V8" s="146">
        <v>308.5</v>
      </c>
      <c r="W8" s="126" t="b">
        <f t="shared" si="3"/>
        <v>1</v>
      </c>
      <c r="X8" s="125">
        <f t="shared" si="4"/>
        <v>93.953061224489772</v>
      </c>
      <c r="Y8" s="127">
        <f t="shared" si="5"/>
        <v>0.30454801045215485</v>
      </c>
      <c r="Z8" s="128" t="str">
        <f t="shared" si="6"/>
        <v>30+%</v>
      </c>
      <c r="AA8" s="136">
        <v>21.454693877551023</v>
      </c>
      <c r="AB8" s="109">
        <v>1</v>
      </c>
      <c r="AC8" s="125">
        <f t="shared" si="7"/>
        <v>214.54693877551023</v>
      </c>
      <c r="AD8" s="125">
        <f t="shared" si="8"/>
        <v>21.454693877551023</v>
      </c>
      <c r="AE8" s="140" t="s">
        <v>983</v>
      </c>
      <c r="AF8" s="151"/>
      <c r="AG8" s="152"/>
      <c r="AH8" s="126" t="s">
        <v>93</v>
      </c>
      <c r="AI8" s="126">
        <v>1</v>
      </c>
      <c r="AJ8" s="139">
        <v>88319020</v>
      </c>
      <c r="AK8" s="139" t="s">
        <v>1014</v>
      </c>
      <c r="AL8" s="139" t="s">
        <v>1015</v>
      </c>
      <c r="AM8" s="139" t="s">
        <v>1016</v>
      </c>
      <c r="AN8" s="139" t="s">
        <v>1017</v>
      </c>
      <c r="AO8" s="109" t="s">
        <v>75</v>
      </c>
      <c r="AP8" s="109" t="s">
        <v>1018</v>
      </c>
      <c r="AQ8" s="109" t="s">
        <v>991</v>
      </c>
      <c r="AR8" s="109"/>
    </row>
    <row r="9" spans="1:45" ht="15" x14ac:dyDescent="0.25">
      <c r="A9" s="140">
        <v>91</v>
      </c>
      <c r="B9" s="141" t="s">
        <v>125</v>
      </c>
      <c r="C9" s="141">
        <v>1302</v>
      </c>
      <c r="D9" s="141"/>
      <c r="E9" s="141"/>
      <c r="F9" s="142">
        <v>44223</v>
      </c>
      <c r="G9" s="143" t="s">
        <v>145</v>
      </c>
      <c r="H9" s="141"/>
      <c r="I9" s="143" t="s">
        <v>411</v>
      </c>
      <c r="J9" s="144" t="s">
        <v>412</v>
      </c>
      <c r="K9" s="143" t="s">
        <v>413</v>
      </c>
      <c r="L9" s="143" t="s">
        <v>135</v>
      </c>
      <c r="M9" s="141"/>
      <c r="N9" s="141"/>
      <c r="O9" s="143" t="s">
        <v>93</v>
      </c>
      <c r="P9" s="145">
        <v>1</v>
      </c>
      <c r="Q9" s="145">
        <v>16</v>
      </c>
      <c r="R9" s="146">
        <v>18.89</v>
      </c>
      <c r="S9" s="125">
        <f t="shared" si="0"/>
        <v>18.89</v>
      </c>
      <c r="T9" s="126">
        <f t="shared" si="1"/>
        <v>16</v>
      </c>
      <c r="U9" s="125">
        <f t="shared" si="2"/>
        <v>302.24</v>
      </c>
      <c r="V9" s="146">
        <v>302.24</v>
      </c>
      <c r="W9" s="126" t="b">
        <f t="shared" si="3"/>
        <v>1</v>
      </c>
      <c r="X9" s="125">
        <f t="shared" si="4"/>
        <v>-32.153469387755081</v>
      </c>
      <c r="Y9" s="127">
        <f t="shared" si="5"/>
        <v>-0.106383898186061</v>
      </c>
      <c r="Z9" s="128" t="str">
        <f t="shared" si="6"/>
        <v>Negative</v>
      </c>
      <c r="AA9" s="136">
        <v>20.899591836734693</v>
      </c>
      <c r="AB9" s="109">
        <v>1</v>
      </c>
      <c r="AC9" s="125">
        <f t="shared" si="7"/>
        <v>334.39346938775509</v>
      </c>
      <c r="AD9" s="125">
        <f t="shared" si="8"/>
        <v>20.899591836734693</v>
      </c>
      <c r="AE9" s="140" t="s">
        <v>983</v>
      </c>
      <c r="AF9" s="151"/>
      <c r="AG9" s="152"/>
      <c r="AH9" s="126" t="s">
        <v>93</v>
      </c>
      <c r="AI9" s="126">
        <v>1</v>
      </c>
      <c r="AJ9" s="139">
        <v>88132577</v>
      </c>
      <c r="AK9" s="139" t="s">
        <v>1019</v>
      </c>
      <c r="AL9" s="139" t="s">
        <v>1020</v>
      </c>
      <c r="AM9" s="139" t="s">
        <v>413</v>
      </c>
      <c r="AN9" s="139" t="s">
        <v>1021</v>
      </c>
      <c r="AO9" s="109" t="s">
        <v>69</v>
      </c>
      <c r="AP9" s="109" t="s">
        <v>1022</v>
      </c>
      <c r="AQ9" s="109" t="s">
        <v>991</v>
      </c>
      <c r="AR9" s="109"/>
    </row>
    <row r="10" spans="1:45" ht="15" x14ac:dyDescent="0.25">
      <c r="A10" s="140">
        <v>99</v>
      </c>
      <c r="B10" s="141" t="s">
        <v>125</v>
      </c>
      <c r="C10" s="141">
        <v>1414</v>
      </c>
      <c r="D10" s="141"/>
      <c r="E10" s="141"/>
      <c r="F10" s="142">
        <v>44431</v>
      </c>
      <c r="G10" s="143" t="s">
        <v>136</v>
      </c>
      <c r="H10" s="141"/>
      <c r="I10" s="143" t="s">
        <v>440</v>
      </c>
      <c r="J10" s="144" t="s">
        <v>138</v>
      </c>
      <c r="K10" s="143" t="s">
        <v>441</v>
      </c>
      <c r="L10" s="143" t="s">
        <v>135</v>
      </c>
      <c r="M10" s="141"/>
      <c r="N10" s="141"/>
      <c r="O10" s="143" t="s">
        <v>93</v>
      </c>
      <c r="P10" s="145">
        <v>1</v>
      </c>
      <c r="Q10" s="145">
        <v>6</v>
      </c>
      <c r="R10" s="146">
        <v>43.77</v>
      </c>
      <c r="S10" s="125">
        <f t="shared" si="0"/>
        <v>43.77</v>
      </c>
      <c r="T10" s="126">
        <f t="shared" si="1"/>
        <v>6</v>
      </c>
      <c r="U10" s="125">
        <f t="shared" si="2"/>
        <v>262.62</v>
      </c>
      <c r="V10" s="146">
        <v>262.62</v>
      </c>
      <c r="W10" s="126" t="b">
        <f t="shared" si="3"/>
        <v>1</v>
      </c>
      <c r="X10" s="125">
        <f t="shared" si="4"/>
        <v>82.080000000000013</v>
      </c>
      <c r="Y10" s="127">
        <f t="shared" si="5"/>
        <v>0.31254283755997264</v>
      </c>
      <c r="Z10" s="128" t="str">
        <f t="shared" si="6"/>
        <v>30+%</v>
      </c>
      <c r="AA10" s="136">
        <v>30.09</v>
      </c>
      <c r="AB10" s="109">
        <v>1</v>
      </c>
      <c r="AC10" s="125">
        <f t="shared" si="7"/>
        <v>180.54</v>
      </c>
      <c r="AD10" s="125">
        <f t="shared" si="8"/>
        <v>30.09</v>
      </c>
      <c r="AE10" s="140" t="s">
        <v>983</v>
      </c>
      <c r="AF10" s="151"/>
      <c r="AG10" s="152"/>
      <c r="AH10" s="126" t="s">
        <v>93</v>
      </c>
      <c r="AI10" s="126">
        <v>1</v>
      </c>
      <c r="AJ10" s="139">
        <v>88247761</v>
      </c>
      <c r="AK10" s="139" t="s">
        <v>1003</v>
      </c>
      <c r="AL10" s="139" t="s">
        <v>1004</v>
      </c>
      <c r="AM10" s="139" t="s">
        <v>1023</v>
      </c>
      <c r="AN10" s="139" t="s">
        <v>1024</v>
      </c>
      <c r="AO10" s="109" t="s">
        <v>68</v>
      </c>
      <c r="AP10" s="109" t="s">
        <v>1007</v>
      </c>
      <c r="AQ10" s="109" t="s">
        <v>1025</v>
      </c>
      <c r="AR10" s="109"/>
    </row>
    <row r="11" spans="1:45" ht="15" x14ac:dyDescent="0.25">
      <c r="A11" s="140">
        <v>106</v>
      </c>
      <c r="B11" s="141" t="s">
        <v>125</v>
      </c>
      <c r="C11" s="141">
        <v>1501</v>
      </c>
      <c r="D11" s="141"/>
      <c r="E11" s="141"/>
      <c r="F11" s="142">
        <v>44539</v>
      </c>
      <c r="G11" s="143" t="s">
        <v>185</v>
      </c>
      <c r="H11" s="141"/>
      <c r="I11" s="143" t="s">
        <v>460</v>
      </c>
      <c r="J11" s="144" t="s">
        <v>187</v>
      </c>
      <c r="K11" s="143" t="s">
        <v>461</v>
      </c>
      <c r="L11" s="143" t="s">
        <v>130</v>
      </c>
      <c r="M11" s="141"/>
      <c r="N11" s="141"/>
      <c r="O11" s="143" t="s">
        <v>93</v>
      </c>
      <c r="P11" s="145">
        <v>1</v>
      </c>
      <c r="Q11" s="145">
        <v>10</v>
      </c>
      <c r="R11" s="146">
        <v>23.52</v>
      </c>
      <c r="S11" s="125">
        <f t="shared" si="0"/>
        <v>23.52</v>
      </c>
      <c r="T11" s="126">
        <f t="shared" si="1"/>
        <v>10</v>
      </c>
      <c r="U11" s="125">
        <f t="shared" si="2"/>
        <v>235.2</v>
      </c>
      <c r="V11" s="146">
        <v>235.2</v>
      </c>
      <c r="W11" s="126" t="b">
        <f t="shared" si="3"/>
        <v>1</v>
      </c>
      <c r="X11" s="125">
        <f t="shared" si="4"/>
        <v>214.04807692307691</v>
      </c>
      <c r="Y11" s="127">
        <f t="shared" si="5"/>
        <v>0.91006835426478283</v>
      </c>
      <c r="Z11" s="128" t="str">
        <f t="shared" si="6"/>
        <v>30+%</v>
      </c>
      <c r="AA11" s="136">
        <v>211.51923076923077</v>
      </c>
      <c r="AB11" s="109">
        <v>100</v>
      </c>
      <c r="AC11" s="125">
        <f t="shared" si="7"/>
        <v>21.151923076923076</v>
      </c>
      <c r="AD11" s="125">
        <f t="shared" si="8"/>
        <v>2.1151923076923076</v>
      </c>
      <c r="AE11" s="140" t="s">
        <v>983</v>
      </c>
      <c r="AF11" s="151"/>
      <c r="AG11" s="152"/>
      <c r="AH11" s="126" t="s">
        <v>93</v>
      </c>
      <c r="AI11" s="126">
        <v>1</v>
      </c>
      <c r="AJ11" s="139">
        <v>25184887</v>
      </c>
      <c r="AK11" s="139" t="s">
        <v>992</v>
      </c>
      <c r="AL11" s="139" t="s">
        <v>993</v>
      </c>
      <c r="AM11" s="139" t="s">
        <v>1026</v>
      </c>
      <c r="AN11" s="139" t="s">
        <v>995</v>
      </c>
      <c r="AO11" s="109" t="s">
        <v>73</v>
      </c>
      <c r="AP11" s="109" t="s">
        <v>996</v>
      </c>
      <c r="AQ11" s="109" t="s">
        <v>997</v>
      </c>
      <c r="AR11" s="109"/>
    </row>
    <row r="12" spans="1:45" ht="15" x14ac:dyDescent="0.25">
      <c r="A12" s="140">
        <v>112</v>
      </c>
      <c r="B12" s="141" t="s">
        <v>125</v>
      </c>
      <c r="C12" s="141">
        <v>1544</v>
      </c>
      <c r="D12" s="141"/>
      <c r="E12" s="141"/>
      <c r="F12" s="142">
        <v>44482</v>
      </c>
      <c r="G12" s="143" t="s">
        <v>475</v>
      </c>
      <c r="H12" s="141"/>
      <c r="I12" s="143" t="s">
        <v>476</v>
      </c>
      <c r="J12" s="144" t="s">
        <v>477</v>
      </c>
      <c r="K12" s="143" t="s">
        <v>478</v>
      </c>
      <c r="L12" s="143" t="s">
        <v>130</v>
      </c>
      <c r="M12" s="141"/>
      <c r="N12" s="141"/>
      <c r="O12" s="143" t="s">
        <v>93</v>
      </c>
      <c r="P12" s="145">
        <f>1/10</f>
        <v>0.1</v>
      </c>
      <c r="Q12" s="145">
        <v>10</v>
      </c>
      <c r="R12" s="146">
        <v>22.28</v>
      </c>
      <c r="S12" s="125">
        <f t="shared" si="0"/>
        <v>222.8</v>
      </c>
      <c r="T12" s="126">
        <f t="shared" si="1"/>
        <v>1</v>
      </c>
      <c r="U12" s="125">
        <f t="shared" si="2"/>
        <v>222.8</v>
      </c>
      <c r="V12" s="146">
        <v>222.8</v>
      </c>
      <c r="W12" s="126" t="b">
        <f t="shared" si="3"/>
        <v>1</v>
      </c>
      <c r="X12" s="125">
        <f t="shared" si="4"/>
        <v>-18.974693877551005</v>
      </c>
      <c r="Y12" s="127">
        <f t="shared" si="5"/>
        <v>-8.5164694243945252E-2</v>
      </c>
      <c r="Z12" s="128" t="str">
        <f t="shared" si="6"/>
        <v>Negative</v>
      </c>
      <c r="AA12" s="136">
        <v>241.77469387755102</v>
      </c>
      <c r="AB12" s="109">
        <v>1</v>
      </c>
      <c r="AC12" s="125">
        <f t="shared" si="7"/>
        <v>241.77469387755102</v>
      </c>
      <c r="AD12" s="125">
        <f t="shared" si="8"/>
        <v>241.77469387755102</v>
      </c>
      <c r="AE12" s="140" t="s">
        <v>983</v>
      </c>
      <c r="AF12" s="151"/>
      <c r="AG12" s="153" t="s">
        <v>1149</v>
      </c>
      <c r="AH12" s="126" t="s">
        <v>93</v>
      </c>
      <c r="AI12" s="126">
        <v>1</v>
      </c>
      <c r="AJ12" s="139">
        <v>88051751</v>
      </c>
      <c r="AK12" s="139" t="s">
        <v>1027</v>
      </c>
      <c r="AL12" s="139" t="s">
        <v>1028</v>
      </c>
      <c r="AM12" s="139" t="s">
        <v>1029</v>
      </c>
      <c r="AN12" s="139" t="s">
        <v>1030</v>
      </c>
      <c r="AO12" s="109" t="s">
        <v>75</v>
      </c>
      <c r="AP12" s="109" t="s">
        <v>1031</v>
      </c>
      <c r="AQ12" s="109" t="s">
        <v>991</v>
      </c>
      <c r="AR12" s="109"/>
    </row>
    <row r="13" spans="1:45" ht="15" x14ac:dyDescent="0.25">
      <c r="A13" s="140">
        <v>114</v>
      </c>
      <c r="B13" s="141" t="s">
        <v>125</v>
      </c>
      <c r="C13" s="141">
        <v>1572</v>
      </c>
      <c r="D13" s="141"/>
      <c r="E13" s="141"/>
      <c r="F13" s="142">
        <v>44487</v>
      </c>
      <c r="G13" s="143" t="s">
        <v>136</v>
      </c>
      <c r="H13" s="141"/>
      <c r="I13" s="143" t="s">
        <v>481</v>
      </c>
      <c r="J13" s="144" t="s">
        <v>138</v>
      </c>
      <c r="K13" s="143" t="s">
        <v>482</v>
      </c>
      <c r="L13" s="143" t="s">
        <v>135</v>
      </c>
      <c r="M13" s="141"/>
      <c r="N13" s="141"/>
      <c r="O13" s="143" t="s">
        <v>93</v>
      </c>
      <c r="P13" s="145">
        <v>1</v>
      </c>
      <c r="Q13" s="145">
        <v>8</v>
      </c>
      <c r="R13" s="146">
        <v>26.93</v>
      </c>
      <c r="S13" s="125">
        <f t="shared" si="0"/>
        <v>26.93</v>
      </c>
      <c r="T13" s="126">
        <f t="shared" si="1"/>
        <v>8</v>
      </c>
      <c r="U13" s="125">
        <f t="shared" si="2"/>
        <v>215.44</v>
      </c>
      <c r="V13" s="146">
        <v>215.44</v>
      </c>
      <c r="W13" s="126" t="b">
        <f t="shared" si="3"/>
        <v>1</v>
      </c>
      <c r="X13" s="125">
        <f t="shared" si="4"/>
        <v>96.399999999999991</v>
      </c>
      <c r="Y13" s="127">
        <f t="shared" si="5"/>
        <v>0.44745636836242103</v>
      </c>
      <c r="Z13" s="128" t="str">
        <f t="shared" si="6"/>
        <v>30+%</v>
      </c>
      <c r="AA13" s="136">
        <v>14.88</v>
      </c>
      <c r="AB13" s="109">
        <v>1</v>
      </c>
      <c r="AC13" s="125">
        <f t="shared" si="7"/>
        <v>119.04</v>
      </c>
      <c r="AD13" s="125">
        <f t="shared" si="8"/>
        <v>14.88</v>
      </c>
      <c r="AE13" s="140" t="s">
        <v>982</v>
      </c>
      <c r="AF13" s="151"/>
      <c r="AG13" s="152"/>
      <c r="AH13" s="126" t="s">
        <v>93</v>
      </c>
      <c r="AI13" s="126">
        <v>1</v>
      </c>
      <c r="AJ13" s="139">
        <v>88074765</v>
      </c>
      <c r="AK13" s="139" t="s">
        <v>1032</v>
      </c>
      <c r="AL13" s="139" t="s">
        <v>1033</v>
      </c>
      <c r="AM13" s="139" t="s">
        <v>1034</v>
      </c>
      <c r="AN13" s="139" t="s">
        <v>1035</v>
      </c>
      <c r="AO13" s="109" t="s">
        <v>69</v>
      </c>
      <c r="AP13" s="109" t="s">
        <v>1036</v>
      </c>
      <c r="AQ13" s="109" t="s">
        <v>991</v>
      </c>
      <c r="AR13" s="109" t="s">
        <v>985</v>
      </c>
    </row>
    <row r="14" spans="1:45" ht="15" x14ac:dyDescent="0.25">
      <c r="A14" s="140">
        <v>117</v>
      </c>
      <c r="B14" s="141" t="s">
        <v>125</v>
      </c>
      <c r="C14" s="141">
        <v>1595</v>
      </c>
      <c r="D14" s="141"/>
      <c r="E14" s="141"/>
      <c r="F14" s="142">
        <v>44495</v>
      </c>
      <c r="G14" s="143" t="s">
        <v>181</v>
      </c>
      <c r="H14" s="141"/>
      <c r="I14" s="143" t="s">
        <v>489</v>
      </c>
      <c r="J14" s="144" t="s">
        <v>239</v>
      </c>
      <c r="K14" s="143" t="s">
        <v>490</v>
      </c>
      <c r="L14" s="143" t="s">
        <v>135</v>
      </c>
      <c r="M14" s="141"/>
      <c r="N14" s="141"/>
      <c r="O14" s="143" t="s">
        <v>93</v>
      </c>
      <c r="P14" s="145">
        <f>1/10</f>
        <v>0.1</v>
      </c>
      <c r="Q14" s="145">
        <v>10</v>
      </c>
      <c r="R14" s="146">
        <v>21.13</v>
      </c>
      <c r="S14" s="125">
        <f t="shared" si="0"/>
        <v>211.29999999999998</v>
      </c>
      <c r="T14" s="126">
        <f t="shared" si="1"/>
        <v>1</v>
      </c>
      <c r="U14" s="125">
        <f t="shared" si="2"/>
        <v>211.29999999999998</v>
      </c>
      <c r="V14" s="146">
        <v>211.29999999999998</v>
      </c>
      <c r="W14" s="126" t="b">
        <f t="shared" si="3"/>
        <v>1</v>
      </c>
      <c r="X14" s="125">
        <f t="shared" si="4"/>
        <v>155.36666666666665</v>
      </c>
      <c r="Y14" s="127">
        <f t="shared" si="5"/>
        <v>0.73528947783562071</v>
      </c>
      <c r="Z14" s="128" t="str">
        <f t="shared" si="6"/>
        <v>30+%</v>
      </c>
      <c r="AA14" s="136">
        <v>55.933333333333337</v>
      </c>
      <c r="AB14" s="109">
        <v>1</v>
      </c>
      <c r="AC14" s="125">
        <f t="shared" si="7"/>
        <v>55.933333333333337</v>
      </c>
      <c r="AD14" s="125">
        <f t="shared" si="8"/>
        <v>55.933333333333337</v>
      </c>
      <c r="AE14" s="140" t="s">
        <v>984</v>
      </c>
      <c r="AF14" s="151"/>
      <c r="AG14" s="153" t="s">
        <v>1149</v>
      </c>
      <c r="AH14" s="126" t="s">
        <v>93</v>
      </c>
      <c r="AI14" s="126">
        <v>1</v>
      </c>
      <c r="AJ14" s="139">
        <v>99509354</v>
      </c>
      <c r="AK14" s="139" t="s">
        <v>1003</v>
      </c>
      <c r="AL14" s="139" t="s">
        <v>1004</v>
      </c>
      <c r="AM14" s="139" t="s">
        <v>1037</v>
      </c>
      <c r="AN14" s="139" t="s">
        <v>1038</v>
      </c>
      <c r="AO14" s="109" t="s">
        <v>68</v>
      </c>
      <c r="AP14" s="109" t="s">
        <v>1007</v>
      </c>
      <c r="AQ14" s="109" t="s">
        <v>991</v>
      </c>
      <c r="AR14" s="109"/>
    </row>
    <row r="15" spans="1:45" ht="15" x14ac:dyDescent="0.25">
      <c r="A15" s="140">
        <v>120</v>
      </c>
      <c r="B15" s="141" t="s">
        <v>125</v>
      </c>
      <c r="C15" s="141">
        <v>1603</v>
      </c>
      <c r="D15" s="141"/>
      <c r="E15" s="141"/>
      <c r="F15" s="142">
        <v>44553</v>
      </c>
      <c r="G15" s="143" t="s">
        <v>497</v>
      </c>
      <c r="H15" s="141"/>
      <c r="I15" s="143" t="s">
        <v>498</v>
      </c>
      <c r="J15" s="144" t="s">
        <v>499</v>
      </c>
      <c r="K15" s="143" t="s">
        <v>500</v>
      </c>
      <c r="L15" s="143" t="s">
        <v>130</v>
      </c>
      <c r="M15" s="141"/>
      <c r="N15" s="141"/>
      <c r="O15" s="143" t="s">
        <v>93</v>
      </c>
      <c r="P15" s="145">
        <v>1</v>
      </c>
      <c r="Q15" s="145">
        <v>4</v>
      </c>
      <c r="R15" s="146">
        <v>51.94</v>
      </c>
      <c r="S15" s="125">
        <f t="shared" si="0"/>
        <v>51.94</v>
      </c>
      <c r="T15" s="126">
        <f t="shared" si="1"/>
        <v>4</v>
      </c>
      <c r="U15" s="125">
        <f t="shared" si="2"/>
        <v>207.76</v>
      </c>
      <c r="V15" s="146">
        <v>207.76</v>
      </c>
      <c r="W15" s="126" t="b">
        <f t="shared" si="3"/>
        <v>1</v>
      </c>
      <c r="X15" s="125">
        <f t="shared" si="4"/>
        <v>-22.120000000000005</v>
      </c>
      <c r="Y15" s="127">
        <f t="shared" si="5"/>
        <v>-0.10646900269541781</v>
      </c>
      <c r="Z15" s="128" t="str">
        <f t="shared" si="6"/>
        <v>Negative</v>
      </c>
      <c r="AA15" s="136">
        <v>57.47</v>
      </c>
      <c r="AB15" s="109">
        <v>1</v>
      </c>
      <c r="AC15" s="125">
        <f t="shared" si="7"/>
        <v>229.88</v>
      </c>
      <c r="AD15" s="125">
        <f t="shared" si="8"/>
        <v>57.47</v>
      </c>
      <c r="AE15" s="140" t="s">
        <v>982</v>
      </c>
      <c r="AF15" s="151"/>
      <c r="AG15" s="152"/>
      <c r="AH15" s="126" t="s">
        <v>93</v>
      </c>
      <c r="AI15" s="126">
        <v>1</v>
      </c>
      <c r="AJ15" s="139">
        <v>88131961</v>
      </c>
      <c r="AK15" s="139" t="s">
        <v>1019</v>
      </c>
      <c r="AL15" s="139" t="s">
        <v>1020</v>
      </c>
      <c r="AM15" s="139" t="s">
        <v>1039</v>
      </c>
      <c r="AN15" s="139" t="s">
        <v>1040</v>
      </c>
      <c r="AO15" s="109" t="s">
        <v>69</v>
      </c>
      <c r="AP15" s="109"/>
      <c r="AQ15" s="109" t="s">
        <v>1025</v>
      </c>
      <c r="AR15" s="109"/>
    </row>
    <row r="16" spans="1:45" ht="15" x14ac:dyDescent="0.25">
      <c r="A16" s="140">
        <v>128</v>
      </c>
      <c r="B16" s="141" t="s">
        <v>125</v>
      </c>
      <c r="C16" s="141">
        <v>1663</v>
      </c>
      <c r="D16" s="141"/>
      <c r="E16" s="141"/>
      <c r="F16" s="142">
        <v>44545</v>
      </c>
      <c r="G16" s="143" t="s">
        <v>428</v>
      </c>
      <c r="H16" s="141"/>
      <c r="I16" s="143" t="s">
        <v>522</v>
      </c>
      <c r="J16" s="144" t="s">
        <v>523</v>
      </c>
      <c r="K16" s="143" t="s">
        <v>524</v>
      </c>
      <c r="L16" s="143" t="s">
        <v>130</v>
      </c>
      <c r="M16" s="141"/>
      <c r="N16" s="141"/>
      <c r="O16" s="143" t="s">
        <v>93</v>
      </c>
      <c r="P16" s="145">
        <v>10</v>
      </c>
      <c r="Q16" s="145">
        <v>1</v>
      </c>
      <c r="R16" s="146">
        <v>188.88</v>
      </c>
      <c r="S16" s="125">
        <f t="shared" si="0"/>
        <v>18.887999999999998</v>
      </c>
      <c r="T16" s="126">
        <f t="shared" si="1"/>
        <v>10</v>
      </c>
      <c r="U16" s="125">
        <f t="shared" si="2"/>
        <v>188.88</v>
      </c>
      <c r="V16" s="146">
        <v>188.88</v>
      </c>
      <c r="W16" s="126" t="b">
        <f t="shared" si="3"/>
        <v>1</v>
      </c>
      <c r="X16" s="125">
        <f t="shared" si="4"/>
        <v>94.974775510204068</v>
      </c>
      <c r="Y16" s="127">
        <f t="shared" si="5"/>
        <v>0.50283129770332524</v>
      </c>
      <c r="Z16" s="128" t="str">
        <f t="shared" si="6"/>
        <v>30+%</v>
      </c>
      <c r="AA16" s="136">
        <v>939.05224489795921</v>
      </c>
      <c r="AB16" s="109">
        <v>100</v>
      </c>
      <c r="AC16" s="125">
        <f t="shared" si="7"/>
        <v>93.905224489795927</v>
      </c>
      <c r="AD16" s="125">
        <f t="shared" si="8"/>
        <v>9.390522448979592</v>
      </c>
      <c r="AE16" s="140" t="s">
        <v>984</v>
      </c>
      <c r="AF16" s="151"/>
      <c r="AG16" s="153" t="s">
        <v>1149</v>
      </c>
      <c r="AH16" s="126" t="s">
        <v>93</v>
      </c>
      <c r="AI16" s="126">
        <v>1</v>
      </c>
      <c r="AJ16" s="139">
        <v>88035486</v>
      </c>
      <c r="AK16" s="139" t="s">
        <v>1041</v>
      </c>
      <c r="AL16" s="139" t="s">
        <v>1042</v>
      </c>
      <c r="AM16" s="139" t="s">
        <v>1043</v>
      </c>
      <c r="AN16" s="139" t="s">
        <v>1044</v>
      </c>
      <c r="AO16" s="109" t="s">
        <v>73</v>
      </c>
      <c r="AP16" s="109" t="s">
        <v>1045</v>
      </c>
      <c r="AQ16" s="109" t="s">
        <v>997</v>
      </c>
      <c r="AR16" s="109" t="s">
        <v>985</v>
      </c>
    </row>
    <row r="17" spans="1:44" ht="15" x14ac:dyDescent="0.25">
      <c r="A17" s="140">
        <v>130</v>
      </c>
      <c r="B17" s="141" t="s">
        <v>125</v>
      </c>
      <c r="C17" s="141">
        <v>1667</v>
      </c>
      <c r="D17" s="141"/>
      <c r="E17" s="141"/>
      <c r="F17" s="142">
        <v>44505</v>
      </c>
      <c r="G17" s="143" t="s">
        <v>388</v>
      </c>
      <c r="H17" s="141"/>
      <c r="I17" s="143" t="s">
        <v>527</v>
      </c>
      <c r="J17" s="144" t="s">
        <v>362</v>
      </c>
      <c r="K17" s="143" t="s">
        <v>528</v>
      </c>
      <c r="L17" s="143" t="s">
        <v>135</v>
      </c>
      <c r="M17" s="141"/>
      <c r="N17" s="141"/>
      <c r="O17" s="143" t="s">
        <v>93</v>
      </c>
      <c r="P17" s="145">
        <v>1</v>
      </c>
      <c r="Q17" s="145">
        <v>1</v>
      </c>
      <c r="R17" s="146">
        <v>188.16</v>
      </c>
      <c r="S17" s="125">
        <f t="shared" si="0"/>
        <v>188.16</v>
      </c>
      <c r="T17" s="126">
        <f t="shared" si="1"/>
        <v>1</v>
      </c>
      <c r="U17" s="125">
        <f t="shared" si="2"/>
        <v>188.16</v>
      </c>
      <c r="V17" s="146">
        <v>188.16</v>
      </c>
      <c r="W17" s="126" t="b">
        <f t="shared" si="3"/>
        <v>1</v>
      </c>
      <c r="X17" s="125">
        <f t="shared" si="4"/>
        <v>-125.47265306122452</v>
      </c>
      <c r="Y17" s="127">
        <f t="shared" si="5"/>
        <v>-0.66684020546994327</v>
      </c>
      <c r="Z17" s="128" t="str">
        <f t="shared" si="6"/>
        <v>Negative</v>
      </c>
      <c r="AA17" s="136">
        <v>313.63265306122452</v>
      </c>
      <c r="AB17" s="109">
        <v>1</v>
      </c>
      <c r="AC17" s="125">
        <f t="shared" si="7"/>
        <v>313.63265306122452</v>
      </c>
      <c r="AD17" s="125">
        <f t="shared" si="8"/>
        <v>313.63265306122452</v>
      </c>
      <c r="AE17" s="140" t="s">
        <v>983</v>
      </c>
      <c r="AF17" s="151"/>
      <c r="AG17" s="152"/>
      <c r="AH17" s="126" t="s">
        <v>93</v>
      </c>
      <c r="AI17" s="126">
        <v>1</v>
      </c>
      <c r="AJ17" s="139">
        <v>88126379</v>
      </c>
      <c r="AK17" s="139" t="s">
        <v>986</v>
      </c>
      <c r="AL17" s="139" t="s">
        <v>987</v>
      </c>
      <c r="AM17" s="139" t="s">
        <v>1046</v>
      </c>
      <c r="AN17" s="139" t="s">
        <v>1047</v>
      </c>
      <c r="AO17" s="109" t="s">
        <v>69</v>
      </c>
      <c r="AP17" s="109" t="s">
        <v>1013</v>
      </c>
      <c r="AQ17" s="109" t="s">
        <v>991</v>
      </c>
      <c r="AR17" s="109"/>
    </row>
    <row r="18" spans="1:44" ht="15" x14ac:dyDescent="0.25">
      <c r="A18" s="140">
        <v>134</v>
      </c>
      <c r="B18" s="141" t="s">
        <v>125</v>
      </c>
      <c r="C18" s="141">
        <v>1707</v>
      </c>
      <c r="D18" s="141"/>
      <c r="E18" s="141"/>
      <c r="F18" s="142">
        <v>44413</v>
      </c>
      <c r="G18" s="143" t="s">
        <v>145</v>
      </c>
      <c r="H18" s="141"/>
      <c r="I18" s="143" t="s">
        <v>540</v>
      </c>
      <c r="J18" s="144" t="s">
        <v>541</v>
      </c>
      <c r="K18" s="143" t="s">
        <v>542</v>
      </c>
      <c r="L18" s="143" t="s">
        <v>135</v>
      </c>
      <c r="M18" s="141"/>
      <c r="N18" s="141"/>
      <c r="O18" s="143" t="s">
        <v>93</v>
      </c>
      <c r="P18" s="145">
        <v>1</v>
      </c>
      <c r="Q18" s="145">
        <v>2</v>
      </c>
      <c r="R18" s="146">
        <v>89.13</v>
      </c>
      <c r="S18" s="125">
        <f t="shared" si="0"/>
        <v>89.13</v>
      </c>
      <c r="T18" s="126">
        <f t="shared" si="1"/>
        <v>2</v>
      </c>
      <c r="U18" s="125">
        <f t="shared" si="2"/>
        <v>178.26</v>
      </c>
      <c r="V18" s="146">
        <v>178.26</v>
      </c>
      <c r="W18" s="126" t="b">
        <f t="shared" si="3"/>
        <v>1</v>
      </c>
      <c r="X18" s="125">
        <f t="shared" si="4"/>
        <v>-44.56</v>
      </c>
      <c r="Y18" s="127">
        <f t="shared" si="5"/>
        <v>-0.24997195108268824</v>
      </c>
      <c r="Z18" s="128" t="str">
        <f t="shared" si="6"/>
        <v>Negative</v>
      </c>
      <c r="AA18" s="136">
        <v>111.41</v>
      </c>
      <c r="AB18" s="109">
        <v>1</v>
      </c>
      <c r="AC18" s="125">
        <f t="shared" si="7"/>
        <v>222.82</v>
      </c>
      <c r="AD18" s="125">
        <f t="shared" si="8"/>
        <v>111.41</v>
      </c>
      <c r="AE18" s="140" t="s">
        <v>983</v>
      </c>
      <c r="AF18" s="151"/>
      <c r="AG18" s="152"/>
      <c r="AH18" s="126" t="s">
        <v>93</v>
      </c>
      <c r="AI18" s="126">
        <v>1</v>
      </c>
      <c r="AJ18" s="139">
        <v>88095679</v>
      </c>
      <c r="AK18" s="139" t="s">
        <v>1048</v>
      </c>
      <c r="AL18" s="139" t="s">
        <v>1049</v>
      </c>
      <c r="AM18" s="139" t="s">
        <v>1050</v>
      </c>
      <c r="AN18" s="139" t="s">
        <v>1051</v>
      </c>
      <c r="AO18" s="109" t="s">
        <v>75</v>
      </c>
      <c r="AP18" s="109" t="s">
        <v>1052</v>
      </c>
      <c r="AQ18" s="109" t="s">
        <v>1025</v>
      </c>
      <c r="AR18" s="109" t="s">
        <v>985</v>
      </c>
    </row>
    <row r="19" spans="1:44" ht="15" x14ac:dyDescent="0.25">
      <c r="A19" s="140">
        <v>135</v>
      </c>
      <c r="B19" s="141" t="s">
        <v>125</v>
      </c>
      <c r="C19" s="141">
        <v>1711</v>
      </c>
      <c r="D19" s="141"/>
      <c r="E19" s="141"/>
      <c r="F19" s="142">
        <v>44495</v>
      </c>
      <c r="G19" s="143" t="s">
        <v>145</v>
      </c>
      <c r="H19" s="141"/>
      <c r="I19" s="143" t="s">
        <v>543</v>
      </c>
      <c r="J19" s="144" t="s">
        <v>487</v>
      </c>
      <c r="K19" s="143" t="s">
        <v>544</v>
      </c>
      <c r="L19" s="143" t="s">
        <v>130</v>
      </c>
      <c r="M19" s="141"/>
      <c r="N19" s="141"/>
      <c r="O19" s="143" t="s">
        <v>93</v>
      </c>
      <c r="P19" s="145">
        <v>1</v>
      </c>
      <c r="Q19" s="145">
        <v>5</v>
      </c>
      <c r="R19" s="146">
        <v>35.549999999999997</v>
      </c>
      <c r="S19" s="125">
        <f t="shared" si="0"/>
        <v>35.549999999999997</v>
      </c>
      <c r="T19" s="126">
        <f t="shared" si="1"/>
        <v>5</v>
      </c>
      <c r="U19" s="125">
        <f t="shared" si="2"/>
        <v>177.75</v>
      </c>
      <c r="V19" s="146">
        <v>177.75</v>
      </c>
      <c r="W19" s="126" t="b">
        <f t="shared" si="3"/>
        <v>1</v>
      </c>
      <c r="X19" s="125">
        <f t="shared" si="4"/>
        <v>-1.7561224489796246</v>
      </c>
      <c r="Y19" s="127">
        <f t="shared" si="5"/>
        <v>-9.8797324837109676E-3</v>
      </c>
      <c r="Z19" s="128" t="str">
        <f t="shared" si="6"/>
        <v>Negative</v>
      </c>
      <c r="AA19" s="136">
        <v>35.901224489795922</v>
      </c>
      <c r="AB19" s="109">
        <v>1</v>
      </c>
      <c r="AC19" s="125">
        <f t="shared" si="7"/>
        <v>179.50612244897962</v>
      </c>
      <c r="AD19" s="125">
        <f t="shared" si="8"/>
        <v>35.901224489795922</v>
      </c>
      <c r="AE19" s="140" t="s">
        <v>983</v>
      </c>
      <c r="AF19" s="151"/>
      <c r="AG19" s="152"/>
      <c r="AH19" s="126" t="s">
        <v>93</v>
      </c>
      <c r="AI19" s="126">
        <v>1</v>
      </c>
      <c r="AJ19" s="139">
        <v>88175896</v>
      </c>
      <c r="AK19" s="139" t="s">
        <v>1014</v>
      </c>
      <c r="AL19" s="139" t="s">
        <v>1015</v>
      </c>
      <c r="AM19" s="139" t="s">
        <v>1053</v>
      </c>
      <c r="AN19" s="139" t="s">
        <v>1054</v>
      </c>
      <c r="AO19" s="109" t="s">
        <v>75</v>
      </c>
      <c r="AP19" s="109" t="s">
        <v>1018</v>
      </c>
      <c r="AQ19" s="109" t="s">
        <v>991</v>
      </c>
      <c r="AR19" s="109" t="s">
        <v>985</v>
      </c>
    </row>
    <row r="20" spans="1:44" ht="15" x14ac:dyDescent="0.25">
      <c r="A20" s="140">
        <v>137</v>
      </c>
      <c r="B20" s="141" t="s">
        <v>125</v>
      </c>
      <c r="C20" s="141">
        <v>1723</v>
      </c>
      <c r="D20" s="141"/>
      <c r="E20" s="141"/>
      <c r="F20" s="142">
        <v>44519</v>
      </c>
      <c r="G20" s="143" t="s">
        <v>145</v>
      </c>
      <c r="H20" s="141"/>
      <c r="I20" s="143" t="s">
        <v>548</v>
      </c>
      <c r="J20" s="144" t="s">
        <v>549</v>
      </c>
      <c r="K20" s="143" t="s">
        <v>550</v>
      </c>
      <c r="L20" s="143" t="s">
        <v>135</v>
      </c>
      <c r="M20" s="141"/>
      <c r="N20" s="141"/>
      <c r="O20" s="143" t="s">
        <v>93</v>
      </c>
      <c r="P20" s="145">
        <v>1</v>
      </c>
      <c r="Q20" s="145">
        <v>3</v>
      </c>
      <c r="R20" s="146">
        <v>58.65</v>
      </c>
      <c r="S20" s="125">
        <f t="shared" si="0"/>
        <v>58.65</v>
      </c>
      <c r="T20" s="126">
        <f t="shared" si="1"/>
        <v>3</v>
      </c>
      <c r="U20" s="125">
        <f t="shared" si="2"/>
        <v>175.95</v>
      </c>
      <c r="V20" s="146">
        <v>175.95</v>
      </c>
      <c r="W20" s="126" t="b">
        <f t="shared" si="3"/>
        <v>1</v>
      </c>
      <c r="X20" s="125">
        <f t="shared" si="4"/>
        <v>-54.028775510204127</v>
      </c>
      <c r="Y20" s="127">
        <f t="shared" si="5"/>
        <v>-0.30706891452233093</v>
      </c>
      <c r="Z20" s="128" t="str">
        <f t="shared" si="6"/>
        <v>Negative</v>
      </c>
      <c r="AA20" s="136">
        <v>76.659591836734705</v>
      </c>
      <c r="AB20" s="109">
        <v>1</v>
      </c>
      <c r="AC20" s="125">
        <f t="shared" si="7"/>
        <v>229.97877551020412</v>
      </c>
      <c r="AD20" s="125">
        <f t="shared" si="8"/>
        <v>76.659591836734705</v>
      </c>
      <c r="AE20" s="140" t="s">
        <v>983</v>
      </c>
      <c r="AF20" s="151"/>
      <c r="AG20" s="152"/>
      <c r="AH20" s="126" t="s">
        <v>93</v>
      </c>
      <c r="AI20" s="126">
        <v>1</v>
      </c>
      <c r="AJ20" s="139">
        <v>88147613</v>
      </c>
      <c r="AK20" s="139" t="s">
        <v>986</v>
      </c>
      <c r="AL20" s="139" t="s">
        <v>987</v>
      </c>
      <c r="AM20" s="139" t="s">
        <v>550</v>
      </c>
      <c r="AN20" s="139" t="s">
        <v>1055</v>
      </c>
      <c r="AO20" s="109" t="s">
        <v>69</v>
      </c>
      <c r="AP20" s="109" t="s">
        <v>1056</v>
      </c>
      <c r="AQ20" s="109" t="s">
        <v>991</v>
      </c>
      <c r="AR20" s="109"/>
    </row>
    <row r="21" spans="1:44" ht="15" x14ac:dyDescent="0.25">
      <c r="A21" s="140">
        <v>138</v>
      </c>
      <c r="B21" s="141" t="s">
        <v>125</v>
      </c>
      <c r="C21" s="141">
        <v>1727</v>
      </c>
      <c r="D21" s="141"/>
      <c r="E21" s="141"/>
      <c r="F21" s="142">
        <v>44326</v>
      </c>
      <c r="G21" s="143" t="s">
        <v>145</v>
      </c>
      <c r="H21" s="141"/>
      <c r="I21" s="143" t="s">
        <v>551</v>
      </c>
      <c r="J21" s="144" t="s">
        <v>552</v>
      </c>
      <c r="K21" s="143" t="s">
        <v>553</v>
      </c>
      <c r="L21" s="143" t="s">
        <v>135</v>
      </c>
      <c r="M21" s="141"/>
      <c r="N21" s="141"/>
      <c r="O21" s="143" t="s">
        <v>93</v>
      </c>
      <c r="P21" s="145">
        <v>1</v>
      </c>
      <c r="Q21" s="145">
        <v>2</v>
      </c>
      <c r="R21" s="146">
        <v>87.29</v>
      </c>
      <c r="S21" s="125">
        <f t="shared" si="0"/>
        <v>87.29</v>
      </c>
      <c r="T21" s="126">
        <f t="shared" si="1"/>
        <v>2</v>
      </c>
      <c r="U21" s="125">
        <f t="shared" si="2"/>
        <v>174.58</v>
      </c>
      <c r="V21" s="146">
        <v>174.58</v>
      </c>
      <c r="W21" s="126" t="b">
        <f t="shared" si="3"/>
        <v>1</v>
      </c>
      <c r="X21" s="125">
        <f t="shared" si="4"/>
        <v>-48.239999999999981</v>
      </c>
      <c r="Y21" s="127">
        <f t="shared" si="5"/>
        <v>-0.27632031160499471</v>
      </c>
      <c r="Z21" s="128" t="str">
        <f t="shared" si="6"/>
        <v>Negative</v>
      </c>
      <c r="AA21" s="136">
        <v>111.41</v>
      </c>
      <c r="AB21" s="109">
        <v>1</v>
      </c>
      <c r="AC21" s="125">
        <f t="shared" si="7"/>
        <v>222.82</v>
      </c>
      <c r="AD21" s="125">
        <f t="shared" si="8"/>
        <v>111.41</v>
      </c>
      <c r="AE21" s="140" t="s">
        <v>983</v>
      </c>
      <c r="AF21" s="151"/>
      <c r="AG21" s="152"/>
      <c r="AH21" s="126" t="s">
        <v>93</v>
      </c>
      <c r="AI21" s="126">
        <v>1</v>
      </c>
      <c r="AJ21" s="139">
        <v>88095679</v>
      </c>
      <c r="AK21" s="139" t="s">
        <v>1048</v>
      </c>
      <c r="AL21" s="139" t="s">
        <v>1049</v>
      </c>
      <c r="AM21" s="139" t="s">
        <v>1050</v>
      </c>
      <c r="AN21" s="139" t="s">
        <v>1051</v>
      </c>
      <c r="AO21" s="109" t="s">
        <v>75</v>
      </c>
      <c r="AP21" s="109" t="s">
        <v>1052</v>
      </c>
      <c r="AQ21" s="109" t="s">
        <v>1025</v>
      </c>
      <c r="AR21" s="109" t="s">
        <v>985</v>
      </c>
    </row>
    <row r="22" spans="1:44" ht="15" x14ac:dyDescent="0.25">
      <c r="A22" s="140">
        <v>140</v>
      </c>
      <c r="B22" s="141" t="s">
        <v>125</v>
      </c>
      <c r="C22" s="141">
        <v>1760</v>
      </c>
      <c r="D22" s="141"/>
      <c r="E22" s="141"/>
      <c r="F22" s="142">
        <v>44488</v>
      </c>
      <c r="G22" s="143" t="s">
        <v>145</v>
      </c>
      <c r="H22" s="141"/>
      <c r="I22" s="143" t="s">
        <v>557</v>
      </c>
      <c r="J22" s="144" t="s">
        <v>558</v>
      </c>
      <c r="K22" s="143" t="s">
        <v>559</v>
      </c>
      <c r="L22" s="143" t="s">
        <v>130</v>
      </c>
      <c r="M22" s="141"/>
      <c r="N22" s="141"/>
      <c r="O22" s="143" t="s">
        <v>93</v>
      </c>
      <c r="P22" s="145">
        <v>1</v>
      </c>
      <c r="Q22" s="145">
        <v>25</v>
      </c>
      <c r="R22" s="146">
        <v>6.65</v>
      </c>
      <c r="S22" s="125">
        <f t="shared" si="0"/>
        <v>6.65</v>
      </c>
      <c r="T22" s="126">
        <f t="shared" si="1"/>
        <v>25</v>
      </c>
      <c r="U22" s="125">
        <f t="shared" si="2"/>
        <v>166.25</v>
      </c>
      <c r="V22" s="146">
        <v>166.25</v>
      </c>
      <c r="W22" s="126" t="b">
        <f t="shared" si="3"/>
        <v>1</v>
      </c>
      <c r="X22" s="125">
        <f t="shared" si="4"/>
        <v>-87.362244897959187</v>
      </c>
      <c r="Y22" s="127">
        <f t="shared" si="5"/>
        <v>-0.52548718735614552</v>
      </c>
      <c r="Z22" s="128" t="str">
        <f t="shared" si="6"/>
        <v>Negative</v>
      </c>
      <c r="AA22" s="136">
        <v>10.144489795918368</v>
      </c>
      <c r="AB22" s="109">
        <v>1</v>
      </c>
      <c r="AC22" s="125">
        <f t="shared" si="7"/>
        <v>253.61224489795919</v>
      </c>
      <c r="AD22" s="125">
        <f t="shared" si="8"/>
        <v>10.144489795918368</v>
      </c>
      <c r="AE22" s="140" t="s">
        <v>982</v>
      </c>
      <c r="AF22" s="151"/>
      <c r="AG22" s="152"/>
      <c r="AH22" s="126" t="s">
        <v>93</v>
      </c>
      <c r="AI22" s="126">
        <v>1</v>
      </c>
      <c r="AJ22" s="139">
        <v>88073425</v>
      </c>
      <c r="AK22" s="139" t="s">
        <v>1032</v>
      </c>
      <c r="AL22" s="139" t="s">
        <v>1033</v>
      </c>
      <c r="AM22" s="139" t="s">
        <v>1057</v>
      </c>
      <c r="AN22" s="139" t="s">
        <v>1058</v>
      </c>
      <c r="AO22" s="109" t="s">
        <v>69</v>
      </c>
      <c r="AP22" s="109" t="s">
        <v>1059</v>
      </c>
      <c r="AQ22" s="109" t="s">
        <v>991</v>
      </c>
      <c r="AR22" s="109"/>
    </row>
    <row r="23" spans="1:44" ht="15" x14ac:dyDescent="0.25">
      <c r="A23" s="140">
        <v>142</v>
      </c>
      <c r="B23" s="141" t="s">
        <v>125</v>
      </c>
      <c r="C23" s="141">
        <v>1766</v>
      </c>
      <c r="D23" s="141"/>
      <c r="E23" s="141"/>
      <c r="F23" s="142">
        <v>44480</v>
      </c>
      <c r="G23" s="143" t="s">
        <v>145</v>
      </c>
      <c r="H23" s="141"/>
      <c r="I23" s="143" t="s">
        <v>564</v>
      </c>
      <c r="J23" s="144" t="s">
        <v>565</v>
      </c>
      <c r="K23" s="143" t="s">
        <v>566</v>
      </c>
      <c r="L23" s="143" t="s">
        <v>130</v>
      </c>
      <c r="M23" s="141"/>
      <c r="N23" s="141"/>
      <c r="O23" s="143" t="s">
        <v>93</v>
      </c>
      <c r="P23" s="145">
        <v>1</v>
      </c>
      <c r="Q23" s="145">
        <v>20</v>
      </c>
      <c r="R23" s="146">
        <v>8.19</v>
      </c>
      <c r="S23" s="125">
        <f t="shared" si="0"/>
        <v>8.19</v>
      </c>
      <c r="T23" s="126">
        <f t="shared" si="1"/>
        <v>20</v>
      </c>
      <c r="U23" s="125">
        <f t="shared" si="2"/>
        <v>163.79999999999998</v>
      </c>
      <c r="V23" s="146">
        <v>163.79999999999998</v>
      </c>
      <c r="W23" s="126" t="b">
        <f t="shared" si="3"/>
        <v>1</v>
      </c>
      <c r="X23" s="125">
        <f t="shared" si="4"/>
        <v>-31.400000000000006</v>
      </c>
      <c r="Y23" s="127">
        <f t="shared" si="5"/>
        <v>-0.19169719169719177</v>
      </c>
      <c r="Z23" s="128" t="str">
        <f t="shared" si="6"/>
        <v>Negative</v>
      </c>
      <c r="AA23" s="136">
        <v>9.76</v>
      </c>
      <c r="AB23" s="109">
        <v>1</v>
      </c>
      <c r="AC23" s="125">
        <f t="shared" si="7"/>
        <v>195.2</v>
      </c>
      <c r="AD23" s="125">
        <f t="shared" si="8"/>
        <v>9.76</v>
      </c>
      <c r="AE23" s="140" t="s">
        <v>983</v>
      </c>
      <c r="AF23" s="151"/>
      <c r="AG23" s="152"/>
      <c r="AH23" s="126" t="s">
        <v>93</v>
      </c>
      <c r="AI23" s="126">
        <v>1</v>
      </c>
      <c r="AJ23" s="139">
        <v>96072685</v>
      </c>
      <c r="AK23" s="139" t="s">
        <v>1027</v>
      </c>
      <c r="AL23" s="139" t="s">
        <v>1028</v>
      </c>
      <c r="AM23" s="139" t="s">
        <v>1060</v>
      </c>
      <c r="AN23" s="139" t="s">
        <v>1061</v>
      </c>
      <c r="AO23" s="109" t="s">
        <v>75</v>
      </c>
      <c r="AP23" s="109" t="s">
        <v>1031</v>
      </c>
      <c r="AQ23" s="109" t="s">
        <v>1025</v>
      </c>
      <c r="AR23" s="109" t="s">
        <v>985</v>
      </c>
    </row>
    <row r="24" spans="1:44" ht="15" x14ac:dyDescent="0.25">
      <c r="A24" s="140">
        <v>145</v>
      </c>
      <c r="B24" s="141" t="s">
        <v>125</v>
      </c>
      <c r="C24" s="141">
        <v>1790</v>
      </c>
      <c r="D24" s="141"/>
      <c r="E24" s="141"/>
      <c r="F24" s="142">
        <v>44344</v>
      </c>
      <c r="G24" s="143" t="s">
        <v>433</v>
      </c>
      <c r="H24" s="141"/>
      <c r="I24" s="143" t="s">
        <v>572</v>
      </c>
      <c r="J24" s="144" t="s">
        <v>573</v>
      </c>
      <c r="K24" s="143" t="s">
        <v>574</v>
      </c>
      <c r="L24" s="143" t="s">
        <v>135</v>
      </c>
      <c r="M24" s="141"/>
      <c r="N24" s="141"/>
      <c r="O24" s="143" t="s">
        <v>93</v>
      </c>
      <c r="P24" s="145">
        <v>1</v>
      </c>
      <c r="Q24" s="145">
        <v>4</v>
      </c>
      <c r="R24" s="146">
        <v>39.119999999999997</v>
      </c>
      <c r="S24" s="125">
        <f t="shared" si="0"/>
        <v>39.119999999999997</v>
      </c>
      <c r="T24" s="126">
        <f t="shared" si="1"/>
        <v>4</v>
      </c>
      <c r="U24" s="125">
        <f t="shared" si="2"/>
        <v>156.47999999999999</v>
      </c>
      <c r="V24" s="146">
        <v>156.47999999999999</v>
      </c>
      <c r="W24" s="126" t="b">
        <f t="shared" si="3"/>
        <v>1</v>
      </c>
      <c r="X24" s="125">
        <f t="shared" si="4"/>
        <v>-50.351020408163293</v>
      </c>
      <c r="Y24" s="127">
        <f t="shared" si="5"/>
        <v>-0.3217728809315139</v>
      </c>
      <c r="Z24" s="128" t="str">
        <f t="shared" si="6"/>
        <v>Negative</v>
      </c>
      <c r="AA24" s="136">
        <v>51.707755102040821</v>
      </c>
      <c r="AB24" s="109">
        <v>1</v>
      </c>
      <c r="AC24" s="125">
        <f t="shared" si="7"/>
        <v>206.83102040816328</v>
      </c>
      <c r="AD24" s="125">
        <f t="shared" si="8"/>
        <v>51.707755102040821</v>
      </c>
      <c r="AE24" s="140" t="s">
        <v>983</v>
      </c>
      <c r="AF24" s="151"/>
      <c r="AG24" s="152"/>
      <c r="AH24" s="126" t="s">
        <v>93</v>
      </c>
      <c r="AI24" s="126">
        <v>1</v>
      </c>
      <c r="AJ24" s="139">
        <v>25446911</v>
      </c>
      <c r="AK24" s="139" t="s">
        <v>1062</v>
      </c>
      <c r="AL24" s="139" t="s">
        <v>1063</v>
      </c>
      <c r="AM24" s="139" t="s">
        <v>1064</v>
      </c>
      <c r="AN24" s="139" t="s">
        <v>1065</v>
      </c>
      <c r="AO24" s="109" t="s">
        <v>69</v>
      </c>
      <c r="AP24" s="109" t="s">
        <v>1066</v>
      </c>
      <c r="AQ24" s="109" t="s">
        <v>991</v>
      </c>
      <c r="AR24" s="109"/>
    </row>
    <row r="25" spans="1:44" ht="15" x14ac:dyDescent="0.25">
      <c r="A25" s="140">
        <v>151</v>
      </c>
      <c r="B25" s="141" t="s">
        <v>125</v>
      </c>
      <c r="C25" s="141">
        <v>1848</v>
      </c>
      <c r="D25" s="141"/>
      <c r="E25" s="141"/>
      <c r="F25" s="142">
        <v>44482</v>
      </c>
      <c r="G25" s="143" t="s">
        <v>145</v>
      </c>
      <c r="H25" s="141"/>
      <c r="I25" s="143" t="s">
        <v>590</v>
      </c>
      <c r="J25" s="144" t="s">
        <v>591</v>
      </c>
      <c r="K25" s="143" t="s">
        <v>592</v>
      </c>
      <c r="L25" s="143" t="s">
        <v>135</v>
      </c>
      <c r="M25" s="141"/>
      <c r="N25" s="141"/>
      <c r="O25" s="143" t="s">
        <v>93</v>
      </c>
      <c r="P25" s="145">
        <v>1</v>
      </c>
      <c r="Q25" s="145">
        <v>3</v>
      </c>
      <c r="R25" s="146">
        <v>47.61</v>
      </c>
      <c r="S25" s="125">
        <f t="shared" si="0"/>
        <v>47.61</v>
      </c>
      <c r="T25" s="126">
        <f t="shared" si="1"/>
        <v>3</v>
      </c>
      <c r="U25" s="125">
        <f t="shared" si="2"/>
        <v>142.82999999999998</v>
      </c>
      <c r="V25" s="146">
        <v>142.82999999999998</v>
      </c>
      <c r="W25" s="126" t="b">
        <f t="shared" si="3"/>
        <v>1</v>
      </c>
      <c r="X25" s="125">
        <f t="shared" si="4"/>
        <v>-15.79040816326534</v>
      </c>
      <c r="Y25" s="127">
        <f t="shared" si="5"/>
        <v>-0.11055386237670897</v>
      </c>
      <c r="Z25" s="128" t="str">
        <f t="shared" si="6"/>
        <v>Negative</v>
      </c>
      <c r="AA25" s="136">
        <v>52.873469387755108</v>
      </c>
      <c r="AB25" s="109">
        <v>1</v>
      </c>
      <c r="AC25" s="125">
        <f t="shared" si="7"/>
        <v>158.62040816326532</v>
      </c>
      <c r="AD25" s="125">
        <f t="shared" si="8"/>
        <v>52.873469387755108</v>
      </c>
      <c r="AE25" s="140" t="s">
        <v>983</v>
      </c>
      <c r="AF25" s="151"/>
      <c r="AG25" s="152"/>
      <c r="AH25" s="126" t="s">
        <v>93</v>
      </c>
      <c r="AI25" s="126">
        <v>1</v>
      </c>
      <c r="AJ25" s="139">
        <v>88126535</v>
      </c>
      <c r="AK25" s="139" t="s">
        <v>986</v>
      </c>
      <c r="AL25" s="139" t="s">
        <v>987</v>
      </c>
      <c r="AM25" s="139" t="s">
        <v>1067</v>
      </c>
      <c r="AN25" s="139" t="s">
        <v>1068</v>
      </c>
      <c r="AO25" s="109" t="s">
        <v>69</v>
      </c>
      <c r="AP25" s="109" t="s">
        <v>1013</v>
      </c>
      <c r="AQ25" s="109" t="s">
        <v>991</v>
      </c>
      <c r="AR25" s="109"/>
    </row>
    <row r="26" spans="1:44" ht="15" x14ac:dyDescent="0.25">
      <c r="A26" s="140">
        <v>154</v>
      </c>
      <c r="B26" s="141" t="s">
        <v>125</v>
      </c>
      <c r="C26" s="141">
        <v>1867</v>
      </c>
      <c r="D26" s="141"/>
      <c r="E26" s="141"/>
      <c r="F26" s="142">
        <v>44546</v>
      </c>
      <c r="G26" s="143" t="s">
        <v>428</v>
      </c>
      <c r="H26" s="141"/>
      <c r="I26" s="143" t="s">
        <v>598</v>
      </c>
      <c r="J26" s="144" t="s">
        <v>465</v>
      </c>
      <c r="K26" s="143" t="s">
        <v>599</v>
      </c>
      <c r="L26" s="143" t="s">
        <v>130</v>
      </c>
      <c r="M26" s="141"/>
      <c r="N26" s="141"/>
      <c r="O26" s="143" t="s">
        <v>93</v>
      </c>
      <c r="P26" s="145">
        <f>1/4</f>
        <v>0.25</v>
      </c>
      <c r="Q26" s="145">
        <v>4</v>
      </c>
      <c r="R26" s="146">
        <v>34.409999999999997</v>
      </c>
      <c r="S26" s="125">
        <f t="shared" si="0"/>
        <v>137.63999999999999</v>
      </c>
      <c r="T26" s="126">
        <f t="shared" si="1"/>
        <v>1</v>
      </c>
      <c r="U26" s="125">
        <f t="shared" si="2"/>
        <v>137.63999999999999</v>
      </c>
      <c r="V26" s="146">
        <v>137.63999999999999</v>
      </c>
      <c r="W26" s="126" t="b">
        <f t="shared" si="3"/>
        <v>1</v>
      </c>
      <c r="X26" s="125">
        <f t="shared" si="4"/>
        <v>16.058775510204057</v>
      </c>
      <c r="Y26" s="127">
        <f t="shared" si="5"/>
        <v>0.11667230100409808</v>
      </c>
      <c r="Z26" s="128" t="str">
        <f t="shared" si="6"/>
        <v>10-20%</v>
      </c>
      <c r="AA26" s="136">
        <v>121.58122448979593</v>
      </c>
      <c r="AB26" s="109">
        <v>1</v>
      </c>
      <c r="AC26" s="125">
        <f t="shared" si="7"/>
        <v>121.58122448979593</v>
      </c>
      <c r="AD26" s="125">
        <f t="shared" si="8"/>
        <v>121.58122448979593</v>
      </c>
      <c r="AE26" s="140" t="s">
        <v>984</v>
      </c>
      <c r="AF26" s="151"/>
      <c r="AG26" s="153" t="s">
        <v>1149</v>
      </c>
      <c r="AH26" s="126" t="s">
        <v>93</v>
      </c>
      <c r="AI26" s="126">
        <v>1</v>
      </c>
      <c r="AJ26" s="139">
        <v>25674915</v>
      </c>
      <c r="AK26" s="139" t="s">
        <v>1069</v>
      </c>
      <c r="AL26" s="139" t="s">
        <v>1070</v>
      </c>
      <c r="AM26" s="139" t="s">
        <v>1071</v>
      </c>
      <c r="AN26" s="139" t="s">
        <v>1072</v>
      </c>
      <c r="AO26" s="109" t="s">
        <v>73</v>
      </c>
      <c r="AP26" s="109" t="s">
        <v>1073</v>
      </c>
      <c r="AQ26" s="109" t="s">
        <v>997</v>
      </c>
      <c r="AR26" s="109"/>
    </row>
    <row r="27" spans="1:44" ht="15" x14ac:dyDescent="0.25">
      <c r="A27" s="140">
        <v>156</v>
      </c>
      <c r="B27" s="141" t="s">
        <v>125</v>
      </c>
      <c r="C27" s="141">
        <v>1882</v>
      </c>
      <c r="D27" s="141"/>
      <c r="E27" s="141"/>
      <c r="F27" s="142">
        <v>44405</v>
      </c>
      <c r="G27" s="143" t="s">
        <v>602</v>
      </c>
      <c r="H27" s="141"/>
      <c r="I27" s="143" t="s">
        <v>603</v>
      </c>
      <c r="J27" s="144" t="s">
        <v>604</v>
      </c>
      <c r="K27" s="143" t="s">
        <v>605</v>
      </c>
      <c r="L27" s="143" t="s">
        <v>135</v>
      </c>
      <c r="M27" s="141"/>
      <c r="N27" s="141"/>
      <c r="O27" s="143" t="s">
        <v>93</v>
      </c>
      <c r="P27" s="145">
        <v>1</v>
      </c>
      <c r="Q27" s="145">
        <v>2</v>
      </c>
      <c r="R27" s="146">
        <v>66.87</v>
      </c>
      <c r="S27" s="125">
        <f t="shared" si="0"/>
        <v>66.87</v>
      </c>
      <c r="T27" s="126">
        <f t="shared" si="1"/>
        <v>2</v>
      </c>
      <c r="U27" s="125">
        <f t="shared" si="2"/>
        <v>133.74</v>
      </c>
      <c r="V27" s="146">
        <v>133.74</v>
      </c>
      <c r="W27" s="126" t="b">
        <f t="shared" si="3"/>
        <v>1</v>
      </c>
      <c r="X27" s="125">
        <f t="shared" si="4"/>
        <v>63.446666666666673</v>
      </c>
      <c r="Y27" s="127">
        <f t="shared" si="5"/>
        <v>0.47440307063456461</v>
      </c>
      <c r="Z27" s="128" t="str">
        <f t="shared" si="6"/>
        <v>30+%</v>
      </c>
      <c r="AA27" s="136">
        <v>35.146666666666668</v>
      </c>
      <c r="AB27" s="109">
        <v>1</v>
      </c>
      <c r="AC27" s="125">
        <f t="shared" si="7"/>
        <v>70.293333333333337</v>
      </c>
      <c r="AD27" s="125">
        <f t="shared" si="8"/>
        <v>35.146666666666668</v>
      </c>
      <c r="AE27" s="140" t="s">
        <v>983</v>
      </c>
      <c r="AF27" s="151"/>
      <c r="AG27" s="152"/>
      <c r="AH27" s="126" t="s">
        <v>93</v>
      </c>
      <c r="AI27" s="126">
        <v>1</v>
      </c>
      <c r="AJ27" s="139">
        <v>22096215</v>
      </c>
      <c r="AK27" s="139" t="s">
        <v>1003</v>
      </c>
      <c r="AL27" s="139" t="s">
        <v>1004</v>
      </c>
      <c r="AM27" s="139" t="s">
        <v>605</v>
      </c>
      <c r="AN27" s="139" t="s">
        <v>1074</v>
      </c>
      <c r="AO27" s="109" t="s">
        <v>68</v>
      </c>
      <c r="AP27" s="109" t="s">
        <v>1007</v>
      </c>
      <c r="AQ27" s="109" t="s">
        <v>991</v>
      </c>
      <c r="AR27" s="109"/>
    </row>
    <row r="28" spans="1:44" ht="15" x14ac:dyDescent="0.25">
      <c r="A28" s="140">
        <v>162</v>
      </c>
      <c r="B28" s="141" t="s">
        <v>125</v>
      </c>
      <c r="C28" s="141">
        <v>1954</v>
      </c>
      <c r="D28" s="141"/>
      <c r="E28" s="141"/>
      <c r="F28" s="142">
        <v>44308</v>
      </c>
      <c r="G28" s="143" t="s">
        <v>145</v>
      </c>
      <c r="H28" s="141"/>
      <c r="I28" s="143" t="s">
        <v>622</v>
      </c>
      <c r="J28" s="144" t="s">
        <v>623</v>
      </c>
      <c r="K28" s="143" t="s">
        <v>624</v>
      </c>
      <c r="L28" s="143" t="s">
        <v>135</v>
      </c>
      <c r="M28" s="141"/>
      <c r="N28" s="141"/>
      <c r="O28" s="143" t="s">
        <v>93</v>
      </c>
      <c r="P28" s="145">
        <v>1</v>
      </c>
      <c r="Q28" s="145">
        <v>2</v>
      </c>
      <c r="R28" s="146">
        <v>59.04</v>
      </c>
      <c r="S28" s="125">
        <f t="shared" si="0"/>
        <v>59.04</v>
      </c>
      <c r="T28" s="126">
        <f t="shared" si="1"/>
        <v>2</v>
      </c>
      <c r="U28" s="125">
        <f t="shared" si="2"/>
        <v>118.08</v>
      </c>
      <c r="V28" s="146">
        <v>118.08</v>
      </c>
      <c r="W28" s="126" t="b">
        <f t="shared" si="3"/>
        <v>1</v>
      </c>
      <c r="X28" s="125">
        <f t="shared" si="4"/>
        <v>62.373333333333335</v>
      </c>
      <c r="Y28" s="127">
        <f t="shared" si="5"/>
        <v>0.52822944896115631</v>
      </c>
      <c r="Z28" s="128" t="str">
        <f t="shared" si="6"/>
        <v>30+%</v>
      </c>
      <c r="AA28" s="136">
        <v>27.853333333333332</v>
      </c>
      <c r="AB28" s="109">
        <v>1</v>
      </c>
      <c r="AC28" s="125">
        <f t="shared" si="7"/>
        <v>55.706666666666663</v>
      </c>
      <c r="AD28" s="125">
        <f t="shared" si="8"/>
        <v>27.853333333333332</v>
      </c>
      <c r="AE28" s="140" t="s">
        <v>983</v>
      </c>
      <c r="AF28" s="151"/>
      <c r="AG28" s="152"/>
      <c r="AH28" s="126" t="s">
        <v>93</v>
      </c>
      <c r="AI28" s="126">
        <v>1</v>
      </c>
      <c r="AJ28" s="139">
        <v>88247200</v>
      </c>
      <c r="AK28" s="139" t="s">
        <v>1003</v>
      </c>
      <c r="AL28" s="139" t="s">
        <v>1004</v>
      </c>
      <c r="AM28" s="139" t="s">
        <v>624</v>
      </c>
      <c r="AN28" s="139" t="s">
        <v>1075</v>
      </c>
      <c r="AO28" s="109" t="s">
        <v>68</v>
      </c>
      <c r="AP28" s="109" t="s">
        <v>1007</v>
      </c>
      <c r="AQ28" s="109" t="s">
        <v>991</v>
      </c>
      <c r="AR28" s="109"/>
    </row>
    <row r="29" spans="1:44" ht="15" x14ac:dyDescent="0.25">
      <c r="A29" s="140">
        <v>164</v>
      </c>
      <c r="B29" s="141" t="s">
        <v>125</v>
      </c>
      <c r="C29" s="141">
        <v>1963</v>
      </c>
      <c r="D29" s="141"/>
      <c r="E29" s="141"/>
      <c r="F29" s="142">
        <v>44421</v>
      </c>
      <c r="G29" s="143" t="s">
        <v>145</v>
      </c>
      <c r="H29" s="141"/>
      <c r="I29" s="143" t="s">
        <v>627</v>
      </c>
      <c r="J29" s="144" t="s">
        <v>549</v>
      </c>
      <c r="K29" s="143" t="s">
        <v>628</v>
      </c>
      <c r="L29" s="143" t="s">
        <v>135</v>
      </c>
      <c r="M29" s="141"/>
      <c r="N29" s="141"/>
      <c r="O29" s="143" t="s">
        <v>93</v>
      </c>
      <c r="P29" s="145">
        <v>1</v>
      </c>
      <c r="Q29" s="145">
        <v>2</v>
      </c>
      <c r="R29" s="146">
        <v>57.64</v>
      </c>
      <c r="S29" s="125">
        <f t="shared" si="0"/>
        <v>57.64</v>
      </c>
      <c r="T29" s="126">
        <f t="shared" si="1"/>
        <v>2</v>
      </c>
      <c r="U29" s="125">
        <f t="shared" si="2"/>
        <v>115.28</v>
      </c>
      <c r="V29" s="146">
        <v>115.28</v>
      </c>
      <c r="W29" s="126" t="b">
        <f t="shared" si="3"/>
        <v>1</v>
      </c>
      <c r="X29" s="125">
        <f t="shared" si="4"/>
        <v>-27.658775510204094</v>
      </c>
      <c r="Y29" s="127">
        <f t="shared" si="5"/>
        <v>-0.23992692149725967</v>
      </c>
      <c r="Z29" s="128" t="str">
        <f t="shared" si="6"/>
        <v>Negative</v>
      </c>
      <c r="AA29" s="136">
        <v>71.469387755102048</v>
      </c>
      <c r="AB29" s="109">
        <v>1</v>
      </c>
      <c r="AC29" s="125">
        <f t="shared" si="7"/>
        <v>142.9387755102041</v>
      </c>
      <c r="AD29" s="125">
        <f t="shared" si="8"/>
        <v>71.469387755102048</v>
      </c>
      <c r="AE29" s="140" t="s">
        <v>983</v>
      </c>
      <c r="AF29" s="151"/>
      <c r="AG29" s="152"/>
      <c r="AH29" s="126" t="s">
        <v>93</v>
      </c>
      <c r="AI29" s="126">
        <v>1</v>
      </c>
      <c r="AJ29" s="139">
        <v>88147610</v>
      </c>
      <c r="AK29" s="139" t="s">
        <v>986</v>
      </c>
      <c r="AL29" s="139" t="s">
        <v>987</v>
      </c>
      <c r="AM29" s="139" t="s">
        <v>628</v>
      </c>
      <c r="AN29" s="139" t="s">
        <v>1076</v>
      </c>
      <c r="AO29" s="109" t="s">
        <v>69</v>
      </c>
      <c r="AP29" s="109" t="s">
        <v>1056</v>
      </c>
      <c r="AQ29" s="109" t="s">
        <v>991</v>
      </c>
      <c r="AR29" s="109" t="s">
        <v>985</v>
      </c>
    </row>
    <row r="30" spans="1:44" ht="15" x14ac:dyDescent="0.25">
      <c r="A30" s="140">
        <v>167</v>
      </c>
      <c r="B30" s="141" t="s">
        <v>125</v>
      </c>
      <c r="C30" s="141">
        <v>1995</v>
      </c>
      <c r="D30" s="141"/>
      <c r="E30" s="141"/>
      <c r="F30" s="142">
        <v>44539</v>
      </c>
      <c r="G30" s="143" t="s">
        <v>185</v>
      </c>
      <c r="H30" s="141"/>
      <c r="I30" s="143" t="s">
        <v>634</v>
      </c>
      <c r="J30" s="144" t="s">
        <v>187</v>
      </c>
      <c r="K30" s="143" t="s">
        <v>635</v>
      </c>
      <c r="L30" s="143" t="s">
        <v>130</v>
      </c>
      <c r="M30" s="141"/>
      <c r="N30" s="141"/>
      <c r="O30" s="143" t="s">
        <v>93</v>
      </c>
      <c r="P30" s="145">
        <v>1</v>
      </c>
      <c r="Q30" s="145">
        <v>3</v>
      </c>
      <c r="R30" s="146">
        <v>36.770000000000003</v>
      </c>
      <c r="S30" s="125">
        <f t="shared" si="0"/>
        <v>36.770000000000003</v>
      </c>
      <c r="T30" s="126">
        <f t="shared" si="1"/>
        <v>3</v>
      </c>
      <c r="U30" s="125">
        <f t="shared" si="2"/>
        <v>110.31</v>
      </c>
      <c r="V30" s="146">
        <v>110.31</v>
      </c>
      <c r="W30" s="126" t="b">
        <f t="shared" si="3"/>
        <v>1</v>
      </c>
      <c r="X30" s="125">
        <f t="shared" si="4"/>
        <v>91.390457142857144</v>
      </c>
      <c r="Y30" s="127">
        <f t="shared" si="5"/>
        <v>0.82848750922724268</v>
      </c>
      <c r="Z30" s="128" t="str">
        <f t="shared" si="6"/>
        <v>30+%</v>
      </c>
      <c r="AA30" s="136">
        <v>630.6514285714286</v>
      </c>
      <c r="AB30" s="109">
        <v>100</v>
      </c>
      <c r="AC30" s="125">
        <f t="shared" si="7"/>
        <v>18.919542857142858</v>
      </c>
      <c r="AD30" s="125">
        <f t="shared" si="8"/>
        <v>6.306514285714286</v>
      </c>
      <c r="AE30" s="140" t="s">
        <v>982</v>
      </c>
      <c r="AF30" s="151"/>
      <c r="AG30" s="152"/>
      <c r="AH30" s="126" t="s">
        <v>93</v>
      </c>
      <c r="AI30" s="126">
        <v>1</v>
      </c>
      <c r="AJ30" s="139">
        <v>88073396</v>
      </c>
      <c r="AK30" s="139" t="s">
        <v>1032</v>
      </c>
      <c r="AL30" s="139" t="s">
        <v>1033</v>
      </c>
      <c r="AM30" s="139" t="s">
        <v>635</v>
      </c>
      <c r="AN30" s="139" t="s">
        <v>1077</v>
      </c>
      <c r="AO30" s="109" t="s">
        <v>69</v>
      </c>
      <c r="AP30" s="109" t="s">
        <v>1059</v>
      </c>
      <c r="AQ30" s="109" t="s">
        <v>991</v>
      </c>
      <c r="AR30" s="109"/>
    </row>
    <row r="31" spans="1:44" ht="15" x14ac:dyDescent="0.25">
      <c r="A31" s="140">
        <v>172</v>
      </c>
      <c r="B31" s="141" t="s">
        <v>125</v>
      </c>
      <c r="C31" s="141">
        <v>2051</v>
      </c>
      <c r="D31" s="141"/>
      <c r="E31" s="141"/>
      <c r="F31" s="142">
        <v>44214</v>
      </c>
      <c r="G31" s="143" t="s">
        <v>145</v>
      </c>
      <c r="H31" s="141"/>
      <c r="I31" s="143" t="s">
        <v>647</v>
      </c>
      <c r="J31" s="144" t="s">
        <v>549</v>
      </c>
      <c r="K31" s="143" t="s">
        <v>648</v>
      </c>
      <c r="L31" s="143" t="s">
        <v>135</v>
      </c>
      <c r="M31" s="141"/>
      <c r="N31" s="141"/>
      <c r="O31" s="143" t="s">
        <v>93</v>
      </c>
      <c r="P31" s="145">
        <v>1</v>
      </c>
      <c r="Q31" s="145">
        <v>6</v>
      </c>
      <c r="R31" s="146">
        <v>17.03</v>
      </c>
      <c r="S31" s="125">
        <f t="shared" si="0"/>
        <v>17.03</v>
      </c>
      <c r="T31" s="126">
        <f t="shared" si="1"/>
        <v>6</v>
      </c>
      <c r="U31" s="125">
        <f t="shared" si="2"/>
        <v>102.18</v>
      </c>
      <c r="V31" s="146">
        <v>102.18</v>
      </c>
      <c r="W31" s="126" t="b">
        <f t="shared" si="3"/>
        <v>1</v>
      </c>
      <c r="X31" s="125">
        <f t="shared" si="4"/>
        <v>-18.97102040816327</v>
      </c>
      <c r="Y31" s="127">
        <f t="shared" si="5"/>
        <v>-0.18566275600081492</v>
      </c>
      <c r="Z31" s="128" t="str">
        <f t="shared" si="6"/>
        <v>Negative</v>
      </c>
      <c r="AA31" s="136">
        <v>20.191836734693879</v>
      </c>
      <c r="AB31" s="109">
        <v>1</v>
      </c>
      <c r="AC31" s="125">
        <f t="shared" si="7"/>
        <v>121.15102040816328</v>
      </c>
      <c r="AD31" s="125">
        <f t="shared" si="8"/>
        <v>20.191836734693879</v>
      </c>
      <c r="AE31" s="140" t="s">
        <v>984</v>
      </c>
      <c r="AF31" s="151"/>
      <c r="AG31" s="152"/>
      <c r="AH31" s="126" t="s">
        <v>93</v>
      </c>
      <c r="AI31" s="126">
        <v>1</v>
      </c>
      <c r="AJ31" s="139">
        <v>25962433</v>
      </c>
      <c r="AK31" s="139" t="s">
        <v>986</v>
      </c>
      <c r="AL31" s="139" t="s">
        <v>987</v>
      </c>
      <c r="AM31" s="139" t="s">
        <v>1078</v>
      </c>
      <c r="AN31" s="139" t="s">
        <v>1079</v>
      </c>
      <c r="AO31" s="109" t="s">
        <v>69</v>
      </c>
      <c r="AP31" s="109" t="s">
        <v>1056</v>
      </c>
      <c r="AQ31" s="109" t="s">
        <v>991</v>
      </c>
      <c r="AR31" s="109"/>
    </row>
    <row r="32" spans="1:44" ht="15" x14ac:dyDescent="0.25">
      <c r="A32" s="140">
        <v>173</v>
      </c>
      <c r="B32" s="141" t="s">
        <v>125</v>
      </c>
      <c r="C32" s="141">
        <v>2061</v>
      </c>
      <c r="D32" s="141"/>
      <c r="E32" s="141"/>
      <c r="F32" s="142">
        <v>44495</v>
      </c>
      <c r="G32" s="143" t="s">
        <v>475</v>
      </c>
      <c r="H32" s="141"/>
      <c r="I32" s="143" t="s">
        <v>649</v>
      </c>
      <c r="J32" s="144" t="s">
        <v>477</v>
      </c>
      <c r="K32" s="143" t="s">
        <v>650</v>
      </c>
      <c r="L32" s="143" t="s">
        <v>130</v>
      </c>
      <c r="M32" s="141"/>
      <c r="N32" s="141"/>
      <c r="O32" s="143" t="s">
        <v>93</v>
      </c>
      <c r="P32" s="145">
        <v>1</v>
      </c>
      <c r="Q32" s="145">
        <v>10</v>
      </c>
      <c r="R32" s="146">
        <v>10.09</v>
      </c>
      <c r="S32" s="125">
        <f t="shared" si="0"/>
        <v>10.09</v>
      </c>
      <c r="T32" s="126">
        <f t="shared" si="1"/>
        <v>10</v>
      </c>
      <c r="U32" s="125">
        <f t="shared" si="2"/>
        <v>100.9</v>
      </c>
      <c r="V32" s="146">
        <v>100.9</v>
      </c>
      <c r="W32" s="126" t="b">
        <f t="shared" si="3"/>
        <v>1</v>
      </c>
      <c r="X32" s="125">
        <f t="shared" si="4"/>
        <v>-65.353061224489778</v>
      </c>
      <c r="Y32" s="127">
        <f t="shared" si="5"/>
        <v>-0.64770130054003738</v>
      </c>
      <c r="Z32" s="128" t="str">
        <f t="shared" si="6"/>
        <v>Negative</v>
      </c>
      <c r="AA32" s="136">
        <v>16.625306122448979</v>
      </c>
      <c r="AB32" s="109">
        <v>1</v>
      </c>
      <c r="AC32" s="125">
        <f t="shared" si="7"/>
        <v>166.25306122448978</v>
      </c>
      <c r="AD32" s="125">
        <f t="shared" si="8"/>
        <v>16.625306122448979</v>
      </c>
      <c r="AE32" s="140" t="s">
        <v>983</v>
      </c>
      <c r="AF32" s="151"/>
      <c r="AG32" s="152"/>
      <c r="AH32" s="126" t="s">
        <v>93</v>
      </c>
      <c r="AI32" s="126">
        <v>1</v>
      </c>
      <c r="AJ32" s="139">
        <v>25438996</v>
      </c>
      <c r="AK32" s="139" t="s">
        <v>1027</v>
      </c>
      <c r="AL32" s="139" t="s">
        <v>1028</v>
      </c>
      <c r="AM32" s="139" t="s">
        <v>1080</v>
      </c>
      <c r="AN32" s="139" t="s">
        <v>1081</v>
      </c>
      <c r="AO32" s="109" t="s">
        <v>75</v>
      </c>
      <c r="AP32" s="109" t="s">
        <v>1031</v>
      </c>
      <c r="AQ32" s="109" t="s">
        <v>991</v>
      </c>
      <c r="AR32" s="109"/>
    </row>
    <row r="33" spans="1:44" ht="15" x14ac:dyDescent="0.25">
      <c r="A33" s="140">
        <v>180</v>
      </c>
      <c r="B33" s="141" t="s">
        <v>125</v>
      </c>
      <c r="C33" s="141">
        <v>2083</v>
      </c>
      <c r="D33" s="141"/>
      <c r="E33" s="141"/>
      <c r="F33" s="142">
        <v>44431</v>
      </c>
      <c r="G33" s="143" t="s">
        <v>136</v>
      </c>
      <c r="H33" s="141"/>
      <c r="I33" s="143" t="s">
        <v>665</v>
      </c>
      <c r="J33" s="144" t="s">
        <v>138</v>
      </c>
      <c r="K33" s="143" t="s">
        <v>666</v>
      </c>
      <c r="L33" s="143" t="s">
        <v>135</v>
      </c>
      <c r="M33" s="141"/>
      <c r="N33" s="141"/>
      <c r="O33" s="143" t="s">
        <v>93</v>
      </c>
      <c r="P33" s="145">
        <v>1</v>
      </c>
      <c r="Q33" s="145">
        <v>4</v>
      </c>
      <c r="R33" s="146">
        <v>24.39</v>
      </c>
      <c r="S33" s="125">
        <f t="shared" si="0"/>
        <v>24.39</v>
      </c>
      <c r="T33" s="126">
        <f t="shared" si="1"/>
        <v>4</v>
      </c>
      <c r="U33" s="125">
        <f t="shared" si="2"/>
        <v>97.56</v>
      </c>
      <c r="V33" s="146">
        <v>97.56</v>
      </c>
      <c r="W33" s="126" t="b">
        <f t="shared" si="3"/>
        <v>1</v>
      </c>
      <c r="X33" s="125">
        <f t="shared" si="4"/>
        <v>39.329795918367353</v>
      </c>
      <c r="Y33" s="127">
        <f t="shared" si="5"/>
        <v>0.40313443950766042</v>
      </c>
      <c r="Z33" s="128" t="str">
        <f t="shared" si="6"/>
        <v>30+%</v>
      </c>
      <c r="AA33" s="136">
        <v>14.557551020408162</v>
      </c>
      <c r="AB33" s="109">
        <v>1</v>
      </c>
      <c r="AC33" s="125">
        <f t="shared" si="7"/>
        <v>58.23020408163265</v>
      </c>
      <c r="AD33" s="125">
        <f t="shared" si="8"/>
        <v>14.557551020408162</v>
      </c>
      <c r="AE33" s="140" t="s">
        <v>983</v>
      </c>
      <c r="AF33" s="151"/>
      <c r="AG33" s="152"/>
      <c r="AH33" s="126" t="s">
        <v>93</v>
      </c>
      <c r="AI33" s="126">
        <v>1</v>
      </c>
      <c r="AJ33" s="139">
        <v>88247321</v>
      </c>
      <c r="AK33" s="139" t="s">
        <v>1003</v>
      </c>
      <c r="AL33" s="139" t="s">
        <v>1004</v>
      </c>
      <c r="AM33" s="139" t="s">
        <v>1082</v>
      </c>
      <c r="AN33" s="139" t="s">
        <v>1083</v>
      </c>
      <c r="AO33" s="109" t="s">
        <v>68</v>
      </c>
      <c r="AP33" s="109" t="s">
        <v>1007</v>
      </c>
      <c r="AQ33" s="109" t="s">
        <v>991</v>
      </c>
      <c r="AR33" s="109"/>
    </row>
    <row r="34" spans="1:44" ht="15" x14ac:dyDescent="0.25">
      <c r="A34" s="140">
        <v>185</v>
      </c>
      <c r="B34" s="141" t="s">
        <v>125</v>
      </c>
      <c r="C34" s="141">
        <v>2138</v>
      </c>
      <c r="D34" s="141"/>
      <c r="E34" s="141"/>
      <c r="F34" s="142">
        <v>44223</v>
      </c>
      <c r="G34" s="143" t="s">
        <v>145</v>
      </c>
      <c r="H34" s="141"/>
      <c r="I34" s="143" t="s">
        <v>677</v>
      </c>
      <c r="J34" s="144" t="s">
        <v>678</v>
      </c>
      <c r="K34" s="143" t="s">
        <v>679</v>
      </c>
      <c r="L34" s="143" t="s">
        <v>135</v>
      </c>
      <c r="M34" s="141"/>
      <c r="N34" s="141"/>
      <c r="O34" s="143" t="s">
        <v>93</v>
      </c>
      <c r="P34" s="145">
        <v>1</v>
      </c>
      <c r="Q34" s="145">
        <v>4</v>
      </c>
      <c r="R34" s="146">
        <v>22.6</v>
      </c>
      <c r="S34" s="125">
        <f t="shared" si="0"/>
        <v>22.6</v>
      </c>
      <c r="T34" s="126">
        <f t="shared" si="1"/>
        <v>4</v>
      </c>
      <c r="U34" s="125">
        <f t="shared" si="2"/>
        <v>90.4</v>
      </c>
      <c r="V34" s="146">
        <v>90.4</v>
      </c>
      <c r="W34" s="126" t="b">
        <f t="shared" si="3"/>
        <v>1</v>
      </c>
      <c r="X34" s="125">
        <f t="shared" si="4"/>
        <v>-33.9074693877551</v>
      </c>
      <c r="Y34" s="127">
        <f t="shared" si="5"/>
        <v>-0.37508262597074221</v>
      </c>
      <c r="Z34" s="128" t="str">
        <f t="shared" si="6"/>
        <v>Negative</v>
      </c>
      <c r="AA34" s="136">
        <v>3107.6867346938775</v>
      </c>
      <c r="AB34" s="109">
        <v>100</v>
      </c>
      <c r="AC34" s="125">
        <f t="shared" si="7"/>
        <v>124.30746938775511</v>
      </c>
      <c r="AD34" s="125">
        <f t="shared" si="8"/>
        <v>31.076867346938776</v>
      </c>
      <c r="AE34" s="140" t="s">
        <v>983</v>
      </c>
      <c r="AF34" s="151"/>
      <c r="AG34" s="152"/>
      <c r="AH34" s="126" t="s">
        <v>93</v>
      </c>
      <c r="AI34" s="126">
        <v>1</v>
      </c>
      <c r="AJ34" s="139">
        <v>88265855</v>
      </c>
      <c r="AK34" s="139" t="s">
        <v>1062</v>
      </c>
      <c r="AL34" s="139" t="s">
        <v>1063</v>
      </c>
      <c r="AM34" s="139" t="s">
        <v>679</v>
      </c>
      <c r="AN34" s="139" t="s">
        <v>1084</v>
      </c>
      <c r="AO34" s="109" t="s">
        <v>76</v>
      </c>
      <c r="AP34" s="109" t="s">
        <v>1085</v>
      </c>
      <c r="AQ34" s="109" t="s">
        <v>991</v>
      </c>
      <c r="AR34" s="109"/>
    </row>
    <row r="35" spans="1:44" ht="15" x14ac:dyDescent="0.25">
      <c r="A35" s="140">
        <v>186</v>
      </c>
      <c r="B35" s="141" t="s">
        <v>125</v>
      </c>
      <c r="C35" s="141">
        <v>2151</v>
      </c>
      <c r="D35" s="141"/>
      <c r="E35" s="141"/>
      <c r="F35" s="142">
        <v>44497</v>
      </c>
      <c r="G35" s="143" t="s">
        <v>259</v>
      </c>
      <c r="H35" s="141"/>
      <c r="I35" s="143" t="s">
        <v>680</v>
      </c>
      <c r="J35" s="144" t="s">
        <v>681</v>
      </c>
      <c r="K35" s="143" t="s">
        <v>682</v>
      </c>
      <c r="L35" s="143" t="s">
        <v>135</v>
      </c>
      <c r="M35" s="141"/>
      <c r="N35" s="141"/>
      <c r="O35" s="143" t="s">
        <v>93</v>
      </c>
      <c r="P35" s="145">
        <v>1</v>
      </c>
      <c r="Q35" s="145">
        <v>5</v>
      </c>
      <c r="R35" s="146">
        <v>17.670000000000002</v>
      </c>
      <c r="S35" s="125">
        <f t="shared" si="0"/>
        <v>17.670000000000002</v>
      </c>
      <c r="T35" s="126">
        <f t="shared" si="1"/>
        <v>5</v>
      </c>
      <c r="U35" s="125">
        <f t="shared" si="2"/>
        <v>88.350000000000009</v>
      </c>
      <c r="V35" s="146">
        <v>88.350000000000009</v>
      </c>
      <c r="W35" s="126" t="b">
        <f t="shared" si="3"/>
        <v>1</v>
      </c>
      <c r="X35" s="125">
        <f t="shared" si="4"/>
        <v>-6.0173469387755176</v>
      </c>
      <c r="Y35" s="127">
        <f t="shared" si="5"/>
        <v>-6.8108058163842869E-2</v>
      </c>
      <c r="Z35" s="128" t="str">
        <f t="shared" si="6"/>
        <v>Negative</v>
      </c>
      <c r="AA35" s="136">
        <v>18.873469387755105</v>
      </c>
      <c r="AB35" s="109">
        <v>1</v>
      </c>
      <c r="AC35" s="125">
        <f t="shared" si="7"/>
        <v>94.367346938775526</v>
      </c>
      <c r="AD35" s="125">
        <f t="shared" si="8"/>
        <v>18.873469387755105</v>
      </c>
      <c r="AE35" s="140" t="s">
        <v>983</v>
      </c>
      <c r="AF35" s="151"/>
      <c r="AG35" s="152"/>
      <c r="AH35" s="126" t="s">
        <v>93</v>
      </c>
      <c r="AI35" s="126">
        <v>1</v>
      </c>
      <c r="AJ35" s="139" t="s">
        <v>1008</v>
      </c>
      <c r="AK35" s="139" t="s">
        <v>1009</v>
      </c>
      <c r="AL35" s="139" t="s">
        <v>1010</v>
      </c>
      <c r="AM35" s="139" t="s">
        <v>682</v>
      </c>
      <c r="AN35" s="139"/>
      <c r="AO35" s="109" t="s">
        <v>68</v>
      </c>
      <c r="AP35" s="109"/>
      <c r="AQ35" s="109" t="s">
        <v>997</v>
      </c>
      <c r="AR35" s="109"/>
    </row>
    <row r="36" spans="1:44" ht="15" x14ac:dyDescent="0.25">
      <c r="A36" s="140">
        <v>191</v>
      </c>
      <c r="B36" s="141" t="s">
        <v>125</v>
      </c>
      <c r="C36" s="141">
        <v>2203</v>
      </c>
      <c r="D36" s="141"/>
      <c r="E36" s="141"/>
      <c r="F36" s="142">
        <v>44522</v>
      </c>
      <c r="G36" s="143" t="s">
        <v>602</v>
      </c>
      <c r="H36" s="141"/>
      <c r="I36" s="143" t="s">
        <v>694</v>
      </c>
      <c r="J36" s="144" t="s">
        <v>695</v>
      </c>
      <c r="K36" s="143" t="s">
        <v>696</v>
      </c>
      <c r="L36" s="143" t="s">
        <v>130</v>
      </c>
      <c r="M36" s="141"/>
      <c r="N36" s="141"/>
      <c r="O36" s="143" t="s">
        <v>93</v>
      </c>
      <c r="P36" s="145">
        <v>1</v>
      </c>
      <c r="Q36" s="145">
        <v>2</v>
      </c>
      <c r="R36" s="146">
        <v>40.44</v>
      </c>
      <c r="S36" s="125">
        <f t="shared" si="0"/>
        <v>40.44</v>
      </c>
      <c r="T36" s="126">
        <f t="shared" si="1"/>
        <v>2</v>
      </c>
      <c r="U36" s="125">
        <f t="shared" si="2"/>
        <v>80.88</v>
      </c>
      <c r="V36" s="146">
        <v>80.88</v>
      </c>
      <c r="W36" s="126" t="b">
        <f t="shared" si="3"/>
        <v>1</v>
      </c>
      <c r="X36" s="125">
        <f t="shared" si="4"/>
        <v>-45.660000000000011</v>
      </c>
      <c r="Y36" s="127">
        <f t="shared" si="5"/>
        <v>-0.56454005934718121</v>
      </c>
      <c r="Z36" s="128" t="str">
        <f t="shared" si="6"/>
        <v>Negative</v>
      </c>
      <c r="AA36" s="136">
        <v>63.27</v>
      </c>
      <c r="AB36" s="109">
        <v>1</v>
      </c>
      <c r="AC36" s="125">
        <f t="shared" si="7"/>
        <v>126.54</v>
      </c>
      <c r="AD36" s="125">
        <f t="shared" si="8"/>
        <v>63.27</v>
      </c>
      <c r="AE36" s="140" t="s">
        <v>983</v>
      </c>
      <c r="AF36" s="151"/>
      <c r="AG36" s="152"/>
      <c r="AH36" s="126" t="s">
        <v>93</v>
      </c>
      <c r="AI36" s="126">
        <v>1</v>
      </c>
      <c r="AJ36" s="139">
        <v>88131797</v>
      </c>
      <c r="AK36" s="139" t="s">
        <v>1019</v>
      </c>
      <c r="AL36" s="139" t="s">
        <v>1020</v>
      </c>
      <c r="AM36" s="139" t="s">
        <v>696</v>
      </c>
      <c r="AN36" s="139" t="s">
        <v>1040</v>
      </c>
      <c r="AO36" s="109" t="s">
        <v>69</v>
      </c>
      <c r="AP36" s="109" t="s">
        <v>1086</v>
      </c>
      <c r="AQ36" s="109" t="s">
        <v>991</v>
      </c>
      <c r="AR36" s="109"/>
    </row>
    <row r="37" spans="1:44" ht="15" x14ac:dyDescent="0.25">
      <c r="A37" s="140">
        <v>207</v>
      </c>
      <c r="B37" s="141" t="s">
        <v>125</v>
      </c>
      <c r="C37" s="141">
        <v>2269</v>
      </c>
      <c r="D37" s="141"/>
      <c r="E37" s="141"/>
      <c r="F37" s="142">
        <v>44348</v>
      </c>
      <c r="G37" s="143" t="s">
        <v>145</v>
      </c>
      <c r="H37" s="141"/>
      <c r="I37" s="143" t="s">
        <v>736</v>
      </c>
      <c r="J37" s="144" t="s">
        <v>362</v>
      </c>
      <c r="K37" s="143" t="s">
        <v>737</v>
      </c>
      <c r="L37" s="143" t="s">
        <v>135</v>
      </c>
      <c r="M37" s="141"/>
      <c r="N37" s="141"/>
      <c r="O37" s="143" t="s">
        <v>93</v>
      </c>
      <c r="P37" s="145">
        <v>1</v>
      </c>
      <c r="Q37" s="145">
        <v>2</v>
      </c>
      <c r="R37" s="146">
        <v>36.93</v>
      </c>
      <c r="S37" s="125">
        <f t="shared" si="0"/>
        <v>36.93</v>
      </c>
      <c r="T37" s="126">
        <f t="shared" si="1"/>
        <v>2</v>
      </c>
      <c r="U37" s="125">
        <f t="shared" si="2"/>
        <v>73.86</v>
      </c>
      <c r="V37" s="146">
        <v>73.86</v>
      </c>
      <c r="W37" s="126" t="b">
        <f t="shared" si="3"/>
        <v>1</v>
      </c>
      <c r="X37" s="125">
        <f t="shared" si="4"/>
        <v>15.157959183673469</v>
      </c>
      <c r="Y37" s="127">
        <f t="shared" si="5"/>
        <v>0.20522555082146587</v>
      </c>
      <c r="Z37" s="128" t="str">
        <f t="shared" si="6"/>
        <v>20-30%</v>
      </c>
      <c r="AA37" s="136">
        <v>29.351020408163265</v>
      </c>
      <c r="AB37" s="109">
        <v>1</v>
      </c>
      <c r="AC37" s="125">
        <f t="shared" si="7"/>
        <v>58.70204081632653</v>
      </c>
      <c r="AD37" s="125">
        <f t="shared" si="8"/>
        <v>29.351020408163265</v>
      </c>
      <c r="AE37" s="140" t="s">
        <v>983</v>
      </c>
      <c r="AF37" s="151"/>
      <c r="AG37" s="152"/>
      <c r="AH37" s="126" t="s">
        <v>93</v>
      </c>
      <c r="AI37" s="126">
        <v>1</v>
      </c>
      <c r="AJ37" s="139">
        <v>95005512</v>
      </c>
      <c r="AK37" s="139" t="s">
        <v>986</v>
      </c>
      <c r="AL37" s="139" t="s">
        <v>987</v>
      </c>
      <c r="AM37" s="139" t="s">
        <v>1087</v>
      </c>
      <c r="AN37" s="139" t="s">
        <v>1088</v>
      </c>
      <c r="AO37" s="109" t="s">
        <v>69</v>
      </c>
      <c r="AP37" s="109" t="s">
        <v>1013</v>
      </c>
      <c r="AQ37" s="109" t="s">
        <v>991</v>
      </c>
      <c r="AR37" s="109" t="s">
        <v>985</v>
      </c>
    </row>
    <row r="38" spans="1:44" ht="15" x14ac:dyDescent="0.25">
      <c r="A38" s="140">
        <v>209</v>
      </c>
      <c r="B38" s="141" t="s">
        <v>125</v>
      </c>
      <c r="C38" s="141">
        <v>2281</v>
      </c>
      <c r="D38" s="141"/>
      <c r="E38" s="141"/>
      <c r="F38" s="142">
        <v>44519</v>
      </c>
      <c r="G38" s="143" t="s">
        <v>475</v>
      </c>
      <c r="H38" s="141"/>
      <c r="I38" s="143" t="s">
        <v>741</v>
      </c>
      <c r="J38" s="144" t="s">
        <v>477</v>
      </c>
      <c r="K38" s="143" t="s">
        <v>742</v>
      </c>
      <c r="L38" s="143" t="s">
        <v>130</v>
      </c>
      <c r="M38" s="141"/>
      <c r="N38" s="141"/>
      <c r="O38" s="143" t="s">
        <v>93</v>
      </c>
      <c r="P38" s="145">
        <f>1/10</f>
        <v>0.1</v>
      </c>
      <c r="Q38" s="145">
        <v>10</v>
      </c>
      <c r="R38" s="146">
        <v>7.21</v>
      </c>
      <c r="S38" s="125">
        <f t="shared" si="0"/>
        <v>72.099999999999994</v>
      </c>
      <c r="T38" s="126">
        <f t="shared" si="1"/>
        <v>1</v>
      </c>
      <c r="U38" s="125">
        <f t="shared" si="2"/>
        <v>72.099999999999994</v>
      </c>
      <c r="V38" s="146">
        <v>72.099999999999994</v>
      </c>
      <c r="W38" s="126" t="b">
        <f t="shared" si="3"/>
        <v>1</v>
      </c>
      <c r="X38" s="125">
        <f t="shared" si="4"/>
        <v>-91.766122448979587</v>
      </c>
      <c r="Y38" s="127">
        <f t="shared" si="5"/>
        <v>-1.2727617537999945</v>
      </c>
      <c r="Z38" s="128" t="str">
        <f t="shared" si="6"/>
        <v>Negative</v>
      </c>
      <c r="AA38" s="136">
        <v>163.86612244897958</v>
      </c>
      <c r="AB38" s="109">
        <v>1</v>
      </c>
      <c r="AC38" s="125">
        <f t="shared" si="7"/>
        <v>163.86612244897958</v>
      </c>
      <c r="AD38" s="125">
        <f t="shared" si="8"/>
        <v>163.86612244897958</v>
      </c>
      <c r="AE38" s="140" t="s">
        <v>983</v>
      </c>
      <c r="AF38" s="151"/>
      <c r="AG38" s="153" t="s">
        <v>1149</v>
      </c>
      <c r="AH38" s="126" t="s">
        <v>93</v>
      </c>
      <c r="AI38" s="126">
        <v>1</v>
      </c>
      <c r="AJ38" s="139">
        <v>88051744</v>
      </c>
      <c r="AK38" s="139" t="s">
        <v>1027</v>
      </c>
      <c r="AL38" s="139" t="s">
        <v>1028</v>
      </c>
      <c r="AM38" s="139" t="s">
        <v>1089</v>
      </c>
      <c r="AN38" s="139" t="s">
        <v>1030</v>
      </c>
      <c r="AO38" s="109" t="s">
        <v>75</v>
      </c>
      <c r="AP38" s="109" t="s">
        <v>1031</v>
      </c>
      <c r="AQ38" s="109" t="s">
        <v>991</v>
      </c>
      <c r="AR38" s="109"/>
    </row>
    <row r="39" spans="1:44" ht="15" x14ac:dyDescent="0.25">
      <c r="A39" s="140">
        <v>214</v>
      </c>
      <c r="B39" s="141" t="s">
        <v>125</v>
      </c>
      <c r="C39" s="141">
        <v>2301</v>
      </c>
      <c r="D39" s="141"/>
      <c r="E39" s="141"/>
      <c r="F39" s="142">
        <v>44245</v>
      </c>
      <c r="G39" s="143" t="s">
        <v>145</v>
      </c>
      <c r="H39" s="141"/>
      <c r="I39" s="143" t="s">
        <v>753</v>
      </c>
      <c r="J39" s="144" t="s">
        <v>487</v>
      </c>
      <c r="K39" s="143" t="s">
        <v>754</v>
      </c>
      <c r="L39" s="143" t="s">
        <v>135</v>
      </c>
      <c r="M39" s="141"/>
      <c r="N39" s="141"/>
      <c r="O39" s="143" t="s">
        <v>93</v>
      </c>
      <c r="P39" s="145">
        <v>1</v>
      </c>
      <c r="Q39" s="145">
        <v>5</v>
      </c>
      <c r="R39" s="146">
        <v>13.9</v>
      </c>
      <c r="S39" s="125">
        <f t="shared" si="0"/>
        <v>13.9</v>
      </c>
      <c r="T39" s="126">
        <f t="shared" si="1"/>
        <v>5</v>
      </c>
      <c r="U39" s="125">
        <f t="shared" si="2"/>
        <v>69.5</v>
      </c>
      <c r="V39" s="146">
        <v>69.5</v>
      </c>
      <c r="W39" s="126" t="b">
        <f t="shared" si="3"/>
        <v>1</v>
      </c>
      <c r="X39" s="125">
        <f t="shared" si="4"/>
        <v>6.1499999999999986</v>
      </c>
      <c r="Y39" s="127">
        <f t="shared" si="5"/>
        <v>8.8489208633093508E-2</v>
      </c>
      <c r="Z39" s="128" t="str">
        <f t="shared" si="6"/>
        <v>0-10%</v>
      </c>
      <c r="AA39" s="136">
        <v>12.67</v>
      </c>
      <c r="AB39" s="109">
        <v>1</v>
      </c>
      <c r="AC39" s="125">
        <f t="shared" si="7"/>
        <v>63.35</v>
      </c>
      <c r="AD39" s="125">
        <f t="shared" si="8"/>
        <v>12.67</v>
      </c>
      <c r="AE39" s="140" t="s">
        <v>983</v>
      </c>
      <c r="AF39" s="151"/>
      <c r="AG39" s="152"/>
      <c r="AH39" s="126" t="s">
        <v>93</v>
      </c>
      <c r="AI39" s="126">
        <v>1</v>
      </c>
      <c r="AJ39" s="139">
        <v>88176855</v>
      </c>
      <c r="AK39" s="139" t="s">
        <v>1014</v>
      </c>
      <c r="AL39" s="139" t="s">
        <v>1015</v>
      </c>
      <c r="AM39" s="139" t="s">
        <v>1090</v>
      </c>
      <c r="AN39" s="139" t="s">
        <v>1091</v>
      </c>
      <c r="AO39" s="109" t="s">
        <v>75</v>
      </c>
      <c r="AP39" s="109" t="s">
        <v>1018</v>
      </c>
      <c r="AQ39" s="109" t="s">
        <v>1025</v>
      </c>
      <c r="AR39" s="109" t="s">
        <v>985</v>
      </c>
    </row>
    <row r="40" spans="1:44" ht="15" x14ac:dyDescent="0.25">
      <c r="A40" s="140">
        <v>216</v>
      </c>
      <c r="B40" s="141" t="s">
        <v>125</v>
      </c>
      <c r="C40" s="141">
        <v>2303</v>
      </c>
      <c r="D40" s="141"/>
      <c r="E40" s="141"/>
      <c r="F40" s="142">
        <v>44497</v>
      </c>
      <c r="G40" s="143" t="s">
        <v>259</v>
      </c>
      <c r="H40" s="141"/>
      <c r="I40" s="143" t="s">
        <v>757</v>
      </c>
      <c r="J40" s="144" t="s">
        <v>758</v>
      </c>
      <c r="K40" s="143" t="s">
        <v>759</v>
      </c>
      <c r="L40" s="143" t="s">
        <v>135</v>
      </c>
      <c r="M40" s="141"/>
      <c r="N40" s="141"/>
      <c r="O40" s="143" t="s">
        <v>93</v>
      </c>
      <c r="P40" s="145">
        <v>1</v>
      </c>
      <c r="Q40" s="145">
        <v>10</v>
      </c>
      <c r="R40" s="146">
        <v>6.93</v>
      </c>
      <c r="S40" s="125">
        <f t="shared" si="0"/>
        <v>6.93</v>
      </c>
      <c r="T40" s="126">
        <f t="shared" si="1"/>
        <v>10</v>
      </c>
      <c r="U40" s="125">
        <f t="shared" si="2"/>
        <v>69.3</v>
      </c>
      <c r="V40" s="146">
        <v>69.3</v>
      </c>
      <c r="W40" s="126" t="b">
        <f t="shared" si="3"/>
        <v>1</v>
      </c>
      <c r="X40" s="125">
        <f t="shared" si="4"/>
        <v>26.002040816326527</v>
      </c>
      <c r="Y40" s="127">
        <f t="shared" si="5"/>
        <v>0.37520982418941601</v>
      </c>
      <c r="Z40" s="128" t="str">
        <f t="shared" si="6"/>
        <v>30+%</v>
      </c>
      <c r="AA40" s="136">
        <v>4.3297959183673473</v>
      </c>
      <c r="AB40" s="109">
        <v>1</v>
      </c>
      <c r="AC40" s="125">
        <f t="shared" si="7"/>
        <v>43.29795918367347</v>
      </c>
      <c r="AD40" s="125">
        <f t="shared" si="8"/>
        <v>4.3297959183673473</v>
      </c>
      <c r="AE40" s="140" t="s">
        <v>983</v>
      </c>
      <c r="AF40" s="151"/>
      <c r="AG40" s="152"/>
      <c r="AH40" s="126" t="s">
        <v>93</v>
      </c>
      <c r="AI40" s="126">
        <v>1</v>
      </c>
      <c r="AJ40" s="139">
        <v>25081073</v>
      </c>
      <c r="AK40" s="139" t="s">
        <v>986</v>
      </c>
      <c r="AL40" s="139" t="s">
        <v>987</v>
      </c>
      <c r="AM40" s="139" t="s">
        <v>759</v>
      </c>
      <c r="AN40" s="139" t="s">
        <v>1092</v>
      </c>
      <c r="AO40" s="109" t="s">
        <v>69</v>
      </c>
      <c r="AP40" s="109" t="s">
        <v>1093</v>
      </c>
      <c r="AQ40" s="109" t="s">
        <v>991</v>
      </c>
      <c r="AR40" s="109"/>
    </row>
    <row r="41" spans="1:44" ht="15" x14ac:dyDescent="0.25">
      <c r="A41" s="140">
        <v>221</v>
      </c>
      <c r="B41" s="141" t="s">
        <v>125</v>
      </c>
      <c r="C41" s="141">
        <v>2336</v>
      </c>
      <c r="D41" s="141"/>
      <c r="E41" s="141"/>
      <c r="F41" s="142">
        <v>44539</v>
      </c>
      <c r="G41" s="143" t="s">
        <v>185</v>
      </c>
      <c r="H41" s="141"/>
      <c r="I41" s="143" t="s">
        <v>771</v>
      </c>
      <c r="J41" s="144" t="s">
        <v>187</v>
      </c>
      <c r="K41" s="143" t="s">
        <v>772</v>
      </c>
      <c r="L41" s="143" t="s">
        <v>130</v>
      </c>
      <c r="M41" s="141"/>
      <c r="N41" s="141"/>
      <c r="O41" s="143" t="s">
        <v>93</v>
      </c>
      <c r="P41" s="145">
        <v>1</v>
      </c>
      <c r="Q41" s="145">
        <v>2</v>
      </c>
      <c r="R41" s="146">
        <v>33.17</v>
      </c>
      <c r="S41" s="125">
        <f t="shared" si="0"/>
        <v>33.17</v>
      </c>
      <c r="T41" s="126">
        <f t="shared" si="1"/>
        <v>2</v>
      </c>
      <c r="U41" s="125">
        <f t="shared" si="2"/>
        <v>66.34</v>
      </c>
      <c r="V41" s="146">
        <v>66.34</v>
      </c>
      <c r="W41" s="126" t="b">
        <f t="shared" si="3"/>
        <v>1</v>
      </c>
      <c r="X41" s="125">
        <f t="shared" si="4"/>
        <v>52.551400000000001</v>
      </c>
      <c r="Y41" s="127">
        <f t="shared" si="5"/>
        <v>0.79215254748266506</v>
      </c>
      <c r="Z41" s="128" t="str">
        <f t="shared" si="6"/>
        <v>30+%</v>
      </c>
      <c r="AA41" s="136">
        <v>689.43</v>
      </c>
      <c r="AB41" s="109">
        <v>100</v>
      </c>
      <c r="AC41" s="125">
        <f t="shared" si="7"/>
        <v>13.788599999999999</v>
      </c>
      <c r="AD41" s="125">
        <f t="shared" si="8"/>
        <v>6.8942999999999994</v>
      </c>
      <c r="AE41" s="140" t="s">
        <v>982</v>
      </c>
      <c r="AF41" s="151"/>
      <c r="AG41" s="152"/>
      <c r="AH41" s="126" t="s">
        <v>93</v>
      </c>
      <c r="AI41" s="126">
        <v>1</v>
      </c>
      <c r="AJ41" s="139">
        <v>88073393</v>
      </c>
      <c r="AK41" s="139" t="s">
        <v>1032</v>
      </c>
      <c r="AL41" s="139" t="s">
        <v>1033</v>
      </c>
      <c r="AM41" s="139" t="s">
        <v>772</v>
      </c>
      <c r="AN41" s="139" t="s">
        <v>1094</v>
      </c>
      <c r="AO41" s="109" t="s">
        <v>69</v>
      </c>
      <c r="AP41" s="109" t="s">
        <v>1059</v>
      </c>
      <c r="AQ41" s="109" t="s">
        <v>1025</v>
      </c>
      <c r="AR41" s="109" t="s">
        <v>985</v>
      </c>
    </row>
    <row r="42" spans="1:44" ht="15" x14ac:dyDescent="0.25">
      <c r="A42" s="140">
        <v>222</v>
      </c>
      <c r="B42" s="141" t="s">
        <v>125</v>
      </c>
      <c r="C42" s="141">
        <v>2339</v>
      </c>
      <c r="D42" s="141"/>
      <c r="E42" s="141"/>
      <c r="F42" s="142">
        <v>44322</v>
      </c>
      <c r="G42" s="143" t="s">
        <v>145</v>
      </c>
      <c r="H42" s="141"/>
      <c r="I42" s="143" t="s">
        <v>773</v>
      </c>
      <c r="J42" s="144" t="s">
        <v>678</v>
      </c>
      <c r="K42" s="143" t="s">
        <v>774</v>
      </c>
      <c r="L42" s="143" t="s">
        <v>135</v>
      </c>
      <c r="M42" s="141"/>
      <c r="N42" s="141"/>
      <c r="O42" s="143" t="s">
        <v>93</v>
      </c>
      <c r="P42" s="145">
        <v>1</v>
      </c>
      <c r="Q42" s="145">
        <v>3</v>
      </c>
      <c r="R42" s="146">
        <v>22.02</v>
      </c>
      <c r="S42" s="125">
        <f t="shared" si="0"/>
        <v>22.02</v>
      </c>
      <c r="T42" s="126">
        <f t="shared" si="1"/>
        <v>3</v>
      </c>
      <c r="U42" s="125">
        <f t="shared" si="2"/>
        <v>66.06</v>
      </c>
      <c r="V42" s="146">
        <v>66.06</v>
      </c>
      <c r="W42" s="126" t="b">
        <f t="shared" si="3"/>
        <v>1</v>
      </c>
      <c r="X42" s="125">
        <f t="shared" si="4"/>
        <v>13.270212244897955</v>
      </c>
      <c r="Y42" s="127">
        <f t="shared" si="5"/>
        <v>0.20088120261728662</v>
      </c>
      <c r="Z42" s="128" t="str">
        <f t="shared" si="6"/>
        <v>20-30%</v>
      </c>
      <c r="AA42" s="136">
        <v>1759.6595918367348</v>
      </c>
      <c r="AB42" s="109">
        <v>100</v>
      </c>
      <c r="AC42" s="125">
        <f t="shared" si="7"/>
        <v>52.789787755102047</v>
      </c>
      <c r="AD42" s="125">
        <f t="shared" si="8"/>
        <v>17.596595918367349</v>
      </c>
      <c r="AE42" s="140" t="s">
        <v>983</v>
      </c>
      <c r="AF42" s="151"/>
      <c r="AG42" s="152"/>
      <c r="AH42" s="126" t="s">
        <v>93</v>
      </c>
      <c r="AI42" s="126">
        <v>1</v>
      </c>
      <c r="AJ42" s="139">
        <v>88265854</v>
      </c>
      <c r="AK42" s="139" t="s">
        <v>1062</v>
      </c>
      <c r="AL42" s="139" t="s">
        <v>1063</v>
      </c>
      <c r="AM42" s="139" t="s">
        <v>774</v>
      </c>
      <c r="AN42" s="139" t="s">
        <v>1095</v>
      </c>
      <c r="AO42" s="109" t="s">
        <v>76</v>
      </c>
      <c r="AP42" s="109" t="s">
        <v>1085</v>
      </c>
      <c r="AQ42" s="109" t="s">
        <v>991</v>
      </c>
      <c r="AR42" s="109"/>
    </row>
    <row r="43" spans="1:44" ht="15" x14ac:dyDescent="0.25">
      <c r="A43" s="140">
        <v>223</v>
      </c>
      <c r="B43" s="141" t="s">
        <v>125</v>
      </c>
      <c r="C43" s="141">
        <v>2348</v>
      </c>
      <c r="D43" s="141"/>
      <c r="E43" s="141"/>
      <c r="F43" s="142">
        <v>44550</v>
      </c>
      <c r="G43" s="143" t="s">
        <v>145</v>
      </c>
      <c r="H43" s="141"/>
      <c r="I43" s="143" t="s">
        <v>775</v>
      </c>
      <c r="J43" s="144" t="s">
        <v>362</v>
      </c>
      <c r="K43" s="143" t="s">
        <v>776</v>
      </c>
      <c r="L43" s="143" t="s">
        <v>130</v>
      </c>
      <c r="M43" s="141"/>
      <c r="N43" s="141"/>
      <c r="O43" s="143" t="s">
        <v>93</v>
      </c>
      <c r="P43" s="145">
        <f>1/10</f>
        <v>0.1</v>
      </c>
      <c r="Q43" s="145">
        <v>10</v>
      </c>
      <c r="R43" s="146">
        <v>6.49</v>
      </c>
      <c r="S43" s="125">
        <f t="shared" si="0"/>
        <v>64.899999999999991</v>
      </c>
      <c r="T43" s="126">
        <f t="shared" si="1"/>
        <v>1</v>
      </c>
      <c r="U43" s="125">
        <f t="shared" si="2"/>
        <v>64.899999999999991</v>
      </c>
      <c r="V43" s="146">
        <v>64.900000000000006</v>
      </c>
      <c r="W43" s="126" t="b">
        <f t="shared" si="3"/>
        <v>1</v>
      </c>
      <c r="X43" s="125">
        <f t="shared" si="4"/>
        <v>35.826530612244902</v>
      </c>
      <c r="Y43" s="127">
        <f t="shared" si="5"/>
        <v>0.55202666582811866</v>
      </c>
      <c r="Z43" s="128" t="str">
        <f t="shared" si="6"/>
        <v>30+%</v>
      </c>
      <c r="AA43" s="136">
        <v>29.073469387755104</v>
      </c>
      <c r="AB43" s="109">
        <v>1</v>
      </c>
      <c r="AC43" s="125">
        <f t="shared" si="7"/>
        <v>29.073469387755104</v>
      </c>
      <c r="AD43" s="125">
        <f t="shared" si="8"/>
        <v>29.073469387755104</v>
      </c>
      <c r="AE43" s="140" t="s">
        <v>983</v>
      </c>
      <c r="AF43" s="151"/>
      <c r="AG43" s="153" t="s">
        <v>1149</v>
      </c>
      <c r="AH43" s="126" t="s">
        <v>93</v>
      </c>
      <c r="AI43" s="126">
        <v>1</v>
      </c>
      <c r="AJ43" s="139">
        <v>88127070</v>
      </c>
      <c r="AK43" s="139" t="s">
        <v>986</v>
      </c>
      <c r="AL43" s="139" t="s">
        <v>987</v>
      </c>
      <c r="AM43" s="139" t="s">
        <v>1096</v>
      </c>
      <c r="AN43" s="139" t="s">
        <v>1097</v>
      </c>
      <c r="AO43" s="109" t="s">
        <v>69</v>
      </c>
      <c r="AP43" s="109" t="s">
        <v>990</v>
      </c>
      <c r="AQ43" s="109" t="s">
        <v>991</v>
      </c>
      <c r="AR43" s="109"/>
    </row>
    <row r="44" spans="1:44" ht="15" x14ac:dyDescent="0.25">
      <c r="A44" s="140">
        <v>230</v>
      </c>
      <c r="B44" s="141" t="s">
        <v>125</v>
      </c>
      <c r="C44" s="141">
        <v>2415</v>
      </c>
      <c r="D44" s="141"/>
      <c r="E44" s="141"/>
      <c r="F44" s="142">
        <v>44280</v>
      </c>
      <c r="G44" s="143" t="s">
        <v>145</v>
      </c>
      <c r="H44" s="141"/>
      <c r="I44" s="143" t="s">
        <v>797</v>
      </c>
      <c r="J44" s="144" t="s">
        <v>798</v>
      </c>
      <c r="K44" s="143" t="s">
        <v>799</v>
      </c>
      <c r="L44" s="143" t="s">
        <v>135</v>
      </c>
      <c r="M44" s="141"/>
      <c r="N44" s="141"/>
      <c r="O44" s="143" t="s">
        <v>93</v>
      </c>
      <c r="P44" s="145">
        <v>1</v>
      </c>
      <c r="Q44" s="145">
        <v>3</v>
      </c>
      <c r="R44" s="146">
        <v>19.059999999999999</v>
      </c>
      <c r="S44" s="125">
        <f t="shared" si="0"/>
        <v>19.059999999999999</v>
      </c>
      <c r="T44" s="126">
        <f t="shared" si="1"/>
        <v>3</v>
      </c>
      <c r="U44" s="125">
        <f t="shared" si="2"/>
        <v>57.179999999999993</v>
      </c>
      <c r="V44" s="146">
        <v>57.179999999999993</v>
      </c>
      <c r="W44" s="126" t="b">
        <f t="shared" si="3"/>
        <v>1</v>
      </c>
      <c r="X44" s="125">
        <f t="shared" si="4"/>
        <v>-15.720000000000013</v>
      </c>
      <c r="Y44" s="127">
        <f t="shared" si="5"/>
        <v>-0.27492130115425001</v>
      </c>
      <c r="Z44" s="128" t="str">
        <f t="shared" si="6"/>
        <v>Negative</v>
      </c>
      <c r="AA44" s="136">
        <v>24.3</v>
      </c>
      <c r="AB44" s="109">
        <v>1</v>
      </c>
      <c r="AC44" s="125">
        <f t="shared" si="7"/>
        <v>72.900000000000006</v>
      </c>
      <c r="AD44" s="125">
        <f t="shared" si="8"/>
        <v>24.3</v>
      </c>
      <c r="AE44" s="140" t="s">
        <v>984</v>
      </c>
      <c r="AF44" s="151"/>
      <c r="AG44" s="152"/>
      <c r="AH44" s="126" t="s">
        <v>93</v>
      </c>
      <c r="AI44" s="126">
        <v>1</v>
      </c>
      <c r="AJ44" s="139">
        <v>92121873</v>
      </c>
      <c r="AK44" s="139" t="s">
        <v>998</v>
      </c>
      <c r="AL44" s="139" t="s">
        <v>999</v>
      </c>
      <c r="AM44" s="139">
        <v>2731</v>
      </c>
      <c r="AN44" s="139" t="s">
        <v>1098</v>
      </c>
      <c r="AO44" s="109" t="s">
        <v>69</v>
      </c>
      <c r="AP44" s="109" t="s">
        <v>1013</v>
      </c>
      <c r="AQ44" s="109" t="s">
        <v>1025</v>
      </c>
      <c r="AR44" s="109"/>
    </row>
    <row r="45" spans="1:44" ht="15" x14ac:dyDescent="0.25">
      <c r="A45" s="140">
        <v>234</v>
      </c>
      <c r="B45" s="141" t="s">
        <v>125</v>
      </c>
      <c r="C45" s="141">
        <v>2430</v>
      </c>
      <c r="D45" s="141"/>
      <c r="E45" s="141"/>
      <c r="F45" s="142">
        <v>44421</v>
      </c>
      <c r="G45" s="143" t="s">
        <v>259</v>
      </c>
      <c r="H45" s="141"/>
      <c r="I45" s="143" t="s">
        <v>810</v>
      </c>
      <c r="J45" s="144" t="s">
        <v>678</v>
      </c>
      <c r="K45" s="143" t="s">
        <v>811</v>
      </c>
      <c r="L45" s="143" t="s">
        <v>135</v>
      </c>
      <c r="M45" s="141"/>
      <c r="N45" s="141"/>
      <c r="O45" s="143" t="s">
        <v>93</v>
      </c>
      <c r="P45" s="145">
        <v>1</v>
      </c>
      <c r="Q45" s="145">
        <v>4</v>
      </c>
      <c r="R45" s="146">
        <v>13.62</v>
      </c>
      <c r="S45" s="125">
        <f t="shared" si="0"/>
        <v>13.62</v>
      </c>
      <c r="T45" s="126">
        <f t="shared" si="1"/>
        <v>4</v>
      </c>
      <c r="U45" s="125">
        <f t="shared" si="2"/>
        <v>54.48</v>
      </c>
      <c r="V45" s="146">
        <v>54.48</v>
      </c>
      <c r="W45" s="126" t="b">
        <f t="shared" si="3"/>
        <v>1</v>
      </c>
      <c r="X45" s="125">
        <f t="shared" si="4"/>
        <v>-16.505200000000009</v>
      </c>
      <c r="Y45" s="127">
        <f t="shared" si="5"/>
        <v>-0.30295888399412646</v>
      </c>
      <c r="Z45" s="128" t="str">
        <f t="shared" si="6"/>
        <v>Negative</v>
      </c>
      <c r="AA45" s="136">
        <v>1774.63</v>
      </c>
      <c r="AB45" s="109">
        <v>100</v>
      </c>
      <c r="AC45" s="125">
        <f t="shared" si="7"/>
        <v>70.985200000000006</v>
      </c>
      <c r="AD45" s="125">
        <f t="shared" si="8"/>
        <v>17.746300000000002</v>
      </c>
      <c r="AE45" s="140" t="s">
        <v>983</v>
      </c>
      <c r="AF45" s="151"/>
      <c r="AG45" s="152"/>
      <c r="AH45" s="126" t="s">
        <v>93</v>
      </c>
      <c r="AI45" s="126">
        <v>1</v>
      </c>
      <c r="AJ45" s="139">
        <v>88264589</v>
      </c>
      <c r="AK45" s="139" t="s">
        <v>1062</v>
      </c>
      <c r="AL45" s="139" t="s">
        <v>1063</v>
      </c>
      <c r="AM45" s="139" t="s">
        <v>811</v>
      </c>
      <c r="AN45" s="139" t="s">
        <v>1099</v>
      </c>
      <c r="AO45" s="109" t="s">
        <v>69</v>
      </c>
      <c r="AP45" s="109" t="s">
        <v>1059</v>
      </c>
      <c r="AQ45" s="109" t="s">
        <v>991</v>
      </c>
      <c r="AR45" s="109"/>
    </row>
    <row r="46" spans="1:44" ht="15" x14ac:dyDescent="0.25">
      <c r="A46" s="140">
        <v>235</v>
      </c>
      <c r="B46" s="141" t="s">
        <v>125</v>
      </c>
      <c r="C46" s="141">
        <v>2447</v>
      </c>
      <c r="D46" s="141"/>
      <c r="E46" s="141"/>
      <c r="F46" s="142">
        <v>44232</v>
      </c>
      <c r="G46" s="143" t="s">
        <v>145</v>
      </c>
      <c r="H46" s="141"/>
      <c r="I46" s="143" t="s">
        <v>812</v>
      </c>
      <c r="J46" s="144" t="s">
        <v>673</v>
      </c>
      <c r="K46" s="143" t="s">
        <v>813</v>
      </c>
      <c r="L46" s="143" t="s">
        <v>135</v>
      </c>
      <c r="M46" s="141"/>
      <c r="N46" s="141"/>
      <c r="O46" s="143" t="s">
        <v>93</v>
      </c>
      <c r="P46" s="145">
        <v>1</v>
      </c>
      <c r="Q46" s="145">
        <v>1</v>
      </c>
      <c r="R46" s="146">
        <v>52.65</v>
      </c>
      <c r="S46" s="125">
        <f t="shared" si="0"/>
        <v>52.65</v>
      </c>
      <c r="T46" s="126">
        <f t="shared" si="1"/>
        <v>1</v>
      </c>
      <c r="U46" s="125">
        <f t="shared" si="2"/>
        <v>52.65</v>
      </c>
      <c r="V46" s="146">
        <v>52.65</v>
      </c>
      <c r="W46" s="126" t="b">
        <f t="shared" si="3"/>
        <v>1</v>
      </c>
      <c r="X46" s="125">
        <f t="shared" si="4"/>
        <v>10.226326530612241</v>
      </c>
      <c r="Y46" s="127">
        <f t="shared" si="5"/>
        <v>0.19423222280365129</v>
      </c>
      <c r="Z46" s="128" t="str">
        <f t="shared" si="6"/>
        <v>10-20%</v>
      </c>
      <c r="AA46" s="136">
        <v>42.423673469387758</v>
      </c>
      <c r="AB46" s="109">
        <v>1</v>
      </c>
      <c r="AC46" s="125">
        <f t="shared" si="7"/>
        <v>42.423673469387758</v>
      </c>
      <c r="AD46" s="125">
        <f t="shared" si="8"/>
        <v>42.423673469387758</v>
      </c>
      <c r="AE46" s="140" t="s">
        <v>983</v>
      </c>
      <c r="AF46" s="151"/>
      <c r="AG46" s="152"/>
      <c r="AH46" s="126" t="s">
        <v>93</v>
      </c>
      <c r="AI46" s="126">
        <v>1</v>
      </c>
      <c r="AJ46" s="139">
        <v>25089498</v>
      </c>
      <c r="AK46" s="139" t="s">
        <v>1100</v>
      </c>
      <c r="AL46" s="139" t="s">
        <v>1101</v>
      </c>
      <c r="AM46" s="139" t="s">
        <v>1102</v>
      </c>
      <c r="AN46" s="139" t="s">
        <v>1103</v>
      </c>
      <c r="AO46" s="109" t="s">
        <v>69</v>
      </c>
      <c r="AP46" s="109" t="s">
        <v>1104</v>
      </c>
      <c r="AQ46" s="109" t="s">
        <v>997</v>
      </c>
      <c r="AR46" s="109"/>
    </row>
    <row r="47" spans="1:44" ht="15" x14ac:dyDescent="0.25">
      <c r="A47" s="140">
        <v>238</v>
      </c>
      <c r="B47" s="141" t="s">
        <v>125</v>
      </c>
      <c r="C47" s="141">
        <v>2467</v>
      </c>
      <c r="D47" s="141"/>
      <c r="E47" s="141"/>
      <c r="F47" s="142">
        <v>44503</v>
      </c>
      <c r="G47" s="143" t="s">
        <v>428</v>
      </c>
      <c r="H47" s="141"/>
      <c r="I47" s="143" t="s">
        <v>821</v>
      </c>
      <c r="J47" s="144" t="s">
        <v>465</v>
      </c>
      <c r="K47" s="143" t="s">
        <v>822</v>
      </c>
      <c r="L47" s="143" t="s">
        <v>130</v>
      </c>
      <c r="M47" s="141"/>
      <c r="N47" s="141"/>
      <c r="O47" s="143" t="s">
        <v>93</v>
      </c>
      <c r="P47" s="145">
        <v>1</v>
      </c>
      <c r="Q47" s="145">
        <v>8</v>
      </c>
      <c r="R47" s="146">
        <v>6.1</v>
      </c>
      <c r="S47" s="125">
        <f t="shared" si="0"/>
        <v>6.1</v>
      </c>
      <c r="T47" s="126">
        <f t="shared" si="1"/>
        <v>8</v>
      </c>
      <c r="U47" s="125">
        <f t="shared" si="2"/>
        <v>48.8</v>
      </c>
      <c r="V47" s="146">
        <v>48.8</v>
      </c>
      <c r="W47" s="126" t="b">
        <f t="shared" si="3"/>
        <v>1</v>
      </c>
      <c r="X47" s="125">
        <f t="shared" si="4"/>
        <v>13.495510204081626</v>
      </c>
      <c r="Y47" s="127">
        <f t="shared" si="5"/>
        <v>0.27654734024757432</v>
      </c>
      <c r="Z47" s="128" t="str">
        <f t="shared" si="6"/>
        <v>20-30%</v>
      </c>
      <c r="AA47" s="136">
        <v>4.4130612244897964</v>
      </c>
      <c r="AB47" s="109">
        <v>1</v>
      </c>
      <c r="AC47" s="125">
        <f t="shared" si="7"/>
        <v>35.304489795918371</v>
      </c>
      <c r="AD47" s="125">
        <f t="shared" si="8"/>
        <v>4.4130612244897964</v>
      </c>
      <c r="AE47" s="140" t="s">
        <v>984</v>
      </c>
      <c r="AF47" s="151"/>
      <c r="AG47" s="152"/>
      <c r="AH47" s="126" t="s">
        <v>93</v>
      </c>
      <c r="AI47" s="126">
        <v>1</v>
      </c>
      <c r="AJ47" s="139">
        <v>88048553</v>
      </c>
      <c r="AK47" s="139" t="s">
        <v>1105</v>
      </c>
      <c r="AL47" s="139" t="s">
        <v>1106</v>
      </c>
      <c r="AM47" s="139" t="s">
        <v>1107</v>
      </c>
      <c r="AN47" s="139" t="s">
        <v>1108</v>
      </c>
      <c r="AO47" s="109" t="s">
        <v>69</v>
      </c>
      <c r="AP47" s="109" t="s">
        <v>1066</v>
      </c>
      <c r="AQ47" s="109" t="s">
        <v>991</v>
      </c>
      <c r="AR47" s="109"/>
    </row>
    <row r="48" spans="1:44" ht="15" x14ac:dyDescent="0.25">
      <c r="A48" s="140">
        <v>240</v>
      </c>
      <c r="B48" s="141" t="s">
        <v>125</v>
      </c>
      <c r="C48" s="141">
        <v>2477</v>
      </c>
      <c r="D48" s="141"/>
      <c r="E48" s="141"/>
      <c r="F48" s="142">
        <v>44280</v>
      </c>
      <c r="G48" s="143" t="s">
        <v>388</v>
      </c>
      <c r="H48" s="141"/>
      <c r="I48" s="143" t="s">
        <v>826</v>
      </c>
      <c r="J48" s="144" t="s">
        <v>798</v>
      </c>
      <c r="K48" s="143" t="s">
        <v>827</v>
      </c>
      <c r="L48" s="143" t="s">
        <v>135</v>
      </c>
      <c r="M48" s="141"/>
      <c r="N48" s="141"/>
      <c r="O48" s="143" t="s">
        <v>93</v>
      </c>
      <c r="P48" s="145">
        <f>1/3</f>
        <v>0.33333333333333331</v>
      </c>
      <c r="Q48" s="145">
        <v>3</v>
      </c>
      <c r="R48" s="146">
        <v>16.04</v>
      </c>
      <c r="S48" s="125">
        <f t="shared" si="0"/>
        <v>48.12</v>
      </c>
      <c r="T48" s="126">
        <f t="shared" si="1"/>
        <v>1</v>
      </c>
      <c r="U48" s="125">
        <f t="shared" si="2"/>
        <v>48.12</v>
      </c>
      <c r="V48" s="146">
        <v>48.12</v>
      </c>
      <c r="W48" s="126" t="b">
        <f t="shared" si="3"/>
        <v>1</v>
      </c>
      <c r="X48" s="125">
        <f t="shared" si="4"/>
        <v>-3.4628571428571533</v>
      </c>
      <c r="Y48" s="127">
        <f t="shared" si="5"/>
        <v>-7.1962949768436271E-2</v>
      </c>
      <c r="Z48" s="128" t="str">
        <f t="shared" si="6"/>
        <v>Negative</v>
      </c>
      <c r="AA48" s="136">
        <v>51.582857142857151</v>
      </c>
      <c r="AB48" s="109">
        <v>1</v>
      </c>
      <c r="AC48" s="125">
        <f t="shared" si="7"/>
        <v>51.582857142857151</v>
      </c>
      <c r="AD48" s="125">
        <f t="shared" si="8"/>
        <v>51.582857142857151</v>
      </c>
      <c r="AE48" s="140" t="s">
        <v>983</v>
      </c>
      <c r="AF48" s="151"/>
      <c r="AG48" s="153" t="s">
        <v>1149</v>
      </c>
      <c r="AH48" s="126" t="s">
        <v>93</v>
      </c>
      <c r="AI48" s="126">
        <v>1</v>
      </c>
      <c r="AJ48" s="139">
        <v>92121870</v>
      </c>
      <c r="AK48" s="139" t="s">
        <v>998</v>
      </c>
      <c r="AL48" s="139" t="s">
        <v>999</v>
      </c>
      <c r="AM48" s="139" t="s">
        <v>827</v>
      </c>
      <c r="AN48" s="139" t="s">
        <v>1109</v>
      </c>
      <c r="AO48" s="109" t="s">
        <v>69</v>
      </c>
      <c r="AP48" s="109" t="s">
        <v>1013</v>
      </c>
      <c r="AQ48" s="109" t="s">
        <v>991</v>
      </c>
      <c r="AR48" s="109"/>
    </row>
    <row r="49" spans="1:44" ht="15" x14ac:dyDescent="0.25">
      <c r="A49" s="140">
        <v>242</v>
      </c>
      <c r="B49" s="141" t="s">
        <v>125</v>
      </c>
      <c r="C49" s="141">
        <v>2487</v>
      </c>
      <c r="D49" s="141"/>
      <c r="E49" s="141"/>
      <c r="F49" s="142">
        <v>44417</v>
      </c>
      <c r="G49" s="143" t="s">
        <v>259</v>
      </c>
      <c r="H49" s="141"/>
      <c r="I49" s="143" t="s">
        <v>830</v>
      </c>
      <c r="J49" s="144" t="s">
        <v>362</v>
      </c>
      <c r="K49" s="143" t="s">
        <v>831</v>
      </c>
      <c r="L49" s="143" t="s">
        <v>135</v>
      </c>
      <c r="M49" s="141"/>
      <c r="N49" s="141"/>
      <c r="O49" s="143" t="s">
        <v>93</v>
      </c>
      <c r="P49" s="145">
        <v>1</v>
      </c>
      <c r="Q49" s="145">
        <v>4</v>
      </c>
      <c r="R49" s="146">
        <v>11.85</v>
      </c>
      <c r="S49" s="125">
        <f t="shared" si="0"/>
        <v>11.85</v>
      </c>
      <c r="T49" s="126">
        <f t="shared" si="1"/>
        <v>4</v>
      </c>
      <c r="U49" s="125">
        <f t="shared" si="2"/>
        <v>47.4</v>
      </c>
      <c r="V49" s="146">
        <v>47.4</v>
      </c>
      <c r="W49" s="126" t="b">
        <f t="shared" si="3"/>
        <v>1</v>
      </c>
      <c r="X49" s="125">
        <f t="shared" si="4"/>
        <v>-13.661224489795927</v>
      </c>
      <c r="Y49" s="127">
        <f t="shared" si="5"/>
        <v>-0.28821148712649636</v>
      </c>
      <c r="Z49" s="128" t="str">
        <f t="shared" si="6"/>
        <v>Negative</v>
      </c>
      <c r="AA49" s="136">
        <v>15.265306122448981</v>
      </c>
      <c r="AB49" s="109">
        <v>1</v>
      </c>
      <c r="AC49" s="125">
        <f t="shared" si="7"/>
        <v>61.061224489795926</v>
      </c>
      <c r="AD49" s="125">
        <f t="shared" si="8"/>
        <v>15.265306122448981</v>
      </c>
      <c r="AE49" s="140" t="s">
        <v>983</v>
      </c>
      <c r="AF49" s="151"/>
      <c r="AG49" s="152"/>
      <c r="AH49" s="126" t="s">
        <v>93</v>
      </c>
      <c r="AI49" s="126">
        <v>1</v>
      </c>
      <c r="AJ49" s="139">
        <v>95003178</v>
      </c>
      <c r="AK49" s="139" t="s">
        <v>986</v>
      </c>
      <c r="AL49" s="139" t="s">
        <v>987</v>
      </c>
      <c r="AM49" s="139" t="s">
        <v>1110</v>
      </c>
      <c r="AN49" s="139" t="s">
        <v>1111</v>
      </c>
      <c r="AO49" s="109" t="s">
        <v>69</v>
      </c>
      <c r="AP49" s="109" t="s">
        <v>990</v>
      </c>
      <c r="AQ49" s="109" t="s">
        <v>991</v>
      </c>
      <c r="AR49" s="109"/>
    </row>
    <row r="50" spans="1:44" ht="15" x14ac:dyDescent="0.25">
      <c r="A50" s="140">
        <v>247</v>
      </c>
      <c r="B50" s="141" t="s">
        <v>125</v>
      </c>
      <c r="C50" s="141">
        <v>2505</v>
      </c>
      <c r="D50" s="141"/>
      <c r="E50" s="141"/>
      <c r="F50" s="142">
        <v>44230</v>
      </c>
      <c r="G50" s="143" t="s">
        <v>388</v>
      </c>
      <c r="H50" s="141"/>
      <c r="I50" s="143" t="s">
        <v>844</v>
      </c>
      <c r="J50" s="144" t="s">
        <v>845</v>
      </c>
      <c r="K50" s="143" t="s">
        <v>846</v>
      </c>
      <c r="L50" s="143" t="s">
        <v>135</v>
      </c>
      <c r="M50" s="141"/>
      <c r="N50" s="141"/>
      <c r="O50" s="143" t="s">
        <v>93</v>
      </c>
      <c r="P50" s="145">
        <v>1</v>
      </c>
      <c r="Q50" s="145">
        <v>10</v>
      </c>
      <c r="R50" s="146">
        <v>4.43</v>
      </c>
      <c r="S50" s="125">
        <f t="shared" si="0"/>
        <v>4.43</v>
      </c>
      <c r="T50" s="126">
        <f t="shared" si="1"/>
        <v>10</v>
      </c>
      <c r="U50" s="125">
        <f t="shared" si="2"/>
        <v>44.3</v>
      </c>
      <c r="V50" s="146">
        <v>44.3</v>
      </c>
      <c r="W50" s="126" t="b">
        <f t="shared" si="3"/>
        <v>1</v>
      </c>
      <c r="X50" s="125">
        <f t="shared" si="4"/>
        <v>26.245999999999995</v>
      </c>
      <c r="Y50" s="127">
        <f t="shared" si="5"/>
        <v>0.59246049661399536</v>
      </c>
      <c r="Z50" s="128" t="str">
        <f t="shared" si="6"/>
        <v>30+%</v>
      </c>
      <c r="AA50" s="136">
        <v>1.8054000000000001</v>
      </c>
      <c r="AB50" s="109">
        <v>1</v>
      </c>
      <c r="AC50" s="125">
        <f t="shared" si="7"/>
        <v>18.054000000000002</v>
      </c>
      <c r="AD50" s="125">
        <f t="shared" si="8"/>
        <v>1.8054000000000001</v>
      </c>
      <c r="AE50" s="140" t="s">
        <v>982</v>
      </c>
      <c r="AF50" s="151"/>
      <c r="AG50" s="152"/>
      <c r="AH50" s="126" t="s">
        <v>93</v>
      </c>
      <c r="AI50" s="126">
        <v>1</v>
      </c>
      <c r="AJ50" s="139">
        <v>88074436</v>
      </c>
      <c r="AK50" s="139" t="s">
        <v>1032</v>
      </c>
      <c r="AL50" s="139" t="s">
        <v>1033</v>
      </c>
      <c r="AM50" s="139" t="s">
        <v>846</v>
      </c>
      <c r="AN50" s="139" t="s">
        <v>1112</v>
      </c>
      <c r="AO50" s="109" t="s">
        <v>69</v>
      </c>
      <c r="AP50" s="109" t="s">
        <v>1113</v>
      </c>
      <c r="AQ50" s="109" t="s">
        <v>1025</v>
      </c>
      <c r="AR50" s="109" t="s">
        <v>985</v>
      </c>
    </row>
    <row r="51" spans="1:44" ht="15" x14ac:dyDescent="0.25">
      <c r="A51" s="140">
        <v>251</v>
      </c>
      <c r="B51" s="141" t="s">
        <v>125</v>
      </c>
      <c r="C51" s="141">
        <v>2531</v>
      </c>
      <c r="D51" s="141"/>
      <c r="E51" s="141"/>
      <c r="F51" s="142">
        <v>44487</v>
      </c>
      <c r="G51" s="143" t="s">
        <v>136</v>
      </c>
      <c r="H51" s="141"/>
      <c r="I51" s="143" t="s">
        <v>855</v>
      </c>
      <c r="J51" s="144" t="s">
        <v>138</v>
      </c>
      <c r="K51" s="143" t="s">
        <v>856</v>
      </c>
      <c r="L51" s="143" t="s">
        <v>135</v>
      </c>
      <c r="M51" s="141"/>
      <c r="N51" s="141"/>
      <c r="O51" s="143" t="s">
        <v>93</v>
      </c>
      <c r="P51" s="145">
        <v>1</v>
      </c>
      <c r="Q51" s="145">
        <v>8</v>
      </c>
      <c r="R51" s="146">
        <v>5.24</v>
      </c>
      <c r="S51" s="125">
        <f t="shared" si="0"/>
        <v>5.24</v>
      </c>
      <c r="T51" s="126">
        <f t="shared" si="1"/>
        <v>8</v>
      </c>
      <c r="U51" s="125">
        <f t="shared" si="2"/>
        <v>41.92</v>
      </c>
      <c r="V51" s="146">
        <v>41.92</v>
      </c>
      <c r="W51" s="126" t="b">
        <f t="shared" si="3"/>
        <v>1</v>
      </c>
      <c r="X51" s="125">
        <f t="shared" si="4"/>
        <v>21.492244897959186</v>
      </c>
      <c r="Y51" s="127">
        <f t="shared" si="5"/>
        <v>0.51269668172612559</v>
      </c>
      <c r="Z51" s="128" t="str">
        <f t="shared" si="6"/>
        <v>30+%</v>
      </c>
      <c r="AA51" s="136">
        <v>2.553469387755102</v>
      </c>
      <c r="AB51" s="109">
        <v>1</v>
      </c>
      <c r="AC51" s="125">
        <f t="shared" si="7"/>
        <v>20.427755102040816</v>
      </c>
      <c r="AD51" s="125">
        <f t="shared" si="8"/>
        <v>2.553469387755102</v>
      </c>
      <c r="AE51" s="140" t="s">
        <v>982</v>
      </c>
      <c r="AF51" s="151"/>
      <c r="AG51" s="152"/>
      <c r="AH51" s="126" t="s">
        <v>93</v>
      </c>
      <c r="AI51" s="126">
        <v>1</v>
      </c>
      <c r="AJ51" s="139">
        <v>88067808</v>
      </c>
      <c r="AK51" s="139" t="s">
        <v>1032</v>
      </c>
      <c r="AL51" s="109" t="s">
        <v>1033</v>
      </c>
      <c r="AM51" s="109" t="s">
        <v>1114</v>
      </c>
      <c r="AN51" s="109" t="s">
        <v>1115</v>
      </c>
      <c r="AO51" s="109" t="s">
        <v>69</v>
      </c>
      <c r="AP51" s="109" t="s">
        <v>1116</v>
      </c>
      <c r="AQ51" s="109" t="s">
        <v>991</v>
      </c>
      <c r="AR51" s="109"/>
    </row>
    <row r="52" spans="1:44" ht="15" x14ac:dyDescent="0.25">
      <c r="A52" s="140">
        <v>258</v>
      </c>
      <c r="B52" s="141" t="s">
        <v>125</v>
      </c>
      <c r="C52" s="141">
        <v>2642</v>
      </c>
      <c r="D52" s="141"/>
      <c r="E52" s="141"/>
      <c r="F52" s="142">
        <v>44483</v>
      </c>
      <c r="G52" s="143" t="s">
        <v>145</v>
      </c>
      <c r="H52" s="141"/>
      <c r="I52" s="143" t="s">
        <v>873</v>
      </c>
      <c r="J52" s="144" t="s">
        <v>623</v>
      </c>
      <c r="K52" s="143" t="s">
        <v>874</v>
      </c>
      <c r="L52" s="143" t="s">
        <v>130</v>
      </c>
      <c r="M52" s="141"/>
      <c r="N52" s="141"/>
      <c r="O52" s="143" t="s">
        <v>93</v>
      </c>
      <c r="P52" s="145">
        <v>1</v>
      </c>
      <c r="Q52" s="145">
        <v>1</v>
      </c>
      <c r="R52" s="146">
        <v>28.38</v>
      </c>
      <c r="S52" s="125">
        <f t="shared" si="0"/>
        <v>28.38</v>
      </c>
      <c r="T52" s="126">
        <f t="shared" si="1"/>
        <v>1</v>
      </c>
      <c r="U52" s="125">
        <f t="shared" si="2"/>
        <v>28.38</v>
      </c>
      <c r="V52" s="146">
        <v>28.38</v>
      </c>
      <c r="W52" s="126" t="b">
        <f t="shared" si="3"/>
        <v>1</v>
      </c>
      <c r="X52" s="125">
        <f t="shared" si="4"/>
        <v>9.1933333333333316</v>
      </c>
      <c r="Y52" s="127">
        <f t="shared" si="5"/>
        <v>0.32393704486727737</v>
      </c>
      <c r="Z52" s="128" t="str">
        <f t="shared" si="6"/>
        <v>30+%</v>
      </c>
      <c r="AA52" s="136">
        <v>19.186666666666667</v>
      </c>
      <c r="AB52" s="109">
        <v>1</v>
      </c>
      <c r="AC52" s="125">
        <f t="shared" si="7"/>
        <v>19.186666666666667</v>
      </c>
      <c r="AD52" s="125">
        <f t="shared" si="8"/>
        <v>19.186666666666667</v>
      </c>
      <c r="AE52" s="140" t="s">
        <v>983</v>
      </c>
      <c r="AF52" s="151"/>
      <c r="AG52" s="152"/>
      <c r="AH52" s="126" t="s">
        <v>93</v>
      </c>
      <c r="AI52" s="126">
        <v>1</v>
      </c>
      <c r="AJ52" s="139">
        <v>88249029</v>
      </c>
      <c r="AK52" s="139" t="s">
        <v>1003</v>
      </c>
      <c r="AL52" s="139" t="s">
        <v>1004</v>
      </c>
      <c r="AM52" s="139" t="s">
        <v>1117</v>
      </c>
      <c r="AN52" s="139" t="s">
        <v>1118</v>
      </c>
      <c r="AO52" s="109" t="s">
        <v>68</v>
      </c>
      <c r="AP52" s="109" t="s">
        <v>1119</v>
      </c>
      <c r="AQ52" s="109" t="s">
        <v>991</v>
      </c>
      <c r="AR52" s="109"/>
    </row>
    <row r="53" spans="1:44" ht="0.6" customHeight="1" x14ac:dyDescent="0.25">
      <c r="A53" s="140">
        <v>259</v>
      </c>
      <c r="B53" s="141" t="s">
        <v>125</v>
      </c>
      <c r="C53" s="141">
        <v>2647</v>
      </c>
      <c r="D53" s="141"/>
      <c r="E53" s="141"/>
      <c r="F53" s="142">
        <v>44230</v>
      </c>
      <c r="G53" s="143" t="s">
        <v>388</v>
      </c>
      <c r="H53" s="141"/>
      <c r="I53" s="143" t="s">
        <v>875</v>
      </c>
      <c r="J53" s="144" t="s">
        <v>549</v>
      </c>
      <c r="K53" s="143" t="s">
        <v>876</v>
      </c>
      <c r="L53" s="143" t="s">
        <v>135</v>
      </c>
      <c r="M53" s="141"/>
      <c r="N53" s="141"/>
      <c r="O53" s="143" t="s">
        <v>93</v>
      </c>
      <c r="P53" s="145">
        <v>1</v>
      </c>
      <c r="Q53" s="145">
        <v>1</v>
      </c>
      <c r="R53" s="146">
        <v>27.7</v>
      </c>
      <c r="S53" s="125">
        <f t="shared" si="0"/>
        <v>27.7</v>
      </c>
      <c r="T53" s="126">
        <f t="shared" si="1"/>
        <v>1</v>
      </c>
      <c r="U53" s="125">
        <f t="shared" si="2"/>
        <v>27.7</v>
      </c>
      <c r="V53" s="146">
        <v>27.7</v>
      </c>
      <c r="W53" s="126" t="b">
        <f t="shared" si="3"/>
        <v>1</v>
      </c>
      <c r="X53" s="125">
        <f t="shared" si="4"/>
        <v>-15.430000000000003</v>
      </c>
      <c r="Y53" s="127">
        <f t="shared" si="5"/>
        <v>-0.55703971119133588</v>
      </c>
      <c r="Z53" s="128" t="str">
        <f t="shared" si="6"/>
        <v>Negative</v>
      </c>
      <c r="AA53" s="136">
        <v>43.13</v>
      </c>
      <c r="AB53" s="109">
        <v>1</v>
      </c>
      <c r="AC53" s="125">
        <f t="shared" si="7"/>
        <v>43.13</v>
      </c>
      <c r="AD53" s="125">
        <f t="shared" si="8"/>
        <v>43.13</v>
      </c>
      <c r="AE53" s="140" t="s">
        <v>983</v>
      </c>
      <c r="AF53" s="151"/>
      <c r="AG53" s="152"/>
      <c r="AH53" s="126" t="s">
        <v>93</v>
      </c>
      <c r="AI53" s="126">
        <v>1</v>
      </c>
      <c r="AJ53" s="139">
        <v>88147605</v>
      </c>
      <c r="AK53" s="139" t="s">
        <v>986</v>
      </c>
      <c r="AL53" s="139" t="s">
        <v>987</v>
      </c>
      <c r="AM53" s="139" t="s">
        <v>876</v>
      </c>
      <c r="AN53" s="139" t="s">
        <v>1120</v>
      </c>
      <c r="AO53" s="109" t="s">
        <v>69</v>
      </c>
      <c r="AP53" s="109" t="s">
        <v>1056</v>
      </c>
      <c r="AQ53" s="109" t="s">
        <v>1025</v>
      </c>
      <c r="AR53" s="109" t="s">
        <v>985</v>
      </c>
    </row>
    <row r="54" spans="1:44" ht="15" x14ac:dyDescent="0.25">
      <c r="A54" s="140">
        <v>260</v>
      </c>
      <c r="B54" s="141" t="s">
        <v>125</v>
      </c>
      <c r="C54" s="141">
        <v>2648</v>
      </c>
      <c r="D54" s="141"/>
      <c r="E54" s="141"/>
      <c r="F54" s="142">
        <v>44532</v>
      </c>
      <c r="G54" s="143" t="s">
        <v>877</v>
      </c>
      <c r="H54" s="141"/>
      <c r="I54" s="143" t="s">
        <v>878</v>
      </c>
      <c r="J54" s="144" t="s">
        <v>623</v>
      </c>
      <c r="K54" s="143" t="s">
        <v>879</v>
      </c>
      <c r="L54" s="143" t="s">
        <v>130</v>
      </c>
      <c r="M54" s="141"/>
      <c r="N54" s="141"/>
      <c r="O54" s="143" t="s">
        <v>93</v>
      </c>
      <c r="P54" s="145">
        <v>1</v>
      </c>
      <c r="Q54" s="145">
        <v>1</v>
      </c>
      <c r="R54" s="146">
        <v>27.67</v>
      </c>
      <c r="S54" s="125">
        <f t="shared" si="0"/>
        <v>27.67</v>
      </c>
      <c r="T54" s="126">
        <f t="shared" si="1"/>
        <v>1</v>
      </c>
      <c r="U54" s="125">
        <f t="shared" si="2"/>
        <v>27.67</v>
      </c>
      <c r="V54" s="146">
        <v>27.67</v>
      </c>
      <c r="W54" s="126" t="b">
        <f t="shared" si="3"/>
        <v>1</v>
      </c>
      <c r="X54" s="125">
        <f t="shared" si="4"/>
        <v>2.5500000000000043</v>
      </c>
      <c r="Y54" s="127">
        <f t="shared" si="5"/>
        <v>9.2157571376942679E-2</v>
      </c>
      <c r="Z54" s="128" t="str">
        <f t="shared" si="6"/>
        <v>0-10%</v>
      </c>
      <c r="AA54" s="136">
        <v>25.119999999999997</v>
      </c>
      <c r="AB54" s="109">
        <v>1</v>
      </c>
      <c r="AC54" s="125">
        <f t="shared" si="7"/>
        <v>25.119999999999997</v>
      </c>
      <c r="AD54" s="125">
        <f t="shared" si="8"/>
        <v>25.119999999999997</v>
      </c>
      <c r="AE54" s="140" t="s">
        <v>983</v>
      </c>
      <c r="AF54" s="151"/>
      <c r="AG54" s="152"/>
      <c r="AH54" s="126" t="s">
        <v>93</v>
      </c>
      <c r="AI54" s="126">
        <v>1</v>
      </c>
      <c r="AJ54" s="139">
        <v>88247764</v>
      </c>
      <c r="AK54" s="139" t="s">
        <v>1003</v>
      </c>
      <c r="AL54" s="139" t="s">
        <v>1004</v>
      </c>
      <c r="AM54" s="139" t="s">
        <v>879</v>
      </c>
      <c r="AN54" s="139" t="s">
        <v>1121</v>
      </c>
      <c r="AO54" s="109" t="s">
        <v>68</v>
      </c>
      <c r="AP54" s="109" t="s">
        <v>1007</v>
      </c>
      <c r="AQ54" s="109" t="s">
        <v>991</v>
      </c>
      <c r="AR54" s="109"/>
    </row>
    <row r="55" spans="1:44" ht="15" x14ac:dyDescent="0.25">
      <c r="A55" s="140">
        <v>261</v>
      </c>
      <c r="B55" s="141" t="s">
        <v>125</v>
      </c>
      <c r="C55" s="141">
        <v>2666</v>
      </c>
      <c r="D55" s="141"/>
      <c r="E55" s="141"/>
      <c r="F55" s="142">
        <v>44539</v>
      </c>
      <c r="G55" s="143" t="s">
        <v>185</v>
      </c>
      <c r="H55" s="141"/>
      <c r="I55" s="143" t="s">
        <v>880</v>
      </c>
      <c r="J55" s="144" t="s">
        <v>187</v>
      </c>
      <c r="K55" s="143" t="s">
        <v>881</v>
      </c>
      <c r="L55" s="143" t="s">
        <v>130</v>
      </c>
      <c r="M55" s="141"/>
      <c r="N55" s="141"/>
      <c r="O55" s="143" t="s">
        <v>93</v>
      </c>
      <c r="P55" s="145">
        <f>1/2</f>
        <v>0.5</v>
      </c>
      <c r="Q55" s="145">
        <v>2</v>
      </c>
      <c r="R55" s="146">
        <v>12.95</v>
      </c>
      <c r="S55" s="125">
        <f t="shared" si="0"/>
        <v>25.9</v>
      </c>
      <c r="T55" s="126">
        <f t="shared" si="1"/>
        <v>1</v>
      </c>
      <c r="U55" s="125">
        <f t="shared" si="2"/>
        <v>25.9</v>
      </c>
      <c r="V55" s="146">
        <v>25.9</v>
      </c>
      <c r="W55" s="126" t="b">
        <f t="shared" si="3"/>
        <v>1</v>
      </c>
      <c r="X55" s="125">
        <f t="shared" si="4"/>
        <v>21.870999999999999</v>
      </c>
      <c r="Y55" s="127">
        <f t="shared" si="5"/>
        <v>0.84444015444015441</v>
      </c>
      <c r="Z55" s="128" t="str">
        <f t="shared" si="6"/>
        <v>30+%</v>
      </c>
      <c r="AA55" s="136">
        <v>4.0289999999999999</v>
      </c>
      <c r="AB55" s="109">
        <v>1</v>
      </c>
      <c r="AC55" s="125">
        <f t="shared" si="7"/>
        <v>4.0289999999999999</v>
      </c>
      <c r="AD55" s="125">
        <f t="shared" si="8"/>
        <v>4.0289999999999999</v>
      </c>
      <c r="AE55" s="140" t="s">
        <v>982</v>
      </c>
      <c r="AF55" s="151"/>
      <c r="AG55" s="152"/>
      <c r="AH55" s="126" t="s">
        <v>93</v>
      </c>
      <c r="AI55" s="126">
        <v>1</v>
      </c>
      <c r="AJ55" s="139">
        <v>88073391</v>
      </c>
      <c r="AK55" s="139" t="s">
        <v>1032</v>
      </c>
      <c r="AL55" s="139" t="s">
        <v>1033</v>
      </c>
      <c r="AM55" s="139" t="s">
        <v>1122</v>
      </c>
      <c r="AN55" s="139" t="s">
        <v>1123</v>
      </c>
      <c r="AO55" s="109" t="s">
        <v>69</v>
      </c>
      <c r="AP55" s="109" t="s">
        <v>1059</v>
      </c>
      <c r="AQ55" s="109" t="s">
        <v>1025</v>
      </c>
      <c r="AR55" s="109" t="s">
        <v>985</v>
      </c>
    </row>
    <row r="56" spans="1:44" ht="15" x14ac:dyDescent="0.25">
      <c r="A56" s="140">
        <v>265</v>
      </c>
      <c r="B56" s="141" t="s">
        <v>125</v>
      </c>
      <c r="C56" s="141">
        <v>2676</v>
      </c>
      <c r="D56" s="141"/>
      <c r="E56" s="141"/>
      <c r="F56" s="142">
        <v>44539</v>
      </c>
      <c r="G56" s="143" t="s">
        <v>185</v>
      </c>
      <c r="H56" s="141"/>
      <c r="I56" s="143" t="s">
        <v>890</v>
      </c>
      <c r="J56" s="144" t="s">
        <v>187</v>
      </c>
      <c r="K56" s="143" t="s">
        <v>891</v>
      </c>
      <c r="L56" s="143" t="s">
        <v>130</v>
      </c>
      <c r="M56" s="141"/>
      <c r="N56" s="141"/>
      <c r="O56" s="143" t="s">
        <v>93</v>
      </c>
      <c r="P56" s="145">
        <v>1</v>
      </c>
      <c r="Q56" s="145">
        <v>1</v>
      </c>
      <c r="R56" s="146">
        <v>25.16</v>
      </c>
      <c r="S56" s="125">
        <f t="shared" si="0"/>
        <v>25.16</v>
      </c>
      <c r="T56" s="126">
        <f t="shared" si="1"/>
        <v>1</v>
      </c>
      <c r="U56" s="125">
        <f t="shared" si="2"/>
        <v>25.16</v>
      </c>
      <c r="V56" s="146">
        <v>25.16</v>
      </c>
      <c r="W56" s="126" t="b">
        <f t="shared" si="3"/>
        <v>1</v>
      </c>
      <c r="X56" s="125">
        <f t="shared" si="4"/>
        <v>6.0474204081632656</v>
      </c>
      <c r="Y56" s="127">
        <f t="shared" si="5"/>
        <v>0.24035852178709322</v>
      </c>
      <c r="Z56" s="128" t="str">
        <f t="shared" si="6"/>
        <v>20-30%</v>
      </c>
      <c r="AA56" s="136">
        <v>1911.2579591836734</v>
      </c>
      <c r="AB56" s="109">
        <v>100</v>
      </c>
      <c r="AC56" s="125">
        <f t="shared" si="7"/>
        <v>19.112579591836734</v>
      </c>
      <c r="AD56" s="125">
        <f t="shared" si="8"/>
        <v>19.112579591836734</v>
      </c>
      <c r="AE56" s="140" t="s">
        <v>982</v>
      </c>
      <c r="AF56" s="151"/>
      <c r="AG56" s="152"/>
      <c r="AH56" s="126" t="s">
        <v>93</v>
      </c>
      <c r="AI56" s="126">
        <v>1</v>
      </c>
      <c r="AJ56" s="139">
        <v>88073398</v>
      </c>
      <c r="AK56" s="139" t="s">
        <v>1032</v>
      </c>
      <c r="AL56" s="139" t="s">
        <v>1033</v>
      </c>
      <c r="AM56" s="139" t="s">
        <v>891</v>
      </c>
      <c r="AN56" s="139" t="s">
        <v>1124</v>
      </c>
      <c r="AO56" s="109" t="s">
        <v>69</v>
      </c>
      <c r="AP56" s="109" t="s">
        <v>1059</v>
      </c>
      <c r="AQ56" s="109" t="s">
        <v>991</v>
      </c>
      <c r="AR56" s="109"/>
    </row>
    <row r="57" spans="1:44" ht="15" x14ac:dyDescent="0.25">
      <c r="A57" s="140">
        <v>266</v>
      </c>
      <c r="B57" s="141" t="s">
        <v>125</v>
      </c>
      <c r="C57" s="141">
        <v>2679</v>
      </c>
      <c r="D57" s="141"/>
      <c r="E57" s="141"/>
      <c r="F57" s="142">
        <v>44474</v>
      </c>
      <c r="G57" s="143" t="s">
        <v>145</v>
      </c>
      <c r="H57" s="141"/>
      <c r="I57" s="143" t="s">
        <v>892</v>
      </c>
      <c r="J57" s="144" t="s">
        <v>893</v>
      </c>
      <c r="K57" s="143" t="s">
        <v>894</v>
      </c>
      <c r="L57" s="143" t="s">
        <v>135</v>
      </c>
      <c r="M57" s="141"/>
      <c r="N57" s="141"/>
      <c r="O57" s="143" t="s">
        <v>93</v>
      </c>
      <c r="P57" s="145">
        <v>1</v>
      </c>
      <c r="Q57" s="145">
        <v>3</v>
      </c>
      <c r="R57" s="146">
        <v>8.17</v>
      </c>
      <c r="S57" s="125">
        <f t="shared" si="0"/>
        <v>8.17</v>
      </c>
      <c r="T57" s="126">
        <f t="shared" si="1"/>
        <v>3</v>
      </c>
      <c r="U57" s="125">
        <f t="shared" si="2"/>
        <v>24.509999999999998</v>
      </c>
      <c r="V57" s="146">
        <v>24.509999999999998</v>
      </c>
      <c r="W57" s="126" t="b">
        <f t="shared" si="3"/>
        <v>1</v>
      </c>
      <c r="X57" s="125">
        <f t="shared" si="4"/>
        <v>12.807599999999999</v>
      </c>
      <c r="Y57" s="127">
        <f t="shared" si="5"/>
        <v>0.52254589963280296</v>
      </c>
      <c r="Z57" s="128" t="str">
        <f t="shared" si="6"/>
        <v>30+%</v>
      </c>
      <c r="AA57" s="136">
        <v>390.08</v>
      </c>
      <c r="AB57" s="109">
        <v>100</v>
      </c>
      <c r="AC57" s="125">
        <f t="shared" si="7"/>
        <v>11.702399999999999</v>
      </c>
      <c r="AD57" s="125">
        <f t="shared" si="8"/>
        <v>3.9007999999999998</v>
      </c>
      <c r="AE57" s="140" t="s">
        <v>983</v>
      </c>
      <c r="AF57" s="151"/>
      <c r="AG57" s="152"/>
      <c r="AH57" s="126" t="s">
        <v>93</v>
      </c>
      <c r="AI57" s="126">
        <v>1</v>
      </c>
      <c r="AJ57" s="139">
        <v>88255106</v>
      </c>
      <c r="AK57" s="139" t="s">
        <v>1062</v>
      </c>
      <c r="AL57" s="139" t="s">
        <v>1063</v>
      </c>
      <c r="AM57" s="139" t="s">
        <v>1125</v>
      </c>
      <c r="AN57" s="139" t="s">
        <v>1126</v>
      </c>
      <c r="AO57" s="109" t="s">
        <v>69</v>
      </c>
      <c r="AP57" s="109" t="s">
        <v>1127</v>
      </c>
      <c r="AQ57" s="109" t="s">
        <v>991</v>
      </c>
      <c r="AR57" s="109" t="s">
        <v>985</v>
      </c>
    </row>
    <row r="58" spans="1:44" ht="15" x14ac:dyDescent="0.25">
      <c r="A58" s="140">
        <v>269</v>
      </c>
      <c r="B58" s="141" t="s">
        <v>125</v>
      </c>
      <c r="C58" s="141">
        <v>2691</v>
      </c>
      <c r="D58" s="141"/>
      <c r="E58" s="141"/>
      <c r="F58" s="142">
        <v>44337</v>
      </c>
      <c r="G58" s="143" t="s">
        <v>259</v>
      </c>
      <c r="H58" s="141"/>
      <c r="I58" s="143" t="s">
        <v>900</v>
      </c>
      <c r="J58" s="144" t="s">
        <v>362</v>
      </c>
      <c r="K58" s="143" t="s">
        <v>901</v>
      </c>
      <c r="L58" s="143" t="s">
        <v>135</v>
      </c>
      <c r="M58" s="141"/>
      <c r="N58" s="141"/>
      <c r="O58" s="143" t="s">
        <v>93</v>
      </c>
      <c r="P58" s="145">
        <v>1</v>
      </c>
      <c r="Q58" s="145">
        <v>10</v>
      </c>
      <c r="R58" s="146">
        <v>2.35</v>
      </c>
      <c r="S58" s="125">
        <f t="shared" si="0"/>
        <v>2.35</v>
      </c>
      <c r="T58" s="126">
        <f t="shared" si="1"/>
        <v>10</v>
      </c>
      <c r="U58" s="125">
        <f t="shared" si="2"/>
        <v>23.5</v>
      </c>
      <c r="V58" s="146">
        <v>23.5</v>
      </c>
      <c r="W58" s="126" t="b">
        <f t="shared" si="3"/>
        <v>1</v>
      </c>
      <c r="X58" s="125">
        <f t="shared" si="4"/>
        <v>-18.132653061224488</v>
      </c>
      <c r="Y58" s="127">
        <f t="shared" si="5"/>
        <v>-0.77160225792444626</v>
      </c>
      <c r="Z58" s="128" t="str">
        <f t="shared" si="6"/>
        <v>Negative</v>
      </c>
      <c r="AA58" s="136">
        <v>4.1632653061224492</v>
      </c>
      <c r="AB58" s="109">
        <v>1</v>
      </c>
      <c r="AC58" s="125">
        <f>AA58/AB58*T58</f>
        <v>41.632653061224488</v>
      </c>
      <c r="AD58" s="125">
        <f>AA58/AB58</f>
        <v>4.1632653061224492</v>
      </c>
      <c r="AE58" s="140" t="s">
        <v>983</v>
      </c>
      <c r="AF58" s="151"/>
      <c r="AG58" s="152"/>
      <c r="AH58" s="126" t="s">
        <v>93</v>
      </c>
      <c r="AI58" s="126">
        <v>1</v>
      </c>
      <c r="AJ58" s="139">
        <v>22083652</v>
      </c>
      <c r="AK58" s="139" t="s">
        <v>986</v>
      </c>
      <c r="AL58" s="139" t="s">
        <v>987</v>
      </c>
      <c r="AM58" s="139" t="s">
        <v>1128</v>
      </c>
      <c r="AN58" s="139" t="s">
        <v>1129</v>
      </c>
      <c r="AO58" s="109" t="s">
        <v>69</v>
      </c>
      <c r="AP58" s="109" t="s">
        <v>1002</v>
      </c>
      <c r="AQ58" s="109" t="s">
        <v>991</v>
      </c>
      <c r="AR58" s="109"/>
    </row>
    <row r="59" spans="1:44" ht="15" x14ac:dyDescent="0.25">
      <c r="A59" s="140">
        <v>270</v>
      </c>
      <c r="B59" s="141" t="s">
        <v>125</v>
      </c>
      <c r="C59" s="141">
        <v>2699</v>
      </c>
      <c r="D59" s="141"/>
      <c r="E59" s="141"/>
      <c r="F59" s="142">
        <v>44284</v>
      </c>
      <c r="G59" s="143" t="s">
        <v>145</v>
      </c>
      <c r="H59" s="141"/>
      <c r="I59" s="143" t="s">
        <v>902</v>
      </c>
      <c r="J59" s="144" t="s">
        <v>678</v>
      </c>
      <c r="K59" s="143" t="s">
        <v>903</v>
      </c>
      <c r="L59" s="143" t="s">
        <v>135</v>
      </c>
      <c r="M59" s="141"/>
      <c r="N59" s="141"/>
      <c r="O59" s="143" t="s">
        <v>93</v>
      </c>
      <c r="P59" s="145">
        <f>1/4</f>
        <v>0.25</v>
      </c>
      <c r="Q59" s="145">
        <v>4</v>
      </c>
      <c r="R59" s="146">
        <v>5.58</v>
      </c>
      <c r="S59" s="125">
        <f t="shared" si="0"/>
        <v>22.32</v>
      </c>
      <c r="T59" s="126">
        <f t="shared" si="1"/>
        <v>1</v>
      </c>
      <c r="U59" s="125">
        <f t="shared" si="2"/>
        <v>22.32</v>
      </c>
      <c r="V59" s="146">
        <v>22.32</v>
      </c>
      <c r="W59" s="126" t="b">
        <f t="shared" si="3"/>
        <v>1</v>
      </c>
      <c r="X59" s="125">
        <f t="shared" si="4"/>
        <v>10.456775510204082</v>
      </c>
      <c r="Y59" s="127">
        <f t="shared" si="5"/>
        <v>0.46849352644283521</v>
      </c>
      <c r="Z59" s="128" t="str">
        <f t="shared" si="6"/>
        <v>30+%</v>
      </c>
      <c r="AA59" s="136">
        <v>1186.3224489795919</v>
      </c>
      <c r="AB59" s="109">
        <v>100</v>
      </c>
      <c r="AC59" s="125">
        <f t="shared" si="7"/>
        <v>11.863224489795918</v>
      </c>
      <c r="AD59" s="125">
        <f t="shared" si="8"/>
        <v>11.863224489795918</v>
      </c>
      <c r="AE59" s="140" t="s">
        <v>983</v>
      </c>
      <c r="AF59" s="151"/>
      <c r="AG59" s="153" t="s">
        <v>1149</v>
      </c>
      <c r="AH59" s="126" t="s">
        <v>93</v>
      </c>
      <c r="AI59" s="126">
        <v>1</v>
      </c>
      <c r="AJ59" s="139">
        <v>88265272</v>
      </c>
      <c r="AK59" s="139" t="s">
        <v>1062</v>
      </c>
      <c r="AL59" s="139" t="s">
        <v>1063</v>
      </c>
      <c r="AM59" s="139" t="s">
        <v>903</v>
      </c>
      <c r="AN59" s="139" t="s">
        <v>1130</v>
      </c>
      <c r="AO59" s="109" t="s">
        <v>69</v>
      </c>
      <c r="AP59" s="109" t="s">
        <v>1131</v>
      </c>
      <c r="AQ59" s="109" t="s">
        <v>991</v>
      </c>
      <c r="AR59" s="109"/>
    </row>
    <row r="60" spans="1:44" ht="15" x14ac:dyDescent="0.25">
      <c r="A60" s="140">
        <v>275</v>
      </c>
      <c r="B60" s="141" t="s">
        <v>125</v>
      </c>
      <c r="C60" s="141">
        <v>2739</v>
      </c>
      <c r="D60" s="141"/>
      <c r="E60" s="141"/>
      <c r="F60" s="142">
        <v>44228</v>
      </c>
      <c r="G60" s="143" t="s">
        <v>145</v>
      </c>
      <c r="H60" s="141"/>
      <c r="I60" s="143" t="s">
        <v>915</v>
      </c>
      <c r="J60" s="144" t="s">
        <v>916</v>
      </c>
      <c r="K60" s="143" t="s">
        <v>917</v>
      </c>
      <c r="L60" s="143" t="s">
        <v>135</v>
      </c>
      <c r="M60" s="141"/>
      <c r="N60" s="141"/>
      <c r="O60" s="143" t="s">
        <v>93</v>
      </c>
      <c r="P60" s="145">
        <v>1</v>
      </c>
      <c r="Q60" s="145">
        <v>30</v>
      </c>
      <c r="R60" s="146">
        <v>0.63</v>
      </c>
      <c r="S60" s="125">
        <f t="shared" si="0"/>
        <v>0.63</v>
      </c>
      <c r="T60" s="126">
        <f t="shared" si="1"/>
        <v>30</v>
      </c>
      <c r="U60" s="125">
        <f t="shared" si="2"/>
        <v>18.899999999999999</v>
      </c>
      <c r="V60" s="146">
        <v>18.899999999999999</v>
      </c>
      <c r="W60" s="126" t="b">
        <f t="shared" si="3"/>
        <v>1</v>
      </c>
      <c r="X60" s="125">
        <f t="shared" si="4"/>
        <v>14.145551020408162</v>
      </c>
      <c r="Y60" s="127">
        <f t="shared" si="5"/>
        <v>0.74844185293164878</v>
      </c>
      <c r="Z60" s="128" t="str">
        <f t="shared" si="6"/>
        <v>30+%</v>
      </c>
      <c r="AA60" s="136">
        <v>15.848163265306123</v>
      </c>
      <c r="AB60" s="109">
        <v>100</v>
      </c>
      <c r="AC60" s="125">
        <f t="shared" si="7"/>
        <v>4.754448979591837</v>
      </c>
      <c r="AD60" s="125">
        <f t="shared" si="8"/>
        <v>0.15848163265306123</v>
      </c>
      <c r="AE60" s="140" t="s">
        <v>983</v>
      </c>
      <c r="AF60" s="151"/>
      <c r="AG60" s="152"/>
      <c r="AH60" s="126" t="s">
        <v>93</v>
      </c>
      <c r="AI60" s="126">
        <v>1</v>
      </c>
      <c r="AJ60" s="139">
        <v>91020506</v>
      </c>
      <c r="AK60" s="139" t="s">
        <v>1032</v>
      </c>
      <c r="AL60" s="139" t="s">
        <v>1033</v>
      </c>
      <c r="AM60" s="139">
        <v>336</v>
      </c>
      <c r="AN60" s="139" t="s">
        <v>1132</v>
      </c>
      <c r="AO60" s="109" t="s">
        <v>69</v>
      </c>
      <c r="AP60" s="109"/>
      <c r="AQ60" s="109" t="s">
        <v>991</v>
      </c>
      <c r="AR60" s="109"/>
    </row>
    <row r="61" spans="1:44" ht="15" x14ac:dyDescent="0.25">
      <c r="A61" s="140">
        <v>276</v>
      </c>
      <c r="B61" s="141" t="s">
        <v>125</v>
      </c>
      <c r="C61" s="141">
        <v>2743</v>
      </c>
      <c r="D61" s="141"/>
      <c r="E61" s="141"/>
      <c r="F61" s="142">
        <v>44340</v>
      </c>
      <c r="G61" s="143" t="s">
        <v>428</v>
      </c>
      <c r="H61" s="141"/>
      <c r="I61" s="143" t="s">
        <v>918</v>
      </c>
      <c r="J61" s="144" t="s">
        <v>430</v>
      </c>
      <c r="K61" s="143" t="s">
        <v>919</v>
      </c>
      <c r="L61" s="143" t="s">
        <v>135</v>
      </c>
      <c r="M61" s="141"/>
      <c r="N61" s="141"/>
      <c r="O61" s="143" t="s">
        <v>93</v>
      </c>
      <c r="P61" s="145">
        <v>1</v>
      </c>
      <c r="Q61" s="145">
        <v>1</v>
      </c>
      <c r="R61" s="146">
        <v>18.3</v>
      </c>
      <c r="S61" s="125">
        <f t="shared" si="0"/>
        <v>18.3</v>
      </c>
      <c r="T61" s="126">
        <f t="shared" si="1"/>
        <v>1</v>
      </c>
      <c r="U61" s="125">
        <f t="shared" si="2"/>
        <v>18.3</v>
      </c>
      <c r="V61" s="146">
        <v>18.3</v>
      </c>
      <c r="W61" s="126" t="b">
        <f t="shared" si="3"/>
        <v>1</v>
      </c>
      <c r="X61" s="125">
        <f t="shared" si="4"/>
        <v>1.759400000000003</v>
      </c>
      <c r="Y61" s="127">
        <f t="shared" si="5"/>
        <v>9.6142076502732404E-2</v>
      </c>
      <c r="Z61" s="128" t="str">
        <f t="shared" si="6"/>
        <v>0-10%</v>
      </c>
      <c r="AA61" s="136">
        <v>1654.06</v>
      </c>
      <c r="AB61" s="109">
        <v>100</v>
      </c>
      <c r="AC61" s="125">
        <f t="shared" si="7"/>
        <v>16.540599999999998</v>
      </c>
      <c r="AD61" s="125">
        <f t="shared" si="8"/>
        <v>16.540599999999998</v>
      </c>
      <c r="AE61" s="140" t="s">
        <v>982</v>
      </c>
      <c r="AF61" s="151"/>
      <c r="AG61" s="152"/>
      <c r="AH61" s="126" t="s">
        <v>93</v>
      </c>
      <c r="AI61" s="126">
        <v>1</v>
      </c>
      <c r="AJ61" s="139">
        <v>88254723</v>
      </c>
      <c r="AK61" s="139" t="s">
        <v>1062</v>
      </c>
      <c r="AL61" s="139" t="s">
        <v>1063</v>
      </c>
      <c r="AM61" s="139" t="s">
        <v>1133</v>
      </c>
      <c r="AN61" s="139" t="s">
        <v>1134</v>
      </c>
      <c r="AO61" s="109" t="s">
        <v>69</v>
      </c>
      <c r="AP61" s="109" t="s">
        <v>1135</v>
      </c>
      <c r="AQ61" s="109" t="s">
        <v>991</v>
      </c>
      <c r="AR61" s="109"/>
    </row>
    <row r="62" spans="1:44" ht="15" x14ac:dyDescent="0.25">
      <c r="A62" s="140">
        <v>277</v>
      </c>
      <c r="B62" s="141" t="s">
        <v>125</v>
      </c>
      <c r="C62" s="141">
        <v>2759</v>
      </c>
      <c r="D62" s="141"/>
      <c r="E62" s="141"/>
      <c r="F62" s="142">
        <v>44487</v>
      </c>
      <c r="G62" s="143" t="s">
        <v>136</v>
      </c>
      <c r="H62" s="141"/>
      <c r="I62" s="143" t="s">
        <v>920</v>
      </c>
      <c r="J62" s="144" t="s">
        <v>138</v>
      </c>
      <c r="K62" s="143" t="s">
        <v>921</v>
      </c>
      <c r="L62" s="143" t="s">
        <v>135</v>
      </c>
      <c r="M62" s="141"/>
      <c r="N62" s="141"/>
      <c r="O62" s="143" t="s">
        <v>93</v>
      </c>
      <c r="P62" s="145">
        <v>1</v>
      </c>
      <c r="Q62" s="145">
        <v>8</v>
      </c>
      <c r="R62" s="146">
        <v>2.1</v>
      </c>
      <c r="S62" s="125">
        <f t="shared" si="0"/>
        <v>2.1</v>
      </c>
      <c r="T62" s="126">
        <f t="shared" si="1"/>
        <v>8</v>
      </c>
      <c r="U62" s="125">
        <f t="shared" si="2"/>
        <v>16.8</v>
      </c>
      <c r="V62" s="146">
        <v>16.8</v>
      </c>
      <c r="W62" s="126" t="b">
        <f t="shared" si="3"/>
        <v>1</v>
      </c>
      <c r="X62" s="125">
        <f t="shared" si="4"/>
        <v>12.561240816326531</v>
      </c>
      <c r="Y62" s="127">
        <f t="shared" si="5"/>
        <v>0.74769290573372205</v>
      </c>
      <c r="Z62" s="128" t="str">
        <f t="shared" si="6"/>
        <v>30+%</v>
      </c>
      <c r="AA62" s="136">
        <v>52.984489795918371</v>
      </c>
      <c r="AB62" s="109">
        <v>100</v>
      </c>
      <c r="AC62" s="125">
        <f t="shared" si="7"/>
        <v>4.2387591836734693</v>
      </c>
      <c r="AD62" s="125">
        <f t="shared" si="8"/>
        <v>0.52984489795918366</v>
      </c>
      <c r="AE62" s="140" t="s">
        <v>982</v>
      </c>
      <c r="AF62" s="151"/>
      <c r="AG62" s="152"/>
      <c r="AH62" s="126" t="s">
        <v>93</v>
      </c>
      <c r="AI62" s="126">
        <v>1</v>
      </c>
      <c r="AJ62" s="139">
        <v>88315074</v>
      </c>
      <c r="AK62" s="139" t="s">
        <v>1032</v>
      </c>
      <c r="AL62" s="109" t="s">
        <v>1033</v>
      </c>
      <c r="AM62" s="109" t="s">
        <v>1136</v>
      </c>
      <c r="AN62" s="109" t="s">
        <v>1137</v>
      </c>
      <c r="AO62" s="109" t="s">
        <v>69</v>
      </c>
      <c r="AP62" s="109" t="s">
        <v>1113</v>
      </c>
      <c r="AQ62" s="109" t="s">
        <v>991</v>
      </c>
      <c r="AR62" s="109"/>
    </row>
    <row r="63" spans="1:44" ht="15" x14ac:dyDescent="0.25">
      <c r="A63" s="140">
        <v>278</v>
      </c>
      <c r="B63" s="141" t="s">
        <v>125</v>
      </c>
      <c r="C63" s="141">
        <v>2761</v>
      </c>
      <c r="D63" s="141"/>
      <c r="E63" s="141"/>
      <c r="F63" s="142">
        <v>44223</v>
      </c>
      <c r="G63" s="143" t="s">
        <v>145</v>
      </c>
      <c r="H63" s="141"/>
      <c r="I63" s="143" t="s">
        <v>922</v>
      </c>
      <c r="J63" s="144" t="s">
        <v>845</v>
      </c>
      <c r="K63" s="143" t="s">
        <v>923</v>
      </c>
      <c r="L63" s="143" t="s">
        <v>135</v>
      </c>
      <c r="M63" s="141"/>
      <c r="N63" s="141"/>
      <c r="O63" s="143" t="s">
        <v>93</v>
      </c>
      <c r="P63" s="145">
        <v>1</v>
      </c>
      <c r="Q63" s="145">
        <v>5</v>
      </c>
      <c r="R63" s="146">
        <v>3.33</v>
      </c>
      <c r="S63" s="125">
        <f t="shared" si="0"/>
        <v>3.33</v>
      </c>
      <c r="T63" s="126">
        <f t="shared" si="1"/>
        <v>5</v>
      </c>
      <c r="U63" s="125">
        <f t="shared" si="2"/>
        <v>16.649999999999999</v>
      </c>
      <c r="V63" s="146">
        <v>16.649999999999999</v>
      </c>
      <c r="W63" s="126" t="b">
        <f t="shared" si="3"/>
        <v>1</v>
      </c>
      <c r="X63" s="125">
        <f t="shared" si="4"/>
        <v>8.6939999999999973</v>
      </c>
      <c r="Y63" s="127">
        <f t="shared" si="5"/>
        <v>0.52216216216216205</v>
      </c>
      <c r="Z63" s="128" t="str">
        <f t="shared" si="6"/>
        <v>30+%</v>
      </c>
      <c r="AA63" s="136">
        <v>1.5912000000000002</v>
      </c>
      <c r="AB63" s="109">
        <v>1</v>
      </c>
      <c r="AC63" s="125">
        <f t="shared" si="7"/>
        <v>7.9560000000000013</v>
      </c>
      <c r="AD63" s="125">
        <f t="shared" si="8"/>
        <v>1.5912000000000002</v>
      </c>
      <c r="AE63" s="140" t="s">
        <v>982</v>
      </c>
      <c r="AF63" s="151"/>
      <c r="AG63" s="152"/>
      <c r="AH63" s="126" t="s">
        <v>93</v>
      </c>
      <c r="AI63" s="126">
        <v>1</v>
      </c>
      <c r="AJ63" s="139">
        <v>88074432</v>
      </c>
      <c r="AK63" s="139" t="s">
        <v>1032</v>
      </c>
      <c r="AL63" s="139" t="s">
        <v>1033</v>
      </c>
      <c r="AM63" s="139" t="s">
        <v>923</v>
      </c>
      <c r="AN63" s="139" t="s">
        <v>1138</v>
      </c>
      <c r="AO63" s="109" t="s">
        <v>69</v>
      </c>
      <c r="AP63" s="109" t="s">
        <v>1113</v>
      </c>
      <c r="AQ63" s="109" t="s">
        <v>1025</v>
      </c>
      <c r="AR63" s="109" t="s">
        <v>985</v>
      </c>
    </row>
    <row r="64" spans="1:44" ht="15" x14ac:dyDescent="0.25">
      <c r="A64" s="140">
        <v>287</v>
      </c>
      <c r="B64" s="141" t="s">
        <v>125</v>
      </c>
      <c r="C64" s="141">
        <v>2802</v>
      </c>
      <c r="D64" s="141"/>
      <c r="E64" s="141"/>
      <c r="F64" s="142">
        <v>44552</v>
      </c>
      <c r="G64" s="143" t="s">
        <v>181</v>
      </c>
      <c r="H64" s="141"/>
      <c r="I64" s="143" t="s">
        <v>944</v>
      </c>
      <c r="J64" s="144" t="s">
        <v>945</v>
      </c>
      <c r="K64" s="143" t="s">
        <v>946</v>
      </c>
      <c r="L64" s="143" t="s">
        <v>130</v>
      </c>
      <c r="M64" s="141"/>
      <c r="N64" s="141"/>
      <c r="O64" s="143" t="s">
        <v>93</v>
      </c>
      <c r="P64" s="145">
        <v>1</v>
      </c>
      <c r="Q64" s="145">
        <v>4</v>
      </c>
      <c r="R64" s="146">
        <v>2.88</v>
      </c>
      <c r="S64" s="125">
        <f t="shared" si="0"/>
        <v>2.88</v>
      </c>
      <c r="T64" s="126">
        <f t="shared" si="1"/>
        <v>4</v>
      </c>
      <c r="U64" s="125">
        <f t="shared" si="2"/>
        <v>11.52</v>
      </c>
      <c r="V64" s="146">
        <v>11.52</v>
      </c>
      <c r="W64" s="126" t="b">
        <f t="shared" si="3"/>
        <v>1</v>
      </c>
      <c r="X64" s="125">
        <f t="shared" si="4"/>
        <v>4.1199999999999992</v>
      </c>
      <c r="Y64" s="127">
        <f t="shared" si="5"/>
        <v>0.35763888888888884</v>
      </c>
      <c r="Z64" s="128" t="str">
        <f t="shared" si="6"/>
        <v>30+%</v>
      </c>
      <c r="AA64" s="136">
        <v>1.85</v>
      </c>
      <c r="AB64" s="109">
        <v>1</v>
      </c>
      <c r="AC64" s="125">
        <f t="shared" si="7"/>
        <v>7.4</v>
      </c>
      <c r="AD64" s="125">
        <f t="shared" si="8"/>
        <v>1.85</v>
      </c>
      <c r="AE64" s="140" t="s">
        <v>983</v>
      </c>
      <c r="AF64" s="151"/>
      <c r="AG64" s="152"/>
      <c r="AH64" s="126" t="s">
        <v>93</v>
      </c>
      <c r="AI64" s="126">
        <v>1</v>
      </c>
      <c r="AJ64" s="139">
        <v>25694088</v>
      </c>
      <c r="AK64" s="139" t="s">
        <v>1139</v>
      </c>
      <c r="AL64" s="139" t="s">
        <v>1140</v>
      </c>
      <c r="AM64" s="139" t="s">
        <v>1141</v>
      </c>
      <c r="AN64" s="139" t="s">
        <v>1142</v>
      </c>
      <c r="AO64" s="109" t="s">
        <v>75</v>
      </c>
      <c r="AP64" s="109" t="s">
        <v>1143</v>
      </c>
      <c r="AQ64" s="109" t="s">
        <v>991</v>
      </c>
      <c r="AR64" s="109"/>
    </row>
    <row r="65" spans="1:44" ht="15" x14ac:dyDescent="0.25">
      <c r="A65" s="140">
        <v>288</v>
      </c>
      <c r="B65" s="141" t="s">
        <v>125</v>
      </c>
      <c r="C65" s="141">
        <v>2828</v>
      </c>
      <c r="D65" s="141"/>
      <c r="E65" s="141"/>
      <c r="F65" s="142">
        <v>44383</v>
      </c>
      <c r="G65" s="143" t="s">
        <v>145</v>
      </c>
      <c r="H65" s="141"/>
      <c r="I65" s="143" t="s">
        <v>947</v>
      </c>
      <c r="J65" s="144" t="s">
        <v>623</v>
      </c>
      <c r="K65" s="143" t="s">
        <v>948</v>
      </c>
      <c r="L65" s="143" t="s">
        <v>135</v>
      </c>
      <c r="M65" s="141"/>
      <c r="N65" s="141"/>
      <c r="O65" s="143" t="s">
        <v>93</v>
      </c>
      <c r="P65" s="145">
        <v>1</v>
      </c>
      <c r="Q65" s="145">
        <v>1</v>
      </c>
      <c r="R65" s="146">
        <v>9.39</v>
      </c>
      <c r="S65" s="125">
        <f t="shared" ref="S65:S67" si="9">R65/P65</f>
        <v>9.39</v>
      </c>
      <c r="T65" s="126">
        <f t="shared" ref="T65:T67" si="10">Q65*P65</f>
        <v>1</v>
      </c>
      <c r="U65" s="125">
        <f t="shared" ref="U65:U67" si="11">T65*S65</f>
        <v>9.39</v>
      </c>
      <c r="V65" s="146">
        <v>9.39</v>
      </c>
      <c r="W65" s="126" t="b">
        <f t="shared" ref="W65:W67" si="12">V65=U65</f>
        <v>1</v>
      </c>
      <c r="X65" s="125">
        <f t="shared" ref="X65:X67" si="13">V65-AC65</f>
        <v>2.95</v>
      </c>
      <c r="Y65" s="127">
        <f t="shared" ref="Y65:Y67" si="14">X65/V65</f>
        <v>0.31416400425985092</v>
      </c>
      <c r="Z65" s="128" t="str">
        <f t="shared" ref="Z65:Z67" si="15">IF(Y65&lt;0,"Negative",IF(Y65=0,"Same",IF(Y65&gt;0.3,"30+%",IF(Y65&gt;0.2,"20-30%",IF(Y65&gt;0.1,"10-20%",IF(Y65&lt;=0.1,"0-10%"))))))</f>
        <v>30+%</v>
      </c>
      <c r="AA65" s="136">
        <v>6.44</v>
      </c>
      <c r="AB65" s="109">
        <v>1</v>
      </c>
      <c r="AC65" s="125">
        <f t="shared" ref="AC65:AC67" si="16">AA65/AB65*T65</f>
        <v>6.44</v>
      </c>
      <c r="AD65" s="125">
        <f t="shared" ref="AD65:AD67" si="17">AA65/AB65</f>
        <v>6.44</v>
      </c>
      <c r="AE65" s="140" t="s">
        <v>983</v>
      </c>
      <c r="AF65" s="151"/>
      <c r="AG65" s="152"/>
      <c r="AH65" s="126" t="s">
        <v>93</v>
      </c>
      <c r="AI65" s="126">
        <v>1</v>
      </c>
      <c r="AJ65" s="139">
        <v>88248366</v>
      </c>
      <c r="AK65" s="139" t="s">
        <v>1003</v>
      </c>
      <c r="AL65" s="139" t="s">
        <v>1004</v>
      </c>
      <c r="AM65" s="139" t="s">
        <v>948</v>
      </c>
      <c r="AN65" s="139" t="s">
        <v>1144</v>
      </c>
      <c r="AO65" s="109" t="s">
        <v>68</v>
      </c>
      <c r="AP65" s="109" t="s">
        <v>1007</v>
      </c>
      <c r="AQ65" s="109" t="s">
        <v>991</v>
      </c>
      <c r="AR65" s="109"/>
    </row>
    <row r="66" spans="1:44" ht="15" x14ac:dyDescent="0.25">
      <c r="A66" s="140">
        <v>293</v>
      </c>
      <c r="B66" s="141" t="s">
        <v>125</v>
      </c>
      <c r="C66" s="141">
        <v>2869</v>
      </c>
      <c r="D66" s="141"/>
      <c r="E66" s="141"/>
      <c r="F66" s="142">
        <v>44539</v>
      </c>
      <c r="G66" s="143" t="s">
        <v>259</v>
      </c>
      <c r="H66" s="141"/>
      <c r="I66" s="143" t="s">
        <v>957</v>
      </c>
      <c r="J66" s="144" t="s">
        <v>916</v>
      </c>
      <c r="K66" s="143" t="s">
        <v>958</v>
      </c>
      <c r="L66" s="143" t="s">
        <v>135</v>
      </c>
      <c r="M66" s="141"/>
      <c r="N66" s="141"/>
      <c r="O66" s="143" t="s">
        <v>93</v>
      </c>
      <c r="P66" s="145">
        <f>1/5</f>
        <v>0.2</v>
      </c>
      <c r="Q66" s="145">
        <v>5</v>
      </c>
      <c r="R66" s="146">
        <v>0.62</v>
      </c>
      <c r="S66" s="125">
        <f t="shared" si="9"/>
        <v>3.0999999999999996</v>
      </c>
      <c r="T66" s="126">
        <f t="shared" si="10"/>
        <v>1</v>
      </c>
      <c r="U66" s="125">
        <f t="shared" si="11"/>
        <v>3.0999999999999996</v>
      </c>
      <c r="V66" s="146">
        <v>3.1</v>
      </c>
      <c r="W66" s="126" t="b">
        <f t="shared" si="12"/>
        <v>1</v>
      </c>
      <c r="X66" s="125">
        <f t="shared" si="13"/>
        <v>2.993716</v>
      </c>
      <c r="Y66" s="127">
        <f t="shared" si="14"/>
        <v>0.96571483870967745</v>
      </c>
      <c r="Z66" s="128" t="str">
        <f t="shared" si="15"/>
        <v>30+%</v>
      </c>
      <c r="AA66" s="136">
        <v>10.628400000000001</v>
      </c>
      <c r="AB66" s="109">
        <v>100</v>
      </c>
      <c r="AC66" s="125">
        <f t="shared" si="16"/>
        <v>0.106284</v>
      </c>
      <c r="AD66" s="125">
        <f t="shared" si="17"/>
        <v>0.106284</v>
      </c>
      <c r="AE66" s="140" t="s">
        <v>982</v>
      </c>
      <c r="AF66" s="151"/>
      <c r="AG66" s="153" t="s">
        <v>1149</v>
      </c>
      <c r="AH66" s="126" t="s">
        <v>93</v>
      </c>
      <c r="AI66" s="126">
        <v>1</v>
      </c>
      <c r="AJ66" s="139">
        <v>91020505</v>
      </c>
      <c r="AK66" s="139" t="s">
        <v>1032</v>
      </c>
      <c r="AL66" s="139" t="s">
        <v>1033</v>
      </c>
      <c r="AM66" s="139">
        <v>335</v>
      </c>
      <c r="AN66" s="139" t="s">
        <v>1145</v>
      </c>
      <c r="AO66" s="109" t="s">
        <v>69</v>
      </c>
      <c r="AP66" s="109"/>
      <c r="AQ66" s="109" t="s">
        <v>1025</v>
      </c>
      <c r="AR66" s="109"/>
    </row>
    <row r="67" spans="1:44" ht="15" x14ac:dyDescent="0.25">
      <c r="A67" s="140">
        <v>292</v>
      </c>
      <c r="B67" s="141" t="s">
        <v>125</v>
      </c>
      <c r="C67" s="141">
        <v>2847</v>
      </c>
      <c r="D67" s="141"/>
      <c r="E67" s="141"/>
      <c r="F67" s="142">
        <v>44246</v>
      </c>
      <c r="G67" s="143" t="s">
        <v>145</v>
      </c>
      <c r="H67" s="141"/>
      <c r="I67" s="143" t="s">
        <v>955</v>
      </c>
      <c r="J67" s="144" t="s">
        <v>573</v>
      </c>
      <c r="K67" s="143" t="s">
        <v>956</v>
      </c>
      <c r="L67" s="143" t="s">
        <v>135</v>
      </c>
      <c r="M67" s="141"/>
      <c r="N67" s="141"/>
      <c r="O67" s="143" t="s">
        <v>93</v>
      </c>
      <c r="P67" s="145">
        <v>1</v>
      </c>
      <c r="Q67" s="145">
        <v>5</v>
      </c>
      <c r="R67" s="146">
        <v>1.19</v>
      </c>
      <c r="S67" s="125">
        <f t="shared" si="9"/>
        <v>1.19</v>
      </c>
      <c r="T67" s="126">
        <f t="shared" si="10"/>
        <v>5</v>
      </c>
      <c r="U67" s="125">
        <f t="shared" si="11"/>
        <v>5.9499999999999993</v>
      </c>
      <c r="V67" s="146">
        <v>5.9499999999999993</v>
      </c>
      <c r="W67" s="126" t="b">
        <f t="shared" si="12"/>
        <v>1</v>
      </c>
      <c r="X67" s="125">
        <f t="shared" si="13"/>
        <v>-2.5555510204081635</v>
      </c>
      <c r="Y67" s="127">
        <f t="shared" si="14"/>
        <v>-0.42950437317784268</v>
      </c>
      <c r="Z67" s="128" t="str">
        <f t="shared" si="15"/>
        <v>Negative</v>
      </c>
      <c r="AA67" s="136">
        <v>170.11102040816326</v>
      </c>
      <c r="AB67" s="109">
        <v>100</v>
      </c>
      <c r="AC67" s="125">
        <f t="shared" si="16"/>
        <v>8.5055510204081628</v>
      </c>
      <c r="AD67" s="125">
        <f t="shared" si="17"/>
        <v>1.7011102040816326</v>
      </c>
      <c r="AE67" s="140" t="s">
        <v>982</v>
      </c>
      <c r="AF67" s="151"/>
      <c r="AG67" s="152"/>
      <c r="AH67" s="126" t="s">
        <v>93</v>
      </c>
      <c r="AI67" s="126">
        <v>1</v>
      </c>
      <c r="AJ67" s="139">
        <v>90058854</v>
      </c>
      <c r="AK67" s="139" t="s">
        <v>1146</v>
      </c>
      <c r="AL67" s="139" t="s">
        <v>1033</v>
      </c>
      <c r="AM67" s="139" t="s">
        <v>1147</v>
      </c>
      <c r="AN67" s="139" t="s">
        <v>1148</v>
      </c>
      <c r="AO67" s="109" t="s">
        <v>69</v>
      </c>
      <c r="AP67" s="109" t="s">
        <v>1127</v>
      </c>
      <c r="AQ67" s="109" t="s">
        <v>991</v>
      </c>
      <c r="AR67" s="109"/>
    </row>
  </sheetData>
  <autoFilter ref="A1:AR67" xr:uid="{00000000-0009-0000-0000-000001000000}"/>
  <conditionalFormatting sqref="A66">
    <cfRule type="duplicateValues" dxfId="7" priority="6"/>
  </conditionalFormatting>
  <conditionalFormatting sqref="A66">
    <cfRule type="duplicateValues" dxfId="6" priority="5"/>
  </conditionalFormatting>
  <conditionalFormatting sqref="A66:A67">
    <cfRule type="duplicateValues" dxfId="5" priority="4"/>
  </conditionalFormatting>
  <conditionalFormatting sqref="A67">
    <cfRule type="duplicateValues" dxfId="4" priority="3"/>
  </conditionalFormatting>
  <conditionalFormatting sqref="A67">
    <cfRule type="duplicateValues" dxfId="3" priority="2"/>
  </conditionalFormatting>
  <conditionalFormatting sqref="A67">
    <cfRule type="duplicateValues" dxfId="2" priority="1"/>
  </conditionalFormatting>
  <conditionalFormatting sqref="A2:A65">
    <cfRule type="duplicateValues" dxfId="1" priority="32"/>
  </conditionalFormatting>
  <conditionalFormatting sqref="A2:A66">
    <cfRule type="duplicateValues" dxfId="0" priority="34"/>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30"/>
  <sheetViews>
    <sheetView workbookViewId="0">
      <pane ySplit="1" topLeftCell="A2" activePane="bottomLeft" state="frozen"/>
      <selection pane="bottomLeft"/>
    </sheetView>
  </sheetViews>
  <sheetFormatPr defaultColWidth="9.140625" defaultRowHeight="12" x14ac:dyDescent="0.2"/>
  <cols>
    <col min="1" max="1" width="9.28515625" style="130" bestFit="1" customWidth="1"/>
    <col min="2" max="2" width="27.5703125" style="130" bestFit="1" customWidth="1"/>
    <col min="3" max="3" width="12" style="104" bestFit="1" customWidth="1"/>
    <col min="4" max="4" width="11" style="130" bestFit="1" customWidth="1"/>
    <col min="5" max="5" width="13.7109375" style="104" bestFit="1" customWidth="1"/>
    <col min="6" max="6" width="13.140625" style="104" bestFit="1" customWidth="1"/>
    <col min="7" max="7" width="30.7109375" style="104" bestFit="1" customWidth="1"/>
    <col min="8" max="8" width="14" style="104" bestFit="1" customWidth="1"/>
    <col min="9" max="9" width="36.7109375" style="132" bestFit="1" customWidth="1"/>
    <col min="10" max="10" width="24.7109375" style="132" bestFit="1" customWidth="1"/>
    <col min="11" max="11" width="24" style="132" bestFit="1" customWidth="1"/>
    <col min="12" max="12" width="22.140625" style="132" bestFit="1" customWidth="1"/>
    <col min="13" max="14" width="14.7109375" style="132" bestFit="1" customWidth="1"/>
    <col min="15" max="16" width="8.85546875" style="130" bestFit="1" customWidth="1"/>
    <col min="17" max="17" width="8.7109375" style="131" bestFit="1" customWidth="1"/>
    <col min="18" max="18" width="7.7109375" style="130" bestFit="1" customWidth="1"/>
    <col min="19" max="19" width="8.7109375" style="107" bestFit="1" customWidth="1"/>
    <col min="20" max="20" width="11.140625" style="130" bestFit="1" customWidth="1"/>
    <col min="21" max="21" width="12.140625" style="131" bestFit="1" customWidth="1"/>
    <col min="22" max="22" width="9" style="130" bestFit="1" customWidth="1"/>
    <col min="23" max="23" width="105.85546875" style="132" bestFit="1" customWidth="1"/>
    <col min="24" max="16384" width="9.140625" style="130"/>
  </cols>
  <sheetData>
    <row r="1" spans="1:23" s="105" customFormat="1" ht="24" x14ac:dyDescent="0.25">
      <c r="A1" s="110" t="s">
        <v>83</v>
      </c>
      <c r="B1" s="111" t="s">
        <v>113</v>
      </c>
      <c r="C1" s="114" t="s">
        <v>110</v>
      </c>
      <c r="D1" s="111" t="s">
        <v>114</v>
      </c>
      <c r="E1" s="111" t="s">
        <v>115</v>
      </c>
      <c r="F1" s="111" t="s">
        <v>116</v>
      </c>
      <c r="G1" s="111" t="s">
        <v>117</v>
      </c>
      <c r="H1" s="111" t="s">
        <v>118</v>
      </c>
      <c r="I1" s="111" t="s">
        <v>119</v>
      </c>
      <c r="J1" s="111" t="s">
        <v>120</v>
      </c>
      <c r="K1" s="111" t="s">
        <v>121</v>
      </c>
      <c r="L1" s="111" t="s">
        <v>122</v>
      </c>
      <c r="M1" s="111" t="s">
        <v>123</v>
      </c>
      <c r="N1" s="111" t="s">
        <v>124</v>
      </c>
      <c r="O1" s="111" t="s">
        <v>101</v>
      </c>
      <c r="P1" s="111" t="s">
        <v>103</v>
      </c>
      <c r="Q1" s="112" t="s">
        <v>104</v>
      </c>
      <c r="R1" s="111" t="s">
        <v>102</v>
      </c>
      <c r="S1" s="112" t="s">
        <v>105</v>
      </c>
      <c r="T1" s="111" t="s">
        <v>106</v>
      </c>
      <c r="U1" s="112" t="s">
        <v>107</v>
      </c>
      <c r="V1" s="113" t="s">
        <v>87</v>
      </c>
      <c r="W1" s="113" t="s">
        <v>968</v>
      </c>
    </row>
    <row r="2" spans="1:23" x14ac:dyDescent="0.2">
      <c r="A2" s="109">
        <v>1</v>
      </c>
      <c r="B2" s="109" t="s">
        <v>125</v>
      </c>
      <c r="C2" s="109">
        <v>29</v>
      </c>
      <c r="D2" s="109"/>
      <c r="E2" s="109"/>
      <c r="F2" s="109">
        <v>44475</v>
      </c>
      <c r="G2" s="109" t="s">
        <v>126</v>
      </c>
      <c r="H2" s="109"/>
      <c r="I2" s="139" t="s">
        <v>127</v>
      </c>
      <c r="J2" s="139" t="s">
        <v>128</v>
      </c>
      <c r="K2" s="139" t="s">
        <v>129</v>
      </c>
      <c r="L2" s="139" t="s">
        <v>130</v>
      </c>
      <c r="M2" s="139"/>
      <c r="N2" s="139"/>
      <c r="O2" s="109" t="s">
        <v>93</v>
      </c>
      <c r="P2" s="109">
        <v>1</v>
      </c>
      <c r="Q2" s="136">
        <v>6965.58</v>
      </c>
      <c r="R2" s="109">
        <v>1</v>
      </c>
      <c r="S2" s="136">
        <v>6965.58</v>
      </c>
      <c r="T2" s="109">
        <v>1</v>
      </c>
      <c r="U2" s="136">
        <v>6965.58</v>
      </c>
      <c r="V2" s="109" t="s">
        <v>965</v>
      </c>
      <c r="W2" s="139" t="s">
        <v>969</v>
      </c>
    </row>
    <row r="3" spans="1:23" x14ac:dyDescent="0.2">
      <c r="A3" s="109">
        <v>2</v>
      </c>
      <c r="B3" s="109" t="s">
        <v>125</v>
      </c>
      <c r="C3" s="109">
        <v>52</v>
      </c>
      <c r="D3" s="109"/>
      <c r="E3" s="109"/>
      <c r="F3" s="109">
        <v>44522</v>
      </c>
      <c r="G3" s="109" t="s">
        <v>131</v>
      </c>
      <c r="H3" s="109"/>
      <c r="I3" s="139" t="s">
        <v>132</v>
      </c>
      <c r="J3" s="139" t="s">
        <v>133</v>
      </c>
      <c r="K3" s="139" t="s">
        <v>134</v>
      </c>
      <c r="L3" s="139" t="s">
        <v>135</v>
      </c>
      <c r="M3" s="139"/>
      <c r="N3" s="139"/>
      <c r="O3" s="109" t="s">
        <v>93</v>
      </c>
      <c r="P3" s="109">
        <v>1</v>
      </c>
      <c r="Q3" s="136">
        <v>2567.69</v>
      </c>
      <c r="R3" s="109">
        <v>2</v>
      </c>
      <c r="S3" s="136">
        <v>2567.69</v>
      </c>
      <c r="T3" s="109">
        <v>2</v>
      </c>
      <c r="U3" s="136">
        <v>5135.38</v>
      </c>
      <c r="V3" s="109" t="s">
        <v>966</v>
      </c>
      <c r="W3" s="139" t="s">
        <v>970</v>
      </c>
    </row>
    <row r="4" spans="1:23" x14ac:dyDescent="0.2">
      <c r="A4" s="109">
        <v>3</v>
      </c>
      <c r="B4" s="109" t="s">
        <v>125</v>
      </c>
      <c r="C4" s="109">
        <v>54</v>
      </c>
      <c r="D4" s="109"/>
      <c r="E4" s="109"/>
      <c r="F4" s="109">
        <v>44419</v>
      </c>
      <c r="G4" s="109" t="s">
        <v>136</v>
      </c>
      <c r="H4" s="109"/>
      <c r="I4" s="139" t="s">
        <v>137</v>
      </c>
      <c r="J4" s="139" t="s">
        <v>138</v>
      </c>
      <c r="K4" s="139" t="s">
        <v>139</v>
      </c>
      <c r="L4" s="139" t="s">
        <v>135</v>
      </c>
      <c r="M4" s="139"/>
      <c r="N4" s="139"/>
      <c r="O4" s="109" t="s">
        <v>93</v>
      </c>
      <c r="P4" s="109">
        <v>1</v>
      </c>
      <c r="Q4" s="136">
        <v>5053.5</v>
      </c>
      <c r="R4" s="109">
        <v>1</v>
      </c>
      <c r="S4" s="136">
        <v>5053.5</v>
      </c>
      <c r="T4" s="109">
        <v>1</v>
      </c>
      <c r="U4" s="136">
        <v>5053.5</v>
      </c>
      <c r="V4" s="109" t="s">
        <v>966</v>
      </c>
      <c r="W4" s="139" t="s">
        <v>970</v>
      </c>
    </row>
    <row r="5" spans="1:23" x14ac:dyDescent="0.2">
      <c r="A5" s="109">
        <v>4</v>
      </c>
      <c r="B5" s="109" t="s">
        <v>125</v>
      </c>
      <c r="C5" s="109">
        <v>69</v>
      </c>
      <c r="D5" s="109"/>
      <c r="E5" s="109"/>
      <c r="F5" s="109">
        <v>44509</v>
      </c>
      <c r="G5" s="109" t="s">
        <v>140</v>
      </c>
      <c r="H5" s="109"/>
      <c r="I5" s="139" t="s">
        <v>141</v>
      </c>
      <c r="J5" s="139" t="s">
        <v>142</v>
      </c>
      <c r="K5" s="139" t="s">
        <v>143</v>
      </c>
      <c r="L5" s="139" t="s">
        <v>144</v>
      </c>
      <c r="M5" s="139"/>
      <c r="N5" s="139"/>
      <c r="O5" s="109" t="s">
        <v>93</v>
      </c>
      <c r="P5" s="109">
        <v>1</v>
      </c>
      <c r="Q5" s="136">
        <v>661.45</v>
      </c>
      <c r="R5" s="109">
        <v>6</v>
      </c>
      <c r="S5" s="136">
        <v>661.45</v>
      </c>
      <c r="T5" s="109">
        <v>6</v>
      </c>
      <c r="U5" s="136">
        <v>3968.7000000000003</v>
      </c>
      <c r="V5" s="109" t="s">
        <v>966</v>
      </c>
      <c r="W5" s="139" t="s">
        <v>970</v>
      </c>
    </row>
    <row r="6" spans="1:23" x14ac:dyDescent="0.2">
      <c r="A6" s="109">
        <v>5</v>
      </c>
      <c r="B6" s="109" t="s">
        <v>125</v>
      </c>
      <c r="C6" s="109">
        <v>82</v>
      </c>
      <c r="D6" s="109"/>
      <c r="E6" s="109"/>
      <c r="F6" s="109">
        <v>44504</v>
      </c>
      <c r="G6" s="109" t="s">
        <v>145</v>
      </c>
      <c r="H6" s="109"/>
      <c r="I6" s="139" t="s">
        <v>146</v>
      </c>
      <c r="J6" s="139" t="s">
        <v>147</v>
      </c>
      <c r="K6" s="139" t="s">
        <v>148</v>
      </c>
      <c r="L6" s="139" t="s">
        <v>144</v>
      </c>
      <c r="M6" s="139"/>
      <c r="N6" s="139"/>
      <c r="O6" s="109" t="s">
        <v>93</v>
      </c>
      <c r="P6" s="109">
        <v>1</v>
      </c>
      <c r="Q6" s="136">
        <v>183.4</v>
      </c>
      <c r="R6" s="109">
        <v>20</v>
      </c>
      <c r="S6" s="136">
        <v>183.4</v>
      </c>
      <c r="T6" s="109">
        <v>20</v>
      </c>
      <c r="U6" s="136">
        <v>3668</v>
      </c>
      <c r="V6" s="109" t="s">
        <v>966</v>
      </c>
      <c r="W6" s="139" t="s">
        <v>971</v>
      </c>
    </row>
    <row r="7" spans="1:23" x14ac:dyDescent="0.2">
      <c r="A7" s="109">
        <v>6</v>
      </c>
      <c r="B7" s="109" t="s">
        <v>125</v>
      </c>
      <c r="C7" s="109">
        <v>94</v>
      </c>
      <c r="D7" s="109"/>
      <c r="E7" s="109"/>
      <c r="F7" s="109">
        <v>44202</v>
      </c>
      <c r="G7" s="109" t="s">
        <v>149</v>
      </c>
      <c r="H7" s="109"/>
      <c r="I7" s="139" t="s">
        <v>150</v>
      </c>
      <c r="J7" s="139" t="s">
        <v>151</v>
      </c>
      <c r="K7" s="139" t="s">
        <v>152</v>
      </c>
      <c r="L7" s="139" t="s">
        <v>135</v>
      </c>
      <c r="M7" s="139"/>
      <c r="N7" s="139"/>
      <c r="O7" s="109" t="s">
        <v>93</v>
      </c>
      <c r="P7" s="109">
        <v>1</v>
      </c>
      <c r="Q7" s="136">
        <v>68.459999999999994</v>
      </c>
      <c r="R7" s="109">
        <v>50</v>
      </c>
      <c r="S7" s="136">
        <v>68.459999999999994</v>
      </c>
      <c r="T7" s="109">
        <v>50</v>
      </c>
      <c r="U7" s="136">
        <v>3422.9999999999995</v>
      </c>
      <c r="V7" s="109" t="s">
        <v>967</v>
      </c>
      <c r="W7" s="139" t="s">
        <v>972</v>
      </c>
    </row>
    <row r="8" spans="1:23" x14ac:dyDescent="0.2">
      <c r="A8" s="109">
        <v>7</v>
      </c>
      <c r="B8" s="109" t="s">
        <v>125</v>
      </c>
      <c r="C8" s="109">
        <v>145</v>
      </c>
      <c r="D8" s="109"/>
      <c r="E8" s="109"/>
      <c r="F8" s="109">
        <v>44470</v>
      </c>
      <c r="G8" s="109" t="s">
        <v>153</v>
      </c>
      <c r="H8" s="109"/>
      <c r="I8" s="139" t="s">
        <v>154</v>
      </c>
      <c r="J8" s="139" t="s">
        <v>155</v>
      </c>
      <c r="K8" s="139" t="s">
        <v>156</v>
      </c>
      <c r="L8" s="139" t="s">
        <v>135</v>
      </c>
      <c r="M8" s="139"/>
      <c r="N8" s="139"/>
      <c r="O8" s="109" t="s">
        <v>93</v>
      </c>
      <c r="P8" s="109">
        <v>1</v>
      </c>
      <c r="Q8" s="136">
        <v>2529.61</v>
      </c>
      <c r="R8" s="109">
        <v>1</v>
      </c>
      <c r="S8" s="136">
        <v>2529.61</v>
      </c>
      <c r="T8" s="109">
        <v>1</v>
      </c>
      <c r="U8" s="136">
        <v>2529.61</v>
      </c>
      <c r="V8" s="109" t="s">
        <v>966</v>
      </c>
      <c r="W8" s="139" t="s">
        <v>970</v>
      </c>
    </row>
    <row r="9" spans="1:23" x14ac:dyDescent="0.2">
      <c r="A9" s="109">
        <v>8</v>
      </c>
      <c r="B9" s="109" t="s">
        <v>125</v>
      </c>
      <c r="C9" s="109">
        <v>163</v>
      </c>
      <c r="D9" s="109"/>
      <c r="E9" s="109"/>
      <c r="F9" s="109">
        <v>44264</v>
      </c>
      <c r="G9" s="109" t="s">
        <v>157</v>
      </c>
      <c r="H9" s="109"/>
      <c r="I9" s="139" t="s">
        <v>158</v>
      </c>
      <c r="J9" s="139" t="s">
        <v>159</v>
      </c>
      <c r="K9" s="139" t="s">
        <v>160</v>
      </c>
      <c r="L9" s="139" t="s">
        <v>135</v>
      </c>
      <c r="M9" s="139"/>
      <c r="N9" s="139"/>
      <c r="O9" s="109" t="s">
        <v>93</v>
      </c>
      <c r="P9" s="109">
        <v>1</v>
      </c>
      <c r="Q9" s="136">
        <v>1188.97</v>
      </c>
      <c r="R9" s="109">
        <v>2</v>
      </c>
      <c r="S9" s="136">
        <v>1188.97</v>
      </c>
      <c r="T9" s="109">
        <v>2</v>
      </c>
      <c r="U9" s="136">
        <v>2377.94</v>
      </c>
      <c r="V9" s="109" t="s">
        <v>966</v>
      </c>
      <c r="W9" s="139" t="s">
        <v>970</v>
      </c>
    </row>
    <row r="10" spans="1:23" x14ac:dyDescent="0.2">
      <c r="A10" s="109">
        <v>9</v>
      </c>
      <c r="B10" s="109" t="s">
        <v>125</v>
      </c>
      <c r="C10" s="109">
        <v>165</v>
      </c>
      <c r="D10" s="109"/>
      <c r="E10" s="109"/>
      <c r="F10" s="109">
        <v>44543</v>
      </c>
      <c r="G10" s="109" t="s">
        <v>136</v>
      </c>
      <c r="H10" s="109"/>
      <c r="I10" s="139" t="s">
        <v>161</v>
      </c>
      <c r="J10" s="139" t="s">
        <v>138</v>
      </c>
      <c r="K10" s="139" t="s">
        <v>162</v>
      </c>
      <c r="L10" s="139" t="s">
        <v>135</v>
      </c>
      <c r="M10" s="139"/>
      <c r="N10" s="139"/>
      <c r="O10" s="109" t="s">
        <v>93</v>
      </c>
      <c r="P10" s="109">
        <v>1</v>
      </c>
      <c r="Q10" s="136">
        <v>336</v>
      </c>
      <c r="R10" s="109">
        <v>7</v>
      </c>
      <c r="S10" s="136">
        <v>336</v>
      </c>
      <c r="T10" s="109">
        <v>7</v>
      </c>
      <c r="U10" s="136">
        <v>2352</v>
      </c>
      <c r="V10" s="109" t="s">
        <v>966</v>
      </c>
      <c r="W10" s="139" t="s">
        <v>970</v>
      </c>
    </row>
    <row r="11" spans="1:23" x14ac:dyDescent="0.2">
      <c r="A11" s="109">
        <v>10</v>
      </c>
      <c r="B11" s="109" t="s">
        <v>125</v>
      </c>
      <c r="C11" s="109">
        <v>170</v>
      </c>
      <c r="D11" s="109"/>
      <c r="E11" s="109"/>
      <c r="F11" s="109">
        <v>44271</v>
      </c>
      <c r="G11" s="109" t="s">
        <v>163</v>
      </c>
      <c r="H11" s="109"/>
      <c r="I11" s="139" t="s">
        <v>164</v>
      </c>
      <c r="J11" s="139" t="s">
        <v>165</v>
      </c>
      <c r="K11" s="139" t="s">
        <v>166</v>
      </c>
      <c r="L11" s="139" t="s">
        <v>135</v>
      </c>
      <c r="M11" s="139"/>
      <c r="N11" s="139"/>
      <c r="O11" s="109" t="s">
        <v>93</v>
      </c>
      <c r="P11" s="109">
        <v>1</v>
      </c>
      <c r="Q11" s="136">
        <v>1154.4100000000001</v>
      </c>
      <c r="R11" s="109">
        <v>2</v>
      </c>
      <c r="S11" s="136">
        <v>1154.4100000000001</v>
      </c>
      <c r="T11" s="109">
        <v>2</v>
      </c>
      <c r="U11" s="136">
        <v>2308.8200000000002</v>
      </c>
      <c r="V11" s="109" t="s">
        <v>966</v>
      </c>
      <c r="W11" s="139" t="s">
        <v>970</v>
      </c>
    </row>
    <row r="12" spans="1:23" x14ac:dyDescent="0.2">
      <c r="A12" s="109">
        <v>11</v>
      </c>
      <c r="B12" s="109" t="s">
        <v>125</v>
      </c>
      <c r="C12" s="109">
        <v>212</v>
      </c>
      <c r="D12" s="109"/>
      <c r="E12" s="109"/>
      <c r="F12" s="109">
        <v>44389</v>
      </c>
      <c r="G12" s="109" t="s">
        <v>145</v>
      </c>
      <c r="H12" s="109"/>
      <c r="I12" s="139" t="s">
        <v>167</v>
      </c>
      <c r="J12" s="139" t="s">
        <v>168</v>
      </c>
      <c r="K12" s="139" t="s">
        <v>169</v>
      </c>
      <c r="L12" s="139" t="s">
        <v>135</v>
      </c>
      <c r="M12" s="139"/>
      <c r="N12" s="139"/>
      <c r="O12" s="109" t="s">
        <v>93</v>
      </c>
      <c r="P12" s="109">
        <v>1</v>
      </c>
      <c r="Q12" s="136">
        <v>1961.43</v>
      </c>
      <c r="R12" s="109">
        <v>1</v>
      </c>
      <c r="S12" s="136">
        <v>1961.43</v>
      </c>
      <c r="T12" s="109">
        <v>1</v>
      </c>
      <c r="U12" s="136">
        <v>1961.43</v>
      </c>
      <c r="V12" s="109" t="s">
        <v>966</v>
      </c>
      <c r="W12" s="139" t="s">
        <v>970</v>
      </c>
    </row>
    <row r="13" spans="1:23" x14ac:dyDescent="0.2">
      <c r="A13" s="109">
        <v>12</v>
      </c>
      <c r="B13" s="109" t="s">
        <v>125</v>
      </c>
      <c r="C13" s="109">
        <v>237</v>
      </c>
      <c r="D13" s="109"/>
      <c r="E13" s="109"/>
      <c r="F13" s="109">
        <v>44518</v>
      </c>
      <c r="G13" s="109" t="s">
        <v>163</v>
      </c>
      <c r="H13" s="109"/>
      <c r="I13" s="139" t="s">
        <v>170</v>
      </c>
      <c r="J13" s="139" t="s">
        <v>171</v>
      </c>
      <c r="K13" s="139" t="s">
        <v>172</v>
      </c>
      <c r="L13" s="139" t="s">
        <v>135</v>
      </c>
      <c r="M13" s="139"/>
      <c r="N13" s="139"/>
      <c r="O13" s="109" t="s">
        <v>93</v>
      </c>
      <c r="P13" s="109">
        <v>1</v>
      </c>
      <c r="Q13" s="136">
        <v>1824.01</v>
      </c>
      <c r="R13" s="109">
        <v>1</v>
      </c>
      <c r="S13" s="136">
        <v>1824.01</v>
      </c>
      <c r="T13" s="109">
        <v>1</v>
      </c>
      <c r="U13" s="136">
        <v>1824.01</v>
      </c>
      <c r="V13" s="109" t="s">
        <v>966</v>
      </c>
      <c r="W13" s="139" t="s">
        <v>970</v>
      </c>
    </row>
    <row r="14" spans="1:23" x14ac:dyDescent="0.2">
      <c r="A14" s="109">
        <v>13</v>
      </c>
      <c r="B14" s="109" t="s">
        <v>125</v>
      </c>
      <c r="C14" s="109">
        <v>241</v>
      </c>
      <c r="D14" s="109"/>
      <c r="E14" s="109"/>
      <c r="F14" s="109">
        <v>44202</v>
      </c>
      <c r="G14" s="109" t="s">
        <v>173</v>
      </c>
      <c r="H14" s="109"/>
      <c r="I14" s="139" t="s">
        <v>174</v>
      </c>
      <c r="J14" s="139" t="s">
        <v>175</v>
      </c>
      <c r="K14" s="139" t="s">
        <v>176</v>
      </c>
      <c r="L14" s="139" t="s">
        <v>135</v>
      </c>
      <c r="M14" s="139"/>
      <c r="N14" s="139"/>
      <c r="O14" s="109" t="s">
        <v>93</v>
      </c>
      <c r="P14" s="109">
        <v>1</v>
      </c>
      <c r="Q14" s="136">
        <v>595.21</v>
      </c>
      <c r="R14" s="109">
        <v>3</v>
      </c>
      <c r="S14" s="136">
        <v>595.21</v>
      </c>
      <c r="T14" s="109">
        <v>3</v>
      </c>
      <c r="U14" s="136">
        <v>1785.63</v>
      </c>
      <c r="V14" s="109" t="s">
        <v>966</v>
      </c>
      <c r="W14" s="139" t="s">
        <v>970</v>
      </c>
    </row>
    <row r="15" spans="1:23" x14ac:dyDescent="0.2">
      <c r="A15" s="109">
        <v>14</v>
      </c>
      <c r="B15" s="109" t="s">
        <v>125</v>
      </c>
      <c r="C15" s="109">
        <v>245</v>
      </c>
      <c r="D15" s="109"/>
      <c r="E15" s="109"/>
      <c r="F15" s="109">
        <v>44473</v>
      </c>
      <c r="G15" s="109" t="s">
        <v>177</v>
      </c>
      <c r="H15" s="109"/>
      <c r="I15" s="139" t="s">
        <v>178</v>
      </c>
      <c r="J15" s="139" t="s">
        <v>179</v>
      </c>
      <c r="K15" s="139" t="s">
        <v>180</v>
      </c>
      <c r="L15" s="139" t="s">
        <v>144</v>
      </c>
      <c r="M15" s="139"/>
      <c r="N15" s="139"/>
      <c r="O15" s="109" t="s">
        <v>93</v>
      </c>
      <c r="P15" s="109">
        <v>1</v>
      </c>
      <c r="Q15" s="136">
        <v>888</v>
      </c>
      <c r="R15" s="109">
        <v>2</v>
      </c>
      <c r="S15" s="136">
        <v>888</v>
      </c>
      <c r="T15" s="109">
        <v>2</v>
      </c>
      <c r="U15" s="136">
        <v>1776</v>
      </c>
      <c r="V15" s="109" t="s">
        <v>966</v>
      </c>
      <c r="W15" s="139" t="s">
        <v>970</v>
      </c>
    </row>
    <row r="16" spans="1:23" x14ac:dyDescent="0.2">
      <c r="A16" s="109">
        <v>15</v>
      </c>
      <c r="B16" s="109" t="s">
        <v>125</v>
      </c>
      <c r="C16" s="109">
        <v>272</v>
      </c>
      <c r="D16" s="109"/>
      <c r="E16" s="109"/>
      <c r="F16" s="109">
        <v>44455</v>
      </c>
      <c r="G16" s="109" t="s">
        <v>181</v>
      </c>
      <c r="H16" s="109"/>
      <c r="I16" s="139" t="s">
        <v>182</v>
      </c>
      <c r="J16" s="139" t="s">
        <v>183</v>
      </c>
      <c r="K16" s="139" t="s">
        <v>184</v>
      </c>
      <c r="L16" s="139" t="s">
        <v>135</v>
      </c>
      <c r="M16" s="139"/>
      <c r="N16" s="139"/>
      <c r="O16" s="109" t="s">
        <v>93</v>
      </c>
      <c r="P16" s="109">
        <v>1</v>
      </c>
      <c r="Q16" s="136">
        <v>801.6</v>
      </c>
      <c r="R16" s="109">
        <v>2</v>
      </c>
      <c r="S16" s="136">
        <v>801.6</v>
      </c>
      <c r="T16" s="109">
        <v>2</v>
      </c>
      <c r="U16" s="136">
        <v>1603.2</v>
      </c>
      <c r="V16" s="109" t="s">
        <v>966</v>
      </c>
      <c r="W16" s="139" t="s">
        <v>970</v>
      </c>
    </row>
    <row r="17" spans="1:23" x14ac:dyDescent="0.2">
      <c r="A17" s="109">
        <v>17</v>
      </c>
      <c r="B17" s="109" t="s">
        <v>125</v>
      </c>
      <c r="C17" s="109">
        <v>294</v>
      </c>
      <c r="D17" s="109"/>
      <c r="E17" s="109"/>
      <c r="F17" s="109">
        <v>44385</v>
      </c>
      <c r="G17" s="109" t="s">
        <v>189</v>
      </c>
      <c r="H17" s="109"/>
      <c r="I17" s="139" t="s">
        <v>190</v>
      </c>
      <c r="J17" s="139" t="s">
        <v>191</v>
      </c>
      <c r="K17" s="139" t="s">
        <v>192</v>
      </c>
      <c r="L17" s="139" t="s">
        <v>135</v>
      </c>
      <c r="M17" s="139"/>
      <c r="N17" s="139"/>
      <c r="O17" s="109" t="s">
        <v>93</v>
      </c>
      <c r="P17" s="109">
        <v>1</v>
      </c>
      <c r="Q17" s="136">
        <v>767.9</v>
      </c>
      <c r="R17" s="109">
        <v>2</v>
      </c>
      <c r="S17" s="136">
        <v>767.9</v>
      </c>
      <c r="T17" s="109">
        <v>2</v>
      </c>
      <c r="U17" s="136">
        <v>1535.8</v>
      </c>
      <c r="V17" s="109" t="s">
        <v>966</v>
      </c>
      <c r="W17" s="139" t="s">
        <v>970</v>
      </c>
    </row>
    <row r="18" spans="1:23" x14ac:dyDescent="0.2">
      <c r="A18" s="109">
        <v>18</v>
      </c>
      <c r="B18" s="109" t="s">
        <v>125</v>
      </c>
      <c r="C18" s="109">
        <v>315</v>
      </c>
      <c r="D18" s="109"/>
      <c r="E18" s="109"/>
      <c r="F18" s="109">
        <v>44371</v>
      </c>
      <c r="G18" s="109" t="s">
        <v>193</v>
      </c>
      <c r="H18" s="109"/>
      <c r="I18" s="139" t="s">
        <v>194</v>
      </c>
      <c r="J18" s="139" t="s">
        <v>195</v>
      </c>
      <c r="K18" s="139" t="s">
        <v>196</v>
      </c>
      <c r="L18" s="139" t="s">
        <v>135</v>
      </c>
      <c r="M18" s="139"/>
      <c r="N18" s="139"/>
      <c r="O18" s="109" t="s">
        <v>93</v>
      </c>
      <c r="P18" s="109">
        <v>1</v>
      </c>
      <c r="Q18" s="136">
        <v>1440.01</v>
      </c>
      <c r="R18" s="109">
        <v>1</v>
      </c>
      <c r="S18" s="136">
        <v>1440.01</v>
      </c>
      <c r="T18" s="109">
        <v>1</v>
      </c>
      <c r="U18" s="136">
        <v>1440.01</v>
      </c>
      <c r="V18" s="109" t="s">
        <v>966</v>
      </c>
      <c r="W18" s="139" t="s">
        <v>970</v>
      </c>
    </row>
    <row r="19" spans="1:23" x14ac:dyDescent="0.2">
      <c r="A19" s="109">
        <v>19</v>
      </c>
      <c r="B19" s="109" t="s">
        <v>125</v>
      </c>
      <c r="C19" s="109">
        <v>316</v>
      </c>
      <c r="D19" s="109"/>
      <c r="E19" s="109"/>
      <c r="F19" s="109">
        <v>44371</v>
      </c>
      <c r="G19" s="109" t="s">
        <v>193</v>
      </c>
      <c r="H19" s="109"/>
      <c r="I19" s="139" t="s">
        <v>197</v>
      </c>
      <c r="J19" s="139" t="s">
        <v>195</v>
      </c>
      <c r="K19" s="139" t="s">
        <v>198</v>
      </c>
      <c r="L19" s="139" t="s">
        <v>135</v>
      </c>
      <c r="M19" s="139"/>
      <c r="N19" s="139"/>
      <c r="O19" s="109" t="s">
        <v>93</v>
      </c>
      <c r="P19" s="109">
        <v>1</v>
      </c>
      <c r="Q19" s="136">
        <v>1440</v>
      </c>
      <c r="R19" s="109">
        <v>1</v>
      </c>
      <c r="S19" s="136">
        <v>1440</v>
      </c>
      <c r="T19" s="109">
        <v>1</v>
      </c>
      <c r="U19" s="136">
        <v>1440</v>
      </c>
      <c r="V19" s="109" t="s">
        <v>966</v>
      </c>
      <c r="W19" s="139" t="s">
        <v>970</v>
      </c>
    </row>
    <row r="20" spans="1:23" x14ac:dyDescent="0.2">
      <c r="A20" s="109">
        <v>20</v>
      </c>
      <c r="B20" s="109" t="s">
        <v>125</v>
      </c>
      <c r="C20" s="109">
        <v>318</v>
      </c>
      <c r="D20" s="109"/>
      <c r="E20" s="109"/>
      <c r="F20" s="109">
        <v>44470</v>
      </c>
      <c r="G20" s="109" t="s">
        <v>153</v>
      </c>
      <c r="H20" s="109"/>
      <c r="I20" s="139" t="s">
        <v>199</v>
      </c>
      <c r="J20" s="139" t="s">
        <v>155</v>
      </c>
      <c r="K20" s="139" t="s">
        <v>200</v>
      </c>
      <c r="L20" s="139" t="s">
        <v>135</v>
      </c>
      <c r="M20" s="139"/>
      <c r="N20" s="139"/>
      <c r="O20" s="109" t="s">
        <v>93</v>
      </c>
      <c r="P20" s="109">
        <v>1</v>
      </c>
      <c r="Q20" s="136">
        <v>1435.2</v>
      </c>
      <c r="R20" s="109">
        <v>1</v>
      </c>
      <c r="S20" s="136">
        <v>1435.2</v>
      </c>
      <c r="T20" s="109">
        <v>1</v>
      </c>
      <c r="U20" s="136">
        <v>1435.2</v>
      </c>
      <c r="V20" s="109" t="s">
        <v>966</v>
      </c>
      <c r="W20" s="139" t="s">
        <v>970</v>
      </c>
    </row>
    <row r="21" spans="1:23" x14ac:dyDescent="0.2">
      <c r="A21" s="109">
        <v>21</v>
      </c>
      <c r="B21" s="109" t="s">
        <v>125</v>
      </c>
      <c r="C21" s="109">
        <v>321</v>
      </c>
      <c r="D21" s="109"/>
      <c r="E21" s="109"/>
      <c r="F21" s="109">
        <v>44265</v>
      </c>
      <c r="G21" s="109" t="s">
        <v>201</v>
      </c>
      <c r="H21" s="109"/>
      <c r="I21" s="139" t="s">
        <v>202</v>
      </c>
      <c r="J21" s="139" t="s">
        <v>203</v>
      </c>
      <c r="K21" s="139" t="s">
        <v>204</v>
      </c>
      <c r="L21" s="139" t="s">
        <v>135</v>
      </c>
      <c r="M21" s="139"/>
      <c r="N21" s="139"/>
      <c r="O21" s="109" t="s">
        <v>93</v>
      </c>
      <c r="P21" s="109">
        <v>1</v>
      </c>
      <c r="Q21" s="136">
        <v>712.33</v>
      </c>
      <c r="R21" s="109">
        <v>2</v>
      </c>
      <c r="S21" s="136">
        <v>712.33</v>
      </c>
      <c r="T21" s="109">
        <v>2</v>
      </c>
      <c r="U21" s="136">
        <v>1424.66</v>
      </c>
      <c r="V21" s="109" t="s">
        <v>966</v>
      </c>
      <c r="W21" s="139" t="s">
        <v>970</v>
      </c>
    </row>
    <row r="22" spans="1:23" x14ac:dyDescent="0.2">
      <c r="A22" s="109">
        <v>22</v>
      </c>
      <c r="B22" s="109" t="s">
        <v>125</v>
      </c>
      <c r="C22" s="109">
        <v>355</v>
      </c>
      <c r="D22" s="109"/>
      <c r="E22" s="109"/>
      <c r="F22" s="109">
        <v>44560</v>
      </c>
      <c r="G22" s="109" t="s">
        <v>205</v>
      </c>
      <c r="H22" s="109"/>
      <c r="I22" s="139" t="s">
        <v>206</v>
      </c>
      <c r="J22" s="139" t="s">
        <v>207</v>
      </c>
      <c r="K22" s="139" t="s">
        <v>208</v>
      </c>
      <c r="L22" s="139" t="s">
        <v>144</v>
      </c>
      <c r="M22" s="139"/>
      <c r="N22" s="139"/>
      <c r="O22" s="109" t="s">
        <v>93</v>
      </c>
      <c r="P22" s="109">
        <v>1</v>
      </c>
      <c r="Q22" s="136">
        <v>216.97</v>
      </c>
      <c r="R22" s="109">
        <v>6</v>
      </c>
      <c r="S22" s="136">
        <v>216.97</v>
      </c>
      <c r="T22" s="109">
        <v>6</v>
      </c>
      <c r="U22" s="136">
        <v>1301.82</v>
      </c>
      <c r="V22" s="109" t="s">
        <v>966</v>
      </c>
      <c r="W22" s="139" t="s">
        <v>970</v>
      </c>
    </row>
    <row r="23" spans="1:23" x14ac:dyDescent="0.2">
      <c r="A23" s="109">
        <v>23</v>
      </c>
      <c r="B23" s="109" t="s">
        <v>125</v>
      </c>
      <c r="C23" s="109">
        <v>366</v>
      </c>
      <c r="D23" s="109"/>
      <c r="E23" s="109"/>
      <c r="F23" s="109">
        <v>44351</v>
      </c>
      <c r="G23" s="109" t="s">
        <v>209</v>
      </c>
      <c r="H23" s="109"/>
      <c r="I23" s="139" t="s">
        <v>210</v>
      </c>
      <c r="J23" s="139" t="s">
        <v>211</v>
      </c>
      <c r="K23" s="139" t="s">
        <v>212</v>
      </c>
      <c r="L23" s="139" t="s">
        <v>135</v>
      </c>
      <c r="M23" s="139"/>
      <c r="N23" s="139"/>
      <c r="O23" s="109" t="s">
        <v>93</v>
      </c>
      <c r="P23" s="109">
        <v>1</v>
      </c>
      <c r="Q23" s="136">
        <v>625.22</v>
      </c>
      <c r="R23" s="109">
        <v>2</v>
      </c>
      <c r="S23" s="136">
        <v>625.22</v>
      </c>
      <c r="T23" s="109">
        <v>2</v>
      </c>
      <c r="U23" s="136">
        <v>1250.44</v>
      </c>
      <c r="V23" s="109" t="s">
        <v>966</v>
      </c>
      <c r="W23" s="139" t="s">
        <v>970</v>
      </c>
    </row>
    <row r="24" spans="1:23" x14ac:dyDescent="0.2">
      <c r="A24" s="109">
        <v>24</v>
      </c>
      <c r="B24" s="109" t="s">
        <v>125</v>
      </c>
      <c r="C24" s="109">
        <v>381</v>
      </c>
      <c r="D24" s="109"/>
      <c r="E24" s="109"/>
      <c r="F24" s="109">
        <v>44524</v>
      </c>
      <c r="G24" s="109" t="s">
        <v>213</v>
      </c>
      <c r="H24" s="109"/>
      <c r="I24" s="139" t="s">
        <v>214</v>
      </c>
      <c r="J24" s="139" t="s">
        <v>142</v>
      </c>
      <c r="K24" s="139" t="s">
        <v>143</v>
      </c>
      <c r="L24" s="139" t="s">
        <v>144</v>
      </c>
      <c r="M24" s="139"/>
      <c r="N24" s="139"/>
      <c r="O24" s="109" t="s">
        <v>93</v>
      </c>
      <c r="P24" s="109">
        <v>1</v>
      </c>
      <c r="Q24" s="136">
        <v>614.41</v>
      </c>
      <c r="R24" s="109">
        <v>2</v>
      </c>
      <c r="S24" s="136">
        <v>614.41</v>
      </c>
      <c r="T24" s="109">
        <v>2</v>
      </c>
      <c r="U24" s="136">
        <v>1228.82</v>
      </c>
      <c r="V24" s="109" t="s">
        <v>966</v>
      </c>
      <c r="W24" s="139" t="s">
        <v>970</v>
      </c>
    </row>
    <row r="25" spans="1:23" x14ac:dyDescent="0.2">
      <c r="A25" s="109">
        <v>26</v>
      </c>
      <c r="B25" s="109" t="s">
        <v>125</v>
      </c>
      <c r="C25" s="109">
        <v>431</v>
      </c>
      <c r="D25" s="109"/>
      <c r="E25" s="109"/>
      <c r="F25" s="109">
        <v>44540</v>
      </c>
      <c r="G25" s="109" t="s">
        <v>193</v>
      </c>
      <c r="H25" s="109"/>
      <c r="I25" s="139" t="s">
        <v>217</v>
      </c>
      <c r="J25" s="139" t="s">
        <v>195</v>
      </c>
      <c r="K25" s="139" t="s">
        <v>218</v>
      </c>
      <c r="L25" s="139" t="s">
        <v>144</v>
      </c>
      <c r="M25" s="139"/>
      <c r="N25" s="139"/>
      <c r="O25" s="109" t="s">
        <v>93</v>
      </c>
      <c r="P25" s="109">
        <v>1</v>
      </c>
      <c r="Q25" s="136">
        <v>110.4</v>
      </c>
      <c r="R25" s="109">
        <v>10</v>
      </c>
      <c r="S25" s="136">
        <v>110.4</v>
      </c>
      <c r="T25" s="109">
        <v>10</v>
      </c>
      <c r="U25" s="136">
        <v>1104</v>
      </c>
      <c r="V25" s="109" t="s">
        <v>966</v>
      </c>
      <c r="W25" s="139" t="s">
        <v>970</v>
      </c>
    </row>
    <row r="26" spans="1:23" x14ac:dyDescent="0.2">
      <c r="A26" s="109">
        <v>27</v>
      </c>
      <c r="B26" s="109" t="s">
        <v>125</v>
      </c>
      <c r="C26" s="109">
        <v>441</v>
      </c>
      <c r="D26" s="109"/>
      <c r="E26" s="109"/>
      <c r="F26" s="109">
        <v>44361</v>
      </c>
      <c r="G26" s="109" t="s">
        <v>219</v>
      </c>
      <c r="H26" s="109"/>
      <c r="I26" s="139" t="s">
        <v>220</v>
      </c>
      <c r="J26" s="139" t="s">
        <v>221</v>
      </c>
      <c r="K26" s="139" t="s">
        <v>222</v>
      </c>
      <c r="L26" s="139" t="s">
        <v>135</v>
      </c>
      <c r="M26" s="139"/>
      <c r="N26" s="139"/>
      <c r="O26" s="109" t="s">
        <v>93</v>
      </c>
      <c r="P26" s="109">
        <v>1</v>
      </c>
      <c r="Q26" s="136">
        <v>535.23</v>
      </c>
      <c r="R26" s="109">
        <v>2</v>
      </c>
      <c r="S26" s="136">
        <v>535.23</v>
      </c>
      <c r="T26" s="109">
        <v>2</v>
      </c>
      <c r="U26" s="136">
        <v>1070.46</v>
      </c>
      <c r="V26" s="109" t="s">
        <v>966</v>
      </c>
      <c r="W26" s="139" t="s">
        <v>970</v>
      </c>
    </row>
    <row r="27" spans="1:23" x14ac:dyDescent="0.2">
      <c r="A27" s="109">
        <v>28</v>
      </c>
      <c r="B27" s="109" t="s">
        <v>125</v>
      </c>
      <c r="C27" s="109">
        <v>458</v>
      </c>
      <c r="D27" s="109"/>
      <c r="E27" s="109"/>
      <c r="F27" s="109">
        <v>44547</v>
      </c>
      <c r="G27" s="109" t="s">
        <v>163</v>
      </c>
      <c r="H27" s="109"/>
      <c r="I27" s="139" t="s">
        <v>223</v>
      </c>
      <c r="J27" s="139" t="s">
        <v>224</v>
      </c>
      <c r="K27" s="139" t="s">
        <v>225</v>
      </c>
      <c r="L27" s="139" t="s">
        <v>144</v>
      </c>
      <c r="M27" s="139"/>
      <c r="N27" s="139"/>
      <c r="O27" s="109" t="s">
        <v>93</v>
      </c>
      <c r="P27" s="109">
        <v>1</v>
      </c>
      <c r="Q27" s="136">
        <v>259.20999999999998</v>
      </c>
      <c r="R27" s="109">
        <v>4</v>
      </c>
      <c r="S27" s="136">
        <v>259.20999999999998</v>
      </c>
      <c r="T27" s="109">
        <v>4</v>
      </c>
      <c r="U27" s="136">
        <v>1036.8399999999999</v>
      </c>
      <c r="V27" s="109" t="s">
        <v>966</v>
      </c>
      <c r="W27" s="139" t="s">
        <v>970</v>
      </c>
    </row>
    <row r="28" spans="1:23" x14ac:dyDescent="0.2">
      <c r="A28" s="109">
        <v>29</v>
      </c>
      <c r="B28" s="109" t="s">
        <v>125</v>
      </c>
      <c r="C28" s="109">
        <v>466</v>
      </c>
      <c r="D28" s="109"/>
      <c r="E28" s="109"/>
      <c r="F28" s="109">
        <v>44495</v>
      </c>
      <c r="G28" s="109" t="s">
        <v>153</v>
      </c>
      <c r="H28" s="109"/>
      <c r="I28" s="139" t="s">
        <v>226</v>
      </c>
      <c r="J28" s="139" t="s">
        <v>227</v>
      </c>
      <c r="K28" s="139" t="s">
        <v>228</v>
      </c>
      <c r="L28" s="139" t="s">
        <v>144</v>
      </c>
      <c r="M28" s="139"/>
      <c r="N28" s="139"/>
      <c r="O28" s="109" t="s">
        <v>93</v>
      </c>
      <c r="P28" s="109">
        <v>1</v>
      </c>
      <c r="Q28" s="136">
        <v>1022.88</v>
      </c>
      <c r="R28" s="109">
        <v>1</v>
      </c>
      <c r="S28" s="136">
        <v>1022.88</v>
      </c>
      <c r="T28" s="109">
        <v>1</v>
      </c>
      <c r="U28" s="136">
        <v>1022.88</v>
      </c>
      <c r="V28" s="109" t="s">
        <v>966</v>
      </c>
      <c r="W28" s="139" t="s">
        <v>970</v>
      </c>
    </row>
    <row r="29" spans="1:23" x14ac:dyDescent="0.2">
      <c r="A29" s="109">
        <v>30</v>
      </c>
      <c r="B29" s="109" t="s">
        <v>125</v>
      </c>
      <c r="C29" s="109">
        <v>479</v>
      </c>
      <c r="D29" s="109"/>
      <c r="E29" s="109"/>
      <c r="F29" s="109">
        <v>44516</v>
      </c>
      <c r="G29" s="109" t="s">
        <v>163</v>
      </c>
      <c r="H29" s="109"/>
      <c r="I29" s="139" t="s">
        <v>229</v>
      </c>
      <c r="J29" s="139" t="s">
        <v>230</v>
      </c>
      <c r="K29" s="139" t="s">
        <v>231</v>
      </c>
      <c r="L29" s="139" t="s">
        <v>135</v>
      </c>
      <c r="M29" s="139"/>
      <c r="N29" s="139"/>
      <c r="O29" s="109" t="s">
        <v>93</v>
      </c>
      <c r="P29" s="109">
        <v>1</v>
      </c>
      <c r="Q29" s="136">
        <v>998.4</v>
      </c>
      <c r="R29" s="109">
        <v>1</v>
      </c>
      <c r="S29" s="136">
        <v>998.4</v>
      </c>
      <c r="T29" s="109">
        <v>1</v>
      </c>
      <c r="U29" s="136">
        <v>998.4</v>
      </c>
      <c r="V29" s="109" t="s">
        <v>966</v>
      </c>
      <c r="W29" s="139" t="s">
        <v>970</v>
      </c>
    </row>
    <row r="30" spans="1:23" x14ac:dyDescent="0.2">
      <c r="A30" s="109">
        <v>32</v>
      </c>
      <c r="B30" s="109" t="s">
        <v>125</v>
      </c>
      <c r="C30" s="109">
        <v>601</v>
      </c>
      <c r="D30" s="109"/>
      <c r="E30" s="109"/>
      <c r="F30" s="109">
        <v>44516</v>
      </c>
      <c r="G30" s="109" t="s">
        <v>234</v>
      </c>
      <c r="H30" s="109"/>
      <c r="I30" s="139" t="s">
        <v>235</v>
      </c>
      <c r="J30" s="139" t="s">
        <v>236</v>
      </c>
      <c r="K30" s="139" t="s">
        <v>237</v>
      </c>
      <c r="L30" s="139" t="s">
        <v>144</v>
      </c>
      <c r="M30" s="139"/>
      <c r="N30" s="139"/>
      <c r="O30" s="109" t="s">
        <v>93</v>
      </c>
      <c r="P30" s="109">
        <v>1</v>
      </c>
      <c r="Q30" s="136">
        <v>393.6</v>
      </c>
      <c r="R30" s="109">
        <v>2</v>
      </c>
      <c r="S30" s="136">
        <v>393.6</v>
      </c>
      <c r="T30" s="109">
        <v>2</v>
      </c>
      <c r="U30" s="136">
        <v>787.2</v>
      </c>
      <c r="V30" s="109" t="s">
        <v>966</v>
      </c>
      <c r="W30" s="139" t="s">
        <v>970</v>
      </c>
    </row>
    <row r="31" spans="1:23" x14ac:dyDescent="0.2">
      <c r="A31" s="109">
        <v>33</v>
      </c>
      <c r="B31" s="109" t="s">
        <v>125</v>
      </c>
      <c r="C31" s="109">
        <v>623</v>
      </c>
      <c r="D31" s="109"/>
      <c r="E31" s="109"/>
      <c r="F31" s="109">
        <v>44515</v>
      </c>
      <c r="G31" s="109" t="s">
        <v>181</v>
      </c>
      <c r="H31" s="109"/>
      <c r="I31" s="139" t="s">
        <v>238</v>
      </c>
      <c r="J31" s="139" t="s">
        <v>239</v>
      </c>
      <c r="K31" s="139" t="s">
        <v>240</v>
      </c>
      <c r="L31" s="139" t="s">
        <v>135</v>
      </c>
      <c r="M31" s="139"/>
      <c r="N31" s="139"/>
      <c r="O31" s="109" t="s">
        <v>93</v>
      </c>
      <c r="P31" s="109">
        <v>1</v>
      </c>
      <c r="Q31" s="136">
        <v>96</v>
      </c>
      <c r="R31" s="109">
        <v>8</v>
      </c>
      <c r="S31" s="136">
        <v>96</v>
      </c>
      <c r="T31" s="109">
        <v>8</v>
      </c>
      <c r="U31" s="136">
        <v>768</v>
      </c>
      <c r="V31" s="109" t="s">
        <v>966</v>
      </c>
      <c r="W31" s="139" t="s">
        <v>970</v>
      </c>
    </row>
    <row r="32" spans="1:23" x14ac:dyDescent="0.2">
      <c r="A32" s="109">
        <v>34</v>
      </c>
      <c r="B32" s="109" t="s">
        <v>125</v>
      </c>
      <c r="C32" s="109">
        <v>629</v>
      </c>
      <c r="D32" s="109"/>
      <c r="E32" s="109"/>
      <c r="F32" s="109">
        <v>44540</v>
      </c>
      <c r="G32" s="109" t="s">
        <v>163</v>
      </c>
      <c r="H32" s="109"/>
      <c r="I32" s="139" t="s">
        <v>241</v>
      </c>
      <c r="J32" s="139" t="s">
        <v>242</v>
      </c>
      <c r="K32" s="139" t="s">
        <v>243</v>
      </c>
      <c r="L32" s="139" t="s">
        <v>144</v>
      </c>
      <c r="M32" s="139"/>
      <c r="N32" s="139"/>
      <c r="O32" s="109" t="s">
        <v>93</v>
      </c>
      <c r="P32" s="109">
        <v>1</v>
      </c>
      <c r="Q32" s="136">
        <v>380.16</v>
      </c>
      <c r="R32" s="109">
        <v>2</v>
      </c>
      <c r="S32" s="136">
        <v>380.16</v>
      </c>
      <c r="T32" s="109">
        <v>2</v>
      </c>
      <c r="U32" s="136">
        <v>760.32</v>
      </c>
      <c r="V32" s="109" t="s">
        <v>966</v>
      </c>
      <c r="W32" s="139" t="s">
        <v>970</v>
      </c>
    </row>
    <row r="33" spans="1:23" x14ac:dyDescent="0.2">
      <c r="A33" s="109">
        <v>35</v>
      </c>
      <c r="B33" s="109" t="s">
        <v>125</v>
      </c>
      <c r="C33" s="109">
        <v>630</v>
      </c>
      <c r="D33" s="109"/>
      <c r="E33" s="109"/>
      <c r="F33" s="109">
        <v>44517</v>
      </c>
      <c r="G33" s="109" t="s">
        <v>163</v>
      </c>
      <c r="H33" s="109"/>
      <c r="I33" s="139" t="s">
        <v>244</v>
      </c>
      <c r="J33" s="139" t="s">
        <v>245</v>
      </c>
      <c r="K33" s="139" t="s">
        <v>246</v>
      </c>
      <c r="L33" s="139" t="s">
        <v>135</v>
      </c>
      <c r="M33" s="139"/>
      <c r="N33" s="139"/>
      <c r="O33" s="109" t="s">
        <v>93</v>
      </c>
      <c r="P33" s="109">
        <v>1</v>
      </c>
      <c r="Q33" s="136">
        <v>760.32</v>
      </c>
      <c r="R33" s="109">
        <v>1</v>
      </c>
      <c r="S33" s="136">
        <v>760.32</v>
      </c>
      <c r="T33" s="109">
        <v>1</v>
      </c>
      <c r="U33" s="136">
        <v>760.32</v>
      </c>
      <c r="V33" s="109" t="s">
        <v>966</v>
      </c>
      <c r="W33" s="139" t="s">
        <v>970</v>
      </c>
    </row>
    <row r="34" spans="1:23" x14ac:dyDescent="0.2">
      <c r="A34" s="109">
        <v>36</v>
      </c>
      <c r="B34" s="109" t="s">
        <v>125</v>
      </c>
      <c r="C34" s="109">
        <v>632</v>
      </c>
      <c r="D34" s="109"/>
      <c r="E34" s="109"/>
      <c r="F34" s="109">
        <v>44302</v>
      </c>
      <c r="G34" s="109" t="s">
        <v>247</v>
      </c>
      <c r="H34" s="109"/>
      <c r="I34" s="139" t="s">
        <v>248</v>
      </c>
      <c r="J34" s="139" t="s">
        <v>249</v>
      </c>
      <c r="K34" s="139" t="s">
        <v>250</v>
      </c>
      <c r="L34" s="139" t="s">
        <v>135</v>
      </c>
      <c r="M34" s="139"/>
      <c r="N34" s="139"/>
      <c r="O34" s="109" t="s">
        <v>93</v>
      </c>
      <c r="P34" s="109">
        <v>1</v>
      </c>
      <c r="Q34" s="136">
        <v>378.15</v>
      </c>
      <c r="R34" s="109">
        <v>2</v>
      </c>
      <c r="S34" s="136">
        <v>378.15</v>
      </c>
      <c r="T34" s="109">
        <v>2</v>
      </c>
      <c r="U34" s="136">
        <v>756.3</v>
      </c>
      <c r="V34" s="109" t="s">
        <v>966</v>
      </c>
      <c r="W34" s="139" t="s">
        <v>970</v>
      </c>
    </row>
    <row r="35" spans="1:23" x14ac:dyDescent="0.2">
      <c r="A35" s="109">
        <v>37</v>
      </c>
      <c r="B35" s="109" t="s">
        <v>125</v>
      </c>
      <c r="C35" s="109">
        <v>659</v>
      </c>
      <c r="D35" s="109"/>
      <c r="E35" s="109"/>
      <c r="F35" s="109">
        <v>44503</v>
      </c>
      <c r="G35" s="109" t="s">
        <v>251</v>
      </c>
      <c r="H35" s="109"/>
      <c r="I35" s="139" t="s">
        <v>252</v>
      </c>
      <c r="J35" s="139" t="s">
        <v>253</v>
      </c>
      <c r="K35" s="139" t="s">
        <v>254</v>
      </c>
      <c r="L35" s="139" t="s">
        <v>135</v>
      </c>
      <c r="M35" s="139"/>
      <c r="N35" s="139"/>
      <c r="O35" s="109" t="s">
        <v>93</v>
      </c>
      <c r="P35" s="109">
        <v>1</v>
      </c>
      <c r="Q35" s="136">
        <v>362.22</v>
      </c>
      <c r="R35" s="109">
        <v>2</v>
      </c>
      <c r="S35" s="136">
        <v>362.22</v>
      </c>
      <c r="T35" s="109">
        <v>2</v>
      </c>
      <c r="U35" s="136">
        <v>724.44</v>
      </c>
      <c r="V35" s="109" t="s">
        <v>966</v>
      </c>
      <c r="W35" s="139" t="s">
        <v>970</v>
      </c>
    </row>
    <row r="36" spans="1:23" x14ac:dyDescent="0.2">
      <c r="A36" s="109">
        <v>38</v>
      </c>
      <c r="B36" s="109" t="s">
        <v>125</v>
      </c>
      <c r="C36" s="109">
        <v>681</v>
      </c>
      <c r="D36" s="109"/>
      <c r="E36" s="109"/>
      <c r="F36" s="109">
        <v>44305</v>
      </c>
      <c r="G36" s="109" t="s">
        <v>255</v>
      </c>
      <c r="H36" s="109"/>
      <c r="I36" s="139" t="s">
        <v>256</v>
      </c>
      <c r="J36" s="139" t="s">
        <v>257</v>
      </c>
      <c r="K36" s="139" t="s">
        <v>258</v>
      </c>
      <c r="L36" s="139" t="s">
        <v>135</v>
      </c>
      <c r="M36" s="139"/>
      <c r="N36" s="139"/>
      <c r="O36" s="109" t="s">
        <v>93</v>
      </c>
      <c r="P36" s="109">
        <v>1</v>
      </c>
      <c r="Q36" s="136">
        <v>23.19</v>
      </c>
      <c r="R36" s="109">
        <v>30</v>
      </c>
      <c r="S36" s="136">
        <v>23.19</v>
      </c>
      <c r="T36" s="109">
        <v>30</v>
      </c>
      <c r="U36" s="136">
        <v>695.7</v>
      </c>
      <c r="V36" s="109" t="s">
        <v>966</v>
      </c>
      <c r="W36" s="139" t="s">
        <v>971</v>
      </c>
    </row>
    <row r="37" spans="1:23" x14ac:dyDescent="0.2">
      <c r="A37" s="109">
        <v>39</v>
      </c>
      <c r="B37" s="109" t="s">
        <v>125</v>
      </c>
      <c r="C37" s="109">
        <v>684</v>
      </c>
      <c r="D37" s="109"/>
      <c r="E37" s="109"/>
      <c r="F37" s="109">
        <v>44501</v>
      </c>
      <c r="G37" s="109" t="s">
        <v>259</v>
      </c>
      <c r="H37" s="109"/>
      <c r="I37" s="139" t="s">
        <v>260</v>
      </c>
      <c r="J37" s="139" t="s">
        <v>261</v>
      </c>
      <c r="K37" s="139" t="s">
        <v>262</v>
      </c>
      <c r="L37" s="139" t="s">
        <v>135</v>
      </c>
      <c r="M37" s="139"/>
      <c r="N37" s="139"/>
      <c r="O37" s="109" t="s">
        <v>93</v>
      </c>
      <c r="P37" s="109">
        <v>1</v>
      </c>
      <c r="Q37" s="136">
        <v>13.86</v>
      </c>
      <c r="R37" s="109">
        <v>50</v>
      </c>
      <c r="S37" s="136">
        <v>13.86</v>
      </c>
      <c r="T37" s="109">
        <v>50</v>
      </c>
      <c r="U37" s="136">
        <v>693</v>
      </c>
      <c r="V37" s="109" t="s">
        <v>966</v>
      </c>
      <c r="W37" s="139" t="s">
        <v>970</v>
      </c>
    </row>
    <row r="38" spans="1:23" x14ac:dyDescent="0.2">
      <c r="A38" s="109">
        <v>40</v>
      </c>
      <c r="B38" s="109" t="s">
        <v>125</v>
      </c>
      <c r="C38" s="109">
        <v>689</v>
      </c>
      <c r="D38" s="109"/>
      <c r="E38" s="109"/>
      <c r="F38" s="109">
        <v>44468</v>
      </c>
      <c r="G38" s="109" t="s">
        <v>263</v>
      </c>
      <c r="H38" s="109"/>
      <c r="I38" s="139" t="s">
        <v>264</v>
      </c>
      <c r="J38" s="139" t="s">
        <v>265</v>
      </c>
      <c r="K38" s="139" t="s">
        <v>266</v>
      </c>
      <c r="L38" s="139" t="s">
        <v>267</v>
      </c>
      <c r="M38" s="139"/>
      <c r="N38" s="139"/>
      <c r="O38" s="109" t="s">
        <v>93</v>
      </c>
      <c r="P38" s="109">
        <v>1</v>
      </c>
      <c r="Q38" s="136">
        <v>685.62</v>
      </c>
      <c r="R38" s="109">
        <v>1</v>
      </c>
      <c r="S38" s="136">
        <v>685.62</v>
      </c>
      <c r="T38" s="109">
        <v>1</v>
      </c>
      <c r="U38" s="136">
        <v>685.62</v>
      </c>
      <c r="V38" s="109" t="s">
        <v>966</v>
      </c>
      <c r="W38" s="139" t="s">
        <v>970</v>
      </c>
    </row>
    <row r="39" spans="1:23" x14ac:dyDescent="0.2">
      <c r="A39" s="109">
        <v>41</v>
      </c>
      <c r="B39" s="109" t="s">
        <v>125</v>
      </c>
      <c r="C39" s="109">
        <v>692</v>
      </c>
      <c r="D39" s="109"/>
      <c r="E39" s="109"/>
      <c r="F39" s="109">
        <v>44482</v>
      </c>
      <c r="G39" s="109" t="s">
        <v>189</v>
      </c>
      <c r="H39" s="109"/>
      <c r="I39" s="139" t="s">
        <v>268</v>
      </c>
      <c r="J39" s="139" t="s">
        <v>142</v>
      </c>
      <c r="K39" s="139" t="s">
        <v>269</v>
      </c>
      <c r="L39" s="139" t="s">
        <v>144</v>
      </c>
      <c r="M39" s="139"/>
      <c r="N39" s="139"/>
      <c r="O39" s="109" t="s">
        <v>93</v>
      </c>
      <c r="P39" s="109">
        <v>1</v>
      </c>
      <c r="Q39" s="136">
        <v>684.84</v>
      </c>
      <c r="R39" s="109">
        <v>1</v>
      </c>
      <c r="S39" s="136">
        <v>684.84</v>
      </c>
      <c r="T39" s="109">
        <v>1</v>
      </c>
      <c r="U39" s="136">
        <v>684.84</v>
      </c>
      <c r="V39" s="109" t="s">
        <v>966</v>
      </c>
      <c r="W39" s="139" t="s">
        <v>970</v>
      </c>
    </row>
    <row r="40" spans="1:23" x14ac:dyDescent="0.2">
      <c r="A40" s="109">
        <v>42</v>
      </c>
      <c r="B40" s="109" t="s">
        <v>125</v>
      </c>
      <c r="C40" s="109">
        <v>702</v>
      </c>
      <c r="D40" s="109"/>
      <c r="E40" s="109"/>
      <c r="F40" s="109">
        <v>44488</v>
      </c>
      <c r="G40" s="109" t="s">
        <v>270</v>
      </c>
      <c r="H40" s="109"/>
      <c r="I40" s="139" t="s">
        <v>271</v>
      </c>
      <c r="J40" s="139" t="s">
        <v>272</v>
      </c>
      <c r="K40" s="139" t="s">
        <v>273</v>
      </c>
      <c r="L40" s="139" t="s">
        <v>144</v>
      </c>
      <c r="M40" s="139"/>
      <c r="N40" s="139"/>
      <c r="O40" s="109" t="s">
        <v>93</v>
      </c>
      <c r="P40" s="109">
        <v>1</v>
      </c>
      <c r="Q40" s="136">
        <v>67.010000000000005</v>
      </c>
      <c r="R40" s="109">
        <v>10</v>
      </c>
      <c r="S40" s="136">
        <v>67.010000000000005</v>
      </c>
      <c r="T40" s="109">
        <v>10</v>
      </c>
      <c r="U40" s="136">
        <v>670.1</v>
      </c>
      <c r="V40" s="109" t="s">
        <v>966</v>
      </c>
      <c r="W40" s="139" t="s">
        <v>970</v>
      </c>
    </row>
    <row r="41" spans="1:23" x14ac:dyDescent="0.2">
      <c r="A41" s="109">
        <v>43</v>
      </c>
      <c r="B41" s="109" t="s">
        <v>125</v>
      </c>
      <c r="C41" s="109">
        <v>704</v>
      </c>
      <c r="D41" s="109"/>
      <c r="E41" s="109"/>
      <c r="F41" s="109">
        <v>44488</v>
      </c>
      <c r="G41" s="109" t="s">
        <v>270</v>
      </c>
      <c r="H41" s="109"/>
      <c r="I41" s="139" t="s">
        <v>274</v>
      </c>
      <c r="J41" s="139" t="s">
        <v>272</v>
      </c>
      <c r="K41" s="139" t="s">
        <v>275</v>
      </c>
      <c r="L41" s="139" t="s">
        <v>144</v>
      </c>
      <c r="M41" s="139"/>
      <c r="N41" s="139"/>
      <c r="O41" s="109" t="s">
        <v>93</v>
      </c>
      <c r="P41" s="109">
        <v>1</v>
      </c>
      <c r="Q41" s="136">
        <v>66.91</v>
      </c>
      <c r="R41" s="109">
        <v>10</v>
      </c>
      <c r="S41" s="136">
        <v>66.91</v>
      </c>
      <c r="T41" s="109">
        <v>10</v>
      </c>
      <c r="U41" s="136">
        <v>669.09999999999991</v>
      </c>
      <c r="V41" s="109" t="s">
        <v>966</v>
      </c>
      <c r="W41" s="139" t="s">
        <v>970</v>
      </c>
    </row>
    <row r="42" spans="1:23" x14ac:dyDescent="0.2">
      <c r="A42" s="109">
        <v>44</v>
      </c>
      <c r="B42" s="109" t="s">
        <v>125</v>
      </c>
      <c r="C42" s="109">
        <v>713</v>
      </c>
      <c r="D42" s="109"/>
      <c r="E42" s="109"/>
      <c r="F42" s="109">
        <v>44488</v>
      </c>
      <c r="G42" s="109" t="s">
        <v>270</v>
      </c>
      <c r="H42" s="109"/>
      <c r="I42" s="139" t="s">
        <v>276</v>
      </c>
      <c r="J42" s="139" t="s">
        <v>272</v>
      </c>
      <c r="K42" s="139" t="s">
        <v>277</v>
      </c>
      <c r="L42" s="139" t="s">
        <v>144</v>
      </c>
      <c r="M42" s="139"/>
      <c r="N42" s="139"/>
      <c r="O42" s="109" t="s">
        <v>93</v>
      </c>
      <c r="P42" s="109">
        <v>1</v>
      </c>
      <c r="Q42" s="136">
        <v>65.19</v>
      </c>
      <c r="R42" s="109">
        <v>10</v>
      </c>
      <c r="S42" s="136">
        <v>65.19</v>
      </c>
      <c r="T42" s="109">
        <v>10</v>
      </c>
      <c r="U42" s="136">
        <v>651.9</v>
      </c>
      <c r="V42" s="109" t="s">
        <v>966</v>
      </c>
      <c r="W42" s="139" t="s">
        <v>970</v>
      </c>
    </row>
    <row r="43" spans="1:23" x14ac:dyDescent="0.2">
      <c r="A43" s="109">
        <v>45</v>
      </c>
      <c r="B43" s="109" t="s">
        <v>125</v>
      </c>
      <c r="C43" s="109">
        <v>715</v>
      </c>
      <c r="D43" s="109"/>
      <c r="E43" s="109"/>
      <c r="F43" s="109">
        <v>44344</v>
      </c>
      <c r="G43" s="109" t="s">
        <v>189</v>
      </c>
      <c r="H43" s="109"/>
      <c r="I43" s="139" t="s">
        <v>278</v>
      </c>
      <c r="J43" s="139" t="s">
        <v>191</v>
      </c>
      <c r="K43" s="139" t="s">
        <v>279</v>
      </c>
      <c r="L43" s="139" t="s">
        <v>135</v>
      </c>
      <c r="M43" s="139"/>
      <c r="N43" s="139"/>
      <c r="O43" s="109" t="s">
        <v>93</v>
      </c>
      <c r="P43" s="109">
        <v>1</v>
      </c>
      <c r="Q43" s="136">
        <v>646.41999999999996</v>
      </c>
      <c r="R43" s="109">
        <v>1</v>
      </c>
      <c r="S43" s="136">
        <v>646.41999999999996</v>
      </c>
      <c r="T43" s="109">
        <v>1</v>
      </c>
      <c r="U43" s="136">
        <v>646.41999999999996</v>
      </c>
      <c r="V43" s="109" t="s">
        <v>966</v>
      </c>
      <c r="W43" s="139" t="s">
        <v>970</v>
      </c>
    </row>
    <row r="44" spans="1:23" x14ac:dyDescent="0.2">
      <c r="A44" s="109">
        <v>46</v>
      </c>
      <c r="B44" s="109" t="s">
        <v>125</v>
      </c>
      <c r="C44" s="109">
        <v>721</v>
      </c>
      <c r="D44" s="109"/>
      <c r="E44" s="109"/>
      <c r="F44" s="109">
        <v>44498</v>
      </c>
      <c r="G44" s="109" t="s">
        <v>280</v>
      </c>
      <c r="H44" s="109"/>
      <c r="I44" s="139" t="s">
        <v>281</v>
      </c>
      <c r="J44" s="139" t="s">
        <v>142</v>
      </c>
      <c r="K44" s="139" t="s">
        <v>143</v>
      </c>
      <c r="L44" s="139" t="s">
        <v>144</v>
      </c>
      <c r="M44" s="139"/>
      <c r="N44" s="139"/>
      <c r="O44" s="109" t="s">
        <v>93</v>
      </c>
      <c r="P44" s="109">
        <v>1</v>
      </c>
      <c r="Q44" s="136">
        <v>635.52</v>
      </c>
      <c r="R44" s="109">
        <v>1</v>
      </c>
      <c r="S44" s="136">
        <v>635.52</v>
      </c>
      <c r="T44" s="109">
        <v>1</v>
      </c>
      <c r="U44" s="136">
        <v>635.52</v>
      </c>
      <c r="V44" s="109" t="s">
        <v>966</v>
      </c>
      <c r="W44" s="139" t="s">
        <v>970</v>
      </c>
    </row>
    <row r="45" spans="1:23" x14ac:dyDescent="0.2">
      <c r="A45" s="109">
        <v>47</v>
      </c>
      <c r="B45" s="109" t="s">
        <v>125</v>
      </c>
      <c r="C45" s="109">
        <v>735</v>
      </c>
      <c r="D45" s="109"/>
      <c r="E45" s="109"/>
      <c r="F45" s="109">
        <v>44319</v>
      </c>
      <c r="G45" s="109" t="s">
        <v>193</v>
      </c>
      <c r="H45" s="109"/>
      <c r="I45" s="139" t="s">
        <v>282</v>
      </c>
      <c r="J45" s="139" t="s">
        <v>195</v>
      </c>
      <c r="K45" s="139" t="s">
        <v>283</v>
      </c>
      <c r="L45" s="139" t="s">
        <v>135</v>
      </c>
      <c r="M45" s="139"/>
      <c r="N45" s="139"/>
      <c r="O45" s="109" t="s">
        <v>93</v>
      </c>
      <c r="P45" s="109">
        <v>1</v>
      </c>
      <c r="Q45" s="136">
        <v>312.01</v>
      </c>
      <c r="R45" s="109">
        <v>2</v>
      </c>
      <c r="S45" s="136">
        <v>312.01</v>
      </c>
      <c r="T45" s="109">
        <v>2</v>
      </c>
      <c r="U45" s="136">
        <v>624.02</v>
      </c>
      <c r="V45" s="109" t="s">
        <v>966</v>
      </c>
      <c r="W45" s="139" t="s">
        <v>970</v>
      </c>
    </row>
    <row r="46" spans="1:23" x14ac:dyDescent="0.2">
      <c r="A46" s="109">
        <v>48</v>
      </c>
      <c r="B46" s="109" t="s">
        <v>125</v>
      </c>
      <c r="C46" s="109">
        <v>752</v>
      </c>
      <c r="D46" s="109"/>
      <c r="E46" s="109"/>
      <c r="F46" s="109">
        <v>44209</v>
      </c>
      <c r="G46" s="109" t="s">
        <v>234</v>
      </c>
      <c r="H46" s="109"/>
      <c r="I46" s="139" t="s">
        <v>284</v>
      </c>
      <c r="J46" s="139" t="s">
        <v>236</v>
      </c>
      <c r="K46" s="139" t="s">
        <v>285</v>
      </c>
      <c r="L46" s="139" t="s">
        <v>135</v>
      </c>
      <c r="M46" s="139"/>
      <c r="N46" s="139"/>
      <c r="O46" s="109" t="s">
        <v>93</v>
      </c>
      <c r="P46" s="109">
        <v>1</v>
      </c>
      <c r="Q46" s="136">
        <v>302.41000000000003</v>
      </c>
      <c r="R46" s="109">
        <v>2</v>
      </c>
      <c r="S46" s="136">
        <v>302.41000000000003</v>
      </c>
      <c r="T46" s="109">
        <v>2</v>
      </c>
      <c r="U46" s="136">
        <v>604.82000000000005</v>
      </c>
      <c r="V46" s="109" t="s">
        <v>966</v>
      </c>
      <c r="W46" s="139" t="s">
        <v>970</v>
      </c>
    </row>
    <row r="47" spans="1:23" x14ac:dyDescent="0.2">
      <c r="A47" s="109">
        <v>49</v>
      </c>
      <c r="B47" s="109" t="s">
        <v>125</v>
      </c>
      <c r="C47" s="109">
        <v>762</v>
      </c>
      <c r="D47" s="109"/>
      <c r="E47" s="109"/>
      <c r="F47" s="109">
        <v>44488</v>
      </c>
      <c r="G47" s="109" t="s">
        <v>270</v>
      </c>
      <c r="H47" s="109"/>
      <c r="I47" s="139" t="s">
        <v>286</v>
      </c>
      <c r="J47" s="139" t="s">
        <v>272</v>
      </c>
      <c r="K47" s="139" t="s">
        <v>287</v>
      </c>
      <c r="L47" s="139" t="s">
        <v>144</v>
      </c>
      <c r="M47" s="139"/>
      <c r="N47" s="139"/>
      <c r="O47" s="109" t="s">
        <v>93</v>
      </c>
      <c r="P47" s="109">
        <v>1</v>
      </c>
      <c r="Q47" s="136">
        <v>59.62</v>
      </c>
      <c r="R47" s="109">
        <v>10</v>
      </c>
      <c r="S47" s="136">
        <v>59.62</v>
      </c>
      <c r="T47" s="109">
        <v>10</v>
      </c>
      <c r="U47" s="136">
        <v>596.19999999999993</v>
      </c>
      <c r="V47" s="109" t="s">
        <v>966</v>
      </c>
      <c r="W47" s="139" t="s">
        <v>970</v>
      </c>
    </row>
    <row r="48" spans="1:23" x14ac:dyDescent="0.2">
      <c r="A48" s="109">
        <v>50</v>
      </c>
      <c r="B48" s="109" t="s">
        <v>125</v>
      </c>
      <c r="C48" s="109">
        <v>764</v>
      </c>
      <c r="D48" s="109"/>
      <c r="E48" s="109"/>
      <c r="F48" s="109">
        <v>44547</v>
      </c>
      <c r="G48" s="109" t="s">
        <v>163</v>
      </c>
      <c r="H48" s="109"/>
      <c r="I48" s="139" t="s">
        <v>288</v>
      </c>
      <c r="J48" s="139" t="s">
        <v>289</v>
      </c>
      <c r="K48" s="139" t="s">
        <v>290</v>
      </c>
      <c r="L48" s="139" t="s">
        <v>130</v>
      </c>
      <c r="M48" s="139"/>
      <c r="N48" s="139"/>
      <c r="O48" s="109" t="s">
        <v>93</v>
      </c>
      <c r="P48" s="109">
        <v>1</v>
      </c>
      <c r="Q48" s="136">
        <v>297.60000000000002</v>
      </c>
      <c r="R48" s="109">
        <v>2</v>
      </c>
      <c r="S48" s="136">
        <v>297.60000000000002</v>
      </c>
      <c r="T48" s="109">
        <v>2</v>
      </c>
      <c r="U48" s="136">
        <v>595.20000000000005</v>
      </c>
      <c r="V48" s="109" t="s">
        <v>966</v>
      </c>
      <c r="W48" s="139" t="s">
        <v>973</v>
      </c>
    </row>
    <row r="49" spans="1:23" x14ac:dyDescent="0.2">
      <c r="A49" s="109">
        <v>51</v>
      </c>
      <c r="B49" s="109" t="s">
        <v>125</v>
      </c>
      <c r="C49" s="109">
        <v>813</v>
      </c>
      <c r="D49" s="109"/>
      <c r="E49" s="109"/>
      <c r="F49" s="109">
        <v>44278</v>
      </c>
      <c r="G49" s="109" t="s">
        <v>259</v>
      </c>
      <c r="H49" s="109"/>
      <c r="I49" s="139" t="s">
        <v>291</v>
      </c>
      <c r="J49" s="139" t="s">
        <v>292</v>
      </c>
      <c r="K49" s="139" t="s">
        <v>293</v>
      </c>
      <c r="L49" s="139" t="s">
        <v>135</v>
      </c>
      <c r="M49" s="139"/>
      <c r="N49" s="139"/>
      <c r="O49" s="109" t="s">
        <v>93</v>
      </c>
      <c r="P49" s="109">
        <v>1</v>
      </c>
      <c r="Q49" s="136">
        <v>137.65</v>
      </c>
      <c r="R49" s="109">
        <v>4</v>
      </c>
      <c r="S49" s="136">
        <v>137.65</v>
      </c>
      <c r="T49" s="109">
        <v>4</v>
      </c>
      <c r="U49" s="136">
        <v>550.6</v>
      </c>
      <c r="V49" s="109" t="s">
        <v>966</v>
      </c>
      <c r="W49" s="139" t="s">
        <v>970</v>
      </c>
    </row>
    <row r="50" spans="1:23" x14ac:dyDescent="0.2">
      <c r="A50" s="109">
        <v>53</v>
      </c>
      <c r="B50" s="109" t="s">
        <v>125</v>
      </c>
      <c r="C50" s="109">
        <v>833</v>
      </c>
      <c r="D50" s="109"/>
      <c r="E50" s="109"/>
      <c r="F50" s="109">
        <v>44516</v>
      </c>
      <c r="G50" s="109" t="s">
        <v>163</v>
      </c>
      <c r="H50" s="109"/>
      <c r="I50" s="139" t="s">
        <v>296</v>
      </c>
      <c r="J50" s="139" t="s">
        <v>297</v>
      </c>
      <c r="K50" s="139" t="s">
        <v>298</v>
      </c>
      <c r="L50" s="139" t="s">
        <v>135</v>
      </c>
      <c r="M50" s="139"/>
      <c r="N50" s="139"/>
      <c r="O50" s="109" t="s">
        <v>93</v>
      </c>
      <c r="P50" s="109">
        <v>1</v>
      </c>
      <c r="Q50" s="136">
        <v>53.77</v>
      </c>
      <c r="R50" s="109">
        <v>10</v>
      </c>
      <c r="S50" s="136">
        <v>53.77</v>
      </c>
      <c r="T50" s="109">
        <v>10</v>
      </c>
      <c r="U50" s="136">
        <v>537.70000000000005</v>
      </c>
      <c r="V50" s="109" t="s">
        <v>966</v>
      </c>
      <c r="W50" s="139" t="s">
        <v>971</v>
      </c>
    </row>
    <row r="51" spans="1:23" x14ac:dyDescent="0.2">
      <c r="A51" s="109">
        <v>54</v>
      </c>
      <c r="B51" s="109" t="s">
        <v>125</v>
      </c>
      <c r="C51" s="109">
        <v>868</v>
      </c>
      <c r="D51" s="109"/>
      <c r="E51" s="109"/>
      <c r="F51" s="109">
        <v>44223</v>
      </c>
      <c r="G51" s="109" t="s">
        <v>299</v>
      </c>
      <c r="H51" s="109"/>
      <c r="I51" s="139" t="s">
        <v>300</v>
      </c>
      <c r="J51" s="139" t="s">
        <v>301</v>
      </c>
      <c r="K51" s="139" t="s">
        <v>302</v>
      </c>
      <c r="L51" s="139" t="s">
        <v>135</v>
      </c>
      <c r="M51" s="139"/>
      <c r="N51" s="139"/>
      <c r="O51" s="109" t="s">
        <v>93</v>
      </c>
      <c r="P51" s="109">
        <v>1</v>
      </c>
      <c r="Q51" s="136">
        <v>504</v>
      </c>
      <c r="R51" s="109">
        <v>1</v>
      </c>
      <c r="S51" s="136">
        <v>504</v>
      </c>
      <c r="T51" s="109">
        <v>1</v>
      </c>
      <c r="U51" s="136">
        <v>504</v>
      </c>
      <c r="V51" s="109" t="s">
        <v>966</v>
      </c>
      <c r="W51" s="139" t="s">
        <v>970</v>
      </c>
    </row>
    <row r="52" spans="1:23" x14ac:dyDescent="0.2">
      <c r="A52" s="109">
        <v>55</v>
      </c>
      <c r="B52" s="109" t="s">
        <v>125</v>
      </c>
      <c r="C52" s="109">
        <v>876</v>
      </c>
      <c r="D52" s="109"/>
      <c r="E52" s="109"/>
      <c r="F52" s="109">
        <v>44482</v>
      </c>
      <c r="G52" s="109" t="s">
        <v>163</v>
      </c>
      <c r="H52" s="109"/>
      <c r="I52" s="139" t="s">
        <v>303</v>
      </c>
      <c r="J52" s="139" t="s">
        <v>304</v>
      </c>
      <c r="K52" s="139" t="s">
        <v>305</v>
      </c>
      <c r="L52" s="139" t="s">
        <v>144</v>
      </c>
      <c r="M52" s="139"/>
      <c r="N52" s="139"/>
      <c r="O52" s="109" t="s">
        <v>93</v>
      </c>
      <c r="P52" s="109">
        <v>1</v>
      </c>
      <c r="Q52" s="136">
        <v>492.49</v>
      </c>
      <c r="R52" s="109">
        <v>1</v>
      </c>
      <c r="S52" s="136">
        <v>492.49</v>
      </c>
      <c r="T52" s="109">
        <v>1</v>
      </c>
      <c r="U52" s="136">
        <v>492.49</v>
      </c>
      <c r="V52" s="109" t="s">
        <v>974</v>
      </c>
      <c r="W52" s="139" t="s">
        <v>975</v>
      </c>
    </row>
    <row r="53" spans="1:23" x14ac:dyDescent="0.2">
      <c r="A53" s="109">
        <v>56</v>
      </c>
      <c r="B53" s="109" t="s">
        <v>125</v>
      </c>
      <c r="C53" s="109">
        <v>878</v>
      </c>
      <c r="D53" s="109"/>
      <c r="E53" s="109"/>
      <c r="F53" s="109">
        <v>44487</v>
      </c>
      <c r="G53" s="109" t="s">
        <v>145</v>
      </c>
      <c r="H53" s="109"/>
      <c r="I53" s="139" t="s">
        <v>306</v>
      </c>
      <c r="J53" s="139" t="s">
        <v>307</v>
      </c>
      <c r="K53" s="139" t="s">
        <v>308</v>
      </c>
      <c r="L53" s="139" t="s">
        <v>130</v>
      </c>
      <c r="M53" s="139"/>
      <c r="N53" s="139"/>
      <c r="O53" s="109" t="s">
        <v>93</v>
      </c>
      <c r="P53" s="109">
        <v>1</v>
      </c>
      <c r="Q53" s="136">
        <v>61.45</v>
      </c>
      <c r="R53" s="109">
        <v>8</v>
      </c>
      <c r="S53" s="136">
        <v>61.45</v>
      </c>
      <c r="T53" s="109">
        <v>8</v>
      </c>
      <c r="U53" s="136">
        <v>491.6</v>
      </c>
      <c r="V53" s="109" t="s">
        <v>966</v>
      </c>
      <c r="W53" s="139" t="s">
        <v>976</v>
      </c>
    </row>
    <row r="54" spans="1:23" x14ac:dyDescent="0.2">
      <c r="A54" s="109">
        <v>57</v>
      </c>
      <c r="B54" s="109" t="s">
        <v>125</v>
      </c>
      <c r="C54" s="109">
        <v>901</v>
      </c>
      <c r="D54" s="109"/>
      <c r="E54" s="109"/>
      <c r="F54" s="109">
        <v>44558</v>
      </c>
      <c r="G54" s="109" t="s">
        <v>213</v>
      </c>
      <c r="H54" s="109"/>
      <c r="I54" s="139" t="s">
        <v>309</v>
      </c>
      <c r="J54" s="139" t="s">
        <v>310</v>
      </c>
      <c r="K54" s="139" t="s">
        <v>311</v>
      </c>
      <c r="L54" s="139" t="s">
        <v>144</v>
      </c>
      <c r="M54" s="139"/>
      <c r="N54" s="139"/>
      <c r="O54" s="109" t="s">
        <v>93</v>
      </c>
      <c r="P54" s="109">
        <v>1</v>
      </c>
      <c r="Q54" s="136">
        <v>48</v>
      </c>
      <c r="R54" s="109">
        <v>10</v>
      </c>
      <c r="S54" s="136">
        <v>48</v>
      </c>
      <c r="T54" s="109">
        <v>10</v>
      </c>
      <c r="U54" s="136">
        <v>480</v>
      </c>
      <c r="V54" s="109" t="s">
        <v>966</v>
      </c>
      <c r="W54" s="139" t="s">
        <v>970</v>
      </c>
    </row>
    <row r="55" spans="1:23" x14ac:dyDescent="0.2">
      <c r="A55" s="109">
        <v>58</v>
      </c>
      <c r="B55" s="109" t="s">
        <v>125</v>
      </c>
      <c r="C55" s="109">
        <v>908</v>
      </c>
      <c r="D55" s="109"/>
      <c r="E55" s="109"/>
      <c r="F55" s="109">
        <v>44320</v>
      </c>
      <c r="G55" s="109" t="s">
        <v>205</v>
      </c>
      <c r="H55" s="109"/>
      <c r="I55" s="139" t="s">
        <v>312</v>
      </c>
      <c r="J55" s="139" t="s">
        <v>292</v>
      </c>
      <c r="K55" s="139" t="s">
        <v>313</v>
      </c>
      <c r="L55" s="139" t="s">
        <v>135</v>
      </c>
      <c r="M55" s="139"/>
      <c r="N55" s="139"/>
      <c r="O55" s="109" t="s">
        <v>93</v>
      </c>
      <c r="P55" s="109">
        <v>1</v>
      </c>
      <c r="Q55" s="136">
        <v>477.13</v>
      </c>
      <c r="R55" s="109">
        <v>1</v>
      </c>
      <c r="S55" s="136">
        <v>477.13</v>
      </c>
      <c r="T55" s="109">
        <v>1</v>
      </c>
      <c r="U55" s="136">
        <v>477.13</v>
      </c>
      <c r="V55" s="109" t="s">
        <v>966</v>
      </c>
      <c r="W55" s="139" t="s">
        <v>971</v>
      </c>
    </row>
    <row r="56" spans="1:23" x14ac:dyDescent="0.2">
      <c r="A56" s="109">
        <v>59</v>
      </c>
      <c r="B56" s="109" t="s">
        <v>125</v>
      </c>
      <c r="C56" s="109">
        <v>912</v>
      </c>
      <c r="D56" s="109"/>
      <c r="E56" s="109"/>
      <c r="F56" s="109">
        <v>44209</v>
      </c>
      <c r="G56" s="109" t="s">
        <v>314</v>
      </c>
      <c r="H56" s="109"/>
      <c r="I56" s="139" t="s">
        <v>315</v>
      </c>
      <c r="J56" s="139" t="s">
        <v>195</v>
      </c>
      <c r="K56" s="139" t="s">
        <v>316</v>
      </c>
      <c r="L56" s="139" t="s">
        <v>135</v>
      </c>
      <c r="M56" s="139"/>
      <c r="N56" s="139"/>
      <c r="O56" s="109" t="s">
        <v>93</v>
      </c>
      <c r="P56" s="109">
        <v>1</v>
      </c>
      <c r="Q56" s="136">
        <v>158.63999999999999</v>
      </c>
      <c r="R56" s="109">
        <v>3</v>
      </c>
      <c r="S56" s="136">
        <v>158.63999999999999</v>
      </c>
      <c r="T56" s="109">
        <v>3</v>
      </c>
      <c r="U56" s="136">
        <v>475.91999999999996</v>
      </c>
      <c r="V56" s="109" t="s">
        <v>966</v>
      </c>
      <c r="W56" s="139" t="s">
        <v>970</v>
      </c>
    </row>
    <row r="57" spans="1:23" x14ac:dyDescent="0.2">
      <c r="A57" s="109">
        <v>60</v>
      </c>
      <c r="B57" s="109" t="s">
        <v>125</v>
      </c>
      <c r="C57" s="109">
        <v>918</v>
      </c>
      <c r="D57" s="109"/>
      <c r="E57" s="109"/>
      <c r="F57" s="109">
        <v>44550</v>
      </c>
      <c r="G57" s="109" t="s">
        <v>317</v>
      </c>
      <c r="H57" s="109"/>
      <c r="I57" s="139" t="s">
        <v>318</v>
      </c>
      <c r="J57" s="139" t="s">
        <v>319</v>
      </c>
      <c r="K57" s="139" t="s">
        <v>320</v>
      </c>
      <c r="L57" s="139" t="s">
        <v>135</v>
      </c>
      <c r="M57" s="139"/>
      <c r="N57" s="139"/>
      <c r="O57" s="109" t="s">
        <v>93</v>
      </c>
      <c r="P57" s="109">
        <v>1</v>
      </c>
      <c r="Q57" s="136">
        <v>237.12</v>
      </c>
      <c r="R57" s="109">
        <v>2</v>
      </c>
      <c r="S57" s="136">
        <v>237.12</v>
      </c>
      <c r="T57" s="109">
        <v>2</v>
      </c>
      <c r="U57" s="136">
        <v>474.24</v>
      </c>
      <c r="V57" s="109" t="s">
        <v>966</v>
      </c>
      <c r="W57" s="139" t="s">
        <v>970</v>
      </c>
    </row>
    <row r="58" spans="1:23" x14ac:dyDescent="0.2">
      <c r="A58" s="109">
        <v>61</v>
      </c>
      <c r="B58" s="109" t="s">
        <v>125</v>
      </c>
      <c r="C58" s="109">
        <v>942</v>
      </c>
      <c r="D58" s="109"/>
      <c r="E58" s="109"/>
      <c r="F58" s="109">
        <v>44550</v>
      </c>
      <c r="G58" s="109" t="s">
        <v>145</v>
      </c>
      <c r="H58" s="109"/>
      <c r="I58" s="139" t="s">
        <v>321</v>
      </c>
      <c r="J58" s="139" t="s">
        <v>322</v>
      </c>
      <c r="K58" s="139" t="s">
        <v>323</v>
      </c>
      <c r="L58" s="139" t="s">
        <v>135</v>
      </c>
      <c r="M58" s="139"/>
      <c r="N58" s="139"/>
      <c r="O58" s="109" t="s">
        <v>93</v>
      </c>
      <c r="P58" s="109">
        <v>1</v>
      </c>
      <c r="Q58" s="136">
        <v>228.54</v>
      </c>
      <c r="R58" s="109">
        <v>2</v>
      </c>
      <c r="S58" s="136">
        <v>228.54</v>
      </c>
      <c r="T58" s="109">
        <v>2</v>
      </c>
      <c r="U58" s="136">
        <v>457.08</v>
      </c>
      <c r="V58" s="109" t="s">
        <v>966</v>
      </c>
      <c r="W58" s="139" t="s">
        <v>970</v>
      </c>
    </row>
    <row r="59" spans="1:23" x14ac:dyDescent="0.2">
      <c r="A59" s="109">
        <v>62</v>
      </c>
      <c r="B59" s="109" t="s">
        <v>125</v>
      </c>
      <c r="C59" s="109">
        <v>948</v>
      </c>
      <c r="D59" s="109"/>
      <c r="E59" s="109"/>
      <c r="F59" s="109">
        <v>44323</v>
      </c>
      <c r="G59" s="109" t="s">
        <v>324</v>
      </c>
      <c r="H59" s="109"/>
      <c r="I59" s="139" t="s">
        <v>325</v>
      </c>
      <c r="J59" s="139" t="s">
        <v>326</v>
      </c>
      <c r="K59" s="139" t="s">
        <v>327</v>
      </c>
      <c r="L59" s="139" t="s">
        <v>135</v>
      </c>
      <c r="M59" s="139"/>
      <c r="N59" s="139"/>
      <c r="O59" s="109" t="s">
        <v>93</v>
      </c>
      <c r="P59" s="109">
        <v>1</v>
      </c>
      <c r="Q59" s="136">
        <v>90.89</v>
      </c>
      <c r="R59" s="109">
        <v>5</v>
      </c>
      <c r="S59" s="136">
        <v>90.89</v>
      </c>
      <c r="T59" s="109">
        <v>5</v>
      </c>
      <c r="U59" s="136">
        <v>454.45</v>
      </c>
      <c r="V59" s="109" t="s">
        <v>966</v>
      </c>
      <c r="W59" s="139" t="s">
        <v>970</v>
      </c>
    </row>
    <row r="60" spans="1:23" x14ac:dyDescent="0.2">
      <c r="A60" s="109">
        <v>63</v>
      </c>
      <c r="B60" s="109" t="s">
        <v>125</v>
      </c>
      <c r="C60" s="109">
        <v>955</v>
      </c>
      <c r="D60" s="109"/>
      <c r="E60" s="109"/>
      <c r="F60" s="109">
        <v>44540</v>
      </c>
      <c r="G60" s="109" t="s">
        <v>328</v>
      </c>
      <c r="H60" s="109"/>
      <c r="I60" s="139" t="s">
        <v>329</v>
      </c>
      <c r="J60" s="139" t="s">
        <v>330</v>
      </c>
      <c r="K60" s="139" t="s">
        <v>331</v>
      </c>
      <c r="L60" s="139" t="s">
        <v>144</v>
      </c>
      <c r="M60" s="139"/>
      <c r="N60" s="139"/>
      <c r="O60" s="109" t="s">
        <v>93</v>
      </c>
      <c r="P60" s="109">
        <v>1</v>
      </c>
      <c r="Q60" s="136">
        <v>44.83</v>
      </c>
      <c r="R60" s="109">
        <v>10</v>
      </c>
      <c r="S60" s="136">
        <v>44.83</v>
      </c>
      <c r="T60" s="109">
        <v>10</v>
      </c>
      <c r="U60" s="136">
        <v>448.29999999999995</v>
      </c>
      <c r="V60" s="109" t="s">
        <v>966</v>
      </c>
      <c r="W60" s="139" t="s">
        <v>971</v>
      </c>
    </row>
    <row r="61" spans="1:23" x14ac:dyDescent="0.2">
      <c r="A61" s="109">
        <v>64</v>
      </c>
      <c r="B61" s="109" t="s">
        <v>125</v>
      </c>
      <c r="C61" s="109">
        <v>959</v>
      </c>
      <c r="D61" s="109"/>
      <c r="E61" s="109"/>
      <c r="F61" s="109">
        <v>44424</v>
      </c>
      <c r="G61" s="109" t="s">
        <v>259</v>
      </c>
      <c r="H61" s="109"/>
      <c r="I61" s="139" t="s">
        <v>332</v>
      </c>
      <c r="J61" s="139" t="s">
        <v>333</v>
      </c>
      <c r="K61" s="139" t="s">
        <v>334</v>
      </c>
      <c r="L61" s="139" t="s">
        <v>135</v>
      </c>
      <c r="M61" s="139"/>
      <c r="N61" s="139"/>
      <c r="O61" s="109" t="s">
        <v>93</v>
      </c>
      <c r="P61" s="109">
        <v>1</v>
      </c>
      <c r="Q61" s="136">
        <v>148.44999999999999</v>
      </c>
      <c r="R61" s="109">
        <v>3</v>
      </c>
      <c r="S61" s="136">
        <v>148.44999999999999</v>
      </c>
      <c r="T61" s="109">
        <v>3</v>
      </c>
      <c r="U61" s="136">
        <v>445.34999999999997</v>
      </c>
      <c r="V61" s="109" t="s">
        <v>966</v>
      </c>
      <c r="W61" s="139" t="s">
        <v>970</v>
      </c>
    </row>
    <row r="62" spans="1:23" x14ac:dyDescent="0.2">
      <c r="A62" s="109">
        <v>65</v>
      </c>
      <c r="B62" s="109" t="s">
        <v>125</v>
      </c>
      <c r="C62" s="109">
        <v>974</v>
      </c>
      <c r="D62" s="109"/>
      <c r="E62" s="109"/>
      <c r="F62" s="109">
        <v>44323</v>
      </c>
      <c r="G62" s="109" t="s">
        <v>324</v>
      </c>
      <c r="H62" s="109"/>
      <c r="I62" s="139" t="s">
        <v>335</v>
      </c>
      <c r="J62" s="139" t="s">
        <v>326</v>
      </c>
      <c r="K62" s="139" t="s">
        <v>336</v>
      </c>
      <c r="L62" s="139" t="s">
        <v>135</v>
      </c>
      <c r="M62" s="139"/>
      <c r="N62" s="139"/>
      <c r="O62" s="109" t="s">
        <v>93</v>
      </c>
      <c r="P62" s="109">
        <v>1</v>
      </c>
      <c r="Q62" s="136">
        <v>61.91</v>
      </c>
      <c r="R62" s="109">
        <v>7</v>
      </c>
      <c r="S62" s="136">
        <v>61.91</v>
      </c>
      <c r="T62" s="109">
        <v>7</v>
      </c>
      <c r="U62" s="136">
        <v>433.37</v>
      </c>
      <c r="V62" s="109" t="s">
        <v>966</v>
      </c>
      <c r="W62" s="139" t="s">
        <v>970</v>
      </c>
    </row>
    <row r="63" spans="1:23" x14ac:dyDescent="0.2">
      <c r="A63" s="109">
        <v>66</v>
      </c>
      <c r="B63" s="109" t="s">
        <v>125</v>
      </c>
      <c r="C63" s="109">
        <v>994</v>
      </c>
      <c r="D63" s="109"/>
      <c r="E63" s="109"/>
      <c r="F63" s="109">
        <v>44501</v>
      </c>
      <c r="G63" s="109" t="s">
        <v>337</v>
      </c>
      <c r="H63" s="109"/>
      <c r="I63" s="139" t="s">
        <v>338</v>
      </c>
      <c r="J63" s="139" t="s">
        <v>339</v>
      </c>
      <c r="K63" s="139" t="s">
        <v>340</v>
      </c>
      <c r="L63" s="139" t="s">
        <v>144</v>
      </c>
      <c r="M63" s="139"/>
      <c r="N63" s="139"/>
      <c r="O63" s="109" t="s">
        <v>93</v>
      </c>
      <c r="P63" s="109">
        <v>1</v>
      </c>
      <c r="Q63" s="136">
        <v>211.2</v>
      </c>
      <c r="R63" s="109">
        <v>2</v>
      </c>
      <c r="S63" s="136">
        <v>211.2</v>
      </c>
      <c r="T63" s="109">
        <v>2</v>
      </c>
      <c r="U63" s="136">
        <v>422.4</v>
      </c>
      <c r="V63" s="109" t="s">
        <v>966</v>
      </c>
      <c r="W63" s="139" t="s">
        <v>970</v>
      </c>
    </row>
    <row r="64" spans="1:23" x14ac:dyDescent="0.2">
      <c r="A64" s="109">
        <v>68</v>
      </c>
      <c r="B64" s="109" t="s">
        <v>125</v>
      </c>
      <c r="C64" s="109">
        <v>1020</v>
      </c>
      <c r="D64" s="109"/>
      <c r="E64" s="109"/>
      <c r="F64" s="109">
        <v>44223</v>
      </c>
      <c r="G64" s="109" t="s">
        <v>181</v>
      </c>
      <c r="H64" s="109"/>
      <c r="I64" s="139" t="s">
        <v>343</v>
      </c>
      <c r="J64" s="139" t="s">
        <v>239</v>
      </c>
      <c r="K64" s="139" t="s">
        <v>344</v>
      </c>
      <c r="L64" s="139" t="s">
        <v>135</v>
      </c>
      <c r="M64" s="139"/>
      <c r="N64" s="139"/>
      <c r="O64" s="109" t="s">
        <v>93</v>
      </c>
      <c r="P64" s="109">
        <v>1</v>
      </c>
      <c r="Q64" s="136">
        <v>409.93</v>
      </c>
      <c r="R64" s="109">
        <v>1</v>
      </c>
      <c r="S64" s="136">
        <v>409.93</v>
      </c>
      <c r="T64" s="109">
        <v>1</v>
      </c>
      <c r="U64" s="136">
        <v>409.93</v>
      </c>
      <c r="V64" s="109" t="s">
        <v>977</v>
      </c>
      <c r="W64" s="139" t="s">
        <v>978</v>
      </c>
    </row>
    <row r="65" spans="1:23" x14ac:dyDescent="0.2">
      <c r="A65" s="109">
        <v>69</v>
      </c>
      <c r="B65" s="109" t="s">
        <v>125</v>
      </c>
      <c r="C65" s="109">
        <v>1025</v>
      </c>
      <c r="D65" s="109"/>
      <c r="E65" s="109"/>
      <c r="F65" s="109">
        <v>44371</v>
      </c>
      <c r="G65" s="109" t="s">
        <v>193</v>
      </c>
      <c r="H65" s="109"/>
      <c r="I65" s="139" t="s">
        <v>345</v>
      </c>
      <c r="J65" s="139" t="s">
        <v>195</v>
      </c>
      <c r="K65" s="139" t="s">
        <v>346</v>
      </c>
      <c r="L65" s="139" t="s">
        <v>135</v>
      </c>
      <c r="M65" s="139"/>
      <c r="N65" s="139"/>
      <c r="O65" s="109" t="s">
        <v>93</v>
      </c>
      <c r="P65" s="109">
        <v>1</v>
      </c>
      <c r="Q65" s="136">
        <v>408</v>
      </c>
      <c r="R65" s="109">
        <v>1</v>
      </c>
      <c r="S65" s="136">
        <v>408</v>
      </c>
      <c r="T65" s="109">
        <v>1</v>
      </c>
      <c r="U65" s="136">
        <v>408</v>
      </c>
      <c r="V65" s="109" t="s">
        <v>966</v>
      </c>
      <c r="W65" s="139" t="s">
        <v>970</v>
      </c>
    </row>
    <row r="66" spans="1:23" x14ac:dyDescent="0.2">
      <c r="A66" s="109">
        <v>70</v>
      </c>
      <c r="B66" s="109" t="s">
        <v>125</v>
      </c>
      <c r="C66" s="109">
        <v>1057</v>
      </c>
      <c r="D66" s="109"/>
      <c r="E66" s="109"/>
      <c r="F66" s="109">
        <v>44515</v>
      </c>
      <c r="G66" s="109" t="s">
        <v>347</v>
      </c>
      <c r="H66" s="109"/>
      <c r="I66" s="139" t="s">
        <v>348</v>
      </c>
      <c r="J66" s="139" t="s">
        <v>349</v>
      </c>
      <c r="K66" s="139" t="s">
        <v>350</v>
      </c>
      <c r="L66" s="139" t="s">
        <v>144</v>
      </c>
      <c r="M66" s="139"/>
      <c r="N66" s="139"/>
      <c r="O66" s="109" t="s">
        <v>93</v>
      </c>
      <c r="P66" s="109">
        <v>1</v>
      </c>
      <c r="Q66" s="136">
        <v>397.98</v>
      </c>
      <c r="R66" s="109">
        <v>1</v>
      </c>
      <c r="S66" s="136">
        <v>397.98</v>
      </c>
      <c r="T66" s="109">
        <v>1</v>
      </c>
      <c r="U66" s="136">
        <v>397.98</v>
      </c>
      <c r="V66" s="109" t="s">
        <v>966</v>
      </c>
      <c r="W66" s="139" t="s">
        <v>970</v>
      </c>
    </row>
    <row r="67" spans="1:23" x14ac:dyDescent="0.2">
      <c r="A67" s="109">
        <v>71</v>
      </c>
      <c r="B67" s="109" t="s">
        <v>125</v>
      </c>
      <c r="C67" s="109">
        <v>1113</v>
      </c>
      <c r="D67" s="109"/>
      <c r="E67" s="109"/>
      <c r="F67" s="109">
        <v>44501</v>
      </c>
      <c r="G67" s="109" t="s">
        <v>351</v>
      </c>
      <c r="H67" s="109"/>
      <c r="I67" s="139" t="s">
        <v>352</v>
      </c>
      <c r="J67" s="139" t="s">
        <v>353</v>
      </c>
      <c r="K67" s="139" t="s">
        <v>354</v>
      </c>
      <c r="L67" s="139" t="s">
        <v>144</v>
      </c>
      <c r="M67" s="139"/>
      <c r="N67" s="139"/>
      <c r="O67" s="109" t="s">
        <v>93</v>
      </c>
      <c r="P67" s="109">
        <v>1</v>
      </c>
      <c r="Q67" s="136">
        <v>36.96</v>
      </c>
      <c r="R67" s="109">
        <v>10</v>
      </c>
      <c r="S67" s="136">
        <v>36.96</v>
      </c>
      <c r="T67" s="109">
        <v>10</v>
      </c>
      <c r="U67" s="136">
        <v>369.6</v>
      </c>
      <c r="V67" s="109" t="s">
        <v>966</v>
      </c>
      <c r="W67" s="139" t="s">
        <v>970</v>
      </c>
    </row>
    <row r="68" spans="1:23" x14ac:dyDescent="0.2">
      <c r="A68" s="109">
        <v>72</v>
      </c>
      <c r="B68" s="109" t="s">
        <v>125</v>
      </c>
      <c r="C68" s="109">
        <v>1125</v>
      </c>
      <c r="D68" s="109"/>
      <c r="E68" s="109"/>
      <c r="F68" s="109">
        <v>44252</v>
      </c>
      <c r="G68" s="109" t="s">
        <v>193</v>
      </c>
      <c r="H68" s="109"/>
      <c r="I68" s="139" t="s">
        <v>355</v>
      </c>
      <c r="J68" s="139" t="s">
        <v>155</v>
      </c>
      <c r="K68" s="139" t="s">
        <v>356</v>
      </c>
      <c r="L68" s="139" t="s">
        <v>135</v>
      </c>
      <c r="M68" s="139"/>
      <c r="N68" s="139"/>
      <c r="O68" s="109" t="s">
        <v>93</v>
      </c>
      <c r="P68" s="109">
        <v>1</v>
      </c>
      <c r="Q68" s="136">
        <v>364.81</v>
      </c>
      <c r="R68" s="109">
        <v>1</v>
      </c>
      <c r="S68" s="136">
        <v>364.81</v>
      </c>
      <c r="T68" s="109">
        <v>1</v>
      </c>
      <c r="U68" s="136">
        <v>364.81</v>
      </c>
      <c r="V68" s="109" t="s">
        <v>966</v>
      </c>
      <c r="W68" s="139" t="s">
        <v>970</v>
      </c>
    </row>
    <row r="69" spans="1:23" x14ac:dyDescent="0.2">
      <c r="A69" s="109">
        <v>73</v>
      </c>
      <c r="B69" s="109" t="s">
        <v>125</v>
      </c>
      <c r="C69" s="109">
        <v>1128</v>
      </c>
      <c r="D69" s="109"/>
      <c r="E69" s="109"/>
      <c r="F69" s="109">
        <v>44531</v>
      </c>
      <c r="G69" s="109" t="s">
        <v>193</v>
      </c>
      <c r="H69" s="109"/>
      <c r="I69" s="139" t="s">
        <v>357</v>
      </c>
      <c r="J69" s="139" t="s">
        <v>193</v>
      </c>
      <c r="K69" s="139" t="s">
        <v>358</v>
      </c>
      <c r="L69" s="139" t="s">
        <v>144</v>
      </c>
      <c r="M69" s="139"/>
      <c r="N69" s="139"/>
      <c r="O69" s="109" t="s">
        <v>93</v>
      </c>
      <c r="P69" s="109">
        <v>1</v>
      </c>
      <c r="Q69" s="136">
        <v>91.2</v>
      </c>
      <c r="R69" s="109">
        <v>4</v>
      </c>
      <c r="S69" s="136">
        <v>91.2</v>
      </c>
      <c r="T69" s="109">
        <v>4</v>
      </c>
      <c r="U69" s="136">
        <v>364.8</v>
      </c>
      <c r="V69" s="109" t="s">
        <v>966</v>
      </c>
      <c r="W69" s="139" t="s">
        <v>970</v>
      </c>
    </row>
    <row r="70" spans="1:23" x14ac:dyDescent="0.2">
      <c r="A70" s="109">
        <v>74</v>
      </c>
      <c r="B70" s="109" t="s">
        <v>125</v>
      </c>
      <c r="C70" s="109">
        <v>1135</v>
      </c>
      <c r="D70" s="109"/>
      <c r="E70" s="109"/>
      <c r="F70" s="109">
        <v>44431</v>
      </c>
      <c r="G70" s="109" t="s">
        <v>136</v>
      </c>
      <c r="H70" s="109"/>
      <c r="I70" s="139" t="s">
        <v>359</v>
      </c>
      <c r="J70" s="139" t="s">
        <v>138</v>
      </c>
      <c r="K70" s="139" t="s">
        <v>360</v>
      </c>
      <c r="L70" s="139" t="s">
        <v>135</v>
      </c>
      <c r="M70" s="139"/>
      <c r="N70" s="139"/>
      <c r="O70" s="109" t="s">
        <v>93</v>
      </c>
      <c r="P70" s="109">
        <v>1</v>
      </c>
      <c r="Q70" s="136">
        <v>60.03</v>
      </c>
      <c r="R70" s="109">
        <v>6</v>
      </c>
      <c r="S70" s="136">
        <v>60.03</v>
      </c>
      <c r="T70" s="109">
        <v>6</v>
      </c>
      <c r="U70" s="136">
        <v>360.18</v>
      </c>
      <c r="V70" s="109" t="s">
        <v>974</v>
      </c>
      <c r="W70" s="139" t="s">
        <v>975</v>
      </c>
    </row>
    <row r="71" spans="1:23" x14ac:dyDescent="0.2">
      <c r="A71" s="109">
        <v>76</v>
      </c>
      <c r="B71" s="109" t="s">
        <v>125</v>
      </c>
      <c r="C71" s="109">
        <v>1145</v>
      </c>
      <c r="D71" s="109"/>
      <c r="E71" s="109"/>
      <c r="F71" s="109">
        <v>44546</v>
      </c>
      <c r="G71" s="109" t="s">
        <v>259</v>
      </c>
      <c r="H71" s="109"/>
      <c r="I71" s="139" t="s">
        <v>364</v>
      </c>
      <c r="J71" s="139" t="s">
        <v>365</v>
      </c>
      <c r="K71" s="139" t="s">
        <v>366</v>
      </c>
      <c r="L71" s="139" t="s">
        <v>144</v>
      </c>
      <c r="M71" s="139"/>
      <c r="N71" s="139"/>
      <c r="O71" s="109" t="s">
        <v>93</v>
      </c>
      <c r="P71" s="109">
        <v>1</v>
      </c>
      <c r="Q71" s="136">
        <v>119.71</v>
      </c>
      <c r="R71" s="109">
        <v>3</v>
      </c>
      <c r="S71" s="136">
        <v>119.71</v>
      </c>
      <c r="T71" s="109">
        <v>3</v>
      </c>
      <c r="U71" s="136">
        <v>359.13</v>
      </c>
      <c r="V71" s="109" t="s">
        <v>966</v>
      </c>
      <c r="W71" s="139" t="s">
        <v>970</v>
      </c>
    </row>
    <row r="72" spans="1:23" x14ac:dyDescent="0.2">
      <c r="A72" s="109">
        <v>77</v>
      </c>
      <c r="B72" s="109" t="s">
        <v>125</v>
      </c>
      <c r="C72" s="109">
        <v>1151</v>
      </c>
      <c r="D72" s="109"/>
      <c r="E72" s="109"/>
      <c r="F72" s="109">
        <v>44502</v>
      </c>
      <c r="G72" s="109" t="s">
        <v>367</v>
      </c>
      <c r="H72" s="109"/>
      <c r="I72" s="139" t="s">
        <v>368</v>
      </c>
      <c r="J72" s="139" t="s">
        <v>369</v>
      </c>
      <c r="K72" s="139" t="s">
        <v>370</v>
      </c>
      <c r="L72" s="139" t="s">
        <v>130</v>
      </c>
      <c r="M72" s="139"/>
      <c r="N72" s="139"/>
      <c r="O72" s="109" t="s">
        <v>93</v>
      </c>
      <c r="P72" s="109">
        <v>1</v>
      </c>
      <c r="Q72" s="136">
        <v>178.57</v>
      </c>
      <c r="R72" s="109">
        <v>2</v>
      </c>
      <c r="S72" s="136">
        <v>178.57</v>
      </c>
      <c r="T72" s="109">
        <v>2</v>
      </c>
      <c r="U72" s="136">
        <v>357.14</v>
      </c>
      <c r="V72" s="109" t="s">
        <v>977</v>
      </c>
      <c r="W72" s="139" t="s">
        <v>978</v>
      </c>
    </row>
    <row r="73" spans="1:23" x14ac:dyDescent="0.2">
      <c r="A73" s="109">
        <v>78</v>
      </c>
      <c r="B73" s="109" t="s">
        <v>125</v>
      </c>
      <c r="C73" s="109">
        <v>1153</v>
      </c>
      <c r="D73" s="109"/>
      <c r="E73" s="109"/>
      <c r="F73" s="109">
        <v>44491</v>
      </c>
      <c r="G73" s="109" t="s">
        <v>259</v>
      </c>
      <c r="H73" s="109"/>
      <c r="I73" s="139" t="s">
        <v>371</v>
      </c>
      <c r="J73" s="139" t="s">
        <v>372</v>
      </c>
      <c r="K73" s="139" t="s">
        <v>373</v>
      </c>
      <c r="L73" s="139" t="s">
        <v>135</v>
      </c>
      <c r="M73" s="139"/>
      <c r="N73" s="139"/>
      <c r="O73" s="109" t="s">
        <v>93</v>
      </c>
      <c r="P73" s="109">
        <v>1</v>
      </c>
      <c r="Q73" s="136">
        <v>118.85</v>
      </c>
      <c r="R73" s="109">
        <v>3</v>
      </c>
      <c r="S73" s="136">
        <v>118.85</v>
      </c>
      <c r="T73" s="109">
        <v>3</v>
      </c>
      <c r="U73" s="136">
        <v>356.54999999999995</v>
      </c>
      <c r="V73" s="109" t="s">
        <v>966</v>
      </c>
      <c r="W73" s="139" t="s">
        <v>970</v>
      </c>
    </row>
    <row r="74" spans="1:23" x14ac:dyDescent="0.2">
      <c r="A74" s="109">
        <v>79</v>
      </c>
      <c r="B74" s="109" t="s">
        <v>125</v>
      </c>
      <c r="C74" s="109">
        <v>1156</v>
      </c>
      <c r="D74" s="109"/>
      <c r="E74" s="109"/>
      <c r="F74" s="109">
        <v>44228</v>
      </c>
      <c r="G74" s="109" t="s">
        <v>259</v>
      </c>
      <c r="H74" s="109"/>
      <c r="I74" s="139" t="s">
        <v>374</v>
      </c>
      <c r="J74" s="139" t="s">
        <v>333</v>
      </c>
      <c r="K74" s="139" t="s">
        <v>375</v>
      </c>
      <c r="L74" s="139" t="s">
        <v>135</v>
      </c>
      <c r="M74" s="139"/>
      <c r="N74" s="139"/>
      <c r="O74" s="109" t="s">
        <v>93</v>
      </c>
      <c r="P74" s="109">
        <v>1</v>
      </c>
      <c r="Q74" s="136">
        <v>177.19</v>
      </c>
      <c r="R74" s="109">
        <v>2</v>
      </c>
      <c r="S74" s="136">
        <v>177.19</v>
      </c>
      <c r="T74" s="109">
        <v>2</v>
      </c>
      <c r="U74" s="136">
        <v>354.38</v>
      </c>
      <c r="V74" s="109" t="s">
        <v>966</v>
      </c>
      <c r="W74" s="139" t="s">
        <v>970</v>
      </c>
    </row>
    <row r="75" spans="1:23" x14ac:dyDescent="0.2">
      <c r="A75" s="109">
        <v>80</v>
      </c>
      <c r="B75" s="109" t="s">
        <v>125</v>
      </c>
      <c r="C75" s="109">
        <v>1180</v>
      </c>
      <c r="D75" s="109"/>
      <c r="E75" s="109"/>
      <c r="F75" s="109">
        <v>44372</v>
      </c>
      <c r="G75" s="109" t="s">
        <v>376</v>
      </c>
      <c r="H75" s="109"/>
      <c r="I75" s="139" t="s">
        <v>377</v>
      </c>
      <c r="J75" s="139" t="s">
        <v>378</v>
      </c>
      <c r="K75" s="139" t="s">
        <v>379</v>
      </c>
      <c r="L75" s="139" t="s">
        <v>135</v>
      </c>
      <c r="M75" s="139"/>
      <c r="N75" s="139"/>
      <c r="O75" s="109" t="s">
        <v>93</v>
      </c>
      <c r="P75" s="109">
        <v>1</v>
      </c>
      <c r="Q75" s="136">
        <v>342.48</v>
      </c>
      <c r="R75" s="109">
        <v>1</v>
      </c>
      <c r="S75" s="136">
        <v>342.48</v>
      </c>
      <c r="T75" s="109">
        <v>1</v>
      </c>
      <c r="U75" s="136">
        <v>342.48</v>
      </c>
      <c r="V75" s="109" t="s">
        <v>966</v>
      </c>
      <c r="W75" s="139" t="s">
        <v>971</v>
      </c>
    </row>
    <row r="76" spans="1:23" x14ac:dyDescent="0.2">
      <c r="A76" s="109">
        <v>81</v>
      </c>
      <c r="B76" s="109" t="s">
        <v>125</v>
      </c>
      <c r="C76" s="109">
        <v>1181</v>
      </c>
      <c r="D76" s="109"/>
      <c r="E76" s="109"/>
      <c r="F76" s="109">
        <v>44504</v>
      </c>
      <c r="G76" s="109" t="s">
        <v>213</v>
      </c>
      <c r="H76" s="109"/>
      <c r="I76" s="139" t="s">
        <v>380</v>
      </c>
      <c r="J76" s="139" t="s">
        <v>179</v>
      </c>
      <c r="K76" s="139" t="s">
        <v>381</v>
      </c>
      <c r="L76" s="139" t="s">
        <v>144</v>
      </c>
      <c r="M76" s="139"/>
      <c r="N76" s="139"/>
      <c r="O76" s="109" t="s">
        <v>93</v>
      </c>
      <c r="P76" s="109">
        <v>1</v>
      </c>
      <c r="Q76" s="136">
        <v>56.83</v>
      </c>
      <c r="R76" s="109">
        <v>6</v>
      </c>
      <c r="S76" s="136">
        <v>56.83</v>
      </c>
      <c r="T76" s="109">
        <v>6</v>
      </c>
      <c r="U76" s="136">
        <v>340.98</v>
      </c>
      <c r="V76" s="109" t="s">
        <v>966</v>
      </c>
      <c r="W76" s="139" t="s">
        <v>970</v>
      </c>
    </row>
    <row r="77" spans="1:23" x14ac:dyDescent="0.2">
      <c r="A77" s="109">
        <v>82</v>
      </c>
      <c r="B77" s="109" t="s">
        <v>125</v>
      </c>
      <c r="C77" s="109">
        <v>1209</v>
      </c>
      <c r="D77" s="109"/>
      <c r="E77" s="109"/>
      <c r="F77" s="109">
        <v>44459</v>
      </c>
      <c r="G77" s="109" t="s">
        <v>163</v>
      </c>
      <c r="H77" s="109"/>
      <c r="I77" s="139" t="s">
        <v>382</v>
      </c>
      <c r="J77" s="139" t="s">
        <v>168</v>
      </c>
      <c r="K77" s="139" t="s">
        <v>383</v>
      </c>
      <c r="L77" s="139" t="s">
        <v>135</v>
      </c>
      <c r="M77" s="139"/>
      <c r="N77" s="139"/>
      <c r="O77" s="109" t="s">
        <v>93</v>
      </c>
      <c r="P77" s="109">
        <v>1</v>
      </c>
      <c r="Q77" s="136">
        <v>334.37</v>
      </c>
      <c r="R77" s="109">
        <v>1</v>
      </c>
      <c r="S77" s="136">
        <v>334.37</v>
      </c>
      <c r="T77" s="109">
        <v>1</v>
      </c>
      <c r="U77" s="136">
        <v>334.37</v>
      </c>
      <c r="V77" s="109" t="s">
        <v>966</v>
      </c>
      <c r="W77" s="139" t="s">
        <v>970</v>
      </c>
    </row>
    <row r="78" spans="1:23" x14ac:dyDescent="0.2">
      <c r="A78" s="109">
        <v>83</v>
      </c>
      <c r="B78" s="109" t="s">
        <v>125</v>
      </c>
      <c r="C78" s="109">
        <v>1221</v>
      </c>
      <c r="D78" s="109"/>
      <c r="E78" s="109"/>
      <c r="F78" s="109">
        <v>44547</v>
      </c>
      <c r="G78" s="109" t="s">
        <v>384</v>
      </c>
      <c r="H78" s="109"/>
      <c r="I78" s="139" t="s">
        <v>385</v>
      </c>
      <c r="J78" s="139" t="s">
        <v>386</v>
      </c>
      <c r="K78" s="139" t="s">
        <v>387</v>
      </c>
      <c r="L78" s="139" t="s">
        <v>130</v>
      </c>
      <c r="M78" s="139"/>
      <c r="N78" s="139"/>
      <c r="O78" s="109" t="s">
        <v>93</v>
      </c>
      <c r="P78" s="109">
        <v>1</v>
      </c>
      <c r="Q78" s="136">
        <v>164.16</v>
      </c>
      <c r="R78" s="109">
        <v>2</v>
      </c>
      <c r="S78" s="136">
        <v>164.16</v>
      </c>
      <c r="T78" s="109">
        <v>2</v>
      </c>
      <c r="U78" s="136">
        <v>328.32</v>
      </c>
      <c r="V78" s="109" t="s">
        <v>966</v>
      </c>
      <c r="W78" s="139" t="s">
        <v>970</v>
      </c>
    </row>
    <row r="79" spans="1:23" x14ac:dyDescent="0.2">
      <c r="A79" s="109">
        <v>84</v>
      </c>
      <c r="B79" s="109" t="s">
        <v>125</v>
      </c>
      <c r="C79" s="109">
        <v>1230</v>
      </c>
      <c r="D79" s="109"/>
      <c r="E79" s="109"/>
      <c r="F79" s="109">
        <v>44357</v>
      </c>
      <c r="G79" s="109" t="s">
        <v>388</v>
      </c>
      <c r="H79" s="109"/>
      <c r="I79" s="139" t="s">
        <v>389</v>
      </c>
      <c r="J79" s="139" t="s">
        <v>390</v>
      </c>
      <c r="K79" s="139" t="s">
        <v>391</v>
      </c>
      <c r="L79" s="139" t="s">
        <v>135</v>
      </c>
      <c r="M79" s="139"/>
      <c r="N79" s="139"/>
      <c r="O79" s="109" t="s">
        <v>93</v>
      </c>
      <c r="P79" s="109">
        <v>1</v>
      </c>
      <c r="Q79" s="136">
        <v>162.72999999999999</v>
      </c>
      <c r="R79" s="109">
        <v>2</v>
      </c>
      <c r="S79" s="136">
        <v>162.72999999999999</v>
      </c>
      <c r="T79" s="109">
        <v>2</v>
      </c>
      <c r="U79" s="136">
        <v>325.45999999999998</v>
      </c>
      <c r="V79" s="109" t="s">
        <v>965</v>
      </c>
      <c r="W79" s="139" t="s">
        <v>969</v>
      </c>
    </row>
    <row r="80" spans="1:23" x14ac:dyDescent="0.2">
      <c r="A80" s="109">
        <v>85</v>
      </c>
      <c r="B80" s="109" t="s">
        <v>125</v>
      </c>
      <c r="C80" s="109">
        <v>1234</v>
      </c>
      <c r="D80" s="109"/>
      <c r="E80" s="109"/>
      <c r="F80" s="109">
        <v>44522</v>
      </c>
      <c r="G80" s="109" t="s">
        <v>213</v>
      </c>
      <c r="H80" s="109"/>
      <c r="I80" s="139" t="s">
        <v>392</v>
      </c>
      <c r="J80" s="139" t="s">
        <v>393</v>
      </c>
      <c r="K80" s="139" t="s">
        <v>394</v>
      </c>
      <c r="L80" s="139" t="s">
        <v>144</v>
      </c>
      <c r="M80" s="139"/>
      <c r="N80" s="139"/>
      <c r="O80" s="109" t="s">
        <v>93</v>
      </c>
      <c r="P80" s="109">
        <v>1</v>
      </c>
      <c r="Q80" s="136">
        <v>53.77</v>
      </c>
      <c r="R80" s="109">
        <v>6</v>
      </c>
      <c r="S80" s="136">
        <v>53.77</v>
      </c>
      <c r="T80" s="109">
        <v>6</v>
      </c>
      <c r="U80" s="136">
        <v>322.62</v>
      </c>
      <c r="V80" s="109" t="s">
        <v>966</v>
      </c>
      <c r="W80" s="139" t="s">
        <v>970</v>
      </c>
    </row>
    <row r="81" spans="1:23" x14ac:dyDescent="0.2">
      <c r="A81" s="109">
        <v>86</v>
      </c>
      <c r="B81" s="109" t="s">
        <v>125</v>
      </c>
      <c r="C81" s="109">
        <v>1240</v>
      </c>
      <c r="D81" s="109"/>
      <c r="E81" s="109"/>
      <c r="F81" s="109">
        <v>44438</v>
      </c>
      <c r="G81" s="109" t="s">
        <v>395</v>
      </c>
      <c r="H81" s="109"/>
      <c r="I81" s="139" t="s">
        <v>396</v>
      </c>
      <c r="J81" s="139" t="s">
        <v>397</v>
      </c>
      <c r="K81" s="139" t="s">
        <v>398</v>
      </c>
      <c r="L81" s="139" t="s">
        <v>135</v>
      </c>
      <c r="M81" s="139"/>
      <c r="N81" s="139"/>
      <c r="O81" s="109" t="s">
        <v>93</v>
      </c>
      <c r="P81" s="109">
        <v>1</v>
      </c>
      <c r="Q81" s="136">
        <v>32.15</v>
      </c>
      <c r="R81" s="109">
        <v>10</v>
      </c>
      <c r="S81" s="136">
        <v>32.15</v>
      </c>
      <c r="T81" s="109">
        <v>10</v>
      </c>
      <c r="U81" s="136">
        <v>321.5</v>
      </c>
      <c r="V81" s="109" t="s">
        <v>966</v>
      </c>
      <c r="W81" s="139" t="s">
        <v>970</v>
      </c>
    </row>
    <row r="82" spans="1:23" x14ac:dyDescent="0.2">
      <c r="A82" s="109">
        <v>87</v>
      </c>
      <c r="B82" s="109" t="s">
        <v>125</v>
      </c>
      <c r="C82" s="109">
        <v>1269</v>
      </c>
      <c r="D82" s="109"/>
      <c r="E82" s="109"/>
      <c r="F82" s="109">
        <v>44404</v>
      </c>
      <c r="G82" s="109" t="s">
        <v>399</v>
      </c>
      <c r="H82" s="109"/>
      <c r="I82" s="139" t="s">
        <v>400</v>
      </c>
      <c r="J82" s="139" t="s">
        <v>401</v>
      </c>
      <c r="K82" s="139" t="s">
        <v>402</v>
      </c>
      <c r="L82" s="139" t="s">
        <v>135</v>
      </c>
      <c r="M82" s="139"/>
      <c r="N82" s="139"/>
      <c r="O82" s="109" t="s">
        <v>93</v>
      </c>
      <c r="P82" s="109">
        <v>1</v>
      </c>
      <c r="Q82" s="136">
        <v>6.24</v>
      </c>
      <c r="R82" s="109">
        <v>50</v>
      </c>
      <c r="S82" s="136">
        <v>6.24</v>
      </c>
      <c r="T82" s="109">
        <v>50</v>
      </c>
      <c r="U82" s="136">
        <v>312</v>
      </c>
      <c r="V82" s="109" t="s">
        <v>966</v>
      </c>
      <c r="W82" s="139" t="s">
        <v>970</v>
      </c>
    </row>
    <row r="83" spans="1:23" x14ac:dyDescent="0.2">
      <c r="A83" s="109">
        <v>89</v>
      </c>
      <c r="B83" s="109" t="s">
        <v>125</v>
      </c>
      <c r="C83" s="109">
        <v>1289</v>
      </c>
      <c r="D83" s="109"/>
      <c r="E83" s="109"/>
      <c r="F83" s="109">
        <v>44476</v>
      </c>
      <c r="G83" s="109" t="s">
        <v>405</v>
      </c>
      <c r="H83" s="109"/>
      <c r="I83" s="139" t="s">
        <v>406</v>
      </c>
      <c r="J83" s="139" t="s">
        <v>407</v>
      </c>
      <c r="K83" s="139" t="s">
        <v>408</v>
      </c>
      <c r="L83" s="139" t="s">
        <v>144</v>
      </c>
      <c r="M83" s="139"/>
      <c r="N83" s="139"/>
      <c r="O83" s="109" t="s">
        <v>93</v>
      </c>
      <c r="P83" s="109">
        <v>1</v>
      </c>
      <c r="Q83" s="136">
        <v>76.61</v>
      </c>
      <c r="R83" s="109">
        <v>4</v>
      </c>
      <c r="S83" s="136">
        <v>76.61</v>
      </c>
      <c r="T83" s="109">
        <v>4</v>
      </c>
      <c r="U83" s="136">
        <v>306.44</v>
      </c>
      <c r="V83" s="109" t="s">
        <v>966</v>
      </c>
      <c r="W83" s="139" t="s">
        <v>970</v>
      </c>
    </row>
    <row r="84" spans="1:23" x14ac:dyDescent="0.2">
      <c r="A84" s="109">
        <v>90</v>
      </c>
      <c r="B84" s="109" t="s">
        <v>125</v>
      </c>
      <c r="C84" s="109">
        <v>1298</v>
      </c>
      <c r="D84" s="109"/>
      <c r="E84" s="109"/>
      <c r="F84" s="109">
        <v>44209</v>
      </c>
      <c r="G84" s="109" t="s">
        <v>234</v>
      </c>
      <c r="H84" s="109"/>
      <c r="I84" s="139" t="s">
        <v>409</v>
      </c>
      <c r="J84" s="139" t="s">
        <v>236</v>
      </c>
      <c r="K84" s="139" t="s">
        <v>410</v>
      </c>
      <c r="L84" s="139" t="s">
        <v>135</v>
      </c>
      <c r="M84" s="139"/>
      <c r="N84" s="139"/>
      <c r="O84" s="109" t="s">
        <v>93</v>
      </c>
      <c r="P84" s="109">
        <v>1</v>
      </c>
      <c r="Q84" s="136">
        <v>302.41000000000003</v>
      </c>
      <c r="R84" s="109">
        <v>1</v>
      </c>
      <c r="S84" s="136">
        <v>302.41000000000003</v>
      </c>
      <c r="T84" s="109">
        <v>1</v>
      </c>
      <c r="U84" s="136">
        <v>302.41000000000003</v>
      </c>
      <c r="V84" s="109" t="s">
        <v>966</v>
      </c>
      <c r="W84" s="139" t="s">
        <v>970</v>
      </c>
    </row>
    <row r="85" spans="1:23" x14ac:dyDescent="0.2">
      <c r="A85" s="109">
        <v>92</v>
      </c>
      <c r="B85" s="109" t="s">
        <v>125</v>
      </c>
      <c r="C85" s="109">
        <v>1314</v>
      </c>
      <c r="D85" s="109"/>
      <c r="E85" s="109"/>
      <c r="F85" s="109">
        <v>44505</v>
      </c>
      <c r="G85" s="109" t="s">
        <v>140</v>
      </c>
      <c r="H85" s="109"/>
      <c r="I85" s="139" t="s">
        <v>414</v>
      </c>
      <c r="J85" s="139" t="s">
        <v>415</v>
      </c>
      <c r="K85" s="139" t="s">
        <v>416</v>
      </c>
      <c r="L85" s="139" t="s">
        <v>144</v>
      </c>
      <c r="M85" s="139"/>
      <c r="N85" s="139"/>
      <c r="O85" s="109" t="s">
        <v>93</v>
      </c>
      <c r="P85" s="109">
        <v>1</v>
      </c>
      <c r="Q85" s="136">
        <v>29.72</v>
      </c>
      <c r="R85" s="109">
        <v>10</v>
      </c>
      <c r="S85" s="136">
        <v>29.72</v>
      </c>
      <c r="T85" s="109">
        <v>10</v>
      </c>
      <c r="U85" s="136">
        <v>297.2</v>
      </c>
      <c r="V85" s="109" t="s">
        <v>966</v>
      </c>
      <c r="W85" s="139" t="s">
        <v>970</v>
      </c>
    </row>
    <row r="86" spans="1:23" x14ac:dyDescent="0.2">
      <c r="A86" s="109">
        <v>93</v>
      </c>
      <c r="B86" s="109" t="s">
        <v>125</v>
      </c>
      <c r="C86" s="109">
        <v>1315</v>
      </c>
      <c r="D86" s="109"/>
      <c r="E86" s="109"/>
      <c r="F86" s="109">
        <v>44217</v>
      </c>
      <c r="G86" s="109" t="s">
        <v>417</v>
      </c>
      <c r="H86" s="109"/>
      <c r="I86" s="139" t="s">
        <v>418</v>
      </c>
      <c r="J86" s="139" t="s">
        <v>419</v>
      </c>
      <c r="K86" s="139" t="s">
        <v>420</v>
      </c>
      <c r="L86" s="139" t="s">
        <v>135</v>
      </c>
      <c r="M86" s="139"/>
      <c r="N86" s="139"/>
      <c r="O86" s="109" t="s">
        <v>93</v>
      </c>
      <c r="P86" s="109">
        <v>1</v>
      </c>
      <c r="Q86" s="136">
        <v>296.89</v>
      </c>
      <c r="R86" s="109">
        <v>1</v>
      </c>
      <c r="S86" s="136">
        <v>296.89</v>
      </c>
      <c r="T86" s="109">
        <v>1</v>
      </c>
      <c r="U86" s="136">
        <v>296.89</v>
      </c>
      <c r="V86" s="109" t="s">
        <v>966</v>
      </c>
      <c r="W86" s="139" t="s">
        <v>970</v>
      </c>
    </row>
    <row r="87" spans="1:23" x14ac:dyDescent="0.2">
      <c r="A87" s="109">
        <v>94</v>
      </c>
      <c r="B87" s="109" t="s">
        <v>125</v>
      </c>
      <c r="C87" s="109">
        <v>1321</v>
      </c>
      <c r="D87" s="109"/>
      <c r="E87" s="109"/>
      <c r="F87" s="109">
        <v>44474</v>
      </c>
      <c r="G87" s="109" t="s">
        <v>181</v>
      </c>
      <c r="H87" s="109"/>
      <c r="I87" s="139" t="s">
        <v>421</v>
      </c>
      <c r="J87" s="139" t="s">
        <v>422</v>
      </c>
      <c r="K87" s="139" t="s">
        <v>423</v>
      </c>
      <c r="L87" s="139" t="s">
        <v>130</v>
      </c>
      <c r="M87" s="139"/>
      <c r="N87" s="139"/>
      <c r="O87" s="109" t="s">
        <v>93</v>
      </c>
      <c r="P87" s="109">
        <v>1</v>
      </c>
      <c r="Q87" s="136">
        <v>294.72000000000003</v>
      </c>
      <c r="R87" s="109">
        <v>1</v>
      </c>
      <c r="S87" s="136">
        <v>294.72000000000003</v>
      </c>
      <c r="T87" s="109">
        <v>1</v>
      </c>
      <c r="U87" s="136">
        <v>294.72000000000003</v>
      </c>
      <c r="V87" s="109" t="s">
        <v>966</v>
      </c>
      <c r="W87" s="139" t="s">
        <v>970</v>
      </c>
    </row>
    <row r="88" spans="1:23" x14ac:dyDescent="0.2">
      <c r="A88" s="109">
        <v>95</v>
      </c>
      <c r="B88" s="109" t="s">
        <v>125</v>
      </c>
      <c r="C88" s="109">
        <v>1368</v>
      </c>
      <c r="D88" s="109"/>
      <c r="E88" s="109"/>
      <c r="F88" s="109">
        <v>44207</v>
      </c>
      <c r="G88" s="109" t="s">
        <v>424</v>
      </c>
      <c r="H88" s="109"/>
      <c r="I88" s="139" t="s">
        <v>425</v>
      </c>
      <c r="J88" s="139" t="s">
        <v>426</v>
      </c>
      <c r="K88" s="139" t="s">
        <v>427</v>
      </c>
      <c r="L88" s="139" t="s">
        <v>135</v>
      </c>
      <c r="M88" s="139"/>
      <c r="N88" s="139"/>
      <c r="O88" s="109" t="s">
        <v>93</v>
      </c>
      <c r="P88" s="109">
        <v>1</v>
      </c>
      <c r="Q88" s="136">
        <v>27.69</v>
      </c>
      <c r="R88" s="109">
        <v>10</v>
      </c>
      <c r="S88" s="136">
        <v>27.69</v>
      </c>
      <c r="T88" s="109">
        <v>10</v>
      </c>
      <c r="U88" s="136">
        <v>276.90000000000003</v>
      </c>
      <c r="V88" s="109" t="s">
        <v>966</v>
      </c>
      <c r="W88" s="139" t="s">
        <v>970</v>
      </c>
    </row>
    <row r="89" spans="1:23" x14ac:dyDescent="0.2">
      <c r="A89" s="109">
        <v>96</v>
      </c>
      <c r="B89" s="109" t="s">
        <v>125</v>
      </c>
      <c r="C89" s="109">
        <v>1381</v>
      </c>
      <c r="D89" s="109"/>
      <c r="E89" s="109"/>
      <c r="F89" s="109">
        <v>44487</v>
      </c>
      <c r="G89" s="109" t="s">
        <v>428</v>
      </c>
      <c r="H89" s="109"/>
      <c r="I89" s="139" t="s">
        <v>429</v>
      </c>
      <c r="J89" s="139" t="s">
        <v>430</v>
      </c>
      <c r="K89" s="139" t="s">
        <v>431</v>
      </c>
      <c r="L89" s="139" t="s">
        <v>130</v>
      </c>
      <c r="M89" s="139"/>
      <c r="N89" s="139"/>
      <c r="O89" s="109" t="s">
        <v>432</v>
      </c>
      <c r="P89" s="109">
        <v>1</v>
      </c>
      <c r="Q89" s="136">
        <v>0.56000000000000005</v>
      </c>
      <c r="R89" s="109">
        <v>500</v>
      </c>
      <c r="S89" s="136">
        <v>0.56000000000000005</v>
      </c>
      <c r="T89" s="109">
        <v>500</v>
      </c>
      <c r="U89" s="136">
        <v>280</v>
      </c>
      <c r="V89" s="109" t="s">
        <v>966</v>
      </c>
      <c r="W89" s="139" t="s">
        <v>973</v>
      </c>
    </row>
    <row r="90" spans="1:23" x14ac:dyDescent="0.2">
      <c r="A90" s="109">
        <v>97</v>
      </c>
      <c r="B90" s="109" t="s">
        <v>125</v>
      </c>
      <c r="C90" s="109">
        <v>1399</v>
      </c>
      <c r="D90" s="109"/>
      <c r="E90" s="109"/>
      <c r="F90" s="109">
        <v>44202</v>
      </c>
      <c r="G90" s="109" t="s">
        <v>433</v>
      </c>
      <c r="H90" s="109"/>
      <c r="I90" s="139" t="s">
        <v>434</v>
      </c>
      <c r="J90" s="139" t="s">
        <v>435</v>
      </c>
      <c r="K90" s="139" t="s">
        <v>436</v>
      </c>
      <c r="L90" s="139" t="s">
        <v>135</v>
      </c>
      <c r="M90" s="139"/>
      <c r="N90" s="139"/>
      <c r="O90" s="109" t="s">
        <v>93</v>
      </c>
      <c r="P90" s="109">
        <v>1</v>
      </c>
      <c r="Q90" s="136">
        <v>267.73</v>
      </c>
      <c r="R90" s="109">
        <v>1</v>
      </c>
      <c r="S90" s="136">
        <v>267.73</v>
      </c>
      <c r="T90" s="109">
        <v>1</v>
      </c>
      <c r="U90" s="136">
        <v>267.73</v>
      </c>
      <c r="V90" s="109" t="s">
        <v>966</v>
      </c>
      <c r="W90" s="139" t="s">
        <v>979</v>
      </c>
    </row>
    <row r="91" spans="1:23" x14ac:dyDescent="0.2">
      <c r="A91" s="109">
        <v>98</v>
      </c>
      <c r="B91" s="109" t="s">
        <v>125</v>
      </c>
      <c r="C91" s="109">
        <v>1410</v>
      </c>
      <c r="D91" s="109"/>
      <c r="E91" s="109"/>
      <c r="F91" s="109">
        <v>44280</v>
      </c>
      <c r="G91" s="109" t="s">
        <v>193</v>
      </c>
      <c r="H91" s="109"/>
      <c r="I91" s="139" t="s">
        <v>437</v>
      </c>
      <c r="J91" s="139" t="s">
        <v>438</v>
      </c>
      <c r="K91" s="139" t="s">
        <v>439</v>
      </c>
      <c r="L91" s="139" t="s">
        <v>135</v>
      </c>
      <c r="M91" s="139"/>
      <c r="N91" s="139"/>
      <c r="O91" s="109" t="s">
        <v>93</v>
      </c>
      <c r="P91" s="109">
        <v>1</v>
      </c>
      <c r="Q91" s="136">
        <v>264</v>
      </c>
      <c r="R91" s="109">
        <v>1</v>
      </c>
      <c r="S91" s="136">
        <v>264</v>
      </c>
      <c r="T91" s="109">
        <v>1</v>
      </c>
      <c r="U91" s="136">
        <v>264</v>
      </c>
      <c r="V91" s="109" t="s">
        <v>966</v>
      </c>
      <c r="W91" s="139" t="s">
        <v>971</v>
      </c>
    </row>
    <row r="92" spans="1:23" x14ac:dyDescent="0.2">
      <c r="A92" s="109">
        <v>100</v>
      </c>
      <c r="B92" s="109" t="s">
        <v>125</v>
      </c>
      <c r="C92" s="109">
        <v>1421</v>
      </c>
      <c r="D92" s="109"/>
      <c r="E92" s="109"/>
      <c r="F92" s="109">
        <v>44483</v>
      </c>
      <c r="G92" s="109" t="s">
        <v>442</v>
      </c>
      <c r="H92" s="109"/>
      <c r="I92" s="139" t="s">
        <v>443</v>
      </c>
      <c r="J92" s="139" t="s">
        <v>444</v>
      </c>
      <c r="K92" s="139" t="s">
        <v>445</v>
      </c>
      <c r="L92" s="139" t="s">
        <v>144</v>
      </c>
      <c r="M92" s="139"/>
      <c r="N92" s="139"/>
      <c r="O92" s="109" t="s">
        <v>93</v>
      </c>
      <c r="P92" s="109">
        <v>1</v>
      </c>
      <c r="Q92" s="136">
        <v>260.64999999999998</v>
      </c>
      <c r="R92" s="109">
        <v>1</v>
      </c>
      <c r="S92" s="136">
        <v>260.64999999999998</v>
      </c>
      <c r="T92" s="109">
        <v>1</v>
      </c>
      <c r="U92" s="136">
        <v>260.64999999999998</v>
      </c>
      <c r="V92" s="109" t="s">
        <v>966</v>
      </c>
      <c r="W92" s="139" t="s">
        <v>970</v>
      </c>
    </row>
    <row r="93" spans="1:23" x14ac:dyDescent="0.2">
      <c r="A93" s="109">
        <v>101</v>
      </c>
      <c r="B93" s="109" t="s">
        <v>125</v>
      </c>
      <c r="C93" s="109">
        <v>1432</v>
      </c>
      <c r="D93" s="109"/>
      <c r="E93" s="109"/>
      <c r="F93" s="109">
        <v>44200</v>
      </c>
      <c r="G93" s="109" t="s">
        <v>446</v>
      </c>
      <c r="H93" s="109"/>
      <c r="I93" s="139" t="s">
        <v>447</v>
      </c>
      <c r="J93" s="139" t="s">
        <v>448</v>
      </c>
      <c r="K93" s="139" t="s">
        <v>449</v>
      </c>
      <c r="L93" s="139" t="s">
        <v>135</v>
      </c>
      <c r="M93" s="139"/>
      <c r="N93" s="139"/>
      <c r="O93" s="109" t="s">
        <v>93</v>
      </c>
      <c r="P93" s="109">
        <v>1</v>
      </c>
      <c r="Q93" s="136">
        <v>129.51</v>
      </c>
      <c r="R93" s="109">
        <v>2</v>
      </c>
      <c r="S93" s="136">
        <v>129.51</v>
      </c>
      <c r="T93" s="109">
        <v>2</v>
      </c>
      <c r="U93" s="136">
        <v>259.02</v>
      </c>
      <c r="V93" s="109" t="s">
        <v>965</v>
      </c>
      <c r="W93" s="139" t="s">
        <v>969</v>
      </c>
    </row>
    <row r="94" spans="1:23" x14ac:dyDescent="0.2">
      <c r="A94" s="109">
        <v>102</v>
      </c>
      <c r="B94" s="109" t="s">
        <v>125</v>
      </c>
      <c r="C94" s="109">
        <v>1433</v>
      </c>
      <c r="D94" s="109"/>
      <c r="E94" s="109"/>
      <c r="F94" s="109">
        <v>44200</v>
      </c>
      <c r="G94" s="109" t="s">
        <v>446</v>
      </c>
      <c r="H94" s="109"/>
      <c r="I94" s="139" t="s">
        <v>450</v>
      </c>
      <c r="J94" s="139" t="s">
        <v>448</v>
      </c>
      <c r="K94" s="139" t="s">
        <v>451</v>
      </c>
      <c r="L94" s="139" t="s">
        <v>135</v>
      </c>
      <c r="M94" s="139"/>
      <c r="N94" s="139"/>
      <c r="O94" s="109" t="s">
        <v>93</v>
      </c>
      <c r="P94" s="109">
        <v>1</v>
      </c>
      <c r="Q94" s="136">
        <v>129.51</v>
      </c>
      <c r="R94" s="109">
        <v>2</v>
      </c>
      <c r="S94" s="136">
        <v>129.51</v>
      </c>
      <c r="T94" s="109">
        <v>2</v>
      </c>
      <c r="U94" s="136">
        <v>259.02</v>
      </c>
      <c r="V94" s="109" t="s">
        <v>965</v>
      </c>
      <c r="W94" s="139" t="s">
        <v>969</v>
      </c>
    </row>
    <row r="95" spans="1:23" x14ac:dyDescent="0.2">
      <c r="A95" s="109">
        <v>103</v>
      </c>
      <c r="B95" s="109" t="s">
        <v>125</v>
      </c>
      <c r="C95" s="109">
        <v>1480</v>
      </c>
      <c r="D95" s="109"/>
      <c r="E95" s="109"/>
      <c r="F95" s="109">
        <v>44495</v>
      </c>
      <c r="G95" s="109" t="s">
        <v>213</v>
      </c>
      <c r="H95" s="109"/>
      <c r="I95" s="139" t="s">
        <v>452</v>
      </c>
      <c r="J95" s="139" t="s">
        <v>453</v>
      </c>
      <c r="K95" s="139" t="s">
        <v>454</v>
      </c>
      <c r="L95" s="139" t="s">
        <v>144</v>
      </c>
      <c r="M95" s="139"/>
      <c r="N95" s="139"/>
      <c r="O95" s="109" t="s">
        <v>93</v>
      </c>
      <c r="P95" s="109">
        <v>1</v>
      </c>
      <c r="Q95" s="136">
        <v>40.4</v>
      </c>
      <c r="R95" s="109">
        <v>6</v>
      </c>
      <c r="S95" s="136">
        <v>40.4</v>
      </c>
      <c r="T95" s="109">
        <v>6</v>
      </c>
      <c r="U95" s="136">
        <v>242.39999999999998</v>
      </c>
      <c r="V95" s="109" t="s">
        <v>966</v>
      </c>
      <c r="W95" s="139" t="s">
        <v>970</v>
      </c>
    </row>
    <row r="96" spans="1:23" x14ac:dyDescent="0.2">
      <c r="A96" s="109">
        <v>104</v>
      </c>
      <c r="B96" s="109" t="s">
        <v>125</v>
      </c>
      <c r="C96" s="109">
        <v>1488</v>
      </c>
      <c r="D96" s="109"/>
      <c r="E96" s="109"/>
      <c r="F96" s="109">
        <v>44320</v>
      </c>
      <c r="G96" s="109" t="s">
        <v>455</v>
      </c>
      <c r="H96" s="109"/>
      <c r="I96" s="139" t="s">
        <v>456</v>
      </c>
      <c r="J96" s="139" t="s">
        <v>326</v>
      </c>
      <c r="K96" s="139" t="s">
        <v>457</v>
      </c>
      <c r="L96" s="139" t="s">
        <v>135</v>
      </c>
      <c r="M96" s="139"/>
      <c r="N96" s="139"/>
      <c r="O96" s="109" t="s">
        <v>93</v>
      </c>
      <c r="P96" s="109">
        <v>1</v>
      </c>
      <c r="Q96" s="136">
        <v>120.01</v>
      </c>
      <c r="R96" s="109">
        <v>2</v>
      </c>
      <c r="S96" s="136">
        <v>120.01</v>
      </c>
      <c r="T96" s="109">
        <v>2</v>
      </c>
      <c r="U96" s="136">
        <v>240.02</v>
      </c>
      <c r="V96" s="109" t="s">
        <v>966</v>
      </c>
      <c r="W96" s="139" t="s">
        <v>971</v>
      </c>
    </row>
    <row r="97" spans="1:23" x14ac:dyDescent="0.2">
      <c r="A97" s="109">
        <v>105</v>
      </c>
      <c r="B97" s="109" t="s">
        <v>125</v>
      </c>
      <c r="C97" s="109">
        <v>1499</v>
      </c>
      <c r="D97" s="109"/>
      <c r="E97" s="109"/>
      <c r="F97" s="109">
        <v>44522</v>
      </c>
      <c r="G97" s="109" t="s">
        <v>270</v>
      </c>
      <c r="H97" s="109"/>
      <c r="I97" s="139" t="s">
        <v>458</v>
      </c>
      <c r="J97" s="139" t="s">
        <v>272</v>
      </c>
      <c r="K97" s="139" t="s">
        <v>459</v>
      </c>
      <c r="L97" s="139" t="s">
        <v>144</v>
      </c>
      <c r="M97" s="139"/>
      <c r="N97" s="139"/>
      <c r="O97" s="109" t="s">
        <v>93</v>
      </c>
      <c r="P97" s="109">
        <v>1</v>
      </c>
      <c r="Q97" s="136">
        <v>117.99</v>
      </c>
      <c r="R97" s="109">
        <v>2</v>
      </c>
      <c r="S97" s="136">
        <v>117.99</v>
      </c>
      <c r="T97" s="109">
        <v>2</v>
      </c>
      <c r="U97" s="136">
        <v>235.98</v>
      </c>
      <c r="V97" s="109" t="s">
        <v>966</v>
      </c>
      <c r="W97" s="139" t="s">
        <v>970</v>
      </c>
    </row>
    <row r="98" spans="1:23" x14ac:dyDescent="0.2">
      <c r="A98" s="109">
        <v>107</v>
      </c>
      <c r="B98" s="109" t="s">
        <v>125</v>
      </c>
      <c r="C98" s="109">
        <v>1513</v>
      </c>
      <c r="D98" s="109"/>
      <c r="E98" s="109"/>
      <c r="F98" s="109">
        <v>44480</v>
      </c>
      <c r="G98" s="109" t="s">
        <v>193</v>
      </c>
      <c r="H98" s="109"/>
      <c r="I98" s="139" t="s">
        <v>462</v>
      </c>
      <c r="J98" s="139" t="s">
        <v>179</v>
      </c>
      <c r="K98" s="139" t="s">
        <v>463</v>
      </c>
      <c r="L98" s="139" t="s">
        <v>144</v>
      </c>
      <c r="M98" s="139"/>
      <c r="N98" s="139"/>
      <c r="O98" s="109" t="s">
        <v>93</v>
      </c>
      <c r="P98" s="109">
        <v>1</v>
      </c>
      <c r="Q98" s="136">
        <v>76.81</v>
      </c>
      <c r="R98" s="109">
        <v>3</v>
      </c>
      <c r="S98" s="136">
        <v>76.81</v>
      </c>
      <c r="T98" s="109">
        <v>3</v>
      </c>
      <c r="U98" s="136">
        <v>230.43</v>
      </c>
      <c r="V98" s="109" t="s">
        <v>966</v>
      </c>
      <c r="W98" s="139" t="s">
        <v>970</v>
      </c>
    </row>
    <row r="99" spans="1:23" x14ac:dyDescent="0.2">
      <c r="A99" s="109">
        <v>108</v>
      </c>
      <c r="B99" s="109" t="s">
        <v>125</v>
      </c>
      <c r="C99" s="109">
        <v>1521</v>
      </c>
      <c r="D99" s="109"/>
      <c r="E99" s="109"/>
      <c r="F99" s="109">
        <v>44231</v>
      </c>
      <c r="G99" s="109" t="s">
        <v>428</v>
      </c>
      <c r="H99" s="109"/>
      <c r="I99" s="139" t="s">
        <v>464</v>
      </c>
      <c r="J99" s="139" t="s">
        <v>465</v>
      </c>
      <c r="K99" s="139" t="s">
        <v>466</v>
      </c>
      <c r="L99" s="139" t="s">
        <v>135</v>
      </c>
      <c r="M99" s="139"/>
      <c r="N99" s="139"/>
      <c r="O99" s="109" t="s">
        <v>93</v>
      </c>
      <c r="P99" s="109">
        <v>1</v>
      </c>
      <c r="Q99" s="136">
        <v>22.96</v>
      </c>
      <c r="R99" s="109">
        <v>10</v>
      </c>
      <c r="S99" s="136">
        <v>22.96</v>
      </c>
      <c r="T99" s="109">
        <v>10</v>
      </c>
      <c r="U99" s="136">
        <v>229.60000000000002</v>
      </c>
      <c r="V99" s="109" t="s">
        <v>966</v>
      </c>
      <c r="W99" s="139" t="s">
        <v>970</v>
      </c>
    </row>
    <row r="100" spans="1:23" x14ac:dyDescent="0.2">
      <c r="A100" s="109">
        <v>109</v>
      </c>
      <c r="B100" s="109" t="s">
        <v>125</v>
      </c>
      <c r="C100" s="109">
        <v>1530</v>
      </c>
      <c r="D100" s="109"/>
      <c r="E100" s="109"/>
      <c r="F100" s="109">
        <v>44509</v>
      </c>
      <c r="G100" s="109" t="s">
        <v>140</v>
      </c>
      <c r="H100" s="109"/>
      <c r="I100" s="139" t="s">
        <v>467</v>
      </c>
      <c r="J100" s="139" t="s">
        <v>468</v>
      </c>
      <c r="K100" s="139" t="s">
        <v>469</v>
      </c>
      <c r="L100" s="139" t="s">
        <v>144</v>
      </c>
      <c r="M100" s="139"/>
      <c r="N100" s="139"/>
      <c r="O100" s="109" t="s">
        <v>93</v>
      </c>
      <c r="P100" s="109">
        <v>1</v>
      </c>
      <c r="Q100" s="136">
        <v>113.28</v>
      </c>
      <c r="R100" s="109">
        <v>2</v>
      </c>
      <c r="S100" s="136">
        <v>113.28</v>
      </c>
      <c r="T100" s="109">
        <v>2</v>
      </c>
      <c r="U100" s="136">
        <v>226.56</v>
      </c>
      <c r="V100" s="109" t="s">
        <v>966</v>
      </c>
      <c r="W100" s="139" t="s">
        <v>971</v>
      </c>
    </row>
    <row r="101" spans="1:23" x14ac:dyDescent="0.2">
      <c r="A101" s="109">
        <v>110</v>
      </c>
      <c r="B101" s="109" t="s">
        <v>125</v>
      </c>
      <c r="C101" s="109">
        <v>1536</v>
      </c>
      <c r="D101" s="109"/>
      <c r="E101" s="109"/>
      <c r="F101" s="109">
        <v>44540</v>
      </c>
      <c r="G101" s="109" t="s">
        <v>234</v>
      </c>
      <c r="H101" s="109"/>
      <c r="I101" s="139" t="s">
        <v>470</v>
      </c>
      <c r="J101" s="139" t="s">
        <v>236</v>
      </c>
      <c r="K101" s="139" t="s">
        <v>471</v>
      </c>
      <c r="L101" s="139" t="s">
        <v>144</v>
      </c>
      <c r="M101" s="139"/>
      <c r="N101" s="139"/>
      <c r="O101" s="109" t="s">
        <v>93</v>
      </c>
      <c r="P101" s="109">
        <v>1</v>
      </c>
      <c r="Q101" s="136">
        <v>225.61</v>
      </c>
      <c r="R101" s="109">
        <v>1</v>
      </c>
      <c r="S101" s="136">
        <v>225.61</v>
      </c>
      <c r="T101" s="109">
        <v>1</v>
      </c>
      <c r="U101" s="136">
        <v>225.61</v>
      </c>
      <c r="V101" s="109" t="s">
        <v>966</v>
      </c>
      <c r="W101" s="139" t="s">
        <v>970</v>
      </c>
    </row>
    <row r="102" spans="1:23" x14ac:dyDescent="0.2">
      <c r="A102" s="109">
        <v>111</v>
      </c>
      <c r="B102" s="109" t="s">
        <v>125</v>
      </c>
      <c r="C102" s="109">
        <v>1539</v>
      </c>
      <c r="D102" s="109"/>
      <c r="E102" s="109"/>
      <c r="F102" s="109">
        <v>44474</v>
      </c>
      <c r="G102" s="109" t="s">
        <v>140</v>
      </c>
      <c r="H102" s="109"/>
      <c r="I102" s="139" t="s">
        <v>472</v>
      </c>
      <c r="J102" s="139" t="s">
        <v>473</v>
      </c>
      <c r="K102" s="139" t="s">
        <v>474</v>
      </c>
      <c r="L102" s="139" t="s">
        <v>144</v>
      </c>
      <c r="M102" s="139"/>
      <c r="N102" s="139"/>
      <c r="O102" s="109" t="s">
        <v>93</v>
      </c>
      <c r="P102" s="109">
        <v>1</v>
      </c>
      <c r="Q102" s="136">
        <v>24.97</v>
      </c>
      <c r="R102" s="109">
        <v>9</v>
      </c>
      <c r="S102" s="136">
        <v>24.97</v>
      </c>
      <c r="T102" s="109">
        <v>9</v>
      </c>
      <c r="U102" s="136">
        <v>224.73</v>
      </c>
      <c r="V102" s="109" t="s">
        <v>966</v>
      </c>
      <c r="W102" s="139" t="s">
        <v>970</v>
      </c>
    </row>
    <row r="103" spans="1:23" x14ac:dyDescent="0.2">
      <c r="A103" s="109">
        <v>113</v>
      </c>
      <c r="B103" s="109" t="s">
        <v>125</v>
      </c>
      <c r="C103" s="109">
        <v>1555</v>
      </c>
      <c r="D103" s="109"/>
      <c r="E103" s="109"/>
      <c r="F103" s="109">
        <v>44355</v>
      </c>
      <c r="G103" s="109" t="s">
        <v>234</v>
      </c>
      <c r="H103" s="109"/>
      <c r="I103" s="139" t="s">
        <v>479</v>
      </c>
      <c r="J103" s="139" t="s">
        <v>236</v>
      </c>
      <c r="K103" s="139" t="s">
        <v>480</v>
      </c>
      <c r="L103" s="139" t="s">
        <v>135</v>
      </c>
      <c r="M103" s="139"/>
      <c r="N103" s="139"/>
      <c r="O103" s="109" t="s">
        <v>93</v>
      </c>
      <c r="P103" s="109">
        <v>1</v>
      </c>
      <c r="Q103" s="136">
        <v>109.44</v>
      </c>
      <c r="R103" s="109">
        <v>2</v>
      </c>
      <c r="S103" s="136">
        <v>109.44</v>
      </c>
      <c r="T103" s="109">
        <v>2</v>
      </c>
      <c r="U103" s="136">
        <v>218.88</v>
      </c>
      <c r="V103" s="109" t="s">
        <v>966</v>
      </c>
      <c r="W103" s="139" t="s">
        <v>970</v>
      </c>
    </row>
    <row r="104" spans="1:23" x14ac:dyDescent="0.2">
      <c r="A104" s="109">
        <v>115</v>
      </c>
      <c r="B104" s="109" t="s">
        <v>125</v>
      </c>
      <c r="C104" s="109">
        <v>1579</v>
      </c>
      <c r="D104" s="109"/>
      <c r="E104" s="109"/>
      <c r="F104" s="109">
        <v>44463</v>
      </c>
      <c r="G104" s="109" t="s">
        <v>145</v>
      </c>
      <c r="H104" s="109"/>
      <c r="I104" s="139" t="s">
        <v>483</v>
      </c>
      <c r="J104" s="139" t="s">
        <v>322</v>
      </c>
      <c r="K104" s="139" t="s">
        <v>484</v>
      </c>
      <c r="L104" s="139" t="s">
        <v>135</v>
      </c>
      <c r="M104" s="139"/>
      <c r="N104" s="139"/>
      <c r="O104" s="109" t="s">
        <v>93</v>
      </c>
      <c r="P104" s="109">
        <v>1</v>
      </c>
      <c r="Q104" s="136">
        <v>214.33</v>
      </c>
      <c r="R104" s="109">
        <v>1</v>
      </c>
      <c r="S104" s="136">
        <v>214.33</v>
      </c>
      <c r="T104" s="109">
        <v>1</v>
      </c>
      <c r="U104" s="136">
        <v>214.33</v>
      </c>
      <c r="V104" s="109" t="s">
        <v>965</v>
      </c>
      <c r="W104" s="139" t="s">
        <v>969</v>
      </c>
    </row>
    <row r="105" spans="1:23" x14ac:dyDescent="0.2">
      <c r="A105" s="109">
        <v>116</v>
      </c>
      <c r="B105" s="109" t="s">
        <v>125</v>
      </c>
      <c r="C105" s="109">
        <v>1590</v>
      </c>
      <c r="D105" s="109"/>
      <c r="E105" s="109"/>
      <c r="F105" s="109">
        <v>44482</v>
      </c>
      <c r="G105" s="109" t="s">
        <v>485</v>
      </c>
      <c r="H105" s="109"/>
      <c r="I105" s="139" t="s">
        <v>486</v>
      </c>
      <c r="J105" s="139" t="s">
        <v>487</v>
      </c>
      <c r="K105" s="139" t="s">
        <v>488</v>
      </c>
      <c r="L105" s="139" t="s">
        <v>130</v>
      </c>
      <c r="M105" s="139"/>
      <c r="N105" s="139"/>
      <c r="O105" s="109" t="s">
        <v>93</v>
      </c>
      <c r="P105" s="109">
        <v>1</v>
      </c>
      <c r="Q105" s="136">
        <v>52.81</v>
      </c>
      <c r="R105" s="109">
        <v>4</v>
      </c>
      <c r="S105" s="136">
        <v>52.81</v>
      </c>
      <c r="T105" s="109">
        <v>4</v>
      </c>
      <c r="U105" s="136">
        <v>211.24</v>
      </c>
      <c r="V105" s="109" t="s">
        <v>967</v>
      </c>
      <c r="W105" s="139" t="s">
        <v>972</v>
      </c>
    </row>
    <row r="106" spans="1:23" x14ac:dyDescent="0.2">
      <c r="A106" s="109">
        <v>118</v>
      </c>
      <c r="B106" s="109" t="s">
        <v>125</v>
      </c>
      <c r="C106" s="109">
        <v>1599</v>
      </c>
      <c r="D106" s="109"/>
      <c r="E106" s="109"/>
      <c r="F106" s="109">
        <v>44511</v>
      </c>
      <c r="G106" s="109" t="s">
        <v>145</v>
      </c>
      <c r="H106" s="109"/>
      <c r="I106" s="139" t="s">
        <v>491</v>
      </c>
      <c r="J106" s="139" t="s">
        <v>492</v>
      </c>
      <c r="K106" s="139" t="s">
        <v>493</v>
      </c>
      <c r="L106" s="139" t="s">
        <v>144</v>
      </c>
      <c r="M106" s="139"/>
      <c r="N106" s="139"/>
      <c r="O106" s="109" t="s">
        <v>93</v>
      </c>
      <c r="P106" s="109">
        <v>1</v>
      </c>
      <c r="Q106" s="136">
        <v>209.55</v>
      </c>
      <c r="R106" s="109">
        <v>1</v>
      </c>
      <c r="S106" s="136">
        <v>209.55</v>
      </c>
      <c r="T106" s="109">
        <v>1</v>
      </c>
      <c r="U106" s="136">
        <v>209.55</v>
      </c>
      <c r="V106" s="109" t="s">
        <v>966</v>
      </c>
      <c r="W106" s="139" t="s">
        <v>970</v>
      </c>
    </row>
    <row r="107" spans="1:23" x14ac:dyDescent="0.2">
      <c r="A107" s="109">
        <v>119</v>
      </c>
      <c r="B107" s="109" t="s">
        <v>125</v>
      </c>
      <c r="C107" s="109">
        <v>1601</v>
      </c>
      <c r="D107" s="109"/>
      <c r="E107" s="109"/>
      <c r="F107" s="109">
        <v>44547</v>
      </c>
      <c r="G107" s="109" t="s">
        <v>280</v>
      </c>
      <c r="H107" s="109"/>
      <c r="I107" s="139" t="s">
        <v>494</v>
      </c>
      <c r="J107" s="139" t="s">
        <v>495</v>
      </c>
      <c r="K107" s="139" t="s">
        <v>496</v>
      </c>
      <c r="L107" s="139" t="s">
        <v>144</v>
      </c>
      <c r="M107" s="139"/>
      <c r="N107" s="139"/>
      <c r="O107" s="109" t="s">
        <v>93</v>
      </c>
      <c r="P107" s="109">
        <v>1</v>
      </c>
      <c r="Q107" s="136">
        <v>34.85</v>
      </c>
      <c r="R107" s="109">
        <v>6</v>
      </c>
      <c r="S107" s="136">
        <v>34.85</v>
      </c>
      <c r="T107" s="109">
        <v>6</v>
      </c>
      <c r="U107" s="136">
        <v>209.10000000000002</v>
      </c>
      <c r="V107" s="109" t="s">
        <v>966</v>
      </c>
      <c r="W107" s="139" t="s">
        <v>970</v>
      </c>
    </row>
    <row r="108" spans="1:23" x14ac:dyDescent="0.2">
      <c r="A108" s="109">
        <v>121</v>
      </c>
      <c r="B108" s="109" t="s">
        <v>125</v>
      </c>
      <c r="C108" s="109">
        <v>1605</v>
      </c>
      <c r="D108" s="109"/>
      <c r="E108" s="109"/>
      <c r="F108" s="109">
        <v>44453</v>
      </c>
      <c r="G108" s="109" t="s">
        <v>136</v>
      </c>
      <c r="H108" s="109"/>
      <c r="I108" s="139" t="s">
        <v>501</v>
      </c>
      <c r="J108" s="139" t="s">
        <v>138</v>
      </c>
      <c r="K108" s="139" t="s">
        <v>502</v>
      </c>
      <c r="L108" s="139" t="s">
        <v>135</v>
      </c>
      <c r="M108" s="139"/>
      <c r="N108" s="139"/>
      <c r="O108" s="109" t="s">
        <v>93</v>
      </c>
      <c r="P108" s="109">
        <v>1</v>
      </c>
      <c r="Q108" s="136">
        <v>41.51</v>
      </c>
      <c r="R108" s="109">
        <v>5</v>
      </c>
      <c r="S108" s="136">
        <v>41.51</v>
      </c>
      <c r="T108" s="109">
        <v>5</v>
      </c>
      <c r="U108" s="136">
        <v>207.54999999999998</v>
      </c>
      <c r="V108" s="109" t="s">
        <v>966</v>
      </c>
      <c r="W108" s="139" t="s">
        <v>973</v>
      </c>
    </row>
    <row r="109" spans="1:23" x14ac:dyDescent="0.2">
      <c r="A109" s="109">
        <v>122</v>
      </c>
      <c r="B109" s="109" t="s">
        <v>125</v>
      </c>
      <c r="C109" s="109">
        <v>1607</v>
      </c>
      <c r="D109" s="109"/>
      <c r="E109" s="109"/>
      <c r="F109" s="109">
        <v>44515</v>
      </c>
      <c r="G109" s="109" t="s">
        <v>324</v>
      </c>
      <c r="H109" s="109"/>
      <c r="I109" s="139" t="s">
        <v>503</v>
      </c>
      <c r="J109" s="139" t="s">
        <v>326</v>
      </c>
      <c r="K109" s="139" t="s">
        <v>504</v>
      </c>
      <c r="L109" s="139" t="s">
        <v>135</v>
      </c>
      <c r="M109" s="139"/>
      <c r="N109" s="139"/>
      <c r="O109" s="109" t="s">
        <v>93</v>
      </c>
      <c r="P109" s="109">
        <v>1</v>
      </c>
      <c r="Q109" s="136">
        <v>20.74</v>
      </c>
      <c r="R109" s="109">
        <v>10</v>
      </c>
      <c r="S109" s="136">
        <v>20.74</v>
      </c>
      <c r="T109" s="109">
        <v>10</v>
      </c>
      <c r="U109" s="136">
        <v>207.39999999999998</v>
      </c>
      <c r="V109" s="109" t="s">
        <v>966</v>
      </c>
      <c r="W109" s="139" t="s">
        <v>970</v>
      </c>
    </row>
    <row r="110" spans="1:23" x14ac:dyDescent="0.2">
      <c r="A110" s="109">
        <v>123</v>
      </c>
      <c r="B110" s="109" t="s">
        <v>125</v>
      </c>
      <c r="C110" s="109">
        <v>1617</v>
      </c>
      <c r="D110" s="109"/>
      <c r="E110" s="109"/>
      <c r="F110" s="109">
        <v>44474</v>
      </c>
      <c r="G110" s="109" t="s">
        <v>388</v>
      </c>
      <c r="H110" s="109"/>
      <c r="I110" s="139" t="s">
        <v>505</v>
      </c>
      <c r="J110" s="139" t="s">
        <v>506</v>
      </c>
      <c r="K110" s="139" t="s">
        <v>507</v>
      </c>
      <c r="L110" s="139" t="s">
        <v>144</v>
      </c>
      <c r="M110" s="139"/>
      <c r="N110" s="139"/>
      <c r="O110" s="109" t="s">
        <v>93</v>
      </c>
      <c r="P110" s="109">
        <v>1</v>
      </c>
      <c r="Q110" s="136">
        <v>204.01</v>
      </c>
      <c r="R110" s="109">
        <v>1</v>
      </c>
      <c r="S110" s="136">
        <v>204.01</v>
      </c>
      <c r="T110" s="109">
        <v>1</v>
      </c>
      <c r="U110" s="136">
        <v>204.01</v>
      </c>
      <c r="V110" s="109" t="s">
        <v>966</v>
      </c>
      <c r="W110" s="139" t="s">
        <v>970</v>
      </c>
    </row>
    <row r="111" spans="1:23" x14ac:dyDescent="0.2">
      <c r="A111" s="109">
        <v>124</v>
      </c>
      <c r="B111" s="109" t="s">
        <v>125</v>
      </c>
      <c r="C111" s="109">
        <v>1631</v>
      </c>
      <c r="D111" s="109"/>
      <c r="E111" s="109"/>
      <c r="F111" s="109">
        <v>44490</v>
      </c>
      <c r="G111" s="109" t="s">
        <v>163</v>
      </c>
      <c r="H111" s="109"/>
      <c r="I111" s="139" t="s">
        <v>508</v>
      </c>
      <c r="J111" s="139" t="s">
        <v>211</v>
      </c>
      <c r="K111" s="139" t="s">
        <v>509</v>
      </c>
      <c r="L111" s="139" t="s">
        <v>144</v>
      </c>
      <c r="M111" s="139"/>
      <c r="N111" s="139"/>
      <c r="O111" s="109" t="s">
        <v>93</v>
      </c>
      <c r="P111" s="109">
        <v>1</v>
      </c>
      <c r="Q111" s="136">
        <v>99.79</v>
      </c>
      <c r="R111" s="109">
        <v>2</v>
      </c>
      <c r="S111" s="136">
        <v>99.79</v>
      </c>
      <c r="T111" s="109">
        <v>2</v>
      </c>
      <c r="U111" s="136">
        <v>199.58</v>
      </c>
      <c r="V111" s="109" t="s">
        <v>966</v>
      </c>
      <c r="W111" s="139" t="s">
        <v>970</v>
      </c>
    </row>
    <row r="112" spans="1:23" x14ac:dyDescent="0.2">
      <c r="A112" s="109">
        <v>125</v>
      </c>
      <c r="B112" s="109" t="s">
        <v>125</v>
      </c>
      <c r="C112" s="109">
        <v>1634</v>
      </c>
      <c r="D112" s="109"/>
      <c r="E112" s="109"/>
      <c r="F112" s="109">
        <v>44204</v>
      </c>
      <c r="G112" s="109" t="s">
        <v>510</v>
      </c>
      <c r="H112" s="109"/>
      <c r="I112" s="139" t="s">
        <v>511</v>
      </c>
      <c r="J112" s="139" t="s">
        <v>512</v>
      </c>
      <c r="K112" s="139" t="s">
        <v>513</v>
      </c>
      <c r="L112" s="139" t="s">
        <v>135</v>
      </c>
      <c r="M112" s="139"/>
      <c r="N112" s="139"/>
      <c r="O112" s="109" t="s">
        <v>93</v>
      </c>
      <c r="P112" s="109">
        <v>1</v>
      </c>
      <c r="Q112" s="136">
        <v>9.91</v>
      </c>
      <c r="R112" s="109">
        <v>20</v>
      </c>
      <c r="S112" s="136">
        <v>9.91</v>
      </c>
      <c r="T112" s="109">
        <v>20</v>
      </c>
      <c r="U112" s="136">
        <v>198.2</v>
      </c>
      <c r="V112" s="109" t="s">
        <v>966</v>
      </c>
      <c r="W112" s="139" t="s">
        <v>970</v>
      </c>
    </row>
    <row r="113" spans="1:23" x14ac:dyDescent="0.2">
      <c r="A113" s="109">
        <v>126</v>
      </c>
      <c r="B113" s="109" t="s">
        <v>125</v>
      </c>
      <c r="C113" s="109">
        <v>1644</v>
      </c>
      <c r="D113" s="109"/>
      <c r="E113" s="109"/>
      <c r="F113" s="109">
        <v>44384</v>
      </c>
      <c r="G113" s="109" t="s">
        <v>514</v>
      </c>
      <c r="H113" s="109"/>
      <c r="I113" s="139" t="s">
        <v>515</v>
      </c>
      <c r="J113" s="139" t="s">
        <v>516</v>
      </c>
      <c r="K113" s="139" t="s">
        <v>517</v>
      </c>
      <c r="L113" s="139" t="s">
        <v>135</v>
      </c>
      <c r="M113" s="139"/>
      <c r="N113" s="139"/>
      <c r="O113" s="109" t="s">
        <v>93</v>
      </c>
      <c r="P113" s="109">
        <v>1</v>
      </c>
      <c r="Q113" s="136">
        <v>32.5</v>
      </c>
      <c r="R113" s="109">
        <v>6</v>
      </c>
      <c r="S113" s="136">
        <v>32.5</v>
      </c>
      <c r="T113" s="109">
        <v>6</v>
      </c>
      <c r="U113" s="136">
        <v>195</v>
      </c>
      <c r="V113" s="109" t="s">
        <v>966</v>
      </c>
      <c r="W113" s="139" t="s">
        <v>970</v>
      </c>
    </row>
    <row r="114" spans="1:23" x14ac:dyDescent="0.2">
      <c r="A114" s="109">
        <v>127</v>
      </c>
      <c r="B114" s="109" t="s">
        <v>125</v>
      </c>
      <c r="C114" s="109">
        <v>1660</v>
      </c>
      <c r="D114" s="109"/>
      <c r="E114" s="109"/>
      <c r="F114" s="109">
        <v>44434</v>
      </c>
      <c r="G114" s="109" t="s">
        <v>518</v>
      </c>
      <c r="H114" s="109"/>
      <c r="I114" s="139" t="s">
        <v>519</v>
      </c>
      <c r="J114" s="139" t="s">
        <v>520</v>
      </c>
      <c r="K114" s="139" t="s">
        <v>521</v>
      </c>
      <c r="L114" s="139" t="s">
        <v>135</v>
      </c>
      <c r="M114" s="139"/>
      <c r="N114" s="139"/>
      <c r="O114" s="109" t="s">
        <v>93</v>
      </c>
      <c r="P114" s="109">
        <v>1</v>
      </c>
      <c r="Q114" s="136">
        <v>95.03</v>
      </c>
      <c r="R114" s="109">
        <v>2</v>
      </c>
      <c r="S114" s="136">
        <v>95.03</v>
      </c>
      <c r="T114" s="109">
        <v>2</v>
      </c>
      <c r="U114" s="136">
        <v>190.06</v>
      </c>
      <c r="V114" s="109" t="s">
        <v>966</v>
      </c>
      <c r="W114" s="139" t="s">
        <v>979</v>
      </c>
    </row>
    <row r="115" spans="1:23" x14ac:dyDescent="0.2">
      <c r="A115" s="109">
        <v>129</v>
      </c>
      <c r="B115" s="109" t="s">
        <v>125</v>
      </c>
      <c r="C115" s="109">
        <v>1665</v>
      </c>
      <c r="D115" s="109"/>
      <c r="E115" s="109"/>
      <c r="F115" s="109">
        <v>44365</v>
      </c>
      <c r="G115" s="109" t="s">
        <v>247</v>
      </c>
      <c r="H115" s="109"/>
      <c r="I115" s="139" t="s">
        <v>525</v>
      </c>
      <c r="J115" s="139" t="s">
        <v>386</v>
      </c>
      <c r="K115" s="139" t="s">
        <v>526</v>
      </c>
      <c r="L115" s="139" t="s">
        <v>135</v>
      </c>
      <c r="M115" s="139"/>
      <c r="N115" s="139"/>
      <c r="O115" s="109" t="s">
        <v>93</v>
      </c>
      <c r="P115" s="109">
        <v>1</v>
      </c>
      <c r="Q115" s="136">
        <v>18.850000000000001</v>
      </c>
      <c r="R115" s="109">
        <v>10</v>
      </c>
      <c r="S115" s="136">
        <v>18.850000000000001</v>
      </c>
      <c r="T115" s="109">
        <v>10</v>
      </c>
      <c r="U115" s="136">
        <v>188.5</v>
      </c>
      <c r="V115" s="109" t="s">
        <v>966</v>
      </c>
      <c r="W115" s="139" t="s">
        <v>970</v>
      </c>
    </row>
    <row r="116" spans="1:23" x14ac:dyDescent="0.2">
      <c r="A116" s="109">
        <v>131</v>
      </c>
      <c r="B116" s="109" t="s">
        <v>125</v>
      </c>
      <c r="C116" s="109">
        <v>1690</v>
      </c>
      <c r="D116" s="109"/>
      <c r="E116" s="109"/>
      <c r="F116" s="109">
        <v>44473</v>
      </c>
      <c r="G116" s="109" t="s">
        <v>529</v>
      </c>
      <c r="H116" s="109"/>
      <c r="I116" s="139" t="s">
        <v>530</v>
      </c>
      <c r="J116" s="139" t="s">
        <v>531</v>
      </c>
      <c r="K116" s="139" t="s">
        <v>532</v>
      </c>
      <c r="L116" s="139" t="s">
        <v>144</v>
      </c>
      <c r="M116" s="139"/>
      <c r="N116" s="139"/>
      <c r="O116" s="109" t="s">
        <v>93</v>
      </c>
      <c r="P116" s="109">
        <v>1</v>
      </c>
      <c r="Q116" s="136">
        <v>91.5</v>
      </c>
      <c r="R116" s="109">
        <v>2</v>
      </c>
      <c r="S116" s="136">
        <v>91.5</v>
      </c>
      <c r="T116" s="109">
        <v>2</v>
      </c>
      <c r="U116" s="136">
        <v>183</v>
      </c>
      <c r="V116" s="109" t="s">
        <v>966</v>
      </c>
      <c r="W116" s="139" t="s">
        <v>970</v>
      </c>
    </row>
    <row r="117" spans="1:23" x14ac:dyDescent="0.2">
      <c r="A117" s="109">
        <v>132</v>
      </c>
      <c r="B117" s="109" t="s">
        <v>125</v>
      </c>
      <c r="C117" s="109">
        <v>1702</v>
      </c>
      <c r="D117" s="109"/>
      <c r="E117" s="109"/>
      <c r="F117" s="109">
        <v>44496</v>
      </c>
      <c r="G117" s="109" t="s">
        <v>533</v>
      </c>
      <c r="H117" s="109"/>
      <c r="I117" s="139" t="s">
        <v>534</v>
      </c>
      <c r="J117" s="139" t="s">
        <v>535</v>
      </c>
      <c r="K117" s="139" t="s">
        <v>536</v>
      </c>
      <c r="L117" s="139" t="s">
        <v>130</v>
      </c>
      <c r="M117" s="139"/>
      <c r="N117" s="139"/>
      <c r="O117" s="109" t="s">
        <v>93</v>
      </c>
      <c r="P117" s="109">
        <v>1</v>
      </c>
      <c r="Q117" s="136">
        <v>17.96</v>
      </c>
      <c r="R117" s="109">
        <v>10</v>
      </c>
      <c r="S117" s="136">
        <v>17.96</v>
      </c>
      <c r="T117" s="109">
        <v>10</v>
      </c>
      <c r="U117" s="136">
        <v>179.60000000000002</v>
      </c>
      <c r="V117" s="109" t="s">
        <v>966</v>
      </c>
      <c r="W117" s="139" t="s">
        <v>970</v>
      </c>
    </row>
    <row r="118" spans="1:23" x14ac:dyDescent="0.2">
      <c r="A118" s="109">
        <v>133</v>
      </c>
      <c r="B118" s="109" t="s">
        <v>125</v>
      </c>
      <c r="C118" s="109">
        <v>1705</v>
      </c>
      <c r="D118" s="109"/>
      <c r="E118" s="109"/>
      <c r="F118" s="109">
        <v>44494</v>
      </c>
      <c r="G118" s="109" t="s">
        <v>537</v>
      </c>
      <c r="H118" s="109"/>
      <c r="I118" s="139" t="s">
        <v>538</v>
      </c>
      <c r="J118" s="139" t="s">
        <v>407</v>
      </c>
      <c r="K118" s="139" t="s">
        <v>539</v>
      </c>
      <c r="L118" s="139" t="s">
        <v>144</v>
      </c>
      <c r="M118" s="139"/>
      <c r="N118" s="139"/>
      <c r="O118" s="109" t="s">
        <v>93</v>
      </c>
      <c r="P118" s="109">
        <v>1</v>
      </c>
      <c r="Q118" s="136">
        <v>59.53</v>
      </c>
      <c r="R118" s="109">
        <v>3</v>
      </c>
      <c r="S118" s="136">
        <v>59.53</v>
      </c>
      <c r="T118" s="109">
        <v>3</v>
      </c>
      <c r="U118" s="136">
        <v>178.59</v>
      </c>
      <c r="V118" s="109" t="s">
        <v>966</v>
      </c>
      <c r="W118" s="139" t="s">
        <v>970</v>
      </c>
    </row>
    <row r="119" spans="1:23" x14ac:dyDescent="0.2">
      <c r="A119" s="109">
        <v>136</v>
      </c>
      <c r="B119" s="109" t="s">
        <v>125</v>
      </c>
      <c r="C119" s="109">
        <v>1718</v>
      </c>
      <c r="D119" s="109"/>
      <c r="E119" s="109"/>
      <c r="F119" s="109">
        <v>44239</v>
      </c>
      <c r="G119" s="109" t="s">
        <v>145</v>
      </c>
      <c r="H119" s="109"/>
      <c r="I119" s="139" t="s">
        <v>545</v>
      </c>
      <c r="J119" s="139" t="s">
        <v>546</v>
      </c>
      <c r="K119" s="139" t="s">
        <v>547</v>
      </c>
      <c r="L119" s="139" t="s">
        <v>135</v>
      </c>
      <c r="M119" s="139"/>
      <c r="N119" s="139"/>
      <c r="O119" s="109" t="s">
        <v>93</v>
      </c>
      <c r="P119" s="109">
        <v>1</v>
      </c>
      <c r="Q119" s="136">
        <v>88.48</v>
      </c>
      <c r="R119" s="109">
        <v>2</v>
      </c>
      <c r="S119" s="136">
        <v>88.48</v>
      </c>
      <c r="T119" s="109">
        <v>2</v>
      </c>
      <c r="U119" s="136">
        <v>176.96</v>
      </c>
      <c r="V119" s="109" t="s">
        <v>966</v>
      </c>
      <c r="W119" s="139" t="s">
        <v>970</v>
      </c>
    </row>
    <row r="120" spans="1:23" x14ac:dyDescent="0.2">
      <c r="A120" s="109">
        <v>139</v>
      </c>
      <c r="B120" s="109" t="s">
        <v>125</v>
      </c>
      <c r="C120" s="109">
        <v>1759</v>
      </c>
      <c r="D120" s="109"/>
      <c r="E120" s="109"/>
      <c r="F120" s="109">
        <v>44490</v>
      </c>
      <c r="G120" s="109" t="s">
        <v>280</v>
      </c>
      <c r="H120" s="109"/>
      <c r="I120" s="139" t="s">
        <v>554</v>
      </c>
      <c r="J120" s="139" t="s">
        <v>555</v>
      </c>
      <c r="K120" s="139" t="s">
        <v>556</v>
      </c>
      <c r="L120" s="139" t="s">
        <v>144</v>
      </c>
      <c r="M120" s="139"/>
      <c r="N120" s="139"/>
      <c r="O120" s="109" t="s">
        <v>93</v>
      </c>
      <c r="P120" s="109">
        <v>1</v>
      </c>
      <c r="Q120" s="136">
        <v>41.7</v>
      </c>
      <c r="R120" s="109">
        <v>4</v>
      </c>
      <c r="S120" s="136">
        <v>41.7</v>
      </c>
      <c r="T120" s="109">
        <v>4</v>
      </c>
      <c r="U120" s="136">
        <v>166.8</v>
      </c>
      <c r="V120" s="109" t="s">
        <v>966</v>
      </c>
      <c r="W120" s="139" t="s">
        <v>970</v>
      </c>
    </row>
    <row r="121" spans="1:23" x14ac:dyDescent="0.2">
      <c r="A121" s="109">
        <v>141</v>
      </c>
      <c r="B121" s="109" t="s">
        <v>125</v>
      </c>
      <c r="C121" s="109">
        <v>1764</v>
      </c>
      <c r="D121" s="109"/>
      <c r="E121" s="109"/>
      <c r="F121" s="109">
        <v>44329</v>
      </c>
      <c r="G121" s="109" t="s">
        <v>560</v>
      </c>
      <c r="H121" s="109"/>
      <c r="I121" s="139" t="s">
        <v>561</v>
      </c>
      <c r="J121" s="139" t="s">
        <v>562</v>
      </c>
      <c r="K121" s="139" t="s">
        <v>563</v>
      </c>
      <c r="L121" s="139" t="s">
        <v>135</v>
      </c>
      <c r="M121" s="139"/>
      <c r="N121" s="139"/>
      <c r="O121" s="109" t="s">
        <v>93</v>
      </c>
      <c r="P121" s="109">
        <v>1</v>
      </c>
      <c r="Q121" s="136">
        <v>164.53</v>
      </c>
      <c r="R121" s="109">
        <v>1</v>
      </c>
      <c r="S121" s="136">
        <v>164.53</v>
      </c>
      <c r="T121" s="109">
        <v>1</v>
      </c>
      <c r="U121" s="136">
        <v>164.53</v>
      </c>
      <c r="V121" s="109" t="s">
        <v>967</v>
      </c>
      <c r="W121" s="139" t="s">
        <v>972</v>
      </c>
    </row>
    <row r="122" spans="1:23" x14ac:dyDescent="0.2">
      <c r="A122" s="109">
        <v>143</v>
      </c>
      <c r="B122" s="109" t="s">
        <v>125</v>
      </c>
      <c r="C122" s="109">
        <v>1775</v>
      </c>
      <c r="D122" s="109"/>
      <c r="E122" s="109"/>
      <c r="F122" s="109">
        <v>44487</v>
      </c>
      <c r="G122" s="109" t="s">
        <v>255</v>
      </c>
      <c r="H122" s="109"/>
      <c r="I122" s="139" t="s">
        <v>567</v>
      </c>
      <c r="J122" s="139" t="s">
        <v>568</v>
      </c>
      <c r="K122" s="139" t="s">
        <v>569</v>
      </c>
      <c r="L122" s="139" t="s">
        <v>144</v>
      </c>
      <c r="M122" s="139"/>
      <c r="N122" s="139"/>
      <c r="O122" s="109" t="s">
        <v>93</v>
      </c>
      <c r="P122" s="109">
        <v>1</v>
      </c>
      <c r="Q122" s="136">
        <v>80.77</v>
      </c>
      <c r="R122" s="109">
        <v>2</v>
      </c>
      <c r="S122" s="136">
        <v>80.77</v>
      </c>
      <c r="T122" s="109">
        <v>2</v>
      </c>
      <c r="U122" s="136">
        <v>161.54</v>
      </c>
      <c r="V122" s="109" t="s">
        <v>966</v>
      </c>
      <c r="W122" s="139" t="s">
        <v>970</v>
      </c>
    </row>
    <row r="123" spans="1:23" x14ac:dyDescent="0.2">
      <c r="A123" s="109">
        <v>144</v>
      </c>
      <c r="B123" s="109" t="s">
        <v>125</v>
      </c>
      <c r="C123" s="109">
        <v>1787</v>
      </c>
      <c r="D123" s="109"/>
      <c r="E123" s="109"/>
      <c r="F123" s="109">
        <v>44470</v>
      </c>
      <c r="G123" s="109" t="s">
        <v>140</v>
      </c>
      <c r="H123" s="109"/>
      <c r="I123" s="139" t="s">
        <v>570</v>
      </c>
      <c r="J123" s="139" t="s">
        <v>310</v>
      </c>
      <c r="K123" s="139" t="s">
        <v>571</v>
      </c>
      <c r="L123" s="139" t="s">
        <v>144</v>
      </c>
      <c r="M123" s="139"/>
      <c r="N123" s="139"/>
      <c r="O123" s="109" t="s">
        <v>93</v>
      </c>
      <c r="P123" s="109">
        <v>1</v>
      </c>
      <c r="Q123" s="136">
        <v>31.68</v>
      </c>
      <c r="R123" s="109">
        <v>5</v>
      </c>
      <c r="S123" s="136">
        <v>31.68</v>
      </c>
      <c r="T123" s="109">
        <v>5</v>
      </c>
      <c r="U123" s="136">
        <v>158.4</v>
      </c>
      <c r="V123" s="109" t="s">
        <v>966</v>
      </c>
      <c r="W123" s="139" t="s">
        <v>970</v>
      </c>
    </row>
    <row r="124" spans="1:23" x14ac:dyDescent="0.2">
      <c r="A124" s="109">
        <v>146</v>
      </c>
      <c r="B124" s="109" t="s">
        <v>125</v>
      </c>
      <c r="C124" s="109">
        <v>1798</v>
      </c>
      <c r="D124" s="109"/>
      <c r="E124" s="109"/>
      <c r="F124" s="109">
        <v>44319</v>
      </c>
      <c r="G124" s="109" t="s">
        <v>575</v>
      </c>
      <c r="H124" s="109"/>
      <c r="I124" s="139" t="s">
        <v>576</v>
      </c>
      <c r="J124" s="139" t="s">
        <v>577</v>
      </c>
      <c r="K124" s="139" t="s">
        <v>578</v>
      </c>
      <c r="L124" s="139" t="s">
        <v>135</v>
      </c>
      <c r="M124" s="139"/>
      <c r="N124" s="139"/>
      <c r="O124" s="109" t="s">
        <v>93</v>
      </c>
      <c r="P124" s="109">
        <v>1</v>
      </c>
      <c r="Q124" s="136">
        <v>76.8</v>
      </c>
      <c r="R124" s="109">
        <v>2</v>
      </c>
      <c r="S124" s="136">
        <v>76.8</v>
      </c>
      <c r="T124" s="109">
        <v>2</v>
      </c>
      <c r="U124" s="136">
        <v>153.6</v>
      </c>
      <c r="V124" s="109" t="s">
        <v>966</v>
      </c>
      <c r="W124" s="139" t="s">
        <v>970</v>
      </c>
    </row>
    <row r="125" spans="1:23" x14ac:dyDescent="0.2">
      <c r="A125" s="109">
        <v>147</v>
      </c>
      <c r="B125" s="109" t="s">
        <v>125</v>
      </c>
      <c r="C125" s="109">
        <v>1806</v>
      </c>
      <c r="D125" s="109"/>
      <c r="E125" s="109"/>
      <c r="F125" s="109">
        <v>44217</v>
      </c>
      <c r="G125" s="109" t="s">
        <v>163</v>
      </c>
      <c r="H125" s="109"/>
      <c r="I125" s="139" t="s">
        <v>579</v>
      </c>
      <c r="J125" s="139" t="s">
        <v>297</v>
      </c>
      <c r="K125" s="139" t="s">
        <v>580</v>
      </c>
      <c r="L125" s="139" t="s">
        <v>135</v>
      </c>
      <c r="M125" s="139"/>
      <c r="N125" s="139"/>
      <c r="O125" s="109" t="s">
        <v>93</v>
      </c>
      <c r="P125" s="109">
        <v>1</v>
      </c>
      <c r="Q125" s="136">
        <v>76.150000000000006</v>
      </c>
      <c r="R125" s="109">
        <v>2</v>
      </c>
      <c r="S125" s="136">
        <v>76.150000000000006</v>
      </c>
      <c r="T125" s="109">
        <v>2</v>
      </c>
      <c r="U125" s="136">
        <v>152.30000000000001</v>
      </c>
      <c r="V125" s="109" t="s">
        <v>966</v>
      </c>
      <c r="W125" s="139" t="s">
        <v>970</v>
      </c>
    </row>
    <row r="126" spans="1:23" x14ac:dyDescent="0.2">
      <c r="A126" s="109">
        <v>148</v>
      </c>
      <c r="B126" s="109" t="s">
        <v>125</v>
      </c>
      <c r="C126" s="109">
        <v>1807</v>
      </c>
      <c r="D126" s="109"/>
      <c r="E126" s="109"/>
      <c r="F126" s="109">
        <v>44487</v>
      </c>
      <c r="G126" s="109" t="s">
        <v>280</v>
      </c>
      <c r="H126" s="109"/>
      <c r="I126" s="139" t="s">
        <v>581</v>
      </c>
      <c r="J126" s="139" t="s">
        <v>495</v>
      </c>
      <c r="K126" s="139" t="s">
        <v>582</v>
      </c>
      <c r="L126" s="139" t="s">
        <v>144</v>
      </c>
      <c r="M126" s="139"/>
      <c r="N126" s="139"/>
      <c r="O126" s="109" t="s">
        <v>93</v>
      </c>
      <c r="P126" s="109">
        <v>1</v>
      </c>
      <c r="Q126" s="136">
        <v>38.020000000000003</v>
      </c>
      <c r="R126" s="109">
        <v>4</v>
      </c>
      <c r="S126" s="136">
        <v>38.020000000000003</v>
      </c>
      <c r="T126" s="109">
        <v>4</v>
      </c>
      <c r="U126" s="136">
        <v>152.08000000000001</v>
      </c>
      <c r="V126" s="109" t="s">
        <v>966</v>
      </c>
      <c r="W126" s="139" t="s">
        <v>970</v>
      </c>
    </row>
    <row r="127" spans="1:23" x14ac:dyDescent="0.2">
      <c r="A127" s="109">
        <v>149</v>
      </c>
      <c r="B127" s="109" t="s">
        <v>125</v>
      </c>
      <c r="C127" s="109">
        <v>1814</v>
      </c>
      <c r="D127" s="109"/>
      <c r="E127" s="109"/>
      <c r="F127" s="109">
        <v>44369</v>
      </c>
      <c r="G127" s="109" t="s">
        <v>583</v>
      </c>
      <c r="H127" s="109"/>
      <c r="I127" s="139" t="s">
        <v>584</v>
      </c>
      <c r="J127" s="139" t="s">
        <v>585</v>
      </c>
      <c r="K127" s="139" t="s">
        <v>586</v>
      </c>
      <c r="L127" s="139" t="s">
        <v>135</v>
      </c>
      <c r="M127" s="139"/>
      <c r="N127" s="139"/>
      <c r="O127" s="109" t="s">
        <v>93</v>
      </c>
      <c r="P127" s="109">
        <v>1</v>
      </c>
      <c r="Q127" s="136">
        <v>37.619999999999997</v>
      </c>
      <c r="R127" s="109">
        <v>4</v>
      </c>
      <c r="S127" s="136">
        <v>37.619999999999997</v>
      </c>
      <c r="T127" s="109">
        <v>4</v>
      </c>
      <c r="U127" s="136">
        <v>150.47999999999999</v>
      </c>
      <c r="V127" s="109" t="s">
        <v>965</v>
      </c>
      <c r="W127" s="139" t="s">
        <v>969</v>
      </c>
    </row>
    <row r="128" spans="1:23" x14ac:dyDescent="0.2">
      <c r="A128" s="109">
        <v>150</v>
      </c>
      <c r="B128" s="109" t="s">
        <v>125</v>
      </c>
      <c r="C128" s="109">
        <v>1825</v>
      </c>
      <c r="D128" s="109"/>
      <c r="E128" s="109"/>
      <c r="F128" s="109">
        <v>44344</v>
      </c>
      <c r="G128" s="109" t="s">
        <v>259</v>
      </c>
      <c r="H128" s="109"/>
      <c r="I128" s="139" t="s">
        <v>587</v>
      </c>
      <c r="J128" s="139" t="s">
        <v>588</v>
      </c>
      <c r="K128" s="139" t="s">
        <v>589</v>
      </c>
      <c r="L128" s="139" t="s">
        <v>135</v>
      </c>
      <c r="M128" s="139"/>
      <c r="N128" s="139"/>
      <c r="O128" s="109" t="s">
        <v>93</v>
      </c>
      <c r="P128" s="109">
        <v>1</v>
      </c>
      <c r="Q128" s="136">
        <v>14.67</v>
      </c>
      <c r="R128" s="109">
        <v>10</v>
      </c>
      <c r="S128" s="136">
        <v>14.67</v>
      </c>
      <c r="T128" s="109">
        <v>10</v>
      </c>
      <c r="U128" s="136">
        <v>146.69999999999999</v>
      </c>
      <c r="V128" s="109" t="s">
        <v>966</v>
      </c>
      <c r="W128" s="139" t="s">
        <v>970</v>
      </c>
    </row>
    <row r="129" spans="1:23" x14ac:dyDescent="0.2">
      <c r="A129" s="109">
        <v>152</v>
      </c>
      <c r="B129" s="109" t="s">
        <v>125</v>
      </c>
      <c r="C129" s="109">
        <v>1849</v>
      </c>
      <c r="D129" s="109"/>
      <c r="E129" s="109"/>
      <c r="F129" s="109">
        <v>44489</v>
      </c>
      <c r="G129" s="109" t="s">
        <v>259</v>
      </c>
      <c r="H129" s="109"/>
      <c r="I129" s="139" t="s">
        <v>593</v>
      </c>
      <c r="J129" s="139" t="s">
        <v>594</v>
      </c>
      <c r="K129" s="139" t="s">
        <v>595</v>
      </c>
      <c r="L129" s="139" t="s">
        <v>130</v>
      </c>
      <c r="M129" s="139"/>
      <c r="N129" s="139"/>
      <c r="O129" s="109" t="s">
        <v>93</v>
      </c>
      <c r="P129" s="109">
        <v>1</v>
      </c>
      <c r="Q129" s="136">
        <v>28.49</v>
      </c>
      <c r="R129" s="109">
        <v>5</v>
      </c>
      <c r="S129" s="136">
        <v>28.49</v>
      </c>
      <c r="T129" s="109">
        <v>5</v>
      </c>
      <c r="U129" s="136">
        <v>142.44999999999999</v>
      </c>
      <c r="V129" s="109" t="s">
        <v>974</v>
      </c>
      <c r="W129" s="139" t="s">
        <v>975</v>
      </c>
    </row>
    <row r="130" spans="1:23" x14ac:dyDescent="0.2">
      <c r="A130" s="109">
        <v>153</v>
      </c>
      <c r="B130" s="109" t="s">
        <v>125</v>
      </c>
      <c r="C130" s="109">
        <v>1856</v>
      </c>
      <c r="D130" s="109"/>
      <c r="E130" s="109"/>
      <c r="F130" s="109">
        <v>44559</v>
      </c>
      <c r="G130" s="109" t="s">
        <v>280</v>
      </c>
      <c r="H130" s="109"/>
      <c r="I130" s="139" t="s">
        <v>596</v>
      </c>
      <c r="J130" s="139" t="s">
        <v>353</v>
      </c>
      <c r="K130" s="139" t="s">
        <v>597</v>
      </c>
      <c r="L130" s="139" t="s">
        <v>144</v>
      </c>
      <c r="M130" s="139"/>
      <c r="N130" s="139"/>
      <c r="O130" s="109" t="s">
        <v>93</v>
      </c>
      <c r="P130" s="109">
        <v>1</v>
      </c>
      <c r="Q130" s="136">
        <v>35.14</v>
      </c>
      <c r="R130" s="109">
        <v>4</v>
      </c>
      <c r="S130" s="136">
        <v>35.14</v>
      </c>
      <c r="T130" s="109">
        <v>4</v>
      </c>
      <c r="U130" s="136">
        <v>140.56</v>
      </c>
      <c r="V130" s="109" t="s">
        <v>966</v>
      </c>
      <c r="W130" s="139" t="s">
        <v>970</v>
      </c>
    </row>
    <row r="131" spans="1:23" x14ac:dyDescent="0.2">
      <c r="A131" s="109">
        <v>155</v>
      </c>
      <c r="B131" s="109" t="s">
        <v>125</v>
      </c>
      <c r="C131" s="109">
        <v>1877</v>
      </c>
      <c r="D131" s="109"/>
      <c r="E131" s="109"/>
      <c r="F131" s="109">
        <v>44503</v>
      </c>
      <c r="G131" s="109" t="s">
        <v>193</v>
      </c>
      <c r="H131" s="109"/>
      <c r="I131" s="139" t="s">
        <v>600</v>
      </c>
      <c r="J131" s="139" t="s">
        <v>179</v>
      </c>
      <c r="K131" s="139" t="s">
        <v>601</v>
      </c>
      <c r="L131" s="139" t="s">
        <v>144</v>
      </c>
      <c r="M131" s="139"/>
      <c r="N131" s="139"/>
      <c r="O131" s="109" t="s">
        <v>93</v>
      </c>
      <c r="P131" s="109">
        <v>1</v>
      </c>
      <c r="Q131" s="136">
        <v>67.209999999999994</v>
      </c>
      <c r="R131" s="109">
        <v>2</v>
      </c>
      <c r="S131" s="136">
        <v>67.209999999999994</v>
      </c>
      <c r="T131" s="109">
        <v>2</v>
      </c>
      <c r="U131" s="136">
        <v>134.41999999999999</v>
      </c>
      <c r="V131" s="109" t="s">
        <v>966</v>
      </c>
      <c r="W131" s="139" t="s">
        <v>970</v>
      </c>
    </row>
    <row r="132" spans="1:23" x14ac:dyDescent="0.2">
      <c r="A132" s="109">
        <v>157</v>
      </c>
      <c r="B132" s="109" t="s">
        <v>125</v>
      </c>
      <c r="C132" s="109">
        <v>1887</v>
      </c>
      <c r="D132" s="109"/>
      <c r="E132" s="109"/>
      <c r="F132" s="109">
        <v>44258</v>
      </c>
      <c r="G132" s="109" t="s">
        <v>163</v>
      </c>
      <c r="H132" s="109"/>
      <c r="I132" s="139" t="s">
        <v>606</v>
      </c>
      <c r="J132" s="139" t="s">
        <v>535</v>
      </c>
      <c r="K132" s="139" t="s">
        <v>607</v>
      </c>
      <c r="L132" s="139" t="s">
        <v>135</v>
      </c>
      <c r="M132" s="139"/>
      <c r="N132" s="139"/>
      <c r="O132" s="109" t="s">
        <v>93</v>
      </c>
      <c r="P132" s="109">
        <v>1</v>
      </c>
      <c r="Q132" s="136">
        <v>16.420000000000002</v>
      </c>
      <c r="R132" s="109">
        <v>8</v>
      </c>
      <c r="S132" s="136">
        <v>16.420000000000002</v>
      </c>
      <c r="T132" s="109">
        <v>8</v>
      </c>
      <c r="U132" s="136">
        <v>131.36000000000001</v>
      </c>
      <c r="V132" s="109" t="s">
        <v>966</v>
      </c>
      <c r="W132" s="139" t="s">
        <v>970</v>
      </c>
    </row>
    <row r="133" spans="1:23" x14ac:dyDescent="0.2">
      <c r="A133" s="109">
        <v>158</v>
      </c>
      <c r="B133" s="109" t="s">
        <v>125</v>
      </c>
      <c r="C133" s="109">
        <v>1899</v>
      </c>
      <c r="D133" s="109"/>
      <c r="E133" s="109"/>
      <c r="F133" s="109">
        <v>44364</v>
      </c>
      <c r="G133" s="109" t="s">
        <v>395</v>
      </c>
      <c r="H133" s="109"/>
      <c r="I133" s="139" t="s">
        <v>608</v>
      </c>
      <c r="J133" s="139" t="s">
        <v>609</v>
      </c>
      <c r="K133" s="139" t="s">
        <v>610</v>
      </c>
      <c r="L133" s="139" t="s">
        <v>135</v>
      </c>
      <c r="M133" s="139"/>
      <c r="N133" s="139"/>
      <c r="O133" s="109" t="s">
        <v>93</v>
      </c>
      <c r="P133" s="109">
        <v>1</v>
      </c>
      <c r="Q133" s="136">
        <v>32.159999999999997</v>
      </c>
      <c r="R133" s="109">
        <v>4</v>
      </c>
      <c r="S133" s="136">
        <v>32.159999999999997</v>
      </c>
      <c r="T133" s="109">
        <v>4</v>
      </c>
      <c r="U133" s="136">
        <v>128.63999999999999</v>
      </c>
      <c r="V133" s="109" t="s">
        <v>966</v>
      </c>
      <c r="W133" s="139" t="s">
        <v>970</v>
      </c>
    </row>
    <row r="134" spans="1:23" x14ac:dyDescent="0.2">
      <c r="A134" s="109">
        <v>159</v>
      </c>
      <c r="B134" s="109" t="s">
        <v>125</v>
      </c>
      <c r="C134" s="109">
        <v>1930</v>
      </c>
      <c r="D134" s="109"/>
      <c r="E134" s="109"/>
      <c r="F134" s="109">
        <v>44524</v>
      </c>
      <c r="G134" s="109" t="s">
        <v>446</v>
      </c>
      <c r="H134" s="109"/>
      <c r="I134" s="139" t="s">
        <v>611</v>
      </c>
      <c r="J134" s="139" t="s">
        <v>612</v>
      </c>
      <c r="K134" s="139" t="s">
        <v>613</v>
      </c>
      <c r="L134" s="139" t="s">
        <v>135</v>
      </c>
      <c r="M134" s="139"/>
      <c r="N134" s="139"/>
      <c r="O134" s="109" t="s">
        <v>93</v>
      </c>
      <c r="P134" s="109">
        <v>1</v>
      </c>
      <c r="Q134" s="136">
        <v>20.18</v>
      </c>
      <c r="R134" s="109">
        <v>6</v>
      </c>
      <c r="S134" s="136">
        <v>20.18</v>
      </c>
      <c r="T134" s="109">
        <v>6</v>
      </c>
      <c r="U134" s="136">
        <v>121.08</v>
      </c>
      <c r="V134" s="109" t="s">
        <v>974</v>
      </c>
      <c r="W134" s="139" t="s">
        <v>975</v>
      </c>
    </row>
    <row r="135" spans="1:23" x14ac:dyDescent="0.2">
      <c r="A135" s="109">
        <v>160</v>
      </c>
      <c r="B135" s="109" t="s">
        <v>125</v>
      </c>
      <c r="C135" s="109">
        <v>1933</v>
      </c>
      <c r="D135" s="109"/>
      <c r="E135" s="109"/>
      <c r="F135" s="109">
        <v>44477</v>
      </c>
      <c r="G135" s="109" t="s">
        <v>614</v>
      </c>
      <c r="H135" s="109"/>
      <c r="I135" s="139" t="s">
        <v>615</v>
      </c>
      <c r="J135" s="139" t="s">
        <v>616</v>
      </c>
      <c r="K135" s="139" t="s">
        <v>617</v>
      </c>
      <c r="L135" s="139" t="s">
        <v>135</v>
      </c>
      <c r="M135" s="139"/>
      <c r="N135" s="139"/>
      <c r="O135" s="109" t="s">
        <v>93</v>
      </c>
      <c r="P135" s="109">
        <v>1</v>
      </c>
      <c r="Q135" s="136">
        <v>40.130000000000003</v>
      </c>
      <c r="R135" s="109">
        <v>3</v>
      </c>
      <c r="S135" s="136">
        <v>40.130000000000003</v>
      </c>
      <c r="T135" s="109">
        <v>3</v>
      </c>
      <c r="U135" s="136">
        <v>120.39000000000001</v>
      </c>
      <c r="V135" s="109" t="s">
        <v>965</v>
      </c>
      <c r="W135" s="139" t="s">
        <v>969</v>
      </c>
    </row>
    <row r="136" spans="1:23" x14ac:dyDescent="0.2">
      <c r="A136" s="109">
        <v>161</v>
      </c>
      <c r="B136" s="109" t="s">
        <v>125</v>
      </c>
      <c r="C136" s="109">
        <v>1945</v>
      </c>
      <c r="D136" s="109"/>
      <c r="E136" s="109"/>
      <c r="F136" s="109">
        <v>44342</v>
      </c>
      <c r="G136" s="109" t="s">
        <v>618</v>
      </c>
      <c r="H136" s="109"/>
      <c r="I136" s="139" t="s">
        <v>619</v>
      </c>
      <c r="J136" s="139" t="s">
        <v>620</v>
      </c>
      <c r="K136" s="139" t="s">
        <v>621</v>
      </c>
      <c r="L136" s="139" t="s">
        <v>135</v>
      </c>
      <c r="M136" s="139"/>
      <c r="N136" s="139"/>
      <c r="O136" s="109" t="s">
        <v>93</v>
      </c>
      <c r="P136" s="109">
        <v>1</v>
      </c>
      <c r="Q136" s="136">
        <v>59.96</v>
      </c>
      <c r="R136" s="109">
        <v>2</v>
      </c>
      <c r="S136" s="136">
        <v>59.96</v>
      </c>
      <c r="T136" s="109">
        <v>2</v>
      </c>
      <c r="U136" s="136">
        <v>119.92</v>
      </c>
      <c r="V136" s="109" t="s">
        <v>966</v>
      </c>
      <c r="W136" s="139" t="s">
        <v>970</v>
      </c>
    </row>
    <row r="137" spans="1:23" x14ac:dyDescent="0.2">
      <c r="A137" s="109">
        <v>163</v>
      </c>
      <c r="B137" s="109" t="s">
        <v>125</v>
      </c>
      <c r="C137" s="109">
        <v>1955</v>
      </c>
      <c r="D137" s="109"/>
      <c r="E137" s="109"/>
      <c r="F137" s="109">
        <v>44503</v>
      </c>
      <c r="G137" s="109" t="s">
        <v>140</v>
      </c>
      <c r="H137" s="109"/>
      <c r="I137" s="139" t="s">
        <v>625</v>
      </c>
      <c r="J137" s="139" t="s">
        <v>415</v>
      </c>
      <c r="K137" s="139" t="s">
        <v>626</v>
      </c>
      <c r="L137" s="139" t="s">
        <v>144</v>
      </c>
      <c r="M137" s="139"/>
      <c r="N137" s="139"/>
      <c r="O137" s="109" t="s">
        <v>93</v>
      </c>
      <c r="P137" s="109">
        <v>1</v>
      </c>
      <c r="Q137" s="136">
        <v>23.53</v>
      </c>
      <c r="R137" s="109">
        <v>5</v>
      </c>
      <c r="S137" s="136">
        <v>23.53</v>
      </c>
      <c r="T137" s="109">
        <v>5</v>
      </c>
      <c r="U137" s="136">
        <v>117.65</v>
      </c>
      <c r="V137" s="109" t="s">
        <v>966</v>
      </c>
      <c r="W137" s="139" t="s">
        <v>970</v>
      </c>
    </row>
    <row r="138" spans="1:23" x14ac:dyDescent="0.2">
      <c r="A138" s="109">
        <v>165</v>
      </c>
      <c r="B138" s="109" t="s">
        <v>125</v>
      </c>
      <c r="C138" s="109">
        <v>1991</v>
      </c>
      <c r="D138" s="109"/>
      <c r="E138" s="109"/>
      <c r="F138" s="109">
        <v>44272</v>
      </c>
      <c r="G138" s="109" t="s">
        <v>145</v>
      </c>
      <c r="H138" s="109"/>
      <c r="I138" s="139" t="s">
        <v>629</v>
      </c>
      <c r="J138" s="139" t="s">
        <v>630</v>
      </c>
      <c r="K138" s="139" t="s">
        <v>631</v>
      </c>
      <c r="L138" s="139" t="s">
        <v>135</v>
      </c>
      <c r="M138" s="139"/>
      <c r="N138" s="139"/>
      <c r="O138" s="109" t="s">
        <v>93</v>
      </c>
      <c r="P138" s="109">
        <v>1</v>
      </c>
      <c r="Q138" s="136">
        <v>36.97</v>
      </c>
      <c r="R138" s="109">
        <v>3</v>
      </c>
      <c r="S138" s="136">
        <v>36.97</v>
      </c>
      <c r="T138" s="109">
        <v>3</v>
      </c>
      <c r="U138" s="136">
        <v>110.91</v>
      </c>
      <c r="V138" s="109" t="s">
        <v>966</v>
      </c>
      <c r="W138" s="139" t="s">
        <v>970</v>
      </c>
    </row>
    <row r="139" spans="1:23" x14ac:dyDescent="0.2">
      <c r="A139" s="109">
        <v>166</v>
      </c>
      <c r="B139" s="109" t="s">
        <v>125</v>
      </c>
      <c r="C139" s="109">
        <v>1994</v>
      </c>
      <c r="D139" s="109"/>
      <c r="E139" s="109"/>
      <c r="F139" s="109">
        <v>44362</v>
      </c>
      <c r="G139" s="109" t="s">
        <v>247</v>
      </c>
      <c r="H139" s="109"/>
      <c r="I139" s="139" t="s">
        <v>632</v>
      </c>
      <c r="J139" s="139" t="s">
        <v>249</v>
      </c>
      <c r="K139" s="139" t="s">
        <v>633</v>
      </c>
      <c r="L139" s="139" t="s">
        <v>135</v>
      </c>
      <c r="M139" s="139"/>
      <c r="N139" s="139"/>
      <c r="O139" s="109" t="s">
        <v>93</v>
      </c>
      <c r="P139" s="109">
        <v>1</v>
      </c>
      <c r="Q139" s="136">
        <v>22.09</v>
      </c>
      <c r="R139" s="109">
        <v>5</v>
      </c>
      <c r="S139" s="136">
        <v>22.09</v>
      </c>
      <c r="T139" s="109">
        <v>5</v>
      </c>
      <c r="U139" s="136">
        <v>110.45</v>
      </c>
      <c r="V139" s="109" t="s">
        <v>966</v>
      </c>
      <c r="W139" s="139" t="s">
        <v>970</v>
      </c>
    </row>
    <row r="140" spans="1:23" x14ac:dyDescent="0.2">
      <c r="A140" s="109">
        <v>168</v>
      </c>
      <c r="B140" s="109" t="s">
        <v>125</v>
      </c>
      <c r="C140" s="109">
        <v>2001</v>
      </c>
      <c r="D140" s="109"/>
      <c r="E140" s="109"/>
      <c r="F140" s="109">
        <v>44524</v>
      </c>
      <c r="G140" s="109" t="s">
        <v>475</v>
      </c>
      <c r="H140" s="109"/>
      <c r="I140" s="139" t="s">
        <v>636</v>
      </c>
      <c r="J140" s="139" t="s">
        <v>637</v>
      </c>
      <c r="K140" s="139" t="s">
        <v>638</v>
      </c>
      <c r="L140" s="139" t="s">
        <v>144</v>
      </c>
      <c r="M140" s="139"/>
      <c r="N140" s="139"/>
      <c r="O140" s="109" t="s">
        <v>93</v>
      </c>
      <c r="P140" s="109">
        <v>1</v>
      </c>
      <c r="Q140" s="136">
        <v>27.36</v>
      </c>
      <c r="R140" s="109">
        <v>4</v>
      </c>
      <c r="S140" s="136">
        <v>27.36</v>
      </c>
      <c r="T140" s="109">
        <v>4</v>
      </c>
      <c r="U140" s="136">
        <v>109.44</v>
      </c>
      <c r="V140" s="109" t="s">
        <v>966</v>
      </c>
      <c r="W140" s="139" t="s">
        <v>970</v>
      </c>
    </row>
    <row r="141" spans="1:23" x14ac:dyDescent="0.2">
      <c r="A141" s="109">
        <v>169</v>
      </c>
      <c r="B141" s="109" t="s">
        <v>125</v>
      </c>
      <c r="C141" s="109">
        <v>2014</v>
      </c>
      <c r="D141" s="109"/>
      <c r="E141" s="109"/>
      <c r="F141" s="109">
        <v>44495</v>
      </c>
      <c r="G141" s="109" t="s">
        <v>259</v>
      </c>
      <c r="H141" s="109"/>
      <c r="I141" s="139" t="s">
        <v>639</v>
      </c>
      <c r="J141" s="139" t="s">
        <v>259</v>
      </c>
      <c r="K141" s="139" t="s">
        <v>640</v>
      </c>
      <c r="L141" s="139" t="s">
        <v>130</v>
      </c>
      <c r="M141" s="139"/>
      <c r="N141" s="139"/>
      <c r="O141" s="109" t="s">
        <v>93</v>
      </c>
      <c r="P141" s="109">
        <v>1</v>
      </c>
      <c r="Q141" s="136">
        <v>53.64</v>
      </c>
      <c r="R141" s="109">
        <v>2</v>
      </c>
      <c r="S141" s="136">
        <v>53.64</v>
      </c>
      <c r="T141" s="109">
        <v>2</v>
      </c>
      <c r="U141" s="136">
        <v>107.28</v>
      </c>
      <c r="V141" s="109" t="s">
        <v>966</v>
      </c>
      <c r="W141" s="139" t="s">
        <v>971</v>
      </c>
    </row>
    <row r="142" spans="1:23" x14ac:dyDescent="0.2">
      <c r="A142" s="109">
        <v>170</v>
      </c>
      <c r="B142" s="109" t="s">
        <v>125</v>
      </c>
      <c r="C142" s="109">
        <v>2045</v>
      </c>
      <c r="D142" s="109"/>
      <c r="E142" s="109"/>
      <c r="F142" s="109">
        <v>44207</v>
      </c>
      <c r="G142" s="109" t="s">
        <v>641</v>
      </c>
      <c r="H142" s="109"/>
      <c r="I142" s="139" t="s">
        <v>642</v>
      </c>
      <c r="J142" s="139" t="s">
        <v>643</v>
      </c>
      <c r="K142" s="139" t="s">
        <v>644</v>
      </c>
      <c r="L142" s="139" t="s">
        <v>135</v>
      </c>
      <c r="M142" s="139"/>
      <c r="N142" s="139"/>
      <c r="O142" s="109" t="s">
        <v>93</v>
      </c>
      <c r="P142" s="109">
        <v>1</v>
      </c>
      <c r="Q142" s="136">
        <v>51.41</v>
      </c>
      <c r="R142" s="109">
        <v>2</v>
      </c>
      <c r="S142" s="136">
        <v>51.41</v>
      </c>
      <c r="T142" s="109">
        <v>2</v>
      </c>
      <c r="U142" s="136">
        <v>102.82</v>
      </c>
      <c r="V142" s="109" t="s">
        <v>966</v>
      </c>
      <c r="W142" s="139" t="s">
        <v>970</v>
      </c>
    </row>
    <row r="143" spans="1:23" x14ac:dyDescent="0.2">
      <c r="A143" s="109">
        <v>171</v>
      </c>
      <c r="B143" s="109" t="s">
        <v>125</v>
      </c>
      <c r="C143" s="109">
        <v>2046</v>
      </c>
      <c r="D143" s="109"/>
      <c r="E143" s="109"/>
      <c r="F143" s="109">
        <v>44342</v>
      </c>
      <c r="G143" s="109" t="s">
        <v>618</v>
      </c>
      <c r="H143" s="109"/>
      <c r="I143" s="139" t="s">
        <v>645</v>
      </c>
      <c r="J143" s="139" t="s">
        <v>620</v>
      </c>
      <c r="K143" s="139" t="s">
        <v>646</v>
      </c>
      <c r="L143" s="139" t="s">
        <v>135</v>
      </c>
      <c r="M143" s="139"/>
      <c r="N143" s="139"/>
      <c r="O143" s="109" t="s">
        <v>93</v>
      </c>
      <c r="P143" s="109">
        <v>1</v>
      </c>
      <c r="Q143" s="136">
        <v>51.37</v>
      </c>
      <c r="R143" s="109">
        <v>2</v>
      </c>
      <c r="S143" s="136">
        <v>51.37</v>
      </c>
      <c r="T143" s="109">
        <v>2</v>
      </c>
      <c r="U143" s="136">
        <v>102.74</v>
      </c>
      <c r="V143" s="109" t="s">
        <v>966</v>
      </c>
      <c r="W143" s="139" t="s">
        <v>970</v>
      </c>
    </row>
    <row r="144" spans="1:23" x14ac:dyDescent="0.2">
      <c r="A144" s="109">
        <v>174</v>
      </c>
      <c r="B144" s="109" t="s">
        <v>125</v>
      </c>
      <c r="C144" s="109">
        <v>2064</v>
      </c>
      <c r="D144" s="109"/>
      <c r="E144" s="109"/>
      <c r="F144" s="109">
        <v>44239</v>
      </c>
      <c r="G144" s="109" t="s">
        <v>131</v>
      </c>
      <c r="H144" s="109"/>
      <c r="I144" s="139" t="s">
        <v>651</v>
      </c>
      <c r="J144" s="139" t="s">
        <v>128</v>
      </c>
      <c r="K144" s="139" t="s">
        <v>652</v>
      </c>
      <c r="L144" s="139" t="s">
        <v>135</v>
      </c>
      <c r="M144" s="139"/>
      <c r="N144" s="139"/>
      <c r="O144" s="109" t="s">
        <v>93</v>
      </c>
      <c r="P144" s="109">
        <v>1</v>
      </c>
      <c r="Q144" s="136">
        <v>10.02</v>
      </c>
      <c r="R144" s="109">
        <v>10</v>
      </c>
      <c r="S144" s="136">
        <v>10.02</v>
      </c>
      <c r="T144" s="109">
        <v>10</v>
      </c>
      <c r="U144" s="136">
        <v>100.19999999999999</v>
      </c>
      <c r="V144" s="109" t="s">
        <v>965</v>
      </c>
      <c r="W144" s="139" t="s">
        <v>969</v>
      </c>
    </row>
    <row r="145" spans="1:23" x14ac:dyDescent="0.2">
      <c r="A145" s="109">
        <v>175</v>
      </c>
      <c r="B145" s="109" t="s">
        <v>125</v>
      </c>
      <c r="C145" s="109">
        <v>2065</v>
      </c>
      <c r="D145" s="109"/>
      <c r="E145" s="109"/>
      <c r="F145" s="109">
        <v>44477</v>
      </c>
      <c r="G145" s="109" t="s">
        <v>497</v>
      </c>
      <c r="H145" s="109"/>
      <c r="I145" s="139" t="s">
        <v>653</v>
      </c>
      <c r="J145" s="139" t="s">
        <v>654</v>
      </c>
      <c r="K145" s="139" t="s">
        <v>655</v>
      </c>
      <c r="L145" s="139" t="s">
        <v>130</v>
      </c>
      <c r="M145" s="139"/>
      <c r="N145" s="139"/>
      <c r="O145" s="109" t="s">
        <v>93</v>
      </c>
      <c r="P145" s="109">
        <v>1</v>
      </c>
      <c r="Q145" s="136">
        <v>19.920000000000002</v>
      </c>
      <c r="R145" s="109">
        <v>5</v>
      </c>
      <c r="S145" s="136">
        <v>19.920000000000002</v>
      </c>
      <c r="T145" s="109">
        <v>5</v>
      </c>
      <c r="U145" s="136">
        <v>99.600000000000009</v>
      </c>
      <c r="V145" s="109" t="s">
        <v>966</v>
      </c>
      <c r="W145" s="139" t="s">
        <v>970</v>
      </c>
    </row>
    <row r="146" spans="1:23" x14ac:dyDescent="0.2">
      <c r="A146" s="109">
        <v>176</v>
      </c>
      <c r="B146" s="109" t="s">
        <v>125</v>
      </c>
      <c r="C146" s="109">
        <v>2069</v>
      </c>
      <c r="D146" s="109"/>
      <c r="E146" s="109"/>
      <c r="F146" s="109">
        <v>44244</v>
      </c>
      <c r="G146" s="109" t="s">
        <v>259</v>
      </c>
      <c r="H146" s="109"/>
      <c r="I146" s="139" t="s">
        <v>656</v>
      </c>
      <c r="J146" s="139" t="s">
        <v>386</v>
      </c>
      <c r="K146" s="139" t="s">
        <v>657</v>
      </c>
      <c r="L146" s="139" t="s">
        <v>135</v>
      </c>
      <c r="M146" s="139"/>
      <c r="N146" s="139"/>
      <c r="O146" s="109" t="s">
        <v>93</v>
      </c>
      <c r="P146" s="109">
        <v>1</v>
      </c>
      <c r="Q146" s="136">
        <v>49.54</v>
      </c>
      <c r="R146" s="109">
        <v>2</v>
      </c>
      <c r="S146" s="136">
        <v>49.54</v>
      </c>
      <c r="T146" s="109">
        <v>2</v>
      </c>
      <c r="U146" s="136">
        <v>99.08</v>
      </c>
      <c r="V146" s="109" t="s">
        <v>966</v>
      </c>
      <c r="W146" s="139" t="s">
        <v>970</v>
      </c>
    </row>
    <row r="147" spans="1:23" x14ac:dyDescent="0.2">
      <c r="A147" s="109">
        <v>177</v>
      </c>
      <c r="B147" s="109" t="s">
        <v>125</v>
      </c>
      <c r="C147" s="109">
        <v>2071</v>
      </c>
      <c r="D147" s="109"/>
      <c r="E147" s="109"/>
      <c r="F147" s="109">
        <v>44478</v>
      </c>
      <c r="G147" s="109" t="s">
        <v>140</v>
      </c>
      <c r="H147" s="109"/>
      <c r="I147" s="139" t="s">
        <v>658</v>
      </c>
      <c r="J147" s="139" t="s">
        <v>415</v>
      </c>
      <c r="K147" s="139" t="s">
        <v>659</v>
      </c>
      <c r="L147" s="139" t="s">
        <v>144</v>
      </c>
      <c r="M147" s="139"/>
      <c r="N147" s="139"/>
      <c r="O147" s="109" t="s">
        <v>93</v>
      </c>
      <c r="P147" s="109">
        <v>1</v>
      </c>
      <c r="Q147" s="136">
        <v>49.54</v>
      </c>
      <c r="R147" s="109">
        <v>2</v>
      </c>
      <c r="S147" s="136">
        <v>49.54</v>
      </c>
      <c r="T147" s="109">
        <v>2</v>
      </c>
      <c r="U147" s="136">
        <v>99.08</v>
      </c>
      <c r="V147" s="109" t="s">
        <v>966</v>
      </c>
      <c r="W147" s="139" t="s">
        <v>970</v>
      </c>
    </row>
    <row r="148" spans="1:23" x14ac:dyDescent="0.2">
      <c r="A148" s="109">
        <v>178</v>
      </c>
      <c r="B148" s="109" t="s">
        <v>125</v>
      </c>
      <c r="C148" s="109">
        <v>2075</v>
      </c>
      <c r="D148" s="109"/>
      <c r="E148" s="109"/>
      <c r="F148" s="109">
        <v>44313</v>
      </c>
      <c r="G148" s="109" t="s">
        <v>145</v>
      </c>
      <c r="H148" s="109"/>
      <c r="I148" s="139" t="s">
        <v>660</v>
      </c>
      <c r="J148" s="139" t="s">
        <v>661</v>
      </c>
      <c r="K148" s="139" t="s">
        <v>662</v>
      </c>
      <c r="L148" s="139" t="s">
        <v>135</v>
      </c>
      <c r="M148" s="139"/>
      <c r="N148" s="139"/>
      <c r="O148" s="109" t="s">
        <v>93</v>
      </c>
      <c r="P148" s="109">
        <v>1</v>
      </c>
      <c r="Q148" s="136">
        <v>49.28</v>
      </c>
      <c r="R148" s="109">
        <v>2</v>
      </c>
      <c r="S148" s="136">
        <v>49.28</v>
      </c>
      <c r="T148" s="109">
        <v>2</v>
      </c>
      <c r="U148" s="136">
        <v>98.56</v>
      </c>
      <c r="V148" s="109" t="s">
        <v>966</v>
      </c>
      <c r="W148" s="139" t="s">
        <v>970</v>
      </c>
    </row>
    <row r="149" spans="1:23" x14ac:dyDescent="0.2">
      <c r="A149" s="109">
        <v>179</v>
      </c>
      <c r="B149" s="109" t="s">
        <v>125</v>
      </c>
      <c r="C149" s="109">
        <v>2081</v>
      </c>
      <c r="D149" s="109"/>
      <c r="E149" s="109"/>
      <c r="F149" s="109">
        <v>44365</v>
      </c>
      <c r="G149" s="109" t="s">
        <v>163</v>
      </c>
      <c r="H149" s="109"/>
      <c r="I149" s="139" t="s">
        <v>663</v>
      </c>
      <c r="J149" s="139" t="s">
        <v>620</v>
      </c>
      <c r="K149" s="139" t="s">
        <v>664</v>
      </c>
      <c r="L149" s="139" t="s">
        <v>135</v>
      </c>
      <c r="M149" s="139"/>
      <c r="N149" s="139"/>
      <c r="O149" s="109" t="s">
        <v>93</v>
      </c>
      <c r="P149" s="109">
        <v>1</v>
      </c>
      <c r="Q149" s="136">
        <v>32.64</v>
      </c>
      <c r="R149" s="109">
        <v>3</v>
      </c>
      <c r="S149" s="136">
        <v>32.64</v>
      </c>
      <c r="T149" s="109">
        <v>3</v>
      </c>
      <c r="U149" s="136">
        <v>97.92</v>
      </c>
      <c r="V149" s="109" t="s">
        <v>966</v>
      </c>
      <c r="W149" s="139" t="s">
        <v>970</v>
      </c>
    </row>
    <row r="150" spans="1:23" x14ac:dyDescent="0.2">
      <c r="A150" s="109">
        <v>181</v>
      </c>
      <c r="B150" s="109" t="s">
        <v>125</v>
      </c>
      <c r="C150" s="109">
        <v>2106</v>
      </c>
      <c r="D150" s="109"/>
      <c r="E150" s="109"/>
      <c r="F150" s="109">
        <v>44560</v>
      </c>
      <c r="G150" s="109" t="s">
        <v>388</v>
      </c>
      <c r="H150" s="109"/>
      <c r="I150" s="139" t="s">
        <v>667</v>
      </c>
      <c r="J150" s="139" t="s">
        <v>668</v>
      </c>
      <c r="K150" s="139" t="s">
        <v>669</v>
      </c>
      <c r="L150" s="139" t="s">
        <v>135</v>
      </c>
      <c r="M150" s="139"/>
      <c r="N150" s="139"/>
      <c r="O150" s="109" t="s">
        <v>93</v>
      </c>
      <c r="P150" s="109">
        <v>1</v>
      </c>
      <c r="Q150" s="136">
        <v>23.59</v>
      </c>
      <c r="R150" s="109">
        <v>4</v>
      </c>
      <c r="S150" s="136">
        <v>23.59</v>
      </c>
      <c r="T150" s="109">
        <v>4</v>
      </c>
      <c r="U150" s="136">
        <v>94.36</v>
      </c>
      <c r="V150" s="109" t="s">
        <v>965</v>
      </c>
      <c r="W150" s="139" t="s">
        <v>969</v>
      </c>
    </row>
    <row r="151" spans="1:23" x14ac:dyDescent="0.2">
      <c r="A151" s="109">
        <v>182</v>
      </c>
      <c r="B151" s="109" t="s">
        <v>125</v>
      </c>
      <c r="C151" s="109">
        <v>2111</v>
      </c>
      <c r="D151" s="109"/>
      <c r="E151" s="109"/>
      <c r="F151" s="109">
        <v>44489</v>
      </c>
      <c r="G151" s="109" t="s">
        <v>259</v>
      </c>
      <c r="H151" s="109"/>
      <c r="I151" s="139" t="s">
        <v>670</v>
      </c>
      <c r="J151" s="139" t="s">
        <v>594</v>
      </c>
      <c r="K151" s="139" t="s">
        <v>671</v>
      </c>
      <c r="L151" s="139" t="s">
        <v>130</v>
      </c>
      <c r="M151" s="139"/>
      <c r="N151" s="139"/>
      <c r="O151" s="109" t="s">
        <v>93</v>
      </c>
      <c r="P151" s="109">
        <v>1</v>
      </c>
      <c r="Q151" s="136">
        <v>18.63</v>
      </c>
      <c r="R151" s="109">
        <v>5</v>
      </c>
      <c r="S151" s="136">
        <v>18.63</v>
      </c>
      <c r="T151" s="109">
        <v>5</v>
      </c>
      <c r="U151" s="136">
        <v>93.149999999999991</v>
      </c>
      <c r="V151" s="109" t="s">
        <v>974</v>
      </c>
      <c r="W151" s="139" t="s">
        <v>975</v>
      </c>
    </row>
    <row r="152" spans="1:23" x14ac:dyDescent="0.2">
      <c r="A152" s="109">
        <v>183</v>
      </c>
      <c r="B152" s="109" t="s">
        <v>125</v>
      </c>
      <c r="C152" s="109">
        <v>2121</v>
      </c>
      <c r="D152" s="109"/>
      <c r="E152" s="109"/>
      <c r="F152" s="109">
        <v>44284</v>
      </c>
      <c r="G152" s="109" t="s">
        <v>145</v>
      </c>
      <c r="H152" s="109"/>
      <c r="I152" s="139" t="s">
        <v>672</v>
      </c>
      <c r="J152" s="139" t="s">
        <v>673</v>
      </c>
      <c r="K152" s="139" t="s">
        <v>674</v>
      </c>
      <c r="L152" s="139" t="s">
        <v>135</v>
      </c>
      <c r="M152" s="139"/>
      <c r="N152" s="139"/>
      <c r="O152" s="109" t="s">
        <v>93</v>
      </c>
      <c r="P152" s="109">
        <v>1</v>
      </c>
      <c r="Q152" s="136">
        <v>46.15</v>
      </c>
      <c r="R152" s="109">
        <v>2</v>
      </c>
      <c r="S152" s="136">
        <v>46.15</v>
      </c>
      <c r="T152" s="109">
        <v>2</v>
      </c>
      <c r="U152" s="136">
        <v>92.3</v>
      </c>
      <c r="V152" s="109" t="s">
        <v>974</v>
      </c>
      <c r="W152" s="139" t="s">
        <v>975</v>
      </c>
    </row>
    <row r="153" spans="1:23" x14ac:dyDescent="0.2">
      <c r="A153" s="109">
        <v>184</v>
      </c>
      <c r="B153" s="109" t="s">
        <v>125</v>
      </c>
      <c r="C153" s="109">
        <v>2124</v>
      </c>
      <c r="D153" s="109"/>
      <c r="E153" s="109"/>
      <c r="F153" s="109">
        <v>44516</v>
      </c>
      <c r="G153" s="109" t="s">
        <v>163</v>
      </c>
      <c r="H153" s="109"/>
      <c r="I153" s="139" t="s">
        <v>675</v>
      </c>
      <c r="J153" s="139" t="s">
        <v>297</v>
      </c>
      <c r="K153" s="139" t="s">
        <v>676</v>
      </c>
      <c r="L153" s="139" t="s">
        <v>135</v>
      </c>
      <c r="M153" s="139"/>
      <c r="N153" s="139"/>
      <c r="O153" s="109" t="s">
        <v>93</v>
      </c>
      <c r="P153" s="109">
        <v>1</v>
      </c>
      <c r="Q153" s="136">
        <v>46.09</v>
      </c>
      <c r="R153" s="109">
        <v>2</v>
      </c>
      <c r="S153" s="136">
        <v>46.09</v>
      </c>
      <c r="T153" s="109">
        <v>2</v>
      </c>
      <c r="U153" s="136">
        <v>92.18</v>
      </c>
      <c r="V153" s="109" t="s">
        <v>966</v>
      </c>
      <c r="W153" s="139" t="s">
        <v>971</v>
      </c>
    </row>
    <row r="154" spans="1:23" x14ac:dyDescent="0.2">
      <c r="A154" s="109">
        <v>187</v>
      </c>
      <c r="B154" s="109" t="s">
        <v>125</v>
      </c>
      <c r="C154" s="109">
        <v>2174</v>
      </c>
      <c r="D154" s="109"/>
      <c r="E154" s="109"/>
      <c r="F154" s="109">
        <v>44265</v>
      </c>
      <c r="G154" s="109" t="s">
        <v>145</v>
      </c>
      <c r="H154" s="109"/>
      <c r="I154" s="139" t="s">
        <v>683</v>
      </c>
      <c r="J154" s="139" t="s">
        <v>684</v>
      </c>
      <c r="K154" s="139" t="s">
        <v>685</v>
      </c>
      <c r="L154" s="139" t="s">
        <v>135</v>
      </c>
      <c r="M154" s="139"/>
      <c r="N154" s="139"/>
      <c r="O154" s="109" t="s">
        <v>93</v>
      </c>
      <c r="P154" s="109">
        <v>1</v>
      </c>
      <c r="Q154" s="136">
        <v>21.37</v>
      </c>
      <c r="R154" s="109">
        <v>4</v>
      </c>
      <c r="S154" s="136">
        <v>21.37</v>
      </c>
      <c r="T154" s="109">
        <v>4</v>
      </c>
      <c r="U154" s="136">
        <v>85.48</v>
      </c>
      <c r="V154" s="109" t="s">
        <v>965</v>
      </c>
      <c r="W154" s="139" t="s">
        <v>969</v>
      </c>
    </row>
    <row r="155" spans="1:23" x14ac:dyDescent="0.2">
      <c r="A155" s="109">
        <v>188</v>
      </c>
      <c r="B155" s="109" t="s">
        <v>125</v>
      </c>
      <c r="C155" s="109">
        <v>2178</v>
      </c>
      <c r="D155" s="109"/>
      <c r="E155" s="109"/>
      <c r="F155" s="109">
        <v>44475</v>
      </c>
      <c r="G155" s="109" t="s">
        <v>145</v>
      </c>
      <c r="H155" s="109"/>
      <c r="I155" s="139" t="s">
        <v>686</v>
      </c>
      <c r="J155" s="139" t="s">
        <v>687</v>
      </c>
      <c r="K155" s="139" t="s">
        <v>688</v>
      </c>
      <c r="L155" s="139" t="s">
        <v>130</v>
      </c>
      <c r="M155" s="139"/>
      <c r="N155" s="139"/>
      <c r="O155" s="109" t="s">
        <v>93</v>
      </c>
      <c r="P155" s="109">
        <v>1</v>
      </c>
      <c r="Q155" s="136">
        <v>28.32</v>
      </c>
      <c r="R155" s="109">
        <v>3</v>
      </c>
      <c r="S155" s="136">
        <v>28.32</v>
      </c>
      <c r="T155" s="109">
        <v>3</v>
      </c>
      <c r="U155" s="136">
        <v>84.960000000000008</v>
      </c>
      <c r="V155" s="109" t="s">
        <v>965</v>
      </c>
      <c r="W155" s="139" t="s">
        <v>969</v>
      </c>
    </row>
    <row r="156" spans="1:23" x14ac:dyDescent="0.2">
      <c r="A156" s="109">
        <v>189</v>
      </c>
      <c r="B156" s="109" t="s">
        <v>125</v>
      </c>
      <c r="C156" s="109">
        <v>2192</v>
      </c>
      <c r="D156" s="109"/>
      <c r="E156" s="109"/>
      <c r="F156" s="109">
        <v>44231</v>
      </c>
      <c r="G156" s="109" t="s">
        <v>259</v>
      </c>
      <c r="H156" s="109"/>
      <c r="I156" s="139" t="s">
        <v>689</v>
      </c>
      <c r="J156" s="139" t="s">
        <v>506</v>
      </c>
      <c r="K156" s="139" t="s">
        <v>690</v>
      </c>
      <c r="L156" s="139" t="s">
        <v>135</v>
      </c>
      <c r="M156" s="139"/>
      <c r="N156" s="139"/>
      <c r="O156" s="109" t="s">
        <v>93</v>
      </c>
      <c r="P156" s="109">
        <v>1</v>
      </c>
      <c r="Q156" s="136">
        <v>82.89</v>
      </c>
      <c r="R156" s="109">
        <v>1</v>
      </c>
      <c r="S156" s="136">
        <v>82.89</v>
      </c>
      <c r="T156" s="109">
        <v>1</v>
      </c>
      <c r="U156" s="136">
        <v>82.89</v>
      </c>
      <c r="V156" s="109" t="s">
        <v>966</v>
      </c>
      <c r="W156" s="139" t="s">
        <v>970</v>
      </c>
    </row>
    <row r="157" spans="1:23" x14ac:dyDescent="0.2">
      <c r="A157" s="109">
        <v>190</v>
      </c>
      <c r="B157" s="109" t="s">
        <v>125</v>
      </c>
      <c r="C157" s="109">
        <v>2201</v>
      </c>
      <c r="D157" s="109"/>
      <c r="E157" s="109"/>
      <c r="F157" s="109">
        <v>44279</v>
      </c>
      <c r="G157" s="109" t="s">
        <v>259</v>
      </c>
      <c r="H157" s="109"/>
      <c r="I157" s="139" t="s">
        <v>691</v>
      </c>
      <c r="J157" s="139" t="s">
        <v>692</v>
      </c>
      <c r="K157" s="139" t="s">
        <v>693</v>
      </c>
      <c r="L157" s="139" t="s">
        <v>135</v>
      </c>
      <c r="M157" s="139"/>
      <c r="N157" s="139"/>
      <c r="O157" s="109" t="s">
        <v>93</v>
      </c>
      <c r="P157" s="109">
        <v>1</v>
      </c>
      <c r="Q157" s="136">
        <v>40.65</v>
      </c>
      <c r="R157" s="109">
        <v>2</v>
      </c>
      <c r="S157" s="136">
        <v>40.65</v>
      </c>
      <c r="T157" s="109">
        <v>2</v>
      </c>
      <c r="U157" s="136">
        <v>81.3</v>
      </c>
      <c r="V157" s="109" t="s">
        <v>966</v>
      </c>
      <c r="W157" s="139" t="s">
        <v>970</v>
      </c>
    </row>
    <row r="158" spans="1:23" x14ac:dyDescent="0.2">
      <c r="A158" s="109">
        <v>192</v>
      </c>
      <c r="B158" s="109" t="s">
        <v>125</v>
      </c>
      <c r="C158" s="109">
        <v>2208</v>
      </c>
      <c r="D158" s="109"/>
      <c r="E158" s="109"/>
      <c r="F158" s="109">
        <v>44488</v>
      </c>
      <c r="G158" s="109" t="s">
        <v>140</v>
      </c>
      <c r="H158" s="109"/>
      <c r="I158" s="139" t="s">
        <v>697</v>
      </c>
      <c r="J158" s="139" t="s">
        <v>310</v>
      </c>
      <c r="K158" s="139" t="s">
        <v>698</v>
      </c>
      <c r="L158" s="139" t="s">
        <v>144</v>
      </c>
      <c r="M158" s="139"/>
      <c r="N158" s="139"/>
      <c r="O158" s="109" t="s">
        <v>93</v>
      </c>
      <c r="P158" s="109">
        <v>1</v>
      </c>
      <c r="Q158" s="136">
        <v>13.45</v>
      </c>
      <c r="R158" s="109">
        <v>6</v>
      </c>
      <c r="S158" s="136">
        <v>13.45</v>
      </c>
      <c r="T158" s="109">
        <v>6</v>
      </c>
      <c r="U158" s="136">
        <v>80.699999999999989</v>
      </c>
      <c r="V158" s="109" t="s">
        <v>966</v>
      </c>
      <c r="W158" s="139" t="s">
        <v>970</v>
      </c>
    </row>
    <row r="159" spans="1:23" x14ac:dyDescent="0.2">
      <c r="A159" s="109">
        <v>193</v>
      </c>
      <c r="B159" s="109" t="s">
        <v>125</v>
      </c>
      <c r="C159" s="109">
        <v>2210</v>
      </c>
      <c r="D159" s="109"/>
      <c r="E159" s="109"/>
      <c r="F159" s="109">
        <v>44256</v>
      </c>
      <c r="G159" s="109" t="s">
        <v>446</v>
      </c>
      <c r="H159" s="109"/>
      <c r="I159" s="139" t="s">
        <v>699</v>
      </c>
      <c r="J159" s="139" t="s">
        <v>700</v>
      </c>
      <c r="K159" s="139" t="s">
        <v>701</v>
      </c>
      <c r="L159" s="139" t="s">
        <v>135</v>
      </c>
      <c r="M159" s="139"/>
      <c r="N159" s="139"/>
      <c r="O159" s="109" t="s">
        <v>93</v>
      </c>
      <c r="P159" s="109">
        <v>1</v>
      </c>
      <c r="Q159" s="136">
        <v>8.0299999999999994</v>
      </c>
      <c r="R159" s="109">
        <v>10</v>
      </c>
      <c r="S159" s="136">
        <v>8.0299999999999994</v>
      </c>
      <c r="T159" s="109">
        <v>10</v>
      </c>
      <c r="U159" s="136">
        <v>80.3</v>
      </c>
      <c r="V159" s="109" t="s">
        <v>966</v>
      </c>
      <c r="W159" s="139" t="s">
        <v>970</v>
      </c>
    </row>
    <row r="160" spans="1:23" x14ac:dyDescent="0.2">
      <c r="A160" s="109">
        <v>194</v>
      </c>
      <c r="B160" s="109" t="s">
        <v>125</v>
      </c>
      <c r="C160" s="109">
        <v>2213</v>
      </c>
      <c r="D160" s="109"/>
      <c r="E160" s="109"/>
      <c r="F160" s="109">
        <v>44264</v>
      </c>
      <c r="G160" s="109" t="s">
        <v>145</v>
      </c>
      <c r="H160" s="109"/>
      <c r="I160" s="139" t="s">
        <v>702</v>
      </c>
      <c r="J160" s="139" t="s">
        <v>703</v>
      </c>
      <c r="K160" s="139" t="s">
        <v>704</v>
      </c>
      <c r="L160" s="139" t="s">
        <v>135</v>
      </c>
      <c r="M160" s="139"/>
      <c r="N160" s="139"/>
      <c r="O160" s="109" t="s">
        <v>93</v>
      </c>
      <c r="P160" s="109">
        <v>1</v>
      </c>
      <c r="Q160" s="136">
        <v>40.08</v>
      </c>
      <c r="R160" s="109">
        <v>2</v>
      </c>
      <c r="S160" s="136">
        <v>40.08</v>
      </c>
      <c r="T160" s="109">
        <v>2</v>
      </c>
      <c r="U160" s="136">
        <v>80.16</v>
      </c>
      <c r="V160" s="109" t="s">
        <v>966</v>
      </c>
      <c r="W160" s="139" t="s">
        <v>970</v>
      </c>
    </row>
    <row r="161" spans="1:23" x14ac:dyDescent="0.2">
      <c r="A161" s="109">
        <v>195</v>
      </c>
      <c r="B161" s="109" t="s">
        <v>125</v>
      </c>
      <c r="C161" s="109">
        <v>2214</v>
      </c>
      <c r="D161" s="109"/>
      <c r="E161" s="109"/>
      <c r="F161" s="109">
        <v>44511</v>
      </c>
      <c r="G161" s="109" t="s">
        <v>497</v>
      </c>
      <c r="H161" s="109"/>
      <c r="I161" s="139" t="s">
        <v>705</v>
      </c>
      <c r="J161" s="139" t="s">
        <v>497</v>
      </c>
      <c r="K161" s="139" t="s">
        <v>706</v>
      </c>
      <c r="L161" s="139" t="s">
        <v>130</v>
      </c>
      <c r="M161" s="139"/>
      <c r="N161" s="139"/>
      <c r="O161" s="109" t="s">
        <v>93</v>
      </c>
      <c r="P161" s="109">
        <v>1</v>
      </c>
      <c r="Q161" s="136">
        <v>8.02</v>
      </c>
      <c r="R161" s="109">
        <v>10</v>
      </c>
      <c r="S161" s="136">
        <v>8.02</v>
      </c>
      <c r="T161" s="109">
        <v>10</v>
      </c>
      <c r="U161" s="136">
        <v>80.199999999999989</v>
      </c>
      <c r="V161" s="109" t="s">
        <v>966</v>
      </c>
      <c r="W161" s="139" t="s">
        <v>970</v>
      </c>
    </row>
    <row r="162" spans="1:23" x14ac:dyDescent="0.2">
      <c r="A162" s="109">
        <v>196</v>
      </c>
      <c r="B162" s="109" t="s">
        <v>125</v>
      </c>
      <c r="C162" s="109">
        <v>2224</v>
      </c>
      <c r="D162" s="109"/>
      <c r="E162" s="109"/>
      <c r="F162" s="109">
        <v>44511</v>
      </c>
      <c r="G162" s="109" t="s">
        <v>163</v>
      </c>
      <c r="H162" s="109"/>
      <c r="I162" s="139" t="s">
        <v>707</v>
      </c>
      <c r="J162" s="139" t="s">
        <v>708</v>
      </c>
      <c r="K162" s="139" t="s">
        <v>709</v>
      </c>
      <c r="L162" s="139" t="s">
        <v>135</v>
      </c>
      <c r="M162" s="139"/>
      <c r="N162" s="139"/>
      <c r="O162" s="109" t="s">
        <v>93</v>
      </c>
      <c r="P162" s="109">
        <v>1</v>
      </c>
      <c r="Q162" s="136">
        <v>15.56</v>
      </c>
      <c r="R162" s="109">
        <v>5</v>
      </c>
      <c r="S162" s="136">
        <v>15.56</v>
      </c>
      <c r="T162" s="109">
        <v>5</v>
      </c>
      <c r="U162" s="136">
        <v>77.8</v>
      </c>
      <c r="V162" s="109" t="s">
        <v>966</v>
      </c>
      <c r="W162" s="139" t="s">
        <v>970</v>
      </c>
    </row>
    <row r="163" spans="1:23" x14ac:dyDescent="0.2">
      <c r="A163" s="109">
        <v>197</v>
      </c>
      <c r="B163" s="109" t="s">
        <v>125</v>
      </c>
      <c r="C163" s="109">
        <v>2225</v>
      </c>
      <c r="D163" s="109"/>
      <c r="E163" s="109"/>
      <c r="F163" s="109">
        <v>44503</v>
      </c>
      <c r="G163" s="109" t="s">
        <v>710</v>
      </c>
      <c r="H163" s="109"/>
      <c r="I163" s="139" t="s">
        <v>711</v>
      </c>
      <c r="J163" s="139" t="s">
        <v>712</v>
      </c>
      <c r="K163" s="139" t="s">
        <v>713</v>
      </c>
      <c r="L163" s="139" t="s">
        <v>144</v>
      </c>
      <c r="M163" s="139"/>
      <c r="N163" s="139"/>
      <c r="O163" s="109" t="s">
        <v>93</v>
      </c>
      <c r="P163" s="109">
        <v>1</v>
      </c>
      <c r="Q163" s="136">
        <v>77.760000000000005</v>
      </c>
      <c r="R163" s="109">
        <v>1</v>
      </c>
      <c r="S163" s="136">
        <v>77.760000000000005</v>
      </c>
      <c r="T163" s="109">
        <v>1</v>
      </c>
      <c r="U163" s="136">
        <v>77.760000000000005</v>
      </c>
      <c r="V163" s="109" t="s">
        <v>966</v>
      </c>
      <c r="W163" s="139" t="s">
        <v>970</v>
      </c>
    </row>
    <row r="164" spans="1:23" x14ac:dyDescent="0.2">
      <c r="A164" s="109">
        <v>198</v>
      </c>
      <c r="B164" s="109" t="s">
        <v>125</v>
      </c>
      <c r="C164" s="109">
        <v>2235</v>
      </c>
      <c r="D164" s="109"/>
      <c r="E164" s="109"/>
      <c r="F164" s="109">
        <v>44442</v>
      </c>
      <c r="G164" s="109" t="s">
        <v>149</v>
      </c>
      <c r="H164" s="109"/>
      <c r="I164" s="139" t="s">
        <v>714</v>
      </c>
      <c r="J164" s="139" t="s">
        <v>715</v>
      </c>
      <c r="K164" s="139" t="s">
        <v>716</v>
      </c>
      <c r="L164" s="139" t="s">
        <v>135</v>
      </c>
      <c r="M164" s="139"/>
      <c r="N164" s="139"/>
      <c r="O164" s="109" t="s">
        <v>93</v>
      </c>
      <c r="P164" s="109">
        <v>1</v>
      </c>
      <c r="Q164" s="136">
        <v>76.81</v>
      </c>
      <c r="R164" s="109">
        <v>1</v>
      </c>
      <c r="S164" s="136">
        <v>76.81</v>
      </c>
      <c r="T164" s="109">
        <v>1</v>
      </c>
      <c r="U164" s="136">
        <v>76.81</v>
      </c>
      <c r="V164" s="109" t="s">
        <v>967</v>
      </c>
      <c r="W164" s="139" t="s">
        <v>972</v>
      </c>
    </row>
    <row r="165" spans="1:23" x14ac:dyDescent="0.2">
      <c r="A165" s="109">
        <v>199</v>
      </c>
      <c r="B165" s="109" t="s">
        <v>125</v>
      </c>
      <c r="C165" s="109">
        <v>2239</v>
      </c>
      <c r="D165" s="109"/>
      <c r="E165" s="109"/>
      <c r="F165" s="109">
        <v>44208</v>
      </c>
      <c r="G165" s="109" t="s">
        <v>193</v>
      </c>
      <c r="H165" s="109"/>
      <c r="I165" s="139" t="s">
        <v>717</v>
      </c>
      <c r="J165" s="139" t="s">
        <v>155</v>
      </c>
      <c r="K165" s="139" t="s">
        <v>718</v>
      </c>
      <c r="L165" s="139" t="s">
        <v>135</v>
      </c>
      <c r="M165" s="139"/>
      <c r="N165" s="139"/>
      <c r="O165" s="109" t="s">
        <v>93</v>
      </c>
      <c r="P165" s="109">
        <v>1</v>
      </c>
      <c r="Q165" s="136">
        <v>38.4</v>
      </c>
      <c r="R165" s="109">
        <v>2</v>
      </c>
      <c r="S165" s="136">
        <v>38.4</v>
      </c>
      <c r="T165" s="109">
        <v>2</v>
      </c>
      <c r="U165" s="136">
        <v>76.8</v>
      </c>
      <c r="V165" s="109" t="s">
        <v>966</v>
      </c>
      <c r="W165" s="139" t="s">
        <v>970</v>
      </c>
    </row>
    <row r="166" spans="1:23" x14ac:dyDescent="0.2">
      <c r="A166" s="109">
        <v>200</v>
      </c>
      <c r="B166" s="109" t="s">
        <v>125</v>
      </c>
      <c r="C166" s="109">
        <v>2240</v>
      </c>
      <c r="D166" s="109"/>
      <c r="E166" s="109"/>
      <c r="F166" s="109">
        <v>44544</v>
      </c>
      <c r="G166" s="109" t="s">
        <v>710</v>
      </c>
      <c r="H166" s="109"/>
      <c r="I166" s="139" t="s">
        <v>719</v>
      </c>
      <c r="J166" s="139" t="s">
        <v>720</v>
      </c>
      <c r="K166" s="139" t="s">
        <v>721</v>
      </c>
      <c r="L166" s="139" t="s">
        <v>144</v>
      </c>
      <c r="M166" s="139"/>
      <c r="N166" s="139"/>
      <c r="O166" s="109" t="s">
        <v>93</v>
      </c>
      <c r="P166" s="109">
        <v>1</v>
      </c>
      <c r="Q166" s="136">
        <v>76.8</v>
      </c>
      <c r="R166" s="109">
        <v>1</v>
      </c>
      <c r="S166" s="136">
        <v>76.8</v>
      </c>
      <c r="T166" s="109">
        <v>1</v>
      </c>
      <c r="U166" s="136">
        <v>76.8</v>
      </c>
      <c r="V166" s="109" t="s">
        <v>966</v>
      </c>
      <c r="W166" s="139" t="s">
        <v>970</v>
      </c>
    </row>
    <row r="167" spans="1:23" x14ac:dyDescent="0.2">
      <c r="A167" s="109">
        <v>201</v>
      </c>
      <c r="B167" s="109" t="s">
        <v>125</v>
      </c>
      <c r="C167" s="109">
        <v>2243</v>
      </c>
      <c r="D167" s="109"/>
      <c r="E167" s="109"/>
      <c r="F167" s="109">
        <v>44469</v>
      </c>
      <c r="G167" s="109" t="s">
        <v>163</v>
      </c>
      <c r="H167" s="109"/>
      <c r="I167" s="139" t="s">
        <v>722</v>
      </c>
      <c r="J167" s="139" t="s">
        <v>211</v>
      </c>
      <c r="K167" s="139" t="s">
        <v>723</v>
      </c>
      <c r="L167" s="139" t="s">
        <v>135</v>
      </c>
      <c r="M167" s="139"/>
      <c r="N167" s="139"/>
      <c r="O167" s="109" t="s">
        <v>93</v>
      </c>
      <c r="P167" s="109">
        <v>1</v>
      </c>
      <c r="Q167" s="136">
        <v>76.33</v>
      </c>
      <c r="R167" s="109">
        <v>1</v>
      </c>
      <c r="S167" s="136">
        <v>76.33</v>
      </c>
      <c r="T167" s="109">
        <v>1</v>
      </c>
      <c r="U167" s="136">
        <v>76.33</v>
      </c>
      <c r="V167" s="109" t="s">
        <v>980</v>
      </c>
      <c r="W167" s="139" t="s">
        <v>981</v>
      </c>
    </row>
    <row r="168" spans="1:23" x14ac:dyDescent="0.2">
      <c r="A168" s="109">
        <v>202</v>
      </c>
      <c r="B168" s="109" t="s">
        <v>125</v>
      </c>
      <c r="C168" s="109">
        <v>2248</v>
      </c>
      <c r="D168" s="109"/>
      <c r="E168" s="109"/>
      <c r="F168" s="109">
        <v>44383</v>
      </c>
      <c r="G168" s="109" t="s">
        <v>259</v>
      </c>
      <c r="H168" s="109"/>
      <c r="I168" s="139" t="s">
        <v>724</v>
      </c>
      <c r="J168" s="139" t="s">
        <v>725</v>
      </c>
      <c r="K168" s="139" t="s">
        <v>726</v>
      </c>
      <c r="L168" s="139" t="s">
        <v>135</v>
      </c>
      <c r="M168" s="139"/>
      <c r="N168" s="139"/>
      <c r="O168" s="109" t="s">
        <v>93</v>
      </c>
      <c r="P168" s="109">
        <v>1</v>
      </c>
      <c r="Q168" s="136">
        <v>37.82</v>
      </c>
      <c r="R168" s="109">
        <v>2</v>
      </c>
      <c r="S168" s="136">
        <v>37.82</v>
      </c>
      <c r="T168" s="109">
        <v>2</v>
      </c>
      <c r="U168" s="136">
        <v>75.64</v>
      </c>
      <c r="V168" s="109" t="s">
        <v>966</v>
      </c>
      <c r="W168" s="139" t="s">
        <v>970</v>
      </c>
    </row>
    <row r="169" spans="1:23" x14ac:dyDescent="0.2">
      <c r="A169" s="109">
        <v>203</v>
      </c>
      <c r="B169" s="109" t="s">
        <v>125</v>
      </c>
      <c r="C169" s="109">
        <v>2251</v>
      </c>
      <c r="D169" s="109"/>
      <c r="E169" s="109"/>
      <c r="F169" s="109">
        <v>44418</v>
      </c>
      <c r="G169" s="109" t="s">
        <v>529</v>
      </c>
      <c r="H169" s="109"/>
      <c r="I169" s="139" t="s">
        <v>727</v>
      </c>
      <c r="J169" s="139" t="s">
        <v>703</v>
      </c>
      <c r="K169" s="139" t="s">
        <v>728</v>
      </c>
      <c r="L169" s="139" t="s">
        <v>135</v>
      </c>
      <c r="M169" s="139"/>
      <c r="N169" s="139"/>
      <c r="O169" s="109" t="s">
        <v>93</v>
      </c>
      <c r="P169" s="109">
        <v>1</v>
      </c>
      <c r="Q169" s="136">
        <v>37.520000000000003</v>
      </c>
      <c r="R169" s="109">
        <v>2</v>
      </c>
      <c r="S169" s="136">
        <v>37.520000000000003</v>
      </c>
      <c r="T169" s="109">
        <v>2</v>
      </c>
      <c r="U169" s="136">
        <v>75.040000000000006</v>
      </c>
      <c r="V169" s="109" t="s">
        <v>966</v>
      </c>
      <c r="W169" s="139" t="s">
        <v>970</v>
      </c>
    </row>
    <row r="170" spans="1:23" x14ac:dyDescent="0.2">
      <c r="A170" s="109">
        <v>204</v>
      </c>
      <c r="B170" s="109" t="s">
        <v>125</v>
      </c>
      <c r="C170" s="109">
        <v>2255</v>
      </c>
      <c r="D170" s="109"/>
      <c r="E170" s="109"/>
      <c r="F170" s="109">
        <v>44475</v>
      </c>
      <c r="G170" s="109" t="s">
        <v>446</v>
      </c>
      <c r="H170" s="109"/>
      <c r="I170" s="139" t="s">
        <v>729</v>
      </c>
      <c r="J170" s="139" t="s">
        <v>730</v>
      </c>
      <c r="K170" s="139" t="s">
        <v>731</v>
      </c>
      <c r="L170" s="139" t="s">
        <v>144</v>
      </c>
      <c r="M170" s="139"/>
      <c r="N170" s="139"/>
      <c r="O170" s="109" t="s">
        <v>93</v>
      </c>
      <c r="P170" s="109">
        <v>1</v>
      </c>
      <c r="Q170" s="136">
        <v>74.89</v>
      </c>
      <c r="R170" s="109">
        <v>1</v>
      </c>
      <c r="S170" s="136">
        <v>74.89</v>
      </c>
      <c r="T170" s="109">
        <v>1</v>
      </c>
      <c r="U170" s="136">
        <v>74.89</v>
      </c>
      <c r="V170" s="109" t="s">
        <v>966</v>
      </c>
      <c r="W170" s="139" t="s">
        <v>971</v>
      </c>
    </row>
    <row r="171" spans="1:23" x14ac:dyDescent="0.2">
      <c r="A171" s="109">
        <v>205</v>
      </c>
      <c r="B171" s="109" t="s">
        <v>125</v>
      </c>
      <c r="C171" s="109">
        <v>2264</v>
      </c>
      <c r="D171" s="109"/>
      <c r="E171" s="109"/>
      <c r="F171" s="109">
        <v>44550</v>
      </c>
      <c r="G171" s="109" t="s">
        <v>145</v>
      </c>
      <c r="H171" s="109"/>
      <c r="I171" s="139" t="s">
        <v>732</v>
      </c>
      <c r="J171" s="139" t="s">
        <v>322</v>
      </c>
      <c r="K171" s="139" t="s">
        <v>733</v>
      </c>
      <c r="L171" s="139" t="s">
        <v>135</v>
      </c>
      <c r="M171" s="139"/>
      <c r="N171" s="139"/>
      <c r="O171" s="109" t="s">
        <v>93</v>
      </c>
      <c r="P171" s="109">
        <v>1</v>
      </c>
      <c r="Q171" s="136">
        <v>74.069999999999993</v>
      </c>
      <c r="R171" s="109">
        <v>1</v>
      </c>
      <c r="S171" s="136">
        <v>74.069999999999993</v>
      </c>
      <c r="T171" s="109">
        <v>1</v>
      </c>
      <c r="U171" s="136">
        <v>74.069999999999993</v>
      </c>
      <c r="V171" s="109" t="s">
        <v>966</v>
      </c>
      <c r="W171" s="139" t="s">
        <v>970</v>
      </c>
    </row>
    <row r="172" spans="1:23" x14ac:dyDescent="0.2">
      <c r="A172" s="109">
        <v>206</v>
      </c>
      <c r="B172" s="109" t="s">
        <v>125</v>
      </c>
      <c r="C172" s="109">
        <v>2266</v>
      </c>
      <c r="D172" s="109"/>
      <c r="E172" s="109"/>
      <c r="F172" s="109">
        <v>44384</v>
      </c>
      <c r="G172" s="109" t="s">
        <v>145</v>
      </c>
      <c r="H172" s="109"/>
      <c r="I172" s="139" t="s">
        <v>734</v>
      </c>
      <c r="J172" s="139" t="s">
        <v>535</v>
      </c>
      <c r="K172" s="139" t="s">
        <v>735</v>
      </c>
      <c r="L172" s="139" t="s">
        <v>135</v>
      </c>
      <c r="M172" s="139"/>
      <c r="N172" s="139"/>
      <c r="O172" s="109" t="s">
        <v>93</v>
      </c>
      <c r="P172" s="109">
        <v>1</v>
      </c>
      <c r="Q172" s="136">
        <v>73.97</v>
      </c>
      <c r="R172" s="109">
        <v>1</v>
      </c>
      <c r="S172" s="136">
        <v>73.97</v>
      </c>
      <c r="T172" s="109">
        <v>1</v>
      </c>
      <c r="U172" s="136">
        <v>73.97</v>
      </c>
      <c r="V172" s="109" t="s">
        <v>966</v>
      </c>
      <c r="W172" s="139" t="s">
        <v>970</v>
      </c>
    </row>
    <row r="173" spans="1:23" x14ac:dyDescent="0.2">
      <c r="A173" s="109">
        <v>208</v>
      </c>
      <c r="B173" s="109" t="s">
        <v>125</v>
      </c>
      <c r="C173" s="109">
        <v>2278</v>
      </c>
      <c r="D173" s="109"/>
      <c r="E173" s="109"/>
      <c r="F173" s="109">
        <v>44357</v>
      </c>
      <c r="G173" s="109" t="s">
        <v>618</v>
      </c>
      <c r="H173" s="109"/>
      <c r="I173" s="139" t="s">
        <v>738</v>
      </c>
      <c r="J173" s="139" t="s">
        <v>739</v>
      </c>
      <c r="K173" s="139" t="s">
        <v>740</v>
      </c>
      <c r="L173" s="139" t="s">
        <v>135</v>
      </c>
      <c r="M173" s="139"/>
      <c r="N173" s="139"/>
      <c r="O173" s="109" t="s">
        <v>93</v>
      </c>
      <c r="P173" s="109">
        <v>1</v>
      </c>
      <c r="Q173" s="136">
        <v>36.17</v>
      </c>
      <c r="R173" s="109">
        <v>2</v>
      </c>
      <c r="S173" s="136">
        <v>36.17</v>
      </c>
      <c r="T173" s="109">
        <v>2</v>
      </c>
      <c r="U173" s="136">
        <v>72.34</v>
      </c>
      <c r="V173" s="109" t="s">
        <v>966</v>
      </c>
      <c r="W173" s="139" t="s">
        <v>971</v>
      </c>
    </row>
    <row r="174" spans="1:23" x14ac:dyDescent="0.2">
      <c r="A174" s="109">
        <v>210</v>
      </c>
      <c r="B174" s="109" t="s">
        <v>125</v>
      </c>
      <c r="C174" s="109">
        <v>2285</v>
      </c>
      <c r="D174" s="109"/>
      <c r="E174" s="109"/>
      <c r="F174" s="109">
        <v>44253</v>
      </c>
      <c r="G174" s="109" t="s">
        <v>234</v>
      </c>
      <c r="H174" s="109"/>
      <c r="I174" s="139" t="s">
        <v>743</v>
      </c>
      <c r="J174" s="139" t="s">
        <v>236</v>
      </c>
      <c r="K174" s="139" t="s">
        <v>744</v>
      </c>
      <c r="L174" s="139" t="s">
        <v>135</v>
      </c>
      <c r="M174" s="139"/>
      <c r="N174" s="139"/>
      <c r="O174" s="109" t="s">
        <v>93</v>
      </c>
      <c r="P174" s="109">
        <v>1</v>
      </c>
      <c r="Q174" s="136">
        <v>24.01</v>
      </c>
      <c r="R174" s="109">
        <v>3</v>
      </c>
      <c r="S174" s="136">
        <v>24.01</v>
      </c>
      <c r="T174" s="109">
        <v>3</v>
      </c>
      <c r="U174" s="136">
        <v>72.03</v>
      </c>
      <c r="V174" s="109" t="s">
        <v>966</v>
      </c>
      <c r="W174" s="139" t="s">
        <v>970</v>
      </c>
    </row>
    <row r="175" spans="1:23" x14ac:dyDescent="0.2">
      <c r="A175" s="109">
        <v>211</v>
      </c>
      <c r="B175" s="109" t="s">
        <v>125</v>
      </c>
      <c r="C175" s="109">
        <v>2291</v>
      </c>
      <c r="D175" s="109"/>
      <c r="E175" s="109"/>
      <c r="F175" s="109">
        <v>44379</v>
      </c>
      <c r="G175" s="109" t="s">
        <v>145</v>
      </c>
      <c r="H175" s="109"/>
      <c r="I175" s="139" t="s">
        <v>745</v>
      </c>
      <c r="J175" s="139" t="s">
        <v>746</v>
      </c>
      <c r="K175" s="139" t="s">
        <v>747</v>
      </c>
      <c r="L175" s="139" t="s">
        <v>135</v>
      </c>
      <c r="M175" s="139"/>
      <c r="N175" s="139"/>
      <c r="O175" s="109" t="s">
        <v>93</v>
      </c>
      <c r="P175" s="109">
        <v>1</v>
      </c>
      <c r="Q175" s="136">
        <v>7.1</v>
      </c>
      <c r="R175" s="109">
        <v>10</v>
      </c>
      <c r="S175" s="136">
        <v>7.1</v>
      </c>
      <c r="T175" s="109">
        <v>10</v>
      </c>
      <c r="U175" s="136">
        <v>71</v>
      </c>
      <c r="V175" s="109" t="s">
        <v>966</v>
      </c>
      <c r="W175" s="139" t="s">
        <v>971</v>
      </c>
    </row>
    <row r="176" spans="1:23" x14ac:dyDescent="0.2">
      <c r="A176" s="109">
        <v>212</v>
      </c>
      <c r="B176" s="109" t="s">
        <v>125</v>
      </c>
      <c r="C176" s="109">
        <v>2292</v>
      </c>
      <c r="D176" s="109"/>
      <c r="E176" s="109"/>
      <c r="F176" s="109">
        <v>44560</v>
      </c>
      <c r="G176" s="109" t="s">
        <v>163</v>
      </c>
      <c r="H176" s="109"/>
      <c r="I176" s="139" t="s">
        <v>748</v>
      </c>
      <c r="J176" s="139" t="s">
        <v>749</v>
      </c>
      <c r="K176" s="139" t="s">
        <v>750</v>
      </c>
      <c r="L176" s="139" t="s">
        <v>130</v>
      </c>
      <c r="M176" s="139"/>
      <c r="N176" s="139"/>
      <c r="O176" s="109" t="s">
        <v>93</v>
      </c>
      <c r="P176" s="109">
        <v>1</v>
      </c>
      <c r="Q176" s="136">
        <v>23.6</v>
      </c>
      <c r="R176" s="109">
        <v>3</v>
      </c>
      <c r="S176" s="136">
        <v>23.6</v>
      </c>
      <c r="T176" s="109">
        <v>3</v>
      </c>
      <c r="U176" s="136">
        <v>70.800000000000011</v>
      </c>
      <c r="V176" s="109" t="s">
        <v>966</v>
      </c>
      <c r="W176" s="139" t="s">
        <v>970</v>
      </c>
    </row>
    <row r="177" spans="1:23" x14ac:dyDescent="0.2">
      <c r="A177" s="109">
        <v>213</v>
      </c>
      <c r="B177" s="109" t="s">
        <v>125</v>
      </c>
      <c r="C177" s="109">
        <v>2296</v>
      </c>
      <c r="D177" s="109"/>
      <c r="E177" s="109"/>
      <c r="F177" s="109">
        <v>44376</v>
      </c>
      <c r="G177" s="109" t="s">
        <v>497</v>
      </c>
      <c r="H177" s="109"/>
      <c r="I177" s="139" t="s">
        <v>751</v>
      </c>
      <c r="J177" s="139" t="s">
        <v>654</v>
      </c>
      <c r="K177" s="139" t="s">
        <v>752</v>
      </c>
      <c r="L177" s="139" t="s">
        <v>135</v>
      </c>
      <c r="M177" s="139"/>
      <c r="N177" s="139"/>
      <c r="O177" s="109" t="s">
        <v>93</v>
      </c>
      <c r="P177" s="109">
        <v>1</v>
      </c>
      <c r="Q177" s="136">
        <v>35.090000000000003</v>
      </c>
      <c r="R177" s="109">
        <v>2</v>
      </c>
      <c r="S177" s="136">
        <v>35.090000000000003</v>
      </c>
      <c r="T177" s="109">
        <v>2</v>
      </c>
      <c r="U177" s="136">
        <v>70.180000000000007</v>
      </c>
      <c r="V177" s="109" t="s">
        <v>966</v>
      </c>
      <c r="W177" s="139" t="s">
        <v>970</v>
      </c>
    </row>
    <row r="178" spans="1:23" x14ac:dyDescent="0.2">
      <c r="A178" s="109">
        <v>215</v>
      </c>
      <c r="B178" s="109" t="s">
        <v>125</v>
      </c>
      <c r="C178" s="109">
        <v>2302</v>
      </c>
      <c r="D178" s="109"/>
      <c r="E178" s="109"/>
      <c r="F178" s="109">
        <v>44313</v>
      </c>
      <c r="G178" s="109" t="s">
        <v>163</v>
      </c>
      <c r="H178" s="109"/>
      <c r="I178" s="139" t="s">
        <v>755</v>
      </c>
      <c r="J178" s="139" t="s">
        <v>487</v>
      </c>
      <c r="K178" s="139" t="s">
        <v>756</v>
      </c>
      <c r="L178" s="139" t="s">
        <v>135</v>
      </c>
      <c r="M178" s="139"/>
      <c r="N178" s="139"/>
      <c r="O178" s="109" t="s">
        <v>93</v>
      </c>
      <c r="P178" s="109">
        <v>1</v>
      </c>
      <c r="Q178" s="136">
        <v>34.659999999999997</v>
      </c>
      <c r="R178" s="109">
        <v>2</v>
      </c>
      <c r="S178" s="136">
        <v>34.659999999999997</v>
      </c>
      <c r="T178" s="109">
        <v>2</v>
      </c>
      <c r="U178" s="136">
        <v>69.319999999999993</v>
      </c>
      <c r="V178" s="109" t="s">
        <v>967</v>
      </c>
      <c r="W178" s="139" t="s">
        <v>972</v>
      </c>
    </row>
    <row r="179" spans="1:23" x14ac:dyDescent="0.2">
      <c r="A179" s="109">
        <v>217</v>
      </c>
      <c r="B179" s="109" t="s">
        <v>125</v>
      </c>
      <c r="C179" s="109">
        <v>2309</v>
      </c>
      <c r="D179" s="109"/>
      <c r="E179" s="109"/>
      <c r="F179" s="109">
        <v>44495</v>
      </c>
      <c r="G179" s="109" t="s">
        <v>140</v>
      </c>
      <c r="H179" s="109"/>
      <c r="I179" s="139" t="s">
        <v>760</v>
      </c>
      <c r="J179" s="139" t="s">
        <v>353</v>
      </c>
      <c r="K179" s="139" t="s">
        <v>761</v>
      </c>
      <c r="L179" s="139" t="s">
        <v>144</v>
      </c>
      <c r="M179" s="139"/>
      <c r="N179" s="139"/>
      <c r="O179" s="109" t="s">
        <v>93</v>
      </c>
      <c r="P179" s="109">
        <v>1</v>
      </c>
      <c r="Q179" s="136">
        <v>34.54</v>
      </c>
      <c r="R179" s="109">
        <v>2</v>
      </c>
      <c r="S179" s="136">
        <v>34.54</v>
      </c>
      <c r="T179" s="109">
        <v>2</v>
      </c>
      <c r="U179" s="136">
        <v>69.08</v>
      </c>
      <c r="V179" s="109" t="s">
        <v>966</v>
      </c>
      <c r="W179" s="139" t="s">
        <v>970</v>
      </c>
    </row>
    <row r="180" spans="1:23" x14ac:dyDescent="0.2">
      <c r="A180" s="109">
        <v>218</v>
      </c>
      <c r="B180" s="109" t="s">
        <v>125</v>
      </c>
      <c r="C180" s="109">
        <v>2327</v>
      </c>
      <c r="D180" s="109"/>
      <c r="E180" s="109"/>
      <c r="F180" s="109">
        <v>44292</v>
      </c>
      <c r="G180" s="109" t="s">
        <v>762</v>
      </c>
      <c r="H180" s="109"/>
      <c r="I180" s="139" t="s">
        <v>763</v>
      </c>
      <c r="J180" s="139" t="s">
        <v>764</v>
      </c>
      <c r="K180" s="139" t="s">
        <v>765</v>
      </c>
      <c r="L180" s="139" t="s">
        <v>135</v>
      </c>
      <c r="M180" s="139"/>
      <c r="N180" s="139"/>
      <c r="O180" s="109" t="s">
        <v>93</v>
      </c>
      <c r="P180" s="109">
        <v>1</v>
      </c>
      <c r="Q180" s="136">
        <v>33.61</v>
      </c>
      <c r="R180" s="109">
        <v>2</v>
      </c>
      <c r="S180" s="136">
        <v>33.61</v>
      </c>
      <c r="T180" s="109">
        <v>2</v>
      </c>
      <c r="U180" s="136">
        <v>67.22</v>
      </c>
      <c r="V180" s="109" t="s">
        <v>967</v>
      </c>
      <c r="W180" s="139" t="s">
        <v>972</v>
      </c>
    </row>
    <row r="181" spans="1:23" x14ac:dyDescent="0.2">
      <c r="A181" s="109">
        <v>219</v>
      </c>
      <c r="B181" s="109" t="s">
        <v>125</v>
      </c>
      <c r="C181" s="109">
        <v>2332</v>
      </c>
      <c r="D181" s="109"/>
      <c r="E181" s="109"/>
      <c r="F181" s="109">
        <v>44495</v>
      </c>
      <c r="G181" s="109" t="s">
        <v>766</v>
      </c>
      <c r="H181" s="109"/>
      <c r="I181" s="139" t="s">
        <v>767</v>
      </c>
      <c r="J181" s="139" t="s">
        <v>128</v>
      </c>
      <c r="K181" s="139" t="s">
        <v>768</v>
      </c>
      <c r="L181" s="139" t="s">
        <v>135</v>
      </c>
      <c r="M181" s="139"/>
      <c r="N181" s="139"/>
      <c r="O181" s="109" t="s">
        <v>93</v>
      </c>
      <c r="P181" s="109">
        <v>1</v>
      </c>
      <c r="Q181" s="136">
        <v>33.39</v>
      </c>
      <c r="R181" s="109">
        <v>2</v>
      </c>
      <c r="S181" s="136">
        <v>33.39</v>
      </c>
      <c r="T181" s="109">
        <v>2</v>
      </c>
      <c r="U181" s="136">
        <v>66.78</v>
      </c>
      <c r="V181" s="109" t="s">
        <v>965</v>
      </c>
      <c r="W181" s="139" t="s">
        <v>969</v>
      </c>
    </row>
    <row r="182" spans="1:23" x14ac:dyDescent="0.2">
      <c r="A182" s="109">
        <v>220</v>
      </c>
      <c r="B182" s="109" t="s">
        <v>125</v>
      </c>
      <c r="C182" s="109">
        <v>2334</v>
      </c>
      <c r="D182" s="109"/>
      <c r="E182" s="109"/>
      <c r="F182" s="109">
        <v>44301</v>
      </c>
      <c r="G182" s="109" t="s">
        <v>641</v>
      </c>
      <c r="H182" s="109"/>
      <c r="I182" s="139" t="s">
        <v>769</v>
      </c>
      <c r="J182" s="139" t="s">
        <v>495</v>
      </c>
      <c r="K182" s="139" t="s">
        <v>770</v>
      </c>
      <c r="L182" s="139" t="s">
        <v>135</v>
      </c>
      <c r="M182" s="139"/>
      <c r="N182" s="139"/>
      <c r="O182" s="109" t="s">
        <v>93</v>
      </c>
      <c r="P182" s="109">
        <v>1</v>
      </c>
      <c r="Q182" s="136">
        <v>66.56</v>
      </c>
      <c r="R182" s="109">
        <v>1</v>
      </c>
      <c r="S182" s="136">
        <v>66.56</v>
      </c>
      <c r="T182" s="109">
        <v>1</v>
      </c>
      <c r="U182" s="136">
        <v>66.56</v>
      </c>
      <c r="V182" s="109" t="s">
        <v>966</v>
      </c>
      <c r="W182" s="139" t="s">
        <v>970</v>
      </c>
    </row>
    <row r="183" spans="1:23" x14ac:dyDescent="0.2">
      <c r="A183" s="109">
        <v>224</v>
      </c>
      <c r="B183" s="109" t="s">
        <v>125</v>
      </c>
      <c r="C183" s="109">
        <v>2373</v>
      </c>
      <c r="D183" s="109"/>
      <c r="E183" s="109"/>
      <c r="F183" s="109">
        <v>44509</v>
      </c>
      <c r="G183" s="109" t="s">
        <v>145</v>
      </c>
      <c r="H183" s="109"/>
      <c r="I183" s="139" t="s">
        <v>777</v>
      </c>
      <c r="J183" s="139" t="s">
        <v>778</v>
      </c>
      <c r="K183" s="139" t="s">
        <v>779</v>
      </c>
      <c r="L183" s="139" t="s">
        <v>780</v>
      </c>
      <c r="M183" s="139"/>
      <c r="N183" s="139"/>
      <c r="O183" s="109" t="s">
        <v>93</v>
      </c>
      <c r="P183" s="109">
        <v>1</v>
      </c>
      <c r="Q183" s="136">
        <v>20.65</v>
      </c>
      <c r="R183" s="109">
        <v>3</v>
      </c>
      <c r="S183" s="136">
        <v>20.65</v>
      </c>
      <c r="T183" s="109">
        <v>3</v>
      </c>
      <c r="U183" s="136">
        <v>61.949999999999996</v>
      </c>
      <c r="V183" s="109" t="s">
        <v>966</v>
      </c>
      <c r="W183" s="139" t="s">
        <v>970</v>
      </c>
    </row>
    <row r="184" spans="1:23" x14ac:dyDescent="0.2">
      <c r="A184" s="109">
        <v>225</v>
      </c>
      <c r="B184" s="109" t="s">
        <v>125</v>
      </c>
      <c r="C184" s="109">
        <v>2378</v>
      </c>
      <c r="D184" s="109"/>
      <c r="E184" s="109"/>
      <c r="F184" s="109">
        <v>44476</v>
      </c>
      <c r="G184" s="109" t="s">
        <v>376</v>
      </c>
      <c r="H184" s="109"/>
      <c r="I184" s="139" t="s">
        <v>781</v>
      </c>
      <c r="J184" s="139" t="s">
        <v>378</v>
      </c>
      <c r="K184" s="139" t="s">
        <v>782</v>
      </c>
      <c r="L184" s="139" t="s">
        <v>144</v>
      </c>
      <c r="M184" s="139"/>
      <c r="N184" s="139"/>
      <c r="O184" s="109" t="s">
        <v>93</v>
      </c>
      <c r="P184" s="109">
        <v>1</v>
      </c>
      <c r="Q184" s="136">
        <v>30.77</v>
      </c>
      <c r="R184" s="109">
        <v>2</v>
      </c>
      <c r="S184" s="136">
        <v>30.77</v>
      </c>
      <c r="T184" s="109">
        <v>2</v>
      </c>
      <c r="U184" s="136">
        <v>61.54</v>
      </c>
      <c r="V184" s="109" t="s">
        <v>966</v>
      </c>
      <c r="W184" s="139" t="s">
        <v>970</v>
      </c>
    </row>
    <row r="185" spans="1:23" x14ac:dyDescent="0.2">
      <c r="A185" s="109">
        <v>226</v>
      </c>
      <c r="B185" s="109" t="s">
        <v>125</v>
      </c>
      <c r="C185" s="109">
        <v>2380</v>
      </c>
      <c r="D185" s="109"/>
      <c r="E185" s="109"/>
      <c r="F185" s="109">
        <v>44519</v>
      </c>
      <c r="G185" s="109" t="s">
        <v>783</v>
      </c>
      <c r="H185" s="109"/>
      <c r="I185" s="139" t="s">
        <v>784</v>
      </c>
      <c r="J185" s="139" t="s">
        <v>785</v>
      </c>
      <c r="K185" s="139" t="s">
        <v>786</v>
      </c>
      <c r="L185" s="139" t="s">
        <v>135</v>
      </c>
      <c r="M185" s="139"/>
      <c r="N185" s="139"/>
      <c r="O185" s="109" t="s">
        <v>93</v>
      </c>
      <c r="P185" s="109">
        <v>1</v>
      </c>
      <c r="Q185" s="136">
        <v>15.37</v>
      </c>
      <c r="R185" s="109">
        <v>4</v>
      </c>
      <c r="S185" s="136">
        <v>15.37</v>
      </c>
      <c r="T185" s="109">
        <v>4</v>
      </c>
      <c r="U185" s="136">
        <v>61.48</v>
      </c>
      <c r="V185" s="109" t="s">
        <v>966</v>
      </c>
      <c r="W185" s="139" t="s">
        <v>970</v>
      </c>
    </row>
    <row r="186" spans="1:23" x14ac:dyDescent="0.2">
      <c r="A186" s="109">
        <v>227</v>
      </c>
      <c r="B186" s="109" t="s">
        <v>125</v>
      </c>
      <c r="C186" s="109">
        <v>2387</v>
      </c>
      <c r="D186" s="109"/>
      <c r="E186" s="109"/>
      <c r="F186" s="109">
        <v>44544</v>
      </c>
      <c r="G186" s="109" t="s">
        <v>259</v>
      </c>
      <c r="H186" s="109"/>
      <c r="I186" s="139" t="s">
        <v>787</v>
      </c>
      <c r="J186" s="139" t="s">
        <v>788</v>
      </c>
      <c r="K186" s="139" t="s">
        <v>789</v>
      </c>
      <c r="L186" s="139" t="s">
        <v>135</v>
      </c>
      <c r="M186" s="139"/>
      <c r="N186" s="139"/>
      <c r="O186" s="109" t="s">
        <v>93</v>
      </c>
      <c r="P186" s="109">
        <v>1</v>
      </c>
      <c r="Q186" s="136">
        <v>15.16</v>
      </c>
      <c r="R186" s="109">
        <v>4</v>
      </c>
      <c r="S186" s="136">
        <v>15.16</v>
      </c>
      <c r="T186" s="109">
        <v>4</v>
      </c>
      <c r="U186" s="136">
        <v>60.64</v>
      </c>
      <c r="V186" s="109" t="s">
        <v>966</v>
      </c>
      <c r="W186" s="139" t="s">
        <v>970</v>
      </c>
    </row>
    <row r="187" spans="1:23" x14ac:dyDescent="0.2">
      <c r="A187" s="109">
        <v>228</v>
      </c>
      <c r="B187" s="109" t="s">
        <v>125</v>
      </c>
      <c r="C187" s="109">
        <v>2389</v>
      </c>
      <c r="D187" s="109"/>
      <c r="E187" s="109"/>
      <c r="F187" s="109">
        <v>44204</v>
      </c>
      <c r="G187" s="109" t="s">
        <v>790</v>
      </c>
      <c r="H187" s="109"/>
      <c r="I187" s="139" t="s">
        <v>791</v>
      </c>
      <c r="J187" s="139" t="s">
        <v>535</v>
      </c>
      <c r="K187" s="139" t="s">
        <v>792</v>
      </c>
      <c r="L187" s="139" t="s">
        <v>135</v>
      </c>
      <c r="M187" s="139"/>
      <c r="N187" s="139"/>
      <c r="O187" s="109" t="s">
        <v>93</v>
      </c>
      <c r="P187" s="109">
        <v>1</v>
      </c>
      <c r="Q187" s="136">
        <v>30.24</v>
      </c>
      <c r="R187" s="109">
        <v>2</v>
      </c>
      <c r="S187" s="136">
        <v>30.24</v>
      </c>
      <c r="T187" s="109">
        <v>2</v>
      </c>
      <c r="U187" s="136">
        <v>60.48</v>
      </c>
      <c r="V187" s="109" t="s">
        <v>966</v>
      </c>
      <c r="W187" s="139" t="s">
        <v>970</v>
      </c>
    </row>
    <row r="188" spans="1:23" x14ac:dyDescent="0.2">
      <c r="A188" s="109">
        <v>229</v>
      </c>
      <c r="B188" s="109" t="s">
        <v>125</v>
      </c>
      <c r="C188" s="109">
        <v>2394</v>
      </c>
      <c r="D188" s="109"/>
      <c r="E188" s="109"/>
      <c r="F188" s="109">
        <v>44518</v>
      </c>
      <c r="G188" s="109" t="s">
        <v>793</v>
      </c>
      <c r="H188" s="109"/>
      <c r="I188" s="139" t="s">
        <v>794</v>
      </c>
      <c r="J188" s="139" t="s">
        <v>795</v>
      </c>
      <c r="K188" s="139" t="s">
        <v>796</v>
      </c>
      <c r="L188" s="139" t="s">
        <v>135</v>
      </c>
      <c r="M188" s="139"/>
      <c r="N188" s="139"/>
      <c r="O188" s="109" t="s">
        <v>93</v>
      </c>
      <c r="P188" s="109">
        <v>1</v>
      </c>
      <c r="Q188" s="136">
        <v>29.8</v>
      </c>
      <c r="R188" s="109">
        <v>2</v>
      </c>
      <c r="S188" s="136">
        <v>29.8</v>
      </c>
      <c r="T188" s="109">
        <v>2</v>
      </c>
      <c r="U188" s="136">
        <v>59.6</v>
      </c>
      <c r="V188" s="109" t="s">
        <v>966</v>
      </c>
      <c r="W188" s="139" t="s">
        <v>970</v>
      </c>
    </row>
    <row r="189" spans="1:23" x14ac:dyDescent="0.2">
      <c r="A189" s="109">
        <v>231</v>
      </c>
      <c r="B189" s="109" t="s">
        <v>125</v>
      </c>
      <c r="C189" s="109">
        <v>2420</v>
      </c>
      <c r="D189" s="109"/>
      <c r="E189" s="109"/>
      <c r="F189" s="109">
        <v>44498</v>
      </c>
      <c r="G189" s="109" t="s">
        <v>140</v>
      </c>
      <c r="H189" s="109"/>
      <c r="I189" s="139" t="s">
        <v>800</v>
      </c>
      <c r="J189" s="139" t="s">
        <v>801</v>
      </c>
      <c r="K189" s="139" t="s">
        <v>802</v>
      </c>
      <c r="L189" s="139" t="s">
        <v>144</v>
      </c>
      <c r="M189" s="139"/>
      <c r="N189" s="139"/>
      <c r="O189" s="109" t="s">
        <v>93</v>
      </c>
      <c r="P189" s="109">
        <v>1</v>
      </c>
      <c r="Q189" s="136">
        <v>27.85</v>
      </c>
      <c r="R189" s="109">
        <v>2</v>
      </c>
      <c r="S189" s="136">
        <v>27.85</v>
      </c>
      <c r="T189" s="109">
        <v>2</v>
      </c>
      <c r="U189" s="136">
        <v>55.7</v>
      </c>
      <c r="V189" s="109" t="s">
        <v>966</v>
      </c>
      <c r="W189" s="139" t="s">
        <v>970</v>
      </c>
    </row>
    <row r="190" spans="1:23" x14ac:dyDescent="0.2">
      <c r="A190" s="109">
        <v>232</v>
      </c>
      <c r="B190" s="109" t="s">
        <v>125</v>
      </c>
      <c r="C190" s="109">
        <v>2423</v>
      </c>
      <c r="D190" s="109"/>
      <c r="E190" s="109"/>
      <c r="F190" s="109">
        <v>44522</v>
      </c>
      <c r="G190" s="109" t="s">
        <v>803</v>
      </c>
      <c r="H190" s="109"/>
      <c r="I190" s="139" t="s">
        <v>804</v>
      </c>
      <c r="J190" s="139" t="s">
        <v>805</v>
      </c>
      <c r="K190" s="139" t="s">
        <v>806</v>
      </c>
      <c r="L190" s="139" t="s">
        <v>130</v>
      </c>
      <c r="M190" s="139"/>
      <c r="N190" s="139"/>
      <c r="O190" s="109" t="s">
        <v>93</v>
      </c>
      <c r="P190" s="109">
        <v>1</v>
      </c>
      <c r="Q190" s="136">
        <v>1.1100000000000001</v>
      </c>
      <c r="R190" s="109">
        <v>50</v>
      </c>
      <c r="S190" s="136">
        <v>1.1100000000000001</v>
      </c>
      <c r="T190" s="109">
        <v>50</v>
      </c>
      <c r="U190" s="136">
        <v>55.500000000000007</v>
      </c>
      <c r="V190" s="109" t="s">
        <v>966</v>
      </c>
      <c r="W190" s="139" t="s">
        <v>973</v>
      </c>
    </row>
    <row r="191" spans="1:23" x14ac:dyDescent="0.2">
      <c r="A191" s="109">
        <v>233</v>
      </c>
      <c r="B191" s="109" t="s">
        <v>125</v>
      </c>
      <c r="C191" s="109">
        <v>2427</v>
      </c>
      <c r="D191" s="109"/>
      <c r="E191" s="109"/>
      <c r="F191" s="109">
        <v>44487</v>
      </c>
      <c r="G191" s="109" t="s">
        <v>641</v>
      </c>
      <c r="H191" s="109"/>
      <c r="I191" s="139" t="s">
        <v>807</v>
      </c>
      <c r="J191" s="139" t="s">
        <v>808</v>
      </c>
      <c r="K191" s="139" t="s">
        <v>809</v>
      </c>
      <c r="L191" s="139" t="s">
        <v>144</v>
      </c>
      <c r="M191" s="139"/>
      <c r="N191" s="139"/>
      <c r="O191" s="109" t="s">
        <v>93</v>
      </c>
      <c r="P191" s="109">
        <v>1</v>
      </c>
      <c r="Q191" s="136">
        <v>54.54</v>
      </c>
      <c r="R191" s="109">
        <v>1</v>
      </c>
      <c r="S191" s="136">
        <v>54.54</v>
      </c>
      <c r="T191" s="109">
        <v>1</v>
      </c>
      <c r="U191" s="136">
        <v>54.54</v>
      </c>
      <c r="V191" s="109" t="s">
        <v>966</v>
      </c>
      <c r="W191" s="139" t="s">
        <v>970</v>
      </c>
    </row>
    <row r="192" spans="1:23" x14ac:dyDescent="0.2">
      <c r="A192" s="109">
        <v>236</v>
      </c>
      <c r="B192" s="109" t="s">
        <v>125</v>
      </c>
      <c r="C192" s="109">
        <v>2459</v>
      </c>
      <c r="D192" s="109"/>
      <c r="E192" s="109"/>
      <c r="F192" s="109">
        <v>44504</v>
      </c>
      <c r="G192" s="109" t="s">
        <v>163</v>
      </c>
      <c r="H192" s="109"/>
      <c r="I192" s="139" t="s">
        <v>814</v>
      </c>
      <c r="J192" s="139" t="s">
        <v>815</v>
      </c>
      <c r="K192" s="139" t="s">
        <v>816</v>
      </c>
      <c r="L192" s="139" t="s">
        <v>135</v>
      </c>
      <c r="M192" s="139"/>
      <c r="N192" s="139"/>
      <c r="O192" s="109" t="s">
        <v>93</v>
      </c>
      <c r="P192" s="109">
        <v>1</v>
      </c>
      <c r="Q192" s="136">
        <v>24.97</v>
      </c>
      <c r="R192" s="109">
        <v>2</v>
      </c>
      <c r="S192" s="136">
        <v>24.97</v>
      </c>
      <c r="T192" s="109">
        <v>2</v>
      </c>
      <c r="U192" s="136">
        <v>49.94</v>
      </c>
      <c r="V192" s="109" t="s">
        <v>966</v>
      </c>
      <c r="W192" s="139" t="s">
        <v>970</v>
      </c>
    </row>
    <row r="193" spans="1:23" x14ac:dyDescent="0.2">
      <c r="A193" s="109">
        <v>237</v>
      </c>
      <c r="B193" s="109" t="s">
        <v>125</v>
      </c>
      <c r="C193" s="109">
        <v>2460</v>
      </c>
      <c r="D193" s="109"/>
      <c r="E193" s="109"/>
      <c r="F193" s="109">
        <v>44489</v>
      </c>
      <c r="G193" s="109" t="s">
        <v>817</v>
      </c>
      <c r="H193" s="109"/>
      <c r="I193" s="139" t="s">
        <v>818</v>
      </c>
      <c r="J193" s="139" t="s">
        <v>819</v>
      </c>
      <c r="K193" s="139" t="s">
        <v>820</v>
      </c>
      <c r="L193" s="139" t="s">
        <v>130</v>
      </c>
      <c r="M193" s="139"/>
      <c r="N193" s="139"/>
      <c r="O193" s="109" t="s">
        <v>93</v>
      </c>
      <c r="P193" s="109">
        <v>1</v>
      </c>
      <c r="Q193" s="136">
        <v>4.96</v>
      </c>
      <c r="R193" s="109">
        <v>10</v>
      </c>
      <c r="S193" s="136">
        <v>4.96</v>
      </c>
      <c r="T193" s="109">
        <v>10</v>
      </c>
      <c r="U193" s="136">
        <v>49.6</v>
      </c>
      <c r="V193" s="109" t="s">
        <v>966</v>
      </c>
      <c r="W193" s="139" t="s">
        <v>970</v>
      </c>
    </row>
    <row r="194" spans="1:23" x14ac:dyDescent="0.2">
      <c r="A194" s="109">
        <v>239</v>
      </c>
      <c r="B194" s="109" t="s">
        <v>125</v>
      </c>
      <c r="C194" s="109">
        <v>2468</v>
      </c>
      <c r="D194" s="109"/>
      <c r="E194" s="109"/>
      <c r="F194" s="109">
        <v>44538</v>
      </c>
      <c r="G194" s="109" t="s">
        <v>510</v>
      </c>
      <c r="H194" s="109"/>
      <c r="I194" s="139" t="s">
        <v>823</v>
      </c>
      <c r="J194" s="139" t="s">
        <v>824</v>
      </c>
      <c r="K194" s="139" t="s">
        <v>825</v>
      </c>
      <c r="L194" s="139" t="s">
        <v>135</v>
      </c>
      <c r="M194" s="139"/>
      <c r="N194" s="139"/>
      <c r="O194" s="109" t="s">
        <v>93</v>
      </c>
      <c r="P194" s="109">
        <v>1</v>
      </c>
      <c r="Q194" s="136">
        <v>48.73</v>
      </c>
      <c r="R194" s="109">
        <v>1</v>
      </c>
      <c r="S194" s="136">
        <v>48.73</v>
      </c>
      <c r="T194" s="109">
        <v>1</v>
      </c>
      <c r="U194" s="136">
        <v>48.73</v>
      </c>
      <c r="V194" s="109" t="s">
        <v>966</v>
      </c>
      <c r="W194" s="139" t="s">
        <v>970</v>
      </c>
    </row>
    <row r="195" spans="1:23" x14ac:dyDescent="0.2">
      <c r="A195" s="109">
        <v>241</v>
      </c>
      <c r="B195" s="109" t="s">
        <v>125</v>
      </c>
      <c r="C195" s="109">
        <v>2485</v>
      </c>
      <c r="D195" s="109"/>
      <c r="E195" s="109"/>
      <c r="F195" s="109">
        <v>44516</v>
      </c>
      <c r="G195" s="109" t="s">
        <v>163</v>
      </c>
      <c r="H195" s="109"/>
      <c r="I195" s="139" t="s">
        <v>828</v>
      </c>
      <c r="J195" s="139" t="s">
        <v>297</v>
      </c>
      <c r="K195" s="139" t="s">
        <v>829</v>
      </c>
      <c r="L195" s="139" t="s">
        <v>135</v>
      </c>
      <c r="M195" s="139"/>
      <c r="N195" s="139"/>
      <c r="O195" s="109" t="s">
        <v>93</v>
      </c>
      <c r="P195" s="109">
        <v>1</v>
      </c>
      <c r="Q195" s="136">
        <v>24.01</v>
      </c>
      <c r="R195" s="109">
        <v>2</v>
      </c>
      <c r="S195" s="136">
        <v>24.01</v>
      </c>
      <c r="T195" s="109">
        <v>2</v>
      </c>
      <c r="U195" s="136">
        <v>48.02</v>
      </c>
      <c r="V195" s="109" t="s">
        <v>966</v>
      </c>
      <c r="W195" s="139" t="s">
        <v>971</v>
      </c>
    </row>
    <row r="196" spans="1:23" x14ac:dyDescent="0.2">
      <c r="A196" s="109">
        <v>243</v>
      </c>
      <c r="B196" s="109" t="s">
        <v>125</v>
      </c>
      <c r="C196" s="109">
        <v>2489</v>
      </c>
      <c r="D196" s="109"/>
      <c r="E196" s="109"/>
      <c r="F196" s="109">
        <v>44516</v>
      </c>
      <c r="G196" s="109" t="s">
        <v>259</v>
      </c>
      <c r="H196" s="109"/>
      <c r="I196" s="139" t="s">
        <v>832</v>
      </c>
      <c r="J196" s="139" t="s">
        <v>833</v>
      </c>
      <c r="K196" s="139" t="s">
        <v>834</v>
      </c>
      <c r="L196" s="139" t="s">
        <v>135</v>
      </c>
      <c r="M196" s="139"/>
      <c r="N196" s="139"/>
      <c r="O196" s="109" t="s">
        <v>93</v>
      </c>
      <c r="P196" s="109">
        <v>1</v>
      </c>
      <c r="Q196" s="136">
        <v>46.9</v>
      </c>
      <c r="R196" s="109">
        <v>1</v>
      </c>
      <c r="S196" s="136">
        <v>46.9</v>
      </c>
      <c r="T196" s="109">
        <v>1</v>
      </c>
      <c r="U196" s="136">
        <v>46.9</v>
      </c>
      <c r="V196" s="109" t="s">
        <v>966</v>
      </c>
      <c r="W196" s="139" t="s">
        <v>970</v>
      </c>
    </row>
    <row r="197" spans="1:23" x14ac:dyDescent="0.2">
      <c r="A197" s="109">
        <v>244</v>
      </c>
      <c r="B197" s="109" t="s">
        <v>125</v>
      </c>
      <c r="C197" s="109">
        <v>2497</v>
      </c>
      <c r="D197" s="109"/>
      <c r="E197" s="109"/>
      <c r="F197" s="109">
        <v>44327</v>
      </c>
      <c r="G197" s="109" t="s">
        <v>835</v>
      </c>
      <c r="H197" s="109"/>
      <c r="I197" s="139" t="s">
        <v>836</v>
      </c>
      <c r="J197" s="139" t="s">
        <v>837</v>
      </c>
      <c r="K197" s="139" t="s">
        <v>838</v>
      </c>
      <c r="L197" s="139" t="s">
        <v>135</v>
      </c>
      <c r="M197" s="139"/>
      <c r="N197" s="139"/>
      <c r="O197" s="109" t="s">
        <v>93</v>
      </c>
      <c r="P197" s="109">
        <v>1</v>
      </c>
      <c r="Q197" s="136">
        <v>46.08</v>
      </c>
      <c r="R197" s="109">
        <v>1</v>
      </c>
      <c r="S197" s="136">
        <v>46.08</v>
      </c>
      <c r="T197" s="109">
        <v>1</v>
      </c>
      <c r="U197" s="136">
        <v>46.08</v>
      </c>
      <c r="V197" s="109" t="s">
        <v>966</v>
      </c>
      <c r="W197" s="139" t="s">
        <v>970</v>
      </c>
    </row>
    <row r="198" spans="1:23" x14ac:dyDescent="0.2">
      <c r="A198" s="109">
        <v>245</v>
      </c>
      <c r="B198" s="109" t="s">
        <v>125</v>
      </c>
      <c r="C198" s="109">
        <v>2499</v>
      </c>
      <c r="D198" s="109"/>
      <c r="E198" s="109"/>
      <c r="F198" s="109">
        <v>44544</v>
      </c>
      <c r="G198" s="109" t="s">
        <v>140</v>
      </c>
      <c r="H198" s="109"/>
      <c r="I198" s="139" t="s">
        <v>839</v>
      </c>
      <c r="J198" s="139" t="s">
        <v>310</v>
      </c>
      <c r="K198" s="139" t="s">
        <v>840</v>
      </c>
      <c r="L198" s="139" t="s">
        <v>144</v>
      </c>
      <c r="M198" s="139"/>
      <c r="N198" s="139"/>
      <c r="O198" s="109" t="s">
        <v>93</v>
      </c>
      <c r="P198" s="109">
        <v>1</v>
      </c>
      <c r="Q198" s="136">
        <v>22.77</v>
      </c>
      <c r="R198" s="109">
        <v>2</v>
      </c>
      <c r="S198" s="136">
        <v>22.77</v>
      </c>
      <c r="T198" s="109">
        <v>2</v>
      </c>
      <c r="U198" s="136">
        <v>45.54</v>
      </c>
      <c r="V198" s="109" t="s">
        <v>966</v>
      </c>
      <c r="W198" s="139" t="s">
        <v>970</v>
      </c>
    </row>
    <row r="199" spans="1:23" x14ac:dyDescent="0.2">
      <c r="A199" s="109">
        <v>246</v>
      </c>
      <c r="B199" s="109" t="s">
        <v>125</v>
      </c>
      <c r="C199" s="109">
        <v>2501</v>
      </c>
      <c r="D199" s="109"/>
      <c r="E199" s="109"/>
      <c r="F199" s="109">
        <v>44481</v>
      </c>
      <c r="G199" s="109" t="s">
        <v>163</v>
      </c>
      <c r="H199" s="109"/>
      <c r="I199" s="139" t="s">
        <v>841</v>
      </c>
      <c r="J199" s="139" t="s">
        <v>842</v>
      </c>
      <c r="K199" s="139" t="s">
        <v>843</v>
      </c>
      <c r="L199" s="139" t="s">
        <v>135</v>
      </c>
      <c r="M199" s="139"/>
      <c r="N199" s="139"/>
      <c r="O199" s="109" t="s">
        <v>93</v>
      </c>
      <c r="P199" s="109">
        <v>1</v>
      </c>
      <c r="Q199" s="136">
        <v>22.47</v>
      </c>
      <c r="R199" s="109">
        <v>2</v>
      </c>
      <c r="S199" s="136">
        <v>22.47</v>
      </c>
      <c r="T199" s="109">
        <v>2</v>
      </c>
      <c r="U199" s="136">
        <v>44.94</v>
      </c>
      <c r="V199" s="109" t="s">
        <v>966</v>
      </c>
      <c r="W199" s="139" t="s">
        <v>970</v>
      </c>
    </row>
    <row r="200" spans="1:23" x14ac:dyDescent="0.2">
      <c r="A200" s="109">
        <v>248</v>
      </c>
      <c r="B200" s="109" t="s">
        <v>125</v>
      </c>
      <c r="C200" s="109">
        <v>2514</v>
      </c>
      <c r="D200" s="109"/>
      <c r="E200" s="109"/>
      <c r="F200" s="109">
        <v>44502</v>
      </c>
      <c r="G200" s="109" t="s">
        <v>163</v>
      </c>
      <c r="H200" s="109"/>
      <c r="I200" s="139" t="s">
        <v>847</v>
      </c>
      <c r="J200" s="139" t="s">
        <v>848</v>
      </c>
      <c r="K200" s="139" t="s">
        <v>849</v>
      </c>
      <c r="L200" s="139" t="s">
        <v>130</v>
      </c>
      <c r="M200" s="139"/>
      <c r="N200" s="139"/>
      <c r="O200" s="109" t="s">
        <v>93</v>
      </c>
      <c r="P200" s="109">
        <v>1</v>
      </c>
      <c r="Q200" s="136">
        <v>8.64</v>
      </c>
      <c r="R200" s="109">
        <v>5</v>
      </c>
      <c r="S200" s="136">
        <v>8.64</v>
      </c>
      <c r="T200" s="109">
        <v>5</v>
      </c>
      <c r="U200" s="136">
        <v>43.2</v>
      </c>
      <c r="V200" s="109" t="s">
        <v>966</v>
      </c>
      <c r="W200" s="139" t="s">
        <v>970</v>
      </c>
    </row>
    <row r="201" spans="1:23" x14ac:dyDescent="0.2">
      <c r="A201" s="109">
        <v>249</v>
      </c>
      <c r="B201" s="109" t="s">
        <v>125</v>
      </c>
      <c r="C201" s="109">
        <v>2522</v>
      </c>
      <c r="D201" s="109"/>
      <c r="E201" s="109"/>
      <c r="F201" s="109">
        <v>44463</v>
      </c>
      <c r="G201" s="109" t="s">
        <v>145</v>
      </c>
      <c r="H201" s="109"/>
      <c r="I201" s="139" t="s">
        <v>850</v>
      </c>
      <c r="J201" s="139" t="s">
        <v>322</v>
      </c>
      <c r="K201" s="139" t="s">
        <v>851</v>
      </c>
      <c r="L201" s="139" t="s">
        <v>135</v>
      </c>
      <c r="M201" s="139"/>
      <c r="N201" s="139"/>
      <c r="O201" s="109" t="s">
        <v>93</v>
      </c>
      <c r="P201" s="109">
        <v>1</v>
      </c>
      <c r="Q201" s="136">
        <v>21.21</v>
      </c>
      <c r="R201" s="109">
        <v>2</v>
      </c>
      <c r="S201" s="136">
        <v>21.21</v>
      </c>
      <c r="T201" s="109">
        <v>2</v>
      </c>
      <c r="U201" s="136">
        <v>42.42</v>
      </c>
      <c r="V201" s="109" t="s">
        <v>965</v>
      </c>
      <c r="W201" s="139" t="s">
        <v>969</v>
      </c>
    </row>
    <row r="202" spans="1:23" x14ac:dyDescent="0.2">
      <c r="A202" s="109">
        <v>250</v>
      </c>
      <c r="B202" s="109" t="s">
        <v>125</v>
      </c>
      <c r="C202" s="109">
        <v>2529</v>
      </c>
      <c r="D202" s="109"/>
      <c r="E202" s="109"/>
      <c r="F202" s="109">
        <v>44484</v>
      </c>
      <c r="G202" s="109" t="s">
        <v>259</v>
      </c>
      <c r="H202" s="109"/>
      <c r="I202" s="139" t="s">
        <v>852</v>
      </c>
      <c r="J202" s="139" t="s">
        <v>853</v>
      </c>
      <c r="K202" s="139" t="s">
        <v>854</v>
      </c>
      <c r="L202" s="139" t="s">
        <v>135</v>
      </c>
      <c r="M202" s="139"/>
      <c r="N202" s="139"/>
      <c r="O202" s="109" t="s">
        <v>93</v>
      </c>
      <c r="P202" s="109">
        <v>1</v>
      </c>
      <c r="Q202" s="136">
        <v>10.52</v>
      </c>
      <c r="R202" s="109">
        <v>4</v>
      </c>
      <c r="S202" s="136">
        <v>10.52</v>
      </c>
      <c r="T202" s="109">
        <v>4</v>
      </c>
      <c r="U202" s="136">
        <v>42.08</v>
      </c>
      <c r="V202" s="109" t="s">
        <v>966</v>
      </c>
      <c r="W202" s="139" t="s">
        <v>970</v>
      </c>
    </row>
    <row r="203" spans="1:23" x14ac:dyDescent="0.2">
      <c r="A203" s="109">
        <v>252</v>
      </c>
      <c r="B203" s="109" t="s">
        <v>125</v>
      </c>
      <c r="C203" s="109">
        <v>2551</v>
      </c>
      <c r="D203" s="109"/>
      <c r="E203" s="109"/>
      <c r="F203" s="109">
        <v>44480</v>
      </c>
      <c r="G203" s="109" t="s">
        <v>857</v>
      </c>
      <c r="H203" s="109"/>
      <c r="I203" s="139" t="s">
        <v>858</v>
      </c>
      <c r="J203" s="139" t="s">
        <v>859</v>
      </c>
      <c r="K203" s="139" t="s">
        <v>860</v>
      </c>
      <c r="L203" s="139" t="s">
        <v>144</v>
      </c>
      <c r="M203" s="139"/>
      <c r="N203" s="139"/>
      <c r="O203" s="109" t="s">
        <v>93</v>
      </c>
      <c r="P203" s="109">
        <v>1</v>
      </c>
      <c r="Q203" s="136">
        <v>39.76</v>
      </c>
      <c r="R203" s="109">
        <v>1</v>
      </c>
      <c r="S203" s="136">
        <v>39.76</v>
      </c>
      <c r="T203" s="109">
        <v>1</v>
      </c>
      <c r="U203" s="136">
        <v>39.76</v>
      </c>
      <c r="V203" s="109" t="s">
        <v>966</v>
      </c>
      <c r="W203" s="139" t="s">
        <v>970</v>
      </c>
    </row>
    <row r="204" spans="1:23" x14ac:dyDescent="0.2">
      <c r="A204" s="109">
        <v>253</v>
      </c>
      <c r="B204" s="109" t="s">
        <v>125</v>
      </c>
      <c r="C204" s="109">
        <v>2561</v>
      </c>
      <c r="D204" s="109"/>
      <c r="E204" s="109"/>
      <c r="F204" s="109">
        <v>44505</v>
      </c>
      <c r="G204" s="109" t="s">
        <v>181</v>
      </c>
      <c r="H204" s="109"/>
      <c r="I204" s="139" t="s">
        <v>861</v>
      </c>
      <c r="J204" s="139" t="s">
        <v>422</v>
      </c>
      <c r="K204" s="139" t="s">
        <v>862</v>
      </c>
      <c r="L204" s="139" t="s">
        <v>130</v>
      </c>
      <c r="M204" s="139"/>
      <c r="N204" s="139"/>
      <c r="O204" s="109" t="s">
        <v>93</v>
      </c>
      <c r="P204" s="109">
        <v>1</v>
      </c>
      <c r="Q204" s="136">
        <v>19.2</v>
      </c>
      <c r="R204" s="109">
        <v>2</v>
      </c>
      <c r="S204" s="136">
        <v>19.2</v>
      </c>
      <c r="T204" s="109">
        <v>2</v>
      </c>
      <c r="U204" s="136">
        <v>38.4</v>
      </c>
      <c r="V204" s="109" t="s">
        <v>966</v>
      </c>
      <c r="W204" s="139" t="s">
        <v>970</v>
      </c>
    </row>
    <row r="205" spans="1:23" x14ac:dyDescent="0.2">
      <c r="A205" s="109">
        <v>254</v>
      </c>
      <c r="B205" s="109" t="s">
        <v>125</v>
      </c>
      <c r="C205" s="109">
        <v>2571</v>
      </c>
      <c r="D205" s="109"/>
      <c r="E205" s="109"/>
      <c r="F205" s="109">
        <v>44386</v>
      </c>
      <c r="G205" s="109" t="s">
        <v>259</v>
      </c>
      <c r="H205" s="109"/>
      <c r="I205" s="139" t="s">
        <v>863</v>
      </c>
      <c r="J205" s="139" t="s">
        <v>261</v>
      </c>
      <c r="K205" s="139" t="s">
        <v>864</v>
      </c>
      <c r="L205" s="139" t="s">
        <v>135</v>
      </c>
      <c r="M205" s="139"/>
      <c r="N205" s="139"/>
      <c r="O205" s="109" t="s">
        <v>93</v>
      </c>
      <c r="P205" s="109">
        <v>1</v>
      </c>
      <c r="Q205" s="136">
        <v>7.33</v>
      </c>
      <c r="R205" s="109">
        <v>5</v>
      </c>
      <c r="S205" s="136">
        <v>7.33</v>
      </c>
      <c r="T205" s="109">
        <v>5</v>
      </c>
      <c r="U205" s="136">
        <v>36.65</v>
      </c>
      <c r="V205" s="109" t="s">
        <v>966</v>
      </c>
      <c r="W205" s="139" t="s">
        <v>970</v>
      </c>
    </row>
    <row r="206" spans="1:23" x14ac:dyDescent="0.2">
      <c r="A206" s="109">
        <v>255</v>
      </c>
      <c r="B206" s="109" t="s">
        <v>125</v>
      </c>
      <c r="C206" s="109">
        <v>2586</v>
      </c>
      <c r="D206" s="109"/>
      <c r="E206" s="109"/>
      <c r="F206" s="109">
        <v>44209</v>
      </c>
      <c r="G206" s="109" t="s">
        <v>259</v>
      </c>
      <c r="H206" s="109"/>
      <c r="I206" s="139" t="s">
        <v>865</v>
      </c>
      <c r="J206" s="139" t="s">
        <v>866</v>
      </c>
      <c r="K206" s="139" t="s">
        <v>867</v>
      </c>
      <c r="L206" s="139" t="s">
        <v>135</v>
      </c>
      <c r="M206" s="139"/>
      <c r="N206" s="139"/>
      <c r="O206" s="109" t="s">
        <v>93</v>
      </c>
      <c r="P206" s="109">
        <v>1</v>
      </c>
      <c r="Q206" s="136">
        <v>34.979999999999997</v>
      </c>
      <c r="R206" s="109">
        <v>1</v>
      </c>
      <c r="S206" s="136">
        <v>34.979999999999997</v>
      </c>
      <c r="T206" s="109">
        <v>1</v>
      </c>
      <c r="U206" s="136">
        <v>34.979999999999997</v>
      </c>
      <c r="V206" s="109" t="s">
        <v>966</v>
      </c>
      <c r="W206" s="139" t="s">
        <v>970</v>
      </c>
    </row>
    <row r="207" spans="1:23" x14ac:dyDescent="0.2">
      <c r="A207" s="109">
        <v>256</v>
      </c>
      <c r="B207" s="109" t="s">
        <v>125</v>
      </c>
      <c r="C207" s="109">
        <v>2597</v>
      </c>
      <c r="D207" s="109"/>
      <c r="E207" s="109"/>
      <c r="F207" s="109">
        <v>44361</v>
      </c>
      <c r="G207" s="109" t="s">
        <v>263</v>
      </c>
      <c r="H207" s="109"/>
      <c r="I207" s="139" t="s">
        <v>868</v>
      </c>
      <c r="J207" s="139" t="s">
        <v>654</v>
      </c>
      <c r="K207" s="139" t="s">
        <v>869</v>
      </c>
      <c r="L207" s="139" t="s">
        <v>870</v>
      </c>
      <c r="M207" s="139"/>
      <c r="N207" s="139"/>
      <c r="O207" s="109" t="s">
        <v>93</v>
      </c>
      <c r="P207" s="109">
        <v>1</v>
      </c>
      <c r="Q207" s="136">
        <v>16.84</v>
      </c>
      <c r="R207" s="109">
        <v>2</v>
      </c>
      <c r="S207" s="136">
        <v>16.84</v>
      </c>
      <c r="T207" s="109">
        <v>2</v>
      </c>
      <c r="U207" s="136">
        <v>33.68</v>
      </c>
      <c r="V207" s="109" t="s">
        <v>966</v>
      </c>
      <c r="W207" s="139" t="s">
        <v>970</v>
      </c>
    </row>
    <row r="208" spans="1:23" x14ac:dyDescent="0.2">
      <c r="A208" s="109">
        <v>257</v>
      </c>
      <c r="B208" s="109" t="s">
        <v>125</v>
      </c>
      <c r="C208" s="109">
        <v>2616</v>
      </c>
      <c r="D208" s="109"/>
      <c r="E208" s="109"/>
      <c r="F208" s="109">
        <v>44560</v>
      </c>
      <c r="G208" s="109" t="s">
        <v>185</v>
      </c>
      <c r="H208" s="109"/>
      <c r="I208" s="139" t="s">
        <v>871</v>
      </c>
      <c r="J208" s="139" t="s">
        <v>187</v>
      </c>
      <c r="K208" s="139" t="s">
        <v>872</v>
      </c>
      <c r="L208" s="139" t="s">
        <v>130</v>
      </c>
      <c r="M208" s="139"/>
      <c r="N208" s="139"/>
      <c r="O208" s="109" t="s">
        <v>93</v>
      </c>
      <c r="P208" s="109">
        <v>1</v>
      </c>
      <c r="Q208" s="136">
        <v>2.62</v>
      </c>
      <c r="R208" s="109">
        <v>12</v>
      </c>
      <c r="S208" s="136">
        <v>2.62</v>
      </c>
      <c r="T208" s="109">
        <v>12</v>
      </c>
      <c r="U208" s="136">
        <v>31.44</v>
      </c>
      <c r="V208" s="109" t="s">
        <v>966</v>
      </c>
      <c r="W208" s="139" t="s">
        <v>976</v>
      </c>
    </row>
    <row r="209" spans="1:23" x14ac:dyDescent="0.2">
      <c r="A209" s="109">
        <v>262</v>
      </c>
      <c r="B209" s="109" t="s">
        <v>125</v>
      </c>
      <c r="C209" s="109">
        <v>2672</v>
      </c>
      <c r="D209" s="109"/>
      <c r="E209" s="109"/>
      <c r="F209" s="109">
        <v>44440</v>
      </c>
      <c r="G209" s="109" t="s">
        <v>882</v>
      </c>
      <c r="H209" s="109"/>
      <c r="I209" s="139" t="s">
        <v>883</v>
      </c>
      <c r="J209" s="139" t="s">
        <v>884</v>
      </c>
      <c r="K209" s="139" t="s">
        <v>885</v>
      </c>
      <c r="L209" s="139" t="s">
        <v>135</v>
      </c>
      <c r="M209" s="139"/>
      <c r="N209" s="139"/>
      <c r="O209" s="109" t="s">
        <v>93</v>
      </c>
      <c r="P209" s="109">
        <v>1</v>
      </c>
      <c r="Q209" s="136">
        <v>25.59</v>
      </c>
      <c r="R209" s="109">
        <v>1</v>
      </c>
      <c r="S209" s="136">
        <v>25.59</v>
      </c>
      <c r="T209" s="109">
        <v>1</v>
      </c>
      <c r="U209" s="136">
        <v>25.59</v>
      </c>
      <c r="V209" s="109" t="s">
        <v>967</v>
      </c>
      <c r="W209" s="139" t="s">
        <v>972</v>
      </c>
    </row>
    <row r="210" spans="1:23" x14ac:dyDescent="0.2">
      <c r="A210" s="109">
        <v>263</v>
      </c>
      <c r="B210" s="109" t="s">
        <v>125</v>
      </c>
      <c r="C210" s="109">
        <v>2674</v>
      </c>
      <c r="D210" s="109"/>
      <c r="E210" s="109"/>
      <c r="F210" s="109">
        <v>44399</v>
      </c>
      <c r="G210" s="109" t="s">
        <v>145</v>
      </c>
      <c r="H210" s="109"/>
      <c r="I210" s="139" t="s">
        <v>886</v>
      </c>
      <c r="J210" s="139" t="s">
        <v>155</v>
      </c>
      <c r="K210" s="139" t="s">
        <v>887</v>
      </c>
      <c r="L210" s="139" t="s">
        <v>135</v>
      </c>
      <c r="M210" s="139"/>
      <c r="N210" s="139"/>
      <c r="O210" s="109" t="s">
        <v>93</v>
      </c>
      <c r="P210" s="109">
        <v>1</v>
      </c>
      <c r="Q210" s="136">
        <v>25.5</v>
      </c>
      <c r="R210" s="109">
        <v>1</v>
      </c>
      <c r="S210" s="136">
        <v>25.5</v>
      </c>
      <c r="T210" s="109">
        <v>1</v>
      </c>
      <c r="U210" s="136">
        <v>25.5</v>
      </c>
      <c r="V210" s="109" t="s">
        <v>966</v>
      </c>
      <c r="W210" s="139" t="s">
        <v>970</v>
      </c>
    </row>
    <row r="211" spans="1:23" x14ac:dyDescent="0.2">
      <c r="A211" s="109">
        <v>264</v>
      </c>
      <c r="B211" s="109" t="s">
        <v>125</v>
      </c>
      <c r="C211" s="109">
        <v>2675</v>
      </c>
      <c r="D211" s="109"/>
      <c r="E211" s="109"/>
      <c r="F211" s="109">
        <v>44438</v>
      </c>
      <c r="G211" s="109" t="s">
        <v>145</v>
      </c>
      <c r="H211" s="109"/>
      <c r="I211" s="139" t="s">
        <v>888</v>
      </c>
      <c r="J211" s="139" t="s">
        <v>211</v>
      </c>
      <c r="K211" s="139" t="s">
        <v>889</v>
      </c>
      <c r="L211" s="139" t="s">
        <v>135</v>
      </c>
      <c r="M211" s="139"/>
      <c r="N211" s="139"/>
      <c r="O211" s="109" t="s">
        <v>93</v>
      </c>
      <c r="P211" s="109">
        <v>1</v>
      </c>
      <c r="Q211" s="136">
        <v>25.45</v>
      </c>
      <c r="R211" s="109">
        <v>1</v>
      </c>
      <c r="S211" s="136">
        <v>25.45</v>
      </c>
      <c r="T211" s="109">
        <v>1</v>
      </c>
      <c r="U211" s="136">
        <v>25.45</v>
      </c>
      <c r="V211" s="109" t="s">
        <v>966</v>
      </c>
      <c r="W211" s="139" t="s">
        <v>970</v>
      </c>
    </row>
    <row r="212" spans="1:23" x14ac:dyDescent="0.2">
      <c r="A212" s="109">
        <v>267</v>
      </c>
      <c r="B212" s="109" t="s">
        <v>125</v>
      </c>
      <c r="C212" s="109">
        <v>2684</v>
      </c>
      <c r="D212" s="109"/>
      <c r="E212" s="109"/>
      <c r="F212" s="109">
        <v>44536</v>
      </c>
      <c r="G212" s="109" t="s">
        <v>193</v>
      </c>
      <c r="H212" s="109"/>
      <c r="I212" s="139" t="s">
        <v>895</v>
      </c>
      <c r="J212" s="139" t="s">
        <v>833</v>
      </c>
      <c r="K212" s="139" t="s">
        <v>896</v>
      </c>
      <c r="L212" s="139" t="s">
        <v>130</v>
      </c>
      <c r="M212" s="139"/>
      <c r="N212" s="139"/>
      <c r="O212" s="109" t="s">
        <v>93</v>
      </c>
      <c r="P212" s="109">
        <v>1</v>
      </c>
      <c r="Q212" s="136">
        <v>24</v>
      </c>
      <c r="R212" s="109">
        <v>1</v>
      </c>
      <c r="S212" s="136">
        <v>24</v>
      </c>
      <c r="T212" s="109">
        <v>1</v>
      </c>
      <c r="U212" s="136">
        <v>24</v>
      </c>
      <c r="V212" s="109" t="s">
        <v>966</v>
      </c>
      <c r="W212" s="139" t="s">
        <v>970</v>
      </c>
    </row>
    <row r="213" spans="1:23" x14ac:dyDescent="0.2">
      <c r="A213" s="109">
        <v>268</v>
      </c>
      <c r="B213" s="109" t="s">
        <v>125</v>
      </c>
      <c r="C213" s="109">
        <v>2689</v>
      </c>
      <c r="D213" s="109"/>
      <c r="E213" s="109"/>
      <c r="F213" s="109">
        <v>44392</v>
      </c>
      <c r="G213" s="109" t="s">
        <v>497</v>
      </c>
      <c r="H213" s="109"/>
      <c r="I213" s="139" t="s">
        <v>897</v>
      </c>
      <c r="J213" s="139" t="s">
        <v>898</v>
      </c>
      <c r="K213" s="139" t="s">
        <v>899</v>
      </c>
      <c r="L213" s="139" t="s">
        <v>135</v>
      </c>
      <c r="M213" s="139"/>
      <c r="N213" s="139"/>
      <c r="O213" s="109" t="s">
        <v>93</v>
      </c>
      <c r="P213" s="109">
        <v>1</v>
      </c>
      <c r="Q213" s="136">
        <v>11.86</v>
      </c>
      <c r="R213" s="109">
        <v>2</v>
      </c>
      <c r="S213" s="136">
        <v>11.86</v>
      </c>
      <c r="T213" s="109">
        <v>2</v>
      </c>
      <c r="U213" s="136">
        <v>23.72</v>
      </c>
      <c r="V213" s="109" t="s">
        <v>966</v>
      </c>
      <c r="W213" s="139" t="s">
        <v>971</v>
      </c>
    </row>
    <row r="214" spans="1:23" x14ac:dyDescent="0.2">
      <c r="A214" s="109">
        <v>271</v>
      </c>
      <c r="B214" s="109" t="s">
        <v>125</v>
      </c>
      <c r="C214" s="109">
        <v>2708</v>
      </c>
      <c r="D214" s="109"/>
      <c r="E214" s="109"/>
      <c r="F214" s="109">
        <v>44488</v>
      </c>
      <c r="G214" s="109" t="s">
        <v>259</v>
      </c>
      <c r="H214" s="109"/>
      <c r="I214" s="139" t="s">
        <v>904</v>
      </c>
      <c r="J214" s="139" t="s">
        <v>905</v>
      </c>
      <c r="K214" s="139" t="s">
        <v>906</v>
      </c>
      <c r="L214" s="139" t="s">
        <v>130</v>
      </c>
      <c r="M214" s="139"/>
      <c r="N214" s="139"/>
      <c r="O214" s="109" t="s">
        <v>432</v>
      </c>
      <c r="P214" s="109">
        <v>1</v>
      </c>
      <c r="Q214" s="136">
        <v>21.26</v>
      </c>
      <c r="R214" s="109">
        <v>1</v>
      </c>
      <c r="S214" s="136">
        <v>21.26</v>
      </c>
      <c r="T214" s="109">
        <v>1</v>
      </c>
      <c r="U214" s="136">
        <v>21.26</v>
      </c>
      <c r="V214" s="109" t="s">
        <v>974</v>
      </c>
      <c r="W214" s="139" t="s">
        <v>975</v>
      </c>
    </row>
    <row r="215" spans="1:23" x14ac:dyDescent="0.2">
      <c r="A215" s="109">
        <v>272</v>
      </c>
      <c r="B215" s="109" t="s">
        <v>125</v>
      </c>
      <c r="C215" s="109">
        <v>2712</v>
      </c>
      <c r="D215" s="109"/>
      <c r="E215" s="109"/>
      <c r="F215" s="109">
        <v>44260</v>
      </c>
      <c r="G215" s="109" t="s">
        <v>529</v>
      </c>
      <c r="H215" s="109"/>
      <c r="I215" s="139" t="s">
        <v>907</v>
      </c>
      <c r="J215" s="139" t="s">
        <v>908</v>
      </c>
      <c r="K215" s="139" t="s">
        <v>909</v>
      </c>
      <c r="L215" s="139" t="s">
        <v>135</v>
      </c>
      <c r="M215" s="139"/>
      <c r="N215" s="139"/>
      <c r="O215" s="109" t="s">
        <v>93</v>
      </c>
      <c r="P215" s="109">
        <v>1</v>
      </c>
      <c r="Q215" s="136">
        <v>21</v>
      </c>
      <c r="R215" s="109">
        <v>1</v>
      </c>
      <c r="S215" s="136">
        <v>21</v>
      </c>
      <c r="T215" s="109">
        <v>1</v>
      </c>
      <c r="U215" s="136">
        <v>21</v>
      </c>
      <c r="V215" s="109" t="s">
        <v>966</v>
      </c>
      <c r="W215" s="139" t="s">
        <v>971</v>
      </c>
    </row>
    <row r="216" spans="1:23" x14ac:dyDescent="0.2">
      <c r="A216" s="109">
        <v>273</v>
      </c>
      <c r="B216" s="109" t="s">
        <v>125</v>
      </c>
      <c r="C216" s="109">
        <v>2714</v>
      </c>
      <c r="D216" s="109"/>
      <c r="E216" s="109"/>
      <c r="F216" s="109">
        <v>44483</v>
      </c>
      <c r="G216" s="109" t="s">
        <v>163</v>
      </c>
      <c r="H216" s="109"/>
      <c r="I216" s="139" t="s">
        <v>910</v>
      </c>
      <c r="J216" s="139" t="s">
        <v>911</v>
      </c>
      <c r="K216" s="139" t="s">
        <v>912</v>
      </c>
      <c r="L216" s="139" t="s">
        <v>130</v>
      </c>
      <c r="M216" s="139"/>
      <c r="N216" s="139"/>
      <c r="O216" s="109" t="s">
        <v>93</v>
      </c>
      <c r="P216" s="109">
        <v>1</v>
      </c>
      <c r="Q216" s="136">
        <v>10.38</v>
      </c>
      <c r="R216" s="109">
        <v>2</v>
      </c>
      <c r="S216" s="136">
        <v>10.38</v>
      </c>
      <c r="T216" s="109">
        <v>2</v>
      </c>
      <c r="U216" s="136">
        <v>20.76</v>
      </c>
      <c r="V216" s="109" t="s">
        <v>966</v>
      </c>
      <c r="W216" s="139" t="s">
        <v>979</v>
      </c>
    </row>
    <row r="217" spans="1:23" x14ac:dyDescent="0.2">
      <c r="A217" s="109">
        <v>274</v>
      </c>
      <c r="B217" s="109" t="s">
        <v>125</v>
      </c>
      <c r="C217" s="109">
        <v>2737</v>
      </c>
      <c r="D217" s="109"/>
      <c r="E217" s="109"/>
      <c r="F217" s="109">
        <v>44546</v>
      </c>
      <c r="G217" s="109" t="s">
        <v>388</v>
      </c>
      <c r="H217" s="109"/>
      <c r="I217" s="139" t="s">
        <v>913</v>
      </c>
      <c r="J217" s="139" t="s">
        <v>695</v>
      </c>
      <c r="K217" s="139" t="s">
        <v>914</v>
      </c>
      <c r="L217" s="139" t="s">
        <v>130</v>
      </c>
      <c r="M217" s="139"/>
      <c r="N217" s="139"/>
      <c r="O217" s="109" t="s">
        <v>93</v>
      </c>
      <c r="P217" s="109">
        <v>1</v>
      </c>
      <c r="Q217" s="136">
        <v>4.75</v>
      </c>
      <c r="R217" s="109">
        <v>4</v>
      </c>
      <c r="S217" s="136">
        <v>4.75</v>
      </c>
      <c r="T217" s="109">
        <v>4</v>
      </c>
      <c r="U217" s="136">
        <v>19</v>
      </c>
      <c r="V217" s="109" t="s">
        <v>966</v>
      </c>
      <c r="W217" s="139" t="s">
        <v>970</v>
      </c>
    </row>
    <row r="218" spans="1:23" x14ac:dyDescent="0.2">
      <c r="A218" s="109">
        <v>279</v>
      </c>
      <c r="B218" s="109" t="s">
        <v>125</v>
      </c>
      <c r="C218" s="109">
        <v>2762</v>
      </c>
      <c r="D218" s="109"/>
      <c r="E218" s="109"/>
      <c r="F218" s="109">
        <v>44482</v>
      </c>
      <c r="G218" s="109" t="s">
        <v>924</v>
      </c>
      <c r="H218" s="109"/>
      <c r="I218" s="139" t="s">
        <v>925</v>
      </c>
      <c r="J218" s="139" t="s">
        <v>444</v>
      </c>
      <c r="K218" s="139" t="s">
        <v>926</v>
      </c>
      <c r="L218" s="139" t="s">
        <v>144</v>
      </c>
      <c r="M218" s="139"/>
      <c r="N218" s="139"/>
      <c r="O218" s="109" t="s">
        <v>93</v>
      </c>
      <c r="P218" s="109">
        <v>1</v>
      </c>
      <c r="Q218" s="136">
        <v>16.489999999999998</v>
      </c>
      <c r="R218" s="109">
        <v>1</v>
      </c>
      <c r="S218" s="136">
        <v>16.489999999999998</v>
      </c>
      <c r="T218" s="109">
        <v>1</v>
      </c>
      <c r="U218" s="136">
        <v>16.489999999999998</v>
      </c>
      <c r="V218" s="109" t="s">
        <v>966</v>
      </c>
      <c r="W218" s="139" t="s">
        <v>970</v>
      </c>
    </row>
    <row r="219" spans="1:23" x14ac:dyDescent="0.2">
      <c r="A219" s="109">
        <v>280</v>
      </c>
      <c r="B219" s="109" t="s">
        <v>125</v>
      </c>
      <c r="C219" s="109">
        <v>2767</v>
      </c>
      <c r="D219" s="109"/>
      <c r="E219" s="109"/>
      <c r="F219" s="109">
        <v>44508</v>
      </c>
      <c r="G219" s="109" t="s">
        <v>618</v>
      </c>
      <c r="H219" s="109"/>
      <c r="I219" s="139" t="s">
        <v>927</v>
      </c>
      <c r="J219" s="139" t="s">
        <v>739</v>
      </c>
      <c r="K219" s="139" t="s">
        <v>928</v>
      </c>
      <c r="L219" s="139" t="s">
        <v>130</v>
      </c>
      <c r="M219" s="139"/>
      <c r="N219" s="139"/>
      <c r="O219" s="109" t="s">
        <v>93</v>
      </c>
      <c r="P219" s="109">
        <v>1</v>
      </c>
      <c r="Q219" s="136">
        <v>8.11</v>
      </c>
      <c r="R219" s="109">
        <v>2</v>
      </c>
      <c r="S219" s="136">
        <v>8.11</v>
      </c>
      <c r="T219" s="109">
        <v>2</v>
      </c>
      <c r="U219" s="136">
        <v>16.22</v>
      </c>
      <c r="V219" s="109" t="s">
        <v>966</v>
      </c>
      <c r="W219" s="139" t="s">
        <v>970</v>
      </c>
    </row>
    <row r="220" spans="1:23" x14ac:dyDescent="0.2">
      <c r="A220" s="109">
        <v>281</v>
      </c>
      <c r="B220" s="109" t="s">
        <v>125</v>
      </c>
      <c r="C220" s="109">
        <v>2775</v>
      </c>
      <c r="D220" s="109"/>
      <c r="E220" s="109"/>
      <c r="F220" s="109">
        <v>44356</v>
      </c>
      <c r="G220" s="109" t="s">
        <v>929</v>
      </c>
      <c r="H220" s="109"/>
      <c r="I220" s="139" t="s">
        <v>930</v>
      </c>
      <c r="J220" s="139" t="s">
        <v>931</v>
      </c>
      <c r="K220" s="139" t="s">
        <v>932</v>
      </c>
      <c r="L220" s="139" t="s">
        <v>135</v>
      </c>
      <c r="M220" s="139"/>
      <c r="N220" s="139"/>
      <c r="O220" s="109" t="s">
        <v>93</v>
      </c>
      <c r="P220" s="109">
        <v>1</v>
      </c>
      <c r="Q220" s="136">
        <v>7.64</v>
      </c>
      <c r="R220" s="109">
        <v>2</v>
      </c>
      <c r="S220" s="136">
        <v>7.64</v>
      </c>
      <c r="T220" s="109">
        <v>2</v>
      </c>
      <c r="U220" s="136">
        <v>15.28</v>
      </c>
      <c r="V220" s="109" t="s">
        <v>966</v>
      </c>
      <c r="W220" s="139" t="s">
        <v>970</v>
      </c>
    </row>
    <row r="221" spans="1:23" x14ac:dyDescent="0.2">
      <c r="A221" s="109">
        <v>282</v>
      </c>
      <c r="B221" s="109" t="s">
        <v>125</v>
      </c>
      <c r="C221" s="109">
        <v>2784</v>
      </c>
      <c r="D221" s="109"/>
      <c r="E221" s="109"/>
      <c r="F221" s="109">
        <v>44522</v>
      </c>
      <c r="G221" s="109" t="s">
        <v>145</v>
      </c>
      <c r="H221" s="109"/>
      <c r="I221" s="139" t="s">
        <v>933</v>
      </c>
      <c r="J221" s="139" t="s">
        <v>934</v>
      </c>
      <c r="K221" s="139" t="s">
        <v>935</v>
      </c>
      <c r="L221" s="139" t="s">
        <v>130</v>
      </c>
      <c r="M221" s="139"/>
      <c r="N221" s="139"/>
      <c r="O221" s="109" t="s">
        <v>93</v>
      </c>
      <c r="P221" s="109">
        <v>1</v>
      </c>
      <c r="Q221" s="136">
        <v>6.97</v>
      </c>
      <c r="R221" s="109">
        <v>2</v>
      </c>
      <c r="S221" s="136">
        <v>6.97</v>
      </c>
      <c r="T221" s="109">
        <v>2</v>
      </c>
      <c r="U221" s="136">
        <v>13.94</v>
      </c>
      <c r="V221" s="109" t="s">
        <v>966</v>
      </c>
      <c r="W221" s="139" t="s">
        <v>970</v>
      </c>
    </row>
    <row r="222" spans="1:23" x14ac:dyDescent="0.2">
      <c r="A222" s="109">
        <v>283</v>
      </c>
      <c r="B222" s="109" t="s">
        <v>125</v>
      </c>
      <c r="C222" s="109">
        <v>2786</v>
      </c>
      <c r="D222" s="109"/>
      <c r="E222" s="109"/>
      <c r="F222" s="109">
        <v>44480</v>
      </c>
      <c r="G222" s="109" t="s">
        <v>259</v>
      </c>
      <c r="H222" s="109"/>
      <c r="I222" s="139" t="s">
        <v>936</v>
      </c>
      <c r="J222" s="139" t="s">
        <v>594</v>
      </c>
      <c r="K222" s="139" t="s">
        <v>937</v>
      </c>
      <c r="L222" s="139" t="s">
        <v>130</v>
      </c>
      <c r="M222" s="139"/>
      <c r="N222" s="139"/>
      <c r="O222" s="109" t="s">
        <v>93</v>
      </c>
      <c r="P222" s="109">
        <v>1</v>
      </c>
      <c r="Q222" s="136">
        <v>4.62</v>
      </c>
      <c r="R222" s="109">
        <v>3</v>
      </c>
      <c r="S222" s="136">
        <v>4.62</v>
      </c>
      <c r="T222" s="109">
        <v>3</v>
      </c>
      <c r="U222" s="136">
        <v>13.86</v>
      </c>
      <c r="V222" s="109" t="s">
        <v>974</v>
      </c>
      <c r="W222" s="139" t="s">
        <v>975</v>
      </c>
    </row>
    <row r="223" spans="1:23" x14ac:dyDescent="0.2">
      <c r="A223" s="109">
        <v>284</v>
      </c>
      <c r="B223" s="109" t="s">
        <v>125</v>
      </c>
      <c r="C223" s="109">
        <v>2794</v>
      </c>
      <c r="D223" s="109"/>
      <c r="E223" s="109"/>
      <c r="F223" s="109">
        <v>44203</v>
      </c>
      <c r="G223" s="109" t="s">
        <v>259</v>
      </c>
      <c r="H223" s="109"/>
      <c r="I223" s="139" t="s">
        <v>938</v>
      </c>
      <c r="J223" s="139" t="s">
        <v>908</v>
      </c>
      <c r="K223" s="139" t="s">
        <v>939</v>
      </c>
      <c r="L223" s="139" t="s">
        <v>135</v>
      </c>
      <c r="M223" s="139"/>
      <c r="N223" s="139"/>
      <c r="O223" s="109" t="s">
        <v>93</v>
      </c>
      <c r="P223" s="109">
        <v>1</v>
      </c>
      <c r="Q223" s="136">
        <v>6.44</v>
      </c>
      <c r="R223" s="109">
        <v>2</v>
      </c>
      <c r="S223" s="136">
        <v>6.44</v>
      </c>
      <c r="T223" s="109">
        <v>2</v>
      </c>
      <c r="U223" s="136">
        <v>12.88</v>
      </c>
      <c r="V223" s="109" t="s">
        <v>966</v>
      </c>
      <c r="W223" s="139" t="s">
        <v>976</v>
      </c>
    </row>
    <row r="224" spans="1:23" x14ac:dyDescent="0.2">
      <c r="A224" s="109">
        <v>285</v>
      </c>
      <c r="B224" s="109" t="s">
        <v>125</v>
      </c>
      <c r="C224" s="109">
        <v>2796</v>
      </c>
      <c r="D224" s="109"/>
      <c r="E224" s="109"/>
      <c r="F224" s="109">
        <v>44494</v>
      </c>
      <c r="G224" s="109" t="s">
        <v>259</v>
      </c>
      <c r="H224" s="109"/>
      <c r="I224" s="139" t="s">
        <v>940</v>
      </c>
      <c r="J224" s="139" t="s">
        <v>211</v>
      </c>
      <c r="K224" s="139" t="s">
        <v>941</v>
      </c>
      <c r="L224" s="139" t="s">
        <v>130</v>
      </c>
      <c r="M224" s="139"/>
      <c r="N224" s="139"/>
      <c r="O224" s="109" t="s">
        <v>93</v>
      </c>
      <c r="P224" s="109">
        <v>1</v>
      </c>
      <c r="Q224" s="136">
        <v>12.23</v>
      </c>
      <c r="R224" s="109">
        <v>1</v>
      </c>
      <c r="S224" s="136">
        <v>12.23</v>
      </c>
      <c r="T224" s="109">
        <v>1</v>
      </c>
      <c r="U224" s="136">
        <v>12.23</v>
      </c>
      <c r="V224" s="109" t="s">
        <v>966</v>
      </c>
      <c r="W224" s="139" t="s">
        <v>970</v>
      </c>
    </row>
    <row r="225" spans="1:23" x14ac:dyDescent="0.2">
      <c r="A225" s="109">
        <v>286</v>
      </c>
      <c r="B225" s="109" t="s">
        <v>125</v>
      </c>
      <c r="C225" s="109">
        <v>2801</v>
      </c>
      <c r="D225" s="109"/>
      <c r="E225" s="109"/>
      <c r="F225" s="109">
        <v>44480</v>
      </c>
      <c r="G225" s="109" t="s">
        <v>259</v>
      </c>
      <c r="H225" s="109"/>
      <c r="I225" s="139" t="s">
        <v>942</v>
      </c>
      <c r="J225" s="139" t="s">
        <v>594</v>
      </c>
      <c r="K225" s="139" t="s">
        <v>943</v>
      </c>
      <c r="L225" s="139" t="s">
        <v>130</v>
      </c>
      <c r="M225" s="139"/>
      <c r="N225" s="139"/>
      <c r="O225" s="109" t="s">
        <v>93</v>
      </c>
      <c r="P225" s="109">
        <v>1</v>
      </c>
      <c r="Q225" s="136">
        <v>3.85</v>
      </c>
      <c r="R225" s="109">
        <v>3</v>
      </c>
      <c r="S225" s="136">
        <v>3.85</v>
      </c>
      <c r="T225" s="109">
        <v>3</v>
      </c>
      <c r="U225" s="136">
        <v>11.55</v>
      </c>
      <c r="V225" s="109" t="s">
        <v>974</v>
      </c>
      <c r="W225" s="139" t="s">
        <v>975</v>
      </c>
    </row>
    <row r="226" spans="1:23" x14ac:dyDescent="0.2">
      <c r="A226" s="109">
        <v>289</v>
      </c>
      <c r="B226" s="109" t="s">
        <v>125</v>
      </c>
      <c r="C226" s="109">
        <v>2832</v>
      </c>
      <c r="D226" s="109"/>
      <c r="E226" s="109"/>
      <c r="F226" s="109">
        <v>44330</v>
      </c>
      <c r="G226" s="109" t="s">
        <v>710</v>
      </c>
      <c r="H226" s="109"/>
      <c r="I226" s="139" t="s">
        <v>949</v>
      </c>
      <c r="J226" s="139" t="s">
        <v>712</v>
      </c>
      <c r="K226" s="139" t="s">
        <v>950</v>
      </c>
      <c r="L226" s="139" t="s">
        <v>135</v>
      </c>
      <c r="M226" s="139"/>
      <c r="N226" s="139"/>
      <c r="O226" s="109" t="s">
        <v>93</v>
      </c>
      <c r="P226" s="109">
        <v>1</v>
      </c>
      <c r="Q226" s="136">
        <v>8.65</v>
      </c>
      <c r="R226" s="109">
        <v>1</v>
      </c>
      <c r="S226" s="136">
        <v>8.65</v>
      </c>
      <c r="T226" s="109">
        <v>1</v>
      </c>
      <c r="U226" s="136">
        <v>8.65</v>
      </c>
      <c r="V226" s="109" t="s">
        <v>966</v>
      </c>
      <c r="W226" s="139" t="s">
        <v>970</v>
      </c>
    </row>
    <row r="227" spans="1:23" x14ac:dyDescent="0.2">
      <c r="A227" s="109">
        <v>290</v>
      </c>
      <c r="B227" s="109" t="s">
        <v>125</v>
      </c>
      <c r="C227" s="109">
        <v>2834</v>
      </c>
      <c r="D227" s="109"/>
      <c r="E227" s="109"/>
      <c r="F227" s="109">
        <v>44544</v>
      </c>
      <c r="G227" s="109" t="s">
        <v>140</v>
      </c>
      <c r="H227" s="109"/>
      <c r="I227" s="139" t="s">
        <v>951</v>
      </c>
      <c r="J227" s="139" t="s">
        <v>720</v>
      </c>
      <c r="K227" s="139" t="s">
        <v>952</v>
      </c>
      <c r="L227" s="139" t="s">
        <v>144</v>
      </c>
      <c r="M227" s="139"/>
      <c r="N227" s="139"/>
      <c r="O227" s="109" t="s">
        <v>93</v>
      </c>
      <c r="P227" s="109">
        <v>1</v>
      </c>
      <c r="Q227" s="136">
        <v>8.4</v>
      </c>
      <c r="R227" s="109">
        <v>1</v>
      </c>
      <c r="S227" s="136">
        <v>8.4</v>
      </c>
      <c r="T227" s="109">
        <v>1</v>
      </c>
      <c r="U227" s="136">
        <v>8.4</v>
      </c>
      <c r="V227" s="109" t="s">
        <v>966</v>
      </c>
      <c r="W227" s="139" t="s">
        <v>970</v>
      </c>
    </row>
    <row r="228" spans="1:23" x14ac:dyDescent="0.2">
      <c r="A228" s="109">
        <v>291</v>
      </c>
      <c r="B228" s="109" t="s">
        <v>125</v>
      </c>
      <c r="C228" s="109">
        <v>2845</v>
      </c>
      <c r="D228" s="109"/>
      <c r="E228" s="109"/>
      <c r="F228" s="109">
        <v>44495</v>
      </c>
      <c r="G228" s="109" t="s">
        <v>475</v>
      </c>
      <c r="H228" s="109"/>
      <c r="I228" s="139" t="s">
        <v>953</v>
      </c>
      <c r="J228" s="139" t="s">
        <v>695</v>
      </c>
      <c r="K228" s="139" t="s">
        <v>954</v>
      </c>
      <c r="L228" s="139" t="s">
        <v>130</v>
      </c>
      <c r="M228" s="139"/>
      <c r="N228" s="139"/>
      <c r="O228" s="109" t="s">
        <v>93</v>
      </c>
      <c r="P228" s="109">
        <v>1</v>
      </c>
      <c r="Q228" s="136">
        <v>0.42</v>
      </c>
      <c r="R228" s="109">
        <v>15</v>
      </c>
      <c r="S228" s="136">
        <v>0.42</v>
      </c>
      <c r="T228" s="109">
        <v>15</v>
      </c>
      <c r="U228" s="136">
        <v>6.3</v>
      </c>
      <c r="V228" s="109" t="s">
        <v>966</v>
      </c>
      <c r="W228" s="139" t="s">
        <v>976</v>
      </c>
    </row>
    <row r="229" spans="1:23" x14ac:dyDescent="0.2">
      <c r="A229" s="109">
        <v>294</v>
      </c>
      <c r="B229" s="109" t="s">
        <v>125</v>
      </c>
      <c r="C229" s="109">
        <v>2895</v>
      </c>
      <c r="D229" s="109"/>
      <c r="E229" s="109"/>
      <c r="F229" s="109">
        <v>44214</v>
      </c>
      <c r="G229" s="109" t="s">
        <v>959</v>
      </c>
      <c r="H229" s="109"/>
      <c r="I229" s="139" t="s">
        <v>960</v>
      </c>
      <c r="J229" s="139" t="s">
        <v>961</v>
      </c>
      <c r="K229" s="139" t="s">
        <v>962</v>
      </c>
      <c r="L229" s="139" t="s">
        <v>135</v>
      </c>
      <c r="M229" s="139"/>
      <c r="N229" s="139"/>
      <c r="O229" s="109" t="s">
        <v>432</v>
      </c>
      <c r="P229" s="109">
        <v>1</v>
      </c>
      <c r="Q229" s="136">
        <v>7.0000000000000007E-2</v>
      </c>
      <c r="R229" s="109">
        <v>10</v>
      </c>
      <c r="S229" s="136">
        <v>7.0000000000000007E-2</v>
      </c>
      <c r="T229" s="109">
        <v>10</v>
      </c>
      <c r="U229" s="136">
        <v>0.70000000000000007</v>
      </c>
      <c r="V229" s="109" t="s">
        <v>966</v>
      </c>
      <c r="W229" s="139" t="s">
        <v>971</v>
      </c>
    </row>
    <row r="230" spans="1:23" x14ac:dyDescent="0.2">
      <c r="A230" s="109">
        <v>295</v>
      </c>
      <c r="B230" s="109" t="s">
        <v>125</v>
      </c>
      <c r="C230" s="109">
        <v>2903</v>
      </c>
      <c r="D230" s="109"/>
      <c r="E230" s="109"/>
      <c r="F230" s="109">
        <v>44406</v>
      </c>
      <c r="G230" s="109" t="s">
        <v>234</v>
      </c>
      <c r="H230" s="109"/>
      <c r="I230" s="139" t="s">
        <v>963</v>
      </c>
      <c r="J230" s="139" t="s">
        <v>236</v>
      </c>
      <c r="K230" s="139" t="s">
        <v>964</v>
      </c>
      <c r="L230" s="139" t="s">
        <v>135</v>
      </c>
      <c r="M230" s="139"/>
      <c r="N230" s="139"/>
      <c r="O230" s="109" t="s">
        <v>93</v>
      </c>
      <c r="P230" s="109">
        <v>1</v>
      </c>
      <c r="Q230" s="136">
        <v>0.01</v>
      </c>
      <c r="R230" s="109">
        <v>1</v>
      </c>
      <c r="S230" s="136">
        <v>0.01</v>
      </c>
      <c r="T230" s="109">
        <v>1</v>
      </c>
      <c r="U230" s="136">
        <v>0.01</v>
      </c>
      <c r="V230" s="109" t="s">
        <v>966</v>
      </c>
      <c r="W230" s="139" t="s">
        <v>970</v>
      </c>
    </row>
  </sheetData>
  <autoFilter ref="A1:W1"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showGridLines="0" workbookViewId="0">
      <selection activeCell="B1" sqref="B1"/>
    </sheetView>
  </sheetViews>
  <sheetFormatPr defaultColWidth="9.140625" defaultRowHeight="15" x14ac:dyDescent="0.25"/>
  <cols>
    <col min="1" max="1" width="28.140625" style="96" bestFit="1" customWidth="1"/>
    <col min="2" max="2" width="12.5703125" style="95" bestFit="1" customWidth="1"/>
    <col min="3" max="3" width="20.5703125" style="88" bestFit="1" customWidth="1"/>
    <col min="4" max="4" width="16.28515625" style="88" bestFit="1" customWidth="1"/>
    <col min="5" max="5" width="11.28515625" style="95" bestFit="1" customWidth="1"/>
    <col min="6" max="6" width="11.85546875" style="95" bestFit="1" customWidth="1"/>
    <col min="7" max="7" width="9.140625" style="3"/>
    <col min="8" max="9" width="9.140625" style="96"/>
    <col min="10" max="10" width="20.28515625" style="96" bestFit="1" customWidth="1"/>
    <col min="11" max="16384" width="9.140625" style="96"/>
  </cols>
  <sheetData>
    <row r="1" spans="1:7" ht="23.25" x14ac:dyDescent="0.35">
      <c r="A1" s="4" t="s">
        <v>57</v>
      </c>
    </row>
    <row r="2" spans="1:7" s="1" customFormat="1" x14ac:dyDescent="0.25">
      <c r="A2" s="5" t="s">
        <v>48</v>
      </c>
      <c r="B2" s="89" t="s">
        <v>49</v>
      </c>
      <c r="C2" s="90" t="s">
        <v>47</v>
      </c>
      <c r="D2" s="90" t="s">
        <v>85</v>
      </c>
      <c r="E2" s="89" t="s">
        <v>5</v>
      </c>
      <c r="F2" s="89" t="s">
        <v>24</v>
      </c>
      <c r="G2" s="2"/>
    </row>
    <row r="3" spans="1:7" x14ac:dyDescent="0.25">
      <c r="A3" s="97" t="s">
        <v>68</v>
      </c>
      <c r="B3" s="98">
        <f>COUNTIF('Item Detail'!AO:AO,A3)</f>
        <v>11</v>
      </c>
      <c r="C3" s="91">
        <f>SUMIF('Item Detail'!AO:AO,A3,'Item Detail'!V:V)</f>
        <v>1934.8700000000001</v>
      </c>
      <c r="D3" s="91">
        <f>SUMIF('Item Detail'!AO:AO,A3,'Item Detail'!AC:AC)</f>
        <v>1386.6469387755101</v>
      </c>
      <c r="E3" s="99">
        <f t="shared" ref="E3:E12" si="0">C3-D3</f>
        <v>548.22306122449004</v>
      </c>
      <c r="F3" s="92">
        <f t="shared" ref="F3:F14" si="1">IFERROR(E3/C3,0)</f>
        <v>0.28333844714347217</v>
      </c>
    </row>
    <row r="4" spans="1:7" x14ac:dyDescent="0.25">
      <c r="A4" s="100" t="s">
        <v>69</v>
      </c>
      <c r="B4" s="98">
        <f>COUNTIF('Item Detail'!AO:AO,A4)</f>
        <v>39</v>
      </c>
      <c r="C4" s="91">
        <f>SUMIF('Item Detail'!AO:AO,A4,'Item Detail'!V:V)</f>
        <v>5791.239999999998</v>
      </c>
      <c r="D4" s="91">
        <f>SUMIF('Item Detail'!AO:AO,A4,'Item Detail'!AC:AC)</f>
        <v>3760.2127207346957</v>
      </c>
      <c r="E4" s="99">
        <f t="shared" si="0"/>
        <v>2031.0272792653022</v>
      </c>
      <c r="F4" s="92">
        <f t="shared" si="1"/>
        <v>0.35070680532412801</v>
      </c>
    </row>
    <row r="5" spans="1:7" x14ac:dyDescent="0.25">
      <c r="A5" s="100" t="s">
        <v>70</v>
      </c>
      <c r="B5" s="98">
        <f>COUNTIF('Item Detail'!AO:AO,A5)</f>
        <v>0</v>
      </c>
      <c r="C5" s="91">
        <f>SUMIF('Item Detail'!AO:AO,A5,'Item Detail'!V:V)</f>
        <v>0</v>
      </c>
      <c r="D5" s="91">
        <f>SUMIF('Item Detail'!AO:AO,A5,'Item Detail'!AC:AC)</f>
        <v>0</v>
      </c>
      <c r="E5" s="99">
        <f t="shared" si="0"/>
        <v>0</v>
      </c>
      <c r="F5" s="92">
        <f t="shared" si="1"/>
        <v>0</v>
      </c>
    </row>
    <row r="6" spans="1:7" x14ac:dyDescent="0.25">
      <c r="A6" s="97" t="s">
        <v>71</v>
      </c>
      <c r="B6" s="98">
        <f>COUNTIF('Item Detail'!AO:AO,A6)</f>
        <v>0</v>
      </c>
      <c r="C6" s="91">
        <f>SUMIF('Item Detail'!AO:AO,A6,'Item Detail'!V:V)</f>
        <v>0</v>
      </c>
      <c r="D6" s="91">
        <f>SUMIF('Item Detail'!AO:AO,A6,'Item Detail'!AC:AC)</f>
        <v>0</v>
      </c>
      <c r="E6" s="99">
        <f t="shared" si="0"/>
        <v>0</v>
      </c>
      <c r="F6" s="92">
        <f t="shared" si="1"/>
        <v>0</v>
      </c>
    </row>
    <row r="7" spans="1:7" x14ac:dyDescent="0.25">
      <c r="A7" s="100" t="s">
        <v>72</v>
      </c>
      <c r="B7" s="98">
        <f>COUNTIF('Item Detail'!AO:AO,A7)</f>
        <v>0</v>
      </c>
      <c r="C7" s="91">
        <f>SUMIF('Item Detail'!AO:AO,A7,'Item Detail'!V:V)</f>
        <v>0</v>
      </c>
      <c r="D7" s="91">
        <f>SUMIF('Item Detail'!AO:AO,A7,'Item Detail'!AC:AC)</f>
        <v>0</v>
      </c>
      <c r="E7" s="99">
        <f t="shared" si="0"/>
        <v>0</v>
      </c>
      <c r="F7" s="92">
        <f t="shared" si="1"/>
        <v>0</v>
      </c>
    </row>
    <row r="8" spans="1:7" x14ac:dyDescent="0.25">
      <c r="A8" s="100" t="s">
        <v>73</v>
      </c>
      <c r="B8" s="98">
        <f>COUNTIF('Item Detail'!AO:AO,A8)</f>
        <v>4</v>
      </c>
      <c r="C8" s="91">
        <f>SUMIF('Item Detail'!AO:AO,A8,'Item Detail'!V:V)</f>
        <v>1780.3199999999997</v>
      </c>
      <c r="D8" s="91">
        <f>SUMIF('Item Detail'!AO:AO,A8,'Item Detail'!AC:AC)</f>
        <v>1328.0383720565151</v>
      </c>
      <c r="E8" s="99">
        <f t="shared" si="0"/>
        <v>452.28162794348464</v>
      </c>
      <c r="F8" s="92">
        <f t="shared" si="1"/>
        <v>0.25404513118062189</v>
      </c>
    </row>
    <row r="9" spans="1:7" x14ac:dyDescent="0.25">
      <c r="A9" s="97" t="s">
        <v>74</v>
      </c>
      <c r="B9" s="98">
        <f>COUNTIF('Item Detail'!AO:AO,A9)</f>
        <v>0</v>
      </c>
      <c r="C9" s="91">
        <f>SUMIF('Item Detail'!AO:AO,A9,'Item Detail'!V:V)</f>
        <v>0</v>
      </c>
      <c r="D9" s="91">
        <f>SUMIF('Item Detail'!AO:AO,A9,'Item Detail'!AC:AC)</f>
        <v>0</v>
      </c>
      <c r="E9" s="99">
        <f t="shared" si="0"/>
        <v>0</v>
      </c>
      <c r="F9" s="92">
        <f t="shared" si="1"/>
        <v>0</v>
      </c>
    </row>
    <row r="10" spans="1:7" x14ac:dyDescent="0.25">
      <c r="A10" s="100" t="s">
        <v>75</v>
      </c>
      <c r="B10" s="98">
        <f>COUNTIF('Item Detail'!AO:AO,A10)</f>
        <v>10</v>
      </c>
      <c r="C10" s="91">
        <f>SUMIF('Item Detail'!AO:AO,A10,'Item Detail'!V:V)</f>
        <v>1479.7099999999998</v>
      </c>
      <c r="D10" s="91">
        <f>SUMIF('Item Detail'!AO:AO,A10,'Item Detail'!AC:AC)</f>
        <v>1677.53693877551</v>
      </c>
      <c r="E10" s="99">
        <f t="shared" si="0"/>
        <v>-197.82693877551014</v>
      </c>
      <c r="F10" s="92">
        <f t="shared" si="1"/>
        <v>-0.13369304713458055</v>
      </c>
    </row>
    <row r="11" spans="1:7" x14ac:dyDescent="0.25">
      <c r="A11" s="100" t="s">
        <v>76</v>
      </c>
      <c r="B11" s="98">
        <f>COUNTIF('Item Detail'!AO:AO,A11)</f>
        <v>2</v>
      </c>
      <c r="C11" s="91">
        <f>SUMIF('Item Detail'!AO:AO,A11,'Item Detail'!V:V)</f>
        <v>156.46</v>
      </c>
      <c r="D11" s="91">
        <f>SUMIF('Item Detail'!AO:AO,A11,'Item Detail'!AC:AC)</f>
        <v>177.09725714285716</v>
      </c>
      <c r="E11" s="99">
        <f t="shared" si="0"/>
        <v>-20.637257142857152</v>
      </c>
      <c r="F11" s="92">
        <f t="shared" si="1"/>
        <v>-0.13190117054107856</v>
      </c>
    </row>
    <row r="12" spans="1:7" x14ac:dyDescent="0.25">
      <c r="A12" s="97" t="s">
        <v>77</v>
      </c>
      <c r="B12" s="98">
        <f>COUNTIF('Item Detail'!AO:AO,A12)</f>
        <v>0</v>
      </c>
      <c r="C12" s="91">
        <f>SUMIF('Item Detail'!AO:AO,A12,'Item Detail'!V:V)</f>
        <v>0</v>
      </c>
      <c r="D12" s="91">
        <f>SUMIF('Item Detail'!AO:AO,A12,'Item Detail'!AC:AC)</f>
        <v>0</v>
      </c>
      <c r="E12" s="99">
        <f t="shared" si="0"/>
        <v>0</v>
      </c>
      <c r="F12" s="92">
        <f t="shared" si="1"/>
        <v>0</v>
      </c>
    </row>
    <row r="13" spans="1:7" x14ac:dyDescent="0.25">
      <c r="A13" s="97" t="s">
        <v>78</v>
      </c>
      <c r="B13" s="98">
        <f>COUNTIF('Item Detail'!AO:AO,A13)</f>
        <v>0</v>
      </c>
      <c r="C13" s="91">
        <f>SUMIF('Item Detail'!AO:AO,A13,'Item Detail'!V:V)</f>
        <v>0</v>
      </c>
      <c r="D13" s="91">
        <f>SUMIF('Item Detail'!AO:AO,A13,'Item Detail'!AC:AC)</f>
        <v>0</v>
      </c>
      <c r="E13" s="99">
        <f t="shared" ref="E13" si="2">C13-D13</f>
        <v>0</v>
      </c>
      <c r="F13" s="92">
        <f t="shared" ref="F13" si="3">IFERROR(E13/C13,0)</f>
        <v>0</v>
      </c>
    </row>
    <row r="14" spans="1:7" x14ac:dyDescent="0.25">
      <c r="A14" s="5" t="s">
        <v>0</v>
      </c>
      <c r="B14" s="89">
        <f>SUM(B3:B13)</f>
        <v>66</v>
      </c>
      <c r="C14" s="93">
        <f>SUM(C3:C13)</f>
        <v>11142.599999999995</v>
      </c>
      <c r="D14" s="93">
        <f>SUM(D3:D13)</f>
        <v>8329.5322274850878</v>
      </c>
      <c r="E14" s="93">
        <f>SUM(E3:E13)</f>
        <v>2813.0677725149098</v>
      </c>
      <c r="F14" s="94">
        <f t="shared" si="1"/>
        <v>0.25246062611194076</v>
      </c>
    </row>
  </sheetData>
  <autoFilter ref="A2:F2" xr:uid="{00000000-0009-0000-0000-000003000000}">
    <sortState xmlns:xlrd2="http://schemas.microsoft.com/office/spreadsheetml/2017/richdata2" ref="A3:F12">
      <sortCondition descending="1" ref="C2"/>
    </sortState>
  </autoFilter>
  <sortState xmlns:xlrd2="http://schemas.microsoft.com/office/spreadsheetml/2017/richdata2" ref="A3:F12">
    <sortCondition ref="A3"/>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97"/>
  <sheetViews>
    <sheetView workbookViewId="0">
      <pane ySplit="2" topLeftCell="A3" activePane="bottomLeft" state="frozen"/>
      <selection pane="bottomLeft" activeCell="A2" sqref="A2"/>
    </sheetView>
  </sheetViews>
  <sheetFormatPr defaultColWidth="9.140625" defaultRowHeight="12" x14ac:dyDescent="0.2"/>
  <cols>
    <col min="1" max="1" width="9.28515625" style="104" bestFit="1" customWidth="1"/>
    <col min="2" max="2" width="27.5703125" style="104" bestFit="1" customWidth="1"/>
    <col min="3" max="3" width="12" style="104" bestFit="1" customWidth="1"/>
    <col min="4" max="4" width="11.28515625" style="104" bestFit="1" customWidth="1"/>
    <col min="5" max="5" width="13.7109375" style="104" bestFit="1" customWidth="1"/>
    <col min="6" max="6" width="13.42578125" style="104" bestFit="1" customWidth="1"/>
    <col min="7" max="7" width="30.7109375" style="104" bestFit="1" customWidth="1"/>
    <col min="8" max="8" width="14" style="104" bestFit="1" customWidth="1"/>
    <col min="9" max="9" width="36.7109375" style="104" bestFit="1" customWidth="1"/>
    <col min="10" max="10" width="24.7109375" style="104" bestFit="1" customWidth="1"/>
    <col min="11" max="11" width="21.7109375" style="104" bestFit="1" customWidth="1"/>
    <col min="12" max="12" width="22.140625" style="104" bestFit="1" customWidth="1"/>
    <col min="13" max="13" width="14" style="104" bestFit="1" customWidth="1"/>
    <col min="14" max="14" width="14" style="132" bestFit="1" customWidth="1"/>
    <col min="15" max="16" width="9.28515625" style="132" bestFit="1" customWidth="1"/>
    <col min="17" max="17" width="8.7109375" style="104" bestFit="1" customWidth="1"/>
    <col min="18" max="18" width="8" style="107" bestFit="1" customWidth="1"/>
    <col min="19" max="19" width="12.28515625" style="107" bestFit="1" customWidth="1"/>
    <col min="20" max="20" width="11.140625" style="104" bestFit="1" customWidth="1"/>
    <col min="21" max="21" width="12.140625" style="107" bestFit="1" customWidth="1"/>
    <col min="22" max="16384" width="9.140625" style="104"/>
  </cols>
  <sheetData>
    <row r="1" spans="1:21" x14ac:dyDescent="0.2">
      <c r="D1" s="134"/>
      <c r="E1" s="134"/>
      <c r="F1" s="134"/>
      <c r="G1" s="134"/>
      <c r="H1" s="134"/>
      <c r="I1" s="134"/>
      <c r="J1" s="134"/>
      <c r="K1" s="134"/>
      <c r="L1" s="134"/>
      <c r="M1" s="134"/>
      <c r="N1" s="133"/>
      <c r="O1" s="133"/>
      <c r="P1" s="133"/>
      <c r="Q1" s="134"/>
      <c r="R1" s="135"/>
      <c r="S1" s="135"/>
      <c r="T1" s="134"/>
      <c r="U1" s="106">
        <f>SUM(U3:U10779)</f>
        <v>117597.22999999991</v>
      </c>
    </row>
    <row r="2" spans="1:21" s="105" customFormat="1" ht="36" x14ac:dyDescent="0.25">
      <c r="A2" s="138" t="s">
        <v>83</v>
      </c>
      <c r="B2" s="108" t="s">
        <v>113</v>
      </c>
      <c r="C2" s="114" t="s">
        <v>110</v>
      </c>
      <c r="D2" s="108" t="s">
        <v>114</v>
      </c>
      <c r="E2" s="108" t="s">
        <v>115</v>
      </c>
      <c r="F2" s="108" t="s">
        <v>116</v>
      </c>
      <c r="G2" s="108" t="s">
        <v>117</v>
      </c>
      <c r="H2" s="108" t="s">
        <v>118</v>
      </c>
      <c r="I2" s="108" t="s">
        <v>119</v>
      </c>
      <c r="J2" s="108" t="s">
        <v>120</v>
      </c>
      <c r="K2" s="108" t="s">
        <v>121</v>
      </c>
      <c r="L2" s="108" t="s">
        <v>122</v>
      </c>
      <c r="M2" s="108" t="s">
        <v>123</v>
      </c>
      <c r="N2" s="108" t="s">
        <v>124</v>
      </c>
      <c r="O2" s="108" t="s">
        <v>101</v>
      </c>
      <c r="P2" s="108" t="s">
        <v>103</v>
      </c>
      <c r="Q2" s="108" t="s">
        <v>104</v>
      </c>
      <c r="R2" s="108" t="s">
        <v>102</v>
      </c>
      <c r="S2" s="108" t="s">
        <v>105</v>
      </c>
      <c r="T2" s="108" t="s">
        <v>106</v>
      </c>
      <c r="U2" s="108" t="s">
        <v>107</v>
      </c>
    </row>
    <row r="3" spans="1:21" x14ac:dyDescent="0.2">
      <c r="A3" s="109">
        <v>1</v>
      </c>
      <c r="B3" s="109" t="s">
        <v>125</v>
      </c>
      <c r="C3" s="109">
        <v>29</v>
      </c>
      <c r="D3" s="109"/>
      <c r="E3" s="109"/>
      <c r="F3" s="109">
        <v>44475</v>
      </c>
      <c r="G3" s="109" t="s">
        <v>126</v>
      </c>
      <c r="H3" s="109"/>
      <c r="I3" s="109" t="s">
        <v>127</v>
      </c>
      <c r="J3" s="109" t="s">
        <v>128</v>
      </c>
      <c r="K3" s="109" t="s">
        <v>129</v>
      </c>
      <c r="L3" s="109" t="s">
        <v>130</v>
      </c>
      <c r="M3" s="109"/>
      <c r="N3" s="139"/>
      <c r="O3" s="139" t="s">
        <v>93</v>
      </c>
      <c r="P3" s="139">
        <v>1</v>
      </c>
      <c r="Q3" s="109">
        <v>6965.58</v>
      </c>
      <c r="R3" s="136">
        <v>1</v>
      </c>
      <c r="S3" s="136">
        <v>6965.58</v>
      </c>
      <c r="T3" s="109">
        <v>1</v>
      </c>
      <c r="U3" s="136">
        <v>6965.58</v>
      </c>
    </row>
    <row r="4" spans="1:21" x14ac:dyDescent="0.2">
      <c r="A4" s="109">
        <v>2</v>
      </c>
      <c r="B4" s="109" t="s">
        <v>125</v>
      </c>
      <c r="C4" s="109">
        <v>52</v>
      </c>
      <c r="D4" s="109"/>
      <c r="E4" s="109"/>
      <c r="F4" s="109">
        <v>44522</v>
      </c>
      <c r="G4" s="109" t="s">
        <v>131</v>
      </c>
      <c r="H4" s="109"/>
      <c r="I4" s="109" t="s">
        <v>132</v>
      </c>
      <c r="J4" s="109" t="s">
        <v>133</v>
      </c>
      <c r="K4" s="109" t="s">
        <v>134</v>
      </c>
      <c r="L4" s="109" t="s">
        <v>135</v>
      </c>
      <c r="M4" s="109"/>
      <c r="N4" s="139"/>
      <c r="O4" s="139" t="s">
        <v>93</v>
      </c>
      <c r="P4" s="139">
        <v>1</v>
      </c>
      <c r="Q4" s="109">
        <v>2567.69</v>
      </c>
      <c r="R4" s="136">
        <v>2</v>
      </c>
      <c r="S4" s="136">
        <v>2567.69</v>
      </c>
      <c r="T4" s="109">
        <v>2</v>
      </c>
      <c r="U4" s="136">
        <v>5135.38</v>
      </c>
    </row>
    <row r="5" spans="1:21" x14ac:dyDescent="0.2">
      <c r="A5" s="109">
        <v>3</v>
      </c>
      <c r="B5" s="109" t="s">
        <v>125</v>
      </c>
      <c r="C5" s="109">
        <v>54</v>
      </c>
      <c r="D5" s="109"/>
      <c r="E5" s="109"/>
      <c r="F5" s="109">
        <v>44419</v>
      </c>
      <c r="G5" s="109" t="s">
        <v>136</v>
      </c>
      <c r="H5" s="109"/>
      <c r="I5" s="109" t="s">
        <v>137</v>
      </c>
      <c r="J5" s="109" t="s">
        <v>138</v>
      </c>
      <c r="K5" s="109" t="s">
        <v>139</v>
      </c>
      <c r="L5" s="109" t="s">
        <v>135</v>
      </c>
      <c r="M5" s="109"/>
      <c r="N5" s="139"/>
      <c r="O5" s="139" t="s">
        <v>93</v>
      </c>
      <c r="P5" s="139">
        <v>1</v>
      </c>
      <c r="Q5" s="109">
        <v>5053.5</v>
      </c>
      <c r="R5" s="136">
        <v>1</v>
      </c>
      <c r="S5" s="136">
        <v>5053.5</v>
      </c>
      <c r="T5" s="109">
        <v>1</v>
      </c>
      <c r="U5" s="136">
        <v>5053.5</v>
      </c>
    </row>
    <row r="6" spans="1:21" x14ac:dyDescent="0.2">
      <c r="A6" s="109">
        <v>4</v>
      </c>
      <c r="B6" s="109" t="s">
        <v>125</v>
      </c>
      <c r="C6" s="109">
        <v>69</v>
      </c>
      <c r="D6" s="109"/>
      <c r="E6" s="109"/>
      <c r="F6" s="109">
        <v>44509</v>
      </c>
      <c r="G6" s="109" t="s">
        <v>140</v>
      </c>
      <c r="H6" s="109"/>
      <c r="I6" s="109" t="s">
        <v>141</v>
      </c>
      <c r="J6" s="109" t="s">
        <v>142</v>
      </c>
      <c r="K6" s="109" t="s">
        <v>143</v>
      </c>
      <c r="L6" s="109" t="s">
        <v>144</v>
      </c>
      <c r="M6" s="109"/>
      <c r="N6" s="139"/>
      <c r="O6" s="139" t="s">
        <v>93</v>
      </c>
      <c r="P6" s="139">
        <v>1</v>
      </c>
      <c r="Q6" s="109">
        <v>661.45</v>
      </c>
      <c r="R6" s="136">
        <v>6</v>
      </c>
      <c r="S6" s="136">
        <v>661.45</v>
      </c>
      <c r="T6" s="109">
        <v>6</v>
      </c>
      <c r="U6" s="136">
        <v>3968.7000000000003</v>
      </c>
    </row>
    <row r="7" spans="1:21" x14ac:dyDescent="0.2">
      <c r="A7" s="109">
        <v>5</v>
      </c>
      <c r="B7" s="109" t="s">
        <v>125</v>
      </c>
      <c r="C7" s="109">
        <v>82</v>
      </c>
      <c r="D7" s="109"/>
      <c r="E7" s="109"/>
      <c r="F7" s="109">
        <v>44504</v>
      </c>
      <c r="G7" s="109" t="s">
        <v>145</v>
      </c>
      <c r="H7" s="109"/>
      <c r="I7" s="109" t="s">
        <v>146</v>
      </c>
      <c r="J7" s="109" t="s">
        <v>147</v>
      </c>
      <c r="K7" s="109" t="s">
        <v>148</v>
      </c>
      <c r="L7" s="109" t="s">
        <v>144</v>
      </c>
      <c r="M7" s="109"/>
      <c r="N7" s="139"/>
      <c r="O7" s="139" t="s">
        <v>93</v>
      </c>
      <c r="P7" s="139">
        <v>1</v>
      </c>
      <c r="Q7" s="109">
        <v>183.4</v>
      </c>
      <c r="R7" s="136">
        <v>20</v>
      </c>
      <c r="S7" s="136">
        <v>183.4</v>
      </c>
      <c r="T7" s="109">
        <v>20</v>
      </c>
      <c r="U7" s="136">
        <v>3668</v>
      </c>
    </row>
    <row r="8" spans="1:21" x14ac:dyDescent="0.2">
      <c r="A8" s="109">
        <v>6</v>
      </c>
      <c r="B8" s="109" t="s">
        <v>125</v>
      </c>
      <c r="C8" s="109">
        <v>94</v>
      </c>
      <c r="D8" s="109"/>
      <c r="E8" s="109"/>
      <c r="F8" s="109">
        <v>44202</v>
      </c>
      <c r="G8" s="109" t="s">
        <v>149</v>
      </c>
      <c r="H8" s="109"/>
      <c r="I8" s="109" t="s">
        <v>150</v>
      </c>
      <c r="J8" s="109" t="s">
        <v>151</v>
      </c>
      <c r="K8" s="109" t="s">
        <v>152</v>
      </c>
      <c r="L8" s="109" t="s">
        <v>135</v>
      </c>
      <c r="M8" s="109"/>
      <c r="N8" s="139"/>
      <c r="O8" s="139" t="s">
        <v>93</v>
      </c>
      <c r="P8" s="139">
        <v>1</v>
      </c>
      <c r="Q8" s="109">
        <v>68.459999999999994</v>
      </c>
      <c r="R8" s="136">
        <v>50</v>
      </c>
      <c r="S8" s="136">
        <v>68.459999999999994</v>
      </c>
      <c r="T8" s="109">
        <v>50</v>
      </c>
      <c r="U8" s="136">
        <v>3422.9999999999995</v>
      </c>
    </row>
    <row r="9" spans="1:21" x14ac:dyDescent="0.2">
      <c r="A9" s="109">
        <v>7</v>
      </c>
      <c r="B9" s="109" t="s">
        <v>125</v>
      </c>
      <c r="C9" s="109">
        <v>145</v>
      </c>
      <c r="D9" s="109"/>
      <c r="E9" s="109"/>
      <c r="F9" s="109">
        <v>44470</v>
      </c>
      <c r="G9" s="109" t="s">
        <v>153</v>
      </c>
      <c r="H9" s="109"/>
      <c r="I9" s="109" t="s">
        <v>154</v>
      </c>
      <c r="J9" s="109" t="s">
        <v>155</v>
      </c>
      <c r="K9" s="109" t="s">
        <v>156</v>
      </c>
      <c r="L9" s="109" t="s">
        <v>135</v>
      </c>
      <c r="M9" s="109"/>
      <c r="N9" s="139"/>
      <c r="O9" s="139" t="s">
        <v>93</v>
      </c>
      <c r="P9" s="139">
        <v>1</v>
      </c>
      <c r="Q9" s="109">
        <v>2529.61</v>
      </c>
      <c r="R9" s="136">
        <v>1</v>
      </c>
      <c r="S9" s="136">
        <v>2529.61</v>
      </c>
      <c r="T9" s="109">
        <v>1</v>
      </c>
      <c r="U9" s="136">
        <v>2529.61</v>
      </c>
    </row>
    <row r="10" spans="1:21" x14ac:dyDescent="0.2">
      <c r="A10" s="109">
        <v>8</v>
      </c>
      <c r="B10" s="109" t="s">
        <v>125</v>
      </c>
      <c r="C10" s="109">
        <v>163</v>
      </c>
      <c r="D10" s="109"/>
      <c r="E10" s="109"/>
      <c r="F10" s="109">
        <v>44264</v>
      </c>
      <c r="G10" s="109" t="s">
        <v>157</v>
      </c>
      <c r="H10" s="109"/>
      <c r="I10" s="109" t="s">
        <v>158</v>
      </c>
      <c r="J10" s="109" t="s">
        <v>159</v>
      </c>
      <c r="K10" s="109" t="s">
        <v>160</v>
      </c>
      <c r="L10" s="109" t="s">
        <v>135</v>
      </c>
      <c r="M10" s="109"/>
      <c r="N10" s="139"/>
      <c r="O10" s="139" t="s">
        <v>93</v>
      </c>
      <c r="P10" s="139">
        <v>1</v>
      </c>
      <c r="Q10" s="109">
        <v>1188.97</v>
      </c>
      <c r="R10" s="136">
        <v>2</v>
      </c>
      <c r="S10" s="136">
        <v>1188.97</v>
      </c>
      <c r="T10" s="109">
        <v>2</v>
      </c>
      <c r="U10" s="136">
        <v>2377.94</v>
      </c>
    </row>
    <row r="11" spans="1:21" x14ac:dyDescent="0.2">
      <c r="A11" s="109">
        <v>9</v>
      </c>
      <c r="B11" s="109" t="s">
        <v>125</v>
      </c>
      <c r="C11" s="109">
        <v>165</v>
      </c>
      <c r="D11" s="109"/>
      <c r="E11" s="109"/>
      <c r="F11" s="109">
        <v>44543</v>
      </c>
      <c r="G11" s="109" t="s">
        <v>136</v>
      </c>
      <c r="H11" s="109"/>
      <c r="I11" s="109" t="s">
        <v>161</v>
      </c>
      <c r="J11" s="109" t="s">
        <v>138</v>
      </c>
      <c r="K11" s="109" t="s">
        <v>162</v>
      </c>
      <c r="L11" s="109" t="s">
        <v>135</v>
      </c>
      <c r="M11" s="109"/>
      <c r="N11" s="139"/>
      <c r="O11" s="139" t="s">
        <v>93</v>
      </c>
      <c r="P11" s="139">
        <v>1</v>
      </c>
      <c r="Q11" s="109">
        <v>336</v>
      </c>
      <c r="R11" s="136">
        <v>7</v>
      </c>
      <c r="S11" s="136">
        <v>336</v>
      </c>
      <c r="T11" s="109">
        <v>7</v>
      </c>
      <c r="U11" s="136">
        <v>2352</v>
      </c>
    </row>
    <row r="12" spans="1:21" x14ac:dyDescent="0.2">
      <c r="A12" s="109">
        <v>10</v>
      </c>
      <c r="B12" s="109" t="s">
        <v>125</v>
      </c>
      <c r="C12" s="109">
        <v>170</v>
      </c>
      <c r="D12" s="109"/>
      <c r="E12" s="109"/>
      <c r="F12" s="109">
        <v>44271</v>
      </c>
      <c r="G12" s="109" t="s">
        <v>163</v>
      </c>
      <c r="H12" s="109"/>
      <c r="I12" s="109" t="s">
        <v>164</v>
      </c>
      <c r="J12" s="109" t="s">
        <v>165</v>
      </c>
      <c r="K12" s="109" t="s">
        <v>166</v>
      </c>
      <c r="L12" s="109" t="s">
        <v>135</v>
      </c>
      <c r="M12" s="109"/>
      <c r="N12" s="139"/>
      <c r="O12" s="139" t="s">
        <v>93</v>
      </c>
      <c r="P12" s="139">
        <v>1</v>
      </c>
      <c r="Q12" s="109">
        <v>1154.4100000000001</v>
      </c>
      <c r="R12" s="136">
        <v>2</v>
      </c>
      <c r="S12" s="136">
        <v>1154.4100000000001</v>
      </c>
      <c r="T12" s="109">
        <v>2</v>
      </c>
      <c r="U12" s="136">
        <v>2308.8200000000002</v>
      </c>
    </row>
    <row r="13" spans="1:21" x14ac:dyDescent="0.2">
      <c r="A13" s="109">
        <v>11</v>
      </c>
      <c r="B13" s="109" t="s">
        <v>125</v>
      </c>
      <c r="C13" s="109">
        <v>212</v>
      </c>
      <c r="D13" s="109"/>
      <c r="E13" s="109"/>
      <c r="F13" s="109">
        <v>44389</v>
      </c>
      <c r="G13" s="109" t="s">
        <v>145</v>
      </c>
      <c r="H13" s="109"/>
      <c r="I13" s="109" t="s">
        <v>167</v>
      </c>
      <c r="J13" s="109" t="s">
        <v>168</v>
      </c>
      <c r="K13" s="109" t="s">
        <v>169</v>
      </c>
      <c r="L13" s="109" t="s">
        <v>135</v>
      </c>
      <c r="M13" s="109"/>
      <c r="N13" s="139"/>
      <c r="O13" s="139" t="s">
        <v>93</v>
      </c>
      <c r="P13" s="139">
        <v>1</v>
      </c>
      <c r="Q13" s="109">
        <v>1961.43</v>
      </c>
      <c r="R13" s="136">
        <v>1</v>
      </c>
      <c r="S13" s="136">
        <v>1961.43</v>
      </c>
      <c r="T13" s="109">
        <v>1</v>
      </c>
      <c r="U13" s="136">
        <v>1961.43</v>
      </c>
    </row>
    <row r="14" spans="1:21" x14ac:dyDescent="0.2">
      <c r="A14" s="109">
        <v>12</v>
      </c>
      <c r="B14" s="109" t="s">
        <v>125</v>
      </c>
      <c r="C14" s="109">
        <v>237</v>
      </c>
      <c r="D14" s="109"/>
      <c r="E14" s="109"/>
      <c r="F14" s="109">
        <v>44518</v>
      </c>
      <c r="G14" s="109" t="s">
        <v>163</v>
      </c>
      <c r="H14" s="109"/>
      <c r="I14" s="109" t="s">
        <v>170</v>
      </c>
      <c r="J14" s="109" t="s">
        <v>171</v>
      </c>
      <c r="K14" s="109" t="s">
        <v>172</v>
      </c>
      <c r="L14" s="109" t="s">
        <v>135</v>
      </c>
      <c r="M14" s="109"/>
      <c r="N14" s="139"/>
      <c r="O14" s="139" t="s">
        <v>93</v>
      </c>
      <c r="P14" s="139">
        <v>1</v>
      </c>
      <c r="Q14" s="109">
        <v>1824.01</v>
      </c>
      <c r="R14" s="136">
        <v>1</v>
      </c>
      <c r="S14" s="136">
        <v>1824.01</v>
      </c>
      <c r="T14" s="109">
        <v>1</v>
      </c>
      <c r="U14" s="136">
        <v>1824.01</v>
      </c>
    </row>
    <row r="15" spans="1:21" x14ac:dyDescent="0.2">
      <c r="A15" s="109">
        <v>13</v>
      </c>
      <c r="B15" s="109" t="s">
        <v>125</v>
      </c>
      <c r="C15" s="109">
        <v>241</v>
      </c>
      <c r="D15" s="109"/>
      <c r="E15" s="109"/>
      <c r="F15" s="109">
        <v>44202</v>
      </c>
      <c r="G15" s="109" t="s">
        <v>173</v>
      </c>
      <c r="H15" s="109"/>
      <c r="I15" s="109" t="s">
        <v>174</v>
      </c>
      <c r="J15" s="109" t="s">
        <v>175</v>
      </c>
      <c r="K15" s="109" t="s">
        <v>176</v>
      </c>
      <c r="L15" s="109" t="s">
        <v>135</v>
      </c>
      <c r="M15" s="109"/>
      <c r="N15" s="139"/>
      <c r="O15" s="139" t="s">
        <v>93</v>
      </c>
      <c r="P15" s="139">
        <v>1</v>
      </c>
      <c r="Q15" s="109">
        <v>595.21</v>
      </c>
      <c r="R15" s="136">
        <v>3</v>
      </c>
      <c r="S15" s="136">
        <v>595.21</v>
      </c>
      <c r="T15" s="109">
        <v>3</v>
      </c>
      <c r="U15" s="136">
        <v>1785.63</v>
      </c>
    </row>
    <row r="16" spans="1:21" x14ac:dyDescent="0.2">
      <c r="A16" s="109">
        <v>14</v>
      </c>
      <c r="B16" s="109" t="s">
        <v>125</v>
      </c>
      <c r="C16" s="109">
        <v>245</v>
      </c>
      <c r="D16" s="109"/>
      <c r="E16" s="109"/>
      <c r="F16" s="109">
        <v>44473</v>
      </c>
      <c r="G16" s="109" t="s">
        <v>177</v>
      </c>
      <c r="H16" s="109"/>
      <c r="I16" s="109" t="s">
        <v>178</v>
      </c>
      <c r="J16" s="109" t="s">
        <v>179</v>
      </c>
      <c r="K16" s="109" t="s">
        <v>180</v>
      </c>
      <c r="L16" s="109" t="s">
        <v>144</v>
      </c>
      <c r="M16" s="109"/>
      <c r="N16" s="139"/>
      <c r="O16" s="139" t="s">
        <v>93</v>
      </c>
      <c r="P16" s="139">
        <v>1</v>
      </c>
      <c r="Q16" s="109">
        <v>888</v>
      </c>
      <c r="R16" s="136">
        <v>2</v>
      </c>
      <c r="S16" s="136">
        <v>888</v>
      </c>
      <c r="T16" s="109">
        <v>2</v>
      </c>
      <c r="U16" s="136">
        <v>1776</v>
      </c>
    </row>
    <row r="17" spans="1:21" x14ac:dyDescent="0.2">
      <c r="A17" s="109">
        <v>15</v>
      </c>
      <c r="B17" s="109" t="s">
        <v>125</v>
      </c>
      <c r="C17" s="109">
        <v>272</v>
      </c>
      <c r="D17" s="109"/>
      <c r="E17" s="109"/>
      <c r="F17" s="109">
        <v>44455</v>
      </c>
      <c r="G17" s="109" t="s">
        <v>181</v>
      </c>
      <c r="H17" s="109"/>
      <c r="I17" s="109" t="s">
        <v>182</v>
      </c>
      <c r="J17" s="109" t="s">
        <v>183</v>
      </c>
      <c r="K17" s="109" t="s">
        <v>184</v>
      </c>
      <c r="L17" s="109" t="s">
        <v>135</v>
      </c>
      <c r="M17" s="109"/>
      <c r="N17" s="139"/>
      <c r="O17" s="139" t="s">
        <v>93</v>
      </c>
      <c r="P17" s="139">
        <v>1</v>
      </c>
      <c r="Q17" s="109">
        <v>801.6</v>
      </c>
      <c r="R17" s="136">
        <v>2</v>
      </c>
      <c r="S17" s="136">
        <v>801.6</v>
      </c>
      <c r="T17" s="109">
        <v>2</v>
      </c>
      <c r="U17" s="136">
        <v>1603.2</v>
      </c>
    </row>
    <row r="18" spans="1:21" x14ac:dyDescent="0.2">
      <c r="A18" s="109">
        <v>16</v>
      </c>
      <c r="B18" s="109" t="s">
        <v>125</v>
      </c>
      <c r="C18" s="109">
        <v>278</v>
      </c>
      <c r="D18" s="109"/>
      <c r="E18" s="109"/>
      <c r="F18" s="109">
        <v>44560</v>
      </c>
      <c r="G18" s="109" t="s">
        <v>185</v>
      </c>
      <c r="H18" s="109"/>
      <c r="I18" s="109" t="s">
        <v>186</v>
      </c>
      <c r="J18" s="109" t="s">
        <v>187</v>
      </c>
      <c r="K18" s="109" t="s">
        <v>188</v>
      </c>
      <c r="L18" s="109" t="s">
        <v>130</v>
      </c>
      <c r="M18" s="109"/>
      <c r="N18" s="139"/>
      <c r="O18" s="139" t="s">
        <v>93</v>
      </c>
      <c r="P18" s="139">
        <v>1</v>
      </c>
      <c r="Q18" s="109">
        <v>158.04</v>
      </c>
      <c r="R18" s="136">
        <v>10</v>
      </c>
      <c r="S18" s="136">
        <v>158.04</v>
      </c>
      <c r="T18" s="109">
        <v>10</v>
      </c>
      <c r="U18" s="136">
        <v>1580.3999999999999</v>
      </c>
    </row>
    <row r="19" spans="1:21" x14ac:dyDescent="0.2">
      <c r="A19" s="109">
        <v>17</v>
      </c>
      <c r="B19" s="109" t="s">
        <v>125</v>
      </c>
      <c r="C19" s="109">
        <v>294</v>
      </c>
      <c r="D19" s="109"/>
      <c r="E19" s="109"/>
      <c r="F19" s="109">
        <v>44385</v>
      </c>
      <c r="G19" s="109" t="s">
        <v>189</v>
      </c>
      <c r="H19" s="109"/>
      <c r="I19" s="109" t="s">
        <v>190</v>
      </c>
      <c r="J19" s="109" t="s">
        <v>191</v>
      </c>
      <c r="K19" s="109" t="s">
        <v>192</v>
      </c>
      <c r="L19" s="109" t="s">
        <v>135</v>
      </c>
      <c r="M19" s="109"/>
      <c r="N19" s="139"/>
      <c r="O19" s="139" t="s">
        <v>93</v>
      </c>
      <c r="P19" s="139">
        <v>1</v>
      </c>
      <c r="Q19" s="109">
        <v>767.9</v>
      </c>
      <c r="R19" s="136">
        <v>2</v>
      </c>
      <c r="S19" s="136">
        <v>767.9</v>
      </c>
      <c r="T19" s="109">
        <v>2</v>
      </c>
      <c r="U19" s="136">
        <v>1535.8</v>
      </c>
    </row>
    <row r="20" spans="1:21" x14ac:dyDescent="0.2">
      <c r="A20" s="109">
        <v>18</v>
      </c>
      <c r="B20" s="109" t="s">
        <v>125</v>
      </c>
      <c r="C20" s="109">
        <v>315</v>
      </c>
      <c r="D20" s="109"/>
      <c r="E20" s="109"/>
      <c r="F20" s="109">
        <v>44371</v>
      </c>
      <c r="G20" s="109" t="s">
        <v>193</v>
      </c>
      <c r="H20" s="109"/>
      <c r="I20" s="109" t="s">
        <v>194</v>
      </c>
      <c r="J20" s="109" t="s">
        <v>195</v>
      </c>
      <c r="K20" s="109" t="s">
        <v>196</v>
      </c>
      <c r="L20" s="109" t="s">
        <v>135</v>
      </c>
      <c r="M20" s="109"/>
      <c r="N20" s="139"/>
      <c r="O20" s="139" t="s">
        <v>93</v>
      </c>
      <c r="P20" s="139">
        <v>1</v>
      </c>
      <c r="Q20" s="109">
        <v>1440.01</v>
      </c>
      <c r="R20" s="136">
        <v>1</v>
      </c>
      <c r="S20" s="136">
        <v>1440.01</v>
      </c>
      <c r="T20" s="109">
        <v>1</v>
      </c>
      <c r="U20" s="136">
        <v>1440.01</v>
      </c>
    </row>
    <row r="21" spans="1:21" x14ac:dyDescent="0.2">
      <c r="A21" s="109">
        <v>19</v>
      </c>
      <c r="B21" s="109" t="s">
        <v>125</v>
      </c>
      <c r="C21" s="109">
        <v>316</v>
      </c>
      <c r="D21" s="109"/>
      <c r="E21" s="109"/>
      <c r="F21" s="109">
        <v>44371</v>
      </c>
      <c r="G21" s="109" t="s">
        <v>193</v>
      </c>
      <c r="H21" s="109"/>
      <c r="I21" s="109" t="s">
        <v>197</v>
      </c>
      <c r="J21" s="109" t="s">
        <v>195</v>
      </c>
      <c r="K21" s="109" t="s">
        <v>198</v>
      </c>
      <c r="L21" s="109" t="s">
        <v>135</v>
      </c>
      <c r="M21" s="109"/>
      <c r="N21" s="139"/>
      <c r="O21" s="139" t="s">
        <v>93</v>
      </c>
      <c r="P21" s="139">
        <v>1</v>
      </c>
      <c r="Q21" s="109">
        <v>1440</v>
      </c>
      <c r="R21" s="136">
        <v>1</v>
      </c>
      <c r="S21" s="136">
        <v>1440</v>
      </c>
      <c r="T21" s="109">
        <v>1</v>
      </c>
      <c r="U21" s="136">
        <v>1440</v>
      </c>
    </row>
    <row r="22" spans="1:21" x14ac:dyDescent="0.2">
      <c r="A22" s="109">
        <v>20</v>
      </c>
      <c r="B22" s="109" t="s">
        <v>125</v>
      </c>
      <c r="C22" s="109">
        <v>318</v>
      </c>
      <c r="D22" s="109"/>
      <c r="E22" s="109"/>
      <c r="F22" s="109">
        <v>44470</v>
      </c>
      <c r="G22" s="109" t="s">
        <v>153</v>
      </c>
      <c r="H22" s="109"/>
      <c r="I22" s="109" t="s">
        <v>199</v>
      </c>
      <c r="J22" s="109" t="s">
        <v>155</v>
      </c>
      <c r="K22" s="109" t="s">
        <v>200</v>
      </c>
      <c r="L22" s="109" t="s">
        <v>135</v>
      </c>
      <c r="M22" s="109"/>
      <c r="N22" s="139"/>
      <c r="O22" s="139" t="s">
        <v>93</v>
      </c>
      <c r="P22" s="139">
        <v>1</v>
      </c>
      <c r="Q22" s="109">
        <v>1435.2</v>
      </c>
      <c r="R22" s="136">
        <v>1</v>
      </c>
      <c r="S22" s="136">
        <v>1435.2</v>
      </c>
      <c r="T22" s="109">
        <v>1</v>
      </c>
      <c r="U22" s="136">
        <v>1435.2</v>
      </c>
    </row>
    <row r="23" spans="1:21" x14ac:dyDescent="0.2">
      <c r="A23" s="109">
        <v>21</v>
      </c>
      <c r="B23" s="109" t="s">
        <v>125</v>
      </c>
      <c r="C23" s="109">
        <v>321</v>
      </c>
      <c r="D23" s="109"/>
      <c r="E23" s="109"/>
      <c r="F23" s="109">
        <v>44265</v>
      </c>
      <c r="G23" s="109" t="s">
        <v>201</v>
      </c>
      <c r="H23" s="109"/>
      <c r="I23" s="109" t="s">
        <v>202</v>
      </c>
      <c r="J23" s="109" t="s">
        <v>203</v>
      </c>
      <c r="K23" s="109" t="s">
        <v>204</v>
      </c>
      <c r="L23" s="109" t="s">
        <v>135</v>
      </c>
      <c r="M23" s="109"/>
      <c r="N23" s="139"/>
      <c r="O23" s="139" t="s">
        <v>93</v>
      </c>
      <c r="P23" s="139">
        <v>1</v>
      </c>
      <c r="Q23" s="109">
        <v>712.33</v>
      </c>
      <c r="R23" s="136">
        <v>2</v>
      </c>
      <c r="S23" s="136">
        <v>712.33</v>
      </c>
      <c r="T23" s="109">
        <v>2</v>
      </c>
      <c r="U23" s="136">
        <v>1424.66</v>
      </c>
    </row>
    <row r="24" spans="1:21" x14ac:dyDescent="0.2">
      <c r="A24" s="109">
        <v>22</v>
      </c>
      <c r="B24" s="109" t="s">
        <v>125</v>
      </c>
      <c r="C24" s="109">
        <v>355</v>
      </c>
      <c r="D24" s="109"/>
      <c r="E24" s="109"/>
      <c r="F24" s="109">
        <v>44560</v>
      </c>
      <c r="G24" s="109" t="s">
        <v>205</v>
      </c>
      <c r="H24" s="109"/>
      <c r="I24" s="109" t="s">
        <v>206</v>
      </c>
      <c r="J24" s="109" t="s">
        <v>207</v>
      </c>
      <c r="K24" s="109" t="s">
        <v>208</v>
      </c>
      <c r="L24" s="109" t="s">
        <v>144</v>
      </c>
      <c r="M24" s="109"/>
      <c r="N24" s="139"/>
      <c r="O24" s="139" t="s">
        <v>93</v>
      </c>
      <c r="P24" s="139">
        <v>1</v>
      </c>
      <c r="Q24" s="109">
        <v>216.97</v>
      </c>
      <c r="R24" s="136">
        <v>6</v>
      </c>
      <c r="S24" s="136">
        <v>216.97</v>
      </c>
      <c r="T24" s="109">
        <v>6</v>
      </c>
      <c r="U24" s="136">
        <v>1301.82</v>
      </c>
    </row>
    <row r="25" spans="1:21" x14ac:dyDescent="0.2">
      <c r="A25" s="109">
        <v>23</v>
      </c>
      <c r="B25" s="109" t="s">
        <v>125</v>
      </c>
      <c r="C25" s="109">
        <v>366</v>
      </c>
      <c r="D25" s="109"/>
      <c r="E25" s="109"/>
      <c r="F25" s="109">
        <v>44351</v>
      </c>
      <c r="G25" s="109" t="s">
        <v>209</v>
      </c>
      <c r="H25" s="109"/>
      <c r="I25" s="109" t="s">
        <v>210</v>
      </c>
      <c r="J25" s="109" t="s">
        <v>211</v>
      </c>
      <c r="K25" s="109" t="s">
        <v>212</v>
      </c>
      <c r="L25" s="109" t="s">
        <v>135</v>
      </c>
      <c r="M25" s="109"/>
      <c r="N25" s="139"/>
      <c r="O25" s="139" t="s">
        <v>93</v>
      </c>
      <c r="P25" s="139">
        <v>1</v>
      </c>
      <c r="Q25" s="109">
        <v>625.22</v>
      </c>
      <c r="R25" s="136">
        <v>2</v>
      </c>
      <c r="S25" s="136">
        <v>625.22</v>
      </c>
      <c r="T25" s="109">
        <v>2</v>
      </c>
      <c r="U25" s="136">
        <v>1250.44</v>
      </c>
    </row>
    <row r="26" spans="1:21" x14ac:dyDescent="0.2">
      <c r="A26" s="109">
        <v>24</v>
      </c>
      <c r="B26" s="109" t="s">
        <v>125</v>
      </c>
      <c r="C26" s="109">
        <v>381</v>
      </c>
      <c r="D26" s="109"/>
      <c r="E26" s="109"/>
      <c r="F26" s="109">
        <v>44524</v>
      </c>
      <c r="G26" s="109" t="s">
        <v>213</v>
      </c>
      <c r="H26" s="109"/>
      <c r="I26" s="109" t="s">
        <v>214</v>
      </c>
      <c r="J26" s="109" t="s">
        <v>142</v>
      </c>
      <c r="K26" s="109" t="s">
        <v>143</v>
      </c>
      <c r="L26" s="109" t="s">
        <v>144</v>
      </c>
      <c r="M26" s="109"/>
      <c r="N26" s="139"/>
      <c r="O26" s="139" t="s">
        <v>93</v>
      </c>
      <c r="P26" s="139">
        <v>1</v>
      </c>
      <c r="Q26" s="109">
        <v>614.41</v>
      </c>
      <c r="R26" s="136">
        <v>2</v>
      </c>
      <c r="S26" s="136">
        <v>614.41</v>
      </c>
      <c r="T26" s="109">
        <v>2</v>
      </c>
      <c r="U26" s="136">
        <v>1228.82</v>
      </c>
    </row>
    <row r="27" spans="1:21" x14ac:dyDescent="0.2">
      <c r="A27" s="109">
        <v>25</v>
      </c>
      <c r="B27" s="109" t="s">
        <v>125</v>
      </c>
      <c r="C27" s="109">
        <v>387</v>
      </c>
      <c r="D27" s="109"/>
      <c r="E27" s="109"/>
      <c r="F27" s="109">
        <v>44539</v>
      </c>
      <c r="G27" s="109" t="s">
        <v>185</v>
      </c>
      <c r="H27" s="109"/>
      <c r="I27" s="109" t="s">
        <v>215</v>
      </c>
      <c r="J27" s="109" t="s">
        <v>187</v>
      </c>
      <c r="K27" s="109" t="s">
        <v>216</v>
      </c>
      <c r="L27" s="109" t="s">
        <v>130</v>
      </c>
      <c r="M27" s="109"/>
      <c r="N27" s="139"/>
      <c r="O27" s="139" t="s">
        <v>93</v>
      </c>
      <c r="P27" s="139">
        <v>1</v>
      </c>
      <c r="Q27" s="109">
        <v>60.93</v>
      </c>
      <c r="R27" s="136">
        <v>20</v>
      </c>
      <c r="S27" s="136">
        <v>60.93</v>
      </c>
      <c r="T27" s="109">
        <v>20</v>
      </c>
      <c r="U27" s="136">
        <v>1218.5999999999999</v>
      </c>
    </row>
    <row r="28" spans="1:21" x14ac:dyDescent="0.2">
      <c r="A28" s="109">
        <v>26</v>
      </c>
      <c r="B28" s="109" t="s">
        <v>125</v>
      </c>
      <c r="C28" s="109">
        <v>431</v>
      </c>
      <c r="D28" s="109"/>
      <c r="E28" s="109"/>
      <c r="F28" s="109">
        <v>44540</v>
      </c>
      <c r="G28" s="109" t="s">
        <v>193</v>
      </c>
      <c r="H28" s="109"/>
      <c r="I28" s="109" t="s">
        <v>217</v>
      </c>
      <c r="J28" s="109" t="s">
        <v>195</v>
      </c>
      <c r="K28" s="109" t="s">
        <v>218</v>
      </c>
      <c r="L28" s="109" t="s">
        <v>144</v>
      </c>
      <c r="M28" s="109"/>
      <c r="N28" s="139"/>
      <c r="O28" s="139" t="s">
        <v>93</v>
      </c>
      <c r="P28" s="139">
        <v>1</v>
      </c>
      <c r="Q28" s="109">
        <v>110.4</v>
      </c>
      <c r="R28" s="136">
        <v>10</v>
      </c>
      <c r="S28" s="136">
        <v>110.4</v>
      </c>
      <c r="T28" s="109">
        <v>10</v>
      </c>
      <c r="U28" s="136">
        <v>1104</v>
      </c>
    </row>
    <row r="29" spans="1:21" x14ac:dyDescent="0.2">
      <c r="A29" s="109">
        <v>27</v>
      </c>
      <c r="B29" s="109" t="s">
        <v>125</v>
      </c>
      <c r="C29" s="109">
        <v>441</v>
      </c>
      <c r="D29" s="109"/>
      <c r="E29" s="109"/>
      <c r="F29" s="109">
        <v>44361</v>
      </c>
      <c r="G29" s="109" t="s">
        <v>219</v>
      </c>
      <c r="H29" s="109"/>
      <c r="I29" s="109" t="s">
        <v>220</v>
      </c>
      <c r="J29" s="109" t="s">
        <v>221</v>
      </c>
      <c r="K29" s="109" t="s">
        <v>222</v>
      </c>
      <c r="L29" s="109" t="s">
        <v>135</v>
      </c>
      <c r="M29" s="109"/>
      <c r="N29" s="139"/>
      <c r="O29" s="139" t="s">
        <v>93</v>
      </c>
      <c r="P29" s="139">
        <v>1</v>
      </c>
      <c r="Q29" s="109">
        <v>535.23</v>
      </c>
      <c r="R29" s="136">
        <v>2</v>
      </c>
      <c r="S29" s="136">
        <v>535.23</v>
      </c>
      <c r="T29" s="109">
        <v>2</v>
      </c>
      <c r="U29" s="136">
        <v>1070.46</v>
      </c>
    </row>
    <row r="30" spans="1:21" x14ac:dyDescent="0.2">
      <c r="A30" s="109">
        <v>28</v>
      </c>
      <c r="B30" s="109" t="s">
        <v>125</v>
      </c>
      <c r="C30" s="109">
        <v>458</v>
      </c>
      <c r="D30" s="109"/>
      <c r="E30" s="109"/>
      <c r="F30" s="109">
        <v>44547</v>
      </c>
      <c r="G30" s="109" t="s">
        <v>163</v>
      </c>
      <c r="H30" s="109"/>
      <c r="I30" s="109" t="s">
        <v>223</v>
      </c>
      <c r="J30" s="109" t="s">
        <v>224</v>
      </c>
      <c r="K30" s="109" t="s">
        <v>225</v>
      </c>
      <c r="L30" s="109" t="s">
        <v>144</v>
      </c>
      <c r="M30" s="109"/>
      <c r="N30" s="139"/>
      <c r="O30" s="139" t="s">
        <v>93</v>
      </c>
      <c r="P30" s="139">
        <v>1</v>
      </c>
      <c r="Q30" s="109">
        <v>259.20999999999998</v>
      </c>
      <c r="R30" s="136">
        <v>4</v>
      </c>
      <c r="S30" s="136">
        <v>259.20999999999998</v>
      </c>
      <c r="T30" s="109">
        <v>4</v>
      </c>
      <c r="U30" s="136">
        <v>1036.8399999999999</v>
      </c>
    </row>
    <row r="31" spans="1:21" x14ac:dyDescent="0.2">
      <c r="A31" s="109">
        <v>29</v>
      </c>
      <c r="B31" s="109" t="s">
        <v>125</v>
      </c>
      <c r="C31" s="109">
        <v>466</v>
      </c>
      <c r="D31" s="109"/>
      <c r="E31" s="109"/>
      <c r="F31" s="109">
        <v>44495</v>
      </c>
      <c r="G31" s="109" t="s">
        <v>153</v>
      </c>
      <c r="H31" s="109"/>
      <c r="I31" s="109" t="s">
        <v>226</v>
      </c>
      <c r="J31" s="109" t="s">
        <v>227</v>
      </c>
      <c r="K31" s="109" t="s">
        <v>228</v>
      </c>
      <c r="L31" s="109" t="s">
        <v>144</v>
      </c>
      <c r="M31" s="109"/>
      <c r="N31" s="139"/>
      <c r="O31" s="139" t="s">
        <v>93</v>
      </c>
      <c r="P31" s="139">
        <v>1</v>
      </c>
      <c r="Q31" s="109">
        <v>1022.88</v>
      </c>
      <c r="R31" s="136">
        <v>1</v>
      </c>
      <c r="S31" s="136">
        <v>1022.88</v>
      </c>
      <c r="T31" s="109">
        <v>1</v>
      </c>
      <c r="U31" s="136">
        <v>1022.88</v>
      </c>
    </row>
    <row r="32" spans="1:21" x14ac:dyDescent="0.2">
      <c r="A32" s="109">
        <v>30</v>
      </c>
      <c r="B32" s="109" t="s">
        <v>125</v>
      </c>
      <c r="C32" s="109">
        <v>479</v>
      </c>
      <c r="D32" s="109"/>
      <c r="E32" s="109"/>
      <c r="F32" s="109">
        <v>44516</v>
      </c>
      <c r="G32" s="109" t="s">
        <v>163</v>
      </c>
      <c r="H32" s="109"/>
      <c r="I32" s="109" t="s">
        <v>229</v>
      </c>
      <c r="J32" s="109" t="s">
        <v>230</v>
      </c>
      <c r="K32" s="109" t="s">
        <v>231</v>
      </c>
      <c r="L32" s="109" t="s">
        <v>135</v>
      </c>
      <c r="M32" s="109"/>
      <c r="N32" s="139"/>
      <c r="O32" s="139" t="s">
        <v>93</v>
      </c>
      <c r="P32" s="139">
        <v>1</v>
      </c>
      <c r="Q32" s="109">
        <v>998.4</v>
      </c>
      <c r="R32" s="136">
        <v>1</v>
      </c>
      <c r="S32" s="136">
        <v>998.4</v>
      </c>
      <c r="T32" s="109">
        <v>1</v>
      </c>
      <c r="U32" s="136">
        <v>998.4</v>
      </c>
    </row>
    <row r="33" spans="1:21" x14ac:dyDescent="0.2">
      <c r="A33" s="109">
        <v>31</v>
      </c>
      <c r="B33" s="109" t="s">
        <v>125</v>
      </c>
      <c r="C33" s="109">
        <v>485</v>
      </c>
      <c r="D33" s="109"/>
      <c r="E33" s="109"/>
      <c r="F33" s="109">
        <v>44560</v>
      </c>
      <c r="G33" s="109" t="s">
        <v>185</v>
      </c>
      <c r="H33" s="109"/>
      <c r="I33" s="109" t="s">
        <v>232</v>
      </c>
      <c r="J33" s="109" t="s">
        <v>187</v>
      </c>
      <c r="K33" s="109" t="s">
        <v>233</v>
      </c>
      <c r="L33" s="109" t="s">
        <v>130</v>
      </c>
      <c r="M33" s="109"/>
      <c r="N33" s="139"/>
      <c r="O33" s="139" t="s">
        <v>93</v>
      </c>
      <c r="P33" s="139">
        <v>1</v>
      </c>
      <c r="Q33" s="109">
        <v>49.46</v>
      </c>
      <c r="R33" s="136">
        <v>20</v>
      </c>
      <c r="S33" s="136">
        <v>49.46</v>
      </c>
      <c r="T33" s="109">
        <v>20</v>
      </c>
      <c r="U33" s="136">
        <v>989.2</v>
      </c>
    </row>
    <row r="34" spans="1:21" x14ac:dyDescent="0.2">
      <c r="A34" s="109">
        <v>32</v>
      </c>
      <c r="B34" s="109" t="s">
        <v>125</v>
      </c>
      <c r="C34" s="109">
        <v>601</v>
      </c>
      <c r="D34" s="109"/>
      <c r="E34" s="109"/>
      <c r="F34" s="109">
        <v>44516</v>
      </c>
      <c r="G34" s="109" t="s">
        <v>234</v>
      </c>
      <c r="H34" s="109"/>
      <c r="I34" s="109" t="s">
        <v>235</v>
      </c>
      <c r="J34" s="109" t="s">
        <v>236</v>
      </c>
      <c r="K34" s="109" t="s">
        <v>237</v>
      </c>
      <c r="L34" s="109" t="s">
        <v>144</v>
      </c>
      <c r="M34" s="109"/>
      <c r="N34" s="139"/>
      <c r="O34" s="139" t="s">
        <v>93</v>
      </c>
      <c r="P34" s="139">
        <v>1</v>
      </c>
      <c r="Q34" s="109">
        <v>393.6</v>
      </c>
      <c r="R34" s="136">
        <v>2</v>
      </c>
      <c r="S34" s="136">
        <v>393.6</v>
      </c>
      <c r="T34" s="109">
        <v>2</v>
      </c>
      <c r="U34" s="136">
        <v>787.2</v>
      </c>
    </row>
    <row r="35" spans="1:21" x14ac:dyDescent="0.2">
      <c r="A35" s="109">
        <v>33</v>
      </c>
      <c r="B35" s="109" t="s">
        <v>125</v>
      </c>
      <c r="C35" s="109">
        <v>623</v>
      </c>
      <c r="D35" s="109"/>
      <c r="E35" s="109"/>
      <c r="F35" s="109">
        <v>44515</v>
      </c>
      <c r="G35" s="109" t="s">
        <v>181</v>
      </c>
      <c r="H35" s="109"/>
      <c r="I35" s="109" t="s">
        <v>238</v>
      </c>
      <c r="J35" s="109" t="s">
        <v>239</v>
      </c>
      <c r="K35" s="109" t="s">
        <v>240</v>
      </c>
      <c r="L35" s="109" t="s">
        <v>135</v>
      </c>
      <c r="M35" s="109"/>
      <c r="N35" s="139"/>
      <c r="O35" s="139" t="s">
        <v>93</v>
      </c>
      <c r="P35" s="139">
        <v>1</v>
      </c>
      <c r="Q35" s="109">
        <v>96</v>
      </c>
      <c r="R35" s="136">
        <v>8</v>
      </c>
      <c r="S35" s="136">
        <v>96</v>
      </c>
      <c r="T35" s="109">
        <v>8</v>
      </c>
      <c r="U35" s="136">
        <v>768</v>
      </c>
    </row>
    <row r="36" spans="1:21" x14ac:dyDescent="0.2">
      <c r="A36" s="109">
        <v>34</v>
      </c>
      <c r="B36" s="109" t="s">
        <v>125</v>
      </c>
      <c r="C36" s="109">
        <v>629</v>
      </c>
      <c r="D36" s="109"/>
      <c r="E36" s="109"/>
      <c r="F36" s="109">
        <v>44540</v>
      </c>
      <c r="G36" s="109" t="s">
        <v>163</v>
      </c>
      <c r="H36" s="109"/>
      <c r="I36" s="109" t="s">
        <v>241</v>
      </c>
      <c r="J36" s="109" t="s">
        <v>242</v>
      </c>
      <c r="K36" s="109" t="s">
        <v>243</v>
      </c>
      <c r="L36" s="109" t="s">
        <v>144</v>
      </c>
      <c r="M36" s="109"/>
      <c r="N36" s="139"/>
      <c r="O36" s="139" t="s">
        <v>93</v>
      </c>
      <c r="P36" s="139">
        <v>1</v>
      </c>
      <c r="Q36" s="109">
        <v>380.16</v>
      </c>
      <c r="R36" s="136">
        <v>2</v>
      </c>
      <c r="S36" s="136">
        <v>380.16</v>
      </c>
      <c r="T36" s="109">
        <v>2</v>
      </c>
      <c r="U36" s="136">
        <v>760.32</v>
      </c>
    </row>
    <row r="37" spans="1:21" x14ac:dyDescent="0.2">
      <c r="A37" s="109">
        <v>35</v>
      </c>
      <c r="B37" s="109" t="s">
        <v>125</v>
      </c>
      <c r="C37" s="109">
        <v>630</v>
      </c>
      <c r="D37" s="109"/>
      <c r="E37" s="109"/>
      <c r="F37" s="109">
        <v>44517</v>
      </c>
      <c r="G37" s="109" t="s">
        <v>163</v>
      </c>
      <c r="H37" s="109"/>
      <c r="I37" s="109" t="s">
        <v>244</v>
      </c>
      <c r="J37" s="109" t="s">
        <v>245</v>
      </c>
      <c r="K37" s="109" t="s">
        <v>246</v>
      </c>
      <c r="L37" s="109" t="s">
        <v>135</v>
      </c>
      <c r="M37" s="109"/>
      <c r="N37" s="139"/>
      <c r="O37" s="139" t="s">
        <v>93</v>
      </c>
      <c r="P37" s="139">
        <v>1</v>
      </c>
      <c r="Q37" s="109">
        <v>760.32</v>
      </c>
      <c r="R37" s="136">
        <v>1</v>
      </c>
      <c r="S37" s="136">
        <v>760.32</v>
      </c>
      <c r="T37" s="109">
        <v>1</v>
      </c>
      <c r="U37" s="136">
        <v>760.32</v>
      </c>
    </row>
    <row r="38" spans="1:21" x14ac:dyDescent="0.2">
      <c r="A38" s="109">
        <v>36</v>
      </c>
      <c r="B38" s="109" t="s">
        <v>125</v>
      </c>
      <c r="C38" s="109">
        <v>632</v>
      </c>
      <c r="D38" s="109"/>
      <c r="E38" s="109"/>
      <c r="F38" s="109">
        <v>44302</v>
      </c>
      <c r="G38" s="109" t="s">
        <v>247</v>
      </c>
      <c r="H38" s="109"/>
      <c r="I38" s="109" t="s">
        <v>248</v>
      </c>
      <c r="J38" s="109" t="s">
        <v>249</v>
      </c>
      <c r="K38" s="109" t="s">
        <v>250</v>
      </c>
      <c r="L38" s="109" t="s">
        <v>135</v>
      </c>
      <c r="M38" s="109"/>
      <c r="N38" s="139"/>
      <c r="O38" s="139" t="s">
        <v>93</v>
      </c>
      <c r="P38" s="139">
        <v>1</v>
      </c>
      <c r="Q38" s="109">
        <v>378.15</v>
      </c>
      <c r="R38" s="136">
        <v>2</v>
      </c>
      <c r="S38" s="136">
        <v>378.15</v>
      </c>
      <c r="T38" s="109">
        <v>2</v>
      </c>
      <c r="U38" s="136">
        <v>756.3</v>
      </c>
    </row>
    <row r="39" spans="1:21" x14ac:dyDescent="0.2">
      <c r="A39" s="109">
        <v>37</v>
      </c>
      <c r="B39" s="109" t="s">
        <v>125</v>
      </c>
      <c r="C39" s="109">
        <v>659</v>
      </c>
      <c r="D39" s="109"/>
      <c r="E39" s="109"/>
      <c r="F39" s="109">
        <v>44503</v>
      </c>
      <c r="G39" s="109" t="s">
        <v>251</v>
      </c>
      <c r="H39" s="109"/>
      <c r="I39" s="109" t="s">
        <v>252</v>
      </c>
      <c r="J39" s="109" t="s">
        <v>253</v>
      </c>
      <c r="K39" s="109" t="s">
        <v>254</v>
      </c>
      <c r="L39" s="109" t="s">
        <v>135</v>
      </c>
      <c r="M39" s="109"/>
      <c r="N39" s="139"/>
      <c r="O39" s="139" t="s">
        <v>93</v>
      </c>
      <c r="P39" s="139">
        <v>1</v>
      </c>
      <c r="Q39" s="109">
        <v>362.22</v>
      </c>
      <c r="R39" s="136">
        <v>2</v>
      </c>
      <c r="S39" s="136">
        <v>362.22</v>
      </c>
      <c r="T39" s="109">
        <v>2</v>
      </c>
      <c r="U39" s="136">
        <v>724.44</v>
      </c>
    </row>
    <row r="40" spans="1:21" x14ac:dyDescent="0.2">
      <c r="A40" s="109">
        <v>38</v>
      </c>
      <c r="B40" s="109" t="s">
        <v>125</v>
      </c>
      <c r="C40" s="109">
        <v>681</v>
      </c>
      <c r="D40" s="109"/>
      <c r="E40" s="109"/>
      <c r="F40" s="109">
        <v>44305</v>
      </c>
      <c r="G40" s="109" t="s">
        <v>255</v>
      </c>
      <c r="H40" s="109"/>
      <c r="I40" s="109" t="s">
        <v>256</v>
      </c>
      <c r="J40" s="109" t="s">
        <v>257</v>
      </c>
      <c r="K40" s="109" t="s">
        <v>258</v>
      </c>
      <c r="L40" s="109" t="s">
        <v>135</v>
      </c>
      <c r="M40" s="109"/>
      <c r="N40" s="139"/>
      <c r="O40" s="139" t="s">
        <v>93</v>
      </c>
      <c r="P40" s="139">
        <v>1</v>
      </c>
      <c r="Q40" s="109">
        <v>23.19</v>
      </c>
      <c r="R40" s="136">
        <v>30</v>
      </c>
      <c r="S40" s="136">
        <v>23.19</v>
      </c>
      <c r="T40" s="109">
        <v>30</v>
      </c>
      <c r="U40" s="136">
        <v>695.7</v>
      </c>
    </row>
    <row r="41" spans="1:21" x14ac:dyDescent="0.2">
      <c r="A41" s="109">
        <v>39</v>
      </c>
      <c r="B41" s="109" t="s">
        <v>125</v>
      </c>
      <c r="C41" s="109">
        <v>684</v>
      </c>
      <c r="D41" s="109"/>
      <c r="E41" s="109"/>
      <c r="F41" s="109">
        <v>44501</v>
      </c>
      <c r="G41" s="109" t="s">
        <v>259</v>
      </c>
      <c r="H41" s="109"/>
      <c r="I41" s="109" t="s">
        <v>260</v>
      </c>
      <c r="J41" s="109" t="s">
        <v>261</v>
      </c>
      <c r="K41" s="109" t="s">
        <v>262</v>
      </c>
      <c r="L41" s="109" t="s">
        <v>135</v>
      </c>
      <c r="M41" s="109"/>
      <c r="N41" s="139"/>
      <c r="O41" s="139" t="s">
        <v>93</v>
      </c>
      <c r="P41" s="139">
        <v>1</v>
      </c>
      <c r="Q41" s="109">
        <v>13.86</v>
      </c>
      <c r="R41" s="136">
        <v>50</v>
      </c>
      <c r="S41" s="136">
        <v>13.86</v>
      </c>
      <c r="T41" s="109">
        <v>50</v>
      </c>
      <c r="U41" s="136">
        <v>693</v>
      </c>
    </row>
    <row r="42" spans="1:21" x14ac:dyDescent="0.2">
      <c r="A42" s="109">
        <v>40</v>
      </c>
      <c r="B42" s="109" t="s">
        <v>125</v>
      </c>
      <c r="C42" s="109">
        <v>689</v>
      </c>
      <c r="D42" s="109"/>
      <c r="E42" s="109"/>
      <c r="F42" s="109">
        <v>44468</v>
      </c>
      <c r="G42" s="109" t="s">
        <v>263</v>
      </c>
      <c r="H42" s="109"/>
      <c r="I42" s="109" t="s">
        <v>264</v>
      </c>
      <c r="J42" s="109" t="s">
        <v>265</v>
      </c>
      <c r="K42" s="109" t="s">
        <v>266</v>
      </c>
      <c r="L42" s="109" t="s">
        <v>267</v>
      </c>
      <c r="M42" s="109"/>
      <c r="N42" s="139"/>
      <c r="O42" s="139" t="s">
        <v>93</v>
      </c>
      <c r="P42" s="139">
        <v>1</v>
      </c>
      <c r="Q42" s="109">
        <v>685.62</v>
      </c>
      <c r="R42" s="136">
        <v>1</v>
      </c>
      <c r="S42" s="136">
        <v>685.62</v>
      </c>
      <c r="T42" s="109">
        <v>1</v>
      </c>
      <c r="U42" s="136">
        <v>685.62</v>
      </c>
    </row>
    <row r="43" spans="1:21" x14ac:dyDescent="0.2">
      <c r="A43" s="109">
        <v>41</v>
      </c>
      <c r="B43" s="109" t="s">
        <v>125</v>
      </c>
      <c r="C43" s="109">
        <v>692</v>
      </c>
      <c r="D43" s="109"/>
      <c r="E43" s="109"/>
      <c r="F43" s="109">
        <v>44482</v>
      </c>
      <c r="G43" s="109" t="s">
        <v>189</v>
      </c>
      <c r="H43" s="109"/>
      <c r="I43" s="109" t="s">
        <v>268</v>
      </c>
      <c r="J43" s="109" t="s">
        <v>142</v>
      </c>
      <c r="K43" s="109" t="s">
        <v>269</v>
      </c>
      <c r="L43" s="109" t="s">
        <v>144</v>
      </c>
      <c r="M43" s="109"/>
      <c r="N43" s="139"/>
      <c r="O43" s="139" t="s">
        <v>93</v>
      </c>
      <c r="P43" s="139">
        <v>1</v>
      </c>
      <c r="Q43" s="109">
        <v>684.84</v>
      </c>
      <c r="R43" s="136">
        <v>1</v>
      </c>
      <c r="S43" s="136">
        <v>684.84</v>
      </c>
      <c r="T43" s="109">
        <v>1</v>
      </c>
      <c r="U43" s="136">
        <v>684.84</v>
      </c>
    </row>
    <row r="44" spans="1:21" x14ac:dyDescent="0.2">
      <c r="A44" s="109">
        <v>42</v>
      </c>
      <c r="B44" s="109" t="s">
        <v>125</v>
      </c>
      <c r="C44" s="109">
        <v>702</v>
      </c>
      <c r="D44" s="109"/>
      <c r="E44" s="109"/>
      <c r="F44" s="109">
        <v>44488</v>
      </c>
      <c r="G44" s="109" t="s">
        <v>270</v>
      </c>
      <c r="H44" s="109"/>
      <c r="I44" s="109" t="s">
        <v>271</v>
      </c>
      <c r="J44" s="109" t="s">
        <v>272</v>
      </c>
      <c r="K44" s="109" t="s">
        <v>273</v>
      </c>
      <c r="L44" s="109" t="s">
        <v>144</v>
      </c>
      <c r="M44" s="109"/>
      <c r="N44" s="139"/>
      <c r="O44" s="139" t="s">
        <v>93</v>
      </c>
      <c r="P44" s="139">
        <v>1</v>
      </c>
      <c r="Q44" s="109">
        <v>67.010000000000005</v>
      </c>
      <c r="R44" s="136">
        <v>10</v>
      </c>
      <c r="S44" s="136">
        <v>67.010000000000005</v>
      </c>
      <c r="T44" s="109">
        <v>10</v>
      </c>
      <c r="U44" s="136">
        <v>670.1</v>
      </c>
    </row>
    <row r="45" spans="1:21" x14ac:dyDescent="0.2">
      <c r="A45" s="109">
        <v>43</v>
      </c>
      <c r="B45" s="109" t="s">
        <v>125</v>
      </c>
      <c r="C45" s="109">
        <v>704</v>
      </c>
      <c r="D45" s="109"/>
      <c r="E45" s="109"/>
      <c r="F45" s="109">
        <v>44488</v>
      </c>
      <c r="G45" s="109" t="s">
        <v>270</v>
      </c>
      <c r="H45" s="109"/>
      <c r="I45" s="109" t="s">
        <v>274</v>
      </c>
      <c r="J45" s="109" t="s">
        <v>272</v>
      </c>
      <c r="K45" s="109" t="s">
        <v>275</v>
      </c>
      <c r="L45" s="109" t="s">
        <v>144</v>
      </c>
      <c r="M45" s="109"/>
      <c r="N45" s="139"/>
      <c r="O45" s="139" t="s">
        <v>93</v>
      </c>
      <c r="P45" s="139">
        <v>1</v>
      </c>
      <c r="Q45" s="109">
        <v>66.91</v>
      </c>
      <c r="R45" s="136">
        <v>10</v>
      </c>
      <c r="S45" s="136">
        <v>66.91</v>
      </c>
      <c r="T45" s="109">
        <v>10</v>
      </c>
      <c r="U45" s="136">
        <v>669.09999999999991</v>
      </c>
    </row>
    <row r="46" spans="1:21" x14ac:dyDescent="0.2">
      <c r="A46" s="109">
        <v>44</v>
      </c>
      <c r="B46" s="109" t="s">
        <v>125</v>
      </c>
      <c r="C46" s="109">
        <v>713</v>
      </c>
      <c r="D46" s="109"/>
      <c r="E46" s="109"/>
      <c r="F46" s="109">
        <v>44488</v>
      </c>
      <c r="G46" s="109" t="s">
        <v>270</v>
      </c>
      <c r="H46" s="109"/>
      <c r="I46" s="109" t="s">
        <v>276</v>
      </c>
      <c r="J46" s="109" t="s">
        <v>272</v>
      </c>
      <c r="K46" s="109" t="s">
        <v>277</v>
      </c>
      <c r="L46" s="109" t="s">
        <v>144</v>
      </c>
      <c r="M46" s="109"/>
      <c r="N46" s="139"/>
      <c r="O46" s="139" t="s">
        <v>93</v>
      </c>
      <c r="P46" s="139">
        <v>1</v>
      </c>
      <c r="Q46" s="109">
        <v>65.19</v>
      </c>
      <c r="R46" s="136">
        <v>10</v>
      </c>
      <c r="S46" s="136">
        <v>65.19</v>
      </c>
      <c r="T46" s="109">
        <v>10</v>
      </c>
      <c r="U46" s="136">
        <v>651.9</v>
      </c>
    </row>
    <row r="47" spans="1:21" x14ac:dyDescent="0.2">
      <c r="A47" s="109">
        <v>45</v>
      </c>
      <c r="B47" s="109" t="s">
        <v>125</v>
      </c>
      <c r="C47" s="109">
        <v>715</v>
      </c>
      <c r="D47" s="109"/>
      <c r="E47" s="109"/>
      <c r="F47" s="109">
        <v>44344</v>
      </c>
      <c r="G47" s="109" t="s">
        <v>189</v>
      </c>
      <c r="H47" s="109"/>
      <c r="I47" s="109" t="s">
        <v>278</v>
      </c>
      <c r="J47" s="109" t="s">
        <v>191</v>
      </c>
      <c r="K47" s="109" t="s">
        <v>279</v>
      </c>
      <c r="L47" s="109" t="s">
        <v>135</v>
      </c>
      <c r="M47" s="109"/>
      <c r="N47" s="139"/>
      <c r="O47" s="139" t="s">
        <v>93</v>
      </c>
      <c r="P47" s="139">
        <v>1</v>
      </c>
      <c r="Q47" s="109">
        <v>646.41999999999996</v>
      </c>
      <c r="R47" s="136">
        <v>1</v>
      </c>
      <c r="S47" s="136">
        <v>646.41999999999996</v>
      </c>
      <c r="T47" s="109">
        <v>1</v>
      </c>
      <c r="U47" s="136">
        <v>646.41999999999996</v>
      </c>
    </row>
    <row r="48" spans="1:21" x14ac:dyDescent="0.2">
      <c r="A48" s="109">
        <v>46</v>
      </c>
      <c r="B48" s="109" t="s">
        <v>125</v>
      </c>
      <c r="C48" s="109">
        <v>721</v>
      </c>
      <c r="D48" s="109"/>
      <c r="E48" s="109"/>
      <c r="F48" s="109">
        <v>44498</v>
      </c>
      <c r="G48" s="109" t="s">
        <v>280</v>
      </c>
      <c r="H48" s="109"/>
      <c r="I48" s="109" t="s">
        <v>281</v>
      </c>
      <c r="J48" s="109" t="s">
        <v>142</v>
      </c>
      <c r="K48" s="109" t="s">
        <v>143</v>
      </c>
      <c r="L48" s="109" t="s">
        <v>144</v>
      </c>
      <c r="M48" s="109"/>
      <c r="N48" s="139"/>
      <c r="O48" s="139" t="s">
        <v>93</v>
      </c>
      <c r="P48" s="139">
        <v>1</v>
      </c>
      <c r="Q48" s="109">
        <v>635.52</v>
      </c>
      <c r="R48" s="136">
        <v>1</v>
      </c>
      <c r="S48" s="136">
        <v>635.52</v>
      </c>
      <c r="T48" s="109">
        <v>1</v>
      </c>
      <c r="U48" s="136">
        <v>635.52</v>
      </c>
    </row>
    <row r="49" spans="1:21" x14ac:dyDescent="0.2">
      <c r="A49" s="109">
        <v>47</v>
      </c>
      <c r="B49" s="109" t="s">
        <v>125</v>
      </c>
      <c r="C49" s="109">
        <v>735</v>
      </c>
      <c r="D49" s="109"/>
      <c r="E49" s="109"/>
      <c r="F49" s="109">
        <v>44319</v>
      </c>
      <c r="G49" s="109" t="s">
        <v>193</v>
      </c>
      <c r="H49" s="109"/>
      <c r="I49" s="109" t="s">
        <v>282</v>
      </c>
      <c r="J49" s="109" t="s">
        <v>195</v>
      </c>
      <c r="K49" s="109" t="s">
        <v>283</v>
      </c>
      <c r="L49" s="109" t="s">
        <v>135</v>
      </c>
      <c r="M49" s="109"/>
      <c r="N49" s="139"/>
      <c r="O49" s="139" t="s">
        <v>93</v>
      </c>
      <c r="P49" s="139">
        <v>1</v>
      </c>
      <c r="Q49" s="109">
        <v>312.01</v>
      </c>
      <c r="R49" s="136">
        <v>2</v>
      </c>
      <c r="S49" s="136">
        <v>312.01</v>
      </c>
      <c r="T49" s="109">
        <v>2</v>
      </c>
      <c r="U49" s="136">
        <v>624.02</v>
      </c>
    </row>
    <row r="50" spans="1:21" x14ac:dyDescent="0.2">
      <c r="A50" s="109">
        <v>48</v>
      </c>
      <c r="B50" s="109" t="s">
        <v>125</v>
      </c>
      <c r="C50" s="109">
        <v>752</v>
      </c>
      <c r="D50" s="109"/>
      <c r="E50" s="109"/>
      <c r="F50" s="109">
        <v>44209</v>
      </c>
      <c r="G50" s="109" t="s">
        <v>234</v>
      </c>
      <c r="H50" s="109"/>
      <c r="I50" s="109" t="s">
        <v>284</v>
      </c>
      <c r="J50" s="109" t="s">
        <v>236</v>
      </c>
      <c r="K50" s="109" t="s">
        <v>285</v>
      </c>
      <c r="L50" s="109" t="s">
        <v>135</v>
      </c>
      <c r="M50" s="109"/>
      <c r="N50" s="139"/>
      <c r="O50" s="139" t="s">
        <v>93</v>
      </c>
      <c r="P50" s="139">
        <v>1</v>
      </c>
      <c r="Q50" s="109">
        <v>302.41000000000003</v>
      </c>
      <c r="R50" s="136">
        <v>2</v>
      </c>
      <c r="S50" s="136">
        <v>302.41000000000003</v>
      </c>
      <c r="T50" s="109">
        <v>2</v>
      </c>
      <c r="U50" s="136">
        <v>604.82000000000005</v>
      </c>
    </row>
    <row r="51" spans="1:21" x14ac:dyDescent="0.2">
      <c r="A51" s="109">
        <v>49</v>
      </c>
      <c r="B51" s="109" t="s">
        <v>125</v>
      </c>
      <c r="C51" s="109">
        <v>762</v>
      </c>
      <c r="D51" s="109"/>
      <c r="E51" s="109"/>
      <c r="F51" s="109">
        <v>44488</v>
      </c>
      <c r="G51" s="109" t="s">
        <v>270</v>
      </c>
      <c r="H51" s="109"/>
      <c r="I51" s="109" t="s">
        <v>286</v>
      </c>
      <c r="J51" s="109" t="s">
        <v>272</v>
      </c>
      <c r="K51" s="109" t="s">
        <v>287</v>
      </c>
      <c r="L51" s="109" t="s">
        <v>144</v>
      </c>
      <c r="M51" s="109"/>
      <c r="N51" s="139"/>
      <c r="O51" s="139" t="s">
        <v>93</v>
      </c>
      <c r="P51" s="139">
        <v>1</v>
      </c>
      <c r="Q51" s="109">
        <v>59.62</v>
      </c>
      <c r="R51" s="136">
        <v>10</v>
      </c>
      <c r="S51" s="136">
        <v>59.62</v>
      </c>
      <c r="T51" s="109">
        <v>10</v>
      </c>
      <c r="U51" s="136">
        <v>596.19999999999993</v>
      </c>
    </row>
    <row r="52" spans="1:21" x14ac:dyDescent="0.2">
      <c r="A52" s="109">
        <v>50</v>
      </c>
      <c r="B52" s="109" t="s">
        <v>125</v>
      </c>
      <c r="C52" s="109">
        <v>764</v>
      </c>
      <c r="D52" s="109"/>
      <c r="E52" s="109"/>
      <c r="F52" s="109">
        <v>44547</v>
      </c>
      <c r="G52" s="109" t="s">
        <v>163</v>
      </c>
      <c r="H52" s="109"/>
      <c r="I52" s="109" t="s">
        <v>288</v>
      </c>
      <c r="J52" s="109" t="s">
        <v>289</v>
      </c>
      <c r="K52" s="109" t="s">
        <v>290</v>
      </c>
      <c r="L52" s="109" t="s">
        <v>130</v>
      </c>
      <c r="M52" s="109"/>
      <c r="N52" s="139"/>
      <c r="O52" s="139" t="s">
        <v>93</v>
      </c>
      <c r="P52" s="139">
        <v>1</v>
      </c>
      <c r="Q52" s="109">
        <v>297.60000000000002</v>
      </c>
      <c r="R52" s="136">
        <v>2</v>
      </c>
      <c r="S52" s="136">
        <v>297.60000000000002</v>
      </c>
      <c r="T52" s="109">
        <v>2</v>
      </c>
      <c r="U52" s="136">
        <v>595.20000000000005</v>
      </c>
    </row>
    <row r="53" spans="1:21" x14ac:dyDescent="0.2">
      <c r="A53" s="109">
        <v>51</v>
      </c>
      <c r="B53" s="109" t="s">
        <v>125</v>
      </c>
      <c r="C53" s="109">
        <v>813</v>
      </c>
      <c r="D53" s="109"/>
      <c r="E53" s="109"/>
      <c r="F53" s="109">
        <v>44278</v>
      </c>
      <c r="G53" s="109" t="s">
        <v>259</v>
      </c>
      <c r="H53" s="109"/>
      <c r="I53" s="109" t="s">
        <v>291</v>
      </c>
      <c r="J53" s="109" t="s">
        <v>292</v>
      </c>
      <c r="K53" s="109" t="s">
        <v>293</v>
      </c>
      <c r="L53" s="109" t="s">
        <v>135</v>
      </c>
      <c r="M53" s="109"/>
      <c r="N53" s="139"/>
      <c r="O53" s="139" t="s">
        <v>93</v>
      </c>
      <c r="P53" s="139">
        <v>1</v>
      </c>
      <c r="Q53" s="109">
        <v>137.65</v>
      </c>
      <c r="R53" s="136">
        <v>4</v>
      </c>
      <c r="S53" s="136">
        <v>137.65</v>
      </c>
      <c r="T53" s="109">
        <v>4</v>
      </c>
      <c r="U53" s="136">
        <v>550.6</v>
      </c>
    </row>
    <row r="54" spans="1:21" x14ac:dyDescent="0.2">
      <c r="A54" s="109">
        <v>52</v>
      </c>
      <c r="B54" s="109" t="s">
        <v>125</v>
      </c>
      <c r="C54" s="109">
        <v>825</v>
      </c>
      <c r="D54" s="109"/>
      <c r="E54" s="109"/>
      <c r="F54" s="109">
        <v>44431</v>
      </c>
      <c r="G54" s="109" t="s">
        <v>136</v>
      </c>
      <c r="H54" s="109"/>
      <c r="I54" s="109" t="s">
        <v>294</v>
      </c>
      <c r="J54" s="109" t="s">
        <v>138</v>
      </c>
      <c r="K54" s="109" t="s">
        <v>295</v>
      </c>
      <c r="L54" s="109" t="s">
        <v>135</v>
      </c>
      <c r="M54" s="109"/>
      <c r="N54" s="139"/>
      <c r="O54" s="139" t="s">
        <v>93</v>
      </c>
      <c r="P54" s="139">
        <v>1</v>
      </c>
      <c r="Q54" s="109">
        <v>45.32</v>
      </c>
      <c r="R54" s="136">
        <v>12</v>
      </c>
      <c r="S54" s="136">
        <v>45.32</v>
      </c>
      <c r="T54" s="109">
        <v>12</v>
      </c>
      <c r="U54" s="136">
        <v>543.84</v>
      </c>
    </row>
    <row r="55" spans="1:21" x14ac:dyDescent="0.2">
      <c r="A55" s="109">
        <v>53</v>
      </c>
      <c r="B55" s="109" t="s">
        <v>125</v>
      </c>
      <c r="C55" s="109">
        <v>833</v>
      </c>
      <c r="D55" s="109"/>
      <c r="E55" s="109"/>
      <c r="F55" s="109">
        <v>44516</v>
      </c>
      <c r="G55" s="109" t="s">
        <v>163</v>
      </c>
      <c r="H55" s="109"/>
      <c r="I55" s="109" t="s">
        <v>296</v>
      </c>
      <c r="J55" s="109" t="s">
        <v>297</v>
      </c>
      <c r="K55" s="109" t="s">
        <v>298</v>
      </c>
      <c r="L55" s="109" t="s">
        <v>135</v>
      </c>
      <c r="M55" s="109"/>
      <c r="N55" s="139"/>
      <c r="O55" s="139" t="s">
        <v>93</v>
      </c>
      <c r="P55" s="139">
        <v>1</v>
      </c>
      <c r="Q55" s="109">
        <v>53.77</v>
      </c>
      <c r="R55" s="136">
        <v>10</v>
      </c>
      <c r="S55" s="136">
        <v>53.77</v>
      </c>
      <c r="T55" s="109">
        <v>10</v>
      </c>
      <c r="U55" s="136">
        <v>537.70000000000005</v>
      </c>
    </row>
    <row r="56" spans="1:21" x14ac:dyDescent="0.2">
      <c r="A56" s="109">
        <v>54</v>
      </c>
      <c r="B56" s="109" t="s">
        <v>125</v>
      </c>
      <c r="C56" s="109">
        <v>868</v>
      </c>
      <c r="D56" s="109"/>
      <c r="E56" s="109"/>
      <c r="F56" s="109">
        <v>44223</v>
      </c>
      <c r="G56" s="109" t="s">
        <v>299</v>
      </c>
      <c r="H56" s="109"/>
      <c r="I56" s="109" t="s">
        <v>300</v>
      </c>
      <c r="J56" s="109" t="s">
        <v>301</v>
      </c>
      <c r="K56" s="109" t="s">
        <v>302</v>
      </c>
      <c r="L56" s="109" t="s">
        <v>135</v>
      </c>
      <c r="M56" s="109"/>
      <c r="N56" s="139"/>
      <c r="O56" s="139" t="s">
        <v>93</v>
      </c>
      <c r="P56" s="139">
        <v>1</v>
      </c>
      <c r="Q56" s="109">
        <v>504</v>
      </c>
      <c r="R56" s="136">
        <v>1</v>
      </c>
      <c r="S56" s="136">
        <v>504</v>
      </c>
      <c r="T56" s="109">
        <v>1</v>
      </c>
      <c r="U56" s="136">
        <v>504</v>
      </c>
    </row>
    <row r="57" spans="1:21" x14ac:dyDescent="0.2">
      <c r="A57" s="109">
        <v>55</v>
      </c>
      <c r="B57" s="109" t="s">
        <v>125</v>
      </c>
      <c r="C57" s="109">
        <v>876</v>
      </c>
      <c r="D57" s="109"/>
      <c r="E57" s="109"/>
      <c r="F57" s="109">
        <v>44482</v>
      </c>
      <c r="G57" s="109" t="s">
        <v>163</v>
      </c>
      <c r="H57" s="109"/>
      <c r="I57" s="109" t="s">
        <v>303</v>
      </c>
      <c r="J57" s="109" t="s">
        <v>304</v>
      </c>
      <c r="K57" s="109" t="s">
        <v>305</v>
      </c>
      <c r="L57" s="109" t="s">
        <v>144</v>
      </c>
      <c r="M57" s="109"/>
      <c r="N57" s="139"/>
      <c r="O57" s="139" t="s">
        <v>93</v>
      </c>
      <c r="P57" s="139">
        <v>1</v>
      </c>
      <c r="Q57" s="109">
        <v>492.49</v>
      </c>
      <c r="R57" s="136">
        <v>1</v>
      </c>
      <c r="S57" s="136">
        <v>492.49</v>
      </c>
      <c r="T57" s="109">
        <v>1</v>
      </c>
      <c r="U57" s="136">
        <v>492.49</v>
      </c>
    </row>
    <row r="58" spans="1:21" x14ac:dyDescent="0.2">
      <c r="A58" s="109">
        <v>56</v>
      </c>
      <c r="B58" s="109" t="s">
        <v>125</v>
      </c>
      <c r="C58" s="109">
        <v>878</v>
      </c>
      <c r="D58" s="109"/>
      <c r="E58" s="109"/>
      <c r="F58" s="109">
        <v>44487</v>
      </c>
      <c r="G58" s="109" t="s">
        <v>145</v>
      </c>
      <c r="H58" s="109"/>
      <c r="I58" s="109" t="s">
        <v>306</v>
      </c>
      <c r="J58" s="109" t="s">
        <v>307</v>
      </c>
      <c r="K58" s="109" t="s">
        <v>308</v>
      </c>
      <c r="L58" s="109" t="s">
        <v>130</v>
      </c>
      <c r="M58" s="109"/>
      <c r="N58" s="139"/>
      <c r="O58" s="139" t="s">
        <v>93</v>
      </c>
      <c r="P58" s="139">
        <v>1</v>
      </c>
      <c r="Q58" s="109">
        <v>61.45</v>
      </c>
      <c r="R58" s="136">
        <v>8</v>
      </c>
      <c r="S58" s="136">
        <v>61.45</v>
      </c>
      <c r="T58" s="109">
        <v>8</v>
      </c>
      <c r="U58" s="136">
        <v>491.6</v>
      </c>
    </row>
    <row r="59" spans="1:21" x14ac:dyDescent="0.2">
      <c r="A59" s="109">
        <v>57</v>
      </c>
      <c r="B59" s="109" t="s">
        <v>125</v>
      </c>
      <c r="C59" s="109">
        <v>901</v>
      </c>
      <c r="D59" s="109"/>
      <c r="E59" s="109"/>
      <c r="F59" s="109">
        <v>44558</v>
      </c>
      <c r="G59" s="109" t="s">
        <v>213</v>
      </c>
      <c r="H59" s="109"/>
      <c r="I59" s="109" t="s">
        <v>309</v>
      </c>
      <c r="J59" s="109" t="s">
        <v>310</v>
      </c>
      <c r="K59" s="109" t="s">
        <v>311</v>
      </c>
      <c r="L59" s="109" t="s">
        <v>144</v>
      </c>
      <c r="M59" s="109"/>
      <c r="N59" s="139"/>
      <c r="O59" s="139" t="s">
        <v>93</v>
      </c>
      <c r="P59" s="139">
        <v>1</v>
      </c>
      <c r="Q59" s="109">
        <v>48</v>
      </c>
      <c r="R59" s="136">
        <v>10</v>
      </c>
      <c r="S59" s="136">
        <v>48</v>
      </c>
      <c r="T59" s="109">
        <v>10</v>
      </c>
      <c r="U59" s="136">
        <v>480</v>
      </c>
    </row>
    <row r="60" spans="1:21" x14ac:dyDescent="0.2">
      <c r="A60" s="109">
        <v>58</v>
      </c>
      <c r="B60" s="109" t="s">
        <v>125</v>
      </c>
      <c r="C60" s="109">
        <v>908</v>
      </c>
      <c r="D60" s="109"/>
      <c r="E60" s="109"/>
      <c r="F60" s="109">
        <v>44320</v>
      </c>
      <c r="G60" s="109" t="s">
        <v>205</v>
      </c>
      <c r="H60" s="109"/>
      <c r="I60" s="109" t="s">
        <v>312</v>
      </c>
      <c r="J60" s="109" t="s">
        <v>292</v>
      </c>
      <c r="K60" s="109" t="s">
        <v>313</v>
      </c>
      <c r="L60" s="109" t="s">
        <v>135</v>
      </c>
      <c r="M60" s="109"/>
      <c r="N60" s="139"/>
      <c r="O60" s="139" t="s">
        <v>93</v>
      </c>
      <c r="P60" s="139">
        <v>1</v>
      </c>
      <c r="Q60" s="109">
        <v>477.13</v>
      </c>
      <c r="R60" s="136">
        <v>1</v>
      </c>
      <c r="S60" s="136">
        <v>477.13</v>
      </c>
      <c r="T60" s="109">
        <v>1</v>
      </c>
      <c r="U60" s="136">
        <v>477.13</v>
      </c>
    </row>
    <row r="61" spans="1:21" x14ac:dyDescent="0.2">
      <c r="A61" s="109">
        <v>59</v>
      </c>
      <c r="B61" s="109" t="s">
        <v>125</v>
      </c>
      <c r="C61" s="109">
        <v>912</v>
      </c>
      <c r="D61" s="109"/>
      <c r="E61" s="109"/>
      <c r="F61" s="109">
        <v>44209</v>
      </c>
      <c r="G61" s="109" t="s">
        <v>314</v>
      </c>
      <c r="H61" s="109"/>
      <c r="I61" s="109" t="s">
        <v>315</v>
      </c>
      <c r="J61" s="109" t="s">
        <v>195</v>
      </c>
      <c r="K61" s="109" t="s">
        <v>316</v>
      </c>
      <c r="L61" s="109" t="s">
        <v>135</v>
      </c>
      <c r="M61" s="109"/>
      <c r="N61" s="139"/>
      <c r="O61" s="139" t="s">
        <v>93</v>
      </c>
      <c r="P61" s="139">
        <v>1</v>
      </c>
      <c r="Q61" s="109">
        <v>158.63999999999999</v>
      </c>
      <c r="R61" s="136">
        <v>3</v>
      </c>
      <c r="S61" s="136">
        <v>158.63999999999999</v>
      </c>
      <c r="T61" s="109">
        <v>3</v>
      </c>
      <c r="U61" s="136">
        <v>475.91999999999996</v>
      </c>
    </row>
    <row r="62" spans="1:21" x14ac:dyDescent="0.2">
      <c r="A62" s="109">
        <v>60</v>
      </c>
      <c r="B62" s="109" t="s">
        <v>125</v>
      </c>
      <c r="C62" s="109">
        <v>918</v>
      </c>
      <c r="D62" s="109"/>
      <c r="E62" s="109"/>
      <c r="F62" s="109">
        <v>44550</v>
      </c>
      <c r="G62" s="109" t="s">
        <v>317</v>
      </c>
      <c r="H62" s="109"/>
      <c r="I62" s="109" t="s">
        <v>318</v>
      </c>
      <c r="J62" s="109" t="s">
        <v>319</v>
      </c>
      <c r="K62" s="109" t="s">
        <v>320</v>
      </c>
      <c r="L62" s="109" t="s">
        <v>135</v>
      </c>
      <c r="M62" s="109"/>
      <c r="N62" s="139"/>
      <c r="O62" s="139" t="s">
        <v>93</v>
      </c>
      <c r="P62" s="139">
        <v>1</v>
      </c>
      <c r="Q62" s="109">
        <v>237.12</v>
      </c>
      <c r="R62" s="136">
        <v>2</v>
      </c>
      <c r="S62" s="136">
        <v>237.12</v>
      </c>
      <c r="T62" s="109">
        <v>2</v>
      </c>
      <c r="U62" s="136">
        <v>474.24</v>
      </c>
    </row>
    <row r="63" spans="1:21" x14ac:dyDescent="0.2">
      <c r="A63" s="109">
        <v>61</v>
      </c>
      <c r="B63" s="109" t="s">
        <v>125</v>
      </c>
      <c r="C63" s="109">
        <v>942</v>
      </c>
      <c r="D63" s="109"/>
      <c r="E63" s="109"/>
      <c r="F63" s="109">
        <v>44550</v>
      </c>
      <c r="G63" s="109" t="s">
        <v>145</v>
      </c>
      <c r="H63" s="109"/>
      <c r="I63" s="109" t="s">
        <v>321</v>
      </c>
      <c r="J63" s="109" t="s">
        <v>322</v>
      </c>
      <c r="K63" s="109" t="s">
        <v>323</v>
      </c>
      <c r="L63" s="109" t="s">
        <v>135</v>
      </c>
      <c r="M63" s="109"/>
      <c r="N63" s="139"/>
      <c r="O63" s="139" t="s">
        <v>93</v>
      </c>
      <c r="P63" s="139">
        <v>1</v>
      </c>
      <c r="Q63" s="109">
        <v>228.54</v>
      </c>
      <c r="R63" s="136">
        <v>2</v>
      </c>
      <c r="S63" s="136">
        <v>228.54</v>
      </c>
      <c r="T63" s="109">
        <v>2</v>
      </c>
      <c r="U63" s="136">
        <v>457.08</v>
      </c>
    </row>
    <row r="64" spans="1:21" x14ac:dyDescent="0.2">
      <c r="A64" s="109">
        <v>62</v>
      </c>
      <c r="B64" s="109" t="s">
        <v>125</v>
      </c>
      <c r="C64" s="109">
        <v>948</v>
      </c>
      <c r="D64" s="109"/>
      <c r="E64" s="109"/>
      <c r="F64" s="109">
        <v>44323</v>
      </c>
      <c r="G64" s="109" t="s">
        <v>324</v>
      </c>
      <c r="H64" s="109"/>
      <c r="I64" s="109" t="s">
        <v>325</v>
      </c>
      <c r="J64" s="109" t="s">
        <v>326</v>
      </c>
      <c r="K64" s="109" t="s">
        <v>327</v>
      </c>
      <c r="L64" s="109" t="s">
        <v>135</v>
      </c>
      <c r="M64" s="109"/>
      <c r="N64" s="139"/>
      <c r="O64" s="139" t="s">
        <v>93</v>
      </c>
      <c r="P64" s="139">
        <v>1</v>
      </c>
      <c r="Q64" s="109">
        <v>90.89</v>
      </c>
      <c r="R64" s="136">
        <v>5</v>
      </c>
      <c r="S64" s="136">
        <v>90.89</v>
      </c>
      <c r="T64" s="109">
        <v>5</v>
      </c>
      <c r="U64" s="136">
        <v>454.45</v>
      </c>
    </row>
    <row r="65" spans="1:21" x14ac:dyDescent="0.2">
      <c r="A65" s="109">
        <v>63</v>
      </c>
      <c r="B65" s="109" t="s">
        <v>125</v>
      </c>
      <c r="C65" s="109">
        <v>955</v>
      </c>
      <c r="D65" s="109"/>
      <c r="E65" s="109"/>
      <c r="F65" s="109">
        <v>44540</v>
      </c>
      <c r="G65" s="109" t="s">
        <v>328</v>
      </c>
      <c r="H65" s="109"/>
      <c r="I65" s="109" t="s">
        <v>329</v>
      </c>
      <c r="J65" s="109" t="s">
        <v>330</v>
      </c>
      <c r="K65" s="109" t="s">
        <v>331</v>
      </c>
      <c r="L65" s="109" t="s">
        <v>144</v>
      </c>
      <c r="M65" s="109"/>
      <c r="N65" s="139"/>
      <c r="O65" s="139" t="s">
        <v>93</v>
      </c>
      <c r="P65" s="139">
        <v>1</v>
      </c>
      <c r="Q65" s="109">
        <v>44.83</v>
      </c>
      <c r="R65" s="136">
        <v>10</v>
      </c>
      <c r="S65" s="136">
        <v>44.83</v>
      </c>
      <c r="T65" s="109">
        <v>10</v>
      </c>
      <c r="U65" s="136">
        <v>448.29999999999995</v>
      </c>
    </row>
    <row r="66" spans="1:21" x14ac:dyDescent="0.2">
      <c r="A66" s="109">
        <v>64</v>
      </c>
      <c r="B66" s="109" t="s">
        <v>125</v>
      </c>
      <c r="C66" s="109">
        <v>959</v>
      </c>
      <c r="D66" s="109"/>
      <c r="E66" s="109"/>
      <c r="F66" s="109">
        <v>44424</v>
      </c>
      <c r="G66" s="109" t="s">
        <v>259</v>
      </c>
      <c r="H66" s="109"/>
      <c r="I66" s="109" t="s">
        <v>332</v>
      </c>
      <c r="J66" s="109" t="s">
        <v>333</v>
      </c>
      <c r="K66" s="109" t="s">
        <v>334</v>
      </c>
      <c r="L66" s="109" t="s">
        <v>135</v>
      </c>
      <c r="M66" s="109"/>
      <c r="N66" s="139"/>
      <c r="O66" s="139" t="s">
        <v>93</v>
      </c>
      <c r="P66" s="139">
        <v>1</v>
      </c>
      <c r="Q66" s="109">
        <v>148.44999999999999</v>
      </c>
      <c r="R66" s="136">
        <v>3</v>
      </c>
      <c r="S66" s="136">
        <v>148.44999999999999</v>
      </c>
      <c r="T66" s="109">
        <v>3</v>
      </c>
      <c r="U66" s="136">
        <v>445.34999999999997</v>
      </c>
    </row>
    <row r="67" spans="1:21" x14ac:dyDescent="0.2">
      <c r="A67" s="109">
        <v>65</v>
      </c>
      <c r="B67" s="109" t="s">
        <v>125</v>
      </c>
      <c r="C67" s="109">
        <v>974</v>
      </c>
      <c r="D67" s="109"/>
      <c r="E67" s="109"/>
      <c r="F67" s="109">
        <v>44323</v>
      </c>
      <c r="G67" s="109" t="s">
        <v>324</v>
      </c>
      <c r="H67" s="109"/>
      <c r="I67" s="109" t="s">
        <v>335</v>
      </c>
      <c r="J67" s="109" t="s">
        <v>326</v>
      </c>
      <c r="K67" s="109" t="s">
        <v>336</v>
      </c>
      <c r="L67" s="109" t="s">
        <v>135</v>
      </c>
      <c r="M67" s="109"/>
      <c r="N67" s="139"/>
      <c r="O67" s="139" t="s">
        <v>93</v>
      </c>
      <c r="P67" s="139">
        <v>1</v>
      </c>
      <c r="Q67" s="109">
        <v>61.91</v>
      </c>
      <c r="R67" s="136">
        <v>7</v>
      </c>
      <c r="S67" s="136">
        <v>61.91</v>
      </c>
      <c r="T67" s="109">
        <v>7</v>
      </c>
      <c r="U67" s="136">
        <v>433.37</v>
      </c>
    </row>
    <row r="68" spans="1:21" x14ac:dyDescent="0.2">
      <c r="A68" s="109">
        <v>66</v>
      </c>
      <c r="B68" s="109" t="s">
        <v>125</v>
      </c>
      <c r="C68" s="109">
        <v>994</v>
      </c>
      <c r="D68" s="109"/>
      <c r="E68" s="109"/>
      <c r="F68" s="109">
        <v>44501</v>
      </c>
      <c r="G68" s="109" t="s">
        <v>337</v>
      </c>
      <c r="H68" s="109"/>
      <c r="I68" s="109" t="s">
        <v>338</v>
      </c>
      <c r="J68" s="109" t="s">
        <v>339</v>
      </c>
      <c r="K68" s="109" t="s">
        <v>340</v>
      </c>
      <c r="L68" s="109" t="s">
        <v>144</v>
      </c>
      <c r="M68" s="109"/>
      <c r="N68" s="139"/>
      <c r="O68" s="139" t="s">
        <v>93</v>
      </c>
      <c r="P68" s="139">
        <v>1</v>
      </c>
      <c r="Q68" s="109">
        <v>211.2</v>
      </c>
      <c r="R68" s="136">
        <v>2</v>
      </c>
      <c r="S68" s="136">
        <v>211.2</v>
      </c>
      <c r="T68" s="109">
        <v>2</v>
      </c>
      <c r="U68" s="136">
        <v>422.4</v>
      </c>
    </row>
    <row r="69" spans="1:21" x14ac:dyDescent="0.2">
      <c r="A69" s="109">
        <v>67</v>
      </c>
      <c r="B69" s="109" t="s">
        <v>125</v>
      </c>
      <c r="C69" s="109">
        <v>1010</v>
      </c>
      <c r="D69" s="109"/>
      <c r="E69" s="109"/>
      <c r="F69" s="109">
        <v>44530</v>
      </c>
      <c r="G69" s="109" t="s">
        <v>259</v>
      </c>
      <c r="H69" s="109"/>
      <c r="I69" s="109" t="s">
        <v>341</v>
      </c>
      <c r="J69" s="109" t="s">
        <v>211</v>
      </c>
      <c r="K69" s="109" t="s">
        <v>342</v>
      </c>
      <c r="L69" s="109" t="s">
        <v>144</v>
      </c>
      <c r="M69" s="109"/>
      <c r="N69" s="139"/>
      <c r="O69" s="139" t="s">
        <v>93</v>
      </c>
      <c r="P69" s="139">
        <v>1</v>
      </c>
      <c r="Q69" s="109">
        <v>137.97999999999999</v>
      </c>
      <c r="R69" s="136">
        <v>3</v>
      </c>
      <c r="S69" s="136">
        <v>137.97999999999999</v>
      </c>
      <c r="T69" s="109">
        <v>3</v>
      </c>
      <c r="U69" s="136">
        <v>413.93999999999994</v>
      </c>
    </row>
    <row r="70" spans="1:21" x14ac:dyDescent="0.2">
      <c r="A70" s="109">
        <v>68</v>
      </c>
      <c r="B70" s="109" t="s">
        <v>125</v>
      </c>
      <c r="C70" s="109">
        <v>1020</v>
      </c>
      <c r="D70" s="109"/>
      <c r="E70" s="109"/>
      <c r="F70" s="109">
        <v>44223</v>
      </c>
      <c r="G70" s="109" t="s">
        <v>181</v>
      </c>
      <c r="H70" s="109"/>
      <c r="I70" s="109" t="s">
        <v>343</v>
      </c>
      <c r="J70" s="109" t="s">
        <v>239</v>
      </c>
      <c r="K70" s="109" t="s">
        <v>344</v>
      </c>
      <c r="L70" s="109" t="s">
        <v>135</v>
      </c>
      <c r="M70" s="109"/>
      <c r="N70" s="139"/>
      <c r="O70" s="139" t="s">
        <v>93</v>
      </c>
      <c r="P70" s="139">
        <v>1</v>
      </c>
      <c r="Q70" s="109">
        <v>409.93</v>
      </c>
      <c r="R70" s="136">
        <v>1</v>
      </c>
      <c r="S70" s="136">
        <v>409.93</v>
      </c>
      <c r="T70" s="109">
        <v>1</v>
      </c>
      <c r="U70" s="136">
        <v>409.93</v>
      </c>
    </row>
    <row r="71" spans="1:21" x14ac:dyDescent="0.2">
      <c r="A71" s="109">
        <v>69</v>
      </c>
      <c r="B71" s="109" t="s">
        <v>125</v>
      </c>
      <c r="C71" s="109">
        <v>1025</v>
      </c>
      <c r="D71" s="109"/>
      <c r="E71" s="109"/>
      <c r="F71" s="109">
        <v>44371</v>
      </c>
      <c r="G71" s="109" t="s">
        <v>193</v>
      </c>
      <c r="H71" s="109"/>
      <c r="I71" s="109" t="s">
        <v>345</v>
      </c>
      <c r="J71" s="109" t="s">
        <v>195</v>
      </c>
      <c r="K71" s="109" t="s">
        <v>346</v>
      </c>
      <c r="L71" s="109" t="s">
        <v>135</v>
      </c>
      <c r="M71" s="109"/>
      <c r="N71" s="139"/>
      <c r="O71" s="139" t="s">
        <v>93</v>
      </c>
      <c r="P71" s="139">
        <v>1</v>
      </c>
      <c r="Q71" s="109">
        <v>408</v>
      </c>
      <c r="R71" s="136">
        <v>1</v>
      </c>
      <c r="S71" s="136">
        <v>408</v>
      </c>
      <c r="T71" s="109">
        <v>1</v>
      </c>
      <c r="U71" s="136">
        <v>408</v>
      </c>
    </row>
    <row r="72" spans="1:21" x14ac:dyDescent="0.2">
      <c r="A72" s="109">
        <v>70</v>
      </c>
      <c r="B72" s="109" t="s">
        <v>125</v>
      </c>
      <c r="C72" s="109">
        <v>1057</v>
      </c>
      <c r="D72" s="109"/>
      <c r="E72" s="109"/>
      <c r="F72" s="109">
        <v>44515</v>
      </c>
      <c r="G72" s="109" t="s">
        <v>347</v>
      </c>
      <c r="H72" s="109"/>
      <c r="I72" s="109" t="s">
        <v>348</v>
      </c>
      <c r="J72" s="109" t="s">
        <v>349</v>
      </c>
      <c r="K72" s="109" t="s">
        <v>350</v>
      </c>
      <c r="L72" s="109" t="s">
        <v>144</v>
      </c>
      <c r="M72" s="109"/>
      <c r="N72" s="139"/>
      <c r="O72" s="139" t="s">
        <v>93</v>
      </c>
      <c r="P72" s="139">
        <v>1</v>
      </c>
      <c r="Q72" s="109">
        <v>397.98</v>
      </c>
      <c r="R72" s="136">
        <v>1</v>
      </c>
      <c r="S72" s="136">
        <v>397.98</v>
      </c>
      <c r="T72" s="109">
        <v>1</v>
      </c>
      <c r="U72" s="136">
        <v>397.98</v>
      </c>
    </row>
    <row r="73" spans="1:21" x14ac:dyDescent="0.2">
      <c r="A73" s="109">
        <v>71</v>
      </c>
      <c r="B73" s="109" t="s">
        <v>125</v>
      </c>
      <c r="C73" s="109">
        <v>1113</v>
      </c>
      <c r="D73" s="109"/>
      <c r="E73" s="109"/>
      <c r="F73" s="109">
        <v>44501</v>
      </c>
      <c r="G73" s="109" t="s">
        <v>351</v>
      </c>
      <c r="H73" s="109"/>
      <c r="I73" s="109" t="s">
        <v>352</v>
      </c>
      <c r="J73" s="109" t="s">
        <v>353</v>
      </c>
      <c r="K73" s="109" t="s">
        <v>354</v>
      </c>
      <c r="L73" s="109" t="s">
        <v>144</v>
      </c>
      <c r="M73" s="109"/>
      <c r="N73" s="139"/>
      <c r="O73" s="139" t="s">
        <v>93</v>
      </c>
      <c r="P73" s="139">
        <v>1</v>
      </c>
      <c r="Q73" s="109">
        <v>36.96</v>
      </c>
      <c r="R73" s="136">
        <v>10</v>
      </c>
      <c r="S73" s="136">
        <v>36.96</v>
      </c>
      <c r="T73" s="109">
        <v>10</v>
      </c>
      <c r="U73" s="136">
        <v>369.6</v>
      </c>
    </row>
    <row r="74" spans="1:21" x14ac:dyDescent="0.2">
      <c r="A74" s="109">
        <v>72</v>
      </c>
      <c r="B74" s="109" t="s">
        <v>125</v>
      </c>
      <c r="C74" s="109">
        <v>1125</v>
      </c>
      <c r="D74" s="109"/>
      <c r="E74" s="109"/>
      <c r="F74" s="109">
        <v>44252</v>
      </c>
      <c r="G74" s="109" t="s">
        <v>193</v>
      </c>
      <c r="H74" s="109"/>
      <c r="I74" s="109" t="s">
        <v>355</v>
      </c>
      <c r="J74" s="109" t="s">
        <v>155</v>
      </c>
      <c r="K74" s="109" t="s">
        <v>356</v>
      </c>
      <c r="L74" s="109" t="s">
        <v>135</v>
      </c>
      <c r="M74" s="109"/>
      <c r="N74" s="139"/>
      <c r="O74" s="139" t="s">
        <v>93</v>
      </c>
      <c r="P74" s="139">
        <v>1</v>
      </c>
      <c r="Q74" s="109">
        <v>364.81</v>
      </c>
      <c r="R74" s="136">
        <v>1</v>
      </c>
      <c r="S74" s="136">
        <v>364.81</v>
      </c>
      <c r="T74" s="109">
        <v>1</v>
      </c>
      <c r="U74" s="136">
        <v>364.81</v>
      </c>
    </row>
    <row r="75" spans="1:21" x14ac:dyDescent="0.2">
      <c r="A75" s="109">
        <v>73</v>
      </c>
      <c r="B75" s="109" t="s">
        <v>125</v>
      </c>
      <c r="C75" s="109">
        <v>1128</v>
      </c>
      <c r="D75" s="109"/>
      <c r="E75" s="109"/>
      <c r="F75" s="109">
        <v>44531</v>
      </c>
      <c r="G75" s="109" t="s">
        <v>193</v>
      </c>
      <c r="H75" s="109"/>
      <c r="I75" s="109" t="s">
        <v>357</v>
      </c>
      <c r="J75" s="109" t="s">
        <v>193</v>
      </c>
      <c r="K75" s="109" t="s">
        <v>358</v>
      </c>
      <c r="L75" s="109" t="s">
        <v>144</v>
      </c>
      <c r="M75" s="109"/>
      <c r="N75" s="139"/>
      <c r="O75" s="139" t="s">
        <v>93</v>
      </c>
      <c r="P75" s="139">
        <v>1</v>
      </c>
      <c r="Q75" s="109">
        <v>91.2</v>
      </c>
      <c r="R75" s="136">
        <v>4</v>
      </c>
      <c r="S75" s="136">
        <v>91.2</v>
      </c>
      <c r="T75" s="109">
        <v>4</v>
      </c>
      <c r="U75" s="136">
        <v>364.8</v>
      </c>
    </row>
    <row r="76" spans="1:21" x14ac:dyDescent="0.2">
      <c r="A76" s="109">
        <v>74</v>
      </c>
      <c r="B76" s="109" t="s">
        <v>125</v>
      </c>
      <c r="C76" s="109">
        <v>1135</v>
      </c>
      <c r="D76" s="109"/>
      <c r="E76" s="109"/>
      <c r="F76" s="109">
        <v>44431</v>
      </c>
      <c r="G76" s="109" t="s">
        <v>136</v>
      </c>
      <c r="H76" s="109"/>
      <c r="I76" s="109" t="s">
        <v>359</v>
      </c>
      <c r="J76" s="109" t="s">
        <v>138</v>
      </c>
      <c r="K76" s="109" t="s">
        <v>360</v>
      </c>
      <c r="L76" s="109" t="s">
        <v>135</v>
      </c>
      <c r="M76" s="109"/>
      <c r="N76" s="139"/>
      <c r="O76" s="139" t="s">
        <v>93</v>
      </c>
      <c r="P76" s="139">
        <v>1</v>
      </c>
      <c r="Q76" s="109">
        <v>60.03</v>
      </c>
      <c r="R76" s="136">
        <v>6</v>
      </c>
      <c r="S76" s="136">
        <v>60.03</v>
      </c>
      <c r="T76" s="109">
        <v>6</v>
      </c>
      <c r="U76" s="136">
        <v>360.18</v>
      </c>
    </row>
    <row r="77" spans="1:21" x14ac:dyDescent="0.2">
      <c r="A77" s="109">
        <v>75</v>
      </c>
      <c r="B77" s="109" t="s">
        <v>125</v>
      </c>
      <c r="C77" s="109">
        <v>1143</v>
      </c>
      <c r="D77" s="109"/>
      <c r="E77" s="109"/>
      <c r="F77" s="109">
        <v>44298</v>
      </c>
      <c r="G77" s="109" t="s">
        <v>145</v>
      </c>
      <c r="H77" s="109"/>
      <c r="I77" s="109" t="s">
        <v>361</v>
      </c>
      <c r="J77" s="109" t="s">
        <v>362</v>
      </c>
      <c r="K77" s="109" t="s">
        <v>363</v>
      </c>
      <c r="L77" s="109" t="s">
        <v>135</v>
      </c>
      <c r="M77" s="109"/>
      <c r="N77" s="139"/>
      <c r="O77" s="139" t="s">
        <v>93</v>
      </c>
      <c r="P77" s="139">
        <v>1</v>
      </c>
      <c r="Q77" s="109">
        <v>89.96</v>
      </c>
      <c r="R77" s="136">
        <v>4</v>
      </c>
      <c r="S77" s="136">
        <v>89.96</v>
      </c>
      <c r="T77" s="109">
        <v>4</v>
      </c>
      <c r="U77" s="136">
        <v>359.84</v>
      </c>
    </row>
    <row r="78" spans="1:21" x14ac:dyDescent="0.2">
      <c r="A78" s="109">
        <v>76</v>
      </c>
      <c r="B78" s="109" t="s">
        <v>125</v>
      </c>
      <c r="C78" s="109">
        <v>1145</v>
      </c>
      <c r="D78" s="109"/>
      <c r="E78" s="109"/>
      <c r="F78" s="109">
        <v>44546</v>
      </c>
      <c r="G78" s="109" t="s">
        <v>259</v>
      </c>
      <c r="H78" s="109"/>
      <c r="I78" s="109" t="s">
        <v>364</v>
      </c>
      <c r="J78" s="109" t="s">
        <v>365</v>
      </c>
      <c r="K78" s="109" t="s">
        <v>366</v>
      </c>
      <c r="L78" s="109" t="s">
        <v>144</v>
      </c>
      <c r="M78" s="109"/>
      <c r="N78" s="139"/>
      <c r="O78" s="139" t="s">
        <v>93</v>
      </c>
      <c r="P78" s="139">
        <v>1</v>
      </c>
      <c r="Q78" s="109">
        <v>119.71</v>
      </c>
      <c r="R78" s="136">
        <v>3</v>
      </c>
      <c r="S78" s="136">
        <v>119.71</v>
      </c>
      <c r="T78" s="109">
        <v>3</v>
      </c>
      <c r="U78" s="136">
        <v>359.13</v>
      </c>
    </row>
    <row r="79" spans="1:21" x14ac:dyDescent="0.2">
      <c r="A79" s="109">
        <v>77</v>
      </c>
      <c r="B79" s="109" t="s">
        <v>125</v>
      </c>
      <c r="C79" s="109">
        <v>1151</v>
      </c>
      <c r="D79" s="109"/>
      <c r="E79" s="109"/>
      <c r="F79" s="109">
        <v>44502</v>
      </c>
      <c r="G79" s="109" t="s">
        <v>367</v>
      </c>
      <c r="H79" s="109"/>
      <c r="I79" s="109" t="s">
        <v>368</v>
      </c>
      <c r="J79" s="109" t="s">
        <v>369</v>
      </c>
      <c r="K79" s="109" t="s">
        <v>370</v>
      </c>
      <c r="L79" s="109" t="s">
        <v>130</v>
      </c>
      <c r="M79" s="109"/>
      <c r="N79" s="139"/>
      <c r="O79" s="139" t="s">
        <v>93</v>
      </c>
      <c r="P79" s="139">
        <v>1</v>
      </c>
      <c r="Q79" s="109">
        <v>178.57</v>
      </c>
      <c r="R79" s="136">
        <v>2</v>
      </c>
      <c r="S79" s="136">
        <v>178.57</v>
      </c>
      <c r="T79" s="109">
        <v>2</v>
      </c>
      <c r="U79" s="136">
        <v>357.14</v>
      </c>
    </row>
    <row r="80" spans="1:21" x14ac:dyDescent="0.2">
      <c r="A80" s="109">
        <v>78</v>
      </c>
      <c r="B80" s="109" t="s">
        <v>125</v>
      </c>
      <c r="C80" s="109">
        <v>1153</v>
      </c>
      <c r="D80" s="109"/>
      <c r="E80" s="109"/>
      <c r="F80" s="109">
        <v>44491</v>
      </c>
      <c r="G80" s="109" t="s">
        <v>259</v>
      </c>
      <c r="H80" s="109"/>
      <c r="I80" s="109" t="s">
        <v>371</v>
      </c>
      <c r="J80" s="109" t="s">
        <v>372</v>
      </c>
      <c r="K80" s="109" t="s">
        <v>373</v>
      </c>
      <c r="L80" s="109" t="s">
        <v>135</v>
      </c>
      <c r="M80" s="109"/>
      <c r="N80" s="139"/>
      <c r="O80" s="139" t="s">
        <v>93</v>
      </c>
      <c r="P80" s="139">
        <v>1</v>
      </c>
      <c r="Q80" s="109">
        <v>118.85</v>
      </c>
      <c r="R80" s="136">
        <v>3</v>
      </c>
      <c r="S80" s="136">
        <v>118.85</v>
      </c>
      <c r="T80" s="109">
        <v>3</v>
      </c>
      <c r="U80" s="136">
        <v>356.54999999999995</v>
      </c>
    </row>
    <row r="81" spans="1:21" x14ac:dyDescent="0.2">
      <c r="A81" s="109">
        <v>79</v>
      </c>
      <c r="B81" s="109" t="s">
        <v>125</v>
      </c>
      <c r="C81" s="109">
        <v>1156</v>
      </c>
      <c r="D81" s="109"/>
      <c r="E81" s="109"/>
      <c r="F81" s="109">
        <v>44228</v>
      </c>
      <c r="G81" s="109" t="s">
        <v>259</v>
      </c>
      <c r="H81" s="109"/>
      <c r="I81" s="109" t="s">
        <v>374</v>
      </c>
      <c r="J81" s="109" t="s">
        <v>333</v>
      </c>
      <c r="K81" s="109" t="s">
        <v>375</v>
      </c>
      <c r="L81" s="109" t="s">
        <v>135</v>
      </c>
      <c r="M81" s="109"/>
      <c r="N81" s="139"/>
      <c r="O81" s="139" t="s">
        <v>93</v>
      </c>
      <c r="P81" s="139">
        <v>1</v>
      </c>
      <c r="Q81" s="109">
        <v>177.19</v>
      </c>
      <c r="R81" s="136">
        <v>2</v>
      </c>
      <c r="S81" s="136">
        <v>177.19</v>
      </c>
      <c r="T81" s="109">
        <v>2</v>
      </c>
      <c r="U81" s="136">
        <v>354.38</v>
      </c>
    </row>
    <row r="82" spans="1:21" x14ac:dyDescent="0.2">
      <c r="A82" s="109">
        <v>80</v>
      </c>
      <c r="B82" s="109" t="s">
        <v>125</v>
      </c>
      <c r="C82" s="109">
        <v>1180</v>
      </c>
      <c r="D82" s="109"/>
      <c r="E82" s="109"/>
      <c r="F82" s="109">
        <v>44372</v>
      </c>
      <c r="G82" s="109" t="s">
        <v>376</v>
      </c>
      <c r="H82" s="109"/>
      <c r="I82" s="109" t="s">
        <v>377</v>
      </c>
      <c r="J82" s="109" t="s">
        <v>378</v>
      </c>
      <c r="K82" s="109" t="s">
        <v>379</v>
      </c>
      <c r="L82" s="109" t="s">
        <v>135</v>
      </c>
      <c r="M82" s="109"/>
      <c r="N82" s="139"/>
      <c r="O82" s="139" t="s">
        <v>93</v>
      </c>
      <c r="P82" s="139">
        <v>1</v>
      </c>
      <c r="Q82" s="109">
        <v>342.48</v>
      </c>
      <c r="R82" s="136">
        <v>1</v>
      </c>
      <c r="S82" s="136">
        <v>342.48</v>
      </c>
      <c r="T82" s="109">
        <v>1</v>
      </c>
      <c r="U82" s="136">
        <v>342.48</v>
      </c>
    </row>
    <row r="83" spans="1:21" x14ac:dyDescent="0.2">
      <c r="A83" s="109">
        <v>81</v>
      </c>
      <c r="B83" s="109" t="s">
        <v>125</v>
      </c>
      <c r="C83" s="109">
        <v>1181</v>
      </c>
      <c r="D83" s="109"/>
      <c r="E83" s="109"/>
      <c r="F83" s="109">
        <v>44504</v>
      </c>
      <c r="G83" s="109" t="s">
        <v>213</v>
      </c>
      <c r="H83" s="109"/>
      <c r="I83" s="109" t="s">
        <v>380</v>
      </c>
      <c r="J83" s="109" t="s">
        <v>179</v>
      </c>
      <c r="K83" s="109" t="s">
        <v>381</v>
      </c>
      <c r="L83" s="109" t="s">
        <v>144</v>
      </c>
      <c r="M83" s="109"/>
      <c r="N83" s="139"/>
      <c r="O83" s="139" t="s">
        <v>93</v>
      </c>
      <c r="P83" s="139">
        <v>1</v>
      </c>
      <c r="Q83" s="109">
        <v>56.83</v>
      </c>
      <c r="R83" s="136">
        <v>6</v>
      </c>
      <c r="S83" s="136">
        <v>56.83</v>
      </c>
      <c r="T83" s="109">
        <v>6</v>
      </c>
      <c r="U83" s="136">
        <v>340.98</v>
      </c>
    </row>
    <row r="84" spans="1:21" x14ac:dyDescent="0.2">
      <c r="A84" s="109">
        <v>82</v>
      </c>
      <c r="B84" s="109" t="s">
        <v>125</v>
      </c>
      <c r="C84" s="109">
        <v>1209</v>
      </c>
      <c r="D84" s="109"/>
      <c r="E84" s="109"/>
      <c r="F84" s="109">
        <v>44459</v>
      </c>
      <c r="G84" s="109" t="s">
        <v>163</v>
      </c>
      <c r="H84" s="109"/>
      <c r="I84" s="109" t="s">
        <v>382</v>
      </c>
      <c r="J84" s="109" t="s">
        <v>168</v>
      </c>
      <c r="K84" s="109" t="s">
        <v>383</v>
      </c>
      <c r="L84" s="109" t="s">
        <v>135</v>
      </c>
      <c r="M84" s="109"/>
      <c r="N84" s="139"/>
      <c r="O84" s="139" t="s">
        <v>93</v>
      </c>
      <c r="P84" s="139">
        <v>1</v>
      </c>
      <c r="Q84" s="109">
        <v>334.37</v>
      </c>
      <c r="R84" s="136">
        <v>1</v>
      </c>
      <c r="S84" s="136">
        <v>334.37</v>
      </c>
      <c r="T84" s="109">
        <v>1</v>
      </c>
      <c r="U84" s="136">
        <v>334.37</v>
      </c>
    </row>
    <row r="85" spans="1:21" x14ac:dyDescent="0.2">
      <c r="A85" s="109">
        <v>83</v>
      </c>
      <c r="B85" s="109" t="s">
        <v>125</v>
      </c>
      <c r="C85" s="109">
        <v>1221</v>
      </c>
      <c r="D85" s="109"/>
      <c r="E85" s="109"/>
      <c r="F85" s="109">
        <v>44547</v>
      </c>
      <c r="G85" s="109" t="s">
        <v>384</v>
      </c>
      <c r="H85" s="109"/>
      <c r="I85" s="109" t="s">
        <v>385</v>
      </c>
      <c r="J85" s="109" t="s">
        <v>386</v>
      </c>
      <c r="K85" s="109" t="s">
        <v>387</v>
      </c>
      <c r="L85" s="109" t="s">
        <v>130</v>
      </c>
      <c r="M85" s="109"/>
      <c r="N85" s="139"/>
      <c r="O85" s="139" t="s">
        <v>93</v>
      </c>
      <c r="P85" s="139">
        <v>1</v>
      </c>
      <c r="Q85" s="109">
        <v>164.16</v>
      </c>
      <c r="R85" s="136">
        <v>2</v>
      </c>
      <c r="S85" s="136">
        <v>164.16</v>
      </c>
      <c r="T85" s="109">
        <v>2</v>
      </c>
      <c r="U85" s="136">
        <v>328.32</v>
      </c>
    </row>
    <row r="86" spans="1:21" x14ac:dyDescent="0.2">
      <c r="A86" s="109">
        <v>84</v>
      </c>
      <c r="B86" s="109" t="s">
        <v>125</v>
      </c>
      <c r="C86" s="109">
        <v>1230</v>
      </c>
      <c r="D86" s="109"/>
      <c r="E86" s="109"/>
      <c r="F86" s="109">
        <v>44357</v>
      </c>
      <c r="G86" s="109" t="s">
        <v>388</v>
      </c>
      <c r="H86" s="109"/>
      <c r="I86" s="109" t="s">
        <v>389</v>
      </c>
      <c r="J86" s="109" t="s">
        <v>390</v>
      </c>
      <c r="K86" s="109" t="s">
        <v>391</v>
      </c>
      <c r="L86" s="109" t="s">
        <v>135</v>
      </c>
      <c r="M86" s="109"/>
      <c r="N86" s="139"/>
      <c r="O86" s="139" t="s">
        <v>93</v>
      </c>
      <c r="P86" s="139">
        <v>1</v>
      </c>
      <c r="Q86" s="109">
        <v>162.72999999999999</v>
      </c>
      <c r="R86" s="136">
        <v>2</v>
      </c>
      <c r="S86" s="136">
        <v>162.72999999999999</v>
      </c>
      <c r="T86" s="109">
        <v>2</v>
      </c>
      <c r="U86" s="136">
        <v>325.45999999999998</v>
      </c>
    </row>
    <row r="87" spans="1:21" x14ac:dyDescent="0.2">
      <c r="A87" s="109">
        <v>85</v>
      </c>
      <c r="B87" s="109" t="s">
        <v>125</v>
      </c>
      <c r="C87" s="109">
        <v>1234</v>
      </c>
      <c r="D87" s="109"/>
      <c r="E87" s="109"/>
      <c r="F87" s="109">
        <v>44522</v>
      </c>
      <c r="G87" s="109" t="s">
        <v>213</v>
      </c>
      <c r="H87" s="109"/>
      <c r="I87" s="109" t="s">
        <v>392</v>
      </c>
      <c r="J87" s="109" t="s">
        <v>393</v>
      </c>
      <c r="K87" s="109" t="s">
        <v>394</v>
      </c>
      <c r="L87" s="109" t="s">
        <v>144</v>
      </c>
      <c r="M87" s="109"/>
      <c r="N87" s="139"/>
      <c r="O87" s="139" t="s">
        <v>93</v>
      </c>
      <c r="P87" s="139">
        <v>1</v>
      </c>
      <c r="Q87" s="109">
        <v>53.77</v>
      </c>
      <c r="R87" s="136">
        <v>6</v>
      </c>
      <c r="S87" s="136">
        <v>53.77</v>
      </c>
      <c r="T87" s="109">
        <v>6</v>
      </c>
      <c r="U87" s="136">
        <v>322.62</v>
      </c>
    </row>
    <row r="88" spans="1:21" x14ac:dyDescent="0.2">
      <c r="A88" s="109">
        <v>86</v>
      </c>
      <c r="B88" s="109" t="s">
        <v>125</v>
      </c>
      <c r="C88" s="109">
        <v>1240</v>
      </c>
      <c r="D88" s="109"/>
      <c r="E88" s="109"/>
      <c r="F88" s="109">
        <v>44438</v>
      </c>
      <c r="G88" s="109" t="s">
        <v>395</v>
      </c>
      <c r="H88" s="109"/>
      <c r="I88" s="109" t="s">
        <v>396</v>
      </c>
      <c r="J88" s="109" t="s">
        <v>397</v>
      </c>
      <c r="K88" s="109" t="s">
        <v>398</v>
      </c>
      <c r="L88" s="109" t="s">
        <v>135</v>
      </c>
      <c r="M88" s="109"/>
      <c r="N88" s="139"/>
      <c r="O88" s="139" t="s">
        <v>93</v>
      </c>
      <c r="P88" s="139">
        <v>1</v>
      </c>
      <c r="Q88" s="109">
        <v>32.15</v>
      </c>
      <c r="R88" s="136">
        <v>10</v>
      </c>
      <c r="S88" s="136">
        <v>32.15</v>
      </c>
      <c r="T88" s="109">
        <v>10</v>
      </c>
      <c r="U88" s="136">
        <v>321.5</v>
      </c>
    </row>
    <row r="89" spans="1:21" x14ac:dyDescent="0.2">
      <c r="A89" s="109">
        <v>87</v>
      </c>
      <c r="B89" s="109" t="s">
        <v>125</v>
      </c>
      <c r="C89" s="109">
        <v>1269</v>
      </c>
      <c r="D89" s="109"/>
      <c r="E89" s="109"/>
      <c r="F89" s="109">
        <v>44404</v>
      </c>
      <c r="G89" s="109" t="s">
        <v>399</v>
      </c>
      <c r="H89" s="109"/>
      <c r="I89" s="109" t="s">
        <v>400</v>
      </c>
      <c r="J89" s="109" t="s">
        <v>401</v>
      </c>
      <c r="K89" s="109" t="s">
        <v>402</v>
      </c>
      <c r="L89" s="109" t="s">
        <v>135</v>
      </c>
      <c r="M89" s="109"/>
      <c r="N89" s="139"/>
      <c r="O89" s="139" t="s">
        <v>93</v>
      </c>
      <c r="P89" s="139">
        <v>1</v>
      </c>
      <c r="Q89" s="109">
        <v>6.24</v>
      </c>
      <c r="R89" s="136">
        <v>50</v>
      </c>
      <c r="S89" s="136">
        <v>6.24</v>
      </c>
      <c r="T89" s="109">
        <v>50</v>
      </c>
      <c r="U89" s="136">
        <v>312</v>
      </c>
    </row>
    <row r="90" spans="1:21" x14ac:dyDescent="0.2">
      <c r="A90" s="109">
        <v>88</v>
      </c>
      <c r="B90" s="109" t="s">
        <v>125</v>
      </c>
      <c r="C90" s="109">
        <v>1280</v>
      </c>
      <c r="D90" s="109"/>
      <c r="E90" s="109"/>
      <c r="F90" s="109">
        <v>44419</v>
      </c>
      <c r="G90" s="109" t="s">
        <v>136</v>
      </c>
      <c r="H90" s="109"/>
      <c r="I90" s="109" t="s">
        <v>403</v>
      </c>
      <c r="J90" s="109" t="s">
        <v>138</v>
      </c>
      <c r="K90" s="109" t="s">
        <v>404</v>
      </c>
      <c r="L90" s="109" t="s">
        <v>135</v>
      </c>
      <c r="M90" s="109"/>
      <c r="N90" s="139"/>
      <c r="O90" s="139" t="s">
        <v>93</v>
      </c>
      <c r="P90" s="139">
        <v>1</v>
      </c>
      <c r="Q90" s="109">
        <v>30.85</v>
      </c>
      <c r="R90" s="136">
        <v>10</v>
      </c>
      <c r="S90" s="136">
        <v>30.85</v>
      </c>
      <c r="T90" s="109">
        <v>10</v>
      </c>
      <c r="U90" s="136">
        <v>308.5</v>
      </c>
    </row>
    <row r="91" spans="1:21" x14ac:dyDescent="0.2">
      <c r="A91" s="109">
        <v>89</v>
      </c>
      <c r="B91" s="109" t="s">
        <v>125</v>
      </c>
      <c r="C91" s="109">
        <v>1289</v>
      </c>
      <c r="D91" s="109"/>
      <c r="E91" s="109"/>
      <c r="F91" s="109">
        <v>44476</v>
      </c>
      <c r="G91" s="109" t="s">
        <v>405</v>
      </c>
      <c r="H91" s="109"/>
      <c r="I91" s="109" t="s">
        <v>406</v>
      </c>
      <c r="J91" s="109" t="s">
        <v>407</v>
      </c>
      <c r="K91" s="109" t="s">
        <v>408</v>
      </c>
      <c r="L91" s="109" t="s">
        <v>144</v>
      </c>
      <c r="M91" s="109"/>
      <c r="N91" s="139"/>
      <c r="O91" s="139" t="s">
        <v>93</v>
      </c>
      <c r="P91" s="139">
        <v>1</v>
      </c>
      <c r="Q91" s="109">
        <v>76.61</v>
      </c>
      <c r="R91" s="136">
        <v>4</v>
      </c>
      <c r="S91" s="136">
        <v>76.61</v>
      </c>
      <c r="T91" s="109">
        <v>4</v>
      </c>
      <c r="U91" s="136">
        <v>306.44</v>
      </c>
    </row>
    <row r="92" spans="1:21" x14ac:dyDescent="0.2">
      <c r="A92" s="109">
        <v>90</v>
      </c>
      <c r="B92" s="109" t="s">
        <v>125</v>
      </c>
      <c r="C92" s="109">
        <v>1298</v>
      </c>
      <c r="D92" s="109"/>
      <c r="E92" s="109"/>
      <c r="F92" s="109">
        <v>44209</v>
      </c>
      <c r="G92" s="109" t="s">
        <v>234</v>
      </c>
      <c r="H92" s="109"/>
      <c r="I92" s="109" t="s">
        <v>409</v>
      </c>
      <c r="J92" s="109" t="s">
        <v>236</v>
      </c>
      <c r="K92" s="109" t="s">
        <v>410</v>
      </c>
      <c r="L92" s="109" t="s">
        <v>135</v>
      </c>
      <c r="M92" s="109"/>
      <c r="N92" s="139"/>
      <c r="O92" s="139" t="s">
        <v>93</v>
      </c>
      <c r="P92" s="139">
        <v>1</v>
      </c>
      <c r="Q92" s="109">
        <v>302.41000000000003</v>
      </c>
      <c r="R92" s="136">
        <v>1</v>
      </c>
      <c r="S92" s="136">
        <v>302.41000000000003</v>
      </c>
      <c r="T92" s="109">
        <v>1</v>
      </c>
      <c r="U92" s="136">
        <v>302.41000000000003</v>
      </c>
    </row>
    <row r="93" spans="1:21" x14ac:dyDescent="0.2">
      <c r="A93" s="109">
        <v>91</v>
      </c>
      <c r="B93" s="109" t="s">
        <v>125</v>
      </c>
      <c r="C93" s="109">
        <v>1302</v>
      </c>
      <c r="D93" s="109"/>
      <c r="E93" s="109"/>
      <c r="F93" s="109">
        <v>44223</v>
      </c>
      <c r="G93" s="109" t="s">
        <v>145</v>
      </c>
      <c r="H93" s="109"/>
      <c r="I93" s="109" t="s">
        <v>411</v>
      </c>
      <c r="J93" s="109" t="s">
        <v>412</v>
      </c>
      <c r="K93" s="109" t="s">
        <v>413</v>
      </c>
      <c r="L93" s="109" t="s">
        <v>135</v>
      </c>
      <c r="M93" s="109"/>
      <c r="N93" s="139"/>
      <c r="O93" s="139" t="s">
        <v>93</v>
      </c>
      <c r="P93" s="139">
        <v>1</v>
      </c>
      <c r="Q93" s="109">
        <v>18.89</v>
      </c>
      <c r="R93" s="136">
        <v>16</v>
      </c>
      <c r="S93" s="136">
        <v>18.89</v>
      </c>
      <c r="T93" s="109">
        <v>16</v>
      </c>
      <c r="U93" s="136">
        <v>302.24</v>
      </c>
    </row>
    <row r="94" spans="1:21" x14ac:dyDescent="0.2">
      <c r="A94" s="109">
        <v>92</v>
      </c>
      <c r="B94" s="109" t="s">
        <v>125</v>
      </c>
      <c r="C94" s="109">
        <v>1314</v>
      </c>
      <c r="D94" s="109"/>
      <c r="E94" s="109"/>
      <c r="F94" s="109">
        <v>44505</v>
      </c>
      <c r="G94" s="109" t="s">
        <v>140</v>
      </c>
      <c r="H94" s="109"/>
      <c r="I94" s="109" t="s">
        <v>414</v>
      </c>
      <c r="J94" s="109" t="s">
        <v>415</v>
      </c>
      <c r="K94" s="109" t="s">
        <v>416</v>
      </c>
      <c r="L94" s="109" t="s">
        <v>144</v>
      </c>
      <c r="M94" s="109"/>
      <c r="N94" s="139"/>
      <c r="O94" s="139" t="s">
        <v>93</v>
      </c>
      <c r="P94" s="139">
        <v>1</v>
      </c>
      <c r="Q94" s="109">
        <v>29.72</v>
      </c>
      <c r="R94" s="136">
        <v>10</v>
      </c>
      <c r="S94" s="136">
        <v>29.72</v>
      </c>
      <c r="T94" s="109">
        <v>10</v>
      </c>
      <c r="U94" s="136">
        <v>297.2</v>
      </c>
    </row>
    <row r="95" spans="1:21" x14ac:dyDescent="0.2">
      <c r="A95" s="109">
        <v>93</v>
      </c>
      <c r="B95" s="109" t="s">
        <v>125</v>
      </c>
      <c r="C95" s="109">
        <v>1315</v>
      </c>
      <c r="D95" s="109"/>
      <c r="E95" s="109"/>
      <c r="F95" s="109">
        <v>44217</v>
      </c>
      <c r="G95" s="109" t="s">
        <v>417</v>
      </c>
      <c r="H95" s="109"/>
      <c r="I95" s="109" t="s">
        <v>418</v>
      </c>
      <c r="J95" s="109" t="s">
        <v>419</v>
      </c>
      <c r="K95" s="109" t="s">
        <v>420</v>
      </c>
      <c r="L95" s="109" t="s">
        <v>135</v>
      </c>
      <c r="M95" s="109"/>
      <c r="N95" s="139"/>
      <c r="O95" s="139" t="s">
        <v>93</v>
      </c>
      <c r="P95" s="139">
        <v>1</v>
      </c>
      <c r="Q95" s="109">
        <v>296.89</v>
      </c>
      <c r="R95" s="136">
        <v>1</v>
      </c>
      <c r="S95" s="136">
        <v>296.89</v>
      </c>
      <c r="T95" s="109">
        <v>1</v>
      </c>
      <c r="U95" s="136">
        <v>296.89</v>
      </c>
    </row>
    <row r="96" spans="1:21" x14ac:dyDescent="0.2">
      <c r="A96" s="109">
        <v>94</v>
      </c>
      <c r="B96" s="109" t="s">
        <v>125</v>
      </c>
      <c r="C96" s="109">
        <v>1321</v>
      </c>
      <c r="D96" s="109"/>
      <c r="E96" s="109"/>
      <c r="F96" s="109">
        <v>44474</v>
      </c>
      <c r="G96" s="109" t="s">
        <v>181</v>
      </c>
      <c r="H96" s="109"/>
      <c r="I96" s="109" t="s">
        <v>421</v>
      </c>
      <c r="J96" s="109" t="s">
        <v>422</v>
      </c>
      <c r="K96" s="109" t="s">
        <v>423</v>
      </c>
      <c r="L96" s="109" t="s">
        <v>130</v>
      </c>
      <c r="M96" s="109"/>
      <c r="N96" s="139"/>
      <c r="O96" s="139" t="s">
        <v>93</v>
      </c>
      <c r="P96" s="139">
        <v>1</v>
      </c>
      <c r="Q96" s="109">
        <v>294.72000000000003</v>
      </c>
      <c r="R96" s="136">
        <v>1</v>
      </c>
      <c r="S96" s="136">
        <v>294.72000000000003</v>
      </c>
      <c r="T96" s="109">
        <v>1</v>
      </c>
      <c r="U96" s="136">
        <v>294.72000000000003</v>
      </c>
    </row>
    <row r="97" spans="1:21" x14ac:dyDescent="0.2">
      <c r="A97" s="109">
        <v>95</v>
      </c>
      <c r="B97" s="109" t="s">
        <v>125</v>
      </c>
      <c r="C97" s="109">
        <v>1368</v>
      </c>
      <c r="D97" s="109"/>
      <c r="E97" s="109"/>
      <c r="F97" s="109">
        <v>44207</v>
      </c>
      <c r="G97" s="109" t="s">
        <v>424</v>
      </c>
      <c r="H97" s="109"/>
      <c r="I97" s="109" t="s">
        <v>425</v>
      </c>
      <c r="J97" s="109" t="s">
        <v>426</v>
      </c>
      <c r="K97" s="109" t="s">
        <v>427</v>
      </c>
      <c r="L97" s="109" t="s">
        <v>135</v>
      </c>
      <c r="M97" s="109"/>
      <c r="N97" s="139"/>
      <c r="O97" s="139" t="s">
        <v>93</v>
      </c>
      <c r="P97" s="139">
        <v>1</v>
      </c>
      <c r="Q97" s="109">
        <v>27.69</v>
      </c>
      <c r="R97" s="136">
        <v>10</v>
      </c>
      <c r="S97" s="136">
        <v>27.69</v>
      </c>
      <c r="T97" s="109">
        <v>10</v>
      </c>
      <c r="U97" s="136">
        <v>276.90000000000003</v>
      </c>
    </row>
    <row r="98" spans="1:21" x14ac:dyDescent="0.2">
      <c r="A98" s="109">
        <v>96</v>
      </c>
      <c r="B98" s="109" t="s">
        <v>125</v>
      </c>
      <c r="C98" s="109">
        <v>1381</v>
      </c>
      <c r="D98" s="109"/>
      <c r="E98" s="109"/>
      <c r="F98" s="109">
        <v>44487</v>
      </c>
      <c r="G98" s="109" t="s">
        <v>428</v>
      </c>
      <c r="H98" s="109"/>
      <c r="I98" s="109" t="s">
        <v>429</v>
      </c>
      <c r="J98" s="109" t="s">
        <v>430</v>
      </c>
      <c r="K98" s="109" t="s">
        <v>431</v>
      </c>
      <c r="L98" s="109" t="s">
        <v>130</v>
      </c>
      <c r="M98" s="109"/>
      <c r="N98" s="139"/>
      <c r="O98" s="139" t="s">
        <v>432</v>
      </c>
      <c r="P98" s="139">
        <v>1</v>
      </c>
      <c r="Q98" s="109">
        <v>0.56000000000000005</v>
      </c>
      <c r="R98" s="136">
        <v>500</v>
      </c>
      <c r="S98" s="136">
        <v>0.56000000000000005</v>
      </c>
      <c r="T98" s="109">
        <v>500</v>
      </c>
      <c r="U98" s="136">
        <v>280</v>
      </c>
    </row>
    <row r="99" spans="1:21" x14ac:dyDescent="0.2">
      <c r="A99" s="109">
        <v>97</v>
      </c>
      <c r="B99" s="109" t="s">
        <v>125</v>
      </c>
      <c r="C99" s="109">
        <v>1399</v>
      </c>
      <c r="D99" s="109"/>
      <c r="E99" s="109"/>
      <c r="F99" s="109">
        <v>44202</v>
      </c>
      <c r="G99" s="109" t="s">
        <v>433</v>
      </c>
      <c r="H99" s="109"/>
      <c r="I99" s="109" t="s">
        <v>434</v>
      </c>
      <c r="J99" s="109" t="s">
        <v>435</v>
      </c>
      <c r="K99" s="109" t="s">
        <v>436</v>
      </c>
      <c r="L99" s="109" t="s">
        <v>135</v>
      </c>
      <c r="M99" s="109"/>
      <c r="N99" s="139"/>
      <c r="O99" s="139" t="s">
        <v>93</v>
      </c>
      <c r="P99" s="139">
        <v>1</v>
      </c>
      <c r="Q99" s="109">
        <v>267.73</v>
      </c>
      <c r="R99" s="136">
        <v>1</v>
      </c>
      <c r="S99" s="136">
        <v>267.73</v>
      </c>
      <c r="T99" s="109">
        <v>1</v>
      </c>
      <c r="U99" s="136">
        <v>267.73</v>
      </c>
    </row>
    <row r="100" spans="1:21" x14ac:dyDescent="0.2">
      <c r="A100" s="109">
        <v>98</v>
      </c>
      <c r="B100" s="109" t="s">
        <v>125</v>
      </c>
      <c r="C100" s="109">
        <v>1410</v>
      </c>
      <c r="D100" s="109"/>
      <c r="E100" s="109"/>
      <c r="F100" s="109">
        <v>44280</v>
      </c>
      <c r="G100" s="109" t="s">
        <v>193</v>
      </c>
      <c r="H100" s="109"/>
      <c r="I100" s="109" t="s">
        <v>437</v>
      </c>
      <c r="J100" s="109" t="s">
        <v>438</v>
      </c>
      <c r="K100" s="109" t="s">
        <v>439</v>
      </c>
      <c r="L100" s="109" t="s">
        <v>135</v>
      </c>
      <c r="M100" s="109"/>
      <c r="N100" s="139"/>
      <c r="O100" s="139" t="s">
        <v>93</v>
      </c>
      <c r="P100" s="139">
        <v>1</v>
      </c>
      <c r="Q100" s="109">
        <v>264</v>
      </c>
      <c r="R100" s="136">
        <v>1</v>
      </c>
      <c r="S100" s="136">
        <v>264</v>
      </c>
      <c r="T100" s="109">
        <v>1</v>
      </c>
      <c r="U100" s="136">
        <v>264</v>
      </c>
    </row>
    <row r="101" spans="1:21" x14ac:dyDescent="0.2">
      <c r="A101" s="109">
        <v>99</v>
      </c>
      <c r="B101" s="109" t="s">
        <v>125</v>
      </c>
      <c r="C101" s="109">
        <v>1414</v>
      </c>
      <c r="D101" s="109"/>
      <c r="E101" s="109"/>
      <c r="F101" s="109">
        <v>44431</v>
      </c>
      <c r="G101" s="109" t="s">
        <v>136</v>
      </c>
      <c r="H101" s="109"/>
      <c r="I101" s="109" t="s">
        <v>440</v>
      </c>
      <c r="J101" s="109" t="s">
        <v>138</v>
      </c>
      <c r="K101" s="109" t="s">
        <v>441</v>
      </c>
      <c r="L101" s="109" t="s">
        <v>135</v>
      </c>
      <c r="M101" s="109"/>
      <c r="N101" s="139"/>
      <c r="O101" s="139" t="s">
        <v>93</v>
      </c>
      <c r="P101" s="139">
        <v>1</v>
      </c>
      <c r="Q101" s="109">
        <v>43.77</v>
      </c>
      <c r="R101" s="136">
        <v>6</v>
      </c>
      <c r="S101" s="136">
        <v>43.77</v>
      </c>
      <c r="T101" s="109">
        <v>6</v>
      </c>
      <c r="U101" s="136">
        <v>262.62</v>
      </c>
    </row>
    <row r="102" spans="1:21" x14ac:dyDescent="0.2">
      <c r="A102" s="109">
        <v>100</v>
      </c>
      <c r="B102" s="109" t="s">
        <v>125</v>
      </c>
      <c r="C102" s="109">
        <v>1421</v>
      </c>
      <c r="D102" s="109"/>
      <c r="E102" s="109"/>
      <c r="F102" s="109">
        <v>44483</v>
      </c>
      <c r="G102" s="109" t="s">
        <v>442</v>
      </c>
      <c r="H102" s="109"/>
      <c r="I102" s="109" t="s">
        <v>443</v>
      </c>
      <c r="J102" s="109" t="s">
        <v>444</v>
      </c>
      <c r="K102" s="109" t="s">
        <v>445</v>
      </c>
      <c r="L102" s="109" t="s">
        <v>144</v>
      </c>
      <c r="M102" s="109"/>
      <c r="N102" s="139"/>
      <c r="O102" s="139" t="s">
        <v>93</v>
      </c>
      <c r="P102" s="139">
        <v>1</v>
      </c>
      <c r="Q102" s="109">
        <v>260.64999999999998</v>
      </c>
      <c r="R102" s="136">
        <v>1</v>
      </c>
      <c r="S102" s="136">
        <v>260.64999999999998</v>
      </c>
      <c r="T102" s="109">
        <v>1</v>
      </c>
      <c r="U102" s="136">
        <v>260.64999999999998</v>
      </c>
    </row>
    <row r="103" spans="1:21" x14ac:dyDescent="0.2">
      <c r="A103" s="109">
        <v>101</v>
      </c>
      <c r="B103" s="109" t="s">
        <v>125</v>
      </c>
      <c r="C103" s="109">
        <v>1432</v>
      </c>
      <c r="D103" s="109"/>
      <c r="E103" s="109"/>
      <c r="F103" s="109">
        <v>44200</v>
      </c>
      <c r="G103" s="109" t="s">
        <v>446</v>
      </c>
      <c r="H103" s="109"/>
      <c r="I103" s="109" t="s">
        <v>447</v>
      </c>
      <c r="J103" s="109" t="s">
        <v>448</v>
      </c>
      <c r="K103" s="109" t="s">
        <v>449</v>
      </c>
      <c r="L103" s="109" t="s">
        <v>135</v>
      </c>
      <c r="M103" s="109"/>
      <c r="N103" s="139"/>
      <c r="O103" s="139" t="s">
        <v>93</v>
      </c>
      <c r="P103" s="139">
        <v>1</v>
      </c>
      <c r="Q103" s="109">
        <v>129.51</v>
      </c>
      <c r="R103" s="136">
        <v>2</v>
      </c>
      <c r="S103" s="136">
        <v>129.51</v>
      </c>
      <c r="T103" s="109">
        <v>2</v>
      </c>
      <c r="U103" s="136">
        <v>259.02</v>
      </c>
    </row>
    <row r="104" spans="1:21" x14ac:dyDescent="0.2">
      <c r="A104" s="109">
        <v>102</v>
      </c>
      <c r="B104" s="109" t="s">
        <v>125</v>
      </c>
      <c r="C104" s="109">
        <v>1433</v>
      </c>
      <c r="D104" s="109"/>
      <c r="E104" s="109"/>
      <c r="F104" s="109">
        <v>44200</v>
      </c>
      <c r="G104" s="109" t="s">
        <v>446</v>
      </c>
      <c r="H104" s="109"/>
      <c r="I104" s="109" t="s">
        <v>450</v>
      </c>
      <c r="J104" s="109" t="s">
        <v>448</v>
      </c>
      <c r="K104" s="109" t="s">
        <v>451</v>
      </c>
      <c r="L104" s="109" t="s">
        <v>135</v>
      </c>
      <c r="M104" s="109"/>
      <c r="N104" s="139"/>
      <c r="O104" s="139" t="s">
        <v>93</v>
      </c>
      <c r="P104" s="139">
        <v>1</v>
      </c>
      <c r="Q104" s="109">
        <v>129.51</v>
      </c>
      <c r="R104" s="136">
        <v>2</v>
      </c>
      <c r="S104" s="136">
        <v>129.51</v>
      </c>
      <c r="T104" s="109">
        <v>2</v>
      </c>
      <c r="U104" s="136">
        <v>259.02</v>
      </c>
    </row>
    <row r="105" spans="1:21" x14ac:dyDescent="0.2">
      <c r="A105" s="109">
        <v>103</v>
      </c>
      <c r="B105" s="109" t="s">
        <v>125</v>
      </c>
      <c r="C105" s="109">
        <v>1480</v>
      </c>
      <c r="D105" s="109"/>
      <c r="E105" s="109"/>
      <c r="F105" s="109">
        <v>44495</v>
      </c>
      <c r="G105" s="109" t="s">
        <v>213</v>
      </c>
      <c r="H105" s="109"/>
      <c r="I105" s="109" t="s">
        <v>452</v>
      </c>
      <c r="J105" s="109" t="s">
        <v>453</v>
      </c>
      <c r="K105" s="109" t="s">
        <v>454</v>
      </c>
      <c r="L105" s="109" t="s">
        <v>144</v>
      </c>
      <c r="M105" s="109"/>
      <c r="N105" s="139"/>
      <c r="O105" s="139" t="s">
        <v>93</v>
      </c>
      <c r="P105" s="139">
        <v>1</v>
      </c>
      <c r="Q105" s="109">
        <v>40.4</v>
      </c>
      <c r="R105" s="136">
        <v>6</v>
      </c>
      <c r="S105" s="136">
        <v>40.4</v>
      </c>
      <c r="T105" s="109">
        <v>6</v>
      </c>
      <c r="U105" s="136">
        <v>242.39999999999998</v>
      </c>
    </row>
    <row r="106" spans="1:21" x14ac:dyDescent="0.2">
      <c r="A106" s="109">
        <v>104</v>
      </c>
      <c r="B106" s="109" t="s">
        <v>125</v>
      </c>
      <c r="C106" s="109">
        <v>1488</v>
      </c>
      <c r="D106" s="109"/>
      <c r="E106" s="109"/>
      <c r="F106" s="109">
        <v>44320</v>
      </c>
      <c r="G106" s="109" t="s">
        <v>455</v>
      </c>
      <c r="H106" s="109"/>
      <c r="I106" s="109" t="s">
        <v>456</v>
      </c>
      <c r="J106" s="109" t="s">
        <v>326</v>
      </c>
      <c r="K106" s="109" t="s">
        <v>457</v>
      </c>
      <c r="L106" s="109" t="s">
        <v>135</v>
      </c>
      <c r="M106" s="109"/>
      <c r="N106" s="139"/>
      <c r="O106" s="139" t="s">
        <v>93</v>
      </c>
      <c r="P106" s="139">
        <v>1</v>
      </c>
      <c r="Q106" s="109">
        <v>120.01</v>
      </c>
      <c r="R106" s="136">
        <v>2</v>
      </c>
      <c r="S106" s="136">
        <v>120.01</v>
      </c>
      <c r="T106" s="109">
        <v>2</v>
      </c>
      <c r="U106" s="136">
        <v>240.02</v>
      </c>
    </row>
    <row r="107" spans="1:21" x14ac:dyDescent="0.2">
      <c r="A107" s="109">
        <v>105</v>
      </c>
      <c r="B107" s="109" t="s">
        <v>125</v>
      </c>
      <c r="C107" s="109">
        <v>1499</v>
      </c>
      <c r="D107" s="109"/>
      <c r="E107" s="109"/>
      <c r="F107" s="109">
        <v>44522</v>
      </c>
      <c r="G107" s="109" t="s">
        <v>270</v>
      </c>
      <c r="H107" s="109"/>
      <c r="I107" s="109" t="s">
        <v>458</v>
      </c>
      <c r="J107" s="109" t="s">
        <v>272</v>
      </c>
      <c r="K107" s="109" t="s">
        <v>459</v>
      </c>
      <c r="L107" s="109" t="s">
        <v>144</v>
      </c>
      <c r="M107" s="109"/>
      <c r="N107" s="139"/>
      <c r="O107" s="139" t="s">
        <v>93</v>
      </c>
      <c r="P107" s="139">
        <v>1</v>
      </c>
      <c r="Q107" s="109">
        <v>117.99</v>
      </c>
      <c r="R107" s="136">
        <v>2</v>
      </c>
      <c r="S107" s="136">
        <v>117.99</v>
      </c>
      <c r="T107" s="109">
        <v>2</v>
      </c>
      <c r="U107" s="136">
        <v>235.98</v>
      </c>
    </row>
    <row r="108" spans="1:21" x14ac:dyDescent="0.2">
      <c r="A108" s="109">
        <v>106</v>
      </c>
      <c r="B108" s="109" t="s">
        <v>125</v>
      </c>
      <c r="C108" s="109">
        <v>1501</v>
      </c>
      <c r="D108" s="109"/>
      <c r="E108" s="109"/>
      <c r="F108" s="109">
        <v>44539</v>
      </c>
      <c r="G108" s="109" t="s">
        <v>185</v>
      </c>
      <c r="H108" s="109"/>
      <c r="I108" s="109" t="s">
        <v>460</v>
      </c>
      <c r="J108" s="109" t="s">
        <v>187</v>
      </c>
      <c r="K108" s="109" t="s">
        <v>461</v>
      </c>
      <c r="L108" s="109" t="s">
        <v>130</v>
      </c>
      <c r="M108" s="109"/>
      <c r="N108" s="139"/>
      <c r="O108" s="139" t="s">
        <v>93</v>
      </c>
      <c r="P108" s="139">
        <v>1</v>
      </c>
      <c r="Q108" s="109">
        <v>23.52</v>
      </c>
      <c r="R108" s="136">
        <v>10</v>
      </c>
      <c r="S108" s="136">
        <v>23.52</v>
      </c>
      <c r="T108" s="109">
        <v>10</v>
      </c>
      <c r="U108" s="136">
        <v>235.2</v>
      </c>
    </row>
    <row r="109" spans="1:21" x14ac:dyDescent="0.2">
      <c r="A109" s="109">
        <v>107</v>
      </c>
      <c r="B109" s="109" t="s">
        <v>125</v>
      </c>
      <c r="C109" s="109">
        <v>1513</v>
      </c>
      <c r="D109" s="109"/>
      <c r="E109" s="109"/>
      <c r="F109" s="109">
        <v>44480</v>
      </c>
      <c r="G109" s="109" t="s">
        <v>193</v>
      </c>
      <c r="H109" s="109"/>
      <c r="I109" s="109" t="s">
        <v>462</v>
      </c>
      <c r="J109" s="109" t="s">
        <v>179</v>
      </c>
      <c r="K109" s="109" t="s">
        <v>463</v>
      </c>
      <c r="L109" s="109" t="s">
        <v>144</v>
      </c>
      <c r="M109" s="109"/>
      <c r="N109" s="139"/>
      <c r="O109" s="139" t="s">
        <v>93</v>
      </c>
      <c r="P109" s="139">
        <v>1</v>
      </c>
      <c r="Q109" s="109">
        <v>76.81</v>
      </c>
      <c r="R109" s="136">
        <v>3</v>
      </c>
      <c r="S109" s="136">
        <v>76.81</v>
      </c>
      <c r="T109" s="109">
        <v>3</v>
      </c>
      <c r="U109" s="136">
        <v>230.43</v>
      </c>
    </row>
    <row r="110" spans="1:21" x14ac:dyDescent="0.2">
      <c r="A110" s="109">
        <v>108</v>
      </c>
      <c r="B110" s="109" t="s">
        <v>125</v>
      </c>
      <c r="C110" s="109">
        <v>1521</v>
      </c>
      <c r="D110" s="109"/>
      <c r="E110" s="109"/>
      <c r="F110" s="109">
        <v>44231</v>
      </c>
      <c r="G110" s="109" t="s">
        <v>428</v>
      </c>
      <c r="H110" s="109"/>
      <c r="I110" s="109" t="s">
        <v>464</v>
      </c>
      <c r="J110" s="109" t="s">
        <v>465</v>
      </c>
      <c r="K110" s="109" t="s">
        <v>466</v>
      </c>
      <c r="L110" s="109" t="s">
        <v>135</v>
      </c>
      <c r="M110" s="109"/>
      <c r="N110" s="139"/>
      <c r="O110" s="139" t="s">
        <v>93</v>
      </c>
      <c r="P110" s="139">
        <v>1</v>
      </c>
      <c r="Q110" s="109">
        <v>22.96</v>
      </c>
      <c r="R110" s="136">
        <v>10</v>
      </c>
      <c r="S110" s="136">
        <v>22.96</v>
      </c>
      <c r="T110" s="109">
        <v>10</v>
      </c>
      <c r="U110" s="136">
        <v>229.60000000000002</v>
      </c>
    </row>
    <row r="111" spans="1:21" x14ac:dyDescent="0.2">
      <c r="A111" s="109">
        <v>109</v>
      </c>
      <c r="B111" s="109" t="s">
        <v>125</v>
      </c>
      <c r="C111" s="109">
        <v>1530</v>
      </c>
      <c r="D111" s="109"/>
      <c r="E111" s="109"/>
      <c r="F111" s="109">
        <v>44509</v>
      </c>
      <c r="G111" s="109" t="s">
        <v>140</v>
      </c>
      <c r="H111" s="109"/>
      <c r="I111" s="109" t="s">
        <v>467</v>
      </c>
      <c r="J111" s="109" t="s">
        <v>468</v>
      </c>
      <c r="K111" s="109" t="s">
        <v>469</v>
      </c>
      <c r="L111" s="109" t="s">
        <v>144</v>
      </c>
      <c r="M111" s="109"/>
      <c r="N111" s="139"/>
      <c r="O111" s="139" t="s">
        <v>93</v>
      </c>
      <c r="P111" s="139">
        <v>1</v>
      </c>
      <c r="Q111" s="109">
        <v>113.28</v>
      </c>
      <c r="R111" s="136">
        <v>2</v>
      </c>
      <c r="S111" s="136">
        <v>113.28</v>
      </c>
      <c r="T111" s="109">
        <v>2</v>
      </c>
      <c r="U111" s="136">
        <v>226.56</v>
      </c>
    </row>
    <row r="112" spans="1:21" x14ac:dyDescent="0.2">
      <c r="A112" s="109">
        <v>110</v>
      </c>
      <c r="B112" s="109" t="s">
        <v>125</v>
      </c>
      <c r="C112" s="109">
        <v>1536</v>
      </c>
      <c r="D112" s="109"/>
      <c r="E112" s="109"/>
      <c r="F112" s="109">
        <v>44540</v>
      </c>
      <c r="G112" s="109" t="s">
        <v>234</v>
      </c>
      <c r="H112" s="109"/>
      <c r="I112" s="109" t="s">
        <v>470</v>
      </c>
      <c r="J112" s="109" t="s">
        <v>236</v>
      </c>
      <c r="K112" s="109" t="s">
        <v>471</v>
      </c>
      <c r="L112" s="109" t="s">
        <v>144</v>
      </c>
      <c r="M112" s="109"/>
      <c r="N112" s="139"/>
      <c r="O112" s="139" t="s">
        <v>93</v>
      </c>
      <c r="P112" s="139">
        <v>1</v>
      </c>
      <c r="Q112" s="109">
        <v>225.61</v>
      </c>
      <c r="R112" s="136">
        <v>1</v>
      </c>
      <c r="S112" s="136">
        <v>225.61</v>
      </c>
      <c r="T112" s="109">
        <v>1</v>
      </c>
      <c r="U112" s="136">
        <v>225.61</v>
      </c>
    </row>
    <row r="113" spans="1:21" x14ac:dyDescent="0.2">
      <c r="A113" s="109">
        <v>111</v>
      </c>
      <c r="B113" s="109" t="s">
        <v>125</v>
      </c>
      <c r="C113" s="109">
        <v>1539</v>
      </c>
      <c r="D113" s="109"/>
      <c r="E113" s="109"/>
      <c r="F113" s="109">
        <v>44474</v>
      </c>
      <c r="G113" s="109" t="s">
        <v>140</v>
      </c>
      <c r="H113" s="109"/>
      <c r="I113" s="109" t="s">
        <v>472</v>
      </c>
      <c r="J113" s="109" t="s">
        <v>473</v>
      </c>
      <c r="K113" s="109" t="s">
        <v>474</v>
      </c>
      <c r="L113" s="109" t="s">
        <v>144</v>
      </c>
      <c r="M113" s="109"/>
      <c r="N113" s="139"/>
      <c r="O113" s="139" t="s">
        <v>93</v>
      </c>
      <c r="P113" s="139">
        <v>1</v>
      </c>
      <c r="Q113" s="109">
        <v>24.97</v>
      </c>
      <c r="R113" s="136">
        <v>9</v>
      </c>
      <c r="S113" s="136">
        <v>24.97</v>
      </c>
      <c r="T113" s="109">
        <v>9</v>
      </c>
      <c r="U113" s="136">
        <v>224.73</v>
      </c>
    </row>
    <row r="114" spans="1:21" x14ac:dyDescent="0.2">
      <c r="A114" s="109">
        <v>112</v>
      </c>
      <c r="B114" s="109" t="s">
        <v>125</v>
      </c>
      <c r="C114" s="109">
        <v>1544</v>
      </c>
      <c r="D114" s="109"/>
      <c r="E114" s="109"/>
      <c r="F114" s="109">
        <v>44482</v>
      </c>
      <c r="G114" s="109" t="s">
        <v>475</v>
      </c>
      <c r="H114" s="109"/>
      <c r="I114" s="109" t="s">
        <v>476</v>
      </c>
      <c r="J114" s="109" t="s">
        <v>477</v>
      </c>
      <c r="K114" s="109" t="s">
        <v>478</v>
      </c>
      <c r="L114" s="109" t="s">
        <v>130</v>
      </c>
      <c r="M114" s="109"/>
      <c r="N114" s="139"/>
      <c r="O114" s="139" t="s">
        <v>93</v>
      </c>
      <c r="P114" s="139">
        <v>1</v>
      </c>
      <c r="Q114" s="109">
        <v>22.28</v>
      </c>
      <c r="R114" s="136">
        <v>10</v>
      </c>
      <c r="S114" s="136">
        <v>22.28</v>
      </c>
      <c r="T114" s="109">
        <v>10</v>
      </c>
      <c r="U114" s="136">
        <v>222.8</v>
      </c>
    </row>
    <row r="115" spans="1:21" x14ac:dyDescent="0.2">
      <c r="A115" s="109">
        <v>113</v>
      </c>
      <c r="B115" s="109" t="s">
        <v>125</v>
      </c>
      <c r="C115" s="109">
        <v>1555</v>
      </c>
      <c r="D115" s="109"/>
      <c r="E115" s="109"/>
      <c r="F115" s="109">
        <v>44355</v>
      </c>
      <c r="G115" s="109" t="s">
        <v>234</v>
      </c>
      <c r="H115" s="109"/>
      <c r="I115" s="109" t="s">
        <v>479</v>
      </c>
      <c r="J115" s="109" t="s">
        <v>236</v>
      </c>
      <c r="K115" s="109" t="s">
        <v>480</v>
      </c>
      <c r="L115" s="109" t="s">
        <v>135</v>
      </c>
      <c r="M115" s="109"/>
      <c r="N115" s="139"/>
      <c r="O115" s="139" t="s">
        <v>93</v>
      </c>
      <c r="P115" s="139">
        <v>1</v>
      </c>
      <c r="Q115" s="109">
        <v>109.44</v>
      </c>
      <c r="R115" s="136">
        <v>2</v>
      </c>
      <c r="S115" s="136">
        <v>109.44</v>
      </c>
      <c r="T115" s="109">
        <v>2</v>
      </c>
      <c r="U115" s="136">
        <v>218.88</v>
      </c>
    </row>
    <row r="116" spans="1:21" x14ac:dyDescent="0.2">
      <c r="A116" s="109">
        <v>114</v>
      </c>
      <c r="B116" s="109" t="s">
        <v>125</v>
      </c>
      <c r="C116" s="109">
        <v>1572</v>
      </c>
      <c r="D116" s="109"/>
      <c r="E116" s="109"/>
      <c r="F116" s="109">
        <v>44487</v>
      </c>
      <c r="G116" s="109" t="s">
        <v>136</v>
      </c>
      <c r="H116" s="109"/>
      <c r="I116" s="109" t="s">
        <v>481</v>
      </c>
      <c r="J116" s="109" t="s">
        <v>138</v>
      </c>
      <c r="K116" s="109" t="s">
        <v>482</v>
      </c>
      <c r="L116" s="109" t="s">
        <v>135</v>
      </c>
      <c r="M116" s="109"/>
      <c r="N116" s="139"/>
      <c r="O116" s="139" t="s">
        <v>93</v>
      </c>
      <c r="P116" s="139">
        <v>1</v>
      </c>
      <c r="Q116" s="109">
        <v>26.93</v>
      </c>
      <c r="R116" s="136">
        <v>8</v>
      </c>
      <c r="S116" s="136">
        <v>26.93</v>
      </c>
      <c r="T116" s="109">
        <v>8</v>
      </c>
      <c r="U116" s="136">
        <v>215.44</v>
      </c>
    </row>
    <row r="117" spans="1:21" x14ac:dyDescent="0.2">
      <c r="A117" s="109">
        <v>115</v>
      </c>
      <c r="B117" s="109" t="s">
        <v>125</v>
      </c>
      <c r="C117" s="109">
        <v>1579</v>
      </c>
      <c r="D117" s="109"/>
      <c r="E117" s="109"/>
      <c r="F117" s="109">
        <v>44463</v>
      </c>
      <c r="G117" s="109" t="s">
        <v>145</v>
      </c>
      <c r="H117" s="109"/>
      <c r="I117" s="109" t="s">
        <v>483</v>
      </c>
      <c r="J117" s="109" t="s">
        <v>322</v>
      </c>
      <c r="K117" s="109" t="s">
        <v>484</v>
      </c>
      <c r="L117" s="109" t="s">
        <v>135</v>
      </c>
      <c r="M117" s="109"/>
      <c r="N117" s="139"/>
      <c r="O117" s="139" t="s">
        <v>93</v>
      </c>
      <c r="P117" s="139">
        <v>1</v>
      </c>
      <c r="Q117" s="109">
        <v>214.33</v>
      </c>
      <c r="R117" s="136">
        <v>1</v>
      </c>
      <c r="S117" s="136">
        <v>214.33</v>
      </c>
      <c r="T117" s="109">
        <v>1</v>
      </c>
      <c r="U117" s="136">
        <v>214.33</v>
      </c>
    </row>
    <row r="118" spans="1:21" x14ac:dyDescent="0.2">
      <c r="A118" s="109">
        <v>116</v>
      </c>
      <c r="B118" s="109" t="s">
        <v>125</v>
      </c>
      <c r="C118" s="109">
        <v>1590</v>
      </c>
      <c r="D118" s="109"/>
      <c r="E118" s="109"/>
      <c r="F118" s="109">
        <v>44482</v>
      </c>
      <c r="G118" s="109" t="s">
        <v>485</v>
      </c>
      <c r="H118" s="109"/>
      <c r="I118" s="109" t="s">
        <v>486</v>
      </c>
      <c r="J118" s="109" t="s">
        <v>487</v>
      </c>
      <c r="K118" s="109" t="s">
        <v>488</v>
      </c>
      <c r="L118" s="109" t="s">
        <v>130</v>
      </c>
      <c r="M118" s="109"/>
      <c r="N118" s="139"/>
      <c r="O118" s="139" t="s">
        <v>93</v>
      </c>
      <c r="P118" s="139">
        <v>1</v>
      </c>
      <c r="Q118" s="109">
        <v>52.81</v>
      </c>
      <c r="R118" s="136">
        <v>4</v>
      </c>
      <c r="S118" s="136">
        <v>52.81</v>
      </c>
      <c r="T118" s="109">
        <v>4</v>
      </c>
      <c r="U118" s="136">
        <v>211.24</v>
      </c>
    </row>
    <row r="119" spans="1:21" x14ac:dyDescent="0.2">
      <c r="A119" s="109">
        <v>117</v>
      </c>
      <c r="B119" s="109" t="s">
        <v>125</v>
      </c>
      <c r="C119" s="109">
        <v>1595</v>
      </c>
      <c r="D119" s="109"/>
      <c r="E119" s="109"/>
      <c r="F119" s="109">
        <v>44495</v>
      </c>
      <c r="G119" s="109" t="s">
        <v>181</v>
      </c>
      <c r="H119" s="109"/>
      <c r="I119" s="109" t="s">
        <v>489</v>
      </c>
      <c r="J119" s="109" t="s">
        <v>239</v>
      </c>
      <c r="K119" s="109" t="s">
        <v>490</v>
      </c>
      <c r="L119" s="109" t="s">
        <v>135</v>
      </c>
      <c r="M119" s="109"/>
      <c r="N119" s="139"/>
      <c r="O119" s="139" t="s">
        <v>93</v>
      </c>
      <c r="P119" s="139">
        <v>1</v>
      </c>
      <c r="Q119" s="109">
        <v>21.13</v>
      </c>
      <c r="R119" s="136">
        <v>10</v>
      </c>
      <c r="S119" s="136">
        <v>21.13</v>
      </c>
      <c r="T119" s="109">
        <v>10</v>
      </c>
      <c r="U119" s="136">
        <v>211.29999999999998</v>
      </c>
    </row>
    <row r="120" spans="1:21" x14ac:dyDescent="0.2">
      <c r="A120" s="109">
        <v>118</v>
      </c>
      <c r="B120" s="109" t="s">
        <v>125</v>
      </c>
      <c r="C120" s="109">
        <v>1599</v>
      </c>
      <c r="D120" s="109"/>
      <c r="E120" s="109"/>
      <c r="F120" s="109">
        <v>44511</v>
      </c>
      <c r="G120" s="109" t="s">
        <v>145</v>
      </c>
      <c r="H120" s="109"/>
      <c r="I120" s="109" t="s">
        <v>491</v>
      </c>
      <c r="J120" s="109" t="s">
        <v>492</v>
      </c>
      <c r="K120" s="109" t="s">
        <v>493</v>
      </c>
      <c r="L120" s="109" t="s">
        <v>144</v>
      </c>
      <c r="M120" s="109"/>
      <c r="N120" s="139"/>
      <c r="O120" s="139" t="s">
        <v>93</v>
      </c>
      <c r="P120" s="139">
        <v>1</v>
      </c>
      <c r="Q120" s="109">
        <v>209.55</v>
      </c>
      <c r="R120" s="136">
        <v>1</v>
      </c>
      <c r="S120" s="136">
        <v>209.55</v>
      </c>
      <c r="T120" s="109">
        <v>1</v>
      </c>
      <c r="U120" s="136">
        <v>209.55</v>
      </c>
    </row>
    <row r="121" spans="1:21" x14ac:dyDescent="0.2">
      <c r="A121" s="109">
        <v>119</v>
      </c>
      <c r="B121" s="109" t="s">
        <v>125</v>
      </c>
      <c r="C121" s="109">
        <v>1601</v>
      </c>
      <c r="D121" s="109"/>
      <c r="E121" s="109"/>
      <c r="F121" s="109">
        <v>44547</v>
      </c>
      <c r="G121" s="109" t="s">
        <v>280</v>
      </c>
      <c r="H121" s="109"/>
      <c r="I121" s="109" t="s">
        <v>494</v>
      </c>
      <c r="J121" s="109" t="s">
        <v>495</v>
      </c>
      <c r="K121" s="109" t="s">
        <v>496</v>
      </c>
      <c r="L121" s="109" t="s">
        <v>144</v>
      </c>
      <c r="M121" s="109"/>
      <c r="N121" s="139"/>
      <c r="O121" s="139" t="s">
        <v>93</v>
      </c>
      <c r="P121" s="139">
        <v>1</v>
      </c>
      <c r="Q121" s="109">
        <v>34.85</v>
      </c>
      <c r="R121" s="136">
        <v>6</v>
      </c>
      <c r="S121" s="136">
        <v>34.85</v>
      </c>
      <c r="T121" s="109">
        <v>6</v>
      </c>
      <c r="U121" s="136">
        <v>209.10000000000002</v>
      </c>
    </row>
    <row r="122" spans="1:21" x14ac:dyDescent="0.2">
      <c r="A122" s="109">
        <v>120</v>
      </c>
      <c r="B122" s="109" t="s">
        <v>125</v>
      </c>
      <c r="C122" s="109">
        <v>1603</v>
      </c>
      <c r="D122" s="109"/>
      <c r="E122" s="109"/>
      <c r="F122" s="109">
        <v>44553</v>
      </c>
      <c r="G122" s="109" t="s">
        <v>497</v>
      </c>
      <c r="H122" s="109"/>
      <c r="I122" s="109" t="s">
        <v>498</v>
      </c>
      <c r="J122" s="109" t="s">
        <v>499</v>
      </c>
      <c r="K122" s="109" t="s">
        <v>500</v>
      </c>
      <c r="L122" s="109" t="s">
        <v>130</v>
      </c>
      <c r="M122" s="109"/>
      <c r="N122" s="139"/>
      <c r="O122" s="139" t="s">
        <v>93</v>
      </c>
      <c r="P122" s="139">
        <v>1</v>
      </c>
      <c r="Q122" s="109">
        <v>51.94</v>
      </c>
      <c r="R122" s="136">
        <v>4</v>
      </c>
      <c r="S122" s="136">
        <v>51.94</v>
      </c>
      <c r="T122" s="109">
        <v>4</v>
      </c>
      <c r="U122" s="136">
        <v>207.76</v>
      </c>
    </row>
    <row r="123" spans="1:21" x14ac:dyDescent="0.2">
      <c r="A123" s="109">
        <v>121</v>
      </c>
      <c r="B123" s="109" t="s">
        <v>125</v>
      </c>
      <c r="C123" s="109">
        <v>1605</v>
      </c>
      <c r="D123" s="109"/>
      <c r="E123" s="109"/>
      <c r="F123" s="109">
        <v>44453</v>
      </c>
      <c r="G123" s="109" t="s">
        <v>136</v>
      </c>
      <c r="H123" s="109"/>
      <c r="I123" s="109" t="s">
        <v>501</v>
      </c>
      <c r="J123" s="109" t="s">
        <v>138</v>
      </c>
      <c r="K123" s="109" t="s">
        <v>502</v>
      </c>
      <c r="L123" s="109" t="s">
        <v>135</v>
      </c>
      <c r="M123" s="109"/>
      <c r="N123" s="139"/>
      <c r="O123" s="139" t="s">
        <v>93</v>
      </c>
      <c r="P123" s="139">
        <v>1</v>
      </c>
      <c r="Q123" s="109">
        <v>41.51</v>
      </c>
      <c r="R123" s="136">
        <v>5</v>
      </c>
      <c r="S123" s="136">
        <v>41.51</v>
      </c>
      <c r="T123" s="109">
        <v>5</v>
      </c>
      <c r="U123" s="136">
        <v>207.54999999999998</v>
      </c>
    </row>
    <row r="124" spans="1:21" x14ac:dyDescent="0.2">
      <c r="A124" s="109">
        <v>122</v>
      </c>
      <c r="B124" s="109" t="s">
        <v>125</v>
      </c>
      <c r="C124" s="109">
        <v>1607</v>
      </c>
      <c r="D124" s="109"/>
      <c r="E124" s="109"/>
      <c r="F124" s="109">
        <v>44515</v>
      </c>
      <c r="G124" s="109" t="s">
        <v>324</v>
      </c>
      <c r="H124" s="109"/>
      <c r="I124" s="109" t="s">
        <v>503</v>
      </c>
      <c r="J124" s="109" t="s">
        <v>326</v>
      </c>
      <c r="K124" s="109" t="s">
        <v>504</v>
      </c>
      <c r="L124" s="109" t="s">
        <v>135</v>
      </c>
      <c r="M124" s="109"/>
      <c r="N124" s="139"/>
      <c r="O124" s="139" t="s">
        <v>93</v>
      </c>
      <c r="P124" s="139">
        <v>1</v>
      </c>
      <c r="Q124" s="109">
        <v>20.74</v>
      </c>
      <c r="R124" s="136">
        <v>10</v>
      </c>
      <c r="S124" s="136">
        <v>20.74</v>
      </c>
      <c r="T124" s="109">
        <v>10</v>
      </c>
      <c r="U124" s="136">
        <v>207.39999999999998</v>
      </c>
    </row>
    <row r="125" spans="1:21" x14ac:dyDescent="0.2">
      <c r="A125" s="109">
        <v>123</v>
      </c>
      <c r="B125" s="109" t="s">
        <v>125</v>
      </c>
      <c r="C125" s="109">
        <v>1617</v>
      </c>
      <c r="D125" s="109"/>
      <c r="E125" s="109"/>
      <c r="F125" s="109">
        <v>44474</v>
      </c>
      <c r="G125" s="109" t="s">
        <v>388</v>
      </c>
      <c r="H125" s="109"/>
      <c r="I125" s="109" t="s">
        <v>505</v>
      </c>
      <c r="J125" s="109" t="s">
        <v>506</v>
      </c>
      <c r="K125" s="109" t="s">
        <v>507</v>
      </c>
      <c r="L125" s="109" t="s">
        <v>144</v>
      </c>
      <c r="M125" s="109"/>
      <c r="N125" s="139"/>
      <c r="O125" s="139" t="s">
        <v>93</v>
      </c>
      <c r="P125" s="139">
        <v>1</v>
      </c>
      <c r="Q125" s="109">
        <v>204.01</v>
      </c>
      <c r="R125" s="136">
        <v>1</v>
      </c>
      <c r="S125" s="136">
        <v>204.01</v>
      </c>
      <c r="T125" s="109">
        <v>1</v>
      </c>
      <c r="U125" s="136">
        <v>204.01</v>
      </c>
    </row>
    <row r="126" spans="1:21" x14ac:dyDescent="0.2">
      <c r="A126" s="109">
        <v>124</v>
      </c>
      <c r="B126" s="109" t="s">
        <v>125</v>
      </c>
      <c r="C126" s="109">
        <v>1631</v>
      </c>
      <c r="D126" s="109"/>
      <c r="E126" s="109"/>
      <c r="F126" s="109">
        <v>44490</v>
      </c>
      <c r="G126" s="109" t="s">
        <v>163</v>
      </c>
      <c r="H126" s="109"/>
      <c r="I126" s="109" t="s">
        <v>508</v>
      </c>
      <c r="J126" s="109" t="s">
        <v>211</v>
      </c>
      <c r="K126" s="109" t="s">
        <v>509</v>
      </c>
      <c r="L126" s="109" t="s">
        <v>144</v>
      </c>
      <c r="M126" s="109"/>
      <c r="N126" s="139"/>
      <c r="O126" s="139" t="s">
        <v>93</v>
      </c>
      <c r="P126" s="139">
        <v>1</v>
      </c>
      <c r="Q126" s="109">
        <v>99.79</v>
      </c>
      <c r="R126" s="136">
        <v>2</v>
      </c>
      <c r="S126" s="136">
        <v>99.79</v>
      </c>
      <c r="T126" s="109">
        <v>2</v>
      </c>
      <c r="U126" s="136">
        <v>199.58</v>
      </c>
    </row>
    <row r="127" spans="1:21" x14ac:dyDescent="0.2">
      <c r="A127" s="109">
        <v>125</v>
      </c>
      <c r="B127" s="109" t="s">
        <v>125</v>
      </c>
      <c r="C127" s="109">
        <v>1634</v>
      </c>
      <c r="D127" s="109"/>
      <c r="E127" s="109"/>
      <c r="F127" s="109">
        <v>44204</v>
      </c>
      <c r="G127" s="109" t="s">
        <v>510</v>
      </c>
      <c r="H127" s="109"/>
      <c r="I127" s="109" t="s">
        <v>511</v>
      </c>
      <c r="J127" s="109" t="s">
        <v>512</v>
      </c>
      <c r="K127" s="109" t="s">
        <v>513</v>
      </c>
      <c r="L127" s="109" t="s">
        <v>135</v>
      </c>
      <c r="M127" s="109"/>
      <c r="N127" s="139"/>
      <c r="O127" s="139" t="s">
        <v>93</v>
      </c>
      <c r="P127" s="139">
        <v>1</v>
      </c>
      <c r="Q127" s="109">
        <v>9.91</v>
      </c>
      <c r="R127" s="136">
        <v>20</v>
      </c>
      <c r="S127" s="136">
        <v>9.91</v>
      </c>
      <c r="T127" s="109">
        <v>20</v>
      </c>
      <c r="U127" s="136">
        <v>198.2</v>
      </c>
    </row>
    <row r="128" spans="1:21" x14ac:dyDescent="0.2">
      <c r="A128" s="109">
        <v>126</v>
      </c>
      <c r="B128" s="109" t="s">
        <v>125</v>
      </c>
      <c r="C128" s="109">
        <v>1644</v>
      </c>
      <c r="D128" s="109"/>
      <c r="E128" s="109"/>
      <c r="F128" s="109">
        <v>44384</v>
      </c>
      <c r="G128" s="109" t="s">
        <v>514</v>
      </c>
      <c r="H128" s="109"/>
      <c r="I128" s="109" t="s">
        <v>515</v>
      </c>
      <c r="J128" s="109" t="s">
        <v>516</v>
      </c>
      <c r="K128" s="109" t="s">
        <v>517</v>
      </c>
      <c r="L128" s="109" t="s">
        <v>135</v>
      </c>
      <c r="M128" s="109"/>
      <c r="N128" s="139"/>
      <c r="O128" s="139" t="s">
        <v>93</v>
      </c>
      <c r="P128" s="139">
        <v>1</v>
      </c>
      <c r="Q128" s="109">
        <v>32.5</v>
      </c>
      <c r="R128" s="136">
        <v>6</v>
      </c>
      <c r="S128" s="136">
        <v>32.5</v>
      </c>
      <c r="T128" s="109">
        <v>6</v>
      </c>
      <c r="U128" s="136">
        <v>195</v>
      </c>
    </row>
    <row r="129" spans="1:21" x14ac:dyDescent="0.2">
      <c r="A129" s="109">
        <v>127</v>
      </c>
      <c r="B129" s="109" t="s">
        <v>125</v>
      </c>
      <c r="C129" s="109">
        <v>1660</v>
      </c>
      <c r="D129" s="109"/>
      <c r="E129" s="109"/>
      <c r="F129" s="109">
        <v>44434</v>
      </c>
      <c r="G129" s="109" t="s">
        <v>518</v>
      </c>
      <c r="H129" s="109"/>
      <c r="I129" s="109" t="s">
        <v>519</v>
      </c>
      <c r="J129" s="109" t="s">
        <v>520</v>
      </c>
      <c r="K129" s="109" t="s">
        <v>521</v>
      </c>
      <c r="L129" s="109" t="s">
        <v>135</v>
      </c>
      <c r="M129" s="109"/>
      <c r="N129" s="139"/>
      <c r="O129" s="139" t="s">
        <v>93</v>
      </c>
      <c r="P129" s="139">
        <v>1</v>
      </c>
      <c r="Q129" s="109">
        <v>95.03</v>
      </c>
      <c r="R129" s="136">
        <v>2</v>
      </c>
      <c r="S129" s="136">
        <v>95.03</v>
      </c>
      <c r="T129" s="109">
        <v>2</v>
      </c>
      <c r="U129" s="136">
        <v>190.06</v>
      </c>
    </row>
    <row r="130" spans="1:21" x14ac:dyDescent="0.2">
      <c r="A130" s="109">
        <v>128</v>
      </c>
      <c r="B130" s="109" t="s">
        <v>125</v>
      </c>
      <c r="C130" s="109">
        <v>1663</v>
      </c>
      <c r="D130" s="109"/>
      <c r="E130" s="109"/>
      <c r="F130" s="109">
        <v>44545</v>
      </c>
      <c r="G130" s="109" t="s">
        <v>428</v>
      </c>
      <c r="H130" s="109"/>
      <c r="I130" s="109" t="s">
        <v>522</v>
      </c>
      <c r="J130" s="109" t="s">
        <v>523</v>
      </c>
      <c r="K130" s="109" t="s">
        <v>524</v>
      </c>
      <c r="L130" s="109" t="s">
        <v>130</v>
      </c>
      <c r="M130" s="109"/>
      <c r="N130" s="139"/>
      <c r="O130" s="139" t="s">
        <v>93</v>
      </c>
      <c r="P130" s="139">
        <v>1</v>
      </c>
      <c r="Q130" s="109">
        <v>188.88</v>
      </c>
      <c r="R130" s="136">
        <v>1</v>
      </c>
      <c r="S130" s="136">
        <v>188.88</v>
      </c>
      <c r="T130" s="109">
        <v>1</v>
      </c>
      <c r="U130" s="136">
        <v>188.88</v>
      </c>
    </row>
    <row r="131" spans="1:21" x14ac:dyDescent="0.2">
      <c r="A131" s="109">
        <v>129</v>
      </c>
      <c r="B131" s="109" t="s">
        <v>125</v>
      </c>
      <c r="C131" s="109">
        <v>1665</v>
      </c>
      <c r="D131" s="109"/>
      <c r="E131" s="109"/>
      <c r="F131" s="109">
        <v>44365</v>
      </c>
      <c r="G131" s="109" t="s">
        <v>247</v>
      </c>
      <c r="H131" s="109"/>
      <c r="I131" s="109" t="s">
        <v>525</v>
      </c>
      <c r="J131" s="109" t="s">
        <v>386</v>
      </c>
      <c r="K131" s="109" t="s">
        <v>526</v>
      </c>
      <c r="L131" s="109" t="s">
        <v>135</v>
      </c>
      <c r="M131" s="109"/>
      <c r="N131" s="139"/>
      <c r="O131" s="139" t="s">
        <v>93</v>
      </c>
      <c r="P131" s="139">
        <v>1</v>
      </c>
      <c r="Q131" s="109">
        <v>18.850000000000001</v>
      </c>
      <c r="R131" s="136">
        <v>10</v>
      </c>
      <c r="S131" s="136">
        <v>18.850000000000001</v>
      </c>
      <c r="T131" s="109">
        <v>10</v>
      </c>
      <c r="U131" s="136">
        <v>188.5</v>
      </c>
    </row>
    <row r="132" spans="1:21" x14ac:dyDescent="0.2">
      <c r="A132" s="109">
        <v>130</v>
      </c>
      <c r="B132" s="109" t="s">
        <v>125</v>
      </c>
      <c r="C132" s="109">
        <v>1667</v>
      </c>
      <c r="D132" s="109"/>
      <c r="E132" s="109"/>
      <c r="F132" s="109">
        <v>44505</v>
      </c>
      <c r="G132" s="109" t="s">
        <v>388</v>
      </c>
      <c r="H132" s="109"/>
      <c r="I132" s="109" t="s">
        <v>527</v>
      </c>
      <c r="J132" s="109" t="s">
        <v>362</v>
      </c>
      <c r="K132" s="109" t="s">
        <v>528</v>
      </c>
      <c r="L132" s="109" t="s">
        <v>135</v>
      </c>
      <c r="M132" s="109"/>
      <c r="N132" s="139"/>
      <c r="O132" s="139" t="s">
        <v>93</v>
      </c>
      <c r="P132" s="139">
        <v>1</v>
      </c>
      <c r="Q132" s="109">
        <v>188.16</v>
      </c>
      <c r="R132" s="136">
        <v>1</v>
      </c>
      <c r="S132" s="136">
        <v>188.16</v>
      </c>
      <c r="T132" s="109">
        <v>1</v>
      </c>
      <c r="U132" s="136">
        <v>188.16</v>
      </c>
    </row>
    <row r="133" spans="1:21" x14ac:dyDescent="0.2">
      <c r="A133" s="109">
        <v>131</v>
      </c>
      <c r="B133" s="109" t="s">
        <v>125</v>
      </c>
      <c r="C133" s="109">
        <v>1690</v>
      </c>
      <c r="D133" s="109"/>
      <c r="E133" s="109"/>
      <c r="F133" s="109">
        <v>44473</v>
      </c>
      <c r="G133" s="109" t="s">
        <v>529</v>
      </c>
      <c r="H133" s="109"/>
      <c r="I133" s="109" t="s">
        <v>530</v>
      </c>
      <c r="J133" s="109" t="s">
        <v>531</v>
      </c>
      <c r="K133" s="109" t="s">
        <v>532</v>
      </c>
      <c r="L133" s="109" t="s">
        <v>144</v>
      </c>
      <c r="M133" s="109"/>
      <c r="N133" s="139"/>
      <c r="O133" s="139" t="s">
        <v>93</v>
      </c>
      <c r="P133" s="139">
        <v>1</v>
      </c>
      <c r="Q133" s="109">
        <v>91.5</v>
      </c>
      <c r="R133" s="136">
        <v>2</v>
      </c>
      <c r="S133" s="136">
        <v>91.5</v>
      </c>
      <c r="T133" s="109">
        <v>2</v>
      </c>
      <c r="U133" s="136">
        <v>183</v>
      </c>
    </row>
    <row r="134" spans="1:21" x14ac:dyDescent="0.2">
      <c r="A134" s="109">
        <v>132</v>
      </c>
      <c r="B134" s="109" t="s">
        <v>125</v>
      </c>
      <c r="C134" s="109">
        <v>1702</v>
      </c>
      <c r="D134" s="109"/>
      <c r="E134" s="109"/>
      <c r="F134" s="109">
        <v>44496</v>
      </c>
      <c r="G134" s="109" t="s">
        <v>533</v>
      </c>
      <c r="H134" s="109"/>
      <c r="I134" s="109" t="s">
        <v>534</v>
      </c>
      <c r="J134" s="109" t="s">
        <v>535</v>
      </c>
      <c r="K134" s="109" t="s">
        <v>536</v>
      </c>
      <c r="L134" s="109" t="s">
        <v>130</v>
      </c>
      <c r="M134" s="109"/>
      <c r="N134" s="139"/>
      <c r="O134" s="139" t="s">
        <v>93</v>
      </c>
      <c r="P134" s="139">
        <v>1</v>
      </c>
      <c r="Q134" s="109">
        <v>17.96</v>
      </c>
      <c r="R134" s="136">
        <v>10</v>
      </c>
      <c r="S134" s="136">
        <v>17.96</v>
      </c>
      <c r="T134" s="109">
        <v>10</v>
      </c>
      <c r="U134" s="136">
        <v>179.60000000000002</v>
      </c>
    </row>
    <row r="135" spans="1:21" x14ac:dyDescent="0.2">
      <c r="A135" s="109">
        <v>133</v>
      </c>
      <c r="B135" s="109" t="s">
        <v>125</v>
      </c>
      <c r="C135" s="109">
        <v>1705</v>
      </c>
      <c r="D135" s="109"/>
      <c r="E135" s="109"/>
      <c r="F135" s="109">
        <v>44494</v>
      </c>
      <c r="G135" s="109" t="s">
        <v>537</v>
      </c>
      <c r="H135" s="109"/>
      <c r="I135" s="109" t="s">
        <v>538</v>
      </c>
      <c r="J135" s="109" t="s">
        <v>407</v>
      </c>
      <c r="K135" s="109" t="s">
        <v>539</v>
      </c>
      <c r="L135" s="109" t="s">
        <v>144</v>
      </c>
      <c r="M135" s="109"/>
      <c r="N135" s="139"/>
      <c r="O135" s="139" t="s">
        <v>93</v>
      </c>
      <c r="P135" s="139">
        <v>1</v>
      </c>
      <c r="Q135" s="109">
        <v>59.53</v>
      </c>
      <c r="R135" s="136">
        <v>3</v>
      </c>
      <c r="S135" s="136">
        <v>59.53</v>
      </c>
      <c r="T135" s="109">
        <v>3</v>
      </c>
      <c r="U135" s="136">
        <v>178.59</v>
      </c>
    </row>
    <row r="136" spans="1:21" x14ac:dyDescent="0.2">
      <c r="A136" s="109">
        <v>134</v>
      </c>
      <c r="B136" s="109" t="s">
        <v>125</v>
      </c>
      <c r="C136" s="109">
        <v>1707</v>
      </c>
      <c r="D136" s="109"/>
      <c r="E136" s="109"/>
      <c r="F136" s="109">
        <v>44413</v>
      </c>
      <c r="G136" s="109" t="s">
        <v>145</v>
      </c>
      <c r="H136" s="109"/>
      <c r="I136" s="109" t="s">
        <v>540</v>
      </c>
      <c r="J136" s="109" t="s">
        <v>541</v>
      </c>
      <c r="K136" s="109" t="s">
        <v>542</v>
      </c>
      <c r="L136" s="109" t="s">
        <v>135</v>
      </c>
      <c r="M136" s="109"/>
      <c r="N136" s="139"/>
      <c r="O136" s="139" t="s">
        <v>93</v>
      </c>
      <c r="P136" s="139">
        <v>1</v>
      </c>
      <c r="Q136" s="109">
        <v>89.13</v>
      </c>
      <c r="R136" s="136">
        <v>2</v>
      </c>
      <c r="S136" s="136">
        <v>89.13</v>
      </c>
      <c r="T136" s="109">
        <v>2</v>
      </c>
      <c r="U136" s="136">
        <v>178.26</v>
      </c>
    </row>
    <row r="137" spans="1:21" x14ac:dyDescent="0.2">
      <c r="A137" s="109">
        <v>135</v>
      </c>
      <c r="B137" s="109" t="s">
        <v>125</v>
      </c>
      <c r="C137" s="109">
        <v>1711</v>
      </c>
      <c r="D137" s="109"/>
      <c r="E137" s="109"/>
      <c r="F137" s="109">
        <v>44495</v>
      </c>
      <c r="G137" s="109" t="s">
        <v>145</v>
      </c>
      <c r="H137" s="109"/>
      <c r="I137" s="109" t="s">
        <v>543</v>
      </c>
      <c r="J137" s="109" t="s">
        <v>487</v>
      </c>
      <c r="K137" s="109" t="s">
        <v>544</v>
      </c>
      <c r="L137" s="109" t="s">
        <v>130</v>
      </c>
      <c r="M137" s="109"/>
      <c r="N137" s="139"/>
      <c r="O137" s="139" t="s">
        <v>93</v>
      </c>
      <c r="P137" s="139">
        <v>1</v>
      </c>
      <c r="Q137" s="109">
        <v>35.549999999999997</v>
      </c>
      <c r="R137" s="136">
        <v>5</v>
      </c>
      <c r="S137" s="136">
        <v>35.549999999999997</v>
      </c>
      <c r="T137" s="109">
        <v>5</v>
      </c>
      <c r="U137" s="136">
        <v>177.75</v>
      </c>
    </row>
    <row r="138" spans="1:21" x14ac:dyDescent="0.2">
      <c r="A138" s="109">
        <v>136</v>
      </c>
      <c r="B138" s="109" t="s">
        <v>125</v>
      </c>
      <c r="C138" s="109">
        <v>1718</v>
      </c>
      <c r="D138" s="109"/>
      <c r="E138" s="109"/>
      <c r="F138" s="109">
        <v>44239</v>
      </c>
      <c r="G138" s="109" t="s">
        <v>145</v>
      </c>
      <c r="H138" s="109"/>
      <c r="I138" s="109" t="s">
        <v>545</v>
      </c>
      <c r="J138" s="109" t="s">
        <v>546</v>
      </c>
      <c r="K138" s="109" t="s">
        <v>547</v>
      </c>
      <c r="L138" s="109" t="s">
        <v>135</v>
      </c>
      <c r="M138" s="109"/>
      <c r="N138" s="139"/>
      <c r="O138" s="139" t="s">
        <v>93</v>
      </c>
      <c r="P138" s="139">
        <v>1</v>
      </c>
      <c r="Q138" s="109">
        <v>88.48</v>
      </c>
      <c r="R138" s="136">
        <v>2</v>
      </c>
      <c r="S138" s="136">
        <v>88.48</v>
      </c>
      <c r="T138" s="109">
        <v>2</v>
      </c>
      <c r="U138" s="136">
        <v>176.96</v>
      </c>
    </row>
    <row r="139" spans="1:21" x14ac:dyDescent="0.2">
      <c r="A139" s="109">
        <v>137</v>
      </c>
      <c r="B139" s="109" t="s">
        <v>125</v>
      </c>
      <c r="C139" s="109">
        <v>1723</v>
      </c>
      <c r="D139" s="109"/>
      <c r="E139" s="109"/>
      <c r="F139" s="109">
        <v>44519</v>
      </c>
      <c r="G139" s="109" t="s">
        <v>145</v>
      </c>
      <c r="H139" s="109"/>
      <c r="I139" s="109" t="s">
        <v>548</v>
      </c>
      <c r="J139" s="109" t="s">
        <v>549</v>
      </c>
      <c r="K139" s="109" t="s">
        <v>550</v>
      </c>
      <c r="L139" s="109" t="s">
        <v>135</v>
      </c>
      <c r="M139" s="109"/>
      <c r="N139" s="139"/>
      <c r="O139" s="139" t="s">
        <v>93</v>
      </c>
      <c r="P139" s="139">
        <v>1</v>
      </c>
      <c r="Q139" s="109">
        <v>58.65</v>
      </c>
      <c r="R139" s="136">
        <v>3</v>
      </c>
      <c r="S139" s="136">
        <v>58.65</v>
      </c>
      <c r="T139" s="109">
        <v>3</v>
      </c>
      <c r="U139" s="136">
        <v>175.95</v>
      </c>
    </row>
    <row r="140" spans="1:21" x14ac:dyDescent="0.2">
      <c r="A140" s="109">
        <v>138</v>
      </c>
      <c r="B140" s="109" t="s">
        <v>125</v>
      </c>
      <c r="C140" s="109">
        <v>1727</v>
      </c>
      <c r="D140" s="109"/>
      <c r="E140" s="109"/>
      <c r="F140" s="109">
        <v>44326</v>
      </c>
      <c r="G140" s="109" t="s">
        <v>145</v>
      </c>
      <c r="H140" s="109"/>
      <c r="I140" s="109" t="s">
        <v>551</v>
      </c>
      <c r="J140" s="109" t="s">
        <v>552</v>
      </c>
      <c r="K140" s="109" t="s">
        <v>553</v>
      </c>
      <c r="L140" s="109" t="s">
        <v>135</v>
      </c>
      <c r="M140" s="109"/>
      <c r="N140" s="139"/>
      <c r="O140" s="139" t="s">
        <v>93</v>
      </c>
      <c r="P140" s="139">
        <v>1</v>
      </c>
      <c r="Q140" s="109">
        <v>87.29</v>
      </c>
      <c r="R140" s="136">
        <v>2</v>
      </c>
      <c r="S140" s="136">
        <v>87.29</v>
      </c>
      <c r="T140" s="109">
        <v>2</v>
      </c>
      <c r="U140" s="136">
        <v>174.58</v>
      </c>
    </row>
    <row r="141" spans="1:21" x14ac:dyDescent="0.2">
      <c r="A141" s="109">
        <v>139</v>
      </c>
      <c r="B141" s="109" t="s">
        <v>125</v>
      </c>
      <c r="C141" s="109">
        <v>1759</v>
      </c>
      <c r="D141" s="109"/>
      <c r="E141" s="109"/>
      <c r="F141" s="109">
        <v>44490</v>
      </c>
      <c r="G141" s="109" t="s">
        <v>280</v>
      </c>
      <c r="H141" s="109"/>
      <c r="I141" s="109" t="s">
        <v>554</v>
      </c>
      <c r="J141" s="109" t="s">
        <v>555</v>
      </c>
      <c r="K141" s="109" t="s">
        <v>556</v>
      </c>
      <c r="L141" s="109" t="s">
        <v>144</v>
      </c>
      <c r="M141" s="109"/>
      <c r="N141" s="139"/>
      <c r="O141" s="139" t="s">
        <v>93</v>
      </c>
      <c r="P141" s="139">
        <v>1</v>
      </c>
      <c r="Q141" s="109">
        <v>41.7</v>
      </c>
      <c r="R141" s="136">
        <v>4</v>
      </c>
      <c r="S141" s="136">
        <v>41.7</v>
      </c>
      <c r="T141" s="109">
        <v>4</v>
      </c>
      <c r="U141" s="136">
        <v>166.8</v>
      </c>
    </row>
    <row r="142" spans="1:21" x14ac:dyDescent="0.2">
      <c r="A142" s="109">
        <v>140</v>
      </c>
      <c r="B142" s="109" t="s">
        <v>125</v>
      </c>
      <c r="C142" s="109">
        <v>1760</v>
      </c>
      <c r="D142" s="109"/>
      <c r="E142" s="109"/>
      <c r="F142" s="109">
        <v>44488</v>
      </c>
      <c r="G142" s="109" t="s">
        <v>145</v>
      </c>
      <c r="H142" s="109"/>
      <c r="I142" s="109" t="s">
        <v>557</v>
      </c>
      <c r="J142" s="109" t="s">
        <v>558</v>
      </c>
      <c r="K142" s="109" t="s">
        <v>559</v>
      </c>
      <c r="L142" s="109" t="s">
        <v>130</v>
      </c>
      <c r="M142" s="109"/>
      <c r="N142" s="139"/>
      <c r="O142" s="139" t="s">
        <v>93</v>
      </c>
      <c r="P142" s="139">
        <v>1</v>
      </c>
      <c r="Q142" s="109">
        <v>6.65</v>
      </c>
      <c r="R142" s="136">
        <v>25</v>
      </c>
      <c r="S142" s="136">
        <v>6.65</v>
      </c>
      <c r="T142" s="109">
        <v>25</v>
      </c>
      <c r="U142" s="136">
        <v>166.25</v>
      </c>
    </row>
    <row r="143" spans="1:21" x14ac:dyDescent="0.2">
      <c r="A143" s="109">
        <v>141</v>
      </c>
      <c r="B143" s="109" t="s">
        <v>125</v>
      </c>
      <c r="C143" s="109">
        <v>1764</v>
      </c>
      <c r="D143" s="109"/>
      <c r="E143" s="109"/>
      <c r="F143" s="109">
        <v>44329</v>
      </c>
      <c r="G143" s="109" t="s">
        <v>560</v>
      </c>
      <c r="H143" s="109"/>
      <c r="I143" s="109" t="s">
        <v>561</v>
      </c>
      <c r="J143" s="109" t="s">
        <v>562</v>
      </c>
      <c r="K143" s="109" t="s">
        <v>563</v>
      </c>
      <c r="L143" s="109" t="s">
        <v>135</v>
      </c>
      <c r="M143" s="109"/>
      <c r="N143" s="139"/>
      <c r="O143" s="139" t="s">
        <v>93</v>
      </c>
      <c r="P143" s="139">
        <v>1</v>
      </c>
      <c r="Q143" s="109">
        <v>164.53</v>
      </c>
      <c r="R143" s="136">
        <v>1</v>
      </c>
      <c r="S143" s="136">
        <v>164.53</v>
      </c>
      <c r="T143" s="109">
        <v>1</v>
      </c>
      <c r="U143" s="136">
        <v>164.53</v>
      </c>
    </row>
    <row r="144" spans="1:21" x14ac:dyDescent="0.2">
      <c r="A144" s="109">
        <v>142</v>
      </c>
      <c r="B144" s="109" t="s">
        <v>125</v>
      </c>
      <c r="C144" s="109">
        <v>1766</v>
      </c>
      <c r="D144" s="109"/>
      <c r="E144" s="109"/>
      <c r="F144" s="109">
        <v>44480</v>
      </c>
      <c r="G144" s="109" t="s">
        <v>145</v>
      </c>
      <c r="H144" s="109"/>
      <c r="I144" s="109" t="s">
        <v>564</v>
      </c>
      <c r="J144" s="109" t="s">
        <v>565</v>
      </c>
      <c r="K144" s="109" t="s">
        <v>566</v>
      </c>
      <c r="L144" s="109" t="s">
        <v>130</v>
      </c>
      <c r="M144" s="109"/>
      <c r="N144" s="139"/>
      <c r="O144" s="139" t="s">
        <v>93</v>
      </c>
      <c r="P144" s="139">
        <v>1</v>
      </c>
      <c r="Q144" s="109">
        <v>8.19</v>
      </c>
      <c r="R144" s="136">
        <v>20</v>
      </c>
      <c r="S144" s="136">
        <v>8.19</v>
      </c>
      <c r="T144" s="109">
        <v>20</v>
      </c>
      <c r="U144" s="136">
        <v>163.79999999999998</v>
      </c>
    </row>
    <row r="145" spans="1:21" x14ac:dyDescent="0.2">
      <c r="A145" s="109">
        <v>143</v>
      </c>
      <c r="B145" s="109" t="s">
        <v>125</v>
      </c>
      <c r="C145" s="109">
        <v>1775</v>
      </c>
      <c r="D145" s="109"/>
      <c r="E145" s="109"/>
      <c r="F145" s="109">
        <v>44487</v>
      </c>
      <c r="G145" s="109" t="s">
        <v>255</v>
      </c>
      <c r="H145" s="109"/>
      <c r="I145" s="109" t="s">
        <v>567</v>
      </c>
      <c r="J145" s="109" t="s">
        <v>568</v>
      </c>
      <c r="K145" s="109" t="s">
        <v>569</v>
      </c>
      <c r="L145" s="109" t="s">
        <v>144</v>
      </c>
      <c r="M145" s="109"/>
      <c r="N145" s="139"/>
      <c r="O145" s="139" t="s">
        <v>93</v>
      </c>
      <c r="P145" s="139">
        <v>1</v>
      </c>
      <c r="Q145" s="109">
        <v>80.77</v>
      </c>
      <c r="R145" s="136">
        <v>2</v>
      </c>
      <c r="S145" s="136">
        <v>80.77</v>
      </c>
      <c r="T145" s="109">
        <v>2</v>
      </c>
      <c r="U145" s="136">
        <v>161.54</v>
      </c>
    </row>
    <row r="146" spans="1:21" x14ac:dyDescent="0.2">
      <c r="A146" s="109">
        <v>144</v>
      </c>
      <c r="B146" s="109" t="s">
        <v>125</v>
      </c>
      <c r="C146" s="109">
        <v>1787</v>
      </c>
      <c r="D146" s="109"/>
      <c r="E146" s="109"/>
      <c r="F146" s="109">
        <v>44470</v>
      </c>
      <c r="G146" s="109" t="s">
        <v>140</v>
      </c>
      <c r="H146" s="109"/>
      <c r="I146" s="109" t="s">
        <v>570</v>
      </c>
      <c r="J146" s="109" t="s">
        <v>310</v>
      </c>
      <c r="K146" s="109" t="s">
        <v>571</v>
      </c>
      <c r="L146" s="109" t="s">
        <v>144</v>
      </c>
      <c r="M146" s="109"/>
      <c r="N146" s="139"/>
      <c r="O146" s="139" t="s">
        <v>93</v>
      </c>
      <c r="P146" s="139">
        <v>1</v>
      </c>
      <c r="Q146" s="109">
        <v>31.68</v>
      </c>
      <c r="R146" s="136">
        <v>5</v>
      </c>
      <c r="S146" s="136">
        <v>31.68</v>
      </c>
      <c r="T146" s="109">
        <v>5</v>
      </c>
      <c r="U146" s="136">
        <v>158.4</v>
      </c>
    </row>
    <row r="147" spans="1:21" x14ac:dyDescent="0.2">
      <c r="A147" s="109">
        <v>145</v>
      </c>
      <c r="B147" s="109" t="s">
        <v>125</v>
      </c>
      <c r="C147" s="109">
        <v>1790</v>
      </c>
      <c r="D147" s="109"/>
      <c r="E147" s="109"/>
      <c r="F147" s="109">
        <v>44344</v>
      </c>
      <c r="G147" s="109" t="s">
        <v>433</v>
      </c>
      <c r="H147" s="109"/>
      <c r="I147" s="109" t="s">
        <v>572</v>
      </c>
      <c r="J147" s="109" t="s">
        <v>573</v>
      </c>
      <c r="K147" s="109" t="s">
        <v>574</v>
      </c>
      <c r="L147" s="109" t="s">
        <v>135</v>
      </c>
      <c r="M147" s="109"/>
      <c r="N147" s="139"/>
      <c r="O147" s="139" t="s">
        <v>93</v>
      </c>
      <c r="P147" s="139">
        <v>1</v>
      </c>
      <c r="Q147" s="109">
        <v>39.119999999999997</v>
      </c>
      <c r="R147" s="136">
        <v>4</v>
      </c>
      <c r="S147" s="136">
        <v>39.119999999999997</v>
      </c>
      <c r="T147" s="109">
        <v>4</v>
      </c>
      <c r="U147" s="136">
        <v>156.47999999999999</v>
      </c>
    </row>
    <row r="148" spans="1:21" x14ac:dyDescent="0.2">
      <c r="A148" s="109">
        <v>146</v>
      </c>
      <c r="B148" s="109" t="s">
        <v>125</v>
      </c>
      <c r="C148" s="109">
        <v>1798</v>
      </c>
      <c r="D148" s="109"/>
      <c r="E148" s="109"/>
      <c r="F148" s="109">
        <v>44319</v>
      </c>
      <c r="G148" s="109" t="s">
        <v>575</v>
      </c>
      <c r="H148" s="109"/>
      <c r="I148" s="109" t="s">
        <v>576</v>
      </c>
      <c r="J148" s="109" t="s">
        <v>577</v>
      </c>
      <c r="K148" s="109" t="s">
        <v>578</v>
      </c>
      <c r="L148" s="109" t="s">
        <v>135</v>
      </c>
      <c r="M148" s="109"/>
      <c r="N148" s="139"/>
      <c r="O148" s="139" t="s">
        <v>93</v>
      </c>
      <c r="P148" s="139">
        <v>1</v>
      </c>
      <c r="Q148" s="109">
        <v>76.8</v>
      </c>
      <c r="R148" s="136">
        <v>2</v>
      </c>
      <c r="S148" s="136">
        <v>76.8</v>
      </c>
      <c r="T148" s="109">
        <v>2</v>
      </c>
      <c r="U148" s="136">
        <v>153.6</v>
      </c>
    </row>
    <row r="149" spans="1:21" x14ac:dyDescent="0.2">
      <c r="A149" s="109">
        <v>147</v>
      </c>
      <c r="B149" s="109" t="s">
        <v>125</v>
      </c>
      <c r="C149" s="109">
        <v>1806</v>
      </c>
      <c r="D149" s="109"/>
      <c r="E149" s="109"/>
      <c r="F149" s="109">
        <v>44217</v>
      </c>
      <c r="G149" s="109" t="s">
        <v>163</v>
      </c>
      <c r="H149" s="109"/>
      <c r="I149" s="109" t="s">
        <v>579</v>
      </c>
      <c r="J149" s="109" t="s">
        <v>297</v>
      </c>
      <c r="K149" s="109" t="s">
        <v>580</v>
      </c>
      <c r="L149" s="109" t="s">
        <v>135</v>
      </c>
      <c r="M149" s="109"/>
      <c r="N149" s="139"/>
      <c r="O149" s="139" t="s">
        <v>93</v>
      </c>
      <c r="P149" s="139">
        <v>1</v>
      </c>
      <c r="Q149" s="109">
        <v>76.150000000000006</v>
      </c>
      <c r="R149" s="136">
        <v>2</v>
      </c>
      <c r="S149" s="136">
        <v>76.150000000000006</v>
      </c>
      <c r="T149" s="109">
        <v>2</v>
      </c>
      <c r="U149" s="136">
        <v>152.30000000000001</v>
      </c>
    </row>
    <row r="150" spans="1:21" x14ac:dyDescent="0.2">
      <c r="A150" s="109">
        <v>148</v>
      </c>
      <c r="B150" s="109" t="s">
        <v>125</v>
      </c>
      <c r="C150" s="109">
        <v>1807</v>
      </c>
      <c r="D150" s="109"/>
      <c r="E150" s="109"/>
      <c r="F150" s="109">
        <v>44487</v>
      </c>
      <c r="G150" s="109" t="s">
        <v>280</v>
      </c>
      <c r="H150" s="109"/>
      <c r="I150" s="109" t="s">
        <v>581</v>
      </c>
      <c r="J150" s="109" t="s">
        <v>495</v>
      </c>
      <c r="K150" s="109" t="s">
        <v>582</v>
      </c>
      <c r="L150" s="109" t="s">
        <v>144</v>
      </c>
      <c r="M150" s="109"/>
      <c r="N150" s="139"/>
      <c r="O150" s="139" t="s">
        <v>93</v>
      </c>
      <c r="P150" s="139">
        <v>1</v>
      </c>
      <c r="Q150" s="109">
        <v>38.020000000000003</v>
      </c>
      <c r="R150" s="136">
        <v>4</v>
      </c>
      <c r="S150" s="136">
        <v>38.020000000000003</v>
      </c>
      <c r="T150" s="109">
        <v>4</v>
      </c>
      <c r="U150" s="136">
        <v>152.08000000000001</v>
      </c>
    </row>
    <row r="151" spans="1:21" x14ac:dyDescent="0.2">
      <c r="A151" s="109">
        <v>149</v>
      </c>
      <c r="B151" s="109" t="s">
        <v>125</v>
      </c>
      <c r="C151" s="109">
        <v>1814</v>
      </c>
      <c r="D151" s="109"/>
      <c r="E151" s="109"/>
      <c r="F151" s="109">
        <v>44369</v>
      </c>
      <c r="G151" s="109" t="s">
        <v>583</v>
      </c>
      <c r="H151" s="109"/>
      <c r="I151" s="109" t="s">
        <v>584</v>
      </c>
      <c r="J151" s="109" t="s">
        <v>585</v>
      </c>
      <c r="K151" s="109" t="s">
        <v>586</v>
      </c>
      <c r="L151" s="109" t="s">
        <v>135</v>
      </c>
      <c r="M151" s="109"/>
      <c r="N151" s="139"/>
      <c r="O151" s="139" t="s">
        <v>93</v>
      </c>
      <c r="P151" s="139">
        <v>1</v>
      </c>
      <c r="Q151" s="109">
        <v>37.619999999999997</v>
      </c>
      <c r="R151" s="136">
        <v>4</v>
      </c>
      <c r="S151" s="136">
        <v>37.619999999999997</v>
      </c>
      <c r="T151" s="109">
        <v>4</v>
      </c>
      <c r="U151" s="136">
        <v>150.47999999999999</v>
      </c>
    </row>
    <row r="152" spans="1:21" x14ac:dyDescent="0.2">
      <c r="A152" s="109">
        <v>150</v>
      </c>
      <c r="B152" s="109" t="s">
        <v>125</v>
      </c>
      <c r="C152" s="109">
        <v>1825</v>
      </c>
      <c r="D152" s="109"/>
      <c r="E152" s="109"/>
      <c r="F152" s="109">
        <v>44344</v>
      </c>
      <c r="G152" s="109" t="s">
        <v>259</v>
      </c>
      <c r="H152" s="109"/>
      <c r="I152" s="109" t="s">
        <v>587</v>
      </c>
      <c r="J152" s="109" t="s">
        <v>588</v>
      </c>
      <c r="K152" s="109" t="s">
        <v>589</v>
      </c>
      <c r="L152" s="109" t="s">
        <v>135</v>
      </c>
      <c r="M152" s="109"/>
      <c r="N152" s="139"/>
      <c r="O152" s="139" t="s">
        <v>93</v>
      </c>
      <c r="P152" s="139">
        <v>1</v>
      </c>
      <c r="Q152" s="109">
        <v>14.67</v>
      </c>
      <c r="R152" s="136">
        <v>10</v>
      </c>
      <c r="S152" s="136">
        <v>14.67</v>
      </c>
      <c r="T152" s="109">
        <v>10</v>
      </c>
      <c r="U152" s="136">
        <v>146.69999999999999</v>
      </c>
    </row>
    <row r="153" spans="1:21" x14ac:dyDescent="0.2">
      <c r="A153" s="109">
        <v>151</v>
      </c>
      <c r="B153" s="109" t="s">
        <v>125</v>
      </c>
      <c r="C153" s="109">
        <v>1848</v>
      </c>
      <c r="D153" s="109"/>
      <c r="E153" s="109"/>
      <c r="F153" s="109">
        <v>44482</v>
      </c>
      <c r="G153" s="109" t="s">
        <v>145</v>
      </c>
      <c r="H153" s="109"/>
      <c r="I153" s="109" t="s">
        <v>590</v>
      </c>
      <c r="J153" s="109" t="s">
        <v>591</v>
      </c>
      <c r="K153" s="109" t="s">
        <v>592</v>
      </c>
      <c r="L153" s="109" t="s">
        <v>135</v>
      </c>
      <c r="M153" s="109"/>
      <c r="N153" s="139"/>
      <c r="O153" s="139" t="s">
        <v>93</v>
      </c>
      <c r="P153" s="139">
        <v>1</v>
      </c>
      <c r="Q153" s="109">
        <v>47.61</v>
      </c>
      <c r="R153" s="136">
        <v>3</v>
      </c>
      <c r="S153" s="136">
        <v>47.61</v>
      </c>
      <c r="T153" s="109">
        <v>3</v>
      </c>
      <c r="U153" s="136">
        <v>142.82999999999998</v>
      </c>
    </row>
    <row r="154" spans="1:21" x14ac:dyDescent="0.2">
      <c r="A154" s="109">
        <v>152</v>
      </c>
      <c r="B154" s="109" t="s">
        <v>125</v>
      </c>
      <c r="C154" s="109">
        <v>1849</v>
      </c>
      <c r="D154" s="109"/>
      <c r="E154" s="109"/>
      <c r="F154" s="109">
        <v>44489</v>
      </c>
      <c r="G154" s="109" t="s">
        <v>259</v>
      </c>
      <c r="H154" s="109"/>
      <c r="I154" s="109" t="s">
        <v>593</v>
      </c>
      <c r="J154" s="109" t="s">
        <v>594</v>
      </c>
      <c r="K154" s="109" t="s">
        <v>595</v>
      </c>
      <c r="L154" s="109" t="s">
        <v>130</v>
      </c>
      <c r="M154" s="109"/>
      <c r="N154" s="139"/>
      <c r="O154" s="139" t="s">
        <v>93</v>
      </c>
      <c r="P154" s="139">
        <v>1</v>
      </c>
      <c r="Q154" s="109">
        <v>28.49</v>
      </c>
      <c r="R154" s="136">
        <v>5</v>
      </c>
      <c r="S154" s="136">
        <v>28.49</v>
      </c>
      <c r="T154" s="109">
        <v>5</v>
      </c>
      <c r="U154" s="136">
        <v>142.44999999999999</v>
      </c>
    </row>
    <row r="155" spans="1:21" x14ac:dyDescent="0.2">
      <c r="A155" s="109">
        <v>153</v>
      </c>
      <c r="B155" s="109" t="s">
        <v>125</v>
      </c>
      <c r="C155" s="109">
        <v>1856</v>
      </c>
      <c r="D155" s="109"/>
      <c r="E155" s="109"/>
      <c r="F155" s="109">
        <v>44559</v>
      </c>
      <c r="G155" s="109" t="s">
        <v>280</v>
      </c>
      <c r="H155" s="109"/>
      <c r="I155" s="109" t="s">
        <v>596</v>
      </c>
      <c r="J155" s="109" t="s">
        <v>353</v>
      </c>
      <c r="K155" s="109" t="s">
        <v>597</v>
      </c>
      <c r="L155" s="109" t="s">
        <v>144</v>
      </c>
      <c r="M155" s="109"/>
      <c r="N155" s="139"/>
      <c r="O155" s="139" t="s">
        <v>93</v>
      </c>
      <c r="P155" s="139">
        <v>1</v>
      </c>
      <c r="Q155" s="109">
        <v>35.14</v>
      </c>
      <c r="R155" s="136">
        <v>4</v>
      </c>
      <c r="S155" s="136">
        <v>35.14</v>
      </c>
      <c r="T155" s="109">
        <v>4</v>
      </c>
      <c r="U155" s="136">
        <v>140.56</v>
      </c>
    </row>
    <row r="156" spans="1:21" x14ac:dyDescent="0.2">
      <c r="A156" s="109">
        <v>154</v>
      </c>
      <c r="B156" s="109" t="s">
        <v>125</v>
      </c>
      <c r="C156" s="109">
        <v>1867</v>
      </c>
      <c r="D156" s="109"/>
      <c r="E156" s="109"/>
      <c r="F156" s="109">
        <v>44546</v>
      </c>
      <c r="G156" s="109" t="s">
        <v>428</v>
      </c>
      <c r="H156" s="109"/>
      <c r="I156" s="109" t="s">
        <v>598</v>
      </c>
      <c r="J156" s="109" t="s">
        <v>465</v>
      </c>
      <c r="K156" s="109" t="s">
        <v>599</v>
      </c>
      <c r="L156" s="109" t="s">
        <v>130</v>
      </c>
      <c r="M156" s="109"/>
      <c r="N156" s="139"/>
      <c r="O156" s="139" t="s">
        <v>93</v>
      </c>
      <c r="P156" s="139">
        <v>1</v>
      </c>
      <c r="Q156" s="109">
        <v>34.409999999999997</v>
      </c>
      <c r="R156" s="136">
        <v>4</v>
      </c>
      <c r="S156" s="136">
        <v>34.409999999999997</v>
      </c>
      <c r="T156" s="109">
        <v>4</v>
      </c>
      <c r="U156" s="136">
        <v>137.63999999999999</v>
      </c>
    </row>
    <row r="157" spans="1:21" x14ac:dyDescent="0.2">
      <c r="A157" s="109">
        <v>155</v>
      </c>
      <c r="B157" s="109" t="s">
        <v>125</v>
      </c>
      <c r="C157" s="109">
        <v>1877</v>
      </c>
      <c r="D157" s="109"/>
      <c r="E157" s="109"/>
      <c r="F157" s="109">
        <v>44503</v>
      </c>
      <c r="G157" s="109" t="s">
        <v>193</v>
      </c>
      <c r="H157" s="109"/>
      <c r="I157" s="109" t="s">
        <v>600</v>
      </c>
      <c r="J157" s="109" t="s">
        <v>179</v>
      </c>
      <c r="K157" s="109" t="s">
        <v>601</v>
      </c>
      <c r="L157" s="109" t="s">
        <v>144</v>
      </c>
      <c r="M157" s="109"/>
      <c r="N157" s="139"/>
      <c r="O157" s="139" t="s">
        <v>93</v>
      </c>
      <c r="P157" s="139">
        <v>1</v>
      </c>
      <c r="Q157" s="109">
        <v>67.209999999999994</v>
      </c>
      <c r="R157" s="136">
        <v>2</v>
      </c>
      <c r="S157" s="136">
        <v>67.209999999999994</v>
      </c>
      <c r="T157" s="109">
        <v>2</v>
      </c>
      <c r="U157" s="136">
        <v>134.41999999999999</v>
      </c>
    </row>
    <row r="158" spans="1:21" x14ac:dyDescent="0.2">
      <c r="A158" s="109">
        <v>156</v>
      </c>
      <c r="B158" s="109" t="s">
        <v>125</v>
      </c>
      <c r="C158" s="109">
        <v>1882</v>
      </c>
      <c r="D158" s="109"/>
      <c r="E158" s="109"/>
      <c r="F158" s="109">
        <v>44405</v>
      </c>
      <c r="G158" s="109" t="s">
        <v>602</v>
      </c>
      <c r="H158" s="109"/>
      <c r="I158" s="109" t="s">
        <v>603</v>
      </c>
      <c r="J158" s="109" t="s">
        <v>604</v>
      </c>
      <c r="K158" s="109" t="s">
        <v>605</v>
      </c>
      <c r="L158" s="109" t="s">
        <v>135</v>
      </c>
      <c r="M158" s="109"/>
      <c r="N158" s="139"/>
      <c r="O158" s="139" t="s">
        <v>93</v>
      </c>
      <c r="P158" s="139">
        <v>1</v>
      </c>
      <c r="Q158" s="109">
        <v>66.87</v>
      </c>
      <c r="R158" s="136">
        <v>2</v>
      </c>
      <c r="S158" s="136">
        <v>66.87</v>
      </c>
      <c r="T158" s="109">
        <v>2</v>
      </c>
      <c r="U158" s="136">
        <v>133.74</v>
      </c>
    </row>
    <row r="159" spans="1:21" x14ac:dyDescent="0.2">
      <c r="A159" s="109">
        <v>157</v>
      </c>
      <c r="B159" s="109" t="s">
        <v>125</v>
      </c>
      <c r="C159" s="109">
        <v>1887</v>
      </c>
      <c r="D159" s="109"/>
      <c r="E159" s="109"/>
      <c r="F159" s="109">
        <v>44258</v>
      </c>
      <c r="G159" s="109" t="s">
        <v>163</v>
      </c>
      <c r="H159" s="109"/>
      <c r="I159" s="109" t="s">
        <v>606</v>
      </c>
      <c r="J159" s="109" t="s">
        <v>535</v>
      </c>
      <c r="K159" s="109" t="s">
        <v>607</v>
      </c>
      <c r="L159" s="109" t="s">
        <v>135</v>
      </c>
      <c r="M159" s="109"/>
      <c r="N159" s="139"/>
      <c r="O159" s="139" t="s">
        <v>93</v>
      </c>
      <c r="P159" s="139">
        <v>1</v>
      </c>
      <c r="Q159" s="109">
        <v>16.420000000000002</v>
      </c>
      <c r="R159" s="136">
        <v>8</v>
      </c>
      <c r="S159" s="136">
        <v>16.420000000000002</v>
      </c>
      <c r="T159" s="109">
        <v>8</v>
      </c>
      <c r="U159" s="136">
        <v>131.36000000000001</v>
      </c>
    </row>
    <row r="160" spans="1:21" x14ac:dyDescent="0.2">
      <c r="A160" s="109">
        <v>158</v>
      </c>
      <c r="B160" s="109" t="s">
        <v>125</v>
      </c>
      <c r="C160" s="109">
        <v>1899</v>
      </c>
      <c r="D160" s="109"/>
      <c r="E160" s="109"/>
      <c r="F160" s="109">
        <v>44364</v>
      </c>
      <c r="G160" s="109" t="s">
        <v>395</v>
      </c>
      <c r="H160" s="109"/>
      <c r="I160" s="109" t="s">
        <v>608</v>
      </c>
      <c r="J160" s="109" t="s">
        <v>609</v>
      </c>
      <c r="K160" s="109" t="s">
        <v>610</v>
      </c>
      <c r="L160" s="109" t="s">
        <v>135</v>
      </c>
      <c r="M160" s="109"/>
      <c r="N160" s="139"/>
      <c r="O160" s="139" t="s">
        <v>93</v>
      </c>
      <c r="P160" s="139">
        <v>1</v>
      </c>
      <c r="Q160" s="109">
        <v>32.159999999999997</v>
      </c>
      <c r="R160" s="136">
        <v>4</v>
      </c>
      <c r="S160" s="136">
        <v>32.159999999999997</v>
      </c>
      <c r="T160" s="109">
        <v>4</v>
      </c>
      <c r="U160" s="136">
        <v>128.63999999999999</v>
      </c>
    </row>
    <row r="161" spans="1:21" x14ac:dyDescent="0.2">
      <c r="A161" s="109">
        <v>159</v>
      </c>
      <c r="B161" s="109" t="s">
        <v>125</v>
      </c>
      <c r="C161" s="109">
        <v>1930</v>
      </c>
      <c r="D161" s="109"/>
      <c r="E161" s="109"/>
      <c r="F161" s="109">
        <v>44524</v>
      </c>
      <c r="G161" s="109" t="s">
        <v>446</v>
      </c>
      <c r="H161" s="109"/>
      <c r="I161" s="109" t="s">
        <v>611</v>
      </c>
      <c r="J161" s="109" t="s">
        <v>612</v>
      </c>
      <c r="K161" s="109" t="s">
        <v>613</v>
      </c>
      <c r="L161" s="109" t="s">
        <v>135</v>
      </c>
      <c r="M161" s="109"/>
      <c r="N161" s="139"/>
      <c r="O161" s="139" t="s">
        <v>93</v>
      </c>
      <c r="P161" s="139">
        <v>1</v>
      </c>
      <c r="Q161" s="109">
        <v>20.18</v>
      </c>
      <c r="R161" s="136">
        <v>6</v>
      </c>
      <c r="S161" s="136">
        <v>20.18</v>
      </c>
      <c r="T161" s="109">
        <v>6</v>
      </c>
      <c r="U161" s="136">
        <v>121.08</v>
      </c>
    </row>
    <row r="162" spans="1:21" x14ac:dyDescent="0.2">
      <c r="A162" s="109">
        <v>160</v>
      </c>
      <c r="B162" s="109" t="s">
        <v>125</v>
      </c>
      <c r="C162" s="109">
        <v>1933</v>
      </c>
      <c r="D162" s="109"/>
      <c r="E162" s="109"/>
      <c r="F162" s="109">
        <v>44477</v>
      </c>
      <c r="G162" s="109" t="s">
        <v>614</v>
      </c>
      <c r="H162" s="109"/>
      <c r="I162" s="109" t="s">
        <v>615</v>
      </c>
      <c r="J162" s="109" t="s">
        <v>616</v>
      </c>
      <c r="K162" s="109" t="s">
        <v>617</v>
      </c>
      <c r="L162" s="109" t="s">
        <v>135</v>
      </c>
      <c r="M162" s="109"/>
      <c r="N162" s="139"/>
      <c r="O162" s="139" t="s">
        <v>93</v>
      </c>
      <c r="P162" s="139">
        <v>1</v>
      </c>
      <c r="Q162" s="109">
        <v>40.130000000000003</v>
      </c>
      <c r="R162" s="136">
        <v>3</v>
      </c>
      <c r="S162" s="136">
        <v>40.130000000000003</v>
      </c>
      <c r="T162" s="109">
        <v>3</v>
      </c>
      <c r="U162" s="136">
        <v>120.39000000000001</v>
      </c>
    </row>
    <row r="163" spans="1:21" x14ac:dyDescent="0.2">
      <c r="A163" s="109">
        <v>161</v>
      </c>
      <c r="B163" s="109" t="s">
        <v>125</v>
      </c>
      <c r="C163" s="109">
        <v>1945</v>
      </c>
      <c r="D163" s="109"/>
      <c r="E163" s="109"/>
      <c r="F163" s="109">
        <v>44342</v>
      </c>
      <c r="G163" s="109" t="s">
        <v>618</v>
      </c>
      <c r="H163" s="109"/>
      <c r="I163" s="109" t="s">
        <v>619</v>
      </c>
      <c r="J163" s="109" t="s">
        <v>620</v>
      </c>
      <c r="K163" s="109" t="s">
        <v>621</v>
      </c>
      <c r="L163" s="109" t="s">
        <v>135</v>
      </c>
      <c r="M163" s="109"/>
      <c r="N163" s="139"/>
      <c r="O163" s="139" t="s">
        <v>93</v>
      </c>
      <c r="P163" s="139">
        <v>1</v>
      </c>
      <c r="Q163" s="109">
        <v>59.96</v>
      </c>
      <c r="R163" s="136">
        <v>2</v>
      </c>
      <c r="S163" s="136">
        <v>59.96</v>
      </c>
      <c r="T163" s="109">
        <v>2</v>
      </c>
      <c r="U163" s="136">
        <v>119.92</v>
      </c>
    </row>
    <row r="164" spans="1:21" x14ac:dyDescent="0.2">
      <c r="A164" s="109">
        <v>162</v>
      </c>
      <c r="B164" s="109" t="s">
        <v>125</v>
      </c>
      <c r="C164" s="109">
        <v>1954</v>
      </c>
      <c r="D164" s="109"/>
      <c r="E164" s="109"/>
      <c r="F164" s="109">
        <v>44308</v>
      </c>
      <c r="G164" s="109" t="s">
        <v>145</v>
      </c>
      <c r="H164" s="109"/>
      <c r="I164" s="109" t="s">
        <v>622</v>
      </c>
      <c r="J164" s="109" t="s">
        <v>623</v>
      </c>
      <c r="K164" s="109" t="s">
        <v>624</v>
      </c>
      <c r="L164" s="109" t="s">
        <v>135</v>
      </c>
      <c r="M164" s="109"/>
      <c r="N164" s="139"/>
      <c r="O164" s="139" t="s">
        <v>93</v>
      </c>
      <c r="P164" s="139">
        <v>1</v>
      </c>
      <c r="Q164" s="109">
        <v>59.04</v>
      </c>
      <c r="R164" s="136">
        <v>2</v>
      </c>
      <c r="S164" s="136">
        <v>59.04</v>
      </c>
      <c r="T164" s="109">
        <v>2</v>
      </c>
      <c r="U164" s="136">
        <v>118.08</v>
      </c>
    </row>
    <row r="165" spans="1:21" x14ac:dyDescent="0.2">
      <c r="A165" s="109">
        <v>163</v>
      </c>
      <c r="B165" s="109" t="s">
        <v>125</v>
      </c>
      <c r="C165" s="109">
        <v>1955</v>
      </c>
      <c r="D165" s="109"/>
      <c r="E165" s="109"/>
      <c r="F165" s="109">
        <v>44503</v>
      </c>
      <c r="G165" s="109" t="s">
        <v>140</v>
      </c>
      <c r="H165" s="109"/>
      <c r="I165" s="109" t="s">
        <v>625</v>
      </c>
      <c r="J165" s="109" t="s">
        <v>415</v>
      </c>
      <c r="K165" s="109" t="s">
        <v>626</v>
      </c>
      <c r="L165" s="109" t="s">
        <v>144</v>
      </c>
      <c r="M165" s="109"/>
      <c r="N165" s="139"/>
      <c r="O165" s="139" t="s">
        <v>93</v>
      </c>
      <c r="P165" s="139">
        <v>1</v>
      </c>
      <c r="Q165" s="109">
        <v>23.53</v>
      </c>
      <c r="R165" s="136">
        <v>5</v>
      </c>
      <c r="S165" s="136">
        <v>23.53</v>
      </c>
      <c r="T165" s="109">
        <v>5</v>
      </c>
      <c r="U165" s="136">
        <v>117.65</v>
      </c>
    </row>
    <row r="166" spans="1:21" x14ac:dyDescent="0.2">
      <c r="A166" s="109">
        <v>164</v>
      </c>
      <c r="B166" s="109" t="s">
        <v>125</v>
      </c>
      <c r="C166" s="109">
        <v>1963</v>
      </c>
      <c r="D166" s="109"/>
      <c r="E166" s="109"/>
      <c r="F166" s="109">
        <v>44421</v>
      </c>
      <c r="G166" s="109" t="s">
        <v>145</v>
      </c>
      <c r="H166" s="109"/>
      <c r="I166" s="109" t="s">
        <v>627</v>
      </c>
      <c r="J166" s="109" t="s">
        <v>549</v>
      </c>
      <c r="K166" s="109" t="s">
        <v>628</v>
      </c>
      <c r="L166" s="109" t="s">
        <v>135</v>
      </c>
      <c r="M166" s="109"/>
      <c r="N166" s="139"/>
      <c r="O166" s="139" t="s">
        <v>93</v>
      </c>
      <c r="P166" s="139">
        <v>1</v>
      </c>
      <c r="Q166" s="109">
        <v>57.64</v>
      </c>
      <c r="R166" s="136">
        <v>2</v>
      </c>
      <c r="S166" s="136">
        <v>57.64</v>
      </c>
      <c r="T166" s="109">
        <v>2</v>
      </c>
      <c r="U166" s="136">
        <v>115.28</v>
      </c>
    </row>
    <row r="167" spans="1:21" x14ac:dyDescent="0.2">
      <c r="A167" s="109">
        <v>165</v>
      </c>
      <c r="B167" s="109" t="s">
        <v>125</v>
      </c>
      <c r="C167" s="109">
        <v>1991</v>
      </c>
      <c r="D167" s="109"/>
      <c r="E167" s="109"/>
      <c r="F167" s="109">
        <v>44272</v>
      </c>
      <c r="G167" s="109" t="s">
        <v>145</v>
      </c>
      <c r="H167" s="109"/>
      <c r="I167" s="109" t="s">
        <v>629</v>
      </c>
      <c r="J167" s="109" t="s">
        <v>630</v>
      </c>
      <c r="K167" s="109" t="s">
        <v>631</v>
      </c>
      <c r="L167" s="109" t="s">
        <v>135</v>
      </c>
      <c r="M167" s="109"/>
      <c r="N167" s="139"/>
      <c r="O167" s="139" t="s">
        <v>93</v>
      </c>
      <c r="P167" s="139">
        <v>1</v>
      </c>
      <c r="Q167" s="109">
        <v>36.97</v>
      </c>
      <c r="R167" s="136">
        <v>3</v>
      </c>
      <c r="S167" s="136">
        <v>36.97</v>
      </c>
      <c r="T167" s="109">
        <v>3</v>
      </c>
      <c r="U167" s="136">
        <v>110.91</v>
      </c>
    </row>
    <row r="168" spans="1:21" x14ac:dyDescent="0.2">
      <c r="A168" s="109">
        <v>166</v>
      </c>
      <c r="B168" s="109" t="s">
        <v>125</v>
      </c>
      <c r="C168" s="109">
        <v>1994</v>
      </c>
      <c r="D168" s="109"/>
      <c r="E168" s="109"/>
      <c r="F168" s="109">
        <v>44362</v>
      </c>
      <c r="G168" s="109" t="s">
        <v>247</v>
      </c>
      <c r="H168" s="109"/>
      <c r="I168" s="109" t="s">
        <v>632</v>
      </c>
      <c r="J168" s="109" t="s">
        <v>249</v>
      </c>
      <c r="K168" s="109" t="s">
        <v>633</v>
      </c>
      <c r="L168" s="109" t="s">
        <v>135</v>
      </c>
      <c r="M168" s="109"/>
      <c r="N168" s="139"/>
      <c r="O168" s="139" t="s">
        <v>93</v>
      </c>
      <c r="P168" s="139">
        <v>1</v>
      </c>
      <c r="Q168" s="109">
        <v>22.09</v>
      </c>
      <c r="R168" s="136">
        <v>5</v>
      </c>
      <c r="S168" s="136">
        <v>22.09</v>
      </c>
      <c r="T168" s="109">
        <v>5</v>
      </c>
      <c r="U168" s="136">
        <v>110.45</v>
      </c>
    </row>
    <row r="169" spans="1:21" x14ac:dyDescent="0.2">
      <c r="A169" s="109">
        <v>167</v>
      </c>
      <c r="B169" s="109" t="s">
        <v>125</v>
      </c>
      <c r="C169" s="109">
        <v>1995</v>
      </c>
      <c r="D169" s="109"/>
      <c r="E169" s="109"/>
      <c r="F169" s="109">
        <v>44539</v>
      </c>
      <c r="G169" s="109" t="s">
        <v>185</v>
      </c>
      <c r="H169" s="109"/>
      <c r="I169" s="109" t="s">
        <v>634</v>
      </c>
      <c r="J169" s="109" t="s">
        <v>187</v>
      </c>
      <c r="K169" s="109" t="s">
        <v>635</v>
      </c>
      <c r="L169" s="109" t="s">
        <v>130</v>
      </c>
      <c r="M169" s="109"/>
      <c r="N169" s="139"/>
      <c r="O169" s="139" t="s">
        <v>93</v>
      </c>
      <c r="P169" s="139">
        <v>1</v>
      </c>
      <c r="Q169" s="109">
        <v>36.770000000000003</v>
      </c>
      <c r="R169" s="136">
        <v>3</v>
      </c>
      <c r="S169" s="136">
        <v>36.770000000000003</v>
      </c>
      <c r="T169" s="109">
        <v>3</v>
      </c>
      <c r="U169" s="136">
        <v>110.31</v>
      </c>
    </row>
    <row r="170" spans="1:21" x14ac:dyDescent="0.2">
      <c r="A170" s="109">
        <v>168</v>
      </c>
      <c r="B170" s="109" t="s">
        <v>125</v>
      </c>
      <c r="C170" s="109">
        <v>2001</v>
      </c>
      <c r="D170" s="109"/>
      <c r="E170" s="109"/>
      <c r="F170" s="109">
        <v>44524</v>
      </c>
      <c r="G170" s="109" t="s">
        <v>475</v>
      </c>
      <c r="H170" s="109"/>
      <c r="I170" s="109" t="s">
        <v>636</v>
      </c>
      <c r="J170" s="109" t="s">
        <v>637</v>
      </c>
      <c r="K170" s="109" t="s">
        <v>638</v>
      </c>
      <c r="L170" s="109" t="s">
        <v>144</v>
      </c>
      <c r="M170" s="109"/>
      <c r="N170" s="139"/>
      <c r="O170" s="139" t="s">
        <v>93</v>
      </c>
      <c r="P170" s="139">
        <v>1</v>
      </c>
      <c r="Q170" s="109">
        <v>27.36</v>
      </c>
      <c r="R170" s="136">
        <v>4</v>
      </c>
      <c r="S170" s="136">
        <v>27.36</v>
      </c>
      <c r="T170" s="109">
        <v>4</v>
      </c>
      <c r="U170" s="136">
        <v>109.44</v>
      </c>
    </row>
    <row r="171" spans="1:21" x14ac:dyDescent="0.2">
      <c r="A171" s="109">
        <v>169</v>
      </c>
      <c r="B171" s="109" t="s">
        <v>125</v>
      </c>
      <c r="C171" s="109">
        <v>2014</v>
      </c>
      <c r="D171" s="109"/>
      <c r="E171" s="109"/>
      <c r="F171" s="109">
        <v>44495</v>
      </c>
      <c r="G171" s="109" t="s">
        <v>259</v>
      </c>
      <c r="H171" s="109"/>
      <c r="I171" s="109" t="s">
        <v>639</v>
      </c>
      <c r="J171" s="109" t="s">
        <v>259</v>
      </c>
      <c r="K171" s="109" t="s">
        <v>640</v>
      </c>
      <c r="L171" s="109" t="s">
        <v>130</v>
      </c>
      <c r="M171" s="109"/>
      <c r="N171" s="139"/>
      <c r="O171" s="139" t="s">
        <v>93</v>
      </c>
      <c r="P171" s="139">
        <v>1</v>
      </c>
      <c r="Q171" s="109">
        <v>53.64</v>
      </c>
      <c r="R171" s="136">
        <v>2</v>
      </c>
      <c r="S171" s="136">
        <v>53.64</v>
      </c>
      <c r="T171" s="109">
        <v>2</v>
      </c>
      <c r="U171" s="136">
        <v>107.28</v>
      </c>
    </row>
    <row r="172" spans="1:21" x14ac:dyDescent="0.2">
      <c r="A172" s="109">
        <v>170</v>
      </c>
      <c r="B172" s="109" t="s">
        <v>125</v>
      </c>
      <c r="C172" s="109">
        <v>2045</v>
      </c>
      <c r="D172" s="109"/>
      <c r="E172" s="109"/>
      <c r="F172" s="109">
        <v>44207</v>
      </c>
      <c r="G172" s="109" t="s">
        <v>641</v>
      </c>
      <c r="H172" s="109"/>
      <c r="I172" s="109" t="s">
        <v>642</v>
      </c>
      <c r="J172" s="109" t="s">
        <v>643</v>
      </c>
      <c r="K172" s="109" t="s">
        <v>644</v>
      </c>
      <c r="L172" s="109" t="s">
        <v>135</v>
      </c>
      <c r="M172" s="109"/>
      <c r="N172" s="139"/>
      <c r="O172" s="139" t="s">
        <v>93</v>
      </c>
      <c r="P172" s="139">
        <v>1</v>
      </c>
      <c r="Q172" s="109">
        <v>51.41</v>
      </c>
      <c r="R172" s="136">
        <v>2</v>
      </c>
      <c r="S172" s="136">
        <v>51.41</v>
      </c>
      <c r="T172" s="109">
        <v>2</v>
      </c>
      <c r="U172" s="136">
        <v>102.82</v>
      </c>
    </row>
    <row r="173" spans="1:21" x14ac:dyDescent="0.2">
      <c r="A173" s="109">
        <v>171</v>
      </c>
      <c r="B173" s="109" t="s">
        <v>125</v>
      </c>
      <c r="C173" s="109">
        <v>2046</v>
      </c>
      <c r="D173" s="109"/>
      <c r="E173" s="109"/>
      <c r="F173" s="109">
        <v>44342</v>
      </c>
      <c r="G173" s="109" t="s">
        <v>618</v>
      </c>
      <c r="H173" s="109"/>
      <c r="I173" s="109" t="s">
        <v>645</v>
      </c>
      <c r="J173" s="109" t="s">
        <v>620</v>
      </c>
      <c r="K173" s="109" t="s">
        <v>646</v>
      </c>
      <c r="L173" s="109" t="s">
        <v>135</v>
      </c>
      <c r="M173" s="109"/>
      <c r="N173" s="139"/>
      <c r="O173" s="139" t="s">
        <v>93</v>
      </c>
      <c r="P173" s="139">
        <v>1</v>
      </c>
      <c r="Q173" s="109">
        <v>51.37</v>
      </c>
      <c r="R173" s="136">
        <v>2</v>
      </c>
      <c r="S173" s="136">
        <v>51.37</v>
      </c>
      <c r="T173" s="109">
        <v>2</v>
      </c>
      <c r="U173" s="136">
        <v>102.74</v>
      </c>
    </row>
    <row r="174" spans="1:21" x14ac:dyDescent="0.2">
      <c r="A174" s="109">
        <v>172</v>
      </c>
      <c r="B174" s="109" t="s">
        <v>125</v>
      </c>
      <c r="C174" s="109">
        <v>2051</v>
      </c>
      <c r="D174" s="109"/>
      <c r="E174" s="109"/>
      <c r="F174" s="109">
        <v>44214</v>
      </c>
      <c r="G174" s="109" t="s">
        <v>145</v>
      </c>
      <c r="H174" s="109"/>
      <c r="I174" s="109" t="s">
        <v>647</v>
      </c>
      <c r="J174" s="109" t="s">
        <v>549</v>
      </c>
      <c r="K174" s="109" t="s">
        <v>648</v>
      </c>
      <c r="L174" s="109" t="s">
        <v>135</v>
      </c>
      <c r="M174" s="109"/>
      <c r="N174" s="139"/>
      <c r="O174" s="139" t="s">
        <v>93</v>
      </c>
      <c r="P174" s="139">
        <v>1</v>
      </c>
      <c r="Q174" s="109">
        <v>17.03</v>
      </c>
      <c r="R174" s="136">
        <v>6</v>
      </c>
      <c r="S174" s="136">
        <v>17.03</v>
      </c>
      <c r="T174" s="109">
        <v>6</v>
      </c>
      <c r="U174" s="136">
        <v>102.18</v>
      </c>
    </row>
    <row r="175" spans="1:21" x14ac:dyDescent="0.2">
      <c r="A175" s="109">
        <v>173</v>
      </c>
      <c r="B175" s="109" t="s">
        <v>125</v>
      </c>
      <c r="C175" s="109">
        <v>2061</v>
      </c>
      <c r="D175" s="109"/>
      <c r="E175" s="109"/>
      <c r="F175" s="109">
        <v>44495</v>
      </c>
      <c r="G175" s="109" t="s">
        <v>475</v>
      </c>
      <c r="H175" s="109"/>
      <c r="I175" s="109" t="s">
        <v>649</v>
      </c>
      <c r="J175" s="109" t="s">
        <v>477</v>
      </c>
      <c r="K175" s="109" t="s">
        <v>650</v>
      </c>
      <c r="L175" s="109" t="s">
        <v>130</v>
      </c>
      <c r="M175" s="109"/>
      <c r="N175" s="139"/>
      <c r="O175" s="139" t="s">
        <v>93</v>
      </c>
      <c r="P175" s="139">
        <v>1</v>
      </c>
      <c r="Q175" s="109">
        <v>10.09</v>
      </c>
      <c r="R175" s="136">
        <v>10</v>
      </c>
      <c r="S175" s="136">
        <v>10.09</v>
      </c>
      <c r="T175" s="109">
        <v>10</v>
      </c>
      <c r="U175" s="136">
        <v>100.9</v>
      </c>
    </row>
    <row r="176" spans="1:21" x14ac:dyDescent="0.2">
      <c r="A176" s="109">
        <v>174</v>
      </c>
      <c r="B176" s="109" t="s">
        <v>125</v>
      </c>
      <c r="C176" s="109">
        <v>2064</v>
      </c>
      <c r="D176" s="109"/>
      <c r="E176" s="109"/>
      <c r="F176" s="109">
        <v>44239</v>
      </c>
      <c r="G176" s="109" t="s">
        <v>131</v>
      </c>
      <c r="H176" s="109"/>
      <c r="I176" s="109" t="s">
        <v>651</v>
      </c>
      <c r="J176" s="109" t="s">
        <v>128</v>
      </c>
      <c r="K176" s="109" t="s">
        <v>652</v>
      </c>
      <c r="L176" s="109" t="s">
        <v>135</v>
      </c>
      <c r="M176" s="109"/>
      <c r="N176" s="139"/>
      <c r="O176" s="139" t="s">
        <v>93</v>
      </c>
      <c r="P176" s="139">
        <v>1</v>
      </c>
      <c r="Q176" s="109">
        <v>10.02</v>
      </c>
      <c r="R176" s="136">
        <v>10</v>
      </c>
      <c r="S176" s="136">
        <v>10.02</v>
      </c>
      <c r="T176" s="109">
        <v>10</v>
      </c>
      <c r="U176" s="136">
        <v>100.19999999999999</v>
      </c>
    </row>
    <row r="177" spans="1:21" x14ac:dyDescent="0.2">
      <c r="A177" s="109">
        <v>175</v>
      </c>
      <c r="B177" s="109" t="s">
        <v>125</v>
      </c>
      <c r="C177" s="109">
        <v>2065</v>
      </c>
      <c r="D177" s="109"/>
      <c r="E177" s="109"/>
      <c r="F177" s="109">
        <v>44477</v>
      </c>
      <c r="G177" s="109" t="s">
        <v>497</v>
      </c>
      <c r="H177" s="109"/>
      <c r="I177" s="109" t="s">
        <v>653</v>
      </c>
      <c r="J177" s="109" t="s">
        <v>654</v>
      </c>
      <c r="K177" s="109" t="s">
        <v>655</v>
      </c>
      <c r="L177" s="109" t="s">
        <v>130</v>
      </c>
      <c r="M177" s="109"/>
      <c r="N177" s="139"/>
      <c r="O177" s="139" t="s">
        <v>93</v>
      </c>
      <c r="P177" s="139">
        <v>1</v>
      </c>
      <c r="Q177" s="109">
        <v>19.920000000000002</v>
      </c>
      <c r="R177" s="136">
        <v>5</v>
      </c>
      <c r="S177" s="136">
        <v>19.920000000000002</v>
      </c>
      <c r="T177" s="109">
        <v>5</v>
      </c>
      <c r="U177" s="136">
        <v>99.600000000000009</v>
      </c>
    </row>
    <row r="178" spans="1:21" x14ac:dyDescent="0.2">
      <c r="A178" s="109">
        <v>176</v>
      </c>
      <c r="B178" s="109" t="s">
        <v>125</v>
      </c>
      <c r="C178" s="109">
        <v>2069</v>
      </c>
      <c r="D178" s="109"/>
      <c r="E178" s="109"/>
      <c r="F178" s="109">
        <v>44244</v>
      </c>
      <c r="G178" s="109" t="s">
        <v>259</v>
      </c>
      <c r="H178" s="109"/>
      <c r="I178" s="109" t="s">
        <v>656</v>
      </c>
      <c r="J178" s="109" t="s">
        <v>386</v>
      </c>
      <c r="K178" s="109" t="s">
        <v>657</v>
      </c>
      <c r="L178" s="109" t="s">
        <v>135</v>
      </c>
      <c r="M178" s="109"/>
      <c r="N178" s="139"/>
      <c r="O178" s="139" t="s">
        <v>93</v>
      </c>
      <c r="P178" s="139">
        <v>1</v>
      </c>
      <c r="Q178" s="109">
        <v>49.54</v>
      </c>
      <c r="R178" s="136">
        <v>2</v>
      </c>
      <c r="S178" s="136">
        <v>49.54</v>
      </c>
      <c r="T178" s="109">
        <v>2</v>
      </c>
      <c r="U178" s="136">
        <v>99.08</v>
      </c>
    </row>
    <row r="179" spans="1:21" x14ac:dyDescent="0.2">
      <c r="A179" s="109">
        <v>177</v>
      </c>
      <c r="B179" s="109" t="s">
        <v>125</v>
      </c>
      <c r="C179" s="109">
        <v>2071</v>
      </c>
      <c r="D179" s="109"/>
      <c r="E179" s="109"/>
      <c r="F179" s="109">
        <v>44478</v>
      </c>
      <c r="G179" s="109" t="s">
        <v>140</v>
      </c>
      <c r="H179" s="109"/>
      <c r="I179" s="109" t="s">
        <v>658</v>
      </c>
      <c r="J179" s="109" t="s">
        <v>415</v>
      </c>
      <c r="K179" s="109" t="s">
        <v>659</v>
      </c>
      <c r="L179" s="109" t="s">
        <v>144</v>
      </c>
      <c r="M179" s="109"/>
      <c r="N179" s="139"/>
      <c r="O179" s="139" t="s">
        <v>93</v>
      </c>
      <c r="P179" s="139">
        <v>1</v>
      </c>
      <c r="Q179" s="109">
        <v>49.54</v>
      </c>
      <c r="R179" s="136">
        <v>2</v>
      </c>
      <c r="S179" s="136">
        <v>49.54</v>
      </c>
      <c r="T179" s="109">
        <v>2</v>
      </c>
      <c r="U179" s="136">
        <v>99.08</v>
      </c>
    </row>
    <row r="180" spans="1:21" x14ac:dyDescent="0.2">
      <c r="A180" s="109">
        <v>178</v>
      </c>
      <c r="B180" s="109" t="s">
        <v>125</v>
      </c>
      <c r="C180" s="109">
        <v>2075</v>
      </c>
      <c r="D180" s="109"/>
      <c r="E180" s="109"/>
      <c r="F180" s="109">
        <v>44313</v>
      </c>
      <c r="G180" s="109" t="s">
        <v>145</v>
      </c>
      <c r="H180" s="109"/>
      <c r="I180" s="109" t="s">
        <v>660</v>
      </c>
      <c r="J180" s="109" t="s">
        <v>661</v>
      </c>
      <c r="K180" s="109" t="s">
        <v>662</v>
      </c>
      <c r="L180" s="109" t="s">
        <v>135</v>
      </c>
      <c r="M180" s="109"/>
      <c r="N180" s="139"/>
      <c r="O180" s="139" t="s">
        <v>93</v>
      </c>
      <c r="P180" s="139">
        <v>1</v>
      </c>
      <c r="Q180" s="109">
        <v>49.28</v>
      </c>
      <c r="R180" s="136">
        <v>2</v>
      </c>
      <c r="S180" s="136">
        <v>49.28</v>
      </c>
      <c r="T180" s="109">
        <v>2</v>
      </c>
      <c r="U180" s="136">
        <v>98.56</v>
      </c>
    </row>
    <row r="181" spans="1:21" x14ac:dyDescent="0.2">
      <c r="A181" s="109">
        <v>179</v>
      </c>
      <c r="B181" s="109" t="s">
        <v>125</v>
      </c>
      <c r="C181" s="109">
        <v>2081</v>
      </c>
      <c r="D181" s="109"/>
      <c r="E181" s="109"/>
      <c r="F181" s="109">
        <v>44365</v>
      </c>
      <c r="G181" s="109" t="s">
        <v>163</v>
      </c>
      <c r="H181" s="109"/>
      <c r="I181" s="109" t="s">
        <v>663</v>
      </c>
      <c r="J181" s="109" t="s">
        <v>620</v>
      </c>
      <c r="K181" s="109" t="s">
        <v>664</v>
      </c>
      <c r="L181" s="109" t="s">
        <v>135</v>
      </c>
      <c r="M181" s="109"/>
      <c r="N181" s="139"/>
      <c r="O181" s="139" t="s">
        <v>93</v>
      </c>
      <c r="P181" s="139">
        <v>1</v>
      </c>
      <c r="Q181" s="109">
        <v>32.64</v>
      </c>
      <c r="R181" s="136">
        <v>3</v>
      </c>
      <c r="S181" s="136">
        <v>32.64</v>
      </c>
      <c r="T181" s="109">
        <v>3</v>
      </c>
      <c r="U181" s="136">
        <v>97.92</v>
      </c>
    </row>
    <row r="182" spans="1:21" x14ac:dyDescent="0.2">
      <c r="A182" s="109">
        <v>180</v>
      </c>
      <c r="B182" s="109" t="s">
        <v>125</v>
      </c>
      <c r="C182" s="109">
        <v>2083</v>
      </c>
      <c r="D182" s="109"/>
      <c r="E182" s="109"/>
      <c r="F182" s="109">
        <v>44431</v>
      </c>
      <c r="G182" s="109" t="s">
        <v>136</v>
      </c>
      <c r="H182" s="109"/>
      <c r="I182" s="109" t="s">
        <v>665</v>
      </c>
      <c r="J182" s="109" t="s">
        <v>138</v>
      </c>
      <c r="K182" s="109" t="s">
        <v>666</v>
      </c>
      <c r="L182" s="109" t="s">
        <v>135</v>
      </c>
      <c r="M182" s="109"/>
      <c r="N182" s="139"/>
      <c r="O182" s="139" t="s">
        <v>93</v>
      </c>
      <c r="P182" s="139">
        <v>1</v>
      </c>
      <c r="Q182" s="109">
        <v>24.39</v>
      </c>
      <c r="R182" s="136">
        <v>4</v>
      </c>
      <c r="S182" s="136">
        <v>24.39</v>
      </c>
      <c r="T182" s="109">
        <v>4</v>
      </c>
      <c r="U182" s="136">
        <v>97.56</v>
      </c>
    </row>
    <row r="183" spans="1:21" x14ac:dyDescent="0.2">
      <c r="A183" s="109">
        <v>181</v>
      </c>
      <c r="B183" s="109" t="s">
        <v>125</v>
      </c>
      <c r="C183" s="109">
        <v>2106</v>
      </c>
      <c r="D183" s="109"/>
      <c r="E183" s="109"/>
      <c r="F183" s="109">
        <v>44560</v>
      </c>
      <c r="G183" s="109" t="s">
        <v>388</v>
      </c>
      <c r="H183" s="109"/>
      <c r="I183" s="109" t="s">
        <v>667</v>
      </c>
      <c r="J183" s="109" t="s">
        <v>668</v>
      </c>
      <c r="K183" s="109" t="s">
        <v>669</v>
      </c>
      <c r="L183" s="109" t="s">
        <v>135</v>
      </c>
      <c r="M183" s="109"/>
      <c r="N183" s="139"/>
      <c r="O183" s="139" t="s">
        <v>93</v>
      </c>
      <c r="P183" s="139">
        <v>1</v>
      </c>
      <c r="Q183" s="109">
        <v>23.59</v>
      </c>
      <c r="R183" s="136">
        <v>4</v>
      </c>
      <c r="S183" s="136">
        <v>23.59</v>
      </c>
      <c r="T183" s="109">
        <v>4</v>
      </c>
      <c r="U183" s="136">
        <v>94.36</v>
      </c>
    </row>
    <row r="184" spans="1:21" x14ac:dyDescent="0.2">
      <c r="A184" s="109">
        <v>182</v>
      </c>
      <c r="B184" s="109" t="s">
        <v>125</v>
      </c>
      <c r="C184" s="109">
        <v>2111</v>
      </c>
      <c r="D184" s="109"/>
      <c r="E184" s="109"/>
      <c r="F184" s="109">
        <v>44489</v>
      </c>
      <c r="G184" s="109" t="s">
        <v>259</v>
      </c>
      <c r="H184" s="109"/>
      <c r="I184" s="109" t="s">
        <v>670</v>
      </c>
      <c r="J184" s="109" t="s">
        <v>594</v>
      </c>
      <c r="K184" s="109" t="s">
        <v>671</v>
      </c>
      <c r="L184" s="109" t="s">
        <v>130</v>
      </c>
      <c r="M184" s="109"/>
      <c r="N184" s="139"/>
      <c r="O184" s="139" t="s">
        <v>93</v>
      </c>
      <c r="P184" s="139">
        <v>1</v>
      </c>
      <c r="Q184" s="109">
        <v>18.63</v>
      </c>
      <c r="R184" s="136">
        <v>5</v>
      </c>
      <c r="S184" s="136">
        <v>18.63</v>
      </c>
      <c r="T184" s="109">
        <v>5</v>
      </c>
      <c r="U184" s="136">
        <v>93.149999999999991</v>
      </c>
    </row>
    <row r="185" spans="1:21" x14ac:dyDescent="0.2">
      <c r="A185" s="109">
        <v>183</v>
      </c>
      <c r="B185" s="109" t="s">
        <v>125</v>
      </c>
      <c r="C185" s="109">
        <v>2121</v>
      </c>
      <c r="D185" s="109"/>
      <c r="E185" s="109"/>
      <c r="F185" s="109">
        <v>44284</v>
      </c>
      <c r="G185" s="109" t="s">
        <v>145</v>
      </c>
      <c r="H185" s="109"/>
      <c r="I185" s="109" t="s">
        <v>672</v>
      </c>
      <c r="J185" s="109" t="s">
        <v>673</v>
      </c>
      <c r="K185" s="109" t="s">
        <v>674</v>
      </c>
      <c r="L185" s="109" t="s">
        <v>135</v>
      </c>
      <c r="M185" s="109"/>
      <c r="N185" s="139"/>
      <c r="O185" s="139" t="s">
        <v>93</v>
      </c>
      <c r="P185" s="139">
        <v>1</v>
      </c>
      <c r="Q185" s="109">
        <v>46.15</v>
      </c>
      <c r="R185" s="136">
        <v>2</v>
      </c>
      <c r="S185" s="136">
        <v>46.15</v>
      </c>
      <c r="T185" s="109">
        <v>2</v>
      </c>
      <c r="U185" s="136">
        <v>92.3</v>
      </c>
    </row>
    <row r="186" spans="1:21" x14ac:dyDescent="0.2">
      <c r="A186" s="109">
        <v>184</v>
      </c>
      <c r="B186" s="109" t="s">
        <v>125</v>
      </c>
      <c r="C186" s="109">
        <v>2124</v>
      </c>
      <c r="D186" s="109"/>
      <c r="E186" s="109"/>
      <c r="F186" s="109">
        <v>44516</v>
      </c>
      <c r="G186" s="109" t="s">
        <v>163</v>
      </c>
      <c r="H186" s="109"/>
      <c r="I186" s="109" t="s">
        <v>675</v>
      </c>
      <c r="J186" s="109" t="s">
        <v>297</v>
      </c>
      <c r="K186" s="109" t="s">
        <v>676</v>
      </c>
      <c r="L186" s="109" t="s">
        <v>135</v>
      </c>
      <c r="M186" s="109"/>
      <c r="N186" s="139"/>
      <c r="O186" s="139" t="s">
        <v>93</v>
      </c>
      <c r="P186" s="139">
        <v>1</v>
      </c>
      <c r="Q186" s="109">
        <v>46.09</v>
      </c>
      <c r="R186" s="136">
        <v>2</v>
      </c>
      <c r="S186" s="136">
        <v>46.09</v>
      </c>
      <c r="T186" s="109">
        <v>2</v>
      </c>
      <c r="U186" s="136">
        <v>92.18</v>
      </c>
    </row>
    <row r="187" spans="1:21" x14ac:dyDescent="0.2">
      <c r="A187" s="109">
        <v>185</v>
      </c>
      <c r="B187" s="109" t="s">
        <v>125</v>
      </c>
      <c r="C187" s="109">
        <v>2138</v>
      </c>
      <c r="D187" s="109"/>
      <c r="E187" s="109"/>
      <c r="F187" s="109">
        <v>44223</v>
      </c>
      <c r="G187" s="109" t="s">
        <v>145</v>
      </c>
      <c r="H187" s="109"/>
      <c r="I187" s="109" t="s">
        <v>677</v>
      </c>
      <c r="J187" s="109" t="s">
        <v>678</v>
      </c>
      <c r="K187" s="109" t="s">
        <v>679</v>
      </c>
      <c r="L187" s="109" t="s">
        <v>135</v>
      </c>
      <c r="M187" s="109"/>
      <c r="N187" s="139"/>
      <c r="O187" s="139" t="s">
        <v>93</v>
      </c>
      <c r="P187" s="139">
        <v>1</v>
      </c>
      <c r="Q187" s="109">
        <v>22.6</v>
      </c>
      <c r="R187" s="136">
        <v>4</v>
      </c>
      <c r="S187" s="136">
        <v>22.6</v>
      </c>
      <c r="T187" s="109">
        <v>4</v>
      </c>
      <c r="U187" s="136">
        <v>90.4</v>
      </c>
    </row>
    <row r="188" spans="1:21" x14ac:dyDescent="0.2">
      <c r="A188" s="109">
        <v>186</v>
      </c>
      <c r="B188" s="109" t="s">
        <v>125</v>
      </c>
      <c r="C188" s="109">
        <v>2151</v>
      </c>
      <c r="D188" s="109"/>
      <c r="E188" s="109"/>
      <c r="F188" s="109">
        <v>44497</v>
      </c>
      <c r="G188" s="109" t="s">
        <v>259</v>
      </c>
      <c r="H188" s="109"/>
      <c r="I188" s="109" t="s">
        <v>680</v>
      </c>
      <c r="J188" s="109" t="s">
        <v>681</v>
      </c>
      <c r="K188" s="109" t="s">
        <v>682</v>
      </c>
      <c r="L188" s="109" t="s">
        <v>135</v>
      </c>
      <c r="M188" s="109"/>
      <c r="N188" s="139"/>
      <c r="O188" s="139" t="s">
        <v>93</v>
      </c>
      <c r="P188" s="139">
        <v>1</v>
      </c>
      <c r="Q188" s="109">
        <v>17.670000000000002</v>
      </c>
      <c r="R188" s="136">
        <v>5</v>
      </c>
      <c r="S188" s="136">
        <v>17.670000000000002</v>
      </c>
      <c r="T188" s="109">
        <v>5</v>
      </c>
      <c r="U188" s="136">
        <v>88.350000000000009</v>
      </c>
    </row>
    <row r="189" spans="1:21" x14ac:dyDescent="0.2">
      <c r="A189" s="109">
        <v>187</v>
      </c>
      <c r="B189" s="109" t="s">
        <v>125</v>
      </c>
      <c r="C189" s="109">
        <v>2174</v>
      </c>
      <c r="D189" s="109"/>
      <c r="E189" s="109"/>
      <c r="F189" s="109">
        <v>44265</v>
      </c>
      <c r="G189" s="109" t="s">
        <v>145</v>
      </c>
      <c r="H189" s="109"/>
      <c r="I189" s="109" t="s">
        <v>683</v>
      </c>
      <c r="J189" s="109" t="s">
        <v>684</v>
      </c>
      <c r="K189" s="109" t="s">
        <v>685</v>
      </c>
      <c r="L189" s="109" t="s">
        <v>135</v>
      </c>
      <c r="M189" s="109"/>
      <c r="N189" s="139"/>
      <c r="O189" s="139" t="s">
        <v>93</v>
      </c>
      <c r="P189" s="139">
        <v>1</v>
      </c>
      <c r="Q189" s="109">
        <v>21.37</v>
      </c>
      <c r="R189" s="136">
        <v>4</v>
      </c>
      <c r="S189" s="136">
        <v>21.37</v>
      </c>
      <c r="T189" s="109">
        <v>4</v>
      </c>
      <c r="U189" s="136">
        <v>85.48</v>
      </c>
    </row>
    <row r="190" spans="1:21" x14ac:dyDescent="0.2">
      <c r="A190" s="109">
        <v>188</v>
      </c>
      <c r="B190" s="109" t="s">
        <v>125</v>
      </c>
      <c r="C190" s="109">
        <v>2178</v>
      </c>
      <c r="D190" s="109"/>
      <c r="E190" s="109"/>
      <c r="F190" s="109">
        <v>44475</v>
      </c>
      <c r="G190" s="109" t="s">
        <v>145</v>
      </c>
      <c r="H190" s="109"/>
      <c r="I190" s="109" t="s">
        <v>686</v>
      </c>
      <c r="J190" s="109" t="s">
        <v>687</v>
      </c>
      <c r="K190" s="109" t="s">
        <v>688</v>
      </c>
      <c r="L190" s="109" t="s">
        <v>130</v>
      </c>
      <c r="M190" s="109"/>
      <c r="N190" s="139"/>
      <c r="O190" s="139" t="s">
        <v>93</v>
      </c>
      <c r="P190" s="139">
        <v>1</v>
      </c>
      <c r="Q190" s="109">
        <v>28.32</v>
      </c>
      <c r="R190" s="136">
        <v>3</v>
      </c>
      <c r="S190" s="136">
        <v>28.32</v>
      </c>
      <c r="T190" s="109">
        <v>3</v>
      </c>
      <c r="U190" s="136">
        <v>84.960000000000008</v>
      </c>
    </row>
    <row r="191" spans="1:21" x14ac:dyDescent="0.2">
      <c r="A191" s="109">
        <v>189</v>
      </c>
      <c r="B191" s="109" t="s">
        <v>125</v>
      </c>
      <c r="C191" s="109">
        <v>2192</v>
      </c>
      <c r="D191" s="109"/>
      <c r="E191" s="109"/>
      <c r="F191" s="109">
        <v>44231</v>
      </c>
      <c r="G191" s="109" t="s">
        <v>259</v>
      </c>
      <c r="H191" s="109"/>
      <c r="I191" s="109" t="s">
        <v>689</v>
      </c>
      <c r="J191" s="109" t="s">
        <v>506</v>
      </c>
      <c r="K191" s="109" t="s">
        <v>690</v>
      </c>
      <c r="L191" s="109" t="s">
        <v>135</v>
      </c>
      <c r="M191" s="109"/>
      <c r="N191" s="139"/>
      <c r="O191" s="139" t="s">
        <v>93</v>
      </c>
      <c r="P191" s="139">
        <v>1</v>
      </c>
      <c r="Q191" s="109">
        <v>82.89</v>
      </c>
      <c r="R191" s="136">
        <v>1</v>
      </c>
      <c r="S191" s="136">
        <v>82.89</v>
      </c>
      <c r="T191" s="109">
        <v>1</v>
      </c>
      <c r="U191" s="136">
        <v>82.89</v>
      </c>
    </row>
    <row r="192" spans="1:21" x14ac:dyDescent="0.2">
      <c r="A192" s="109">
        <v>190</v>
      </c>
      <c r="B192" s="109" t="s">
        <v>125</v>
      </c>
      <c r="C192" s="109">
        <v>2201</v>
      </c>
      <c r="D192" s="109"/>
      <c r="E192" s="109"/>
      <c r="F192" s="109">
        <v>44279</v>
      </c>
      <c r="G192" s="109" t="s">
        <v>259</v>
      </c>
      <c r="H192" s="109"/>
      <c r="I192" s="109" t="s">
        <v>691</v>
      </c>
      <c r="J192" s="109" t="s">
        <v>692</v>
      </c>
      <c r="K192" s="109" t="s">
        <v>693</v>
      </c>
      <c r="L192" s="109" t="s">
        <v>135</v>
      </c>
      <c r="M192" s="109"/>
      <c r="N192" s="139"/>
      <c r="O192" s="139" t="s">
        <v>93</v>
      </c>
      <c r="P192" s="139">
        <v>1</v>
      </c>
      <c r="Q192" s="109">
        <v>40.65</v>
      </c>
      <c r="R192" s="136">
        <v>2</v>
      </c>
      <c r="S192" s="136">
        <v>40.65</v>
      </c>
      <c r="T192" s="109">
        <v>2</v>
      </c>
      <c r="U192" s="136">
        <v>81.3</v>
      </c>
    </row>
    <row r="193" spans="1:21" x14ac:dyDescent="0.2">
      <c r="A193" s="109">
        <v>191</v>
      </c>
      <c r="B193" s="109" t="s">
        <v>125</v>
      </c>
      <c r="C193" s="109">
        <v>2203</v>
      </c>
      <c r="D193" s="109"/>
      <c r="E193" s="109"/>
      <c r="F193" s="109">
        <v>44522</v>
      </c>
      <c r="G193" s="109" t="s">
        <v>602</v>
      </c>
      <c r="H193" s="109"/>
      <c r="I193" s="109" t="s">
        <v>694</v>
      </c>
      <c r="J193" s="109" t="s">
        <v>695</v>
      </c>
      <c r="K193" s="109" t="s">
        <v>696</v>
      </c>
      <c r="L193" s="109" t="s">
        <v>130</v>
      </c>
      <c r="M193" s="109"/>
      <c r="N193" s="139"/>
      <c r="O193" s="139" t="s">
        <v>93</v>
      </c>
      <c r="P193" s="139">
        <v>1</v>
      </c>
      <c r="Q193" s="109">
        <v>40.44</v>
      </c>
      <c r="R193" s="136">
        <v>2</v>
      </c>
      <c r="S193" s="136">
        <v>40.44</v>
      </c>
      <c r="T193" s="109">
        <v>2</v>
      </c>
      <c r="U193" s="136">
        <v>80.88</v>
      </c>
    </row>
    <row r="194" spans="1:21" x14ac:dyDescent="0.2">
      <c r="A194" s="109">
        <v>192</v>
      </c>
      <c r="B194" s="109" t="s">
        <v>125</v>
      </c>
      <c r="C194" s="109">
        <v>2208</v>
      </c>
      <c r="D194" s="109"/>
      <c r="E194" s="109"/>
      <c r="F194" s="109">
        <v>44488</v>
      </c>
      <c r="G194" s="109" t="s">
        <v>140</v>
      </c>
      <c r="H194" s="109"/>
      <c r="I194" s="109" t="s">
        <v>697</v>
      </c>
      <c r="J194" s="109" t="s">
        <v>310</v>
      </c>
      <c r="K194" s="109" t="s">
        <v>698</v>
      </c>
      <c r="L194" s="109" t="s">
        <v>144</v>
      </c>
      <c r="M194" s="109"/>
      <c r="N194" s="139"/>
      <c r="O194" s="139" t="s">
        <v>93</v>
      </c>
      <c r="P194" s="139">
        <v>1</v>
      </c>
      <c r="Q194" s="109">
        <v>13.45</v>
      </c>
      <c r="R194" s="136">
        <v>6</v>
      </c>
      <c r="S194" s="136">
        <v>13.45</v>
      </c>
      <c r="T194" s="109">
        <v>6</v>
      </c>
      <c r="U194" s="136">
        <v>80.699999999999989</v>
      </c>
    </row>
    <row r="195" spans="1:21" x14ac:dyDescent="0.2">
      <c r="A195" s="109">
        <v>193</v>
      </c>
      <c r="B195" s="109" t="s">
        <v>125</v>
      </c>
      <c r="C195" s="109">
        <v>2210</v>
      </c>
      <c r="D195" s="109"/>
      <c r="E195" s="109"/>
      <c r="F195" s="109">
        <v>44256</v>
      </c>
      <c r="G195" s="109" t="s">
        <v>446</v>
      </c>
      <c r="H195" s="109"/>
      <c r="I195" s="109" t="s">
        <v>699</v>
      </c>
      <c r="J195" s="109" t="s">
        <v>700</v>
      </c>
      <c r="K195" s="109" t="s">
        <v>701</v>
      </c>
      <c r="L195" s="109" t="s">
        <v>135</v>
      </c>
      <c r="M195" s="109"/>
      <c r="N195" s="139"/>
      <c r="O195" s="139" t="s">
        <v>93</v>
      </c>
      <c r="P195" s="139">
        <v>1</v>
      </c>
      <c r="Q195" s="109">
        <v>8.0299999999999994</v>
      </c>
      <c r="R195" s="136">
        <v>10</v>
      </c>
      <c r="S195" s="136">
        <v>8.0299999999999994</v>
      </c>
      <c r="T195" s="109">
        <v>10</v>
      </c>
      <c r="U195" s="136">
        <v>80.3</v>
      </c>
    </row>
    <row r="196" spans="1:21" x14ac:dyDescent="0.2">
      <c r="A196" s="109">
        <v>194</v>
      </c>
      <c r="B196" s="109" t="s">
        <v>125</v>
      </c>
      <c r="C196" s="109">
        <v>2213</v>
      </c>
      <c r="D196" s="109"/>
      <c r="E196" s="109"/>
      <c r="F196" s="109">
        <v>44264</v>
      </c>
      <c r="G196" s="109" t="s">
        <v>145</v>
      </c>
      <c r="H196" s="109"/>
      <c r="I196" s="109" t="s">
        <v>702</v>
      </c>
      <c r="J196" s="109" t="s">
        <v>703</v>
      </c>
      <c r="K196" s="109" t="s">
        <v>704</v>
      </c>
      <c r="L196" s="109" t="s">
        <v>135</v>
      </c>
      <c r="M196" s="109"/>
      <c r="N196" s="139"/>
      <c r="O196" s="139" t="s">
        <v>93</v>
      </c>
      <c r="P196" s="139">
        <v>1</v>
      </c>
      <c r="Q196" s="109">
        <v>40.08</v>
      </c>
      <c r="R196" s="136">
        <v>2</v>
      </c>
      <c r="S196" s="136">
        <v>40.08</v>
      </c>
      <c r="T196" s="109">
        <v>2</v>
      </c>
      <c r="U196" s="136">
        <v>80.16</v>
      </c>
    </row>
    <row r="197" spans="1:21" x14ac:dyDescent="0.2">
      <c r="A197" s="109">
        <v>195</v>
      </c>
      <c r="B197" s="109" t="s">
        <v>125</v>
      </c>
      <c r="C197" s="109">
        <v>2214</v>
      </c>
      <c r="D197" s="109"/>
      <c r="E197" s="109"/>
      <c r="F197" s="109">
        <v>44511</v>
      </c>
      <c r="G197" s="109" t="s">
        <v>497</v>
      </c>
      <c r="H197" s="109"/>
      <c r="I197" s="109" t="s">
        <v>705</v>
      </c>
      <c r="J197" s="109" t="s">
        <v>497</v>
      </c>
      <c r="K197" s="109" t="s">
        <v>706</v>
      </c>
      <c r="L197" s="109" t="s">
        <v>130</v>
      </c>
      <c r="M197" s="109"/>
      <c r="N197" s="139"/>
      <c r="O197" s="139" t="s">
        <v>93</v>
      </c>
      <c r="P197" s="139">
        <v>1</v>
      </c>
      <c r="Q197" s="109">
        <v>8.02</v>
      </c>
      <c r="R197" s="136">
        <v>10</v>
      </c>
      <c r="S197" s="136">
        <v>8.02</v>
      </c>
      <c r="T197" s="109">
        <v>10</v>
      </c>
      <c r="U197" s="136">
        <v>80.199999999999989</v>
      </c>
    </row>
    <row r="198" spans="1:21" x14ac:dyDescent="0.2">
      <c r="A198" s="109">
        <v>196</v>
      </c>
      <c r="B198" s="109" t="s">
        <v>125</v>
      </c>
      <c r="C198" s="109">
        <v>2224</v>
      </c>
      <c r="D198" s="109"/>
      <c r="E198" s="109"/>
      <c r="F198" s="109">
        <v>44511</v>
      </c>
      <c r="G198" s="109" t="s">
        <v>163</v>
      </c>
      <c r="H198" s="109"/>
      <c r="I198" s="109" t="s">
        <v>707</v>
      </c>
      <c r="J198" s="109" t="s">
        <v>708</v>
      </c>
      <c r="K198" s="109" t="s">
        <v>709</v>
      </c>
      <c r="L198" s="109" t="s">
        <v>135</v>
      </c>
      <c r="M198" s="109"/>
      <c r="N198" s="139"/>
      <c r="O198" s="139" t="s">
        <v>93</v>
      </c>
      <c r="P198" s="139">
        <v>1</v>
      </c>
      <c r="Q198" s="109">
        <v>15.56</v>
      </c>
      <c r="R198" s="136">
        <v>5</v>
      </c>
      <c r="S198" s="136">
        <v>15.56</v>
      </c>
      <c r="T198" s="109">
        <v>5</v>
      </c>
      <c r="U198" s="136">
        <v>77.8</v>
      </c>
    </row>
    <row r="199" spans="1:21" x14ac:dyDescent="0.2">
      <c r="A199" s="109">
        <v>197</v>
      </c>
      <c r="B199" s="109" t="s">
        <v>125</v>
      </c>
      <c r="C199" s="109">
        <v>2225</v>
      </c>
      <c r="D199" s="109"/>
      <c r="E199" s="109"/>
      <c r="F199" s="109">
        <v>44503</v>
      </c>
      <c r="G199" s="109" t="s">
        <v>710</v>
      </c>
      <c r="H199" s="109"/>
      <c r="I199" s="109" t="s">
        <v>711</v>
      </c>
      <c r="J199" s="109" t="s">
        <v>712</v>
      </c>
      <c r="K199" s="109" t="s">
        <v>713</v>
      </c>
      <c r="L199" s="109" t="s">
        <v>144</v>
      </c>
      <c r="M199" s="109"/>
      <c r="N199" s="139"/>
      <c r="O199" s="139" t="s">
        <v>93</v>
      </c>
      <c r="P199" s="139">
        <v>1</v>
      </c>
      <c r="Q199" s="109">
        <v>77.760000000000005</v>
      </c>
      <c r="R199" s="136">
        <v>1</v>
      </c>
      <c r="S199" s="136">
        <v>77.760000000000005</v>
      </c>
      <c r="T199" s="109">
        <v>1</v>
      </c>
      <c r="U199" s="136">
        <v>77.760000000000005</v>
      </c>
    </row>
    <row r="200" spans="1:21" x14ac:dyDescent="0.2">
      <c r="A200" s="109">
        <v>198</v>
      </c>
      <c r="B200" s="109" t="s">
        <v>125</v>
      </c>
      <c r="C200" s="109">
        <v>2235</v>
      </c>
      <c r="D200" s="109"/>
      <c r="E200" s="109"/>
      <c r="F200" s="109">
        <v>44442</v>
      </c>
      <c r="G200" s="109" t="s">
        <v>149</v>
      </c>
      <c r="H200" s="109"/>
      <c r="I200" s="109" t="s">
        <v>714</v>
      </c>
      <c r="J200" s="109" t="s">
        <v>715</v>
      </c>
      <c r="K200" s="109" t="s">
        <v>716</v>
      </c>
      <c r="L200" s="109" t="s">
        <v>135</v>
      </c>
      <c r="M200" s="109"/>
      <c r="N200" s="139"/>
      <c r="O200" s="139" t="s">
        <v>93</v>
      </c>
      <c r="P200" s="139">
        <v>1</v>
      </c>
      <c r="Q200" s="109">
        <v>76.81</v>
      </c>
      <c r="R200" s="136">
        <v>1</v>
      </c>
      <c r="S200" s="136">
        <v>76.81</v>
      </c>
      <c r="T200" s="109">
        <v>1</v>
      </c>
      <c r="U200" s="136">
        <v>76.81</v>
      </c>
    </row>
    <row r="201" spans="1:21" x14ac:dyDescent="0.2">
      <c r="A201" s="109">
        <v>199</v>
      </c>
      <c r="B201" s="109" t="s">
        <v>125</v>
      </c>
      <c r="C201" s="109">
        <v>2239</v>
      </c>
      <c r="D201" s="109"/>
      <c r="E201" s="109"/>
      <c r="F201" s="109">
        <v>44208</v>
      </c>
      <c r="G201" s="109" t="s">
        <v>193</v>
      </c>
      <c r="H201" s="109"/>
      <c r="I201" s="109" t="s">
        <v>717</v>
      </c>
      <c r="J201" s="109" t="s">
        <v>155</v>
      </c>
      <c r="K201" s="109" t="s">
        <v>718</v>
      </c>
      <c r="L201" s="109" t="s">
        <v>135</v>
      </c>
      <c r="M201" s="109"/>
      <c r="N201" s="139"/>
      <c r="O201" s="139" t="s">
        <v>93</v>
      </c>
      <c r="P201" s="139">
        <v>1</v>
      </c>
      <c r="Q201" s="109">
        <v>38.4</v>
      </c>
      <c r="R201" s="136">
        <v>2</v>
      </c>
      <c r="S201" s="136">
        <v>38.4</v>
      </c>
      <c r="T201" s="109">
        <v>2</v>
      </c>
      <c r="U201" s="136">
        <v>76.8</v>
      </c>
    </row>
    <row r="202" spans="1:21" x14ac:dyDescent="0.2">
      <c r="A202" s="109">
        <v>200</v>
      </c>
      <c r="B202" s="109" t="s">
        <v>125</v>
      </c>
      <c r="C202" s="109">
        <v>2240</v>
      </c>
      <c r="D202" s="109"/>
      <c r="E202" s="109"/>
      <c r="F202" s="109">
        <v>44544</v>
      </c>
      <c r="G202" s="109" t="s">
        <v>710</v>
      </c>
      <c r="H202" s="109"/>
      <c r="I202" s="109" t="s">
        <v>719</v>
      </c>
      <c r="J202" s="109" t="s">
        <v>720</v>
      </c>
      <c r="K202" s="109" t="s">
        <v>721</v>
      </c>
      <c r="L202" s="109" t="s">
        <v>144</v>
      </c>
      <c r="M202" s="109"/>
      <c r="N202" s="139"/>
      <c r="O202" s="139" t="s">
        <v>93</v>
      </c>
      <c r="P202" s="139">
        <v>1</v>
      </c>
      <c r="Q202" s="109">
        <v>76.8</v>
      </c>
      <c r="R202" s="136">
        <v>1</v>
      </c>
      <c r="S202" s="136">
        <v>76.8</v>
      </c>
      <c r="T202" s="109">
        <v>1</v>
      </c>
      <c r="U202" s="136">
        <v>76.8</v>
      </c>
    </row>
    <row r="203" spans="1:21" x14ac:dyDescent="0.2">
      <c r="A203" s="109">
        <v>201</v>
      </c>
      <c r="B203" s="109" t="s">
        <v>125</v>
      </c>
      <c r="C203" s="109">
        <v>2243</v>
      </c>
      <c r="D203" s="109"/>
      <c r="E203" s="109"/>
      <c r="F203" s="109">
        <v>44469</v>
      </c>
      <c r="G203" s="109" t="s">
        <v>163</v>
      </c>
      <c r="H203" s="109"/>
      <c r="I203" s="109" t="s">
        <v>722</v>
      </c>
      <c r="J203" s="109" t="s">
        <v>211</v>
      </c>
      <c r="K203" s="109" t="s">
        <v>723</v>
      </c>
      <c r="L203" s="109" t="s">
        <v>135</v>
      </c>
      <c r="M203" s="109"/>
      <c r="N203" s="139"/>
      <c r="O203" s="139" t="s">
        <v>93</v>
      </c>
      <c r="P203" s="139">
        <v>1</v>
      </c>
      <c r="Q203" s="109">
        <v>76.33</v>
      </c>
      <c r="R203" s="136">
        <v>1</v>
      </c>
      <c r="S203" s="136">
        <v>76.33</v>
      </c>
      <c r="T203" s="109">
        <v>1</v>
      </c>
      <c r="U203" s="136">
        <v>76.33</v>
      </c>
    </row>
    <row r="204" spans="1:21" x14ac:dyDescent="0.2">
      <c r="A204" s="109">
        <v>202</v>
      </c>
      <c r="B204" s="109" t="s">
        <v>125</v>
      </c>
      <c r="C204" s="109">
        <v>2248</v>
      </c>
      <c r="D204" s="109"/>
      <c r="E204" s="109"/>
      <c r="F204" s="109">
        <v>44383</v>
      </c>
      <c r="G204" s="109" t="s">
        <v>259</v>
      </c>
      <c r="H204" s="109"/>
      <c r="I204" s="109" t="s">
        <v>724</v>
      </c>
      <c r="J204" s="109" t="s">
        <v>725</v>
      </c>
      <c r="K204" s="109" t="s">
        <v>726</v>
      </c>
      <c r="L204" s="109" t="s">
        <v>135</v>
      </c>
      <c r="M204" s="109"/>
      <c r="N204" s="139"/>
      <c r="O204" s="139" t="s">
        <v>93</v>
      </c>
      <c r="P204" s="139">
        <v>1</v>
      </c>
      <c r="Q204" s="109">
        <v>37.82</v>
      </c>
      <c r="R204" s="136">
        <v>2</v>
      </c>
      <c r="S204" s="136">
        <v>37.82</v>
      </c>
      <c r="T204" s="109">
        <v>2</v>
      </c>
      <c r="U204" s="136">
        <v>75.64</v>
      </c>
    </row>
    <row r="205" spans="1:21" x14ac:dyDescent="0.2">
      <c r="A205" s="109">
        <v>203</v>
      </c>
      <c r="B205" s="109" t="s">
        <v>125</v>
      </c>
      <c r="C205" s="109">
        <v>2251</v>
      </c>
      <c r="D205" s="109"/>
      <c r="E205" s="109"/>
      <c r="F205" s="109">
        <v>44418</v>
      </c>
      <c r="G205" s="109" t="s">
        <v>529</v>
      </c>
      <c r="H205" s="109"/>
      <c r="I205" s="109" t="s">
        <v>727</v>
      </c>
      <c r="J205" s="109" t="s">
        <v>703</v>
      </c>
      <c r="K205" s="109" t="s">
        <v>728</v>
      </c>
      <c r="L205" s="109" t="s">
        <v>135</v>
      </c>
      <c r="M205" s="109"/>
      <c r="N205" s="139"/>
      <c r="O205" s="139" t="s">
        <v>93</v>
      </c>
      <c r="P205" s="139">
        <v>1</v>
      </c>
      <c r="Q205" s="109">
        <v>37.520000000000003</v>
      </c>
      <c r="R205" s="136">
        <v>2</v>
      </c>
      <c r="S205" s="136">
        <v>37.520000000000003</v>
      </c>
      <c r="T205" s="109">
        <v>2</v>
      </c>
      <c r="U205" s="136">
        <v>75.040000000000006</v>
      </c>
    </row>
    <row r="206" spans="1:21" x14ac:dyDescent="0.2">
      <c r="A206" s="109">
        <v>204</v>
      </c>
      <c r="B206" s="109" t="s">
        <v>125</v>
      </c>
      <c r="C206" s="109">
        <v>2255</v>
      </c>
      <c r="D206" s="109"/>
      <c r="E206" s="109"/>
      <c r="F206" s="109">
        <v>44475</v>
      </c>
      <c r="G206" s="109" t="s">
        <v>446</v>
      </c>
      <c r="H206" s="109"/>
      <c r="I206" s="109" t="s">
        <v>729</v>
      </c>
      <c r="J206" s="109" t="s">
        <v>730</v>
      </c>
      <c r="K206" s="109" t="s">
        <v>731</v>
      </c>
      <c r="L206" s="109" t="s">
        <v>144</v>
      </c>
      <c r="M206" s="109"/>
      <c r="N206" s="139"/>
      <c r="O206" s="139" t="s">
        <v>93</v>
      </c>
      <c r="P206" s="139">
        <v>1</v>
      </c>
      <c r="Q206" s="109">
        <v>74.89</v>
      </c>
      <c r="R206" s="136">
        <v>1</v>
      </c>
      <c r="S206" s="136">
        <v>74.89</v>
      </c>
      <c r="T206" s="109">
        <v>1</v>
      </c>
      <c r="U206" s="136">
        <v>74.89</v>
      </c>
    </row>
    <row r="207" spans="1:21" x14ac:dyDescent="0.2">
      <c r="A207" s="109">
        <v>205</v>
      </c>
      <c r="B207" s="109" t="s">
        <v>125</v>
      </c>
      <c r="C207" s="109">
        <v>2264</v>
      </c>
      <c r="D207" s="109"/>
      <c r="E207" s="109"/>
      <c r="F207" s="109">
        <v>44550</v>
      </c>
      <c r="G207" s="109" t="s">
        <v>145</v>
      </c>
      <c r="H207" s="109"/>
      <c r="I207" s="109" t="s">
        <v>732</v>
      </c>
      <c r="J207" s="109" t="s">
        <v>322</v>
      </c>
      <c r="K207" s="109" t="s">
        <v>733</v>
      </c>
      <c r="L207" s="109" t="s">
        <v>135</v>
      </c>
      <c r="M207" s="109"/>
      <c r="N207" s="139"/>
      <c r="O207" s="139" t="s">
        <v>93</v>
      </c>
      <c r="P207" s="139">
        <v>1</v>
      </c>
      <c r="Q207" s="109">
        <v>74.069999999999993</v>
      </c>
      <c r="R207" s="136">
        <v>1</v>
      </c>
      <c r="S207" s="136">
        <v>74.069999999999993</v>
      </c>
      <c r="T207" s="109">
        <v>1</v>
      </c>
      <c r="U207" s="136">
        <v>74.069999999999993</v>
      </c>
    </row>
    <row r="208" spans="1:21" x14ac:dyDescent="0.2">
      <c r="A208" s="109">
        <v>206</v>
      </c>
      <c r="B208" s="109" t="s">
        <v>125</v>
      </c>
      <c r="C208" s="109">
        <v>2266</v>
      </c>
      <c r="D208" s="109"/>
      <c r="E208" s="109"/>
      <c r="F208" s="109">
        <v>44384</v>
      </c>
      <c r="G208" s="109" t="s">
        <v>145</v>
      </c>
      <c r="H208" s="109"/>
      <c r="I208" s="109" t="s">
        <v>734</v>
      </c>
      <c r="J208" s="109" t="s">
        <v>535</v>
      </c>
      <c r="K208" s="109" t="s">
        <v>735</v>
      </c>
      <c r="L208" s="109" t="s">
        <v>135</v>
      </c>
      <c r="M208" s="109"/>
      <c r="N208" s="139"/>
      <c r="O208" s="139" t="s">
        <v>93</v>
      </c>
      <c r="P208" s="139">
        <v>1</v>
      </c>
      <c r="Q208" s="109">
        <v>73.97</v>
      </c>
      <c r="R208" s="136">
        <v>1</v>
      </c>
      <c r="S208" s="136">
        <v>73.97</v>
      </c>
      <c r="T208" s="109">
        <v>1</v>
      </c>
      <c r="U208" s="136">
        <v>73.97</v>
      </c>
    </row>
    <row r="209" spans="1:21" x14ac:dyDescent="0.2">
      <c r="A209" s="109">
        <v>207</v>
      </c>
      <c r="B209" s="109" t="s">
        <v>125</v>
      </c>
      <c r="C209" s="109">
        <v>2269</v>
      </c>
      <c r="D209" s="109"/>
      <c r="E209" s="109"/>
      <c r="F209" s="109">
        <v>44348</v>
      </c>
      <c r="G209" s="109" t="s">
        <v>145</v>
      </c>
      <c r="H209" s="109"/>
      <c r="I209" s="109" t="s">
        <v>736</v>
      </c>
      <c r="J209" s="109" t="s">
        <v>362</v>
      </c>
      <c r="K209" s="109" t="s">
        <v>737</v>
      </c>
      <c r="L209" s="109" t="s">
        <v>135</v>
      </c>
      <c r="M209" s="109"/>
      <c r="N209" s="139"/>
      <c r="O209" s="139" t="s">
        <v>93</v>
      </c>
      <c r="P209" s="139">
        <v>1</v>
      </c>
      <c r="Q209" s="109">
        <v>36.93</v>
      </c>
      <c r="R209" s="136">
        <v>2</v>
      </c>
      <c r="S209" s="136">
        <v>36.93</v>
      </c>
      <c r="T209" s="109">
        <v>2</v>
      </c>
      <c r="U209" s="136">
        <v>73.86</v>
      </c>
    </row>
    <row r="210" spans="1:21" x14ac:dyDescent="0.2">
      <c r="A210" s="109">
        <v>208</v>
      </c>
      <c r="B210" s="109" t="s">
        <v>125</v>
      </c>
      <c r="C210" s="109">
        <v>2278</v>
      </c>
      <c r="D210" s="109"/>
      <c r="E210" s="109"/>
      <c r="F210" s="109">
        <v>44357</v>
      </c>
      <c r="G210" s="109" t="s">
        <v>618</v>
      </c>
      <c r="H210" s="109"/>
      <c r="I210" s="109" t="s">
        <v>738</v>
      </c>
      <c r="J210" s="109" t="s">
        <v>739</v>
      </c>
      <c r="K210" s="109" t="s">
        <v>740</v>
      </c>
      <c r="L210" s="109" t="s">
        <v>135</v>
      </c>
      <c r="M210" s="109"/>
      <c r="N210" s="139"/>
      <c r="O210" s="139" t="s">
        <v>93</v>
      </c>
      <c r="P210" s="139">
        <v>1</v>
      </c>
      <c r="Q210" s="109">
        <v>36.17</v>
      </c>
      <c r="R210" s="136">
        <v>2</v>
      </c>
      <c r="S210" s="136">
        <v>36.17</v>
      </c>
      <c r="T210" s="109">
        <v>2</v>
      </c>
      <c r="U210" s="136">
        <v>72.34</v>
      </c>
    </row>
    <row r="211" spans="1:21" x14ac:dyDescent="0.2">
      <c r="A211" s="109">
        <v>209</v>
      </c>
      <c r="B211" s="109" t="s">
        <v>125</v>
      </c>
      <c r="C211" s="109">
        <v>2281</v>
      </c>
      <c r="D211" s="109"/>
      <c r="E211" s="109"/>
      <c r="F211" s="109">
        <v>44519</v>
      </c>
      <c r="G211" s="109" t="s">
        <v>475</v>
      </c>
      <c r="H211" s="109"/>
      <c r="I211" s="109" t="s">
        <v>741</v>
      </c>
      <c r="J211" s="109" t="s">
        <v>477</v>
      </c>
      <c r="K211" s="109" t="s">
        <v>742</v>
      </c>
      <c r="L211" s="109" t="s">
        <v>130</v>
      </c>
      <c r="M211" s="109"/>
      <c r="N211" s="139"/>
      <c r="O211" s="139" t="s">
        <v>93</v>
      </c>
      <c r="P211" s="139">
        <v>1</v>
      </c>
      <c r="Q211" s="109">
        <v>7.21</v>
      </c>
      <c r="R211" s="136">
        <v>10</v>
      </c>
      <c r="S211" s="136">
        <v>7.21</v>
      </c>
      <c r="T211" s="109">
        <v>10</v>
      </c>
      <c r="U211" s="136">
        <v>72.099999999999994</v>
      </c>
    </row>
    <row r="212" spans="1:21" x14ac:dyDescent="0.2">
      <c r="A212" s="109">
        <v>210</v>
      </c>
      <c r="B212" s="109" t="s">
        <v>125</v>
      </c>
      <c r="C212" s="109">
        <v>2285</v>
      </c>
      <c r="D212" s="109"/>
      <c r="E212" s="109"/>
      <c r="F212" s="109">
        <v>44253</v>
      </c>
      <c r="G212" s="109" t="s">
        <v>234</v>
      </c>
      <c r="H212" s="109"/>
      <c r="I212" s="109" t="s">
        <v>743</v>
      </c>
      <c r="J212" s="109" t="s">
        <v>236</v>
      </c>
      <c r="K212" s="109" t="s">
        <v>744</v>
      </c>
      <c r="L212" s="109" t="s">
        <v>135</v>
      </c>
      <c r="M212" s="109"/>
      <c r="N212" s="139"/>
      <c r="O212" s="139" t="s">
        <v>93</v>
      </c>
      <c r="P212" s="139">
        <v>1</v>
      </c>
      <c r="Q212" s="109">
        <v>24.01</v>
      </c>
      <c r="R212" s="136">
        <v>3</v>
      </c>
      <c r="S212" s="136">
        <v>24.01</v>
      </c>
      <c r="T212" s="109">
        <v>3</v>
      </c>
      <c r="U212" s="136">
        <v>72.03</v>
      </c>
    </row>
    <row r="213" spans="1:21" x14ac:dyDescent="0.2">
      <c r="A213" s="109">
        <v>211</v>
      </c>
      <c r="B213" s="109" t="s">
        <v>125</v>
      </c>
      <c r="C213" s="109">
        <v>2291</v>
      </c>
      <c r="D213" s="109"/>
      <c r="E213" s="109"/>
      <c r="F213" s="109">
        <v>44379</v>
      </c>
      <c r="G213" s="109" t="s">
        <v>145</v>
      </c>
      <c r="H213" s="109"/>
      <c r="I213" s="109" t="s">
        <v>745</v>
      </c>
      <c r="J213" s="109" t="s">
        <v>746</v>
      </c>
      <c r="K213" s="109" t="s">
        <v>747</v>
      </c>
      <c r="L213" s="109" t="s">
        <v>135</v>
      </c>
      <c r="M213" s="109"/>
      <c r="N213" s="139"/>
      <c r="O213" s="139" t="s">
        <v>93</v>
      </c>
      <c r="P213" s="139">
        <v>1</v>
      </c>
      <c r="Q213" s="109">
        <v>7.1</v>
      </c>
      <c r="R213" s="136">
        <v>10</v>
      </c>
      <c r="S213" s="136">
        <v>7.1</v>
      </c>
      <c r="T213" s="109">
        <v>10</v>
      </c>
      <c r="U213" s="136">
        <v>71</v>
      </c>
    </row>
    <row r="214" spans="1:21" x14ac:dyDescent="0.2">
      <c r="A214" s="109">
        <v>212</v>
      </c>
      <c r="B214" s="109" t="s">
        <v>125</v>
      </c>
      <c r="C214" s="109">
        <v>2292</v>
      </c>
      <c r="D214" s="109"/>
      <c r="E214" s="109"/>
      <c r="F214" s="109">
        <v>44560</v>
      </c>
      <c r="G214" s="109" t="s">
        <v>163</v>
      </c>
      <c r="H214" s="109"/>
      <c r="I214" s="109" t="s">
        <v>748</v>
      </c>
      <c r="J214" s="109" t="s">
        <v>749</v>
      </c>
      <c r="K214" s="109" t="s">
        <v>750</v>
      </c>
      <c r="L214" s="109" t="s">
        <v>130</v>
      </c>
      <c r="M214" s="109"/>
      <c r="N214" s="139"/>
      <c r="O214" s="139" t="s">
        <v>93</v>
      </c>
      <c r="P214" s="139">
        <v>1</v>
      </c>
      <c r="Q214" s="109">
        <v>23.6</v>
      </c>
      <c r="R214" s="136">
        <v>3</v>
      </c>
      <c r="S214" s="136">
        <v>23.6</v>
      </c>
      <c r="T214" s="109">
        <v>3</v>
      </c>
      <c r="U214" s="136">
        <v>70.800000000000011</v>
      </c>
    </row>
    <row r="215" spans="1:21" x14ac:dyDescent="0.2">
      <c r="A215" s="109">
        <v>213</v>
      </c>
      <c r="B215" s="109" t="s">
        <v>125</v>
      </c>
      <c r="C215" s="109">
        <v>2296</v>
      </c>
      <c r="D215" s="109"/>
      <c r="E215" s="109"/>
      <c r="F215" s="109">
        <v>44376</v>
      </c>
      <c r="G215" s="109" t="s">
        <v>497</v>
      </c>
      <c r="H215" s="109"/>
      <c r="I215" s="109" t="s">
        <v>751</v>
      </c>
      <c r="J215" s="109" t="s">
        <v>654</v>
      </c>
      <c r="K215" s="109" t="s">
        <v>752</v>
      </c>
      <c r="L215" s="109" t="s">
        <v>135</v>
      </c>
      <c r="M215" s="109"/>
      <c r="N215" s="139"/>
      <c r="O215" s="139" t="s">
        <v>93</v>
      </c>
      <c r="P215" s="139">
        <v>1</v>
      </c>
      <c r="Q215" s="109">
        <v>35.090000000000003</v>
      </c>
      <c r="R215" s="136">
        <v>2</v>
      </c>
      <c r="S215" s="136">
        <v>35.090000000000003</v>
      </c>
      <c r="T215" s="109">
        <v>2</v>
      </c>
      <c r="U215" s="136">
        <v>70.180000000000007</v>
      </c>
    </row>
    <row r="216" spans="1:21" x14ac:dyDescent="0.2">
      <c r="A216" s="109">
        <v>214</v>
      </c>
      <c r="B216" s="109" t="s">
        <v>125</v>
      </c>
      <c r="C216" s="109">
        <v>2301</v>
      </c>
      <c r="D216" s="109"/>
      <c r="E216" s="109"/>
      <c r="F216" s="109">
        <v>44245</v>
      </c>
      <c r="G216" s="109" t="s">
        <v>145</v>
      </c>
      <c r="H216" s="109"/>
      <c r="I216" s="109" t="s">
        <v>753</v>
      </c>
      <c r="J216" s="109" t="s">
        <v>487</v>
      </c>
      <c r="K216" s="109" t="s">
        <v>754</v>
      </c>
      <c r="L216" s="109" t="s">
        <v>135</v>
      </c>
      <c r="M216" s="109"/>
      <c r="N216" s="139"/>
      <c r="O216" s="139" t="s">
        <v>93</v>
      </c>
      <c r="P216" s="139">
        <v>1</v>
      </c>
      <c r="Q216" s="109">
        <v>13.9</v>
      </c>
      <c r="R216" s="136">
        <v>5</v>
      </c>
      <c r="S216" s="136">
        <v>13.9</v>
      </c>
      <c r="T216" s="109">
        <v>5</v>
      </c>
      <c r="U216" s="136">
        <v>69.5</v>
      </c>
    </row>
    <row r="217" spans="1:21" x14ac:dyDescent="0.2">
      <c r="A217" s="109">
        <v>215</v>
      </c>
      <c r="B217" s="109" t="s">
        <v>125</v>
      </c>
      <c r="C217" s="109">
        <v>2302</v>
      </c>
      <c r="D217" s="109"/>
      <c r="E217" s="109"/>
      <c r="F217" s="109">
        <v>44313</v>
      </c>
      <c r="G217" s="109" t="s">
        <v>163</v>
      </c>
      <c r="H217" s="109"/>
      <c r="I217" s="109" t="s">
        <v>755</v>
      </c>
      <c r="J217" s="109" t="s">
        <v>487</v>
      </c>
      <c r="K217" s="109" t="s">
        <v>756</v>
      </c>
      <c r="L217" s="109" t="s">
        <v>135</v>
      </c>
      <c r="M217" s="109"/>
      <c r="N217" s="139"/>
      <c r="O217" s="139" t="s">
        <v>93</v>
      </c>
      <c r="P217" s="139">
        <v>1</v>
      </c>
      <c r="Q217" s="109">
        <v>34.659999999999997</v>
      </c>
      <c r="R217" s="136">
        <v>2</v>
      </c>
      <c r="S217" s="136">
        <v>34.659999999999997</v>
      </c>
      <c r="T217" s="109">
        <v>2</v>
      </c>
      <c r="U217" s="136">
        <v>69.319999999999993</v>
      </c>
    </row>
    <row r="218" spans="1:21" x14ac:dyDescent="0.2">
      <c r="A218" s="109">
        <v>216</v>
      </c>
      <c r="B218" s="109" t="s">
        <v>125</v>
      </c>
      <c r="C218" s="109">
        <v>2303</v>
      </c>
      <c r="D218" s="109"/>
      <c r="E218" s="109"/>
      <c r="F218" s="109">
        <v>44497</v>
      </c>
      <c r="G218" s="109" t="s">
        <v>259</v>
      </c>
      <c r="H218" s="109"/>
      <c r="I218" s="109" t="s">
        <v>757</v>
      </c>
      <c r="J218" s="109" t="s">
        <v>758</v>
      </c>
      <c r="K218" s="109" t="s">
        <v>759</v>
      </c>
      <c r="L218" s="109" t="s">
        <v>135</v>
      </c>
      <c r="M218" s="109"/>
      <c r="N218" s="139"/>
      <c r="O218" s="139" t="s">
        <v>93</v>
      </c>
      <c r="P218" s="139">
        <v>1</v>
      </c>
      <c r="Q218" s="109">
        <v>6.93</v>
      </c>
      <c r="R218" s="136">
        <v>10</v>
      </c>
      <c r="S218" s="136">
        <v>6.93</v>
      </c>
      <c r="T218" s="109">
        <v>10</v>
      </c>
      <c r="U218" s="136">
        <v>69.3</v>
      </c>
    </row>
    <row r="219" spans="1:21" x14ac:dyDescent="0.2">
      <c r="A219" s="109">
        <v>217</v>
      </c>
      <c r="B219" s="109" t="s">
        <v>125</v>
      </c>
      <c r="C219" s="109">
        <v>2309</v>
      </c>
      <c r="D219" s="109"/>
      <c r="E219" s="109"/>
      <c r="F219" s="109">
        <v>44495</v>
      </c>
      <c r="G219" s="109" t="s">
        <v>140</v>
      </c>
      <c r="H219" s="109"/>
      <c r="I219" s="109" t="s">
        <v>760</v>
      </c>
      <c r="J219" s="109" t="s">
        <v>353</v>
      </c>
      <c r="K219" s="109" t="s">
        <v>761</v>
      </c>
      <c r="L219" s="109" t="s">
        <v>144</v>
      </c>
      <c r="M219" s="109"/>
      <c r="N219" s="139"/>
      <c r="O219" s="139" t="s">
        <v>93</v>
      </c>
      <c r="P219" s="139">
        <v>1</v>
      </c>
      <c r="Q219" s="109">
        <v>34.54</v>
      </c>
      <c r="R219" s="136">
        <v>2</v>
      </c>
      <c r="S219" s="136">
        <v>34.54</v>
      </c>
      <c r="T219" s="109">
        <v>2</v>
      </c>
      <c r="U219" s="136">
        <v>69.08</v>
      </c>
    </row>
    <row r="220" spans="1:21" x14ac:dyDescent="0.2">
      <c r="A220" s="109">
        <v>218</v>
      </c>
      <c r="B220" s="109" t="s">
        <v>125</v>
      </c>
      <c r="C220" s="109">
        <v>2327</v>
      </c>
      <c r="D220" s="109"/>
      <c r="E220" s="109"/>
      <c r="F220" s="109">
        <v>44292</v>
      </c>
      <c r="G220" s="109" t="s">
        <v>762</v>
      </c>
      <c r="H220" s="109"/>
      <c r="I220" s="109" t="s">
        <v>763</v>
      </c>
      <c r="J220" s="109" t="s">
        <v>764</v>
      </c>
      <c r="K220" s="109" t="s">
        <v>765</v>
      </c>
      <c r="L220" s="109" t="s">
        <v>135</v>
      </c>
      <c r="M220" s="109"/>
      <c r="N220" s="139"/>
      <c r="O220" s="139" t="s">
        <v>93</v>
      </c>
      <c r="P220" s="139">
        <v>1</v>
      </c>
      <c r="Q220" s="109">
        <v>33.61</v>
      </c>
      <c r="R220" s="136">
        <v>2</v>
      </c>
      <c r="S220" s="136">
        <v>33.61</v>
      </c>
      <c r="T220" s="109">
        <v>2</v>
      </c>
      <c r="U220" s="136">
        <v>67.22</v>
      </c>
    </row>
    <row r="221" spans="1:21" x14ac:dyDescent="0.2">
      <c r="A221" s="109">
        <v>219</v>
      </c>
      <c r="B221" s="109" t="s">
        <v>125</v>
      </c>
      <c r="C221" s="109">
        <v>2332</v>
      </c>
      <c r="D221" s="109"/>
      <c r="E221" s="109"/>
      <c r="F221" s="109">
        <v>44495</v>
      </c>
      <c r="G221" s="109" t="s">
        <v>766</v>
      </c>
      <c r="H221" s="109"/>
      <c r="I221" s="109" t="s">
        <v>767</v>
      </c>
      <c r="J221" s="109" t="s">
        <v>128</v>
      </c>
      <c r="K221" s="109" t="s">
        <v>768</v>
      </c>
      <c r="L221" s="109" t="s">
        <v>135</v>
      </c>
      <c r="M221" s="109"/>
      <c r="N221" s="139"/>
      <c r="O221" s="139" t="s">
        <v>93</v>
      </c>
      <c r="P221" s="139">
        <v>1</v>
      </c>
      <c r="Q221" s="109">
        <v>33.39</v>
      </c>
      <c r="R221" s="136">
        <v>2</v>
      </c>
      <c r="S221" s="136">
        <v>33.39</v>
      </c>
      <c r="T221" s="109">
        <v>2</v>
      </c>
      <c r="U221" s="136">
        <v>66.78</v>
      </c>
    </row>
    <row r="222" spans="1:21" x14ac:dyDescent="0.2">
      <c r="A222" s="109">
        <v>220</v>
      </c>
      <c r="B222" s="109" t="s">
        <v>125</v>
      </c>
      <c r="C222" s="109">
        <v>2334</v>
      </c>
      <c r="D222" s="109"/>
      <c r="E222" s="109"/>
      <c r="F222" s="109">
        <v>44301</v>
      </c>
      <c r="G222" s="109" t="s">
        <v>641</v>
      </c>
      <c r="H222" s="109"/>
      <c r="I222" s="109" t="s">
        <v>769</v>
      </c>
      <c r="J222" s="109" t="s">
        <v>495</v>
      </c>
      <c r="K222" s="109" t="s">
        <v>770</v>
      </c>
      <c r="L222" s="109" t="s">
        <v>135</v>
      </c>
      <c r="M222" s="109"/>
      <c r="N222" s="139"/>
      <c r="O222" s="139" t="s">
        <v>93</v>
      </c>
      <c r="P222" s="139">
        <v>1</v>
      </c>
      <c r="Q222" s="109">
        <v>66.56</v>
      </c>
      <c r="R222" s="136">
        <v>1</v>
      </c>
      <c r="S222" s="136">
        <v>66.56</v>
      </c>
      <c r="T222" s="109">
        <v>1</v>
      </c>
      <c r="U222" s="136">
        <v>66.56</v>
      </c>
    </row>
    <row r="223" spans="1:21" x14ac:dyDescent="0.2">
      <c r="A223" s="109">
        <v>221</v>
      </c>
      <c r="B223" s="109" t="s">
        <v>125</v>
      </c>
      <c r="C223" s="109">
        <v>2336</v>
      </c>
      <c r="D223" s="109"/>
      <c r="E223" s="109"/>
      <c r="F223" s="109">
        <v>44539</v>
      </c>
      <c r="G223" s="109" t="s">
        <v>185</v>
      </c>
      <c r="H223" s="109"/>
      <c r="I223" s="109" t="s">
        <v>771</v>
      </c>
      <c r="J223" s="109" t="s">
        <v>187</v>
      </c>
      <c r="K223" s="109" t="s">
        <v>772</v>
      </c>
      <c r="L223" s="109" t="s">
        <v>130</v>
      </c>
      <c r="M223" s="109"/>
      <c r="N223" s="139"/>
      <c r="O223" s="139" t="s">
        <v>93</v>
      </c>
      <c r="P223" s="139">
        <v>1</v>
      </c>
      <c r="Q223" s="109">
        <v>33.17</v>
      </c>
      <c r="R223" s="136">
        <v>2</v>
      </c>
      <c r="S223" s="136">
        <v>33.17</v>
      </c>
      <c r="T223" s="109">
        <v>2</v>
      </c>
      <c r="U223" s="136">
        <v>66.34</v>
      </c>
    </row>
    <row r="224" spans="1:21" x14ac:dyDescent="0.2">
      <c r="A224" s="109">
        <v>222</v>
      </c>
      <c r="B224" s="109" t="s">
        <v>125</v>
      </c>
      <c r="C224" s="109">
        <v>2339</v>
      </c>
      <c r="D224" s="109"/>
      <c r="E224" s="109"/>
      <c r="F224" s="109">
        <v>44322</v>
      </c>
      <c r="G224" s="109" t="s">
        <v>145</v>
      </c>
      <c r="H224" s="109"/>
      <c r="I224" s="109" t="s">
        <v>773</v>
      </c>
      <c r="J224" s="109" t="s">
        <v>678</v>
      </c>
      <c r="K224" s="109" t="s">
        <v>774</v>
      </c>
      <c r="L224" s="109" t="s">
        <v>135</v>
      </c>
      <c r="M224" s="109"/>
      <c r="N224" s="139"/>
      <c r="O224" s="139" t="s">
        <v>93</v>
      </c>
      <c r="P224" s="139">
        <v>1</v>
      </c>
      <c r="Q224" s="109">
        <v>22.02</v>
      </c>
      <c r="R224" s="136">
        <v>3</v>
      </c>
      <c r="S224" s="136">
        <v>22.02</v>
      </c>
      <c r="T224" s="109">
        <v>3</v>
      </c>
      <c r="U224" s="136">
        <v>66.06</v>
      </c>
    </row>
    <row r="225" spans="1:21" x14ac:dyDescent="0.2">
      <c r="A225" s="109">
        <v>223</v>
      </c>
      <c r="B225" s="109" t="s">
        <v>125</v>
      </c>
      <c r="C225" s="109">
        <v>2348</v>
      </c>
      <c r="D225" s="109"/>
      <c r="E225" s="109"/>
      <c r="F225" s="109">
        <v>44550</v>
      </c>
      <c r="G225" s="109" t="s">
        <v>145</v>
      </c>
      <c r="H225" s="109"/>
      <c r="I225" s="109" t="s">
        <v>775</v>
      </c>
      <c r="J225" s="109" t="s">
        <v>362</v>
      </c>
      <c r="K225" s="109" t="s">
        <v>776</v>
      </c>
      <c r="L225" s="109" t="s">
        <v>130</v>
      </c>
      <c r="M225" s="109"/>
      <c r="N225" s="139"/>
      <c r="O225" s="139" t="s">
        <v>93</v>
      </c>
      <c r="P225" s="139">
        <v>1</v>
      </c>
      <c r="Q225" s="109">
        <v>6.49</v>
      </c>
      <c r="R225" s="136">
        <v>10</v>
      </c>
      <c r="S225" s="136">
        <v>6.49</v>
      </c>
      <c r="T225" s="109">
        <v>10</v>
      </c>
      <c r="U225" s="136">
        <v>64.900000000000006</v>
      </c>
    </row>
    <row r="226" spans="1:21" x14ac:dyDescent="0.2">
      <c r="A226" s="109">
        <v>224</v>
      </c>
      <c r="B226" s="109" t="s">
        <v>125</v>
      </c>
      <c r="C226" s="109">
        <v>2373</v>
      </c>
      <c r="D226" s="109"/>
      <c r="E226" s="109"/>
      <c r="F226" s="109">
        <v>44509</v>
      </c>
      <c r="G226" s="109" t="s">
        <v>145</v>
      </c>
      <c r="H226" s="109"/>
      <c r="I226" s="109" t="s">
        <v>777</v>
      </c>
      <c r="J226" s="109" t="s">
        <v>778</v>
      </c>
      <c r="K226" s="109" t="s">
        <v>779</v>
      </c>
      <c r="L226" s="109" t="s">
        <v>780</v>
      </c>
      <c r="M226" s="109"/>
      <c r="N226" s="139"/>
      <c r="O226" s="139" t="s">
        <v>93</v>
      </c>
      <c r="P226" s="139">
        <v>1</v>
      </c>
      <c r="Q226" s="109">
        <v>20.65</v>
      </c>
      <c r="R226" s="136">
        <v>3</v>
      </c>
      <c r="S226" s="136">
        <v>20.65</v>
      </c>
      <c r="T226" s="109">
        <v>3</v>
      </c>
      <c r="U226" s="136">
        <v>61.949999999999996</v>
      </c>
    </row>
    <row r="227" spans="1:21" x14ac:dyDescent="0.2">
      <c r="A227" s="109">
        <v>225</v>
      </c>
      <c r="B227" s="109" t="s">
        <v>125</v>
      </c>
      <c r="C227" s="109">
        <v>2378</v>
      </c>
      <c r="D227" s="109"/>
      <c r="E227" s="109"/>
      <c r="F227" s="109">
        <v>44476</v>
      </c>
      <c r="G227" s="109" t="s">
        <v>376</v>
      </c>
      <c r="H227" s="109"/>
      <c r="I227" s="109" t="s">
        <v>781</v>
      </c>
      <c r="J227" s="109" t="s">
        <v>378</v>
      </c>
      <c r="K227" s="109" t="s">
        <v>782</v>
      </c>
      <c r="L227" s="109" t="s">
        <v>144</v>
      </c>
      <c r="M227" s="109"/>
      <c r="N227" s="139"/>
      <c r="O227" s="139" t="s">
        <v>93</v>
      </c>
      <c r="P227" s="139">
        <v>1</v>
      </c>
      <c r="Q227" s="109">
        <v>30.77</v>
      </c>
      <c r="R227" s="136">
        <v>2</v>
      </c>
      <c r="S227" s="136">
        <v>30.77</v>
      </c>
      <c r="T227" s="109">
        <v>2</v>
      </c>
      <c r="U227" s="136">
        <v>61.54</v>
      </c>
    </row>
    <row r="228" spans="1:21" x14ac:dyDescent="0.2">
      <c r="A228" s="109">
        <v>226</v>
      </c>
      <c r="B228" s="109" t="s">
        <v>125</v>
      </c>
      <c r="C228" s="109">
        <v>2380</v>
      </c>
      <c r="D228" s="109"/>
      <c r="E228" s="109"/>
      <c r="F228" s="109">
        <v>44519</v>
      </c>
      <c r="G228" s="109" t="s">
        <v>783</v>
      </c>
      <c r="H228" s="109"/>
      <c r="I228" s="109" t="s">
        <v>784</v>
      </c>
      <c r="J228" s="109" t="s">
        <v>785</v>
      </c>
      <c r="K228" s="109" t="s">
        <v>786</v>
      </c>
      <c r="L228" s="109" t="s">
        <v>135</v>
      </c>
      <c r="M228" s="109"/>
      <c r="N228" s="139"/>
      <c r="O228" s="139" t="s">
        <v>93</v>
      </c>
      <c r="P228" s="139">
        <v>1</v>
      </c>
      <c r="Q228" s="109">
        <v>15.37</v>
      </c>
      <c r="R228" s="136">
        <v>4</v>
      </c>
      <c r="S228" s="136">
        <v>15.37</v>
      </c>
      <c r="T228" s="109">
        <v>4</v>
      </c>
      <c r="U228" s="136">
        <v>61.48</v>
      </c>
    </row>
    <row r="229" spans="1:21" x14ac:dyDescent="0.2">
      <c r="A229" s="109">
        <v>227</v>
      </c>
      <c r="B229" s="109" t="s">
        <v>125</v>
      </c>
      <c r="C229" s="109">
        <v>2387</v>
      </c>
      <c r="D229" s="109"/>
      <c r="E229" s="109"/>
      <c r="F229" s="109">
        <v>44544</v>
      </c>
      <c r="G229" s="109" t="s">
        <v>259</v>
      </c>
      <c r="H229" s="109"/>
      <c r="I229" s="109" t="s">
        <v>787</v>
      </c>
      <c r="J229" s="109" t="s">
        <v>788</v>
      </c>
      <c r="K229" s="109" t="s">
        <v>789</v>
      </c>
      <c r="L229" s="109" t="s">
        <v>135</v>
      </c>
      <c r="M229" s="109"/>
      <c r="N229" s="139"/>
      <c r="O229" s="139" t="s">
        <v>93</v>
      </c>
      <c r="P229" s="139">
        <v>1</v>
      </c>
      <c r="Q229" s="109">
        <v>15.16</v>
      </c>
      <c r="R229" s="136">
        <v>4</v>
      </c>
      <c r="S229" s="136">
        <v>15.16</v>
      </c>
      <c r="T229" s="109">
        <v>4</v>
      </c>
      <c r="U229" s="136">
        <v>60.64</v>
      </c>
    </row>
    <row r="230" spans="1:21" x14ac:dyDescent="0.2">
      <c r="A230" s="109">
        <v>228</v>
      </c>
      <c r="B230" s="109" t="s">
        <v>125</v>
      </c>
      <c r="C230" s="109">
        <v>2389</v>
      </c>
      <c r="D230" s="109"/>
      <c r="E230" s="109"/>
      <c r="F230" s="109">
        <v>44204</v>
      </c>
      <c r="G230" s="109" t="s">
        <v>790</v>
      </c>
      <c r="H230" s="109"/>
      <c r="I230" s="109" t="s">
        <v>791</v>
      </c>
      <c r="J230" s="109" t="s">
        <v>535</v>
      </c>
      <c r="K230" s="109" t="s">
        <v>792</v>
      </c>
      <c r="L230" s="109" t="s">
        <v>135</v>
      </c>
      <c r="M230" s="109"/>
      <c r="N230" s="139"/>
      <c r="O230" s="139" t="s">
        <v>93</v>
      </c>
      <c r="P230" s="139">
        <v>1</v>
      </c>
      <c r="Q230" s="109">
        <v>30.24</v>
      </c>
      <c r="R230" s="136">
        <v>2</v>
      </c>
      <c r="S230" s="136">
        <v>30.24</v>
      </c>
      <c r="T230" s="109">
        <v>2</v>
      </c>
      <c r="U230" s="136">
        <v>60.48</v>
      </c>
    </row>
    <row r="231" spans="1:21" x14ac:dyDescent="0.2">
      <c r="A231" s="109">
        <v>229</v>
      </c>
      <c r="B231" s="109" t="s">
        <v>125</v>
      </c>
      <c r="C231" s="109">
        <v>2394</v>
      </c>
      <c r="D231" s="109"/>
      <c r="E231" s="109"/>
      <c r="F231" s="109">
        <v>44518</v>
      </c>
      <c r="G231" s="109" t="s">
        <v>793</v>
      </c>
      <c r="H231" s="109"/>
      <c r="I231" s="109" t="s">
        <v>794</v>
      </c>
      <c r="J231" s="109" t="s">
        <v>795</v>
      </c>
      <c r="K231" s="109" t="s">
        <v>796</v>
      </c>
      <c r="L231" s="109" t="s">
        <v>135</v>
      </c>
      <c r="M231" s="109"/>
      <c r="N231" s="139"/>
      <c r="O231" s="139" t="s">
        <v>93</v>
      </c>
      <c r="P231" s="139">
        <v>1</v>
      </c>
      <c r="Q231" s="109">
        <v>29.8</v>
      </c>
      <c r="R231" s="136">
        <v>2</v>
      </c>
      <c r="S231" s="136">
        <v>29.8</v>
      </c>
      <c r="T231" s="109">
        <v>2</v>
      </c>
      <c r="U231" s="136">
        <v>59.6</v>
      </c>
    </row>
    <row r="232" spans="1:21" x14ac:dyDescent="0.2">
      <c r="A232" s="109">
        <v>230</v>
      </c>
      <c r="B232" s="109" t="s">
        <v>125</v>
      </c>
      <c r="C232" s="109">
        <v>2415</v>
      </c>
      <c r="D232" s="109"/>
      <c r="E232" s="109"/>
      <c r="F232" s="109">
        <v>44280</v>
      </c>
      <c r="G232" s="109" t="s">
        <v>145</v>
      </c>
      <c r="H232" s="109"/>
      <c r="I232" s="109" t="s">
        <v>797</v>
      </c>
      <c r="J232" s="109" t="s">
        <v>798</v>
      </c>
      <c r="K232" s="109" t="s">
        <v>799</v>
      </c>
      <c r="L232" s="109" t="s">
        <v>135</v>
      </c>
      <c r="M232" s="109"/>
      <c r="N232" s="139"/>
      <c r="O232" s="139" t="s">
        <v>93</v>
      </c>
      <c r="P232" s="139">
        <v>1</v>
      </c>
      <c r="Q232" s="109">
        <v>19.059999999999999</v>
      </c>
      <c r="R232" s="136">
        <v>3</v>
      </c>
      <c r="S232" s="136">
        <v>19.059999999999999</v>
      </c>
      <c r="T232" s="109">
        <v>3</v>
      </c>
      <c r="U232" s="136">
        <v>57.179999999999993</v>
      </c>
    </row>
    <row r="233" spans="1:21" x14ac:dyDescent="0.2">
      <c r="A233" s="109">
        <v>231</v>
      </c>
      <c r="B233" s="109" t="s">
        <v>125</v>
      </c>
      <c r="C233" s="109">
        <v>2420</v>
      </c>
      <c r="D233" s="109"/>
      <c r="E233" s="109"/>
      <c r="F233" s="109">
        <v>44498</v>
      </c>
      <c r="G233" s="109" t="s">
        <v>140</v>
      </c>
      <c r="H233" s="109"/>
      <c r="I233" s="109" t="s">
        <v>800</v>
      </c>
      <c r="J233" s="109" t="s">
        <v>801</v>
      </c>
      <c r="K233" s="109" t="s">
        <v>802</v>
      </c>
      <c r="L233" s="109" t="s">
        <v>144</v>
      </c>
      <c r="M233" s="109"/>
      <c r="N233" s="139"/>
      <c r="O233" s="139" t="s">
        <v>93</v>
      </c>
      <c r="P233" s="139">
        <v>1</v>
      </c>
      <c r="Q233" s="109">
        <v>27.85</v>
      </c>
      <c r="R233" s="136">
        <v>2</v>
      </c>
      <c r="S233" s="136">
        <v>27.85</v>
      </c>
      <c r="T233" s="109">
        <v>2</v>
      </c>
      <c r="U233" s="136">
        <v>55.7</v>
      </c>
    </row>
    <row r="234" spans="1:21" x14ac:dyDescent="0.2">
      <c r="A234" s="109">
        <v>232</v>
      </c>
      <c r="B234" s="109" t="s">
        <v>125</v>
      </c>
      <c r="C234" s="109">
        <v>2423</v>
      </c>
      <c r="D234" s="109"/>
      <c r="E234" s="109"/>
      <c r="F234" s="109">
        <v>44522</v>
      </c>
      <c r="G234" s="109" t="s">
        <v>803</v>
      </c>
      <c r="H234" s="109"/>
      <c r="I234" s="109" t="s">
        <v>804</v>
      </c>
      <c r="J234" s="109" t="s">
        <v>805</v>
      </c>
      <c r="K234" s="109" t="s">
        <v>806</v>
      </c>
      <c r="L234" s="109" t="s">
        <v>130</v>
      </c>
      <c r="M234" s="109"/>
      <c r="N234" s="139"/>
      <c r="O234" s="139" t="s">
        <v>93</v>
      </c>
      <c r="P234" s="139">
        <v>1</v>
      </c>
      <c r="Q234" s="109">
        <v>1.1100000000000001</v>
      </c>
      <c r="R234" s="136">
        <v>50</v>
      </c>
      <c r="S234" s="136">
        <v>1.1100000000000001</v>
      </c>
      <c r="T234" s="109">
        <v>50</v>
      </c>
      <c r="U234" s="136">
        <v>55.500000000000007</v>
      </c>
    </row>
    <row r="235" spans="1:21" x14ac:dyDescent="0.2">
      <c r="A235" s="109">
        <v>233</v>
      </c>
      <c r="B235" s="109" t="s">
        <v>125</v>
      </c>
      <c r="C235" s="109">
        <v>2427</v>
      </c>
      <c r="D235" s="109"/>
      <c r="E235" s="109"/>
      <c r="F235" s="109">
        <v>44487</v>
      </c>
      <c r="G235" s="109" t="s">
        <v>641</v>
      </c>
      <c r="H235" s="109"/>
      <c r="I235" s="109" t="s">
        <v>807</v>
      </c>
      <c r="J235" s="109" t="s">
        <v>808</v>
      </c>
      <c r="K235" s="109" t="s">
        <v>809</v>
      </c>
      <c r="L235" s="109" t="s">
        <v>144</v>
      </c>
      <c r="M235" s="109"/>
      <c r="N235" s="139"/>
      <c r="O235" s="139" t="s">
        <v>93</v>
      </c>
      <c r="P235" s="139">
        <v>1</v>
      </c>
      <c r="Q235" s="109">
        <v>54.54</v>
      </c>
      <c r="R235" s="136">
        <v>1</v>
      </c>
      <c r="S235" s="136">
        <v>54.54</v>
      </c>
      <c r="T235" s="109">
        <v>1</v>
      </c>
      <c r="U235" s="136">
        <v>54.54</v>
      </c>
    </row>
    <row r="236" spans="1:21" x14ac:dyDescent="0.2">
      <c r="A236" s="109">
        <v>234</v>
      </c>
      <c r="B236" s="109" t="s">
        <v>125</v>
      </c>
      <c r="C236" s="109">
        <v>2430</v>
      </c>
      <c r="D236" s="109"/>
      <c r="E236" s="109"/>
      <c r="F236" s="109">
        <v>44421</v>
      </c>
      <c r="G236" s="109" t="s">
        <v>259</v>
      </c>
      <c r="H236" s="109"/>
      <c r="I236" s="109" t="s">
        <v>810</v>
      </c>
      <c r="J236" s="109" t="s">
        <v>678</v>
      </c>
      <c r="K236" s="109" t="s">
        <v>811</v>
      </c>
      <c r="L236" s="109" t="s">
        <v>135</v>
      </c>
      <c r="M236" s="109"/>
      <c r="N236" s="139"/>
      <c r="O236" s="139" t="s">
        <v>93</v>
      </c>
      <c r="P236" s="139">
        <v>1</v>
      </c>
      <c r="Q236" s="109">
        <v>13.62</v>
      </c>
      <c r="R236" s="136">
        <v>4</v>
      </c>
      <c r="S236" s="136">
        <v>13.62</v>
      </c>
      <c r="T236" s="109">
        <v>4</v>
      </c>
      <c r="U236" s="136">
        <v>54.48</v>
      </c>
    </row>
    <row r="237" spans="1:21" x14ac:dyDescent="0.2">
      <c r="A237" s="109">
        <v>235</v>
      </c>
      <c r="B237" s="109" t="s">
        <v>125</v>
      </c>
      <c r="C237" s="109">
        <v>2447</v>
      </c>
      <c r="D237" s="109"/>
      <c r="E237" s="109"/>
      <c r="F237" s="109">
        <v>44232</v>
      </c>
      <c r="G237" s="109" t="s">
        <v>145</v>
      </c>
      <c r="H237" s="109"/>
      <c r="I237" s="109" t="s">
        <v>812</v>
      </c>
      <c r="J237" s="109" t="s">
        <v>673</v>
      </c>
      <c r="K237" s="109" t="s">
        <v>813</v>
      </c>
      <c r="L237" s="109" t="s">
        <v>135</v>
      </c>
      <c r="M237" s="109"/>
      <c r="N237" s="139"/>
      <c r="O237" s="139" t="s">
        <v>93</v>
      </c>
      <c r="P237" s="139">
        <v>1</v>
      </c>
      <c r="Q237" s="109">
        <v>52.65</v>
      </c>
      <c r="R237" s="136">
        <v>1</v>
      </c>
      <c r="S237" s="136">
        <v>52.65</v>
      </c>
      <c r="T237" s="109">
        <v>1</v>
      </c>
      <c r="U237" s="136">
        <v>52.65</v>
      </c>
    </row>
    <row r="238" spans="1:21" x14ac:dyDescent="0.2">
      <c r="A238" s="109">
        <v>236</v>
      </c>
      <c r="B238" s="109" t="s">
        <v>125</v>
      </c>
      <c r="C238" s="109">
        <v>2459</v>
      </c>
      <c r="D238" s="109"/>
      <c r="E238" s="109"/>
      <c r="F238" s="109">
        <v>44504</v>
      </c>
      <c r="G238" s="109" t="s">
        <v>163</v>
      </c>
      <c r="H238" s="109"/>
      <c r="I238" s="109" t="s">
        <v>814</v>
      </c>
      <c r="J238" s="109" t="s">
        <v>815</v>
      </c>
      <c r="K238" s="109" t="s">
        <v>816</v>
      </c>
      <c r="L238" s="109" t="s">
        <v>135</v>
      </c>
      <c r="M238" s="109"/>
      <c r="N238" s="139"/>
      <c r="O238" s="139" t="s">
        <v>93</v>
      </c>
      <c r="P238" s="139">
        <v>1</v>
      </c>
      <c r="Q238" s="109">
        <v>24.97</v>
      </c>
      <c r="R238" s="136">
        <v>2</v>
      </c>
      <c r="S238" s="136">
        <v>24.97</v>
      </c>
      <c r="T238" s="109">
        <v>2</v>
      </c>
      <c r="U238" s="136">
        <v>49.94</v>
      </c>
    </row>
    <row r="239" spans="1:21" x14ac:dyDescent="0.2">
      <c r="A239" s="109">
        <v>237</v>
      </c>
      <c r="B239" s="109" t="s">
        <v>125</v>
      </c>
      <c r="C239" s="109">
        <v>2460</v>
      </c>
      <c r="D239" s="109"/>
      <c r="E239" s="109"/>
      <c r="F239" s="109">
        <v>44489</v>
      </c>
      <c r="G239" s="109" t="s">
        <v>817</v>
      </c>
      <c r="H239" s="109"/>
      <c r="I239" s="109" t="s">
        <v>818</v>
      </c>
      <c r="J239" s="109" t="s">
        <v>819</v>
      </c>
      <c r="K239" s="109" t="s">
        <v>820</v>
      </c>
      <c r="L239" s="109" t="s">
        <v>130</v>
      </c>
      <c r="M239" s="109"/>
      <c r="N239" s="139"/>
      <c r="O239" s="139" t="s">
        <v>93</v>
      </c>
      <c r="P239" s="139">
        <v>1</v>
      </c>
      <c r="Q239" s="109">
        <v>4.96</v>
      </c>
      <c r="R239" s="136">
        <v>10</v>
      </c>
      <c r="S239" s="136">
        <v>4.96</v>
      </c>
      <c r="T239" s="109">
        <v>10</v>
      </c>
      <c r="U239" s="136">
        <v>49.6</v>
      </c>
    </row>
    <row r="240" spans="1:21" x14ac:dyDescent="0.2">
      <c r="A240" s="109">
        <v>238</v>
      </c>
      <c r="B240" s="109" t="s">
        <v>125</v>
      </c>
      <c r="C240" s="109">
        <v>2467</v>
      </c>
      <c r="D240" s="109"/>
      <c r="E240" s="109"/>
      <c r="F240" s="109">
        <v>44503</v>
      </c>
      <c r="G240" s="109" t="s">
        <v>428</v>
      </c>
      <c r="H240" s="109"/>
      <c r="I240" s="109" t="s">
        <v>821</v>
      </c>
      <c r="J240" s="109" t="s">
        <v>465</v>
      </c>
      <c r="K240" s="109" t="s">
        <v>822</v>
      </c>
      <c r="L240" s="109" t="s">
        <v>130</v>
      </c>
      <c r="M240" s="109"/>
      <c r="N240" s="139"/>
      <c r="O240" s="139" t="s">
        <v>93</v>
      </c>
      <c r="P240" s="139">
        <v>1</v>
      </c>
      <c r="Q240" s="109">
        <v>6.1</v>
      </c>
      <c r="R240" s="136">
        <v>8</v>
      </c>
      <c r="S240" s="136">
        <v>6.1</v>
      </c>
      <c r="T240" s="109">
        <v>8</v>
      </c>
      <c r="U240" s="136">
        <v>48.8</v>
      </c>
    </row>
    <row r="241" spans="1:21" x14ac:dyDescent="0.2">
      <c r="A241" s="109">
        <v>239</v>
      </c>
      <c r="B241" s="109" t="s">
        <v>125</v>
      </c>
      <c r="C241" s="109">
        <v>2468</v>
      </c>
      <c r="D241" s="109"/>
      <c r="E241" s="109"/>
      <c r="F241" s="109">
        <v>44538</v>
      </c>
      <c r="G241" s="109" t="s">
        <v>510</v>
      </c>
      <c r="H241" s="109"/>
      <c r="I241" s="109" t="s">
        <v>823</v>
      </c>
      <c r="J241" s="109" t="s">
        <v>824</v>
      </c>
      <c r="K241" s="109" t="s">
        <v>825</v>
      </c>
      <c r="L241" s="109" t="s">
        <v>135</v>
      </c>
      <c r="M241" s="109"/>
      <c r="N241" s="139"/>
      <c r="O241" s="139" t="s">
        <v>93</v>
      </c>
      <c r="P241" s="139">
        <v>1</v>
      </c>
      <c r="Q241" s="109">
        <v>48.73</v>
      </c>
      <c r="R241" s="136">
        <v>1</v>
      </c>
      <c r="S241" s="136">
        <v>48.73</v>
      </c>
      <c r="T241" s="109">
        <v>1</v>
      </c>
      <c r="U241" s="136">
        <v>48.73</v>
      </c>
    </row>
    <row r="242" spans="1:21" x14ac:dyDescent="0.2">
      <c r="A242" s="109">
        <v>240</v>
      </c>
      <c r="B242" s="109" t="s">
        <v>125</v>
      </c>
      <c r="C242" s="109">
        <v>2477</v>
      </c>
      <c r="D242" s="109"/>
      <c r="E242" s="109"/>
      <c r="F242" s="109">
        <v>44280</v>
      </c>
      <c r="G242" s="109" t="s">
        <v>388</v>
      </c>
      <c r="H242" s="109"/>
      <c r="I242" s="109" t="s">
        <v>826</v>
      </c>
      <c r="J242" s="109" t="s">
        <v>798</v>
      </c>
      <c r="K242" s="109" t="s">
        <v>827</v>
      </c>
      <c r="L242" s="109" t="s">
        <v>135</v>
      </c>
      <c r="M242" s="109"/>
      <c r="N242" s="139"/>
      <c r="O242" s="139" t="s">
        <v>93</v>
      </c>
      <c r="P242" s="139">
        <v>1</v>
      </c>
      <c r="Q242" s="109">
        <v>16.04</v>
      </c>
      <c r="R242" s="136">
        <v>3</v>
      </c>
      <c r="S242" s="136">
        <v>16.04</v>
      </c>
      <c r="T242" s="109">
        <v>3</v>
      </c>
      <c r="U242" s="136">
        <v>48.12</v>
      </c>
    </row>
    <row r="243" spans="1:21" x14ac:dyDescent="0.2">
      <c r="A243" s="109">
        <v>241</v>
      </c>
      <c r="B243" s="109" t="s">
        <v>125</v>
      </c>
      <c r="C243" s="109">
        <v>2485</v>
      </c>
      <c r="D243" s="109"/>
      <c r="E243" s="109"/>
      <c r="F243" s="109">
        <v>44516</v>
      </c>
      <c r="G243" s="109" t="s">
        <v>163</v>
      </c>
      <c r="H243" s="109"/>
      <c r="I243" s="109" t="s">
        <v>828</v>
      </c>
      <c r="J243" s="109" t="s">
        <v>297</v>
      </c>
      <c r="K243" s="109" t="s">
        <v>829</v>
      </c>
      <c r="L243" s="109" t="s">
        <v>135</v>
      </c>
      <c r="M243" s="109"/>
      <c r="N243" s="139"/>
      <c r="O243" s="139" t="s">
        <v>93</v>
      </c>
      <c r="P243" s="139">
        <v>1</v>
      </c>
      <c r="Q243" s="109">
        <v>24.01</v>
      </c>
      <c r="R243" s="136">
        <v>2</v>
      </c>
      <c r="S243" s="136">
        <v>24.01</v>
      </c>
      <c r="T243" s="109">
        <v>2</v>
      </c>
      <c r="U243" s="136">
        <v>48.02</v>
      </c>
    </row>
    <row r="244" spans="1:21" x14ac:dyDescent="0.2">
      <c r="A244" s="109">
        <v>242</v>
      </c>
      <c r="B244" s="109" t="s">
        <v>125</v>
      </c>
      <c r="C244" s="109">
        <v>2487</v>
      </c>
      <c r="D244" s="109"/>
      <c r="E244" s="109"/>
      <c r="F244" s="109">
        <v>44417</v>
      </c>
      <c r="G244" s="109" t="s">
        <v>259</v>
      </c>
      <c r="H244" s="109"/>
      <c r="I244" s="109" t="s">
        <v>830</v>
      </c>
      <c r="J244" s="109" t="s">
        <v>362</v>
      </c>
      <c r="K244" s="109" t="s">
        <v>831</v>
      </c>
      <c r="L244" s="109" t="s">
        <v>135</v>
      </c>
      <c r="M244" s="109"/>
      <c r="N244" s="139"/>
      <c r="O244" s="139" t="s">
        <v>93</v>
      </c>
      <c r="P244" s="139">
        <v>1</v>
      </c>
      <c r="Q244" s="109">
        <v>11.85</v>
      </c>
      <c r="R244" s="136">
        <v>4</v>
      </c>
      <c r="S244" s="136">
        <v>11.85</v>
      </c>
      <c r="T244" s="109">
        <v>4</v>
      </c>
      <c r="U244" s="136">
        <v>47.4</v>
      </c>
    </row>
    <row r="245" spans="1:21" x14ac:dyDescent="0.2">
      <c r="A245" s="109">
        <v>243</v>
      </c>
      <c r="B245" s="109" t="s">
        <v>125</v>
      </c>
      <c r="C245" s="109">
        <v>2489</v>
      </c>
      <c r="D245" s="109"/>
      <c r="E245" s="109"/>
      <c r="F245" s="109">
        <v>44516</v>
      </c>
      <c r="G245" s="109" t="s">
        <v>259</v>
      </c>
      <c r="H245" s="109"/>
      <c r="I245" s="109" t="s">
        <v>832</v>
      </c>
      <c r="J245" s="109" t="s">
        <v>833</v>
      </c>
      <c r="K245" s="109" t="s">
        <v>834</v>
      </c>
      <c r="L245" s="109" t="s">
        <v>135</v>
      </c>
      <c r="M245" s="109"/>
      <c r="N245" s="139"/>
      <c r="O245" s="139" t="s">
        <v>93</v>
      </c>
      <c r="P245" s="139">
        <v>1</v>
      </c>
      <c r="Q245" s="109">
        <v>46.9</v>
      </c>
      <c r="R245" s="136">
        <v>1</v>
      </c>
      <c r="S245" s="136">
        <v>46.9</v>
      </c>
      <c r="T245" s="109">
        <v>1</v>
      </c>
      <c r="U245" s="136">
        <v>46.9</v>
      </c>
    </row>
    <row r="246" spans="1:21" x14ac:dyDescent="0.2">
      <c r="A246" s="109">
        <v>244</v>
      </c>
      <c r="B246" s="109" t="s">
        <v>125</v>
      </c>
      <c r="C246" s="109">
        <v>2497</v>
      </c>
      <c r="D246" s="109"/>
      <c r="E246" s="109"/>
      <c r="F246" s="109">
        <v>44327</v>
      </c>
      <c r="G246" s="109" t="s">
        <v>835</v>
      </c>
      <c r="H246" s="109"/>
      <c r="I246" s="109" t="s">
        <v>836</v>
      </c>
      <c r="J246" s="109" t="s">
        <v>837</v>
      </c>
      <c r="K246" s="109" t="s">
        <v>838</v>
      </c>
      <c r="L246" s="109" t="s">
        <v>135</v>
      </c>
      <c r="M246" s="109"/>
      <c r="N246" s="139"/>
      <c r="O246" s="139" t="s">
        <v>93</v>
      </c>
      <c r="P246" s="139">
        <v>1</v>
      </c>
      <c r="Q246" s="109">
        <v>46.08</v>
      </c>
      <c r="R246" s="136">
        <v>1</v>
      </c>
      <c r="S246" s="136">
        <v>46.08</v>
      </c>
      <c r="T246" s="109">
        <v>1</v>
      </c>
      <c r="U246" s="136">
        <v>46.08</v>
      </c>
    </row>
    <row r="247" spans="1:21" x14ac:dyDescent="0.2">
      <c r="A247" s="109">
        <v>245</v>
      </c>
      <c r="B247" s="109" t="s">
        <v>125</v>
      </c>
      <c r="C247" s="109">
        <v>2499</v>
      </c>
      <c r="D247" s="109"/>
      <c r="E247" s="109"/>
      <c r="F247" s="109">
        <v>44544</v>
      </c>
      <c r="G247" s="109" t="s">
        <v>140</v>
      </c>
      <c r="H247" s="109"/>
      <c r="I247" s="109" t="s">
        <v>839</v>
      </c>
      <c r="J247" s="109" t="s">
        <v>310</v>
      </c>
      <c r="K247" s="109" t="s">
        <v>840</v>
      </c>
      <c r="L247" s="109" t="s">
        <v>144</v>
      </c>
      <c r="M247" s="109"/>
      <c r="N247" s="139"/>
      <c r="O247" s="139" t="s">
        <v>93</v>
      </c>
      <c r="P247" s="139">
        <v>1</v>
      </c>
      <c r="Q247" s="109">
        <v>22.77</v>
      </c>
      <c r="R247" s="136">
        <v>2</v>
      </c>
      <c r="S247" s="136">
        <v>22.77</v>
      </c>
      <c r="T247" s="109">
        <v>2</v>
      </c>
      <c r="U247" s="136">
        <v>45.54</v>
      </c>
    </row>
    <row r="248" spans="1:21" x14ac:dyDescent="0.2">
      <c r="A248" s="109">
        <v>246</v>
      </c>
      <c r="B248" s="109" t="s">
        <v>125</v>
      </c>
      <c r="C248" s="109">
        <v>2501</v>
      </c>
      <c r="D248" s="109"/>
      <c r="E248" s="109"/>
      <c r="F248" s="109">
        <v>44481</v>
      </c>
      <c r="G248" s="109" t="s">
        <v>163</v>
      </c>
      <c r="H248" s="109"/>
      <c r="I248" s="109" t="s">
        <v>841</v>
      </c>
      <c r="J248" s="109" t="s">
        <v>842</v>
      </c>
      <c r="K248" s="109" t="s">
        <v>843</v>
      </c>
      <c r="L248" s="109" t="s">
        <v>135</v>
      </c>
      <c r="M248" s="109"/>
      <c r="N248" s="139"/>
      <c r="O248" s="139" t="s">
        <v>93</v>
      </c>
      <c r="P248" s="139">
        <v>1</v>
      </c>
      <c r="Q248" s="109">
        <v>22.47</v>
      </c>
      <c r="R248" s="136">
        <v>2</v>
      </c>
      <c r="S248" s="136">
        <v>22.47</v>
      </c>
      <c r="T248" s="109">
        <v>2</v>
      </c>
      <c r="U248" s="136">
        <v>44.94</v>
      </c>
    </row>
    <row r="249" spans="1:21" x14ac:dyDescent="0.2">
      <c r="A249" s="109">
        <v>247</v>
      </c>
      <c r="B249" s="109" t="s">
        <v>125</v>
      </c>
      <c r="C249" s="109">
        <v>2505</v>
      </c>
      <c r="D249" s="109"/>
      <c r="E249" s="109"/>
      <c r="F249" s="109">
        <v>44230</v>
      </c>
      <c r="G249" s="109" t="s">
        <v>388</v>
      </c>
      <c r="H249" s="109"/>
      <c r="I249" s="109" t="s">
        <v>844</v>
      </c>
      <c r="J249" s="109" t="s">
        <v>845</v>
      </c>
      <c r="K249" s="109" t="s">
        <v>846</v>
      </c>
      <c r="L249" s="109" t="s">
        <v>135</v>
      </c>
      <c r="M249" s="109"/>
      <c r="N249" s="139"/>
      <c r="O249" s="139" t="s">
        <v>93</v>
      </c>
      <c r="P249" s="139">
        <v>1</v>
      </c>
      <c r="Q249" s="109">
        <v>4.43</v>
      </c>
      <c r="R249" s="136">
        <v>10</v>
      </c>
      <c r="S249" s="136">
        <v>4.43</v>
      </c>
      <c r="T249" s="109">
        <v>10</v>
      </c>
      <c r="U249" s="136">
        <v>44.3</v>
      </c>
    </row>
    <row r="250" spans="1:21" x14ac:dyDescent="0.2">
      <c r="A250" s="109">
        <v>248</v>
      </c>
      <c r="B250" s="109" t="s">
        <v>125</v>
      </c>
      <c r="C250" s="109">
        <v>2514</v>
      </c>
      <c r="D250" s="109"/>
      <c r="E250" s="109"/>
      <c r="F250" s="109">
        <v>44502</v>
      </c>
      <c r="G250" s="109" t="s">
        <v>163</v>
      </c>
      <c r="H250" s="109"/>
      <c r="I250" s="109" t="s">
        <v>847</v>
      </c>
      <c r="J250" s="109" t="s">
        <v>848</v>
      </c>
      <c r="K250" s="109" t="s">
        <v>849</v>
      </c>
      <c r="L250" s="109" t="s">
        <v>130</v>
      </c>
      <c r="M250" s="109"/>
      <c r="N250" s="139"/>
      <c r="O250" s="139" t="s">
        <v>93</v>
      </c>
      <c r="P250" s="139">
        <v>1</v>
      </c>
      <c r="Q250" s="109">
        <v>8.64</v>
      </c>
      <c r="R250" s="136">
        <v>5</v>
      </c>
      <c r="S250" s="136">
        <v>8.64</v>
      </c>
      <c r="T250" s="109">
        <v>5</v>
      </c>
      <c r="U250" s="136">
        <v>43.2</v>
      </c>
    </row>
    <row r="251" spans="1:21" x14ac:dyDescent="0.2">
      <c r="A251" s="109">
        <v>249</v>
      </c>
      <c r="B251" s="109" t="s">
        <v>125</v>
      </c>
      <c r="C251" s="109">
        <v>2522</v>
      </c>
      <c r="D251" s="109"/>
      <c r="E251" s="109"/>
      <c r="F251" s="109">
        <v>44463</v>
      </c>
      <c r="G251" s="109" t="s">
        <v>145</v>
      </c>
      <c r="H251" s="109"/>
      <c r="I251" s="109" t="s">
        <v>850</v>
      </c>
      <c r="J251" s="109" t="s">
        <v>322</v>
      </c>
      <c r="K251" s="109" t="s">
        <v>851</v>
      </c>
      <c r="L251" s="109" t="s">
        <v>135</v>
      </c>
      <c r="M251" s="109"/>
      <c r="N251" s="139"/>
      <c r="O251" s="139" t="s">
        <v>93</v>
      </c>
      <c r="P251" s="139">
        <v>1</v>
      </c>
      <c r="Q251" s="109">
        <v>21.21</v>
      </c>
      <c r="R251" s="136">
        <v>2</v>
      </c>
      <c r="S251" s="136">
        <v>21.21</v>
      </c>
      <c r="T251" s="109">
        <v>2</v>
      </c>
      <c r="U251" s="136">
        <v>42.42</v>
      </c>
    </row>
    <row r="252" spans="1:21" x14ac:dyDescent="0.2">
      <c r="A252" s="109">
        <v>250</v>
      </c>
      <c r="B252" s="109" t="s">
        <v>125</v>
      </c>
      <c r="C252" s="109">
        <v>2529</v>
      </c>
      <c r="D252" s="109"/>
      <c r="E252" s="109"/>
      <c r="F252" s="109">
        <v>44484</v>
      </c>
      <c r="G252" s="109" t="s">
        <v>259</v>
      </c>
      <c r="H252" s="109"/>
      <c r="I252" s="109" t="s">
        <v>852</v>
      </c>
      <c r="J252" s="109" t="s">
        <v>853</v>
      </c>
      <c r="K252" s="109" t="s">
        <v>854</v>
      </c>
      <c r="L252" s="109" t="s">
        <v>135</v>
      </c>
      <c r="M252" s="109"/>
      <c r="N252" s="139"/>
      <c r="O252" s="139" t="s">
        <v>93</v>
      </c>
      <c r="P252" s="139">
        <v>1</v>
      </c>
      <c r="Q252" s="109">
        <v>10.52</v>
      </c>
      <c r="R252" s="136">
        <v>4</v>
      </c>
      <c r="S252" s="136">
        <v>10.52</v>
      </c>
      <c r="T252" s="109">
        <v>4</v>
      </c>
      <c r="U252" s="136">
        <v>42.08</v>
      </c>
    </row>
    <row r="253" spans="1:21" x14ac:dyDescent="0.2">
      <c r="A253" s="109">
        <v>251</v>
      </c>
      <c r="B253" s="109" t="s">
        <v>125</v>
      </c>
      <c r="C253" s="109">
        <v>2531</v>
      </c>
      <c r="D253" s="109"/>
      <c r="E253" s="109"/>
      <c r="F253" s="109">
        <v>44487</v>
      </c>
      <c r="G253" s="109" t="s">
        <v>136</v>
      </c>
      <c r="H253" s="109"/>
      <c r="I253" s="109" t="s">
        <v>855</v>
      </c>
      <c r="J253" s="109" t="s">
        <v>138</v>
      </c>
      <c r="K253" s="109" t="s">
        <v>856</v>
      </c>
      <c r="L253" s="109" t="s">
        <v>135</v>
      </c>
      <c r="M253" s="109"/>
      <c r="N253" s="139"/>
      <c r="O253" s="139" t="s">
        <v>93</v>
      </c>
      <c r="P253" s="139">
        <v>1</v>
      </c>
      <c r="Q253" s="109">
        <v>5.24</v>
      </c>
      <c r="R253" s="136">
        <v>8</v>
      </c>
      <c r="S253" s="136">
        <v>5.24</v>
      </c>
      <c r="T253" s="109">
        <v>8</v>
      </c>
      <c r="U253" s="136">
        <v>41.92</v>
      </c>
    </row>
    <row r="254" spans="1:21" x14ac:dyDescent="0.2">
      <c r="A254" s="109">
        <v>252</v>
      </c>
      <c r="B254" s="109" t="s">
        <v>125</v>
      </c>
      <c r="C254" s="109">
        <v>2551</v>
      </c>
      <c r="D254" s="109"/>
      <c r="E254" s="109"/>
      <c r="F254" s="109">
        <v>44480</v>
      </c>
      <c r="G254" s="109" t="s">
        <v>857</v>
      </c>
      <c r="H254" s="109"/>
      <c r="I254" s="109" t="s">
        <v>858</v>
      </c>
      <c r="J254" s="109" t="s">
        <v>859</v>
      </c>
      <c r="K254" s="109" t="s">
        <v>860</v>
      </c>
      <c r="L254" s="109" t="s">
        <v>144</v>
      </c>
      <c r="M254" s="109"/>
      <c r="N254" s="139"/>
      <c r="O254" s="139" t="s">
        <v>93</v>
      </c>
      <c r="P254" s="139">
        <v>1</v>
      </c>
      <c r="Q254" s="109">
        <v>39.76</v>
      </c>
      <c r="R254" s="136">
        <v>1</v>
      </c>
      <c r="S254" s="136">
        <v>39.76</v>
      </c>
      <c r="T254" s="109">
        <v>1</v>
      </c>
      <c r="U254" s="136">
        <v>39.76</v>
      </c>
    </row>
    <row r="255" spans="1:21" x14ac:dyDescent="0.2">
      <c r="A255" s="109">
        <v>253</v>
      </c>
      <c r="B255" s="109" t="s">
        <v>125</v>
      </c>
      <c r="C255" s="109">
        <v>2561</v>
      </c>
      <c r="D255" s="109"/>
      <c r="E255" s="109"/>
      <c r="F255" s="109">
        <v>44505</v>
      </c>
      <c r="G255" s="109" t="s">
        <v>181</v>
      </c>
      <c r="H255" s="109"/>
      <c r="I255" s="109" t="s">
        <v>861</v>
      </c>
      <c r="J255" s="109" t="s">
        <v>422</v>
      </c>
      <c r="K255" s="109" t="s">
        <v>862</v>
      </c>
      <c r="L255" s="109" t="s">
        <v>130</v>
      </c>
      <c r="M255" s="109"/>
      <c r="N255" s="139"/>
      <c r="O255" s="139" t="s">
        <v>93</v>
      </c>
      <c r="P255" s="139">
        <v>1</v>
      </c>
      <c r="Q255" s="109">
        <v>19.2</v>
      </c>
      <c r="R255" s="136">
        <v>2</v>
      </c>
      <c r="S255" s="136">
        <v>19.2</v>
      </c>
      <c r="T255" s="109">
        <v>2</v>
      </c>
      <c r="U255" s="136">
        <v>38.4</v>
      </c>
    </row>
    <row r="256" spans="1:21" x14ac:dyDescent="0.2">
      <c r="A256" s="109">
        <v>254</v>
      </c>
      <c r="B256" s="109" t="s">
        <v>125</v>
      </c>
      <c r="C256" s="109">
        <v>2571</v>
      </c>
      <c r="D256" s="109"/>
      <c r="E256" s="109"/>
      <c r="F256" s="109">
        <v>44386</v>
      </c>
      <c r="G256" s="109" t="s">
        <v>259</v>
      </c>
      <c r="H256" s="109"/>
      <c r="I256" s="109" t="s">
        <v>863</v>
      </c>
      <c r="J256" s="109" t="s">
        <v>261</v>
      </c>
      <c r="K256" s="109" t="s">
        <v>864</v>
      </c>
      <c r="L256" s="109" t="s">
        <v>135</v>
      </c>
      <c r="M256" s="109"/>
      <c r="N256" s="139"/>
      <c r="O256" s="139" t="s">
        <v>93</v>
      </c>
      <c r="P256" s="139">
        <v>1</v>
      </c>
      <c r="Q256" s="109">
        <v>7.33</v>
      </c>
      <c r="R256" s="136">
        <v>5</v>
      </c>
      <c r="S256" s="136">
        <v>7.33</v>
      </c>
      <c r="T256" s="109">
        <v>5</v>
      </c>
      <c r="U256" s="136">
        <v>36.65</v>
      </c>
    </row>
    <row r="257" spans="1:21" x14ac:dyDescent="0.2">
      <c r="A257" s="109">
        <v>255</v>
      </c>
      <c r="B257" s="109" t="s">
        <v>125</v>
      </c>
      <c r="C257" s="109">
        <v>2586</v>
      </c>
      <c r="D257" s="109"/>
      <c r="E257" s="109"/>
      <c r="F257" s="109">
        <v>44209</v>
      </c>
      <c r="G257" s="109" t="s">
        <v>259</v>
      </c>
      <c r="H257" s="109"/>
      <c r="I257" s="109" t="s">
        <v>865</v>
      </c>
      <c r="J257" s="109" t="s">
        <v>866</v>
      </c>
      <c r="K257" s="109" t="s">
        <v>867</v>
      </c>
      <c r="L257" s="109" t="s">
        <v>135</v>
      </c>
      <c r="M257" s="109"/>
      <c r="N257" s="139"/>
      <c r="O257" s="139" t="s">
        <v>93</v>
      </c>
      <c r="P257" s="139">
        <v>1</v>
      </c>
      <c r="Q257" s="109">
        <v>34.979999999999997</v>
      </c>
      <c r="R257" s="136">
        <v>1</v>
      </c>
      <c r="S257" s="136">
        <v>34.979999999999997</v>
      </c>
      <c r="T257" s="109">
        <v>1</v>
      </c>
      <c r="U257" s="136">
        <v>34.979999999999997</v>
      </c>
    </row>
    <row r="258" spans="1:21" x14ac:dyDescent="0.2">
      <c r="A258" s="109">
        <v>256</v>
      </c>
      <c r="B258" s="109" t="s">
        <v>125</v>
      </c>
      <c r="C258" s="109">
        <v>2597</v>
      </c>
      <c r="D258" s="109"/>
      <c r="E258" s="109"/>
      <c r="F258" s="109">
        <v>44361</v>
      </c>
      <c r="G258" s="109" t="s">
        <v>263</v>
      </c>
      <c r="H258" s="109"/>
      <c r="I258" s="109" t="s">
        <v>868</v>
      </c>
      <c r="J258" s="109" t="s">
        <v>654</v>
      </c>
      <c r="K258" s="109" t="s">
        <v>869</v>
      </c>
      <c r="L258" s="109" t="s">
        <v>870</v>
      </c>
      <c r="M258" s="109"/>
      <c r="N258" s="139"/>
      <c r="O258" s="139" t="s">
        <v>93</v>
      </c>
      <c r="P258" s="139">
        <v>1</v>
      </c>
      <c r="Q258" s="109">
        <v>16.84</v>
      </c>
      <c r="R258" s="136">
        <v>2</v>
      </c>
      <c r="S258" s="136">
        <v>16.84</v>
      </c>
      <c r="T258" s="109">
        <v>2</v>
      </c>
      <c r="U258" s="136">
        <v>33.68</v>
      </c>
    </row>
    <row r="259" spans="1:21" x14ac:dyDescent="0.2">
      <c r="A259" s="109">
        <v>257</v>
      </c>
      <c r="B259" s="109" t="s">
        <v>125</v>
      </c>
      <c r="C259" s="109">
        <v>2616</v>
      </c>
      <c r="D259" s="109"/>
      <c r="E259" s="109"/>
      <c r="F259" s="109">
        <v>44560</v>
      </c>
      <c r="G259" s="109" t="s">
        <v>185</v>
      </c>
      <c r="H259" s="109"/>
      <c r="I259" s="109" t="s">
        <v>871</v>
      </c>
      <c r="J259" s="109" t="s">
        <v>187</v>
      </c>
      <c r="K259" s="109" t="s">
        <v>872</v>
      </c>
      <c r="L259" s="109" t="s">
        <v>130</v>
      </c>
      <c r="M259" s="109"/>
      <c r="N259" s="139"/>
      <c r="O259" s="139" t="s">
        <v>93</v>
      </c>
      <c r="P259" s="139">
        <v>1</v>
      </c>
      <c r="Q259" s="109">
        <v>2.62</v>
      </c>
      <c r="R259" s="136">
        <v>12</v>
      </c>
      <c r="S259" s="136">
        <v>2.62</v>
      </c>
      <c r="T259" s="109">
        <v>12</v>
      </c>
      <c r="U259" s="136">
        <v>31.44</v>
      </c>
    </row>
    <row r="260" spans="1:21" x14ac:dyDescent="0.2">
      <c r="A260" s="109">
        <v>258</v>
      </c>
      <c r="B260" s="109" t="s">
        <v>125</v>
      </c>
      <c r="C260" s="109">
        <v>2642</v>
      </c>
      <c r="D260" s="109"/>
      <c r="E260" s="109"/>
      <c r="F260" s="109">
        <v>44483</v>
      </c>
      <c r="G260" s="109" t="s">
        <v>145</v>
      </c>
      <c r="H260" s="109"/>
      <c r="I260" s="109" t="s">
        <v>873</v>
      </c>
      <c r="J260" s="109" t="s">
        <v>623</v>
      </c>
      <c r="K260" s="109" t="s">
        <v>874</v>
      </c>
      <c r="L260" s="109" t="s">
        <v>130</v>
      </c>
      <c r="M260" s="109"/>
      <c r="N260" s="139"/>
      <c r="O260" s="139" t="s">
        <v>93</v>
      </c>
      <c r="P260" s="139">
        <v>1</v>
      </c>
      <c r="Q260" s="109">
        <v>28.38</v>
      </c>
      <c r="R260" s="136">
        <v>1</v>
      </c>
      <c r="S260" s="136">
        <v>28.38</v>
      </c>
      <c r="T260" s="109">
        <v>1</v>
      </c>
      <c r="U260" s="136">
        <v>28.38</v>
      </c>
    </row>
    <row r="261" spans="1:21" x14ac:dyDescent="0.2">
      <c r="A261" s="109">
        <v>259</v>
      </c>
      <c r="B261" s="109" t="s">
        <v>125</v>
      </c>
      <c r="C261" s="109">
        <v>2647</v>
      </c>
      <c r="D261" s="109"/>
      <c r="E261" s="109"/>
      <c r="F261" s="109">
        <v>44230</v>
      </c>
      <c r="G261" s="109" t="s">
        <v>388</v>
      </c>
      <c r="H261" s="109"/>
      <c r="I261" s="109" t="s">
        <v>875</v>
      </c>
      <c r="J261" s="109" t="s">
        <v>549</v>
      </c>
      <c r="K261" s="109" t="s">
        <v>876</v>
      </c>
      <c r="L261" s="109" t="s">
        <v>135</v>
      </c>
      <c r="M261" s="109"/>
      <c r="N261" s="139"/>
      <c r="O261" s="139" t="s">
        <v>93</v>
      </c>
      <c r="P261" s="139">
        <v>1</v>
      </c>
      <c r="Q261" s="109">
        <v>27.7</v>
      </c>
      <c r="R261" s="136">
        <v>1</v>
      </c>
      <c r="S261" s="136">
        <v>27.7</v>
      </c>
      <c r="T261" s="109">
        <v>1</v>
      </c>
      <c r="U261" s="136">
        <v>27.7</v>
      </c>
    </row>
    <row r="262" spans="1:21" x14ac:dyDescent="0.2">
      <c r="A262" s="109">
        <v>260</v>
      </c>
      <c r="B262" s="109" t="s">
        <v>125</v>
      </c>
      <c r="C262" s="109">
        <v>2648</v>
      </c>
      <c r="D262" s="109"/>
      <c r="E262" s="109"/>
      <c r="F262" s="109">
        <v>44532</v>
      </c>
      <c r="G262" s="109" t="s">
        <v>877</v>
      </c>
      <c r="H262" s="109"/>
      <c r="I262" s="109" t="s">
        <v>878</v>
      </c>
      <c r="J262" s="109" t="s">
        <v>623</v>
      </c>
      <c r="K262" s="109" t="s">
        <v>879</v>
      </c>
      <c r="L262" s="109" t="s">
        <v>130</v>
      </c>
      <c r="M262" s="109"/>
      <c r="N262" s="139"/>
      <c r="O262" s="139" t="s">
        <v>93</v>
      </c>
      <c r="P262" s="139">
        <v>1</v>
      </c>
      <c r="Q262" s="109">
        <v>27.67</v>
      </c>
      <c r="R262" s="136">
        <v>1</v>
      </c>
      <c r="S262" s="136">
        <v>27.67</v>
      </c>
      <c r="T262" s="109">
        <v>1</v>
      </c>
      <c r="U262" s="136">
        <v>27.67</v>
      </c>
    </row>
    <row r="263" spans="1:21" x14ac:dyDescent="0.2">
      <c r="A263" s="109">
        <v>261</v>
      </c>
      <c r="B263" s="109" t="s">
        <v>125</v>
      </c>
      <c r="C263" s="109">
        <v>2666</v>
      </c>
      <c r="D263" s="109"/>
      <c r="E263" s="109"/>
      <c r="F263" s="109">
        <v>44539</v>
      </c>
      <c r="G263" s="109" t="s">
        <v>185</v>
      </c>
      <c r="H263" s="109"/>
      <c r="I263" s="109" t="s">
        <v>880</v>
      </c>
      <c r="J263" s="109" t="s">
        <v>187</v>
      </c>
      <c r="K263" s="109" t="s">
        <v>881</v>
      </c>
      <c r="L263" s="109" t="s">
        <v>130</v>
      </c>
      <c r="M263" s="109"/>
      <c r="N263" s="139"/>
      <c r="O263" s="139" t="s">
        <v>93</v>
      </c>
      <c r="P263" s="139">
        <v>1</v>
      </c>
      <c r="Q263" s="109">
        <v>12.95</v>
      </c>
      <c r="R263" s="136">
        <v>2</v>
      </c>
      <c r="S263" s="136">
        <v>12.95</v>
      </c>
      <c r="T263" s="109">
        <v>2</v>
      </c>
      <c r="U263" s="136">
        <v>25.9</v>
      </c>
    </row>
    <row r="264" spans="1:21" x14ac:dyDescent="0.2">
      <c r="A264" s="109">
        <v>262</v>
      </c>
      <c r="B264" s="109" t="s">
        <v>125</v>
      </c>
      <c r="C264" s="109">
        <v>2672</v>
      </c>
      <c r="D264" s="109"/>
      <c r="E264" s="109"/>
      <c r="F264" s="109">
        <v>44440</v>
      </c>
      <c r="G264" s="109" t="s">
        <v>882</v>
      </c>
      <c r="H264" s="109"/>
      <c r="I264" s="109" t="s">
        <v>883</v>
      </c>
      <c r="J264" s="109" t="s">
        <v>884</v>
      </c>
      <c r="K264" s="109" t="s">
        <v>885</v>
      </c>
      <c r="L264" s="109" t="s">
        <v>135</v>
      </c>
      <c r="M264" s="109"/>
      <c r="N264" s="139"/>
      <c r="O264" s="139" t="s">
        <v>93</v>
      </c>
      <c r="P264" s="139">
        <v>1</v>
      </c>
      <c r="Q264" s="109">
        <v>25.59</v>
      </c>
      <c r="R264" s="136">
        <v>1</v>
      </c>
      <c r="S264" s="136">
        <v>25.59</v>
      </c>
      <c r="T264" s="109">
        <v>1</v>
      </c>
      <c r="U264" s="136">
        <v>25.59</v>
      </c>
    </row>
    <row r="265" spans="1:21" x14ac:dyDescent="0.2">
      <c r="A265" s="109">
        <v>263</v>
      </c>
      <c r="B265" s="109" t="s">
        <v>125</v>
      </c>
      <c r="C265" s="109">
        <v>2674</v>
      </c>
      <c r="D265" s="109"/>
      <c r="E265" s="109"/>
      <c r="F265" s="109">
        <v>44399</v>
      </c>
      <c r="G265" s="109" t="s">
        <v>145</v>
      </c>
      <c r="H265" s="109"/>
      <c r="I265" s="109" t="s">
        <v>886</v>
      </c>
      <c r="J265" s="109" t="s">
        <v>155</v>
      </c>
      <c r="K265" s="109" t="s">
        <v>887</v>
      </c>
      <c r="L265" s="109" t="s">
        <v>135</v>
      </c>
      <c r="M265" s="109"/>
      <c r="N265" s="139"/>
      <c r="O265" s="139" t="s">
        <v>93</v>
      </c>
      <c r="P265" s="139">
        <v>1</v>
      </c>
      <c r="Q265" s="109">
        <v>25.5</v>
      </c>
      <c r="R265" s="136">
        <v>1</v>
      </c>
      <c r="S265" s="136">
        <v>25.5</v>
      </c>
      <c r="T265" s="109">
        <v>1</v>
      </c>
      <c r="U265" s="136">
        <v>25.5</v>
      </c>
    </row>
    <row r="266" spans="1:21" x14ac:dyDescent="0.2">
      <c r="A266" s="109">
        <v>264</v>
      </c>
      <c r="B266" s="109" t="s">
        <v>125</v>
      </c>
      <c r="C266" s="109">
        <v>2675</v>
      </c>
      <c r="D266" s="109"/>
      <c r="E266" s="109"/>
      <c r="F266" s="109">
        <v>44438</v>
      </c>
      <c r="G266" s="109" t="s">
        <v>145</v>
      </c>
      <c r="H266" s="109"/>
      <c r="I266" s="109" t="s">
        <v>888</v>
      </c>
      <c r="J266" s="109" t="s">
        <v>211</v>
      </c>
      <c r="K266" s="109" t="s">
        <v>889</v>
      </c>
      <c r="L266" s="109" t="s">
        <v>135</v>
      </c>
      <c r="M266" s="109"/>
      <c r="N266" s="139"/>
      <c r="O266" s="139" t="s">
        <v>93</v>
      </c>
      <c r="P266" s="139">
        <v>1</v>
      </c>
      <c r="Q266" s="109">
        <v>25.45</v>
      </c>
      <c r="R266" s="136">
        <v>1</v>
      </c>
      <c r="S266" s="136">
        <v>25.45</v>
      </c>
      <c r="T266" s="109">
        <v>1</v>
      </c>
      <c r="U266" s="136">
        <v>25.45</v>
      </c>
    </row>
    <row r="267" spans="1:21" x14ac:dyDescent="0.2">
      <c r="A267" s="109">
        <v>265</v>
      </c>
      <c r="B267" s="109" t="s">
        <v>125</v>
      </c>
      <c r="C267" s="109">
        <v>2676</v>
      </c>
      <c r="D267" s="109"/>
      <c r="E267" s="109"/>
      <c r="F267" s="109">
        <v>44539</v>
      </c>
      <c r="G267" s="109" t="s">
        <v>185</v>
      </c>
      <c r="H267" s="109"/>
      <c r="I267" s="109" t="s">
        <v>890</v>
      </c>
      <c r="J267" s="109" t="s">
        <v>187</v>
      </c>
      <c r="K267" s="109" t="s">
        <v>891</v>
      </c>
      <c r="L267" s="109" t="s">
        <v>130</v>
      </c>
      <c r="M267" s="109"/>
      <c r="N267" s="139"/>
      <c r="O267" s="139" t="s">
        <v>93</v>
      </c>
      <c r="P267" s="139">
        <v>1</v>
      </c>
      <c r="Q267" s="109">
        <v>25.16</v>
      </c>
      <c r="R267" s="136">
        <v>1</v>
      </c>
      <c r="S267" s="136">
        <v>25.16</v>
      </c>
      <c r="T267" s="109">
        <v>1</v>
      </c>
      <c r="U267" s="136">
        <v>25.16</v>
      </c>
    </row>
    <row r="268" spans="1:21" x14ac:dyDescent="0.2">
      <c r="A268" s="109">
        <v>266</v>
      </c>
      <c r="B268" s="109" t="s">
        <v>125</v>
      </c>
      <c r="C268" s="109">
        <v>2679</v>
      </c>
      <c r="D268" s="109"/>
      <c r="E268" s="109"/>
      <c r="F268" s="109">
        <v>44474</v>
      </c>
      <c r="G268" s="109" t="s">
        <v>145</v>
      </c>
      <c r="H268" s="109"/>
      <c r="I268" s="109" t="s">
        <v>892</v>
      </c>
      <c r="J268" s="109" t="s">
        <v>893</v>
      </c>
      <c r="K268" s="109" t="s">
        <v>894</v>
      </c>
      <c r="L268" s="109" t="s">
        <v>135</v>
      </c>
      <c r="M268" s="109"/>
      <c r="N268" s="139"/>
      <c r="O268" s="139" t="s">
        <v>93</v>
      </c>
      <c r="P268" s="139">
        <v>100</v>
      </c>
      <c r="Q268" s="109">
        <v>8.17</v>
      </c>
      <c r="R268" s="136">
        <v>3</v>
      </c>
      <c r="S268" s="136">
        <v>8.1699999999999995E-2</v>
      </c>
      <c r="T268" s="109">
        <v>300</v>
      </c>
      <c r="U268" s="136">
        <v>24.509999999999998</v>
      </c>
    </row>
    <row r="269" spans="1:21" x14ac:dyDescent="0.2">
      <c r="A269" s="109">
        <v>267</v>
      </c>
      <c r="B269" s="109" t="s">
        <v>125</v>
      </c>
      <c r="C269" s="109">
        <v>2684</v>
      </c>
      <c r="D269" s="109"/>
      <c r="E269" s="109"/>
      <c r="F269" s="109">
        <v>44536</v>
      </c>
      <c r="G269" s="109" t="s">
        <v>193</v>
      </c>
      <c r="H269" s="109"/>
      <c r="I269" s="109" t="s">
        <v>895</v>
      </c>
      <c r="J269" s="109" t="s">
        <v>833</v>
      </c>
      <c r="K269" s="109" t="s">
        <v>896</v>
      </c>
      <c r="L269" s="109" t="s">
        <v>130</v>
      </c>
      <c r="M269" s="109"/>
      <c r="N269" s="139"/>
      <c r="O269" s="139" t="s">
        <v>93</v>
      </c>
      <c r="P269" s="139">
        <v>1</v>
      </c>
      <c r="Q269" s="109">
        <v>24</v>
      </c>
      <c r="R269" s="136">
        <v>1</v>
      </c>
      <c r="S269" s="136">
        <v>24</v>
      </c>
      <c r="T269" s="109">
        <v>1</v>
      </c>
      <c r="U269" s="136">
        <v>24</v>
      </c>
    </row>
    <row r="270" spans="1:21" x14ac:dyDescent="0.2">
      <c r="A270" s="109">
        <v>268</v>
      </c>
      <c r="B270" s="109" t="s">
        <v>125</v>
      </c>
      <c r="C270" s="109">
        <v>2689</v>
      </c>
      <c r="D270" s="109"/>
      <c r="E270" s="109"/>
      <c r="F270" s="109">
        <v>44392</v>
      </c>
      <c r="G270" s="109" t="s">
        <v>497</v>
      </c>
      <c r="H270" s="109"/>
      <c r="I270" s="109" t="s">
        <v>897</v>
      </c>
      <c r="J270" s="109" t="s">
        <v>898</v>
      </c>
      <c r="K270" s="109" t="s">
        <v>899</v>
      </c>
      <c r="L270" s="109" t="s">
        <v>135</v>
      </c>
      <c r="M270" s="109"/>
      <c r="N270" s="139"/>
      <c r="O270" s="139" t="s">
        <v>93</v>
      </c>
      <c r="P270" s="139">
        <v>1</v>
      </c>
      <c r="Q270" s="109">
        <v>11.86</v>
      </c>
      <c r="R270" s="136">
        <v>2</v>
      </c>
      <c r="S270" s="136">
        <v>11.86</v>
      </c>
      <c r="T270" s="109">
        <v>2</v>
      </c>
      <c r="U270" s="136">
        <v>23.72</v>
      </c>
    </row>
    <row r="271" spans="1:21" x14ac:dyDescent="0.2">
      <c r="A271" s="109">
        <v>269</v>
      </c>
      <c r="B271" s="109" t="s">
        <v>125</v>
      </c>
      <c r="C271" s="109">
        <v>2691</v>
      </c>
      <c r="D271" s="109"/>
      <c r="E271" s="109"/>
      <c r="F271" s="109">
        <v>44337</v>
      </c>
      <c r="G271" s="109" t="s">
        <v>259</v>
      </c>
      <c r="H271" s="109"/>
      <c r="I271" s="109" t="s">
        <v>900</v>
      </c>
      <c r="J271" s="109" t="s">
        <v>362</v>
      </c>
      <c r="K271" s="109" t="s">
        <v>901</v>
      </c>
      <c r="L271" s="109" t="s">
        <v>135</v>
      </c>
      <c r="M271" s="109"/>
      <c r="N271" s="139"/>
      <c r="O271" s="139" t="s">
        <v>93</v>
      </c>
      <c r="P271" s="139">
        <v>1</v>
      </c>
      <c r="Q271" s="109">
        <v>2.35</v>
      </c>
      <c r="R271" s="136">
        <v>10</v>
      </c>
      <c r="S271" s="136">
        <v>2.35</v>
      </c>
      <c r="T271" s="109">
        <v>10</v>
      </c>
      <c r="U271" s="136">
        <v>23.5</v>
      </c>
    </row>
    <row r="272" spans="1:21" x14ac:dyDescent="0.2">
      <c r="A272" s="109">
        <v>270</v>
      </c>
      <c r="B272" s="109" t="s">
        <v>125</v>
      </c>
      <c r="C272" s="109">
        <v>2699</v>
      </c>
      <c r="D272" s="109"/>
      <c r="E272" s="109"/>
      <c r="F272" s="109">
        <v>44284</v>
      </c>
      <c r="G272" s="109" t="s">
        <v>145</v>
      </c>
      <c r="H272" s="109"/>
      <c r="I272" s="109" t="s">
        <v>902</v>
      </c>
      <c r="J272" s="109" t="s">
        <v>678</v>
      </c>
      <c r="K272" s="109" t="s">
        <v>903</v>
      </c>
      <c r="L272" s="109" t="s">
        <v>135</v>
      </c>
      <c r="M272" s="109"/>
      <c r="N272" s="139"/>
      <c r="O272" s="139" t="s">
        <v>93</v>
      </c>
      <c r="P272" s="139">
        <v>1</v>
      </c>
      <c r="Q272" s="109">
        <v>5.58</v>
      </c>
      <c r="R272" s="136">
        <v>4</v>
      </c>
      <c r="S272" s="136">
        <v>5.58</v>
      </c>
      <c r="T272" s="109">
        <v>4</v>
      </c>
      <c r="U272" s="136">
        <v>22.32</v>
      </c>
    </row>
    <row r="273" spans="1:21" x14ac:dyDescent="0.2">
      <c r="A273" s="109">
        <v>271</v>
      </c>
      <c r="B273" s="109" t="s">
        <v>125</v>
      </c>
      <c r="C273" s="109">
        <v>2708</v>
      </c>
      <c r="D273" s="109"/>
      <c r="E273" s="109"/>
      <c r="F273" s="109">
        <v>44488</v>
      </c>
      <c r="G273" s="109" t="s">
        <v>259</v>
      </c>
      <c r="H273" s="109"/>
      <c r="I273" s="109" t="s">
        <v>904</v>
      </c>
      <c r="J273" s="109" t="s">
        <v>905</v>
      </c>
      <c r="K273" s="109" t="s">
        <v>906</v>
      </c>
      <c r="L273" s="109" t="s">
        <v>130</v>
      </c>
      <c r="M273" s="109"/>
      <c r="N273" s="139"/>
      <c r="O273" s="139" t="s">
        <v>432</v>
      </c>
      <c r="P273" s="139">
        <v>1</v>
      </c>
      <c r="Q273" s="109">
        <v>21.26</v>
      </c>
      <c r="R273" s="136">
        <v>1</v>
      </c>
      <c r="S273" s="136">
        <v>21.26</v>
      </c>
      <c r="T273" s="109">
        <v>1</v>
      </c>
      <c r="U273" s="136">
        <v>21.26</v>
      </c>
    </row>
    <row r="274" spans="1:21" x14ac:dyDescent="0.2">
      <c r="A274" s="109">
        <v>272</v>
      </c>
      <c r="B274" s="109" t="s">
        <v>125</v>
      </c>
      <c r="C274" s="109">
        <v>2712</v>
      </c>
      <c r="D274" s="109"/>
      <c r="E274" s="109"/>
      <c r="F274" s="109">
        <v>44260</v>
      </c>
      <c r="G274" s="109" t="s">
        <v>529</v>
      </c>
      <c r="H274" s="109"/>
      <c r="I274" s="109" t="s">
        <v>907</v>
      </c>
      <c r="J274" s="109" t="s">
        <v>908</v>
      </c>
      <c r="K274" s="109" t="s">
        <v>909</v>
      </c>
      <c r="L274" s="109" t="s">
        <v>135</v>
      </c>
      <c r="M274" s="109"/>
      <c r="N274" s="139"/>
      <c r="O274" s="139" t="s">
        <v>93</v>
      </c>
      <c r="P274" s="139">
        <v>1</v>
      </c>
      <c r="Q274" s="109">
        <v>21</v>
      </c>
      <c r="R274" s="136">
        <v>1</v>
      </c>
      <c r="S274" s="136">
        <v>21</v>
      </c>
      <c r="T274" s="109">
        <v>1</v>
      </c>
      <c r="U274" s="136">
        <v>21</v>
      </c>
    </row>
    <row r="275" spans="1:21" x14ac:dyDescent="0.2">
      <c r="A275" s="109">
        <v>273</v>
      </c>
      <c r="B275" s="109" t="s">
        <v>125</v>
      </c>
      <c r="C275" s="109">
        <v>2714</v>
      </c>
      <c r="D275" s="109"/>
      <c r="E275" s="109"/>
      <c r="F275" s="109">
        <v>44483</v>
      </c>
      <c r="G275" s="109" t="s">
        <v>163</v>
      </c>
      <c r="H275" s="109"/>
      <c r="I275" s="109" t="s">
        <v>910</v>
      </c>
      <c r="J275" s="109" t="s">
        <v>911</v>
      </c>
      <c r="K275" s="109" t="s">
        <v>912</v>
      </c>
      <c r="L275" s="109" t="s">
        <v>130</v>
      </c>
      <c r="M275" s="109"/>
      <c r="N275" s="139"/>
      <c r="O275" s="139" t="s">
        <v>93</v>
      </c>
      <c r="P275" s="139">
        <v>1</v>
      </c>
      <c r="Q275" s="109">
        <v>10.38</v>
      </c>
      <c r="R275" s="136">
        <v>2</v>
      </c>
      <c r="S275" s="136">
        <v>10.38</v>
      </c>
      <c r="T275" s="109">
        <v>2</v>
      </c>
      <c r="U275" s="136">
        <v>20.76</v>
      </c>
    </row>
    <row r="276" spans="1:21" x14ac:dyDescent="0.2">
      <c r="A276" s="109">
        <v>274</v>
      </c>
      <c r="B276" s="109" t="s">
        <v>125</v>
      </c>
      <c r="C276" s="109">
        <v>2737</v>
      </c>
      <c r="D276" s="109"/>
      <c r="E276" s="109"/>
      <c r="F276" s="109">
        <v>44546</v>
      </c>
      <c r="G276" s="109" t="s">
        <v>388</v>
      </c>
      <c r="H276" s="109"/>
      <c r="I276" s="109" t="s">
        <v>913</v>
      </c>
      <c r="J276" s="109" t="s">
        <v>695</v>
      </c>
      <c r="K276" s="109" t="s">
        <v>914</v>
      </c>
      <c r="L276" s="109" t="s">
        <v>130</v>
      </c>
      <c r="M276" s="109"/>
      <c r="N276" s="139"/>
      <c r="O276" s="139" t="s">
        <v>93</v>
      </c>
      <c r="P276" s="139">
        <v>1</v>
      </c>
      <c r="Q276" s="109">
        <v>4.75</v>
      </c>
      <c r="R276" s="136">
        <v>4</v>
      </c>
      <c r="S276" s="136">
        <v>4.75</v>
      </c>
      <c r="T276" s="109">
        <v>4</v>
      </c>
      <c r="U276" s="136">
        <v>19</v>
      </c>
    </row>
    <row r="277" spans="1:21" x14ac:dyDescent="0.2">
      <c r="A277" s="109">
        <v>275</v>
      </c>
      <c r="B277" s="109" t="s">
        <v>125</v>
      </c>
      <c r="C277" s="109">
        <v>2739</v>
      </c>
      <c r="D277" s="109"/>
      <c r="E277" s="109"/>
      <c r="F277" s="109">
        <v>44228</v>
      </c>
      <c r="G277" s="109" t="s">
        <v>145</v>
      </c>
      <c r="H277" s="109"/>
      <c r="I277" s="109" t="s">
        <v>915</v>
      </c>
      <c r="J277" s="109" t="s">
        <v>916</v>
      </c>
      <c r="K277" s="109" t="s">
        <v>917</v>
      </c>
      <c r="L277" s="109" t="s">
        <v>135</v>
      </c>
      <c r="M277" s="109"/>
      <c r="N277" s="139"/>
      <c r="O277" s="139" t="s">
        <v>93</v>
      </c>
      <c r="P277" s="139">
        <v>1</v>
      </c>
      <c r="Q277" s="109">
        <v>0.63</v>
      </c>
      <c r="R277" s="136">
        <v>30</v>
      </c>
      <c r="S277" s="136">
        <v>0.63</v>
      </c>
      <c r="T277" s="109">
        <v>30</v>
      </c>
      <c r="U277" s="136">
        <v>18.899999999999999</v>
      </c>
    </row>
    <row r="278" spans="1:21" x14ac:dyDescent="0.2">
      <c r="A278" s="109">
        <v>276</v>
      </c>
      <c r="B278" s="109" t="s">
        <v>125</v>
      </c>
      <c r="C278" s="109">
        <v>2743</v>
      </c>
      <c r="D278" s="109"/>
      <c r="E278" s="109"/>
      <c r="F278" s="109">
        <v>44340</v>
      </c>
      <c r="G278" s="109" t="s">
        <v>428</v>
      </c>
      <c r="H278" s="109"/>
      <c r="I278" s="109" t="s">
        <v>918</v>
      </c>
      <c r="J278" s="109" t="s">
        <v>430</v>
      </c>
      <c r="K278" s="109" t="s">
        <v>919</v>
      </c>
      <c r="L278" s="109" t="s">
        <v>135</v>
      </c>
      <c r="M278" s="109"/>
      <c r="N278" s="139"/>
      <c r="O278" s="139" t="s">
        <v>93</v>
      </c>
      <c r="P278" s="139">
        <v>1</v>
      </c>
      <c r="Q278" s="109">
        <v>18.3</v>
      </c>
      <c r="R278" s="136">
        <v>1</v>
      </c>
      <c r="S278" s="136">
        <v>18.3</v>
      </c>
      <c r="T278" s="109">
        <v>1</v>
      </c>
      <c r="U278" s="136">
        <v>18.3</v>
      </c>
    </row>
    <row r="279" spans="1:21" x14ac:dyDescent="0.2">
      <c r="A279" s="109">
        <v>277</v>
      </c>
      <c r="B279" s="109" t="s">
        <v>125</v>
      </c>
      <c r="C279" s="109">
        <v>2759</v>
      </c>
      <c r="D279" s="109"/>
      <c r="E279" s="109"/>
      <c r="F279" s="109">
        <v>44487</v>
      </c>
      <c r="G279" s="109" t="s">
        <v>136</v>
      </c>
      <c r="H279" s="109"/>
      <c r="I279" s="109" t="s">
        <v>920</v>
      </c>
      <c r="J279" s="109" t="s">
        <v>138</v>
      </c>
      <c r="K279" s="109" t="s">
        <v>921</v>
      </c>
      <c r="L279" s="109" t="s">
        <v>135</v>
      </c>
      <c r="M279" s="109"/>
      <c r="N279" s="139"/>
      <c r="O279" s="139" t="s">
        <v>93</v>
      </c>
      <c r="P279" s="139">
        <v>1</v>
      </c>
      <c r="Q279" s="109">
        <v>2.1</v>
      </c>
      <c r="R279" s="136">
        <v>8</v>
      </c>
      <c r="S279" s="136">
        <v>2.1</v>
      </c>
      <c r="T279" s="109">
        <v>8</v>
      </c>
      <c r="U279" s="136">
        <v>16.8</v>
      </c>
    </row>
    <row r="280" spans="1:21" x14ac:dyDescent="0.2">
      <c r="A280" s="109">
        <v>278</v>
      </c>
      <c r="B280" s="109" t="s">
        <v>125</v>
      </c>
      <c r="C280" s="109">
        <v>2761</v>
      </c>
      <c r="D280" s="109"/>
      <c r="E280" s="109"/>
      <c r="F280" s="109">
        <v>44223</v>
      </c>
      <c r="G280" s="109" t="s">
        <v>145</v>
      </c>
      <c r="H280" s="109"/>
      <c r="I280" s="109" t="s">
        <v>922</v>
      </c>
      <c r="J280" s="109" t="s">
        <v>845</v>
      </c>
      <c r="K280" s="109" t="s">
        <v>923</v>
      </c>
      <c r="L280" s="109" t="s">
        <v>135</v>
      </c>
      <c r="M280" s="109"/>
      <c r="N280" s="139"/>
      <c r="O280" s="139" t="s">
        <v>93</v>
      </c>
      <c r="P280" s="139">
        <v>1</v>
      </c>
      <c r="Q280" s="109">
        <v>3.33</v>
      </c>
      <c r="R280" s="136">
        <v>5</v>
      </c>
      <c r="S280" s="136">
        <v>3.33</v>
      </c>
      <c r="T280" s="109">
        <v>5</v>
      </c>
      <c r="U280" s="136">
        <v>16.649999999999999</v>
      </c>
    </row>
    <row r="281" spans="1:21" x14ac:dyDescent="0.2">
      <c r="A281" s="109">
        <v>279</v>
      </c>
      <c r="B281" s="109" t="s">
        <v>125</v>
      </c>
      <c r="C281" s="109">
        <v>2762</v>
      </c>
      <c r="D281" s="109"/>
      <c r="E281" s="109"/>
      <c r="F281" s="109">
        <v>44482</v>
      </c>
      <c r="G281" s="109" t="s">
        <v>924</v>
      </c>
      <c r="H281" s="109"/>
      <c r="I281" s="109" t="s">
        <v>925</v>
      </c>
      <c r="J281" s="109" t="s">
        <v>444</v>
      </c>
      <c r="K281" s="109" t="s">
        <v>926</v>
      </c>
      <c r="L281" s="109" t="s">
        <v>144</v>
      </c>
      <c r="M281" s="109"/>
      <c r="N281" s="139"/>
      <c r="O281" s="139" t="s">
        <v>93</v>
      </c>
      <c r="P281" s="139">
        <v>1</v>
      </c>
      <c r="Q281" s="109">
        <v>16.489999999999998</v>
      </c>
      <c r="R281" s="136">
        <v>1</v>
      </c>
      <c r="S281" s="136">
        <v>16.489999999999998</v>
      </c>
      <c r="T281" s="109">
        <v>1</v>
      </c>
      <c r="U281" s="136">
        <v>16.489999999999998</v>
      </c>
    </row>
    <row r="282" spans="1:21" x14ac:dyDescent="0.2">
      <c r="A282" s="109">
        <v>280</v>
      </c>
      <c r="B282" s="109" t="s">
        <v>125</v>
      </c>
      <c r="C282" s="109">
        <v>2767</v>
      </c>
      <c r="D282" s="109"/>
      <c r="E282" s="109"/>
      <c r="F282" s="109">
        <v>44508</v>
      </c>
      <c r="G282" s="109" t="s">
        <v>618</v>
      </c>
      <c r="H282" s="109"/>
      <c r="I282" s="109" t="s">
        <v>927</v>
      </c>
      <c r="J282" s="109" t="s">
        <v>739</v>
      </c>
      <c r="K282" s="109" t="s">
        <v>928</v>
      </c>
      <c r="L282" s="109" t="s">
        <v>130</v>
      </c>
      <c r="M282" s="109"/>
      <c r="N282" s="139"/>
      <c r="O282" s="139" t="s">
        <v>93</v>
      </c>
      <c r="P282" s="139">
        <v>1</v>
      </c>
      <c r="Q282" s="109">
        <v>8.11</v>
      </c>
      <c r="R282" s="136">
        <v>2</v>
      </c>
      <c r="S282" s="136">
        <v>8.11</v>
      </c>
      <c r="T282" s="109">
        <v>2</v>
      </c>
      <c r="U282" s="136">
        <v>16.22</v>
      </c>
    </row>
    <row r="283" spans="1:21" x14ac:dyDescent="0.2">
      <c r="A283" s="109">
        <v>281</v>
      </c>
      <c r="B283" s="109" t="s">
        <v>125</v>
      </c>
      <c r="C283" s="109">
        <v>2775</v>
      </c>
      <c r="D283" s="109"/>
      <c r="E283" s="109"/>
      <c r="F283" s="109">
        <v>44356</v>
      </c>
      <c r="G283" s="109" t="s">
        <v>929</v>
      </c>
      <c r="H283" s="109"/>
      <c r="I283" s="109" t="s">
        <v>930</v>
      </c>
      <c r="J283" s="109" t="s">
        <v>931</v>
      </c>
      <c r="K283" s="109" t="s">
        <v>932</v>
      </c>
      <c r="L283" s="109" t="s">
        <v>135</v>
      </c>
      <c r="M283" s="109"/>
      <c r="N283" s="139"/>
      <c r="O283" s="139" t="s">
        <v>93</v>
      </c>
      <c r="P283" s="139">
        <v>1</v>
      </c>
      <c r="Q283" s="109">
        <v>7.64</v>
      </c>
      <c r="R283" s="136">
        <v>2</v>
      </c>
      <c r="S283" s="136">
        <v>7.64</v>
      </c>
      <c r="T283" s="109">
        <v>2</v>
      </c>
      <c r="U283" s="136">
        <v>15.28</v>
      </c>
    </row>
    <row r="284" spans="1:21" x14ac:dyDescent="0.2">
      <c r="A284" s="109">
        <v>282</v>
      </c>
      <c r="B284" s="109" t="s">
        <v>125</v>
      </c>
      <c r="C284" s="109">
        <v>2784</v>
      </c>
      <c r="D284" s="109"/>
      <c r="E284" s="109"/>
      <c r="F284" s="109">
        <v>44522</v>
      </c>
      <c r="G284" s="109" t="s">
        <v>145</v>
      </c>
      <c r="H284" s="109"/>
      <c r="I284" s="109" t="s">
        <v>933</v>
      </c>
      <c r="J284" s="109" t="s">
        <v>934</v>
      </c>
      <c r="K284" s="109" t="s">
        <v>935</v>
      </c>
      <c r="L284" s="109" t="s">
        <v>130</v>
      </c>
      <c r="M284" s="109"/>
      <c r="N284" s="139"/>
      <c r="O284" s="139" t="s">
        <v>93</v>
      </c>
      <c r="P284" s="139">
        <v>1</v>
      </c>
      <c r="Q284" s="109">
        <v>6.97</v>
      </c>
      <c r="R284" s="136">
        <v>2</v>
      </c>
      <c r="S284" s="136">
        <v>6.97</v>
      </c>
      <c r="T284" s="109">
        <v>2</v>
      </c>
      <c r="U284" s="136">
        <v>13.94</v>
      </c>
    </row>
    <row r="285" spans="1:21" x14ac:dyDescent="0.2">
      <c r="A285" s="109">
        <v>283</v>
      </c>
      <c r="B285" s="109" t="s">
        <v>125</v>
      </c>
      <c r="C285" s="109">
        <v>2786</v>
      </c>
      <c r="D285" s="109"/>
      <c r="E285" s="109"/>
      <c r="F285" s="109">
        <v>44480</v>
      </c>
      <c r="G285" s="109" t="s">
        <v>259</v>
      </c>
      <c r="H285" s="109"/>
      <c r="I285" s="109" t="s">
        <v>936</v>
      </c>
      <c r="J285" s="109" t="s">
        <v>594</v>
      </c>
      <c r="K285" s="109" t="s">
        <v>937</v>
      </c>
      <c r="L285" s="109" t="s">
        <v>130</v>
      </c>
      <c r="M285" s="109"/>
      <c r="N285" s="139"/>
      <c r="O285" s="139" t="s">
        <v>93</v>
      </c>
      <c r="P285" s="139">
        <v>1</v>
      </c>
      <c r="Q285" s="109">
        <v>4.62</v>
      </c>
      <c r="R285" s="136">
        <v>3</v>
      </c>
      <c r="S285" s="136">
        <v>4.62</v>
      </c>
      <c r="T285" s="109">
        <v>3</v>
      </c>
      <c r="U285" s="136">
        <v>13.86</v>
      </c>
    </row>
    <row r="286" spans="1:21" x14ac:dyDescent="0.2">
      <c r="A286" s="109">
        <v>284</v>
      </c>
      <c r="B286" s="109" t="s">
        <v>125</v>
      </c>
      <c r="C286" s="109">
        <v>2794</v>
      </c>
      <c r="D286" s="109"/>
      <c r="E286" s="109"/>
      <c r="F286" s="109">
        <v>44203</v>
      </c>
      <c r="G286" s="109" t="s">
        <v>259</v>
      </c>
      <c r="H286" s="109"/>
      <c r="I286" s="109" t="s">
        <v>938</v>
      </c>
      <c r="J286" s="109" t="s">
        <v>908</v>
      </c>
      <c r="K286" s="109" t="s">
        <v>939</v>
      </c>
      <c r="L286" s="109" t="s">
        <v>135</v>
      </c>
      <c r="M286" s="109"/>
      <c r="N286" s="139"/>
      <c r="O286" s="139" t="s">
        <v>93</v>
      </c>
      <c r="P286" s="139">
        <v>1</v>
      </c>
      <c r="Q286" s="109">
        <v>6.44</v>
      </c>
      <c r="R286" s="136">
        <v>2</v>
      </c>
      <c r="S286" s="136">
        <v>6.44</v>
      </c>
      <c r="T286" s="109">
        <v>2</v>
      </c>
      <c r="U286" s="136">
        <v>12.88</v>
      </c>
    </row>
    <row r="287" spans="1:21" x14ac:dyDescent="0.2">
      <c r="A287" s="109">
        <v>285</v>
      </c>
      <c r="B287" s="109" t="s">
        <v>125</v>
      </c>
      <c r="C287" s="109">
        <v>2796</v>
      </c>
      <c r="D287" s="109"/>
      <c r="E287" s="109"/>
      <c r="F287" s="109">
        <v>44494</v>
      </c>
      <c r="G287" s="109" t="s">
        <v>259</v>
      </c>
      <c r="H287" s="109"/>
      <c r="I287" s="109" t="s">
        <v>940</v>
      </c>
      <c r="J287" s="109" t="s">
        <v>211</v>
      </c>
      <c r="K287" s="109" t="s">
        <v>941</v>
      </c>
      <c r="L287" s="109" t="s">
        <v>130</v>
      </c>
      <c r="M287" s="109"/>
      <c r="N287" s="139"/>
      <c r="O287" s="139" t="s">
        <v>93</v>
      </c>
      <c r="P287" s="139">
        <v>1</v>
      </c>
      <c r="Q287" s="109">
        <v>12.23</v>
      </c>
      <c r="R287" s="136">
        <v>1</v>
      </c>
      <c r="S287" s="136">
        <v>12.23</v>
      </c>
      <c r="T287" s="109">
        <v>1</v>
      </c>
      <c r="U287" s="136">
        <v>12.23</v>
      </c>
    </row>
    <row r="288" spans="1:21" x14ac:dyDescent="0.2">
      <c r="A288" s="109">
        <v>286</v>
      </c>
      <c r="B288" s="109" t="s">
        <v>125</v>
      </c>
      <c r="C288" s="109">
        <v>2801</v>
      </c>
      <c r="D288" s="109"/>
      <c r="E288" s="109"/>
      <c r="F288" s="109">
        <v>44480</v>
      </c>
      <c r="G288" s="109" t="s">
        <v>259</v>
      </c>
      <c r="H288" s="109"/>
      <c r="I288" s="109" t="s">
        <v>942</v>
      </c>
      <c r="J288" s="109" t="s">
        <v>594</v>
      </c>
      <c r="K288" s="109" t="s">
        <v>943</v>
      </c>
      <c r="L288" s="109" t="s">
        <v>130</v>
      </c>
      <c r="M288" s="109"/>
      <c r="N288" s="139"/>
      <c r="O288" s="139" t="s">
        <v>93</v>
      </c>
      <c r="P288" s="139">
        <v>1</v>
      </c>
      <c r="Q288" s="109">
        <v>3.85</v>
      </c>
      <c r="R288" s="136">
        <v>3</v>
      </c>
      <c r="S288" s="136">
        <v>3.85</v>
      </c>
      <c r="T288" s="109">
        <v>3</v>
      </c>
      <c r="U288" s="136">
        <v>11.55</v>
      </c>
    </row>
    <row r="289" spans="1:21" x14ac:dyDescent="0.2">
      <c r="A289" s="109">
        <v>287</v>
      </c>
      <c r="B289" s="109" t="s">
        <v>125</v>
      </c>
      <c r="C289" s="109">
        <v>2802</v>
      </c>
      <c r="D289" s="109"/>
      <c r="E289" s="109"/>
      <c r="F289" s="109">
        <v>44552</v>
      </c>
      <c r="G289" s="109" t="s">
        <v>181</v>
      </c>
      <c r="H289" s="109"/>
      <c r="I289" s="109" t="s">
        <v>944</v>
      </c>
      <c r="J289" s="109" t="s">
        <v>945</v>
      </c>
      <c r="K289" s="109" t="s">
        <v>946</v>
      </c>
      <c r="L289" s="109" t="s">
        <v>130</v>
      </c>
      <c r="M289" s="109"/>
      <c r="N289" s="139"/>
      <c r="O289" s="139" t="s">
        <v>93</v>
      </c>
      <c r="P289" s="139">
        <v>1</v>
      </c>
      <c r="Q289" s="109">
        <v>2.88</v>
      </c>
      <c r="R289" s="136">
        <v>4</v>
      </c>
      <c r="S289" s="136">
        <v>2.88</v>
      </c>
      <c r="T289" s="109">
        <v>4</v>
      </c>
      <c r="U289" s="136">
        <v>11.52</v>
      </c>
    </row>
    <row r="290" spans="1:21" x14ac:dyDescent="0.2">
      <c r="A290" s="109">
        <v>288</v>
      </c>
      <c r="B290" s="109" t="s">
        <v>125</v>
      </c>
      <c r="C290" s="109">
        <v>2828</v>
      </c>
      <c r="D290" s="109"/>
      <c r="E290" s="109"/>
      <c r="F290" s="109">
        <v>44383</v>
      </c>
      <c r="G290" s="109" t="s">
        <v>145</v>
      </c>
      <c r="H290" s="109"/>
      <c r="I290" s="109" t="s">
        <v>947</v>
      </c>
      <c r="J290" s="109" t="s">
        <v>623</v>
      </c>
      <c r="K290" s="109" t="s">
        <v>948</v>
      </c>
      <c r="L290" s="109" t="s">
        <v>135</v>
      </c>
      <c r="M290" s="109"/>
      <c r="N290" s="139"/>
      <c r="O290" s="139" t="s">
        <v>93</v>
      </c>
      <c r="P290" s="139">
        <v>1</v>
      </c>
      <c r="Q290" s="109">
        <v>9.39</v>
      </c>
      <c r="R290" s="136">
        <v>1</v>
      </c>
      <c r="S290" s="136">
        <v>9.39</v>
      </c>
      <c r="T290" s="109">
        <v>1</v>
      </c>
      <c r="U290" s="136">
        <v>9.39</v>
      </c>
    </row>
    <row r="291" spans="1:21" x14ac:dyDescent="0.2">
      <c r="A291" s="109">
        <v>289</v>
      </c>
      <c r="B291" s="109" t="s">
        <v>125</v>
      </c>
      <c r="C291" s="109">
        <v>2832</v>
      </c>
      <c r="D291" s="109"/>
      <c r="E291" s="109"/>
      <c r="F291" s="109">
        <v>44330</v>
      </c>
      <c r="G291" s="109" t="s">
        <v>710</v>
      </c>
      <c r="H291" s="109"/>
      <c r="I291" s="109" t="s">
        <v>949</v>
      </c>
      <c r="J291" s="109" t="s">
        <v>712</v>
      </c>
      <c r="K291" s="109" t="s">
        <v>950</v>
      </c>
      <c r="L291" s="109" t="s">
        <v>135</v>
      </c>
      <c r="M291" s="109"/>
      <c r="N291" s="139"/>
      <c r="O291" s="139" t="s">
        <v>93</v>
      </c>
      <c r="P291" s="139">
        <v>1</v>
      </c>
      <c r="Q291" s="109">
        <v>8.65</v>
      </c>
      <c r="R291" s="136">
        <v>1</v>
      </c>
      <c r="S291" s="136">
        <v>8.65</v>
      </c>
      <c r="T291" s="109">
        <v>1</v>
      </c>
      <c r="U291" s="136">
        <v>8.65</v>
      </c>
    </row>
    <row r="292" spans="1:21" x14ac:dyDescent="0.2">
      <c r="A292" s="109">
        <v>290</v>
      </c>
      <c r="B292" s="109" t="s">
        <v>125</v>
      </c>
      <c r="C292" s="109">
        <v>2834</v>
      </c>
      <c r="D292" s="109"/>
      <c r="E292" s="109"/>
      <c r="F292" s="109">
        <v>44544</v>
      </c>
      <c r="G292" s="109" t="s">
        <v>140</v>
      </c>
      <c r="H292" s="109"/>
      <c r="I292" s="109" t="s">
        <v>951</v>
      </c>
      <c r="J292" s="109" t="s">
        <v>720</v>
      </c>
      <c r="K292" s="109" t="s">
        <v>952</v>
      </c>
      <c r="L292" s="109" t="s">
        <v>144</v>
      </c>
      <c r="M292" s="109"/>
      <c r="N292" s="139"/>
      <c r="O292" s="139" t="s">
        <v>93</v>
      </c>
      <c r="P292" s="139">
        <v>1</v>
      </c>
      <c r="Q292" s="109">
        <v>8.4</v>
      </c>
      <c r="R292" s="136">
        <v>1</v>
      </c>
      <c r="S292" s="136">
        <v>8.4</v>
      </c>
      <c r="T292" s="109">
        <v>1</v>
      </c>
      <c r="U292" s="136">
        <v>8.4</v>
      </c>
    </row>
    <row r="293" spans="1:21" x14ac:dyDescent="0.2">
      <c r="A293" s="109">
        <v>291</v>
      </c>
      <c r="B293" s="109" t="s">
        <v>125</v>
      </c>
      <c r="C293" s="109">
        <v>2845</v>
      </c>
      <c r="D293" s="109"/>
      <c r="E293" s="109"/>
      <c r="F293" s="109">
        <v>44495</v>
      </c>
      <c r="G293" s="109" t="s">
        <v>475</v>
      </c>
      <c r="H293" s="109"/>
      <c r="I293" s="109" t="s">
        <v>953</v>
      </c>
      <c r="J293" s="109" t="s">
        <v>695</v>
      </c>
      <c r="K293" s="109" t="s">
        <v>954</v>
      </c>
      <c r="L293" s="109" t="s">
        <v>130</v>
      </c>
      <c r="M293" s="109"/>
      <c r="N293" s="139"/>
      <c r="O293" s="139" t="s">
        <v>93</v>
      </c>
      <c r="P293" s="139">
        <v>1</v>
      </c>
      <c r="Q293" s="109">
        <v>0.42</v>
      </c>
      <c r="R293" s="136">
        <v>15</v>
      </c>
      <c r="S293" s="136">
        <v>0.42</v>
      </c>
      <c r="T293" s="109">
        <v>15</v>
      </c>
      <c r="U293" s="136">
        <v>6.3</v>
      </c>
    </row>
    <row r="294" spans="1:21" x14ac:dyDescent="0.2">
      <c r="A294" s="109">
        <v>292</v>
      </c>
      <c r="B294" s="109" t="s">
        <v>125</v>
      </c>
      <c r="C294" s="109">
        <v>2847</v>
      </c>
      <c r="D294" s="109"/>
      <c r="E294" s="109"/>
      <c r="F294" s="109">
        <v>44246</v>
      </c>
      <c r="G294" s="109" t="s">
        <v>145</v>
      </c>
      <c r="H294" s="109"/>
      <c r="I294" s="109" t="s">
        <v>955</v>
      </c>
      <c r="J294" s="109" t="s">
        <v>573</v>
      </c>
      <c r="K294" s="109" t="s">
        <v>956</v>
      </c>
      <c r="L294" s="109" t="s">
        <v>135</v>
      </c>
      <c r="M294" s="109"/>
      <c r="N294" s="139"/>
      <c r="O294" s="139" t="s">
        <v>93</v>
      </c>
      <c r="P294" s="139">
        <v>1</v>
      </c>
      <c r="Q294" s="109">
        <v>1.19</v>
      </c>
      <c r="R294" s="136">
        <v>5</v>
      </c>
      <c r="S294" s="136">
        <v>1.19</v>
      </c>
      <c r="T294" s="109">
        <v>5</v>
      </c>
      <c r="U294" s="136">
        <v>5.9499999999999993</v>
      </c>
    </row>
    <row r="295" spans="1:21" x14ac:dyDescent="0.2">
      <c r="A295" s="109">
        <v>293</v>
      </c>
      <c r="B295" s="109" t="s">
        <v>125</v>
      </c>
      <c r="C295" s="109">
        <v>2869</v>
      </c>
      <c r="D295" s="109"/>
      <c r="E295" s="109"/>
      <c r="F295" s="109">
        <v>44539</v>
      </c>
      <c r="G295" s="109" t="s">
        <v>259</v>
      </c>
      <c r="H295" s="109"/>
      <c r="I295" s="109" t="s">
        <v>957</v>
      </c>
      <c r="J295" s="109" t="s">
        <v>916</v>
      </c>
      <c r="K295" s="109" t="s">
        <v>958</v>
      </c>
      <c r="L295" s="109" t="s">
        <v>135</v>
      </c>
      <c r="M295" s="109"/>
      <c r="N295" s="139"/>
      <c r="O295" s="139" t="s">
        <v>93</v>
      </c>
      <c r="P295" s="139">
        <v>1</v>
      </c>
      <c r="Q295" s="109">
        <v>0.62</v>
      </c>
      <c r="R295" s="136">
        <v>5</v>
      </c>
      <c r="S295" s="136">
        <v>0.62</v>
      </c>
      <c r="T295" s="109">
        <v>5</v>
      </c>
      <c r="U295" s="136">
        <v>3.1</v>
      </c>
    </row>
    <row r="296" spans="1:21" x14ac:dyDescent="0.2">
      <c r="A296" s="109">
        <v>294</v>
      </c>
      <c r="B296" s="109" t="s">
        <v>125</v>
      </c>
      <c r="C296" s="109">
        <v>2895</v>
      </c>
      <c r="D296" s="109"/>
      <c r="E296" s="109"/>
      <c r="F296" s="109">
        <v>44214</v>
      </c>
      <c r="G296" s="109" t="s">
        <v>959</v>
      </c>
      <c r="H296" s="109"/>
      <c r="I296" s="109" t="s">
        <v>960</v>
      </c>
      <c r="J296" s="109" t="s">
        <v>961</v>
      </c>
      <c r="K296" s="109" t="s">
        <v>962</v>
      </c>
      <c r="L296" s="109" t="s">
        <v>135</v>
      </c>
      <c r="M296" s="109"/>
      <c r="N296" s="139"/>
      <c r="O296" s="139" t="s">
        <v>432</v>
      </c>
      <c r="P296" s="139">
        <v>1</v>
      </c>
      <c r="Q296" s="109">
        <v>7.0000000000000007E-2</v>
      </c>
      <c r="R296" s="136">
        <v>10</v>
      </c>
      <c r="S296" s="136">
        <v>7.0000000000000007E-2</v>
      </c>
      <c r="T296" s="109">
        <v>10</v>
      </c>
      <c r="U296" s="136">
        <v>0.70000000000000007</v>
      </c>
    </row>
    <row r="297" spans="1:21" x14ac:dyDescent="0.2">
      <c r="A297" s="109">
        <v>295</v>
      </c>
      <c r="B297" s="109" t="s">
        <v>125</v>
      </c>
      <c r="C297" s="109">
        <v>2903</v>
      </c>
      <c r="D297" s="109"/>
      <c r="E297" s="109"/>
      <c r="F297" s="109">
        <v>44406</v>
      </c>
      <c r="G297" s="109" t="s">
        <v>234</v>
      </c>
      <c r="H297" s="109"/>
      <c r="I297" s="109" t="s">
        <v>963</v>
      </c>
      <c r="J297" s="109" t="s">
        <v>236</v>
      </c>
      <c r="K297" s="109" t="s">
        <v>964</v>
      </c>
      <c r="L297" s="109" t="s">
        <v>135</v>
      </c>
      <c r="M297" s="109"/>
      <c r="N297" s="139"/>
      <c r="O297" s="139" t="s">
        <v>93</v>
      </c>
      <c r="P297" s="139">
        <v>1</v>
      </c>
      <c r="Q297" s="109">
        <v>0.01</v>
      </c>
      <c r="R297" s="136">
        <v>1</v>
      </c>
      <c r="S297" s="136">
        <v>0.01</v>
      </c>
      <c r="T297" s="109">
        <v>1</v>
      </c>
      <c r="U297" s="136">
        <v>0.01</v>
      </c>
    </row>
  </sheetData>
  <autoFilter ref="A2:U2"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329B-FAB2-4475-B996-BE34D38D0311}">
  <dimension ref="B2"/>
  <sheetViews>
    <sheetView workbookViewId="0">
      <selection activeCell="C15" sqref="C15"/>
    </sheetView>
  </sheetViews>
  <sheetFormatPr defaultRowHeight="15" x14ac:dyDescent="0.25"/>
  <cols>
    <col min="2" max="2" width="76" customWidth="1"/>
  </cols>
  <sheetData>
    <row r="2" spans="2:2" ht="141" customHeight="1" x14ac:dyDescent="0.25">
      <c r="B2" s="137" t="s">
        <v>111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Item Detail</vt:lpstr>
      <vt:lpstr>Excluded</vt:lpstr>
      <vt:lpstr>SegmentSummary</vt:lpstr>
      <vt:lpstr>Cust File</vt:lpstr>
      <vt:lpstr>Pricing Validity </vt:lpstr>
    </vt:vector>
  </TitlesOfParts>
  <Company>W. W. Grainger,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Crawford, Ryan</dc:creator>
  <cp:lastModifiedBy>Lindsay Salmons</cp:lastModifiedBy>
  <dcterms:created xsi:type="dcterms:W3CDTF">2014-04-24T16:23:59Z</dcterms:created>
  <dcterms:modified xsi:type="dcterms:W3CDTF">2022-03-21T18:50:11Z</dcterms:modified>
</cp:coreProperties>
</file>