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86" documentId="8_{ACB73250-F8CE-4625-B0D4-91EA8533355A}" xr6:coauthVersionLast="47" xr6:coauthVersionMax="47" xr10:uidLastSave="{8BB34D2A-3910-4CBD-8279-B41C47D0FC37}"/>
  <bookViews>
    <workbookView xWindow="9750" yWindow="-16065" windowWidth="23670" windowHeight="13890" xr2:uid="{00000000-000D-0000-FFFF-FFFF00000000}"/>
  </bookViews>
  <sheets>
    <sheet name="Sum by cat" sheetId="3" r:id="rId1"/>
    <sheet name="Sum by rank" sheetId="2" r:id="rId2"/>
    <sheet name="Analysis" sheetId="1" r:id="rId3"/>
    <sheet name="Price Variance" sheetId="4" r:id="rId4"/>
  </sheets>
  <definedNames>
    <definedName name="_xlnm._FilterDatabase" localSheetId="3" hidden="1">'Price Variance'!$B$6:$AA$10</definedName>
    <definedName name="_xlnm.Print_Area" localSheetId="2">Analysis!$A:$U</definedName>
    <definedName name="_xlnm.Print_Area" localSheetId="3">'Price Variance'!$A$1:$S$10</definedName>
    <definedName name="_xlnm.Print_Area" localSheetId="0">'Sum by cat'!$A:$P</definedName>
    <definedName name="_xlnm.Print_Area" localSheetId="1">'Sum by rank'!$A$11:$O$15</definedName>
    <definedName name="_xlnm.Print_Titles" localSheetId="2">Analysis!$1:$6</definedName>
    <definedName name="_xlnm.Print_Titles" localSheetId="3">'Price Variance'!$1:$6</definedName>
    <definedName name="_xlnm.Print_Titles" localSheetId="0">'Sum by cat'!$1:$8</definedName>
    <definedName name="_xlnm.Print_Titles" localSheetId="1">'Sum by rank'!$1:$10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4" l="1"/>
  <c r="R10" i="4" s="1"/>
  <c r="L10" i="4"/>
  <c r="N10" i="4" s="1"/>
  <c r="J10" i="4"/>
  <c r="P8" i="4"/>
  <c r="R8" i="4" s="1"/>
  <c r="N8" i="4"/>
  <c r="L8" i="4"/>
  <c r="J8" i="4"/>
  <c r="A1" i="3" l="1"/>
  <c r="A2" i="3"/>
  <c r="A1" i="2"/>
  <c r="A2" i="2"/>
  <c r="G13" i="2"/>
  <c r="L13" i="2"/>
  <c r="M10" i="3"/>
  <c r="N10" i="3" s="1"/>
  <c r="M12" i="3"/>
  <c r="M13" i="3"/>
  <c r="N13" i="3" s="1"/>
  <c r="M14" i="3"/>
  <c r="N14" i="3" s="1"/>
  <c r="M15" i="3"/>
  <c r="N15" i="3" s="1"/>
  <c r="M18" i="3"/>
  <c r="N18" i="3" s="1"/>
  <c r="M19" i="3"/>
  <c r="M20" i="3"/>
  <c r="N20" i="3" s="1"/>
  <c r="M21" i="3"/>
  <c r="N21" i="3" s="1"/>
  <c r="M23" i="3"/>
  <c r="N23" i="3" s="1"/>
  <c r="M24" i="3"/>
  <c r="N24" i="3" s="1"/>
  <c r="M27" i="3"/>
  <c r="H10" i="3"/>
  <c r="I10" i="3" s="1"/>
  <c r="H12" i="3"/>
  <c r="B12" i="3" s="1"/>
  <c r="H13" i="3"/>
  <c r="I13" i="3" s="1"/>
  <c r="H14" i="3"/>
  <c r="I14" i="3" s="1"/>
  <c r="H15" i="3"/>
  <c r="I15" i="3" s="1"/>
  <c r="H18" i="3"/>
  <c r="I18" i="3" s="1"/>
  <c r="H19" i="3"/>
  <c r="B19" i="3" s="1"/>
  <c r="H20" i="3"/>
  <c r="I20" i="3" s="1"/>
  <c r="H21" i="3"/>
  <c r="I21" i="3" s="1"/>
  <c r="H23" i="3"/>
  <c r="I23" i="3" s="1"/>
  <c r="H24" i="3"/>
  <c r="I24" i="3" s="1"/>
  <c r="H27" i="3"/>
  <c r="R96" i="1"/>
  <c r="N96" i="1"/>
  <c r="L96" i="1"/>
  <c r="R93" i="1"/>
  <c r="N93" i="1"/>
  <c r="L93" i="1"/>
  <c r="R88" i="1"/>
  <c r="L88" i="1"/>
  <c r="N88" i="1"/>
  <c r="R85" i="1"/>
  <c r="L85" i="1"/>
  <c r="N85" i="1"/>
  <c r="R82" i="1"/>
  <c r="N82" i="1"/>
  <c r="L82" i="1"/>
  <c r="R79" i="1"/>
  <c r="N79" i="1"/>
  <c r="L79" i="1"/>
  <c r="R76" i="1"/>
  <c r="L76" i="1"/>
  <c r="N76" i="1"/>
  <c r="R62" i="1"/>
  <c r="N62" i="1"/>
  <c r="L62" i="1"/>
  <c r="R59" i="1"/>
  <c r="L59" i="1"/>
  <c r="R48" i="1"/>
  <c r="N48" i="1"/>
  <c r="L48" i="1"/>
  <c r="R45" i="1"/>
  <c r="N45" i="1"/>
  <c r="L45" i="1"/>
  <c r="R42" i="1"/>
  <c r="L42" i="1"/>
  <c r="R39" i="1"/>
  <c r="N39" i="1"/>
  <c r="L39" i="1"/>
  <c r="R36" i="1"/>
  <c r="L36" i="1"/>
  <c r="N36" i="1"/>
  <c r="R33" i="1"/>
  <c r="L33" i="1"/>
  <c r="N33" i="1"/>
  <c r="R30" i="1"/>
  <c r="N30" i="1"/>
  <c r="L30" i="1"/>
  <c r="R27" i="1"/>
  <c r="L27" i="1"/>
  <c r="N27" i="1"/>
  <c r="R24" i="1"/>
  <c r="N24" i="1"/>
  <c r="L24" i="1"/>
  <c r="R21" i="1"/>
  <c r="N21" i="1"/>
  <c r="L21" i="1"/>
  <c r="R18" i="1"/>
  <c r="L18" i="1"/>
  <c r="N18" i="1"/>
  <c r="R15" i="1"/>
  <c r="N15" i="1"/>
  <c r="L15" i="1"/>
  <c r="R12" i="1"/>
  <c r="L12" i="1"/>
  <c r="K13" i="3" l="1"/>
  <c r="T79" i="1"/>
  <c r="T45" i="1"/>
  <c r="K14" i="3"/>
  <c r="K21" i="3"/>
  <c r="K10" i="3"/>
  <c r="B21" i="3"/>
  <c r="B10" i="3"/>
  <c r="K24" i="3"/>
  <c r="B15" i="3"/>
  <c r="B14" i="3"/>
  <c r="B20" i="3"/>
  <c r="B24" i="3"/>
  <c r="B13" i="3"/>
  <c r="B23" i="3"/>
  <c r="K20" i="3"/>
  <c r="B18" i="3"/>
  <c r="K23" i="3"/>
  <c r="K18" i="3"/>
  <c r="K15" i="3"/>
  <c r="I12" i="3"/>
  <c r="K27" i="3"/>
  <c r="B27" i="3"/>
  <c r="K12" i="3"/>
  <c r="K19" i="3"/>
  <c r="E13" i="2"/>
  <c r="J13" i="2"/>
  <c r="P27" i="1"/>
  <c r="T33" i="1"/>
  <c r="P79" i="1"/>
  <c r="T27" i="1"/>
  <c r="P45" i="1"/>
  <c r="P62" i="1"/>
  <c r="P82" i="1"/>
  <c r="T21" i="1"/>
  <c r="P15" i="1"/>
  <c r="T30" i="1"/>
  <c r="P39" i="1"/>
  <c r="P48" i="1"/>
  <c r="H26" i="3" s="1"/>
  <c r="B26" i="3" s="1"/>
  <c r="P85" i="1"/>
  <c r="T93" i="1"/>
  <c r="L12" i="2" s="1"/>
  <c r="T82" i="1"/>
  <c r="T39" i="1"/>
  <c r="T48" i="1"/>
  <c r="M26" i="3" s="1"/>
  <c r="P30" i="1"/>
  <c r="P96" i="1"/>
  <c r="T15" i="1"/>
  <c r="T76" i="1"/>
  <c r="P18" i="1"/>
  <c r="T24" i="1"/>
  <c r="T18" i="1"/>
  <c r="P36" i="1"/>
  <c r="P88" i="1"/>
  <c r="T96" i="1"/>
  <c r="P24" i="1"/>
  <c r="T12" i="1"/>
  <c r="P21" i="1"/>
  <c r="T36" i="1"/>
  <c r="T62" i="1"/>
  <c r="T88" i="1"/>
  <c r="P76" i="1"/>
  <c r="P93" i="1"/>
  <c r="G12" i="2" s="1"/>
  <c r="T85" i="1"/>
  <c r="T59" i="1"/>
  <c r="T42" i="1"/>
  <c r="N12" i="1"/>
  <c r="P12" i="1" s="1"/>
  <c r="N42" i="1"/>
  <c r="P42" i="1" s="1"/>
  <c r="N59" i="1"/>
  <c r="P59" i="1" s="1"/>
  <c r="H25" i="3" l="1"/>
  <c r="B25" i="3" s="1"/>
  <c r="T99" i="1"/>
  <c r="T105" i="1" s="1"/>
  <c r="P99" i="1"/>
  <c r="P105" i="1" s="1"/>
  <c r="M22" i="3"/>
  <c r="H9" i="3"/>
  <c r="B9" i="3" s="1"/>
  <c r="M25" i="3"/>
  <c r="K25" i="3" s="1"/>
  <c r="H11" i="3"/>
  <c r="B11" i="3" s="1"/>
  <c r="J12" i="2"/>
  <c r="K26" i="3"/>
  <c r="H17" i="3"/>
  <c r="B17" i="3" s="1"/>
  <c r="G11" i="2"/>
  <c r="L14" i="2"/>
  <c r="M16" i="3"/>
  <c r="H22" i="3"/>
  <c r="B22" i="3" s="1"/>
  <c r="M9" i="3"/>
  <c r="L11" i="2"/>
  <c r="M17" i="3"/>
  <c r="M11" i="3"/>
  <c r="E12" i="2"/>
  <c r="G14" i="2"/>
  <c r="H16" i="3"/>
  <c r="B16" i="3" s="1"/>
  <c r="N12" i="3"/>
  <c r="R108" i="1" l="1"/>
  <c r="L108" i="1" s="1"/>
  <c r="K11" i="3"/>
  <c r="G15" i="2"/>
  <c r="H11" i="2" s="1"/>
  <c r="K17" i="3"/>
  <c r="M28" i="3"/>
  <c r="N11" i="3" s="1"/>
  <c r="K9" i="3"/>
  <c r="K16" i="3"/>
  <c r="E14" i="2"/>
  <c r="J14" i="2"/>
  <c r="L15" i="2"/>
  <c r="J11" i="2"/>
  <c r="E11" i="2"/>
  <c r="H28" i="3"/>
  <c r="I17" i="3" s="1"/>
  <c r="K22" i="3"/>
  <c r="H14" i="2" l="1"/>
  <c r="H12" i="2"/>
  <c r="H13" i="2"/>
  <c r="N9" i="3"/>
  <c r="M11" i="2"/>
  <c r="M12" i="2"/>
  <c r="M13" i="2"/>
  <c r="I11" i="3"/>
  <c r="I27" i="3"/>
  <c r="I19" i="3"/>
  <c r="I9" i="3"/>
  <c r="K28" i="3"/>
  <c r="I25" i="3"/>
  <c r="I22" i="3"/>
  <c r="I26" i="3"/>
  <c r="N17" i="3"/>
  <c r="N22" i="3"/>
  <c r="N26" i="3"/>
  <c r="N19" i="3"/>
  <c r="N25" i="3"/>
  <c r="N16" i="3"/>
  <c r="N27" i="3"/>
  <c r="I16" i="3"/>
  <c r="J15" i="2"/>
  <c r="M14" i="2"/>
</calcChain>
</file>

<file path=xl/sharedStrings.xml><?xml version="1.0" encoding="utf-8"?>
<sst xmlns="http://schemas.openxmlformats.org/spreadsheetml/2006/main" count="1500" uniqueCount="232">
  <si>
    <t/>
  </si>
  <si>
    <t>Vendor</t>
  </si>
  <si>
    <t>Imperial</t>
  </si>
  <si>
    <t>Item#</t>
  </si>
  <si>
    <t>Notes</t>
  </si>
  <si>
    <t>Qty</t>
  </si>
  <si>
    <t>UOM</t>
  </si>
  <si>
    <t>Part#</t>
  </si>
  <si>
    <t>Grp</t>
  </si>
  <si>
    <t>Cat</t>
  </si>
  <si>
    <t>Rnk</t>
  </si>
  <si>
    <t>Description</t>
  </si>
  <si>
    <t>Quantity</t>
  </si>
  <si>
    <t>Price/Unit</t>
  </si>
  <si>
    <t>Extension</t>
  </si>
  <si>
    <t>BD Qty</t>
  </si>
  <si>
    <t>BD UOM</t>
  </si>
  <si>
    <t>KISSIMMEE, FL</t>
  </si>
  <si>
    <t>INVOICE: 1516358166  2/21/22</t>
  </si>
  <si>
    <t>101734069</t>
  </si>
  <si>
    <t>FT</t>
  </si>
  <si>
    <t>90924</t>
  </si>
  <si>
    <t>199</t>
  </si>
  <si>
    <t>G</t>
  </si>
  <si>
    <t>A</t>
  </si>
  <si>
    <t>1/4 DOT AIR BRAKE TUBING</t>
  </si>
  <si>
    <t>RL</t>
  </si>
  <si>
    <t>Actual # of FT</t>
  </si>
  <si>
    <t>110357570</t>
  </si>
  <si>
    <t>12/PK</t>
  </si>
  <si>
    <t>OZ</t>
  </si>
  <si>
    <t>6536</t>
  </si>
  <si>
    <t>251</t>
  </si>
  <si>
    <t>L</t>
  </si>
  <si>
    <t>BRAKE CLEANE R 14 OZ NET</t>
  </si>
  <si>
    <t>EA</t>
  </si>
  <si>
    <t>PK</t>
  </si>
  <si>
    <t>Actual # of OZ</t>
  </si>
  <si>
    <t>116758286</t>
  </si>
  <si>
    <t>6502</t>
  </si>
  <si>
    <t>PENT LUBE W/ PTFE 10-1/2</t>
  </si>
  <si>
    <t>116756643</t>
  </si>
  <si>
    <t>6515</t>
  </si>
  <si>
    <t>BATTERY CLNR 12-3/4 OZ</t>
  </si>
  <si>
    <t>101707732</t>
  </si>
  <si>
    <t>PC</t>
  </si>
  <si>
    <t>40150</t>
  </si>
  <si>
    <t>049</t>
  </si>
  <si>
    <t>1</t>
  </si>
  <si>
    <t>FN HEX 8 PL 1/4-20</t>
  </si>
  <si>
    <t>C</t>
  </si>
  <si>
    <t>Actual # of PC</t>
  </si>
  <si>
    <t>101734009</t>
  </si>
  <si>
    <t>76014</t>
  </si>
  <si>
    <t>146</t>
  </si>
  <si>
    <t>USS FLAT GR8 7/16</t>
  </si>
  <si>
    <t>101707213</t>
  </si>
  <si>
    <t>16654</t>
  </si>
  <si>
    <t>026</t>
  </si>
  <si>
    <t>HX CP PL USS 3/8X2-1/2  8</t>
  </si>
  <si>
    <t>101708147</t>
  </si>
  <si>
    <t>16605</t>
  </si>
  <si>
    <t>HX CP PL USS 1/4X1-1/4  8</t>
  </si>
  <si>
    <t>101723700</t>
  </si>
  <si>
    <t>16750</t>
  </si>
  <si>
    <t>HX CP PL USS 5/8X5     8</t>
  </si>
  <si>
    <t>116755234</t>
  </si>
  <si>
    <t>98575</t>
  </si>
  <si>
    <t>302</t>
  </si>
  <si>
    <t>F</t>
  </si>
  <si>
    <t>D</t>
  </si>
  <si>
    <t>GAL PIPE FIT 1-1/4XCLOSEN</t>
  </si>
  <si>
    <t>116755191</t>
  </si>
  <si>
    <t>98545</t>
  </si>
  <si>
    <t>GAL PIPE FIT 3/4X1-1/2 N</t>
  </si>
  <si>
    <t>116755071</t>
  </si>
  <si>
    <t>98515</t>
  </si>
  <si>
    <t>GAL PIPE FIT 1/4X3 N</t>
  </si>
  <si>
    <t>101771795</t>
  </si>
  <si>
    <t>928340-7</t>
  </si>
  <si>
    <t>GRA</t>
  </si>
  <si>
    <t>1022</t>
  </si>
  <si>
    <t>Merchant Coupling,3/4</t>
  </si>
  <si>
    <t>101736767</t>
  </si>
  <si>
    <t>70684</t>
  </si>
  <si>
    <t>088</t>
  </si>
  <si>
    <t>I</t>
  </si>
  <si>
    <t>MASONRY DRIL 1/2X6</t>
  </si>
  <si>
    <t>101738489</t>
  </si>
  <si>
    <t>70682</t>
  </si>
  <si>
    <t>MASONRY DRIL 3/8X6</t>
  </si>
  <si>
    <t>102698723</t>
  </si>
  <si>
    <t>917692-5</t>
  </si>
  <si>
    <t>1024</t>
  </si>
  <si>
    <t>Masonry Bit, 5/16 In,4 In</t>
  </si>
  <si>
    <t>101745241</t>
  </si>
  <si>
    <t>70681</t>
  </si>
  <si>
    <t>MASONRY DRIL 5/16X6</t>
  </si>
  <si>
    <t>101745240</t>
  </si>
  <si>
    <t>931094-4</t>
  </si>
  <si>
    <t>Hammer Drill Bit,SDS Plus,</t>
  </si>
  <si>
    <t>101737232</t>
  </si>
  <si>
    <t>70679</t>
  </si>
  <si>
    <t>MASONRY DRIL 1/4X6</t>
  </si>
  <si>
    <t>101782466</t>
  </si>
  <si>
    <t>938557-1</t>
  </si>
  <si>
    <t>Hammer Masonry</t>
  </si>
  <si>
    <t>116759417</t>
  </si>
  <si>
    <t>922172</t>
  </si>
  <si>
    <t>1008</t>
  </si>
  <si>
    <t>Retain Ring, Ext,Dia 1/4</t>
  </si>
  <si>
    <t>106266455</t>
  </si>
  <si>
    <t>935852-2</t>
  </si>
  <si>
    <t>Retain Ring, Ext,Dia 5/16</t>
  </si>
  <si>
    <t>101404174</t>
  </si>
  <si>
    <t>80564</t>
  </si>
  <si>
    <t>260</t>
  </si>
  <si>
    <t>HEAVY DUTY DRILL 5/64"</t>
  </si>
  <si>
    <t>101510374</t>
  </si>
  <si>
    <t>80566</t>
  </si>
  <si>
    <t>HEAVY DUTY DRILL 7/64"</t>
  </si>
  <si>
    <t>101509879</t>
  </si>
  <si>
    <t>80571</t>
  </si>
  <si>
    <t>HEAVY DUTY DRILL 3/16"</t>
  </si>
  <si>
    <t>101511610</t>
  </si>
  <si>
    <t>80572</t>
  </si>
  <si>
    <t>HEAVY DUTY DRILL 13/64"</t>
  </si>
  <si>
    <t>101448544</t>
  </si>
  <si>
    <t>80573</t>
  </si>
  <si>
    <t>HEAVY DUTY DRILL 7/32"</t>
  </si>
  <si>
    <t>110707296</t>
  </si>
  <si>
    <t>80576</t>
  </si>
  <si>
    <t>B</t>
  </si>
  <si>
    <t>HEAVY DUTY DRILL 17/64"</t>
  </si>
  <si>
    <t>101512683</t>
  </si>
  <si>
    <t>80577</t>
  </si>
  <si>
    <t>HEAVY DUTY DRILL 9/32"</t>
  </si>
  <si>
    <t>101396260</t>
  </si>
  <si>
    <t>80579</t>
  </si>
  <si>
    <t>HEAVY DUTY DRILL 5/16"</t>
  </si>
  <si>
    <t>101468817</t>
  </si>
  <si>
    <t>80580</t>
  </si>
  <si>
    <t>HEAVY DUTY DRILL 21/64"</t>
  </si>
  <si>
    <t>101512687</t>
  </si>
  <si>
    <t>80587</t>
  </si>
  <si>
    <t>HEAVY DUTY DRILL 7/16"</t>
  </si>
  <si>
    <t>101768041</t>
  </si>
  <si>
    <t>69156</t>
  </si>
  <si>
    <t>076</t>
  </si>
  <si>
    <t>TEK SCREW 10X3/4</t>
  </si>
  <si>
    <t>101705734</t>
  </si>
  <si>
    <t>69159</t>
  </si>
  <si>
    <t>TEK SCREW 12X3/4</t>
  </si>
  <si>
    <t>101707700</t>
  </si>
  <si>
    <t>69160</t>
  </si>
  <si>
    <t>TEK SCREW 12X1</t>
  </si>
  <si>
    <t>101707699</t>
  </si>
  <si>
    <t>69154</t>
  </si>
  <si>
    <t>TEK SCREW 10X1/2</t>
  </si>
  <si>
    <t>101721698</t>
  </si>
  <si>
    <t>98713</t>
  </si>
  <si>
    <t>597</t>
  </si>
  <si>
    <t>COMPOSIT DOT ML CON 1/4</t>
  </si>
  <si>
    <t>106296571</t>
  </si>
  <si>
    <t>PK1 ML BR TEE 5/16 OR 8 MMX1/4 NPT</t>
  </si>
  <si>
    <t>116687223</t>
  </si>
  <si>
    <t>98784</t>
  </si>
  <si>
    <t>COMPOSIT DOT UNION T 1/2</t>
  </si>
  <si>
    <t>102709407</t>
  </si>
  <si>
    <t>98783</t>
  </si>
  <si>
    <t>COMPOSIT DOT UNION T 3/8</t>
  </si>
  <si>
    <t>MSSLABEL</t>
  </si>
  <si>
    <t>SHIP LABELS WITH SALES ORDER</t>
  </si>
  <si>
    <t>Vendor X-Info</t>
  </si>
  <si>
    <t>Total:</t>
  </si>
  <si>
    <t>Summary by Rank</t>
  </si>
  <si>
    <t>Rank</t>
  </si>
  <si>
    <t>% of Spend</t>
  </si>
  <si>
    <t>by Rank</t>
  </si>
  <si>
    <t>% of Difference</t>
  </si>
  <si>
    <t>vs. Vendor</t>
  </si>
  <si>
    <t>Imperial Supplies</t>
  </si>
  <si>
    <t>Overall Total</t>
  </si>
  <si>
    <t>Summary by Category</t>
  </si>
  <si>
    <t>E</t>
  </si>
  <si>
    <t>H</t>
  </si>
  <si>
    <t>J</t>
  </si>
  <si>
    <t>K</t>
  </si>
  <si>
    <t>M</t>
  </si>
  <si>
    <t>N</t>
  </si>
  <si>
    <t>Grade 8 Fasteners</t>
  </si>
  <si>
    <t>Grade 5 Fasteners</t>
  </si>
  <si>
    <t>Misc Threaded Fasteners</t>
  </si>
  <si>
    <t>Misc Hardware</t>
  </si>
  <si>
    <t>Rivets</t>
  </si>
  <si>
    <t>Vehicle Lighting</t>
  </si>
  <si>
    <t>Electrical Products</t>
  </si>
  <si>
    <t>Tubing &amp; Tubing Fittings</t>
  </si>
  <si>
    <t>Air Brake Products</t>
  </si>
  <si>
    <t>Hose &amp; Hose Ends</t>
  </si>
  <si>
    <t>Cutting Tools</t>
  </si>
  <si>
    <t>Abrasives</t>
  </si>
  <si>
    <t>Safety Products</t>
  </si>
  <si>
    <t>Paints &amp; Chemicals</t>
  </si>
  <si>
    <t>Shop Supplies</t>
  </si>
  <si>
    <t>Misc Vehicle Parts</t>
  </si>
  <si>
    <t>MRO Fasteners</t>
  </si>
  <si>
    <t>MRO Plumbing</t>
  </si>
  <si>
    <t>MRO Power Tools</t>
  </si>
  <si>
    <t>by Category</t>
  </si>
  <si>
    <t>% Difference</t>
  </si>
  <si>
    <t>Analysis</t>
  </si>
  <si>
    <t>Overall Totals:</t>
  </si>
  <si>
    <t>Notes:</t>
  </si>
  <si>
    <t>*</t>
  </si>
  <si>
    <t>Item is similar to Imperial's; please note the difference.</t>
  </si>
  <si>
    <t>++</t>
  </si>
  <si>
    <t>Item is not currently stocked by Imperial.</t>
  </si>
  <si>
    <t>Imperial Supplies reserves the right to adjust pricing on commodity items or other such items due to,</t>
  </si>
  <si>
    <t>but not limited to, market fluctuations or government-imposed tariffs, force majeure, cost increases</t>
  </si>
  <si>
    <t>related to the epidemic response, and/or surcharges which will increase Imperial's procurement costs.</t>
  </si>
  <si>
    <t>McShea Contracting</t>
  </si>
  <si>
    <t>Kissimmee, FL</t>
  </si>
  <si>
    <t>4 INCH*</t>
  </si>
  <si>
    <t xml:space="preserve">APPLIED </t>
  </si>
  <si>
    <t>Multiple Locations</t>
  </si>
  <si>
    <t>Price Variance</t>
  </si>
  <si>
    <t>Location</t>
  </si>
  <si>
    <t>Invoice</t>
  </si>
  <si>
    <t>LEHIGH ACRES, FL</t>
  </si>
  <si>
    <t>INVOICE: 7022638800  10/07/21</t>
  </si>
  <si>
    <t>12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</si>
</sst>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"/>
    <numFmt numFmtId="165" formatCode="#0.0000"/>
    <numFmt numFmtId="166" formatCode="#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166" fontId="3" fillId="0" borderId="0" xfId="0" applyNumberFormat="1" applyFont="1" applyFill="1" applyAlignment="1">
      <alignment horizontal="center"/>
    </xf>
    <xf numFmtId="0" fontId="2" fillId="0" borderId="0" xfId="0" applyFont="1"/>
    <xf numFmtId="0" fontId="4" fillId="0" borderId="0" xfId="0" applyFont="1"/>
    <xf numFmtId="4" fontId="3" fillId="0" borderId="0" xfId="0" applyNumberFormat="1" applyFont="1" applyFill="1" applyAlignment="1">
      <alignment horizontal="center"/>
    </xf>
    <xf numFmtId="4" fontId="0" fillId="0" borderId="0" xfId="0" applyNumberFormat="1"/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0" fontId="0" fillId="0" borderId="0" xfId="1" applyNumberFormat="1" applyFont="1" applyAlignment="1">
      <alignment horizontal="center"/>
    </xf>
    <xf numFmtId="0" fontId="2" fillId="0" borderId="2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0" fontId="2" fillId="0" borderId="7" xfId="1" applyNumberFormat="1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7" xfId="1" applyNumberFormat="1" applyFont="1" applyBorder="1" applyAlignment="1">
      <alignment horizontal="center"/>
    </xf>
    <xf numFmtId="4" fontId="2" fillId="0" borderId="7" xfId="0" applyNumberFormat="1" applyFont="1" applyBorder="1"/>
    <xf numFmtId="0" fontId="5" fillId="0" borderId="1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0" fontId="2" fillId="3" borderId="10" xfId="0" applyFont="1" applyFill="1" applyBorder="1"/>
    <xf numFmtId="0" fontId="2" fillId="3" borderId="11" xfId="0" applyFont="1" applyFill="1" applyBorder="1"/>
    <xf numFmtId="165" fontId="2" fillId="3" borderId="11" xfId="0" applyNumberFormat="1" applyFont="1" applyFill="1" applyBorder="1"/>
    <xf numFmtId="0" fontId="2" fillId="3" borderId="11" xfId="0" applyFont="1" applyFill="1" applyBorder="1" applyAlignment="1">
      <alignment horizontal="left"/>
    </xf>
    <xf numFmtId="4" fontId="2" fillId="3" borderId="11" xfId="0" applyNumberFormat="1" applyFont="1" applyFill="1" applyBorder="1"/>
    <xf numFmtId="166" fontId="2" fillId="3" borderId="11" xfId="0" applyNumberFormat="1" applyFont="1" applyFill="1" applyBorder="1"/>
    <xf numFmtId="0" fontId="2" fillId="3" borderId="13" xfId="0" applyFont="1" applyFill="1" applyBorder="1"/>
    <xf numFmtId="0" fontId="2" fillId="3" borderId="9" xfId="0" applyFont="1" applyFill="1" applyBorder="1"/>
    <xf numFmtId="0" fontId="2" fillId="3" borderId="0" xfId="0" applyFont="1" applyFill="1" applyBorder="1"/>
    <xf numFmtId="165" fontId="2" fillId="3" borderId="0" xfId="0" applyNumberFormat="1" applyFont="1" applyFill="1" applyBorder="1"/>
    <xf numFmtId="0" fontId="2" fillId="3" borderId="0" xfId="0" applyFont="1" applyFill="1" applyBorder="1" applyAlignment="1">
      <alignment horizontal="left"/>
    </xf>
    <xf numFmtId="4" fontId="2" fillId="3" borderId="0" xfId="0" applyNumberFormat="1" applyFont="1" applyFill="1" applyBorder="1"/>
    <xf numFmtId="166" fontId="2" fillId="3" borderId="0" xfId="0" applyNumberFormat="1" applyFont="1" applyFill="1" applyBorder="1"/>
    <xf numFmtId="0" fontId="2" fillId="3" borderId="14" xfId="0" applyFont="1" applyFill="1" applyBorder="1"/>
    <xf numFmtId="0" fontId="2" fillId="3" borderId="12" xfId="0" applyFont="1" applyFill="1" applyBorder="1"/>
    <xf numFmtId="0" fontId="2" fillId="3" borderId="1" xfId="0" applyFont="1" applyFill="1" applyBorder="1"/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left"/>
    </xf>
    <xf numFmtId="4" fontId="2" fillId="3" borderId="1" xfId="0" applyNumberFormat="1" applyFont="1" applyFill="1" applyBorder="1"/>
    <xf numFmtId="166" fontId="2" fillId="3" borderId="1" xfId="0" applyNumberFormat="1" applyFont="1" applyFill="1" applyBorder="1"/>
    <xf numFmtId="0" fontId="2" fillId="3" borderId="15" xfId="0" applyFont="1" applyFill="1" applyBorder="1"/>
    <xf numFmtId="10" fontId="2" fillId="3" borderId="0" xfId="1" applyNumberFormat="1" applyFont="1" applyFill="1" applyBorder="1"/>
    <xf numFmtId="0" fontId="0" fillId="0" borderId="0" xfId="0" quotePrefix="1"/>
    <xf numFmtId="0" fontId="8" fillId="0" borderId="0" xfId="0" applyFont="1"/>
    <xf numFmtId="165" fontId="2" fillId="0" borderId="7" xfId="0" applyNumberFormat="1" applyFont="1" applyBorder="1"/>
    <xf numFmtId="0" fontId="2" fillId="0" borderId="7" xfId="0" applyFont="1" applyBorder="1" applyAlignment="1">
      <alignment horizontal="left"/>
    </xf>
    <xf numFmtId="166" fontId="2" fillId="0" borderId="7" xfId="0" applyNumberFormat="1" applyFont="1" applyBorder="1"/>
    <xf numFmtId="0" fontId="2" fillId="0" borderId="6" xfId="0" applyFont="1" applyBorder="1"/>
    <xf numFmtId="4" fontId="2" fillId="0" borderId="2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164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5" fontId="5" fillId="0" borderId="2" xfId="0" applyNumberFormat="1" applyFont="1" applyFill="1" applyBorder="1" applyAlignment="1">
      <alignment horizontal="center"/>
    </xf>
    <xf numFmtId="165" fontId="5" fillId="0" borderId="7" xfId="0" applyNumberFormat="1" applyFont="1" applyFill="1" applyBorder="1" applyAlignment="1">
      <alignment horizontal="center"/>
    </xf>
    <xf numFmtId="165" fontId="5" fillId="0" borderId="8" xfId="0" applyNumberFormat="1" applyFont="1" applyFill="1" applyBorder="1" applyAlignment="1">
      <alignment horizontal="center"/>
    </xf>
    <xf numFmtId="166" fontId="5" fillId="0" borderId="2" xfId="0" applyNumberFormat="1" applyFont="1" applyFill="1" applyBorder="1" applyAlignment="1">
      <alignment horizontal="center"/>
    </xf>
    <xf numFmtId="166" fontId="5" fillId="0" borderId="7" xfId="0" applyNumberFormat="1" applyFont="1" applyFill="1" applyBorder="1" applyAlignment="1">
      <alignment horizontal="center"/>
    </xf>
    <xf numFmtId="166" fontId="5" fillId="0" borderId="8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6" fontId="5" fillId="0" borderId="7" xfId="0" applyNumberFormat="1" applyFont="1" applyBorder="1" applyAlignment="1">
      <alignment horizontal="center"/>
    </xf>
    <xf numFmtId="166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2" borderId="0" xfId="0" applyFill="1"/>
    <xf numFmtId="166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ACA5-3397-4FA2-B847-F5A181010574}">
  <sheetPr>
    <pageSetUpPr fitToPage="1"/>
  </sheetPr>
  <dimension ref="A1:O28"/>
  <sheetViews>
    <sheetView tabSelected="1" workbookViewId="0">
      <selection activeCell="K28" sqref="K28"/>
    </sheetView>
  </sheetViews>
  <sheetFormatPr defaultRowHeight="14.5" x14ac:dyDescent="0.35"/>
  <cols>
    <col min="2" max="2" width="19.7265625" style="6" customWidth="1"/>
    <col min="3" max="3" width="2.1796875" customWidth="1"/>
    <col min="4" max="4" width="6" style="1" bestFit="1" customWidth="1"/>
    <col min="5" max="5" width="2.1796875" customWidth="1"/>
    <col min="6" max="6" width="38" style="4" customWidth="1"/>
    <col min="7" max="7" width="1.7265625" customWidth="1"/>
    <col min="8" max="8" width="9.7265625" style="36" bestFit="1" customWidth="1"/>
    <col min="9" max="9" width="11.453125" style="36" bestFit="1" customWidth="1"/>
    <col min="10" max="10" width="1.7265625" customWidth="1"/>
    <col min="11" max="11" width="12.453125" style="1" bestFit="1" customWidth="1"/>
    <col min="12" max="12" width="1.7265625" customWidth="1"/>
    <col min="13" max="13" width="9.7265625" style="36" bestFit="1" customWidth="1"/>
    <col min="14" max="14" width="11.453125" style="36" bestFit="1" customWidth="1"/>
    <col min="15" max="15" width="1.7265625" customWidth="1"/>
  </cols>
  <sheetData>
    <row r="1" spans="1:15" ht="18.5" x14ac:dyDescent="0.45">
      <c r="A1" s="17" t="str">
        <f>Analysis!A1</f>
        <v>McShea Contracting</v>
      </c>
    </row>
    <row r="2" spans="1:15" ht="15.5" x14ac:dyDescent="0.35">
      <c r="A2" s="18" t="str">
        <f>Analysis!A2</f>
        <v>Kissimmee, FL</v>
      </c>
    </row>
    <row r="3" spans="1:15" x14ac:dyDescent="0.35">
      <c r="A3" s="12" t="s">
        <v>183</v>
      </c>
    </row>
    <row r="6" spans="1:15" s="11" customFormat="1" x14ac:dyDescent="0.35">
      <c r="B6" s="32"/>
      <c r="D6" s="28"/>
      <c r="F6" s="33"/>
      <c r="H6" s="74" t="s">
        <v>181</v>
      </c>
      <c r="I6" s="75"/>
      <c r="K6" s="28"/>
      <c r="M6" s="74" t="s">
        <v>1</v>
      </c>
      <c r="N6" s="75"/>
    </row>
    <row r="7" spans="1:15" s="11" customFormat="1" x14ac:dyDescent="0.35">
      <c r="B7" s="32"/>
      <c r="D7" s="28"/>
      <c r="F7" s="33"/>
      <c r="H7" s="37"/>
      <c r="I7" s="37" t="s">
        <v>177</v>
      </c>
      <c r="K7" s="28" t="s">
        <v>210</v>
      </c>
      <c r="M7" s="37"/>
      <c r="N7" s="37" t="s">
        <v>177</v>
      </c>
    </row>
    <row r="8" spans="1:15" s="11" customFormat="1" ht="15" thickBot="1" x14ac:dyDescent="0.4">
      <c r="B8" s="34"/>
      <c r="C8" s="29"/>
      <c r="D8" s="30" t="s">
        <v>9</v>
      </c>
      <c r="E8" s="29"/>
      <c r="F8" s="35"/>
      <c r="G8" s="29"/>
      <c r="H8" s="38" t="s">
        <v>14</v>
      </c>
      <c r="I8" s="38" t="s">
        <v>209</v>
      </c>
      <c r="J8" s="29"/>
      <c r="K8" s="30" t="s">
        <v>180</v>
      </c>
      <c r="L8" s="29"/>
      <c r="M8" s="38" t="s">
        <v>14</v>
      </c>
      <c r="N8" s="38" t="s">
        <v>209</v>
      </c>
      <c r="O8" s="29"/>
    </row>
    <row r="9" spans="1:15" x14ac:dyDescent="0.35">
      <c r="B9" s="6" t="str">
        <f>IF(H9="","","category total:")</f>
        <v>category total:</v>
      </c>
      <c r="D9" s="1">
        <v>1</v>
      </c>
      <c r="F9" s="4" t="s">
        <v>190</v>
      </c>
      <c r="G9" s="20"/>
      <c r="H9" s="36">
        <f>IF(SUMIF(Analysis!H:H,D9,Analysis!P:P)=0,"",SUMIF(Analysis!H:H,D9,Analysis!P:P))</f>
        <v>24.427500000000002</v>
      </c>
      <c r="I9" s="22">
        <f t="shared" ref="I9:I27" si="0">IF(H9="","",H9/$H$28)</f>
        <v>2.8040456909720748E-2</v>
      </c>
      <c r="J9" s="20"/>
      <c r="K9" s="22">
        <f>IF(M9="","",(H9-M9)/M9)</f>
        <v>-0.53024038461538459</v>
      </c>
      <c r="L9" s="20"/>
      <c r="M9" s="36">
        <f>IF(SUMIF(Analysis!H:H,D9,Analysis!T:T)=0,"",SUMIF(Analysis!H:H,D9,Analysis!T:T))</f>
        <v>52</v>
      </c>
      <c r="N9" s="22">
        <f t="shared" ref="N9:N27" si="1">IF(M9="","",M9/$M$28)</f>
        <v>3.0496566203939923E-2</v>
      </c>
      <c r="O9" s="20"/>
    </row>
    <row r="10" spans="1:15" x14ac:dyDescent="0.35">
      <c r="B10" s="6" t="str">
        <f t="shared" ref="B10:B27" si="2">IF(H10="","","category total:")</f>
        <v/>
      </c>
      <c r="D10" s="1">
        <v>2</v>
      </c>
      <c r="F10" s="4" t="s">
        <v>191</v>
      </c>
      <c r="G10" s="20"/>
      <c r="H10" s="36" t="str">
        <f>IF(SUMIF(Analysis!H:H,D10,Analysis!P:P)=0,"",SUMIF(Analysis!H:H,D10,Analysis!P:P))</f>
        <v/>
      </c>
      <c r="I10" s="22" t="str">
        <f t="shared" si="0"/>
        <v/>
      </c>
      <c r="J10" s="20"/>
      <c r="K10" s="22" t="str">
        <f t="shared" ref="K10:K27" si="3">IF(M10="","",(H10-M10)/M10)</f>
        <v/>
      </c>
      <c r="L10" s="20"/>
      <c r="M10" s="36" t="str">
        <f>IF(SUMIF(Analysis!H:H,D10,Analysis!T:T)=0,"",SUMIF(Analysis!H:H,D10,Analysis!T:T))</f>
        <v/>
      </c>
      <c r="N10" s="22" t="str">
        <f t="shared" si="1"/>
        <v/>
      </c>
      <c r="O10" s="20"/>
    </row>
    <row r="11" spans="1:15" x14ac:dyDescent="0.35">
      <c r="B11" s="6" t="str">
        <f t="shared" si="2"/>
        <v>category total:</v>
      </c>
      <c r="D11" s="1" t="s">
        <v>24</v>
      </c>
      <c r="F11" s="4" t="s">
        <v>192</v>
      </c>
      <c r="G11" s="20"/>
      <c r="H11" s="36">
        <f>IF(SUMIF(Analysis!H:H,D11,Analysis!P:P)=0,"",SUMIF(Analysis!H:H,D11,Analysis!P:P))</f>
        <v>6.4950000000000001</v>
      </c>
      <c r="I11" s="22">
        <f t="shared" si="0"/>
        <v>7.4556449750746599E-3</v>
      </c>
      <c r="J11" s="20"/>
      <c r="K11" s="22">
        <f t="shared" si="3"/>
        <v>-0.71662303664921467</v>
      </c>
      <c r="L11" s="20"/>
      <c r="M11" s="36">
        <f>IF(SUMIF(Analysis!H:H,D11,Analysis!T:T)=0,"",SUMIF(Analysis!H:H,D11,Analysis!T:T))</f>
        <v>22.92</v>
      </c>
      <c r="N11" s="22">
        <f t="shared" si="1"/>
        <v>1.3441948026813521E-2</v>
      </c>
      <c r="O11" s="20"/>
    </row>
    <row r="12" spans="1:15" x14ac:dyDescent="0.35">
      <c r="B12" s="6" t="str">
        <f t="shared" si="2"/>
        <v/>
      </c>
      <c r="D12" s="1" t="s">
        <v>132</v>
      </c>
      <c r="F12" s="4" t="s">
        <v>193</v>
      </c>
      <c r="G12" s="20"/>
      <c r="H12" s="36" t="str">
        <f>IF(SUMIF(Analysis!H:H,D12,Analysis!P:P)=0,"",SUMIF(Analysis!H:H,D12,Analysis!P:P))</f>
        <v/>
      </c>
      <c r="I12" s="22" t="str">
        <f t="shared" si="0"/>
        <v/>
      </c>
      <c r="J12" s="20"/>
      <c r="K12" s="22" t="str">
        <f t="shared" si="3"/>
        <v/>
      </c>
      <c r="L12" s="20"/>
      <c r="M12" s="36" t="str">
        <f>IF(SUMIF(Analysis!H:H,D12,Analysis!T:T)=0,"",SUMIF(Analysis!H:H,D12,Analysis!T:T))</f>
        <v/>
      </c>
      <c r="N12" s="22" t="str">
        <f t="shared" si="1"/>
        <v/>
      </c>
      <c r="O12" s="20"/>
    </row>
    <row r="13" spans="1:15" x14ac:dyDescent="0.35">
      <c r="B13" s="6" t="str">
        <f t="shared" si="2"/>
        <v/>
      </c>
      <c r="D13" s="1" t="s">
        <v>50</v>
      </c>
      <c r="F13" s="4" t="s">
        <v>194</v>
      </c>
      <c r="G13" s="20"/>
      <c r="H13" s="36" t="str">
        <f>IF(SUMIF(Analysis!H:H,D13,Analysis!P:P)=0,"",SUMIF(Analysis!H:H,D13,Analysis!P:P))</f>
        <v/>
      </c>
      <c r="I13" s="22" t="str">
        <f t="shared" si="0"/>
        <v/>
      </c>
      <c r="J13" s="20"/>
      <c r="K13" s="22" t="str">
        <f t="shared" si="3"/>
        <v/>
      </c>
      <c r="L13" s="20"/>
      <c r="M13" s="36" t="str">
        <f>IF(SUMIF(Analysis!H:H,D13,Analysis!T:T)=0,"",SUMIF(Analysis!H:H,D13,Analysis!T:T))</f>
        <v/>
      </c>
      <c r="N13" s="22" t="str">
        <f t="shared" si="1"/>
        <v/>
      </c>
      <c r="O13" s="20"/>
    </row>
    <row r="14" spans="1:15" x14ac:dyDescent="0.35">
      <c r="B14" s="6" t="str">
        <f t="shared" si="2"/>
        <v/>
      </c>
      <c r="D14" s="1" t="s">
        <v>70</v>
      </c>
      <c r="F14" s="4" t="s">
        <v>195</v>
      </c>
      <c r="G14" s="20"/>
      <c r="H14" s="36" t="str">
        <f>IF(SUMIF(Analysis!H:H,D14,Analysis!P:P)=0,"",SUMIF(Analysis!H:H,D14,Analysis!P:P))</f>
        <v/>
      </c>
      <c r="I14" s="22" t="str">
        <f t="shared" si="0"/>
        <v/>
      </c>
      <c r="J14" s="20"/>
      <c r="K14" s="22" t="str">
        <f t="shared" si="3"/>
        <v/>
      </c>
      <c r="L14" s="20"/>
      <c r="M14" s="36" t="str">
        <f>IF(SUMIF(Analysis!H:H,D14,Analysis!T:T)=0,"",SUMIF(Analysis!H:H,D14,Analysis!T:T))</f>
        <v/>
      </c>
      <c r="N14" s="22" t="str">
        <f t="shared" si="1"/>
        <v/>
      </c>
      <c r="O14" s="20"/>
    </row>
    <row r="15" spans="1:15" x14ac:dyDescent="0.35">
      <c r="B15" s="6" t="str">
        <f t="shared" si="2"/>
        <v/>
      </c>
      <c r="D15" s="1" t="s">
        <v>184</v>
      </c>
      <c r="F15" s="4" t="s">
        <v>196</v>
      </c>
      <c r="G15" s="20"/>
      <c r="H15" s="36" t="str">
        <f>IF(SUMIF(Analysis!H:H,D15,Analysis!P:P)=0,"",SUMIF(Analysis!H:H,D15,Analysis!P:P))</f>
        <v/>
      </c>
      <c r="I15" s="22" t="str">
        <f t="shared" si="0"/>
        <v/>
      </c>
      <c r="J15" s="20"/>
      <c r="K15" s="22" t="str">
        <f t="shared" si="3"/>
        <v/>
      </c>
      <c r="L15" s="20"/>
      <c r="M15" s="36" t="str">
        <f>IF(SUMIF(Analysis!H:H,D15,Analysis!T:T)=0,"",SUMIF(Analysis!H:H,D15,Analysis!T:T))</f>
        <v/>
      </c>
      <c r="N15" s="22" t="str">
        <f t="shared" si="1"/>
        <v/>
      </c>
      <c r="O15" s="20"/>
    </row>
    <row r="16" spans="1:15" x14ac:dyDescent="0.35">
      <c r="B16" s="6" t="str">
        <f t="shared" si="2"/>
        <v>category total:</v>
      </c>
      <c r="D16" s="1" t="s">
        <v>69</v>
      </c>
      <c r="F16" s="4" t="s">
        <v>197</v>
      </c>
      <c r="G16" s="20"/>
      <c r="H16" s="36">
        <f>IF(SUMIF(Analysis!H:H,D16,Analysis!P:P)=0,"",SUMIF(Analysis!H:H,D16,Analysis!P:P))</f>
        <v>15.71</v>
      </c>
      <c r="I16" s="22">
        <f t="shared" si="0"/>
        <v>1.8033592387747946E-2</v>
      </c>
      <c r="J16" s="20"/>
      <c r="K16" s="22">
        <f t="shared" si="3"/>
        <v>-0.50079440737210035</v>
      </c>
      <c r="L16" s="20"/>
      <c r="M16" s="36">
        <f>IF(SUMIF(Analysis!H:H,D16,Analysis!T:T)=0,"",SUMIF(Analysis!H:H,D16,Analysis!T:T))</f>
        <v>31.47</v>
      </c>
      <c r="N16" s="22">
        <f t="shared" si="1"/>
        <v>1.8456287277653641E-2</v>
      </c>
      <c r="O16" s="20"/>
    </row>
    <row r="17" spans="2:15" x14ac:dyDescent="0.35">
      <c r="B17" s="6" t="str">
        <f t="shared" si="2"/>
        <v>category total:</v>
      </c>
      <c r="D17" s="1" t="s">
        <v>23</v>
      </c>
      <c r="F17" s="4" t="s">
        <v>198</v>
      </c>
      <c r="G17" s="20"/>
      <c r="H17" s="36">
        <f>IF(SUMIF(Analysis!H:H,D17,Analysis!P:P)=0,"",SUMIF(Analysis!H:H,D17,Analysis!P:P))</f>
        <v>164.42</v>
      </c>
      <c r="I17" s="22">
        <f t="shared" si="0"/>
        <v>0.18873859073160515</v>
      </c>
      <c r="J17" s="20"/>
      <c r="K17" s="22">
        <f t="shared" si="3"/>
        <v>-0.18401985111662536</v>
      </c>
      <c r="L17" s="20"/>
      <c r="M17" s="36">
        <f>IF(SUMIF(Analysis!H:H,D17,Analysis!T:T)=0,"",SUMIF(Analysis!H:H,D17,Analysis!T:T))</f>
        <v>201.5</v>
      </c>
      <c r="N17" s="22">
        <f t="shared" si="1"/>
        <v>0.1181741940402672</v>
      </c>
      <c r="O17" s="20"/>
    </row>
    <row r="18" spans="2:15" x14ac:dyDescent="0.35">
      <c r="B18" s="6" t="str">
        <f t="shared" si="2"/>
        <v/>
      </c>
      <c r="D18" s="1" t="s">
        <v>185</v>
      </c>
      <c r="F18" s="4" t="s">
        <v>199</v>
      </c>
      <c r="G18" s="20"/>
      <c r="H18" s="36" t="str">
        <f>IF(SUMIF(Analysis!H:H,D18,Analysis!P:P)=0,"",SUMIF(Analysis!H:H,D18,Analysis!P:P))</f>
        <v/>
      </c>
      <c r="I18" s="22" t="str">
        <f t="shared" si="0"/>
        <v/>
      </c>
      <c r="J18" s="20"/>
      <c r="K18" s="22" t="str">
        <f t="shared" si="3"/>
        <v/>
      </c>
      <c r="L18" s="20"/>
      <c r="M18" s="36" t="str">
        <f>IF(SUMIF(Analysis!H:H,D18,Analysis!T:T)=0,"",SUMIF(Analysis!H:H,D18,Analysis!T:T))</f>
        <v/>
      </c>
      <c r="N18" s="22" t="str">
        <f t="shared" si="1"/>
        <v/>
      </c>
      <c r="O18" s="20"/>
    </row>
    <row r="19" spans="2:15" x14ac:dyDescent="0.35">
      <c r="B19" s="6" t="str">
        <f t="shared" si="2"/>
        <v>category total:</v>
      </c>
      <c r="D19" s="1" t="s">
        <v>86</v>
      </c>
      <c r="F19" s="4" t="s">
        <v>200</v>
      </c>
      <c r="G19" s="20"/>
      <c r="H19" s="36">
        <f>IF(SUMIF(Analysis!H:H,D19,Analysis!P:P)=0,"",SUMIF(Analysis!H:H,D19,Analysis!P:P))</f>
        <v>237.47999999999996</v>
      </c>
      <c r="I19" s="22">
        <f t="shared" si="0"/>
        <v>0.27260455252975058</v>
      </c>
      <c r="J19" s="20"/>
      <c r="K19" s="22">
        <f t="shared" si="3"/>
        <v>-0.71163163454883249</v>
      </c>
      <c r="L19" s="20"/>
      <c r="M19" s="36">
        <f>IF(SUMIF(Analysis!H:H,D19,Analysis!T:T)=0,"",SUMIF(Analysis!H:H,D19,Analysis!T:T))</f>
        <v>823.52999999999986</v>
      </c>
      <c r="N19" s="22">
        <f t="shared" si="1"/>
        <v>0.4829776378063585</v>
      </c>
      <c r="O19" s="20"/>
    </row>
    <row r="20" spans="2:15" x14ac:dyDescent="0.35">
      <c r="B20" s="6" t="str">
        <f t="shared" si="2"/>
        <v/>
      </c>
      <c r="D20" s="1" t="s">
        <v>186</v>
      </c>
      <c r="F20" s="4" t="s">
        <v>201</v>
      </c>
      <c r="G20" s="20"/>
      <c r="H20" s="36" t="str">
        <f>IF(SUMIF(Analysis!H:H,D20,Analysis!P:P)=0,"",SUMIF(Analysis!H:H,D20,Analysis!P:P))</f>
        <v/>
      </c>
      <c r="I20" s="22" t="str">
        <f t="shared" si="0"/>
        <v/>
      </c>
      <c r="J20" s="20"/>
      <c r="K20" s="22" t="str">
        <f t="shared" si="3"/>
        <v/>
      </c>
      <c r="L20" s="20"/>
      <c r="M20" s="36" t="str">
        <f>IF(SUMIF(Analysis!H:H,D20,Analysis!T:T)=0,"",SUMIF(Analysis!H:H,D20,Analysis!T:T))</f>
        <v/>
      </c>
      <c r="N20" s="22" t="str">
        <f t="shared" si="1"/>
        <v/>
      </c>
      <c r="O20" s="20"/>
    </row>
    <row r="21" spans="2:15" x14ac:dyDescent="0.35">
      <c r="B21" s="6" t="str">
        <f t="shared" si="2"/>
        <v/>
      </c>
      <c r="D21" s="1" t="s">
        <v>187</v>
      </c>
      <c r="F21" s="4" t="s">
        <v>202</v>
      </c>
      <c r="G21" s="20"/>
      <c r="H21" s="36" t="str">
        <f>IF(SUMIF(Analysis!H:H,D21,Analysis!P:P)=0,"",SUMIF(Analysis!H:H,D21,Analysis!P:P))</f>
        <v/>
      </c>
      <c r="I21" s="22" t="str">
        <f t="shared" si="0"/>
        <v/>
      </c>
      <c r="J21" s="20"/>
      <c r="K21" s="22" t="str">
        <f t="shared" si="3"/>
        <v/>
      </c>
      <c r="L21" s="20"/>
      <c r="M21" s="36" t="str">
        <f>IF(SUMIF(Analysis!H:H,D21,Analysis!T:T)=0,"",SUMIF(Analysis!H:H,D21,Analysis!T:T))</f>
        <v/>
      </c>
      <c r="N21" s="22" t="str">
        <f t="shared" si="1"/>
        <v/>
      </c>
      <c r="O21" s="20"/>
    </row>
    <row r="22" spans="2:15" x14ac:dyDescent="0.35">
      <c r="B22" s="6" t="str">
        <f t="shared" si="2"/>
        <v>category total:</v>
      </c>
      <c r="D22" s="1" t="s">
        <v>33</v>
      </c>
      <c r="F22" s="4" t="s">
        <v>203</v>
      </c>
      <c r="G22" s="20"/>
      <c r="H22" s="36">
        <f>IF(SUMIF(Analysis!H:H,D22,Analysis!P:P)=0,"",SUMIF(Analysis!H:H,D22,Analysis!P:P))</f>
        <v>232.25949579831931</v>
      </c>
      <c r="I22" s="22">
        <f t="shared" si="0"/>
        <v>0.26661190804651475</v>
      </c>
      <c r="J22" s="20"/>
      <c r="K22" s="22">
        <f t="shared" si="3"/>
        <v>-0.19427081177298511</v>
      </c>
      <c r="L22" s="20"/>
      <c r="M22" s="36">
        <f>IF(SUMIF(Analysis!H:H,D22,Analysis!T:T)=0,"",SUMIF(Analysis!H:H,D22,Analysis!T:T))</f>
        <v>288.26</v>
      </c>
      <c r="N22" s="22">
        <f t="shared" si="1"/>
        <v>0.16905654180668697</v>
      </c>
      <c r="O22" s="20"/>
    </row>
    <row r="23" spans="2:15" x14ac:dyDescent="0.35">
      <c r="B23" s="6" t="str">
        <f t="shared" si="2"/>
        <v/>
      </c>
      <c r="D23" s="1" t="s">
        <v>188</v>
      </c>
      <c r="F23" s="4" t="s">
        <v>204</v>
      </c>
      <c r="G23" s="20"/>
      <c r="H23" s="36" t="str">
        <f>IF(SUMIF(Analysis!H:H,D23,Analysis!P:P)=0,"",SUMIF(Analysis!H:H,D23,Analysis!P:P))</f>
        <v/>
      </c>
      <c r="I23" s="22" t="str">
        <f t="shared" si="0"/>
        <v/>
      </c>
      <c r="J23" s="20"/>
      <c r="K23" s="22" t="str">
        <f t="shared" si="3"/>
        <v/>
      </c>
      <c r="L23" s="20"/>
      <c r="M23" s="36" t="str">
        <f>IF(SUMIF(Analysis!H:H,D23,Analysis!T:T)=0,"",SUMIF(Analysis!H:H,D23,Analysis!T:T))</f>
        <v/>
      </c>
      <c r="N23" s="22" t="str">
        <f t="shared" si="1"/>
        <v/>
      </c>
      <c r="O23" s="20"/>
    </row>
    <row r="24" spans="2:15" x14ac:dyDescent="0.35">
      <c r="B24" s="6" t="str">
        <f t="shared" si="2"/>
        <v/>
      </c>
      <c r="D24" s="1" t="s">
        <v>189</v>
      </c>
      <c r="F24" s="4" t="s">
        <v>205</v>
      </c>
      <c r="G24" s="20"/>
      <c r="H24" s="36" t="str">
        <f>IF(SUMIF(Analysis!H:H,D24,Analysis!P:P)=0,"",SUMIF(Analysis!H:H,D24,Analysis!P:P))</f>
        <v/>
      </c>
      <c r="I24" s="22" t="str">
        <f t="shared" si="0"/>
        <v/>
      </c>
      <c r="J24" s="20"/>
      <c r="K24" s="22" t="str">
        <f t="shared" si="3"/>
        <v/>
      </c>
      <c r="L24" s="20"/>
      <c r="M24" s="36" t="str">
        <f>IF(SUMIF(Analysis!H:H,D24,Analysis!T:T)=0,"",SUMIF(Analysis!H:H,D24,Analysis!T:T))</f>
        <v/>
      </c>
      <c r="N24" s="22" t="str">
        <f t="shared" si="1"/>
        <v/>
      </c>
      <c r="O24" s="20"/>
    </row>
    <row r="25" spans="2:15" x14ac:dyDescent="0.35">
      <c r="B25" s="6" t="str">
        <f t="shared" si="2"/>
        <v>category total:</v>
      </c>
      <c r="D25" s="1">
        <v>1008</v>
      </c>
      <c r="F25" s="4" t="s">
        <v>206</v>
      </c>
      <c r="G25" s="20"/>
      <c r="H25" s="36">
        <f>IF(SUMIF(Analysis!H:H,D25,Analysis!P:P)=0,"",SUMIF(Analysis!H:H,D25,Analysis!P:P))</f>
        <v>50.75</v>
      </c>
      <c r="I25" s="22">
        <f t="shared" si="0"/>
        <v>5.8256194377989068E-2</v>
      </c>
      <c r="J25" s="20"/>
      <c r="K25" s="22">
        <f t="shared" si="3"/>
        <v>-0.45383125269048635</v>
      </c>
      <c r="L25" s="20"/>
      <c r="M25" s="36">
        <f>IF(SUMIF(Analysis!H:H,D25,Analysis!T:T)=0,"",SUMIF(Analysis!H:H,D25,Analysis!T:T))</f>
        <v>92.919999999999987</v>
      </c>
      <c r="N25" s="22">
        <f t="shared" si="1"/>
        <v>5.4495017916732641E-2</v>
      </c>
      <c r="O25" s="20"/>
    </row>
    <row r="26" spans="2:15" x14ac:dyDescent="0.35">
      <c r="B26" s="6" t="str">
        <f t="shared" si="2"/>
        <v>category total:</v>
      </c>
      <c r="D26" s="1">
        <v>1022</v>
      </c>
      <c r="F26" s="4" t="s">
        <v>207</v>
      </c>
      <c r="G26" s="20"/>
      <c r="H26" s="36">
        <f>IF(SUMIF(Analysis!H:H,D26,Analysis!P:P)=0,"",SUMIF(Analysis!H:H,D26,Analysis!P:P))</f>
        <v>48.24</v>
      </c>
      <c r="I26" s="22">
        <f t="shared" si="0"/>
        <v>5.5374952055057984E-2</v>
      </c>
      <c r="J26" s="20"/>
      <c r="K26" s="22">
        <f t="shared" si="3"/>
        <v>-3.3653846153846145E-2</v>
      </c>
      <c r="L26" s="20"/>
      <c r="M26" s="36">
        <f>IF(SUMIF(Analysis!H:H,D26,Analysis!T:T)=0,"",SUMIF(Analysis!H:H,D26,Analysis!T:T))</f>
        <v>49.92</v>
      </c>
      <c r="N26" s="22">
        <f t="shared" si="1"/>
        <v>2.9276703555782328E-2</v>
      </c>
      <c r="O26" s="20"/>
    </row>
    <row r="27" spans="2:15" x14ac:dyDescent="0.35">
      <c r="B27" s="6" t="str">
        <f t="shared" si="2"/>
        <v>category total:</v>
      </c>
      <c r="D27" s="1">
        <v>1024</v>
      </c>
      <c r="F27" s="4" t="s">
        <v>208</v>
      </c>
      <c r="G27" s="20"/>
      <c r="H27" s="36">
        <f>IF(SUMIF(Analysis!H:H,D27,Analysis!P:P)=0,"",SUMIF(Analysis!H:H,D27,Analysis!P:P))</f>
        <v>91.37</v>
      </c>
      <c r="I27" s="22">
        <f t="shared" si="0"/>
        <v>0.10488410798653913</v>
      </c>
      <c r="J27" s="20"/>
      <c r="K27" s="22">
        <f t="shared" si="3"/>
        <v>-0.3592117259274844</v>
      </c>
      <c r="L27" s="20"/>
      <c r="M27" s="36">
        <f>IF(SUMIF(Analysis!H:H,D27,Analysis!T:T)=0,"",SUMIF(Analysis!H:H,D27,Analysis!T:T))</f>
        <v>142.59</v>
      </c>
      <c r="N27" s="22">
        <f t="shared" si="1"/>
        <v>8.3625103365765271E-2</v>
      </c>
      <c r="O27" s="20"/>
    </row>
    <row r="28" spans="2:15" x14ac:dyDescent="0.35">
      <c r="B28" s="31"/>
      <c r="C28" s="25"/>
      <c r="D28" s="24"/>
      <c r="E28" s="25"/>
      <c r="F28" s="24" t="s">
        <v>182</v>
      </c>
      <c r="G28" s="25"/>
      <c r="H28" s="39">
        <f>SUM(H9:H27)</f>
        <v>871.15199579831926</v>
      </c>
      <c r="I28" s="40"/>
      <c r="J28" s="25"/>
      <c r="K28" s="26">
        <f t="shared" ref="K28" si="4">IFERROR((H28-M28)/M28,0)</f>
        <v>-0.48909337473927234</v>
      </c>
      <c r="L28" s="25"/>
      <c r="M28" s="39">
        <f>SUM(M9:M27)</f>
        <v>1705.11</v>
      </c>
      <c r="N28" s="40"/>
      <c r="O28" s="27"/>
    </row>
  </sheetData>
  <mergeCells count="2">
    <mergeCell ref="H6:I6"/>
    <mergeCell ref="M6:N6"/>
  </mergeCells>
  <pageMargins left="0.5" right="0.5" top="0.5" bottom="0.5" header="0.25" footer="0.25"/>
  <pageSetup scale="87" fitToHeight="0" orientation="landscape" horizontalDpi="90" verticalDpi="90" r:id="rId1"/>
  <headerFooter scaleWithDoc="0">
    <oddFooter>&amp;L&amp;8&amp;Det&amp;C&amp;8&amp;P of &amp;N&amp;R&amp;8&amp;F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952C-62D3-4BBD-85D8-6F89A2843806}">
  <sheetPr>
    <pageSetUpPr fitToPage="1"/>
  </sheetPr>
  <dimension ref="A1:N15"/>
  <sheetViews>
    <sheetView workbookViewId="0">
      <selection activeCell="J15" sqref="J15"/>
    </sheetView>
  </sheetViews>
  <sheetFormatPr defaultRowHeight="14.5" x14ac:dyDescent="0.35"/>
  <cols>
    <col min="1" max="2" width="5" customWidth="1"/>
    <col min="3" max="3" width="6.54296875" customWidth="1"/>
    <col min="4" max="4" width="7.54296875" style="1" customWidth="1"/>
    <col min="5" max="5" width="20.453125" customWidth="1"/>
    <col min="6" max="6" width="1.7265625" customWidth="1"/>
    <col min="7" max="7" width="10.453125" style="14" customWidth="1"/>
    <col min="8" max="8" width="13.1796875" style="36" customWidth="1"/>
    <col min="9" max="9" width="1.7265625" customWidth="1"/>
    <col min="10" max="10" width="14.81640625" style="1" bestFit="1" customWidth="1"/>
    <col min="11" max="11" width="1.7265625" customWidth="1"/>
    <col min="12" max="12" width="10.453125" style="14" customWidth="1"/>
    <col min="13" max="13" width="13.1796875" style="36" customWidth="1"/>
    <col min="14" max="14" width="1.7265625" customWidth="1"/>
  </cols>
  <sheetData>
    <row r="1" spans="1:14" ht="18.5" x14ac:dyDescent="0.45">
      <c r="A1" s="17" t="str">
        <f>Analysis!A1</f>
        <v>McShea Contracting</v>
      </c>
    </row>
    <row r="2" spans="1:14" ht="15.5" x14ac:dyDescent="0.35">
      <c r="A2" s="18" t="str">
        <f>Analysis!A2</f>
        <v>Kissimmee, FL</v>
      </c>
    </row>
    <row r="3" spans="1:14" x14ac:dyDescent="0.35">
      <c r="A3" s="12" t="s">
        <v>175</v>
      </c>
    </row>
    <row r="8" spans="1:14" s="11" customFormat="1" x14ac:dyDescent="0.35">
      <c r="D8" s="28"/>
      <c r="G8" s="74" t="s">
        <v>181</v>
      </c>
      <c r="H8" s="75"/>
      <c r="J8" s="28"/>
      <c r="L8" s="74" t="s">
        <v>1</v>
      </c>
      <c r="M8" s="75"/>
    </row>
    <row r="9" spans="1:14" s="11" customFormat="1" x14ac:dyDescent="0.35">
      <c r="D9" s="28"/>
      <c r="G9" s="37"/>
      <c r="H9" s="37" t="s">
        <v>177</v>
      </c>
      <c r="J9" s="28" t="s">
        <v>179</v>
      </c>
      <c r="L9" s="37"/>
      <c r="M9" s="37" t="s">
        <v>177</v>
      </c>
    </row>
    <row r="10" spans="1:14" s="11" customFormat="1" ht="15" thickBot="1" x14ac:dyDescent="0.4">
      <c r="C10" s="29"/>
      <c r="D10" s="30" t="s">
        <v>176</v>
      </c>
      <c r="E10" s="29"/>
      <c r="F10" s="29"/>
      <c r="G10" s="38" t="s">
        <v>14</v>
      </c>
      <c r="H10" s="38" t="s">
        <v>178</v>
      </c>
      <c r="I10" s="29"/>
      <c r="J10" s="30" t="s">
        <v>180</v>
      </c>
      <c r="K10" s="29"/>
      <c r="L10" s="38" t="s">
        <v>14</v>
      </c>
      <c r="M10" s="38" t="s">
        <v>178</v>
      </c>
      <c r="N10" s="29"/>
    </row>
    <row r="11" spans="1:14" x14ac:dyDescent="0.35">
      <c r="D11" s="1" t="s">
        <v>24</v>
      </c>
      <c r="E11" t="str">
        <f>IF(L11="","","Rank")</f>
        <v>Rank</v>
      </c>
      <c r="F11" s="20"/>
      <c r="G11" s="14">
        <f>IF(SUMIF(Analysis!I:I,D11,Analysis!P:P)=0,"",SUMIF(Analysis!I:I,D11,Analysis!P:P))</f>
        <v>473.14199579831927</v>
      </c>
      <c r="H11" s="22">
        <f>IF(G11="","",G11/$G$15)</f>
        <v>0.54312220838653347</v>
      </c>
      <c r="I11" s="20"/>
      <c r="J11" s="22">
        <f>IF(L11="","",(G11-L11)/L11)</f>
        <v>-0.39526068099244721</v>
      </c>
      <c r="K11" s="20"/>
      <c r="L11" s="14">
        <f>IF(SUMIF(Analysis!I:I,D11,Analysis!T:T)=0,"",SUMIF(Analysis!I:I,D11,Analysis!T:T))</f>
        <v>782.3900000000001</v>
      </c>
      <c r="M11" s="22">
        <f>IF(L11="","",L11/$L$15)</f>
        <v>0.4588501621596261</v>
      </c>
      <c r="N11" s="20"/>
    </row>
    <row r="12" spans="1:14" x14ac:dyDescent="0.35">
      <c r="D12" s="1" t="s">
        <v>132</v>
      </c>
      <c r="E12" t="str">
        <f t="shared" ref="E12:E14" si="0">IF(L12="","","Rank")</f>
        <v>Rank</v>
      </c>
      <c r="F12" s="20"/>
      <c r="G12" s="14">
        <f>IF(SUMIF(Analysis!I:I,D12,Analysis!P:P)=0,"",SUMIF(Analysis!I:I,D12,Analysis!P:P))</f>
        <v>117.47999999999999</v>
      </c>
      <c r="H12" s="22">
        <f t="shared" ref="H12:H14" si="1">IF(G12="","",G12/$G$15)</f>
        <v>0.13485591557687004</v>
      </c>
      <c r="I12" s="20"/>
      <c r="J12" s="22">
        <f t="shared" ref="J12:J14" si="2">IF(L12="","",(G12-L12)/L12)</f>
        <v>-0.44311717861205913</v>
      </c>
      <c r="K12" s="20"/>
      <c r="L12" s="14">
        <f>IF(SUMIF(Analysis!I:I,D12,Analysis!T:T)=0,"",SUMIF(Analysis!I:I,D12,Analysis!T:T))</f>
        <v>210.95999999999998</v>
      </c>
      <c r="M12" s="22">
        <f t="shared" ref="M12:M14" si="3">IF(L12="","",L12/$L$15)</f>
        <v>0.12372222319967624</v>
      </c>
      <c r="N12" s="20"/>
    </row>
    <row r="13" spans="1:14" x14ac:dyDescent="0.35">
      <c r="D13" s="1" t="s">
        <v>50</v>
      </c>
      <c r="E13" t="str">
        <f t="shared" si="0"/>
        <v>Rank</v>
      </c>
      <c r="F13" s="20"/>
      <c r="G13" s="14">
        <f>IF(SUMIF(Analysis!I:I,D13,Analysis!P:P)=0,"",SUMIF(Analysis!I:I,D13,Analysis!P:P))</f>
        <v>15.18</v>
      </c>
      <c r="H13" s="22">
        <f t="shared" si="1"/>
        <v>1.7425202574539389E-2</v>
      </c>
      <c r="I13" s="20"/>
      <c r="J13" s="22">
        <f t="shared" si="2"/>
        <v>-0.70165094339622636</v>
      </c>
      <c r="K13" s="20"/>
      <c r="L13" s="14">
        <f>IF(SUMIF(Analysis!I:I,D13,Analysis!T:T)=0,"",SUMIF(Analysis!I:I,D13,Analysis!T:T))</f>
        <v>50.879999999999995</v>
      </c>
      <c r="M13" s="22">
        <f t="shared" si="3"/>
        <v>2.9839717085701212E-2</v>
      </c>
      <c r="N13" s="20"/>
    </row>
    <row r="14" spans="1:14" x14ac:dyDescent="0.35">
      <c r="D14" s="1" t="s">
        <v>70</v>
      </c>
      <c r="E14" t="str">
        <f t="shared" si="0"/>
        <v>Rank</v>
      </c>
      <c r="F14" s="20"/>
      <c r="G14" s="14">
        <f>IF(SUMIF(Analysis!I:I,D14,Analysis!P:P)=0,"",SUMIF(Analysis!I:I,D14,Analysis!P:P))</f>
        <v>265.35000000000002</v>
      </c>
      <c r="H14" s="22">
        <f t="shared" si="1"/>
        <v>0.30459667346205715</v>
      </c>
      <c r="I14" s="20"/>
      <c r="J14" s="22">
        <f t="shared" si="2"/>
        <v>-0.59848989226485905</v>
      </c>
      <c r="K14" s="20"/>
      <c r="L14" s="14">
        <f>IF(SUMIF(Analysis!I:I,D14,Analysis!T:T)=0,"",SUMIF(Analysis!I:I,D14,Analysis!T:T))</f>
        <v>660.88000000000011</v>
      </c>
      <c r="M14" s="22">
        <f t="shared" si="3"/>
        <v>0.38758789755499651</v>
      </c>
      <c r="N14" s="20"/>
    </row>
    <row r="15" spans="1:14" x14ac:dyDescent="0.35">
      <c r="C15" s="23"/>
      <c r="D15" s="24"/>
      <c r="E15" s="24" t="s">
        <v>182</v>
      </c>
      <c r="F15" s="25"/>
      <c r="G15" s="41">
        <f>SUM(G11:G14)</f>
        <v>871.15199579831926</v>
      </c>
      <c r="H15" s="39"/>
      <c r="I15" s="25"/>
      <c r="J15" s="26">
        <f t="shared" ref="J15" si="4">IFERROR((G15-L15)/L15,0)</f>
        <v>-0.48909337473927245</v>
      </c>
      <c r="K15" s="25"/>
      <c r="L15" s="41">
        <f>SUM(L11:L14)</f>
        <v>1705.1100000000001</v>
      </c>
      <c r="M15" s="39"/>
      <c r="N15" s="27"/>
    </row>
  </sheetData>
  <mergeCells count="2">
    <mergeCell ref="G8:H8"/>
    <mergeCell ref="L8:M8"/>
  </mergeCells>
  <pageMargins left="0.5" right="0.5" top="0.5" bottom="0.5" header="0.25" footer="0.25"/>
  <pageSetup fitToHeight="0" orientation="landscape" horizontalDpi="90" verticalDpi="90" r:id="rId1"/>
  <headerFooter scaleWithDoc="0">
    <oddFooter>&amp;L&amp;8&amp;Det&amp;C&amp;8&amp;P of &amp;N&amp;R&amp;8&amp;F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6"/>
  <sheetViews>
    <sheetView zoomScaleNormal="100" workbookViewId="0">
      <selection activeCell="A7" sqref="A7"/>
    </sheetView>
  </sheetViews>
  <sheetFormatPr defaultRowHeight="14.5" x14ac:dyDescent="0.35"/>
  <cols>
    <col min="2" max="2" width="30.7265625" customWidth="1"/>
    <col min="3" max="3" width="7.7265625" customWidth="1"/>
    <col min="4" max="5" width="7.7265625" style="1" customWidth="1"/>
    <col min="6" max="6" width="9.7265625" customWidth="1"/>
    <col min="7" max="7" width="4.7265625" style="1" customWidth="1"/>
    <col min="8" max="8" width="5.7265625" style="1" customWidth="1"/>
    <col min="9" max="9" width="4.7265625" style="1" customWidth="1"/>
    <col min="10" max="10" width="34.81640625" bestFit="1" customWidth="1"/>
    <col min="11" max="11" width="1.7265625" customWidth="1"/>
    <col min="12" max="12" width="11.7265625" style="1" customWidth="1"/>
    <col min="13" max="13" width="1.7265625" customWidth="1"/>
    <col min="14" max="14" width="11.7265625" style="3" customWidth="1"/>
    <col min="15" max="15" width="3.7265625" style="4" customWidth="1"/>
    <col min="16" max="16" width="10.7265625" style="14" customWidth="1"/>
    <col min="17" max="17" width="1.7265625" customWidth="1"/>
    <col min="18" max="18" width="11.7265625" style="5" customWidth="1"/>
    <col min="19" max="19" width="3.7265625" style="4" customWidth="1"/>
    <col min="20" max="20" width="11.7265625" style="14" customWidth="1"/>
    <col min="21" max="21" width="1.7265625" customWidth="1"/>
    <col min="22" max="23" width="7.7265625" style="2" hidden="1" customWidth="1"/>
  </cols>
  <sheetData>
    <row r="1" spans="1:25" ht="18.5" x14ac:dyDescent="0.45">
      <c r="A1" s="17" t="s">
        <v>221</v>
      </c>
    </row>
    <row r="2" spans="1:25" ht="15.5" x14ac:dyDescent="0.35">
      <c r="A2" s="18" t="s">
        <v>222</v>
      </c>
    </row>
    <row r="3" spans="1:25" x14ac:dyDescent="0.35">
      <c r="A3" s="12" t="s">
        <v>211</v>
      </c>
    </row>
    <row r="4" spans="1:25" s="7" customFormat="1" x14ac:dyDescent="0.35">
      <c r="N4" s="9"/>
      <c r="P4" s="13"/>
      <c r="R4" s="10"/>
      <c r="T4" s="13"/>
      <c r="V4" s="8"/>
      <c r="W4" s="8" t="s">
        <v>0</v>
      </c>
      <c r="X4" s="7" t="s">
        <v>0</v>
      </c>
      <c r="Y4" s="7" t="s">
        <v>0</v>
      </c>
    </row>
    <row r="5" spans="1:25" s="15" customFormat="1" x14ac:dyDescent="0.35">
      <c r="B5" s="15" t="s">
        <v>1</v>
      </c>
      <c r="C5" s="77" t="s">
        <v>173</v>
      </c>
      <c r="D5" s="77"/>
      <c r="E5" s="77"/>
      <c r="F5" s="15" t="s">
        <v>2</v>
      </c>
      <c r="L5" s="15" t="s">
        <v>1</v>
      </c>
      <c r="N5" s="78" t="s">
        <v>2</v>
      </c>
      <c r="O5" s="79"/>
      <c r="P5" s="80"/>
      <c r="R5" s="81" t="s">
        <v>1</v>
      </c>
      <c r="S5" s="82"/>
      <c r="T5" s="83"/>
      <c r="V5" s="76" t="s">
        <v>2</v>
      </c>
      <c r="W5" s="76"/>
      <c r="X5" s="15" t="s">
        <v>0</v>
      </c>
      <c r="Y5" s="15" t="s">
        <v>0</v>
      </c>
    </row>
    <row r="6" spans="1:25" s="15" customFormat="1" ht="15" thickBot="1" x14ac:dyDescent="0.4">
      <c r="A6" s="42"/>
      <c r="B6" s="42" t="s">
        <v>3</v>
      </c>
      <c r="C6" s="42" t="s">
        <v>4</v>
      </c>
      <c r="D6" s="42" t="s">
        <v>5</v>
      </c>
      <c r="E6" s="42" t="s">
        <v>6</v>
      </c>
      <c r="F6" s="42" t="s">
        <v>7</v>
      </c>
      <c r="G6" s="42" t="s">
        <v>8</v>
      </c>
      <c r="H6" s="42" t="s">
        <v>9</v>
      </c>
      <c r="I6" s="42" t="s">
        <v>10</v>
      </c>
      <c r="J6" s="42" t="s">
        <v>11</v>
      </c>
      <c r="K6" s="42"/>
      <c r="L6" s="42" t="s">
        <v>12</v>
      </c>
      <c r="M6" s="42"/>
      <c r="N6" s="43" t="s">
        <v>13</v>
      </c>
      <c r="O6" s="42"/>
      <c r="P6" s="44" t="s">
        <v>14</v>
      </c>
      <c r="Q6" s="42"/>
      <c r="R6" s="45" t="s">
        <v>13</v>
      </c>
      <c r="S6" s="42"/>
      <c r="T6" s="44" t="s">
        <v>14</v>
      </c>
      <c r="U6" s="42"/>
      <c r="V6" s="16" t="s">
        <v>15</v>
      </c>
      <c r="W6" s="16" t="s">
        <v>16</v>
      </c>
      <c r="X6" s="15" t="s">
        <v>0</v>
      </c>
      <c r="Y6" s="15" t="s">
        <v>0</v>
      </c>
    </row>
    <row r="7" spans="1:25" x14ac:dyDescent="0.35">
      <c r="A7" s="12" t="s">
        <v>224</v>
      </c>
      <c r="C7" t="s">
        <v>0</v>
      </c>
      <c r="D7" s="1" t="s">
        <v>0</v>
      </c>
      <c r="E7" t="s">
        <v>0</v>
      </c>
      <c r="F7" t="s">
        <v>0</v>
      </c>
      <c r="G7" s="1" t="s">
        <v>0</v>
      </c>
      <c r="H7" s="1" t="s">
        <v>0</v>
      </c>
      <c r="I7" s="1" t="s">
        <v>0</v>
      </c>
      <c r="J7" t="s">
        <v>0</v>
      </c>
      <c r="K7" t="s">
        <v>0</v>
      </c>
      <c r="L7" s="1" t="s">
        <v>0</v>
      </c>
      <c r="M7" t="s">
        <v>0</v>
      </c>
      <c r="N7" s="3" t="s">
        <v>0</v>
      </c>
      <c r="O7" s="4" t="s">
        <v>0</v>
      </c>
      <c r="P7" s="14" t="s">
        <v>0</v>
      </c>
      <c r="Q7" t="s">
        <v>0</v>
      </c>
      <c r="R7" s="5" t="s">
        <v>0</v>
      </c>
      <c r="S7" s="4" t="s">
        <v>0</v>
      </c>
      <c r="T7" s="14" t="s">
        <v>0</v>
      </c>
      <c r="U7" t="s">
        <v>0</v>
      </c>
      <c r="V7" s="2" t="s">
        <v>0</v>
      </c>
      <c r="W7" s="2" t="s">
        <v>0</v>
      </c>
      <c r="X7" t="s">
        <v>0</v>
      </c>
      <c r="Y7" t="s">
        <v>0</v>
      </c>
    </row>
    <row r="8" spans="1:25" x14ac:dyDescent="0.35">
      <c r="A8" s="12" t="s">
        <v>17</v>
      </c>
      <c r="C8" t="s">
        <v>0</v>
      </c>
      <c r="D8" s="1" t="s">
        <v>0</v>
      </c>
      <c r="E8" t="s">
        <v>0</v>
      </c>
      <c r="F8" t="s">
        <v>0</v>
      </c>
      <c r="G8" s="1" t="s">
        <v>0</v>
      </c>
      <c r="H8" s="1" t="s">
        <v>0</v>
      </c>
      <c r="I8" s="1" t="s">
        <v>0</v>
      </c>
      <c r="J8" t="s">
        <v>0</v>
      </c>
      <c r="K8" t="s">
        <v>0</v>
      </c>
      <c r="L8" s="1" t="s">
        <v>0</v>
      </c>
      <c r="M8" t="s">
        <v>0</v>
      </c>
      <c r="N8" s="3" t="s">
        <v>0</v>
      </c>
      <c r="O8" s="4" t="s">
        <v>0</v>
      </c>
      <c r="P8" s="14" t="s">
        <v>0</v>
      </c>
      <c r="Q8" t="s">
        <v>0</v>
      </c>
      <c r="R8" s="5" t="s">
        <v>0</v>
      </c>
      <c r="S8" s="4" t="s">
        <v>0</v>
      </c>
      <c r="T8" s="14" t="s">
        <v>0</v>
      </c>
      <c r="U8" t="s">
        <v>0</v>
      </c>
      <c r="V8" s="2" t="s">
        <v>0</v>
      </c>
      <c r="W8" s="2" t="s">
        <v>0</v>
      </c>
      <c r="X8" t="s">
        <v>0</v>
      </c>
      <c r="Y8" t="s">
        <v>0</v>
      </c>
    </row>
    <row r="9" spans="1:25" x14ac:dyDescent="0.35">
      <c r="A9" s="12" t="s">
        <v>18</v>
      </c>
      <c r="C9" t="s">
        <v>0</v>
      </c>
      <c r="D9" s="1" t="s">
        <v>0</v>
      </c>
      <c r="E9" t="s">
        <v>0</v>
      </c>
      <c r="F9" t="s">
        <v>0</v>
      </c>
      <c r="G9" s="1" t="s">
        <v>0</v>
      </c>
      <c r="H9" s="1" t="s">
        <v>0</v>
      </c>
      <c r="I9" s="1" t="s">
        <v>0</v>
      </c>
      <c r="J9" t="s">
        <v>0</v>
      </c>
      <c r="K9" t="s">
        <v>0</v>
      </c>
      <c r="L9" s="1" t="s">
        <v>0</v>
      </c>
      <c r="M9" t="s">
        <v>0</v>
      </c>
      <c r="N9" s="3" t="s">
        <v>0</v>
      </c>
      <c r="O9" s="4" t="s">
        <v>0</v>
      </c>
      <c r="P9" s="14" t="s">
        <v>0</v>
      </c>
      <c r="Q9" t="s">
        <v>0</v>
      </c>
      <c r="R9" s="5" t="s">
        <v>0</v>
      </c>
      <c r="S9" s="4" t="s">
        <v>0</v>
      </c>
      <c r="T9" s="14" t="s">
        <v>0</v>
      </c>
      <c r="U9" t="s">
        <v>0</v>
      </c>
      <c r="V9" s="2" t="s">
        <v>0</v>
      </c>
      <c r="W9" s="2" t="s">
        <v>0</v>
      </c>
      <c r="X9" t="s">
        <v>0</v>
      </c>
      <c r="Y9" t="s">
        <v>0</v>
      </c>
    </row>
    <row r="10" spans="1:25" x14ac:dyDescent="0.35">
      <c r="A10" s="12"/>
      <c r="C10" t="s">
        <v>0</v>
      </c>
      <c r="D10" s="1" t="s">
        <v>0</v>
      </c>
      <c r="E10" t="s">
        <v>0</v>
      </c>
      <c r="F10" t="s">
        <v>0</v>
      </c>
      <c r="G10" s="1" t="s">
        <v>0</v>
      </c>
      <c r="H10" s="1" t="s">
        <v>0</v>
      </c>
      <c r="I10" s="1" t="s">
        <v>0</v>
      </c>
      <c r="J10" t="s">
        <v>0</v>
      </c>
      <c r="K10" s="19" t="s">
        <v>0</v>
      </c>
      <c r="L10" s="1" t="s">
        <v>0</v>
      </c>
      <c r="M10" s="19" t="s">
        <v>0</v>
      </c>
      <c r="N10" s="3" t="s">
        <v>0</v>
      </c>
      <c r="O10" s="4" t="s">
        <v>0</v>
      </c>
      <c r="P10" s="14" t="s">
        <v>0</v>
      </c>
      <c r="Q10" s="19" t="s">
        <v>0</v>
      </c>
      <c r="R10" s="5" t="s">
        <v>0</v>
      </c>
      <c r="S10" s="4" t="s">
        <v>0</v>
      </c>
      <c r="T10" s="14" t="s">
        <v>0</v>
      </c>
      <c r="U10" s="19" t="s">
        <v>0</v>
      </c>
      <c r="V10" s="2" t="s">
        <v>0</v>
      </c>
      <c r="W10" s="2" t="s">
        <v>0</v>
      </c>
      <c r="X10" t="s">
        <v>0</v>
      </c>
      <c r="Y10" t="s">
        <v>0</v>
      </c>
    </row>
    <row r="11" spans="1:25" x14ac:dyDescent="0.35">
      <c r="A11" s="12"/>
      <c r="B11" t="s">
        <v>19</v>
      </c>
      <c r="D11" s="1">
        <v>50</v>
      </c>
      <c r="E11" t="s">
        <v>20</v>
      </c>
      <c r="F11" t="s">
        <v>21</v>
      </c>
      <c r="G11" s="1" t="s">
        <v>22</v>
      </c>
      <c r="H11" s="1" t="s">
        <v>23</v>
      </c>
      <c r="I11" s="1" t="s">
        <v>24</v>
      </c>
      <c r="J11" t="s">
        <v>25</v>
      </c>
      <c r="K11" s="20"/>
      <c r="L11" s="1">
        <v>1</v>
      </c>
      <c r="M11" s="20"/>
      <c r="N11" s="3">
        <v>0.44</v>
      </c>
      <c r="O11" s="4" t="s">
        <v>20</v>
      </c>
      <c r="Q11" s="20"/>
      <c r="R11" s="5">
        <v>25.46</v>
      </c>
      <c r="S11" s="4" t="s">
        <v>26</v>
      </c>
      <c r="U11" s="20"/>
      <c r="X11" t="s">
        <v>0</v>
      </c>
      <c r="Y11" t="s">
        <v>0</v>
      </c>
    </row>
    <row r="12" spans="1:25" x14ac:dyDescent="0.35">
      <c r="A12" s="12"/>
      <c r="F12" t="s">
        <v>21</v>
      </c>
      <c r="G12" s="1" t="s">
        <v>22</v>
      </c>
      <c r="H12" s="1" t="s">
        <v>23</v>
      </c>
      <c r="I12" s="1" t="s">
        <v>24</v>
      </c>
      <c r="J12" s="6" t="s">
        <v>27</v>
      </c>
      <c r="K12" s="20"/>
      <c r="L12" s="1">
        <f>D11*L11</f>
        <v>50</v>
      </c>
      <c r="M12" s="20"/>
      <c r="N12" s="3">
        <f>IF(ISBLANK(V11),IF(O11="C",N11/100,N11),IF(O11="C",N11/100/V11,N11/V11))</f>
        <v>0.44</v>
      </c>
      <c r="O12" s="4" t="s">
        <v>20</v>
      </c>
      <c r="P12" s="14">
        <f>(N12*L12)</f>
        <v>22</v>
      </c>
      <c r="Q12" s="20"/>
      <c r="R12" s="5">
        <f>IF(S11="C",R11/D11/100,R11/D11)</f>
        <v>0.50919999999999999</v>
      </c>
      <c r="S12" s="4" t="s">
        <v>20</v>
      </c>
      <c r="T12" s="14">
        <f>R12*L12</f>
        <v>25.46</v>
      </c>
      <c r="U12" s="20"/>
      <c r="W12" s="2" t="s">
        <v>0</v>
      </c>
      <c r="X12" t="s">
        <v>0</v>
      </c>
      <c r="Y12" t="s">
        <v>0</v>
      </c>
    </row>
    <row r="13" spans="1:25" x14ac:dyDescent="0.35">
      <c r="A13" s="12"/>
      <c r="C13" t="s">
        <v>0</v>
      </c>
      <c r="D13" s="1" t="s">
        <v>0</v>
      </c>
      <c r="E13" t="s">
        <v>0</v>
      </c>
      <c r="F13" t="s">
        <v>0</v>
      </c>
      <c r="G13" s="1" t="s">
        <v>0</v>
      </c>
      <c r="H13" s="1" t="s">
        <v>0</v>
      </c>
      <c r="I13" s="1" t="s">
        <v>0</v>
      </c>
      <c r="J13" t="s">
        <v>0</v>
      </c>
      <c r="K13" s="20" t="s">
        <v>0</v>
      </c>
      <c r="L13" s="1" t="s">
        <v>0</v>
      </c>
      <c r="M13" s="20" t="s">
        <v>0</v>
      </c>
      <c r="N13" s="3" t="s">
        <v>0</v>
      </c>
      <c r="O13" s="4" t="s">
        <v>0</v>
      </c>
      <c r="P13" s="14" t="s">
        <v>0</v>
      </c>
      <c r="Q13" s="20" t="s">
        <v>0</v>
      </c>
      <c r="R13" s="5" t="s">
        <v>0</v>
      </c>
      <c r="S13" s="4" t="s">
        <v>0</v>
      </c>
      <c r="T13" s="14" t="s">
        <v>0</v>
      </c>
      <c r="U13" s="20" t="s">
        <v>0</v>
      </c>
      <c r="V13" s="2" t="s">
        <v>0</v>
      </c>
      <c r="W13" s="2" t="s">
        <v>0</v>
      </c>
      <c r="X13" t="s">
        <v>0</v>
      </c>
      <c r="Y13" t="s">
        <v>0</v>
      </c>
    </row>
    <row r="14" spans="1:25" x14ac:dyDescent="0.35">
      <c r="A14" s="12"/>
      <c r="B14" t="s">
        <v>28</v>
      </c>
      <c r="C14" t="s">
        <v>29</v>
      </c>
      <c r="D14" s="1">
        <v>180</v>
      </c>
      <c r="E14" t="s">
        <v>30</v>
      </c>
      <c r="F14" t="s">
        <v>31</v>
      </c>
      <c r="G14" s="1" t="s">
        <v>32</v>
      </c>
      <c r="H14" s="1" t="s">
        <v>33</v>
      </c>
      <c r="I14" s="1" t="s">
        <v>24</v>
      </c>
      <c r="J14" t="s">
        <v>34</v>
      </c>
      <c r="K14" s="20"/>
      <c r="L14" s="1">
        <v>4</v>
      </c>
      <c r="M14" s="20"/>
      <c r="N14" s="3">
        <v>2.38</v>
      </c>
      <c r="O14" s="4" t="s">
        <v>35</v>
      </c>
      <c r="Q14" s="20"/>
      <c r="R14" s="5">
        <v>30.46</v>
      </c>
      <c r="S14" s="4" t="s">
        <v>36</v>
      </c>
      <c r="U14" s="20"/>
      <c r="V14" s="2">
        <v>14</v>
      </c>
      <c r="W14" s="2" t="s">
        <v>30</v>
      </c>
      <c r="X14" t="s">
        <v>0</v>
      </c>
      <c r="Y14" t="s">
        <v>0</v>
      </c>
    </row>
    <row r="15" spans="1:25" x14ac:dyDescent="0.35">
      <c r="A15" s="12"/>
      <c r="F15" t="s">
        <v>31</v>
      </c>
      <c r="G15" s="1" t="s">
        <v>32</v>
      </c>
      <c r="H15" s="1" t="s">
        <v>33</v>
      </c>
      <c r="I15" s="1" t="s">
        <v>24</v>
      </c>
      <c r="J15" s="6" t="s">
        <v>37</v>
      </c>
      <c r="K15" s="20"/>
      <c r="L15" s="1">
        <f>D14*L14</f>
        <v>720</v>
      </c>
      <c r="M15" s="20"/>
      <c r="N15" s="3">
        <f>IF(ISBLANK(V14),IF(O14="C",N14/100,N14),IF(O14="C",N14/100/V14,N14/V14))</f>
        <v>0.16999999999999998</v>
      </c>
      <c r="O15" s="4" t="s">
        <v>30</v>
      </c>
      <c r="P15" s="14">
        <f>(N15*L15)</f>
        <v>122.39999999999999</v>
      </c>
      <c r="Q15" s="20"/>
      <c r="R15" s="5">
        <f>IF(S14="C",R14/D14/100,R14/D14)</f>
        <v>0.16922222222222222</v>
      </c>
      <c r="S15" s="4" t="s">
        <v>30</v>
      </c>
      <c r="T15" s="14">
        <f>R15*L15</f>
        <v>121.84</v>
      </c>
      <c r="U15" s="20"/>
      <c r="W15" s="2" t="s">
        <v>0</v>
      </c>
      <c r="X15" t="s">
        <v>0</v>
      </c>
      <c r="Y15" t="s">
        <v>0</v>
      </c>
    </row>
    <row r="16" spans="1:25" x14ac:dyDescent="0.35">
      <c r="A16" s="12"/>
      <c r="C16" t="s">
        <v>0</v>
      </c>
      <c r="D16" s="1" t="s">
        <v>0</v>
      </c>
      <c r="E16" t="s">
        <v>0</v>
      </c>
      <c r="F16" t="s">
        <v>0</v>
      </c>
      <c r="G16" s="1" t="s">
        <v>0</v>
      </c>
      <c r="H16" s="1" t="s">
        <v>0</v>
      </c>
      <c r="I16" s="1" t="s">
        <v>0</v>
      </c>
      <c r="J16" t="s">
        <v>0</v>
      </c>
      <c r="K16" s="20" t="s">
        <v>0</v>
      </c>
      <c r="L16" s="1" t="s">
        <v>0</v>
      </c>
      <c r="M16" s="20" t="s">
        <v>0</v>
      </c>
      <c r="N16" s="3" t="s">
        <v>0</v>
      </c>
      <c r="O16" s="4" t="s">
        <v>0</v>
      </c>
      <c r="P16" s="14" t="s">
        <v>0</v>
      </c>
      <c r="Q16" s="20" t="s">
        <v>0</v>
      </c>
      <c r="R16" s="5" t="s">
        <v>0</v>
      </c>
      <c r="S16" s="4" t="s">
        <v>0</v>
      </c>
      <c r="T16" s="14" t="s">
        <v>0</v>
      </c>
      <c r="U16" s="20" t="s">
        <v>0</v>
      </c>
      <c r="V16" s="2" t="s">
        <v>0</v>
      </c>
      <c r="W16" s="2" t="s">
        <v>0</v>
      </c>
      <c r="X16" t="s">
        <v>0</v>
      </c>
      <c r="Y16" t="s">
        <v>0</v>
      </c>
    </row>
    <row r="17" spans="1:25" x14ac:dyDescent="0.35">
      <c r="A17" s="12"/>
      <c r="B17" t="s">
        <v>38</v>
      </c>
      <c r="C17" t="s">
        <v>29</v>
      </c>
      <c r="D17" s="1">
        <v>180</v>
      </c>
      <c r="E17" t="s">
        <v>30</v>
      </c>
      <c r="F17" t="s">
        <v>39</v>
      </c>
      <c r="G17" s="1" t="s">
        <v>32</v>
      </c>
      <c r="H17" s="1" t="s">
        <v>33</v>
      </c>
      <c r="I17" s="1" t="s">
        <v>24</v>
      </c>
      <c r="J17" t="s">
        <v>40</v>
      </c>
      <c r="K17" s="20"/>
      <c r="L17" s="1">
        <v>1</v>
      </c>
      <c r="M17" s="20"/>
      <c r="N17" s="3">
        <v>3.76</v>
      </c>
      <c r="O17" s="4" t="s">
        <v>35</v>
      </c>
      <c r="Q17" s="20"/>
      <c r="R17" s="5">
        <v>72.39</v>
      </c>
      <c r="S17" s="4" t="s">
        <v>36</v>
      </c>
      <c r="U17" s="20"/>
      <c r="V17" s="2">
        <v>10.5</v>
      </c>
      <c r="W17" s="2" t="s">
        <v>30</v>
      </c>
      <c r="X17" t="s">
        <v>0</v>
      </c>
      <c r="Y17" t="s">
        <v>0</v>
      </c>
    </row>
    <row r="18" spans="1:25" x14ac:dyDescent="0.35">
      <c r="A18" s="12"/>
      <c r="F18" t="s">
        <v>39</v>
      </c>
      <c r="G18" s="1" t="s">
        <v>32</v>
      </c>
      <c r="H18" s="1" t="s">
        <v>33</v>
      </c>
      <c r="I18" s="1" t="s">
        <v>24</v>
      </c>
      <c r="J18" s="6" t="s">
        <v>37</v>
      </c>
      <c r="K18" s="20"/>
      <c r="L18" s="1">
        <f>D17*L17</f>
        <v>180</v>
      </c>
      <c r="M18" s="20"/>
      <c r="N18" s="3">
        <f>IF(ISBLANK(V17),IF(O17="C",N17/100,N17),IF(O17="C",N17/100/V17,N17/V17))</f>
        <v>0.35809523809523808</v>
      </c>
      <c r="O18" s="4" t="s">
        <v>30</v>
      </c>
      <c r="P18" s="14">
        <f>(N18*L18)</f>
        <v>64.457142857142856</v>
      </c>
      <c r="Q18" s="20"/>
      <c r="R18" s="5">
        <f>IF(S17="C",R17/D17/100,R17/D17)</f>
        <v>0.40216666666666667</v>
      </c>
      <c r="S18" s="4" t="s">
        <v>30</v>
      </c>
      <c r="T18" s="14">
        <f>R18*L18</f>
        <v>72.39</v>
      </c>
      <c r="U18" s="20"/>
      <c r="W18" s="2" t="s">
        <v>0</v>
      </c>
      <c r="X18" t="s">
        <v>0</v>
      </c>
      <c r="Y18" t="s">
        <v>0</v>
      </c>
    </row>
    <row r="19" spans="1:25" x14ac:dyDescent="0.35">
      <c r="A19" s="12"/>
      <c r="C19" t="s">
        <v>0</v>
      </c>
      <c r="D19" s="1" t="s">
        <v>0</v>
      </c>
      <c r="E19" t="s">
        <v>0</v>
      </c>
      <c r="F19" t="s">
        <v>0</v>
      </c>
      <c r="G19" s="1" t="s">
        <v>0</v>
      </c>
      <c r="H19" s="1" t="s">
        <v>0</v>
      </c>
      <c r="I19" s="1" t="s">
        <v>0</v>
      </c>
      <c r="J19" t="s">
        <v>0</v>
      </c>
      <c r="K19" s="20" t="s">
        <v>0</v>
      </c>
      <c r="L19" s="1" t="s">
        <v>0</v>
      </c>
      <c r="M19" s="20" t="s">
        <v>0</v>
      </c>
      <c r="N19" s="3" t="s">
        <v>0</v>
      </c>
      <c r="O19" s="4" t="s">
        <v>0</v>
      </c>
      <c r="P19" s="14" t="s">
        <v>0</v>
      </c>
      <c r="Q19" s="20" t="s">
        <v>0</v>
      </c>
      <c r="R19" s="5" t="s">
        <v>0</v>
      </c>
      <c r="S19" s="4" t="s">
        <v>0</v>
      </c>
      <c r="T19" s="14" t="s">
        <v>0</v>
      </c>
      <c r="U19" s="20" t="s">
        <v>0</v>
      </c>
      <c r="V19" s="2" t="s">
        <v>0</v>
      </c>
      <c r="W19" s="2" t="s">
        <v>0</v>
      </c>
      <c r="X19" t="s">
        <v>0</v>
      </c>
      <c r="Y19" t="s">
        <v>0</v>
      </c>
    </row>
    <row r="20" spans="1:25" x14ac:dyDescent="0.35">
      <c r="A20" s="12"/>
      <c r="B20" t="s">
        <v>41</v>
      </c>
      <c r="C20" t="s">
        <v>29</v>
      </c>
      <c r="D20" s="1">
        <v>216</v>
      </c>
      <c r="E20" t="s">
        <v>30</v>
      </c>
      <c r="F20" t="s">
        <v>42</v>
      </c>
      <c r="G20" s="1" t="s">
        <v>32</v>
      </c>
      <c r="H20" s="1" t="s">
        <v>33</v>
      </c>
      <c r="I20" s="1" t="s">
        <v>24</v>
      </c>
      <c r="J20" t="s">
        <v>43</v>
      </c>
      <c r="K20" s="20"/>
      <c r="L20" s="1">
        <v>1</v>
      </c>
      <c r="M20" s="20"/>
      <c r="N20" s="3">
        <v>2.68</v>
      </c>
      <c r="O20" s="4" t="s">
        <v>35</v>
      </c>
      <c r="Q20" s="20"/>
      <c r="R20" s="5">
        <v>94.03</v>
      </c>
      <c r="S20" s="4" t="s">
        <v>36</v>
      </c>
      <c r="U20" s="20"/>
      <c r="V20" s="2">
        <v>12.75</v>
      </c>
      <c r="W20" s="2" t="s">
        <v>30</v>
      </c>
      <c r="X20" t="s">
        <v>0</v>
      </c>
      <c r="Y20" t="s">
        <v>0</v>
      </c>
    </row>
    <row r="21" spans="1:25" x14ac:dyDescent="0.35">
      <c r="A21" s="12"/>
      <c r="F21" t="s">
        <v>42</v>
      </c>
      <c r="G21" s="1" t="s">
        <v>32</v>
      </c>
      <c r="H21" s="1" t="s">
        <v>33</v>
      </c>
      <c r="I21" s="1" t="s">
        <v>24</v>
      </c>
      <c r="J21" s="6" t="s">
        <v>37</v>
      </c>
      <c r="K21" s="20"/>
      <c r="L21" s="1">
        <f>D20*L20</f>
        <v>216</v>
      </c>
      <c r="M21" s="20"/>
      <c r="N21" s="3">
        <f>IF(ISBLANK(V20),IF(O20="C",N20/100,N20),IF(O20="C",N20/100/V20,N20/V20))</f>
        <v>0.21019607843137256</v>
      </c>
      <c r="O21" s="4" t="s">
        <v>30</v>
      </c>
      <c r="P21" s="14">
        <f>(N21*L21)</f>
        <v>45.402352941176474</v>
      </c>
      <c r="Q21" s="20"/>
      <c r="R21" s="5">
        <f>IF(S20="C",R20/D20/100,R20/D20)</f>
        <v>0.43532407407407409</v>
      </c>
      <c r="S21" s="4" t="s">
        <v>30</v>
      </c>
      <c r="T21" s="14">
        <f>R21*L21</f>
        <v>94.03</v>
      </c>
      <c r="U21" s="20"/>
      <c r="W21" s="2" t="s">
        <v>0</v>
      </c>
      <c r="X21" t="s">
        <v>0</v>
      </c>
      <c r="Y21" t="s">
        <v>0</v>
      </c>
    </row>
    <row r="22" spans="1:25" x14ac:dyDescent="0.35">
      <c r="A22" s="12"/>
      <c r="C22" t="s">
        <v>0</v>
      </c>
      <c r="D22" s="1" t="s">
        <v>0</v>
      </c>
      <c r="E22" t="s">
        <v>0</v>
      </c>
      <c r="F22" t="s">
        <v>0</v>
      </c>
      <c r="G22" s="1" t="s">
        <v>0</v>
      </c>
      <c r="H22" s="1" t="s">
        <v>0</v>
      </c>
      <c r="I22" s="1" t="s">
        <v>0</v>
      </c>
      <c r="J22" t="s">
        <v>0</v>
      </c>
      <c r="K22" s="20" t="s">
        <v>0</v>
      </c>
      <c r="L22" s="1" t="s">
        <v>0</v>
      </c>
      <c r="M22" s="20" t="s">
        <v>0</v>
      </c>
      <c r="N22" s="3" t="s">
        <v>0</v>
      </c>
      <c r="O22" s="4" t="s">
        <v>0</v>
      </c>
      <c r="P22" s="14" t="s">
        <v>0</v>
      </c>
      <c r="Q22" s="20" t="s">
        <v>0</v>
      </c>
      <c r="R22" s="5" t="s">
        <v>0</v>
      </c>
      <c r="S22" s="4" t="s">
        <v>0</v>
      </c>
      <c r="T22" s="14" t="s">
        <v>0</v>
      </c>
      <c r="U22" s="20" t="s">
        <v>0</v>
      </c>
      <c r="V22" s="2" t="s">
        <v>0</v>
      </c>
      <c r="W22" s="2" t="s">
        <v>0</v>
      </c>
      <c r="X22" t="s">
        <v>0</v>
      </c>
      <c r="Y22" t="s">
        <v>0</v>
      </c>
    </row>
    <row r="23" spans="1:25" x14ac:dyDescent="0.35">
      <c r="A23" s="12"/>
      <c r="B23" t="s">
        <v>44</v>
      </c>
      <c r="D23" s="1">
        <v>100</v>
      </c>
      <c r="E23" t="s">
        <v>45</v>
      </c>
      <c r="F23" t="s">
        <v>46</v>
      </c>
      <c r="G23" s="1" t="s">
        <v>47</v>
      </c>
      <c r="H23" s="1" t="s">
        <v>48</v>
      </c>
      <c r="I23" s="1" t="s">
        <v>24</v>
      </c>
      <c r="J23" t="s">
        <v>49</v>
      </c>
      <c r="K23" s="20"/>
      <c r="L23" s="1">
        <v>1</v>
      </c>
      <c r="M23" s="20"/>
      <c r="N23" s="3">
        <v>2.1800000000000002</v>
      </c>
      <c r="O23" s="4" t="s">
        <v>50</v>
      </c>
      <c r="Q23" s="20"/>
      <c r="R23" s="5">
        <v>5.23</v>
      </c>
      <c r="S23" s="4" t="s">
        <v>36</v>
      </c>
      <c r="U23" s="20"/>
      <c r="X23" t="s">
        <v>0</v>
      </c>
      <c r="Y23" t="s">
        <v>0</v>
      </c>
    </row>
    <row r="24" spans="1:25" x14ac:dyDescent="0.35">
      <c r="A24" s="12"/>
      <c r="F24" t="s">
        <v>46</v>
      </c>
      <c r="G24" s="1" t="s">
        <v>47</v>
      </c>
      <c r="H24" s="1" t="s">
        <v>48</v>
      </c>
      <c r="I24" s="1" t="s">
        <v>24</v>
      </c>
      <c r="J24" s="6" t="s">
        <v>51</v>
      </c>
      <c r="K24" s="20"/>
      <c r="L24" s="1">
        <f>D23*L23</f>
        <v>100</v>
      </c>
      <c r="M24" s="20"/>
      <c r="N24" s="3">
        <f>IF(ISBLANK(V23),IF(O23="C",N23/100,N23),IF(O23="C",N23/100/V23,N23/V23))</f>
        <v>2.18E-2</v>
      </c>
      <c r="O24" s="4" t="s">
        <v>45</v>
      </c>
      <c r="P24" s="14">
        <f>(N24*L24)</f>
        <v>2.1800000000000002</v>
      </c>
      <c r="Q24" s="20"/>
      <c r="R24" s="5">
        <f>IF(S23="C",R23/D23/100,R23/D23)</f>
        <v>5.2300000000000006E-2</v>
      </c>
      <c r="S24" s="4" t="s">
        <v>45</v>
      </c>
      <c r="T24" s="14">
        <f>R24*L24</f>
        <v>5.23</v>
      </c>
      <c r="U24" s="20"/>
      <c r="W24" s="2" t="s">
        <v>0</v>
      </c>
      <c r="X24" t="s">
        <v>0</v>
      </c>
      <c r="Y24" t="s">
        <v>0</v>
      </c>
    </row>
    <row r="25" spans="1:25" x14ac:dyDescent="0.35">
      <c r="A25" s="12"/>
      <c r="C25" t="s">
        <v>0</v>
      </c>
      <c r="D25" s="1" t="s">
        <v>0</v>
      </c>
      <c r="E25" t="s">
        <v>0</v>
      </c>
      <c r="F25" t="s">
        <v>0</v>
      </c>
      <c r="G25" s="1" t="s">
        <v>0</v>
      </c>
      <c r="H25" s="1" t="s">
        <v>0</v>
      </c>
      <c r="I25" s="1" t="s">
        <v>0</v>
      </c>
      <c r="J25" t="s">
        <v>0</v>
      </c>
      <c r="K25" s="20" t="s">
        <v>0</v>
      </c>
      <c r="L25" s="1" t="s">
        <v>0</v>
      </c>
      <c r="M25" s="20" t="s">
        <v>0</v>
      </c>
      <c r="N25" s="3" t="s">
        <v>0</v>
      </c>
      <c r="O25" s="4" t="s">
        <v>0</v>
      </c>
      <c r="P25" s="14" t="s">
        <v>0</v>
      </c>
      <c r="Q25" s="20" t="s">
        <v>0</v>
      </c>
      <c r="R25" s="5" t="s">
        <v>0</v>
      </c>
      <c r="S25" s="4" t="s">
        <v>0</v>
      </c>
      <c r="T25" s="14" t="s">
        <v>0</v>
      </c>
      <c r="U25" s="20" t="s">
        <v>0</v>
      </c>
      <c r="V25" s="2" t="s">
        <v>0</v>
      </c>
      <c r="W25" s="2" t="s">
        <v>0</v>
      </c>
      <c r="X25" t="s">
        <v>0</v>
      </c>
      <c r="Y25" t="s">
        <v>0</v>
      </c>
    </row>
    <row r="26" spans="1:25" x14ac:dyDescent="0.35">
      <c r="A26" s="12"/>
      <c r="B26" t="s">
        <v>52</v>
      </c>
      <c r="D26" s="1">
        <v>75</v>
      </c>
      <c r="E26" t="s">
        <v>45</v>
      </c>
      <c r="F26" t="s">
        <v>53</v>
      </c>
      <c r="G26" s="1" t="s">
        <v>54</v>
      </c>
      <c r="H26" s="1" t="s">
        <v>48</v>
      </c>
      <c r="I26" s="1" t="s">
        <v>24</v>
      </c>
      <c r="J26" t="s">
        <v>55</v>
      </c>
      <c r="K26" s="20"/>
      <c r="L26" s="1">
        <v>1</v>
      </c>
      <c r="M26" s="20"/>
      <c r="N26" s="3">
        <v>7.39</v>
      </c>
      <c r="O26" s="4" t="s">
        <v>50</v>
      </c>
      <c r="Q26" s="20"/>
      <c r="R26" s="5">
        <v>12.5</v>
      </c>
      <c r="S26" s="4" t="s">
        <v>36</v>
      </c>
      <c r="U26" s="20"/>
      <c r="X26" t="s">
        <v>0</v>
      </c>
      <c r="Y26" t="s">
        <v>0</v>
      </c>
    </row>
    <row r="27" spans="1:25" x14ac:dyDescent="0.35">
      <c r="A27" s="12"/>
      <c r="F27" t="s">
        <v>53</v>
      </c>
      <c r="G27" s="1" t="s">
        <v>54</v>
      </c>
      <c r="H27" s="1" t="s">
        <v>48</v>
      </c>
      <c r="I27" s="1" t="s">
        <v>24</v>
      </c>
      <c r="J27" s="6" t="s">
        <v>51</v>
      </c>
      <c r="K27" s="20"/>
      <c r="L27" s="1">
        <f>D26*L26</f>
        <v>75</v>
      </c>
      <c r="M27" s="20"/>
      <c r="N27" s="3">
        <f>IF(ISBLANK(V26),IF(O26="C",N26/100,N26),IF(O26="C",N26/100/V26,N26/V26))</f>
        <v>7.3899999999999993E-2</v>
      </c>
      <c r="O27" s="4" t="s">
        <v>45</v>
      </c>
      <c r="P27" s="14">
        <f>(N27*L27)</f>
        <v>5.5424999999999995</v>
      </c>
      <c r="Q27" s="20"/>
      <c r="R27" s="5">
        <f>IF(S26="C",R26/D26/100,R26/D26)</f>
        <v>0.16666666666666666</v>
      </c>
      <c r="S27" s="4" t="s">
        <v>45</v>
      </c>
      <c r="T27" s="14">
        <f>R27*L27</f>
        <v>12.5</v>
      </c>
      <c r="U27" s="20"/>
      <c r="W27" s="2" t="s">
        <v>0</v>
      </c>
      <c r="X27" t="s">
        <v>0</v>
      </c>
      <c r="Y27" t="s">
        <v>0</v>
      </c>
    </row>
    <row r="28" spans="1:25" x14ac:dyDescent="0.35">
      <c r="A28" s="12"/>
      <c r="C28" t="s">
        <v>0</v>
      </c>
      <c r="D28" s="1" t="s">
        <v>0</v>
      </c>
      <c r="E28" t="s">
        <v>0</v>
      </c>
      <c r="F28" t="s">
        <v>0</v>
      </c>
      <c r="G28" s="1" t="s">
        <v>0</v>
      </c>
      <c r="H28" s="1" t="s">
        <v>0</v>
      </c>
      <c r="I28" s="1" t="s">
        <v>0</v>
      </c>
      <c r="J28" t="s">
        <v>0</v>
      </c>
      <c r="K28" s="20" t="s">
        <v>0</v>
      </c>
      <c r="L28" s="1" t="s">
        <v>0</v>
      </c>
      <c r="M28" s="20" t="s">
        <v>0</v>
      </c>
      <c r="N28" s="3" t="s">
        <v>0</v>
      </c>
      <c r="O28" s="4" t="s">
        <v>0</v>
      </c>
      <c r="P28" s="14" t="s">
        <v>0</v>
      </c>
      <c r="Q28" s="20" t="s">
        <v>0</v>
      </c>
      <c r="R28" s="5" t="s">
        <v>0</v>
      </c>
      <c r="S28" s="4" t="s">
        <v>0</v>
      </c>
      <c r="T28" s="14" t="s">
        <v>0</v>
      </c>
      <c r="U28" s="20" t="s">
        <v>0</v>
      </c>
      <c r="V28" s="2" t="s">
        <v>0</v>
      </c>
      <c r="W28" s="2" t="s">
        <v>0</v>
      </c>
      <c r="X28" t="s">
        <v>0</v>
      </c>
      <c r="Y28" t="s">
        <v>0</v>
      </c>
    </row>
    <row r="29" spans="1:25" x14ac:dyDescent="0.35">
      <c r="A29" s="12"/>
      <c r="B29" t="s">
        <v>56</v>
      </c>
      <c r="D29" s="1">
        <v>25</v>
      </c>
      <c r="E29" t="s">
        <v>45</v>
      </c>
      <c r="F29" t="s">
        <v>57</v>
      </c>
      <c r="G29" s="1" t="s">
        <v>58</v>
      </c>
      <c r="H29" s="1" t="s">
        <v>48</v>
      </c>
      <c r="I29" s="1" t="s">
        <v>24</v>
      </c>
      <c r="J29" t="s">
        <v>59</v>
      </c>
      <c r="K29" s="20"/>
      <c r="L29" s="1">
        <v>1</v>
      </c>
      <c r="M29" s="20"/>
      <c r="N29" s="3">
        <v>19.78</v>
      </c>
      <c r="O29" s="4" t="s">
        <v>50</v>
      </c>
      <c r="Q29" s="20"/>
      <c r="R29" s="5">
        <v>10.16</v>
      </c>
      <c r="S29" s="4" t="s">
        <v>36</v>
      </c>
      <c r="U29" s="20"/>
      <c r="X29" t="s">
        <v>0</v>
      </c>
      <c r="Y29" t="s">
        <v>0</v>
      </c>
    </row>
    <row r="30" spans="1:25" x14ac:dyDescent="0.35">
      <c r="A30" s="12"/>
      <c r="F30" t="s">
        <v>57</v>
      </c>
      <c r="G30" s="1" t="s">
        <v>58</v>
      </c>
      <c r="H30" s="1" t="s">
        <v>48</v>
      </c>
      <c r="I30" s="1" t="s">
        <v>24</v>
      </c>
      <c r="J30" s="6" t="s">
        <v>51</v>
      </c>
      <c r="K30" s="20"/>
      <c r="L30" s="1">
        <f>D29*L29</f>
        <v>25</v>
      </c>
      <c r="M30" s="20"/>
      <c r="N30" s="3">
        <f>IF(ISBLANK(V29),IF(O29="C",N29/100,N29),IF(O29="C",N29/100/V29,N29/V29))</f>
        <v>0.1978</v>
      </c>
      <c r="O30" s="4" t="s">
        <v>45</v>
      </c>
      <c r="P30" s="14">
        <f>(N30*L30)</f>
        <v>4.9450000000000003</v>
      </c>
      <c r="Q30" s="20"/>
      <c r="R30" s="5">
        <f>IF(S29="C",R29/D29/100,R29/D29)</f>
        <v>0.40639999999999998</v>
      </c>
      <c r="S30" s="4" t="s">
        <v>45</v>
      </c>
      <c r="T30" s="14">
        <f>R30*L30</f>
        <v>10.16</v>
      </c>
      <c r="U30" s="20"/>
      <c r="W30" s="2" t="s">
        <v>0</v>
      </c>
      <c r="X30" t="s">
        <v>0</v>
      </c>
      <c r="Y30" t="s">
        <v>0</v>
      </c>
    </row>
    <row r="31" spans="1:25" x14ac:dyDescent="0.35">
      <c r="A31" s="12"/>
      <c r="C31" t="s">
        <v>0</v>
      </c>
      <c r="D31" s="1" t="s">
        <v>0</v>
      </c>
      <c r="E31" t="s">
        <v>0</v>
      </c>
      <c r="F31" t="s">
        <v>0</v>
      </c>
      <c r="G31" s="1" t="s">
        <v>0</v>
      </c>
      <c r="H31" s="1" t="s">
        <v>0</v>
      </c>
      <c r="I31" s="1" t="s">
        <v>0</v>
      </c>
      <c r="J31" t="s">
        <v>0</v>
      </c>
      <c r="K31" s="20" t="s">
        <v>0</v>
      </c>
      <c r="L31" s="1" t="s">
        <v>0</v>
      </c>
      <c r="M31" s="20" t="s">
        <v>0</v>
      </c>
      <c r="N31" s="3" t="s">
        <v>0</v>
      </c>
      <c r="O31" s="4" t="s">
        <v>0</v>
      </c>
      <c r="P31" s="14" t="s">
        <v>0</v>
      </c>
      <c r="Q31" s="20" t="s">
        <v>0</v>
      </c>
      <c r="R31" s="5" t="s">
        <v>0</v>
      </c>
      <c r="S31" s="4" t="s">
        <v>0</v>
      </c>
      <c r="T31" s="14" t="s">
        <v>0</v>
      </c>
      <c r="U31" s="20" t="s">
        <v>0</v>
      </c>
      <c r="V31" s="2" t="s">
        <v>0</v>
      </c>
      <c r="W31" s="2" t="s">
        <v>0</v>
      </c>
      <c r="X31" t="s">
        <v>0</v>
      </c>
      <c r="Y31" t="s">
        <v>0</v>
      </c>
    </row>
    <row r="32" spans="1:25" x14ac:dyDescent="0.35">
      <c r="A32" s="12"/>
      <c r="B32" t="s">
        <v>60</v>
      </c>
      <c r="D32" s="1">
        <v>100</v>
      </c>
      <c r="E32" t="s">
        <v>45</v>
      </c>
      <c r="F32" t="s">
        <v>61</v>
      </c>
      <c r="G32" s="1" t="s">
        <v>58</v>
      </c>
      <c r="H32" s="1" t="s">
        <v>48</v>
      </c>
      <c r="I32" s="1" t="s">
        <v>24</v>
      </c>
      <c r="J32" t="s">
        <v>62</v>
      </c>
      <c r="K32" s="20"/>
      <c r="L32" s="1">
        <v>1</v>
      </c>
      <c r="M32" s="20"/>
      <c r="N32" s="3">
        <v>5.67</v>
      </c>
      <c r="O32" s="4" t="s">
        <v>50</v>
      </c>
      <c r="Q32" s="20"/>
      <c r="R32" s="5">
        <v>13.76</v>
      </c>
      <c r="S32" s="4" t="s">
        <v>36</v>
      </c>
      <c r="U32" s="20"/>
      <c r="X32" t="s">
        <v>0</v>
      </c>
      <c r="Y32" t="s">
        <v>0</v>
      </c>
    </row>
    <row r="33" spans="1:25" x14ac:dyDescent="0.35">
      <c r="A33" s="12"/>
      <c r="F33" t="s">
        <v>61</v>
      </c>
      <c r="G33" s="1" t="s">
        <v>58</v>
      </c>
      <c r="H33" s="1" t="s">
        <v>48</v>
      </c>
      <c r="I33" s="1" t="s">
        <v>24</v>
      </c>
      <c r="J33" s="6" t="s">
        <v>51</v>
      </c>
      <c r="K33" s="20"/>
      <c r="L33" s="1">
        <f>D32*L32</f>
        <v>100</v>
      </c>
      <c r="M33" s="20"/>
      <c r="N33" s="3">
        <f>IF(ISBLANK(V32),IF(O32="C",N32/100,N32),IF(O32="C",N32/100/V32,N32/V32))</f>
        <v>5.67E-2</v>
      </c>
      <c r="O33" s="4" t="s">
        <v>45</v>
      </c>
      <c r="P33" s="14">
        <v>5.66</v>
      </c>
      <c r="Q33" s="20"/>
      <c r="R33" s="5">
        <f>IF(S32="C",R32/D32/100,R32/D32)</f>
        <v>0.1376</v>
      </c>
      <c r="S33" s="4" t="s">
        <v>45</v>
      </c>
      <c r="T33" s="14">
        <f>R33*L33</f>
        <v>13.76</v>
      </c>
      <c r="U33" s="20"/>
      <c r="W33" s="2" t="s">
        <v>0</v>
      </c>
      <c r="X33" t="s">
        <v>0</v>
      </c>
      <c r="Y33" t="s">
        <v>0</v>
      </c>
    </row>
    <row r="34" spans="1:25" x14ac:dyDescent="0.35">
      <c r="A34" s="12"/>
      <c r="C34" t="s">
        <v>0</v>
      </c>
      <c r="D34" s="1" t="s">
        <v>0</v>
      </c>
      <c r="E34" t="s">
        <v>0</v>
      </c>
      <c r="F34" t="s">
        <v>0</v>
      </c>
      <c r="G34" s="1" t="s">
        <v>0</v>
      </c>
      <c r="H34" s="1" t="s">
        <v>0</v>
      </c>
      <c r="I34" s="1" t="s">
        <v>0</v>
      </c>
      <c r="J34" t="s">
        <v>0</v>
      </c>
      <c r="K34" s="20" t="s">
        <v>0</v>
      </c>
      <c r="L34" s="1" t="s">
        <v>0</v>
      </c>
      <c r="M34" s="20" t="s">
        <v>0</v>
      </c>
      <c r="N34" s="3" t="s">
        <v>0</v>
      </c>
      <c r="O34" s="4" t="s">
        <v>0</v>
      </c>
      <c r="P34" s="14" t="s">
        <v>0</v>
      </c>
      <c r="Q34" s="20" t="s">
        <v>0</v>
      </c>
      <c r="R34" s="5" t="s">
        <v>0</v>
      </c>
      <c r="S34" s="4" t="s">
        <v>0</v>
      </c>
      <c r="T34" s="14" t="s">
        <v>0</v>
      </c>
      <c r="U34" s="20" t="s">
        <v>0</v>
      </c>
      <c r="V34" s="2" t="s">
        <v>0</v>
      </c>
      <c r="W34" s="2" t="s">
        <v>0</v>
      </c>
      <c r="X34" t="s">
        <v>0</v>
      </c>
      <c r="Y34" t="s">
        <v>0</v>
      </c>
    </row>
    <row r="35" spans="1:25" x14ac:dyDescent="0.35">
      <c r="A35" s="12"/>
      <c r="B35" t="s">
        <v>63</v>
      </c>
      <c r="D35" s="1">
        <v>5</v>
      </c>
      <c r="E35" t="s">
        <v>45</v>
      </c>
      <c r="F35" t="s">
        <v>64</v>
      </c>
      <c r="G35" s="1" t="s">
        <v>58</v>
      </c>
      <c r="H35" s="1" t="s">
        <v>48</v>
      </c>
      <c r="I35" s="1" t="s">
        <v>24</v>
      </c>
      <c r="J35" t="s">
        <v>65</v>
      </c>
      <c r="K35" s="20"/>
      <c r="L35" s="1">
        <v>1</v>
      </c>
      <c r="M35" s="20"/>
      <c r="N35" s="3">
        <v>122</v>
      </c>
      <c r="O35" s="4" t="s">
        <v>50</v>
      </c>
      <c r="Q35" s="20"/>
      <c r="R35" s="5">
        <v>10.35</v>
      </c>
      <c r="S35" s="4" t="s">
        <v>36</v>
      </c>
      <c r="U35" s="20"/>
      <c r="X35" t="s">
        <v>0</v>
      </c>
      <c r="Y35" t="s">
        <v>0</v>
      </c>
    </row>
    <row r="36" spans="1:25" x14ac:dyDescent="0.35">
      <c r="A36" s="12"/>
      <c r="F36" t="s">
        <v>64</v>
      </c>
      <c r="G36" s="1" t="s">
        <v>58</v>
      </c>
      <c r="H36" s="1" t="s">
        <v>48</v>
      </c>
      <c r="I36" s="1" t="s">
        <v>24</v>
      </c>
      <c r="J36" s="6" t="s">
        <v>51</v>
      </c>
      <c r="K36" s="20"/>
      <c r="L36" s="1">
        <f>D35*L35</f>
        <v>5</v>
      </c>
      <c r="M36" s="20"/>
      <c r="N36" s="3">
        <f>IF(ISBLANK(V35),IF(O35="C",N35/100,N35),IF(O35="C",N35/100/V35,N35/V35))</f>
        <v>1.22</v>
      </c>
      <c r="O36" s="4" t="s">
        <v>45</v>
      </c>
      <c r="P36" s="14">
        <f>(N36*L36)</f>
        <v>6.1</v>
      </c>
      <c r="Q36" s="20"/>
      <c r="R36" s="5">
        <f>IF(S35="C",R35/D35/100,R35/D35)</f>
        <v>2.0699999999999998</v>
      </c>
      <c r="S36" s="4" t="s">
        <v>45</v>
      </c>
      <c r="T36" s="14">
        <f>R36*L36</f>
        <v>10.35</v>
      </c>
      <c r="U36" s="20"/>
      <c r="W36" s="2" t="s">
        <v>0</v>
      </c>
      <c r="X36" t="s">
        <v>0</v>
      </c>
      <c r="Y36" t="s">
        <v>0</v>
      </c>
    </row>
    <row r="37" spans="1:25" x14ac:dyDescent="0.35">
      <c r="A37" s="12"/>
      <c r="C37" t="s">
        <v>0</v>
      </c>
      <c r="D37" s="1" t="s">
        <v>0</v>
      </c>
      <c r="E37" t="s">
        <v>0</v>
      </c>
      <c r="F37" t="s">
        <v>0</v>
      </c>
      <c r="G37" s="1" t="s">
        <v>0</v>
      </c>
      <c r="H37" s="1" t="s">
        <v>0</v>
      </c>
      <c r="I37" s="1" t="s">
        <v>0</v>
      </c>
      <c r="J37" t="s">
        <v>0</v>
      </c>
      <c r="K37" s="20" t="s">
        <v>0</v>
      </c>
      <c r="L37" s="1" t="s">
        <v>0</v>
      </c>
      <c r="M37" s="20" t="s">
        <v>0</v>
      </c>
      <c r="N37" s="3" t="s">
        <v>0</v>
      </c>
      <c r="O37" s="4" t="s">
        <v>0</v>
      </c>
      <c r="P37" s="14" t="s">
        <v>0</v>
      </c>
      <c r="Q37" s="20" t="s">
        <v>0</v>
      </c>
      <c r="R37" s="5" t="s">
        <v>0</v>
      </c>
      <c r="S37" s="4" t="s">
        <v>0</v>
      </c>
      <c r="T37" s="14" t="s">
        <v>0</v>
      </c>
      <c r="U37" s="20" t="s">
        <v>0</v>
      </c>
      <c r="V37" s="2" t="s">
        <v>0</v>
      </c>
      <c r="W37" s="2" t="s">
        <v>0</v>
      </c>
      <c r="X37" t="s">
        <v>0</v>
      </c>
      <c r="Y37" t="s">
        <v>0</v>
      </c>
    </row>
    <row r="38" spans="1:25" x14ac:dyDescent="0.35">
      <c r="A38" s="12"/>
      <c r="B38" t="s">
        <v>66</v>
      </c>
      <c r="D38" s="1">
        <v>3</v>
      </c>
      <c r="E38" t="s">
        <v>45</v>
      </c>
      <c r="F38" t="s">
        <v>67</v>
      </c>
      <c r="G38" s="1" t="s">
        <v>68</v>
      </c>
      <c r="H38" s="1" t="s">
        <v>69</v>
      </c>
      <c r="I38" s="1" t="s">
        <v>70</v>
      </c>
      <c r="J38" t="s">
        <v>71</v>
      </c>
      <c r="K38" s="20"/>
      <c r="L38" s="1">
        <v>1</v>
      </c>
      <c r="M38" s="20"/>
      <c r="N38" s="3">
        <v>227</v>
      </c>
      <c r="O38" s="4" t="s">
        <v>50</v>
      </c>
      <c r="Q38" s="20"/>
      <c r="R38" s="5">
        <v>12.57</v>
      </c>
      <c r="S38" s="4" t="s">
        <v>36</v>
      </c>
      <c r="U38" s="20"/>
      <c r="X38" t="s">
        <v>0</v>
      </c>
      <c r="Y38" t="s">
        <v>0</v>
      </c>
    </row>
    <row r="39" spans="1:25" x14ac:dyDescent="0.35">
      <c r="A39" s="12"/>
      <c r="F39" t="s">
        <v>67</v>
      </c>
      <c r="G39" s="1" t="s">
        <v>68</v>
      </c>
      <c r="H39" s="1" t="s">
        <v>69</v>
      </c>
      <c r="I39" s="1" t="s">
        <v>70</v>
      </c>
      <c r="J39" s="6" t="s">
        <v>51</v>
      </c>
      <c r="K39" s="20"/>
      <c r="L39" s="1">
        <f>D38*L38</f>
        <v>3</v>
      </c>
      <c r="M39" s="20"/>
      <c r="N39" s="3">
        <f>IF(ISBLANK(V38),IF(O38="C",N38/100,N38),IF(O38="C",N38/100/V38,N38/V38))</f>
        <v>2.27</v>
      </c>
      <c r="O39" s="4" t="s">
        <v>45</v>
      </c>
      <c r="P39" s="14">
        <f>(N39*L39)</f>
        <v>6.8100000000000005</v>
      </c>
      <c r="Q39" s="20"/>
      <c r="R39" s="5">
        <f>IF(S38="C",R38/D38/100,R38/D38)</f>
        <v>4.1900000000000004</v>
      </c>
      <c r="S39" s="4" t="s">
        <v>45</v>
      </c>
      <c r="T39" s="14">
        <f>R39*L39</f>
        <v>12.57</v>
      </c>
      <c r="U39" s="20"/>
      <c r="W39" s="2" t="s">
        <v>0</v>
      </c>
      <c r="X39" t="s">
        <v>0</v>
      </c>
      <c r="Y39" t="s">
        <v>0</v>
      </c>
    </row>
    <row r="40" spans="1:25" x14ac:dyDescent="0.35">
      <c r="A40" s="12"/>
      <c r="C40" t="s">
        <v>0</v>
      </c>
      <c r="D40" s="1" t="s">
        <v>0</v>
      </c>
      <c r="E40" t="s">
        <v>0</v>
      </c>
      <c r="F40" t="s">
        <v>0</v>
      </c>
      <c r="G40" s="1" t="s">
        <v>0</v>
      </c>
      <c r="H40" s="1" t="s">
        <v>0</v>
      </c>
      <c r="I40" s="1" t="s">
        <v>0</v>
      </c>
      <c r="J40" t="s">
        <v>0</v>
      </c>
      <c r="K40" s="20" t="s">
        <v>0</v>
      </c>
      <c r="L40" s="1" t="s">
        <v>0</v>
      </c>
      <c r="M40" s="20" t="s">
        <v>0</v>
      </c>
      <c r="N40" s="3" t="s">
        <v>0</v>
      </c>
      <c r="O40" s="4" t="s">
        <v>0</v>
      </c>
      <c r="P40" s="14" t="s">
        <v>0</v>
      </c>
      <c r="Q40" s="20" t="s">
        <v>0</v>
      </c>
      <c r="R40" s="5" t="s">
        <v>0</v>
      </c>
      <c r="S40" s="4" t="s">
        <v>0</v>
      </c>
      <c r="T40" s="14" t="s">
        <v>0</v>
      </c>
      <c r="U40" s="20" t="s">
        <v>0</v>
      </c>
      <c r="V40" s="2" t="s">
        <v>0</v>
      </c>
      <c r="W40" s="2" t="s">
        <v>0</v>
      </c>
      <c r="X40" t="s">
        <v>0</v>
      </c>
      <c r="Y40" t="s">
        <v>0</v>
      </c>
    </row>
    <row r="41" spans="1:25" x14ac:dyDescent="0.35">
      <c r="A41" s="12"/>
      <c r="B41" t="s">
        <v>72</v>
      </c>
      <c r="D41" s="1">
        <v>5</v>
      </c>
      <c r="E41" t="s">
        <v>45</v>
      </c>
      <c r="F41" t="s">
        <v>73</v>
      </c>
      <c r="G41" s="1" t="s">
        <v>68</v>
      </c>
      <c r="H41" s="1" t="s">
        <v>69</v>
      </c>
      <c r="I41" s="1" t="s">
        <v>70</v>
      </c>
      <c r="J41" t="s">
        <v>74</v>
      </c>
      <c r="K41" s="20"/>
      <c r="L41" s="1">
        <v>1</v>
      </c>
      <c r="M41" s="20"/>
      <c r="N41" s="3">
        <v>112</v>
      </c>
      <c r="O41" s="4" t="s">
        <v>50</v>
      </c>
      <c r="Q41" s="20"/>
      <c r="R41" s="5">
        <v>11.44</v>
      </c>
      <c r="S41" s="4" t="s">
        <v>36</v>
      </c>
      <c r="U41" s="20"/>
      <c r="X41" t="s">
        <v>0</v>
      </c>
      <c r="Y41" t="s">
        <v>0</v>
      </c>
    </row>
    <row r="42" spans="1:25" x14ac:dyDescent="0.35">
      <c r="A42" s="12"/>
      <c r="F42" t="s">
        <v>73</v>
      </c>
      <c r="G42" s="1" t="s">
        <v>68</v>
      </c>
      <c r="H42" s="1" t="s">
        <v>69</v>
      </c>
      <c r="I42" s="1" t="s">
        <v>70</v>
      </c>
      <c r="J42" s="6" t="s">
        <v>51</v>
      </c>
      <c r="K42" s="20"/>
      <c r="L42" s="1">
        <f>D41*L41</f>
        <v>5</v>
      </c>
      <c r="M42" s="20"/>
      <c r="N42" s="3">
        <f>IF(ISBLANK(V41),IF(O41="C",N41/100,N41),IF(O41="C",N41/100/V41,N41/V41))</f>
        <v>1.1200000000000001</v>
      </c>
      <c r="O42" s="4" t="s">
        <v>45</v>
      </c>
      <c r="P42" s="14">
        <f>(N42*L42)</f>
        <v>5.6000000000000005</v>
      </c>
      <c r="Q42" s="20"/>
      <c r="R42" s="5">
        <f>IF(S41="C",R41/D41/100,R41/D41)</f>
        <v>2.2879999999999998</v>
      </c>
      <c r="S42" s="4" t="s">
        <v>45</v>
      </c>
      <c r="T42" s="14">
        <f>R42*L42</f>
        <v>11.44</v>
      </c>
      <c r="U42" s="20"/>
      <c r="W42" s="2" t="s">
        <v>0</v>
      </c>
      <c r="X42" t="s">
        <v>0</v>
      </c>
      <c r="Y42" t="s">
        <v>0</v>
      </c>
    </row>
    <row r="43" spans="1:25" x14ac:dyDescent="0.35">
      <c r="A43" s="12"/>
      <c r="C43" t="s">
        <v>0</v>
      </c>
      <c r="D43" s="1" t="s">
        <v>0</v>
      </c>
      <c r="E43" t="s">
        <v>0</v>
      </c>
      <c r="F43" t="s">
        <v>0</v>
      </c>
      <c r="G43" s="1" t="s">
        <v>0</v>
      </c>
      <c r="H43" s="1" t="s">
        <v>0</v>
      </c>
      <c r="I43" s="1" t="s">
        <v>0</v>
      </c>
      <c r="J43" t="s">
        <v>0</v>
      </c>
      <c r="K43" s="20" t="s">
        <v>0</v>
      </c>
      <c r="L43" s="1" t="s">
        <v>0</v>
      </c>
      <c r="M43" s="20" t="s">
        <v>0</v>
      </c>
      <c r="N43" s="3" t="s">
        <v>0</v>
      </c>
      <c r="O43" s="4" t="s">
        <v>0</v>
      </c>
      <c r="P43" s="14" t="s">
        <v>0</v>
      </c>
      <c r="Q43" s="20" t="s">
        <v>0</v>
      </c>
      <c r="R43" s="5" t="s">
        <v>0</v>
      </c>
      <c r="S43" s="4" t="s">
        <v>0</v>
      </c>
      <c r="T43" s="14" t="s">
        <v>0</v>
      </c>
      <c r="U43" s="20" t="s">
        <v>0</v>
      </c>
      <c r="V43" s="2" t="s">
        <v>0</v>
      </c>
      <c r="W43" s="2" t="s">
        <v>0</v>
      </c>
      <c r="X43" t="s">
        <v>0</v>
      </c>
      <c r="Y43" t="s">
        <v>0</v>
      </c>
    </row>
    <row r="44" spans="1:25" x14ac:dyDescent="0.35">
      <c r="A44" s="12"/>
      <c r="B44" t="s">
        <v>75</v>
      </c>
      <c r="D44" s="1">
        <v>2</v>
      </c>
      <c r="E44" t="s">
        <v>45</v>
      </c>
      <c r="F44" t="s">
        <v>76</v>
      </c>
      <c r="G44" s="1" t="s">
        <v>68</v>
      </c>
      <c r="H44" s="1" t="s">
        <v>69</v>
      </c>
      <c r="I44" s="1" t="s">
        <v>70</v>
      </c>
      <c r="J44" t="s">
        <v>77</v>
      </c>
      <c r="K44" s="20"/>
      <c r="L44" s="1">
        <v>1</v>
      </c>
      <c r="M44" s="20"/>
      <c r="N44" s="3">
        <v>165</v>
      </c>
      <c r="O44" s="4" t="s">
        <v>50</v>
      </c>
      <c r="Q44" s="20"/>
      <c r="R44" s="5">
        <v>7.46</v>
      </c>
      <c r="S44" s="4" t="s">
        <v>36</v>
      </c>
      <c r="U44" s="20"/>
      <c r="X44" t="s">
        <v>0</v>
      </c>
      <c r="Y44" t="s">
        <v>0</v>
      </c>
    </row>
    <row r="45" spans="1:25" x14ac:dyDescent="0.35">
      <c r="A45" s="12"/>
      <c r="F45" t="s">
        <v>76</v>
      </c>
      <c r="G45" s="1" t="s">
        <v>68</v>
      </c>
      <c r="H45" s="1" t="s">
        <v>69</v>
      </c>
      <c r="I45" s="1" t="s">
        <v>70</v>
      </c>
      <c r="J45" s="6" t="s">
        <v>51</v>
      </c>
      <c r="K45" s="20"/>
      <c r="L45" s="1">
        <f>D44*L44</f>
        <v>2</v>
      </c>
      <c r="M45" s="20"/>
      <c r="N45" s="3">
        <f>IF(ISBLANK(V44),IF(O44="C",N44/100,N44),IF(O44="C",N44/100/V44,N44/V44))</f>
        <v>1.65</v>
      </c>
      <c r="O45" s="4" t="s">
        <v>45</v>
      </c>
      <c r="P45" s="14">
        <f>(N45*L45)</f>
        <v>3.3</v>
      </c>
      <c r="Q45" s="20"/>
      <c r="R45" s="5">
        <f>IF(S44="C",R44/D44/100,R44/D44)</f>
        <v>3.73</v>
      </c>
      <c r="S45" s="4" t="s">
        <v>45</v>
      </c>
      <c r="T45" s="14">
        <f>R45*L45</f>
        <v>7.46</v>
      </c>
      <c r="U45" s="20"/>
      <c r="W45" s="2" t="s">
        <v>0</v>
      </c>
      <c r="X45" t="s">
        <v>0</v>
      </c>
      <c r="Y45" t="s">
        <v>0</v>
      </c>
    </row>
    <row r="46" spans="1:25" x14ac:dyDescent="0.35">
      <c r="A46" s="12"/>
      <c r="C46" t="s">
        <v>0</v>
      </c>
      <c r="D46" s="1" t="s">
        <v>0</v>
      </c>
      <c r="E46" t="s">
        <v>0</v>
      </c>
      <c r="F46" t="s">
        <v>0</v>
      </c>
      <c r="G46" s="1" t="s">
        <v>0</v>
      </c>
      <c r="H46" s="1" t="s">
        <v>0</v>
      </c>
      <c r="I46" s="1" t="s">
        <v>0</v>
      </c>
      <c r="J46" t="s">
        <v>0</v>
      </c>
      <c r="K46" s="20" t="s">
        <v>0</v>
      </c>
      <c r="L46" s="1" t="s">
        <v>0</v>
      </c>
      <c r="M46" s="20" t="s">
        <v>0</v>
      </c>
      <c r="N46" s="3" t="s">
        <v>0</v>
      </c>
      <c r="O46" s="4" t="s">
        <v>0</v>
      </c>
      <c r="P46" s="14" t="s">
        <v>0</v>
      </c>
      <c r="Q46" s="20" t="s">
        <v>0</v>
      </c>
      <c r="R46" s="5" t="s">
        <v>0</v>
      </c>
      <c r="S46" s="4" t="s">
        <v>0</v>
      </c>
      <c r="T46" s="14" t="s">
        <v>0</v>
      </c>
      <c r="U46" s="20" t="s">
        <v>0</v>
      </c>
      <c r="V46" s="2" t="s">
        <v>0</v>
      </c>
      <c r="W46" s="2" t="s">
        <v>0</v>
      </c>
      <c r="X46" t="s">
        <v>0</v>
      </c>
      <c r="Y46" t="s">
        <v>0</v>
      </c>
    </row>
    <row r="47" spans="1:25" x14ac:dyDescent="0.35">
      <c r="A47" s="12"/>
      <c r="B47" t="s">
        <v>78</v>
      </c>
      <c r="D47" s="1">
        <v>3</v>
      </c>
      <c r="E47" t="s">
        <v>45</v>
      </c>
      <c r="F47" t="s">
        <v>79</v>
      </c>
      <c r="G47" s="1" t="s">
        <v>80</v>
      </c>
      <c r="H47" s="1" t="s">
        <v>81</v>
      </c>
      <c r="I47" s="1" t="s">
        <v>70</v>
      </c>
      <c r="J47" t="s">
        <v>82</v>
      </c>
      <c r="K47" s="20"/>
      <c r="L47" s="1">
        <v>3</v>
      </c>
      <c r="M47" s="20"/>
      <c r="N47" s="3">
        <v>536</v>
      </c>
      <c r="O47" s="4" t="s">
        <v>50</v>
      </c>
      <c r="Q47" s="20"/>
      <c r="R47" s="5">
        <v>16.64</v>
      </c>
      <c r="S47" s="4" t="s">
        <v>36</v>
      </c>
      <c r="U47" s="20"/>
      <c r="X47" t="s">
        <v>0</v>
      </c>
      <c r="Y47" t="s">
        <v>0</v>
      </c>
    </row>
    <row r="48" spans="1:25" x14ac:dyDescent="0.35">
      <c r="A48" s="12"/>
      <c r="F48" t="s">
        <v>79</v>
      </c>
      <c r="G48" s="1" t="s">
        <v>80</v>
      </c>
      <c r="H48" s="1" t="s">
        <v>81</v>
      </c>
      <c r="I48" s="1" t="s">
        <v>70</v>
      </c>
      <c r="J48" s="6" t="s">
        <v>51</v>
      </c>
      <c r="K48" s="20"/>
      <c r="L48" s="1">
        <f>D47*L47</f>
        <v>9</v>
      </c>
      <c r="M48" s="20"/>
      <c r="N48" s="3">
        <f>IF(ISBLANK(V47),IF(O47="C",N47/100,N47),IF(O47="C",N47/100/V47,N47/V47))</f>
        <v>5.36</v>
      </c>
      <c r="O48" s="4" t="s">
        <v>45</v>
      </c>
      <c r="P48" s="14">
        <f>(N48*L48)</f>
        <v>48.24</v>
      </c>
      <c r="Q48" s="20"/>
      <c r="R48" s="5">
        <f>IF(S47="C",R47/D47/100,R47/D47)</f>
        <v>5.5466666666666669</v>
      </c>
      <c r="S48" s="4" t="s">
        <v>45</v>
      </c>
      <c r="T48" s="14">
        <f>R48*L48</f>
        <v>49.92</v>
      </c>
      <c r="U48" s="20"/>
      <c r="W48" s="2" t="s">
        <v>0</v>
      </c>
      <c r="X48" t="s">
        <v>0</v>
      </c>
      <c r="Y48" t="s">
        <v>0</v>
      </c>
    </row>
    <row r="49" spans="1:25" x14ac:dyDescent="0.35">
      <c r="A49" s="12"/>
      <c r="C49" t="s">
        <v>0</v>
      </c>
      <c r="D49" s="1" t="s">
        <v>0</v>
      </c>
      <c r="E49" t="s">
        <v>0</v>
      </c>
      <c r="F49" t="s">
        <v>0</v>
      </c>
      <c r="G49" s="1" t="s">
        <v>0</v>
      </c>
      <c r="H49" s="1" t="s">
        <v>0</v>
      </c>
      <c r="I49" s="1" t="s">
        <v>0</v>
      </c>
      <c r="J49" t="s">
        <v>0</v>
      </c>
      <c r="K49" s="20" t="s">
        <v>0</v>
      </c>
      <c r="L49" s="1" t="s">
        <v>0</v>
      </c>
      <c r="M49" s="20" t="s">
        <v>0</v>
      </c>
      <c r="N49" s="3" t="s">
        <v>0</v>
      </c>
      <c r="O49" s="4" t="s">
        <v>0</v>
      </c>
      <c r="P49" s="14" t="s">
        <v>0</v>
      </c>
      <c r="Q49" s="20" t="s">
        <v>0</v>
      </c>
      <c r="R49" s="5" t="s">
        <v>0</v>
      </c>
      <c r="S49" s="4" t="s">
        <v>0</v>
      </c>
      <c r="T49" s="14" t="s">
        <v>0</v>
      </c>
      <c r="U49" s="20" t="s">
        <v>0</v>
      </c>
      <c r="V49" s="2" t="s">
        <v>0</v>
      </c>
      <c r="W49" s="2" t="s">
        <v>0</v>
      </c>
      <c r="X49" t="s">
        <v>0</v>
      </c>
      <c r="Y49" t="s">
        <v>0</v>
      </c>
    </row>
    <row r="50" spans="1:25" x14ac:dyDescent="0.35">
      <c r="A50" s="12"/>
      <c r="B50" t="s">
        <v>83</v>
      </c>
      <c r="F50" t="s">
        <v>84</v>
      </c>
      <c r="G50" s="1" t="s">
        <v>85</v>
      </c>
      <c r="H50" s="1" t="s">
        <v>86</v>
      </c>
      <c r="I50" s="1" t="s">
        <v>70</v>
      </c>
      <c r="J50" t="s">
        <v>87</v>
      </c>
      <c r="K50" s="20"/>
      <c r="L50" s="1">
        <v>6</v>
      </c>
      <c r="M50" s="20"/>
      <c r="N50" s="3">
        <v>3.31</v>
      </c>
      <c r="O50" s="4" t="s">
        <v>35</v>
      </c>
      <c r="P50" s="14">
        <v>19.86</v>
      </c>
      <c r="Q50" s="20"/>
      <c r="R50" s="5">
        <v>18.21</v>
      </c>
      <c r="S50" s="4" t="s">
        <v>35</v>
      </c>
      <c r="T50" s="14">
        <v>109.26</v>
      </c>
      <c r="U50" s="20"/>
      <c r="X50" t="s">
        <v>0</v>
      </c>
      <c r="Y50" t="s">
        <v>0</v>
      </c>
    </row>
    <row r="51" spans="1:25" x14ac:dyDescent="0.35">
      <c r="A51" s="12"/>
      <c r="B51" t="s">
        <v>88</v>
      </c>
      <c r="C51" t="s">
        <v>223</v>
      </c>
      <c r="F51" t="s">
        <v>89</v>
      </c>
      <c r="G51" s="1" t="s">
        <v>85</v>
      </c>
      <c r="H51" s="1" t="s">
        <v>86</v>
      </c>
      <c r="I51" s="1" t="s">
        <v>70</v>
      </c>
      <c r="J51" t="s">
        <v>90</v>
      </c>
      <c r="K51" s="20"/>
      <c r="L51" s="1">
        <v>6</v>
      </c>
      <c r="M51" s="20"/>
      <c r="N51" s="3">
        <v>2.64</v>
      </c>
      <c r="O51" s="4" t="s">
        <v>35</v>
      </c>
      <c r="P51" s="14">
        <v>15.84</v>
      </c>
      <c r="Q51" s="20"/>
      <c r="R51" s="5">
        <v>13.67</v>
      </c>
      <c r="S51" s="4" t="s">
        <v>35</v>
      </c>
      <c r="T51" s="14">
        <v>82.02</v>
      </c>
      <c r="U51" s="20"/>
      <c r="X51" t="s">
        <v>0</v>
      </c>
      <c r="Y51" t="s">
        <v>0</v>
      </c>
    </row>
    <row r="52" spans="1:25" x14ac:dyDescent="0.35">
      <c r="A52" s="12"/>
      <c r="B52" t="s">
        <v>91</v>
      </c>
      <c r="F52" t="s">
        <v>92</v>
      </c>
      <c r="G52" s="1" t="s">
        <v>80</v>
      </c>
      <c r="H52" s="1" t="s">
        <v>93</v>
      </c>
      <c r="I52" s="1" t="s">
        <v>70</v>
      </c>
      <c r="J52" t="s">
        <v>94</v>
      </c>
      <c r="K52" s="20"/>
      <c r="L52" s="1">
        <v>1</v>
      </c>
      <c r="M52" s="20"/>
      <c r="N52" s="3">
        <v>251</v>
      </c>
      <c r="O52" s="4" t="s">
        <v>50</v>
      </c>
      <c r="P52" s="14">
        <v>2.5099999999999998</v>
      </c>
      <c r="Q52" s="20"/>
      <c r="R52" s="5">
        <v>12.69</v>
      </c>
      <c r="S52" s="4" t="s">
        <v>35</v>
      </c>
      <c r="T52" s="14">
        <v>12.69</v>
      </c>
      <c r="U52" s="20"/>
      <c r="X52" t="s">
        <v>0</v>
      </c>
      <c r="Y52" t="s">
        <v>0</v>
      </c>
    </row>
    <row r="53" spans="1:25" x14ac:dyDescent="0.35">
      <c r="A53" s="12"/>
      <c r="B53" t="s">
        <v>95</v>
      </c>
      <c r="F53" t="s">
        <v>96</v>
      </c>
      <c r="G53" s="1" t="s">
        <v>85</v>
      </c>
      <c r="H53" s="1" t="s">
        <v>86</v>
      </c>
      <c r="I53" s="1" t="s">
        <v>70</v>
      </c>
      <c r="J53" t="s">
        <v>97</v>
      </c>
      <c r="K53" s="20"/>
      <c r="L53" s="1">
        <v>6</v>
      </c>
      <c r="M53" s="20"/>
      <c r="N53" s="3">
        <v>2.12</v>
      </c>
      <c r="O53" s="4" t="s">
        <v>35</v>
      </c>
      <c r="P53" s="14">
        <v>12.72</v>
      </c>
      <c r="Q53" s="20"/>
      <c r="R53" s="5">
        <v>14.73</v>
      </c>
      <c r="S53" s="4" t="s">
        <v>35</v>
      </c>
      <c r="T53" s="14">
        <v>88.38</v>
      </c>
      <c r="U53" s="20"/>
      <c r="X53" t="s">
        <v>0</v>
      </c>
      <c r="Y53" t="s">
        <v>0</v>
      </c>
    </row>
    <row r="54" spans="1:25" x14ac:dyDescent="0.35">
      <c r="A54" s="12"/>
      <c r="B54" t="s">
        <v>98</v>
      </c>
      <c r="F54" t="s">
        <v>99</v>
      </c>
      <c r="G54" s="1" t="s">
        <v>80</v>
      </c>
      <c r="H54" s="1" t="s">
        <v>93</v>
      </c>
      <c r="I54" s="1" t="s">
        <v>70</v>
      </c>
      <c r="J54" t="s">
        <v>100</v>
      </c>
      <c r="K54" s="20"/>
      <c r="L54" s="1">
        <v>6</v>
      </c>
      <c r="M54" s="20"/>
      <c r="N54" s="3">
        <v>976</v>
      </c>
      <c r="O54" s="4" t="s">
        <v>50</v>
      </c>
      <c r="P54" s="14">
        <v>58.56</v>
      </c>
      <c r="Q54" s="20"/>
      <c r="R54" s="5">
        <v>12.69</v>
      </c>
      <c r="S54" s="4" t="s">
        <v>35</v>
      </c>
      <c r="T54" s="14">
        <v>76.14</v>
      </c>
      <c r="U54" s="20"/>
      <c r="X54" t="s">
        <v>0</v>
      </c>
      <c r="Y54" t="s">
        <v>0</v>
      </c>
    </row>
    <row r="55" spans="1:25" x14ac:dyDescent="0.35">
      <c r="A55" s="12"/>
      <c r="B55" t="s">
        <v>101</v>
      </c>
      <c r="F55" t="s">
        <v>102</v>
      </c>
      <c r="G55" s="1" t="s">
        <v>85</v>
      </c>
      <c r="H55" s="1" t="s">
        <v>86</v>
      </c>
      <c r="I55" s="1" t="s">
        <v>70</v>
      </c>
      <c r="J55" t="s">
        <v>103</v>
      </c>
      <c r="K55" s="20"/>
      <c r="L55" s="1">
        <v>6</v>
      </c>
      <c r="M55" s="20"/>
      <c r="N55" s="3">
        <v>1.81</v>
      </c>
      <c r="O55" s="4" t="s">
        <v>35</v>
      </c>
      <c r="P55" s="14">
        <v>10.86</v>
      </c>
      <c r="Q55" s="20"/>
      <c r="R55" s="5">
        <v>10.72</v>
      </c>
      <c r="S55" s="4" t="s">
        <v>35</v>
      </c>
      <c r="T55" s="14">
        <v>64.319999999999993</v>
      </c>
      <c r="U55" s="20"/>
      <c r="X55" t="s">
        <v>0</v>
      </c>
      <c r="Y55" t="s">
        <v>0</v>
      </c>
    </row>
    <row r="56" spans="1:25" x14ac:dyDescent="0.35">
      <c r="A56" s="12"/>
      <c r="B56" t="s">
        <v>104</v>
      </c>
      <c r="F56" t="s">
        <v>105</v>
      </c>
      <c r="G56" s="1" t="s">
        <v>80</v>
      </c>
      <c r="H56" s="1" t="s">
        <v>93</v>
      </c>
      <c r="I56" s="1" t="s">
        <v>70</v>
      </c>
      <c r="J56" t="s">
        <v>106</v>
      </c>
      <c r="K56" s="20"/>
      <c r="L56" s="1">
        <v>6</v>
      </c>
      <c r="M56" s="20"/>
      <c r="N56" s="3">
        <v>505</v>
      </c>
      <c r="O56" s="4" t="s">
        <v>50</v>
      </c>
      <c r="P56" s="14">
        <v>30.3</v>
      </c>
      <c r="Q56" s="20"/>
      <c r="R56" s="5">
        <v>8.9600000000000009</v>
      </c>
      <c r="S56" s="4" t="s">
        <v>35</v>
      </c>
      <c r="T56" s="14">
        <v>53.76</v>
      </c>
      <c r="U56" s="20"/>
      <c r="X56" t="s">
        <v>0</v>
      </c>
      <c r="Y56" t="s">
        <v>0</v>
      </c>
    </row>
    <row r="57" spans="1:25" x14ac:dyDescent="0.35">
      <c r="A57" s="12"/>
      <c r="C57" t="s">
        <v>0</v>
      </c>
      <c r="D57" s="1" t="s">
        <v>0</v>
      </c>
      <c r="E57" t="s">
        <v>0</v>
      </c>
      <c r="F57" t="s">
        <v>0</v>
      </c>
      <c r="G57" s="1" t="s">
        <v>0</v>
      </c>
      <c r="H57" s="1" t="s">
        <v>0</v>
      </c>
      <c r="I57" s="1" t="s">
        <v>0</v>
      </c>
      <c r="J57" t="s">
        <v>0</v>
      </c>
      <c r="K57" s="20" t="s">
        <v>0</v>
      </c>
      <c r="L57" s="1" t="s">
        <v>0</v>
      </c>
      <c r="M57" s="20" t="s">
        <v>0</v>
      </c>
      <c r="N57" s="3" t="s">
        <v>0</v>
      </c>
      <c r="O57" s="4" t="s">
        <v>0</v>
      </c>
      <c r="P57" s="14" t="s">
        <v>0</v>
      </c>
      <c r="Q57" s="20" t="s">
        <v>0</v>
      </c>
      <c r="R57" s="5" t="s">
        <v>0</v>
      </c>
      <c r="S57" s="4" t="s">
        <v>0</v>
      </c>
      <c r="T57" s="14" t="s">
        <v>0</v>
      </c>
      <c r="U57" s="20" t="s">
        <v>0</v>
      </c>
      <c r="V57" s="2" t="s">
        <v>0</v>
      </c>
      <c r="W57" s="2" t="s">
        <v>0</v>
      </c>
      <c r="X57" t="s">
        <v>0</v>
      </c>
      <c r="Y57" t="s">
        <v>0</v>
      </c>
    </row>
    <row r="58" spans="1:25" x14ac:dyDescent="0.35">
      <c r="A58" s="12"/>
      <c r="B58" t="s">
        <v>107</v>
      </c>
      <c r="D58" s="1">
        <v>25</v>
      </c>
      <c r="E58" t="s">
        <v>45</v>
      </c>
      <c r="F58" t="s">
        <v>108</v>
      </c>
      <c r="G58" s="1" t="s">
        <v>80</v>
      </c>
      <c r="H58" s="1" t="s">
        <v>109</v>
      </c>
      <c r="I58" s="1" t="s">
        <v>70</v>
      </c>
      <c r="J58" t="s">
        <v>110</v>
      </c>
      <c r="K58" s="20"/>
      <c r="L58" s="1">
        <v>1</v>
      </c>
      <c r="M58" s="20"/>
      <c r="N58" s="3">
        <v>101</v>
      </c>
      <c r="O58" s="4" t="s">
        <v>50</v>
      </c>
      <c r="Q58" s="20"/>
      <c r="R58" s="5">
        <v>43.98</v>
      </c>
      <c r="S58" s="4" t="s">
        <v>36</v>
      </c>
      <c r="U58" s="20"/>
      <c r="X58" t="s">
        <v>0</v>
      </c>
      <c r="Y58" t="s">
        <v>0</v>
      </c>
    </row>
    <row r="59" spans="1:25" x14ac:dyDescent="0.35">
      <c r="A59" s="12"/>
      <c r="F59" t="s">
        <v>108</v>
      </c>
      <c r="G59" s="1" t="s">
        <v>80</v>
      </c>
      <c r="H59" s="1" t="s">
        <v>109</v>
      </c>
      <c r="I59" s="1" t="s">
        <v>70</v>
      </c>
      <c r="J59" s="6" t="s">
        <v>51</v>
      </c>
      <c r="K59" s="20"/>
      <c r="L59" s="1">
        <f>D58*L58</f>
        <v>25</v>
      </c>
      <c r="M59" s="20"/>
      <c r="N59" s="3">
        <f>IF(ISBLANK(V58),IF(O58="C",N58/100,N58),IF(O58="C",N58/100/V58,N58/V58))</f>
        <v>1.01</v>
      </c>
      <c r="O59" s="4" t="s">
        <v>45</v>
      </c>
      <c r="P59" s="14">
        <f>(N59*L59)</f>
        <v>25.25</v>
      </c>
      <c r="Q59" s="20"/>
      <c r="R59" s="5">
        <f>IF(S58="C",R58/D58/100,R58/D58)</f>
        <v>1.7591999999999999</v>
      </c>
      <c r="S59" s="4" t="s">
        <v>45</v>
      </c>
      <c r="T59" s="14">
        <f>R59*L59</f>
        <v>43.98</v>
      </c>
      <c r="U59" s="20"/>
      <c r="W59" s="2" t="s">
        <v>0</v>
      </c>
      <c r="X59" t="s">
        <v>0</v>
      </c>
      <c r="Y59" t="s">
        <v>0</v>
      </c>
    </row>
    <row r="60" spans="1:25" x14ac:dyDescent="0.35">
      <c r="A60" s="12"/>
      <c r="C60" t="s">
        <v>0</v>
      </c>
      <c r="D60" s="1" t="s">
        <v>0</v>
      </c>
      <c r="E60" t="s">
        <v>0</v>
      </c>
      <c r="F60" t="s">
        <v>0</v>
      </c>
      <c r="G60" s="1" t="s">
        <v>0</v>
      </c>
      <c r="H60" s="1" t="s">
        <v>0</v>
      </c>
      <c r="I60" s="1" t="s">
        <v>0</v>
      </c>
      <c r="J60" t="s">
        <v>0</v>
      </c>
      <c r="K60" s="20" t="s">
        <v>0</v>
      </c>
      <c r="L60" s="1" t="s">
        <v>0</v>
      </c>
      <c r="M60" s="20" t="s">
        <v>0</v>
      </c>
      <c r="N60" s="3" t="s">
        <v>0</v>
      </c>
      <c r="O60" s="4" t="s">
        <v>0</v>
      </c>
      <c r="P60" s="14" t="s">
        <v>0</v>
      </c>
      <c r="Q60" s="20" t="s">
        <v>0</v>
      </c>
      <c r="R60" s="5" t="s">
        <v>0</v>
      </c>
      <c r="S60" s="4" t="s">
        <v>0</v>
      </c>
      <c r="T60" s="14" t="s">
        <v>0</v>
      </c>
      <c r="U60" s="20" t="s">
        <v>0</v>
      </c>
      <c r="V60" s="2" t="s">
        <v>0</v>
      </c>
      <c r="W60" s="2" t="s">
        <v>0</v>
      </c>
      <c r="X60" t="s">
        <v>0</v>
      </c>
      <c r="Y60" t="s">
        <v>0</v>
      </c>
    </row>
    <row r="61" spans="1:25" x14ac:dyDescent="0.35">
      <c r="A61" s="12"/>
      <c r="B61" t="s">
        <v>111</v>
      </c>
      <c r="D61" s="1">
        <v>25</v>
      </c>
      <c r="E61" t="s">
        <v>45</v>
      </c>
      <c r="F61" t="s">
        <v>112</v>
      </c>
      <c r="G61" s="1" t="s">
        <v>80</v>
      </c>
      <c r="H61" s="1" t="s">
        <v>109</v>
      </c>
      <c r="I61" s="1" t="s">
        <v>70</v>
      </c>
      <c r="J61" t="s">
        <v>113</v>
      </c>
      <c r="K61" s="20"/>
      <c r="L61" s="1">
        <v>1</v>
      </c>
      <c r="M61" s="20"/>
      <c r="N61" s="3">
        <v>102</v>
      </c>
      <c r="O61" s="4" t="s">
        <v>50</v>
      </c>
      <c r="Q61" s="20"/>
      <c r="R61" s="5">
        <v>48.94</v>
      </c>
      <c r="S61" s="4" t="s">
        <v>36</v>
      </c>
      <c r="U61" s="20"/>
      <c r="X61" t="s">
        <v>0</v>
      </c>
      <c r="Y61" t="s">
        <v>0</v>
      </c>
    </row>
    <row r="62" spans="1:25" x14ac:dyDescent="0.35">
      <c r="A62" s="12"/>
      <c r="F62" t="s">
        <v>112</v>
      </c>
      <c r="G62" s="1" t="s">
        <v>80</v>
      </c>
      <c r="H62" s="1" t="s">
        <v>109</v>
      </c>
      <c r="I62" s="1" t="s">
        <v>70</v>
      </c>
      <c r="J62" s="6" t="s">
        <v>51</v>
      </c>
      <c r="K62" s="20"/>
      <c r="L62" s="1">
        <f>D61*L61</f>
        <v>25</v>
      </c>
      <c r="M62" s="20"/>
      <c r="N62" s="3">
        <f>IF(ISBLANK(V61),IF(O61="C",N61/100,N61),IF(O61="C",N61/100/V61,N61/V61))</f>
        <v>1.02</v>
      </c>
      <c r="O62" s="4" t="s">
        <v>45</v>
      </c>
      <c r="P62" s="14">
        <f>(N62*L62)</f>
        <v>25.5</v>
      </c>
      <c r="Q62" s="20"/>
      <c r="R62" s="5">
        <f>IF(S61="C",R61/D61/100,R61/D61)</f>
        <v>1.9576</v>
      </c>
      <c r="S62" s="4" t="s">
        <v>45</v>
      </c>
      <c r="T62" s="14">
        <f>R62*L62</f>
        <v>48.94</v>
      </c>
      <c r="U62" s="20"/>
      <c r="W62" s="2" t="s">
        <v>0</v>
      </c>
      <c r="X62" t="s">
        <v>0</v>
      </c>
      <c r="Y62" t="s">
        <v>0</v>
      </c>
    </row>
    <row r="63" spans="1:25" x14ac:dyDescent="0.35">
      <c r="A63" s="12"/>
      <c r="C63" t="s">
        <v>0</v>
      </c>
      <c r="D63" s="1" t="s">
        <v>0</v>
      </c>
      <c r="E63" t="s">
        <v>0</v>
      </c>
      <c r="F63" t="s">
        <v>0</v>
      </c>
      <c r="G63" s="1" t="s">
        <v>0</v>
      </c>
      <c r="H63" s="1" t="s">
        <v>0</v>
      </c>
      <c r="I63" s="1" t="s">
        <v>0</v>
      </c>
      <c r="J63" t="s">
        <v>0</v>
      </c>
      <c r="K63" s="20" t="s">
        <v>0</v>
      </c>
      <c r="L63" s="1" t="s">
        <v>0</v>
      </c>
      <c r="M63" s="20" t="s">
        <v>0</v>
      </c>
      <c r="N63" s="3" t="s">
        <v>0</v>
      </c>
      <c r="O63" s="4" t="s">
        <v>0</v>
      </c>
      <c r="P63" s="14" t="s">
        <v>0</v>
      </c>
      <c r="Q63" s="20" t="s">
        <v>0</v>
      </c>
      <c r="R63" s="5" t="s">
        <v>0</v>
      </c>
      <c r="S63" s="4" t="s">
        <v>0</v>
      </c>
      <c r="T63" s="14" t="s">
        <v>0</v>
      </c>
      <c r="U63" s="20" t="s">
        <v>0</v>
      </c>
      <c r="V63" s="2" t="s">
        <v>0</v>
      </c>
      <c r="W63" s="2" t="s">
        <v>0</v>
      </c>
      <c r="X63" t="s">
        <v>0</v>
      </c>
      <c r="Y63" t="s">
        <v>0</v>
      </c>
    </row>
    <row r="64" spans="1:25" x14ac:dyDescent="0.35">
      <c r="A64" s="12"/>
      <c r="B64" t="s">
        <v>114</v>
      </c>
      <c r="F64" t="s">
        <v>115</v>
      </c>
      <c r="G64" s="1" t="s">
        <v>116</v>
      </c>
      <c r="H64" s="1" t="s">
        <v>86</v>
      </c>
      <c r="I64" s="1" t="s">
        <v>50</v>
      </c>
      <c r="J64" t="s">
        <v>117</v>
      </c>
      <c r="K64" s="20"/>
      <c r="L64" s="1">
        <v>6</v>
      </c>
      <c r="M64" s="20"/>
      <c r="N64" s="3">
        <v>120</v>
      </c>
      <c r="O64" s="4" t="s">
        <v>50</v>
      </c>
      <c r="P64" s="14">
        <v>7.2</v>
      </c>
      <c r="Q64" s="20"/>
      <c r="R64" s="5">
        <v>4.1900000000000004</v>
      </c>
      <c r="S64" s="4" t="s">
        <v>35</v>
      </c>
      <c r="T64" s="14">
        <v>25.14</v>
      </c>
      <c r="U64" s="20"/>
      <c r="X64" t="s">
        <v>0</v>
      </c>
      <c r="Y64" t="s">
        <v>0</v>
      </c>
    </row>
    <row r="65" spans="1:25" x14ac:dyDescent="0.35">
      <c r="A65" s="12"/>
      <c r="B65" t="s">
        <v>118</v>
      </c>
      <c r="F65" t="s">
        <v>119</v>
      </c>
      <c r="G65" s="1" t="s">
        <v>116</v>
      </c>
      <c r="H65" s="1" t="s">
        <v>86</v>
      </c>
      <c r="I65" s="1" t="s">
        <v>50</v>
      </c>
      <c r="J65" t="s">
        <v>120</v>
      </c>
      <c r="K65" s="20"/>
      <c r="L65" s="1">
        <v>6</v>
      </c>
      <c r="M65" s="20"/>
      <c r="N65" s="3">
        <v>133</v>
      </c>
      <c r="O65" s="4" t="s">
        <v>50</v>
      </c>
      <c r="P65" s="14">
        <v>7.98</v>
      </c>
      <c r="Q65" s="20"/>
      <c r="R65" s="5">
        <v>4.29</v>
      </c>
      <c r="S65" s="4" t="s">
        <v>35</v>
      </c>
      <c r="T65" s="14">
        <v>25.74</v>
      </c>
      <c r="U65" s="20"/>
      <c r="X65" t="s">
        <v>0</v>
      </c>
      <c r="Y65" t="s">
        <v>0</v>
      </c>
    </row>
    <row r="66" spans="1:25" x14ac:dyDescent="0.35">
      <c r="A66" s="12"/>
      <c r="B66" t="s">
        <v>121</v>
      </c>
      <c r="F66" t="s">
        <v>122</v>
      </c>
      <c r="G66" s="1" t="s">
        <v>116</v>
      </c>
      <c r="H66" s="1" t="s">
        <v>86</v>
      </c>
      <c r="I66" s="1" t="s">
        <v>24</v>
      </c>
      <c r="J66" t="s">
        <v>123</v>
      </c>
      <c r="K66" s="20"/>
      <c r="L66" s="1">
        <v>6</v>
      </c>
      <c r="M66" s="20"/>
      <c r="N66" s="3">
        <v>171</v>
      </c>
      <c r="O66" s="4" t="s">
        <v>50</v>
      </c>
      <c r="P66" s="14">
        <v>10.26</v>
      </c>
      <c r="Q66" s="20"/>
      <c r="R66" s="5">
        <v>5.94</v>
      </c>
      <c r="S66" s="4" t="s">
        <v>35</v>
      </c>
      <c r="T66" s="14">
        <v>35.64</v>
      </c>
      <c r="U66" s="20"/>
      <c r="X66" t="s">
        <v>0</v>
      </c>
      <c r="Y66" t="s">
        <v>0</v>
      </c>
    </row>
    <row r="67" spans="1:25" x14ac:dyDescent="0.35">
      <c r="A67" s="12"/>
      <c r="B67" t="s">
        <v>124</v>
      </c>
      <c r="F67" t="s">
        <v>125</v>
      </c>
      <c r="G67" s="1" t="s">
        <v>116</v>
      </c>
      <c r="H67" s="1" t="s">
        <v>86</v>
      </c>
      <c r="I67" s="1" t="s">
        <v>24</v>
      </c>
      <c r="J67" t="s">
        <v>126</v>
      </c>
      <c r="K67" s="20"/>
      <c r="L67" s="1">
        <v>6</v>
      </c>
      <c r="M67" s="20"/>
      <c r="N67" s="3">
        <v>223</v>
      </c>
      <c r="O67" s="4" t="s">
        <v>50</v>
      </c>
      <c r="P67" s="14">
        <v>13.38</v>
      </c>
      <c r="Q67" s="20"/>
      <c r="R67" s="5">
        <v>6.5</v>
      </c>
      <c r="S67" s="4" t="s">
        <v>35</v>
      </c>
      <c r="T67" s="14">
        <v>39</v>
      </c>
      <c r="U67" s="20"/>
      <c r="X67" t="s">
        <v>0</v>
      </c>
      <c r="Y67" t="s">
        <v>0</v>
      </c>
    </row>
    <row r="68" spans="1:25" x14ac:dyDescent="0.35">
      <c r="A68" s="12"/>
      <c r="B68" t="s">
        <v>127</v>
      </c>
      <c r="F68" t="s">
        <v>128</v>
      </c>
      <c r="G68" s="1" t="s">
        <v>116</v>
      </c>
      <c r="H68" s="1" t="s">
        <v>86</v>
      </c>
      <c r="I68" s="1" t="s">
        <v>24</v>
      </c>
      <c r="J68" t="s">
        <v>129</v>
      </c>
      <c r="K68" s="20"/>
      <c r="L68" s="1">
        <v>6</v>
      </c>
      <c r="M68" s="20"/>
      <c r="N68" s="3">
        <v>2.31</v>
      </c>
      <c r="O68" s="4" t="s">
        <v>35</v>
      </c>
      <c r="P68" s="14">
        <v>13.86</v>
      </c>
      <c r="Q68" s="20"/>
      <c r="R68" s="5">
        <v>6.53</v>
      </c>
      <c r="S68" s="4" t="s">
        <v>35</v>
      </c>
      <c r="T68" s="14">
        <v>39.18</v>
      </c>
      <c r="U68" s="20"/>
      <c r="X68" t="s">
        <v>0</v>
      </c>
      <c r="Y68" t="s">
        <v>0</v>
      </c>
    </row>
    <row r="69" spans="1:25" x14ac:dyDescent="0.35">
      <c r="A69" s="12"/>
      <c r="B69" t="s">
        <v>130</v>
      </c>
      <c r="F69" t="s">
        <v>131</v>
      </c>
      <c r="G69" s="1" t="s">
        <v>116</v>
      </c>
      <c r="H69" s="1" t="s">
        <v>86</v>
      </c>
      <c r="I69" s="1" t="s">
        <v>132</v>
      </c>
      <c r="J69" t="s">
        <v>133</v>
      </c>
      <c r="K69" s="20"/>
      <c r="L69" s="1">
        <v>6</v>
      </c>
      <c r="M69" s="20"/>
      <c r="N69" s="3">
        <v>3.34</v>
      </c>
      <c r="O69" s="4" t="s">
        <v>35</v>
      </c>
      <c r="P69" s="14">
        <v>20.04</v>
      </c>
      <c r="Q69" s="20"/>
      <c r="R69" s="5">
        <v>8.74</v>
      </c>
      <c r="S69" s="4" t="s">
        <v>35</v>
      </c>
      <c r="T69" s="14">
        <v>52.44</v>
      </c>
      <c r="U69" s="20"/>
      <c r="X69" t="s">
        <v>0</v>
      </c>
      <c r="Y69" t="s">
        <v>0</v>
      </c>
    </row>
    <row r="70" spans="1:25" x14ac:dyDescent="0.35">
      <c r="A70" s="12"/>
      <c r="B70" t="s">
        <v>134</v>
      </c>
      <c r="F70" t="s">
        <v>135</v>
      </c>
      <c r="G70" s="1" t="s">
        <v>116</v>
      </c>
      <c r="H70" s="1" t="s">
        <v>86</v>
      </c>
      <c r="I70" s="1" t="s">
        <v>24</v>
      </c>
      <c r="J70" t="s">
        <v>136</v>
      </c>
      <c r="K70" s="20"/>
      <c r="L70" s="1">
        <v>6</v>
      </c>
      <c r="M70" s="20"/>
      <c r="N70" s="3">
        <v>3.69</v>
      </c>
      <c r="O70" s="4" t="s">
        <v>35</v>
      </c>
      <c r="P70" s="14">
        <v>22.14</v>
      </c>
      <c r="Q70" s="20"/>
      <c r="R70" s="5">
        <v>8.86</v>
      </c>
      <c r="S70" s="4" t="s">
        <v>35</v>
      </c>
      <c r="T70" s="14">
        <v>53.16</v>
      </c>
      <c r="U70" s="20"/>
      <c r="X70" t="s">
        <v>0</v>
      </c>
      <c r="Y70" t="s">
        <v>0</v>
      </c>
    </row>
    <row r="71" spans="1:25" x14ac:dyDescent="0.35">
      <c r="A71" s="12"/>
      <c r="B71" t="s">
        <v>137</v>
      </c>
      <c r="F71" t="s">
        <v>138</v>
      </c>
      <c r="G71" s="1" t="s">
        <v>116</v>
      </c>
      <c r="H71" s="1" t="s">
        <v>86</v>
      </c>
      <c r="I71" s="1" t="s">
        <v>24</v>
      </c>
      <c r="J71" t="s">
        <v>139</v>
      </c>
      <c r="K71" s="20"/>
      <c r="L71" s="1">
        <v>6</v>
      </c>
      <c r="M71" s="20"/>
      <c r="N71" s="3">
        <v>4.3600000000000003</v>
      </c>
      <c r="O71" s="4" t="s">
        <v>35</v>
      </c>
      <c r="P71" s="14">
        <v>26.16</v>
      </c>
      <c r="Q71" s="20"/>
      <c r="R71" s="5">
        <v>11.87</v>
      </c>
      <c r="S71" s="4" t="s">
        <v>35</v>
      </c>
      <c r="T71" s="14">
        <v>71.22</v>
      </c>
      <c r="U71" s="20"/>
      <c r="X71" t="s">
        <v>0</v>
      </c>
      <c r="Y71" t="s">
        <v>0</v>
      </c>
    </row>
    <row r="72" spans="1:25" x14ac:dyDescent="0.35">
      <c r="A72" s="12"/>
      <c r="B72" t="s">
        <v>140</v>
      </c>
      <c r="F72" t="s">
        <v>141</v>
      </c>
      <c r="G72" s="1" t="s">
        <v>116</v>
      </c>
      <c r="H72" s="1" t="s">
        <v>86</v>
      </c>
      <c r="I72" s="1" t="s">
        <v>132</v>
      </c>
      <c r="J72" t="s">
        <v>142</v>
      </c>
      <c r="K72" s="20"/>
      <c r="L72" s="1">
        <v>6</v>
      </c>
      <c r="M72" s="20"/>
      <c r="N72" s="3">
        <v>4.82</v>
      </c>
      <c r="O72" s="4" t="s">
        <v>35</v>
      </c>
      <c r="P72" s="14">
        <v>28.92</v>
      </c>
      <c r="Q72" s="20"/>
      <c r="R72" s="5">
        <v>12.96</v>
      </c>
      <c r="S72" s="4" t="s">
        <v>35</v>
      </c>
      <c r="T72" s="14">
        <v>77.760000000000005</v>
      </c>
      <c r="U72" s="20"/>
      <c r="X72" t="s">
        <v>0</v>
      </c>
      <c r="Y72" t="s">
        <v>0</v>
      </c>
    </row>
    <row r="73" spans="1:25" x14ac:dyDescent="0.35">
      <c r="A73" s="12"/>
      <c r="B73" t="s">
        <v>143</v>
      </c>
      <c r="F73" t="s">
        <v>144</v>
      </c>
      <c r="G73" s="1" t="s">
        <v>116</v>
      </c>
      <c r="H73" s="1" t="s">
        <v>86</v>
      </c>
      <c r="I73" s="1" t="s">
        <v>24</v>
      </c>
      <c r="J73" t="s">
        <v>145</v>
      </c>
      <c r="K73" s="20"/>
      <c r="L73" s="1">
        <v>3</v>
      </c>
      <c r="M73" s="20"/>
      <c r="N73" s="3">
        <v>9.42</v>
      </c>
      <c r="O73" s="4" t="s">
        <v>35</v>
      </c>
      <c r="P73" s="14">
        <v>28.26</v>
      </c>
      <c r="Q73" s="20"/>
      <c r="R73" s="5">
        <v>20.09</v>
      </c>
      <c r="S73" s="4" t="s">
        <v>35</v>
      </c>
      <c r="T73" s="14">
        <v>60.27</v>
      </c>
      <c r="U73" s="20"/>
      <c r="X73" t="s">
        <v>0</v>
      </c>
      <c r="Y73" t="s">
        <v>0</v>
      </c>
    </row>
    <row r="74" spans="1:25" x14ac:dyDescent="0.35">
      <c r="A74" s="12"/>
      <c r="C74" t="s">
        <v>0</v>
      </c>
      <c r="D74" s="1" t="s">
        <v>0</v>
      </c>
      <c r="E74" t="s">
        <v>0</v>
      </c>
      <c r="F74" t="s">
        <v>0</v>
      </c>
      <c r="G74" s="1" t="s">
        <v>0</v>
      </c>
      <c r="H74" s="1" t="s">
        <v>0</v>
      </c>
      <c r="I74" s="1" t="s">
        <v>0</v>
      </c>
      <c r="J74" t="s">
        <v>0</v>
      </c>
      <c r="K74" s="20" t="s">
        <v>0</v>
      </c>
      <c r="L74" s="1" t="s">
        <v>0</v>
      </c>
      <c r="M74" s="20" t="s">
        <v>0</v>
      </c>
      <c r="N74" s="3" t="s">
        <v>0</v>
      </c>
      <c r="O74" s="4" t="s">
        <v>0</v>
      </c>
      <c r="P74" s="14" t="s">
        <v>0</v>
      </c>
      <c r="Q74" s="20" t="s">
        <v>0</v>
      </c>
      <c r="R74" s="5" t="s">
        <v>0</v>
      </c>
      <c r="S74" s="4" t="s">
        <v>0</v>
      </c>
      <c r="T74" s="14" t="s">
        <v>0</v>
      </c>
      <c r="U74" s="20" t="s">
        <v>0</v>
      </c>
      <c r="V74" s="2" t="s">
        <v>0</v>
      </c>
      <c r="W74" s="2" t="s">
        <v>0</v>
      </c>
      <c r="X74" t="s">
        <v>0</v>
      </c>
      <c r="Y74" t="s">
        <v>0</v>
      </c>
    </row>
    <row r="75" spans="1:25" x14ac:dyDescent="0.35">
      <c r="A75" s="12"/>
      <c r="B75" t="s">
        <v>146</v>
      </c>
      <c r="D75" s="1">
        <v>50</v>
      </c>
      <c r="E75" t="s">
        <v>45</v>
      </c>
      <c r="F75" t="s">
        <v>147</v>
      </c>
      <c r="G75" s="1" t="s">
        <v>148</v>
      </c>
      <c r="H75" s="1" t="s">
        <v>24</v>
      </c>
      <c r="I75" s="1" t="s">
        <v>24</v>
      </c>
      <c r="J75" t="s">
        <v>149</v>
      </c>
      <c r="K75" s="20"/>
      <c r="L75" s="1">
        <v>1</v>
      </c>
      <c r="M75" s="20"/>
      <c r="N75" s="3">
        <v>2.68</v>
      </c>
      <c r="O75" s="4" t="s">
        <v>50</v>
      </c>
      <c r="Q75" s="20"/>
      <c r="R75" s="5">
        <v>4.3600000000000003</v>
      </c>
      <c r="S75" s="4" t="s">
        <v>36</v>
      </c>
      <c r="U75" s="20"/>
      <c r="X75" t="s">
        <v>0</v>
      </c>
      <c r="Y75" t="s">
        <v>0</v>
      </c>
    </row>
    <row r="76" spans="1:25" x14ac:dyDescent="0.35">
      <c r="A76" s="12"/>
      <c r="F76" t="s">
        <v>147</v>
      </c>
      <c r="G76" s="1" t="s">
        <v>148</v>
      </c>
      <c r="H76" s="1" t="s">
        <v>24</v>
      </c>
      <c r="I76" s="1" t="s">
        <v>24</v>
      </c>
      <c r="J76" s="6" t="s">
        <v>51</v>
      </c>
      <c r="K76" s="20"/>
      <c r="L76" s="1">
        <f>D75*L75</f>
        <v>50</v>
      </c>
      <c r="M76" s="20"/>
      <c r="N76" s="3">
        <f>IF(ISBLANK(V75),IF(O75="C",N75/100,N75),IF(O75="C",N75/100/V75,N75/V75))</f>
        <v>2.6800000000000001E-2</v>
      </c>
      <c r="O76" s="4" t="s">
        <v>45</v>
      </c>
      <c r="P76" s="14">
        <f>(N76*L76)</f>
        <v>1.34</v>
      </c>
      <c r="Q76" s="20"/>
      <c r="R76" s="5">
        <f>IF(S75="C",R75/D75/100,R75/D75)</f>
        <v>8.72E-2</v>
      </c>
      <c r="S76" s="4" t="s">
        <v>45</v>
      </c>
      <c r="T76" s="14">
        <f>R76*L76</f>
        <v>4.3600000000000003</v>
      </c>
      <c r="U76" s="20"/>
      <c r="W76" s="2" t="s">
        <v>0</v>
      </c>
      <c r="X76" t="s">
        <v>0</v>
      </c>
      <c r="Y76" t="s">
        <v>0</v>
      </c>
    </row>
    <row r="77" spans="1:25" x14ac:dyDescent="0.35">
      <c r="A77" s="12"/>
      <c r="C77" t="s">
        <v>0</v>
      </c>
      <c r="D77" s="1" t="s">
        <v>0</v>
      </c>
      <c r="E77" t="s">
        <v>0</v>
      </c>
      <c r="F77" t="s">
        <v>0</v>
      </c>
      <c r="G77" s="1" t="s">
        <v>0</v>
      </c>
      <c r="H77" s="1" t="s">
        <v>0</v>
      </c>
      <c r="I77" s="1" t="s">
        <v>0</v>
      </c>
      <c r="J77" t="s">
        <v>0</v>
      </c>
      <c r="K77" s="20" t="s">
        <v>0</v>
      </c>
      <c r="L77" s="1" t="s">
        <v>0</v>
      </c>
      <c r="M77" s="20" t="s">
        <v>0</v>
      </c>
      <c r="N77" s="3" t="s">
        <v>0</v>
      </c>
      <c r="O77" s="4" t="s">
        <v>0</v>
      </c>
      <c r="P77" s="14" t="s">
        <v>0</v>
      </c>
      <c r="Q77" s="20" t="s">
        <v>0</v>
      </c>
      <c r="R77" s="5" t="s">
        <v>0</v>
      </c>
      <c r="S77" s="4" t="s">
        <v>0</v>
      </c>
      <c r="T77" s="14" t="s">
        <v>0</v>
      </c>
      <c r="U77" s="20" t="s">
        <v>0</v>
      </c>
      <c r="V77" s="2" t="s">
        <v>0</v>
      </c>
      <c r="W77" s="2" t="s">
        <v>0</v>
      </c>
      <c r="X77" t="s">
        <v>0</v>
      </c>
      <c r="Y77" t="s">
        <v>0</v>
      </c>
    </row>
    <row r="78" spans="1:25" x14ac:dyDescent="0.35">
      <c r="A78" s="12"/>
      <c r="B78" t="s">
        <v>150</v>
      </c>
      <c r="D78" s="1">
        <v>50</v>
      </c>
      <c r="E78" t="s">
        <v>45</v>
      </c>
      <c r="F78" t="s">
        <v>151</v>
      </c>
      <c r="G78" s="1" t="s">
        <v>148</v>
      </c>
      <c r="H78" s="1" t="s">
        <v>24</v>
      </c>
      <c r="I78" s="1" t="s">
        <v>24</v>
      </c>
      <c r="J78" t="s">
        <v>152</v>
      </c>
      <c r="K78" s="20"/>
      <c r="L78" s="1">
        <v>1</v>
      </c>
      <c r="M78" s="20"/>
      <c r="N78" s="3">
        <v>3.7</v>
      </c>
      <c r="O78" s="4" t="s">
        <v>50</v>
      </c>
      <c r="Q78" s="20"/>
      <c r="R78" s="5">
        <v>6.45</v>
      </c>
      <c r="S78" s="4" t="s">
        <v>36</v>
      </c>
      <c r="U78" s="20"/>
      <c r="X78" t="s">
        <v>0</v>
      </c>
      <c r="Y78" t="s">
        <v>0</v>
      </c>
    </row>
    <row r="79" spans="1:25" x14ac:dyDescent="0.35">
      <c r="A79" s="12"/>
      <c r="F79" t="s">
        <v>151</v>
      </c>
      <c r="G79" s="1" t="s">
        <v>148</v>
      </c>
      <c r="H79" s="1" t="s">
        <v>24</v>
      </c>
      <c r="I79" s="1" t="s">
        <v>24</v>
      </c>
      <c r="J79" s="6" t="s">
        <v>51</v>
      </c>
      <c r="K79" s="20"/>
      <c r="L79" s="1">
        <f>D78*L78</f>
        <v>50</v>
      </c>
      <c r="M79" s="20"/>
      <c r="N79" s="3">
        <f>IF(ISBLANK(V78),IF(O78="C",N78/100,N78),IF(O78="C",N78/100/V78,N78/V78))</f>
        <v>3.7000000000000005E-2</v>
      </c>
      <c r="O79" s="4" t="s">
        <v>45</v>
      </c>
      <c r="P79" s="14">
        <f>(N79*L79)</f>
        <v>1.8500000000000003</v>
      </c>
      <c r="Q79" s="20"/>
      <c r="R79" s="5">
        <f>IF(S78="C",R78/D78/100,R78/D78)</f>
        <v>0.129</v>
      </c>
      <c r="S79" s="4" t="s">
        <v>45</v>
      </c>
      <c r="T79" s="14">
        <f>R79*L79</f>
        <v>6.45</v>
      </c>
      <c r="U79" s="20"/>
      <c r="W79" s="2" t="s">
        <v>0</v>
      </c>
      <c r="X79" t="s">
        <v>0</v>
      </c>
      <c r="Y79" t="s">
        <v>0</v>
      </c>
    </row>
    <row r="80" spans="1:25" x14ac:dyDescent="0.35">
      <c r="A80" s="12"/>
      <c r="C80" t="s">
        <v>0</v>
      </c>
      <c r="D80" s="1" t="s">
        <v>0</v>
      </c>
      <c r="E80" t="s">
        <v>0</v>
      </c>
      <c r="F80" t="s">
        <v>0</v>
      </c>
      <c r="G80" s="1" t="s">
        <v>0</v>
      </c>
      <c r="H80" s="1" t="s">
        <v>0</v>
      </c>
      <c r="I80" s="1" t="s">
        <v>0</v>
      </c>
      <c r="J80" t="s">
        <v>0</v>
      </c>
      <c r="K80" s="20" t="s">
        <v>0</v>
      </c>
      <c r="L80" s="1" t="s">
        <v>0</v>
      </c>
      <c r="M80" s="20" t="s">
        <v>0</v>
      </c>
      <c r="N80" s="3" t="s">
        <v>0</v>
      </c>
      <c r="O80" s="4" t="s">
        <v>0</v>
      </c>
      <c r="P80" s="14" t="s">
        <v>0</v>
      </c>
      <c r="Q80" s="20" t="s">
        <v>0</v>
      </c>
      <c r="R80" s="5" t="s">
        <v>0</v>
      </c>
      <c r="S80" s="4" t="s">
        <v>0</v>
      </c>
      <c r="T80" s="14" t="s">
        <v>0</v>
      </c>
      <c r="U80" s="20" t="s">
        <v>0</v>
      </c>
      <c r="V80" s="2" t="s">
        <v>0</v>
      </c>
      <c r="W80" s="2" t="s">
        <v>0</v>
      </c>
      <c r="X80" t="s">
        <v>0</v>
      </c>
      <c r="Y80" t="s">
        <v>0</v>
      </c>
    </row>
    <row r="81" spans="1:25" x14ac:dyDescent="0.35">
      <c r="A81" s="12"/>
      <c r="B81" t="s">
        <v>153</v>
      </c>
      <c r="D81" s="1">
        <v>50</v>
      </c>
      <c r="E81" t="s">
        <v>45</v>
      </c>
      <c r="F81" t="s">
        <v>154</v>
      </c>
      <c r="G81" s="1" t="s">
        <v>148</v>
      </c>
      <c r="H81" s="1" t="s">
        <v>24</v>
      </c>
      <c r="I81" s="1" t="s">
        <v>24</v>
      </c>
      <c r="J81" t="s">
        <v>155</v>
      </c>
      <c r="K81" s="20"/>
      <c r="L81" s="1">
        <v>1</v>
      </c>
      <c r="M81" s="20"/>
      <c r="N81" s="3">
        <v>4.43</v>
      </c>
      <c r="O81" s="4" t="s">
        <v>50</v>
      </c>
      <c r="Q81" s="20"/>
      <c r="R81" s="5">
        <v>7.94</v>
      </c>
      <c r="S81" s="4" t="s">
        <v>36</v>
      </c>
      <c r="U81" s="20"/>
      <c r="X81" t="s">
        <v>0</v>
      </c>
      <c r="Y81" t="s">
        <v>0</v>
      </c>
    </row>
    <row r="82" spans="1:25" x14ac:dyDescent="0.35">
      <c r="A82" s="12"/>
      <c r="F82" t="s">
        <v>154</v>
      </c>
      <c r="G82" s="1" t="s">
        <v>148</v>
      </c>
      <c r="H82" s="1" t="s">
        <v>24</v>
      </c>
      <c r="I82" s="1" t="s">
        <v>24</v>
      </c>
      <c r="J82" s="6" t="s">
        <v>51</v>
      </c>
      <c r="K82" s="20"/>
      <c r="L82" s="1">
        <f>D81*L81</f>
        <v>50</v>
      </c>
      <c r="M82" s="20"/>
      <c r="N82" s="3">
        <f>IF(ISBLANK(V81),IF(O81="C",N81/100,N81),IF(O81="C",N81/100/V81,N81/V81))</f>
        <v>4.4299999999999999E-2</v>
      </c>
      <c r="O82" s="4" t="s">
        <v>45</v>
      </c>
      <c r="P82" s="14">
        <f>(N82*L82)</f>
        <v>2.2149999999999999</v>
      </c>
      <c r="Q82" s="20"/>
      <c r="R82" s="5">
        <f>IF(S81="C",R81/D81/100,R81/D81)</f>
        <v>0.1588</v>
      </c>
      <c r="S82" s="4" t="s">
        <v>45</v>
      </c>
      <c r="T82" s="14">
        <f>R82*L82</f>
        <v>7.9399999999999995</v>
      </c>
      <c r="U82" s="20"/>
      <c r="W82" s="2" t="s">
        <v>0</v>
      </c>
      <c r="X82" t="s">
        <v>0</v>
      </c>
      <c r="Y82" t="s">
        <v>0</v>
      </c>
    </row>
    <row r="83" spans="1:25" x14ac:dyDescent="0.35">
      <c r="A83" s="12"/>
      <c r="C83" t="s">
        <v>0</v>
      </c>
      <c r="D83" s="1" t="s">
        <v>0</v>
      </c>
      <c r="E83" t="s">
        <v>0</v>
      </c>
      <c r="F83" t="s">
        <v>0</v>
      </c>
      <c r="G83" s="1" t="s">
        <v>0</v>
      </c>
      <c r="H83" s="1" t="s">
        <v>0</v>
      </c>
      <c r="I83" s="1" t="s">
        <v>0</v>
      </c>
      <c r="J83" t="s">
        <v>0</v>
      </c>
      <c r="K83" s="20" t="s">
        <v>0</v>
      </c>
      <c r="L83" s="1" t="s">
        <v>0</v>
      </c>
      <c r="M83" s="20" t="s">
        <v>0</v>
      </c>
      <c r="N83" s="3" t="s">
        <v>0</v>
      </c>
      <c r="O83" s="4" t="s">
        <v>0</v>
      </c>
      <c r="P83" s="14" t="s">
        <v>0</v>
      </c>
      <c r="Q83" s="20" t="s">
        <v>0</v>
      </c>
      <c r="R83" s="5" t="s">
        <v>0</v>
      </c>
      <c r="S83" s="4" t="s">
        <v>0</v>
      </c>
      <c r="T83" s="14" t="s">
        <v>0</v>
      </c>
      <c r="U83" s="20" t="s">
        <v>0</v>
      </c>
      <c r="V83" s="2" t="s">
        <v>0</v>
      </c>
      <c r="W83" s="2" t="s">
        <v>0</v>
      </c>
      <c r="X83" t="s">
        <v>0</v>
      </c>
      <c r="Y83" t="s">
        <v>0</v>
      </c>
    </row>
    <row r="84" spans="1:25" x14ac:dyDescent="0.35">
      <c r="A84" s="12"/>
      <c r="B84" t="s">
        <v>156</v>
      </c>
      <c r="D84" s="1">
        <v>50</v>
      </c>
      <c r="E84" t="s">
        <v>45</v>
      </c>
      <c r="F84" t="s">
        <v>157</v>
      </c>
      <c r="G84" s="1" t="s">
        <v>148</v>
      </c>
      <c r="H84" s="1" t="s">
        <v>24</v>
      </c>
      <c r="I84" s="1" t="s">
        <v>24</v>
      </c>
      <c r="J84" t="s">
        <v>158</v>
      </c>
      <c r="K84" s="20"/>
      <c r="L84" s="1">
        <v>1</v>
      </c>
      <c r="M84" s="20"/>
      <c r="N84" s="3">
        <v>2.1800000000000002</v>
      </c>
      <c r="O84" s="4" t="s">
        <v>50</v>
      </c>
      <c r="Q84" s="20"/>
      <c r="R84" s="5">
        <v>4.17</v>
      </c>
      <c r="S84" s="4" t="s">
        <v>36</v>
      </c>
      <c r="U84" s="20"/>
      <c r="X84" t="s">
        <v>0</v>
      </c>
      <c r="Y84" t="s">
        <v>0</v>
      </c>
    </row>
    <row r="85" spans="1:25" x14ac:dyDescent="0.35">
      <c r="A85" s="12"/>
      <c r="F85" t="s">
        <v>157</v>
      </c>
      <c r="G85" s="1" t="s">
        <v>148</v>
      </c>
      <c r="H85" s="1" t="s">
        <v>24</v>
      </c>
      <c r="I85" s="1" t="s">
        <v>24</v>
      </c>
      <c r="J85" s="6" t="s">
        <v>51</v>
      </c>
      <c r="K85" s="20"/>
      <c r="L85" s="1">
        <f>D84*L84</f>
        <v>50</v>
      </c>
      <c r="M85" s="20"/>
      <c r="N85" s="3">
        <f>IF(ISBLANK(V84),IF(O84="C",N84/100,N84),IF(O84="C",N84/100/V84,N84/V84))</f>
        <v>2.18E-2</v>
      </c>
      <c r="O85" s="4" t="s">
        <v>45</v>
      </c>
      <c r="P85" s="14">
        <f>(N85*L85)</f>
        <v>1.0900000000000001</v>
      </c>
      <c r="Q85" s="20"/>
      <c r="R85" s="5">
        <f>IF(S84="C",R84/D84/100,R84/D84)</f>
        <v>8.3400000000000002E-2</v>
      </c>
      <c r="S85" s="4" t="s">
        <v>45</v>
      </c>
      <c r="T85" s="14">
        <f>R85*L85</f>
        <v>4.17</v>
      </c>
      <c r="U85" s="20"/>
      <c r="W85" s="2" t="s">
        <v>0</v>
      </c>
      <c r="X85" t="s">
        <v>0</v>
      </c>
      <c r="Y85" t="s">
        <v>0</v>
      </c>
    </row>
    <row r="86" spans="1:25" x14ac:dyDescent="0.35">
      <c r="A86" s="12"/>
      <c r="C86" t="s">
        <v>0</v>
      </c>
      <c r="D86" s="1" t="s">
        <v>0</v>
      </c>
      <c r="E86" t="s">
        <v>0</v>
      </c>
      <c r="F86" t="s">
        <v>0</v>
      </c>
      <c r="G86" s="1" t="s">
        <v>0</v>
      </c>
      <c r="H86" s="1" t="s">
        <v>0</v>
      </c>
      <c r="I86" s="1" t="s">
        <v>0</v>
      </c>
      <c r="J86" t="s">
        <v>0</v>
      </c>
      <c r="K86" s="20" t="s">
        <v>0</v>
      </c>
      <c r="L86" s="1" t="s">
        <v>0</v>
      </c>
      <c r="M86" s="20" t="s">
        <v>0</v>
      </c>
      <c r="N86" s="3" t="s">
        <v>0</v>
      </c>
      <c r="O86" s="4" t="s">
        <v>0</v>
      </c>
      <c r="P86" s="14" t="s">
        <v>0</v>
      </c>
      <c r="Q86" s="20" t="s">
        <v>0</v>
      </c>
      <c r="R86" s="5" t="s">
        <v>0</v>
      </c>
      <c r="S86" s="4" t="s">
        <v>0</v>
      </c>
      <c r="T86" s="14" t="s">
        <v>0</v>
      </c>
      <c r="U86" s="20" t="s">
        <v>0</v>
      </c>
      <c r="V86" s="2" t="s">
        <v>0</v>
      </c>
      <c r="W86" s="2" t="s">
        <v>0</v>
      </c>
      <c r="X86" t="s">
        <v>0</v>
      </c>
      <c r="Y86" t="s">
        <v>0</v>
      </c>
    </row>
    <row r="87" spans="1:25" x14ac:dyDescent="0.35">
      <c r="A87" s="12"/>
      <c r="B87" t="s">
        <v>159</v>
      </c>
      <c r="D87" s="1">
        <v>5</v>
      </c>
      <c r="E87" t="s">
        <v>45</v>
      </c>
      <c r="F87" t="s">
        <v>160</v>
      </c>
      <c r="G87" s="1" t="s">
        <v>161</v>
      </c>
      <c r="H87" s="1" t="s">
        <v>23</v>
      </c>
      <c r="I87" s="1" t="s">
        <v>24</v>
      </c>
      <c r="J87" t="s">
        <v>162</v>
      </c>
      <c r="K87" s="20"/>
      <c r="L87" s="1">
        <v>2</v>
      </c>
      <c r="M87" s="20"/>
      <c r="N87" s="3">
        <v>2.8</v>
      </c>
      <c r="O87" s="4" t="s">
        <v>35</v>
      </c>
      <c r="Q87" s="20"/>
      <c r="R87" s="5">
        <v>19.59</v>
      </c>
      <c r="S87" s="4" t="s">
        <v>36</v>
      </c>
      <c r="U87" s="20"/>
      <c r="X87" t="s">
        <v>0</v>
      </c>
      <c r="Y87" t="s">
        <v>0</v>
      </c>
    </row>
    <row r="88" spans="1:25" x14ac:dyDescent="0.35">
      <c r="A88" s="12"/>
      <c r="F88" t="s">
        <v>160</v>
      </c>
      <c r="G88" s="1" t="s">
        <v>161</v>
      </c>
      <c r="H88" s="1" t="s">
        <v>23</v>
      </c>
      <c r="I88" s="1" t="s">
        <v>24</v>
      </c>
      <c r="J88" s="6" t="s">
        <v>51</v>
      </c>
      <c r="K88" s="20"/>
      <c r="L88" s="1">
        <f>D87*L87</f>
        <v>10</v>
      </c>
      <c r="M88" s="20"/>
      <c r="N88" s="3">
        <f>IF(ISBLANK(V87),IF(O87="C",N87/100,N87),IF(O87="C",N87/100/V87,N87/V87))</f>
        <v>2.8</v>
      </c>
      <c r="O88" s="4" t="s">
        <v>45</v>
      </c>
      <c r="P88" s="14">
        <f>(N88*L88)</f>
        <v>28</v>
      </c>
      <c r="Q88" s="20"/>
      <c r="R88" s="5">
        <f>IF(S87="C",R87/D87/100,R87/D87)</f>
        <v>3.9180000000000001</v>
      </c>
      <c r="S88" s="4" t="s">
        <v>45</v>
      </c>
      <c r="T88" s="14">
        <f>R88*L88</f>
        <v>39.18</v>
      </c>
      <c r="U88" s="20"/>
      <c r="W88" s="2" t="s">
        <v>0</v>
      </c>
      <c r="X88" t="s">
        <v>0</v>
      </c>
      <c r="Y88" t="s">
        <v>0</v>
      </c>
    </row>
    <row r="89" spans="1:25" x14ac:dyDescent="0.35">
      <c r="A89" s="12"/>
      <c r="C89" t="s">
        <v>0</v>
      </c>
      <c r="D89" s="1" t="s">
        <v>0</v>
      </c>
      <c r="E89" t="s">
        <v>0</v>
      </c>
      <c r="F89" t="s">
        <v>0</v>
      </c>
      <c r="G89" s="1" t="s">
        <v>0</v>
      </c>
      <c r="H89" s="1" t="s">
        <v>0</v>
      </c>
      <c r="I89" s="1" t="s">
        <v>0</v>
      </c>
      <c r="J89" t="s">
        <v>0</v>
      </c>
      <c r="K89" s="20" t="s">
        <v>0</v>
      </c>
      <c r="L89" s="1" t="s">
        <v>0</v>
      </c>
      <c r="M89" s="20" t="s">
        <v>0</v>
      </c>
      <c r="N89" s="3" t="s">
        <v>0</v>
      </c>
      <c r="O89" s="4" t="s">
        <v>0</v>
      </c>
      <c r="P89" s="14" t="s">
        <v>0</v>
      </c>
      <c r="Q89" s="20" t="s">
        <v>0</v>
      </c>
      <c r="R89" s="5" t="s">
        <v>0</v>
      </c>
      <c r="S89" s="4" t="s">
        <v>0</v>
      </c>
      <c r="T89" s="14" t="s">
        <v>0</v>
      </c>
      <c r="U89" s="20" t="s">
        <v>0</v>
      </c>
      <c r="V89" s="2" t="s">
        <v>0</v>
      </c>
      <c r="W89" s="2" t="s">
        <v>0</v>
      </c>
      <c r="X89" t="s">
        <v>0</v>
      </c>
      <c r="Y89" t="s">
        <v>0</v>
      </c>
    </row>
    <row r="90" spans="1:25" x14ac:dyDescent="0.35">
      <c r="A90" s="12"/>
      <c r="B90" t="s">
        <v>163</v>
      </c>
      <c r="C90" s="68" t="s">
        <v>216</v>
      </c>
      <c r="J90" t="s">
        <v>164</v>
      </c>
      <c r="K90" s="20"/>
      <c r="L90" s="1">
        <v>3</v>
      </c>
      <c r="M90" s="20"/>
      <c r="Q90" s="20"/>
      <c r="R90" s="5">
        <v>12.52</v>
      </c>
      <c r="S90" s="4" t="s">
        <v>35</v>
      </c>
      <c r="U90" s="20"/>
      <c r="X90" t="s">
        <v>0</v>
      </c>
      <c r="Y90" t="s">
        <v>0</v>
      </c>
    </row>
    <row r="91" spans="1:25" x14ac:dyDescent="0.35">
      <c r="A91" s="12"/>
      <c r="C91" t="s">
        <v>0</v>
      </c>
      <c r="D91" s="1" t="s">
        <v>0</v>
      </c>
      <c r="E91" t="s">
        <v>0</v>
      </c>
      <c r="F91" t="s">
        <v>0</v>
      </c>
      <c r="G91" s="1" t="s">
        <v>0</v>
      </c>
      <c r="H91" s="1" t="s">
        <v>0</v>
      </c>
      <c r="I91" s="1" t="s">
        <v>0</v>
      </c>
      <c r="J91" t="s">
        <v>0</v>
      </c>
      <c r="K91" s="20" t="s">
        <v>0</v>
      </c>
      <c r="L91" s="1" t="s">
        <v>0</v>
      </c>
      <c r="M91" s="20" t="s">
        <v>0</v>
      </c>
      <c r="N91" s="3" t="s">
        <v>0</v>
      </c>
      <c r="O91" s="4" t="s">
        <v>0</v>
      </c>
      <c r="P91" s="14" t="s">
        <v>0</v>
      </c>
      <c r="Q91" s="20" t="s">
        <v>0</v>
      </c>
      <c r="R91" s="5" t="s">
        <v>0</v>
      </c>
      <c r="S91" s="4" t="s">
        <v>0</v>
      </c>
      <c r="T91" s="14" t="s">
        <v>0</v>
      </c>
      <c r="U91" s="20" t="s">
        <v>0</v>
      </c>
      <c r="V91" s="2" t="s">
        <v>0</v>
      </c>
      <c r="W91" s="2" t="s">
        <v>0</v>
      </c>
      <c r="X91" t="s">
        <v>0</v>
      </c>
      <c r="Y91" t="s">
        <v>0</v>
      </c>
    </row>
    <row r="92" spans="1:25" x14ac:dyDescent="0.35">
      <c r="A92" s="12"/>
      <c r="B92" t="s">
        <v>165</v>
      </c>
      <c r="D92" s="1">
        <v>2</v>
      </c>
      <c r="E92" t="s">
        <v>45</v>
      </c>
      <c r="F92" t="s">
        <v>166</v>
      </c>
      <c r="G92" s="1" t="s">
        <v>161</v>
      </c>
      <c r="H92" s="1" t="s">
        <v>23</v>
      </c>
      <c r="I92" s="1" t="s">
        <v>132</v>
      </c>
      <c r="J92" t="s">
        <v>167</v>
      </c>
      <c r="K92" s="20"/>
      <c r="L92" s="1">
        <v>3</v>
      </c>
      <c r="M92" s="20"/>
      <c r="N92" s="3">
        <v>11.42</v>
      </c>
      <c r="O92" s="4" t="s">
        <v>35</v>
      </c>
      <c r="Q92" s="20"/>
      <c r="R92" s="5">
        <v>26.92</v>
      </c>
      <c r="S92" s="4" t="s">
        <v>36</v>
      </c>
      <c r="U92" s="20"/>
      <c r="X92" t="s">
        <v>0</v>
      </c>
      <c r="Y92" t="s">
        <v>0</v>
      </c>
    </row>
    <row r="93" spans="1:25" x14ac:dyDescent="0.35">
      <c r="A93" s="12"/>
      <c r="F93" t="s">
        <v>166</v>
      </c>
      <c r="G93" s="1" t="s">
        <v>161</v>
      </c>
      <c r="H93" s="1" t="s">
        <v>23</v>
      </c>
      <c r="I93" s="1" t="s">
        <v>132</v>
      </c>
      <c r="J93" s="6" t="s">
        <v>51</v>
      </c>
      <c r="K93" s="20"/>
      <c r="L93" s="1">
        <f>D92*L92</f>
        <v>6</v>
      </c>
      <c r="M93" s="20"/>
      <c r="N93" s="3">
        <f>IF(ISBLANK(V92),IF(O92="C",N92/100,N92),IF(O92="C",N92/100/V92,N92/V92))</f>
        <v>11.42</v>
      </c>
      <c r="O93" s="4" t="s">
        <v>45</v>
      </c>
      <c r="P93" s="14">
        <f>(N93*L93)</f>
        <v>68.52</v>
      </c>
      <c r="Q93" s="20"/>
      <c r="R93" s="5">
        <f>IF(S92="C",R92/D92/100,R92/D92)</f>
        <v>13.46</v>
      </c>
      <c r="S93" s="4" t="s">
        <v>45</v>
      </c>
      <c r="T93" s="14">
        <f>R93*L93</f>
        <v>80.760000000000005</v>
      </c>
      <c r="U93" s="20"/>
      <c r="W93" s="2" t="s">
        <v>0</v>
      </c>
      <c r="X93" t="s">
        <v>0</v>
      </c>
      <c r="Y93" t="s">
        <v>0</v>
      </c>
    </row>
    <row r="94" spans="1:25" x14ac:dyDescent="0.35">
      <c r="A94" s="12"/>
      <c r="C94" t="s">
        <v>0</v>
      </c>
      <c r="D94" s="1" t="s">
        <v>0</v>
      </c>
      <c r="E94" t="s">
        <v>0</v>
      </c>
      <c r="F94" t="s">
        <v>0</v>
      </c>
      <c r="G94" s="1" t="s">
        <v>0</v>
      </c>
      <c r="H94" s="1" t="s">
        <v>0</v>
      </c>
      <c r="I94" s="1" t="s">
        <v>0</v>
      </c>
      <c r="J94" t="s">
        <v>0</v>
      </c>
      <c r="K94" s="20" t="s">
        <v>0</v>
      </c>
      <c r="L94" s="1" t="s">
        <v>0</v>
      </c>
      <c r="M94" s="20" t="s">
        <v>0</v>
      </c>
      <c r="N94" s="3" t="s">
        <v>0</v>
      </c>
      <c r="O94" s="4" t="s">
        <v>0</v>
      </c>
      <c r="P94" s="14" t="s">
        <v>0</v>
      </c>
      <c r="Q94" s="20" t="s">
        <v>0</v>
      </c>
      <c r="R94" s="5" t="s">
        <v>0</v>
      </c>
      <c r="S94" s="4" t="s">
        <v>0</v>
      </c>
      <c r="T94" s="14" t="s">
        <v>0</v>
      </c>
      <c r="U94" s="20" t="s">
        <v>0</v>
      </c>
      <c r="V94" s="2" t="s">
        <v>0</v>
      </c>
      <c r="W94" s="2" t="s">
        <v>0</v>
      </c>
      <c r="X94" t="s">
        <v>0</v>
      </c>
      <c r="Y94" t="s">
        <v>0</v>
      </c>
    </row>
    <row r="95" spans="1:25" x14ac:dyDescent="0.35">
      <c r="A95" s="12"/>
      <c r="B95" t="s">
        <v>168</v>
      </c>
      <c r="D95" s="1">
        <v>5</v>
      </c>
      <c r="E95" t="s">
        <v>45</v>
      </c>
      <c r="F95" t="s">
        <v>169</v>
      </c>
      <c r="G95" s="1" t="s">
        <v>161</v>
      </c>
      <c r="H95" s="1" t="s">
        <v>23</v>
      </c>
      <c r="I95" s="1" t="s">
        <v>24</v>
      </c>
      <c r="J95" t="s">
        <v>170</v>
      </c>
      <c r="K95" s="20"/>
      <c r="L95" s="1">
        <v>1</v>
      </c>
      <c r="M95" s="20"/>
      <c r="N95" s="3">
        <v>9.18</v>
      </c>
      <c r="O95" s="4" t="s">
        <v>35</v>
      </c>
      <c r="Q95" s="20"/>
      <c r="R95" s="5">
        <v>56.1</v>
      </c>
      <c r="S95" s="4" t="s">
        <v>36</v>
      </c>
      <c r="U95" s="20"/>
      <c r="X95" t="s">
        <v>0</v>
      </c>
      <c r="Y95" t="s">
        <v>0</v>
      </c>
    </row>
    <row r="96" spans="1:25" x14ac:dyDescent="0.35">
      <c r="A96" s="12"/>
      <c r="F96" t="s">
        <v>169</v>
      </c>
      <c r="G96" s="1" t="s">
        <v>161</v>
      </c>
      <c r="H96" s="1" t="s">
        <v>23</v>
      </c>
      <c r="I96" s="1" t="s">
        <v>24</v>
      </c>
      <c r="J96" s="6" t="s">
        <v>51</v>
      </c>
      <c r="K96" s="20"/>
      <c r="L96" s="1">
        <f>D95*L95</f>
        <v>5</v>
      </c>
      <c r="M96" s="20"/>
      <c r="N96" s="3">
        <f>IF(ISBLANK(V95),IF(O95="C",N95/100,N95),IF(O95="C",N95/100/V95,N95/V95))</f>
        <v>9.18</v>
      </c>
      <c r="O96" s="4" t="s">
        <v>45</v>
      </c>
      <c r="P96" s="14">
        <f>(N96*L96)</f>
        <v>45.9</v>
      </c>
      <c r="Q96" s="20"/>
      <c r="R96" s="5">
        <f>IF(S95="C",R95/D95/100,R95/D95)</f>
        <v>11.22</v>
      </c>
      <c r="S96" s="4" t="s">
        <v>45</v>
      </c>
      <c r="T96" s="14">
        <f>R96*L96</f>
        <v>56.1</v>
      </c>
      <c r="U96" s="20"/>
      <c r="W96" s="2" t="s">
        <v>0</v>
      </c>
      <c r="X96" t="s">
        <v>0</v>
      </c>
      <c r="Y96" t="s">
        <v>0</v>
      </c>
    </row>
    <row r="97" spans="1:25" x14ac:dyDescent="0.35">
      <c r="A97" s="12"/>
      <c r="C97" t="s">
        <v>0</v>
      </c>
      <c r="D97" s="1" t="s">
        <v>0</v>
      </c>
      <c r="E97" t="s">
        <v>0</v>
      </c>
      <c r="F97" t="s">
        <v>0</v>
      </c>
      <c r="G97" s="1" t="s">
        <v>0</v>
      </c>
      <c r="H97" s="1" t="s">
        <v>0</v>
      </c>
      <c r="I97" s="1" t="s">
        <v>0</v>
      </c>
      <c r="J97" t="s">
        <v>0</v>
      </c>
      <c r="K97" s="20" t="s">
        <v>0</v>
      </c>
      <c r="L97" s="1" t="s">
        <v>0</v>
      </c>
      <c r="M97" s="20" t="s">
        <v>0</v>
      </c>
      <c r="N97" s="3" t="s">
        <v>0</v>
      </c>
      <c r="O97" s="4" t="s">
        <v>0</v>
      </c>
      <c r="P97" s="14" t="s">
        <v>0</v>
      </c>
      <c r="Q97" s="20" t="s">
        <v>0</v>
      </c>
      <c r="R97" s="5" t="s">
        <v>0</v>
      </c>
      <c r="S97" s="4" t="s">
        <v>0</v>
      </c>
      <c r="T97" s="14" t="s">
        <v>0</v>
      </c>
      <c r="U97" s="20" t="s">
        <v>0</v>
      </c>
      <c r="V97" s="2" t="s">
        <v>0</v>
      </c>
      <c r="W97" s="2" t="s">
        <v>0</v>
      </c>
      <c r="X97" t="s">
        <v>0</v>
      </c>
      <c r="Y97" t="s">
        <v>0</v>
      </c>
    </row>
    <row r="98" spans="1:25" x14ac:dyDescent="0.35">
      <c r="A98" s="12"/>
      <c r="B98" t="s">
        <v>171</v>
      </c>
      <c r="J98" t="s">
        <v>172</v>
      </c>
      <c r="K98" s="21"/>
      <c r="L98" s="1">
        <v>1</v>
      </c>
      <c r="M98" s="21"/>
      <c r="Q98" s="21"/>
      <c r="R98" s="5">
        <v>0</v>
      </c>
      <c r="S98" s="4" t="s">
        <v>35</v>
      </c>
      <c r="U98" s="21"/>
      <c r="X98" t="s">
        <v>0</v>
      </c>
      <c r="Y98" t="s">
        <v>0</v>
      </c>
    </row>
    <row r="99" spans="1:25" x14ac:dyDescent="0.35">
      <c r="A99" s="12"/>
      <c r="B99" s="23"/>
      <c r="C99" s="25"/>
      <c r="D99" s="24"/>
      <c r="E99" s="24"/>
      <c r="F99" s="25"/>
      <c r="G99" s="24"/>
      <c r="H99" s="24"/>
      <c r="I99" s="24"/>
      <c r="J99" s="24" t="s">
        <v>174</v>
      </c>
      <c r="K99" s="73"/>
      <c r="L99" s="24"/>
      <c r="M99" s="25"/>
      <c r="N99" s="70"/>
      <c r="O99" s="71"/>
      <c r="P99" s="41">
        <f>SUM($P$10:$P$98)</f>
        <v>871.15199579831938</v>
      </c>
      <c r="Q99" s="25"/>
      <c r="R99" s="72"/>
      <c r="S99" s="71"/>
      <c r="T99" s="41">
        <f>SUM($T$10:$T$98)</f>
        <v>1705.1100000000006</v>
      </c>
      <c r="U99" s="27"/>
    </row>
    <row r="100" spans="1:25" x14ac:dyDescent="0.35">
      <c r="A100" s="12"/>
    </row>
    <row r="103" spans="1:25" ht="15" thickBot="1" x14ac:dyDescent="0.4">
      <c r="A103" s="12" t="s">
        <v>213</v>
      </c>
    </row>
    <row r="104" spans="1:25" x14ac:dyDescent="0.35">
      <c r="K104" s="46"/>
      <c r="L104" s="49"/>
      <c r="M104" s="47"/>
      <c r="N104" s="48"/>
      <c r="O104" s="49"/>
      <c r="P104" s="50"/>
      <c r="Q104" s="47"/>
      <c r="R104" s="51"/>
      <c r="S104" s="49"/>
      <c r="T104" s="50"/>
      <c r="U104" s="52"/>
    </row>
    <row r="105" spans="1:25" x14ac:dyDescent="0.35">
      <c r="A105" t="s">
        <v>214</v>
      </c>
      <c r="B105" t="s">
        <v>215</v>
      </c>
      <c r="K105" s="53"/>
      <c r="L105" s="56" t="s">
        <v>212</v>
      </c>
      <c r="M105" s="54"/>
      <c r="N105" s="55"/>
      <c r="O105" s="56"/>
      <c r="P105" s="57">
        <f>SUMIF(J:J,"Total:",P:P)</f>
        <v>871.15199579831938</v>
      </c>
      <c r="Q105" s="54"/>
      <c r="R105" s="58"/>
      <c r="S105" s="56"/>
      <c r="T105" s="57">
        <f>SUMIF(J:J,"Total:",T:T)</f>
        <v>1705.1100000000006</v>
      </c>
      <c r="U105" s="59"/>
    </row>
    <row r="106" spans="1:25" x14ac:dyDescent="0.35">
      <c r="K106" s="53"/>
      <c r="L106" s="56"/>
      <c r="M106" s="54"/>
      <c r="N106" s="55"/>
      <c r="O106" s="56"/>
      <c r="P106" s="57"/>
      <c r="Q106" s="54"/>
      <c r="R106" s="58"/>
      <c r="S106" s="56"/>
      <c r="T106" s="57"/>
      <c r="U106" s="59"/>
    </row>
    <row r="107" spans="1:25" x14ac:dyDescent="0.35">
      <c r="A107" s="68" t="s">
        <v>216</v>
      </c>
      <c r="B107" t="s">
        <v>217</v>
      </c>
      <c r="K107" s="53"/>
      <c r="L107" s="56"/>
      <c r="M107" s="54"/>
      <c r="N107" s="55"/>
      <c r="O107" s="56"/>
      <c r="P107" s="57"/>
      <c r="Q107" s="54"/>
      <c r="R107" s="58"/>
      <c r="S107" s="56"/>
      <c r="T107" s="57"/>
      <c r="U107" s="59"/>
    </row>
    <row r="108" spans="1:25" x14ac:dyDescent="0.35">
      <c r="K108" s="53"/>
      <c r="L108" s="56" t="str">
        <f>IF(R108&gt;0,"Imperial is higher by:","Imperial is lower by:")</f>
        <v>Imperial is lower by:</v>
      </c>
      <c r="M108" s="54"/>
      <c r="N108" s="55"/>
      <c r="O108" s="56"/>
      <c r="P108" s="57"/>
      <c r="Q108" s="54"/>
      <c r="R108" s="67">
        <f>IFERROR((P105-T105)/T105,0)</f>
        <v>-0.4890933747392725</v>
      </c>
      <c r="S108" s="56"/>
      <c r="T108" s="57"/>
      <c r="U108" s="59"/>
    </row>
    <row r="109" spans="1:25" ht="15" thickBot="1" x14ac:dyDescent="0.4">
      <c r="A109" t="s">
        <v>218</v>
      </c>
      <c r="K109" s="60"/>
      <c r="L109" s="63"/>
      <c r="M109" s="61"/>
      <c r="N109" s="62"/>
      <c r="O109" s="63"/>
      <c r="P109" s="64"/>
      <c r="Q109" s="61"/>
      <c r="R109" s="65"/>
      <c r="S109" s="63"/>
      <c r="T109" s="64"/>
      <c r="U109" s="66"/>
    </row>
    <row r="110" spans="1:25" x14ac:dyDescent="0.35">
      <c r="A110" t="s">
        <v>219</v>
      </c>
    </row>
    <row r="111" spans="1:25" x14ac:dyDescent="0.35">
      <c r="A111" t="s">
        <v>220</v>
      </c>
    </row>
    <row r="113" spans="1:1" x14ac:dyDescent="0.35">
      <c r="A113" s="69"/>
    </row>
    <row r="116" spans="1:1" x14ac:dyDescent="0.35">
      <c r="A116" s="69"/>
    </row>
  </sheetData>
  <mergeCells count="4">
    <mergeCell ref="V5:W5"/>
    <mergeCell ref="C5:E5"/>
    <mergeCell ref="N5:P5"/>
    <mergeCell ref="R5:T5"/>
  </mergeCells>
  <pageMargins left="0.5" right="0.5" top="0.5" bottom="0.5" header="0.25" footer="0.25"/>
  <pageSetup scale="66" fitToHeight="0" orientation="landscape" horizontalDpi="4294967295" verticalDpi="4294967295" r:id="rId1"/>
  <headerFooter scaleWithDoc="0">
    <oddFooter>&amp;L&amp;8&amp;Det&amp;C&amp;8&amp;P of &amp;N&amp;R&amp;8&amp;F</oddFooter>
  </headerFooter>
  <rowBreaks count="2" manualBreakCount="2">
    <brk id="52" max="20" man="1"/>
    <brk id="91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7251-6DCF-44CB-B6BF-9FE2701BD562}">
  <sheetPr>
    <pageSetUpPr fitToPage="1"/>
  </sheetPr>
  <dimension ref="A1:W10"/>
  <sheetViews>
    <sheetView zoomScaleNormal="100" workbookViewId="0">
      <selection activeCell="A4" sqref="A4"/>
    </sheetView>
  </sheetViews>
  <sheetFormatPr defaultRowHeight="14.5" x14ac:dyDescent="0.35"/>
  <cols>
    <col min="1" max="1" width="18.7265625" customWidth="1"/>
    <col min="2" max="2" width="31.54296875" customWidth="1"/>
    <col min="3" max="3" width="12" customWidth="1"/>
    <col min="4" max="4" width="6" customWidth="1"/>
    <col min="5" max="5" width="5.81640625" style="1" customWidth="1"/>
    <col min="6" max="6" width="4.54296875" style="1" customWidth="1"/>
    <col min="7" max="7" width="10.54296875" customWidth="1"/>
    <col min="8" max="8" width="34.81640625" bestFit="1" customWidth="1"/>
    <col min="9" max="9" width="1.7265625" customWidth="1"/>
    <col min="10" max="10" width="11.7265625" style="1" customWidth="1"/>
    <col min="11" max="11" width="1.7265625" customWidth="1"/>
    <col min="12" max="12" width="11.7265625" style="3" customWidth="1"/>
    <col min="13" max="13" width="3.7265625" style="4" customWidth="1"/>
    <col min="14" max="14" width="10.7265625" style="14" customWidth="1"/>
    <col min="15" max="15" width="1.7265625" customWidth="1"/>
    <col min="16" max="16" width="11.7265625" style="5" customWidth="1"/>
    <col min="17" max="17" width="3.7265625" style="4" customWidth="1"/>
    <col min="18" max="18" width="11.7265625" style="14" customWidth="1"/>
    <col min="19" max="19" width="1.7265625" customWidth="1"/>
    <col min="20" max="21" width="7.7265625" style="2" hidden="1" customWidth="1"/>
  </cols>
  <sheetData>
    <row r="1" spans="1:23" ht="18.5" x14ac:dyDescent="0.45">
      <c r="A1" s="17" t="s">
        <v>221</v>
      </c>
    </row>
    <row r="2" spans="1:23" ht="15.5" x14ac:dyDescent="0.35">
      <c r="A2" s="18" t="s">
        <v>225</v>
      </c>
    </row>
    <row r="3" spans="1:23" x14ac:dyDescent="0.35">
      <c r="A3" s="12" t="s">
        <v>226</v>
      </c>
    </row>
    <row r="4" spans="1:23" s="84" customFormat="1" x14ac:dyDescent="0.35">
      <c r="L4" s="85"/>
      <c r="N4" s="86"/>
      <c r="P4" s="87"/>
      <c r="R4" s="86"/>
      <c r="T4" s="88"/>
      <c r="U4" s="88" t="s">
        <v>0</v>
      </c>
      <c r="V4" s="84" t="s">
        <v>0</v>
      </c>
      <c r="W4" s="84" t="s">
        <v>0</v>
      </c>
    </row>
    <row r="5" spans="1:23" s="89" customFormat="1" x14ac:dyDescent="0.35">
      <c r="C5" s="89" t="s">
        <v>1</v>
      </c>
      <c r="D5" s="90" t="s">
        <v>173</v>
      </c>
      <c r="E5" s="90"/>
      <c r="F5" s="90"/>
      <c r="G5" s="89" t="s">
        <v>2</v>
      </c>
      <c r="J5" s="89" t="s">
        <v>1</v>
      </c>
      <c r="L5" s="91" t="s">
        <v>2</v>
      </c>
      <c r="M5" s="92"/>
      <c r="N5" s="93"/>
      <c r="P5" s="94" t="s">
        <v>1</v>
      </c>
      <c r="Q5" s="95"/>
      <c r="R5" s="96"/>
      <c r="T5" s="97" t="s">
        <v>2</v>
      </c>
      <c r="U5" s="97"/>
      <c r="V5" s="89" t="s">
        <v>0</v>
      </c>
      <c r="W5" s="89" t="s">
        <v>0</v>
      </c>
    </row>
    <row r="6" spans="1:23" s="89" customFormat="1" ht="15" thickBot="1" x14ac:dyDescent="0.4">
      <c r="A6" s="98" t="s">
        <v>227</v>
      </c>
      <c r="B6" s="98" t="s">
        <v>228</v>
      </c>
      <c r="C6" s="98" t="s">
        <v>3</v>
      </c>
      <c r="D6" s="98" t="s">
        <v>4</v>
      </c>
      <c r="E6" s="98" t="s">
        <v>5</v>
      </c>
      <c r="F6" s="98" t="s">
        <v>6</v>
      </c>
      <c r="G6" s="98" t="s">
        <v>7</v>
      </c>
      <c r="H6" s="98" t="s">
        <v>11</v>
      </c>
      <c r="I6" s="98"/>
      <c r="J6" s="98" t="s">
        <v>12</v>
      </c>
      <c r="K6" s="98"/>
      <c r="L6" s="99" t="s">
        <v>13</v>
      </c>
      <c r="M6" s="98"/>
      <c r="N6" s="100" t="s">
        <v>14</v>
      </c>
      <c r="O6" s="98"/>
      <c r="P6" s="101" t="s">
        <v>13</v>
      </c>
      <c r="Q6" s="98"/>
      <c r="R6" s="100" t="s">
        <v>14</v>
      </c>
      <c r="S6" s="98"/>
      <c r="T6" s="102" t="s">
        <v>15</v>
      </c>
      <c r="U6" s="102" t="s">
        <v>16</v>
      </c>
      <c r="V6" s="89" t="s">
        <v>0</v>
      </c>
      <c r="W6" s="89" t="s">
        <v>0</v>
      </c>
    </row>
    <row r="7" spans="1:23" x14ac:dyDescent="0.35">
      <c r="A7" t="s">
        <v>17</v>
      </c>
      <c r="B7" t="s">
        <v>18</v>
      </c>
      <c r="C7" t="s">
        <v>38</v>
      </c>
      <c r="D7" t="s">
        <v>29</v>
      </c>
      <c r="E7" s="1">
        <v>180</v>
      </c>
      <c r="F7" t="s">
        <v>30</v>
      </c>
      <c r="G7" t="s">
        <v>39</v>
      </c>
      <c r="H7" t="s">
        <v>40</v>
      </c>
      <c r="I7" s="103"/>
      <c r="J7" s="1">
        <v>1</v>
      </c>
      <c r="K7" s="103"/>
      <c r="L7" s="3">
        <v>3.76</v>
      </c>
      <c r="M7" s="4" t="s">
        <v>35</v>
      </c>
      <c r="O7" s="103"/>
      <c r="P7" s="5">
        <v>72.39</v>
      </c>
      <c r="Q7" s="4" t="s">
        <v>36</v>
      </c>
      <c r="S7" s="103"/>
      <c r="T7" s="2">
        <v>10.5</v>
      </c>
      <c r="U7" s="2" t="s">
        <v>30</v>
      </c>
      <c r="V7" t="s">
        <v>0</v>
      </c>
      <c r="W7" t="s">
        <v>0</v>
      </c>
    </row>
    <row r="8" spans="1:23" x14ac:dyDescent="0.35">
      <c r="A8" t="s">
        <v>17</v>
      </c>
      <c r="B8" t="s">
        <v>18</v>
      </c>
      <c r="G8" t="s">
        <v>39</v>
      </c>
      <c r="H8" s="6" t="s">
        <v>37</v>
      </c>
      <c r="I8" s="103"/>
      <c r="J8" s="1">
        <f>E7*J7</f>
        <v>180</v>
      </c>
      <c r="K8" s="103"/>
      <c r="L8" s="3">
        <f>IF(ISBLANK(T7),IF(M7="C",L7/100,L7),IF(M7="C",L7/100/T7,L7/T7))</f>
        <v>0.35809523809523808</v>
      </c>
      <c r="M8" s="4" t="s">
        <v>30</v>
      </c>
      <c r="N8" s="14">
        <f>(L8*J8)</f>
        <v>64.457142857142856</v>
      </c>
      <c r="O8" s="103"/>
      <c r="P8" s="5">
        <f>IF(Q7="C",P7/E7/100,P7/E7)</f>
        <v>0.40216666666666667</v>
      </c>
      <c r="Q8" s="4" t="s">
        <v>30</v>
      </c>
      <c r="R8" s="14">
        <f>P8*J8</f>
        <v>72.39</v>
      </c>
      <c r="S8" s="103"/>
      <c r="U8" s="2" t="s">
        <v>0</v>
      </c>
      <c r="V8" t="s">
        <v>0</v>
      </c>
      <c r="W8" t="s">
        <v>0</v>
      </c>
    </row>
    <row r="9" spans="1:23" x14ac:dyDescent="0.35">
      <c r="A9" t="s">
        <v>229</v>
      </c>
      <c r="B9" t="s">
        <v>230</v>
      </c>
      <c r="C9" t="s">
        <v>38</v>
      </c>
      <c r="D9" t="s">
        <v>231</v>
      </c>
      <c r="E9" s="1">
        <v>180</v>
      </c>
      <c r="F9" t="s">
        <v>30</v>
      </c>
      <c r="G9" t="s">
        <v>39</v>
      </c>
      <c r="H9" t="s">
        <v>40</v>
      </c>
      <c r="I9" s="103"/>
      <c r="J9" s="1">
        <v>1</v>
      </c>
      <c r="K9" s="103"/>
      <c r="L9" s="3">
        <v>3.76</v>
      </c>
      <c r="M9" s="4" t="s">
        <v>35</v>
      </c>
      <c r="O9" s="103"/>
      <c r="P9" s="104">
        <v>73.87</v>
      </c>
      <c r="Q9" s="4" t="s">
        <v>36</v>
      </c>
      <c r="S9" s="103"/>
      <c r="T9" s="2">
        <v>10.5</v>
      </c>
      <c r="U9" s="2" t="s">
        <v>30</v>
      </c>
      <c r="V9" t="s">
        <v>0</v>
      </c>
      <c r="W9" t="s">
        <v>0</v>
      </c>
    </row>
    <row r="10" spans="1:23" x14ac:dyDescent="0.35">
      <c r="A10" t="s">
        <v>229</v>
      </c>
      <c r="B10" t="s">
        <v>230</v>
      </c>
      <c r="G10" t="s">
        <v>39</v>
      </c>
      <c r="H10" s="6" t="s">
        <v>37</v>
      </c>
      <c r="I10" s="103"/>
      <c r="J10" s="1">
        <f>E9*J9</f>
        <v>180</v>
      </c>
      <c r="K10" s="103"/>
      <c r="L10" s="3">
        <f>IF(ISBLANK(T9),IF(M9="C",L9/100,L9),IF(M9="C",L9/100/T9,L9/T9))</f>
        <v>0.35809523809523808</v>
      </c>
      <c r="M10" s="4" t="s">
        <v>30</v>
      </c>
      <c r="N10" s="14">
        <f>(L10*J10)</f>
        <v>64.457142857142856</v>
      </c>
      <c r="O10" s="103"/>
      <c r="P10" s="104">
        <f>IF(Q9="C",P9/E9/100,P9/E9)</f>
        <v>0.41038888888888891</v>
      </c>
      <c r="Q10" s="4" t="s">
        <v>30</v>
      </c>
      <c r="R10" s="14">
        <f>P10*J10</f>
        <v>73.87</v>
      </c>
      <c r="S10" s="103"/>
      <c r="U10" s="2" t="s">
        <v>0</v>
      </c>
      <c r="V10" t="s">
        <v>0</v>
      </c>
      <c r="W10" t="s">
        <v>0</v>
      </c>
    </row>
  </sheetData>
  <mergeCells count="4">
    <mergeCell ref="D5:F5"/>
    <mergeCell ref="L5:N5"/>
    <mergeCell ref="P5:R5"/>
    <mergeCell ref="T5:U5"/>
  </mergeCells>
  <pageMargins left="0.5" right="0.5" top="0.5" bottom="0.5" header="0.25" footer="0.25"/>
  <pageSetup scale="65" fitToHeight="0" orientation="landscape" horizontalDpi="4294967295" verticalDpi="4294967295" r:id="rId1"/>
  <headerFooter scaleWithDoc="0">
    <oddFooter>&amp;L&amp;8&amp;Det&amp;C&amp;8&amp;P of &amp;N&amp;R&amp;8&amp;F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Sum by cat</vt:lpstr>
      <vt:lpstr>Sum by rank</vt:lpstr>
      <vt:lpstr>Analysis</vt:lpstr>
      <vt:lpstr>Price Variance</vt:lpstr>
      <vt:lpstr>Analysis!Print_Area</vt:lpstr>
      <vt:lpstr>'Price Variance'!Print_Area</vt:lpstr>
      <vt:lpstr>'Sum by cat'!Print_Area</vt:lpstr>
      <vt:lpstr>'Sum by rank'!Print_Area</vt:lpstr>
      <vt:lpstr>Analysis!Print_Titles</vt:lpstr>
      <vt:lpstr>'Price Variance'!Print_Titles</vt:lpstr>
      <vt:lpstr>'Sum by cat'!Print_Titles</vt:lpstr>
      <vt:lpstr>'Sum by rank'!Print_Titles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Info from the given quote q48377</dc:subject>
  <dc:creator/>
  <dc:description>in233</dc:description>
  <cp:lastModifiedBy/>
  <dcterms:created xsi:type="dcterms:W3CDTF">2022-03-17T20:06:33Z</dcterms:created>
  <dcterms:modified xsi:type="dcterms:W3CDTF">2022-03-21T13:17:03Z</dcterms:modified>
</cp:coreProperties>
</file>